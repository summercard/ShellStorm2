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72f7c54d1a4b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10d9995288834436"/>
    <x:sheet xmlns:r="http://schemas.openxmlformats.org/officeDocument/2006/relationships" name="武器" sheetId="2" r:id="Rc3d980954e3743ca"/>
    <x:sheet xmlns:r="http://schemas.openxmlformats.org/officeDocument/2006/relationships" name="命运卡" sheetId="3" r:id="R0935ea593cc8495b"/>
    <x:sheet xmlns:r="http://schemas.openxmlformats.org/officeDocument/2006/relationships" name="怪物与Boss" sheetId="4" r:id="R11886247d3c547e2"/>
    <x:sheet xmlns:r="http://schemas.openxmlformats.org/officeDocument/2006/relationships" name="精英怪" sheetId="5" r:id="Reb384d97692a4056"/>
    <x:sheet xmlns:r="http://schemas.openxmlformats.org/officeDocument/2006/relationships" name="掉落物品" sheetId="6" r:id="R8482ba14b0fc40ec"/>
    <x:sheet xmlns:r="http://schemas.openxmlformats.org/officeDocument/2006/relationships" name="字段字典" sheetId="7" r:id="R0e5e5e1b4cd54a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7">
    <x:font>
      <x:sz val="11"/>
      <x:name val="Carlito"/>
    </x:font>
    <x:font>
      <x:b/>
      <x:sz val="18"/>
      <x:color rgb="FFFFFFFF"/>
      <x:name val="Carlito"/>
    </x:font>
    <x:font>
      <x:sz val="10"/>
      <x:color rgb="FF243B53"/>
      <x:name val="Carlito"/>
    </x:font>
    <x:font>
      <x:b/>
      <x:sz val="11"/>
      <x:color rgb="FFFFFFFF"/>
      <x:name val="Carlito"/>
    </x:font>
    <x:font>
      <x:sz val="9"/>
      <x:color rgb="FF243B53"/>
      <x:name val="Carlito"/>
    </x:font>
    <x:font>
      <x:b/>
      <x:sz val="9"/>
      <x:color rgb="FF2E7D32"/>
      <x:name val="Carlito"/>
    </x:font>
    <x:font>
      <x:b/>
      <x:sz val="9"/>
      <x:color rgb="FFEF6C00"/>
      <x:name val="Carlito"/>
    </x:font>
    <x:font>
      <x:b/>
      <x:sz val="9"/>
      <x:color rgb="FF1565C0"/>
      <x:name val="Carlito"/>
    </x:font>
    <x:font>
      <x:sz val="9"/>
      <x:color rgb="FF1565C0"/>
      <x:name val="Carlito"/>
    </x:font>
    <x:font>
      <x:b/>
      <x:sz val="20"/>
      <x:color rgb="FFFFFFFF"/>
      <x:name val="Carlito"/>
    </x:font>
    <x:font>
      <x:sz val="11"/>
      <x:color rgb="FF243B53"/>
      <x:name val="Carlito"/>
    </x:font>
    <x:font>
      <x:b/>
      <x:sz val="14"/>
      <x:color rgb="FFFFFFFF"/>
      <x:name val="Carlito"/>
    </x:font>
    <x:font>
      <x:b/>
      <x:sz val="11"/>
      <x:color rgb="FFEF6C00"/>
      <x:name val="Carlito"/>
    </x:font>
    <x:font>
      <x:b/>
      <x:sz val="11"/>
      <x:color rgb="FF2E7D32"/>
      <x:name val="Carlito"/>
    </x:font>
    <x:font>
      <x:b/>
      <x:sz val="11"/>
      <x:color rgb="FF1565C0"/>
      <x:name val="Carlito"/>
    </x:font>
    <x:font>
      <x:b/>
      <x:sz val="9"/>
      <x:color rgb="FF243B53"/>
      <x:name val="Carlito"/>
    </x:font>
    <x:font>
      <x:sz val="11"/>
      <x:color rgb="FF1565C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FF4E5"/>
      </x:patternFill>
    </x:fill>
    <x:fill>
      <x:patternFill patternType="solid">
        <x:fgColor rgb="FF155E75"/>
      </x:patternFill>
    </x:fill>
    <x:fill>
      <x:patternFill patternType="solid">
        <x:fgColor rgb="FF155E75"/>
      </x:patternFill>
    </x:fill>
  </x:fills>
  <x:borders count="3">
    <x:border/>
    <x:border>
      <x:left style="thin">
        <x:color rgb="FFC9D8E3"/>
      </x:left>
      <x:right style="thin">
        <x:color rgb="FFC9D8E3"/>
      </x:right>
      <x:top style="thin">
        <x:color rgb="FFC9D8E3"/>
      </x:top>
      <x:bottom style="thin">
        <x:color rgb="FFC9D8E3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/>
    <x:xf numFmtId="0" fontId="10" fillId="0" borderId="1" xfId="0" applyNumberFormat="1" applyFont="1" applyFill="1" applyBorder="1"/>
    <x:xf numFmtId="0" fontId="10" fillId="0" borderId="1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vertical="top" wrapText="1"/>
    </x:xf>
    <x:xf numFmtId="0" fontId="11" fillId="2" borderId="0" xfId="0" applyNumberFormat="1" applyFont="1" applyFill="1" applyBorder="1"/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3" fillId="0" borderId="1" xfId="0" applyNumberFormat="1" applyFont="1" applyFill="1" applyBorder="1" applyAlignment="1">
      <x:alignment vertical="top" wrapText="1"/>
    </x:xf>
    <x:xf numFmtId="0" fontId="14" fillId="0" borderId="1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horizont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horizontal="center"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15" fillId="0" borderId="2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center" wrapText="1"/>
    </x:xf>
    <x:xf numFmtId="0" fontId="16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1d43e26068434a" /><Relationship Type="http://schemas.openxmlformats.org/officeDocument/2006/relationships/theme" Target="/xl/theme/theme1.xml" Id="R6f65b491cfde4d4b" /><Relationship Type="http://schemas.openxmlformats.org/officeDocument/2006/relationships/sharedStrings" Target="/xl/sharedStrings.xml" Id="R50802a923f5d440a" /><Relationship Type="http://schemas.openxmlformats.org/officeDocument/2006/relationships/worksheet" Target="/xl/worksheets/sheet1.xml" Id="R10d9995288834436" /><Relationship Type="http://schemas.openxmlformats.org/officeDocument/2006/relationships/worksheet" Target="/xl/worksheets/sheet2.xml" Id="Rc3d980954e3743ca" /><Relationship Type="http://schemas.openxmlformats.org/officeDocument/2006/relationships/worksheet" Target="/xl/worksheets/sheet3.xml" Id="R0935ea593cc8495b" /><Relationship Type="http://schemas.openxmlformats.org/officeDocument/2006/relationships/worksheet" Target="/xl/worksheets/sheet4.xml" Id="R11886247d3c547e2" /><Relationship Type="http://schemas.openxmlformats.org/officeDocument/2006/relationships/worksheet" Target="/xl/worksheets/sheet5.xml" Id="Reb384d97692a4056" /><Relationship Type="http://schemas.openxmlformats.org/officeDocument/2006/relationships/worksheet" Target="/xl/worksheets/sheet6.xml" Id="R8482ba14b0fc40ec" /><Relationship Type="http://schemas.openxmlformats.org/officeDocument/2006/relationships/worksheet" Target="/xl/worksheets/sheet7.xml" Id="R0e5e5e1b4cd54a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4" hidden="0" customWidth="1"/>
    <x:col min="7" max="7" width="46" hidden="0" customWidth="1"/>
    <x:col min="8" max="8" width="44" hidden="0" customWidth="1"/>
  </x:cols>
  <x:sheetData>
    <x:row r="1" ht="36" customHeight="1">
      <x:c r="A1" s="23" t="str">
        <x:v>ShellStorm2 游戏内容数据库 v0.1</x:v>
      </x:c>
      <x:c r="B1" s="23"/>
      <x:c r="C1" s="23"/>
      <x:c r="D1" s="23"/>
      <x:c r="E1" s="23"/>
      <x:c r="F1" s="23"/>
      <x:c r="G1" s="23"/>
      <x:c r="H1" s="23"/>
    </x:row>
    <x:row r="2" ht="30" customHeight="1">
      <x:c r="A2" s="25" t="str">
        <x:v>设计、内容与实现状态的中央索引｜最后核对：2026-08-05｜正式入口：TowerDescent3D.tscn</x:v>
      </x:c>
      <x:c r="B2" s="25"/>
      <x:c r="C2" s="25"/>
      <x:c r="D2" s="25"/>
      <x:c r="E2" s="25"/>
      <x:c r="F2" s="25"/>
      <x:c r="G2" s="25"/>
      <x:c r="H2" s="25"/>
    </x:row>
    <x:row r="3" ht="30" customHeight="1">
      <x:c r="A3" s="25" t="str">
        <x:v>绿色字体=已实装；蓝色字体=用户设计；橙色字体=Codex补充。条目存在不等于全部表现与数值已通过最终QA。</x:v>
      </x:c>
      <x:c r="B3" s="25"/>
      <x:c r="C3" s="25"/>
      <x:c r="D3" s="25"/>
      <x:c r="E3" s="25"/>
      <x:c r="F3" s="25"/>
      <x:c r="G3" s="25"/>
      <x:c r="H3" s="25"/>
    </x:row>
    <x:row r="5" ht="34" customHeight="1">
      <x:c r="A5" s="12" t="str">
        <x:v>工作表</x:v>
      </x:c>
      <x:c r="B5" s="12" t="str">
        <x:v>当前条目</x:v>
      </x:c>
      <x:c r="C5" s="12" t="str">
        <x:v>已实装</x:v>
      </x:c>
      <x:c r="D5" s="12" t="str">
        <x:v>用户设计</x:v>
      </x:c>
      <x:c r="E5" s="12" t="str">
        <x:v>Codex补充</x:v>
      </x:c>
      <x:c r="F5" s="12" t="str">
        <x:v>对应系统</x:v>
      </x:c>
      <x:c r="G5" s="12" t="str">
        <x:v>主要用途</x:v>
      </x:c>
      <x:c r="H5" s="12" t="str">
        <x:v>维护提示</x:v>
      </x:c>
    </x:row>
    <x:row r="6" ht="46" customHeight="1">
      <x:c r="A6" s="29" t="str">
        <x:v>武器</x:v>
      </x:c>
      <x:c r="B6" s="29" t="n">
        <x:f>COUNTA('武器'!$A$5:$A$204)</x:f>
        <x:v>21</x:v>
      </x:c>
      <x:c r="C6" s="34" t="n">
        <x:f>COUNTIF('武器'!$K$5:$K$204,"[已实装]")</x:f>
        <x:v>21</x:v>
      </x:c>
      <x:c r="D6" s="35" t="n">
        <x:f>COUNTIF('武器'!$K$5:$K$204,"[用户设计]")</x:f>
        <x:v>0</x:v>
      </x:c>
      <x:c r="E6" s="36" t="n">
        <x:f>COUNTIF('武器'!$K$5:$K$204,"[Codex补充]")</x:f>
        <x:v>0</x:v>
      </x:c>
      <x:c r="F6" s="29" t="str">
        <x:v>系统2/5</x:v>
      </x:c>
      <x:c r="G6" s="29" t="str">
        <x:v>枪身、子弹、配件、数值、价格和产出</x:v>
      </x:c>
      <x:c r="H6" s="29" t="str">
        <x:v>枪型定义与WeaponInstance分离；实例/命运槽/装配随枪已验收，逐条专属表现待QA</x:v>
      </x:c>
    </x:row>
    <x:row r="7" ht="46" customHeight="1">
      <x:c r="A7" s="29" t="str">
        <x:v>命运卡</x:v>
      </x:c>
      <x:c r="B7" s="29" t="n">
        <x:v>48</x:v>
      </x:c>
      <x:c r="C7" s="34" t="n">
        <x:v>48</x:v>
      </x:c>
      <x:c r="D7" s="35" t="n">
        <x:f>COUNTIF('命运卡'!$L$5:$L$204,"[用户设计]")</x:f>
        <x:v>0</x:v>
      </x:c>
      <x:c r="E7" s="36" t="n">
        <x:f>COUNTIF('命运卡'!$L$5:$L$204,"[Codex补充]")</x:f>
        <x:v>0</x:v>
      </x:c>
      <x:c r="F7" s="29" t="str">
        <x:v>系统2/6</x:v>
      </x:c>
      <x:c r="G7" s="29" t="str">
        <x:v>48张卡片功能、参数、天体专名和背景</x:v>
      </x:c>
      <x:c r="H7" s="29" t="str">
        <x:v>三作用域22/12/14张：★星星/☾月亮/☀太阳；20张新增角色/世界牌已进入正式卡池并通过结算与UI验收</x:v>
      </x:c>
    </x:row>
    <x:row r="8" ht="46" customHeight="1">
      <x:c r="A8" s="29" t="str">
        <x:v>怪物与Boss</x:v>
      </x:c>
      <x:c r="B8" s="29" t="n">
        <x:f>COUNTA('怪物与Boss'!$A$5:$A$204)</x:f>
        <x:v>7</x:v>
      </x:c>
      <x:c r="C8" s="34" t="n">
        <x:f>COUNTIF('怪物与Boss'!$L$5:$L$204,"[已实装]")</x:f>
        <x:v>7</x:v>
      </x:c>
      <x:c r="D8" s="35" t="n">
        <x:f>COUNTIF('怪物与Boss'!$L$5:$L$204,"[用户设计]")</x:f>
        <x:v>0</x:v>
      </x:c>
      <x:c r="E8" s="36" t="n">
        <x:f>COUNTIF('怪物与Boss'!$L$5:$L$204,"[Codex补充]")</x:f>
        <x:v>0</x:v>
      </x:c>
      <x:c r="F8" s="29" t="str">
        <x:v>系统3/4</x:v>
      </x:c>
      <x:c r="G8" s="29" t="str">
        <x:v>正式3D敌人基线、技能与刷新</x:v>
      </x:c>
      <x:c r="H8" s="29" t="str">
        <x:v>不要混入旧2D生命基线</x:v>
      </x:c>
    </x:row>
    <x:row r="9" ht="46" customHeight="1">
      <x:c r="A9" s="29" t="str">
        <x:v>精英怪</x:v>
      </x:c>
      <x:c r="B9" s="29" t="n">
        <x:f>COUNTA('精英怪'!$A$5:$A$204)</x:f>
        <x:v>12</x:v>
      </x:c>
      <x:c r="C9" s="34" t="n">
        <x:f>COUNTIF('精英怪'!$K$5:$K$204,"[已实装]")</x:f>
        <x:v>0</x:v>
      </x:c>
      <x:c r="D9" s="35" t="n">
        <x:f>COUNTIF('精英怪'!$K$5:$K$204,"[用户设计]")</x:f>
        <x:v>12</x:v>
      </x:c>
      <x:c r="E9" s="36" t="n">
        <x:f>COUNTIF('精英怪'!$K$5:$K$204,"[Codex补充]")</x:f>
        <x:v>0</x:v>
      </x:c>
      <x:c r="F9" s="29" t="str">
        <x:v>系统4/7</x:v>
      </x:c>
      <x:c r="G9" s="29" t="str">
        <x:v>12只唯一精英定义</x:v>
      </x:c>
      <x:c r="H9" s="29" t="str">
        <x:v>K列统计名册来源；L列标具体内容来源</x:v>
      </x:c>
    </x:row>
    <x:row r="10" ht="46" customHeight="1">
      <x:c r="A10" s="29" t="str">
        <x:v>掉落物品</x:v>
      </x:c>
      <x:c r="B10" s="29" t="n">
        <x:f>COUNTA('掉落物品'!$A$5:$A$204)</x:f>
        <x:v>33</x:v>
      </x:c>
      <x:c r="C10" s="34" t="n">
        <x:f>COUNTIF('掉落物品'!$L$5:$L$204,"[已实装]")</x:f>
        <x:v>32</x:v>
      </x:c>
      <x:c r="D10" s="35" t="n">
        <x:f>COUNTIF('掉落物品'!$L$5:$L$204,"[用户设计]")</x:f>
        <x:v>1</x:v>
      </x:c>
      <x:c r="E10" s="36" t="n">
        <x:f>COUNTIF('掉落物品'!$L$5:$L$204,"[Codex补充]")</x:f>
        <x:v>0</x:v>
      </x:c>
      <x:c r="F10" s="29" t="str">
        <x:v>系统2/3/5/7</x:v>
      </x:c>
      <x:c r="G10" s="29" t="str">
        <x:v>物品、价格、稀有度和掉落池</x:v>
      </x:c>
      <x:c r="H10" s="29" t="str">
        <x:v>武器成品必须携带实例ID与完整构筑快照</x:v>
      </x:c>
    </x:row>
    <x:row r="12">
      <x:c r="A12" s="30" t="str">
        <x:v>七大系统与文档定位</x:v>
      </x:c>
      <x:c r="B12" s="30"/>
      <x:c r="C12" s="30"/>
      <x:c r="D12" s="30"/>
      <x:c r="E12" s="30"/>
      <x:c r="F12" s="30"/>
      <x:c r="G12" s="30"/>
      <x:c r="H12" s="30"/>
    </x:row>
    <x:row r="13" ht="34" customHeight="1">
      <x:c r="A13" s="12" t="str">
        <x:v>编号</x:v>
      </x:c>
      <x:c r="B13" s="12" t="str">
        <x:v>核心系统</x:v>
      </x:c>
      <x:c r="C13" s="12" t="str">
        <x:v>主内容表</x:v>
      </x:c>
      <x:c r="D13" s="12" t="str">
        <x:v>设计状态</x:v>
      </x:c>
      <x:c r="E13" s="12" t="str">
        <x:v>实现状态</x:v>
      </x:c>
      <x:c r="F13" s="12" t="str">
        <x:v>P0焦点</x:v>
      </x:c>
      <x:c r="G13" s="12" t="str">
        <x:v>主施工文档</x:v>
      </x:c>
      <x:c r="H13" s="12" t="str">
        <x:v>备注</x:v>
      </x:c>
    </x:row>
    <x:row r="14" ht="48" customHeight="1">
      <x:c r="A14" s="29" t="n">
        <x:v>1</x:v>
      </x:c>
      <x:c r="B14" s="29" t="str">
        <x:v>玩家状态机与操作</x:v>
      </x:c>
      <x:c r="C14" s="29" t="str">
        <x:v>—</x:v>
      </x:c>
      <x:c r="D14" s="29" t="str">
        <x:v>已冻结</x:v>
      </x:c>
      <x:c r="E14" s="29" t="str">
        <x:v>正式3D较完整</x:v>
      </x:c>
      <x:c r="F14" s="29" t="str">
        <x:v>交互仲裁/状态诊断</x:v>
      </x:c>
      <x:c r="G14" s="29" t="str">
        <x:v>03_技术施工_玩家与操作.md</x:v>
      </x:c>
      <x:c r="H14" s="29" t="str">
        <x:v>视觉根与玩法根分离</x:v>
      </x:c>
    </x:row>
    <x:row r="15" ht="48" customHeight="1">
      <x:c r="A15" s="29" t="n">
        <x:v>2</x:v>
      </x:c>
      <x:c r="B15" s="29" t="str">
        <x:v>战斗/武器/子弹/命运卡</x:v>
      </x:c>
      <x:c r="C15" s="29" t="str">
        <x:v>武器/命运卡</x:v>
      </x:c>
      <x:c r="D15" s="29" t="str">
        <x:v>已冻结</x:v>
      </x:c>
      <x:c r="E15" s="29" t="str">
        <x:v>正式3D核心闭环已验收</x:v>
      </x:c>
      <x:c r="F15" s="29" t="str">
        <x:v>逐卡专属表现QA/高级比较</x:v>
      </x:c>
      <x:c r="G15" s="29" t="str">
        <x:v>04_技术施工_战斗与局内成长.md</x:v>
      </x:c>
      <x:c r="H15" s="29" t="str">
        <x:v>构筑随具体枪械实例；唯一ID、8槽、作用域、换装、保险、撤离与存档已实装</x:v>
      </x:c>
    </x:row>
    <x:row r="16" ht="48" customHeight="1">
      <x:c r="A16" s="29" t="n">
        <x:v>3</x:v>
      </x:c>
      <x:c r="B16" s="29" t="str">
        <x:v>关卡生成与爬楼</x:v>
      </x:c>
      <x:c r="C16" s="29" t="str">
        <x:v>怪物/掉落</x:v>
      </x:c>
      <x:c r="D16" s="29" t="str">
        <x:v>Boss路线新设定已冻结</x:v>
      </x:c>
      <x:c r="E16" s="29" t="str">
        <x:v>当前生成可用</x:v>
      </x:c>
      <x:c r="F16" s="29" t="str">
        <x:v>专钥匙/专门门/Boss后电梯</x:v>
      </x:c>
      <x:c r="G16" s="29" t="str">
        <x:v>05_技术施工_关卡生成与爬楼.md</x:v>
      </x:c>
      <x:c r="H16" s="29" t="str">
        <x:v>整层一次冻结</x:v>
      </x:c>
    </x:row>
    <x:row r="17" ht="48" customHeight="1">
      <x:c r="A17" s="29" t="n">
        <x:v>4</x:v>
      </x:c>
      <x:c r="B17" s="29" t="str">
        <x:v>怪物/精英/Boss</x:v>
      </x:c>
      <x:c r="C17" s="29" t="str">
        <x:v>怪物/精英怪</x:v>
      </x:c>
      <x:c r="D17" s="29" t="str">
        <x:v>12精英已冻结</x:v>
      </x:c>
      <x:c r="E17" s="29" t="str">
        <x:v>普通怪正式；精英原型</x:v>
      </x:c>
      <x:c r="F17" s="29" t="str">
        <x:v>正式3D唯一名册</x:v>
      </x:c>
      <x:c r="G17" s="29" t="str">
        <x:v>06_技术施工_怪物精英与Boss.md</x:v>
      </x:c>
      <x:c r="H17" s="29" t="str">
        <x:v>同名只能一只</x:v>
      </x:c>
    </x:row>
    <x:row r="18" ht="48" customHeight="1">
      <x:c r="A18" s="29" t="n">
        <x:v>5</x:v>
      </x:c>
      <x:c r="B18" s="29" t="str">
        <x:v>基地设施</x:v>
      </x:c>
      <x:c r="C18" s="29" t="str">
        <x:v>多表引用</x:v>
      </x:c>
      <x:c r="D18" s="29" t="str">
        <x:v>已冻结</x:v>
      </x:c>
      <x:c r="E18" s="29" t="str">
        <x:v>八设施可用</x:v>
      </x:c>
      <x:c r="F18" s="29" t="str">
        <x:v>精英档案/设施服务化</x:v>
      </x:c>
      <x:c r="G18" s="29" t="str">
        <x:v>07_技术施工_基地设施.md</x:v>
      </x:c>
      <x:c r="H18" s="29" t="str">
        <x:v>UI不直接写存档</x:v>
      </x:c>
    </x:row>
    <x:row r="19" ht="48" customHeight="1">
      <x:c r="A19" s="29" t="n">
        <x:v>6</x:v>
      </x:c>
      <x:c r="B19" s="29" t="str">
        <x:v>剧情触发</x:v>
      </x:c>
      <x:c r="C19" s="29" t="str">
        <x:v>后续剧情表</x:v>
      </x:c>
      <x:c r="D19" s="29" t="str">
        <x:v>系统边界已冻结</x:v>
      </x:c>
      <x:c r="E19" s="29" t="str">
        <x:v>基础NPC/事件</x:v>
      </x:c>
      <x:c r="F19" s="29" t="str">
        <x:v>独立触发服务</x:v>
      </x:c>
      <x:c r="G19" s="29" t="str">
        <x:v>08_技术施工_剧情触发.md</x:v>
      </x:c>
      <x:c r="H19" s="29" t="str">
        <x:v>不擅自补写主线</x:v>
      </x:c>
    </x:row>
    <x:row r="20" ht="48" customHeight="1">
      <x:c r="A20" s="29" t="n">
        <x:v>7</x:v>
      </x:c>
      <x:c r="B20" s="29" t="str">
        <x:v>存档/结算/复活</x:v>
      </x:c>
      <x:c r="C20" s="29" t="str">
        <x:v>精英/掉落</x:v>
      </x:c>
      <x:c r="D20" s="29" t="str">
        <x:v>边界已冻结</x:v>
      </x:c>
      <x:c r="E20" s="29" t="str">
        <x:v>基地/结算与武器实例迁移可用</x:v>
      </x:c>
      <x:c r="F20" s="29" t="str">
        <x:v>结算幂等/复活策略</x:v>
      </x:c>
      <x:c r="G20" s="29" t="str">
        <x:v>09_技术施工_存档结算与复活.md</x:v>
      </x:c>
      <x:c r="H20" s="29" t="str">
        <x:v>复活政策尚未冻结</x:v>
      </x:c>
    </x:row>
    <x:row r="22">
      <x:c r="A22" s="33" t="str">
        <x:v>发布前检查：稳定ID唯一｜跨表引用存在｜实现状态真实｜数据库无公式错误｜变更同步主文档、施工文档、完成度清单与资产台账</x:v>
      </x:c>
      <x:c r="B22" s="33"/>
      <x:c r="C22" s="33"/>
      <x:c r="D22" s="33"/>
      <x:c r="E22" s="33"/>
      <x:c r="F22" s="33"/>
      <x:c r="G22" s="33"/>
      <x:c r="H22" s="33"/>
    </x:row>
  </x:sheetData>
  <x:mergeCells>
    <x:mergeCell ref="A1:H1"/>
    <x:mergeCell ref="A2:H2"/>
    <x:mergeCell ref="A3:H3"/>
    <x:mergeCell ref="A12:H12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18" hidden="0" customWidth="1"/>
    <x:col min="4" max="4" width="10" hidden="0" customWidth="1"/>
    <x:col min="5" max="5" width="10" hidden="0" customWidth="1"/>
    <x:col min="6" max="6" width="10" hidden="0" customWidth="1"/>
    <x:col min="7" max="7" width="34" hidden="0" customWidth="1"/>
    <x:col min="8" max="8" width="32" hidden="0" customWidth="1"/>
    <x:col min="9" max="9" width="26" hidden="0" customWidth="1"/>
    <x:col min="10" max="10" width="52" hidden="0" customWidth="1"/>
    <x:col min="11" max="11" width="14" hidden="0" customWidth="1"/>
    <x:col min="12" max="12" width="28" hidden="0" customWidth="1"/>
    <x:col min="13" max="13" width="34" hidden="0" customWidth="1"/>
    <x:col min="14" max="14" width="40" hidden="0" customWidth="1"/>
    <x:col min="15" max="15" width="13" hidden="0" customWidth="1"/>
    <x:col min="16" max="16" width="39" hidden="0" customWidth="1"/>
    <x:col min="17" max="17" width="30" hidden="0" customWidth="1"/>
    <x:col min="18" max="18" width="42" hidden="0" customWidth="1"/>
    <x:col min="19" max="19" width="42" hidden="0" customWidth="1"/>
    <x:col min="20" max="20" width="24" hidden="0" customWidth="1"/>
  </x:cols>
  <x:sheetData>
    <x:row r="1" ht="32" customHeight="1">
      <x:c r="A1" s="3" t="str">
        <x:v>ShellStorm2 游戏内容数据库｜武器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0" customHeight="1">
      <x:c r="A2" s="7" t="str">
        <x:v>正式注册：7枪身、8子弹、6配件。独立WeaponInstance与普通枪8命运槽已实装；实例/槽位/装配基础反馈已验收，逐条专属表现继续QA。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</x:row>
    <x:row r="4" ht="36" customHeight="1">
      <x:c r="A4" s="13" t="str">
        <x:v>内容ID</x:v>
      </x:c>
      <x:c r="B4" s="13" t="str">
        <x:v>类别</x:v>
      </x:c>
      <x:c r="C4" s="13" t="str">
        <x:v>名称</x:v>
      </x:c>
      <x:c r="D4" s="13" t="str">
        <x:v>蓝图Tier</x:v>
      </x:c>
      <x:c r="E4" s="13" t="str">
        <x:v>稀有度</x:v>
      </x:c>
      <x:c r="F4" s="13" t="str">
        <x:v>价格</x:v>
      </x:c>
      <x:c r="G4" s="13" t="str">
        <x:v>核心数值</x:v>
      </x:c>
      <x:c r="H4" s="13" t="str">
        <x:v>功能</x:v>
      </x:c>
      <x:c r="I4" s="13" t="str">
        <x:v>特殊效果/标签</x:v>
      </x:c>
      <x:c r="J4" s="13" t="str">
        <x:v>产出与掉落</x:v>
      </x:c>
      <x:c r="K4" s="13" t="str">
        <x:v>状态来源</x:v>
      </x:c>
      <x:c r="L4" s="13" t="str">
        <x:v>实现状态</x:v>
      </x:c>
      <x:c r="M4" s="13" t="str">
        <x:v>事实源</x:v>
      </x:c>
      <x:c r="N4" s="13" t="str">
        <x:v>备注</x:v>
      </x:c>
      <x:c r="O4" s="48" t="str">
        <x:v>基础命运槽</x:v>
      </x:c>
      <x:c r="P4" s="48" t="str">
        <x:v>实例/装配规则</x:v>
      </x:c>
      <x:c r="Q4" s="48" t="str">
        <x:v>新设计实现状态</x:v>
      </x:c>
      <x:c r="R4" s="48" t="str">
        <x:v>功能UI提示</x:v>
      </x:c>
      <x:c r="S4" s="48" t="str">
        <x:v>武器/战斗表现</x:v>
      </x:c>
      <x:c r="T4" s="48" t="str">
        <x:v>表现实现状态</x:v>
      </x:c>
    </x:row>
    <x:row r="5" ht="54" customHeight="1">
      <x:c r="A5" s="17" t="str">
        <x:v>attach_big_mag</x:v>
      </x:c>
      <x:c r="B5" s="17" t="str">
        <x:v>配件</x:v>
      </x:c>
      <x:c r="C5" s="17" t="str">
        <x:v>肉质弹匣</x:v>
      </x:c>
      <x:c r="D5" s="17" t="n">
        <x:v>1</x:v>
      </x:c>
      <x:c r="E5" s="17" t="str">
        <x:v>uncommon</x:v>
      </x:c>
      <x:c r="F5" s="17" t="n">
        <x:v>80</x:v>
      </x:c>
      <x:c r="G5" s="17" t="str">
        <x:v>magazine_size=15</x:v>
      </x:c>
      <x:c r="H5" s="17" t="str">
        <x:v>装配后提供magazine_size=15；修饰方向：heal、capacity</x:v>
      </x:c>
      <x:c r="I5" s="17" t="str">
        <x:v>标签：magazine、heal、capacity</x:v>
      </x:c>
      <x:c r="J5" s="17" t="str">
        <x:v>combat_floor_1×2.5；combat_floor_2×3；loot_abyss×2；loot_floor_3_4×2；loot_floor_5×2.5；scavenge_floor_3×2；scavenge_floor_4×2.5；scavenge_floor_5×2</x:v>
      </x:c>
      <x:c r="K5" s="18" t="str">
        <x:v>[已实装]</x:v>
      </x:c>
      <x:c r="L5" s="17" t="str">
        <x:v>正式注册；具体行为与表现仍需逐项QA</x:v>
      </x:c>
      <x:c r="M5" s="17" t="str">
        <x:v>src/base/BlueprintRegistry.gd；src/base/ItemRegistry.gd</x:v>
      </x:c>
      <x:c r="N5" s="17" t="str"/>
      <x:c r="O5" s="46"/>
      <x:c r="P5" s="45" t="str">
        <x:v>可拆卸、可替换、可交易；不占命运槽；安装结果写入目标weapon_instance_id</x:v>
      </x:c>
      <x:c r="Q5" s="47" t="str">
        <x:v>[已实装] 可换装、不占命运槽，并随目标WeaponInstance完整保存/恢复</x:v>
      </x:c>
      <x:c r="R5" s="45" t="str">
        <x:v>弹匣槽显示容量/换弹差值与治疗触发说明；安装前后对比，注明可拆卸、不占命运槽</x:v>
      </x:c>
      <x:c r="S5" s="45" t="str">
        <x:v>更大弹匣实体与换弹动作同步；治疗触发时弹匣图标和绿色脉冲同时出现</x:v>
      </x:c>
      <x:c r="T5" s="47" t="str">
        <x:v>[部分完成] 实例尾号、槽位、已装配件与命运刻印已可视；逐条专属VFX/音频仍待QA</x:v>
      </x:c>
    </x:row>
    <x:row r="6" ht="54" customHeight="1">
      <x:c r="A6" s="17" t="str">
        <x:v>attach_copy_sticker</x:v>
      </x:c>
      <x:c r="B6" s="17" t="str">
        <x:v>配件</x:v>
      </x:c>
      <x:c r="C6" s="17" t="str">
        <x:v>复制贴纸</x:v>
      </x:c>
      <x:c r="D6" s="17" t="n">
        <x:v>2</x:v>
      </x:c>
      <x:c r="E6" s="17" t="str">
        <x:v>epic</x:v>
      </x:c>
      <x:c r="F6" s="17" t="n">
        <x:v>200</x:v>
      </x:c>
      <x:c r="G6" s="17" t="str">
        <x:v>copy_chance=0.25</x:v>
      </x:c>
      <x:c r="H6" s="17" t="str">
        <x:v>装配后提供copy_chance=0.25；修饰方向：copy、duplicate</x:v>
      </x:c>
      <x:c r="I6" s="17" t="str">
        <x:v>标签：mutator、copy、duplicate</x:v>
      </x:c>
      <x:c r="J6" s="17" t="str">
        <x:v>boss_floor_1×3；boss_floor_2×4；combat_floor_3×1；combat_floor_4×1.5；combat_floor_5×2；loot_abyss×2；scavenge_floor_4×2；scavenge_floor_5×3</x:v>
      </x:c>
      <x:c r="K6" s="18" t="str">
        <x:v>[已实装]</x:v>
      </x:c>
      <x:c r="L6" s="17" t="str">
        <x:v>正式注册；具体行为与表现仍需逐项QA</x:v>
      </x:c>
      <x:c r="M6" s="17" t="str">
        <x:v>src/base/BlueprintRegistry.gd；src/base/ItemRegistry.gd</x:v>
      </x:c>
      <x:c r="N6" s="17" t="str"/>
      <x:c r="O6" s="46"/>
      <x:c r="P6" s="45" t="str">
        <x:v>可拆卸、可替换、可交易；不占命运槽；安装结果写入目标weapon_instance_id</x:v>
      </x:c>
      <x:c r="Q6" s="47" t="str">
        <x:v>[已实装] 可换装、不占命运槽，并随目标WeaponInstance完整保存/恢复</x:v>
      </x:c>
      <x:c r="R6" s="45" t="str">
        <x:v>外接槽显示复制概率、可复制对象和触发条件；触发链显示来源与限制</x:v>
      </x:c>
      <x:c r="S6" s="45" t="str">
        <x:v>枪身出现实体贴纸；触发复制时产生对象残影、专属图标脉冲和短音效</x:v>
      </x:c>
      <x:c r="T6" s="47" t="str">
        <x:v>[部分完成] 实例尾号、槽位、已装配件与命运刻印已可视；逐条专属VFX/音频仍待QA</x:v>
      </x:c>
    </x:row>
    <x:row r="7" ht="54" customHeight="1">
      <x:c r="A7" s="17" t="str">
        <x:v>attach_fan</x:v>
      </x:c>
      <x:c r="B7" s="17" t="str">
        <x:v>配件</x:v>
      </x:c>
      <x:c r="C7" s="17" t="str">
        <x:v>小风扇</x:v>
      </x:c>
      <x:c r="D7" s="17" t="n">
        <x:v>2</x:v>
      </x:c>
      <x:c r="E7" s="17" t="str">
        <x:v>epic</x:v>
      </x:c>
      <x:c r="F7" s="17" t="n">
        <x:v>150</x:v>
      </x:c>
      <x:c r="G7" s="17" t="str">
        <x:v>pull_strength=0.5</x:v>
      </x:c>
      <x:c r="H7" s="17" t="str">
        <x:v>装配后提供pull_strength=0.5；修饰方向：pull、wind</x:v>
      </x:c>
      <x:c r="I7" s="17" t="str">
        <x:v>标签：external、pull、wind</x:v>
      </x:c>
      <x:c r="J7" s="17" t="str">
        <x:v>boss_floor_1×3；combat_floor_3×1.5；combat_floor_4×2；combat_floor_5×2.5；loot_abyss×2.5；loot_floor_5×2；scavenge_floor_4×2；scavenge_floor_5×2.5</x:v>
      </x:c>
      <x:c r="K7" s="18" t="str">
        <x:v>[已实装]</x:v>
      </x:c>
      <x:c r="L7" s="17" t="str">
        <x:v>正式注册；具体行为与表现仍需逐项QA</x:v>
      </x:c>
      <x:c r="M7" s="17" t="str">
        <x:v>src/base/BlueprintRegistry.gd；src/base/ItemRegistry.gd</x:v>
      </x:c>
      <x:c r="N7" s="17" t="str"/>
      <x:c r="O7" s="46"/>
      <x:c r="P7" s="45" t="str">
        <x:v>可拆卸、可替换、可交易；不占命运槽；安装结果写入目标weapon_instance_id</x:v>
      </x:c>
      <x:c r="Q7" s="47" t="str">
        <x:v>[已实装] 可换装、不占命运槽，并随目标WeaponInstance完整保存/恢复</x:v>
      </x:c>
      <x:c r="R7" s="45" t="str">
        <x:v>外接槽显示拉力强度、作用对象和范围；战斗HUD保留吸附行为图标</x:v>
      </x:c>
      <x:c r="S7" s="45" t="str">
        <x:v>小风扇叶片持续转动；受力对象显示朝向流线，触发点播放吸附短音</x:v>
      </x:c>
      <x:c r="T7" s="47" t="str">
        <x:v>[部分完成] 实例尾号、槽位、已装配件与命运刻印已可视；逐条专属VFX/音频仍待QA</x:v>
      </x:c>
    </x:row>
    <x:row r="8" ht="54" customHeight="1">
      <x:c r="A8" s="17" t="str">
        <x:v>attach_rubber_stock</x:v>
      </x:c>
      <x:c r="B8" s="17" t="str">
        <x:v>配件</x:v>
      </x:c>
      <x:c r="C8" s="17" t="str">
        <x:v>橡皮枪托</x:v>
      </x:c>
      <x:c r="D8" s="17" t="n">
        <x:v>0</x:v>
      </x:c>
      <x:c r="E8" s="17" t="str">
        <x:v>common</x:v>
      </x:c>
      <x:c r="F8" s="17" t="n">
        <x:v>45</x:v>
      </x:c>
      <x:c r="G8" s="17" t="str">
        <x:v>spread=-0.04</x:v>
      </x:c>
      <x:c r="H8" s="17" t="str">
        <x:v>装配后提供spread=-0.04；修饰方向：bounce</x:v>
      </x:c>
      <x:c r="I8" s="17" t="str">
        <x:v>标签：stock、bounce</x:v>
      </x:c>
      <x:c r="J8" s="17" t="str">
        <x:v>combat_floor_1×2.5；combat_floor_2×2；loot_abyss×1.5；loot_floor_1_2×3；loot_floor_3_4×2.5；loot_floor_5×2；scavenge_floor_1×3；scavenge_floor_2×2.5；scavenge_floor_3×2；scavenge_floor_4×1.5；spawn_starter×3</x:v>
      </x:c>
      <x:c r="K8" s="18" t="str">
        <x:v>[已实装]</x:v>
      </x:c>
      <x:c r="L8" s="17" t="str">
        <x:v>正式注册；具体行为与表现仍需逐项QA</x:v>
      </x:c>
      <x:c r="M8" s="17" t="str">
        <x:v>src/base/BlueprintRegistry.gd；src/base/ItemRegistry.gd</x:v>
      </x:c>
      <x:c r="N8" s="17" t="str"/>
      <x:c r="O8" s="46"/>
      <x:c r="P8" s="45" t="str">
        <x:v>可拆卸、可替换、可交易；不占命运槽；安装结果写入目标weapon_instance_id</x:v>
      </x:c>
      <x:c r="Q8" s="47" t="str">
        <x:v>[已实装] 可换装、不占命运槽，并随目标WeaponInstance完整保存/恢复</x:v>
      </x:c>
      <x:c r="R8" s="45" t="str">
        <x:v>枪托槽显示扩散变化和弹跳行为；提供准星散布前后对比</x:v>
      </x:c>
      <x:c r="S8" s="45" t="str">
        <x:v>橡胶枪托实体挂接；后坐/准星收束可见，弹跳命中显示方向折线</x:v>
      </x:c>
      <x:c r="T8" s="47" t="str">
        <x:v>[部分完成] 实例尾号、槽位、已装配件与命运刻印已可视；逐条专属VFX/音频仍待QA</x:v>
      </x:c>
    </x:row>
    <x:row r="9" ht="54" customHeight="1">
      <x:c r="A9" s="17" t="str">
        <x:v>attach_scope</x:v>
      </x:c>
      <x:c r="B9" s="17" t="str">
        <x:v>配件</x:v>
      </x:c>
      <x:c r="C9" s="17" t="str">
        <x:v>放大镜瞄具</x:v>
      </x:c>
      <x:c r="D9" s="17" t="n">
        <x:v>1</x:v>
      </x:c>
      <x:c r="E9" s="17" t="str">
        <x:v>rare</x:v>
      </x:c>
      <x:c r="F9" s="17" t="n">
        <x:v>100</x:v>
      </x:c>
      <x:c r="G9" s="17" t="str">
        <x:v>damage=5；spread=-0.05</x:v>
      </x:c>
      <x:c r="H9" s="17" t="str">
        <x:v>装配后提供damage=5；spread=-0.05；修饰方向：crit、accuracy</x:v>
      </x:c>
      <x:c r="I9" s="17" t="str">
        <x:v>标签：scope、crit、accuracy</x:v>
      </x:c>
      <x:c r="J9" s="17" t="str">
        <x:v>combat_floor_2×1.5；combat_floor_3×2.5；loot_abyss×3；loot_floor_3_4×2；loot_floor_5×2.5；scavenge_floor_3×2；scavenge_floor_4×2.5；scavenge_floor_5×3</x:v>
      </x:c>
      <x:c r="K9" s="18" t="str">
        <x:v>[已实装]</x:v>
      </x:c>
      <x:c r="L9" s="17" t="str">
        <x:v>正式注册；具体行为与表现仍需逐项QA</x:v>
      </x:c>
      <x:c r="M9" s="17" t="str">
        <x:v>src/base/BlueprintRegistry.gd；src/base/ItemRegistry.gd</x:v>
      </x:c>
      <x:c r="N9" s="17" t="str"/>
      <x:c r="O9" s="46"/>
      <x:c r="P9" s="45" t="str">
        <x:v>可拆卸、可替换、可交易；不占命运槽；安装结果写入目标weapon_instance_id</x:v>
      </x:c>
      <x:c r="Q9" s="47" t="str">
        <x:v>[已实装] 可换装、不占命运槽，并随目标WeaponInstance完整保存/恢复</x:v>
      </x:c>
      <x:c r="R9" s="45" t="str">
        <x:v>瞄具槽显示伤害、扩散/暴击来源和瞄准差值；注明兼容枪型</x:v>
      </x:c>
      <x:c r="S9" s="45" t="str">
        <x:v>实际瞄具模型、瞄准姿态与准星同步变化；暴击命中使用高亮反馈</x:v>
      </x:c>
      <x:c r="T9" s="47" t="str">
        <x:v>[部分完成] 实例尾号、槽位、已装配件与命运刻印已可视；逐条专属VFX/音频仍待QA</x:v>
      </x:c>
    </x:row>
    <x:row r="10" ht="54" customHeight="1">
      <x:c r="A10" s="17" t="str">
        <x:v>attach_triple_muzzle</x:v>
      </x:c>
      <x:c r="B10" s="17" t="str">
        <x:v>配件</x:v>
      </x:c>
      <x:c r="C10" s="17" t="str">
        <x:v>三叉枪口</x:v>
      </x:c>
      <x:c r="D10" s="17" t="n">
        <x:v>0</x:v>
      </x:c>
      <x:c r="E10" s="17" t="str">
        <x:v>uncommon</x:v>
      </x:c>
      <x:c r="F10" s="17" t="n">
        <x:v>70</x:v>
      </x:c>
      <x:c r="G10" s="17" t="str">
        <x:v>bullet_count=2；spread=0.08</x:v>
      </x:c>
      <x:c r="H10" s="17" t="str">
        <x:v>装配后提供bullet_count=2；spread=0.08；修饰方向：multi_shot</x:v>
      </x:c>
      <x:c r="I10" s="17" t="str">
        <x:v>标签：muzzle、multi_shot</x:v>
      </x:c>
      <x:c r="J10" s="17" t="str">
        <x:v>combat_floor_1×2；combat_floor_2×1.5；loot_abyss×1；loot_floor_1_2×2.5；loot_floor_3_4×2；loot_floor_5×1.5；scavenge_floor_1×2.5；scavenge_floor_2×2；scavenge_floor_3×1.5；scavenge_floor_4×1；spawn_starter×2.5</x:v>
      </x:c>
      <x:c r="K10" s="18" t="str">
        <x:v>[已实装]</x:v>
      </x:c>
      <x:c r="L10" s="17" t="str">
        <x:v>正式注册；具体行为与表现仍需逐项QA</x:v>
      </x:c>
      <x:c r="M10" s="17" t="str">
        <x:v>src/base/BlueprintRegistry.gd；src/base/ItemRegistry.gd</x:v>
      </x:c>
      <x:c r="N10" s="17" t="str"/>
      <x:c r="O10" s="46"/>
      <x:c r="P10" s="45" t="str">
        <x:v>可拆卸、可替换、可交易；不占命运槽；安装结果写入目标weapon_instance_id</x:v>
      </x:c>
      <x:c r="Q10" s="47" t="str">
        <x:v>[已实装] 可换装、不占命运槽，并随目标WeaponInstance完整保存/恢复</x:v>
      </x:c>
      <x:c r="R10" s="45" t="str">
        <x:v>枪口槽显示弹丸数与扩散差值，并预览弹道扇形</x:v>
      </x:c>
      <x:c r="S10" s="45" t="str">
        <x:v>三叉枪口实体；开火时多枪口火焰、多弹道和声层同步</x:v>
      </x:c>
      <x:c r="T10" s="47" t="str">
        <x:v>[部分完成] 实例尾号、槽位、已装配件与命运刻印已可视；逐条专属VFX/音频仍待QA</x:v>
      </x:c>
    </x:row>
    <x:row r="11" ht="54" customHeight="1">
      <x:c r="A11" s="17" t="str">
        <x:v>mod_bullet_balloon</x:v>
      </x:c>
      <x:c r="B11" s="17" t="str">
        <x:v>子弹</x:v>
      </x:c>
      <x:c r="C11" s="17" t="str">
        <x:v>气球弹模块</x:v>
      </x:c>
      <x:c r="D11" s="17" t="n">
        <x:v>1</x:v>
      </x:c>
      <x:c r="E11" s="17" t="str">
        <x:v>rare</x:v>
      </x:c>
      <x:c r="F11" s="17" t="n">
        <x:v>90</x:v>
      </x:c>
      <x:c r="G11" s="17" t="str">
        <x:v>bullet_damage=18；bullet_speed=0.5</x:v>
      </x:c>
      <x:c r="H11" s="17" t="str">
        <x:v>提供bullet_damage=18；bullet_speed=0.5；弹道/命中行为：balloon、slow、big</x:v>
      </x:c>
      <x:c r="I11" s="17" t="str">
        <x:v>标签：bullet、balloon、slow、big</x:v>
      </x:c>
      <x:c r="J11" s="17" t="str">
        <x:v>combat_floor_3×1；combat_floor_4×1.5；loot_abyss×2；loot_floor_3_4×1.5；loot_floor_5×2；scavenge_floor_3×1.5；scavenge_floor_4×2；scavenge_floor_5×2</x:v>
      </x:c>
      <x:c r="K11" s="18" t="str">
        <x:v>[已实装]</x:v>
      </x:c>
      <x:c r="L11" s="17" t="str">
        <x:v>正式注册；具体行为与表现仍需逐项QA</x:v>
      </x:c>
      <x:c r="M11" s="17" t="str">
        <x:v>src/base/BlueprintRegistry.gd；src/base/ItemRegistry.gd</x:v>
      </x:c>
      <x:c r="N11" s="17" t="str"/>
      <x:c r="O11" s="46"/>
      <x:c r="P11" s="45" t="str">
        <x:v>可更换子弹模块；不占命运槽；弹道配置写入目标weapon_instance_id</x:v>
      </x:c>
      <x:c r="Q11" s="47" t="str">
        <x:v>[已实装] 可换装、不占命运槽，并随目标WeaponInstance完整保存/恢复</x:v>
      </x:c>
      <x:c r="R11" s="45" t="str">
        <x:v>子弹页显示体积、伤害、速度差值和大型弹体标签</x:v>
      </x:c>
      <x:c r="S11" s="45" t="str">
        <x:v>膨胀弹体、较重尾迹与命中体积一致，不能只改伤害数值</x:v>
      </x:c>
      <x:c r="T11" s="47" t="str">
        <x:v>[部分完成] 实例尾号、槽位、已装配件与命运刻印已可视；逐条专属VFX/音频仍待QA</x:v>
      </x:c>
    </x:row>
    <x:row r="12" ht="54" customHeight="1">
      <x:c r="A12" s="17" t="str">
        <x:v>mod_bullet_blackhole</x:v>
      </x:c>
      <x:c r="B12" s="17" t="str">
        <x:v>子弹</x:v>
      </x:c>
      <x:c r="C12" s="17" t="str">
        <x:v>黑洞弹模块</x:v>
      </x:c>
      <x:c r="D12" s="17" t="n">
        <x:v>2</x:v>
      </x:c>
      <x:c r="E12" s="17" t="str">
        <x:v>epic</x:v>
      </x:c>
      <x:c r="F12" s="17" t="n">
        <x:v>180</x:v>
      </x:c>
      <x:c r="G12" s="17" t="str">
        <x:v>bullet_damage=12；bullet_speed=0.6</x:v>
      </x:c>
      <x:c r="H12" s="17" t="str">
        <x:v>提供bullet_damage=12；bullet_speed=0.6；弹道/命中行为：blackhole、pull</x:v>
      </x:c>
      <x:c r="I12" s="17" t="str">
        <x:v>标签：bullet、blackhole、pull</x:v>
      </x:c>
      <x:c r="J12" s="17" t="str">
        <x:v>boss_floor_1×3；boss_floor_2×4；combat_floor_4×2；combat_floor_5×3；loot_abyss×2.5；scavenge_floor_4×2.5；scavenge_floor_5×4</x:v>
      </x:c>
      <x:c r="K12" s="18" t="str">
        <x:v>[已实装]</x:v>
      </x:c>
      <x:c r="L12" s="17" t="str">
        <x:v>正式注册；具体行为与表现仍需逐项QA</x:v>
      </x:c>
      <x:c r="M12" s="17" t="str">
        <x:v>src/base/BlueprintRegistry.gd；src/base/ItemRegistry.gd</x:v>
      </x:c>
      <x:c r="N12" s="17" t="str"/>
      <x:c r="O12" s="46"/>
      <x:c r="P12" s="45" t="str">
        <x:v>可更换子弹模块；不占命运槽；弹道配置写入目标weapon_instance_id</x:v>
      </x:c>
      <x:c r="Q12" s="47" t="str">
        <x:v>[已实装] 可换装、不占命运槽，并随目标WeaponInstance完整保存/恢复</x:v>
      </x:c>
      <x:c r="R12" s="45" t="str">
        <x:v>显示伤害、速度、牵引范围/强度和受影响对象</x:v>
      </x:c>
      <x:c r="S12" s="45" t="str">
        <x:v>黑洞核心、吸入流线和范围边界清晰；命中/结束有收束反馈</x:v>
      </x:c>
      <x:c r="T12" s="47" t="str">
        <x:v>[部分完成] 实例尾号、槽位、已装配件与命运刻印已可视；逐条专属VFX/音频仍待QA</x:v>
      </x:c>
    </x:row>
    <x:row r="13" ht="54" customHeight="1">
      <x:c r="A13" s="17" t="str">
        <x:v>mod_bullet_bounce</x:v>
      </x:c>
      <x:c r="B13" s="17" t="str">
        <x:v>子弹</x:v>
      </x:c>
      <x:c r="C13" s="17" t="str">
        <x:v>回旋镖弹模块</x:v>
      </x:c>
      <x:c r="D13" s="17" t="n">
        <x:v>0</x:v>
      </x:c>
      <x:c r="E13" s="17" t="str">
        <x:v>uncommon</x:v>
      </x:c>
      <x:c r="F13" s="17" t="n">
        <x:v>60</x:v>
      </x:c>
      <x:c r="G13" s="17" t="str">
        <x:v>bullet_damage=7；bullet_speed=1.1</x:v>
      </x:c>
      <x:c r="H13" s="17" t="str">
        <x:v>提供bullet_damage=7；bullet_speed=1.1；弹道/命中行为：bounce、ricochet</x:v>
      </x:c>
      <x:c r="I13" s="17" t="str">
        <x:v>标签：bullet、bounce、ricochet</x:v>
      </x:c>
      <x:c r="J13" s="17" t="str">
        <x:v>combat_floor_1×1.5；combat_floor_2×2；loot_abyss×2；loot_floor_1_2×1.5；loot_floor_3_4×2；loot_floor_5×2.5；scavenge_floor_1×1.5；scavenge_floor_2×2；spawn_starter×1.5</x:v>
      </x:c>
      <x:c r="K13" s="18" t="str">
        <x:v>[已实装]</x:v>
      </x:c>
      <x:c r="L13" s="17" t="str">
        <x:v>正式注册；具体行为与表现仍需逐项QA</x:v>
      </x:c>
      <x:c r="M13" s="17" t="str">
        <x:v>src/base/BlueprintRegistry.gd；src/base/ItemRegistry.gd</x:v>
      </x:c>
      <x:c r="N13" s="17" t="str"/>
      <x:c r="O13" s="46"/>
      <x:c r="P13" s="45" t="str">
        <x:v>可更换子弹模块；不占命运槽；弹道配置写入目标weapon_instance_id</x:v>
      </x:c>
      <x:c r="Q13" s="47" t="str">
        <x:v>[已实装] 可换装、不占命运槽，并随目标WeaponInstance完整保存/恢复</x:v>
      </x:c>
      <x:c r="R13" s="45" t="str">
        <x:v>显示弹跳次数、可反弹表面和剩余次数</x:v>
      </x:c>
      <x:c r="S13" s="45" t="str">
        <x:v>反弹点有折线闪光与计数递减，飞行方向变化清楚可读</x:v>
      </x:c>
      <x:c r="T13" s="47" t="str">
        <x:v>[部分完成] 实例尾号、槽位、已装配件与命运刻印已可视；逐条专属VFX/音频仍待QA</x:v>
      </x:c>
    </x:row>
    <x:row r="14" ht="54" customHeight="1">
      <x:c r="A14" s="17" t="str">
        <x:v>mod_bullet_explosive</x:v>
      </x:c>
      <x:c r="B14" s="17" t="str">
        <x:v>子弹</x:v>
      </x:c>
      <x:c r="C14" s="17" t="str">
        <x:v>爆炸弹模块</x:v>
      </x:c>
      <x:c r="D14" s="17" t="n">
        <x:v>1</x:v>
      </x:c>
      <x:c r="E14" s="17" t="str">
        <x:v>rare</x:v>
      </x:c>
      <x:c r="F14" s="17" t="n">
        <x:v>100</x:v>
      </x:c>
      <x:c r="G14" s="17" t="str">
        <x:v>bullet_damage=28；bullet_speed=0.75</x:v>
      </x:c>
      <x:c r="H14" s="17" t="str">
        <x:v>提供bullet_damage=28；bullet_speed=0.75；弹道/命中行为：explosive、area</x:v>
      </x:c>
      <x:c r="I14" s="17" t="str">
        <x:v>标签：bullet、explosive、area</x:v>
      </x:c>
      <x:c r="J14" s="17" t="str">
        <x:v>combat_floor_3×1；loot_abyss×2.5；loot_floor_3_4×1.5；loot_floor_5×2；scavenge_floor_3×1.5；scavenge_floor_4×2；scavenge_floor_5×2.5</x:v>
      </x:c>
      <x:c r="K14" s="18" t="str">
        <x:v>[已实装]</x:v>
      </x:c>
      <x:c r="L14" s="17" t="str">
        <x:v>正式注册；具体行为与表现仍需逐项QA</x:v>
      </x:c>
      <x:c r="M14" s="17" t="str">
        <x:v>src/base/BlueprintRegistry.gd；src/base/ItemRegistry.gd</x:v>
      </x:c>
      <x:c r="N14" s="17" t="str"/>
      <x:c r="O14" s="46"/>
      <x:c r="P14" s="45" t="str">
        <x:v>可更换子弹模块；不占命运槽；弹道配置写入目标weapon_instance_id</x:v>
      </x:c>
      <x:c r="Q14" s="47" t="str">
        <x:v>[已实装] 可换装、不占命运槽，并随目标WeaponInstance完整保存/恢复</x:v>
      </x:c>
      <x:c r="R14" s="45" t="str">
        <x:v>显示爆炸伤害、半径和触发时机；地面预览危险圈</x:v>
      </x:c>
      <x:c r="S14" s="45" t="str">
        <x:v>弹体、尾迹、爆炸半径与伤害时点同步，低特效下保留轮廓圈</x:v>
      </x:c>
      <x:c r="T14" s="47" t="str">
        <x:v>[部分完成] 实例尾号、槽位、已装配件与命运刻印已可视；逐条专属VFX/音频仍待QA</x:v>
      </x:c>
    </x:row>
    <x:row r="15" ht="54" customHeight="1">
      <x:c r="A15" s="17" t="str">
        <x:v>mod_bullet_homing</x:v>
      </x:c>
      <x:c r="B15" s="17" t="str">
        <x:v>子弹</x:v>
      </x:c>
      <x:c r="C15" s="17" t="str">
        <x:v>蜂卵弹模块</x:v>
      </x:c>
      <x:c r="D15" s="17" t="n">
        <x:v>2</x:v>
      </x:c>
      <x:c r="E15" s="17" t="str">
        <x:v>epic</x:v>
      </x:c>
      <x:c r="F15" s="17" t="n">
        <x:v>150</x:v>
      </x:c>
      <x:c r="G15" s="17" t="str">
        <x:v>bullet_damage=10；bullet_speed=0.9</x:v>
      </x:c>
      <x:c r="H15" s="17" t="str">
        <x:v>提供bullet_damage=10；bullet_speed=0.9；弹道/命中行为：homing、summon</x:v>
      </x:c>
      <x:c r="I15" s="17" t="str">
        <x:v>标签：bullet、homing、summon</x:v>
      </x:c>
      <x:c r="J15" s="17" t="str">
        <x:v>boss_floor_1×4；combat_floor_4×1.5；combat_floor_5×2.5；loot_abyss×3；loot_floor_5×2；scavenge_floor_4×2；scavenge_floor_5×3</x:v>
      </x:c>
      <x:c r="K15" s="18" t="str">
        <x:v>[已实装]</x:v>
      </x:c>
      <x:c r="L15" s="17" t="str">
        <x:v>正式注册；具体行为与表现仍需逐项QA</x:v>
      </x:c>
      <x:c r="M15" s="17" t="str">
        <x:v>src/base/BlueprintRegistry.gd；src/base/ItemRegistry.gd</x:v>
      </x:c>
      <x:c r="N15" s="17" t="str"/>
      <x:c r="O15" s="46"/>
      <x:c r="P15" s="45" t="str">
        <x:v>可更换子弹模块；不占命运槽；弹道配置写入目标weapon_instance_id</x:v>
      </x:c>
      <x:c r="Q15" s="47" t="str">
        <x:v>[已实装] 可换装、不占命运槽，并随目标WeaponInstance完整保存/恢复</x:v>
      </x:c>
      <x:c r="R15" s="45" t="str">
        <x:v>显示追踪强度、锁定条件和当前目标标记</x:v>
      </x:c>
      <x:c r="S15" s="45" t="str">
        <x:v>锁定框、弯曲尾迹和转向动作一致；目标丢失有解除提示</x:v>
      </x:c>
      <x:c r="T15" s="47" t="str">
        <x:v>[部分完成] 实例尾号、槽位、已装配件与命运刻印已可视；逐条专属VFX/音频仍待QA</x:v>
      </x:c>
    </x:row>
    <x:row r="16" ht="54" customHeight="1">
      <x:c r="A16" s="17" t="str">
        <x:v>mod_bullet_piercing</x:v>
      </x:c>
      <x:c r="B16" s="17" t="str">
        <x:v>子弹</x:v>
      </x:c>
      <x:c r="C16" s="17" t="str">
        <x:v>穿甲弹模块</x:v>
      </x:c>
      <x:c r="D16" s="17" t="n">
        <x:v>1</x:v>
      </x:c>
      <x:c r="E16" s="17" t="str">
        <x:v>rare</x:v>
      </x:c>
      <x:c r="F16" s="17" t="n">
        <x:v>80</x:v>
      </x:c>
      <x:c r="G16" s="17" t="str">
        <x:v>bullet_damage=14；bullet_speed=1.4</x:v>
      </x:c>
      <x:c r="H16" s="17" t="str">
        <x:v>提供bullet_damage=14；bullet_speed=1.4；弹道/命中行为：piercing、armor</x:v>
      </x:c>
      <x:c r="I16" s="17" t="str">
        <x:v>标签：bullet、piercing、armor</x:v>
      </x:c>
      <x:c r="J16" s="17" t="str">
        <x:v>combat_floor_3×1.5；loot_abyss×3；loot_floor_3_4×2；loot_floor_5×2.5；scavenge_floor_3×2；scavenge_floor_4×2.5；scavenge_floor_5×3</x:v>
      </x:c>
      <x:c r="K16" s="18" t="str">
        <x:v>[已实装]</x:v>
      </x:c>
      <x:c r="L16" s="17" t="str">
        <x:v>正式注册；具体行为与表现仍需逐项QA</x:v>
      </x:c>
      <x:c r="M16" s="17" t="str">
        <x:v>src/base/BlueprintRegistry.gd；src/base/ItemRegistry.gd</x:v>
      </x:c>
      <x:c r="N16" s="17" t="str"/>
      <x:c r="O16" s="46"/>
      <x:c r="P16" s="45" t="str">
        <x:v>可更换子弹模块；不占命运槽；弹道配置写入目标weapon_instance_id</x:v>
      </x:c>
      <x:c r="Q16" s="47" t="str">
        <x:v>[已实装] 可换装、不占命运槽，并随目标WeaponInstance完整保存/恢复</x:v>
      </x:c>
      <x:c r="R16" s="45" t="str">
        <x:v>显示穿透等级、可穿对象和命中衰减规则</x:v>
      </x:c>
      <x:c r="S16" s="45" t="str">
        <x:v>穿透命中显示连续贯穿线与剩余层数，不在首个目标处假性消失</x:v>
      </x:c>
      <x:c r="T16" s="47" t="str">
        <x:v>[部分完成] 实例尾号、槽位、已装配件与命运刻印已可视；逐条专属VFX/音频仍待QA</x:v>
      </x:c>
    </x:row>
    <x:row r="17" ht="54" customHeight="1">
      <x:c r="A17" s="17" t="str">
        <x:v>mod_bullet_standard</x:v>
      </x:c>
      <x:c r="B17" s="17" t="str">
        <x:v>子弹</x:v>
      </x:c>
      <x:c r="C17" s="17" t="str">
        <x:v>标准子弹模块</x:v>
      </x:c>
      <x:c r="D17" s="17" t="n">
        <x:v>0</x:v>
      </x:c>
      <x:c r="E17" s="17" t="str">
        <x:v>common</x:v>
      </x:c>
      <x:c r="F17" s="17" t="n">
        <x:v>30</x:v>
      </x:c>
      <x:c r="G17" s="17" t="str">
        <x:v>bullet_damage=8；bullet_speed=1</x:v>
      </x:c>
      <x:c r="H17" s="17" t="str">
        <x:v>提供bullet_damage=8；bullet_speed=1；弹道/命中行为：kinetic、standard</x:v>
      </x:c>
      <x:c r="I17" s="17" t="str">
        <x:v>标签：bullet、kinetic、standard</x:v>
      </x:c>
      <x:c r="J17" s="17" t="str">
        <x:v>combat_floor_1×3；combat_floor_2×2.5；loot_abyss×1.5；loot_floor_1_2×3；loot_floor_3_4×2.5；loot_floor_5×2；scavenge_floor_1×3；scavenge_floor_2×2.5；spawn_starter×3</x:v>
      </x:c>
      <x:c r="K17" s="18" t="str">
        <x:v>[已实装]</x:v>
      </x:c>
      <x:c r="L17" s="17" t="str">
        <x:v>正式注册；具体行为与表现仍需逐项QA</x:v>
      </x:c>
      <x:c r="M17" s="17" t="str">
        <x:v>src/base/BlueprintRegistry.gd；src/base/ItemRegistry.gd</x:v>
      </x:c>
      <x:c r="N17" s="17" t="str"/>
      <x:c r="O17" s="46"/>
      <x:c r="P17" s="45" t="str">
        <x:v>可更换子弹模块；不占命运槽；弹道配置写入目标weapon_instance_id</x:v>
      </x:c>
      <x:c r="Q17" s="47" t="str">
        <x:v>[已实装] 可换装、不占命运槽，并随目标WeaponInstance完整保存/恢复</x:v>
      </x:c>
      <x:c r="R17" s="45" t="str">
        <x:v>显示为基准弹药，并作为其他模块的属性/行为对比基线</x:v>
      </x:c>
      <x:c r="S17" s="45" t="str">
        <x:v>使用清晰中性弹体、尾迹和命中；不附加误导性的元素效果</x:v>
      </x:c>
      <x:c r="T17" s="47" t="str">
        <x:v>[部分完成] 实例尾号、槽位、已装配件与命运刻印已可视；逐条专属VFX/音频仍待QA</x:v>
      </x:c>
    </x:row>
    <x:row r="18" ht="54" customHeight="1">
      <x:c r="A18" s="17" t="str">
        <x:v>mod_bullet_sticky</x:v>
      </x:c>
      <x:c r="B18" s="17" t="str">
        <x:v>子弹</x:v>
      </x:c>
      <x:c r="C18" s="17" t="str">
        <x:v>黏黏弹模块</x:v>
      </x:c>
      <x:c r="D18" s="17" t="n">
        <x:v>0</x:v>
      </x:c>
      <x:c r="E18" s="17" t="str">
        <x:v>uncommon</x:v>
      </x:c>
      <x:c r="F18" s="17" t="n">
        <x:v>50</x:v>
      </x:c>
      <x:c r="G18" s="17" t="str">
        <x:v>bullet_damage=6；bullet_speed=0.8</x:v>
      </x:c>
      <x:c r="H18" s="17" t="str">
        <x:v>提供bullet_damage=6；bullet_speed=0.8；弹道/命中行为：sticky、dot</x:v>
      </x:c>
      <x:c r="I18" s="17" t="str">
        <x:v>标签：bullet、sticky、dot</x:v>
      </x:c>
      <x:c r="J18" s="17" t="str">
        <x:v>combat_floor_1×2；combat_floor_2×2.5；loot_abyss×1.5；loot_floor_1_2×2；loot_floor_3_4×2.5；loot_floor_5×2；scavenge_floor_1×2；scavenge_floor_2×2.5；spawn_starter×2</x:v>
      </x:c>
      <x:c r="K18" s="18" t="str">
        <x:v>[已实装]</x:v>
      </x:c>
      <x:c r="L18" s="17" t="str">
        <x:v>正式注册；具体行为与表现仍需逐项QA</x:v>
      </x:c>
      <x:c r="M18" s="17" t="str">
        <x:v>src/base/BlueprintRegistry.gd；src/base/ItemRegistry.gd</x:v>
      </x:c>
      <x:c r="N18" s="17" t="str"/>
      <x:c r="O18" s="46"/>
      <x:c r="P18" s="45" t="str">
        <x:v>可更换子弹模块；不占命运槽；弹道配置写入目标weapon_instance_id</x:v>
      </x:c>
      <x:c r="Q18" s="47" t="str">
        <x:v>[已实装] 可换装、不占命运槽，并随目标WeaponInstance完整保存/恢复</x:v>
      </x:c>
      <x:c r="R18" s="45" t="str">
        <x:v>显示黏附对象、持续/引爆条件与每秒效果</x:v>
      </x:c>
      <x:c r="S18" s="45" t="str">
        <x:v>命中后弹体留在表面并显示倒计时/状态，结束时反馈与结算同步</x:v>
      </x:c>
      <x:c r="T18" s="47" t="str">
        <x:v>[部分完成] 实例尾号、槽位、已装配件与命运刻印已可视；逐条专属VFX/音频仍待QA</x:v>
      </x:c>
    </x:row>
    <x:row r="19" ht="54" customHeight="1">
      <x:c r="A19" s="17" t="str">
        <x:v>bp_charge</x:v>
      </x:c>
      <x:c r="B19" s="17" t="str">
        <x:v>枪身</x:v>
      </x:c>
      <x:c r="C19" s="17" t="str">
        <x:v>蓄力萝卜炮</x:v>
      </x:c>
      <x:c r="D19" s="17" t="n">
        <x:v>3</x:v>
      </x:c>
      <x:c r="E19" s="17" t="str">
        <x:v>epic</x:v>
      </x:c>
      <x:c r="F19" s="17" t="n">
        <x:v>350</x:v>
      </x:c>
      <x:c r="G19" s="17" t="str">
        <x:v>bullet_count=1；charge_time=1.2；damage=30；fire_rate=1.5；magazine_size=4；reload_time=3；spread=0.05</x:v>
      </x:c>
      <x:c r="H19" s="17" t="str">
        <x:v>蓄力时间越长伤害越高，超蓄力后弹体变大并附带穿透。左键装备为当前主武器。</x:v>
      </x:c>
      <x:c r="I19" s="17" t="str">
        <x:v>标签：charge、蓄力、high_damage</x:v>
      </x:c>
      <x:c r="J19" s="17" t="str">
        <x:v>成品：boss_floor_2×4；combat_floor_4×0.5；combat_floor_5×1；elite_floor_2×3；loot_abyss×2；loot_floor_5×0.8；scavenge_floor_4×0.4；scavenge_floor_5×1
蓝图：boss_floor_2×4；combat_floor_4×0.5；combat_floor_5×1；loot_abyss×2；scavenge_floor_5×0.5</x:v>
      </x:c>
      <x:c r="K19" s="18" t="str">
        <x:v>[已实装]</x:v>
      </x:c>
      <x:c r="L19" s="17" t="str">
        <x:v>正式注册；具体行为与表现仍需逐项QA</x:v>
      </x:c>
      <x:c r="M19" s="17" t="str">
        <x:v>src/base/BlueprintRegistry.gd；src/base/ItemRegistry.gd</x:v>
      </x:c>
      <x:c r="N19" s="17" t="str">
        <x:v>装配ID=bp_charge；成品物品ID=weapon_charge；蓝图物品ID=bp_charge</x:v>
      </x:c>
      <x:c r="O19" s="46" t="n">
        <x:v>8</x:v>
      </x:c>
      <x:c r="P19" s="45" t="str">
        <x:v>成品生成永久weapon_instance_id；命运槽、子弹模块与配件随实例在装备/背包/地面/商店/保险/存档间移动</x:v>
      </x:c>
      <x:c r="Q19" s="47" t="str">
        <x:v>[已实装] 唯一实例ID、8槽基线、完整构筑/弹药/命运记录随枪转移与存档</x:v>
      </x:c>
      <x:c r="R19" s="45" t="str">
        <x:v>HUD和详情显示蓄力阶段、当前倍率、超蓄力风险、弹量和换弹</x:v>
      </x:c>
      <x:c r="S19" s="45" t="str">
        <x:v>枪身能量逐级充盈、音高与震动递增；释放弹体大小和穿透随阶段变化</x:v>
      </x:c>
      <x:c r="T19" s="47" t="str">
        <x:v>[部分完成] 实例尾号、槽位、已装配件与命运刻印已可视；逐条专属VFX/音频仍待QA</x:v>
      </x:c>
    </x:row>
    <x:row r="20" ht="54" customHeight="1">
      <x:c r="A20" s="17" t="str">
        <x:v>bp_launcher</x:v>
      </x:c>
      <x:c r="B20" s="17" t="str">
        <x:v>枪身</x:v>
      </x:c>
      <x:c r="C20" s="17" t="str">
        <x:v>反胃榴弹筒</x:v>
      </x:c>
      <x:c r="D20" s="17" t="n">
        <x:v>2</x:v>
      </x:c>
      <x:c r="E20" s="17" t="str">
        <x:v>rare</x:v>
      </x:c>
      <x:c r="F20" s="17" t="n">
        <x:v>250</x:v>
      </x:c>
      <x:c r="G20" s="17" t="str">
        <x:v>bullet_count=1；damage=38；fire_rate=0.8；magazine_size=3；reload_time=4；spread=0.1</x:v>
      </x:c>
      <x:c r="H20" s="17" t="str">
        <x:v>发射爆炸弹，抛物线弹道，大范围AOE。左键装备为当前主武器。</x:v>
      </x:c>
      <x:c r="I20" s="17" t="str">
        <x:v>标签：launcher、explosive、slow</x:v>
      </x:c>
      <x:c r="J20" s="17" t="str">
        <x:v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x:v>
      </x:c>
      <x:c r="K20" s="18" t="str">
        <x:v>[已实装]</x:v>
      </x:c>
      <x:c r="L20" s="17" t="str">
        <x:v>正式注册；具体行为与表现仍需逐项QA</x:v>
      </x:c>
      <x:c r="M20" s="17" t="str">
        <x:v>src/base/BlueprintRegistry.gd；src/base/ItemRegistry.gd</x:v>
      </x:c>
      <x:c r="N20" s="17" t="str">
        <x:v>装配ID=bp_launcher；成品物品ID=weapon_launcher；蓝图物品ID=bp_launcher</x:v>
      </x:c>
      <x:c r="O20" s="46" t="n">
        <x:v>8</x:v>
      </x:c>
      <x:c r="P20" s="45" t="str">
        <x:v>成品生成永久weapon_instance_id；命运槽、子弹模块与配件随实例在装备/背包/地面/商店/保险/存档间移动</x:v>
      </x:c>
      <x:c r="Q20" s="47" t="str">
        <x:v>[已实装] 唯一实例ID、8槽基线、完整构筑/弹药/命运记录随枪转移与存档</x:v>
      </x:c>
      <x:c r="R20" s="45" t="str">
        <x:v>显示抛物线、爆炸半径、弹量与安全距离；瞄准时给落点预览</x:v>
      </x:c>
      <x:c r="S20" s="45" t="str">
        <x:v>发射器抬升动作、弧线弹道、落点圈和爆炸反馈一致</x:v>
      </x:c>
      <x:c r="T20" s="47" t="str">
        <x:v>[部分完成] 实例尾号、槽位、已装配件与命运刻印已可视；逐条专属VFX/音频仍待QA</x:v>
      </x:c>
    </x:row>
    <x:row r="21" ht="54" customHeight="1">
      <x:c r="A21" s="17" t="str">
        <x:v>bp_machinegun</x:v>
      </x:c>
      <x:c r="B21" s="17" t="str">
        <x:v>枪身</x:v>
      </x:c>
      <x:c r="C21" s="17" t="str">
        <x:v>蜂窝机枪</x:v>
      </x:c>
      <x:c r="D21" s="17" t="n">
        <x:v>1</x:v>
      </x:c>
      <x:c r="E21" s="17" t="str">
        <x:v>uncommon</x:v>
      </x:c>
      <x:c r="F21" s="17" t="n">
        <x:v>180</x:v>
      </x:c>
      <x:c r="G21" s="17" t="str">
        <x:v>bullet_count=1；damage=15；fire_rate=12；magazine_size=60；reload_time=2.8；spread=0.15</x:v>
      </x:c>
      <x:c r="H21" s="17" t="str">
        <x:v>高射速压制武器，适合清群怪。左键装备为当前主武器。</x:v>
      </x:c>
      <x:c r="I21" s="17" t="str">
        <x:v>标签：auto、high_rate、spray</x:v>
      </x:c>
      <x:c r="J21" s="17" t="str">
        <x:v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x:v>
      </x:c>
      <x:c r="K21" s="18" t="str">
        <x:v>[已实装]</x:v>
      </x:c>
      <x:c r="L21" s="17" t="str">
        <x:v>正式注册；具体行为与表现仍需逐项QA</x:v>
      </x:c>
      <x:c r="M21" s="17" t="str">
        <x:v>src/base/BlueprintRegistry.gd；src/base/ItemRegistry.gd</x:v>
      </x:c>
      <x:c r="N21" s="17" t="str">
        <x:v>装配ID=bp_machinegun；成品物品ID=weapon_machinegun；蓝图物品ID=bp_machinegun</x:v>
      </x:c>
      <x:c r="O21" s="46" t="n">
        <x:v>8</x:v>
      </x:c>
      <x:c r="P21" s="45" t="str">
        <x:v>成品生成永久weapon_instance_id；命运槽、子弹模块与配件随实例在装备/背包/地面/商店/保险/存档间移动</x:v>
      </x:c>
      <x:c r="Q21" s="47" t="str">
        <x:v>[已实装] 唯一实例ID、8槽基线、完整构筑/弹药/命运记录随枪转移与存档</x:v>
      </x:c>
      <x:c r="R21" s="45" t="str">
        <x:v>显示高射速、弹量、扩散与持续射击节奏；低弹药警告明显</x:v>
      </x:c>
      <x:c r="S21" s="45" t="str">
        <x:v>连续枪口焰、机械循环和后坐累积可读，不能用单发动画冒充连射</x:v>
      </x:c>
      <x:c r="T21" s="47" t="str">
        <x:v>[部分完成] 实例尾号、槽位、已装配件与命运刻印已可视；逐条专属VFX/音频仍待QA</x:v>
      </x:c>
    </x:row>
    <x:row r="22" ht="54" customHeight="1">
      <x:c r="A22" s="17" t="str">
        <x:v>bp_pistol</x:v>
      </x:c>
      <x:c r="B22" s="17" t="str">
        <x:v>枪身</x:v>
      </x:c>
      <x:c r="C22" s="17" t="str">
        <x:v>豌豆手枪</x:v>
      </x:c>
      <x:c r="D22" s="17" t="n">
        <x:v>0</x:v>
      </x:c>
      <x:c r="E22" s="17" t="str">
        <x:v>common</x:v>
      </x:c>
      <x:c r="F22" s="17" t="n">
        <x:v>70</x:v>
      </x:c>
      <x:c r="G22" s="17" t="str">
        <x:v>bullet_count=1；damage=18；fire_rate=3.5；magazine_size=12；reload_time=1.5；spread=0.03</x:v>
      </x:c>
      <x:c r="H22" s="17" t="str">
        <x:v>可靠的基础半自动武器。左键装备为当前主武器。</x:v>
      </x:c>
      <x:c r="I22" s="17" t="str">
        <x:v>标签：pistol、semi_auto、sidearm</x:v>
      </x:c>
      <x:c r="J22" s="17" t="str">
        <x:v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x:v>
      </x:c>
      <x:c r="K22" s="18" t="str">
        <x:v>[已实装]</x:v>
      </x:c>
      <x:c r="L22" s="17" t="str">
        <x:v>正式注册；具体行为与表现仍需逐项QA</x:v>
      </x:c>
      <x:c r="M22" s="17" t="str">
        <x:v>src/base/BlueprintRegistry.gd；src/base/ItemRegistry.gd</x:v>
      </x:c>
      <x:c r="N22" s="17" t="str">
        <x:v>装配ID=bp_pistol；成品物品ID=weapon_pistol；蓝图物品ID=bp_pistol</x:v>
      </x:c>
      <x:c r="O22" s="46" t="n">
        <x:v>8</x:v>
      </x:c>
      <x:c r="P22" s="45" t="str">
        <x:v>成品生成永久weapon_instance_id；命运槽、子弹模块与配件随实例在装备/背包/地面/商店/保险/存档间移动</x:v>
      </x:c>
      <x:c r="Q22" s="47" t="str">
        <x:v>[已实装] 唯一实例ID、8槽基线、完整构筑/弹药/命运记录随枪转移与存档</x:v>
      </x:c>
      <x:c r="R22" s="45" t="str">
        <x:v>显示半自动节奏、伤害、弹量与精准度，作为轻型基准枪比较</x:v>
      </x:c>
      <x:c r="S22" s="45" t="str">
        <x:v>每次点击有清晰单发后坐、枪口焰与复位，轮廓轻巧</x:v>
      </x:c>
      <x:c r="T22" s="47" t="str">
        <x:v>[部分完成] 实例尾号、槽位、已装配件与命运刻印已可视；逐条专属VFX/音频仍待QA</x:v>
      </x:c>
    </x:row>
    <x:row r="23" ht="54" customHeight="1">
      <x:c r="A23" s="17" t="str">
        <x:v>bp_rifle</x:v>
      </x:c>
      <x:c r="B23" s="17" t="str">
        <x:v>枪身</x:v>
      </x:c>
      <x:c r="C23" s="17" t="str">
        <x:v>步枪</x:v>
      </x:c>
      <x:c r="D23" s="17" t="n">
        <x:v>1</x:v>
      </x:c>
      <x:c r="E23" s="17" t="str">
        <x:v>rare</x:v>
      </x:c>
      <x:c r="F23" s="17" t="n">
        <x:v>150</x:v>
      </x:c>
      <x:c r="G23" s="17" t="str">
        <x:v>bullet_count=1；damage=22；fire_rate=6；magazine_size=30；reload_time=2.2；spread=0.07</x:v>
      </x:c>
      <x:c r="H23" s="17" t="str">
        <x:v>稳定连发的中距离武器。左键装备为当前主武器。</x:v>
      </x:c>
      <x:c r="I23" s="17" t="str">
        <x:v>标签：rifle、automatic、assault</x:v>
      </x:c>
      <x:c r="J23" s="17" t="str">
        <x:v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x:v>
      </x:c>
      <x:c r="K23" s="18" t="str">
        <x:v>[已实装]</x:v>
      </x:c>
      <x:c r="L23" s="17" t="str">
        <x:v>正式注册；具体行为与表现仍需逐项QA</x:v>
      </x:c>
      <x:c r="M23" s="17" t="str">
        <x:v>src/base/BlueprintRegistry.gd；src/base/ItemRegistry.gd</x:v>
      </x:c>
      <x:c r="N23" s="17" t="str">
        <x:v>装配ID=bp_rifle；成品物品ID=weapon_rifle；蓝图物品ID=bp_rifle</x:v>
      </x:c>
      <x:c r="O23" s="46" t="n">
        <x:v>8</x:v>
      </x:c>
      <x:c r="P23" s="45" t="str">
        <x:v>成品生成永久weapon_instance_id；命运槽、子弹模块与配件随实例在装备/背包/地面/商店/保险/存档间移动</x:v>
      </x:c>
      <x:c r="Q23" s="47" t="str">
        <x:v>[已实装] 唯一实例ID、8槽基线、完整构筑/弹药/命运记录随枪转移与存档</x:v>
      </x:c>
      <x:c r="R23" s="45" t="str">
        <x:v>显示中距离连发、伤害、射速、弹量和扩散的平衡定位</x:v>
      </x:c>
      <x:c r="S23" s="45" t="str">
        <x:v>连发节奏、枪身动作和中等后坐一致，弹道辨识稳定</x:v>
      </x:c>
      <x:c r="T23" s="47" t="str">
        <x:v>[部分完成] 实例尾号、槽位、已装配件与命运刻印已可视；逐条专属VFX/音频仍待QA</x:v>
      </x:c>
    </x:row>
    <x:row r="24" ht="54" customHeight="1">
      <x:c r="A24" s="17" t="str">
        <x:v>bp_shotgun</x:v>
      </x:c>
      <x:c r="B24" s="17" t="str">
        <x:v>枪身</x:v>
      </x:c>
      <x:c r="C24" s="17" t="str">
        <x:v>散射喷壶</x:v>
      </x:c>
      <x:c r="D24" s="17" t="n">
        <x:v>0</x:v>
      </x:c>
      <x:c r="E24" s="17" t="str">
        <x:v>uncommon</x:v>
      </x:c>
      <x:c r="F24" s="17" t="n">
        <x:v>110</x:v>
      </x:c>
      <x:c r="G24" s="17" t="str">
        <x:v>bullet_count=5；damage=12；fire_rate=1.2；magazine_size=6；reload_time=3；spread=0.35</x:v>
      </x:c>
      <x:c r="H24" s="17" t="str">
        <x:v>近距离多弹丸散射武器。左键装备为当前主武器。</x:v>
      </x:c>
      <x:c r="I24" s="17" t="str">
        <x:v>标签：shotgun、close_range、burst</x:v>
      </x:c>
      <x:c r="J24" s="17" t="str">
        <x:v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x:v>
      </x:c>
      <x:c r="K24" s="18" t="str">
        <x:v>[已实装]</x:v>
      </x:c>
      <x:c r="L24" s="17" t="str">
        <x:v>正式注册；具体行为与表现仍需逐项QA</x:v>
      </x:c>
      <x:c r="M24" s="17" t="str">
        <x:v>src/base/BlueprintRegistry.gd；src/base/ItemRegistry.gd</x:v>
      </x:c>
      <x:c r="N24" s="17" t="str">
        <x:v>装配ID=bp_shotgun；成品物品ID=weapon_shotgun；蓝图物品ID=bp_shotgun</x:v>
      </x:c>
      <x:c r="O24" s="46" t="n">
        <x:v>8</x:v>
      </x:c>
      <x:c r="P24" s="45" t="str">
        <x:v>成品生成永久weapon_instance_id；命运槽、子弹模块与配件随实例在装备/背包/地面/商店/保险/存档间移动</x:v>
      </x:c>
      <x:c r="Q24" s="47" t="str">
        <x:v>[已实装] 唯一实例ID、8槽基线、完整构筑/弹药/命运记录随枪转移与存档</x:v>
      </x:c>
      <x:c r="R24" s="45" t="str">
        <x:v>显示每发弹丸数、散布锥、近距收益、弹量与换弹</x:v>
      </x:c>
      <x:c r="S24" s="45" t="str">
        <x:v>多弹丸扇形、强后坐和近距命中层次同步；命中数量可读</x:v>
      </x:c>
      <x:c r="T24" s="47" t="str">
        <x:v>[部分完成] 实例尾号、槽位、已装配件与命运刻印已可视；逐条专属VFX/音频仍待QA</x:v>
      </x:c>
    </x:row>
    <x:row r="25" ht="54" customHeight="1">
      <x:c r="A25" s="17" t="str">
        <x:v>bp_sniper</x:v>
      </x:c>
      <x:c r="B25" s="17" t="str">
        <x:v>枪身</x:v>
      </x:c>
      <x:c r="C25" s="17" t="str">
        <x:v>弹弓狙击</x:v>
      </x:c>
      <x:c r="D25" s="17" t="n">
        <x:v>2</x:v>
      </x:c>
      <x:c r="E25" s="17" t="str">
        <x:v>rare</x:v>
      </x:c>
      <x:c r="F25" s="17" t="n">
        <x:v>220</x:v>
      </x:c>
      <x:c r="G25" s="17" t="str">
        <x:v>bullet_count=1；damage=55；fire_rate=1；magazine_size=5；reload_time=3.5；spread=0.01</x:v>
      </x:c>
      <x:c r="H25" s="17" t="str">
        <x:v>低射速高伤害，穿透力强，适合精准打击。左键装备为当前主武器。</x:v>
      </x:c>
      <x:c r="I25" s="17" t="str">
        <x:v>标签：sniper、precision、high_damage</x:v>
      </x:c>
      <x:c r="J25" s="17" t="str">
        <x:v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x:v>
      </x:c>
      <x:c r="K25" s="18" t="str">
        <x:v>[已实装]</x:v>
      </x:c>
      <x:c r="L25" s="17" t="str">
        <x:v>正式注册；具体行为与表现仍需逐项QA</x:v>
      </x:c>
      <x:c r="M25" s="17" t="str">
        <x:v>src/base/BlueprintRegistry.gd；src/base/ItemRegistry.gd</x:v>
      </x:c>
      <x:c r="N25" s="17" t="str">
        <x:v>装配ID=bp_sniper；成品物品ID=weapon_sniper；蓝图物品ID=bp_sniper</x:v>
      </x:c>
      <x:c r="O25" s="46" t="n">
        <x:v>8</x:v>
      </x:c>
      <x:c r="P25" s="45" t="str">
        <x:v>成品生成永久weapon_instance_id；命运槽、子弹模块与配件随实例在装备/背包/地面/商店/保险/存档间移动</x:v>
      </x:c>
      <x:c r="Q25" s="47" t="str">
        <x:v>[已实装] 唯一实例ID、8槽基线、完整构筑/弹药/命运记录随枪转移与存档</x:v>
      </x:c>
      <x:c r="R25" s="45" t="str">
        <x:v>显示高伤害、低射速、精准/穿透与瞄准状态；提供远距比较</x:v>
      </x:c>
      <x:c r="S25" s="45" t="str">
        <x:v>长枪轮廓、瞄准准星、强单发反馈和贯穿线一致，射击时点明确</x:v>
      </x:c>
      <x:c r="T25" s="47" t="str">
        <x:v>[部分完成] 实例尾号、槽位、已装配件与命运刻印已可视；逐条专属VFX/音频仍待QA</x:v>
      </x:c>
    </x:row>
  </x:sheetData>
  <x:mergeCells>
    <x:mergeCell ref="A1:T1"/>
    <x:mergeCell ref="A2:T2"/>
    <x:mergeCell ref="A3:T3"/>
  </x:mergeCells>
  <x:dataValidations count="2">
    <x:dataValidation type="list" sqref="K5:K25">
      <x:formula1>"[已实装],[用户设计],[Codex补充]"</x:formula1>
    </x:dataValidation>
    <x:dataValidation type="whole" operator="between" sqref="O19:O25">
      <x:formula1>0</x:formula1>
      <x:formula2>99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6" hidden="0" customWidth="1"/>
    <x:col min="3" max="3" width="10" hidden="0" customWidth="1"/>
    <x:col min="4" max="4" width="10" hidden="0" customWidth="1"/>
    <x:col min="5" max="5" width="26" hidden="0" customWidth="1"/>
    <x:col min="6" max="6" width="44" hidden="0" customWidth="1"/>
    <x:col min="7" max="7" width="44" hidden="0" customWidth="1"/>
    <x:col min="8" max="8" width="14" hidden="0" customWidth="1"/>
    <x:col min="9" max="9" width="26" hidden="0" customWidth="1"/>
    <x:col min="10" max="10" width="42" hidden="0" customWidth="1"/>
    <x:col min="11" max="11" width="30" hidden="0" customWidth="1"/>
    <x:col min="12" max="12" width="14" hidden="0" customWidth="1"/>
    <x:col min="13" max="13" width="34" hidden="0" customWidth="1"/>
    <x:col min="14" max="14" width="36" hidden="0" customWidth="1"/>
    <x:col min="15" max="15" width="42" hidden="0" customWidth="1"/>
    <x:col min="16" max="16" width="13" hidden="0" customWidth="1"/>
    <x:col min="17" max="17" width="38" hidden="0" customWidth="1"/>
    <x:col min="18" max="18" width="28" hidden="0" customWidth="1"/>
    <x:col min="19" max="19" width="44" hidden="0" customWidth="1"/>
    <x:col min="20" max="20" width="44" hidden="0" customWidth="1"/>
    <x:col min="21" max="21" width="24" hidden="0" customWidth="1"/>
  </x:cols>
  <x:sheetData>
    <x:row r="1" ht="32" customHeight="1">
      <x:c r="A1" s="3" t="str">
        <x:v>ShellStorm2 游戏内容数据库｜命运卡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48张正式预设：22张★星星命运、12张☾月亮命运、14张☀太阳命运。稳定ID、作用域所有者、武器永久槽、20张新增牌实际结算、卡面专名和常驻观察UI已验收；逐卡专属VFX/音频继续QA。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稳定卡ID</x:v>
      </x:c>
      <x:c r="B4" s="13" t="str">
        <x:v>名称</x:v>
      </x:c>
      <x:c r="C4" s="13" t="str">
        <x:v>类型</x:v>
      </x:c>
      <x:c r="D4" s="13" t="str">
        <x:v>品质</x:v>
      </x:c>
      <x:c r="E4" s="13" t="str">
        <x:v>短说明</x:v>
      </x:c>
      <x:c r="F4" s="13" t="str">
        <x:v>完整功能</x:v>
      </x:c>
      <x:c r="G4" s="13" t="str">
        <x:v>背景介绍</x:v>
      </x:c>
      <x:c r="H4" s="13" t="str">
        <x:v>背景来源</x:v>
      </x:c>
      <x:c r="I4" s="13" t="str">
        <x:v>目标规则</x:v>
      </x:c>
      <x:c r="J4" s="13" t="str">
        <x:v>效果参数</x:v>
      </x:c>
      <x:c r="K4" s="13" t="str">
        <x:v>获得方式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  <x:c r="P4" s="48" t="str">
        <x:v>作用域</x:v>
      </x:c>
      <x:c r="Q4" s="48" t="str">
        <x:v>槽位/所有者规则</x:v>
      </x:c>
      <x:c r="R4" s="48" t="str">
        <x:v>新设计实现状态</x:v>
      </x:c>
      <x:c r="S4" s="48" t="str">
        <x:v>选择/槽位UI提示</x:v>
      </x:c>
      <x:c r="T4" s="48" t="str">
        <x:v>触发/战斗/世界表现</x:v>
      </x:c>
      <x:c r="U4" s="48" t="str">
        <x:v>表现实现状态</x:v>
      </x:c>
    </x:row>
    <x:row r="5" ht="54" customHeight="1">
      <x:c r="A5" s="17" t="str">
        <x:v>fate_scale_node</x:v>
      </x:c>
      <x:c r="B5" s="17" t="str">
        <x:v>变大了</x:v>
      </x:c>
      <x:c r="C5" s="17" t="str">
        <x:v>强化</x:v>
      </x:c>
      <x:c r="D5" s="17" t="str">
        <x:v>普通</x:v>
      </x:c>
      <x:c r="E5" s="17" t="str">
        <x:v>体型与碰撞范围增加</x:v>
      </x:c>
      <x:c r="F5" s="17" t="str">
        <x:v>选择一个节点，体型与碰撞范围增加，伤害提升 30%，速度降低 20%</x:v>
      </x:c>
      <x:c r="G5" s="17" t="str">
        <x:v>塔内的尺度并不可信；一枚被命运放大的零件，会用迟缓交换压倒性的体积。</x:v>
      </x:c>
      <x:c r="H5" s="19" t="str">
        <x:v>[Codex补充]</x:v>
      </x:c>
      <x:c r="I5" s="17" t="str"/>
      <x:c r="J5" s="17" t="str">
        <x:v>action=SCALE_NODE；damage_scale=1.3；scale=1.4；speed_scale=0.8</x:v>
      </x:c>
      <x:c r="K5" s="17" t="str">
        <x:v>门后命运/三选一/工作台共用卡池</x:v>
      </x:c>
      <x:c r="L5" s="18" t="str">
        <x:v>[已实装]</x:v>
      </x:c>
      <x:c r="M5" s="17" t="str">
        <x:v>正式3D效果执行、稳定ID、三作用域与武器命运槽已验收；逐卡专属表现待QA</x:v>
      </x:c>
      <x:c r="N5" s="17" t="str">
        <x:v>src/weapons/FateCard.gd；src/weapons/FateCardPresets.gd；src/weapons/FateCardEngine.gd；src/game/FateCardGameBridge.gd</x:v>
      </x:c>
      <x:c r="O5" s="17" t="str">
        <x:v>运行时与存档均使用左侧stable_card_id；卡片记录携带效果参数快照</x:v>
      </x:c>
      <x:c r="P5" s="46" t="str">
        <x:v>WEAPON</x:v>
      </x:c>
      <x:c r="Q5" s="45" t="str">
        <x:v>占目标枪械下一个永久命运槽；按序追加、不可拆卸/替换/回退</x:v>
      </x:c>
      <x:c r="R5" s="47" t="str">
        <x:v>[已实装] 显式作用域与所有者分离；WEAPON线性占槽，CHARACTER/WORLD不占槽</x:v>
      </x:c>
      <x:c r="S5" s="45" t="str">
        <x:v>★ 星星命运｜显示目标装配节点、体积倍率与伴随属性差值；预览将写入下一永久槽</x:v>
      </x:c>
      <x:c r="T5" s="45" t="str">
        <x:v>被放大的枪体/挂件/弹体同步改变轮廓、动作重量和尾迹，命中体积与规则一致</x:v>
      </x:c>
      <x:c r="U5" s="47" t="str">
        <x:v>[部分完成] 作用域、目标、下一槽、永久警告与失败原因已实装；逐卡专属VFX/音频仍待QA</x:v>
      </x:c>
    </x:row>
    <x:row r="6" ht="54" customHeight="1">
      <x:c r="A6" s="17" t="str">
        <x:v>fate_overclock</x:v>
      </x:c>
      <x:c r="B6" s="17" t="str">
        <x:v>超频</x:v>
      </x:c>
      <x:c r="C6" s="17" t="str">
        <x:v>强化</x:v>
      </x:c>
      <x:c r="D6" s="17" t="str">
        <x:v>稀有</x:v>
      </x:c>
      <x:c r="E6" s="17" t="str">
        <x:v>射速提升 80%</x:v>
      </x:c>
      <x:c r="F6" s="17" t="str">
        <x:v>选择一个枪身，射速提升 80%，但每次射击后累计受击伤害倍率（overheat_penalty=1.5：射击越多，受伤越痛）</x:v>
      </x:c>
      <x:c r="G6" s="17" t="str">
        <x:v>把供能旋钮拧过红线的人通常只记得火力，却忘了过热会把每次受击放大。</x:v>
      </x:c>
      <x:c r="H6" s="19" t="str">
        <x:v>[Codex补充]</x:v>
      </x:c>
      <x:c r="I6" s="17" t="str"/>
      <x:c r="J6" s="17" t="str">
        <x:v>action=MULTIPLY_FIRE_RATE；fire_rate_scale=1.8；overheat_penalty=1.5</x:v>
      </x:c>
      <x:c r="K6" s="17" t="str">
        <x:v>门后命运/三选一/工作台共用卡池</x:v>
      </x:c>
      <x:c r="L6" s="18" t="str">
        <x:v>[已实装]</x:v>
      </x:c>
      <x:c r="M6" s="17" t="str">
        <x:v>正式3D效果执行、稳定ID、三作用域与武器命运槽已验收；逐卡专属表现待QA</x:v>
      </x:c>
      <x:c r="N6" s="17" t="str">
        <x:v>src/weapons/FateCard.gd；src/weapons/FateCardPresets.gd；src/weapons/FateCardEngine.gd；src/game/FateCardGameBridge.gd</x:v>
      </x:c>
      <x:c r="O6" s="17" t="str">
        <x:v>运行时与存档均使用左侧stable_card_id；卡片记录携带效果参数快照</x:v>
      </x:c>
      <x:c r="P6" s="46" t="str">
        <x:v>WEAPON</x:v>
      </x:c>
      <x:c r="Q6" s="45" t="str">
        <x:v>占目标枪械下一个永久命运槽；按序追加、不可拆卸/替换/回退</x:v>
      </x:c>
      <x:c r="R6" s="47" t="str">
        <x:v>[已实装] 显式作用域与所有者分离；WEAPON线性占槽，CHARACTER/WORLD不占槽</x:v>
      </x:c>
      <x:c r="S6" s="45" t="str">
        <x:v>★ 星星命运｜显示射速提升、过热/代价参数与目标枪；HUD预留热量/惩罚提示</x:v>
      </x:c>
      <x:c r="T6" s="45" t="str">
        <x:v>枪管热色、机械循环、枪口节奏和过热反馈同步，不能只让数值变快</x:v>
      </x:c>
      <x:c r="U6" s="47" t="str">
        <x:v>[部分完成] 作用域、目标、下一槽、永久警告与失败原因已实装；逐卡专属VFX/音频仍待QA</x:v>
      </x:c>
    </x:row>
    <x:row r="7" ht="54" customHeight="1">
      <x:c r="A7" s="17" t="str">
        <x:v>fate_armor_pierce</x:v>
      </x:c>
      <x:c r="B7" s="17" t="str">
        <x:v>穿甲强化</x:v>
      </x:c>
      <x:c r="C7" s="17" t="str">
        <x:v>强化</x:v>
      </x:c>
      <x:c r="D7" s="17" t="str">
        <x:v>稀有</x:v>
      </x:c>
      <x:c r="E7" s="17" t="str">
        <x:v>伤害提升 50%，无视护盾</x:v>
      </x:c>
      <x:c r="F7" s="17" t="str">
        <x:v>选择一个节点，伤害提升 50%，无视护盾减伤效果</x:v>
      </x:c>
      <x:c r="G7" s="17" t="str">
        <x:v>废弃军械库留下的硬芯工艺，专门教子弹绕过壳甲最自信的角度。</x:v>
      </x:c>
      <x:c r="H7" s="19" t="str">
        <x:v>[Codex补充]</x:v>
      </x:c>
      <x:c r="I7" s="17" t="str"/>
      <x:c r="J7" s="17" t="str">
        <x:v>action=ADD_DAMAGE；damage_scale=1.5；pierce_shield=true</x:v>
      </x:c>
      <x:c r="K7" s="17" t="str">
        <x:v>门后命运/三选一/工作台共用卡池</x:v>
      </x:c>
      <x:c r="L7" s="18" t="str">
        <x:v>[已实装]</x:v>
      </x:c>
      <x:c r="M7" s="17" t="str">
        <x:v>正式3D效果执行、稳定ID、三作用域与武器命运槽已验收；逐卡专属表现待QA</x:v>
      </x:c>
      <x:c r="N7" s="17" t="str">
        <x:v>src/weapons/FateCard.gd；src/weapons/FateCardPresets.gd；src/weapons/FateCardEngine.gd；src/game/FateCardGameBridge.gd</x:v>
      </x:c>
      <x:c r="O7" s="17" t="str">
        <x:v>运行时与存档均使用左侧stable_card_id；卡片记录携带效果参数快照</x:v>
      </x:c>
      <x:c r="P7" s="46" t="str">
        <x:v>WEAPON</x:v>
      </x:c>
      <x:c r="Q7" s="45" t="str">
        <x:v>占目标枪械下一个永久命运槽；按序追加、不可拆卸/替换/回退</x:v>
      </x:c>
      <x:c r="R7" s="47" t="str">
        <x:v>[已实装] 显式作用域与所有者分离；WEAPON线性占槽，CHARACTER/WORLD不占槽</x:v>
      </x:c>
      <x:c r="S7" s="45" t="str">
        <x:v>★ 星星命运｜显示伤害、穿透/破甲规则和目标枪下一槽</x:v>
      </x:c>
      <x:c r="T7" s="45" t="str">
        <x:v>弹体使用贯穿线；护甲命中出现破盾裂纹与剩余穿透提示</x:v>
      </x:c>
      <x:c r="U7" s="47" t="str">
        <x:v>[部分完成] 作用域、目标、下一槽、永久警告与失败原因已实装；逐卡专属VFX/音频仍待QA</x:v>
      </x:c>
    </x:row>
    <x:row r="8" ht="54" customHeight="1">
      <x:c r="A8" s="17" t="str">
        <x:v>fate_bullet_carry_gun</x:v>
      </x:c>
      <x:c r="B8" s="17" t="str">
        <x:v>子弹背枪</x:v>
      </x:c>
      <x:c r="C8" s="17" t="str">
        <x:v>组合</x:v>
      </x:c>
      <x:c r="D8" s="17" t="str">
        <x:v>史诗</x:v>
      </x:c>
      <x:c r="E8" s="17" t="str">
        <x:v>子弹飞出去时自动开枪</x:v>
      </x:c>
      <x:c r="F8" s="17" t="str">
        <x:v>选择一个子弹和一个枪身，该子弹将携带枪身并自动射击</x:v>
      </x:c>
      <x:c r="G8" s="17" t="str">
        <x:v>有人把整把枪绑在弹头上，荒唐的结构在命运规则下反而可以边飞边射。</x:v>
      </x:c>
      <x:c r="H8" s="19" t="str">
        <x:v>[Codex补充]</x:v>
      </x:c>
      <x:c r="I8" s="17" t="str"/>
      <x:c r="J8" s="17" t="str">
        <x:v>action=ATTACH_GUN_TO_BULLET；damage_scale=0.45；fire_rate_scale=0.6；max_attached_gun=1</x:v>
      </x:c>
      <x:c r="K8" s="17" t="str">
        <x:v>门后命运/三选一/工作台共用卡池</x:v>
      </x:c>
      <x:c r="L8" s="18" t="str">
        <x:v>[已实装]</x:v>
      </x:c>
      <x:c r="M8" s="17" t="str">
        <x:v>正式3D效果执行、稳定ID、三作用域与武器命运槽已验收；逐卡专属表现待QA</x:v>
      </x:c>
      <x:c r="N8" s="17" t="str">
        <x:v>src/weapons/FateCard.gd；src/weapons/FateCardPresets.gd；src/weapons/FateCardEngine.gd；src/game/FateCardGameBridge.gd</x:v>
      </x:c>
      <x:c r="O8" s="17" t="str">
        <x:v>运行时与存档均使用左侧stable_card_id；卡片记录携带效果参数快照</x:v>
      </x:c>
      <x:c r="P8" s="46" t="str">
        <x:v>WEAPON</x:v>
      </x:c>
      <x:c r="Q8" s="45" t="str">
        <x:v>占目标枪械下一个永久命运槽；按序追加、不可拆卸/替换/回退</x:v>
      </x:c>
      <x:c r="R8" s="47" t="str">
        <x:v>[已实装] 显式作用域与所有者分离；WEAPON线性占槽，CHARACTER/WORLD不占槽</x:v>
      </x:c>
      <x:c r="S8" s="45" t="str">
        <x:v>★ 星星命运｜显示目标子弹节点、携枪规则和派生攻击链</x:v>
      </x:c>
      <x:c r="T8" s="45" t="str">
        <x:v>投射物上可见微型枪械或等价轮廓；派生开火有独立枪口焰且来源可追溯</x:v>
      </x:c>
      <x:c r="U8" s="47" t="str">
        <x:v>[部分完成] 作用域、目标、下一槽、永久警告与失败原因已实装；逐卡专属VFX/音频仍待QA</x:v>
      </x:c>
    </x:row>
    <x:row r="9" ht="54" customHeight="1">
      <x:c r="A9" s="17" t="str">
        <x:v>fate_gun_on_gun</x:v>
      </x:c>
      <x:c r="B9" s="17" t="str">
        <x:v>枪上加枪</x:v>
      </x:c>
      <x:c r="C9" s="17" t="str">
        <x:v>组合</x:v>
      </x:c>
      <x:c r="D9" s="17" t="str">
        <x:v>传说</x:v>
      </x:c>
      <x:c r="E9" s="17" t="str">
        <x:v>副枪跟随主枪一起开火</x:v>
      </x:c>
      <x:c r="F9" s="17" t="str">
        <x:v>选择一个枪身，将其挂到当前枪身上，副枪跟随射击</x:v>
      </x:c>
      <x:c r="G9" s="17" t="str">
        <x:v>当一个扳机不够时，就让第二把枪把第一把枪的节奏当成命令。</x:v>
      </x:c>
      <x:c r="H9" s="19" t="str">
        <x:v>[Codex补充]</x:v>
      </x:c>
      <x:c r="I9" s="17" t="str"/>
      <x:c r="J9" s="17" t="str">
        <x:v>action=ATTACH_GUN_TO_GUN；damage_scale=0.5；fire_rate_scale=0.6；follow_probability=1</x:v>
      </x:c>
      <x:c r="K9" s="17" t="str">
        <x:v>门后命运/三选一/工作台共用卡池</x:v>
      </x:c>
      <x:c r="L9" s="18" t="str">
        <x:v>[已实装]</x:v>
      </x:c>
      <x:c r="M9" s="17" t="str">
        <x:v>正式3D效果执行、稳定ID、三作用域与武器命运槽已验收；逐卡专属表现待QA</x:v>
      </x:c>
      <x:c r="N9" s="17" t="str">
        <x:v>src/weapons/FateCard.gd；src/weapons/FateCardPresets.gd；src/weapons/FateCardEngine.gd；src/game/FateCardGameBridge.gd</x:v>
      </x:c>
      <x:c r="O9" s="17" t="str">
        <x:v>运行时与存档均使用左侧stable_card_id；卡片记录携带效果参数快照</x:v>
      </x:c>
      <x:c r="P9" s="46" t="str">
        <x:v>WEAPON</x:v>
      </x:c>
      <x:c r="Q9" s="45" t="str">
        <x:v>占目标枪械下一个永久命运槽；按序追加、不可拆卸/替换/回退</x:v>
      </x:c>
      <x:c r="R9" s="47" t="str">
        <x:v>[已实装] 显式作用域与所有者分离；WEAPON线性占槽，CHARACTER/WORLD不占槽</x:v>
      </x:c>
      <x:c r="S9" s="45" t="str">
        <x:v>★ 星星命运｜显示目标枪、附加枪节点、射击关系和下一槽位置</x:v>
      </x:c>
      <x:c r="T9" s="45" t="str">
        <x:v>主枪上出现副枪实体/能量轮廓；同步或派生开火用不同声层区分</x:v>
      </x:c>
      <x:c r="U9" s="47" t="str">
        <x:v>[部分完成] 作用域、目标、下一槽、永久警告与失败原因已实装；逐卡专属VFX/音频仍待QA</x:v>
      </x:c>
    </x:row>
    <x:row r="10" ht="54" customHeight="1">
      <x:c r="A10" s="17" t="str">
        <x:v>fate_attachment_parasite</x:v>
      </x:c>
      <x:c r="B10" s="17" t="str">
        <x:v>配件寄生</x:v>
      </x:c>
      <x:c r="C10" s="17" t="str">
        <x:v>组合</x:v>
      </x:c>
      <x:c r="D10" s="17" t="str">
        <x:v>史诗</x:v>
      </x:c>
      <x:c r="E10" s="17" t="str">
        <x:v>配件附在子弹上，命中时触发效果</x:v>
      </x:c>
      <x:c r="F10" s="17" t="str">
        <x:v>选择一个配件使其寄生到子弹上，命中时触发配件效果</x:v>
      </x:c>
      <x:c r="G10" s="17" t="str">
        <x:v>活化配件会抓住弹体，把原本静止的功能带到每一次命中现场。</x:v>
      </x:c>
      <x:c r="H10" s="19" t="str">
        <x:v>[Codex补充]</x:v>
      </x:c>
      <x:c r="I10" s="17" t="str">
        <x:v>select=BULLET</x:v>
      </x:c>
      <x:c r="J10" s="17" t="str">
        <x:v>action=ATTACH_TO_MOUNT；target_slot=MUZZLE；trigger_on_hit=true</x:v>
      </x:c>
      <x:c r="K10" s="17" t="str">
        <x:v>门后命运/三选一/工作台共用卡池</x:v>
      </x:c>
      <x:c r="L10" s="18" t="str">
        <x:v>[已实装]</x:v>
      </x:c>
      <x:c r="M10" s="17" t="str">
        <x:v>正式3D效果执行、稳定ID、三作用域与武器命运槽已验收；逐卡专属表现待QA</x:v>
      </x:c>
      <x:c r="N10" s="17" t="str">
        <x:v>src/weapons/FateCard.gd；src/weapons/FateCardPresets.gd；src/weapons/FateCardEngine.gd；src/game/FateCardGameBridge.gd</x:v>
      </x:c>
      <x:c r="O10" s="17" t="str">
        <x:v>运行时与存档均使用左侧stable_card_id；卡片记录携带效果参数快照</x:v>
      </x:c>
      <x:c r="P10" s="46" t="str">
        <x:v>WEAPON</x:v>
      </x:c>
      <x:c r="Q10" s="45" t="str">
        <x:v>占目标枪械下一个永久命运槽；按序追加、不可拆卸/替换/回退</x:v>
      </x:c>
      <x:c r="R10" s="47" t="str">
        <x:v>[已实装] 显式作用域与所有者分离；WEAPON线性占槽，CHARACTER/WORLD不占槽</x:v>
      </x:c>
      <x:c r="S10" s="45" t="str">
        <x:v>★ 星星命运｜显示寄生目标、命中触发条件和效果来源</x:v>
      </x:c>
      <x:c r="T10" s="45" t="str">
        <x:v>寄生部位有有机脉冲；命中触发时局部亮起并在目标处播放专属反馈</x:v>
      </x:c>
      <x:c r="U10" s="47" t="str">
        <x:v>[部分完成] 作用域、目标、下一槽、永久警告与失败原因已实装；逐卡专属VFX/音频仍待QA</x:v>
      </x:c>
    </x:row>
    <x:row r="11" ht="54" customHeight="1">
      <x:c r="A11" s="17" t="str">
        <x:v>fate_living_bullet</x:v>
      </x:c>
      <x:c r="B11" s="17" t="str">
        <x:v>活过来</x:v>
      </x:c>
      <x:c r="C11" s="17" t="str">
        <x:v>变种</x:v>
      </x:c>
      <x:c r="D11" s="17" t="str">
        <x:v>稀有</x:v>
      </x:c>
      <x:c r="E11" s="17" t="str">
        <x:v>子弹会追踪最近的敌人</x:v>
      </x:c>
      <x:c r="F11" s="17" t="str">
        <x:v>选择一个子弹，使其变成追踪弹，自动飞向最近的敌人</x:v>
      </x:c>
      <x:c r="G11" s="17" t="str">
        <x:v>弹体长出了辨认敌意的本能，它不再服从直线，只服从最近的猎物。</x:v>
      </x:c>
      <x:c r="H11" s="19" t="str">
        <x:v>[Codex补充]</x:v>
      </x:c>
      <x:c r="I11" s="17" t="str">
        <x:v>select=BULLET</x:v>
      </x:c>
      <x:c r="J11" s="17" t="str">
        <x:v>action=MUTATE_TO_HOMING；homing_strength=0.6；turn_rate=3</x:v>
      </x:c>
      <x:c r="K11" s="17" t="str">
        <x:v>门后命运/三选一/工作台共用卡池</x:v>
      </x:c>
      <x:c r="L11" s="18" t="str">
        <x:v>[已实装]</x:v>
      </x:c>
      <x:c r="M11" s="17" t="str">
        <x:v>正式3D效果执行、稳定ID、三作用域与武器命运槽已验收；逐卡专属表现待QA</x:v>
      </x:c>
      <x:c r="N11" s="17" t="str">
        <x:v>src/weapons/FateCard.gd；src/weapons/FateCardPresets.gd；src/weapons/FateCardEngine.gd；src/game/FateCardGameBridge.gd</x:v>
      </x:c>
      <x:c r="O11" s="17" t="str">
        <x:v>运行时与存档均使用左侧stable_card_id；卡片记录携带效果参数快照</x:v>
      </x:c>
      <x:c r="P11" s="46" t="str">
        <x:v>WEAPON</x:v>
      </x:c>
      <x:c r="Q11" s="45" t="str">
        <x:v>占目标枪械下一个永久命运槽；按序追加、不可拆卸/替换/回退</x:v>
      </x:c>
      <x:c r="R11" s="47" t="str">
        <x:v>[已实装] 显式作用域与所有者分离；WEAPON线性占槽，CHARACTER/WORLD不占槽</x:v>
      </x:c>
      <x:c r="S11" s="45" t="str">
        <x:v>★ 星星命运｜显示目标子弹、主动转向/追踪参数与失去目标规则</x:v>
      </x:c>
      <x:c r="T11" s="45" t="str">
        <x:v>弹体获得生命化轮廓与转向动作，尾迹表现主动寻敌而非普通追踪</x:v>
      </x:c>
      <x:c r="U11" s="47" t="str">
        <x:v>[部分完成] 作用域、目标、下一槽、永久警告与失败原因已实装；逐卡专属VFX/音频仍待QA</x:v>
      </x:c>
    </x:row>
    <x:row r="12" ht="54" customHeight="1">
      <x:c r="A12" s="17" t="str">
        <x:v>fate_turret_on_land</x:v>
      </x:c>
      <x:c r="B12" s="17" t="str">
        <x:v>落地炮台</x:v>
      </x:c>
      <x:c r="C12" s="17" t="str">
        <x:v>变种</x:v>
      </x:c>
      <x:c r="D12" s="17" t="str">
        <x:v>史诗</x:v>
      </x:c>
      <x:c r="E12" s="17" t="str">
        <x:v>子弹落地后自动炮击</x:v>
      </x:c>
      <x:c r="F12" s="17" t="str">
        <x:v>选择一个子弹，子弹落地后生成一座自动炮台，持续射击附近的敌人</x:v>
      </x:c>
      <x:c r="G12" s="17" t="str">
        <x:v>未命中的子弹拒绝浪费自己，它在落地点扎根并继续履行射击职责。</x:v>
      </x:c>
      <x:c r="H12" s="19" t="str">
        <x:v>[Codex补充]</x:v>
      </x:c>
      <x:c r="I12" s="17" t="str">
        <x:v>select=BULLET</x:v>
      </x:c>
      <x:c r="J12" s="17" t="str">
        <x:v>action=MUTATE_TO_TURRET_ON_LAND；turret_damage=0.3；turret_duration=8；turret_fire_rate=2</x:v>
      </x:c>
      <x:c r="K12" s="17" t="str">
        <x:v>门后命运/三选一/工作台共用卡池</x:v>
      </x:c>
      <x:c r="L12" s="18" t="str">
        <x:v>[已实装]</x:v>
      </x:c>
      <x:c r="M12" s="17" t="str">
        <x:v>正式3D效果执行、稳定ID、三作用域与武器命运槽已验收；逐卡专属表现待QA</x:v>
      </x:c>
      <x:c r="N12" s="17" t="str">
        <x:v>src/weapons/FateCard.gd；src/weapons/FateCardPresets.gd；src/weapons/FateCardEngine.gd；src/game/FateCardGameBridge.gd</x:v>
      </x:c>
      <x:c r="O12" s="17" t="str">
        <x:v>运行时与存档均使用左侧stable_card_id；卡片记录携带效果参数快照</x:v>
      </x:c>
      <x:c r="P12" s="46" t="str">
        <x:v>WEAPON</x:v>
      </x:c>
      <x:c r="Q12" s="45" t="str">
        <x:v>占目标枪械下一个永久命运槽；按序追加、不可拆卸/替换/回退</x:v>
      </x:c>
      <x:c r="R12" s="47" t="str">
        <x:v>[已实装] 显式作用域与所有者分离；WEAPON线性占槽，CHARACTER/WORLD不占槽</x:v>
      </x:c>
      <x:c r="S12" s="45" t="str">
        <x:v>★ 星星命运｜显示落地部署条件、炮塔持续/攻击参数和触发链</x:v>
      </x:c>
      <x:c r="T12" s="45" t="str">
        <x:v>弹体落地变为可辨炮塔，生成、攻击、结束三阶段均有反馈</x:v>
      </x:c>
      <x:c r="U12" s="47" t="str">
        <x:v>[部分完成] 作用域、目标、下一槽、永久警告与失败原因已实装；逐卡专属VFX/音频仍待QA</x:v>
      </x:c>
    </x:row>
    <x:row r="13" ht="54" customHeight="1">
      <x:c r="A13" s="17" t="str">
        <x:v>fate_home_on_land</x:v>
      </x:c>
      <x:c r="B13" s="17" t="str">
        <x:v>回家看看</x:v>
      </x:c>
      <x:c r="C13" s="17" t="str">
        <x:v>变种</x:v>
      </x:c>
      <x:c r="D13" s="17" t="str">
        <x:v>稀有</x:v>
      </x:c>
      <x:c r="E13" s="17" t="str">
        <x:v>子弹飞出去后返回玩家</x:v>
      </x:c>
      <x:c r="F13" s="17" t="str">
        <x:v>选择一个子弹，子弹飞出后返回玩家方向，返回途中继续造成 60% 伤害，持续 5 秒</x:v>
      </x:c>
      <x:c r="G13" s="17" t="str">
        <x:v>被塔拒绝的弹体沿旧轨迹回返，在归途上仍然记得谁是敌人。</x:v>
      </x:c>
      <x:c r="H13" s="19" t="str">
        <x:v>[Codex补充]</x:v>
      </x:c>
      <x:c r="I13" s="17" t="str">
        <x:v>select=BULLET</x:v>
      </x:c>
      <x:c r="J13" s="17" t="str">
        <x:v>action=MUTATE_TO_HOME_ON_LAND；home_lifetime=5；return_damage_multiplier=0.6</x:v>
      </x:c>
      <x:c r="K13" s="17" t="str">
        <x:v>门后命运/三选一/工作台共用卡池</x:v>
      </x:c>
      <x:c r="L13" s="18" t="str">
        <x:v>[已实装]</x:v>
      </x:c>
      <x:c r="M13" s="17" t="str">
        <x:v>正式3D效果执行、稳定ID、三作用域与武器命运槽已验收；逐卡专属表现待QA</x:v>
      </x:c>
      <x:c r="N13" s="17" t="str">
        <x:v>src/weapons/FateCard.gd；src/weapons/FateCardPresets.gd；src/weapons/FateCardEngine.gd；src/game/FateCardGameBridge.gd</x:v>
      </x:c>
      <x:c r="O13" s="17" t="str">
        <x:v>运行时与存档均使用左侧stable_card_id；卡片记录携带效果参数快照</x:v>
      </x:c>
      <x:c r="P13" s="46" t="str">
        <x:v>WEAPON</x:v>
      </x:c>
      <x:c r="Q13" s="45" t="str">
        <x:v>占目标枪械下一个永久命运槽；按序追加、不可拆卸/替换/回退</x:v>
      </x:c>
      <x:c r="R13" s="47" t="str">
        <x:v>[已实装] 显式作用域与所有者分离；WEAPON线性占槽，CHARACTER/WORLD不占槽</x:v>
      </x:c>
      <x:c r="S13" s="45" t="str">
        <x:v>★ 星星命运｜显示落地后的返航/追踪目标、持续时间和结束规则</x:v>
      </x:c>
      <x:c r="T13" s="45" t="str">
        <x:v>落地时生成返航弧线与目标标记，回收/消失时给出明确收束</x:v>
      </x:c>
      <x:c r="U13" s="47" t="str">
        <x:v>[部分完成] 作用域、目标、下一槽、永久警告与失败原因已实装；逐卡专属VFX/音频仍待QA</x:v>
      </x:c>
    </x:row>
    <x:row r="14" ht="54" customHeight="1">
      <x:c r="A14" s="17" t="str">
        <x:v>fate_bullet_return</x:v>
      </x:c>
      <x:c r="B14" s="17" t="str">
        <x:v>子弹折返</x:v>
      </x:c>
      <x:c r="C14" s="17" t="str">
        <x:v>变种</x:v>
      </x:c>
      <x:c r="D14" s="17" t="str">
        <x:v>稀有</x:v>
      </x:c>
      <x:c r="E14" s="17" t="str">
        <x:v>子弹命中后折返并再命中一次</x:v>
      </x:c>
      <x:c r="F14" s="17" t="str">
        <x:v>选择一个子弹，命中目标后折返回玩家方向，再次尝试命中敌人</x:v>
      </x:c>
      <x:c r="G14" s="17" t="str">
        <x:v>命中不是终点；弹体借撞击改写方向，寻找第二次穿越战场的机会。</x:v>
      </x:c>
      <x:c r="H14" s="19" t="str">
        <x:v>[Codex补充]</x:v>
      </x:c>
      <x:c r="I14" s="17" t="str">
        <x:v>select=BULLET</x:v>
      </x:c>
      <x:c r="J14" s="17" t="str">
        <x:v>action=MUTATE_TO_BOUNCE；bounce_count=1；damage_scale_on_bounce=0.7</x:v>
      </x:c>
      <x:c r="K14" s="17" t="str">
        <x:v>门后命运/三选一/工作台共用卡池</x:v>
      </x:c>
      <x:c r="L14" s="18" t="str">
        <x:v>[已实装]</x:v>
      </x:c>
      <x:c r="M14" s="17" t="str">
        <x:v>正式3D效果执行、稳定ID、三作用域与武器命运槽已验收；逐卡专属表现待QA</x:v>
      </x:c>
      <x:c r="N14" s="17" t="str">
        <x:v>src/weapons/FateCard.gd；src/weapons/FateCardPresets.gd；src/weapons/FateCardEngine.gd；src/game/FateCardGameBridge.gd</x:v>
      </x:c>
      <x:c r="O14" s="17" t="str">
        <x:v>运行时与存档均使用左侧stable_card_id；卡片记录携带效果参数快照</x:v>
      </x:c>
      <x:c r="P14" s="46" t="str">
        <x:v>WEAPON</x:v>
      </x:c>
      <x:c r="Q14" s="45" t="str">
        <x:v>占目标枪械下一个永久命运槽；按序追加、不可拆卸/替换/回退</x:v>
      </x:c>
      <x:c r="R14" s="47" t="str">
        <x:v>[已实装] 显式作用域与所有者分离；WEAPON线性占槽，CHARACTER/WORLD不占槽</x:v>
      </x:c>
      <x:c r="S14" s="45" t="str">
        <x:v>★ 星星命运｜显示命中后的返回路径、可再次命中规则和伤害倍率</x:v>
      </x:c>
      <x:c r="T14" s="45" t="str">
        <x:v>命中后尾迹反色并沿清晰弧线返回，回到枪/玩家时有回收音</x:v>
      </x:c>
      <x:c r="U14" s="47" t="str">
        <x:v>[部分完成] 作用域、目标、下一槽、永久警告与失败原因已实装；逐卡专属VFX/音频仍待QA</x:v>
      </x:c>
    </x:row>
    <x:row r="15" ht="54" customHeight="1">
      <x:c r="A15" s="17" t="str">
        <x:v>fate_chain_lightning</x:v>
      </x:c>
      <x:c r="B15" s="17" t="str">
        <x:v>连锁闪电</x:v>
      </x:c>
      <x:c r="C15" s="17" t="str">
        <x:v>变种</x:v>
      </x:c>
      <x:c r="D15" s="17" t="str">
        <x:v>史诗</x:v>
      </x:c>
      <x:c r="E15" s="17" t="str">
        <x:v>命中后在敌人间跳跃，最多3次</x:v>
      </x:c>
      <x:c r="F15" s="17" t="str">
        <x:v>选择一个子弹，命中后在敌人间跳跃，每次跳跃伤害递减 30%</x:v>
      </x:c>
      <x:c r="G15" s="17" t="str">
        <x:v>导电孢子把一次命中扩散成短暂电网，越远的跳跃越难保持力量。</x:v>
      </x:c>
      <x:c r="H15" s="19" t="str">
        <x:v>[Codex补充]</x:v>
      </x:c>
      <x:c r="I15" s="17" t="str">
        <x:v>select=BULLET</x:v>
      </x:c>
      <x:c r="J15" s="17" t="str">
        <x:v>action=MUTATE_TO_CHAIN；chain_count=3；chain_damage_scale=0.7；chain_range=150</x:v>
      </x:c>
      <x:c r="K15" s="17" t="str">
        <x:v>门后命运/三选一/工作台共用卡池</x:v>
      </x:c>
      <x:c r="L15" s="18" t="str">
        <x:v>[已实装]</x:v>
      </x:c>
      <x:c r="M15" s="17" t="str">
        <x:v>正式3D效果执行、稳定ID、三作用域与武器命运槽已验收；逐卡专属表现待QA</x:v>
      </x:c>
      <x:c r="N15" s="17" t="str">
        <x:v>src/weapons/FateCard.gd；src/weapons/FateCardPresets.gd；src/weapons/FateCardEngine.gd；src/game/FateCardGameBridge.gd</x:v>
      </x:c>
      <x:c r="O15" s="17" t="str">
        <x:v>运行时与存档均使用左侧stable_card_id；卡片记录携带效果参数快照</x:v>
      </x:c>
      <x:c r="P15" s="46" t="str">
        <x:v>WEAPON</x:v>
      </x:c>
      <x:c r="Q15" s="45" t="str">
        <x:v>占目标枪械下一个永久命运槽；按序追加、不可拆卸/替换/回退</x:v>
      </x:c>
      <x:c r="R15" s="47" t="str">
        <x:v>[已实装] 显式作用域与所有者分离；WEAPON线性占槽，CHARACTER/WORLD不占槽</x:v>
      </x:c>
      <x:c r="S15" s="45" t="str">
        <x:v>★ 星星命运｜显示连锁次数、范围、后续伤害比例和目标枪槽位</x:v>
      </x:c>
      <x:c r="T15" s="45" t="str">
        <x:v>敌人间产生按顺序跳转的电弧；每次跳转与实际结算同步</x:v>
      </x:c>
      <x:c r="U15" s="47" t="str">
        <x:v>[部分完成] 作用域、目标、下一槽、永久警告与失败原因已实装；逐卡专属VFX/音频仍待QA</x:v>
      </x:c>
    </x:row>
    <x:row r="16" ht="54" customHeight="1">
      <x:c r="A16" s="17" t="str">
        <x:v>fate_bounce_bullet</x:v>
      </x:c>
      <x:c r="B16" s="17" t="str">
        <x:v>弹跳弹</x:v>
      </x:c>
      <x:c r="C16" s="17" t="str">
        <x:v>变种</x:v>
      </x:c>
      <x:c r="D16" s="17" t="str">
        <x:v>普通</x:v>
      </x:c>
      <x:c r="E16" s="17" t="str">
        <x:v>子弹在边界间弹跳3次</x:v>
      </x:c>
      <x:c r="F16" s="17" t="str">
        <x:v>选择一个子弹，使其在墙壁和障碍物间弹跳，最多弹跳3次</x:v>
      </x:c>
      <x:c r="G16" s="17" t="str">
        <x:v>柔性外壳把墙面变成新的枪口，让封闭房间成为弹道的一部分。</x:v>
      </x:c>
      <x:c r="H16" s="19" t="str">
        <x:v>[Codex补充]</x:v>
      </x:c>
      <x:c r="I16" s="17" t="str">
        <x:v>select=BULLET</x:v>
      </x:c>
      <x:c r="J16" s="17" t="str">
        <x:v>action=MUTATE_TO_BOUNCE；bounce_count=3；bounce_walls=true；damage_scale=0.85</x:v>
      </x:c>
      <x:c r="K16" s="17" t="str">
        <x:v>门后命运/三选一/工作台共用卡池</x:v>
      </x:c>
      <x:c r="L16" s="18" t="str">
        <x:v>[已实装]</x:v>
      </x:c>
      <x:c r="M16" s="17" t="str">
        <x:v>正式3D效果执行、稳定ID、三作用域与武器命运槽已验收；逐卡专属表现待QA</x:v>
      </x:c>
      <x:c r="N16" s="17" t="str">
        <x:v>src/weapons/FateCard.gd；src/weapons/FateCardPresets.gd；src/weapons/FateCardEngine.gd；src/game/FateCardGameBridge.gd</x:v>
      </x:c>
      <x:c r="O16" s="17" t="str">
        <x:v>运行时与存档均使用左侧stable_card_id；卡片记录携带效果参数快照</x:v>
      </x:c>
      <x:c r="P16" s="46" t="str">
        <x:v>WEAPON</x:v>
      </x:c>
      <x:c r="Q16" s="45" t="str">
        <x:v>占目标枪械下一个永久命运槽；按序追加、不可拆卸/替换/回退</x:v>
      </x:c>
      <x:c r="R16" s="47" t="str">
        <x:v>[已实装] 显式作用域与所有者分离；WEAPON线性占槽，CHARACTER/WORLD不占槽</x:v>
      </x:c>
      <x:c r="S16" s="45" t="str">
        <x:v>★ 星星命运｜显示弹跳次数、表面规则与剩余次数</x:v>
      </x:c>
      <x:c r="T16" s="45" t="str">
        <x:v>每次反弹有折线闪光、方向变化和剩余计数，不以普通命中VFX混淆</x:v>
      </x:c>
      <x:c r="U16" s="47" t="str">
        <x:v>[部分完成] 作用域、目标、下一槽、永久警告与失败原因已实装；逐卡专属VFX/音频仍待QA</x:v>
      </x:c>
    </x:row>
    <x:row r="17" ht="54" customHeight="1">
      <x:c r="A17" s="17" t="str">
        <x:v>fate_barrage_copy</x:v>
      </x:c>
      <x:c r="B17" s="17" t="str">
        <x:v>弹幕模式</x:v>
      </x:c>
      <x:c r="C17" s="17" t="str">
        <x:v>复制</x:v>
      </x:c>
      <x:c r="D17" s="17" t="str">
        <x:v>稀有</x:v>
      </x:c>
      <x:c r="E17" s="17" t="str">
        <x:v>每次射击分两波发射</x:v>
      </x:c>
      <x:c r="F17" s="17" t="str">
        <x:v>选择一个枪身，每次射击分两波发射，第二波子弹延迟 0.1 秒</x:v>
      </x:c>
      <x:c r="G17" s="17" t="str">
        <x:v>复制机构把一次扣扳机拆成两阵回声，第二阵总在敌人以为结束时抵达。</x:v>
      </x:c>
      <x:c r="H17" s="19" t="str">
        <x:v>[Codex补充]</x:v>
      </x:c>
      <x:c r="I17" s="17" t="str">
        <x:v>select=GUNBODY</x:v>
      </x:c>
      <x:c r="J17" s="17" t="str">
        <x:v>action=COPY_NODE；copy_fire_delay=0.1；second_wave_damage_scale=0.6</x:v>
      </x:c>
      <x:c r="K17" s="17" t="str">
        <x:v>门后命运/三选一/工作台共用卡池</x:v>
      </x:c>
      <x:c r="L17" s="18" t="str">
        <x:v>[已实装]</x:v>
      </x:c>
      <x:c r="M17" s="17" t="str">
        <x:v>正式3D效果执行、稳定ID、三作用域与武器命运槽已验收；逐卡专属表现待QA</x:v>
      </x:c>
      <x:c r="N17" s="17" t="str">
        <x:v>src/weapons/FateCard.gd；src/weapons/FateCardPresets.gd；src/weapons/FateCardEngine.gd；src/game/FateCardGameBridge.gd</x:v>
      </x:c>
      <x:c r="O17" s="17" t="str">
        <x:v>运行时与存档均使用左侧stable_card_id；卡片记录携带效果参数快照</x:v>
      </x:c>
      <x:c r="P17" s="46" t="str">
        <x:v>WEAPON</x:v>
      </x:c>
      <x:c r="Q17" s="45" t="str">
        <x:v>占目标枪械下一个永久命运槽；按序追加、不可拆卸/替换/回退</x:v>
      </x:c>
      <x:c r="R17" s="47" t="str">
        <x:v>[已实装] 显式作用域与所有者分离；WEAPON线性占槽，CHARACTER/WORLD不占槽</x:v>
      </x:c>
      <x:c r="S17" s="45" t="str">
        <x:v>★ 星星命运｜显示复制延迟、第二波数量/伤害和触发来源</x:v>
      </x:c>
      <x:c r="T17" s="45" t="str">
        <x:v>第一波后保留轨迹残影，延迟到点生成第二波并用次级声层区分</x:v>
      </x:c>
      <x:c r="U17" s="47" t="str">
        <x:v>[部分完成] 作用域、目标、下一槽、永久警告与失败原因已实装；逐卡专属VFX/音频仍待QA</x:v>
      </x:c>
    </x:row>
    <x:row r="18" ht="54" customHeight="1">
      <x:c r="A18" s="17" t="str">
        <x:v>fate_fuse_fire</x:v>
      </x:c>
      <x:c r="B18" s="17" t="str">
        <x:v>火焰子弹</x:v>
      </x:c>
      <x:c r="C18" s="17" t="str">
        <x:v>融合</x:v>
      </x:c>
      <x:c r="D18" s="17" t="str">
        <x:v>稀有</x:v>
      </x:c>
      <x:c r="E18" s="17" t="str">
        <x:v>命中附加火焰DOT</x:v>
      </x:c>
      <x:c r="F18" s="17" t="str">
        <x:v>选择一个子弹，融合火焰属性，命中后在目标身上附加火焰持续伤害（每秒8%伤害，持续3秒）</x:v>
      </x:c>
      <x:c r="G18" s="17" t="str">
        <x:v>余烬寄生在弹头内，命中后才真正苏醒，持续啃食目标。</x:v>
      </x:c>
      <x:c r="H18" s="19" t="str">
        <x:v>[Codex补充]</x:v>
      </x:c>
      <x:c r="I18" s="17" t="str">
        <x:v>select=BULLET</x:v>
      </x:c>
      <x:c r="J18" s="17" t="str">
        <x:v>action=FUSE_DAMAGE；damage_type=fire；dot_damage_per_sec=0.08；dot_duration=3</x:v>
      </x:c>
      <x:c r="K18" s="17" t="str">
        <x:v>门后命运/三选一/工作台共用卡池</x:v>
      </x:c>
      <x:c r="L18" s="18" t="str">
        <x:v>[已实装]</x:v>
      </x:c>
      <x:c r="M18" s="17" t="str">
        <x:v>正式3D效果执行、稳定ID、三作用域与武器命运槽已验收；逐卡专属表现待QA</x:v>
      </x:c>
      <x:c r="N18" s="17" t="str">
        <x:v>src/weapons/FateCard.gd；src/weapons/FateCardPresets.gd；src/weapons/FateCardEngine.gd；src/game/FateCardGameBridge.gd</x:v>
      </x:c>
      <x:c r="O18" s="17" t="str">
        <x:v>运行时与存档均使用左侧stable_card_id；卡片记录携带效果参数快照</x:v>
      </x:c>
      <x:c r="P18" s="46" t="str">
        <x:v>WEAPON</x:v>
      </x:c>
      <x:c r="Q18" s="45" t="str">
        <x:v>占目标枪械下一个永久命运槽；按序追加、不可拆卸/替换/回退</x:v>
      </x:c>
      <x:c r="R18" s="47" t="str">
        <x:v>[已实装] 显式作用域与所有者分离；WEAPON线性占槽，CHARACTER/WORLD不占槽</x:v>
      </x:c>
      <x:c r="S18" s="45" t="str">
        <x:v>★ 星星命运｜显示燃烧持续、每秒伤害、叠层/刷新规则</x:v>
      </x:c>
      <x:c r="T18" s="45" t="str">
        <x:v>弹体火焰尾迹、目标燃烧状态图标和每跳伤害反馈同步</x:v>
      </x:c>
      <x:c r="U18" s="47" t="str">
        <x:v>[部分完成] 作用域、目标、下一槽、永久警告与失败原因已实装；逐卡专属VFX/音频仍待QA</x:v>
      </x:c>
    </x:row>
    <x:row r="19" ht="54" customHeight="1">
      <x:c r="A19" s="17" t="str">
        <x:v>fate_fuse_frost</x:v>
      </x:c>
      <x:c r="B19" s="17" t="str">
        <x:v>冰霜子弹</x:v>
      </x:c>
      <x:c r="C19" s="17" t="str">
        <x:v>融合</x:v>
      </x:c>
      <x:c r="D19" s="17" t="str">
        <x:v>稀有</x:v>
      </x:c>
      <x:c r="E19" s="17" t="str">
        <x:v>命中后冰冻目标0.5秒</x:v>
      </x:c>
      <x:c r="F19" s="17" t="str">
        <x:v>选择一个子弹，融合冰霜属性，命中后冰冻目标 0.5 秒（精英怪减半）</x:v>
      </x:c>
      <x:c r="G19" s="17" t="str">
        <x:v>低温胶囊在撞击时碎裂，短暂冻结动作，也让精英更快挣脱。</x:v>
      </x:c>
      <x:c r="H19" s="19" t="str">
        <x:v>[Codex补充]</x:v>
      </x:c>
      <x:c r="I19" s="17" t="str">
        <x:v>select=BULLET</x:v>
      </x:c>
      <x:c r="J19" s="17" t="str">
        <x:v>action=FUSE_DAMAGE；damage_type=ice；freeze_duration=0.5；freeze_duration_elite=0.25</x:v>
      </x:c>
      <x:c r="K19" s="17" t="str">
        <x:v>门后命运/三选一/工作台共用卡池</x:v>
      </x:c>
      <x:c r="L19" s="18" t="str">
        <x:v>[已实装]</x:v>
      </x:c>
      <x:c r="M19" s="17" t="str">
        <x:v>正式3D效果执行、稳定ID、三作用域与武器命运槽已验收；逐卡专属表现待QA</x:v>
      </x:c>
      <x:c r="N19" s="17" t="str">
        <x:v>src/weapons/FateCard.gd；src/weapons/FateCardPresets.gd；src/weapons/FateCardEngine.gd；src/game/FateCardGameBridge.gd</x:v>
      </x:c>
      <x:c r="O19" s="17" t="str">
        <x:v>运行时与存档均使用左侧stable_card_id；卡片记录携带效果参数快照</x:v>
      </x:c>
      <x:c r="P19" s="46" t="str">
        <x:v>WEAPON</x:v>
      </x:c>
      <x:c r="Q19" s="45" t="str">
        <x:v>占目标枪械下一个永久命运槽；按序追加、不可拆卸/替换/回退</x:v>
      </x:c>
      <x:c r="R19" s="47" t="str">
        <x:v>[已实装] 显式作用域与所有者分离；WEAPON线性占槽，CHARACTER/WORLD不占槽</x:v>
      </x:c>
      <x:c r="S19" s="45" t="str">
        <x:v>★ 星星命运｜显示冻结/减速强度、持续时间和免疫规则</x:v>
      </x:c>
      <x:c r="T19" s="45" t="str">
        <x:v>冰晶尾迹、目标覆霜与冻结破碎反馈清楚，免疫时显示免疫原因</x:v>
      </x:c>
      <x:c r="U19" s="47" t="str">
        <x:v>[部分完成] 作用域、目标、下一槽、永久警告与失败原因已实装；逐卡专属VFX/音频仍待QA</x:v>
      </x:c>
    </x:row>
    <x:row r="20" ht="54" customHeight="1">
      <x:c r="A20" s="17" t="str">
        <x:v>fate_fuse_poison</x:v>
      </x:c>
      <x:c r="B20" s="17" t="str">
        <x:v>剧毒子弹</x:v>
      </x:c>
      <x:c r="C20" s="17" t="str">
        <x:v>融合</x:v>
      </x:c>
      <x:c r="D20" s="17" t="str">
        <x:v>史诗</x:v>
      </x:c>
      <x:c r="E20" s="17" t="str">
        <x:v>命中附加毒素，最多叠加5层</x:v>
      </x:c>
      <x:c r="F20" s="17" t="str">
        <x:v>选择一个子弹，融合毒素属性，命中后附加毒素，每层每秒造成 5% 伤害，最多叠加 5 层</x:v>
      </x:c>
      <x:c r="G20" s="17" t="str">
        <x:v>孢子毒层层积累，单发并不致命，重复命中才让猎物失去退路。</x:v>
      </x:c>
      <x:c r="H20" s="19" t="str">
        <x:v>[Codex补充]</x:v>
      </x:c>
      <x:c r="I20" s="17" t="str">
        <x:v>select=BULLET</x:v>
      </x:c>
      <x:c r="J20" s="17" t="str">
        <x:v>action=FUSE_DAMAGE；damage_type=poison；dot_damage_per_stack=0.05；dot_tick_rate=1；max_stacks=5</x:v>
      </x:c>
      <x:c r="K20" s="17" t="str">
        <x:v>门后命运/三选一/工作台共用卡池</x:v>
      </x:c>
      <x:c r="L20" s="18" t="str">
        <x:v>[已实装]</x:v>
      </x:c>
      <x:c r="M20" s="17" t="str">
        <x:v>正式3D效果执行、稳定ID、三作用域与武器命运槽已验收；逐卡专属表现待QA</x:v>
      </x:c>
      <x:c r="N20" s="17" t="str">
        <x:v>src/weapons/FateCard.gd；src/weapons/FateCardPresets.gd；src/weapons/FateCardEngine.gd；src/game/FateCardGameBridge.gd</x:v>
      </x:c>
      <x:c r="O20" s="17" t="str">
        <x:v>运行时与存档均使用左侧stable_card_id；卡片记录携带效果参数快照</x:v>
      </x:c>
      <x:c r="P20" s="46" t="str">
        <x:v>WEAPON</x:v>
      </x:c>
      <x:c r="Q20" s="45" t="str">
        <x:v>占目标枪械下一个永久命运槽；按序追加、不可拆卸/替换/回退</x:v>
      </x:c>
      <x:c r="R20" s="47" t="str">
        <x:v>[已实装] 显式作用域与所有者分离；WEAPON线性占槽，CHARACTER/WORLD不占槽</x:v>
      </x:c>
      <x:c r="S20" s="45" t="str">
        <x:v>★ 星星命运｜显示中毒伤害、持续、最大叠层和当前层数</x:v>
      </x:c>
      <x:c r="T20" s="45" t="str">
        <x:v>毒雾尾迹、目标层数图标和持续伤害节奏同步，达到上限有强调</x:v>
      </x:c>
      <x:c r="U20" s="47" t="str">
        <x:v>[部分完成] 作用域、目标、下一槽、永久警告与失败原因已实装；逐卡专属VFX/音频仍待QA</x:v>
      </x:c>
    </x:row>
    <x:row r="21" ht="54" customHeight="1">
      <x:c r="A21" s="17" t="str">
        <x:v>fate_out_of_control</x:v>
      </x:c>
      <x:c r="B21" s="17" t="str">
        <x:v>管不住了</x:v>
      </x:c>
      <x:c r="C21" s="17" t="str">
        <x:v>诅咒</x:v>
      </x:c>
      <x:c r="D21" s="17" t="str">
        <x:v>禁忌</x:v>
      </x:c>
      <x:c r="E21" s="17" t="str">
        <x:v>子弹上的枪随机乱射</x:v>
      </x:c>
      <x:c r="F21" s="17" t="str">
        <x:v>选择一个子弹，携带的枪会随机乱射，射击方向完全随机，伤害提升 30%</x:v>
      </x:c>
      <x:c r="G21" s="17" t="str">
        <x:v>失控的附属枪不再等待瞄准，用更高伤害换取完全不可预测的方向。</x:v>
      </x:c>
      <x:c r="H21" s="19" t="str">
        <x:v>[Codex补充]</x:v>
      </x:c>
      <x:c r="I21" s="17" t="str">
        <x:v>require_gun=true；select=BULLET</x:v>
      </x:c>
      <x:c r="J21" s="17" t="str">
        <x:v>action=OUT_OF_CONTROL；damage_scale=1.3；fire_rate_scale=2；spread_angle=360</x:v>
      </x:c>
      <x:c r="K21" s="17" t="str">
        <x:v>门后命运/三选一/工作台共用卡池</x:v>
      </x:c>
      <x:c r="L21" s="18" t="str">
        <x:v>[已实装]</x:v>
      </x:c>
      <x:c r="M21" s="17" t="str">
        <x:v>正式3D效果执行、稳定ID、三作用域与武器命运槽已验收；逐卡专属表现待QA</x:v>
      </x:c>
      <x:c r="N21" s="17" t="str">
        <x:v>src/weapons/FateCard.gd；src/weapons/FateCardPresets.gd；src/weapons/FateCardEngine.gd；src/game/FateCardGameBridge.gd</x:v>
      </x:c>
      <x:c r="O21" s="17" t="str">
        <x:v>运行时与存档均使用左侧stable_card_id；卡片记录携带效果参数快照</x:v>
      </x:c>
      <x:c r="P21" s="46" t="str">
        <x:v>WEAPON</x:v>
      </x:c>
      <x:c r="Q21" s="45" t="str">
        <x:v>占目标枪械下一个永久命运槽；按序追加、不可拆卸/替换/回退</x:v>
      </x:c>
      <x:c r="R21" s="47" t="str">
        <x:v>[已实装] 显式作用域与所有者分离；WEAPON线性占槽，CHARACTER/WORLD不占槽</x:v>
      </x:c>
      <x:c r="S21" s="45" t="str">
        <x:v>★ 星星命运｜显示失控行为、伤害/射速代价和风险徽记</x:v>
      </x:c>
      <x:c r="T21" s="45" t="str">
        <x:v>枪身警示脉冲、异常后坐/弹道与危险音色对应真实失控规则</x:v>
      </x:c>
      <x:c r="U21" s="47" t="str">
        <x:v>[部分完成] 作用域、目标、下一槽、永久警告与失败原因已实装；逐卡专属VFX/音频仍待QA</x:v>
      </x:c>
    </x:row>
    <x:row r="22" ht="54" customHeight="1">
      <x:c r="A22" s="17" t="str">
        <x:v>fate_gluttony</x:v>
      </x:c>
      <x:c r="B22" s="17" t="str">
        <x:v>火力暴食</x:v>
      </x:c>
      <x:c r="C22" s="17" t="str">
        <x:v>诅咒</x:v>
      </x:c>
      <x:c r="D22" s="17" t="str">
        <x:v>禁忌</x:v>
      </x:c>
      <x:c r="E22" s="17" t="str">
        <x:v>每次命中子弹变大，伤害变高</x:v>
      </x:c>
      <x:c r="F22" s="17" t="str">
        <x:v>选择一个子弹，每次命中敌人后子弹伤害和体积增加 15%，最大可叠加 5 次</x:v>
      </x:c>
      <x:c r="G22" s="17" t="str">
        <x:v>每次命中都让弹体吞下一部分猎物，直到体积与力量达到极限。</x:v>
      </x:c>
      <x:c r="H22" s="19" t="str">
        <x:v>[Codex补充]</x:v>
      </x:c>
      <x:c r="I22" s="17" t="str">
        <x:v>select=BULLET</x:v>
      </x:c>
      <x:c r="J22" s="17" t="str">
        <x:v>action=SIZE_GROWTH；damage_per_hit=0.15；max_stacks=5；scale_per_hit=0.12</x:v>
      </x:c>
      <x:c r="K22" s="17" t="str">
        <x:v>门后命运/三选一/工作台共用卡池</x:v>
      </x:c>
      <x:c r="L22" s="18" t="str">
        <x:v>[已实装]</x:v>
      </x:c>
      <x:c r="M22" s="17" t="str">
        <x:v>正式3D效果执行、稳定ID、三作用域与武器命运槽已验收；逐卡专属表现待QA</x:v>
      </x:c>
      <x:c r="N22" s="17" t="str">
        <x:v>src/weapons/FateCard.gd；src/weapons/FateCardPresets.gd；src/weapons/FateCardEngine.gd；src/game/FateCardGameBridge.gd</x:v>
      </x:c>
      <x:c r="O22" s="17" t="str">
        <x:v>运行时与存档均使用左侧stable_card_id；卡片记录携带效果参数快照</x:v>
      </x:c>
      <x:c r="P22" s="46" t="str">
        <x:v>WEAPON</x:v>
      </x:c>
      <x:c r="Q22" s="45" t="str">
        <x:v>占目标枪械下一个永久命运槽；按序追加、不可拆卸/替换/回退</x:v>
      </x:c>
      <x:c r="R22" s="47" t="str">
        <x:v>[已实装] 显式作用域与所有者分离；WEAPON线性占槽，CHARACTER/WORLD不占槽</x:v>
      </x:c>
      <x:c r="S22" s="45" t="str">
        <x:v>★ 星星命运｜显示成长触发、每层倍率、当前/最大层数</x:v>
      </x:c>
      <x:c r="T22" s="45" t="str">
        <x:v>弹体或节点随层数渐进增大；HUD层数与尺寸变化同步，满层明显收束</x:v>
      </x:c>
      <x:c r="U22" s="47" t="str">
        <x:v>[部分完成] 作用域、目标、下一槽、永久警告与失败原因已实装；逐卡专属VFX/音频仍待QA</x:v>
      </x:c>
    </x:row>
    <x:row r="23" ht="54" customHeight="1">
      <x:c r="A23" s="17" t="str">
        <x:v>fate_explode_reload</x:v>
      </x:c>
      <x:c r="B23" s="17" t="str">
        <x:v>换弹爆炸</x:v>
      </x:c>
      <x:c r="C23" s="17" t="str">
        <x:v>诅咒</x:v>
      </x:c>
      <x:c r="D23" s="17" t="str">
        <x:v>禁忌</x:v>
      </x:c>
      <x:c r="E23" s="17" t="str">
        <x:v>换弹时对周围造成爆炸伤害</x:v>
      </x:c>
      <x:c r="F23" s="17" t="str">
        <x:v>选择一个枪身，换弹时对周围 150 范围内的敌人造成 80% 伤害的爆炸，但换弹时间增加 0.5 秒</x:v>
      </x:c>
      <x:c r="G23" s="17" t="str">
        <x:v>被排出的热量在换弹瞬间释放，保护了空窗，也延长了空窗。</x:v>
      </x:c>
      <x:c r="H23" s="19" t="str">
        <x:v>[Codex补充]</x:v>
      </x:c>
      <x:c r="I23" s="17" t="str">
        <x:v>select=GUNBODY</x:v>
      </x:c>
      <x:c r="J23" s="17" t="str">
        <x:v>action=EXPLODE_ON_RELOAD；explosion_damage=0.8；explosion_radius=150；reload_penalty=0.5</x:v>
      </x:c>
      <x:c r="K23" s="17" t="str">
        <x:v>门后命运/三选一/工作台共用卡池</x:v>
      </x:c>
      <x:c r="L23" s="18" t="str">
        <x:v>[已实装]</x:v>
      </x:c>
      <x:c r="M23" s="17" t="str">
        <x:v>正式3D效果执行、稳定ID、三作用域与武器命运槽已验收；逐卡专属表现待QA</x:v>
      </x:c>
      <x:c r="N23" s="17" t="str">
        <x:v>src/weapons/FateCard.gd；src/weapons/FateCardPresets.gd；src/weapons/FateCardEngine.gd；src/game/FateCardGameBridge.gd</x:v>
      </x:c>
      <x:c r="O23" s="17" t="str">
        <x:v>运行时与存档均使用左侧stable_card_id；卡片记录携带效果参数快照</x:v>
      </x:c>
      <x:c r="P23" s="46" t="str">
        <x:v>WEAPON</x:v>
      </x:c>
      <x:c r="Q23" s="45" t="str">
        <x:v>占目标枪械下一个永久命运槽；按序追加、不可拆卸/替换/回退</x:v>
      </x:c>
      <x:c r="R23" s="47" t="str">
        <x:v>[已实装] 显式作用域与所有者分离；WEAPON线性占槽，CHARACTER/WORLD不占槽</x:v>
      </x:c>
      <x:c r="S23" s="45" t="str">
        <x:v>★ 星星命运｜显示换弹触发、爆炸伤害/半径；换弹按钮旁持续危险标志</x:v>
      </x:c>
      <x:c r="T23" s="45" t="str">
        <x:v>换弹开始显示范围圈与充能，结算时爆炸VFX/音效和伤害时点一致</x:v>
      </x:c>
      <x:c r="U23" s="47" t="str">
        <x:v>[部分完成] 作用域、目标、下一槽、永久警告与失败原因已实装；逐卡专属VFX/音频仍待QA</x:v>
      </x:c>
    </x:row>
    <x:row r="24" ht="54" customHeight="1">
      <x:c r="A24" s="17" t="str">
        <x:v>fate_every_seventh</x:v>
      </x:c>
      <x:c r="B24" s="17" t="str">
        <x:v>每第七发</x:v>
      </x:c>
      <x:c r="C24" s="17" t="str">
        <x:v>规则</x:v>
      </x:c>
      <x:c r="D24" s="17" t="str">
        <x:v>稀有</x:v>
      </x:c>
      <x:c r="E24" s="17" t="str">
        <x:v>第7发子弹触发额外效果</x:v>
      </x:c>
      <x:c r="F24" s="17" t="str">
        <x:v>选择一个枪身，第 7 发子弹伤害翻倍并引发小爆炸</x:v>
      </x:c>
      <x:c r="G24" s="17" t="str">
        <x:v>塔内旧式计数器只承认第七次脉冲，并把那一发标记为异常。</x:v>
      </x:c>
      <x:c r="H24" s="19" t="str">
        <x:v>[Codex补充]</x:v>
      </x:c>
      <x:c r="I24" s="17" t="str">
        <x:v>select=GUNBODY</x:v>
      </x:c>
      <x:c r="J24" s="17" t="str">
        <x:v>action=EVERY_NTH_FIRE；bonus_effect=small_explosion；damage_multiplier=2；nth=7</x:v>
      </x:c>
      <x:c r="K24" s="17" t="str">
        <x:v>门后命运/三选一/工作台共用卡池</x:v>
      </x:c>
      <x:c r="L24" s="18" t="str">
        <x:v>[已实装]</x:v>
      </x:c>
      <x:c r="M24" s="17" t="str">
        <x:v>正式3D效果执行、稳定ID、三作用域与武器命运槽已验收；逐卡专属表现待QA</x:v>
      </x:c>
      <x:c r="N24" s="17" t="str">
        <x:v>src/weapons/FateCard.gd；src/weapons/FateCardPresets.gd；src/weapons/FateCardEngine.gd；src/game/FateCardGameBridge.gd</x:v>
      </x:c>
      <x:c r="O24" s="17" t="str">
        <x:v>运行时与存档均使用左侧stable_card_id；卡片记录携带效果参数快照</x:v>
      </x:c>
      <x:c r="P24" s="46" t="str">
        <x:v>WEAPON</x:v>
      </x:c>
      <x:c r="Q24" s="45" t="str">
        <x:v>占目标枪械下一个永久命运槽；按序追加、不可拆卸/替换/回退</x:v>
      </x:c>
      <x:c r="R24" s="47" t="str">
        <x:v>[已实装] 显式作用域与所有者分离；WEAPON线性占槽，CHARACTER/WORLD不占槽</x:v>
      </x:c>
      <x:c r="S24" s="45" t="str">
        <x:v>★ 星星命运｜HUD显示1–7发计数和第7发效果预览；详情写明计数重置规则</x:v>
      </x:c>
      <x:c r="T24" s="45" t="str">
        <x:v>第7发枪身、弹体和枪口焰同时高亮，命中使用专属反馈</x:v>
      </x:c>
      <x:c r="U24" s="47" t="str">
        <x:v>[部分完成] 作用域、目标、下一槽、永久警告与失败原因已实装；逐卡专属VFX/音频仍待QA</x:v>
      </x:c>
    </x:row>
    <x:row r="25" ht="54" customHeight="1">
      <x:c r="A25" s="17" t="str">
        <x:v>fate_crit_kill</x:v>
      </x:c>
      <x:c r="B25" s="17" t="str">
        <x:v>致命一击</x:v>
      </x:c>
      <x:c r="C25" s="17" t="str">
        <x:v>规则</x:v>
      </x:c>
      <x:c r="D25" s="17" t="str">
        <x:v>稀有</x:v>
      </x:c>
      <x:c r="E25" s="17" t="str">
        <x:v>击杀后下次射击必定暴击</x:v>
      </x:c>
      <x:c r="F25" s="17" t="str">
        <x:v>选择一个枪身，击杀敌人后下一次射击必暴击，暴击伤害 × 2.5</x:v>
      </x:c>
      <x:c r="G25" s="17" t="str">
        <x:v>一次击杀会在枪机里留下短暂确信，使下一发必然寻找最脆弱的位置。</x:v>
      </x:c>
      <x:c r="H25" s="19" t="str">
        <x:v>[Codex补充]</x:v>
      </x:c>
      <x:c r="I25" s="17" t="str">
        <x:v>select=GUNBODY</x:v>
      </x:c>
      <x:c r="J25" s="17" t="str">
        <x:v>action=CRIT_ON_KILL；crit_damage_multiplier=2.5；stacks=1</x:v>
      </x:c>
      <x:c r="K25" s="17" t="str">
        <x:v>门后命运/三选一/工作台共用卡池</x:v>
      </x:c>
      <x:c r="L25" s="18" t="str">
        <x:v>[已实装]</x:v>
      </x:c>
      <x:c r="M25" s="17" t="str">
        <x:v>正式3D效果执行、稳定ID、三作用域与武器命运槽已验收；逐卡专属表现待QA</x:v>
      </x:c>
      <x:c r="N25" s="17" t="str">
        <x:v>src/weapons/FateCard.gd；src/weapons/FateCardPresets.gd；src/weapons/FateCardEngine.gd；src/game/FateCardGameBridge.gd</x:v>
      </x:c>
      <x:c r="O25" s="17" t="str">
        <x:v>运行时与存档均使用左侧stable_card_id；卡片记录携带效果参数快照</x:v>
      </x:c>
      <x:c r="P25" s="46" t="str">
        <x:v>WEAPON</x:v>
      </x:c>
      <x:c r="Q25" s="45" t="str">
        <x:v>占目标枪械下一个永久命运槽；按序追加、不可拆卸/替换/回退</x:v>
      </x:c>
      <x:c r="R25" s="47" t="str">
        <x:v>[已实装] 显式作用域与所有者分离；WEAPON线性占槽，CHARACTER/WORLD不占槽</x:v>
      </x:c>
      <x:c r="S25" s="45" t="str">
        <x:v>★ 星星命运｜显示暴击击杀条件、奖励倍率/层数和当前进度</x:v>
      </x:c>
      <x:c r="T25" s="45" t="str">
        <x:v>暴击击杀出现区别于普通暴击的印记，奖励生效时HUD来源图标亮起</x:v>
      </x:c>
      <x:c r="U25" s="47" t="str">
        <x:v>[部分完成] 作用域、目标、下一槽、永久警告与失败原因已实装；逐卡专属VFX/音频仍待QA</x:v>
      </x:c>
    </x:row>
    <x:row r="26" ht="54" customHeight="1">
      <x:c r="A26" s="17" t="str">
        <x:v>fate_huge_scale</x:v>
      </x:c>
      <x:c r="B26" s="17" t="str">
        <x:v>巨大化</x:v>
      </x:c>
      <x:c r="C26" s="17" t="str">
        <x:v>视觉</x:v>
      </x:c>
      <x:c r="D26" s="17" t="str">
        <x:v>普通</x:v>
      </x:c>
      <x:c r="E26" s="17" t="str">
        <x:v>节点整体放大 2 倍</x:v>
      </x:c>
      <x:c r="F26" s="17" t="str">
        <x:v>选择一个节点，该节点及其所有子节点放大 2 倍，伤害提升 50%，速度降低 40%</x:v>
      </x:c>
      <x:c r="G26" s="17" t="str">
        <x:v>命运把整棵装配树一同放大，力量随之增长，惯性也变得无法忽略。</x:v>
      </x:c>
      <x:c r="H26" s="19" t="str">
        <x:v>[Codex补充]</x:v>
      </x:c>
      <x:c r="I26" s="17" t="str"/>
      <x:c r="J26" s="17" t="str">
        <x:v>action=SCALE_UP；damage_scale=1.5；scale=2；speed_scale=0.6</x:v>
      </x:c>
      <x:c r="K26" s="17" t="str">
        <x:v>门后命运/三选一/工作台共用卡池</x:v>
      </x:c>
      <x:c r="L26" s="18" t="str">
        <x:v>[已实装]</x:v>
      </x:c>
      <x:c r="M26" s="17" t="str">
        <x:v>正式3D效果执行、稳定ID、三作用域与武器命运槽已验收；逐卡专属表现待QA</x:v>
      </x:c>
      <x:c r="N26" s="17" t="str">
        <x:v>src/weapons/FateCard.gd；src/weapons/FateCardPresets.gd；src/weapons/FateCardEngine.gd；src/game/FateCardGameBridge.gd</x:v>
      </x:c>
      <x:c r="O26" s="17" t="str">
        <x:v>运行时与存档均使用左侧stable_card_id；卡片记录携带效果参数快照</x:v>
      </x:c>
      <x:c r="P26" s="46" t="str">
        <x:v>WEAPON</x:v>
      </x:c>
      <x:c r="Q26" s="45" t="str">
        <x:v>占目标枪械下一个永久命运槽；按序追加、不可拆卸/替换/回退</x:v>
      </x:c>
      <x:c r="R26" s="47" t="str">
        <x:v>[已实装] 显式作用域与所有者分离；WEAPON线性占槽，CHARACTER/WORLD不占槽</x:v>
      </x:c>
      <x:c r="S26" s="45" t="str">
        <x:v>★ 星星命运｜显示目标节点、尺寸倍率和伤害/速度等伴随变化</x:v>
      </x:c>
      <x:c r="T26" s="45" t="str">
        <x:v>目标获得夸张但不遮挡视野的体积变化；碰撞与命中轮廓保持一致</x:v>
      </x:c>
      <x:c r="U26" s="47" t="str">
        <x:v>[部分完成] 作用域、目标、下一槽、永久警告与失败原因已实装；逐卡专属VFX/音频仍待QA</x:v>
      </x:c>
    </x:row>
    <x:row r="27" ht="54" customHeight="1">
      <x:c r="A27" s="17" t="str">
        <x:v>fate_reinforce</x:v>
      </x:c>
      <x:c r="B27" s="17" t="str">
        <x:v>敌增援</x:v>
      </x:c>
      <x:c r="C27" s="17" t="str">
        <x:v>规则</x:v>
      </x:c>
      <x:c r="D27" s="17" t="str">
        <x:v>史诗</x:v>
      </x:c>
      <x:c r="E27" s="17" t="str">
        <x:v>连续击杀后额外刷新一波怪物</x:v>
      </x:c>
      <x:c r="F27" s="17" t="str">
        <x:v>连续击杀 5 个敌人后，在房间随机位置额外刷新一波怪物</x:v>
      </x:c>
      <x:c r="G27" s="17" t="str">
        <x:v>连续死亡会惊醒附近房间的警戒网，把原本不属于本波的敌人召来。</x:v>
      </x:c>
      <x:c r="H27" s="19" t="str">
        <x:v>[Codex补充]</x:v>
      </x:c>
      <x:c r="I27" s="17" t="str"/>
      <x:c r="J27" s="17" t="str">
        <x:v>action=REINFORCE_WAVE；kill_threshold=5；spawn_count=3</x:v>
      </x:c>
      <x:c r="K27" s="17" t="str">
        <x:v>玩家卡池；也可由地图阈值事件触发</x:v>
      </x:c>
      <x:c r="L27" s="18" t="str">
        <x:v>[已实装]</x:v>
      </x:c>
      <x:c r="M27" s="17" t="str">
        <x:v>正式3D效果执行、稳定ID、三作用域与武器命运槽已验收；逐卡专属表现待QA</x:v>
      </x:c>
      <x:c r="N27" s="17" t="str">
        <x:v>src/weapons/FateCard.gd；src/weapons/FateCardPresets.gd；src/weapons/FateCardEngine.gd；src/game/FateCardGameBridge.gd</x:v>
      </x:c>
      <x:c r="O27" s="17" t="str">
        <x:v>运行时与存档均使用左侧stable_card_id；卡片记录携带效果参数快照</x:v>
      </x:c>
      <x:c r="P27" s="46" t="str">
        <x:v>WORLD</x:v>
      </x:c>
      <x:c r="Q27" s="45" t="str">
        <x:v>不占武器槽；写入行动/房间/掉落规则状态</x:v>
      </x:c>
      <x:c r="R27" s="47" t="str">
        <x:v>[已实装] 显式作用域与所有者分离；WEAPON线性占槽，CHARACTER/WORLD不占槽</x:v>
      </x:c>
      <x:c r="S27" s="45" t="str">
        <x:v>☀ 太阳命运｜标记WORLD、不占武器槽；显示增援阈值、波数和影响房间</x:v>
      </x:c>
      <x:c r="T27" s="45" t="str">
        <x:v>地图/房间出现增援警报、入口方向和敌人波次反馈，枪身不刻印</x:v>
      </x:c>
      <x:c r="U27" s="47" t="str">
        <x:v>[部分完成] 作用域、目标、下一槽、永久警告与失败原因已实装；逐卡专属VFX/音频仍待QA</x:v>
      </x:c>
    </x:row>
    <x:row r="28" ht="54" customHeight="1">
      <x:c r="A28" s="17" t="str">
        <x:v>fate_mark_enemy</x:v>
      </x:c>
      <x:c r="B28" s="17" t="str">
        <x:v>命运标记</x:v>
      </x:c>
      <x:c r="C28" s="17" t="str">
        <x:v>规则</x:v>
      </x:c>
      <x:c r="D28" s="17" t="str">
        <x:v>传说</x:v>
      </x:c>
      <x:c r="E28" s="17" t="str">
        <x:v>击杀第10个敌人获得随机命卡</x:v>
      </x:c>
      <x:c r="F28" s="17" t="str">
        <x:v>每击杀 10 个敌人，有 50% 概率获得一张随机命运卡片</x:v>
      </x:c>
      <x:c r="G28" s="17" t="str">
        <x:v>第十个倒下者会留下短暂印记，偶尔把一张新的规则卡交给胜者。</x:v>
      </x:c>
      <x:c r="H28" s="19" t="str">
        <x:v>[Codex补充]</x:v>
      </x:c>
      <x:c r="I28" s="17" t="str"/>
      <x:c r="J28" s="17" t="str">
        <x:v>action=GRANT_RANDOM_CARD；grant_probability=0.5；kill_threshold=10</x:v>
      </x:c>
      <x:c r="K28" s="17" t="str">
        <x:v>玩家卡池；也可由地图阈值事件触发</x:v>
      </x:c>
      <x:c r="L28" s="18" t="str">
        <x:v>[已实装]</x:v>
      </x:c>
      <x:c r="M28" s="17" t="str">
        <x:v>正式3D效果执行、稳定ID、三作用域与武器命运槽已验收；逐卡专属表现待QA</x:v>
      </x:c>
      <x:c r="N28" s="17" t="str">
        <x:v>src/weapons/FateCard.gd；src/weapons/FateCardPresets.gd；src/weapons/FateCardEngine.gd；src/game/FateCardGameBridge.gd</x:v>
      </x:c>
      <x:c r="O28" s="17" t="str">
        <x:v>运行时与存档均使用左侧stable_card_id；卡片记录携带效果参数快照</x:v>
      </x:c>
      <x:c r="P28" s="46" t="str">
        <x:v>CHARACTER</x:v>
      </x:c>
      <x:c r="Q28" s="45" t="str">
        <x:v>不占武器槽；写入角色局内规则状态</x:v>
      </x:c>
      <x:c r="R28" s="47" t="str">
        <x:v>[已实装] 显式作用域与所有者分离；WEAPON线性占槽，CHARACTER/WORLD不占槽</x:v>
      </x:c>
      <x:c r="S28" s="45" t="str">
        <x:v>☾ 月亮命运｜标记CHARACTER、不占武器槽；显示标记数量、触发条件和角色状态</x:v>
      </x:c>
      <x:c r="T28" s="45" t="str">
        <x:v>目标头顶出现可读标记；达成条件时角色HUD进度完成，枪械外观不变</x:v>
      </x:c>
      <x:c r="U28" s="47" t="str">
        <x:v>[部分完成] 作用域、目标、下一槽、永久警告与失败原因已实装；逐卡专属VFX/音频仍待QA</x:v>
      </x:c>
    </x:row>
    <x:row r="29" ht="54" customHeight="1">
      <x:c r="A29" s="17" t="str">
        <x:v>fate_lucky_chest</x:v>
      </x:c>
      <x:c r="B29" s="17" t="str">
        <x:v>幸运发现</x:v>
      </x:c>
      <x:c r="C29" s="17" t="str">
        <x:v>规则</x:v>
      </x:c>
      <x:c r="D29" s="17" t="str">
        <x:v>稀有</x:v>
      </x:c>
      <x:c r="E29" s="17" t="str">
        <x:v>下一箱物品品质+1</x:v>
      </x:c>
      <x:c r="F29" s="17" t="str">
        <x:v>下一个开启的箱子物品品质提升 1 级（白色→蓝色→紫色→金色）</x:v>
      </x:c>
      <x:c r="G29" s="17" t="str">
        <x:v>被标记的下一个容器会被命运重新估价，里面的东西更接近玩家需要的层级。</x:v>
      </x:c>
      <x:c r="H29" s="19" t="str">
        <x:v>[Codex补充]</x:v>
      </x:c>
      <x:c r="I29" s="17" t="str"/>
      <x:c r="J29" s="17" t="str">
        <x:v>action=LUCKY_CHEST；upgrade_tiers=1</x:v>
      </x:c>
      <x:c r="K29" s="17" t="str">
        <x:v>玩家卡池；也可由地图阈值事件触发</x:v>
      </x:c>
      <x:c r="L29" s="18" t="str">
        <x:v>[已实装]</x:v>
      </x:c>
      <x:c r="M29" s="17" t="str">
        <x:v>正式3D效果执行、稳定ID、三作用域与武器命运槽已验收；逐卡专属表现待QA</x:v>
      </x:c>
      <x:c r="N29" s="17" t="str">
        <x:v>src/weapons/FateCard.gd；src/weapons/FateCardPresets.gd；src/weapons/FateCardEngine.gd；src/game/FateCardGameBridge.gd</x:v>
      </x:c>
      <x:c r="O29" s="17" t="str">
        <x:v>运行时与存档均使用左侧stable_card_id；卡片记录携带效果参数快照</x:v>
      </x:c>
      <x:c r="P29" s="46" t="str">
        <x:v>WORLD</x:v>
      </x:c>
      <x:c r="Q29" s="45" t="str">
        <x:v>不占武器槽；写入行动/房间/掉落规则状态</x:v>
      </x:c>
      <x:c r="R29" s="47" t="str">
        <x:v>[已实装] 显式作用域与所有者分离；WEAPON线性占槽，CHARACTER/WORLD不占槽</x:v>
      </x:c>
      <x:c r="S29" s="45" t="str">
        <x:v>☀ 太阳命运｜标记WORLD、不占武器槽；显示下一宝箱升级次数和消耗条件</x:v>
      </x:c>
      <x:c r="T29" s="45" t="str">
        <x:v>地图/宝箱图标带幸运标记，实际开箱时品质升级动画后再消耗状态</x:v>
      </x:c>
      <x:c r="U29" s="47" t="str">
        <x:v>[部分完成] 作用域、目标、下一槽、永久警告与失败原因已实装；逐卡专属VFX/音频仍待QA</x:v>
      </x:c>
    </x:row>
    <x:row r="30" ht="54" customHeight="1">
      <x:c r="A30" s="17" t="str">
        <x:v>fate_extra_loot</x:v>
      </x:c>
      <x:c r="B30" s="17" t="str">
        <x:v>额外掉落</x:v>
      </x:c>
      <x:c r="C30" s="17" t="str">
        <x:v>规则</x:v>
      </x:c>
      <x:c r="D30" s="17" t="str">
        <x:v>稀有</x:v>
      </x:c>
      <x:c r="E30" s="17" t="str">
        <x:v>下一箱额外掉落一件物品</x:v>
      </x:c>
      <x:c r="F30" s="17" t="str">
        <x:v>下一个开启的箱子额外掉落一件随机物品</x:v>
      </x:c>
      <x:c r="G30" s="17" t="str">
        <x:v>命运在下一个箱子的清单末尾多写了一行，内容直到打开才确定。</x:v>
      </x:c>
      <x:c r="H30" s="19" t="str">
        <x:v>[Codex补充]</x:v>
      </x:c>
      <x:c r="I30" s="17" t="str"/>
      <x:c r="J30" s="17" t="str">
        <x:v>action=EXTRA_LOOT；extra_count=1</x:v>
      </x:c>
      <x:c r="K30" s="17" t="str">
        <x:v>玩家卡池；也可由地图阈值事件触发</x:v>
      </x:c>
      <x:c r="L30" s="18" t="str">
        <x:v>[已实装]</x:v>
      </x:c>
      <x:c r="M30" s="17" t="str">
        <x:v>正式3D效果执行、稳定ID、三作用域与武器命运槽已验收；逐卡专属表现待QA</x:v>
      </x:c>
      <x:c r="N30" s="17" t="str">
        <x:v>src/weapons/FateCard.gd；src/weapons/FateCardPresets.gd；src/weapons/FateCardEngine.gd；src/game/FateCardGameBridge.gd</x:v>
      </x:c>
      <x:c r="O30" s="17" t="str">
        <x:v>运行时与存档均使用左侧stable_card_id；卡片记录携带效果参数快照</x:v>
      </x:c>
      <x:c r="P30" s="46" t="str">
        <x:v>WORLD</x:v>
      </x:c>
      <x:c r="Q30" s="45" t="str">
        <x:v>不占武器槽；写入行动/房间/掉落规则状态</x:v>
      </x:c>
      <x:c r="R30" s="47" t="str">
        <x:v>[已实装] 显式作用域与所有者分离；WEAPON线性占槽，CHARACTER/WORLD不占槽</x:v>
      </x:c>
      <x:c r="S30" s="45" t="str">
        <x:v>☀ 太阳命运｜标记WORLD、不占武器槽；显示下一次额外掉落的触发对象/次数</x:v>
      </x:c>
      <x:c r="T30" s="45" t="str">
        <x:v>有效击杀或开箱时出现额外掉落光束和来源提示，触发后计数归零</x:v>
      </x:c>
      <x:c r="U30" s="47" t="str">
        <x:v>[部分完成] 作用域、目标、下一槽、永久警告与失败原因已实装；逐卡专属VFX/音频仍待QA</x:v>
      </x:c>
    </x:row>
    <x:row r="31" ht="54" customHeight="1">
      <x:c r="A31" s="17" t="str">
        <x:v>fate_curse_map</x:v>
      </x:c>
      <x:c r="B31" s="17" t="str">
        <x:v>诅咒降临</x:v>
      </x:c>
      <x:c r="C31" s="17" t="str">
        <x:v>诅咒</x:v>
      </x:c>
      <x:c r="D31" s="17" t="str">
        <x:v>禁忌</x:v>
      </x:c>
      <x:c r="E31" s="17" t="str">
        <x:v>本房间敌人伤害+15%</x:v>
      </x:c>
      <x:c r="F31" s="17" t="str">
        <x:v>当前房间内所有敌人伤害提升 15%，击杀后诅咒消失</x:v>
      </x:c>
      <x:c r="G31" s="17" t="str">
        <x:v>房间用更危险的敌人交换更强的叙事压力，清理完成后诅咒随之消散。</x:v>
      </x:c>
      <x:c r="H31" s="19" t="str">
        <x:v>[Codex补充]</x:v>
      </x:c>
      <x:c r="I31" s="17" t="str"/>
      <x:c r="J31" s="17" t="str">
        <x:v>action=CURSE_ROOM_ENEMIES；clear_on_kill=true；damage_bonus=0.15</x:v>
      </x:c>
      <x:c r="K31" s="17" t="str">
        <x:v>玩家卡池；也可由地图阈值事件触发</x:v>
      </x:c>
      <x:c r="L31" s="18" t="str">
        <x:v>[已实装]</x:v>
      </x:c>
      <x:c r="M31" s="17" t="str">
        <x:v>正式3D效果执行、稳定ID、三作用域与武器命运槽已验收；逐卡专属表现待QA</x:v>
      </x:c>
      <x:c r="N31" s="17" t="str">
        <x:v>src/weapons/FateCard.gd；src/weapons/FateCardPresets.gd；src/weapons/FateCardEngine.gd；src/game/FateCardGameBridge.gd</x:v>
      </x:c>
      <x:c r="O31" s="17" t="str">
        <x:v>运行时与存档均使用左侧stable_card_id；卡片记录携带效果参数快照</x:v>
      </x:c>
      <x:c r="P31" s="46" t="str">
        <x:v>WORLD</x:v>
      </x:c>
      <x:c r="Q31" s="45" t="str">
        <x:v>不占武器槽；写入行动/房间/掉落规则状态</x:v>
      </x:c>
      <x:c r="R31" s="47" t="str">
        <x:v>[已实装] 显式作用域与所有者分离；WEAPON线性占槽，CHARACTER/WORLD不占槽</x:v>
      </x:c>
      <x:c r="S31" s="45" t="str">
        <x:v>☀ 太阳命运｜标记WORLD、不占武器槽；显示全局代价、影响范围和持续时间</x:v>
      </x:c>
      <x:c r="T31" s="45" t="str">
        <x:v>小地图边框、环境异常和受影响单位图标统一使用诅咒语言，枪械不占槽</x:v>
      </x:c>
      <x:c r="U31" s="47" t="str">
        <x:v>[部分完成] 作用域、目标、下一槽、永久警告与失败原因已实装；逐卡专属VFX/音频仍待QA</x:v>
      </x:c>
    </x:row>
    <x:row r="32" ht="54" customHeight="1">
      <x:c r="A32" s="17" t="str">
        <x:v>fate_bless_dead</x:v>
      </x:c>
      <x:c r="B32" s="17" t="str">
        <x:v>亡者祝福</x:v>
      </x:c>
      <x:c r="C32" s="17" t="str">
        <x:v>规则</x:v>
      </x:c>
      <x:c r="D32" s="17" t="str">
        <x:v>史诗</x:v>
      </x:c>
      <x:c r="E32" s="17" t="str">
        <x:v>HP&lt;30%存活30秒→伤害+10%</x:v>
      </x:c>
      <x:c r="F32" s="17" t="str">
        <x:v>当 HP 低于 30% 时存活 30 秒，获得伤害 +10% 的祝福（可叠加）</x:v>
      </x:c>
      <x:c r="G32" s="17" t="str">
        <x:v>濒死却坚持存活的人会得到迟来的回报，伤痕被转化为可叠加的力量。</x:v>
      </x:c>
      <x:c r="H32" s="19" t="str">
        <x:v>[Codex补充]</x:v>
      </x:c>
      <x:c r="I32" s="17" t="str"/>
      <x:c r="J32" s="17" t="str">
        <x:v>action=BLESS_DEAD；damage_bonus=0.1；hp_threshold=0.3；max_stacks=3；survive_duration=30</x:v>
      </x:c>
      <x:c r="K32" s="17" t="str">
        <x:v>玩家卡池；也可由地图阈值事件触发</x:v>
      </x:c>
      <x:c r="L32" s="18" t="str">
        <x:v>[已实装]</x:v>
      </x:c>
      <x:c r="M32" s="17" t="str">
        <x:v>正式3D效果执行、稳定ID、三作用域与武器命运槽已验收；逐卡专属表现待QA</x:v>
      </x:c>
      <x:c r="N32" s="17" t="str">
        <x:v>src/weapons/FateCard.gd；src/weapons/FateCardPresets.gd；src/weapons/FateCardEngine.gd；src/game/FateCardGameBridge.gd</x:v>
      </x:c>
      <x:c r="O32" s="17" t="str">
        <x:v>运行时与存档均使用左侧stable_card_id；卡片记录携带效果参数快照</x:v>
      </x:c>
      <x:c r="P32" s="46" t="str">
        <x:v>CHARACTER</x:v>
      </x:c>
      <x:c r="Q32" s="45" t="str">
        <x:v>不占武器槽；写入角色局内规则状态</x:v>
      </x:c>
      <x:c r="R32" s="47" t="str">
        <x:v>[已实装] 显式作用域与所有者分离；WEAPON线性占槽，CHARACTER/WORLD不占槽</x:v>
      </x:c>
      <x:c r="S32" s="45" t="str">
        <x:v>☾ 月亮命运｜标记CHARACTER、不占武器槽；显示低生命阈值、增益、持续和冷却</x:v>
      </x:c>
      <x:c r="T32" s="45" t="str">
        <x:v>低血量时角色HUD与轮廓触发祝福，结束/冷却明确，枪械轨道不改变</x:v>
      </x:c>
      <x:c r="U32" s="47" t="str">
        <x:v>[部分完成] 作用域、目标、下一槽、永久警告与失败原因已实装；逐卡专属VFX/音频仍待QA</x:v>
      </x:c>
    </x:row>
    <x:row r="33">
      <x:c r="A33" s="56" t="str">
        <x:v>fate_moon_vitality</x:v>
      </x:c>
      <x:c r="B33" s="56" t="str">
        <x:v>月相增生</x:v>
      </x:c>
      <x:c r="C33" s="56" t="str">
        <x:v>强化</x:v>
      </x:c>
      <x:c r="D33" s="56" t="str">
        <x:v>稀有</x:v>
      </x:c>
      <x:c r="E33" s="56" t="str">
        <x:v>生命上限+20</x:v>
      </x:c>
      <x:c r="F33" s="56" t="str">
        <x:v>最大生命提升20，并立刻恢复20生命</x:v>
      </x:c>
      <x:c r="G33" s="56" t="str">
        <x:v>月光让受损躯体重新生长，把本局的生存空间向上推高。</x:v>
      </x:c>
      <x:c r="H33" s="57" t="str">
        <x:v>[用户设计]</x:v>
      </x:c>
      <x:c r="I33" s="56"/>
      <x:c r="J33" s="56" t="str">
        <x:v>action=APPLY_SCOPED_MODIFIER；modifier=max_hp；amount=20</x:v>
      </x:c>
      <x:c r="K33" s="56" t="str">
        <x:v>门后命运/三选一/工作台共用正式卡池</x:v>
      </x:c>
      <x:c r="L33" s="56" t="str">
        <x:v>[已实装]</x:v>
      </x:c>
      <x:c r="M33" s="56" t="str">
        <x:v>正式3D作用域结算、卡池、天体专名与常驻观察UI已通过专项验收</x:v>
      </x:c>
      <x:c r="N33" s="56" t="str">
        <x:v>src/weapons/FateCard.gd；src/weapons/FateCardPresets.gd；src/weapons/FateCardEngine.gd；src/game/FateCardGameBridge.gd；src/player3d/Player3D.gd；src/world3d/Dungeon3D.gd</x:v>
      </x:c>
      <x:c r="O33" s="56" t="str">
        <x:v>运行时使用stable_card_id；同名可叠加；不写入WeaponInstance命运槽</x:v>
      </x:c>
      <x:c r="P33" s="56" t="str">
        <x:v>CHARACTER</x:v>
      </x:c>
      <x:c r="Q33" s="56" t="str">
        <x:v>不占武器槽；写入角色局内规则状态</x:v>
      </x:c>
      <x:c r="R33" s="56" t="str">
        <x:v>[已实装并验收] 作用域所有者独立，可解耦维护</x:v>
      </x:c>
      <x:c r="S33" s="56" t="str">
        <x:v>☾ 月亮命运｜卡面显示☾月亮命运、角色本局、不占武器槽；常驻栏显示生命来源</x:v>
      </x:c>
      <x:c r="T33" s="56" t="str">
        <x:v>角色生命上限与当前生命同步增加，红色生命条立即扩容</x:v>
      </x:c>
      <x:c r="U33" s="56" t="str">
        <x:v>[核心已验收] 卡面专名、实际结算和常驻状态已完成；逐卡专属VFX/音频待QA</x:v>
      </x:c>
    </x:row>
    <x:row r="34">
      <x:c r="A34" s="56" t="str">
        <x:v>fate_moon_stride</x:v>
      </x:c>
      <x:c r="B34" s="56" t="str">
        <x:v>月影疾行</x:v>
      </x:c>
      <x:c r="C34" s="56" t="str">
        <x:v>强化</x:v>
      </x:c>
      <x:c r="D34" s="56" t="str">
        <x:v>稀有</x:v>
      </x:c>
      <x:c r="E34" s="56" t="str">
        <x:v>移速+12%</x:v>
      </x:c>
      <x:c r="F34" s="56" t="str">
        <x:v>本局角色移动速度提升12%</x:v>
      </x:c>
      <x:c r="G34" s="56" t="str">
        <x:v>月影贴着脚步移动，让角色更快穿过火力空隙。</x:v>
      </x:c>
      <x:c r="H34" s="57" t="str">
        <x:v>[用户设计]</x:v>
      </x:c>
      <x:c r="I34" s="56"/>
      <x:c r="J34" s="56" t="str">
        <x:v>action=APPLY_SCOPED_MODIFIER；modifier=move_speed；multiplier=1.12</x:v>
      </x:c>
      <x:c r="K34" s="56" t="str">
        <x:v>门后命运/三选一/工作台共用正式卡池</x:v>
      </x:c>
      <x:c r="L34" s="56" t="str">
        <x:v>[已实装]</x:v>
      </x:c>
      <x:c r="M34" s="56" t="str">
        <x:v>正式3D作用域结算、卡池、天体专名与常驻观察UI已通过专项验收</x:v>
      </x:c>
      <x:c r="N34" s="56" t="str">
        <x:v>src/weapons/FateCard.gd；src/weapons/FateCardPresets.gd；src/weapons/FateCardEngine.gd；src/game/FateCardGameBridge.gd；src/player3d/Player3D.gd；src/world3d/Dungeon3D.gd</x:v>
      </x:c>
      <x:c r="O34" s="56" t="str">
        <x:v>运行时使用stable_card_id；同名可叠加；不写入WeaponInstance命运槽</x:v>
      </x:c>
      <x:c r="P34" s="56" t="str">
        <x:v>CHARACTER</x:v>
      </x:c>
      <x:c r="Q34" s="56" t="str">
        <x:v>不占武器槽；写入角色局内规则状态</x:v>
      </x:c>
      <x:c r="R34" s="56" t="str">
        <x:v>[已实装并验收] 作用域所有者独立，可解耦维护</x:v>
      </x:c>
      <x:c r="S34" s="56" t="str">
        <x:v>☾ 月亮命运｜卡面显示☾月亮命运、移速+12%、不占武器槽</x:v>
      </x:c>
      <x:c r="T34" s="56" t="str">
        <x:v>角色实际移动速度提高，月亮命运常驻栏可追溯</x:v>
      </x:c>
      <x:c r="U34" s="56" t="str">
        <x:v>[核心已验收] 卡面专名、实际结算和常驻状态已完成；逐卡专属VFX/音频待QA</x:v>
      </x:c>
    </x:row>
    <x:row r="35">
      <x:c r="A35" s="56" t="str">
        <x:v>fate_moon_dash</x:v>
      </x:c>
      <x:c r="B35" s="56" t="str">
        <x:v>新月回转</x:v>
      </x:c>
      <x:c r="C35" s="56" t="str">
        <x:v>规则</x:v>
      </x:c>
      <x:c r="D35" s="56" t="str">
        <x:v>史诗</x:v>
      </x:c>
      <x:c r="E35" s="56" t="str">
        <x:v>冲刺冷却-20%</x:v>
      </x:c>
      <x:c r="F35" s="56" t="str">
        <x:v>本局冲刺冷却时间缩短20%</x:v>
      </x:c>
      <x:c r="G35" s="56" t="str">
        <x:v>新月缩短两次位移之间的空白，让脱险节奏更紧凑。</x:v>
      </x:c>
      <x:c r="H35" s="57" t="str">
        <x:v>[用户设计]</x:v>
      </x:c>
      <x:c r="I35" s="56"/>
      <x:c r="J35" s="56" t="str">
        <x:v>action=APPLY_SCOPED_MODIFIER；modifier=dash_cooldown；multiplier=0.8</x:v>
      </x:c>
      <x:c r="K35" s="56" t="str">
        <x:v>门后命运/三选一/工作台共用正式卡池</x:v>
      </x:c>
      <x:c r="L35" s="56" t="str">
        <x:v>[已实装]</x:v>
      </x:c>
      <x:c r="M35" s="56" t="str">
        <x:v>正式3D作用域结算、卡池、天体专名与常驻观察UI已通过专项验收</x:v>
      </x:c>
      <x:c r="N35" s="56" t="str">
        <x:v>src/weapons/FateCard.gd；src/weapons/FateCardPresets.gd；src/weapons/FateCardEngine.gd；src/game/FateCardGameBridge.gd；src/player3d/Player3D.gd；src/world3d/Dungeon3D.gd</x:v>
      </x:c>
      <x:c r="O35" s="56" t="str">
        <x:v>运行时使用stable_card_id；同名可叠加；不写入WeaponInstance命运槽</x:v>
      </x:c>
      <x:c r="P35" s="56" t="str">
        <x:v>CHARACTER</x:v>
      </x:c>
      <x:c r="Q35" s="56" t="str">
        <x:v>不占武器槽；写入角色局内规则状态</x:v>
      </x:c>
      <x:c r="R35" s="56" t="str">
        <x:v>[已实装并验收] 作用域所有者独立，可解耦维护</x:v>
      </x:c>
      <x:c r="S35" s="56" t="str">
        <x:v>☾ 月亮命运｜卡面显示☾月亮命运、冲刺冷却-20%、不占武器槽</x:v>
      </x:c>
      <x:c r="T35" s="56" t="str">
        <x:v>冲刺冷却实际缩短，HUD冷却进度按新时长结算</x:v>
      </x:c>
      <x:c r="U35" s="56" t="str">
        <x:v>[核心已验收] 卡面专名、实际结算和常驻状态已完成；逐卡专属VFX/音频待QA</x:v>
      </x:c>
    </x:row>
    <x:row r="36">
      <x:c r="A36" s="56" t="str">
        <x:v>fate_moon_guard</x:v>
      </x:c>
      <x:c r="B36" s="56" t="str">
        <x:v>银月护体</x:v>
      </x:c>
      <x:c r="C36" s="56" t="str">
        <x:v>强化</x:v>
      </x:c>
      <x:c r="D36" s="56" t="str">
        <x:v>史诗</x:v>
      </x:c>
      <x:c r="E36" s="56" t="str">
        <x:v>受伤-12%</x:v>
      </x:c>
      <x:c r="F36" s="56" t="str">
        <x:v>本局角色受到的伤害降低12%</x:v>
      </x:c>
      <x:c r="G36" s="56" t="str">
        <x:v>银色月壳在冲击抵达前分走一部分力量。</x:v>
      </x:c>
      <x:c r="H36" s="57" t="str">
        <x:v>[用户设计]</x:v>
      </x:c>
      <x:c r="I36" s="56"/>
      <x:c r="J36" s="56" t="str">
        <x:v>action=APPLY_SCOPED_MODIFIER；modifier=damage_taken；multiplier=0.88</x:v>
      </x:c>
      <x:c r="K36" s="56" t="str">
        <x:v>门后命运/三选一/工作台共用正式卡池</x:v>
      </x:c>
      <x:c r="L36" s="56" t="str">
        <x:v>[已实装]</x:v>
      </x:c>
      <x:c r="M36" s="56" t="str">
        <x:v>正式3D作用域结算、卡池、天体专名与常驻观察UI已通过专项验收</x:v>
      </x:c>
      <x:c r="N36" s="56" t="str">
        <x:v>src/weapons/FateCard.gd；src/weapons/FateCardPresets.gd；src/weapons/FateCardEngine.gd；src/game/FateCardGameBridge.gd；src/player3d/Player3D.gd；src/world3d/Dungeon3D.gd</x:v>
      </x:c>
      <x:c r="O36" s="56" t="str">
        <x:v>运行时使用stable_card_id；同名可叠加；不写入WeaponInstance命运槽</x:v>
      </x:c>
      <x:c r="P36" s="56" t="str">
        <x:v>CHARACTER</x:v>
      </x:c>
      <x:c r="Q36" s="56" t="str">
        <x:v>不占武器槽；写入角色局内规则状态</x:v>
      </x:c>
      <x:c r="R36" s="56" t="str">
        <x:v>[已实装并验收] 作用域所有者独立，可解耦维护</x:v>
      </x:c>
      <x:c r="S36" s="56" t="str">
        <x:v>☾ 月亮命运｜卡面显示☾月亮命运、受伤-12%、不占武器槽</x:v>
      </x:c>
      <x:c r="T36" s="56" t="str">
        <x:v>受击结算乘以0.88，角色状态常驻可见</x:v>
      </x:c>
      <x:c r="U36" s="56" t="str">
        <x:v>[核心已验收] 卡面专名、实际结算和常驻状态已完成；逐卡专属VFX/音频待QA</x:v>
      </x:c>
    </x:row>
    <x:row r="37">
      <x:c r="A37" s="56" t="str">
        <x:v>fate_moon_power</x:v>
      </x:c>
      <x:c r="B37" s="56" t="str">
        <x:v>月刃共鸣</x:v>
      </x:c>
      <x:c r="C37" s="56" t="str">
        <x:v>强化</x:v>
      </x:c>
      <x:c r="D37" s="56" t="str">
        <x:v>史诗</x:v>
      </x:c>
      <x:c r="E37" s="56" t="str">
        <x:v>枪伤+12%</x:v>
      </x:c>
      <x:c r="F37" s="56" t="str">
        <x:v>本局角色造成的枪械伤害提升12%</x:v>
      </x:c>
      <x:c r="G37" s="56" t="str">
        <x:v>月刃不改写枪械本体，却让持有者的每次射击更有力量。</x:v>
      </x:c>
      <x:c r="H37" s="57" t="str">
        <x:v>[用户设计]</x:v>
      </x:c>
      <x:c r="I37" s="56"/>
      <x:c r="J37" s="56" t="str">
        <x:v>action=APPLY_SCOPED_MODIFIER；modifier=weapon_damage；multiplier=1.12</x:v>
      </x:c>
      <x:c r="K37" s="56" t="str">
        <x:v>门后命运/三选一/工作台共用正式卡池</x:v>
      </x:c>
      <x:c r="L37" s="56" t="str">
        <x:v>[已实装]</x:v>
      </x:c>
      <x:c r="M37" s="56" t="str">
        <x:v>正式3D作用域结算、卡池、天体专名与常驻观察UI已通过专项验收</x:v>
      </x:c>
      <x:c r="N37" s="56" t="str">
        <x:v>src/weapons/FateCard.gd；src/weapons/FateCardPresets.gd；src/weapons/FateCardEngine.gd；src/game/FateCardGameBridge.gd；src/player3d/Player3D.gd；src/world3d/Dungeon3D.gd</x:v>
      </x:c>
      <x:c r="O37" s="56" t="str">
        <x:v>运行时使用stable_card_id；同名可叠加；不写入WeaponInstance命运槽</x:v>
      </x:c>
      <x:c r="P37" s="56" t="str">
        <x:v>CHARACTER</x:v>
      </x:c>
      <x:c r="Q37" s="56" t="str">
        <x:v>不占武器槽；写入角色局内规则状态</x:v>
      </x:c>
      <x:c r="R37" s="56" t="str">
        <x:v>[已实装并验收] 作用域所有者独立，可解耦维护</x:v>
      </x:c>
      <x:c r="S37" s="56" t="str">
        <x:v>☾ 月亮命运｜卡面明确目标是角色而非当前枪，不写入星星命运槽</x:v>
      </x:c>
      <x:c r="T37" s="56" t="str">
        <x:v>角色伤害乘区生效；换枪后加成仍随角色，不随枪转移</x:v>
      </x:c>
      <x:c r="U37" s="56" t="str">
        <x:v>[核心已验收] 卡面专名、实际结算和常驻状态已完成；逐卡专属VFX/音频待QA</x:v>
      </x:c>
    </x:row>
    <x:row r="38">
      <x:c r="A38" s="56" t="str">
        <x:v>fate_moon_room_heal</x:v>
      </x:c>
      <x:c r="B38" s="56" t="str">
        <x:v>潮汐疗愈</x:v>
      </x:c>
      <x:c r="C38" s="56" t="str">
        <x:v>规则</x:v>
      </x:c>
      <x:c r="D38" s="56" t="str">
        <x:v>稀有</x:v>
      </x:c>
      <x:c r="E38" s="56" t="str">
        <x:v>进新房回血6</x:v>
      </x:c>
      <x:c r="F38" s="56" t="str">
        <x:v>首次进入房间时恢复6生命</x:v>
      </x:c>
      <x:c r="G38" s="56" t="str">
        <x:v>每个未踏足房间都会带来一次微弱潮汐，修补角色伤势。</x:v>
      </x:c>
      <x:c r="H38" s="57" t="str">
        <x:v>[用户设计]</x:v>
      </x:c>
      <x:c r="I38" s="56"/>
      <x:c r="J38" s="56" t="str">
        <x:v>action=APPLY_SCOPED_MODIFIER；modifier=room_heal；amount=6</x:v>
      </x:c>
      <x:c r="K38" s="56" t="str">
        <x:v>门后命运/三选一/工作台共用正式卡池</x:v>
      </x:c>
      <x:c r="L38" s="56" t="str">
        <x:v>[已实装]</x:v>
      </x:c>
      <x:c r="M38" s="56" t="str">
        <x:v>正式3D作用域结算、卡池、天体专名与常驻观察UI已通过专项验收</x:v>
      </x:c>
      <x:c r="N38" s="56" t="str">
        <x:v>src/weapons/FateCard.gd；src/weapons/FateCardPresets.gd；src/weapons/FateCardEngine.gd；src/game/FateCardGameBridge.gd；src/player3d/Player3D.gd；src/world3d/Dungeon3D.gd</x:v>
      </x:c>
      <x:c r="O38" s="56" t="str">
        <x:v>运行时使用stable_card_id；同名可叠加；不写入WeaponInstance命运槽</x:v>
      </x:c>
      <x:c r="P38" s="56" t="str">
        <x:v>CHARACTER</x:v>
      </x:c>
      <x:c r="Q38" s="56" t="str">
        <x:v>不占武器槽；写入角色局内规则状态</x:v>
      </x:c>
      <x:c r="R38" s="56" t="str">
        <x:v>[已实装并验收] 作用域所有者独立，可解耦维护</x:v>
      </x:c>
      <x:c r="S38" s="56" t="str">
        <x:v>☾ 月亮命运｜卡面显示☾月亮命运与进新房回血6；常驻栏保留触发来源</x:v>
      </x:c>
      <x:c r="T38" s="56" t="str">
        <x:v>首次进房调用角色疗愈，红色生命条即时反馈</x:v>
      </x:c>
      <x:c r="U38" s="56" t="str">
        <x:v>[核心已验收] 卡面专名、实际结算和常驻状态已完成；逐卡专属VFX/音频待QA</x:v>
      </x:c>
    </x:row>
    <x:row r="39">
      <x:c r="A39" s="56" t="str">
        <x:v>fate_moon_elite_heal</x:v>
      </x:c>
      <x:c r="B39" s="56" t="str">
        <x:v>猎月回响</x:v>
      </x:c>
      <x:c r="C39" s="56" t="str">
        <x:v>规则</x:v>
      </x:c>
      <x:c r="D39" s="56" t="str">
        <x:v>史诗</x:v>
      </x:c>
      <x:c r="E39" s="56" t="str">
        <x:v>杀精英回血20</x:v>
      </x:c>
      <x:c r="F39" s="56" t="str">
        <x:v>击杀精英或首领时恢复20生命</x:v>
      </x:c>
      <x:c r="G39" s="56" t="str">
        <x:v>强敌倒下时留下的回响被月光收回，转成猎人的生命。</x:v>
      </x:c>
      <x:c r="H39" s="57" t="str">
        <x:v>[用户设计]</x:v>
      </x:c>
      <x:c r="I39" s="56"/>
      <x:c r="J39" s="56" t="str">
        <x:v>action=APPLY_SCOPED_MODIFIER；modifier=elite_heal；amount=20</x:v>
      </x:c>
      <x:c r="K39" s="56" t="str">
        <x:v>门后命运/三选一/工作台共用正式卡池</x:v>
      </x:c>
      <x:c r="L39" s="56" t="str">
        <x:v>[已实装]</x:v>
      </x:c>
      <x:c r="M39" s="56" t="str">
        <x:v>正式3D作用域结算、卡池、天体专名与常驻观察UI已通过专项验收</x:v>
      </x:c>
      <x:c r="N39" s="56" t="str">
        <x:v>src/weapons/FateCard.gd；src/weapons/FateCardPresets.gd；src/weapons/FateCardEngine.gd；src/game/FateCardGameBridge.gd；src/player3d/Player3D.gd；src/world3d/Dungeon3D.gd</x:v>
      </x:c>
      <x:c r="O39" s="56" t="str">
        <x:v>运行时使用stable_card_id；同名可叠加；不写入WeaponInstance命运槽</x:v>
      </x:c>
      <x:c r="P39" s="56" t="str">
        <x:v>CHARACTER</x:v>
      </x:c>
      <x:c r="Q39" s="56" t="str">
        <x:v>不占武器槽；写入角色局内规则状态</x:v>
      </x:c>
      <x:c r="R39" s="56" t="str">
        <x:v>[已实装并验收] 作用域所有者独立，可解耦维护</x:v>
      </x:c>
      <x:c r="S39" s="56" t="str">
        <x:v>☾ 月亮命运｜卡面显示☾月亮命运、精英/首领条件、不占武器槽</x:v>
      </x:c>
      <x:c r="T39" s="56" t="str">
        <x:v>精英或首领击杀事件触发恢复20生命</x:v>
      </x:c>
      <x:c r="U39" s="56" t="str">
        <x:v>[核心已验收] 卡面专名、实际结算和常驻状态已完成；逐卡专属VFX/音频待QA</x:v>
      </x:c>
    </x:row>
    <x:row r="40">
      <x:c r="A40" s="56" t="str">
        <x:v>fate_moon_first_hit</x:v>
      </x:c>
      <x:c r="B40" s="56" t="str">
        <x:v>静夜屏障</x:v>
      </x:c>
      <x:c r="C40" s="56" t="str">
        <x:v>规则</x:v>
      </x:c>
      <x:c r="D40" s="56" t="str">
        <x:v>传说</x:v>
      </x:c>
      <x:c r="E40" s="56" t="str">
        <x:v>首次受伤减半</x:v>
      </x:c>
      <x:c r="F40" s="56" t="str">
        <x:v>每个房间第一次受到的伤害降低50%</x:v>
      </x:c>
      <x:c r="G40" s="56" t="str">
        <x:v>静夜只替进入者挡下第一记冲击，随后屏障沉寂。</x:v>
      </x:c>
      <x:c r="H40" s="57" t="str">
        <x:v>[用户设计]</x:v>
      </x:c>
      <x:c r="I40" s="56"/>
      <x:c r="J40" s="56" t="str">
        <x:v>action=APPLY_SCOPED_MODIFIER；modifier=first_hit_guard；multiplier=0.5</x:v>
      </x:c>
      <x:c r="K40" s="56" t="str">
        <x:v>门后命运/三选一/工作台共用正式卡池</x:v>
      </x:c>
      <x:c r="L40" s="56" t="str">
        <x:v>[已实装]</x:v>
      </x:c>
      <x:c r="M40" s="56" t="str">
        <x:v>正式3D作用域结算、卡池、天体专名与常驻观察UI已通过专项验收</x:v>
      </x:c>
      <x:c r="N40" s="56" t="str">
        <x:v>src/weapons/FateCard.gd；src/weapons/FateCardPresets.gd；src/weapons/FateCardEngine.gd；src/game/FateCardGameBridge.gd；src/player3d/Player3D.gd；src/world3d/Dungeon3D.gd</x:v>
      </x:c>
      <x:c r="O40" s="56" t="str">
        <x:v>运行时使用stable_card_id；同名可叠加；不写入WeaponInstance命运槽</x:v>
      </x:c>
      <x:c r="P40" s="56" t="str">
        <x:v>CHARACTER</x:v>
      </x:c>
      <x:c r="Q40" s="56" t="str">
        <x:v>不占武器槽；写入角色局内规则状态</x:v>
      </x:c>
      <x:c r="R40" s="56" t="str">
        <x:v>[已实装并验收] 作用域所有者独立，可解耦维护</x:v>
      </x:c>
      <x:c r="S40" s="56" t="str">
        <x:v>☾ 月亮命运｜卡面显示☾月亮命运、每房首次与减半规则</x:v>
      </x:c>
      <x:c r="T40" s="56" t="str">
        <x:v>首次进入房间重置屏障；第一次受伤后立即消耗</x:v>
      </x:c>
      <x:c r="U40" s="56" t="str">
        <x:v>[核心已验收] 卡面专名、实际结算和常驻状态已完成；逐卡专属VFX/音频待QA</x:v>
      </x:c>
    </x:row>
    <x:row r="41">
      <x:c r="A41" s="56" t="str">
        <x:v>fate_moon_last_stand</x:v>
      </x:c>
      <x:c r="B41" s="56" t="str">
        <x:v>残月不灭</x:v>
      </x:c>
      <x:c r="C41" s="56" t="str">
        <x:v>规则</x:v>
      </x:c>
      <x:c r="D41" s="56" t="str">
        <x:v>传说</x:v>
      </x:c>
      <x:c r="E41" s="56" t="str">
        <x:v>致命伤保留1血</x:v>
      </x:c>
      <x:c r="F41" s="56" t="str">
        <x:v>致命伤改为保留1生命；每张牌提供1次</x:v>
      </x:c>
      <x:c r="G41" s="56" t="str">
        <x:v>残月不会阻止伤害，只在生命归零前留下最后一道弧光。</x:v>
      </x:c>
      <x:c r="H41" s="57" t="str">
        <x:v>[用户设计]</x:v>
      </x:c>
      <x:c r="I41" s="56"/>
      <x:c r="J41" s="56" t="str">
        <x:v>action=APPLY_SCOPED_MODIFIER；modifier=last_stand；charges=1</x:v>
      </x:c>
      <x:c r="K41" s="56" t="str">
        <x:v>门后命运/三选一/工作台共用正式卡池</x:v>
      </x:c>
      <x:c r="L41" s="56" t="str">
        <x:v>[已实装]</x:v>
      </x:c>
      <x:c r="M41" s="56" t="str">
        <x:v>正式3D作用域结算、卡池、天体专名与常驻观察UI已通过专项验收</x:v>
      </x:c>
      <x:c r="N41" s="56" t="str">
        <x:v>src/weapons/FateCard.gd；src/weapons/FateCardPresets.gd；src/weapons/FateCardEngine.gd；src/game/FateCardGameBridge.gd；src/player3d/Player3D.gd；src/world3d/Dungeon3D.gd</x:v>
      </x:c>
      <x:c r="O41" s="56" t="str">
        <x:v>运行时使用stable_card_id；同名可叠加；不写入WeaponInstance命运槽</x:v>
      </x:c>
      <x:c r="P41" s="56" t="str">
        <x:v>CHARACTER</x:v>
      </x:c>
      <x:c r="Q41" s="56" t="str">
        <x:v>不占武器槽；写入角色局内规则状态</x:v>
      </x:c>
      <x:c r="R41" s="56" t="str">
        <x:v>[已实装并验收] 作用域所有者独立，可解耦维护</x:v>
      </x:c>
      <x:c r="S41" s="56" t="str">
        <x:v>☾ 月亮命运｜卡面显示☾月亮命运、一次保命次数、不占武器槽</x:v>
      </x:c>
      <x:c r="T41" s="56" t="str">
        <x:v>致命伤结算保留1血并消费1次；剩余次数保存在角色状态</x:v>
      </x:c>
      <x:c r="U41" s="56" t="str">
        <x:v>[核心已验收] 卡面专名、实际结算和常驻状态已完成；逐卡专属VFX/音频待QA</x:v>
      </x:c>
    </x:row>
    <x:row r="42">
      <x:c r="A42" s="56" t="str">
        <x:v>fate_moon_ammo</x:v>
      </x:c>
      <x:c r="B42" s="56" t="str">
        <x:v>月华装填</x:v>
      </x:c>
      <x:c r="C42" s="56" t="str">
        <x:v>规则</x:v>
      </x:c>
      <x:c r="D42" s="56" t="str">
        <x:v>稀有</x:v>
      </x:c>
      <x:c r="E42" s="56" t="str">
        <x:v>进新房补弹20%</x:v>
      </x:c>
      <x:c r="F42" s="56" t="str">
        <x:v>首次进入房间时补充弹匣容量的20%</x:v>
      </x:c>
      <x:c r="G42" s="56" t="str">
        <x:v>月华在房门后凝成弹药，只补充当前手中枪械的弹匣。</x:v>
      </x:c>
      <x:c r="H42" s="57" t="str">
        <x:v>[用户设计]</x:v>
      </x:c>
      <x:c r="I42" s="56"/>
      <x:c r="J42" s="56" t="str">
        <x:v>action=APPLY_SCOPED_MODIFIER；modifier=room_ammo；ratio=0.2</x:v>
      </x:c>
      <x:c r="K42" s="56" t="str">
        <x:v>门后命运/三选一/工作台共用正式卡池</x:v>
      </x:c>
      <x:c r="L42" s="56" t="str">
        <x:v>[已实装]</x:v>
      </x:c>
      <x:c r="M42" s="56" t="str">
        <x:v>正式3D作用域结算、卡池、天体专名与常驻观察UI已通过专项验收</x:v>
      </x:c>
      <x:c r="N42" s="56" t="str">
        <x:v>src/weapons/FateCard.gd；src/weapons/FateCardPresets.gd；src/weapons/FateCardEngine.gd；src/game/FateCardGameBridge.gd；src/player3d/Player3D.gd；src/world3d/Dungeon3D.gd</x:v>
      </x:c>
      <x:c r="O42" s="56" t="str">
        <x:v>运行时使用stable_card_id；同名可叠加；不写入WeaponInstance命运槽</x:v>
      </x:c>
      <x:c r="P42" s="56" t="str">
        <x:v>CHARACTER</x:v>
      </x:c>
      <x:c r="Q42" s="56" t="str">
        <x:v>不占武器槽；写入角色局内规则状态</x:v>
      </x:c>
      <x:c r="R42" s="56" t="str">
        <x:v>[已实装并验收] 作用域所有者独立，可解耦维护</x:v>
      </x:c>
      <x:c r="S42" s="56" t="str">
        <x:v>☾ 月亮命运｜卡面显示☾月亮命运、进新房补弹20%、不占武器槽</x:v>
      </x:c>
      <x:c r="T42" s="56" t="str">
        <x:v>首次进房按当前弹匣容量补弹，弹药HUD同步更新</x:v>
      </x:c>
      <x:c r="U42" s="56" t="str">
        <x:v>[核心已验收] 卡面专名、实际结算和常驻状态已完成；逐卡专属VFX/音频待QA</x:v>
      </x:c>
    </x:row>
    <x:row r="43">
      <x:c r="A43" s="56" t="str">
        <x:v>fate_sun_quality</x:v>
      </x:c>
      <x:c r="B43" s="56" t="str">
        <x:v>晨曦宝库</x:v>
      </x:c>
      <x:c r="C43" s="56" t="str">
        <x:v>规则</x:v>
      </x:c>
      <x:c r="D43" s="56" t="str">
        <x:v>稀有</x:v>
      </x:c>
      <x:c r="E43" s="56" t="str">
        <x:v>下箱品质+1</x:v>
      </x:c>
      <x:c r="F43" s="56" t="str">
        <x:v>下一个开启容器的物品品质提升1级</x:v>
      </x:c>
      <x:c r="G43" s="56" t="str">
        <x:v>晨光先一步照进下个容器，把其中一件物资推向更高层级。</x:v>
      </x:c>
      <x:c r="H43" s="57" t="str">
        <x:v>[用户设计]</x:v>
      </x:c>
      <x:c r="I43" s="56"/>
      <x:c r="J43" s="56" t="str">
        <x:v>action=APPLY_SCOPED_MODIFIER；modifier=next_chest_quality；tiers=1</x:v>
      </x:c>
      <x:c r="K43" s="56" t="str">
        <x:v>门后命运/三选一/工作台共用正式卡池</x:v>
      </x:c>
      <x:c r="L43" s="56" t="str">
        <x:v>[已实装]</x:v>
      </x:c>
      <x:c r="M43" s="56" t="str">
        <x:v>正式3D作用域结算、卡池、天体专名与常驻观察UI已通过专项验收</x:v>
      </x:c>
      <x:c r="N43" s="56" t="str">
        <x:v>src/weapons/FateCard.gd；src/weapons/FateCardPresets.gd；src/weapons/FateCardEngine.gd；src/game/FateCardGameBridge.gd；src/player3d/Player3D.gd；src/world3d/Dungeon3D.gd</x:v>
      </x:c>
      <x:c r="O43" s="56" t="str">
        <x:v>运行时使用stable_card_id；同名可叠加；不写入WeaponInstance命运槽</x:v>
      </x:c>
      <x:c r="P43" s="56" t="str">
        <x:v>WORLD</x:v>
      </x:c>
      <x:c r="Q43" s="56" t="str">
        <x:v>不占武器槽；写入行动/房间/掉落/撤离规则状态</x:v>
      </x:c>
      <x:c r="R43" s="56" t="str">
        <x:v>[已实装并验收] 作用域所有者独立，可解耦维护</x:v>
      </x:c>
      <x:c r="S43" s="56" t="str">
        <x:v>☀ 太阳命运｜卡面显示☀太阳命运、世界规则、下箱品质+1、不占武器槽</x:v>
      </x:c>
      <x:c r="T43" s="56" t="str">
        <x:v>世界状态记录下一箱品质；开箱后消费并生成升级物资</x:v>
      </x:c>
      <x:c r="U43" s="56" t="str">
        <x:v>[核心已验收] 卡面专名、实际结算和常驻状态已完成；逐卡专属VFX/音频待QA</x:v>
      </x:c>
    </x:row>
    <x:row r="44">
      <x:c r="A44" s="56" t="str">
        <x:v>fate_sun_extra_loot</x:v>
      </x:c>
      <x:c r="B44" s="56" t="str">
        <x:v>丰收日</x:v>
      </x:c>
      <x:c r="C44" s="56" t="str">
        <x:v>规则</x:v>
      </x:c>
      <x:c r="D44" s="56" t="str">
        <x:v>史诗</x:v>
      </x:c>
      <x:c r="E44" s="56" t="str">
        <x:v>下箱额外2件</x:v>
      </x:c>
      <x:c r="F44" s="56" t="str">
        <x:v>下一个开启容器额外掉落2件物品</x:v>
      </x:c>
      <x:c r="G44" s="56" t="str">
        <x:v>太阳延长了这一日的收成，让下一个容器吐出更多物资。</x:v>
      </x:c>
      <x:c r="H44" s="57" t="str">
        <x:v>[用户设计]</x:v>
      </x:c>
      <x:c r="I44" s="56"/>
      <x:c r="J44" s="56" t="str">
        <x:v>action=APPLY_SCOPED_MODIFIER；modifier=next_chest_extra；count=2</x:v>
      </x:c>
      <x:c r="K44" s="56" t="str">
        <x:v>门后命运/三选一/工作台共用正式卡池</x:v>
      </x:c>
      <x:c r="L44" s="56" t="str">
        <x:v>[已实装]</x:v>
      </x:c>
      <x:c r="M44" s="56" t="str">
        <x:v>正式3D作用域结算、卡池、天体专名与常驻观察UI已通过专项验收</x:v>
      </x:c>
      <x:c r="N44" s="56" t="str">
        <x:v>src/weapons/FateCard.gd；src/weapons/FateCardPresets.gd；src/weapons/FateCardEngine.gd；src/game/FateCardGameBridge.gd；src/player3d/Player3D.gd；src/world3d/Dungeon3D.gd</x:v>
      </x:c>
      <x:c r="O44" s="56" t="str">
        <x:v>运行时使用stable_card_id；同名可叠加；不写入WeaponInstance命运槽</x:v>
      </x:c>
      <x:c r="P44" s="56" t="str">
        <x:v>WORLD</x:v>
      </x:c>
      <x:c r="Q44" s="56" t="str">
        <x:v>不占武器槽；写入行动/房间/掉落/撤离规则状态</x:v>
      </x:c>
      <x:c r="R44" s="56" t="str">
        <x:v>[已实装并验收] 作用域所有者独立，可解耦维护</x:v>
      </x:c>
      <x:c r="S44" s="56" t="str">
        <x:v>☀ 太阳命运｜卡面显示☀太阳命运、下箱额外2件、不占武器槽</x:v>
      </x:c>
      <x:c r="T44" s="56" t="str">
        <x:v>开箱时额外生成2件物品并清空计数</x:v>
      </x:c>
      <x:c r="U44" s="56" t="str">
        <x:v>[核心已验收] 卡面专名、实际结算和常驻状态已完成；逐卡专属VFX/音频待QA</x:v>
      </x:c>
    </x:row>
    <x:row r="45">
      <x:c r="A45" s="56" t="str">
        <x:v>fate_sun_reinforce</x:v>
      </x:c>
      <x:c r="B45" s="56" t="str">
        <x:v>日冕增援</x:v>
      </x:c>
      <x:c r="C45" s="56" t="str">
        <x:v>规则</x:v>
      </x:c>
      <x:c r="D45" s="56" t="str">
        <x:v>史诗</x:v>
      </x:c>
      <x:c r="E45" s="56" t="str">
        <x:v>下房敌人+3</x:v>
      </x:c>
      <x:c r="F45" s="56" t="str">
        <x:v>下一个敌对房间额外出现3名敌人</x:v>
      </x:c>
      <x:c r="G45" s="56" t="str">
        <x:v>日冕暴露了行动路线，下一间敌对区域会提前集结增援。</x:v>
      </x:c>
      <x:c r="H45" s="57" t="str">
        <x:v>[用户设计]</x:v>
      </x:c>
      <x:c r="I45" s="56"/>
      <x:c r="J45" s="56" t="str">
        <x:v>action=APPLY_SCOPED_MODIFIER；modifier=next_room_enemy_count；count=3</x:v>
      </x:c>
      <x:c r="K45" s="56" t="str">
        <x:v>门后命运/三选一/工作台共用正式卡池</x:v>
      </x:c>
      <x:c r="L45" s="56" t="str">
        <x:v>[已实装]</x:v>
      </x:c>
      <x:c r="M45" s="56" t="str">
        <x:v>正式3D作用域结算、卡池、天体专名与常驻观察UI已通过专项验收</x:v>
      </x:c>
      <x:c r="N45" s="56" t="str">
        <x:v>src/weapons/FateCard.gd；src/weapons/FateCardPresets.gd；src/weapons/FateCardEngine.gd；src/game/FateCardGameBridge.gd；src/player3d/Player3D.gd；src/world3d/Dungeon3D.gd</x:v>
      </x:c>
      <x:c r="O45" s="56" t="str">
        <x:v>运行时使用stable_card_id；同名可叠加；不写入WeaponInstance命运槽</x:v>
      </x:c>
      <x:c r="P45" s="56" t="str">
        <x:v>WORLD</x:v>
      </x:c>
      <x:c r="Q45" s="56" t="str">
        <x:v>不占武器槽；写入行动/房间/掉落/撤离规则状态</x:v>
      </x:c>
      <x:c r="R45" s="56" t="str">
        <x:v>[已实装并验收] 作用域所有者独立，可解耦维护</x:v>
      </x:c>
      <x:c r="S45" s="56" t="str">
        <x:v>☀ 太阳命运｜卡面显示☀太阳命运、下个敌对房间+3、不占武器槽</x:v>
      </x:c>
      <x:c r="T45" s="56" t="str">
        <x:v>下一敌对房间生成表追加3名敌人后消费状态</x:v>
      </x:c>
      <x:c r="U45" s="56" t="str">
        <x:v>[核心已验收] 卡面专名、实际结算和常驻状态已完成；逐卡专属VFX/音频待QA</x:v>
      </x:c>
    </x:row>
    <x:row r="46">
      <x:c r="A46" s="56" t="str">
        <x:v>fate_sun_reveal</x:v>
      </x:c>
      <x:c r="B46" s="56" t="str">
        <x:v>曙光测绘</x:v>
      </x:c>
      <x:c r="C46" s="56" t="str">
        <x:v>规则</x:v>
      </x:c>
      <x:c r="D46" s="56" t="str">
        <x:v>稀有</x:v>
      </x:c>
      <x:c r="E46" s="56" t="str">
        <x:v>揭示周围2层</x:v>
      </x:c>
      <x:c r="F46" s="56" t="str">
        <x:v>立即揭示当前房间周围2层相邻房间</x:v>
      </x:c>
      <x:c r="G46" s="56" t="str">
        <x:v>曙光沿走廊扩散，把附近两层连接关系投到地图上。</x:v>
      </x:c>
      <x:c r="H46" s="57" t="str">
        <x:v>[用户设计]</x:v>
      </x:c>
      <x:c r="I46" s="56"/>
      <x:c r="J46" s="56" t="str">
        <x:v>action=APPLY_SCOPED_MODIFIER；modifier=reveal_rooms；radius=2</x:v>
      </x:c>
      <x:c r="K46" s="56" t="str">
        <x:v>门后命运/三选一/工作台共用正式卡池</x:v>
      </x:c>
      <x:c r="L46" s="56" t="str">
        <x:v>[已实装]</x:v>
      </x:c>
      <x:c r="M46" s="56" t="str">
        <x:v>正式3D作用域结算、卡池、天体专名与常驻观察UI已通过专项验收</x:v>
      </x:c>
      <x:c r="N46" s="56" t="str">
        <x:v>src/weapons/FateCard.gd；src/weapons/FateCardPresets.gd；src/weapons/FateCardEngine.gd；src/game/FateCardGameBridge.gd；src/player3d/Player3D.gd；src/world3d/Dungeon3D.gd</x:v>
      </x:c>
      <x:c r="O46" s="56" t="str">
        <x:v>运行时使用stable_card_id；同名可叠加；不写入WeaponInstance命运槽</x:v>
      </x:c>
      <x:c r="P46" s="56" t="str">
        <x:v>WORLD</x:v>
      </x:c>
      <x:c r="Q46" s="56" t="str">
        <x:v>不占武器槽；写入行动/房间/掉落/撤离规则状态</x:v>
      </x:c>
      <x:c r="R46" s="56" t="str">
        <x:v>[已实装并验收] 作用域所有者独立，可解耦维护</x:v>
      </x:c>
      <x:c r="S46" s="56" t="str">
        <x:v>☀ 太阳命运｜卡面显示☀太阳命运与立即揭示范围</x:v>
      </x:c>
      <x:c r="T46" s="56" t="str">
        <x:v>小地图立即揭示两层邻接房，不生成或修改枪械数据</x:v>
      </x:c>
      <x:c r="U46" s="56" t="str">
        <x:v>[核心已验收] 卡面专名、实际结算和常驻状态已完成；逐卡专属VFX/音频待QA</x:v>
      </x:c>
    </x:row>
    <x:row r="47">
      <x:c r="A47" s="56" t="str">
        <x:v>fate_sun_key</x:v>
      </x:c>
      <x:c r="B47" s="56" t="str">
        <x:v>太阳钥印</x:v>
      </x:c>
      <x:c r="C47" s="56" t="str">
        <x:v>强化</x:v>
      </x:c>
      <x:c r="D47" s="56" t="str">
        <x:v>稀有</x:v>
      </x:c>
      <x:c r="E47" s="56" t="str">
        <x:v>获得房间钥匙</x:v>
      </x:c>
      <x:c r="F47" s="56" t="str">
        <x:v>立即获得1把普通房间钥匙</x:v>
      </x:c>
      <x:c r="G47" s="56" t="str">
        <x:v>灼热印记在掌心凝成一把只属于本次行动的房间钥匙。</x:v>
      </x:c>
      <x:c r="H47" s="57" t="str">
        <x:v>[用户设计]</x:v>
      </x:c>
      <x:c r="I47" s="56"/>
      <x:c r="J47" s="56" t="str">
        <x:v>action=APPLY_SCOPED_MODIFIER；modifier=grant_room_key；count=1</x:v>
      </x:c>
      <x:c r="K47" s="56" t="str">
        <x:v>门后命运/三选一/工作台共用正式卡池</x:v>
      </x:c>
      <x:c r="L47" s="56" t="str">
        <x:v>[已实装]</x:v>
      </x:c>
      <x:c r="M47" s="56" t="str">
        <x:v>正式3D作用域结算、卡池、天体专名与常驻观察UI已通过专项验收</x:v>
      </x:c>
      <x:c r="N47" s="56" t="str">
        <x:v>src/weapons/FateCard.gd；src/weapons/FateCardPresets.gd；src/weapons/FateCardEngine.gd；src/game/FateCardGameBridge.gd；src/player3d/Player3D.gd；src/world3d/Dungeon3D.gd</x:v>
      </x:c>
      <x:c r="O47" s="56" t="str">
        <x:v>运行时使用stable_card_id；同名可叠加；不写入WeaponInstance命运槽</x:v>
      </x:c>
      <x:c r="P47" s="56" t="str">
        <x:v>WORLD</x:v>
      </x:c>
      <x:c r="Q47" s="56" t="str">
        <x:v>不占武器槽；写入行动/房间/掉落/撤离规则状态</x:v>
      </x:c>
      <x:c r="R47" s="56" t="str">
        <x:v>[已实装并验收] 作用域所有者独立，可解耦维护</x:v>
      </x:c>
      <x:c r="S47" s="56" t="str">
        <x:v>☀ 太阳命运｜卡面显示☀太阳命运、立即获得钥匙、不占武器槽</x:v>
      </x:c>
      <x:c r="T47" s="56" t="str">
        <x:v>普通房间钥匙计数立即+1，HUD同步刷新</x:v>
      </x:c>
      <x:c r="U47" s="56" t="str">
        <x:v>[核心已验收] 卡面专名、实际结算和常驻状态已完成；逐卡专属VFX/音频待QA</x:v>
      </x:c>
    </x:row>
    <x:row r="48">
      <x:c r="A48" s="56" t="str">
        <x:v>fate_sun_currency</x:v>
      </x:c>
      <x:c r="B48" s="56" t="str">
        <x:v>黄金潮汐</x:v>
      </x:c>
      <x:c r="C48" s="56" t="str">
        <x:v>强化</x:v>
      </x:c>
      <x:c r="D48" s="56" t="str">
        <x:v>史诗</x:v>
      </x:c>
      <x:c r="E48" s="56" t="str">
        <x:v>魂获取+30%</x:v>
      </x:c>
      <x:c r="F48" s="56" t="str">
        <x:v>本局之后获得的魂数量提升30%</x:v>
      </x:c>
      <x:c r="G48" s="56" t="str">
        <x:v>太阳把敌人遗留的魂染成金色，让之后的收获更丰厚。</x:v>
      </x:c>
      <x:c r="H48" s="57" t="str">
        <x:v>[用户设计]</x:v>
      </x:c>
      <x:c r="I48" s="56"/>
      <x:c r="J48" s="56" t="str">
        <x:v>action=APPLY_SCOPED_MODIFIER；modifier=currency_gain；multiplier=1.3</x:v>
      </x:c>
      <x:c r="K48" s="56" t="str">
        <x:v>门后命运/三选一/工作台共用正式卡池</x:v>
      </x:c>
      <x:c r="L48" s="56" t="str">
        <x:v>[已实装]</x:v>
      </x:c>
      <x:c r="M48" s="56" t="str">
        <x:v>正式3D作用域结算、卡池、天体专名与常驻观察UI已通过专项验收</x:v>
      </x:c>
      <x:c r="N48" s="56" t="str">
        <x:v>src/weapons/FateCard.gd；src/weapons/FateCardPresets.gd；src/weapons/FateCardEngine.gd；src/game/FateCardGameBridge.gd；src/player3d/Player3D.gd；src/world3d/Dungeon3D.gd</x:v>
      </x:c>
      <x:c r="O48" s="56" t="str">
        <x:v>运行时使用stable_card_id；同名可叠加；不写入WeaponInstance命运槽</x:v>
      </x:c>
      <x:c r="P48" s="56" t="str">
        <x:v>WORLD</x:v>
      </x:c>
      <x:c r="Q48" s="56" t="str">
        <x:v>不占武器槽；写入行动/房间/掉落/撤离规则状态</x:v>
      </x:c>
      <x:c r="R48" s="56" t="str">
        <x:v>[已实装并验收] 作用域所有者独立，可解耦维护</x:v>
      </x:c>
      <x:c r="S48" s="56" t="str">
        <x:v>☀ 太阳命运｜卡面显示☀太阳命运、魂获取+30%、本局持续</x:v>
      </x:c>
      <x:c r="T48" s="56" t="str">
        <x:v>之后敌人魂掉落乘以1.3；太阳命运常驻栏显示来源</x:v>
      </x:c>
      <x:c r="U48" s="56" t="str">
        <x:v>[核心已验收] 卡面专名、实际结算和常驻状态已完成；逐卡专属VFX/音频待QA</x:v>
      </x:c>
    </x:row>
    <x:row r="49">
      <x:c r="A49" s="56" t="str">
        <x:v>fate_sun_scorch</x:v>
      </x:c>
      <x:c r="B49" s="56" t="str">
        <x:v>天火灼地</x:v>
      </x:c>
      <x:c r="C49" s="56" t="str">
        <x:v>规则</x:v>
      </x:c>
      <x:c r="D49" s="56" t="str">
        <x:v>史诗</x:v>
      </x:c>
      <x:c r="E49" s="56" t="str">
        <x:v>下房敌血-20%</x:v>
      </x:c>
      <x:c r="F49" s="56" t="str">
        <x:v>下一个敌对房间的敌人最大生命降低20%</x:v>
      </x:c>
      <x:c r="G49" s="56" t="str">
        <x:v>天火先扫过下一战区，让尚未现身的敌群带着灼伤入场。</x:v>
      </x:c>
      <x:c r="H49" s="57" t="str">
        <x:v>[用户设计]</x:v>
      </x:c>
      <x:c r="I49" s="56"/>
      <x:c r="J49" s="56" t="str">
        <x:v>action=APPLY_SCOPED_MODIFIER；modifier=next_room_enemy_hp；multiplier=0.8</x:v>
      </x:c>
      <x:c r="K49" s="56" t="str">
        <x:v>门后命运/三选一/工作台共用正式卡池</x:v>
      </x:c>
      <x:c r="L49" s="56" t="str">
        <x:v>[已实装]</x:v>
      </x:c>
      <x:c r="M49" s="56" t="str">
        <x:v>正式3D作用域结算、卡池、天体专名与常驻观察UI已通过专项验收</x:v>
      </x:c>
      <x:c r="N49" s="56" t="str">
        <x:v>src/weapons/FateCard.gd；src/weapons/FateCardPresets.gd；src/weapons/FateCardEngine.gd；src/game/FateCardGameBridge.gd；src/player3d/Player3D.gd；src/world3d/Dungeon3D.gd</x:v>
      </x:c>
      <x:c r="O49" s="56" t="str">
        <x:v>运行时使用stable_card_id；同名可叠加；不写入WeaponInstance命运槽</x:v>
      </x:c>
      <x:c r="P49" s="56" t="str">
        <x:v>WORLD</x:v>
      </x:c>
      <x:c r="Q49" s="56" t="str">
        <x:v>不占武器槽；写入行动/房间/掉落/撤离规则状态</x:v>
      </x:c>
      <x:c r="R49" s="56" t="str">
        <x:v>[已实装并验收] 作用域所有者独立，可解耦维护</x:v>
      </x:c>
      <x:c r="S49" s="56" t="str">
        <x:v>☀ 太阳命运｜卡面显示☀太阳命运、下房敌血-20%、一次性世界规则</x:v>
      </x:c>
      <x:c r="T49" s="56" t="str">
        <x:v>下一敌对房所有波次按0.8最大生命生成，随后清除待用状态</x:v>
      </x:c>
      <x:c r="U49" s="56" t="str">
        <x:v>[核心已验收] 卡面专名、实际结算和常驻状态已完成；逐卡专属VFX/音频待QA</x:v>
      </x:c>
    </x:row>
    <x:row r="50">
      <x:c r="A50" s="56" t="str">
        <x:v>fate_sun_trial</x:v>
      </x:c>
      <x:c r="B50" s="56" t="str">
        <x:v>烈日试炼</x:v>
      </x:c>
      <x:c r="C50" s="56" t="str">
        <x:v>诅咒</x:v>
      </x:c>
      <x:c r="D50" s="56" t="str">
        <x:v>传说</x:v>
      </x:c>
      <x:c r="E50" s="56" t="str">
        <x:v>强敌双倍魂</x:v>
      </x:c>
      <x:c r="F50" s="56" t="str">
        <x:v>下一个敌对房间敌人伤害+25%，其魂掉落×2</x:v>
      </x:c>
      <x:c r="G50" s="56" t="str">
        <x:v>烈日要求用更危险的一战证明资格，并用双倍魂回报胜者。</x:v>
      </x:c>
      <x:c r="H50" s="57" t="str">
        <x:v>[用户设计]</x:v>
      </x:c>
      <x:c r="I50" s="56"/>
      <x:c r="J50" s="56" t="str">
        <x:v>action=APPLY_SCOPED_MODIFIER；modifier=next_room_trial；damage_multiplier=1.25；currency_multiplier=2</x:v>
      </x:c>
      <x:c r="K50" s="56" t="str">
        <x:v>门后命运/三选一/工作台共用正式卡池</x:v>
      </x:c>
      <x:c r="L50" s="56" t="str">
        <x:v>[已实装]</x:v>
      </x:c>
      <x:c r="M50" s="56" t="str">
        <x:v>正式3D作用域结算、卡池、天体专名与常驻观察UI已通过专项验收</x:v>
      </x:c>
      <x:c r="N50" s="56" t="str">
        <x:v>src/weapons/FateCard.gd；src/weapons/FateCardPresets.gd；src/weapons/FateCardEngine.gd；src/game/FateCardGameBridge.gd；src/player3d/Player3D.gd；src/world3d/Dungeon3D.gd</x:v>
      </x:c>
      <x:c r="O50" s="56" t="str">
        <x:v>运行时使用stable_card_id；同名可叠加；不写入WeaponInstance命运槽</x:v>
      </x:c>
      <x:c r="P50" s="56" t="str">
        <x:v>WORLD</x:v>
      </x:c>
      <x:c r="Q50" s="56" t="str">
        <x:v>不占武器槽；写入行动/房间/掉落/撤离规则状态</x:v>
      </x:c>
      <x:c r="R50" s="56" t="str">
        <x:v>[已实装并验收] 作用域所有者独立，可解耦维护</x:v>
      </x:c>
      <x:c r="S50" s="56" t="str">
        <x:v>☀ 太阳命运｜卡面同时显示☀太阳命运、伤害代价、双倍魂和影响范围</x:v>
      </x:c>
      <x:c r="T50" s="56" t="str">
        <x:v>下一敌对房敌伤乘1.25、魂乘2；风险与收益同时消费</x:v>
      </x:c>
      <x:c r="U50" s="56" t="str">
        <x:v>[核心已验收] 卡面专名、实际结算和常驻状态已完成；逐卡专属VFX/音频待QA</x:v>
      </x:c>
    </x:row>
    <x:row r="51">
      <x:c r="A51" s="56" t="str">
        <x:v>fate_sun_bounty</x:v>
      </x:c>
      <x:c r="B51" s="56" t="str">
        <x:v>长昼赏金</x:v>
      </x:c>
      <x:c r="C51" s="56" t="str">
        <x:v>规则</x:v>
      </x:c>
      <x:c r="D51" s="56" t="str">
        <x:v>史诗</x:v>
      </x:c>
      <x:c r="E51" s="56" t="str">
        <x:v>三房各奖35魂</x:v>
      </x:c>
      <x:c r="F51" s="56" t="str">
        <x:v>接下来3个敌对房间肃清时各获得35魂</x:v>
      </x:c>
      <x:c r="G51" s="56" t="str">
        <x:v>长昼把三次肃清写进赏金契约，每完成一间就结算一次。</x:v>
      </x:c>
      <x:c r="H51" s="57" t="str">
        <x:v>[用户设计]</x:v>
      </x:c>
      <x:c r="I51" s="56"/>
      <x:c r="J51" s="56" t="str">
        <x:v>action=APPLY_SCOPED_MODIFIER；modifier=room_clear_bounty；rooms=3；amount=35</x:v>
      </x:c>
      <x:c r="K51" s="56" t="str">
        <x:v>门后命运/三选一/工作台共用正式卡池</x:v>
      </x:c>
      <x:c r="L51" s="56" t="str">
        <x:v>[已实装]</x:v>
      </x:c>
      <x:c r="M51" s="56" t="str">
        <x:v>正式3D作用域结算、卡池、天体专名与常驻观察UI已通过专项验收</x:v>
      </x:c>
      <x:c r="N51" s="56" t="str">
        <x:v>src/weapons/FateCard.gd；src/weapons/FateCardPresets.gd；src/weapons/FateCardEngine.gd；src/game/FateCardGameBridge.gd；src/player3d/Player3D.gd；src/world3d/Dungeon3D.gd</x:v>
      </x:c>
      <x:c r="O51" s="56" t="str">
        <x:v>运行时使用stable_card_id；同名可叠加；不写入WeaponInstance命运槽</x:v>
      </x:c>
      <x:c r="P51" s="56" t="str">
        <x:v>WORLD</x:v>
      </x:c>
      <x:c r="Q51" s="56" t="str">
        <x:v>不占武器槽；写入行动/房间/掉落/撤离规则状态</x:v>
      </x:c>
      <x:c r="R51" s="56" t="str">
        <x:v>[已实装并验收] 作用域所有者独立，可解耦维护</x:v>
      </x:c>
      <x:c r="S51" s="56" t="str">
        <x:v>☀ 太阳命运｜卡面显示☀太阳命运、3房次数与每房35魂</x:v>
      </x:c>
      <x:c r="T51" s="56" t="str">
        <x:v>敌对房首次肃清结算35魂并扣除1次，HUD货币同步</x:v>
      </x:c>
      <x:c r="U51" s="56" t="str">
        <x:v>[核心已验收] 卡面专名、实际结算和常驻状态已完成；逐卡专属VFX/音频待QA</x:v>
      </x:c>
    </x:row>
    <x:row r="52">
      <x:c r="A52" s="56" t="str">
        <x:v>fate_sun_extraction</x:v>
      </x:c>
      <x:c r="B52" s="56" t="str">
        <x:v>日落捷径</x:v>
      </x:c>
      <x:c r="C52" s="56" t="str">
        <x:v>规则</x:v>
      </x:c>
      <x:c r="D52" s="56" t="str">
        <x:v>传说</x:v>
      </x:c>
      <x:c r="E52" s="56" t="str">
        <x:v>撤离时间-20%</x:v>
      </x:c>
      <x:c r="F52" s="56" t="str">
        <x:v>本局所有撤离同步时间缩短20%</x:v>
      </x:c>
      <x:c r="G52" s="56" t="str">
        <x:v>日落前留下的短暂通道压缩了所有撤离信标的同步过程。</x:v>
      </x:c>
      <x:c r="H52" s="57" t="str">
        <x:v>[用户设计]</x:v>
      </x:c>
      <x:c r="I52" s="56"/>
      <x:c r="J52" s="56" t="str">
        <x:v>action=APPLY_SCOPED_MODIFIER；modifier=extraction_time；multiplier=0.8</x:v>
      </x:c>
      <x:c r="K52" s="56" t="str">
        <x:v>门后命运/三选一/工作台共用正式卡池</x:v>
      </x:c>
      <x:c r="L52" s="56" t="str">
        <x:v>[已实装]</x:v>
      </x:c>
      <x:c r="M52" s="56" t="str">
        <x:v>正式3D作用域结算、卡池、天体专名与常驻观察UI已通过专项验收</x:v>
      </x:c>
      <x:c r="N52" s="56" t="str">
        <x:v>src/weapons/FateCard.gd；src/weapons/FateCardPresets.gd；src/weapons/FateCardEngine.gd；src/game/FateCardGameBridge.gd；src/player3d/Player3D.gd；src/world3d/Dungeon3D.gd</x:v>
      </x:c>
      <x:c r="O52" s="56" t="str">
        <x:v>运行时使用stable_card_id；同名可叠加；不写入WeaponInstance命运槽</x:v>
      </x:c>
      <x:c r="P52" s="56" t="str">
        <x:v>WORLD</x:v>
      </x:c>
      <x:c r="Q52" s="56" t="str">
        <x:v>不占武器槽；写入行动/房间/掉落/撤离规则状态</x:v>
      </x:c>
      <x:c r="R52" s="56" t="str">
        <x:v>[已实装并验收] 作用域所有者独立，可解耦维护</x:v>
      </x:c>
      <x:c r="S52" s="56" t="str">
        <x:v>☀ 太阳命运｜卡面显示☀太阳命运、撤离时间-20%、本局持续</x:v>
      </x:c>
      <x:c r="T52" s="56" t="str">
        <x:v>现有与后续撤离信标时长乘0.8，撤离HUD使用新时长</x:v>
      </x:c>
      <x:c r="U52" s="56" t="str">
        <x:v>[核心已验收] 卡面专名、实际结算和常驻状态已完成；逐卡专属VFX/音频待QA</x:v>
      </x:c>
    </x:row>
  </x:sheetData>
  <x:mergeCells>
    <x:mergeCell ref="A1:U1"/>
    <x:mergeCell ref="A2:U2"/>
    <x:mergeCell ref="A3:U3"/>
  </x:mergeCells>
  <x:dataValidations count="3">
    <x:dataValidation type="list" sqref="H5:H32">
      <x:formula1>"[已实装],[用户设计],[Codex补充]"</x:formula1>
    </x:dataValidation>
    <x:dataValidation type="list" sqref="L5:L32">
      <x:formula1>"[已实装],[用户设计],[Codex补充]"</x:formula1>
    </x:dataValidation>
    <x:dataValidation type="list" sqref="P5:P32">
      <x:formula1>"WEAPON,CHARACTER,WORLD"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18" hidden="0" customWidth="1"/>
    <x:col min="4" max="4" width="10" hidden="0" customWidth="1"/>
    <x:col min="5" max="5" width="12" hidden="0" customWidth="1"/>
    <x:col min="6" max="6" width="10" hidden="0" customWidth="1"/>
    <x:col min="7" max="7" width="14" hidden="0" customWidth="1"/>
    <x:col min="8" max="8" width="12" hidden="0" customWidth="1"/>
    <x:col min="9" max="9" width="38" hidden="0" customWidth="1"/>
    <x:col min="10" max="10" width="36" hidden="0" customWidth="1"/>
    <x:col min="11" max="11" width="30" hidden="0" customWidth="1"/>
    <x:col min="12" max="12" width="14" hidden="0" customWidth="1"/>
    <x:col min="13" max="13" width="32" hidden="0" customWidth="1"/>
    <x:col min="14" max="14" width="36" hidden="0" customWidth="1"/>
    <x:col min="15" max="15" width="42" hidden="0" customWidth="1"/>
  </x:cols>
  <x:sheetData>
    <x:row r="1" ht="32" customHeight="1">
      <x:c r="A1" s="3" t="str">
        <x:v>ShellStorm2 游戏内容数据库｜怪物与 Boss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数值采用Enemy3D.PROFILES正式3D基线；MonsterInjector旧2D基线仅换算楼层/主题倍率，不再作为玩家可见生命值。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内容ID</x:v>
      </x:c>
      <x:c r="B4" s="13" t="str">
        <x:v>名称</x:v>
      </x:c>
      <x:c r="C4" s="13" t="str">
        <x:v>原型</x:v>
      </x:c>
      <x:c r="D4" s="13" t="str">
        <x:v>HP</x:v>
      </x:c>
      <x:c r="E4" s="13" t="str">
        <x:v>速度m/s</x:v>
      </x:c>
      <x:c r="F4" s="13" t="str">
        <x:v>伤害</x:v>
      </x:c>
      <x:c r="G4" s="13" t="str">
        <x:v>攻击范围m</x:v>
      </x:c>
      <x:c r="H4" s="13" t="str">
        <x:v>冷却s</x:v>
      </x:c>
      <x:c r="I4" s="13" t="str">
        <x:v>技能/战术</x:v>
      </x:c>
      <x:c r="J4" s="13" t="str">
        <x:v>刷新位置</x:v>
      </x:c>
      <x:c r="K4" s="13" t="str">
        <x:v>掉落/进度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monster_ambusher</x:v>
      </x:c>
      <x:c r="B5" s="17" t="str">
        <x:v>地刺虫</x:v>
      </x:c>
      <x:c r="C5" s="17" t="str">
        <x:v>ambusher</x:v>
      </x:c>
      <x:c r="D5" s="17" t="n">
        <x:v>50</x:v>
      </x:c>
      <x:c r="E5" s="17" t="n">
        <x:v>4.65</x:v>
      </x:c>
      <x:c r="F5" s="17" t="n">
        <x:v>18</x:v>
      </x:c>
      <x:c r="G5" s="17" t="n">
        <x:v>2.15</x:v>
      </x:c>
      <x:c r="H5" s="17" t="n">
        <x:v>1.9</x:v>
      </x:c>
      <x:c r="I5" s="17" t="str">
        <x:v>未触发时潜伏；揭示后高速突进；低矮轮廓</x:v>
      </x:c>
      <x:c r="J5" s="17" t="str">
        <x:v>深度2+及主题池；COMBAT/ELITE</x:v>
      </x:c>
      <x:c r="K5" s="17" t="str">
        <x:v>由房间/楼层掉落表决定</x:v>
      </x:c>
      <x:c r="L5" s="18" t="str">
        <x:v>[已实装]</x:v>
      </x:c>
      <x:c r="M5" s="17" t="str">
        <x:v>正式3D基础模板</x:v>
      </x:c>
      <x:c r="N5" s="17" t="str">
        <x:v>src/enemy3d/Enemy3D.gd；src/map/MonsterInjector.gd</x:v>
      </x:c>
      <x:c r="O5" s="17" t="str">
        <x:v>正式数值以Enemy3D.PROFILES为基线；旧2D基线仅用于倍率换算</x:v>
      </x:c>
    </x:row>
    <x:row r="6" ht="54" customHeight="1">
      <x:c r="A6" s="17" t="str">
        <x:v>monster_boss_generic</x:v>
      </x:c>
      <x:c r="B6" s="17" t="str">
        <x:v>Boss（通用模板）</x:v>
      </x:c>
      <x:c r="C6" s="17" t="str">
        <x:v>boss</x:v>
      </x:c>
      <x:c r="D6" s="17" t="n">
        <x:v>520</x:v>
      </x:c>
      <x:c r="E6" s="17" t="n">
        <x:v>1.72</x:v>
      </x:c>
      <x:c r="F6" s="17" t="n">
        <x:v>24</x:v>
      </x:c>
      <x:c r="G6" s="17" t="n">
        <x:v>9.5</x:v>
      </x:c>
      <x:c r="H6" s="17" t="n">
        <x:v>1.45</x:v>
      </x:c>
      <x:c r="I6" s="17" t="str">
        <x:v>阶段变化；1/3发爆炸弹幕；周期召唤2只；Boss HUD</x:v>
      </x:c>
      <x:c r="J6" s="17" t="str">
        <x:v>当前95层BOSS房；未来各Boss楼层</x:v>
      </x:c>
      <x:c r="K6" s="17" t="str">
        <x:v>boss_floor_*；Boss专用钥匙待接</x:v>
      </x:c>
      <x:c r="L6" s="18" t="str">
        <x:v>[已实装]</x:v>
      </x:c>
      <x:c r="M6" s="17" t="str">
        <x:v>正式3D通用Boss；独立楼层Boss内容待扩展</x:v>
      </x:c>
      <x:c r="N6" s="17" t="str">
        <x:v>src/enemy3d/Enemy3D.gd；src/map/MonsterInjector.gd</x:v>
      </x:c>
      <x:c r="O6" s="17" t="str">
        <x:v>正式数值以Enemy3D.PROFILES为基线；旧2D基线仅用于倍率换算</x:v>
      </x:c>
    </x:row>
    <x:row r="7" ht="54" customHeight="1">
      <x:c r="A7" s="17" t="str">
        <x:v>monster_exploder</x:v>
      </x:c>
      <x:c r="B7" s="17" t="str">
        <x:v>炸弹果</x:v>
      </x:c>
      <x:c r="C7" s="17" t="str">
        <x:v>exploder</x:v>
      </x:c>
      <x:c r="D7" s="17" t="n">
        <x:v>42</x:v>
      </x:c>
      <x:c r="E7" s="17" t="n">
        <x:v>3.1</x:v>
      </x:c>
      <x:c r="F7" s="17" t="n">
        <x:v>30</x:v>
      </x:c>
      <x:c r="G7" s="17" t="n">
        <x:v>2.85</x:v>
      </x:c>
      <x:c r="H7" s="17" t="n">
        <x:v>3</x:v>
      </x:c>
      <x:c r="I7" s="17" t="str">
        <x:v>接近目标后3m范围自爆；攻击后死亡</x:v>
      </x:c>
      <x:c r="J7" s="17" t="str">
        <x:v>浅层及全部战斗层；COMBAT/陷阱倾向/增援</x:v>
      </x:c>
      <x:c r="K7" s="17" t="str">
        <x:v>由房间/楼层掉落表决定</x:v>
      </x:c>
      <x:c r="L7" s="18" t="str">
        <x:v>[已实装]</x:v>
      </x:c>
      <x:c r="M7" s="17" t="str">
        <x:v>正式3D基础模板</x:v>
      </x:c>
      <x:c r="N7" s="17" t="str">
        <x:v>src/enemy3d/Enemy3D.gd；src/map/MonsterInjector.gd</x:v>
      </x:c>
      <x:c r="O7" s="17" t="str">
        <x:v>正式数值以Enemy3D.PROFILES为基线；旧2D基线仅用于倍率换算</x:v>
      </x:c>
    </x:row>
    <x:row r="8" ht="54" customHeight="1">
      <x:c r="A8" s="17" t="str">
        <x:v>monster_melee_chaser</x:v>
      </x:c>
      <x:c r="B8" s="17" t="str">
        <x:v>小菌猪</x:v>
      </x:c>
      <x:c r="C8" s="17" t="str">
        <x:v>melee_chaser</x:v>
      </x:c>
      <x:c r="D8" s="17" t="n">
        <x:v>58</x:v>
      </x:c>
      <x:c r="E8" s="17" t="n">
        <x:v>3.7</x:v>
      </x:c>
      <x:c r="F8" s="17" t="n">
        <x:v>12</x:v>
      </x:c>
      <x:c r="G8" s="17" t="n">
        <x:v>1.9</x:v>
      </x:c>
      <x:c r="H8" s="17" t="n">
        <x:v>1.05</x:v>
      </x:c>
      <x:c r="I8" s="17" t="str">
        <x:v>高速追击；近身突进；接触伤害</x:v>
      </x:c>
      <x:c r="J8" s="17" t="str">
        <x:v>浅层及全部战斗层；COMBAT/ELITE/撤离增援</x:v>
      </x:c>
      <x:c r="K8" s="17" t="str">
        <x:v>由房间/楼层掉落表决定</x:v>
      </x:c>
      <x:c r="L8" s="18" t="str">
        <x:v>[已实装]</x:v>
      </x:c>
      <x:c r="M8" s="17" t="str">
        <x:v>正式3D基础模板</x:v>
      </x:c>
      <x:c r="N8" s="17" t="str">
        <x:v>src/enemy3d/Enemy3D.gd；src/map/MonsterInjector.gd</x:v>
      </x:c>
      <x:c r="O8" s="17" t="str">
        <x:v>正式数值以Enemy3D.PROFILES为基线；旧2D基线仅用于倍率换算</x:v>
      </x:c>
    </x:row>
    <x:row r="9" ht="54" customHeight="1">
      <x:c r="A9" s="17" t="str">
        <x:v>monster_ranged_caster</x:v>
      </x:c>
      <x:c r="B9" s="17" t="str">
        <x:v>孢子射手</x:v>
      </x:c>
      <x:c r="C9" s="17" t="str">
        <x:v>ranged_caster</x:v>
      </x:c>
      <x:c r="D9" s="17" t="n">
        <x:v>46</x:v>
      </x:c>
      <x:c r="E9" s="17" t="n">
        <x:v>2.25</x:v>
      </x:c>
      <x:c r="F9" s="17" t="n">
        <x:v>10</x:v>
      </x:c>
      <x:c r="G9" s="17" t="n">
        <x:v>8.8</x:v>
      </x:c>
      <x:c r="H9" s="17" t="n">
        <x:v>1.8</x:v>
      </x:c>
      <x:c r="I9" s="17" t="str">
        <x:v>保持中距；三连散射弹幕；侧向走位</x:v>
      </x:c>
      <x:c r="J9" s="17" t="str">
        <x:v>浅层及全部战斗层；COMBAT/ELITE/撤离增援</x:v>
      </x:c>
      <x:c r="K9" s="17" t="str">
        <x:v>由房间/楼层掉落表决定</x:v>
      </x:c>
      <x:c r="L9" s="18" t="str">
        <x:v>[已实装]</x:v>
      </x:c>
      <x:c r="M9" s="17" t="str">
        <x:v>正式3D基础模板</x:v>
      </x:c>
      <x:c r="N9" s="17" t="str">
        <x:v>src/enemy3d/Enemy3D.gd；src/map/MonsterInjector.gd</x:v>
      </x:c>
      <x:c r="O9" s="17" t="str">
        <x:v>正式数值以Enemy3D.PROFILES为基线；旧2D基线仅用于倍率换算</x:v>
      </x:c>
    </x:row>
    <x:row r="10" ht="54" customHeight="1">
      <x:c r="A10" s="17" t="str">
        <x:v>monster_shielded</x:v>
      </x:c>
      <x:c r="B10" s="17" t="str">
        <x:v>壳甲卫兵</x:v>
      </x:c>
      <x:c r="C10" s="17" t="str">
        <x:v>shielded</x:v>
      </x:c>
      <x:c r="D10" s="17" t="n">
        <x:v>112</x:v>
      </x:c>
      <x:c r="E10" s="17" t="n">
        <x:v>2</x:v>
      </x:c>
      <x:c r="F10" s="17" t="n">
        <x:v>17</x:v>
      </x:c>
      <x:c r="G10" s="17" t="n">
        <x:v>2.05</x:v>
      </x:c>
      <x:c r="H10" s="17" t="n">
        <x:v>1.55</x:v>
      </x:c>
      <x:c r="I10" s="17" t="str">
        <x:v>正面减伤；15%正面完全格挡；穿甲可绕过护盾</x:v>
      </x:c>
      <x:c r="J10" s="17" t="str">
        <x:v>深度2+及主题池；COMBAT/ELITE/Boss护卫</x:v>
      </x:c>
      <x:c r="K10" s="17" t="str">
        <x:v>由房间/楼层掉落表决定</x:v>
      </x:c>
      <x:c r="L10" s="18" t="str">
        <x:v>[已实装]</x:v>
      </x:c>
      <x:c r="M10" s="17" t="str">
        <x:v>正式3D基础模板</x:v>
      </x:c>
      <x:c r="N10" s="17" t="str">
        <x:v>src/enemy3d/Enemy3D.gd；src/map/MonsterInjector.gd</x:v>
      </x:c>
      <x:c r="O10" s="17" t="str">
        <x:v>正式数值以Enemy3D.PROFILES为基线；旧2D基线仅用于倍率换算</x:v>
      </x:c>
    </x:row>
    <x:row r="11" ht="54" customHeight="1">
      <x:c r="A11" s="17" t="str">
        <x:v>monster_summoner</x:v>
      </x:c>
      <x:c r="B11" s="17" t="str">
        <x:v>蜂巢怪</x:v>
      </x:c>
      <x:c r="C11" s="17" t="str">
        <x:v>summoner</x:v>
      </x:c>
      <x:c r="D11" s="17" t="n">
        <x:v>72</x:v>
      </x:c>
      <x:c r="E11" s="17" t="n">
        <x:v>1.65</x:v>
      </x:c>
      <x:c r="F11" s="17" t="n">
        <x:v>8</x:v>
      </x:c>
      <x:c r="G11" s="17" t="n">
        <x:v>7.2</x:v>
      </x:c>
      <x:c r="H11" s="17" t="n">
        <x:v>4.8</x:v>
      </x:c>
      <x:c r="I11" s="17" t="str">
        <x:v>周期召唤1–2只；6.5m范围治疗友军；远距游走</x:v>
      </x:c>
      <x:c r="J11" s="17" t="str">
        <x:v>深度2+及主题池；COMBAT/ELITE</x:v>
      </x:c>
      <x:c r="K11" s="17" t="str">
        <x:v>由房间/楼层掉落表决定</x:v>
      </x:c>
      <x:c r="L11" s="18" t="str">
        <x:v>[已实装]</x:v>
      </x:c>
      <x:c r="M11" s="17" t="str">
        <x:v>正式3D基础模板</x:v>
      </x:c>
      <x:c r="N11" s="17" t="str">
        <x:v>src/enemy3d/Enemy3D.gd；src/map/MonsterInjector.gd</x:v>
      </x:c>
      <x:c r="O11" s="17" t="str">
        <x:v>正式数值以Enemy3D.PROFILES为基线；旧2D基线仅用于倍率换算</x:v>
      </x:c>
    </x:row>
  </x:sheetData>
  <x:mergeCells>
    <x:mergeCell ref="A1:O1"/>
    <x:mergeCell ref="A2:O2"/>
    <x:mergeCell ref="A3:O3"/>
  </x:mergeCells>
  <x:dataValidations count="1">
    <x:dataValidation type="list" sqref="L5:L11">
      <x:formula1>"[已实装],[用户设计],[Codex补充]"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0" hidden="0" customWidth="1"/>
    <x:col min="4" max="4" width="42" hidden="0" customWidth="1"/>
    <x:col min="5" max="5" width="38" hidden="0" customWidth="1"/>
    <x:col min="6" max="6" width="36" hidden="0" customWidth="1"/>
    <x:col min="7" max="7" width="32" hidden="0" customWidth="1"/>
    <x:col min="8" max="8" width="34" hidden="0" customWidth="1"/>
    <x:col min="9" max="9" width="32" hidden="0" customWidth="1"/>
    <x:col min="10" max="10" width="28" hidden="0" customWidth="1"/>
    <x:col min="11" max="11" width="14" hidden="0" customWidth="1"/>
    <x:col min="12" max="12" width="16" hidden="0" customWidth="1"/>
    <x:col min="13" max="13" width="30" hidden="0" customWidth="1"/>
    <x:col min="14" max="14" width="34" hidden="0" customWidth="1"/>
    <x:col min="15" max="15" width="36" hidden="0" customWidth="1"/>
  </x:cols>
  <x:sheetData>
    <x:row r="1" ht="32" customHeight="1">
      <x:c r="A1" s="3" t="str">
        <x:v>ShellStorm2 游戏内容数据库｜12只唯一精英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名册固定12只并由用户设计冻结。前2只来自现有兼容原型；其余10只名称与玩法为Codex补充，可由主设计者后续调整但不改变全局唯一规则。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稳定精英ID</x:v>
      </x:c>
      <x:c r="B4" s="13" t="str">
        <x:v>独立名字</x:v>
      </x:c>
      <x:c r="C4" s="13" t="str">
        <x:v>基础原型</x:v>
      </x:c>
      <x:c r="D4" s="13" t="str">
        <x:v>核心特殊玩法</x:v>
      </x:c>
      <x:c r="E4" s="13" t="str">
        <x:v>成长方向</x:v>
      </x:c>
      <x:c r="F4" s="13" t="str">
        <x:v>夺械转译</x:v>
      </x:c>
      <x:c r="G4" s="13" t="str">
        <x:v>刷新位置</x:v>
      </x:c>
      <x:c r="H4" s="13" t="str">
        <x:v>唯一约束</x:v>
      </x:c>
      <x:c r="I4" s="13" t="str">
        <x:v>档案重点</x:v>
      </x:c>
      <x:c r="J4" s="13" t="str">
        <x:v>奖励概念</x:v>
      </x:c>
      <x:c r="K4" s="13" t="str">
        <x:v>名册来源</x:v>
      </x:c>
      <x:c r="L4" s="13" t="str">
        <x:v>名称/玩法来源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elite_rift_boar_armed</x:v>
      </x:c>
      <x:c r="B5" s="17" t="str">
        <x:v>背枪的裂口爬虫</x:v>
      </x:c>
      <x:c r="C5" s="17" t="str">
        <x:v>小菌猪</x:v>
      </x:c>
      <x:c r="D5" s="17" t="str">
        <x:v>携带被夺取枪身，突进间隙自动射击</x:v>
      </x:c>
      <x:c r="E5" s="17" t="str">
        <x:v>逃脱提升生命并增加副枪射击频率</x:v>
      </x:c>
      <x:c r="F5" s="17" t="str">
        <x:v>枪身→跟随射击技能</x:v>
      </x:c>
      <x:c r="G5" s="17" t="str">
        <x:v>COMBAT/ELITE；符合层级后随机</x:v>
      </x:c>
      <x:c r="H5" s="21" t="str">
        <x:v>同ID全局单例；预约后才可实例化</x:v>
      </x:c>
      <x:c r="I5" s="17" t="str">
        <x:v>首次夺枪、逃脱次数、复仇阶段</x:v>
      </x:c>
      <x:c r="J5" s="17" t="str">
        <x:v>枪械模块/悬赏资源</x:v>
      </x:c>
      <x:c r="K5" s="20" t="str">
        <x:v>[用户设计]</x:v>
      </x:c>
      <x:c r="L5" s="18" t="str">
        <x:v>[已实装]</x:v>
      </x:c>
      <x:c r="M5" s="17" t="str">
        <x:v>兼容精英原型；未接正式3D</x:v>
      </x:c>
      <x:c r="N5" s="17" t="str">
        <x:v>src/game/EliteArchiveModule.gd</x:v>
      </x:c>
      <x:c r="O5" s="17" t="str">
        <x:v>原型名称与成长记录保留</x:v>
      </x:c>
    </x:row>
    <x:row r="6" ht="54" customHeight="1">
      <x:c r="A6" s="17" t="str">
        <x:v>elite_spore_devourer</x:v>
      </x:c>
      <x:c r="B6" s="17" t="str">
        <x:v>吞弹者·孢子射手</x:v>
      </x:c>
      <x:c r="C6" s="17" t="str">
        <x:v>孢子射手</x:v>
      </x:c>
      <x:c r="D6" s="17" t="str">
        <x:v>吸收特定投射物并转为反击弹幕</x:v>
      </x:c>
      <x:c r="E6" s="17" t="str">
        <x:v>每次逃脱提高吸收容量和反击弹数</x:v>
      </x:c>
      <x:c r="F6" s="17" t="str">
        <x:v>子弹模块→敌方弹道/状态技能</x:v>
      </x:c>
      <x:c r="G6" s="17" t="str">
        <x:v>COMBAT/ELITE；中深层权重提高</x:v>
      </x:c>
      <x:c r="H6" s="21" t="str">
        <x:v>同ID全局单例；预约后才可实例化</x:v>
      </x:c>
      <x:c r="I6" s="17" t="str">
        <x:v>吞弹种类、反击记录、成长等级</x:v>
      </x:c>
      <x:c r="J6" s="17" t="str">
        <x:v>子弹模块/悬赏资源</x:v>
      </x:c>
      <x:c r="K6" s="20" t="str">
        <x:v>[用户设计]</x:v>
      </x:c>
      <x:c r="L6" s="18" t="str">
        <x:v>[已实装]</x:v>
      </x:c>
      <x:c r="M6" s="17" t="str">
        <x:v>兼容精英原型；未接正式3D</x:v>
      </x:c>
      <x:c r="N6" s="17" t="str">
        <x:v>src/game/EliteArchiveModule.gd</x:v>
      </x:c>
      <x:c r="O6" s="17" t="str">
        <x:v>原型能力需适配Projectile3D</x:v>
      </x:c>
    </x:row>
    <x:row r="7" ht="54" customHeight="1">
      <x:c r="A7" s="17" t="str">
        <x:v>elite_iron_carapace</x:v>
      </x:c>
      <x:c r="B7" s="17" t="str">
        <x:v>铁壁·壳甲统领</x:v>
      </x:c>
      <x:c r="C7" s="17" t="str">
        <x:v>壳甲卫兵</x:v>
      </x:c>
      <x:c r="D7" s="17" t="str">
        <x:v>旋转护甲面控制可攻击窗口，受击后反冲</x:v>
      </x:c>
      <x:c r="E7" s="17" t="str">
        <x:v>成长后增加护甲面并缩短转向间隔</x:v>
      </x:c>
      <x:c r="F7" s="17" t="str">
        <x:v>枪托/弹匣→格挡反击与耐久技能</x:v>
      </x:c>
      <x:c r="G7" s="17" t="str">
        <x:v>ELITE；中层后</x:v>
      </x:c>
      <x:c r="H7" s="21" t="str">
        <x:v>同ID全局单例；预约后才可实例化</x:v>
      </x:c>
      <x:c r="I7" s="17" t="str">
        <x:v>破盾次数、反击命中、当前护甲</x:v>
      </x:c>
      <x:c r="J7" s="17" t="str">
        <x:v>护甲配件/高价壳片</x:v>
      </x:c>
      <x:c r="K7" s="20" t="str">
        <x:v>[用户设计]</x:v>
      </x:c>
      <x:c r="L7" s="19" t="str">
        <x:v>[Codex补充]</x:v>
      </x:c>
      <x:c r="M7" s="17" t="str">
        <x:v>设计完成；未实装</x:v>
      </x:c>
      <x:c r="N7" s="17" t="str">
        <x:v>游戏内容数据库</x:v>
      </x:c>
      <x:c r="O7" s="17" t="str">
        <x:v>强调绕后与穿甲价值</x:v>
      </x:c>
    </x:row>
    <x:row r="8" ht="54" customHeight="1">
      <x:c r="A8" s="17" t="str">
        <x:v>elite_ninth_hive_queen</x:v>
      </x:c>
      <x:c r="B8" s="17" t="str">
        <x:v>蜂后“第九巢”</x:v>
      </x:c>
      <x:c r="C8" s="17" t="str">
        <x:v>蜂巢怪</x:v>
      </x:c>
      <x:c r="D8" s="17" t="str">
        <x:v>建立蜂巢网络，存活节点为本体转移伤害</x:v>
      </x:c>
      <x:c r="E8" s="17" t="str">
        <x:v>成长后增加巢数并强化节点协同</x:v>
      </x:c>
      <x:c r="F8" s="17" t="str">
        <x:v>配件→召唤物共享修饰</x:v>
      </x:c>
      <x:c r="G8" s="17" t="str">
        <x:v>ELITE/大型支路；中深层</x:v>
      </x:c>
      <x:c r="H8" s="21" t="str">
        <x:v>同ID全局单例；预约后才可实例化</x:v>
      </x:c>
      <x:c r="I8" s="17" t="str">
        <x:v>存活巢数、召唤谱系、逃脱路线</x:v>
      </x:c>
      <x:c r="J8" s="17" t="str">
        <x:v>蜂巢核心/召唤系模块</x:v>
      </x:c>
      <x:c r="K8" s="20" t="str">
        <x:v>[用户设计]</x:v>
      </x:c>
      <x:c r="L8" s="19" t="str">
        <x:v>[Codex补充]</x:v>
      </x:c>
      <x:c r="M8" s="17" t="str">
        <x:v>设计完成；未实装</x:v>
      </x:c>
      <x:c r="N8" s="17" t="str">
        <x:v>游戏内容数据库</x:v>
      </x:c>
      <x:c r="O8" s="17" t="str">
        <x:v>先清节点还是集火本体的战术选择</x:v>
      </x:c>
    </x:row>
    <x:row r="9" ht="54" customHeight="1">
      <x:c r="A9" s="17" t="str">
        <x:v>elite_emberfruit</x:v>
      </x:c>
      <x:c r="B9" s="17" t="str">
        <x:v>焦雷果·余烬</x:v>
      </x:c>
      <x:c r="C9" s="17" t="str">
        <x:v>炸弹果</x:v>
      </x:c>
      <x:c r="D9" s="17" t="str">
        <x:v>投放可再生爆雷种子，本体不会首次爆炸即死亡</x:v>
      </x:c>
      <x:c r="E9" s="17" t="str">
        <x:v>成长后种子可连锁并留下燃烧区</x:v>
      </x:c>
      <x:c r="F9" s="17" t="str">
        <x:v>爆炸子弹→地雷/燃烧区技能</x:v>
      </x:c>
      <x:c r="G9" s="17" t="str">
        <x:v>TRAP/ELITE；深度2+</x:v>
      </x:c>
      <x:c r="H9" s="21" t="str">
        <x:v>同ID全局单例；预约后才可实例化</x:v>
      </x:c>
      <x:c r="I9" s="17" t="str">
        <x:v>种子批次、连锁次数、重生次数</x:v>
      </x:c>
      <x:c r="J9" s="17" t="str">
        <x:v>爆炸模块/余烬核</x:v>
      </x:c>
      <x:c r="K9" s="20" t="str">
        <x:v>[用户设计]</x:v>
      </x:c>
      <x:c r="L9" s="19" t="str">
        <x:v>[Codex补充]</x:v>
      </x:c>
      <x:c r="M9" s="17" t="str">
        <x:v>设计完成；未实装</x:v>
      </x:c>
      <x:c r="N9" s="17" t="str">
        <x:v>游戏内容数据库</x:v>
      </x:c>
      <x:c r="O9" s="17" t="str">
        <x:v>保留自爆怪识别但形成持续战斗</x:v>
      </x:c>
    </x:row>
    <x:row r="10" ht="54" customHeight="1">
      <x:c r="A10" s="17" t="str">
        <x:v>elite_blackneedle</x:v>
      </x:c>
      <x:c r="B10" s="17" t="str">
        <x:v>缝行者“黑针”</x:v>
      </x:c>
      <x:c r="C10" s="17" t="str">
        <x:v>地刺虫</x:v>
      </x:c>
      <x:c r="D10" s="17" t="str">
        <x:v>沿地面标记潜行线路，从玩家盲区连续穿刺</x:v>
      </x:c>
      <x:c r="E10" s="17" t="str">
        <x:v>成长后假路线增多并获得第二次突袭</x:v>
      </x:c>
      <x:c r="F10" s="17" t="str">
        <x:v>穿甲子弹/瞄具→直线穿刺与锁定</x:v>
      </x:c>
      <x:c r="G10" s="17" t="str">
        <x:v>COMBAT/ELITE；狭长房/深层</x:v>
      </x:c>
      <x:c r="H10" s="21" t="str">
        <x:v>同ID全局单例；预约后才可实例化</x:v>
      </x:c>
      <x:c r="I10" s="17" t="str">
        <x:v>潜行路线、揭示次数、命中角度</x:v>
      </x:c>
      <x:c r="J10" s="17" t="str">
        <x:v>穿甲模块/黑针</x:v>
      </x:c>
      <x:c r="K10" s="20" t="str">
        <x:v>[用户设计]</x:v>
      </x:c>
      <x:c r="L10" s="19" t="str">
        <x:v>[Codex补充]</x:v>
      </x:c>
      <x:c r="M10" s="17" t="str">
        <x:v>设计完成；未实装</x:v>
      </x:c>
      <x:c r="N10" s="17" t="str">
        <x:v>游戏内容数据库</x:v>
      </x:c>
      <x:c r="O10" s="17" t="str">
        <x:v>要求地面预警清楚，不做无提示伤害</x:v>
      </x:c>
    </x:row>
    <x:row r="11" ht="54" customHeight="1">
      <x:c r="A11" s="17" t="str">
        <x:v>elite_mirror_shell</x:v>
      </x:c>
      <x:c r="B11" s="17" t="str">
        <x:v>反射者·镜壳</x:v>
      </x:c>
      <x:c r="C11" s="17" t="str">
        <x:v>壳甲卫兵</x:v>
      </x:c>
      <x:c r="D11" s="17" t="str">
        <x:v>周期展开镜面扇区，反射正面投射物</x:v>
      </x:c>
      <x:c r="E11" s="17" t="str">
        <x:v>成长后扇区扩大但保留可读空隙</x:v>
      </x:c>
      <x:c r="F11" s="17" t="str">
        <x:v>弹跳子弹/瞄具→定向反射与弱点窗口</x:v>
      </x:c>
      <x:c r="G11" s="17" t="str">
        <x:v>ELITE；中深层</x:v>
      </x:c>
      <x:c r="H11" s="21" t="str">
        <x:v>同ID全局单例；预约后才可实例化</x:v>
      </x:c>
      <x:c r="I11" s="17" t="str">
        <x:v>反射弹种、弱点击破、镜面阶段</x:v>
      </x:c>
      <x:c r="J11" s="17" t="str">
        <x:v>反射配件/镜壳碎片</x:v>
      </x:c>
      <x:c r="K11" s="20" t="str">
        <x:v>[用户设计]</x:v>
      </x:c>
      <x:c r="L11" s="19" t="str">
        <x:v>[Codex补充]</x:v>
      </x:c>
      <x:c r="M11" s="17" t="str">
        <x:v>设计完成；未实装</x:v>
      </x:c>
      <x:c r="N11" s="17" t="str">
        <x:v>游戏内容数据库</x:v>
      </x:c>
      <x:c r="O11" s="17" t="str">
        <x:v>避免全向反弹导致不可解</x:v>
      </x:c>
    </x:row>
    <x:row r="12" ht="54" customHeight="1">
      <x:c r="A12" s="17" t="str">
        <x:v>elite_arms_taker</x:v>
      </x:c>
      <x:c r="B12" s="17" t="str">
        <x:v>夺械者“收租人”</x:v>
      </x:c>
      <x:c r="C12" s="17" t="str">
        <x:v>小菌猪/孢子射手混合</x:v>
      </x:c>
      <x:c r="D12" s="17" t="str">
        <x:v>遭遇中扫描玩家主枪并切换近战/远程阶段</x:v>
      </x:c>
      <x:c r="E12" s="17" t="str">
        <x:v>逃脱后永久保留一次完整枪身转译</x:v>
      </x:c>
      <x:c r="F12" s="17" t="str">
        <x:v>枪身→阶段主技能；配件→副技能</x:v>
      </x:c>
      <x:c r="G12" s="17" t="str">
        <x:v>ELITE；任意深度低概率</x:v>
      </x:c>
      <x:c r="H12" s="21" t="str">
        <x:v>同ID全局单例；预约后才可实例化</x:v>
      </x:c>
      <x:c r="I12" s="17" t="str">
        <x:v>夺械清单、阶段偏好、玩家克制记录</x:v>
      </x:c>
      <x:c r="J12" s="17" t="str">
        <x:v>被夺枪械蓝图/高额悬赏</x:v>
      </x:c>
      <x:c r="K12" s="20" t="str">
        <x:v>[用户设计]</x:v>
      </x:c>
      <x:c r="L12" s="19" t="str">
        <x:v>[Codex补充]</x:v>
      </x:c>
      <x:c r="M12" s="17" t="str">
        <x:v>设计完成；未实装</x:v>
      </x:c>
      <x:c r="N12" s="17" t="str">
        <x:v>游戏内容数据库</x:v>
      </x:c>
      <x:c r="O12" s="17" t="str">
        <x:v>最直接体现精英夺取玩家枪械</x:v>
      </x:c>
    </x:row>
    <x:row r="13" ht="54" customHeight="1">
      <x:c r="A13" s="17" t="str">
        <x:v>elite_seven_signs</x:v>
      </x:c>
      <x:c r="B13" s="17" t="str">
        <x:v>命运残响“七签”</x:v>
      </x:c>
      <x:c r="C13" s="17" t="str">
        <x:v>孢子射手</x:v>
      </x:c>
      <x:c r="D13" s="17" t="str">
        <x:v>每七次攻击切换一条公开命运规则</x:v>
      </x:c>
      <x:c r="E13" s="17" t="str">
        <x:v>成长后规则组合从一条增至两条</x:v>
      </x:c>
      <x:c r="F13" s="17" t="str">
        <x:v>命运卡→受预算约束的敌方规则</x:v>
      </x:c>
      <x:c r="G13" s="17" t="str">
        <x:v>EVENT/ELITE；命运卡使用后权重提高</x:v>
      </x:c>
      <x:c r="H13" s="21" t="str">
        <x:v>同ID全局单例；预约后才可实例化</x:v>
      </x:c>
      <x:c r="I13" s="17" t="str">
        <x:v>已见规则、卡片残响、七签序列</x:v>
      </x:c>
      <x:c r="J13" s="17" t="str">
        <x:v>命运残片/稀有卡机会</x:v>
      </x:c>
      <x:c r="K13" s="20" t="str">
        <x:v>[用户设计]</x:v>
      </x:c>
      <x:c r="L13" s="19" t="str">
        <x:v>[Codex补充]</x:v>
      </x:c>
      <x:c r="M13" s="17" t="str">
        <x:v>设计完成；未实装</x:v>
      </x:c>
      <x:c r="N13" s="17" t="str">
        <x:v>游戏内容数据库</x:v>
      </x:c>
      <x:c r="O13" s="17" t="str">
        <x:v>规则必须在HUD和场景同时预告</x:v>
      </x:c>
    </x:row>
    <x:row r="14" ht="54" customHeight="1">
      <x:c r="A14" s="17" t="str">
        <x:v>elite_echo_brood</x:v>
      </x:c>
      <x:c r="B14" s="17" t="str">
        <x:v>寄生母体“回声”</x:v>
      </x:c>
      <x:c r="C14" s="17" t="str">
        <x:v>蜂巢怪</x:v>
      </x:c>
      <x:c r="D14" s="17" t="str">
        <x:v>召唤物复制玩家最近使用的一个配件行为</x:v>
      </x:c>
      <x:c r="E14" s="17" t="str">
        <x:v>成长后可维持两种回声但降低单体强度</x:v>
      </x:c>
      <x:c r="F14" s="17" t="str">
        <x:v>配件→召唤物修饰模板</x:v>
      </x:c>
      <x:c r="G14" s="17" t="str">
        <x:v>ELITE/巢穴主题；深度2+</x:v>
      </x:c>
      <x:c r="H14" s="21" t="str">
        <x:v>同ID全局单例；预约后才可实例化</x:v>
      </x:c>
      <x:c r="I14" s="17" t="str">
        <x:v>复制配件、召唤代次、母体伤势</x:v>
      </x:c>
      <x:c r="J14" s="17" t="str">
        <x:v>寄生样本/配件</x:v>
      </x:c>
      <x:c r="K14" s="20" t="str">
        <x:v>[用户设计]</x:v>
      </x:c>
      <x:c r="L14" s="19" t="str">
        <x:v>[Codex补充]</x:v>
      </x:c>
      <x:c r="M14" s="17" t="str">
        <x:v>设计完成；未实装</x:v>
      </x:c>
      <x:c r="N14" s="17" t="str">
        <x:v>游戏内容数据库</x:v>
      </x:c>
      <x:c r="O14" s="17" t="str">
        <x:v>复制行为而非直接复制玩家DPS</x:v>
      </x:c>
    </x:row>
    <x:row r="15" ht="54" customHeight="1">
      <x:c r="A15" s="17" t="str">
        <x:v>elite_returning_king</x:v>
      </x:c>
      <x:c r="B15" s="17" t="str">
        <x:v>逃亡王“折返者”</x:v>
      </x:c>
      <x:c r="C15" s="17" t="str">
        <x:v>地刺虫</x:v>
      </x:c>
      <x:c r="D15" s="17" t="str">
        <x:v>低生命触发一次公开撤退路线，阻止其离开可获额外奖励</x:v>
      </x:c>
      <x:c r="E15" s="17" t="str">
        <x:v>每次成功逃脱增加新折返段和伏击次数</x:v>
      </x:c>
      <x:c r="F15" s="17" t="str">
        <x:v>回旋/返航子弹→折返突袭技能</x:v>
      </x:c>
      <x:c r="G15" s="17" t="str">
        <x:v>COMBAT/ELITE；有双出口房间</x:v>
      </x:c>
      <x:c r="H15" s="21" t="str">
        <x:v>同ID全局单例；预约后才可实例化</x:v>
      </x:c>
      <x:c r="I15" s="17" t="str">
        <x:v>逃脱次数、追击失败、路线记忆</x:v>
      </x:c>
      <x:c r="J15" s="17" t="str">
        <x:v>逃亡悬赏/返航模块</x:v>
      </x:c>
      <x:c r="K15" s="20" t="str">
        <x:v>[用户设计]</x:v>
      </x:c>
      <x:c r="L15" s="19" t="str">
        <x:v>[Codex补充]</x:v>
      </x:c>
      <x:c r="M15" s="17" t="str">
        <x:v>设计完成；未实装</x:v>
      </x:c>
      <x:c r="N15" s="17" t="str">
        <x:v>游戏内容数据库</x:v>
      </x:c>
      <x:c r="O15" s="17" t="str">
        <x:v>把逃脱成长变成可读追击目标</x:v>
      </x:c>
    </x:row>
    <x:row r="16" ht="54" customHeight="1">
      <x:c r="A16" s="17" t="str">
        <x:v>elite_nameless_crown</x:v>
      </x:c>
      <x:c r="B16" s="17" t="str">
        <x:v>准首领“无名王冠”</x:v>
      </x:c>
      <x:c r="C16" s="17" t="str">
        <x:v>Boss轻量模板</x:v>
      </x:c>
      <x:c r="D16" s="17" t="str">
        <x:v>根据玩家已遭遇精英数量轮换三种战术冠位</x:v>
      </x:c>
      <x:c r="E16" s="17" t="str">
        <x:v>成长受整个精英档案推进，接近区域Boss</x:v>
      </x:c>
      <x:c r="F16" s="17" t="str">
        <x:v>完整装配快照→三阶段技能组</x:v>
      </x:c>
      <x:c r="G16" s="17" t="str">
        <x:v>Boss前ELITE/特殊悬赏房；深层</x:v>
      </x:c>
      <x:c r="H16" s="21" t="str">
        <x:v>同ID全局单例；预约后才可实例化</x:v>
      </x:c>
      <x:c r="I16" s="17" t="str">
        <x:v>冠位阶段、遭遇名册、夺取装配</x:v>
      </x:c>
      <x:c r="J16" s="17" t="str">
        <x:v>王冠核心/阶段级奖励</x:v>
      </x:c>
      <x:c r="K16" s="20" t="str">
        <x:v>[用户设计]</x:v>
      </x:c>
      <x:c r="L16" s="19" t="str">
        <x:v>[Codex补充]</x:v>
      </x:c>
      <x:c r="M16" s="17" t="str">
        <x:v>设计完成；未实装</x:v>
      </x:c>
      <x:c r="N16" s="17" t="str">
        <x:v>游戏内容数据库</x:v>
      </x:c>
      <x:c r="O16" s="17" t="str">
        <x:v>12只名册的长期阶段终点之一</x:v>
      </x:c>
    </x:row>
  </x:sheetData>
  <x:mergeCells>
    <x:mergeCell ref="A1:O1"/>
    <x:mergeCell ref="A2:O2"/>
    <x:mergeCell ref="A3:O3"/>
  </x:mergeCells>
  <x:dataValidations count="2">
    <x:dataValidation type="list" sqref="K5:K16">
      <x:formula1>"[已实装],[用户设计],[Codex补充]"</x:formula1>
    </x:dataValidation>
    <x:dataValidation type="list" sqref="L5:L16">
      <x:formula1>"[已实装],[用户设计],[Codex补充]"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4" hidden="0" customWidth="1"/>
    <x:col min="4" max="4" width="18" hidden="0" customWidth="1"/>
    <x:col min="5" max="5" width="12" hidden="0" customWidth="1"/>
    <x:col min="6" max="6" width="10" hidden="0" customWidth="1"/>
    <x:col min="7" max="7" width="10" hidden="0" customWidth="1"/>
    <x:col min="8" max="8" width="28" hidden="0" customWidth="1"/>
    <x:col min="9" max="9" width="48" hidden="0" customWidth="1"/>
    <x:col min="10" max="10" width="58" hidden="0" customWidth="1"/>
    <x:col min="11" max="11" width="12" hidden="0" customWidth="1"/>
    <x:col min="12" max="12" width="14" hidden="0" customWidth="1"/>
    <x:col min="13" max="13" width="30" hidden="0" customWidth="1"/>
    <x:col min="14" max="14" width="32" hidden="0" customWidth="1"/>
    <x:col min="15" max="15" width="40" hidden="0" customWidth="1"/>
  </x:cols>
  <x:sheetData>
    <x:row r="1" ht="32" customHeight="1">
      <x:c r="A1" s="3" t="str">
        <x:v>ShellStorm2 游戏内容数据库｜掉落物品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导入ItemRegistry当前32条记录，并加入用户设计的Boss下行专用钥匙。价格0不自动代表免费；进度物不能进入普通商店和随机消耗。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物品ID</x:v>
      </x:c>
      <x:c r="B4" s="13" t="str">
        <x:v>名称</x:v>
      </x:c>
      <x:c r="C4" s="13" t="str">
        <x:v>种类</x:v>
      </x:c>
      <x:c r="D4" s="13" t="str">
        <x:v>子类</x:v>
      </x:c>
      <x:c r="E4" s="13" t="str">
        <x:v>稀有度</x:v>
      </x:c>
      <x:c r="F4" s="13" t="str">
        <x:v>价格</x:v>
      </x:c>
      <x:c r="G4" s="13" t="str">
        <x:v>堆叠</x:v>
      </x:c>
      <x:c r="H4" s="13" t="str">
        <x:v>使用动作</x:v>
      </x:c>
      <x:c r="I4" s="13" t="str">
        <x:v>功能描述</x:v>
      </x:c>
      <x:c r="J4" s="13" t="str">
        <x:v>产出位置/权重</x:v>
      </x:c>
      <x:c r="K4" s="13" t="str">
        <x:v>商人Tier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attach_big_mag</x:v>
      </x:c>
      <x:c r="B5" s="17" t="str">
        <x:v>肉质弹匣</x:v>
      </x:c>
      <x:c r="C5" s="17" t="str">
        <x:v>attachment</x:v>
      </x:c>
      <x:c r="D5" s="17" t="str">
        <x:v>magazine</x:v>
      </x:c>
      <x:c r="E5" s="17" t="str">
        <x:v>uncommon</x:v>
      </x:c>
      <x:c r="F5" s="17" t="n">
        <x:v>80</x:v>
      </x:c>
      <x:c r="G5" s="17" t="n">
        <x:v>5</x:v>
      </x:c>
      <x:c r="H5" s="17" t="str"/>
      <x:c r="I5" s="17" t="str"/>
      <x:c r="J5" s="17" t="str">
        <x:v>combat_floor_1×2.5；combat_floor_2×3；loot_abyss×2；loot_floor_3_4×2；loot_floor_5×2.5；scavenge_floor_3×2；scavenge_floor_4×2.5；scavenge_floor_5×2</x:v>
      </x:c>
      <x:c r="K5" s="17" t="n">
        <x:v>1</x:v>
      </x:c>
      <x:c r="L5" s="18" t="str">
        <x:v>[已实装]</x:v>
      </x:c>
      <x:c r="M5" s="17" t="str">
        <x:v>已注册；具体掉落概率按同池权重计算</x:v>
      </x:c>
      <x:c r="N5" s="17" t="str">
        <x:v>src/base/ItemRegistry.gd</x:v>
      </x:c>
      <x:c r="O5" s="17" t="str">
        <x:v>tags=attachment、magazine、heal</x:v>
      </x:c>
    </x:row>
    <x:row r="6" ht="54" customHeight="1">
      <x:c r="A6" s="17" t="str">
        <x:v>attach_copy_sticker</x:v>
      </x:c>
      <x:c r="B6" s="17" t="str">
        <x:v>复制贴纸</x:v>
      </x:c>
      <x:c r="C6" s="17" t="str">
        <x:v>attachment</x:v>
      </x:c>
      <x:c r="D6" s="17" t="str">
        <x:v>mutator</x:v>
      </x:c>
      <x:c r="E6" s="17" t="str">
        <x:v>epic</x:v>
      </x:c>
      <x:c r="F6" s="17" t="n">
        <x:v>200</x:v>
      </x:c>
      <x:c r="G6" s="17" t="n">
        <x:v>3</x:v>
      </x:c>
      <x:c r="H6" s="17" t="str"/>
      <x:c r="I6" s="17" t="str"/>
      <x:c r="J6" s="17" t="str">
        <x:v>boss_floor_1×3；boss_floor_2×4；combat_floor_3×1；combat_floor_4×1.5；combat_floor_5×2；loot_abyss×2；scavenge_floor_4×2；scavenge_floor_5×3</x:v>
      </x:c>
      <x:c r="K6" s="17" t="n">
        <x:v>3</x:v>
      </x:c>
      <x:c r="L6" s="18" t="str">
        <x:v>[已实装]</x:v>
      </x:c>
      <x:c r="M6" s="17" t="str">
        <x:v>已注册；具体掉落概率按同池权重计算</x:v>
      </x:c>
      <x:c r="N6" s="17" t="str">
        <x:v>src/base/ItemRegistry.gd</x:v>
      </x:c>
      <x:c r="O6" s="17" t="str">
        <x:v>tags=attachment、mutator、copy</x:v>
      </x:c>
    </x:row>
    <x:row r="7" ht="54" customHeight="1">
      <x:c r="A7" s="17" t="str">
        <x:v>attach_fan</x:v>
      </x:c>
      <x:c r="B7" s="17" t="str">
        <x:v>小风扇</x:v>
      </x:c>
      <x:c r="C7" s="17" t="str">
        <x:v>attachment</x:v>
      </x:c>
      <x:c r="D7" s="17" t="str">
        <x:v>external</x:v>
      </x:c>
      <x:c r="E7" s="17" t="str">
        <x:v>epic</x:v>
      </x:c>
      <x:c r="F7" s="17" t="n">
        <x:v>150</x:v>
      </x:c>
      <x:c r="G7" s="17" t="n">
        <x:v>3</x:v>
      </x:c>
      <x:c r="H7" s="17" t="str"/>
      <x:c r="I7" s="17" t="str"/>
      <x:c r="J7" s="17" t="str">
        <x:v>boss_floor_1×3；combat_floor_3×1.5；combat_floor_4×2；combat_floor_5×2.5；loot_abyss×2.5；loot_floor_5×2；scavenge_floor_4×2；scavenge_floor_5×2.5</x:v>
      </x:c>
      <x:c r="K7" s="17" t="n">
        <x:v>3</x:v>
      </x:c>
      <x:c r="L7" s="18" t="str">
        <x:v>[已实装]</x:v>
      </x:c>
      <x:c r="M7" s="17" t="str">
        <x:v>已注册；具体掉落概率按同池权重计算</x:v>
      </x:c>
      <x:c r="N7" s="17" t="str">
        <x:v>src/base/ItemRegistry.gd</x:v>
      </x:c>
      <x:c r="O7" s="17" t="str">
        <x:v>tags=attachment、external、pull</x:v>
      </x:c>
    </x:row>
    <x:row r="8" ht="54" customHeight="1">
      <x:c r="A8" s="17" t="str">
        <x:v>attach_rubber_stock</x:v>
      </x:c>
      <x:c r="B8" s="17" t="str">
        <x:v>橡皮枪托</x:v>
      </x:c>
      <x:c r="C8" s="17" t="str">
        <x:v>attachment</x:v>
      </x:c>
      <x:c r="D8" s="17" t="str">
        <x:v>stock</x:v>
      </x:c>
      <x:c r="E8" s="17" t="str">
        <x:v>common</x:v>
      </x:c>
      <x:c r="F8" s="17" t="n">
        <x:v>45</x:v>
      </x:c>
      <x:c r="G8" s="17" t="n">
        <x:v>5</x:v>
      </x:c>
      <x:c r="H8" s="17" t="str"/>
      <x:c r="I8" s="17" t="str"/>
      <x:c r="J8" s="17" t="str">
        <x:v>combat_floor_1×2.5；combat_floor_2×2；loot_abyss×1.5；loot_floor_1_2×3；loot_floor_3_4×2.5；loot_floor_5×2；scavenge_floor_1×3；scavenge_floor_2×2.5；scavenge_floor_3×2；scavenge_floor_4×1.5；spawn_starter×3</x:v>
      </x:c>
      <x:c r="K8" s="17" t="n">
        <x:v>0</x:v>
      </x:c>
      <x:c r="L8" s="18" t="str">
        <x:v>[已实装]</x:v>
      </x:c>
      <x:c r="M8" s="17" t="str">
        <x:v>已注册；具体掉落概率按同池权重计算</x:v>
      </x:c>
      <x:c r="N8" s="17" t="str">
        <x:v>src/base/ItemRegistry.gd</x:v>
      </x:c>
      <x:c r="O8" s="17" t="str">
        <x:v>tags=attachment、stock、bounce</x:v>
      </x:c>
    </x:row>
    <x:row r="9" ht="54" customHeight="1">
      <x:c r="A9" s="17" t="str">
        <x:v>attach_scope</x:v>
      </x:c>
      <x:c r="B9" s="17" t="str">
        <x:v>放大镜瞄具</x:v>
      </x:c>
      <x:c r="C9" s="17" t="str">
        <x:v>attachment</x:v>
      </x:c>
      <x:c r="D9" s="17" t="str">
        <x:v>scope</x:v>
      </x:c>
      <x:c r="E9" s="17" t="str">
        <x:v>rare</x:v>
      </x:c>
      <x:c r="F9" s="17" t="n">
        <x:v>100</x:v>
      </x:c>
      <x:c r="G9" s="17" t="n">
        <x:v>5</x:v>
      </x:c>
      <x:c r="H9" s="17" t="str"/>
      <x:c r="I9" s="17" t="str"/>
      <x:c r="J9" s="17" t="str">
        <x:v>combat_floor_2×1.5；combat_floor_3×2.5；loot_abyss×3；loot_floor_3_4×2；loot_floor_5×2.5；scavenge_floor_3×2；scavenge_floor_4×2.5；scavenge_floor_5×3</x:v>
      </x:c>
      <x:c r="K9" s="17" t="n">
        <x:v>2</x:v>
      </x:c>
      <x:c r="L9" s="18" t="str">
        <x:v>[已实装]</x:v>
      </x:c>
      <x:c r="M9" s="17" t="str">
        <x:v>已注册；具体掉落概率按同池权重计算</x:v>
      </x:c>
      <x:c r="N9" s="17" t="str">
        <x:v>src/base/ItemRegistry.gd</x:v>
      </x:c>
      <x:c r="O9" s="17" t="str">
        <x:v>tags=attachment、scope、crit</x:v>
      </x:c>
    </x:row>
    <x:row r="10" ht="54" customHeight="1">
      <x:c r="A10" s="17" t="str">
        <x:v>attach_triple_muzzle</x:v>
      </x:c>
      <x:c r="B10" s="17" t="str">
        <x:v>三叉枪口</x:v>
      </x:c>
      <x:c r="C10" s="17" t="str">
        <x:v>attachment</x:v>
      </x:c>
      <x:c r="D10" s="17" t="str">
        <x:v>muzzle</x:v>
      </x:c>
      <x:c r="E10" s="17" t="str">
        <x:v>uncommon</x:v>
      </x:c>
      <x:c r="F10" s="17" t="n">
        <x:v>70</x:v>
      </x:c>
      <x:c r="G10" s="17" t="n">
        <x:v>5</x:v>
      </x:c>
      <x:c r="H10" s="17" t="str"/>
      <x:c r="I10" s="17" t="str"/>
      <x:c r="J10" s="17" t="str">
        <x:v>combat_floor_1×2；combat_floor_2×1.5；loot_abyss×1；loot_floor_1_2×2.5；loot_floor_3_4×2；loot_floor_5×1.5；scavenge_floor_1×2.5；scavenge_floor_2×2；scavenge_floor_3×1.5；scavenge_floor_4×1；spawn_starter×2.5</x:v>
      </x:c>
      <x:c r="K10" s="17" t="n">
        <x:v>1</x:v>
      </x:c>
      <x:c r="L10" s="18" t="str">
        <x:v>[已实装]</x:v>
      </x:c>
      <x:c r="M10" s="17" t="str">
        <x:v>已注册；具体掉落概率按同池权重计算</x:v>
      </x:c>
      <x:c r="N10" s="17" t="str">
        <x:v>src/base/ItemRegistry.gd</x:v>
      </x:c>
      <x:c r="O10" s="17" t="str">
        <x:v>tags=attachment、muzzle、multi_shot</x:v>
      </x:c>
    </x:row>
    <x:row r="11" ht="54" customHeight="1">
      <x:c r="A11" s="17" t="str">
        <x:v>bp_charge</x:v>
      </x:c>
      <x:c r="B11" s="17" t="str">
        <x:v>蓄力萝卜炮蓝图碎片</x:v>
      </x:c>
      <x:c r="C11" s="17" t="str">
        <x:v>blueprint</x:v>
      </x:c>
      <x:c r="D11" s="17" t="str">
        <x:v>gun_body</x:v>
      </x:c>
      <x:c r="E11" s="17" t="str">
        <x:v>epic</x:v>
      </x:c>
      <x:c r="F11" s="17" t="n">
        <x:v>200</x:v>
      </x:c>
      <x:c r="G11" s="17" t="n">
        <x:v>99</x:v>
      </x:c>
      <x:c r="H11" s="17" t="str">
        <x:v>unlock_blueprint</x:v>
      </x:c>
      <x:c r="I11" s="17" t="str">
        <x:v>使用后解锁蓄力萝卜炮蓝图，并获得 80 资源点</x:v>
      </x:c>
      <x:c r="J11" s="17" t="str">
        <x:v>boss_floor_2×4；combat_floor_4×0.5；combat_floor_5×1；loot_abyss×2；scavenge_floor_5×0.5</x:v>
      </x:c>
      <x:c r="K11" s="17" t="n">
        <x:v>3</x:v>
      </x:c>
      <x:c r="L11" s="18" t="str">
        <x:v>[已实装]</x:v>
      </x:c>
      <x:c r="M11" s="17" t="str">
        <x:v>已注册；具体掉落概率按同池权重计算</x:v>
      </x:c>
      <x:c r="N11" s="17" t="str">
        <x:v>src/base/ItemRegistry.gd</x:v>
      </x:c>
      <x:c r="O11" s="17" t="str">
        <x:v>tags=blueprint、gun_body、charge</x:v>
      </x:c>
    </x:row>
    <x:row r="12" ht="54" customHeight="1">
      <x:c r="A12" s="17" t="str">
        <x:v>bp_launcher</x:v>
      </x:c>
      <x:c r="B12" s="17" t="str">
        <x:v>反胃榴弹筒蓝图碎片</x:v>
      </x:c>
      <x:c r="C12" s="17" t="str">
        <x:v>blueprint</x:v>
      </x:c>
      <x:c r="D12" s="17" t="str">
        <x:v>gun_body</x:v>
      </x:c>
      <x:c r="E12" s="17" t="str">
        <x:v>rare</x:v>
      </x:c>
      <x:c r="F12" s="17" t="n">
        <x:v>130</x:v>
      </x:c>
      <x:c r="G12" s="17" t="n">
        <x:v>99</x:v>
      </x:c>
      <x:c r="H12" s="17" t="str">
        <x:v>unlock_blueprint</x:v>
      </x:c>
      <x:c r="I12" s="17" t="str">
        <x:v>使用后解锁反胃榴弹筒蓝图，并获得 55 资源点</x:v>
      </x:c>
      <x:c r="J12" s="17" t="str">
        <x:v>boss_floor_1×3；boss_floor_2×4；combat_floor_3×0.5；combat_floor_4×0.3；loot_abyss×2.5；scavenge_floor_5×1</x:v>
      </x:c>
      <x:c r="K12" s="17" t="n">
        <x:v>2</x:v>
      </x:c>
      <x:c r="L12" s="18" t="str">
        <x:v>[已实装]</x:v>
      </x:c>
      <x:c r="M12" s="17" t="str">
        <x:v>已注册；具体掉落概率按同池权重计算</x:v>
      </x:c>
      <x:c r="N12" s="17" t="str">
        <x:v>src/base/ItemRegistry.gd</x:v>
      </x:c>
      <x:c r="O12" s="17" t="str">
        <x:v>tags=blueprint、gun_body、launcher</x:v>
      </x:c>
    </x:row>
    <x:row r="13" ht="54" customHeight="1">
      <x:c r="A13" s="17" t="str">
        <x:v>bp_machinegun</x:v>
      </x:c>
      <x:c r="B13" s="17" t="str">
        <x:v>蜂窝机枪蓝图碎片</x:v>
      </x:c>
      <x:c r="C13" s="17" t="str">
        <x:v>blueprint</x:v>
      </x:c>
      <x:c r="D13" s="17" t="str">
        <x:v>gun_body</x:v>
      </x:c>
      <x:c r="E13" s="17" t="str">
        <x:v>uncommon</x:v>
      </x:c>
      <x:c r="F13" s="17" t="n">
        <x:v>90</x:v>
      </x:c>
      <x:c r="G13" s="17" t="n">
        <x:v>99</x:v>
      </x:c>
      <x:c r="H13" s="17" t="str">
        <x:v>unlock_blueprint</x:v>
      </x:c>
      <x:c r="I13" s="17" t="str">
        <x:v>使用后解锁蜂窝机枪蓝图，并获得 40 资源点</x:v>
      </x:c>
      <x:c r="J13" s="17" t="str">
        <x:v>combat_floor_1×0.8；combat_floor_2×0.5；loot_abyss×2.5；loot_floor_3_4×1.5；loot_floor_5×2；scavenge_floor_3×1.5；scavenge_floor_4×2；scavenge_floor_5×2.5</x:v>
      </x:c>
      <x:c r="K13" s="17" t="n">
        <x:v>1</x:v>
      </x:c>
      <x:c r="L13" s="18" t="str">
        <x:v>[已实装]</x:v>
      </x:c>
      <x:c r="M13" s="17" t="str">
        <x:v>已注册；具体掉落概率按同池权重计算</x:v>
      </x:c>
      <x:c r="N13" s="17" t="str">
        <x:v>src/base/ItemRegistry.gd</x:v>
      </x:c>
      <x:c r="O13" s="17" t="str">
        <x:v>tags=blueprint、gun_body、auto</x:v>
      </x:c>
    </x:row>
    <x:row r="14" ht="54" customHeight="1">
      <x:c r="A14" s="17" t="str">
        <x:v>bp_pistol</x:v>
      </x:c>
      <x:c r="B14" s="17" t="str">
        <x:v>豌豆手枪蓝图碎片</x:v>
      </x:c>
      <x:c r="C14" s="17" t="str">
        <x:v>blueprint</x:v>
      </x:c>
      <x:c r="D14" s="17" t="str">
        <x:v>gun_body</x:v>
      </x:c>
      <x:c r="E14" s="17" t="str">
        <x:v>common</x:v>
      </x:c>
      <x:c r="F14" s="17" t="n">
        <x:v>50</x:v>
      </x:c>
      <x:c r="G14" s="17" t="n">
        <x:v>99</x:v>
      </x:c>
      <x:c r="H14" s="17" t="str">
        <x:v>unlock_blueprint</x:v>
      </x:c>
      <x:c r="I14" s="17" t="str">
        <x:v>使用后解锁豌豆手枪蓝图，并获得 20 资源点</x:v>
      </x:c>
      <x:c r="J14" s="17" t="str">
        <x:v>combat_floor_1×1.5；combat_floor_2×1；loot_abyss×1.5；loot_common×1；loot_floor_1_2×3；loot_floor_3_4×2.5；loot_floor_5×2；scavenge_floor_1×2.5；scavenge_floor_2×1.8；spawn_starter×4</x:v>
      </x:c>
      <x:c r="K14" s="17" t="n">
        <x:v>0</x:v>
      </x:c>
      <x:c r="L14" s="18" t="str">
        <x:v>[已实装]</x:v>
      </x:c>
      <x:c r="M14" s="17" t="str">
        <x:v>已注册；具体掉落概率按同池权重计算</x:v>
      </x:c>
      <x:c r="N14" s="17" t="str">
        <x:v>src/base/ItemRegistry.gd</x:v>
      </x:c>
      <x:c r="O14" s="17" t="str">
        <x:v>tags=blueprint、gun_body</x:v>
      </x:c>
    </x:row>
    <x:row r="15" ht="54" customHeight="1">
      <x:c r="A15" s="17" t="str">
        <x:v>bp_rifle</x:v>
      </x:c>
      <x:c r="B15" s="17" t="str">
        <x:v>步枪蓝图碎片</x:v>
      </x:c>
      <x:c r="C15" s="17" t="str">
        <x:v>blueprint</x:v>
      </x:c>
      <x:c r="D15" s="17" t="str">
        <x:v>gun_body</x:v>
      </x:c>
      <x:c r="E15" s="17" t="str">
        <x:v>uncommon</x:v>
      </x:c>
      <x:c r="F15" s="17" t="n">
        <x:v>80</x:v>
      </x:c>
      <x:c r="G15" s="17" t="n">
        <x:v>99</x:v>
      </x:c>
      <x:c r="H15" s="17" t="str">
        <x:v>unlock_blueprint</x:v>
      </x:c>
      <x:c r="I15" s="17" t="str">
        <x:v>使用后解锁步枪蓝图，并获得 35 资源点</x:v>
      </x:c>
      <x:c r="J15" s="17" t="str">
        <x:v>boss_floor_1×3；combat_floor_1×1.5；combat_floor_2×1；combat_floor_3×0.8；loot_abyss×3；loot_common×1；loot_floor_3_4×2；loot_floor_5×2.5；scavenge_floor_3×1.5；scavenge_floor_4×2；spawn_starter×2</x:v>
      </x:c>
      <x:c r="K15" s="17" t="n">
        <x:v>1</x:v>
      </x:c>
      <x:c r="L15" s="18" t="str">
        <x:v>[已实装]</x:v>
      </x:c>
      <x:c r="M15" s="17" t="str">
        <x:v>已注册；具体掉落概率按同池权重计算</x:v>
      </x:c>
      <x:c r="N15" s="17" t="str">
        <x:v>src/base/ItemRegistry.gd</x:v>
      </x:c>
      <x:c r="O15" s="17" t="str">
        <x:v>tags=blueprint、gun_body、rifle</x:v>
      </x:c>
    </x:row>
    <x:row r="16" ht="54" customHeight="1">
      <x:c r="A16" s="17" t="str">
        <x:v>bp_shotgun</x:v>
      </x:c>
      <x:c r="B16" s="17" t="str">
        <x:v>散射喷壶蓝图碎片</x:v>
      </x:c>
      <x:c r="C16" s="17" t="str">
        <x:v>blueprint</x:v>
      </x:c>
      <x:c r="D16" s="17" t="str">
        <x:v>gun_body</x:v>
      </x:c>
      <x:c r="E16" s="17" t="str">
        <x:v>common</x:v>
      </x:c>
      <x:c r="F16" s="17" t="n">
        <x:v>60</x:v>
      </x:c>
      <x:c r="G16" s="17" t="n">
        <x:v>99</x:v>
      </x:c>
      <x:c r="H16" s="17" t="str">
        <x:v>unlock_blueprint</x:v>
      </x:c>
      <x:c r="I16" s="17" t="str">
        <x:v>使用后解锁散射喷壶蓝图，并获得 25 资源点</x:v>
      </x:c>
      <x:c r="J16" s="17" t="str">
        <x:v>combat_floor_1×1；combat_floor_2×0.5；loot_abyss×1；loot_common×1；loot_floor_1_2×2.5；loot_floor_3_4×2；loot_floor_5×1.5；scavenge_floor_1×2；scavenge_floor_2×1.5；spawn_starter×3.5</x:v>
      </x:c>
      <x:c r="K16" s="17" t="n">
        <x:v>0</x:v>
      </x:c>
      <x:c r="L16" s="18" t="str">
        <x:v>[已实装]</x:v>
      </x:c>
      <x:c r="M16" s="17" t="str">
        <x:v>已注册；具体掉落概率按同池权重计算</x:v>
      </x:c>
      <x:c r="N16" s="17" t="str">
        <x:v>src/base/ItemRegistry.gd</x:v>
      </x:c>
      <x:c r="O16" s="17" t="str">
        <x:v>tags=blueprint、gun_body、shotgun</x:v>
      </x:c>
    </x:row>
    <x:row r="17" ht="54" customHeight="1">
      <x:c r="A17" s="17" t="str">
        <x:v>bp_sniper</x:v>
      </x:c>
      <x:c r="B17" s="17" t="str">
        <x:v>弹弓狙击蓝图碎片</x:v>
      </x:c>
      <x:c r="C17" s="17" t="str">
        <x:v>blueprint</x:v>
      </x:c>
      <x:c r="D17" s="17" t="str">
        <x:v>gun_body</x:v>
      </x:c>
      <x:c r="E17" s="17" t="str">
        <x:v>rare</x:v>
      </x:c>
      <x:c r="F17" s="17" t="n">
        <x:v>120</x:v>
      </x:c>
      <x:c r="G17" s="17" t="n">
        <x:v>99</x:v>
      </x:c>
      <x:c r="H17" s="17" t="str">
        <x:v>unlock_blueprint</x:v>
      </x:c>
      <x:c r="I17" s="17" t="str">
        <x:v>使用后解锁弹弓狙击蓝图，并获得 50 资源点</x:v>
      </x:c>
      <x:c r="J17" s="17" t="str">
        <x:v>boss_floor_1×4；boss_floor_2×5；combat_floor_3×1.5；combat_floor_4×2；combat_floor_5×2.5；loot_abyss×3；loot_common×0.5；loot_floor_5×2；scavenge_floor_5×1.5；spawn_starter×1</x:v>
      </x:c>
      <x:c r="K17" s="17" t="n">
        <x:v>2</x:v>
      </x:c>
      <x:c r="L17" s="18" t="str">
        <x:v>[已实装]</x:v>
      </x:c>
      <x:c r="M17" s="17" t="str">
        <x:v>已注册；具体掉落概率按同池权重计算</x:v>
      </x:c>
      <x:c r="N17" s="17" t="str">
        <x:v>src/base/ItemRegistry.gd</x:v>
      </x:c>
      <x:c r="O17" s="17" t="str">
        <x:v>tags=blueprint、gun_body、sniper</x:v>
      </x:c>
    </x:row>
    <x:row r="18" ht="54" customHeight="1">
      <x:c r="A18" s="17" t="str">
        <x:v>item_ammo_pack</x:v>
      </x:c>
      <x:c r="B18" s="17" t="str">
        <x:v>弹药包</x:v>
      </x:c>
      <x:c r="C18" s="17" t="str">
        <x:v>consumable</x:v>
      </x:c>
      <x:c r="D18" s="17" t="str"/>
      <x:c r="E18" s="17" t="str">
        <x:v>common</x:v>
      </x:c>
      <x:c r="F18" s="17" t="n">
        <x:v>30</x:v>
      </x:c>
      <x:c r="G18" s="17" t="n">
        <x:v>5</x:v>
      </x:c>
      <x:c r="H18" s="17" t="str">
        <x:v>refill_ammo</x:v>
      </x:c>
      <x:c r="I18" s="17" t="str">
        <x:v>额外弹药补给</x:v>
      </x:c>
      <x:c r="J18" s="17" t="str">
        <x:v>combat_floor_1×2；combat_floor_2×2.5；combat_floor_3×2；combat_floor_4×2.5；combat_floor_5×2；loot_common×1.5；loot_floor_1_2×2.5；spawn_starter×2</x:v>
      </x:c>
      <x:c r="K18" s="17" t="str"/>
      <x:c r="L18" s="18" t="str">
        <x:v>[已实装]</x:v>
      </x:c>
      <x:c r="M18" s="17" t="str">
        <x:v>已注册；具体掉落概率按同池权重计算</x:v>
      </x:c>
      <x:c r="N18" s="17" t="str">
        <x:v>src/base/ItemRegistry.gd</x:v>
      </x:c>
      <x:c r="O18" s="17" t="str">
        <x:v>tags=consumable、ammo</x:v>
      </x:c>
    </x:row>
    <x:row r="19" ht="54" customHeight="1">
      <x:c r="A19" s="17" t="str">
        <x:v>item_beacon</x:v>
      </x:c>
      <x:c r="B19" s="17" t="str">
        <x:v>撤离信标</x:v>
      </x:c>
      <x:c r="C19" s="17" t="str">
        <x:v>consumable</x:v>
      </x:c>
      <x:c r="D19" s="17" t="str"/>
      <x:c r="E19" s="17" t="str">
        <x:v>rare</x:v>
      </x:c>
      <x:c r="F19" s="17" t="n">
        <x:v>150</x:v>
      </x:c>
      <x:c r="G19" s="17" t="n">
        <x:v>3</x:v>
      </x:c>
      <x:c r="H19" s="17" t="str">
        <x:v>summon_beacon_extraction</x:v>
      </x:c>
      <x:c r="I19" s="17" t="str">
        <x:v>消耗此道具召唤紧急撤离点。读条期间会刷出追击怪物。</x:v>
      </x:c>
      <x:c r="J19" s="17" t="str">
        <x:v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x:v>
      </x:c>
      <x:c r="K19" s="17" t="n">
        <x:v>2</x:v>
      </x:c>
      <x:c r="L19" s="18" t="str">
        <x:v>[已实装]</x:v>
      </x:c>
      <x:c r="M19" s="17" t="str">
        <x:v>已注册；具体掉落概率按同池权重计算</x:v>
      </x:c>
      <x:c r="N19" s="17" t="str">
        <x:v>src/base/ItemRegistry.gd</x:v>
      </x:c>
      <x:c r="O19" s="17" t="str">
        <x:v>tags=extraction、consumable、beacon</x:v>
      </x:c>
    </x:row>
    <x:row r="20" ht="54" customHeight="1">
      <x:c r="A20" s="17" t="str">
        <x:v>item_health_potion</x:v>
      </x:c>
      <x:c r="B20" s="17" t="str">
        <x:v>治疗药水</x:v>
      </x:c>
      <x:c r="C20" s="17" t="str">
        <x:v>consumable</x:v>
      </x:c>
      <x:c r="D20" s="17" t="str"/>
      <x:c r="E20" s="17" t="str">
        <x:v>common</x:v>
      </x:c>
      <x:c r="F20" s="17" t="n">
        <x:v>40</x:v>
      </x:c>
      <x:c r="G20" s="17" t="n">
        <x:v>5</x:v>
      </x:c>
      <x:c r="H20" s="17" t="str">
        <x:v>heal</x:v>
      </x:c>
      <x:c r="I20" s="17" t="str">
        <x:v>恢复 30 点生命值</x:v>
      </x:c>
      <x:c r="J20" s="17" t="str">
        <x:v>combat_floor_1×1.5；combat_floor_2×2；combat_floor_3×1；loot_common×2；loot_floor_1_2×2；loot_floor_3_4×1.5；spawn_starter×2</x:v>
      </x:c>
      <x:c r="K20" s="17" t="str"/>
      <x:c r="L20" s="18" t="str">
        <x:v>[已实装]</x:v>
      </x:c>
      <x:c r="M20" s="17" t="str">
        <x:v>已注册；具体掉落概率按同池权重计算</x:v>
      </x:c>
      <x:c r="N20" s="17" t="str">
        <x:v>src/base/ItemRegistry.gd</x:v>
      </x:c>
      <x:c r="O20" s="17" t="str">
        <x:v>tags=consumable、healing</x:v>
      </x:c>
    </x:row>
    <x:row r="21" ht="54" customHeight="1">
      <x:c r="A21" s="17" t="str">
        <x:v>item_room_key</x:v>
      </x:c>
      <x:c r="B21" s="17" t="str">
        <x:v>房间钥匙</x:v>
      </x:c>
      <x:c r="C21" s="17" t="str">
        <x:v>key</x:v>
      </x:c>
      <x:c r="D21" s="17" t="str"/>
      <x:c r="E21" s="17" t="str">
        <x:v>common</x:v>
      </x:c>
      <x:c r="F21" s="17" t="n">
        <x:v>0</x:v>
      </x:c>
      <x:c r="G21" s="17" t="n">
        <x:v>9</x:v>
      </x:c>
      <x:c r="H21" s="17" t="str"/>
      <x:c r="I21" s="17" t="str">
        <x:v>用于开启地图上的一扇房门。来自怪物掉落或房间搜索。</x:v>
      </x:c>
      <x:c r="J21" s="17" t="str">
        <x:v>combat_floor_1×1.2；elite_floor_1×1；elite_floor_2×1；loot_common×1；loot_floor_1_2×1.8；scavenge_floor_1×2.4；scavenge_floor_2×2</x:v>
      </x:c>
      <x:c r="K21" s="17" t="str"/>
      <x:c r="L21" s="18" t="str">
        <x:v>[已实装]</x:v>
      </x:c>
      <x:c r="M21" s="17" t="str">
        <x:v>已注册；具体掉落概率按同池权重计算</x:v>
      </x:c>
      <x:c r="N21" s="17" t="str">
        <x:v>src/base/ItemRegistry.gd</x:v>
      </x:c>
      <x:c r="O21" s="17" t="str">
        <x:v>tags=key、progression</x:v>
      </x:c>
    </x:row>
    <x:row r="22" ht="54" customHeight="1">
      <x:c r="A22" s="17" t="str">
        <x:v>mod_bullet_balloon</x:v>
      </x:c>
      <x:c r="B22" s="17" t="str">
        <x:v>气球弹模块</x:v>
      </x:c>
      <x:c r="C22" s="17" t="str">
        <x:v>module</x:v>
      </x:c>
      <x:c r="D22" s="17" t="str">
        <x:v>bullet</x:v>
      </x:c>
      <x:c r="E22" s="17" t="str">
        <x:v>rare</x:v>
      </x:c>
      <x:c r="F22" s="17" t="n">
        <x:v>90</x:v>
      </x:c>
      <x:c r="G22" s="17" t="n">
        <x:v>10</x:v>
      </x:c>
      <x:c r="H22" s="17" t="str"/>
      <x:c r="I22" s="17" t="str"/>
      <x:c r="J22" s="17" t="str">
        <x:v>combat_floor_3×1；combat_floor_4×1.5；loot_abyss×2；loot_floor_3_4×1.5；loot_floor_5×2；scavenge_floor_3×1.5；scavenge_floor_4×2；scavenge_floor_5×2</x:v>
      </x:c>
      <x:c r="K22" s="17" t="n">
        <x:v>2</x:v>
      </x:c>
      <x:c r="L22" s="18" t="str">
        <x:v>[已实装]</x:v>
      </x:c>
      <x:c r="M22" s="17" t="str">
        <x:v>已注册；具体掉落概率按同池权重计算</x:v>
      </x:c>
      <x:c r="N22" s="17" t="str">
        <x:v>src/base/ItemRegistry.gd</x:v>
      </x:c>
      <x:c r="O22" s="17" t="str">
        <x:v>tags=module、bullet、balloon、slow</x:v>
      </x:c>
    </x:row>
    <x:row r="23" ht="54" customHeight="1">
      <x:c r="A23" s="17" t="str">
        <x:v>mod_bullet_blackhole</x:v>
      </x:c>
      <x:c r="B23" s="17" t="str">
        <x:v>黑洞弹模块</x:v>
      </x:c>
      <x:c r="C23" s="17" t="str">
        <x:v>module</x:v>
      </x:c>
      <x:c r="D23" s="17" t="str">
        <x:v>bullet</x:v>
      </x:c>
      <x:c r="E23" s="17" t="str">
        <x:v>epic</x:v>
      </x:c>
      <x:c r="F23" s="17" t="n">
        <x:v>180</x:v>
      </x:c>
      <x:c r="G23" s="17" t="n">
        <x:v>10</x:v>
      </x:c>
      <x:c r="H23" s="17" t="str"/>
      <x:c r="I23" s="17" t="str"/>
      <x:c r="J23" s="17" t="str">
        <x:v>boss_floor_1×3；boss_floor_2×4；combat_floor_4×2；combat_floor_5×3；loot_abyss×2.5；scavenge_floor_4×2.5；scavenge_floor_5×4</x:v>
      </x:c>
      <x:c r="K23" s="17" t="n">
        <x:v>3</x:v>
      </x:c>
      <x:c r="L23" s="18" t="str">
        <x:v>[已实装]</x:v>
      </x:c>
      <x:c r="M23" s="17" t="str">
        <x:v>已注册；具体掉落概率按同池权重计算</x:v>
      </x:c>
      <x:c r="N23" s="17" t="str">
        <x:v>src/base/ItemRegistry.gd</x:v>
      </x:c>
      <x:c r="O23" s="17" t="str">
        <x:v>tags=module、bullet、blackhole、pull</x:v>
      </x:c>
    </x:row>
    <x:row r="24" ht="54" customHeight="1">
      <x:c r="A24" s="17" t="str">
        <x:v>mod_bullet_bounce</x:v>
      </x:c>
      <x:c r="B24" s="17" t="str">
        <x:v>回旋镖弹模块</x:v>
      </x:c>
      <x:c r="C24" s="17" t="str">
        <x:v>module</x:v>
      </x:c>
      <x:c r="D24" s="17" t="str">
        <x:v>bullet</x:v>
      </x:c>
      <x:c r="E24" s="17" t="str">
        <x:v>uncommon</x:v>
      </x:c>
      <x:c r="F24" s="17" t="n">
        <x:v>60</x:v>
      </x:c>
      <x:c r="G24" s="17" t="n">
        <x:v>10</x:v>
      </x:c>
      <x:c r="H24" s="17" t="str"/>
      <x:c r="I24" s="17" t="str"/>
      <x:c r="J24" s="17" t="str">
        <x:v>combat_floor_1×1.5；combat_floor_2×2；loot_abyss×2；loot_floor_1_2×1.5；loot_floor_3_4×2；loot_floor_5×2.5；scavenge_floor_1×1.5；scavenge_floor_2×2；spawn_starter×1.5</x:v>
      </x:c>
      <x:c r="K24" s="17" t="n">
        <x:v>1</x:v>
      </x:c>
      <x:c r="L24" s="18" t="str">
        <x:v>[已实装]</x:v>
      </x:c>
      <x:c r="M24" s="17" t="str">
        <x:v>已注册；具体掉落概率按同池权重计算</x:v>
      </x:c>
      <x:c r="N24" s="17" t="str">
        <x:v>src/base/ItemRegistry.gd</x:v>
      </x:c>
      <x:c r="O24" s="17" t="str">
        <x:v>tags=module、bullet、bounce</x:v>
      </x:c>
    </x:row>
    <x:row r="25" ht="54" customHeight="1">
      <x:c r="A25" s="17" t="str">
        <x:v>mod_bullet_explosive</x:v>
      </x:c>
      <x:c r="B25" s="17" t="str">
        <x:v>爆炸弹模块</x:v>
      </x:c>
      <x:c r="C25" s="17" t="str">
        <x:v>module</x:v>
      </x:c>
      <x:c r="D25" s="17" t="str">
        <x:v>bullet</x:v>
      </x:c>
      <x:c r="E25" s="17" t="str">
        <x:v>rare</x:v>
      </x:c>
      <x:c r="F25" s="17" t="n">
        <x:v>100</x:v>
      </x:c>
      <x:c r="G25" s="17" t="n">
        <x:v>10</x:v>
      </x:c>
      <x:c r="H25" s="17" t="str"/>
      <x:c r="I25" s="17" t="str"/>
      <x:c r="J25" s="17" t="str">
        <x:v>combat_floor_3×1；loot_abyss×2.5；loot_floor_3_4×1.5；loot_floor_5×2；scavenge_floor_3×1.5；scavenge_floor_4×2；scavenge_floor_5×2.5</x:v>
      </x:c>
      <x:c r="K25" s="17" t="n">
        <x:v>2</x:v>
      </x:c>
      <x:c r="L25" s="18" t="str">
        <x:v>[已实装]</x:v>
      </x:c>
      <x:c r="M25" s="17" t="str">
        <x:v>已注册；具体掉落概率按同池权重计算</x:v>
      </x:c>
      <x:c r="N25" s="17" t="str">
        <x:v>src/base/ItemRegistry.gd</x:v>
      </x:c>
      <x:c r="O25" s="17" t="str">
        <x:v>tags=module、bullet、explosive</x:v>
      </x:c>
    </x:row>
    <x:row r="26" ht="54" customHeight="1">
      <x:c r="A26" s="17" t="str">
        <x:v>mod_bullet_homing</x:v>
      </x:c>
      <x:c r="B26" s="17" t="str">
        <x:v>蜂卵弹模块</x:v>
      </x:c>
      <x:c r="C26" s="17" t="str">
        <x:v>module</x:v>
      </x:c>
      <x:c r="D26" s="17" t="str">
        <x:v>bullet</x:v>
      </x:c>
      <x:c r="E26" s="17" t="str">
        <x:v>epic</x:v>
      </x:c>
      <x:c r="F26" s="17" t="n">
        <x:v>150</x:v>
      </x:c>
      <x:c r="G26" s="17" t="n">
        <x:v>10</x:v>
      </x:c>
      <x:c r="H26" s="17" t="str"/>
      <x:c r="I26" s="17" t="str"/>
      <x:c r="J26" s="17" t="str">
        <x:v>boss_floor_1×4；combat_floor_4×1.5；combat_floor_5×2.5；loot_abyss×3；loot_floor_5×2；scavenge_floor_4×2；scavenge_floor_5×3</x:v>
      </x:c>
      <x:c r="K26" s="17" t="n">
        <x:v>3</x:v>
      </x:c>
      <x:c r="L26" s="18" t="str">
        <x:v>[已实装]</x:v>
      </x:c>
      <x:c r="M26" s="17" t="str">
        <x:v>已注册；具体掉落概率按同池权重计算</x:v>
      </x:c>
      <x:c r="N26" s="17" t="str">
        <x:v>src/base/ItemRegistry.gd</x:v>
      </x:c>
      <x:c r="O26" s="17" t="str">
        <x:v>tags=module、bullet、homing、summon</x:v>
      </x:c>
    </x:row>
    <x:row r="27" ht="54" customHeight="1">
      <x:c r="A27" s="17" t="str">
        <x:v>mod_bullet_piercing</x:v>
      </x:c>
      <x:c r="B27" s="17" t="str">
        <x:v>穿甲弹模块</x:v>
      </x:c>
      <x:c r="C27" s="17" t="str">
        <x:v>module</x:v>
      </x:c>
      <x:c r="D27" s="17" t="str">
        <x:v>bullet</x:v>
      </x:c>
      <x:c r="E27" s="17" t="str">
        <x:v>rare</x:v>
      </x:c>
      <x:c r="F27" s="17" t="n">
        <x:v>80</x:v>
      </x:c>
      <x:c r="G27" s="17" t="n">
        <x:v>10</x:v>
      </x:c>
      <x:c r="H27" s="17" t="str"/>
      <x:c r="I27" s="17" t="str"/>
      <x:c r="J27" s="17" t="str">
        <x:v>combat_floor_3×1.5；loot_abyss×3；loot_floor_3_4×2；loot_floor_5×2.5；scavenge_floor_3×2；scavenge_floor_4×2.5；scavenge_floor_5×3</x:v>
      </x:c>
      <x:c r="K27" s="17" t="n">
        <x:v>2</x:v>
      </x:c>
      <x:c r="L27" s="18" t="str">
        <x:v>[已实装]</x:v>
      </x:c>
      <x:c r="M27" s="17" t="str">
        <x:v>已注册；具体掉落概率按同池权重计算</x:v>
      </x:c>
      <x:c r="N27" s="17" t="str">
        <x:v>src/base/ItemRegistry.gd</x:v>
      </x:c>
      <x:c r="O27" s="17" t="str">
        <x:v>tags=module、bullet、piercing</x:v>
      </x:c>
    </x:row>
    <x:row r="28" ht="54" customHeight="1">
      <x:c r="A28" s="17" t="str">
        <x:v>mod_bullet_standard</x:v>
      </x:c>
      <x:c r="B28" s="17" t="str">
        <x:v>标准子弹模块</x:v>
      </x:c>
      <x:c r="C28" s="17" t="str">
        <x:v>module</x:v>
      </x:c>
      <x:c r="D28" s="17" t="str">
        <x:v>bullet</x:v>
      </x:c>
      <x:c r="E28" s="17" t="str">
        <x:v>common</x:v>
      </x:c>
      <x:c r="F28" s="17" t="n">
        <x:v>30</x:v>
      </x:c>
      <x:c r="G28" s="17" t="n">
        <x:v>10</x:v>
      </x:c>
      <x:c r="H28" s="17" t="str"/>
      <x:c r="I28" s="17" t="str"/>
      <x:c r="J28" s="17" t="str">
        <x:v>combat_floor_1×3；combat_floor_2×2.5；loot_abyss×1.5；loot_floor_1_2×3；loot_floor_3_4×2.5；loot_floor_5×2；scavenge_floor_1×3；scavenge_floor_2×2.5；spawn_starter×3</x:v>
      </x:c>
      <x:c r="K28" s="17" t="n">
        <x:v>0</x:v>
      </x:c>
      <x:c r="L28" s="18" t="str">
        <x:v>[已实装]</x:v>
      </x:c>
      <x:c r="M28" s="17" t="str">
        <x:v>已注册；具体掉落概率按同池权重计算</x:v>
      </x:c>
      <x:c r="N28" s="17" t="str">
        <x:v>src/base/ItemRegistry.gd</x:v>
      </x:c>
      <x:c r="O28" s="17" t="str">
        <x:v>tags=module、bullet</x:v>
      </x:c>
    </x:row>
    <x:row r="29" ht="54" customHeight="1">
      <x:c r="A29" s="17" t="str">
        <x:v>mod_bullet_sticky</x:v>
      </x:c>
      <x:c r="B29" s="17" t="str">
        <x:v>黏黏弹模块</x:v>
      </x:c>
      <x:c r="C29" s="17" t="str">
        <x:v>module</x:v>
      </x:c>
      <x:c r="D29" s="17" t="str">
        <x:v>bullet</x:v>
      </x:c>
      <x:c r="E29" s="17" t="str">
        <x:v>uncommon</x:v>
      </x:c>
      <x:c r="F29" s="17" t="n">
        <x:v>50</x:v>
      </x:c>
      <x:c r="G29" s="17" t="n">
        <x:v>10</x:v>
      </x:c>
      <x:c r="H29" s="17" t="str"/>
      <x:c r="I29" s="17" t="str"/>
      <x:c r="J29" s="17" t="str">
        <x:v>combat_floor_1×2；combat_floor_2×2.5；loot_abyss×1.5；loot_floor_1_2×2；loot_floor_3_4×2.5；loot_floor_5×2；scavenge_floor_1×2；scavenge_floor_2×2.5；spawn_starter×2</x:v>
      </x:c>
      <x:c r="K29" s="17" t="n">
        <x:v>1</x:v>
      </x:c>
      <x:c r="L29" s="18" t="str">
        <x:v>[已实装]</x:v>
      </x:c>
      <x:c r="M29" s="17" t="str">
        <x:v>已注册；具体掉落概率按同池权重计算</x:v>
      </x:c>
      <x:c r="N29" s="17" t="str">
        <x:v>src/base/ItemRegistry.gd</x:v>
      </x:c>
      <x:c r="O29" s="17" t="str">
        <x:v>tags=module、bullet、sticky</x:v>
      </x:c>
    </x:row>
    <x:row r="30" ht="54" customHeight="1">
      <x:c r="A30" s="17" t="str">
        <x:v>weapon_charge</x:v>
      </x:c>
      <x:c r="B30" s="17" t="str">
        <x:v>蓄力萝卜炮</x:v>
      </x:c>
      <x:c r="C30" s="17" t="str">
        <x:v>weapon</x:v>
      </x:c>
      <x:c r="D30" s="17" t="str">
        <x:v>gun_body</x:v>
      </x:c>
      <x:c r="E30" s="17" t="str">
        <x:v>epic</x:v>
      </x:c>
      <x:c r="F30" s="17" t="n">
        <x:v>350</x:v>
      </x:c>
      <x:c r="G30" s="17" t="n">
        <x:v>1</x:v>
      </x:c>
      <x:c r="H30" s="17" t="str"/>
      <x:c r="I30" s="17" t="str">
        <x:v>蓄力时间越长伤害越高，超蓄力后弹体变大并附带穿透。左键装备为当前主武器。</x:v>
      </x:c>
      <x:c r="J30" s="17" t="str">
        <x:v>boss_floor_2×4；combat_floor_4×0.5；combat_floor_5×1；elite_floor_2×3；loot_abyss×2；loot_floor_5×0.8；scavenge_floor_4×0.4；scavenge_floor_5×1</x:v>
      </x:c>
      <x:c r="K30" s="17" t="str"/>
      <x:c r="L30" s="18" t="str">
        <x:v>[已实装]</x:v>
      </x:c>
      <x:c r="M30" s="17" t="str">
        <x:v>基础成品已注册；独立WeaponInstance与随枪构筑未实装</x:v>
      </x:c>
      <x:c r="N30" s="17" t="str">
        <x:v>src/base/ItemRegistry.gd</x:v>
      </x:c>
      <x:c r="O30" s="17" t="str">
        <x:v>新设计：stack_max=1；生成永久weapon_instance_id，并保存命运槽、子弹模块与配件快照</x:v>
      </x:c>
    </x:row>
    <x:row r="31" ht="54" customHeight="1">
      <x:c r="A31" s="17" t="str">
        <x:v>weapon_launcher</x:v>
      </x:c>
      <x:c r="B31" s="17" t="str">
        <x:v>反胃榴弹筒</x:v>
      </x:c>
      <x:c r="C31" s="17" t="str">
        <x:v>weapon</x:v>
      </x:c>
      <x:c r="D31" s="17" t="str">
        <x:v>gun_body</x:v>
      </x:c>
      <x:c r="E31" s="17" t="str">
        <x:v>rare</x:v>
      </x:c>
      <x:c r="F31" s="17" t="n">
        <x:v>250</x:v>
      </x:c>
      <x:c r="G31" s="17" t="n">
        <x:v>1</x:v>
      </x:c>
      <x:c r="H31" s="17" t="str"/>
      <x:c r="I31" s="17" t="str">
        <x:v>发射爆炸弹，抛物线弹道，大范围AOE。左键装备为当前主武器。</x:v>
      </x:c>
      <x:c r="J31" s="17" t="str">
        <x:v>boss_floor_1×2.5；boss_floor_2×4；combat_floor_3×0.8；combat_floor_4×0.5；combat_floor_5×1；elite_floor_2×3；loot_abyss×2.5；loot_floor_3_4×1；loot_floor_5×1.5；scavenge_floor_3×0.5；scavenge_floor_4×1；scavenge_floor_5×2</x:v>
      </x:c>
      <x:c r="K31" s="17" t="str"/>
      <x:c r="L31" s="18" t="str">
        <x:v>[已实装]</x:v>
      </x:c>
      <x:c r="M31" s="17" t="str">
        <x:v>基础成品已注册；独立WeaponInstance与随枪构筑未实装</x:v>
      </x:c>
      <x:c r="N31" s="17" t="str">
        <x:v>src/base/ItemRegistry.gd</x:v>
      </x:c>
      <x:c r="O31" s="17" t="str">
        <x:v>新设计：stack_max=1；生成永久weapon_instance_id，并保存命运槽、子弹模块与配件快照</x:v>
      </x:c>
    </x:row>
    <x:row r="32" ht="54" customHeight="1">
      <x:c r="A32" s="17" t="str">
        <x:v>weapon_machinegun</x:v>
      </x:c>
      <x:c r="B32" s="17" t="str">
        <x:v>蜂窝机枪</x:v>
      </x:c>
      <x:c r="C32" s="17" t="str">
        <x:v>weapon</x:v>
      </x:c>
      <x:c r="D32" s="17" t="str">
        <x:v>gun_body</x:v>
      </x:c>
      <x:c r="E32" s="17" t="str">
        <x:v>uncommon</x:v>
      </x:c>
      <x:c r="F32" s="17" t="n">
        <x:v>180</x:v>
      </x:c>
      <x:c r="G32" s="17" t="n">
        <x:v>1</x:v>
      </x:c>
      <x:c r="H32" s="17" t="str"/>
      <x:c r="I32" s="17" t="str">
        <x:v>高射速压制武器，适合清群怪。左键装备为当前主武器。</x:v>
      </x:c>
      <x:c r="J32" s="17" t="str">
        <x:v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x:v>
      </x:c>
      <x:c r="K32" s="17" t="str"/>
      <x:c r="L32" s="18" t="str">
        <x:v>[已实装]</x:v>
      </x:c>
      <x:c r="M32" s="17" t="str">
        <x:v>基础成品已注册；独立WeaponInstance与随枪构筑未实装</x:v>
      </x:c>
      <x:c r="N32" s="17" t="str">
        <x:v>src/base/ItemRegistry.gd</x:v>
      </x:c>
      <x:c r="O32" s="17" t="str">
        <x:v>新设计：stack_max=1；生成永久weapon_instance_id，并保存命运槽、子弹模块与配件快照</x:v>
      </x:c>
    </x:row>
    <x:row r="33" ht="54" customHeight="1">
      <x:c r="A33" s="17" t="str">
        <x:v>weapon_pistol</x:v>
      </x:c>
      <x:c r="B33" s="17" t="str">
        <x:v>豌豆手枪</x:v>
      </x:c>
      <x:c r="C33" s="17" t="str">
        <x:v>weapon</x:v>
      </x:c>
      <x:c r="D33" s="17" t="str">
        <x:v>gun_body</x:v>
      </x:c>
      <x:c r="E33" s="17" t="str">
        <x:v>common</x:v>
      </x:c>
      <x:c r="F33" s="17" t="n">
        <x:v>70</x:v>
      </x:c>
      <x:c r="G33" s="17" t="n">
        <x:v>1</x:v>
      </x:c>
      <x:c r="H33" s="17" t="str"/>
      <x:c r="I33" s="17" t="str">
        <x:v>可靠的基础半自动武器。左键装备为当前主武器。</x:v>
      </x:c>
      <x:c r="J33" s="17" t="str">
        <x:v>combat_floor_1×0.5；combat_floor_2×0.8；loot_floor_1_2×0.8；scavenge_floor_1×0.8；scavenge_floor_2×1.4</x:v>
      </x:c>
      <x:c r="K33" s="17" t="str"/>
      <x:c r="L33" s="18" t="str">
        <x:v>[已实装]</x:v>
      </x:c>
      <x:c r="M33" s="17" t="str">
        <x:v>基础成品已注册；独立WeaponInstance与随枪构筑未实装</x:v>
      </x:c>
      <x:c r="N33" s="17" t="str">
        <x:v>src/base/ItemRegistry.gd</x:v>
      </x:c>
      <x:c r="O33" s="17" t="str">
        <x:v>新设计：stack_max=1；生成永久weapon_instance_id，并保存命运槽、子弹模块与配件快照</x:v>
      </x:c>
    </x:row>
    <x:row r="34" ht="54" customHeight="1">
      <x:c r="A34" s="17" t="str">
        <x:v>weapon_rifle</x:v>
      </x:c>
      <x:c r="B34" s="17" t="str">
        <x:v>步枪</x:v>
      </x:c>
      <x:c r="C34" s="17" t="str">
        <x:v>weapon</x:v>
      </x:c>
      <x:c r="D34" s="17" t="str">
        <x:v>gun_body</x:v>
      </x:c>
      <x:c r="E34" s="17" t="str">
        <x:v>rare</x:v>
      </x:c>
      <x:c r="F34" s="17" t="n">
        <x:v>150</x:v>
      </x:c>
      <x:c r="G34" s="17" t="n">
        <x:v>1</x:v>
      </x:c>
      <x:c r="H34" s="17" t="str"/>
      <x:c r="I34" s="17" t="str">
        <x:v>稳定连发的中距离武器。左键装备为当前主武器。</x:v>
      </x:c>
      <x:c r="J34" s="17" t="str">
        <x:v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x:v>
      </x:c>
      <x:c r="K34" s="17" t="str"/>
      <x:c r="L34" s="18" t="str">
        <x:v>[已实装]</x:v>
      </x:c>
      <x:c r="M34" s="17" t="str">
        <x:v>基础成品已注册；独立WeaponInstance与随枪构筑未实装</x:v>
      </x:c>
      <x:c r="N34" s="17" t="str">
        <x:v>src/base/ItemRegistry.gd</x:v>
      </x:c>
      <x:c r="O34" s="17" t="str">
        <x:v>新设计：stack_max=1；生成永久weapon_instance_id，并保存命运槽、子弹模块与配件快照</x:v>
      </x:c>
    </x:row>
    <x:row r="35" ht="54" customHeight="1">
      <x:c r="A35" s="17" t="str">
        <x:v>weapon_shotgun</x:v>
      </x:c>
      <x:c r="B35" s="17" t="str">
        <x:v>散射喷壶</x:v>
      </x:c>
      <x:c r="C35" s="17" t="str">
        <x:v>weapon</x:v>
      </x:c>
      <x:c r="D35" s="17" t="str">
        <x:v>gun_body</x:v>
      </x:c>
      <x:c r="E35" s="17" t="str">
        <x:v>uncommon</x:v>
      </x:c>
      <x:c r="F35" s="17" t="n">
        <x:v>110</x:v>
      </x:c>
      <x:c r="G35" s="17" t="n">
        <x:v>1</x:v>
      </x:c>
      <x:c r="H35" s="17" t="str"/>
      <x:c r="I35" s="17" t="str">
        <x:v>近距离多弹丸散射武器。左键装备为当前主武器。</x:v>
      </x:c>
      <x:c r="J35" s="17" t="str">
        <x:v>combat_floor_1×0.8；combat_floor_2×1.2；loot_floor_1_2×1；scavenge_floor_1×1.4；scavenge_floor_2×2；spawn_starter×3</x:v>
      </x:c>
      <x:c r="K35" s="17" t="str"/>
      <x:c r="L35" s="18" t="str">
        <x:v>[已实装]</x:v>
      </x:c>
      <x:c r="M35" s="17" t="str">
        <x:v>基础成品已注册；独立WeaponInstance与随枪构筑未实装</x:v>
      </x:c>
      <x:c r="N35" s="17" t="str">
        <x:v>src/base/ItemRegistry.gd</x:v>
      </x:c>
      <x:c r="O35" s="17" t="str">
        <x:v>新设计：stack_max=1；生成永久weapon_instance_id，并保存命运槽、子弹模块与配件快照</x:v>
      </x:c>
    </x:row>
    <x:row r="36" ht="54" customHeight="1">
      <x:c r="A36" s="17" t="str">
        <x:v>weapon_sniper</x:v>
      </x:c>
      <x:c r="B36" s="17" t="str">
        <x:v>弹弓狙击</x:v>
      </x:c>
      <x:c r="C36" s="17" t="str">
        <x:v>weapon</x:v>
      </x:c>
      <x:c r="D36" s="17" t="str">
        <x:v>gun_body</x:v>
      </x:c>
      <x:c r="E36" s="17" t="str">
        <x:v>rare</x:v>
      </x:c>
      <x:c r="F36" s="17" t="n">
        <x:v>220</x:v>
      </x:c>
      <x:c r="G36" s="17" t="n">
        <x:v>1</x:v>
      </x:c>
      <x:c r="H36" s="17" t="str"/>
      <x:c r="I36" s="17" t="str">
        <x:v>低射速高伤害，穿透力强，适合精准打击。左键装备为当前主武器。</x:v>
      </x:c>
      <x:c r="J36" s="17" t="str">
        <x:v>boss_floor_1×2；boss_floor_2×4；combat_floor_2×0.3；combat_floor_3×0.8；elite_floor_1×1.5；elite_floor_2×2；loot_abyss×2.5；loot_floor_3_4×0.5；loot_floor_5×1.5；scavenge_floor_3×0.5；scavenge_floor_4×1；scavenge_floor_5×2</x:v>
      </x:c>
      <x:c r="K36" s="17" t="str"/>
      <x:c r="L36" s="18" t="str">
        <x:v>[已实装]</x:v>
      </x:c>
      <x:c r="M36" s="17" t="str">
        <x:v>基础成品已注册；独立WeaponInstance与随枪构筑未实装</x:v>
      </x:c>
      <x:c r="N36" s="17" t="str">
        <x:v>src/base/ItemRegistry.gd</x:v>
      </x:c>
      <x:c r="O36" s="17" t="str">
        <x:v>新设计：stack_max=1；生成永久weapon_instance_id，并保存命运槽、子弹模块与配件快照</x:v>
      </x:c>
    </x:row>
    <x:row r="37" ht="54" customHeight="1">
      <x:c r="A37" s="17" t="str">
        <x:v>item_boss_descent_key</x:v>
      </x:c>
      <x:c r="B37" s="17" t="str">
        <x:v>Boss下行专用钥匙</x:v>
      </x:c>
      <x:c r="C37" s="17" t="str">
        <x:v>key</x:v>
      </x:c>
      <x:c r="D37" s="17" t="str">
        <x:v>boss_progression</x:v>
      </x:c>
      <x:c r="E37" s="17" t="str">
        <x:v>special</x:v>
      </x:c>
      <x:c r="F37" s="17" t="n">
        <x:v>0</x:v>
      </x:c>
      <x:c r="G37" s="17" t="n">
        <x:v>1</x:v>
      </x:c>
      <x:c r="H37" s="17" t="str">
        <x:v>open_boss_descent_gate</x:v>
      </x:c>
      <x:c r="I37" s="17" t="str">
        <x:v>击败Boss后获得，只能开启本阶段唯一Boss下行门；不进入普通商店、普通掉落或撤离带出。</x:v>
      </x:c>
      <x:c r="J37" s="17" t="str">
        <x:v>Boss击败结算（唯一签发）</x:v>
      </x:c>
      <x:c r="K37" s="17" t="str">
        <x:v>不可出售</x:v>
      </x:c>
      <x:c r="L37" s="20" t="str">
        <x:v>[用户设计]</x:v>
      </x:c>
      <x:c r="M37" s="17" t="str">
        <x:v>设计冻结；未实装</x:v>
      </x:c>
      <x:c r="N37" s="17" t="str">
        <x:v>游戏设计文档 §8；技术施工_关卡生成与爬楼</x:v>
      </x:c>
      <x:c r="O37" s="17" t="str">
        <x:v>必须记录来源阶段ID；不能与item_room_key互换</x:v>
      </x:c>
    </x:row>
  </x:sheetData>
  <x:mergeCells>
    <x:mergeCell ref="A1:O1"/>
    <x:mergeCell ref="A2:O2"/>
    <x:mergeCell ref="A3:O3"/>
  </x:mergeCells>
  <x:dataValidations count="1">
    <x:dataValidation type="list" sqref="L5:L37">
      <x:formula1>"[已实装],[用户设计],[Codex补充]"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8" hidden="0" customWidth="1"/>
    <x:col min="4" max="4" width="18" hidden="0" customWidth="1"/>
    <x:col min="5" max="5" width="10" hidden="0" customWidth="1"/>
    <x:col min="6" max="6" width="20" hidden="0" customWidth="1"/>
    <x:col min="7" max="7" width="42" hidden="0" customWidth="1"/>
    <x:col min="8" max="8" width="16" hidden="0" customWidth="1"/>
  </x:cols>
  <x:sheetData>
    <x:row r="1" ht="32" customHeight="1">
      <x:c r="A1" s="3" t="str">
        <x:v>ShellStorm2 游戏内容数据库｜字段字典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字段字典是内容评审和自动导入的共同契约。新增列前先说明所有者、必填规则与验证方式。</x:v>
      </x:c>
      <x:c r="B2" s="7"/>
      <x:c r="C2" s="7"/>
      <x:c r="D2" s="7"/>
      <x:c r="E2" s="7"/>
      <x:c r="F2" s="7"/>
      <x:c r="G2" s="7"/>
      <x:c r="H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</x:row>
    <x:row r="4" ht="36" customHeight="1">
      <x:c r="A4" s="13" t="str">
        <x:v>工作表</x:v>
      </x:c>
      <x:c r="B4" s="13" t="str">
        <x:v>字段</x:v>
      </x:c>
      <x:c r="C4" s="13" t="str">
        <x:v>定义</x:v>
      </x:c>
      <x:c r="D4" s="13" t="str">
        <x:v>数据类型</x:v>
      </x:c>
      <x:c r="E4" s="13" t="str">
        <x:v>必填</x:v>
      </x:c>
      <x:c r="F4" s="13" t="str">
        <x:v>所有者</x:v>
      </x:c>
      <x:c r="G4" s="13" t="str">
        <x:v>验证规则</x:v>
      </x:c>
      <x:c r="H4" s="13" t="str">
        <x:v>来源</x:v>
      </x:c>
    </x:row>
    <x:row r="5" ht="54" customHeight="1">
      <x:c r="A5" s="17" t="str">
        <x:v>全表</x:v>
      </x:c>
      <x:c r="B5" s="17" t="str">
        <x:v>稳定ID</x:v>
      </x:c>
      <x:c r="C5" s="17" t="str">
        <x:v>跨版本稳定的内容定义主键</x:v>
      </x:c>
      <x:c r="D5" s="17" t="str">
        <x:v>string</x:v>
      </x:c>
      <x:c r="E5" s="17" t="str">
        <x:v>是</x:v>
      </x:c>
      <x:c r="F5" s="17" t="str">
        <x:v>内容系统</x:v>
      </x:c>
      <x:c r="G5" s="17" t="str">
        <x:v>小写蛇形；全局/表内唯一</x:v>
      </x:c>
      <x:c r="H5" s="19" t="str">
        <x:v>[Codex补充]</x:v>
      </x:c>
    </x:row>
    <x:row r="6" ht="54" customHeight="1">
      <x:c r="A6" s="17" t="str">
        <x:v>全表</x:v>
      </x:c>
      <x:c r="B6" s="17" t="str">
        <x:v>状态来源</x:v>
      </x:c>
      <x:c r="C6" s="17" t="str">
        <x:v>区分已实装、用户设计、Codex补充</x:v>
      </x:c>
      <x:c r="D6" s="17" t="str">
        <x:v>enum</x:v>
      </x:c>
      <x:c r="E6" s="17" t="str">
        <x:v>是</x:v>
      </x:c>
      <x:c r="F6" s="17" t="str">
        <x:v>文档治理</x:v>
      </x:c>
      <x:c r="G6" s="17" t="str">
        <x:v>三种固定值</x:v>
      </x:c>
      <x:c r="H6" s="20" t="str">
        <x:v>[用户设计]</x:v>
      </x:c>
    </x:row>
    <x:row r="7" ht="54" customHeight="1">
      <x:c r="A7" s="17" t="str">
        <x:v>全表</x:v>
      </x:c>
      <x:c r="B7" s="17" t="str">
        <x:v>实现状态</x:v>
      </x:c>
      <x:c r="C7" s="17" t="str">
        <x:v>说明正式3D、兼容原型、未实现或待QA</x:v>
      </x:c>
      <x:c r="D7" s="17" t="str">
        <x:v>string</x:v>
      </x:c>
      <x:c r="E7" s="17" t="str">
        <x:v>是</x:v>
      </x:c>
      <x:c r="F7" s="17" t="str">
        <x:v>对应系统</x:v>
      </x:c>
      <x:c r="G7" s="17" t="str">
        <x:v>不得只写完成/未完成</x:v>
      </x:c>
      <x:c r="H7" s="19" t="str">
        <x:v>[Codex补充]</x:v>
      </x:c>
    </x:row>
    <x:row r="8" ht="54" customHeight="1">
      <x:c r="A8" s="17" t="str">
        <x:v>全表</x:v>
      </x:c>
      <x:c r="B8" s="17" t="str">
        <x:v>事实源</x:v>
      </x:c>
      <x:c r="C8" s="17" t="str">
        <x:v>代码、场景、设计或数据库来源</x:v>
      </x:c>
      <x:c r="D8" s="17" t="str">
        <x:v>string</x:v>
      </x:c>
      <x:c r="E8" s="17" t="str">
        <x:v>是</x:v>
      </x:c>
      <x:c r="F8" s="17" t="str">
        <x:v>对应系统</x:v>
      </x:c>
      <x:c r="G8" s="17" t="str">
        <x:v>至少一个可定位来源</x:v>
      </x:c>
      <x:c r="H8" s="19" t="str">
        <x:v>[Codex补充]</x:v>
      </x:c>
    </x:row>
    <x:row r="9" ht="54" customHeight="1">
      <x:c r="A9" s="17" t="str">
        <x:v>武器</x:v>
      </x:c>
      <x:c r="B9" s="17" t="str">
        <x:v>蓝图Tier</x:v>
      </x:c>
      <x:c r="C9" s="17" t="str">
        <x:v>基地蓝图许可层级</x:v>
      </x:c>
      <x:c r="D9" s="17" t="str">
        <x:v>integer</x:v>
      </x:c>
      <x:c r="E9" s="17" t="str">
        <x:v>是</x:v>
      </x:c>
      <x:c r="F9" s="17" t="str">
        <x:v>战斗/基地</x:v>
      </x:c>
      <x:c r="G9" s="17" t="str">
        <x:v>0–99；当前0–3</x:v>
      </x:c>
      <x:c r="H9" s="18" t="str">
        <x:v>[已实装]</x:v>
      </x:c>
    </x:row>
    <x:row r="10" ht="54" customHeight="1">
      <x:c r="A10" s="17" t="str">
        <x:v>武器</x:v>
      </x:c>
      <x:c r="B10" s="17" t="str">
        <x:v>核心数值</x:v>
      </x:c>
      <x:c r="C10" s="17" t="str">
        <x:v>枪身/子弹/配件自身提供的基础参数</x:v>
      </x:c>
      <x:c r="D10" s="17" t="str">
        <x:v>key=value</x:v>
      </x:c>
      <x:c r="E10" s="17" t="str">
        <x:v>是</x:v>
      </x:c>
      <x:c r="F10" s="17" t="str">
        <x:v>战斗</x:v>
      </x:c>
      <x:c r="G10" s="17" t="str">
        <x:v>不写最终合成结果</x:v>
      </x:c>
      <x:c r="H10" s="18" t="str">
        <x:v>[已实装]</x:v>
      </x:c>
    </x:row>
    <x:row r="11" ht="54" customHeight="1">
      <x:c r="A11" s="17" t="str">
        <x:v>武器</x:v>
      </x:c>
      <x:c r="B11" s="17" t="str">
        <x:v>产出与掉落</x:v>
      </x:c>
      <x:c r="C11" s="17" t="str">
        <x:v>ItemRegistry掉落池键和相对权重</x:v>
      </x:c>
      <x:c r="D11" s="17" t="str">
        <x:v>list</x:v>
      </x:c>
      <x:c r="E11" s="17" t="str">
        <x:v>是</x:v>
      </x:c>
      <x:c r="F11" s="17" t="str">
        <x:v>掉落</x:v>
      </x:c>
      <x:c r="G11" s="17" t="str">
        <x:v>权重不是百分比</x:v>
      </x:c>
      <x:c r="H11" s="18" t="str">
        <x:v>[已实装]</x:v>
      </x:c>
    </x:row>
    <x:row r="12" ht="54" customHeight="1">
      <x:c r="A12" s="17" t="str">
        <x:v>命运卡</x:v>
      </x:c>
      <x:c r="B12" s="17" t="str">
        <x:v>背景来源</x:v>
      </x:c>
      <x:c r="C12" s="17" t="str">
        <x:v>区分功能来源与新增背景文案来源</x:v>
      </x:c>
      <x:c r="D12" s="17" t="str">
        <x:v>enum</x:v>
      </x:c>
      <x:c r="E12" s="17" t="str">
        <x:v>是</x:v>
      </x:c>
      <x:c r="F12" s="17" t="str">
        <x:v>叙事内容</x:v>
      </x:c>
      <x:c r="G12" s="17" t="str">
        <x:v>使用三色固定值</x:v>
      </x:c>
      <x:c r="H12" s="19" t="str">
        <x:v>[Codex补充]</x:v>
      </x:c>
    </x:row>
    <x:row r="13" ht="54" customHeight="1">
      <x:c r="A13" s="17" t="str">
        <x:v>命运卡</x:v>
      </x:c>
      <x:c r="B13" s="17" t="str">
        <x:v>目标规则</x:v>
      </x:c>
      <x:c r="C13" s="17" t="str">
        <x:v>卡片可以选择的装配节点</x:v>
      </x:c>
      <x:c r="D13" s="17" t="str">
        <x:v>list/dict</x:v>
      </x:c>
      <x:c r="E13" s="17" t="str">
        <x:v>是</x:v>
      </x:c>
      <x:c r="F13" s="17" t="str">
        <x:v>战斗</x:v>
      </x:c>
      <x:c r="G13" s="17" t="str">
        <x:v>空值表示执行器自动选择/环境规则</x:v>
      </x:c>
      <x:c r="H13" s="18" t="str">
        <x:v>[已实装]</x:v>
      </x:c>
    </x:row>
    <x:row r="14" ht="54" customHeight="1">
      <x:c r="A14" s="17" t="str">
        <x:v>命运卡</x:v>
      </x:c>
      <x:c r="B14" s="17" t="str">
        <x:v>效果参数</x:v>
      </x:c>
      <x:c r="C14" s="17" t="str">
        <x:v>EffectAction和全部执行参数</x:v>
      </x:c>
      <x:c r="D14" s="17" t="str">
        <x:v>key=value</x:v>
      </x:c>
      <x:c r="E14" s="17" t="str">
        <x:v>是</x:v>
      </x:c>
      <x:c r="F14" s="17" t="str">
        <x:v>战斗</x:v>
      </x:c>
      <x:c r="G14" s="17" t="str">
        <x:v>动作名必须可读</x:v>
      </x:c>
      <x:c r="H14" s="18" t="str">
        <x:v>[已实装]</x:v>
      </x:c>
    </x:row>
    <x:row r="15" ht="54" customHeight="1">
      <x:c r="A15" s="17" t="str">
        <x:v>怪物与Boss</x:v>
      </x:c>
      <x:c r="B15" s="17" t="str">
        <x:v>正式3D数值</x:v>
      </x:c>
      <x:c r="C15" s="17" t="str">
        <x:v>Enemy3D Profile基线</x:v>
      </x:c>
      <x:c r="D15" s="17" t="str">
        <x:v>number</x:v>
      </x:c>
      <x:c r="E15" s="17" t="str">
        <x:v>是</x:v>
      </x:c>
      <x:c r="F15" s="17" t="str">
        <x:v>怪物</x:v>
      </x:c>
      <x:c r="G15" s="17" t="str">
        <x:v>不得混用旧2D基线</x:v>
      </x:c>
      <x:c r="H15" s="18" t="str">
        <x:v>[已实装]</x:v>
      </x:c>
    </x:row>
    <x:row r="16" ht="54" customHeight="1">
      <x:c r="A16" s="17" t="str">
        <x:v>怪物与Boss</x:v>
      </x:c>
      <x:c r="B16" s="17" t="str">
        <x:v>刷新位置</x:v>
      </x:c>
      <x:c r="C16" s="17" t="str">
        <x:v>楼层深度、房间类型、主题池</x:v>
      </x:c>
      <x:c r="D16" s="17" t="str">
        <x:v>string</x:v>
      </x:c>
      <x:c r="E16" s="17" t="str">
        <x:v>是</x:v>
      </x:c>
      <x:c r="F16" s="17" t="str">
        <x:v>关卡/怪物</x:v>
      </x:c>
      <x:c r="G16" s="17" t="str">
        <x:v>不能只写随机</x:v>
      </x:c>
      <x:c r="H16" s="19" t="str">
        <x:v>[Codex补充]</x:v>
      </x:c>
    </x:row>
    <x:row r="17" ht="54" customHeight="1">
      <x:c r="A17" s="17" t="str">
        <x:v>精英怪</x:v>
      </x:c>
      <x:c r="B17" s="17" t="str">
        <x:v>名册来源</x:v>
      </x:c>
      <x:c r="C17" s="17" t="str">
        <x:v>12只固定唯一名册由用户设计冻结</x:v>
      </x:c>
      <x:c r="D17" s="17" t="str">
        <x:v>enum</x:v>
      </x:c>
      <x:c r="E17" s="17" t="str">
        <x:v>是</x:v>
      </x:c>
      <x:c r="F17" s="17" t="str">
        <x:v>精英名册</x:v>
      </x:c>
      <x:c r="G17" s="17" t="str">
        <x:v>12行均为用户设计</x:v>
      </x:c>
      <x:c r="H17" s="20" t="str">
        <x:v>[用户设计]</x:v>
      </x:c>
    </x:row>
    <x:row r="18" ht="54" customHeight="1">
      <x:c r="A18" s="17" t="str">
        <x:v>精英怪</x:v>
      </x:c>
      <x:c r="B18" s="17" t="str">
        <x:v>名称/玩法来源</x:v>
      </x:c>
      <x:c r="C18" s="17" t="str">
        <x:v>已有原型或Codex补齐的具体内容</x:v>
      </x:c>
      <x:c r="D18" s="17" t="str">
        <x:v>enum</x:v>
      </x:c>
      <x:c r="E18" s="17" t="str">
        <x:v>是</x:v>
      </x:c>
      <x:c r="F18" s="17" t="str">
        <x:v>内容设计</x:v>
      </x:c>
      <x:c r="G18" s="17" t="str">
        <x:v>与名册来源分开</x:v>
      </x:c>
      <x:c r="H18" s="19" t="str">
        <x:v>[Codex补充]</x:v>
      </x:c>
    </x:row>
    <x:row r="19" ht="54" customHeight="1">
      <x:c r="A19" s="17" t="str">
        <x:v>精英怪</x:v>
      </x:c>
      <x:c r="B19" s="17" t="str">
        <x:v>唯一约束</x:v>
      </x:c>
      <x:c r="C19" s="17" t="str">
        <x:v>同ID同一时间最多一个预约/实例</x:v>
      </x:c>
      <x:c r="D19" s="17" t="str">
        <x:v>string</x:v>
      </x:c>
      <x:c r="E19" s="17" t="str">
        <x:v>是</x:v>
      </x:c>
      <x:c r="F19" s="17" t="str">
        <x:v>精英名册</x:v>
      </x:c>
      <x:c r="G19" s="17" t="str">
        <x:v>全局服务执行</x:v>
      </x:c>
      <x:c r="H19" s="20" t="str">
        <x:v>[用户设计]</x:v>
      </x:c>
    </x:row>
    <x:row r="20" ht="54" customHeight="1">
      <x:c r="A20" s="17" t="str">
        <x:v>精英怪</x:v>
      </x:c>
      <x:c r="B20" s="17" t="str">
        <x:v>夺械转译</x:v>
      </x:c>
      <x:c r="C20" s="17" t="str">
        <x:v>玩家模块转为敌方技能的预算规则</x:v>
      </x:c>
      <x:c r="D20" s="17" t="str">
        <x:v>string</x:v>
      </x:c>
      <x:c r="E20" s="17" t="str">
        <x:v>是</x:v>
      </x:c>
      <x:c r="F20" s="17" t="str">
        <x:v>精英/战斗</x:v>
      </x:c>
      <x:c r="G20" s="17" t="str">
        <x:v>保存稳定内容ID</x:v>
      </x:c>
      <x:c r="H20" s="20" t="str">
        <x:v>[用户设计]</x:v>
      </x:c>
    </x:row>
    <x:row r="21" ht="54" customHeight="1">
      <x:c r="A21" s="17" t="str">
        <x:v>掉落物品</x:v>
      </x:c>
      <x:c r="B21" s="17" t="str">
        <x:v>价格</x:v>
      </x:c>
      <x:c r="C21" s="17" t="str">
        <x:v>出售/购买基础价值；0可能表示不可出售</x:v>
      </x:c>
      <x:c r="D21" s="17" t="str">
        <x:v>number</x:v>
      </x:c>
      <x:c r="E21" s="17" t="str">
        <x:v>是</x:v>
      </x:c>
      <x:c r="F21" s="17" t="str">
        <x:v>经济</x:v>
      </x:c>
      <x:c r="G21" s="17" t="str">
        <x:v>&gt;=0；结合商人层级</x:v>
      </x:c>
      <x:c r="H21" s="18" t="str">
        <x:v>[已实装]</x:v>
      </x:c>
    </x:row>
    <x:row r="22" ht="54" customHeight="1">
      <x:c r="A22" s="17" t="str">
        <x:v>掉落物品</x:v>
      </x:c>
      <x:c r="B22" s="17" t="str">
        <x:v>产出位置</x:v>
      </x:c>
      <x:c r="C22" s="17" t="str">
        <x:v>房间、怪物、Boss、搜索或系统签发</x:v>
      </x:c>
      <x:c r="D22" s="17" t="str">
        <x:v>string</x:v>
      </x:c>
      <x:c r="E22" s="17" t="str">
        <x:v>是</x:v>
      </x:c>
      <x:c r="F22" s="17" t="str">
        <x:v>掉落/关卡</x:v>
      </x:c>
      <x:c r="G22" s="17" t="str">
        <x:v>进度物不可进普通池</x:v>
      </x:c>
      <x:c r="H22" s="19" t="str">
        <x:v>[Codex补充]</x:v>
      </x:c>
    </x:row>
    <x:row r="23" ht="44" customHeight="1">
      <x:c r="A23" s="45" t="str">
        <x:v>武器实例</x:v>
      </x:c>
      <x:c r="B23" s="45" t="str">
        <x:v>weapon_instance_id</x:v>
      </x:c>
      <x:c r="C23" s="45" t="str">
        <x:v>永久绑定一把具体枪械的唯一物品主键</x:v>
      </x:c>
      <x:c r="D23" s="45" t="str">
        <x:v>string</x:v>
      </x:c>
      <x:c r="E23" s="45" t="str">
        <x:v>是</x:v>
      </x:c>
      <x:c r="F23" s="45" t="str">
        <x:v>战斗/存档</x:v>
      </x:c>
      <x:c r="G23" s="45" t="str">
        <x:v>全局唯一；跨装备、背包、地面、交易、保险与存档不变</x:v>
      </x:c>
      <x:c r="H23" s="47" t="str">
        <x:v>[用户设计]</x:v>
      </x:c>
    </x:row>
    <x:row r="24" ht="44" customHeight="1">
      <x:c r="A24" s="45" t="str">
        <x:v>武器实例</x:v>
      </x:c>
      <x:c r="B24" s="45" t="str">
        <x:v>weapon_content_id</x:v>
      </x:c>
      <x:c r="C24" s="45" t="str">
        <x:v>该实例引用的枪型内容定义ID</x:v>
      </x:c>
      <x:c r="D24" s="45" t="str">
        <x:v>string</x:v>
      </x:c>
      <x:c r="E24" s="45" t="str">
        <x:v>是</x:v>
      </x:c>
      <x:c r="F24" s="45" t="str">
        <x:v>内容/战斗</x:v>
      </x:c>
      <x:c r="G24" s="45" t="str">
        <x:v>必须引用武器成品定义；不能代替实例ID</x:v>
      </x:c>
      <x:c r="H24" s="47" t="str">
        <x:v>[用户设计]</x:v>
      </x:c>
    </x:row>
    <x:row r="25" ht="44" customHeight="1">
      <x:c r="A25" s="45" t="str">
        <x:v>武器实例</x:v>
      </x:c>
      <x:c r="B25" s="45" t="str">
        <x:v>fate_slot_capacity</x:v>
      </x:c>
      <x:c r="C25" s="45" t="str">
        <x:v>该枪可容纳的永久命运升级数量</x:v>
      </x:c>
      <x:c r="D25" s="45" t="str">
        <x:v>integer</x:v>
      </x:c>
      <x:c r="E25" s="45" t="str">
        <x:v>是</x:v>
      </x:c>
      <x:c r="F25" s="45" t="str">
        <x:v>战斗</x:v>
      </x:c>
      <x:c r="G25" s="45" t="str">
        <x:v>普通枪基础8；类型/稀有度可数据覆盖；0–99</x:v>
      </x:c>
      <x:c r="H25" s="47" t="str">
        <x:v>[用户设计]</x:v>
      </x:c>
    </x:row>
    <x:row r="26" ht="44" customHeight="1">
      <x:c r="A26" s="45" t="str">
        <x:v>武器实例</x:v>
      </x:c>
      <x:c r="B26" s="45" t="str">
        <x:v>fate_upgrades[]</x:v>
      </x:c>
      <x:c r="C26" s="45" t="str">
        <x:v>按应用顺序保存的不可逆武器命运升级记录</x:v>
      </x:c>
      <x:c r="D26" s="45" t="str">
        <x:v>array</x:v>
      </x:c>
      <x:c r="E26" s="45" t="str">
        <x:v>是</x:v>
      </x:c>
      <x:c r="F26" s="45" t="str">
        <x:v>战斗/存档</x:v>
      </x:c>
      <x:c r="G26" s="45" t="str">
        <x:v>slot_index从1连续；不可删除、替换、排序或跨枪转移</x:v>
      </x:c>
      <x:c r="H26" s="47" t="str">
        <x:v>[用户设计]</x:v>
      </x:c>
    </x:row>
    <x:row r="27" ht="44" customHeight="1">
      <x:c r="A27" s="45" t="str">
        <x:v>武器实例</x:v>
      </x:c>
      <x:c r="B27" s="45" t="str">
        <x:v>attachment_slots{}</x:v>
      </x:c>
      <x:c r="C27" s="45" t="str">
        <x:v>可拆卸配件与子弹模块槽位快照</x:v>
      </x:c>
      <x:c r="D27" s="45" t="str">
        <x:v>dict</x:v>
      </x:c>
      <x:c r="E27" s="45" t="str">
        <x:v>是</x:v>
      </x:c>
      <x:c r="F27" s="45" t="str">
        <x:v>战斗/背包</x:v>
      </x:c>
      <x:c r="G27" s="45" t="str">
        <x:v>不占命运槽；卸装与交换必须事务化</x:v>
      </x:c>
      <x:c r="H27" s="47" t="str">
        <x:v>[用户设计]</x:v>
      </x:c>
    </x:row>
    <x:row r="28" ht="44" customHeight="1">
      <x:c r="A28" s="45" t="str">
        <x:v>命运卡</x:v>
      </x:c>
      <x:c r="B28" s="45" t="str">
        <x:v>作用域</x:v>
      </x:c>
      <x:c r="C28" s="45" t="str">
        <x:v>卡片规则所有者：WEAPON/CHARACTER/WORLD</x:v>
      </x:c>
      <x:c r="D28" s="45" t="str">
        <x:v>enum</x:v>
      </x:c>
      <x:c r="E28" s="45" t="str">
        <x:v>是</x:v>
      </x:c>
      <x:c r="F28" s="45" t="str">
        <x:v>战斗/角色/关卡</x:v>
      </x:c>
      <x:c r="G28" s="45" t="str">
        <x:v>三选一；WEAPON写枪械实例，另两类不占武器槽</x:v>
      </x:c>
      <x:c r="H28" s="47" t="str">
        <x:v>[用户设计]</x:v>
      </x:c>
    </x:row>
    <x:row r="29" ht="44" customHeight="1">
      <x:c r="A29" s="45" t="str">
        <x:v>命运卡</x:v>
      </x:c>
      <x:c r="B29" s="45" t="str">
        <x:v>武器槽规则</x:v>
      </x:c>
      <x:c r="C29" s="45" t="str">
        <x:v>说明是否占槽及失败时的消耗/回滚策略</x:v>
      </x:c>
      <x:c r="D29" s="45" t="str">
        <x:v>string</x:v>
      </x:c>
      <x:c r="E29" s="45" t="str">
        <x:v>是</x:v>
      </x:c>
      <x:c r="F29" s="45" t="str">
        <x:v>战斗</x:v>
      </x:c>
      <x:c r="G29" s="45" t="str">
        <x:v>WEAPON占下一个永久槽；满槽失败不消耗；其他作用域不占槽</x:v>
      </x:c>
      <x:c r="H29" s="47" t="str">
        <x:v>[用户设计]</x:v>
      </x:c>
    </x:row>
    <x:row r="30" ht="44" customHeight="1">
      <x:c r="A30" s="45" t="str">
        <x:v>武器/命运卡</x:v>
      </x:c>
      <x:c r="B30" s="45" t="str">
        <x:v>ui_summary</x:v>
      </x:c>
      <x:c r="C30" s="45" t="str">
        <x:v>列表、卡面与武器表现页的一句话可执行规则</x:v>
      </x:c>
      <x:c r="D30" s="45" t="str">
        <x:v>string</x:v>
      </x:c>
      <x:c r="E30" s="45" t="str">
        <x:v>是</x:v>
      </x:c>
      <x:c r="F30" s="45" t="str">
        <x:v>UI/内容</x:v>
      </x:c>
      <x:c r="G30" s="45" t="str">
        <x:v>必须与作用域、目标与实际效果一致</x:v>
      </x:c>
      <x:c r="H30" s="47" t="str">
        <x:v>[用户设计]</x:v>
      </x:c>
    </x:row>
    <x:row r="31" ht="44" customHeight="1">
      <x:c r="A31" s="45" t="str">
        <x:v>武器/命运卡</x:v>
      </x:c>
      <x:c r="B31" s="45" t="str">
        <x:v>ui_target_preview</x:v>
      </x:c>
      <x:c r="C31" s="45" t="str">
        <x:v>应用前的目标、槽位、数值与行为差值</x:v>
      </x:c>
      <x:c r="D31" s="45" t="str">
        <x:v>string/dict</x:v>
      </x:c>
      <x:c r="E31" s="45" t="str">
        <x:v>是</x:v>
      </x:c>
      <x:c r="F31" s="45" t="str">
        <x:v>UI/战斗</x:v>
      </x:c>
      <x:c r="G31" s="45" t="str">
        <x:v>WEAPON必须含实例ID尾号与下一槽；其他作用域含所有者</x:v>
      </x:c>
      <x:c r="H31" s="47" t="str">
        <x:v>[用户设计]</x:v>
      </x:c>
    </x:row>
    <x:row r="32" ht="44" customHeight="1">
      <x:c r="A32" s="45" t="str">
        <x:v>武器/命运卡</x:v>
      </x:c>
      <x:c r="B32" s="45" t="str">
        <x:v>ui_success_feedback</x:v>
      </x:c>
      <x:c r="C32" s="45" t="str">
        <x:v>事务成功后的槽位、字段高亮与短提示</x:v>
      </x:c>
      <x:c r="D32" s="45" t="str">
        <x:v>string/dict</x:v>
      </x:c>
      <x:c r="E32" s="45" t="str">
        <x:v>是</x:v>
      </x:c>
      <x:c r="F32" s="45" t="str">
        <x:v>UI</x:v>
      </x:c>
      <x:c r="G32" s="45" t="str">
        <x:v>只能在领域事务提交后播放</x:v>
      </x:c>
      <x:c r="H32" s="47" t="str">
        <x:v>[用户设计]</x:v>
      </x:c>
    </x:row>
    <x:row r="33" ht="44" customHeight="1">
      <x:c r="A33" s="45" t="str">
        <x:v>武器/命运卡</x:v>
      </x:c>
      <x:c r="B33" s="45" t="str">
        <x:v>ui_failure_feedback</x:v>
      </x:c>
      <x:c r="C33" s="45" t="str">
        <x:v>按失败原因返回的可修正文案</x:v>
      </x:c>
      <x:c r="D33" s="45" t="str">
        <x:v>dict</x:v>
      </x:c>
      <x:c r="E33" s="45" t="str">
        <x:v>是</x:v>
      </x:c>
      <x:c r="F33" s="45" t="str">
        <x:v>UI/领域</x:v>
      </x:c>
      <x:c r="G33" s="45" t="str">
        <x:v>满槽、不兼容、目标丢失、背包满、冲突不可共用通用失败</x:v>
      </x:c>
      <x:c r="H33" s="47" t="str">
        <x:v>[用户设计]</x:v>
      </x:c>
    </x:row>
    <x:row r="34" ht="44" customHeight="1">
      <x:c r="A34" s="45" t="str">
        <x:v>武器/命运卡</x:v>
      </x:c>
      <x:c r="B34" s="45" t="str">
        <x:v>weapon_visual_tags[]</x:v>
      </x:c>
      <x:c r="C34" s="45" t="str">
        <x:v>枪身、挂件、刻痕、能量线路和动作表现标签</x:v>
      </x:c>
      <x:c r="D34" s="45" t="str">
        <x:v>array</x:v>
      </x:c>
      <x:c r="E34" s="45" t="str">
        <x:v>按需</x:v>
      </x:c>
      <x:c r="F34" s="45" t="str">
        <x:v>美术/战斗</x:v>
      </x:c>
      <x:c r="G34" s="45" t="str">
        <x:v>永久命运与可拆配件使用不同视觉语言</x:v>
      </x:c>
      <x:c r="H34" s="47" t="str">
        <x:v>[用户设计]</x:v>
      </x:c>
    </x:row>
    <x:row r="35" ht="44" customHeight="1">
      <x:c r="A35" s="45" t="str">
        <x:v>武器/命运卡</x:v>
      </x:c>
      <x:c r="B35" s="45" t="str">
        <x:v>projectile_visual_tags[]</x:v>
      </x:c>
      <x:c r="C35" s="45" t="str">
        <x:v>弹体、尾迹和飞行轨迹表现标签</x:v>
      </x:c>
      <x:c r="D35" s="45" t="str">
        <x:v>array</x:v>
      </x:c>
      <x:c r="E35" s="45" t="str">
        <x:v>按需</x:v>
      </x:c>
      <x:c r="F35" s="45" t="str">
        <x:v>美术/战斗</x:v>
      </x:c>
      <x:c r="G35" s="45" t="str">
        <x:v>与真实弹道和触发行为一致</x:v>
      </x:c>
      <x:c r="H35" s="47" t="str">
        <x:v>[用户设计]</x:v>
      </x:c>
    </x:row>
    <x:row r="36" ht="44" customHeight="1">
      <x:c r="A36" s="45" t="str">
        <x:v>武器/命运卡</x:v>
      </x:c>
      <x:c r="B36" s="45" t="str">
        <x:v>impact_visual_tags[]</x:v>
      </x:c>
      <x:c r="C36" s="45" t="str">
        <x:v>命中、爆炸、状态、连锁和世界反馈标签</x:v>
      </x:c>
      <x:c r="D36" s="45" t="str">
        <x:v>array</x:v>
      </x:c>
      <x:c r="E36" s="45" t="str">
        <x:v>按需</x:v>
      </x:c>
      <x:c r="F36" s="45" t="str">
        <x:v>美术/战斗</x:v>
      </x:c>
      <x:c r="G36" s="45" t="str">
        <x:v>结算时点与视觉时点一致</x:v>
      </x:c>
      <x:c r="H36" s="47" t="str">
        <x:v>[用户设计]</x:v>
      </x:c>
    </x:row>
    <x:row r="37" ht="44" customHeight="1">
      <x:c r="A37" s="45" t="str">
        <x:v>武器/命运卡</x:v>
      </x:c>
      <x:c r="B37" s="45" t="str">
        <x:v>audio_cue_id</x:v>
      </x:c>
      <x:c r="C37" s="45" t="str">
        <x:v>安装、应用、触发或失败音频提示</x:v>
      </x:c>
      <x:c r="D37" s="45" t="str">
        <x:v>string</x:v>
      </x:c>
      <x:c r="E37" s="45" t="str">
        <x:v>按需</x:v>
      </x:c>
      <x:c r="F37" s="45" t="str">
        <x:v>音频/UI</x:v>
      </x:c>
      <x:c r="G37" s="45" t="str">
        <x:v>高频触发需限流，不能造成音频刷屏</x:v>
      </x:c>
      <x:c r="H37" s="47" t="str">
        <x:v>[用户设计]</x:v>
      </x:c>
    </x:row>
    <x:row r="38" ht="44" customHeight="1">
      <x:c r="A38" s="45" t="str">
        <x:v>武器/命运卡</x:v>
      </x:c>
      <x:c r="B38" s="45" t="str">
        <x:v>presentation_status</x:v>
      </x:c>
      <x:c r="C38" s="45" t="str">
        <x:v>逐条UI与可感知表现完成状态</x:v>
      </x:c>
      <x:c r="D38" s="45" t="str">
        <x:v>enum</x:v>
      </x:c>
      <x:c r="E38" s="45" t="str">
        <x:v>是</x:v>
      </x:c>
      <x:c r="F38" s="45" t="str">
        <x:v>制作管理</x:v>
      </x:c>
      <x:c r="G38" s="45" t="str">
        <x:v>未设计/已设计未实装/已实装待QA/已验收</x:v>
      </x:c>
      <x:c r="H38" s="47" t="str">
        <x:v>[用户设计]</x:v>
      </x:c>
    </x:row>
  </x:sheetData>
  <x:mergeCells>
    <x:mergeCell ref="A1:H1"/>
    <x:mergeCell ref="A2:H2"/>
    <x:mergeCell ref="A3:H3"/>
  </x:mergeCells>
  <x:dataValidations count="1">
    <x:dataValidation type="list" sqref="H5:H22">
      <x:formula1>"[已实装],[用户设计],[Codex补充]"</x:formula1>
    </x:dataValidation>
  </x:dataValidations>
  <x:pageMargins left="0.7" right="0.7" top="0.75" bottom="0.75" header="0.3" footer="0.3"/>
</x:worksheet>
</file>