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a68d7307f42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9d124309b454e2b"/>
    <x:sheet xmlns:r="http://schemas.openxmlformats.org/officeDocument/2006/relationships" name="武器" sheetId="2" r:id="Rb4e61b54807c4cb0"/>
    <x:sheet xmlns:r="http://schemas.openxmlformats.org/officeDocument/2006/relationships" name="命运卡" sheetId="3" r:id="Rd367eae3a35e4f80"/>
    <x:sheet xmlns:r="http://schemas.openxmlformats.org/officeDocument/2006/relationships" name="怪物与Boss" sheetId="4" r:id="R694ebbb3e90b43d1"/>
    <x:sheet xmlns:r="http://schemas.openxmlformats.org/officeDocument/2006/relationships" name="精英怪" sheetId="5" r:id="Rb8d9515338ac451f"/>
    <x:sheet xmlns:r="http://schemas.openxmlformats.org/officeDocument/2006/relationships" name="掉落物品" sheetId="6" r:id="R5e2ea74fc504431a"/>
    <x:sheet xmlns:r="http://schemas.openxmlformats.org/officeDocument/2006/relationships" name="字段字典" sheetId="7" r:id="R2993a1d994fb43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</x:fills>
  <x:borders count="2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35fa60c6544fa7" /><Relationship Type="http://schemas.openxmlformats.org/officeDocument/2006/relationships/theme" Target="/xl/theme/theme1.xml" Id="R4a67611a31774aa6" /><Relationship Type="http://schemas.openxmlformats.org/officeDocument/2006/relationships/sharedStrings" Target="/xl/sharedStrings.xml" Id="R9325a2f1811d4740" /><Relationship Type="http://schemas.openxmlformats.org/officeDocument/2006/relationships/worksheet" Target="/xl/worksheets/sheet1.xml" Id="Ra9d124309b454e2b" /><Relationship Type="http://schemas.openxmlformats.org/officeDocument/2006/relationships/worksheet" Target="/xl/worksheets/sheet2.xml" Id="Rb4e61b54807c4cb0" /><Relationship Type="http://schemas.openxmlformats.org/officeDocument/2006/relationships/worksheet" Target="/xl/worksheets/sheet3.xml" Id="Rd367eae3a35e4f80" /><Relationship Type="http://schemas.openxmlformats.org/officeDocument/2006/relationships/worksheet" Target="/xl/worksheets/sheet4.xml" Id="R694ebbb3e90b43d1" /><Relationship Type="http://schemas.openxmlformats.org/officeDocument/2006/relationships/worksheet" Target="/xl/worksheets/sheet5.xml" Id="Rb8d9515338ac451f" /><Relationship Type="http://schemas.openxmlformats.org/officeDocument/2006/relationships/worksheet" Target="/xl/worksheets/sheet6.xml" Id="R5e2ea74fc504431a" /><Relationship Type="http://schemas.openxmlformats.org/officeDocument/2006/relationships/worksheet" Target="/xl/worksheets/sheet7.xml" Id="R2993a1d994fb43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设计、内容与实现状态的中央索引｜最后核对：2026-08-04｜正式入口：TowerDescent3D.tscn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正式3D以BlueprintRegistry为数值源</x:v>
      </x:c>
    </x:row>
    <x:row r="7" ht="46" customHeight="1">
      <x:c r="A7" s="29" t="str">
        <x:v>命运卡</x:v>
      </x:c>
      <x:c r="B7" s="29" t="n">
        <x:f>COUNTA('命运卡'!$A$5:$A$204)</x:f>
        <x:v>28</x:v>
      </x:c>
      <x:c r="C7" s="34" t="n">
        <x:f>COUNTIF('命运卡'!$L$5:$L$204,"[已实装]")</x:f>
        <x:v>28</x:v>
      </x:c>
      <x:c r="D7" s="35" t="n">
        <x:f>COUNTIF('命运卡'!$L$5:$L$204,"[用户设计]")</x:f>
        <x:v>0</x:v>
      </x:c>
      <x:c r="E7" s="36" t="n">
        <x:f>COUNTIF('命运卡'!$L$5:$L$204,"[Codex补充]")</x:f>
        <x:v>0</x:v>
      </x:c>
      <x:c r="F7" s="29" t="str">
        <x:v>系统2/6</x:v>
      </x:c>
      <x:c r="G7" s="29" t="str">
        <x:v>28张卡片功能、参数和背景</x:v>
      </x:c>
      <x:c r="H7" s="29" t="str">
        <x:v>先迁移稳定ID，再做跨局存档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f>COUNTA('掉落物品'!$A$5:$A$204)</x:f>
        <x:v>33</x:v>
      </x:c>
      <x:c r="C10" s="34" t="n">
        <x:f>COUNTIF('掉落物品'!$L$5:$L$204,"[已实装]")</x:f>
        <x:v>32</x:v>
      </x:c>
      <x:c r="D10" s="35" t="n">
        <x:f>COUNTIF('掉落物品'!$L$5:$L$204,"[用户设计]")</x:f>
        <x:v>1</x:v>
      </x:c>
      <x:c r="E10" s="36" t="n">
        <x:f>COUNTIF('掉落物品'!$L$5:$L$204,"[Codex补充]")</x:f>
        <x:v>0</x:v>
      </x:c>
      <x:c r="F10" s="29" t="str">
        <x:v>系统2/3/5/7</x:v>
      </x:c>
      <x:c r="G10" s="29" t="str">
        <x:v>物品、价格、稀有度和掉落池</x:v>
      </x:c>
      <x:c r="H10" s="29" t="str">
        <x:v>Boss专钥匙不可进入普通池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正式3D可用</x:v>
      </x:c>
      <x:c r="F15" s="29" t="str">
        <x:v>稳定ID/逐卡QA</x:v>
      </x:c>
      <x:c r="G15" s="29" t="str">
        <x:v>04_技术施工_战斗与局内成长.md</x:v>
      </x:c>
      <x:c r="H15" s="29" t="str">
        <x:v>平行配置待治理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基地/结算可用</x:v>
      </x:c>
      <x:c r="F20" s="29" t="str">
        <x:v>多域事务/迁移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发布前检查：稳定ID唯一｜跨表引用存在｜实现状态真实｜数据库无公式错误｜变更同步主文档、施工文档、完成度清单与资产台账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现有正式注册表：7枪身、8子弹、6配件。枪身价格/掉落取可拾取成品，蓝图掉落另列；权重只在同一掉落池内比较。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</x:row>
  </x:sheetData>
  <x:mergeCells>
    <x:mergeCell ref="A1:N1"/>
    <x:mergeCell ref="A2:N2"/>
    <x:mergeCell ref="A3:N3"/>
  </x:mergeCells>
  <x:dataValidations count="1">
    <x:dataValidation type="list" sqref="K5:K25">
      <x:formula1>"[已实装],[用户设计],[Codex补充]"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6" hidden="0" customWidth="1"/>
    <x:col min="3" max="3" width="10" hidden="0" customWidth="1"/>
    <x:col min="4" max="4" width="10" hidden="0" customWidth="1"/>
    <x:col min="5" max="5" width="26" hidden="0" customWidth="1"/>
    <x:col min="6" max="6" width="44" hidden="0" customWidth="1"/>
    <x:col min="7" max="7" width="44" hidden="0" customWidth="1"/>
    <x:col min="8" max="8" width="14" hidden="0" customWidth="1"/>
    <x:col min="9" max="9" width="26" hidden="0" customWidth="1"/>
    <x:col min="10" max="10" width="42" hidden="0" customWidth="1"/>
    <x:col min="11" max="11" width="30" hidden="0" customWidth="1"/>
    <x:col min="12" max="12" width="14" hidden="0" customWidth="1"/>
    <x:col min="13" max="13" width="34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游戏内容数据库｜命运卡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28张当前可用预设。稳定ID为本版设计ID；当前代码运行时fate_card_####不可用于存档。背景短文为Codex补充，不改变卡片功能。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稳定卡ID</x:v>
      </x:c>
      <x:c r="B4" s="13" t="str">
        <x:v>名称</x:v>
      </x:c>
      <x:c r="C4" s="13" t="str">
        <x:v>类型</x:v>
      </x:c>
      <x:c r="D4" s="13" t="str">
        <x:v>品质</x:v>
      </x:c>
      <x:c r="E4" s="13" t="str">
        <x:v>短说明</x:v>
      </x:c>
      <x:c r="F4" s="13" t="str">
        <x:v>完整功能</x:v>
      </x:c>
      <x:c r="G4" s="13" t="str">
        <x:v>背景介绍</x:v>
      </x:c>
      <x:c r="H4" s="13" t="str">
        <x:v>背景来源</x:v>
      </x:c>
      <x:c r="I4" s="13" t="str">
        <x:v>目标规则</x:v>
      </x:c>
      <x:c r="J4" s="13" t="str">
        <x:v>效果参数</x:v>
      </x:c>
      <x:c r="K4" s="13" t="str">
        <x:v>获得方式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fate_scale_node</x:v>
      </x:c>
      <x:c r="B5" s="17" t="str">
        <x:v>变大了</x:v>
      </x:c>
      <x:c r="C5" s="17" t="str">
        <x:v>强化</x:v>
      </x:c>
      <x:c r="D5" s="17" t="str">
        <x:v>普通</x:v>
      </x:c>
      <x:c r="E5" s="17" t="str">
        <x:v>体型与碰撞范围增加</x:v>
      </x:c>
      <x:c r="F5" s="17" t="str">
        <x:v>选择一个节点，体型与碰撞范围增加，伤害提升 30%，速度降低 20%</x:v>
      </x:c>
      <x:c r="G5" s="17" t="str">
        <x:v>塔内的尺度并不可信；一枚被命运放大的零件，会用迟缓交换压倒性的体积。</x:v>
      </x:c>
      <x:c r="H5" s="19" t="str">
        <x:v>[Codex补充]</x:v>
      </x:c>
      <x:c r="I5" s="17" t="str"/>
      <x:c r="J5" s="17" t="str">
        <x:v>action=SCALE_NODE；damage_scale=1.3；scale=1.4；speed_scale=0.8</x:v>
      </x:c>
      <x:c r="K5" s="17" t="str">
        <x:v>门后命运/三选一/工作台共用卡池</x:v>
      </x:c>
      <x:c r="L5" s="18" t="str">
        <x:v>[已实装]</x:v>
      </x:c>
      <x:c r="M5" s="17" t="str">
        <x:v>正式3D卡池与效果执行器已接；逐卡表现待QA</x:v>
      </x:c>
      <x:c r="N5" s="17" t="str">
        <x:v>src/weapons/FateCardPresets.gd；src/weapons/FateCardEngine.gd</x:v>
      </x:c>
      <x:c r="O5" s="17" t="str">
        <x:v>当前运行时ID=fate_card_0001（不稳定，必须迁移到左侧稳定ID）</x:v>
      </x:c>
    </x:row>
    <x:row r="6" ht="54" customHeight="1">
      <x:c r="A6" s="17" t="str">
        <x:v>fate_overclock</x:v>
      </x:c>
      <x:c r="B6" s="17" t="str">
        <x:v>超频</x:v>
      </x:c>
      <x:c r="C6" s="17" t="str">
        <x:v>强化</x:v>
      </x:c>
      <x:c r="D6" s="17" t="str">
        <x:v>稀有</x:v>
      </x:c>
      <x:c r="E6" s="17" t="str">
        <x:v>射速提升 80%</x:v>
      </x:c>
      <x:c r="F6" s="17" t="str">
        <x:v>选择一个枪身，射速提升 80%，但每次射击后累计受击伤害倍率（overheat_penalty=1.5：射击越多，受伤越痛）</x:v>
      </x:c>
      <x:c r="G6" s="17" t="str">
        <x:v>把供能旋钮拧过红线的人通常只记得火力，却忘了过热会把每次受击放大。</x:v>
      </x:c>
      <x:c r="H6" s="19" t="str">
        <x:v>[Codex补充]</x:v>
      </x:c>
      <x:c r="I6" s="17" t="str"/>
      <x:c r="J6" s="17" t="str">
        <x:v>action=MULTIPLY_FIRE_RATE；fire_rate_scale=1.8；overheat_penalty=1.5</x:v>
      </x:c>
      <x:c r="K6" s="17" t="str">
        <x:v>门后命运/三选一/工作台共用卡池</x:v>
      </x:c>
      <x:c r="L6" s="18" t="str">
        <x:v>[已实装]</x:v>
      </x:c>
      <x:c r="M6" s="17" t="str">
        <x:v>正式3D卡池与效果执行器已接；逐卡表现待QA</x:v>
      </x:c>
      <x:c r="N6" s="17" t="str">
        <x:v>src/weapons/FateCardPresets.gd；src/weapons/FateCardEngine.gd</x:v>
      </x:c>
      <x:c r="O6" s="17" t="str">
        <x:v>当前运行时ID=fate_card_0002（不稳定，必须迁移到左侧稳定ID）</x:v>
      </x:c>
    </x:row>
    <x:row r="7" ht="54" customHeight="1">
      <x:c r="A7" s="17" t="str">
        <x:v>fate_armor_pierce</x:v>
      </x:c>
      <x:c r="B7" s="17" t="str">
        <x:v>穿甲强化</x:v>
      </x:c>
      <x:c r="C7" s="17" t="str">
        <x:v>强化</x:v>
      </x:c>
      <x:c r="D7" s="17" t="str">
        <x:v>稀有</x:v>
      </x:c>
      <x:c r="E7" s="17" t="str">
        <x:v>伤害提升 50%，无视护盾</x:v>
      </x:c>
      <x:c r="F7" s="17" t="str">
        <x:v>选择一个节点，伤害提升 50%，无视护盾减伤效果</x:v>
      </x:c>
      <x:c r="G7" s="17" t="str">
        <x:v>废弃军械库留下的硬芯工艺，专门教子弹绕过壳甲最自信的角度。</x:v>
      </x:c>
      <x:c r="H7" s="19" t="str">
        <x:v>[Codex补充]</x:v>
      </x:c>
      <x:c r="I7" s="17" t="str"/>
      <x:c r="J7" s="17" t="str">
        <x:v>action=ADD_DAMAGE；damage_scale=1.5；pierce_shield=true</x:v>
      </x:c>
      <x:c r="K7" s="17" t="str">
        <x:v>门后命运/三选一/工作台共用卡池</x:v>
      </x:c>
      <x:c r="L7" s="18" t="str">
        <x:v>[已实装]</x:v>
      </x:c>
      <x:c r="M7" s="17" t="str">
        <x:v>正式3D卡池与效果执行器已接；逐卡表现待QA</x:v>
      </x:c>
      <x:c r="N7" s="17" t="str">
        <x:v>src/weapons/FateCardPresets.gd；src/weapons/FateCardEngine.gd</x:v>
      </x:c>
      <x:c r="O7" s="17" t="str">
        <x:v>当前运行时ID=fate_card_0003（不稳定，必须迁移到左侧稳定ID）</x:v>
      </x:c>
    </x:row>
    <x:row r="8" ht="54" customHeight="1">
      <x:c r="A8" s="17" t="str">
        <x:v>fate_bullet_carry_gun</x:v>
      </x:c>
      <x:c r="B8" s="17" t="str">
        <x:v>子弹背枪</x:v>
      </x:c>
      <x:c r="C8" s="17" t="str">
        <x:v>组合</x:v>
      </x:c>
      <x:c r="D8" s="17" t="str">
        <x:v>史诗</x:v>
      </x:c>
      <x:c r="E8" s="17" t="str">
        <x:v>子弹飞出去时自动开枪</x:v>
      </x:c>
      <x:c r="F8" s="17" t="str">
        <x:v>选择一个子弹和一个枪身，该子弹将携带枪身并自动射击</x:v>
      </x:c>
      <x:c r="G8" s="17" t="str">
        <x:v>有人把整把枪绑在弹头上，荒唐的结构在命运规则下反而可以边飞边射。</x:v>
      </x:c>
      <x:c r="H8" s="19" t="str">
        <x:v>[Codex补充]</x:v>
      </x:c>
      <x:c r="I8" s="17" t="str"/>
      <x:c r="J8" s="17" t="str">
        <x:v>action=ATTACH_GUN_TO_BULLET；damage_scale=0.45；fire_rate_scale=0.6；max_attached_gun=1</x:v>
      </x:c>
      <x:c r="K8" s="17" t="str">
        <x:v>门后命运/三选一/工作台共用卡池</x:v>
      </x:c>
      <x:c r="L8" s="18" t="str">
        <x:v>[已实装]</x:v>
      </x:c>
      <x:c r="M8" s="17" t="str">
        <x:v>正式3D卡池与效果执行器已接；逐卡表现待QA</x:v>
      </x:c>
      <x:c r="N8" s="17" t="str">
        <x:v>src/weapons/FateCardPresets.gd；src/weapons/FateCardEngine.gd</x:v>
      </x:c>
      <x:c r="O8" s="17" t="str">
        <x:v>当前运行时ID=fate_card_0004（不稳定，必须迁移到左侧稳定ID）</x:v>
      </x:c>
    </x:row>
    <x:row r="9" ht="54" customHeight="1">
      <x:c r="A9" s="17" t="str">
        <x:v>fate_gun_on_gun</x:v>
      </x:c>
      <x:c r="B9" s="17" t="str">
        <x:v>枪上加枪</x:v>
      </x:c>
      <x:c r="C9" s="17" t="str">
        <x:v>组合</x:v>
      </x:c>
      <x:c r="D9" s="17" t="str">
        <x:v>传说</x:v>
      </x:c>
      <x:c r="E9" s="17" t="str">
        <x:v>副枪跟随主枪一起开火</x:v>
      </x:c>
      <x:c r="F9" s="17" t="str">
        <x:v>选择一个枪身，将其挂到当前枪身上，副枪跟随射击</x:v>
      </x:c>
      <x:c r="G9" s="17" t="str">
        <x:v>当一个扳机不够时，就让第二把枪把第一把枪的节奏当成命令。</x:v>
      </x:c>
      <x:c r="H9" s="19" t="str">
        <x:v>[Codex补充]</x:v>
      </x:c>
      <x:c r="I9" s="17" t="str"/>
      <x:c r="J9" s="17" t="str">
        <x:v>action=ATTACH_GUN_TO_GUN；damage_scale=0.5；fire_rate_scale=0.6；follow_probability=1</x:v>
      </x:c>
      <x:c r="K9" s="17" t="str">
        <x:v>门后命运/三选一/工作台共用卡池</x:v>
      </x:c>
      <x:c r="L9" s="18" t="str">
        <x:v>[已实装]</x:v>
      </x:c>
      <x:c r="M9" s="17" t="str">
        <x:v>正式3D卡池与效果执行器已接；逐卡表现待QA</x:v>
      </x:c>
      <x:c r="N9" s="17" t="str">
        <x:v>src/weapons/FateCardPresets.gd；src/weapons/FateCardEngine.gd</x:v>
      </x:c>
      <x:c r="O9" s="17" t="str">
        <x:v>当前运行时ID=fate_card_0005（不稳定，必须迁移到左侧稳定ID）</x:v>
      </x:c>
    </x:row>
    <x:row r="10" ht="54" customHeight="1">
      <x:c r="A10" s="17" t="str">
        <x:v>fate_attachment_parasite</x:v>
      </x:c>
      <x:c r="B10" s="17" t="str">
        <x:v>配件寄生</x:v>
      </x:c>
      <x:c r="C10" s="17" t="str">
        <x:v>组合</x:v>
      </x:c>
      <x:c r="D10" s="17" t="str">
        <x:v>史诗</x:v>
      </x:c>
      <x:c r="E10" s="17" t="str">
        <x:v>配件附在子弹上，命中时触发效果</x:v>
      </x:c>
      <x:c r="F10" s="17" t="str">
        <x:v>选择一个配件使其寄生到子弹上，命中时触发配件效果</x:v>
      </x:c>
      <x:c r="G10" s="17" t="str">
        <x:v>活化配件会抓住弹体，把原本静止的功能带到每一次命中现场。</x:v>
      </x:c>
      <x:c r="H10" s="19" t="str">
        <x:v>[Codex补充]</x:v>
      </x:c>
      <x:c r="I10" s="17" t="str">
        <x:v>select=BULLET</x:v>
      </x:c>
      <x:c r="J10" s="17" t="str">
        <x:v>action=ATTACH_TO_MOUNT；target_slot=MUZZLE；trigger_on_hit=true</x:v>
      </x:c>
      <x:c r="K10" s="17" t="str">
        <x:v>门后命运/三选一/工作台共用卡池</x:v>
      </x:c>
      <x:c r="L10" s="18" t="str">
        <x:v>[已实装]</x:v>
      </x:c>
      <x:c r="M10" s="17" t="str">
        <x:v>正式3D卡池与效果执行器已接；逐卡表现待QA</x:v>
      </x:c>
      <x:c r="N10" s="17" t="str">
        <x:v>src/weapons/FateCardPresets.gd；src/weapons/FateCardEngine.gd</x:v>
      </x:c>
      <x:c r="O10" s="17" t="str">
        <x:v>当前运行时ID=fate_card_0006（不稳定，必须迁移到左侧稳定ID）</x:v>
      </x:c>
    </x:row>
    <x:row r="11" ht="54" customHeight="1">
      <x:c r="A11" s="17" t="str">
        <x:v>fate_living_bullet</x:v>
      </x:c>
      <x:c r="B11" s="17" t="str">
        <x:v>活过来</x:v>
      </x:c>
      <x:c r="C11" s="17" t="str">
        <x:v>变种</x:v>
      </x:c>
      <x:c r="D11" s="17" t="str">
        <x:v>稀有</x:v>
      </x:c>
      <x:c r="E11" s="17" t="str">
        <x:v>子弹会追踪最近的敌人</x:v>
      </x:c>
      <x:c r="F11" s="17" t="str">
        <x:v>选择一个子弹，使其变成追踪弹，自动飞向最近的敌人</x:v>
      </x:c>
      <x:c r="G11" s="17" t="str">
        <x:v>弹体长出了辨认敌意的本能，它不再服从直线，只服从最近的猎物。</x:v>
      </x:c>
      <x:c r="H11" s="19" t="str">
        <x:v>[Codex补充]</x:v>
      </x:c>
      <x:c r="I11" s="17" t="str">
        <x:v>select=BULLET</x:v>
      </x:c>
      <x:c r="J11" s="17" t="str">
        <x:v>action=MUTATE_TO_HOMING；homing_strength=0.6；turn_rate=3</x:v>
      </x:c>
      <x:c r="K11" s="17" t="str">
        <x:v>门后命运/三选一/工作台共用卡池</x:v>
      </x:c>
      <x:c r="L11" s="18" t="str">
        <x:v>[已实装]</x:v>
      </x:c>
      <x:c r="M11" s="17" t="str">
        <x:v>正式3D卡池与效果执行器已接；逐卡表现待QA</x:v>
      </x:c>
      <x:c r="N11" s="17" t="str">
        <x:v>src/weapons/FateCardPresets.gd；src/weapons/FateCardEngine.gd</x:v>
      </x:c>
      <x:c r="O11" s="17" t="str">
        <x:v>当前运行时ID=fate_card_0007（不稳定，必须迁移到左侧稳定ID）</x:v>
      </x:c>
    </x:row>
    <x:row r="12" ht="54" customHeight="1">
      <x:c r="A12" s="17" t="str">
        <x:v>fate_turret_on_land</x:v>
      </x:c>
      <x:c r="B12" s="17" t="str">
        <x:v>落地炮台</x:v>
      </x:c>
      <x:c r="C12" s="17" t="str">
        <x:v>变种</x:v>
      </x:c>
      <x:c r="D12" s="17" t="str">
        <x:v>史诗</x:v>
      </x:c>
      <x:c r="E12" s="17" t="str">
        <x:v>子弹落地后自动炮击</x:v>
      </x:c>
      <x:c r="F12" s="17" t="str">
        <x:v>选择一个子弹，子弹落地后生成一座自动炮台，持续射击附近的敌人</x:v>
      </x:c>
      <x:c r="G12" s="17" t="str">
        <x:v>未命中的子弹拒绝浪费自己，它在落地点扎根并继续履行射击职责。</x:v>
      </x:c>
      <x:c r="H12" s="19" t="str">
        <x:v>[Codex补充]</x:v>
      </x:c>
      <x:c r="I12" s="17" t="str">
        <x:v>select=BULLET</x:v>
      </x:c>
      <x:c r="J12" s="17" t="str">
        <x:v>action=MUTATE_TO_TURRET_ON_LAND；turret_damage=0.3；turret_duration=8；turret_fire_rate=2</x:v>
      </x:c>
      <x:c r="K12" s="17" t="str">
        <x:v>门后命运/三选一/工作台共用卡池</x:v>
      </x:c>
      <x:c r="L12" s="18" t="str">
        <x:v>[已实装]</x:v>
      </x:c>
      <x:c r="M12" s="17" t="str">
        <x:v>正式3D卡池与效果执行器已接；逐卡表现待QA</x:v>
      </x:c>
      <x:c r="N12" s="17" t="str">
        <x:v>src/weapons/FateCardPresets.gd；src/weapons/FateCardEngine.gd</x:v>
      </x:c>
      <x:c r="O12" s="17" t="str">
        <x:v>当前运行时ID=fate_card_0008（不稳定，必须迁移到左侧稳定ID）</x:v>
      </x:c>
    </x:row>
    <x:row r="13" ht="54" customHeight="1">
      <x:c r="A13" s="17" t="str">
        <x:v>fate_home_on_land</x:v>
      </x:c>
      <x:c r="B13" s="17" t="str">
        <x:v>回家看看</x:v>
      </x:c>
      <x:c r="C13" s="17" t="str">
        <x:v>变种</x:v>
      </x:c>
      <x:c r="D13" s="17" t="str">
        <x:v>稀有</x:v>
      </x:c>
      <x:c r="E13" s="17" t="str">
        <x:v>子弹飞出去后返回玩家</x:v>
      </x:c>
      <x:c r="F13" s="17" t="str">
        <x:v>选择一个子弹，子弹飞出后返回玩家方向，返回途中继续造成 60% 伤害，持续 5 秒</x:v>
      </x:c>
      <x:c r="G13" s="17" t="str">
        <x:v>被塔拒绝的弹体沿旧轨迹回返，在归途上仍然记得谁是敌人。</x:v>
      </x:c>
      <x:c r="H13" s="19" t="str">
        <x:v>[Codex补充]</x:v>
      </x:c>
      <x:c r="I13" s="17" t="str">
        <x:v>select=BULLET</x:v>
      </x:c>
      <x:c r="J13" s="17" t="str">
        <x:v>action=MUTATE_TO_HOME_ON_LAND；home_lifetime=5；return_damage_multiplier=0.6</x:v>
      </x:c>
      <x:c r="K13" s="17" t="str">
        <x:v>门后命运/三选一/工作台共用卡池</x:v>
      </x:c>
      <x:c r="L13" s="18" t="str">
        <x:v>[已实装]</x:v>
      </x:c>
      <x:c r="M13" s="17" t="str">
        <x:v>正式3D卡池与效果执行器已接；逐卡表现待QA</x:v>
      </x:c>
      <x:c r="N13" s="17" t="str">
        <x:v>src/weapons/FateCardPresets.gd；src/weapons/FateCardEngine.gd</x:v>
      </x:c>
      <x:c r="O13" s="17" t="str">
        <x:v>当前运行时ID=fate_card_0009（不稳定，必须迁移到左侧稳定ID）</x:v>
      </x:c>
    </x:row>
    <x:row r="14" ht="54" customHeight="1">
      <x:c r="A14" s="17" t="str">
        <x:v>fate_bullet_return</x:v>
      </x:c>
      <x:c r="B14" s="17" t="str">
        <x:v>子弹折返</x:v>
      </x:c>
      <x:c r="C14" s="17" t="str">
        <x:v>变种</x:v>
      </x:c>
      <x:c r="D14" s="17" t="str">
        <x:v>稀有</x:v>
      </x:c>
      <x:c r="E14" s="17" t="str">
        <x:v>子弹命中后折返并再命中一次</x:v>
      </x:c>
      <x:c r="F14" s="17" t="str">
        <x:v>选择一个子弹，命中目标后折返回玩家方向，再次尝试命中敌人</x:v>
      </x:c>
      <x:c r="G14" s="17" t="str">
        <x:v>命中不是终点；弹体借撞击改写方向，寻找第二次穿越战场的机会。</x:v>
      </x:c>
      <x:c r="H14" s="19" t="str">
        <x:v>[Codex补充]</x:v>
      </x:c>
      <x:c r="I14" s="17" t="str">
        <x:v>select=BULLET</x:v>
      </x:c>
      <x:c r="J14" s="17" t="str">
        <x:v>action=MUTATE_TO_BOUNCE；bounce_count=1；damage_scale_on_bounce=0.7</x:v>
      </x:c>
      <x:c r="K14" s="17" t="str">
        <x:v>门后命运/三选一/工作台共用卡池</x:v>
      </x:c>
      <x:c r="L14" s="18" t="str">
        <x:v>[已实装]</x:v>
      </x:c>
      <x:c r="M14" s="17" t="str">
        <x:v>正式3D卡池与效果执行器已接；逐卡表现待QA</x:v>
      </x:c>
      <x:c r="N14" s="17" t="str">
        <x:v>src/weapons/FateCardPresets.gd；src/weapons/FateCardEngine.gd</x:v>
      </x:c>
      <x:c r="O14" s="17" t="str">
        <x:v>当前运行时ID=fate_card_0010（不稳定，必须迁移到左侧稳定ID）</x:v>
      </x:c>
    </x:row>
    <x:row r="15" ht="54" customHeight="1">
      <x:c r="A15" s="17" t="str">
        <x:v>fate_chain_lightning</x:v>
      </x:c>
      <x:c r="B15" s="17" t="str">
        <x:v>连锁闪电</x:v>
      </x:c>
      <x:c r="C15" s="17" t="str">
        <x:v>变种</x:v>
      </x:c>
      <x:c r="D15" s="17" t="str">
        <x:v>史诗</x:v>
      </x:c>
      <x:c r="E15" s="17" t="str">
        <x:v>命中后在敌人间跳跃，最多3次</x:v>
      </x:c>
      <x:c r="F15" s="17" t="str">
        <x:v>选择一个子弹，命中后在敌人间跳跃，每次跳跃伤害递减 30%</x:v>
      </x:c>
      <x:c r="G15" s="17" t="str">
        <x:v>导电孢子把一次命中扩散成短暂电网，越远的跳跃越难保持力量。</x:v>
      </x:c>
      <x:c r="H15" s="19" t="str">
        <x:v>[Codex补充]</x:v>
      </x:c>
      <x:c r="I15" s="17" t="str">
        <x:v>select=BULLET</x:v>
      </x:c>
      <x:c r="J15" s="17" t="str">
        <x:v>action=MUTATE_TO_CHAIN；chain_count=3；chain_damage_scale=0.7；chain_range=150</x:v>
      </x:c>
      <x:c r="K15" s="17" t="str">
        <x:v>门后命运/三选一/工作台共用卡池</x:v>
      </x:c>
      <x:c r="L15" s="18" t="str">
        <x:v>[已实装]</x:v>
      </x:c>
      <x:c r="M15" s="17" t="str">
        <x:v>正式3D卡池与效果执行器已接；逐卡表现待QA</x:v>
      </x:c>
      <x:c r="N15" s="17" t="str">
        <x:v>src/weapons/FateCardPresets.gd；src/weapons/FateCardEngine.gd</x:v>
      </x:c>
      <x:c r="O15" s="17" t="str">
        <x:v>当前运行时ID=fate_card_0011（不稳定，必须迁移到左侧稳定ID）</x:v>
      </x:c>
    </x:row>
    <x:row r="16" ht="54" customHeight="1">
      <x:c r="A16" s="17" t="str">
        <x:v>fate_bounce_bullet</x:v>
      </x:c>
      <x:c r="B16" s="17" t="str">
        <x:v>弹跳弹</x:v>
      </x:c>
      <x:c r="C16" s="17" t="str">
        <x:v>变种</x:v>
      </x:c>
      <x:c r="D16" s="17" t="str">
        <x:v>普通</x:v>
      </x:c>
      <x:c r="E16" s="17" t="str">
        <x:v>子弹在边界间弹跳3次</x:v>
      </x:c>
      <x:c r="F16" s="17" t="str">
        <x:v>选择一个子弹，使其在墙壁和障碍物间弹跳，最多弹跳3次</x:v>
      </x:c>
      <x:c r="G16" s="17" t="str">
        <x:v>柔性外壳把墙面变成新的枪口，让封闭房间成为弹道的一部分。</x:v>
      </x:c>
      <x:c r="H16" s="19" t="str">
        <x:v>[Codex补充]</x:v>
      </x:c>
      <x:c r="I16" s="17" t="str">
        <x:v>select=BULLET</x:v>
      </x:c>
      <x:c r="J16" s="17" t="str">
        <x:v>action=MUTATE_TO_BOUNCE；bounce_count=3；bounce_walls=true；damage_scale=0.85</x:v>
      </x:c>
      <x:c r="K16" s="17" t="str">
        <x:v>门后命运/三选一/工作台共用卡池</x:v>
      </x:c>
      <x:c r="L16" s="18" t="str">
        <x:v>[已实装]</x:v>
      </x:c>
      <x:c r="M16" s="17" t="str">
        <x:v>正式3D卡池与效果执行器已接；逐卡表现待QA</x:v>
      </x:c>
      <x:c r="N16" s="17" t="str">
        <x:v>src/weapons/FateCardPresets.gd；src/weapons/FateCardEngine.gd</x:v>
      </x:c>
      <x:c r="O16" s="17" t="str">
        <x:v>当前运行时ID=fate_card_0012（不稳定，必须迁移到左侧稳定ID）</x:v>
      </x:c>
    </x:row>
    <x:row r="17" ht="54" customHeight="1">
      <x:c r="A17" s="17" t="str">
        <x:v>fate_barrage_copy</x:v>
      </x:c>
      <x:c r="B17" s="17" t="str">
        <x:v>弹幕模式</x:v>
      </x:c>
      <x:c r="C17" s="17" t="str">
        <x:v>复制</x:v>
      </x:c>
      <x:c r="D17" s="17" t="str">
        <x:v>稀有</x:v>
      </x:c>
      <x:c r="E17" s="17" t="str">
        <x:v>每次射击分两波发射</x:v>
      </x:c>
      <x:c r="F17" s="17" t="str">
        <x:v>选择一个枪身，每次射击分两波发射，第二波子弹延迟 0.1 秒</x:v>
      </x:c>
      <x:c r="G17" s="17" t="str">
        <x:v>复制机构把一次扣扳机拆成两阵回声，第二阵总在敌人以为结束时抵达。</x:v>
      </x:c>
      <x:c r="H17" s="19" t="str">
        <x:v>[Codex补充]</x:v>
      </x:c>
      <x:c r="I17" s="17" t="str">
        <x:v>select=GUNBODY</x:v>
      </x:c>
      <x:c r="J17" s="17" t="str">
        <x:v>action=COPY_NODE；copy_fire_delay=0.1；second_wave_damage_scale=0.6</x:v>
      </x:c>
      <x:c r="K17" s="17" t="str">
        <x:v>门后命运/三选一/工作台共用卡池</x:v>
      </x:c>
      <x:c r="L17" s="18" t="str">
        <x:v>[已实装]</x:v>
      </x:c>
      <x:c r="M17" s="17" t="str">
        <x:v>正式3D卡池与效果执行器已接；逐卡表现待QA</x:v>
      </x:c>
      <x:c r="N17" s="17" t="str">
        <x:v>src/weapons/FateCardPresets.gd；src/weapons/FateCardEngine.gd</x:v>
      </x:c>
      <x:c r="O17" s="17" t="str">
        <x:v>当前运行时ID=fate_card_0013（不稳定，必须迁移到左侧稳定ID）</x:v>
      </x:c>
    </x:row>
    <x:row r="18" ht="54" customHeight="1">
      <x:c r="A18" s="17" t="str">
        <x:v>fate_fuse_fire</x:v>
      </x:c>
      <x:c r="B18" s="17" t="str">
        <x:v>火焰子弹</x:v>
      </x:c>
      <x:c r="C18" s="17" t="str">
        <x:v>融合</x:v>
      </x:c>
      <x:c r="D18" s="17" t="str">
        <x:v>稀有</x:v>
      </x:c>
      <x:c r="E18" s="17" t="str">
        <x:v>命中附加火焰DOT</x:v>
      </x:c>
      <x:c r="F18" s="17" t="str">
        <x:v>选择一个子弹，融合火焰属性，命中后在目标身上附加火焰持续伤害（每秒8%伤害，持续3秒）</x:v>
      </x:c>
      <x:c r="G18" s="17" t="str">
        <x:v>余烬寄生在弹头内，命中后才真正苏醒，持续啃食目标。</x:v>
      </x:c>
      <x:c r="H18" s="19" t="str">
        <x:v>[Codex补充]</x:v>
      </x:c>
      <x:c r="I18" s="17" t="str">
        <x:v>select=BULLET</x:v>
      </x:c>
      <x:c r="J18" s="17" t="str">
        <x:v>action=FUSE_DAMAGE；damage_type=fire；dot_damage_per_sec=0.08；dot_duration=3</x:v>
      </x:c>
      <x:c r="K18" s="17" t="str">
        <x:v>门后命运/三选一/工作台共用卡池</x:v>
      </x:c>
      <x:c r="L18" s="18" t="str">
        <x:v>[已实装]</x:v>
      </x:c>
      <x:c r="M18" s="17" t="str">
        <x:v>正式3D卡池与效果执行器已接；逐卡表现待QA</x:v>
      </x:c>
      <x:c r="N18" s="17" t="str">
        <x:v>src/weapons/FateCardPresets.gd；src/weapons/FateCardEngine.gd</x:v>
      </x:c>
      <x:c r="O18" s="17" t="str">
        <x:v>当前运行时ID=fate_card_0014（不稳定，必须迁移到左侧稳定ID）</x:v>
      </x:c>
    </x:row>
    <x:row r="19" ht="54" customHeight="1">
      <x:c r="A19" s="17" t="str">
        <x:v>fate_fuse_frost</x:v>
      </x:c>
      <x:c r="B19" s="17" t="str">
        <x:v>冰霜子弹</x:v>
      </x:c>
      <x:c r="C19" s="17" t="str">
        <x:v>融合</x:v>
      </x:c>
      <x:c r="D19" s="17" t="str">
        <x:v>稀有</x:v>
      </x:c>
      <x:c r="E19" s="17" t="str">
        <x:v>命中后冰冻目标0.5秒</x:v>
      </x:c>
      <x:c r="F19" s="17" t="str">
        <x:v>选择一个子弹，融合冰霜属性，命中后冰冻目标 0.5 秒（精英怪减半）</x:v>
      </x:c>
      <x:c r="G19" s="17" t="str">
        <x:v>低温胶囊在撞击时碎裂，短暂冻结动作，也让精英更快挣脱。</x:v>
      </x:c>
      <x:c r="H19" s="19" t="str">
        <x:v>[Codex补充]</x:v>
      </x:c>
      <x:c r="I19" s="17" t="str">
        <x:v>select=BULLET</x:v>
      </x:c>
      <x:c r="J19" s="17" t="str">
        <x:v>action=FUSE_DAMAGE；damage_type=ice；freeze_duration=0.5；freeze_duration_elite=0.25</x:v>
      </x:c>
      <x:c r="K19" s="17" t="str">
        <x:v>门后命运/三选一/工作台共用卡池</x:v>
      </x:c>
      <x:c r="L19" s="18" t="str">
        <x:v>[已实装]</x:v>
      </x:c>
      <x:c r="M19" s="17" t="str">
        <x:v>正式3D卡池与效果执行器已接；逐卡表现待QA</x:v>
      </x:c>
      <x:c r="N19" s="17" t="str">
        <x:v>src/weapons/FateCardPresets.gd；src/weapons/FateCardEngine.gd</x:v>
      </x:c>
      <x:c r="O19" s="17" t="str">
        <x:v>当前运行时ID=fate_card_0015（不稳定，必须迁移到左侧稳定ID）</x:v>
      </x:c>
    </x:row>
    <x:row r="20" ht="54" customHeight="1">
      <x:c r="A20" s="17" t="str">
        <x:v>fate_fuse_poison</x:v>
      </x:c>
      <x:c r="B20" s="17" t="str">
        <x:v>剧毒子弹</x:v>
      </x:c>
      <x:c r="C20" s="17" t="str">
        <x:v>融合</x:v>
      </x:c>
      <x:c r="D20" s="17" t="str">
        <x:v>史诗</x:v>
      </x:c>
      <x:c r="E20" s="17" t="str">
        <x:v>命中附加毒素，最多叠加5层</x:v>
      </x:c>
      <x:c r="F20" s="17" t="str">
        <x:v>选择一个子弹，融合毒素属性，命中后附加毒素，每层每秒造成 5% 伤害，最多叠加 5 层</x:v>
      </x:c>
      <x:c r="G20" s="17" t="str">
        <x:v>孢子毒层层积累，单发并不致命，重复命中才让猎物失去退路。</x:v>
      </x:c>
      <x:c r="H20" s="19" t="str">
        <x:v>[Codex补充]</x:v>
      </x:c>
      <x:c r="I20" s="17" t="str">
        <x:v>select=BULLET</x:v>
      </x:c>
      <x:c r="J20" s="17" t="str">
        <x:v>action=FUSE_DAMAGE；damage_type=poison；dot_damage_per_stack=0.05；dot_tick_rate=1；max_stacks=5</x:v>
      </x:c>
      <x:c r="K20" s="17" t="str">
        <x:v>门后命运/三选一/工作台共用卡池</x:v>
      </x:c>
      <x:c r="L20" s="18" t="str">
        <x:v>[已实装]</x:v>
      </x:c>
      <x:c r="M20" s="17" t="str">
        <x:v>正式3D卡池与效果执行器已接；逐卡表现待QA</x:v>
      </x:c>
      <x:c r="N20" s="17" t="str">
        <x:v>src/weapons/FateCardPresets.gd；src/weapons/FateCardEngine.gd</x:v>
      </x:c>
      <x:c r="O20" s="17" t="str">
        <x:v>当前运行时ID=fate_card_0016（不稳定，必须迁移到左侧稳定ID）</x:v>
      </x:c>
    </x:row>
    <x:row r="21" ht="54" customHeight="1">
      <x:c r="A21" s="17" t="str">
        <x:v>fate_out_of_control</x:v>
      </x:c>
      <x:c r="B21" s="17" t="str">
        <x:v>管不住了</x:v>
      </x:c>
      <x:c r="C21" s="17" t="str">
        <x:v>诅咒</x:v>
      </x:c>
      <x:c r="D21" s="17" t="str">
        <x:v>禁忌</x:v>
      </x:c>
      <x:c r="E21" s="17" t="str">
        <x:v>子弹上的枪随机乱射</x:v>
      </x:c>
      <x:c r="F21" s="17" t="str">
        <x:v>选择一个子弹，携带的枪会随机乱射，射击方向完全随机，伤害提升 30%</x:v>
      </x:c>
      <x:c r="G21" s="17" t="str">
        <x:v>失控的附属枪不再等待瞄准，用更高伤害换取完全不可预测的方向。</x:v>
      </x:c>
      <x:c r="H21" s="19" t="str">
        <x:v>[Codex补充]</x:v>
      </x:c>
      <x:c r="I21" s="17" t="str">
        <x:v>require_gun=true；select=BULLET</x:v>
      </x:c>
      <x:c r="J21" s="17" t="str">
        <x:v>action=OUT_OF_CONTROL；damage_scale=1.3；fire_rate_scale=2；spread_angle=360</x:v>
      </x:c>
      <x:c r="K21" s="17" t="str">
        <x:v>门后命运/三选一/工作台共用卡池</x:v>
      </x:c>
      <x:c r="L21" s="18" t="str">
        <x:v>[已实装]</x:v>
      </x:c>
      <x:c r="M21" s="17" t="str">
        <x:v>正式3D卡池与效果执行器已接；逐卡表现待QA</x:v>
      </x:c>
      <x:c r="N21" s="17" t="str">
        <x:v>src/weapons/FateCardPresets.gd；src/weapons/FateCardEngine.gd</x:v>
      </x:c>
      <x:c r="O21" s="17" t="str">
        <x:v>当前运行时ID=fate_card_0017（不稳定，必须迁移到左侧稳定ID）</x:v>
      </x:c>
    </x:row>
    <x:row r="22" ht="54" customHeight="1">
      <x:c r="A22" s="17" t="str">
        <x:v>fate_gluttony</x:v>
      </x:c>
      <x:c r="B22" s="17" t="str">
        <x:v>火力暴食</x:v>
      </x:c>
      <x:c r="C22" s="17" t="str">
        <x:v>诅咒</x:v>
      </x:c>
      <x:c r="D22" s="17" t="str">
        <x:v>禁忌</x:v>
      </x:c>
      <x:c r="E22" s="17" t="str">
        <x:v>每次命中子弹变大，伤害变高</x:v>
      </x:c>
      <x:c r="F22" s="17" t="str">
        <x:v>选择一个子弹，每次命中敌人后子弹伤害和体积增加 15%，最大可叠加 5 次</x:v>
      </x:c>
      <x:c r="G22" s="17" t="str">
        <x:v>每次命中都让弹体吞下一部分猎物，直到体积与力量达到极限。</x:v>
      </x:c>
      <x:c r="H22" s="19" t="str">
        <x:v>[Codex补充]</x:v>
      </x:c>
      <x:c r="I22" s="17" t="str">
        <x:v>select=BULLET</x:v>
      </x:c>
      <x:c r="J22" s="17" t="str">
        <x:v>action=SIZE_GROWTH；damage_per_hit=0.15；max_stacks=5；scale_per_hit=0.12</x:v>
      </x:c>
      <x:c r="K22" s="17" t="str">
        <x:v>门后命运/三选一/工作台共用卡池</x:v>
      </x:c>
      <x:c r="L22" s="18" t="str">
        <x:v>[已实装]</x:v>
      </x:c>
      <x:c r="M22" s="17" t="str">
        <x:v>正式3D卡池与效果执行器已接；逐卡表现待QA</x:v>
      </x:c>
      <x:c r="N22" s="17" t="str">
        <x:v>src/weapons/FateCardPresets.gd；src/weapons/FateCardEngine.gd</x:v>
      </x:c>
      <x:c r="O22" s="17" t="str">
        <x:v>当前运行时ID=fate_card_0018（不稳定，必须迁移到左侧稳定ID）</x:v>
      </x:c>
    </x:row>
    <x:row r="23" ht="54" customHeight="1">
      <x:c r="A23" s="17" t="str">
        <x:v>fate_explode_reload</x:v>
      </x:c>
      <x:c r="B23" s="17" t="str">
        <x:v>换弹爆炸</x:v>
      </x:c>
      <x:c r="C23" s="17" t="str">
        <x:v>诅咒</x:v>
      </x:c>
      <x:c r="D23" s="17" t="str">
        <x:v>禁忌</x:v>
      </x:c>
      <x:c r="E23" s="17" t="str">
        <x:v>换弹时对周围造成爆炸伤害</x:v>
      </x:c>
      <x:c r="F23" s="17" t="str">
        <x:v>选择一个枪身，换弹时对周围 150 范围内的敌人造成 80% 伤害的爆炸，但换弹时间增加 0.5 秒</x:v>
      </x:c>
      <x:c r="G23" s="17" t="str">
        <x:v>被排出的热量在换弹瞬间释放，保护了空窗，也延长了空窗。</x:v>
      </x:c>
      <x:c r="H23" s="19" t="str">
        <x:v>[Codex补充]</x:v>
      </x:c>
      <x:c r="I23" s="17" t="str">
        <x:v>select=GUNBODY</x:v>
      </x:c>
      <x:c r="J23" s="17" t="str">
        <x:v>action=EXPLODE_ON_RELOAD；explosion_damage=0.8；explosion_radius=150；reload_penalty=0.5</x:v>
      </x:c>
      <x:c r="K23" s="17" t="str">
        <x:v>门后命运/三选一/工作台共用卡池</x:v>
      </x:c>
      <x:c r="L23" s="18" t="str">
        <x:v>[已实装]</x:v>
      </x:c>
      <x:c r="M23" s="17" t="str">
        <x:v>正式3D卡池与效果执行器已接；逐卡表现待QA</x:v>
      </x:c>
      <x:c r="N23" s="17" t="str">
        <x:v>src/weapons/FateCardPresets.gd；src/weapons/FateCardEngine.gd</x:v>
      </x:c>
      <x:c r="O23" s="17" t="str">
        <x:v>当前运行时ID=fate_card_0019（不稳定，必须迁移到左侧稳定ID）</x:v>
      </x:c>
    </x:row>
    <x:row r="24" ht="54" customHeight="1">
      <x:c r="A24" s="17" t="str">
        <x:v>fate_every_seventh</x:v>
      </x:c>
      <x:c r="B24" s="17" t="str">
        <x:v>每第七发</x:v>
      </x:c>
      <x:c r="C24" s="17" t="str">
        <x:v>规则</x:v>
      </x:c>
      <x:c r="D24" s="17" t="str">
        <x:v>稀有</x:v>
      </x:c>
      <x:c r="E24" s="17" t="str">
        <x:v>第7发子弹触发额外效果</x:v>
      </x:c>
      <x:c r="F24" s="17" t="str">
        <x:v>选择一个枪身，第 7 发子弹伤害翻倍并引发小爆炸</x:v>
      </x:c>
      <x:c r="G24" s="17" t="str">
        <x:v>塔内旧式计数器只承认第七次脉冲，并把那一发标记为异常。</x:v>
      </x:c>
      <x:c r="H24" s="19" t="str">
        <x:v>[Codex补充]</x:v>
      </x:c>
      <x:c r="I24" s="17" t="str">
        <x:v>select=GUNBODY</x:v>
      </x:c>
      <x:c r="J24" s="17" t="str">
        <x:v>action=EVERY_NTH_FIRE；bonus_effect=small_explosion；damage_multiplier=2；nth=7</x:v>
      </x:c>
      <x:c r="K24" s="17" t="str">
        <x:v>门后命运/三选一/工作台共用卡池</x:v>
      </x:c>
      <x:c r="L24" s="18" t="str">
        <x:v>[已实装]</x:v>
      </x:c>
      <x:c r="M24" s="17" t="str">
        <x:v>正式3D卡池与效果执行器已接；逐卡表现待QA</x:v>
      </x:c>
      <x:c r="N24" s="17" t="str">
        <x:v>src/weapons/FateCardPresets.gd；src/weapons/FateCardEngine.gd</x:v>
      </x:c>
      <x:c r="O24" s="17" t="str">
        <x:v>当前运行时ID=fate_card_0020（不稳定，必须迁移到左侧稳定ID）</x:v>
      </x:c>
    </x:row>
    <x:row r="25" ht="54" customHeight="1">
      <x:c r="A25" s="17" t="str">
        <x:v>fate_crit_kill</x:v>
      </x:c>
      <x:c r="B25" s="17" t="str">
        <x:v>致命一击</x:v>
      </x:c>
      <x:c r="C25" s="17" t="str">
        <x:v>规则</x:v>
      </x:c>
      <x:c r="D25" s="17" t="str">
        <x:v>稀有</x:v>
      </x:c>
      <x:c r="E25" s="17" t="str">
        <x:v>击杀后下次射击必定暴击</x:v>
      </x:c>
      <x:c r="F25" s="17" t="str">
        <x:v>选择一个枪身，击杀敌人后下一次射击必暴击，暴击伤害 × 2.5</x:v>
      </x:c>
      <x:c r="G25" s="17" t="str">
        <x:v>一次击杀会在枪机里留下短暂确信，使下一发必然寻找最脆弱的位置。</x:v>
      </x:c>
      <x:c r="H25" s="19" t="str">
        <x:v>[Codex补充]</x:v>
      </x:c>
      <x:c r="I25" s="17" t="str">
        <x:v>select=GUNBODY</x:v>
      </x:c>
      <x:c r="J25" s="17" t="str">
        <x:v>action=CRIT_ON_KILL；crit_damage_multiplier=2.5；stacks=1</x:v>
      </x:c>
      <x:c r="K25" s="17" t="str">
        <x:v>门后命运/三选一/工作台共用卡池</x:v>
      </x:c>
      <x:c r="L25" s="18" t="str">
        <x:v>[已实装]</x:v>
      </x:c>
      <x:c r="M25" s="17" t="str">
        <x:v>正式3D卡池与效果执行器已接；逐卡表现待QA</x:v>
      </x:c>
      <x:c r="N25" s="17" t="str">
        <x:v>src/weapons/FateCardPresets.gd；src/weapons/FateCardEngine.gd</x:v>
      </x:c>
      <x:c r="O25" s="17" t="str">
        <x:v>当前运行时ID=fate_card_0021（不稳定，必须迁移到左侧稳定ID）</x:v>
      </x:c>
    </x:row>
    <x:row r="26" ht="54" customHeight="1">
      <x:c r="A26" s="17" t="str">
        <x:v>fate_huge_scale</x:v>
      </x:c>
      <x:c r="B26" s="17" t="str">
        <x:v>巨大化</x:v>
      </x:c>
      <x:c r="C26" s="17" t="str">
        <x:v>视觉</x:v>
      </x:c>
      <x:c r="D26" s="17" t="str">
        <x:v>普通</x:v>
      </x:c>
      <x:c r="E26" s="17" t="str">
        <x:v>节点整体放大 2 倍</x:v>
      </x:c>
      <x:c r="F26" s="17" t="str">
        <x:v>选择一个节点，该节点及其所有子节点放大 2 倍，伤害提升 50%，速度降低 40%</x:v>
      </x:c>
      <x:c r="G26" s="17" t="str">
        <x:v>命运把整棵装配树一同放大，力量随之增长，惯性也变得无法忽略。</x:v>
      </x:c>
      <x:c r="H26" s="19" t="str">
        <x:v>[Codex补充]</x:v>
      </x:c>
      <x:c r="I26" s="17" t="str"/>
      <x:c r="J26" s="17" t="str">
        <x:v>action=SCALE_UP；damage_scale=1.5；scale=2；speed_scale=0.6</x:v>
      </x:c>
      <x:c r="K26" s="17" t="str">
        <x:v>门后命运/三选一/工作台共用卡池</x:v>
      </x:c>
      <x:c r="L26" s="18" t="str">
        <x:v>[已实装]</x:v>
      </x:c>
      <x:c r="M26" s="17" t="str">
        <x:v>正式3D卡池与效果执行器已接；逐卡表现待QA</x:v>
      </x:c>
      <x:c r="N26" s="17" t="str">
        <x:v>src/weapons/FateCardPresets.gd；src/weapons/FateCardEngine.gd</x:v>
      </x:c>
      <x:c r="O26" s="17" t="str">
        <x:v>当前运行时ID=fate_card_0022（不稳定，必须迁移到左侧稳定ID）</x:v>
      </x:c>
    </x:row>
    <x:row r="27" ht="54" customHeight="1">
      <x:c r="A27" s="17" t="str">
        <x:v>fate_reinforce</x:v>
      </x:c>
      <x:c r="B27" s="17" t="str">
        <x:v>敌增援</x:v>
      </x:c>
      <x:c r="C27" s="17" t="str">
        <x:v>规则</x:v>
      </x:c>
      <x:c r="D27" s="17" t="str">
        <x:v>史诗</x:v>
      </x:c>
      <x:c r="E27" s="17" t="str">
        <x:v>连续击杀后额外刷新一波怪物</x:v>
      </x:c>
      <x:c r="F27" s="17" t="str">
        <x:v>连续击杀 5 个敌人后，在房间随机位置额外刷新一波怪物</x:v>
      </x:c>
      <x:c r="G27" s="17" t="str">
        <x:v>连续死亡会惊醒附近房间的警戒网，把原本不属于本波的敌人召来。</x:v>
      </x:c>
      <x:c r="H27" s="19" t="str">
        <x:v>[Codex补充]</x:v>
      </x:c>
      <x:c r="I27" s="17" t="str"/>
      <x:c r="J27" s="17" t="str">
        <x:v>action=REINFORCE_WAVE；kill_threshold=5；spawn_count=3</x:v>
      </x:c>
      <x:c r="K27" s="17" t="str">
        <x:v>玩家卡池；也可由地图阈值事件触发</x:v>
      </x:c>
      <x:c r="L27" s="18" t="str">
        <x:v>[已实装]</x:v>
      </x:c>
      <x:c r="M27" s="17" t="str">
        <x:v>效果执行器存在；正式3D地图触发仍需清除兼容依赖</x:v>
      </x:c>
      <x:c r="N27" s="17" t="str">
        <x:v>src/weapons/FateCardPresets.gd；src/weapons/FateCardEngine.gd</x:v>
      </x:c>
      <x:c r="O27" s="17" t="str">
        <x:v>当前运行时ID=fate_card_0023（不稳定，必须迁移到左侧稳定ID）</x:v>
      </x:c>
    </x:row>
    <x:row r="28" ht="54" customHeight="1">
      <x:c r="A28" s="17" t="str">
        <x:v>fate_mark_enemy</x:v>
      </x:c>
      <x:c r="B28" s="17" t="str">
        <x:v>命运标记</x:v>
      </x:c>
      <x:c r="C28" s="17" t="str">
        <x:v>规则</x:v>
      </x:c>
      <x:c r="D28" s="17" t="str">
        <x:v>传说</x:v>
      </x:c>
      <x:c r="E28" s="17" t="str">
        <x:v>击杀第10个敌人获得随机命卡</x:v>
      </x:c>
      <x:c r="F28" s="17" t="str">
        <x:v>每击杀 10 个敌人，有 50% 概率获得一张随机命运卡片</x:v>
      </x:c>
      <x:c r="G28" s="17" t="str">
        <x:v>第十个倒下者会留下短暂印记，偶尔把一张新的规则卡交给胜者。</x:v>
      </x:c>
      <x:c r="H28" s="19" t="str">
        <x:v>[Codex补充]</x:v>
      </x:c>
      <x:c r="I28" s="17" t="str"/>
      <x:c r="J28" s="17" t="str">
        <x:v>action=GRANT_RANDOM_CARD；grant_probability=0.5；kill_threshold=10</x:v>
      </x:c>
      <x:c r="K28" s="17" t="str">
        <x:v>玩家卡池；也可由地图阈值事件触发</x:v>
      </x:c>
      <x:c r="L28" s="18" t="str">
        <x:v>[已实装]</x:v>
      </x:c>
      <x:c r="M28" s="17" t="str">
        <x:v>效果执行器存在；正式3D地图触发仍需清除兼容依赖</x:v>
      </x:c>
      <x:c r="N28" s="17" t="str">
        <x:v>src/weapons/FateCardPresets.gd；src/weapons/FateCardEngine.gd</x:v>
      </x:c>
      <x:c r="O28" s="17" t="str">
        <x:v>当前运行时ID=fate_card_0024（不稳定，必须迁移到左侧稳定ID）</x:v>
      </x:c>
    </x:row>
    <x:row r="29" ht="54" customHeight="1">
      <x:c r="A29" s="17" t="str">
        <x:v>fate_lucky_chest</x:v>
      </x:c>
      <x:c r="B29" s="17" t="str">
        <x:v>幸运发现</x:v>
      </x:c>
      <x:c r="C29" s="17" t="str">
        <x:v>规则</x:v>
      </x:c>
      <x:c r="D29" s="17" t="str">
        <x:v>稀有</x:v>
      </x:c>
      <x:c r="E29" s="17" t="str">
        <x:v>下一箱物品品质+1</x:v>
      </x:c>
      <x:c r="F29" s="17" t="str">
        <x:v>下一个开启的箱子物品品质提升 1 级（白色→蓝色→紫色→金色）</x:v>
      </x:c>
      <x:c r="G29" s="17" t="str">
        <x:v>被标记的下一个容器会被命运重新估价，里面的东西更接近玩家需要的层级。</x:v>
      </x:c>
      <x:c r="H29" s="19" t="str">
        <x:v>[Codex补充]</x:v>
      </x:c>
      <x:c r="I29" s="17" t="str"/>
      <x:c r="J29" s="17" t="str">
        <x:v>action=LUCKY_CHEST；upgrade_tiers=1</x:v>
      </x:c>
      <x:c r="K29" s="17" t="str">
        <x:v>玩家卡池；也可由地图阈值事件触发</x:v>
      </x:c>
      <x:c r="L29" s="18" t="str">
        <x:v>[已实装]</x:v>
      </x:c>
      <x:c r="M29" s="17" t="str">
        <x:v>效果执行器存在；正式3D地图触发仍需清除兼容依赖</x:v>
      </x:c>
      <x:c r="N29" s="17" t="str">
        <x:v>src/weapons/FateCardPresets.gd；src/weapons/FateCardEngine.gd</x:v>
      </x:c>
      <x:c r="O29" s="17" t="str">
        <x:v>当前运行时ID=fate_card_0025（不稳定，必须迁移到左侧稳定ID）</x:v>
      </x:c>
    </x:row>
    <x:row r="30" ht="54" customHeight="1">
      <x:c r="A30" s="17" t="str">
        <x:v>fate_extra_loot</x:v>
      </x:c>
      <x:c r="B30" s="17" t="str">
        <x:v>额外掉落</x:v>
      </x:c>
      <x:c r="C30" s="17" t="str">
        <x:v>规则</x:v>
      </x:c>
      <x:c r="D30" s="17" t="str">
        <x:v>稀有</x:v>
      </x:c>
      <x:c r="E30" s="17" t="str">
        <x:v>下一箱额外掉落一件物品</x:v>
      </x:c>
      <x:c r="F30" s="17" t="str">
        <x:v>下一个开启的箱子额外掉落一件随机物品</x:v>
      </x:c>
      <x:c r="G30" s="17" t="str">
        <x:v>命运在下一个箱子的清单末尾多写了一行，内容直到打开才确定。</x:v>
      </x:c>
      <x:c r="H30" s="19" t="str">
        <x:v>[Codex补充]</x:v>
      </x:c>
      <x:c r="I30" s="17" t="str"/>
      <x:c r="J30" s="17" t="str">
        <x:v>action=EXTRA_LOOT；extra_count=1</x:v>
      </x:c>
      <x:c r="K30" s="17" t="str">
        <x:v>玩家卡池；也可由地图阈值事件触发</x:v>
      </x:c>
      <x:c r="L30" s="18" t="str">
        <x:v>[已实装]</x:v>
      </x:c>
      <x:c r="M30" s="17" t="str">
        <x:v>效果执行器存在；正式3D地图触发仍需清除兼容依赖</x:v>
      </x:c>
      <x:c r="N30" s="17" t="str">
        <x:v>src/weapons/FateCardPresets.gd；src/weapons/FateCardEngine.gd</x:v>
      </x:c>
      <x:c r="O30" s="17" t="str">
        <x:v>当前运行时ID=fate_card_0026（不稳定，必须迁移到左侧稳定ID）</x:v>
      </x:c>
    </x:row>
    <x:row r="31" ht="54" customHeight="1">
      <x:c r="A31" s="17" t="str">
        <x:v>fate_curse_map</x:v>
      </x:c>
      <x:c r="B31" s="17" t="str">
        <x:v>诅咒降临</x:v>
      </x:c>
      <x:c r="C31" s="17" t="str">
        <x:v>诅咒</x:v>
      </x:c>
      <x:c r="D31" s="17" t="str">
        <x:v>禁忌</x:v>
      </x:c>
      <x:c r="E31" s="17" t="str">
        <x:v>本房间敌人伤害+15%</x:v>
      </x:c>
      <x:c r="F31" s="17" t="str">
        <x:v>当前房间内所有敌人伤害提升 15%，击杀后诅咒消失</x:v>
      </x:c>
      <x:c r="G31" s="17" t="str">
        <x:v>房间用更危险的敌人交换更强的叙事压力，清理完成后诅咒随之消散。</x:v>
      </x:c>
      <x:c r="H31" s="19" t="str">
        <x:v>[Codex补充]</x:v>
      </x:c>
      <x:c r="I31" s="17" t="str"/>
      <x:c r="J31" s="17" t="str">
        <x:v>action=CURSE_ROOM_ENEMIES；clear_on_kill=true；damage_bonus=0.15</x:v>
      </x:c>
      <x:c r="K31" s="17" t="str">
        <x:v>玩家卡池；也可由地图阈值事件触发</x:v>
      </x:c>
      <x:c r="L31" s="18" t="str">
        <x:v>[已实装]</x:v>
      </x:c>
      <x:c r="M31" s="17" t="str">
        <x:v>效果执行器存在；正式3D地图触发仍需清除兼容依赖</x:v>
      </x:c>
      <x:c r="N31" s="17" t="str">
        <x:v>src/weapons/FateCardPresets.gd；src/weapons/FateCardEngine.gd</x:v>
      </x:c>
      <x:c r="O31" s="17" t="str">
        <x:v>当前运行时ID=fate_card_0027（不稳定，必须迁移到左侧稳定ID）</x:v>
      </x:c>
    </x:row>
    <x:row r="32" ht="54" customHeight="1">
      <x:c r="A32" s="17" t="str">
        <x:v>fate_bless_dead</x:v>
      </x:c>
      <x:c r="B32" s="17" t="str">
        <x:v>亡者祝福</x:v>
      </x:c>
      <x:c r="C32" s="17" t="str">
        <x:v>规则</x:v>
      </x:c>
      <x:c r="D32" s="17" t="str">
        <x:v>史诗</x:v>
      </x:c>
      <x:c r="E32" s="17" t="str">
        <x:v>HP&lt;30%存活30秒→伤害+10%</x:v>
      </x:c>
      <x:c r="F32" s="17" t="str">
        <x:v>当 HP 低于 30% 时存活 30 秒，获得伤害 +10% 的祝福（可叠加）</x:v>
      </x:c>
      <x:c r="G32" s="17" t="str">
        <x:v>濒死却坚持存活的人会得到迟来的回报，伤痕被转化为可叠加的力量。</x:v>
      </x:c>
      <x:c r="H32" s="19" t="str">
        <x:v>[Codex补充]</x:v>
      </x:c>
      <x:c r="I32" s="17" t="str"/>
      <x:c r="J32" s="17" t="str">
        <x:v>action=BLESS_DEAD；damage_bonus=0.1；hp_threshold=0.3；max_stacks=3；survive_duration=30</x:v>
      </x:c>
      <x:c r="K32" s="17" t="str">
        <x:v>玩家卡池；也可由地图阈值事件触发</x:v>
      </x:c>
      <x:c r="L32" s="18" t="str">
        <x:v>[已实装]</x:v>
      </x:c>
      <x:c r="M32" s="17" t="str">
        <x:v>效果执行器存在；正式3D地图触发仍需清除兼容依赖</x:v>
      </x:c>
      <x:c r="N32" s="17" t="str">
        <x:v>src/weapons/FateCardPresets.gd；src/weapons/FateCardEngine.gd</x:v>
      </x:c>
      <x:c r="O32" s="17" t="str">
        <x:v>当前运行时ID=fate_card_0028（不稳定，必须迁移到左侧稳定ID）</x:v>
      </x:c>
    </x:row>
  </x:sheetData>
  <x:mergeCells>
    <x:mergeCell ref="A1:O1"/>
    <x:mergeCell ref="A2:O2"/>
    <x:mergeCell ref="A3:O3"/>
  </x:mergeCells>
  <x:dataValidations count="2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导入ItemRegistry当前32条记录，并加入用户设计的Boss下行专用钥匙。价格0不自动代表免费；进度物不能进入普通商店和随机消耗。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已注册；具体掉落概率按同池权重计算</x:v>
      </x:c>
      <x:c r="N30" s="17" t="str">
        <x:v>src/base/ItemRegistry.gd</x:v>
      </x:c>
      <x:c r="O30" s="17" t="str">
        <x:v>tags=weapon、gun_body、charge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已注册；具体掉落概率按同池权重计算</x:v>
      </x:c>
      <x:c r="N31" s="17" t="str">
        <x:v>src/base/ItemRegistry.gd</x:v>
      </x:c>
      <x:c r="O31" s="17" t="str">
        <x:v>tags=weapon、gun_body、launcher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已注册；具体掉落概率按同池权重计算</x:v>
      </x:c>
      <x:c r="N32" s="17" t="str">
        <x:v>src/base/ItemRegistry.gd</x:v>
      </x:c>
      <x:c r="O32" s="17" t="str">
        <x:v>tags=weapon、gun_body、auto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已注册；具体掉落概率按同池权重计算</x:v>
      </x:c>
      <x:c r="N33" s="17" t="str">
        <x:v>src/base/ItemRegistry.gd</x:v>
      </x:c>
      <x:c r="O33" s="17" t="str">
        <x:v>tags=weapon、gun_body、pistol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已注册；具体掉落概率按同池权重计算</x:v>
      </x:c>
      <x:c r="N34" s="17" t="str">
        <x:v>src/base/ItemRegistry.gd</x:v>
      </x:c>
      <x:c r="O34" s="17" t="str">
        <x:v>tags=weapon、gun_body、rifle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已注册；具体掉落概率按同池权重计算</x:v>
      </x:c>
      <x:c r="N35" s="17" t="str">
        <x:v>src/base/ItemRegistry.gd</x:v>
      </x:c>
      <x:c r="O35" s="17" t="str">
        <x:v>tags=weapon、gun_body、shotgun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已注册；具体掉落概率按同池权重计算</x:v>
      </x:c>
      <x:c r="N36" s="17" t="str">
        <x:v>src/base/ItemRegistry.gd</x:v>
      </x:c>
      <x:c r="O36" s="17" t="str">
        <x:v>tags=weapon、gun_body、sniper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字段字典是内容评审和自动导入的共同契约。新增列前先说明所有者、必填规则与验证方式。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