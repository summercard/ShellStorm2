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武器" sheetId="2" state="visible" r:id="rId2"/>
    <sheet name="命运卡" sheetId="3" state="visible" r:id="rId3"/>
    <sheet name="怪物与Boss" sheetId="4" state="visible" r:id="rId4"/>
    <sheet name="精英怪" sheetId="5" state="visible" r:id="rId5"/>
    <sheet name="掉落物品" sheetId="6" state="visible" r:id="rId6"/>
    <sheet name="字段字典" sheetId="7" state="visible" r:id="rId7"/>
    <sheet name="基地商店" sheetId="8" state="visible" r:id="rId8"/>
  </sheets>
  <definedNames/>
</workbook>
</file>

<file path=xl/styles.xml><?xml version="1.0" encoding="utf-8"?>
<styleSheet xmlns="http://schemas.openxmlformats.org/spreadsheetml/2006/main">
  <numFmts count="0"/>
  <fonts count="28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</fonts>
  <fills count="18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</fills>
  <borders count="19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3" t="inlineStr">
        <is>
          <t>ShellStorm2 游戏内容数据库 v0.1</t>
        </is>
      </c>
    </row>
    <row r="2" ht="30" customHeight="1" s="135">
      <c r="A2" s="173" t="inlineStr">
        <is>
          <t>设计、内容与实现状态的中央索引｜最后校对：2026-08-07｜正式入口：TowerDescent3D.tscn</t>
        </is>
      </c>
    </row>
    <row r="3" ht="30" customHeight="1" s="135">
      <c r="A3" s="25" t="inlineStr">
        <is>
          <t>绿色字体=已实装；蓝色字体=用户设计；橙色字体=Codex补充。条目存在不等于全部表现与数值已通过最终QA。</t>
        </is>
      </c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>
        <f>COUNTA('武器'!$A$5:$A$204)</f>
        <v/>
      </c>
      <c r="C6" s="34">
        <f>COUNTIF('武器'!$K$5:$K$204,"[已实装]")</f>
        <v/>
      </c>
      <c r="D6" s="35">
        <f>COUNTIF('武器'!$K$5:$K$204,"[用户设计]")</f>
        <v/>
      </c>
      <c r="E6" s="36">
        <f>COUNTIF('武器'!$K$5:$K$204,"[Codex补充]")</f>
        <v/>
      </c>
      <c r="F6" s="29" t="inlineStr">
        <is>
          <t>系统2/5</t>
        </is>
      </c>
      <c r="G6" s="29" t="inlineStr">
        <is>
          <t>枪身、子弹、配件、数值、价格和产出</t>
        </is>
      </c>
      <c r="H6" s="29" t="inlineStr">
        <is>
          <t>枪型定义与WeaponInstance分离；实例/命运槽/装配随枪已验收，逐条专属表现待QA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>
        <f>COUNTA('精英怪'!$A$5:$A$204)</f>
        <v/>
      </c>
      <c r="C9" s="34">
        <f>COUNTIF('精英怪'!$K$5:$K$204,"[已实装]")</f>
        <v/>
      </c>
      <c r="D9" s="35">
        <f>COUNTIF('精英怪'!$K$5:$K$204,"[用户设计]")</f>
        <v/>
      </c>
      <c r="E9" s="36">
        <f>COUNTIF('精英怪'!$K$5:$K$204,"[Codex补充]")</f>
        <v/>
      </c>
      <c r="F9" s="29" t="inlineStr">
        <is>
          <t>系统4/7</t>
        </is>
      </c>
      <c r="G9" s="29" t="inlineStr">
        <is>
          <t>12只唯一精英定义</t>
        </is>
      </c>
      <c r="H9" s="29" t="inlineStr">
        <is>
          <t>K列统计名册来源；L列标具体内容来源</t>
        </is>
      </c>
    </row>
    <row r="10" ht="46" customHeight="1" s="135">
      <c r="A10" s="29" t="inlineStr">
        <is>
          <t>掉落物品</t>
        </is>
      </c>
      <c r="B10" s="29" t="n">
        <v>42</v>
      </c>
      <c r="C10" s="34" t="n">
        <v>35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武器成品保留实例构筑；3种背包装备提供2/4/8扩展格并已验收缩容溢出落地；新增 6 条手电筒电量契约条目（3 类电池 + 3 档手电筒模块），设计完成；未实装</t>
        </is>
      </c>
    </row>
    <row r="12">
      <c r="A12" s="30" t="inlineStr">
        <is>
          <t>七大系统与文档定位</t>
        </is>
      </c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</t>
        </is>
      </c>
      <c r="F15" s="29" t="inlineStr">
        <is>
          <t>逐卡专属表现QA/高级比较</t>
        </is>
      </c>
      <c r="G15" s="29" t="inlineStr">
        <is>
          <t>04_技术施工_战斗与局内成长.md</t>
        </is>
      </c>
      <c r="H15" s="29" t="inlineStr">
        <is>
          <t>构筑随具体枪械实例；唯一ID、8槽、作用域、换装、保险、撤离与存档已实装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普通怪正式；精英原型</t>
        </is>
      </c>
      <c r="F17" s="29" t="inlineStr">
        <is>
          <t>正式3D唯一名册</t>
        </is>
      </c>
      <c r="G17" s="29" t="inlineStr">
        <is>
          <t>06_技术施工_怪物精英与Boss.md</t>
        </is>
      </c>
      <c r="H17" s="29" t="inlineStr">
        <is>
          <t>同名只能一只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33" t="inlineStr">
        <is>
          <t>发布前检查：稳定ID唯一｜78张卡名唯一｜22大+56小｜36/21/21作用域｜正/逆各50%｜逆位整卡倒置｜旧存档不重投｜实现状态真实</t>
        </is>
      </c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5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3" t="inlineStr">
        <is>
          <t>ShellStorm2 游戏内容数据库｜武器</t>
        </is>
      </c>
    </row>
    <row r="2" ht="30" customHeight="1" s="135">
      <c r="A2" s="7" t="inlineStr">
        <is>
          <t>正式注册：7枪身、8子弹、6配件。独立WeaponInstance与普通枪8命运槽已实装；实例/槽位/装配基础反馈已验收，逐条专属表现继续QA。</t>
        </is>
      </c>
    </row>
    <row r="3" ht="30" customHeight="1" s="135">
      <c r="A3" s="7" t="inlineStr">
        <is>
          <t>字体颜色：绿色=已实装；蓝色=用户设计；橙色=Codex补充。实现状态需结合事实源判断。</t>
        </is>
      </c>
    </row>
    <row r="4" ht="36" customHeight="1" s="135">
      <c r="A4" s="13" t="inlineStr">
        <is>
          <t>内容ID</t>
        </is>
      </c>
      <c r="B4" s="13" t="inlineStr">
        <is>
          <t>类别</t>
        </is>
      </c>
      <c r="C4" s="13" t="inlineStr">
        <is>
          <t>名称</t>
        </is>
      </c>
      <c r="D4" s="13" t="inlineStr">
        <is>
          <t>蓝图Tier</t>
        </is>
      </c>
      <c r="E4" s="13" t="inlineStr">
        <is>
          <t>稀有度</t>
        </is>
      </c>
      <c r="F4" s="13" t="inlineStr">
        <is>
          <t>价格</t>
        </is>
      </c>
      <c r="G4" s="13" t="inlineStr">
        <is>
          <t>核心数值</t>
        </is>
      </c>
      <c r="H4" s="13" t="inlineStr">
        <is>
          <t>功能</t>
        </is>
      </c>
      <c r="I4" s="13" t="inlineStr">
        <is>
          <t>特殊效果/标签</t>
        </is>
      </c>
      <c r="J4" s="13" t="inlineStr">
        <is>
          <t>产出与掉落</t>
        </is>
      </c>
      <c r="K4" s="13" t="inlineStr">
        <is>
          <t>状态来源</t>
        </is>
      </c>
      <c r="L4" s="13" t="inlineStr">
        <is>
          <t>实现状态</t>
        </is>
      </c>
      <c r="M4" s="13" t="inlineStr">
        <is>
          <t>事实源</t>
        </is>
      </c>
      <c r="N4" s="13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" t="inlineStr">
        <is>
          <t>attach_big_mag</t>
        </is>
      </c>
      <c r="B5" s="17" t="inlineStr">
        <is>
          <t>配件</t>
        </is>
      </c>
      <c r="C5" s="17" t="inlineStr">
        <is>
          <t>肉质弹匣</t>
        </is>
      </c>
      <c r="D5" s="17" t="n">
        <v>1</v>
      </c>
      <c r="E5" s="17" t="inlineStr">
        <is>
          <t>uncommon</t>
        </is>
      </c>
      <c r="F5" s="17" t="n">
        <v>80</v>
      </c>
      <c r="G5" s="17" t="inlineStr">
        <is>
          <t>magazine_size=15</t>
        </is>
      </c>
      <c r="H5" s="17" t="inlineStr">
        <is>
          <t>装配后提供magazine_size=15；修饰方向：heal、capacity</t>
        </is>
      </c>
      <c r="I5" s="17" t="inlineStr">
        <is>
          <t>标签：magazine、heal、capacity</t>
        </is>
      </c>
      <c r="J5" s="17" t="inlineStr">
        <is>
          <t>combat_floor_1×2.5；combat_floor_2×3；loot_abyss×2；loot_floor_3_4×2；loot_floor_5×2.5；scavenge_floor_3×2；scavenge_floor_4×2.5；scavenge_floor_5×2</t>
        </is>
      </c>
      <c r="K5" s="18" t="inlineStr">
        <is>
          <t>[已实装]</t>
        </is>
      </c>
      <c r="L5" s="17" t="inlineStr">
        <is>
          <t>正式注册；具体行为与表现仍需逐项QA</t>
        </is>
      </c>
      <c r="M5" s="17" t="inlineStr">
        <is>
          <t>src/base/BlueprintRegistry.gd；src/base/ItemRegistry.gd</t>
        </is>
      </c>
      <c r="N5" s="1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" t="inlineStr">
        <is>
          <t>attach_copy_sticker</t>
        </is>
      </c>
      <c r="B6" s="17" t="inlineStr">
        <is>
          <t>配件</t>
        </is>
      </c>
      <c r="C6" s="17" t="inlineStr">
        <is>
          <t>复制贴纸</t>
        </is>
      </c>
      <c r="D6" s="17" t="n">
        <v>2</v>
      </c>
      <c r="E6" s="17" t="inlineStr">
        <is>
          <t>epic</t>
        </is>
      </c>
      <c r="F6" s="17" t="n">
        <v>200</v>
      </c>
      <c r="G6" s="17" t="inlineStr">
        <is>
          <t>copy_chance=0.25</t>
        </is>
      </c>
      <c r="H6" s="17" t="inlineStr">
        <is>
          <t>装配后提供copy_chance=0.25；修饰方向：copy、duplicate</t>
        </is>
      </c>
      <c r="I6" s="17" t="inlineStr">
        <is>
          <t>标签：mutator、copy、duplicate</t>
        </is>
      </c>
      <c r="J6" s="17" t="inlineStr">
        <is>
          <t>boss_floor_1×3；boss_floor_2×4；combat_floor_3×1；combat_floor_4×1.5；combat_floor_5×2；loot_abyss×2；scavenge_floor_4×2；scavenge_floor_5×3</t>
        </is>
      </c>
      <c r="K6" s="18" t="inlineStr">
        <is>
          <t>[已实装]</t>
        </is>
      </c>
      <c r="L6" s="17" t="inlineStr">
        <is>
          <t>正式注册；具体行为与表现仍需逐项QA</t>
        </is>
      </c>
      <c r="M6" s="17" t="inlineStr">
        <is>
          <t>src/base/BlueprintRegistry.gd；src/base/ItemRegistry.gd</t>
        </is>
      </c>
      <c r="N6" s="1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" t="inlineStr">
        <is>
          <t>attach_fan</t>
        </is>
      </c>
      <c r="B7" s="17" t="inlineStr">
        <is>
          <t>配件</t>
        </is>
      </c>
      <c r="C7" s="17" t="inlineStr">
        <is>
          <t>小风扇</t>
        </is>
      </c>
      <c r="D7" s="17" t="n">
        <v>2</v>
      </c>
      <c r="E7" s="17" t="inlineStr">
        <is>
          <t>epic</t>
        </is>
      </c>
      <c r="F7" s="17" t="n">
        <v>150</v>
      </c>
      <c r="G7" s="17" t="inlineStr">
        <is>
          <t>pull_strength=0.5</t>
        </is>
      </c>
      <c r="H7" s="17" t="inlineStr">
        <is>
          <t>装配后提供pull_strength=0.5；修饰方向：pull、wind</t>
        </is>
      </c>
      <c r="I7" s="17" t="inlineStr">
        <is>
          <t>标签：external、pull、wind</t>
        </is>
      </c>
      <c r="J7" s="17" t="inlineStr">
        <is>
          <t>boss_floor_1×3；combat_floor_3×1.5；combat_floor_4×2；combat_floor_5×2.5；loot_abyss×2.5；loot_floor_5×2；scavenge_floor_4×2；scavenge_floor_5×2.5</t>
        </is>
      </c>
      <c r="K7" s="18" t="inlineStr">
        <is>
          <t>[已实装]</t>
        </is>
      </c>
      <c r="L7" s="17" t="inlineStr">
        <is>
          <t>正式注册；具体行为与表现仍需逐项QA</t>
        </is>
      </c>
      <c r="M7" s="17" t="inlineStr">
        <is>
          <t>src/base/BlueprintRegistry.gd；src/base/ItemRegistry.gd</t>
        </is>
      </c>
      <c r="N7" s="1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" t="inlineStr">
        <is>
          <t>attach_rubber_stock</t>
        </is>
      </c>
      <c r="B8" s="17" t="inlineStr">
        <is>
          <t>配件</t>
        </is>
      </c>
      <c r="C8" s="17" t="inlineStr">
        <is>
          <t>橡皮枪托</t>
        </is>
      </c>
      <c r="D8" s="17" t="n">
        <v>0</v>
      </c>
      <c r="E8" s="17" t="inlineStr">
        <is>
          <t>common</t>
        </is>
      </c>
      <c r="F8" s="17" t="n">
        <v>45</v>
      </c>
      <c r="G8" s="17" t="inlineStr">
        <is>
          <t>spread=-0.04</t>
        </is>
      </c>
      <c r="H8" s="17" t="inlineStr">
        <is>
          <t>装配后提供spread=-0.04；修饰方向：bounce</t>
        </is>
      </c>
      <c r="I8" s="17" t="inlineStr">
        <is>
          <t>标签：stock、bounce</t>
        </is>
      </c>
      <c r="J8" s="1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" t="inlineStr">
        <is>
          <t>[已实装]</t>
        </is>
      </c>
      <c r="L8" s="17" t="inlineStr">
        <is>
          <t>正式注册；具体行为与表现仍需逐项QA</t>
        </is>
      </c>
      <c r="M8" s="17" t="inlineStr">
        <is>
          <t>src/base/BlueprintRegistry.gd；src/base/ItemRegistry.gd</t>
        </is>
      </c>
      <c r="N8" s="1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" t="inlineStr">
        <is>
          <t>attach_scope</t>
        </is>
      </c>
      <c r="B9" s="17" t="inlineStr">
        <is>
          <t>配件</t>
        </is>
      </c>
      <c r="C9" s="17" t="inlineStr">
        <is>
          <t>放大镜瞄具</t>
        </is>
      </c>
      <c r="D9" s="17" t="n">
        <v>1</v>
      </c>
      <c r="E9" s="17" t="inlineStr">
        <is>
          <t>rare</t>
        </is>
      </c>
      <c r="F9" s="17" t="n">
        <v>100</v>
      </c>
      <c r="G9" s="17" t="inlineStr">
        <is>
          <t>damage=5；spread=-0.05</t>
        </is>
      </c>
      <c r="H9" s="17" t="inlineStr">
        <is>
          <t>装配后提供damage=5；spread=-0.05；修饰方向：crit、accuracy</t>
        </is>
      </c>
      <c r="I9" s="17" t="inlineStr">
        <is>
          <t>标签：scope、crit、accuracy</t>
        </is>
      </c>
      <c r="J9" s="17" t="inlineStr">
        <is>
          <t>combat_floor_2×1.5；combat_floor_3×2.5；loot_abyss×3；loot_floor_3_4×2；loot_floor_5×2.5；scavenge_floor_3×2；scavenge_floor_4×2.5；scavenge_floor_5×3</t>
        </is>
      </c>
      <c r="K9" s="18" t="inlineStr">
        <is>
          <t>[已实装]</t>
        </is>
      </c>
      <c r="L9" s="17" t="inlineStr">
        <is>
          <t>正式注册；具体行为与表现仍需逐项QA</t>
        </is>
      </c>
      <c r="M9" s="17" t="inlineStr">
        <is>
          <t>src/base/BlueprintRegistry.gd；src/base/ItemRegistry.gd</t>
        </is>
      </c>
      <c r="N9" s="1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" t="inlineStr">
        <is>
          <t>attach_triple_muzzle</t>
        </is>
      </c>
      <c r="B10" s="17" t="inlineStr">
        <is>
          <t>配件</t>
        </is>
      </c>
      <c r="C10" s="17" t="inlineStr">
        <is>
          <t>三叉枪口</t>
        </is>
      </c>
      <c r="D10" s="17" t="n">
        <v>0</v>
      </c>
      <c r="E10" s="17" t="inlineStr">
        <is>
          <t>uncommon</t>
        </is>
      </c>
      <c r="F10" s="17" t="n">
        <v>70</v>
      </c>
      <c r="G10" s="17" t="inlineStr">
        <is>
          <t>bullet_count=2；spread=0.08</t>
        </is>
      </c>
      <c r="H10" s="17" t="inlineStr">
        <is>
          <t>装配后提供bullet_count=2；spread=0.08；修饰方向：multi_shot</t>
        </is>
      </c>
      <c r="I10" s="17" t="inlineStr">
        <is>
          <t>标签：muzzle、multi_shot</t>
        </is>
      </c>
      <c r="J10" s="1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" t="inlineStr">
        <is>
          <t>[已实装]</t>
        </is>
      </c>
      <c r="L10" s="17" t="inlineStr">
        <is>
          <t>正式注册；具体行为与表现仍需逐项QA</t>
        </is>
      </c>
      <c r="M10" s="17" t="inlineStr">
        <is>
          <t>src/base/BlueprintRegistry.gd；src/base/ItemRegistry.gd</t>
        </is>
      </c>
      <c r="N10" s="1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" t="inlineStr">
        <is>
          <t>mod_bullet_balloon</t>
        </is>
      </c>
      <c r="B11" s="17" t="inlineStr">
        <is>
          <t>子弹</t>
        </is>
      </c>
      <c r="C11" s="17" t="inlineStr">
        <is>
          <t>气球弹模块</t>
        </is>
      </c>
      <c r="D11" s="17" t="n">
        <v>1</v>
      </c>
      <c r="E11" s="17" t="inlineStr">
        <is>
          <t>rare</t>
        </is>
      </c>
      <c r="F11" s="17" t="n">
        <v>90</v>
      </c>
      <c r="G11" s="17" t="inlineStr">
        <is>
          <t>bullet_damage=18；bullet_speed=0.5</t>
        </is>
      </c>
      <c r="H11" s="17" t="inlineStr">
        <is>
          <t>提供bullet_damage=18；bullet_speed=0.5；弹道/命中行为：balloon、slow、big</t>
        </is>
      </c>
      <c r="I11" s="17" t="inlineStr">
        <is>
          <t>标签：bullet、balloon、slow、big</t>
        </is>
      </c>
      <c r="J11" s="17" t="inlineStr">
        <is>
          <t>combat_floor_3×1；combat_floor_4×1.5；loot_abyss×2；loot_floor_3_4×1.5；loot_floor_5×2；scavenge_floor_3×1.5；scavenge_floor_4×2；scavenge_floor_5×2</t>
        </is>
      </c>
      <c r="K11" s="18" t="inlineStr">
        <is>
          <t>[已实装]</t>
        </is>
      </c>
      <c r="L11" s="17" t="inlineStr">
        <is>
          <t>正式注册；具体行为与表现仍需逐项QA</t>
        </is>
      </c>
      <c r="M11" s="17" t="inlineStr">
        <is>
          <t>src/base/BlueprintRegistry.gd；src/base/ItemRegistry.gd</t>
        </is>
      </c>
      <c r="N11" s="1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" t="inlineStr">
        <is>
          <t>mod_bullet_blackhole</t>
        </is>
      </c>
      <c r="B12" s="17" t="inlineStr">
        <is>
          <t>子弹</t>
        </is>
      </c>
      <c r="C12" s="17" t="inlineStr">
        <is>
          <t>黑洞弹模块</t>
        </is>
      </c>
      <c r="D12" s="17" t="n">
        <v>2</v>
      </c>
      <c r="E12" s="17" t="inlineStr">
        <is>
          <t>epic</t>
        </is>
      </c>
      <c r="F12" s="17" t="n">
        <v>180</v>
      </c>
      <c r="G12" s="17" t="inlineStr">
        <is>
          <t>bullet_damage=12；bullet_speed=0.6</t>
        </is>
      </c>
      <c r="H12" s="17" t="inlineStr">
        <is>
          <t>提供bullet_damage=12；bullet_speed=0.6；弹道/命中行为：blackhole、pull</t>
        </is>
      </c>
      <c r="I12" s="17" t="inlineStr">
        <is>
          <t>标签：bullet、blackhole、pull</t>
        </is>
      </c>
      <c r="J12" s="17" t="inlineStr">
        <is>
          <t>boss_floor_1×3；boss_floor_2×4；combat_floor_4×2；combat_floor_5×3；loot_abyss×2.5；scavenge_floor_4×2.5；scavenge_floor_5×4</t>
        </is>
      </c>
      <c r="K12" s="18" t="inlineStr">
        <is>
          <t>[已实装]</t>
        </is>
      </c>
      <c r="L12" s="17" t="inlineStr">
        <is>
          <t>正式注册；具体行为与表现仍需逐项QA</t>
        </is>
      </c>
      <c r="M12" s="17" t="inlineStr">
        <is>
          <t>src/base/BlueprintRegistry.gd；src/base/ItemRegistry.gd</t>
        </is>
      </c>
      <c r="N12" s="1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" t="inlineStr">
        <is>
          <t>mod_bullet_bounce</t>
        </is>
      </c>
      <c r="B13" s="17" t="inlineStr">
        <is>
          <t>子弹</t>
        </is>
      </c>
      <c r="C13" s="17" t="inlineStr">
        <is>
          <t>回旋镖弹模块</t>
        </is>
      </c>
      <c r="D13" s="17" t="n">
        <v>0</v>
      </c>
      <c r="E13" s="17" t="inlineStr">
        <is>
          <t>uncommon</t>
        </is>
      </c>
      <c r="F13" s="17" t="n">
        <v>60</v>
      </c>
      <c r="G13" s="17" t="inlineStr">
        <is>
          <t>bullet_damage=7；bullet_speed=1.1</t>
        </is>
      </c>
      <c r="H13" s="17" t="inlineStr">
        <is>
          <t>提供bullet_damage=7；bullet_speed=1.1；弹道/命中行为：bounce、ricochet</t>
        </is>
      </c>
      <c r="I13" s="17" t="inlineStr">
        <is>
          <t>标签：bullet、bounce、ricochet</t>
        </is>
      </c>
      <c r="J13" s="1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" t="inlineStr">
        <is>
          <t>[已实装]</t>
        </is>
      </c>
      <c r="L13" s="17" t="inlineStr">
        <is>
          <t>正式注册；具体行为与表现仍需逐项QA</t>
        </is>
      </c>
      <c r="M13" s="17" t="inlineStr">
        <is>
          <t>src/base/BlueprintRegistry.gd；src/base/ItemRegistry.gd</t>
        </is>
      </c>
      <c r="N13" s="1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" t="inlineStr">
        <is>
          <t>mod_bullet_explosive</t>
        </is>
      </c>
      <c r="B14" s="17" t="inlineStr">
        <is>
          <t>子弹</t>
        </is>
      </c>
      <c r="C14" s="17" t="inlineStr">
        <is>
          <t>爆炸弹模块</t>
        </is>
      </c>
      <c r="D14" s="17" t="n">
        <v>1</v>
      </c>
      <c r="E14" s="17" t="inlineStr">
        <is>
          <t>rare</t>
        </is>
      </c>
      <c r="F14" s="17" t="n">
        <v>100</v>
      </c>
      <c r="G14" s="17" t="inlineStr">
        <is>
          <t>bullet_damage=28；bullet_speed=0.75</t>
        </is>
      </c>
      <c r="H14" s="17" t="inlineStr">
        <is>
          <t>提供bullet_damage=28；bullet_speed=0.75；弹道/命中行为：explosive、area</t>
        </is>
      </c>
      <c r="I14" s="17" t="inlineStr">
        <is>
          <t>标签：bullet、explosive、area</t>
        </is>
      </c>
      <c r="J14" s="17" t="inlineStr">
        <is>
          <t>combat_floor_3×1；loot_abyss×2.5；loot_floor_3_4×1.5；loot_floor_5×2；scavenge_floor_3×1.5；scavenge_floor_4×2；scavenge_floor_5×2.5</t>
        </is>
      </c>
      <c r="K14" s="18" t="inlineStr">
        <is>
          <t>[已实装]</t>
        </is>
      </c>
      <c r="L14" s="17" t="inlineStr">
        <is>
          <t>正式注册；具体行为与表现仍需逐项QA</t>
        </is>
      </c>
      <c r="M14" s="17" t="inlineStr">
        <is>
          <t>src/base/BlueprintRegistry.gd；src/base/ItemRegistry.gd</t>
        </is>
      </c>
      <c r="N14" s="1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" t="inlineStr">
        <is>
          <t>mod_bullet_homing</t>
        </is>
      </c>
      <c r="B15" s="17" t="inlineStr">
        <is>
          <t>子弹</t>
        </is>
      </c>
      <c r="C15" s="17" t="inlineStr">
        <is>
          <t>蜂卵弹模块</t>
        </is>
      </c>
      <c r="D15" s="17" t="n">
        <v>2</v>
      </c>
      <c r="E15" s="17" t="inlineStr">
        <is>
          <t>epic</t>
        </is>
      </c>
      <c r="F15" s="17" t="n">
        <v>150</v>
      </c>
      <c r="G15" s="17" t="inlineStr">
        <is>
          <t>bullet_damage=10；bullet_speed=0.9</t>
        </is>
      </c>
      <c r="H15" s="17" t="inlineStr">
        <is>
          <t>提供bullet_damage=10；bullet_speed=0.9；弹道/命中行为：homing、summon</t>
        </is>
      </c>
      <c r="I15" s="17" t="inlineStr">
        <is>
          <t>标签：bullet、homing、summon</t>
        </is>
      </c>
      <c r="J15" s="17" t="inlineStr">
        <is>
          <t>boss_floor_1×4；combat_floor_4×1.5；combat_floor_5×2.5；loot_abyss×3；loot_floor_5×2；scavenge_floor_4×2；scavenge_floor_5×3</t>
        </is>
      </c>
      <c r="K15" s="18" t="inlineStr">
        <is>
          <t>[已实装]</t>
        </is>
      </c>
      <c r="L15" s="17" t="inlineStr">
        <is>
          <t>正式注册；具体行为与表现仍需逐项QA</t>
        </is>
      </c>
      <c r="M15" s="17" t="inlineStr">
        <is>
          <t>src/base/BlueprintRegistry.gd；src/base/ItemRegistry.gd</t>
        </is>
      </c>
      <c r="N15" s="1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" t="inlineStr">
        <is>
          <t>mod_bullet_piercing</t>
        </is>
      </c>
      <c r="B16" s="17" t="inlineStr">
        <is>
          <t>子弹</t>
        </is>
      </c>
      <c r="C16" s="17" t="inlineStr">
        <is>
          <t>穿甲弹模块</t>
        </is>
      </c>
      <c r="D16" s="17" t="n">
        <v>1</v>
      </c>
      <c r="E16" s="17" t="inlineStr">
        <is>
          <t>rare</t>
        </is>
      </c>
      <c r="F16" s="17" t="n">
        <v>80</v>
      </c>
      <c r="G16" s="17" t="inlineStr">
        <is>
          <t>bullet_damage=14；bullet_speed=1.4</t>
        </is>
      </c>
      <c r="H16" s="17" t="inlineStr">
        <is>
          <t>提供bullet_damage=14；bullet_speed=1.4；弹道/命中行为：piercing、armor</t>
        </is>
      </c>
      <c r="I16" s="17" t="inlineStr">
        <is>
          <t>标签：bullet、piercing、armor</t>
        </is>
      </c>
      <c r="J16" s="17" t="inlineStr">
        <is>
          <t>combat_floor_3×1.5；loot_abyss×3；loot_floor_3_4×2；loot_floor_5×2.5；scavenge_floor_3×2；scavenge_floor_4×2.5；scavenge_floor_5×3</t>
        </is>
      </c>
      <c r="K16" s="18" t="inlineStr">
        <is>
          <t>[已实装]</t>
        </is>
      </c>
      <c r="L16" s="17" t="inlineStr">
        <is>
          <t>正式注册；具体行为与表现仍需逐项QA</t>
        </is>
      </c>
      <c r="M16" s="17" t="inlineStr">
        <is>
          <t>src/base/BlueprintRegistry.gd；src/base/ItemRegistry.gd</t>
        </is>
      </c>
      <c r="N16" s="1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" t="inlineStr">
        <is>
          <t>mod_bullet_standard</t>
        </is>
      </c>
      <c r="B17" s="17" t="inlineStr">
        <is>
          <t>子弹</t>
        </is>
      </c>
      <c r="C17" s="17" t="inlineStr">
        <is>
          <t>标准子弹模块</t>
        </is>
      </c>
      <c r="D17" s="17" t="n">
        <v>0</v>
      </c>
      <c r="E17" s="17" t="inlineStr">
        <is>
          <t>common</t>
        </is>
      </c>
      <c r="F17" s="17" t="n">
        <v>30</v>
      </c>
      <c r="G17" s="17" t="inlineStr">
        <is>
          <t>bullet_damage=8；bullet_speed=1</t>
        </is>
      </c>
      <c r="H17" s="17" t="inlineStr">
        <is>
          <t>提供bullet_damage=8；bullet_speed=1；弹道/命中行为：kinetic、standard</t>
        </is>
      </c>
      <c r="I17" s="17" t="inlineStr">
        <is>
          <t>标签：bullet、kinetic、standard</t>
        </is>
      </c>
      <c r="J17" s="17" t="inlineStr">
        <is>
          <t>combat_floor_1×3；combat_floor_2×2.5；loot_abyss×1.5；loot_floor_1_2×3；loot_floor_3_4×2.5；loot_floor_5×2；scavenge_floor_1×3；scavenge_floor_2×2.5；spawn_starter×3</t>
        </is>
      </c>
      <c r="K17" s="18" t="inlineStr">
        <is>
          <t>[已实装]</t>
        </is>
      </c>
      <c r="L17" s="17" t="inlineStr">
        <is>
          <t>正式注册；具体行为与表现仍需逐项QA</t>
        </is>
      </c>
      <c r="M17" s="17" t="inlineStr">
        <is>
          <t>src/base/BlueprintRegistry.gd；src/base/ItemRegistry.gd</t>
        </is>
      </c>
      <c r="N17" s="1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" t="inlineStr">
        <is>
          <t>mod_bullet_sticky</t>
        </is>
      </c>
      <c r="B18" s="17" t="inlineStr">
        <is>
          <t>子弹</t>
        </is>
      </c>
      <c r="C18" s="17" t="inlineStr">
        <is>
          <t>黏黏弹模块</t>
        </is>
      </c>
      <c r="D18" s="17" t="n">
        <v>0</v>
      </c>
      <c r="E18" s="17" t="inlineStr">
        <is>
          <t>uncommon</t>
        </is>
      </c>
      <c r="F18" s="17" t="n">
        <v>50</v>
      </c>
      <c r="G18" s="17" t="inlineStr">
        <is>
          <t>bullet_damage=6；bullet_speed=0.8</t>
        </is>
      </c>
      <c r="H18" s="17" t="inlineStr">
        <is>
          <t>提供bullet_damage=6；bullet_speed=0.8；弹道/命中行为：sticky、dot</t>
        </is>
      </c>
      <c r="I18" s="17" t="inlineStr">
        <is>
          <t>标签：bullet、sticky、dot</t>
        </is>
      </c>
      <c r="J18" s="17" t="inlineStr">
        <is>
          <t>combat_floor_1×2；combat_floor_2×2.5；loot_abyss×1.5；loot_floor_1_2×2；loot_floor_3_4×2.5；loot_floor_5×2；scavenge_floor_1×2；scavenge_floor_2×2.5；spawn_starter×2</t>
        </is>
      </c>
      <c r="K18" s="18" t="inlineStr">
        <is>
          <t>[已实装]</t>
        </is>
      </c>
      <c r="L18" s="17" t="inlineStr">
        <is>
          <t>正式注册；具体行为与表现仍需逐项QA</t>
        </is>
      </c>
      <c r="M18" s="17" t="inlineStr">
        <is>
          <t>src/base/BlueprintRegistry.gd；src/base/ItemRegistry.gd</t>
        </is>
      </c>
      <c r="N18" s="1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" t="inlineStr">
        <is>
          <t>bp_charge</t>
        </is>
      </c>
      <c r="B19" s="17" t="inlineStr">
        <is>
          <t>枪身</t>
        </is>
      </c>
      <c r="C19" s="17" t="inlineStr">
        <is>
          <t>蓄力萝卜炮</t>
        </is>
      </c>
      <c r="D19" s="17" t="n">
        <v>3</v>
      </c>
      <c r="E19" s="17" t="inlineStr">
        <is>
          <t>epic</t>
        </is>
      </c>
      <c r="F19" s="17" t="n">
        <v>350</v>
      </c>
      <c r="G19" s="17" t="inlineStr">
        <is>
          <t>bullet_count=1；charge_time=1.2；damage=30；fire_rate=1.5；magazine_size=4；reload_time=3；spread=0.05</t>
        </is>
      </c>
      <c r="H19" s="17" t="inlineStr">
        <is>
          <t>蓄力时间越长伤害越高，超蓄力后弹体变大并附带穿透。左键装备为当前主武器。</t>
        </is>
      </c>
      <c r="I19" s="17" t="inlineStr">
        <is>
          <t>标签：charge、蓄力、high_damage</t>
        </is>
      </c>
      <c r="J19" s="1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" t="inlineStr">
        <is>
          <t>[已实装]</t>
        </is>
      </c>
      <c r="L19" s="17" t="inlineStr">
        <is>
          <t>正式注册；具体行为与表现仍需逐项QA</t>
        </is>
      </c>
      <c r="M19" s="17" t="inlineStr">
        <is>
          <t>src/base/BlueprintRegistry.gd；src/base/ItemRegistry.gd</t>
        </is>
      </c>
      <c r="N19" s="1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" t="inlineStr">
        <is>
          <t>bp_launcher</t>
        </is>
      </c>
      <c r="B20" s="17" t="inlineStr">
        <is>
          <t>枪身</t>
        </is>
      </c>
      <c r="C20" s="17" t="inlineStr">
        <is>
          <t>反胃榴弹筒</t>
        </is>
      </c>
      <c r="D20" s="17" t="n">
        <v>2</v>
      </c>
      <c r="E20" s="17" t="inlineStr">
        <is>
          <t>rare</t>
        </is>
      </c>
      <c r="F20" s="17" t="n">
        <v>250</v>
      </c>
      <c r="G20" s="17" t="inlineStr">
        <is>
          <t>bullet_count=1；damage=38；fire_rate=0.8；magazine_size=3；reload_time=4；spread=0.1</t>
        </is>
      </c>
      <c r="H20" s="17" t="inlineStr">
        <is>
          <t>发射爆炸弹，抛物线弹道，大范围AOE。左键装备为当前主武器。</t>
        </is>
      </c>
      <c r="I20" s="17" t="inlineStr">
        <is>
          <t>标签：launcher、explosive、slow</t>
        </is>
      </c>
      <c r="J20" s="1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" t="inlineStr">
        <is>
          <t>[已实装]</t>
        </is>
      </c>
      <c r="L20" s="17" t="inlineStr">
        <is>
          <t>正式注册；具体行为与表现仍需逐项QA</t>
        </is>
      </c>
      <c r="M20" s="17" t="inlineStr">
        <is>
          <t>src/base/BlueprintRegistry.gd；src/base/ItemRegistry.gd</t>
        </is>
      </c>
      <c r="N20" s="1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" t="inlineStr">
        <is>
          <t>bp_machinegun</t>
        </is>
      </c>
      <c r="B21" s="17" t="inlineStr">
        <is>
          <t>枪身</t>
        </is>
      </c>
      <c r="C21" s="17" t="inlineStr">
        <is>
          <t>蜂窝机枪</t>
        </is>
      </c>
      <c r="D21" s="17" t="n">
        <v>1</v>
      </c>
      <c r="E21" s="17" t="inlineStr">
        <is>
          <t>uncommon</t>
        </is>
      </c>
      <c r="F21" s="17" t="n">
        <v>180</v>
      </c>
      <c r="G21" s="17" t="inlineStr">
        <is>
          <t>bullet_count=1；damage=15；fire_rate=12；magazine_size=60；reload_time=2.8；spread=0.15</t>
        </is>
      </c>
      <c r="H21" s="17" t="inlineStr">
        <is>
          <t>高射速压制武器，适合清群怪。左键装备为当前主武器。</t>
        </is>
      </c>
      <c r="I21" s="17" t="inlineStr">
        <is>
          <t>标签：auto、high_rate、spray</t>
        </is>
      </c>
      <c r="J21" s="1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" t="inlineStr">
        <is>
          <t>[已实装]</t>
        </is>
      </c>
      <c r="L21" s="17" t="inlineStr">
        <is>
          <t>正式注册；具体行为与表现仍需逐项QA</t>
        </is>
      </c>
      <c r="M21" s="17" t="inlineStr">
        <is>
          <t>src/base/BlueprintRegistry.gd；src/base/ItemRegistry.gd</t>
        </is>
      </c>
      <c r="N21" s="1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" t="inlineStr">
        <is>
          <t>bp_pistol</t>
        </is>
      </c>
      <c r="B22" s="17" t="inlineStr">
        <is>
          <t>枪身</t>
        </is>
      </c>
      <c r="C22" s="17" t="inlineStr">
        <is>
          <t>豌豆手枪</t>
        </is>
      </c>
      <c r="D22" s="17" t="n">
        <v>0</v>
      </c>
      <c r="E22" s="17" t="inlineStr">
        <is>
          <t>common</t>
        </is>
      </c>
      <c r="F22" s="17" t="n">
        <v>70</v>
      </c>
      <c r="G22" s="17" t="inlineStr">
        <is>
          <t>bullet_count=1；damage=18；fire_rate=3.5；magazine_size=12；reload_time=1.5；spread=0.03</t>
        </is>
      </c>
      <c r="H22" s="17" t="inlineStr">
        <is>
          <t>可靠的基础半自动武器。左键装备为当前主武器。</t>
        </is>
      </c>
      <c r="I22" s="17" t="inlineStr">
        <is>
          <t>标签：pistol、semi_auto、sidearm</t>
        </is>
      </c>
      <c r="J22" s="1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" t="inlineStr">
        <is>
          <t>[已实装]</t>
        </is>
      </c>
      <c r="L22" s="17" t="inlineStr">
        <is>
          <t>正式注册；具体行为与表现仍需逐项QA</t>
        </is>
      </c>
      <c r="M22" s="17" t="inlineStr">
        <is>
          <t>src/base/BlueprintRegistry.gd；src/base/ItemRegistry.gd</t>
        </is>
      </c>
      <c r="N22" s="17" t="inlineStr">
        <is>
          <t>装配ID=bp_pistol；成品物品ID=weapon_pistol；蓝图物品ID=bp_pistol</t>
        </is>
      </c>
      <c r="O22" s="46" t="n">
        <v>8</v>
      </c>
      <c r="P22" s="45" t="inlineStr">
        <is>
          <t>成品生成永久weapon_instance_id；命运槽、子弹模块与配件随实例在装备/背包/地面/商店/保险/存档间移动</t>
        </is>
      </c>
      <c r="Q22" s="47" t="inlineStr">
        <is>
          <t>[已实装] 唯一实例ID、8槽基线、完整构筑/弹药/命运记录随枪转移与存档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1</v>
      </c>
    </row>
    <row r="23" ht="54" customHeight="1" s="135">
      <c r="A23" s="17" t="inlineStr">
        <is>
          <t>bp_rifle</t>
        </is>
      </c>
      <c r="B23" s="17" t="inlineStr">
        <is>
          <t>枪身</t>
        </is>
      </c>
      <c r="C23" s="17" t="inlineStr">
        <is>
          <t>步枪</t>
        </is>
      </c>
      <c r="D23" s="17" t="n">
        <v>1</v>
      </c>
      <c r="E23" s="17" t="inlineStr">
        <is>
          <t>rare</t>
        </is>
      </c>
      <c r="F23" s="17" t="n">
        <v>150</v>
      </c>
      <c r="G23" s="17" t="inlineStr">
        <is>
          <t>bullet_count=1；damage=22；fire_rate=6；magazine_size=30；reload_time=2.2；spread=0.07</t>
        </is>
      </c>
      <c r="H23" s="17" t="inlineStr">
        <is>
          <t>稳定连发的中距离武器。左键装备为当前主武器。</t>
        </is>
      </c>
      <c r="I23" s="17" t="inlineStr">
        <is>
          <t>标签：rifle、automatic、assault</t>
        </is>
      </c>
      <c r="J23" s="1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" t="inlineStr">
        <is>
          <t>[已实装]</t>
        </is>
      </c>
      <c r="L23" s="17" t="inlineStr">
        <is>
          <t>正式注册；具体行为与表现仍需逐项QA</t>
        </is>
      </c>
      <c r="M23" s="17" t="inlineStr">
        <is>
          <t>src/base/BlueprintRegistry.gd；src/base/ItemRegistry.gd</t>
        </is>
      </c>
      <c r="N23" s="17" t="inlineStr">
        <is>
          <t>装配ID=bp_rifle；成品物品ID=weapon_rifle；蓝图物品ID=bp_rifle</t>
        </is>
      </c>
      <c r="O23" s="46" t="n">
        <v>8</v>
      </c>
      <c r="P23" s="45" t="inlineStr">
        <is>
          <t>成品生成永久weapon_instance_id；命运槽、子弹模块与配件随实例在装备/背包/地面/商店/保险/存档间移动</t>
        </is>
      </c>
      <c r="Q23" s="47" t="inlineStr">
        <is>
          <t>[已实装] 唯一实例ID、8槽基线、完整构筑/弹药/命运记录随枪转移与存档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3</v>
      </c>
    </row>
    <row r="24" ht="54" customHeight="1" s="135">
      <c r="A24" s="17" t="inlineStr">
        <is>
          <t>bp_shotgun</t>
        </is>
      </c>
      <c r="B24" s="17" t="inlineStr">
        <is>
          <t>枪身</t>
        </is>
      </c>
      <c r="C24" s="17" t="inlineStr">
        <is>
          <t>散射喷壶</t>
        </is>
      </c>
      <c r="D24" s="17" t="n">
        <v>0</v>
      </c>
      <c r="E24" s="17" t="inlineStr">
        <is>
          <t>uncommon</t>
        </is>
      </c>
      <c r="F24" s="17" t="n">
        <v>110</v>
      </c>
      <c r="G24" s="17" t="inlineStr">
        <is>
          <t>bullet_count=5；damage=12；fire_rate=1.2；magazine_size=6；reload_time=3；spread=0.35</t>
        </is>
      </c>
      <c r="H24" s="17" t="inlineStr">
        <is>
          <t>近距离多弹丸散射武器。左键装备为当前主武器。</t>
        </is>
      </c>
      <c r="I24" s="17" t="inlineStr">
        <is>
          <t>标签：shotgun、close_range、burst</t>
        </is>
      </c>
      <c r="J24" s="1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" t="inlineStr">
        <is>
          <t>[已实装]</t>
        </is>
      </c>
      <c r="L24" s="17" t="inlineStr">
        <is>
          <t>正式注册；具体行为与表现仍需逐项QA</t>
        </is>
      </c>
      <c r="M24" s="17" t="inlineStr">
        <is>
          <t>src/base/BlueprintRegistry.gd；src/base/ItemRegistry.gd</t>
        </is>
      </c>
      <c r="N24" s="17" t="inlineStr">
        <is>
          <t>装配ID=bp_shotgun；成品物品ID=weapon_shotgun；蓝图物品ID=bp_shotgun</t>
        </is>
      </c>
      <c r="O24" s="46" t="n">
        <v>8</v>
      </c>
      <c r="P24" s="45" t="inlineStr">
        <is>
          <t>成品生成永久weapon_instance_id；命运槽、子弹模块与配件随实例在装备/背包/地面/商店/保险/存档间移动</t>
        </is>
      </c>
      <c r="Q24" s="47" t="inlineStr">
        <is>
          <t>[已实装] 唯一实例ID、8槽基线、完整构筑/弹药/命运记录随枪转移与存档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2</v>
      </c>
    </row>
    <row r="25" ht="54" customHeight="1" s="135">
      <c r="A25" s="17" t="inlineStr">
        <is>
          <t>bp_sniper</t>
        </is>
      </c>
      <c r="B25" s="17" t="inlineStr">
        <is>
          <t>枪身</t>
        </is>
      </c>
      <c r="C25" s="17" t="inlineStr">
        <is>
          <t>弹弓狙击</t>
        </is>
      </c>
      <c r="D25" s="17" t="n">
        <v>2</v>
      </c>
      <c r="E25" s="17" t="inlineStr">
        <is>
          <t>rare</t>
        </is>
      </c>
      <c r="F25" s="17" t="n">
        <v>220</v>
      </c>
      <c r="G25" s="17" t="inlineStr">
        <is>
          <t>bullet_count=1；damage=55；fire_rate=1；magazine_size=5；reload_time=3.5；spread=0.01</t>
        </is>
      </c>
      <c r="H25" s="17" t="inlineStr">
        <is>
          <t>低射速高伤害，穿透力强，适合精准打击。左键装备为当前主武器。</t>
        </is>
      </c>
      <c r="I25" s="17" t="inlineStr">
        <is>
          <t>标签：sniper、precision、high_damage</t>
        </is>
      </c>
      <c r="J25" s="1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" t="inlineStr">
        <is>
          <t>[已实装]</t>
        </is>
      </c>
      <c r="L25" s="17" t="inlineStr">
        <is>
          <t>正式注册；具体行为与表现仍需逐项QA</t>
        </is>
      </c>
      <c r="M25" s="17" t="inlineStr">
        <is>
          <t>src/base/BlueprintRegistry.gd；src/base/ItemRegistry.gd</t>
        </is>
      </c>
      <c r="N25" s="1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59" t="inlineStr">
        <is>
          <t>ShellStorm2 游戏内容数据库｜命运塔罗</t>
        </is>
      </c>
    </row>
    <row r="2" ht="34" customHeight="1" s="135">
      <c r="A2" s="62" t="inlineStr">
        <is>
          <t>78张完整牌组：48张现有卡已接入塔罗名称、正/逆位效果快照、50%/50%方位与代码翻牌；新增30张须完成独立玩法执行器后再进入正式池。</t>
        </is>
      </c>
    </row>
    <row r="3" ht="34" customHeight="1" s="135">
      <c r="A3" s="62" t="inlineStr">
        <is>
          <t>每张卡先抽身份，再以50%/50%独立抽正位或逆位；同名、同稳定ID、同收藏条目。逆位只倒置图案/框体，名称、说明、数值和目标文字始终正向。</t>
        </is>
      </c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副枪跟随主枪一起开火</t>
        </is>
      </c>
      <c r="F6" s="91" t="inlineStr">
        <is>
          <t>选择一个枪身，将其挂到当前枪身上，副枪跟随射击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action=ATTACH_GUN_TO_GUN；damage_scale=0.5；fire_rate_scale=0.6；follow_probability=1</t>
        </is>
      </c>
      <c r="K6" s="91" t="inlineStr">
        <is>
          <t>门后命运/三选一/工作台共用卡池</t>
        </is>
      </c>
      <c r="L6" s="91" t="inlineStr">
        <is>
          <t>[已实装]</t>
        </is>
      </c>
      <c r="M6" s="91" t="inlineStr">
        <is>
          <t>[部分实装] 塔罗名称、正/逆位效果快照与通用执行已接入；复杂逆位专属行为继续逐卡QA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卡背绕Y轴翻面；逆位整张正面卡牌（含边框、图案、文字与布局）收束180°，并显示逆位效果描述；主枪上出现副枪实体/能量轮廓；同步或派生开火用不同声层区分</t>
        </is>
      </c>
      <c r="U6" s="91" t="inlineStr">
        <is>
          <t>[部分实装] 通用卡背/翻牌/逆位倒置已验收；逐卡逆位专属VFX与音效继续QA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选择一个枪身，将其挂到当前枪身上，副枪跟随射击</t>
        </is>
      </c>
      <c r="AC6" s="118" t="inlineStr">
        <is>
          <t>action=ATTACH_GUN_TO_GUN；damage_scale=0.5；fire_rate_scale=0.6；follow_probability=1</t>
        </is>
      </c>
      <c r="AD6" s="115" t="inlineStr">
        <is>
          <t>主副枪交替开火，单发更强但主枪变慢</t>
        </is>
      </c>
      <c r="AE6" s="115" t="inlineStr">
        <is>
          <t>action=ATTACH_GUN_TO_GUN; alternate_fire=true; damage_scale=0.85; main_fire_rate_scale=0.85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[设计完成/数据已入表/运行时待施工]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子弹飞出去时自动开枪</t>
        </is>
      </c>
      <c r="F12" s="91" t="inlineStr">
        <is>
          <t>选择一个子弹和一个枪身，该子弹将携带枪身并自动射击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action=ATTACH_GUN_TO_BULLET；damage_scale=0.45；fire_rate_scale=0.6；max_attached_gun=1</t>
        </is>
      </c>
      <c r="K12" s="91" t="inlineStr">
        <is>
          <t>门后命运/三选一/工作台共用卡池</t>
        </is>
      </c>
      <c r="L12" s="91" t="inlineStr">
        <is>
          <t>[已实装]</t>
        </is>
      </c>
      <c r="M12" s="91" t="inlineStr">
        <is>
          <t>[部分实装] 塔罗名称、正/逆位效果快照与通用执行已接入；复杂逆位专属行为继续逐卡QA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卡背绕Y轴翻面；逆位整张正面卡牌（含边框、图案、文字与布局）收束180°，并显示逆位效果描述；投射物上可见微型枪械或等价轮廓；派生开火有独立枪口焰且来源可追溯</t>
        </is>
      </c>
      <c r="U12" s="91" t="inlineStr">
        <is>
          <t>[部分实装] 通用卡背/翻牌/逆位倒置已验收；逐卡逆位专属VFX与音效继续QA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选择一个子弹和一个枪身，该子弹将携带枪身并自动射击</t>
        </is>
      </c>
      <c r="AC12" s="118" t="inlineStr">
        <is>
          <t>action=ATTACH_GUN_TO_BULLET；damage_scale=0.45；fire_rate_scale=0.6；max_attached_gun=1</t>
        </is>
      </c>
      <c r="AD12" s="115" t="inlineStr">
        <is>
          <t>携枪子弹只在命中时开一次高伤射击</t>
        </is>
      </c>
      <c r="AE12" s="115" t="inlineStr">
        <is>
          <t>action=ATTACH_GUN_TO_BULLET; trigger=ON_HIT; shots=1; damage_scale=0.75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[设计完成/数据已入表/运行时待施工]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伤害提升 50%，无视护盾</t>
        </is>
      </c>
      <c r="F13" s="91" t="inlineStr">
        <is>
          <t>选择一个节点，伤害提升 50%，无视护盾减伤效果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action=ADD_DAMAGE；damage_scale=1.5；pierce_shield=true</t>
        </is>
      </c>
      <c r="K13" s="91" t="inlineStr">
        <is>
          <t>门后命运/三选一/工作台共用卡池</t>
        </is>
      </c>
      <c r="L13" s="91" t="inlineStr">
        <is>
          <t>[已实装]</t>
        </is>
      </c>
      <c r="M13" s="91" t="inlineStr">
        <is>
          <t>[部分实装] 塔罗名称、正/逆位效果快照与通用执行已接入；复杂逆位专属行为继续逐卡QA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卡背绕Y轴翻面；逆位整张正面卡牌（含边框、图案、文字与布局）收束180°，并显示逆位效果描述；弹体使用贯穿线；护甲命中出现破盾裂纹与剩余穿透提示</t>
        </is>
      </c>
      <c r="U13" s="91" t="inlineStr">
        <is>
          <t>[部分实装] 通用卡背/翻牌/逆位倒置已验收；逐卡逆位专属VFX与音效继续QA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选择一个节点，伤害提升 50%，无视护盾减伤效果</t>
        </is>
      </c>
      <c r="AC13" s="118" t="inlineStr">
        <is>
          <t>action=ADD_DAMAGE；damage_scale=1.5；pierce_shield=true</t>
        </is>
      </c>
      <c r="AD13" s="115" t="inlineStr">
        <is>
          <t>伤害+15%，不穿盾但对护盾×2</t>
        </is>
      </c>
      <c r="AE13" s="115" t="inlineStr">
        <is>
          <t>action=ADD_DAMAGE; damage_scale=1.15; pierce_shield=false; shield_damage_scale=2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[设计完成/数据已入表/运行时待施工]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3" t="inlineStr">
        <is>
          <t>ShellStorm2 游戏内容数据库｜怪物与 Boss</t>
        </is>
      </c>
    </row>
    <row r="2" ht="30" customHeight="1" s="135">
      <c r="A2" s="7" t="inlineStr">
        <is>
          <t>数值采用Enemy3D.PROFILES正式3D基线；MonsterInjector旧2D基线仅换算楼层/主题倍率，不再作为玩家可见生命值。</t>
        </is>
      </c>
    </row>
    <row r="3" ht="30" customHeight="1" s="135">
      <c r="A3" s="7" t="inlineStr">
        <is>
          <t>字体颜色：绿色=已实装；蓝色=用户设计；橙色=Codex补充。实现状态需结合事实源判断。</t>
        </is>
      </c>
    </row>
    <row r="4" ht="36" customHeight="1" s="135">
      <c r="A4" s="13" t="inlineStr">
        <is>
          <t>内容ID</t>
        </is>
      </c>
      <c r="B4" s="13" t="inlineStr">
        <is>
          <t>名称</t>
        </is>
      </c>
      <c r="C4" s="13" t="inlineStr">
        <is>
          <t>原型</t>
        </is>
      </c>
      <c r="D4" s="13" t="inlineStr">
        <is>
          <t>HP</t>
        </is>
      </c>
      <c r="E4" s="13" t="inlineStr">
        <is>
          <t>速度m/s</t>
        </is>
      </c>
      <c r="F4" s="13" t="inlineStr">
        <is>
          <t>伤害</t>
        </is>
      </c>
      <c r="G4" s="13" t="inlineStr">
        <is>
          <t>攻击范围m</t>
        </is>
      </c>
      <c r="H4" s="13" t="inlineStr">
        <is>
          <t>冷却s</t>
        </is>
      </c>
      <c r="I4" s="13" t="inlineStr">
        <is>
          <t>技能/战术</t>
        </is>
      </c>
      <c r="J4" s="13" t="inlineStr">
        <is>
          <t>刷新位置</t>
        </is>
      </c>
      <c r="K4" s="13" t="inlineStr">
        <is>
          <t>掉落/进度</t>
        </is>
      </c>
      <c r="L4" s="13" t="inlineStr">
        <is>
          <t>状态来源</t>
        </is>
      </c>
      <c r="M4" s="13" t="inlineStr">
        <is>
          <t>实现状态</t>
        </is>
      </c>
      <c r="N4" s="13" t="inlineStr">
        <is>
          <t>事实源</t>
        </is>
      </c>
      <c r="O4" s="13" t="inlineStr">
        <is>
          <t>备注</t>
        </is>
      </c>
    </row>
    <row r="5" ht="54" customHeight="1" s="135">
      <c r="A5" s="17" t="inlineStr">
        <is>
          <t>monster_ambusher</t>
        </is>
      </c>
      <c r="B5" s="17" t="inlineStr">
        <is>
          <t>地刺虫</t>
        </is>
      </c>
      <c r="C5" s="17" t="inlineStr">
        <is>
          <t>ambusher</t>
        </is>
      </c>
      <c r="D5" s="17" t="n">
        <v>50</v>
      </c>
      <c r="E5" s="17" t="n">
        <v>4.65</v>
      </c>
      <c r="F5" s="17" t="n">
        <v>18</v>
      </c>
      <c r="G5" s="17" t="n">
        <v>2.15</v>
      </c>
      <c r="H5" s="17" t="n">
        <v>1.9</v>
      </c>
      <c r="I5" s="17" t="inlineStr">
        <is>
          <t>未触发时潜伏；揭示后高速突进；低矮轮廓</t>
        </is>
      </c>
      <c r="J5" s="17" t="inlineStr">
        <is>
          <t>深度2+及主题池；COMBAT/ELITE</t>
        </is>
      </c>
      <c r="K5" s="17" t="inlineStr">
        <is>
          <t>由房间/楼层掉落表决定</t>
        </is>
      </c>
      <c r="L5" s="18" t="inlineStr">
        <is>
          <t>[已实装]</t>
        </is>
      </c>
      <c r="M5" s="17" t="inlineStr">
        <is>
          <t>正式3D基础模板</t>
        </is>
      </c>
      <c r="N5" s="17" t="inlineStr">
        <is>
          <t>src/enemy3d/Enemy3D.gd；src/map/MonsterInjector.gd</t>
        </is>
      </c>
      <c r="O5" s="17" t="inlineStr">
        <is>
          <t>正式数值以Enemy3D.PROFILES为基线；旧2D基线仅用于倍率换算</t>
        </is>
      </c>
    </row>
    <row r="6" ht="54" customHeight="1" s="135">
      <c r="A6" s="17" t="inlineStr">
        <is>
          <t>monster_boss_generic</t>
        </is>
      </c>
      <c r="B6" s="17" t="inlineStr">
        <is>
          <t>Boss（通用模板）</t>
        </is>
      </c>
      <c r="C6" s="17" t="inlineStr">
        <is>
          <t>boss</t>
        </is>
      </c>
      <c r="D6" s="17" t="n">
        <v>520</v>
      </c>
      <c r="E6" s="17" t="n">
        <v>1.72</v>
      </c>
      <c r="F6" s="17" t="n">
        <v>24</v>
      </c>
      <c r="G6" s="17" t="n">
        <v>9.5</v>
      </c>
      <c r="H6" s="17" t="n">
        <v>1.45</v>
      </c>
      <c r="I6" s="17" t="inlineStr">
        <is>
          <t>阶段变化；1/3发爆炸弹幕；周期召唤2只；Boss HUD</t>
        </is>
      </c>
      <c r="J6" s="17" t="inlineStr">
        <is>
          <t>当前95层BOSS房；未来各Boss楼层</t>
        </is>
      </c>
      <c r="K6" s="17" t="inlineStr">
        <is>
          <t>boss_floor_*；Boss专用钥匙待接</t>
        </is>
      </c>
      <c r="L6" s="18" t="inlineStr">
        <is>
          <t>[已实装]</t>
        </is>
      </c>
      <c r="M6" s="17" t="inlineStr">
        <is>
          <t>正式3D通用Boss；独立楼层Boss内容待扩展</t>
        </is>
      </c>
      <c r="N6" s="17" t="inlineStr">
        <is>
          <t>src/enemy3d/Enemy3D.gd；src/map/MonsterInjector.gd</t>
        </is>
      </c>
      <c r="O6" s="17" t="inlineStr">
        <is>
          <t>正式数值以Enemy3D.PROFILES为基线；旧2D基线仅用于倍率换算</t>
        </is>
      </c>
    </row>
    <row r="7" ht="54" customHeight="1" s="135">
      <c r="A7" s="17" t="inlineStr">
        <is>
          <t>monster_exploder</t>
        </is>
      </c>
      <c r="B7" s="17" t="inlineStr">
        <is>
          <t>炸弹果</t>
        </is>
      </c>
      <c r="C7" s="17" t="inlineStr">
        <is>
          <t>exploder</t>
        </is>
      </c>
      <c r="D7" s="17" t="n">
        <v>42</v>
      </c>
      <c r="E7" s="17" t="n">
        <v>3.1</v>
      </c>
      <c r="F7" s="17" t="n">
        <v>30</v>
      </c>
      <c r="G7" s="17" t="n">
        <v>2.85</v>
      </c>
      <c r="H7" s="17" t="n">
        <v>3</v>
      </c>
      <c r="I7" s="17" t="inlineStr">
        <is>
          <t>接近目标后3m范围自爆；攻击后死亡</t>
        </is>
      </c>
      <c r="J7" s="17" t="inlineStr">
        <is>
          <t>浅层及全部战斗层；COMBAT/陷阱倾向/增援</t>
        </is>
      </c>
      <c r="K7" s="17" t="inlineStr">
        <is>
          <t>由房间/楼层掉落表决定</t>
        </is>
      </c>
      <c r="L7" s="18" t="inlineStr">
        <is>
          <t>[已实装]</t>
        </is>
      </c>
      <c r="M7" s="17" t="inlineStr">
        <is>
          <t>正式3D基础模板</t>
        </is>
      </c>
      <c r="N7" s="17" t="inlineStr">
        <is>
          <t>src/enemy3d/Enemy3D.gd；src/map/MonsterInjector.gd</t>
        </is>
      </c>
      <c r="O7" s="17" t="inlineStr">
        <is>
          <t>正式数值以Enemy3D.PROFILES为基线；旧2D基线仅用于倍率换算</t>
        </is>
      </c>
    </row>
    <row r="8" ht="54" customHeight="1" s="135">
      <c r="A8" s="17" t="inlineStr">
        <is>
          <t>monster_melee_chaser</t>
        </is>
      </c>
      <c r="B8" s="17" t="inlineStr">
        <is>
          <t>小菌猪</t>
        </is>
      </c>
      <c r="C8" s="17" t="inlineStr">
        <is>
          <t>melee_chaser</t>
        </is>
      </c>
      <c r="D8" s="17" t="n">
        <v>58</v>
      </c>
      <c r="E8" s="17" t="n">
        <v>3.7</v>
      </c>
      <c r="F8" s="17" t="n">
        <v>12</v>
      </c>
      <c r="G8" s="17" t="n">
        <v>1.9</v>
      </c>
      <c r="H8" s="17" t="n">
        <v>1.05</v>
      </c>
      <c r="I8" s="17" t="inlineStr">
        <is>
          <t>高速追击；近身突进；接触伤害</t>
        </is>
      </c>
      <c r="J8" s="17" t="inlineStr">
        <is>
          <t>浅层及全部战斗层；COMBAT/ELITE/撤离增援</t>
        </is>
      </c>
      <c r="K8" s="17" t="inlineStr">
        <is>
          <t>由房间/楼层掉落表决定</t>
        </is>
      </c>
      <c r="L8" s="18" t="inlineStr">
        <is>
          <t>[已实装]</t>
        </is>
      </c>
      <c r="M8" s="17" t="inlineStr">
        <is>
          <t>正式3D基础模板</t>
        </is>
      </c>
      <c r="N8" s="17" t="inlineStr">
        <is>
          <t>src/enemy3d/Enemy3D.gd；src/map/MonsterInjector.gd</t>
        </is>
      </c>
      <c r="O8" s="17" t="inlineStr">
        <is>
          <t>正式数值以Enemy3D.PROFILES为基线；旧2D基线仅用于倍率换算</t>
        </is>
      </c>
    </row>
    <row r="9" ht="54" customHeight="1" s="135">
      <c r="A9" s="17" t="inlineStr">
        <is>
          <t>monster_ranged_caster</t>
        </is>
      </c>
      <c r="B9" s="17" t="inlineStr">
        <is>
          <t>孢子射手</t>
        </is>
      </c>
      <c r="C9" s="17" t="inlineStr">
        <is>
          <t>ranged_caster</t>
        </is>
      </c>
      <c r="D9" s="17" t="n">
        <v>46</v>
      </c>
      <c r="E9" s="17" t="n">
        <v>2.25</v>
      </c>
      <c r="F9" s="17" t="n">
        <v>10</v>
      </c>
      <c r="G9" s="17" t="n">
        <v>8.800000000000001</v>
      </c>
      <c r="H9" s="17" t="n">
        <v>1.8</v>
      </c>
      <c r="I9" s="17" t="inlineStr">
        <is>
          <t>保持中距；三连散射弹幕；侧向走位</t>
        </is>
      </c>
      <c r="J9" s="17" t="inlineStr">
        <is>
          <t>浅层及全部战斗层；COMBAT/ELITE/撤离增援</t>
        </is>
      </c>
      <c r="K9" s="17" t="inlineStr">
        <is>
          <t>由房间/楼层掉落表决定</t>
        </is>
      </c>
      <c r="L9" s="18" t="inlineStr">
        <is>
          <t>[已实装]</t>
        </is>
      </c>
      <c r="M9" s="17" t="inlineStr">
        <is>
          <t>正式3D基础模板</t>
        </is>
      </c>
      <c r="N9" s="17" t="inlineStr">
        <is>
          <t>src/enemy3d/Enemy3D.gd；src/map/MonsterInjector.gd</t>
        </is>
      </c>
      <c r="O9" s="17" t="inlineStr">
        <is>
          <t>正式数值以Enemy3D.PROFILES为基线；旧2D基线仅用于倍率换算</t>
        </is>
      </c>
    </row>
    <row r="10" ht="54" customHeight="1" s="135">
      <c r="A10" s="17" t="inlineStr">
        <is>
          <t>monster_shielded</t>
        </is>
      </c>
      <c r="B10" s="17" t="inlineStr">
        <is>
          <t>壳甲卫兵</t>
        </is>
      </c>
      <c r="C10" s="17" t="inlineStr">
        <is>
          <t>shielded</t>
        </is>
      </c>
      <c r="D10" s="17" t="n">
        <v>112</v>
      </c>
      <c r="E10" s="17" t="n">
        <v>2</v>
      </c>
      <c r="F10" s="17" t="n">
        <v>17</v>
      </c>
      <c r="G10" s="17" t="n">
        <v>2.05</v>
      </c>
      <c r="H10" s="17" t="n">
        <v>1.55</v>
      </c>
      <c r="I10" s="17" t="inlineStr">
        <is>
          <t>正面减伤；15%正面完全格挡；穿甲可绕过护盾</t>
        </is>
      </c>
      <c r="J10" s="17" t="inlineStr">
        <is>
          <t>深度2+及主题池；COMBAT/ELITE/Boss护卫</t>
        </is>
      </c>
      <c r="K10" s="17" t="inlineStr">
        <is>
          <t>由房间/楼层掉落表决定</t>
        </is>
      </c>
      <c r="L10" s="18" t="inlineStr">
        <is>
          <t>[已实装]</t>
        </is>
      </c>
      <c r="M10" s="17" t="inlineStr">
        <is>
          <t>正式3D基础模板</t>
        </is>
      </c>
      <c r="N10" s="17" t="inlineStr">
        <is>
          <t>src/enemy3d/Enemy3D.gd；src/map/MonsterInjector.gd</t>
        </is>
      </c>
      <c r="O10" s="17" t="inlineStr">
        <is>
          <t>正式数值以Enemy3D.PROFILES为基线；旧2D基线仅用于倍率换算</t>
        </is>
      </c>
    </row>
    <row r="11" ht="54" customHeight="1" s="135">
      <c r="A11" s="17" t="inlineStr">
        <is>
          <t>monster_summoner</t>
        </is>
      </c>
      <c r="B11" s="17" t="inlineStr">
        <is>
          <t>蜂巢怪</t>
        </is>
      </c>
      <c r="C11" s="17" t="inlineStr">
        <is>
          <t>summoner</t>
        </is>
      </c>
      <c r="D11" s="17" t="n">
        <v>72</v>
      </c>
      <c r="E11" s="17" t="n">
        <v>1.65</v>
      </c>
      <c r="F11" s="17" t="n">
        <v>8</v>
      </c>
      <c r="G11" s="17" t="n">
        <v>7.2</v>
      </c>
      <c r="H11" s="17" t="n">
        <v>4.8</v>
      </c>
      <c r="I11" s="17" t="inlineStr">
        <is>
          <t>周期召唤1–2只；6.5m范围治疗友军；远距游走</t>
        </is>
      </c>
      <c r="J11" s="17" t="inlineStr">
        <is>
          <t>深度2+及主题池；COMBAT/ELITE</t>
        </is>
      </c>
      <c r="K11" s="17" t="inlineStr">
        <is>
          <t>由房间/楼层掉落表决定</t>
        </is>
      </c>
      <c r="L11" s="18" t="inlineStr">
        <is>
          <t>[已实装]</t>
        </is>
      </c>
      <c r="M11" s="17" t="inlineStr">
        <is>
          <t>正式3D基础模板</t>
        </is>
      </c>
      <c r="N11" s="17" t="inlineStr">
        <is>
          <t>src/enemy3d/Enemy3D.gd；src/map/MonsterInjector.gd</t>
        </is>
      </c>
      <c r="O11" s="17" t="inlineStr">
        <is>
          <t>正式数值以Enemy3D.PROFILES为基线；旧2D基线仅用于倍率换算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3" t="inlineStr">
        <is>
          <t>ShellStorm2 游戏内容数据库｜12只唯一精英</t>
        </is>
      </c>
    </row>
    <row r="2" ht="30" customHeight="1" s="135">
      <c r="A2" s="7" t="inlineStr">
        <is>
          <t>名册固定12只并由用户设计冻结。前2只来自现有兼容原型；其余10只名称与玩法为Codex补充，可由主设计者后续调整但不改变全局唯一规则。</t>
        </is>
      </c>
    </row>
    <row r="3" ht="30" customHeight="1" s="135">
      <c r="A3" s="7" t="inlineStr">
        <is>
          <t>字体颜色：绿色=已实装；蓝色=用户设计；橙色=Codex补充。实现状态需结合事实源判断。</t>
        </is>
      </c>
    </row>
    <row r="4" ht="36" customHeight="1" s="135">
      <c r="A4" s="13" t="inlineStr">
        <is>
          <t>稳定精英ID</t>
        </is>
      </c>
      <c r="B4" s="13" t="inlineStr">
        <is>
          <t>独立名字</t>
        </is>
      </c>
      <c r="C4" s="13" t="inlineStr">
        <is>
          <t>基础原型</t>
        </is>
      </c>
      <c r="D4" s="13" t="inlineStr">
        <is>
          <t>核心特殊玩法</t>
        </is>
      </c>
      <c r="E4" s="13" t="inlineStr">
        <is>
          <t>成长方向</t>
        </is>
      </c>
      <c r="F4" s="13" t="inlineStr">
        <is>
          <t>夺械转译</t>
        </is>
      </c>
      <c r="G4" s="13" t="inlineStr">
        <is>
          <t>刷新位置</t>
        </is>
      </c>
      <c r="H4" s="13" t="inlineStr">
        <is>
          <t>唯一约束</t>
        </is>
      </c>
      <c r="I4" s="13" t="inlineStr">
        <is>
          <t>档案重点</t>
        </is>
      </c>
      <c r="J4" s="13" t="inlineStr">
        <is>
          <t>奖励概念</t>
        </is>
      </c>
      <c r="K4" s="13" t="inlineStr">
        <is>
          <t>名册来源</t>
        </is>
      </c>
      <c r="L4" s="13" t="inlineStr">
        <is>
          <t>名称/玩法来源</t>
        </is>
      </c>
      <c r="M4" s="13" t="inlineStr">
        <is>
          <t>实现状态</t>
        </is>
      </c>
      <c r="N4" s="13" t="inlineStr">
        <is>
          <t>事实源</t>
        </is>
      </c>
      <c r="O4" s="13" t="inlineStr">
        <is>
          <t>备注</t>
        </is>
      </c>
    </row>
    <row r="5" ht="54" customHeight="1" s="135">
      <c r="A5" s="17" t="inlineStr">
        <is>
          <t>elite_rift_boar_armed</t>
        </is>
      </c>
      <c r="B5" s="17" t="inlineStr">
        <is>
          <t>背枪的裂口爬虫</t>
        </is>
      </c>
      <c r="C5" s="17" t="inlineStr">
        <is>
          <t>小菌猪</t>
        </is>
      </c>
      <c r="D5" s="17" t="inlineStr">
        <is>
          <t>携带被夺取枪身，突进间隙自动射击</t>
        </is>
      </c>
      <c r="E5" s="17" t="inlineStr">
        <is>
          <t>逃脱提升生命并增加副枪射击频率</t>
        </is>
      </c>
      <c r="F5" s="17" t="inlineStr">
        <is>
          <t>枪身→跟随射击技能</t>
        </is>
      </c>
      <c r="G5" s="17" t="inlineStr">
        <is>
          <t>COMBAT/ELITE；符合层级后随机</t>
        </is>
      </c>
      <c r="H5" s="21" t="inlineStr">
        <is>
          <t>同ID全局单例；预约后才可实例化</t>
        </is>
      </c>
      <c r="I5" s="17" t="inlineStr">
        <is>
          <t>首次夺枪、逃脱次数、复仇阶段</t>
        </is>
      </c>
      <c r="J5" s="17" t="inlineStr">
        <is>
          <t>枪械模块/悬赏资源</t>
        </is>
      </c>
      <c r="K5" s="20" t="inlineStr">
        <is>
          <t>[用户设计]</t>
        </is>
      </c>
      <c r="L5" s="18" t="inlineStr">
        <is>
          <t>[已实装]</t>
        </is>
      </c>
      <c r="M5" s="17" t="inlineStr">
        <is>
          <t>兼容精英原型；未接正式3D</t>
        </is>
      </c>
      <c r="N5" s="17" t="inlineStr">
        <is>
          <t>src/game/EliteArchiveModule.gd</t>
        </is>
      </c>
      <c r="O5" s="17" t="inlineStr">
        <is>
          <t>原型名称与成长记录保留</t>
        </is>
      </c>
    </row>
    <row r="6" ht="54" customHeight="1" s="135">
      <c r="A6" s="17" t="inlineStr">
        <is>
          <t>elite_spore_devourer</t>
        </is>
      </c>
      <c r="B6" s="17" t="inlineStr">
        <is>
          <t>吞弹者·孢子射手</t>
        </is>
      </c>
      <c r="C6" s="17" t="inlineStr">
        <is>
          <t>孢子射手</t>
        </is>
      </c>
      <c r="D6" s="17" t="inlineStr">
        <is>
          <t>吸收特定投射物并转为反击弹幕</t>
        </is>
      </c>
      <c r="E6" s="17" t="inlineStr">
        <is>
          <t>每次逃脱提高吸收容量和反击弹数</t>
        </is>
      </c>
      <c r="F6" s="17" t="inlineStr">
        <is>
          <t>子弹模块→敌方弹道/状态技能</t>
        </is>
      </c>
      <c r="G6" s="17" t="inlineStr">
        <is>
          <t>COMBAT/ELITE；中深层权重提高</t>
        </is>
      </c>
      <c r="H6" s="21" t="inlineStr">
        <is>
          <t>同ID全局单例；预约后才可实例化</t>
        </is>
      </c>
      <c r="I6" s="17" t="inlineStr">
        <is>
          <t>吞弹种类、反击记录、成长等级</t>
        </is>
      </c>
      <c r="J6" s="17" t="inlineStr">
        <is>
          <t>子弹模块/悬赏资源</t>
        </is>
      </c>
      <c r="K6" s="20" t="inlineStr">
        <is>
          <t>[用户设计]</t>
        </is>
      </c>
      <c r="L6" s="18" t="inlineStr">
        <is>
          <t>[已实装]</t>
        </is>
      </c>
      <c r="M6" s="17" t="inlineStr">
        <is>
          <t>兼容精英原型；未接正式3D</t>
        </is>
      </c>
      <c r="N6" s="17" t="inlineStr">
        <is>
          <t>src/game/EliteArchiveModule.gd</t>
        </is>
      </c>
      <c r="O6" s="17" t="inlineStr">
        <is>
          <t>原型能力需适配Projectile3D</t>
        </is>
      </c>
    </row>
    <row r="7" ht="54" customHeight="1" s="135">
      <c r="A7" s="17" t="inlineStr">
        <is>
          <t>elite_iron_carapace</t>
        </is>
      </c>
      <c r="B7" s="17" t="inlineStr">
        <is>
          <t>铁壁·壳甲统领</t>
        </is>
      </c>
      <c r="C7" s="17" t="inlineStr">
        <is>
          <t>壳甲卫兵</t>
        </is>
      </c>
      <c r="D7" s="17" t="inlineStr">
        <is>
          <t>旋转护甲面控制可攻击窗口，受击后反冲</t>
        </is>
      </c>
      <c r="E7" s="17" t="inlineStr">
        <is>
          <t>成长后增加护甲面并缩短转向间隔</t>
        </is>
      </c>
      <c r="F7" s="17" t="inlineStr">
        <is>
          <t>枪托/弹匣→格挡反击与耐久技能</t>
        </is>
      </c>
      <c r="G7" s="17" t="inlineStr">
        <is>
          <t>ELITE；中层后</t>
        </is>
      </c>
      <c r="H7" s="21" t="inlineStr">
        <is>
          <t>同ID全局单例；预约后才可实例化</t>
        </is>
      </c>
      <c r="I7" s="17" t="inlineStr">
        <is>
          <t>破盾次数、反击命中、当前护甲</t>
        </is>
      </c>
      <c r="J7" s="17" t="inlineStr">
        <is>
          <t>护甲配件/高价壳片</t>
        </is>
      </c>
      <c r="K7" s="20" t="inlineStr">
        <is>
          <t>[用户设计]</t>
        </is>
      </c>
      <c r="L7" s="19" t="inlineStr">
        <is>
          <t>[Codex补充]</t>
        </is>
      </c>
      <c r="M7" s="17" t="inlineStr">
        <is>
          <t>设计完成；未实装</t>
        </is>
      </c>
      <c r="N7" s="17" t="inlineStr">
        <is>
          <t>游戏内容数据库</t>
        </is>
      </c>
      <c r="O7" s="17" t="inlineStr">
        <is>
          <t>强调绕后与穿甲价值</t>
        </is>
      </c>
    </row>
    <row r="8" ht="54" customHeight="1" s="135">
      <c r="A8" s="17" t="inlineStr">
        <is>
          <t>elite_ninth_hive_queen</t>
        </is>
      </c>
      <c r="B8" s="17" t="inlineStr">
        <is>
          <t>蜂后“第九巢”</t>
        </is>
      </c>
      <c r="C8" s="17" t="inlineStr">
        <is>
          <t>蜂巢怪</t>
        </is>
      </c>
      <c r="D8" s="17" t="inlineStr">
        <is>
          <t>建立蜂巢网络，存活节点为本体转移伤害</t>
        </is>
      </c>
      <c r="E8" s="17" t="inlineStr">
        <is>
          <t>成长后增加巢数并强化节点协同</t>
        </is>
      </c>
      <c r="F8" s="17" t="inlineStr">
        <is>
          <t>配件→召唤物共享修饰</t>
        </is>
      </c>
      <c r="G8" s="17" t="inlineStr">
        <is>
          <t>ELITE/大型支路；中深层</t>
        </is>
      </c>
      <c r="H8" s="21" t="inlineStr">
        <is>
          <t>同ID全局单例；预约后才可实例化</t>
        </is>
      </c>
      <c r="I8" s="17" t="inlineStr">
        <is>
          <t>存活巢数、召唤谱系、逃脱路线</t>
        </is>
      </c>
      <c r="J8" s="17" t="inlineStr">
        <is>
          <t>蜂巢核心/召唤系模块</t>
        </is>
      </c>
      <c r="K8" s="20" t="inlineStr">
        <is>
          <t>[用户设计]</t>
        </is>
      </c>
      <c r="L8" s="19" t="inlineStr">
        <is>
          <t>[Codex补充]</t>
        </is>
      </c>
      <c r="M8" s="17" t="inlineStr">
        <is>
          <t>设计完成；未实装</t>
        </is>
      </c>
      <c r="N8" s="17" t="inlineStr">
        <is>
          <t>游戏内容数据库</t>
        </is>
      </c>
      <c r="O8" s="17" t="inlineStr">
        <is>
          <t>先清节点还是集火本体的战术选择</t>
        </is>
      </c>
    </row>
    <row r="9" ht="54" customHeight="1" s="135">
      <c r="A9" s="17" t="inlineStr">
        <is>
          <t>elite_emberfruit</t>
        </is>
      </c>
      <c r="B9" s="17" t="inlineStr">
        <is>
          <t>焦雷果·余烬</t>
        </is>
      </c>
      <c r="C9" s="17" t="inlineStr">
        <is>
          <t>炸弹果</t>
        </is>
      </c>
      <c r="D9" s="17" t="inlineStr">
        <is>
          <t>投放可再生爆雷种子，本体不会首次爆炸即死亡</t>
        </is>
      </c>
      <c r="E9" s="17" t="inlineStr">
        <is>
          <t>成长后种子可连锁并留下燃烧区</t>
        </is>
      </c>
      <c r="F9" s="17" t="inlineStr">
        <is>
          <t>爆炸子弹→地雷/燃烧区技能</t>
        </is>
      </c>
      <c r="G9" s="17" t="inlineStr">
        <is>
          <t>TRAP/ELITE；深度2+</t>
        </is>
      </c>
      <c r="H9" s="21" t="inlineStr">
        <is>
          <t>同ID全局单例；预约后才可实例化</t>
        </is>
      </c>
      <c r="I9" s="17" t="inlineStr">
        <is>
          <t>种子批次、连锁次数、重生次数</t>
        </is>
      </c>
      <c r="J9" s="17" t="inlineStr">
        <is>
          <t>爆炸模块/余烬核</t>
        </is>
      </c>
      <c r="K9" s="20" t="inlineStr">
        <is>
          <t>[用户设计]</t>
        </is>
      </c>
      <c r="L9" s="19" t="inlineStr">
        <is>
          <t>[Codex补充]</t>
        </is>
      </c>
      <c r="M9" s="17" t="inlineStr">
        <is>
          <t>设计完成；未实装</t>
        </is>
      </c>
      <c r="N9" s="17" t="inlineStr">
        <is>
          <t>游戏内容数据库</t>
        </is>
      </c>
      <c r="O9" s="17" t="inlineStr">
        <is>
          <t>保留自爆怪识别但形成持续战斗</t>
        </is>
      </c>
    </row>
    <row r="10" ht="54" customHeight="1" s="135">
      <c r="A10" s="17" t="inlineStr">
        <is>
          <t>elite_blackneedle</t>
        </is>
      </c>
      <c r="B10" s="17" t="inlineStr">
        <is>
          <t>缝行者“黑针”</t>
        </is>
      </c>
      <c r="C10" s="17" t="inlineStr">
        <is>
          <t>地刺虫</t>
        </is>
      </c>
      <c r="D10" s="17" t="inlineStr">
        <is>
          <t>沿地面标记潜行线路，从玩家盲区连续穿刺</t>
        </is>
      </c>
      <c r="E10" s="17" t="inlineStr">
        <is>
          <t>成长后假路线增多并获得第二次突袭</t>
        </is>
      </c>
      <c r="F10" s="17" t="inlineStr">
        <is>
          <t>穿甲子弹/瞄具→直线穿刺与锁定</t>
        </is>
      </c>
      <c r="G10" s="17" t="inlineStr">
        <is>
          <t>COMBAT/ELITE；狭长房/深层</t>
        </is>
      </c>
      <c r="H10" s="21" t="inlineStr">
        <is>
          <t>同ID全局单例；预约后才可实例化</t>
        </is>
      </c>
      <c r="I10" s="17" t="inlineStr">
        <is>
          <t>潜行路线、揭示次数、命中角度</t>
        </is>
      </c>
      <c r="J10" s="17" t="inlineStr">
        <is>
          <t>穿甲模块/黑针</t>
        </is>
      </c>
      <c r="K10" s="20" t="inlineStr">
        <is>
          <t>[用户设计]</t>
        </is>
      </c>
      <c r="L10" s="19" t="inlineStr">
        <is>
          <t>[Codex补充]</t>
        </is>
      </c>
      <c r="M10" s="17" t="inlineStr">
        <is>
          <t>设计完成；未实装</t>
        </is>
      </c>
      <c r="N10" s="17" t="inlineStr">
        <is>
          <t>游戏内容数据库</t>
        </is>
      </c>
      <c r="O10" s="17" t="inlineStr">
        <is>
          <t>要求地面预警清楚，不做无提示伤害</t>
        </is>
      </c>
    </row>
    <row r="11" ht="54" customHeight="1" s="135">
      <c r="A11" s="17" t="inlineStr">
        <is>
          <t>elite_mirror_shell</t>
        </is>
      </c>
      <c r="B11" s="17" t="inlineStr">
        <is>
          <t>反射者·镜壳</t>
        </is>
      </c>
      <c r="C11" s="17" t="inlineStr">
        <is>
          <t>壳甲卫兵</t>
        </is>
      </c>
      <c r="D11" s="17" t="inlineStr">
        <is>
          <t>周期展开镜面扇区，反射正面投射物</t>
        </is>
      </c>
      <c r="E11" s="17" t="inlineStr">
        <is>
          <t>成长后扇区扩大但保留可读空隙</t>
        </is>
      </c>
      <c r="F11" s="17" t="inlineStr">
        <is>
          <t>弹跳子弹/瞄具→定向反射与弱点窗口</t>
        </is>
      </c>
      <c r="G11" s="17" t="inlineStr">
        <is>
          <t>ELITE；中深层</t>
        </is>
      </c>
      <c r="H11" s="21" t="inlineStr">
        <is>
          <t>同ID全局单例；预约后才可实例化</t>
        </is>
      </c>
      <c r="I11" s="17" t="inlineStr">
        <is>
          <t>反射弹种、弱点击破、镜面阶段</t>
        </is>
      </c>
      <c r="J11" s="17" t="inlineStr">
        <is>
          <t>反射配件/镜壳碎片</t>
        </is>
      </c>
      <c r="K11" s="20" t="inlineStr">
        <is>
          <t>[用户设计]</t>
        </is>
      </c>
      <c r="L11" s="19" t="inlineStr">
        <is>
          <t>[Codex补充]</t>
        </is>
      </c>
      <c r="M11" s="17" t="inlineStr">
        <is>
          <t>设计完成；未实装</t>
        </is>
      </c>
      <c r="N11" s="17" t="inlineStr">
        <is>
          <t>游戏内容数据库</t>
        </is>
      </c>
      <c r="O11" s="17" t="inlineStr">
        <is>
          <t>避免全向反弹导致不可解</t>
        </is>
      </c>
    </row>
    <row r="12" ht="54" customHeight="1" s="135">
      <c r="A12" s="17" t="inlineStr">
        <is>
          <t>elite_arms_taker</t>
        </is>
      </c>
      <c r="B12" s="17" t="inlineStr">
        <is>
          <t>夺械者“收租人”</t>
        </is>
      </c>
      <c r="C12" s="17" t="inlineStr">
        <is>
          <t>小菌猪/孢子射手混合</t>
        </is>
      </c>
      <c r="D12" s="17" t="inlineStr">
        <is>
          <t>遭遇中扫描玩家主枪并切换近战/远程阶段</t>
        </is>
      </c>
      <c r="E12" s="17" t="inlineStr">
        <is>
          <t>逃脱后永久保留一次完整枪身转译</t>
        </is>
      </c>
      <c r="F12" s="17" t="inlineStr">
        <is>
          <t>枪身→阶段主技能；配件→副技能</t>
        </is>
      </c>
      <c r="G12" s="17" t="inlineStr">
        <is>
          <t>ELITE；任意深度低概率</t>
        </is>
      </c>
      <c r="H12" s="21" t="inlineStr">
        <is>
          <t>同ID全局单例；预约后才可实例化</t>
        </is>
      </c>
      <c r="I12" s="17" t="inlineStr">
        <is>
          <t>夺械清单、阶段偏好、玩家克制记录</t>
        </is>
      </c>
      <c r="J12" s="17" t="inlineStr">
        <is>
          <t>被夺枪械蓝图/高额悬赏</t>
        </is>
      </c>
      <c r="K12" s="20" t="inlineStr">
        <is>
          <t>[用户设计]</t>
        </is>
      </c>
      <c r="L12" s="19" t="inlineStr">
        <is>
          <t>[Codex补充]</t>
        </is>
      </c>
      <c r="M12" s="17" t="inlineStr">
        <is>
          <t>设计完成；未实装</t>
        </is>
      </c>
      <c r="N12" s="17" t="inlineStr">
        <is>
          <t>游戏内容数据库</t>
        </is>
      </c>
      <c r="O12" s="17" t="inlineStr">
        <is>
          <t>最直接体现精英夺取玩家枪械</t>
        </is>
      </c>
    </row>
    <row r="13" ht="54" customHeight="1" s="135">
      <c r="A13" s="17" t="inlineStr">
        <is>
          <t>elite_seven_signs</t>
        </is>
      </c>
      <c r="B13" s="17" t="inlineStr">
        <is>
          <t>命运残响“七签”</t>
        </is>
      </c>
      <c r="C13" s="17" t="inlineStr">
        <is>
          <t>孢子射手</t>
        </is>
      </c>
      <c r="D13" s="17" t="inlineStr">
        <is>
          <t>每七次攻击切换一条公开命运规则</t>
        </is>
      </c>
      <c r="E13" s="17" t="inlineStr">
        <is>
          <t>成长后规则组合从一条增至两条</t>
        </is>
      </c>
      <c r="F13" s="17" t="inlineStr">
        <is>
          <t>命运卡→受预算约束的敌方规则</t>
        </is>
      </c>
      <c r="G13" s="17" t="inlineStr">
        <is>
          <t>EVENT/ELITE；命运卡使用后权重提高</t>
        </is>
      </c>
      <c r="H13" s="21" t="inlineStr">
        <is>
          <t>同ID全局单例；预约后才可实例化</t>
        </is>
      </c>
      <c r="I13" s="17" t="inlineStr">
        <is>
          <t>已见规则、卡片残响、七签序列</t>
        </is>
      </c>
      <c r="J13" s="17" t="inlineStr">
        <is>
          <t>命运残片/稀有卡机会</t>
        </is>
      </c>
      <c r="K13" s="20" t="inlineStr">
        <is>
          <t>[用户设计]</t>
        </is>
      </c>
      <c r="L13" s="19" t="inlineStr">
        <is>
          <t>[Codex补充]</t>
        </is>
      </c>
      <c r="M13" s="17" t="inlineStr">
        <is>
          <t>设计完成；未实装</t>
        </is>
      </c>
      <c r="N13" s="17" t="inlineStr">
        <is>
          <t>游戏内容数据库</t>
        </is>
      </c>
      <c r="O13" s="17" t="inlineStr">
        <is>
          <t>规则必须在HUD和场景同时预告</t>
        </is>
      </c>
    </row>
    <row r="14" ht="54" customHeight="1" s="135">
      <c r="A14" s="17" t="inlineStr">
        <is>
          <t>elite_echo_brood</t>
        </is>
      </c>
      <c r="B14" s="17" t="inlineStr">
        <is>
          <t>寄生母体“回声”</t>
        </is>
      </c>
      <c r="C14" s="17" t="inlineStr">
        <is>
          <t>蜂巢怪</t>
        </is>
      </c>
      <c r="D14" s="17" t="inlineStr">
        <is>
          <t>召唤物复制玩家最近使用的一个配件行为</t>
        </is>
      </c>
      <c r="E14" s="17" t="inlineStr">
        <is>
          <t>成长后可维持两种回声但降低单体强度</t>
        </is>
      </c>
      <c r="F14" s="17" t="inlineStr">
        <is>
          <t>配件→召唤物修饰模板</t>
        </is>
      </c>
      <c r="G14" s="17" t="inlineStr">
        <is>
          <t>ELITE/巢穴主题；深度2+</t>
        </is>
      </c>
      <c r="H14" s="21" t="inlineStr">
        <is>
          <t>同ID全局单例；预约后才可实例化</t>
        </is>
      </c>
      <c r="I14" s="17" t="inlineStr">
        <is>
          <t>复制配件、召唤代次、母体伤势</t>
        </is>
      </c>
      <c r="J14" s="17" t="inlineStr">
        <is>
          <t>寄生样本/配件</t>
        </is>
      </c>
      <c r="K14" s="20" t="inlineStr">
        <is>
          <t>[用户设计]</t>
        </is>
      </c>
      <c r="L14" s="19" t="inlineStr">
        <is>
          <t>[Codex补充]</t>
        </is>
      </c>
      <c r="M14" s="17" t="inlineStr">
        <is>
          <t>设计完成；未实装</t>
        </is>
      </c>
      <c r="N14" s="17" t="inlineStr">
        <is>
          <t>游戏内容数据库</t>
        </is>
      </c>
      <c r="O14" s="17" t="inlineStr">
        <is>
          <t>复制行为而非直接复制玩家DPS</t>
        </is>
      </c>
    </row>
    <row r="15" ht="54" customHeight="1" s="135">
      <c r="A15" s="17" t="inlineStr">
        <is>
          <t>elite_returning_king</t>
        </is>
      </c>
      <c r="B15" s="17" t="inlineStr">
        <is>
          <t>逃亡王“折返者”</t>
        </is>
      </c>
      <c r="C15" s="17" t="inlineStr">
        <is>
          <t>地刺虫</t>
        </is>
      </c>
      <c r="D15" s="17" t="inlineStr">
        <is>
          <t>低生命触发一次公开撤退路线，阻止其离开可获额外奖励</t>
        </is>
      </c>
      <c r="E15" s="17" t="inlineStr">
        <is>
          <t>每次成功逃脱增加新折返段和伏击次数</t>
        </is>
      </c>
      <c r="F15" s="17" t="inlineStr">
        <is>
          <t>回旋/返航子弹→折返突袭技能</t>
        </is>
      </c>
      <c r="G15" s="17" t="inlineStr">
        <is>
          <t>COMBAT/ELITE；有双出口房间</t>
        </is>
      </c>
      <c r="H15" s="21" t="inlineStr">
        <is>
          <t>同ID全局单例；预约后才可实例化</t>
        </is>
      </c>
      <c r="I15" s="17" t="inlineStr">
        <is>
          <t>逃脱次数、追击失败、路线记忆</t>
        </is>
      </c>
      <c r="J15" s="17" t="inlineStr">
        <is>
          <t>逃亡悬赏/返航模块</t>
        </is>
      </c>
      <c r="K15" s="20" t="inlineStr">
        <is>
          <t>[用户设计]</t>
        </is>
      </c>
      <c r="L15" s="19" t="inlineStr">
        <is>
          <t>[Codex补充]</t>
        </is>
      </c>
      <c r="M15" s="17" t="inlineStr">
        <is>
          <t>设计完成；未实装</t>
        </is>
      </c>
      <c r="N15" s="17" t="inlineStr">
        <is>
          <t>游戏内容数据库</t>
        </is>
      </c>
      <c r="O15" s="17" t="inlineStr">
        <is>
          <t>把逃脱成长变成可读追击目标</t>
        </is>
      </c>
    </row>
    <row r="16" ht="54" customHeight="1" s="135">
      <c r="A16" s="17" t="inlineStr">
        <is>
          <t>elite_nameless_crown</t>
        </is>
      </c>
      <c r="B16" s="17" t="inlineStr">
        <is>
          <t>准首领“无名王冠”</t>
        </is>
      </c>
      <c r="C16" s="17" t="inlineStr">
        <is>
          <t>Boss轻量模板</t>
        </is>
      </c>
      <c r="D16" s="17" t="inlineStr">
        <is>
          <t>根据玩家已遭遇精英数量轮换三种战术冠位</t>
        </is>
      </c>
      <c r="E16" s="17" t="inlineStr">
        <is>
          <t>成长受整个精英档案推进，接近区域Boss</t>
        </is>
      </c>
      <c r="F16" s="17" t="inlineStr">
        <is>
          <t>完整装配快照→三阶段技能组</t>
        </is>
      </c>
      <c r="G16" s="17" t="inlineStr">
        <is>
          <t>Boss前ELITE/特殊悬赏房；深层</t>
        </is>
      </c>
      <c r="H16" s="21" t="inlineStr">
        <is>
          <t>同ID全局单例；预约后才可实例化</t>
        </is>
      </c>
      <c r="I16" s="17" t="inlineStr">
        <is>
          <t>冠位阶段、遭遇名册、夺取装配</t>
        </is>
      </c>
      <c r="J16" s="17" t="inlineStr">
        <is>
          <t>王冠核心/阶段级奖励</t>
        </is>
      </c>
      <c r="K16" s="20" t="inlineStr">
        <is>
          <t>[用户设计]</t>
        </is>
      </c>
      <c r="L16" s="19" t="inlineStr">
        <is>
          <t>[Codex补充]</t>
        </is>
      </c>
      <c r="M16" s="17" t="inlineStr">
        <is>
          <t>设计完成；未实装</t>
        </is>
      </c>
      <c r="N16" s="17" t="inlineStr">
        <is>
          <t>游戏内容数据库</t>
        </is>
      </c>
      <c r="O16" s="17" t="inlineStr">
        <is>
          <t>12只名册的长期阶段终点之一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3" t="inlineStr">
        <is>
          <t>ShellStorm2 游戏内容数据库｜掉落物品</t>
        </is>
      </c>
    </row>
    <row r="2" ht="30" customHeight="1" s="135">
      <c r="A2" s="7" t="inlineStr">
        <is>
          <t>导入ItemRegistry当前35条正式记录与新增6条手电筒电量契约条目(Boss下行专用钥匙、3类电池、3档手电筒模块)，共42条；价格0不自动代表免费，进度物不进入普通商店。</t>
        </is>
      </c>
    </row>
    <row r="3" ht="30" customHeight="1" s="135">
      <c r="A3" s="7" t="inlineStr">
        <is>
          <t>字体颜色：绿色=已实装；蓝色=用户设计；橙色=Codex补充。实现状态需结合事实源判断。</t>
        </is>
      </c>
    </row>
    <row r="4" ht="36" customHeight="1" s="135">
      <c r="A4" s="13" t="inlineStr">
        <is>
          <t>物品ID</t>
        </is>
      </c>
      <c r="B4" s="13" t="inlineStr">
        <is>
          <t>名称</t>
        </is>
      </c>
      <c r="C4" s="13" t="inlineStr">
        <is>
          <t>种类</t>
        </is>
      </c>
      <c r="D4" s="13" t="inlineStr">
        <is>
          <t>子类</t>
        </is>
      </c>
      <c r="E4" s="13" t="inlineStr">
        <is>
          <t>稀有度</t>
        </is>
      </c>
      <c r="F4" s="13" t="inlineStr">
        <is>
          <t>价格</t>
        </is>
      </c>
      <c r="G4" s="13" t="inlineStr">
        <is>
          <t>堆叠</t>
        </is>
      </c>
      <c r="H4" s="13" t="inlineStr">
        <is>
          <t>使用动作</t>
        </is>
      </c>
      <c r="I4" s="13" t="inlineStr">
        <is>
          <t>功能描述</t>
        </is>
      </c>
      <c r="J4" s="13" t="inlineStr">
        <is>
          <t>产出位置/权重</t>
        </is>
      </c>
      <c r="K4" s="13" t="inlineStr">
        <is>
          <t>商人Tier</t>
        </is>
      </c>
      <c r="L4" s="13" t="inlineStr">
        <is>
          <t>状态来源</t>
        </is>
      </c>
      <c r="M4" s="13" t="inlineStr">
        <is>
          <t>实现状态</t>
        </is>
      </c>
      <c r="N4" s="13" t="inlineStr">
        <is>
          <t>事实源</t>
        </is>
      </c>
      <c r="O4" s="13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" t="inlineStr">
        <is>
          <t>attach_big_mag</t>
        </is>
      </c>
      <c r="B5" s="17" t="inlineStr">
        <is>
          <t>肉质弹匣</t>
        </is>
      </c>
      <c r="C5" s="17" t="inlineStr">
        <is>
          <t>attachment</t>
        </is>
      </c>
      <c r="D5" s="17" t="inlineStr">
        <is>
          <t>magazine</t>
        </is>
      </c>
      <c r="E5" s="17" t="inlineStr">
        <is>
          <t>uncommon</t>
        </is>
      </c>
      <c r="F5" s="17" t="n">
        <v>80</v>
      </c>
      <c r="G5" s="17" t="n">
        <v>5</v>
      </c>
      <c r="H5" s="17" t="str"/>
      <c r="I5" s="17" t="str"/>
      <c r="J5" s="17" t="inlineStr">
        <is>
          <t>combat_floor_1×2.5；combat_floor_2×3；loot_abyss×2；loot_floor_3_4×2；loot_floor_5×2.5；scavenge_floor_3×2；scavenge_floor_4×2.5；scavenge_floor_5×2</t>
        </is>
      </c>
      <c r="K5" s="17" t="n">
        <v>1</v>
      </c>
      <c r="L5" s="18" t="inlineStr">
        <is>
          <t>[已实装]</t>
        </is>
      </c>
      <c r="M5" s="17" t="inlineStr">
        <is>
          <t>已注册；具体掉落概率按同池权重计算</t>
        </is>
      </c>
      <c r="N5" s="17" t="inlineStr">
        <is>
          <t>src/base/ItemRegistry.gd</t>
        </is>
      </c>
      <c r="O5" s="1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" t="inlineStr">
        <is>
          <t>attach_copy_sticker</t>
        </is>
      </c>
      <c r="B6" s="17" t="inlineStr">
        <is>
          <t>复制贴纸</t>
        </is>
      </c>
      <c r="C6" s="17" t="inlineStr">
        <is>
          <t>attachment</t>
        </is>
      </c>
      <c r="D6" s="17" t="inlineStr">
        <is>
          <t>mutator</t>
        </is>
      </c>
      <c r="E6" s="17" t="inlineStr">
        <is>
          <t>epic</t>
        </is>
      </c>
      <c r="F6" s="17" t="n">
        <v>200</v>
      </c>
      <c r="G6" s="17" t="n">
        <v>3</v>
      </c>
      <c r="H6" s="17" t="str"/>
      <c r="I6" s="17" t="str"/>
      <c r="J6" s="17" t="inlineStr">
        <is>
          <t>boss_floor_1×3；boss_floor_2×4；combat_floor_3×1；combat_floor_4×1.5；combat_floor_5×2；loot_abyss×2；scavenge_floor_4×2；scavenge_floor_5×3</t>
        </is>
      </c>
      <c r="K6" s="17" t="n">
        <v>3</v>
      </c>
      <c r="L6" s="18" t="inlineStr">
        <is>
          <t>[已实装]</t>
        </is>
      </c>
      <c r="M6" s="17" t="inlineStr">
        <is>
          <t>已注册；具体掉落概率按同池权重计算</t>
        </is>
      </c>
      <c r="N6" s="17" t="inlineStr">
        <is>
          <t>src/base/ItemRegistry.gd</t>
        </is>
      </c>
      <c r="O6" s="1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" t="inlineStr">
        <is>
          <t>attach_fan</t>
        </is>
      </c>
      <c r="B7" s="17" t="inlineStr">
        <is>
          <t>小风扇</t>
        </is>
      </c>
      <c r="C7" s="17" t="inlineStr">
        <is>
          <t>attachment</t>
        </is>
      </c>
      <c r="D7" s="17" t="inlineStr">
        <is>
          <t>external</t>
        </is>
      </c>
      <c r="E7" s="17" t="inlineStr">
        <is>
          <t>epic</t>
        </is>
      </c>
      <c r="F7" s="17" t="n">
        <v>150</v>
      </c>
      <c r="G7" s="17" t="n">
        <v>3</v>
      </c>
      <c r="H7" s="17" t="str"/>
      <c r="I7" s="17" t="str"/>
      <c r="J7" s="17" t="inlineStr">
        <is>
          <t>boss_floor_1×3；combat_floor_3×1.5；combat_floor_4×2；combat_floor_5×2.5；loot_abyss×2.5；loot_floor_5×2；scavenge_floor_4×2；scavenge_floor_5×2.5</t>
        </is>
      </c>
      <c r="K7" s="17" t="n">
        <v>3</v>
      </c>
      <c r="L7" s="18" t="inlineStr">
        <is>
          <t>[已实装]</t>
        </is>
      </c>
      <c r="M7" s="17" t="inlineStr">
        <is>
          <t>已注册；具体掉落概率按同池权重计算</t>
        </is>
      </c>
      <c r="N7" s="17" t="inlineStr">
        <is>
          <t>src/base/ItemRegistry.gd</t>
        </is>
      </c>
      <c r="O7" s="1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" t="inlineStr">
        <is>
          <t>attach_rubber_stock</t>
        </is>
      </c>
      <c r="B8" s="17" t="inlineStr">
        <is>
          <t>橡皮枪托</t>
        </is>
      </c>
      <c r="C8" s="17" t="inlineStr">
        <is>
          <t>attachment</t>
        </is>
      </c>
      <c r="D8" s="17" t="inlineStr">
        <is>
          <t>stock</t>
        </is>
      </c>
      <c r="E8" s="17" t="inlineStr">
        <is>
          <t>common</t>
        </is>
      </c>
      <c r="F8" s="17" t="n">
        <v>45</v>
      </c>
      <c r="G8" s="17" t="n">
        <v>5</v>
      </c>
      <c r="H8" s="17" t="str"/>
      <c r="I8" s="17" t="str"/>
      <c r="J8" s="1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" t="n">
        <v>0</v>
      </c>
      <c r="L8" s="18" t="inlineStr">
        <is>
          <t>[已实装]</t>
        </is>
      </c>
      <c r="M8" s="17" t="inlineStr">
        <is>
          <t>已注册；具体掉落概率按同池权重计算</t>
        </is>
      </c>
      <c r="N8" s="17" t="inlineStr">
        <is>
          <t>src/base/ItemRegistry.gd</t>
        </is>
      </c>
      <c r="O8" s="1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" t="inlineStr">
        <is>
          <t>attach_scope</t>
        </is>
      </c>
      <c r="B9" s="17" t="inlineStr">
        <is>
          <t>放大镜瞄具</t>
        </is>
      </c>
      <c r="C9" s="17" t="inlineStr">
        <is>
          <t>attachment</t>
        </is>
      </c>
      <c r="D9" s="17" t="inlineStr">
        <is>
          <t>scope</t>
        </is>
      </c>
      <c r="E9" s="17" t="inlineStr">
        <is>
          <t>rare</t>
        </is>
      </c>
      <c r="F9" s="17" t="n">
        <v>100</v>
      </c>
      <c r="G9" s="17" t="n">
        <v>5</v>
      </c>
      <c r="H9" s="17" t="str"/>
      <c r="I9" s="17" t="str"/>
      <c r="J9" s="17" t="inlineStr">
        <is>
          <t>combat_floor_2×1.5；combat_floor_3×2.5；loot_abyss×3；loot_floor_3_4×2；loot_floor_5×2.5；scavenge_floor_3×2；scavenge_floor_4×2.5；scavenge_floor_5×3</t>
        </is>
      </c>
      <c r="K9" s="17" t="n">
        <v>2</v>
      </c>
      <c r="L9" s="18" t="inlineStr">
        <is>
          <t>[已实装]</t>
        </is>
      </c>
      <c r="M9" s="17" t="inlineStr">
        <is>
          <t>已注册；具体掉落概率按同池权重计算</t>
        </is>
      </c>
      <c r="N9" s="17" t="inlineStr">
        <is>
          <t>src/base/ItemRegistry.gd</t>
        </is>
      </c>
      <c r="O9" s="1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" t="inlineStr">
        <is>
          <t>attach_triple_muzzle</t>
        </is>
      </c>
      <c r="B10" s="17" t="inlineStr">
        <is>
          <t>三叉枪口</t>
        </is>
      </c>
      <c r="C10" s="17" t="inlineStr">
        <is>
          <t>attachment</t>
        </is>
      </c>
      <c r="D10" s="17" t="inlineStr">
        <is>
          <t>muzzle</t>
        </is>
      </c>
      <c r="E10" s="17" t="inlineStr">
        <is>
          <t>uncommon</t>
        </is>
      </c>
      <c r="F10" s="17" t="n">
        <v>70</v>
      </c>
      <c r="G10" s="17" t="n">
        <v>5</v>
      </c>
      <c r="H10" s="17" t="str"/>
      <c r="I10" s="17" t="str"/>
      <c r="J10" s="1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" t="n">
        <v>1</v>
      </c>
      <c r="L10" s="18" t="inlineStr">
        <is>
          <t>[已实装]</t>
        </is>
      </c>
      <c r="M10" s="17" t="inlineStr">
        <is>
          <t>已注册；具体掉落概率按同池权重计算</t>
        </is>
      </c>
      <c r="N10" s="17" t="inlineStr">
        <is>
          <t>src/base/ItemRegistry.gd</t>
        </is>
      </c>
      <c r="O10" s="1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" t="inlineStr">
        <is>
          <t>bp_charge</t>
        </is>
      </c>
      <c r="B11" s="17" t="inlineStr">
        <is>
          <t>蓄力萝卜炮蓝图碎片</t>
        </is>
      </c>
      <c r="C11" s="17" t="inlineStr">
        <is>
          <t>blueprint</t>
        </is>
      </c>
      <c r="D11" s="17" t="inlineStr">
        <is>
          <t>gun_body</t>
        </is>
      </c>
      <c r="E11" s="17" t="inlineStr">
        <is>
          <t>epic</t>
        </is>
      </c>
      <c r="F11" s="17" t="n">
        <v>200</v>
      </c>
      <c r="G11" s="17" t="n">
        <v>99</v>
      </c>
      <c r="H11" s="17" t="inlineStr">
        <is>
          <t>unlock_blueprint</t>
        </is>
      </c>
      <c r="I11" s="17" t="inlineStr">
        <is>
          <t>使用后解锁蓄力萝卜炮蓝图，并获得 80 资源点</t>
        </is>
      </c>
      <c r="J11" s="17" t="inlineStr">
        <is>
          <t>boss_floor_2×4；combat_floor_4×0.5；combat_floor_5×1；loot_abyss×2；scavenge_floor_5×0.5</t>
        </is>
      </c>
      <c r="K11" s="17" t="n">
        <v>3</v>
      </c>
      <c r="L11" s="18" t="inlineStr">
        <is>
          <t>[已实装]</t>
        </is>
      </c>
      <c r="M11" s="17" t="inlineStr">
        <is>
          <t>已注册；具体掉落概率按同池权重计算</t>
        </is>
      </c>
      <c r="N11" s="17" t="inlineStr">
        <is>
          <t>src/base/ItemRegistry.gd</t>
        </is>
      </c>
      <c r="O11" s="1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" t="inlineStr">
        <is>
          <t>bp_launcher</t>
        </is>
      </c>
      <c r="B12" s="17" t="inlineStr">
        <is>
          <t>反胃榴弹筒蓝图碎片</t>
        </is>
      </c>
      <c r="C12" s="17" t="inlineStr">
        <is>
          <t>blueprint</t>
        </is>
      </c>
      <c r="D12" s="17" t="inlineStr">
        <is>
          <t>gun_body</t>
        </is>
      </c>
      <c r="E12" s="17" t="inlineStr">
        <is>
          <t>rare</t>
        </is>
      </c>
      <c r="F12" s="17" t="n">
        <v>130</v>
      </c>
      <c r="G12" s="17" t="n">
        <v>99</v>
      </c>
      <c r="H12" s="17" t="inlineStr">
        <is>
          <t>unlock_blueprint</t>
        </is>
      </c>
      <c r="I12" s="17" t="inlineStr">
        <is>
          <t>使用后解锁反胃榴弹筒蓝图，并获得 55 资源点</t>
        </is>
      </c>
      <c r="J12" s="17" t="inlineStr">
        <is>
          <t>boss_floor_1×3；boss_floor_2×4；combat_floor_3×0.5；combat_floor_4×0.3；loot_abyss×2.5；scavenge_floor_5×1</t>
        </is>
      </c>
      <c r="K12" s="17" t="n">
        <v>2</v>
      </c>
      <c r="L12" s="18" t="inlineStr">
        <is>
          <t>[已实装]</t>
        </is>
      </c>
      <c r="M12" s="17" t="inlineStr">
        <is>
          <t>已注册；具体掉落概率按同池权重计算</t>
        </is>
      </c>
      <c r="N12" s="17" t="inlineStr">
        <is>
          <t>src/base/ItemRegistry.gd</t>
        </is>
      </c>
      <c r="O12" s="1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" t="inlineStr">
        <is>
          <t>bp_machinegun</t>
        </is>
      </c>
      <c r="B13" s="17" t="inlineStr">
        <is>
          <t>蜂窝机枪蓝图碎片</t>
        </is>
      </c>
      <c r="C13" s="17" t="inlineStr">
        <is>
          <t>blueprint</t>
        </is>
      </c>
      <c r="D13" s="17" t="inlineStr">
        <is>
          <t>gun_body</t>
        </is>
      </c>
      <c r="E13" s="17" t="inlineStr">
        <is>
          <t>uncommon</t>
        </is>
      </c>
      <c r="F13" s="17" t="n">
        <v>90</v>
      </c>
      <c r="G13" s="17" t="n">
        <v>99</v>
      </c>
      <c r="H13" s="17" t="inlineStr">
        <is>
          <t>unlock_blueprint</t>
        </is>
      </c>
      <c r="I13" s="17" t="inlineStr">
        <is>
          <t>使用后解锁蜂窝机枪蓝图，并获得 40 资源点</t>
        </is>
      </c>
      <c r="J13" s="17" t="inlineStr">
        <is>
          <t>combat_floor_1×0.8；combat_floor_2×0.5；loot_abyss×2.5；loot_floor_3_4×1.5；loot_floor_5×2；scavenge_floor_3×1.5；scavenge_floor_4×2；scavenge_floor_5×2.5</t>
        </is>
      </c>
      <c r="K13" s="17" t="n">
        <v>1</v>
      </c>
      <c r="L13" s="18" t="inlineStr">
        <is>
          <t>[已实装]</t>
        </is>
      </c>
      <c r="M13" s="17" t="inlineStr">
        <is>
          <t>已注册；具体掉落概率按同池权重计算</t>
        </is>
      </c>
      <c r="N13" s="17" t="inlineStr">
        <is>
          <t>src/base/ItemRegistry.gd</t>
        </is>
      </c>
      <c r="O13" s="1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" t="inlineStr">
        <is>
          <t>bp_pistol</t>
        </is>
      </c>
      <c r="B14" s="17" t="inlineStr">
        <is>
          <t>豌豆手枪蓝图碎片</t>
        </is>
      </c>
      <c r="C14" s="17" t="inlineStr">
        <is>
          <t>blueprint</t>
        </is>
      </c>
      <c r="D14" s="17" t="inlineStr">
        <is>
          <t>gun_body</t>
        </is>
      </c>
      <c r="E14" s="17" t="inlineStr">
        <is>
          <t>common</t>
        </is>
      </c>
      <c r="F14" s="17" t="n">
        <v>50</v>
      </c>
      <c r="G14" s="17" t="n">
        <v>99</v>
      </c>
      <c r="H14" s="17" t="inlineStr">
        <is>
          <t>unlock_blueprint</t>
        </is>
      </c>
      <c r="I14" s="17" t="inlineStr">
        <is>
          <t>使用后解锁豌豆手枪蓝图，并获得 20 资源点</t>
        </is>
      </c>
      <c r="J14" s="1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" t="n">
        <v>0</v>
      </c>
      <c r="L14" s="18" t="inlineStr">
        <is>
          <t>[已实装]</t>
        </is>
      </c>
      <c r="M14" s="17" t="inlineStr">
        <is>
          <t>已注册；具体掉落概率按同池权重计算</t>
        </is>
      </c>
      <c r="N14" s="17" t="inlineStr">
        <is>
          <t>src/base/ItemRegistry.gd</t>
        </is>
      </c>
      <c r="O14" s="1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" t="inlineStr">
        <is>
          <t>bp_rifle</t>
        </is>
      </c>
      <c r="B15" s="17" t="inlineStr">
        <is>
          <t>步枪蓝图碎片</t>
        </is>
      </c>
      <c r="C15" s="17" t="inlineStr">
        <is>
          <t>blueprint</t>
        </is>
      </c>
      <c r="D15" s="17" t="inlineStr">
        <is>
          <t>gun_body</t>
        </is>
      </c>
      <c r="E15" s="17" t="inlineStr">
        <is>
          <t>uncommon</t>
        </is>
      </c>
      <c r="F15" s="17" t="n">
        <v>80</v>
      </c>
      <c r="G15" s="17" t="n">
        <v>99</v>
      </c>
      <c r="H15" s="17" t="inlineStr">
        <is>
          <t>unlock_blueprint</t>
        </is>
      </c>
      <c r="I15" s="17" t="inlineStr">
        <is>
          <t>使用后解锁步枪蓝图，并获得 35 资源点</t>
        </is>
      </c>
      <c r="J15" s="1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" t="n">
        <v>1</v>
      </c>
      <c r="L15" s="18" t="inlineStr">
        <is>
          <t>[已实装]</t>
        </is>
      </c>
      <c r="M15" s="17" t="inlineStr">
        <is>
          <t>已注册；具体掉落概率按同池权重计算</t>
        </is>
      </c>
      <c r="N15" s="17" t="inlineStr">
        <is>
          <t>src/base/ItemRegistry.gd</t>
        </is>
      </c>
      <c r="O15" s="1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" t="inlineStr">
        <is>
          <t>bp_shotgun</t>
        </is>
      </c>
      <c r="B16" s="17" t="inlineStr">
        <is>
          <t>散射喷壶蓝图碎片</t>
        </is>
      </c>
      <c r="C16" s="17" t="inlineStr">
        <is>
          <t>blueprint</t>
        </is>
      </c>
      <c r="D16" s="17" t="inlineStr">
        <is>
          <t>gun_body</t>
        </is>
      </c>
      <c r="E16" s="17" t="inlineStr">
        <is>
          <t>common</t>
        </is>
      </c>
      <c r="F16" s="17" t="n">
        <v>60</v>
      </c>
      <c r="G16" s="17" t="n">
        <v>99</v>
      </c>
      <c r="H16" s="17" t="inlineStr">
        <is>
          <t>unlock_blueprint</t>
        </is>
      </c>
      <c r="I16" s="17" t="inlineStr">
        <is>
          <t>使用后解锁散射喷壶蓝图，并获得 25 资源点</t>
        </is>
      </c>
      <c r="J16" s="1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" t="n">
        <v>0</v>
      </c>
      <c r="L16" s="18" t="inlineStr">
        <is>
          <t>[已实装]</t>
        </is>
      </c>
      <c r="M16" s="17" t="inlineStr">
        <is>
          <t>已注册；具体掉落概率按同池权重计算</t>
        </is>
      </c>
      <c r="N16" s="17" t="inlineStr">
        <is>
          <t>src/base/ItemRegistry.gd</t>
        </is>
      </c>
      <c r="O16" s="1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" t="inlineStr">
        <is>
          <t>bp_sniper</t>
        </is>
      </c>
      <c r="B17" s="17" t="inlineStr">
        <is>
          <t>弹弓狙击蓝图碎片</t>
        </is>
      </c>
      <c r="C17" s="17" t="inlineStr">
        <is>
          <t>blueprint</t>
        </is>
      </c>
      <c r="D17" s="17" t="inlineStr">
        <is>
          <t>gun_body</t>
        </is>
      </c>
      <c r="E17" s="17" t="inlineStr">
        <is>
          <t>rare</t>
        </is>
      </c>
      <c r="F17" s="17" t="n">
        <v>120</v>
      </c>
      <c r="G17" s="17" t="n">
        <v>99</v>
      </c>
      <c r="H17" s="17" t="inlineStr">
        <is>
          <t>unlock_blueprint</t>
        </is>
      </c>
      <c r="I17" s="17" t="inlineStr">
        <is>
          <t>使用后解锁弹弓狙击蓝图，并获得 50 资源点</t>
        </is>
      </c>
      <c r="J17" s="1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" t="n">
        <v>2</v>
      </c>
      <c r="L17" s="18" t="inlineStr">
        <is>
          <t>[已实装]</t>
        </is>
      </c>
      <c r="M17" s="17" t="inlineStr">
        <is>
          <t>已注册；具体掉落概率按同池权重计算</t>
        </is>
      </c>
      <c r="N17" s="17" t="inlineStr">
        <is>
          <t>src/base/ItemRegistry.gd</t>
        </is>
      </c>
      <c r="O17" s="1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" t="inlineStr">
        <is>
          <t>item_ammo_pack</t>
        </is>
      </c>
      <c r="B18" s="17" t="inlineStr">
        <is>
          <t>弹药包</t>
        </is>
      </c>
      <c r="C18" s="17" t="inlineStr">
        <is>
          <t>consumable</t>
        </is>
      </c>
      <c r="D18" s="17" t="str"/>
      <c r="E18" s="17" t="inlineStr">
        <is>
          <t>common</t>
        </is>
      </c>
      <c r="F18" s="17" t="n">
        <v>30</v>
      </c>
      <c r="G18" s="17" t="n">
        <v>5</v>
      </c>
      <c r="H18" s="17" t="inlineStr">
        <is>
          <t>refill_ammo</t>
        </is>
      </c>
      <c r="I18" s="17" t="inlineStr">
        <is>
          <t>额外弹药补给</t>
        </is>
      </c>
      <c r="J18" s="17" t="inlineStr">
        <is>
          <t>combat_floor_1×2；combat_floor_2×2.5；combat_floor_3×2；combat_floor_4×2.5；combat_floor_5×2；loot_common×1.5；loot_floor_1_2×2.5；spawn_starter×2</t>
        </is>
      </c>
      <c r="K18" s="17" t="str"/>
      <c r="L18" s="18" t="inlineStr">
        <is>
          <t>[已实装]</t>
        </is>
      </c>
      <c r="M18" s="17" t="inlineStr">
        <is>
          <t>已注册；具体掉落概率按同池权重计算</t>
        </is>
      </c>
      <c r="N18" s="17" t="inlineStr">
        <is>
          <t>src/base/ItemRegistry.gd</t>
        </is>
      </c>
      <c r="O18" s="1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" t="inlineStr">
        <is>
          <t>item_beacon</t>
        </is>
      </c>
      <c r="B19" s="17" t="inlineStr">
        <is>
          <t>撤离信标</t>
        </is>
      </c>
      <c r="C19" s="17" t="inlineStr">
        <is>
          <t>consumable</t>
        </is>
      </c>
      <c r="D19" s="17" t="str"/>
      <c r="E19" s="17" t="inlineStr">
        <is>
          <t>rare</t>
        </is>
      </c>
      <c r="F19" s="17" t="n">
        <v>150</v>
      </c>
      <c r="G19" s="17" t="n">
        <v>3</v>
      </c>
      <c r="H19" s="17" t="inlineStr">
        <is>
          <t>summon_beacon_extraction</t>
        </is>
      </c>
      <c r="I19" s="17" t="inlineStr">
        <is>
          <t>消耗此道具召唤紧急撤离点。读条期间会刷出追击怪物。</t>
        </is>
      </c>
      <c r="J19" s="1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" t="n">
        <v>2</v>
      </c>
      <c r="L19" s="18" t="inlineStr">
        <is>
          <t>[已实装]</t>
        </is>
      </c>
      <c r="M19" s="17" t="inlineStr">
        <is>
          <t>已注册；具体掉落概率按同池权重计算</t>
        </is>
      </c>
      <c r="N19" s="17" t="inlineStr">
        <is>
          <t>src/base/ItemRegistry.gd</t>
        </is>
      </c>
      <c r="O19" s="1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" t="inlineStr">
        <is>
          <t>item_health_potion</t>
        </is>
      </c>
      <c r="B20" s="17" t="inlineStr">
        <is>
          <t>治疗药水</t>
        </is>
      </c>
      <c r="C20" s="17" t="inlineStr">
        <is>
          <t>consumable</t>
        </is>
      </c>
      <c r="D20" s="17" t="str"/>
      <c r="E20" s="17" t="inlineStr">
        <is>
          <t>common</t>
        </is>
      </c>
      <c r="F20" s="17" t="n">
        <v>40</v>
      </c>
      <c r="G20" s="17" t="n">
        <v>5</v>
      </c>
      <c r="H20" s="17" t="inlineStr">
        <is>
          <t>heal</t>
        </is>
      </c>
      <c r="I20" s="17" t="inlineStr">
        <is>
          <t>恢复 30 点生命值</t>
        </is>
      </c>
      <c r="J20" s="17" t="inlineStr">
        <is>
          <t>combat_floor_1×1.5；combat_floor_2×2；combat_floor_3×1；loot_common×2；loot_floor_1_2×2；loot_floor_3_4×1.5；spawn_starter×2</t>
        </is>
      </c>
      <c r="K20" s="17" t="str"/>
      <c r="L20" s="18" t="inlineStr">
        <is>
          <t>[已实装]</t>
        </is>
      </c>
      <c r="M20" s="17" t="inlineStr">
        <is>
          <t>已注册；具体掉落概率按同池权重计算</t>
        </is>
      </c>
      <c r="N20" s="17" t="inlineStr">
        <is>
          <t>src/base/ItemRegistry.gd</t>
        </is>
      </c>
      <c r="O20" s="17" t="inlineStr">
        <is>
          <t>tags=consumable、healing</t>
        </is>
      </c>
      <c r="P20" s="163">
        <f>IF(F20&gt;0,F20,0)</f>
        <v/>
      </c>
      <c r="Q20" s="163">
        <f>IF(F20&gt;0,ROUND(F20*0.5,0),0)</f>
        <v/>
      </c>
      <c r="R20" s="151" t="b">
        <v>1</v>
      </c>
      <c r="S20" s="151" t="inlineStr">
        <is>
          <t>unlimited</t>
        </is>
      </c>
      <c r="T20" s="163" t="n">
        <v>5</v>
      </c>
    </row>
    <row r="21" ht="54" customHeight="1" s="135">
      <c r="A21" s="17" t="inlineStr">
        <is>
          <t>item_room_key</t>
        </is>
      </c>
      <c r="B21" s="17" t="inlineStr">
        <is>
          <t>房间钥匙</t>
        </is>
      </c>
      <c r="C21" s="17" t="inlineStr">
        <is>
          <t>key</t>
        </is>
      </c>
      <c r="D21" s="17" t="str"/>
      <c r="E21" s="17" t="inlineStr">
        <is>
          <t>common</t>
        </is>
      </c>
      <c r="F21" s="17" t="n">
        <v>0</v>
      </c>
      <c r="G21" s="17" t="n">
        <v>9</v>
      </c>
      <c r="H21" s="17" t="str"/>
      <c r="I21" s="17" t="inlineStr">
        <is>
          <t>用于开启地图上的一扇房门。来自怪物掉落或房间搜索。</t>
        </is>
      </c>
      <c r="J21" s="17" t="inlineStr">
        <is>
          <t>combat_floor_1×1.2；elite_floor_1×1；elite_floor_2×1；loot_common×1；loot_floor_1_2×1.8；scavenge_floor_1×2.4；scavenge_floor_2×2</t>
        </is>
      </c>
      <c r="K21" s="17" t="str"/>
      <c r="L21" s="18" t="inlineStr">
        <is>
          <t>[已实装]</t>
        </is>
      </c>
      <c r="M21" s="17" t="inlineStr">
        <is>
          <t>已注册；具体掉落概率按同池权重计算</t>
        </is>
      </c>
      <c r="N21" s="17" t="inlineStr">
        <is>
          <t>src/base/ItemRegistry.gd</t>
        </is>
      </c>
      <c r="O21" s="17" t="inlineStr">
        <is>
          <t>tags=key、progression</t>
        </is>
      </c>
      <c r="P21" s="162">
        <f>IF(F21&gt;0,F21,0)</f>
        <v/>
      </c>
      <c r="Q21" s="162">
        <f>IF(F21&gt;0,ROUND(F21*0.5,0),0)</f>
        <v/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" t="inlineStr">
        <is>
          <t>mod_bullet_balloon</t>
        </is>
      </c>
      <c r="B22" s="17" t="inlineStr">
        <is>
          <t>气球弹模块</t>
        </is>
      </c>
      <c r="C22" s="17" t="inlineStr">
        <is>
          <t>module</t>
        </is>
      </c>
      <c r="D22" s="17" t="inlineStr">
        <is>
          <t>bullet</t>
        </is>
      </c>
      <c r="E22" s="17" t="inlineStr">
        <is>
          <t>rare</t>
        </is>
      </c>
      <c r="F22" s="17" t="n">
        <v>90</v>
      </c>
      <c r="G22" s="17" t="n">
        <v>10</v>
      </c>
      <c r="H22" s="17" t="str"/>
      <c r="I22" s="17" t="str"/>
      <c r="J22" s="17" t="inlineStr">
        <is>
          <t>combat_floor_3×1；combat_floor_4×1.5；loot_abyss×2；loot_floor_3_4×1.5；loot_floor_5×2；scavenge_floor_3×1.5；scavenge_floor_4×2；scavenge_floor_5×2</t>
        </is>
      </c>
      <c r="K22" s="17" t="n">
        <v>2</v>
      </c>
      <c r="L22" s="18" t="inlineStr">
        <is>
          <t>[已实装]</t>
        </is>
      </c>
      <c r="M22" s="17" t="inlineStr">
        <is>
          <t>已注册；具体掉落概率按同池权重计算</t>
        </is>
      </c>
      <c r="N22" s="17" t="inlineStr">
        <is>
          <t>src/base/ItemRegistry.gd</t>
        </is>
      </c>
      <c r="O22" s="1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" t="inlineStr">
        <is>
          <t>mod_bullet_blackhole</t>
        </is>
      </c>
      <c r="B23" s="17" t="inlineStr">
        <is>
          <t>黑洞弹模块</t>
        </is>
      </c>
      <c r="C23" s="17" t="inlineStr">
        <is>
          <t>module</t>
        </is>
      </c>
      <c r="D23" s="17" t="inlineStr">
        <is>
          <t>bullet</t>
        </is>
      </c>
      <c r="E23" s="17" t="inlineStr">
        <is>
          <t>epic</t>
        </is>
      </c>
      <c r="F23" s="17" t="n">
        <v>180</v>
      </c>
      <c r="G23" s="17" t="n">
        <v>10</v>
      </c>
      <c r="H23" s="17" t="str"/>
      <c r="I23" s="17" t="str"/>
      <c r="J23" s="17" t="inlineStr">
        <is>
          <t>boss_floor_1×3；boss_floor_2×4；combat_floor_4×2；combat_floor_5×3；loot_abyss×2.5；scavenge_floor_4×2.5；scavenge_floor_5×4</t>
        </is>
      </c>
      <c r="K23" s="17" t="n">
        <v>3</v>
      </c>
      <c r="L23" s="18" t="inlineStr">
        <is>
          <t>[已实装]</t>
        </is>
      </c>
      <c r="M23" s="17" t="inlineStr">
        <is>
          <t>已注册；具体掉落概率按同池权重计算</t>
        </is>
      </c>
      <c r="N23" s="17" t="inlineStr">
        <is>
          <t>src/base/ItemRegistry.gd</t>
        </is>
      </c>
      <c r="O23" s="1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" t="inlineStr">
        <is>
          <t>mod_bullet_bounce</t>
        </is>
      </c>
      <c r="B24" s="17" t="inlineStr">
        <is>
          <t>回旋镖弹模块</t>
        </is>
      </c>
      <c r="C24" s="17" t="inlineStr">
        <is>
          <t>module</t>
        </is>
      </c>
      <c r="D24" s="17" t="inlineStr">
        <is>
          <t>bullet</t>
        </is>
      </c>
      <c r="E24" s="17" t="inlineStr">
        <is>
          <t>uncommon</t>
        </is>
      </c>
      <c r="F24" s="17" t="n">
        <v>60</v>
      </c>
      <c r="G24" s="17" t="n">
        <v>10</v>
      </c>
      <c r="H24" s="17" t="str"/>
      <c r="I24" s="17" t="str"/>
      <c r="J24" s="1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" t="n">
        <v>1</v>
      </c>
      <c r="L24" s="18" t="inlineStr">
        <is>
          <t>[已实装]</t>
        </is>
      </c>
      <c r="M24" s="17" t="inlineStr">
        <is>
          <t>已注册；具体掉落概率按同池权重计算</t>
        </is>
      </c>
      <c r="N24" s="17" t="inlineStr">
        <is>
          <t>src/base/ItemRegistry.gd</t>
        </is>
      </c>
      <c r="O24" s="1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" t="inlineStr">
        <is>
          <t>mod_bullet_explosive</t>
        </is>
      </c>
      <c r="B25" s="17" t="inlineStr">
        <is>
          <t>爆炸弹模块</t>
        </is>
      </c>
      <c r="C25" s="17" t="inlineStr">
        <is>
          <t>module</t>
        </is>
      </c>
      <c r="D25" s="17" t="inlineStr">
        <is>
          <t>bullet</t>
        </is>
      </c>
      <c r="E25" s="17" t="inlineStr">
        <is>
          <t>rare</t>
        </is>
      </c>
      <c r="F25" s="17" t="n">
        <v>100</v>
      </c>
      <c r="G25" s="17" t="n">
        <v>10</v>
      </c>
      <c r="H25" s="17" t="str"/>
      <c r="I25" s="17" t="str"/>
      <c r="J25" s="17" t="inlineStr">
        <is>
          <t>combat_floor_3×1；loot_abyss×2.5；loot_floor_3_4×1.5；loot_floor_5×2；scavenge_floor_3×1.5；scavenge_floor_4×2；scavenge_floor_5×2.5</t>
        </is>
      </c>
      <c r="K25" s="17" t="n">
        <v>2</v>
      </c>
      <c r="L25" s="18" t="inlineStr">
        <is>
          <t>[已实装]</t>
        </is>
      </c>
      <c r="M25" s="17" t="inlineStr">
        <is>
          <t>已注册；具体掉落概率按同池权重计算</t>
        </is>
      </c>
      <c r="N25" s="17" t="inlineStr">
        <is>
          <t>src/base/ItemRegistry.gd</t>
        </is>
      </c>
      <c r="O25" s="1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" t="inlineStr">
        <is>
          <t>mod_bullet_homing</t>
        </is>
      </c>
      <c r="B26" s="17" t="inlineStr">
        <is>
          <t>蜂卵弹模块</t>
        </is>
      </c>
      <c r="C26" s="17" t="inlineStr">
        <is>
          <t>module</t>
        </is>
      </c>
      <c r="D26" s="17" t="inlineStr">
        <is>
          <t>bullet</t>
        </is>
      </c>
      <c r="E26" s="17" t="inlineStr">
        <is>
          <t>epic</t>
        </is>
      </c>
      <c r="F26" s="17" t="n">
        <v>150</v>
      </c>
      <c r="G26" s="17" t="n">
        <v>10</v>
      </c>
      <c r="H26" s="17" t="str"/>
      <c r="I26" s="17" t="str"/>
      <c r="J26" s="17" t="inlineStr">
        <is>
          <t>boss_floor_1×4；combat_floor_4×1.5；combat_floor_5×2.5；loot_abyss×3；loot_floor_5×2；scavenge_floor_4×2；scavenge_floor_5×3</t>
        </is>
      </c>
      <c r="K26" s="17" t="n">
        <v>3</v>
      </c>
      <c r="L26" s="18" t="inlineStr">
        <is>
          <t>[已实装]</t>
        </is>
      </c>
      <c r="M26" s="17" t="inlineStr">
        <is>
          <t>已注册；具体掉落概率按同池权重计算</t>
        </is>
      </c>
      <c r="N26" s="17" t="inlineStr">
        <is>
          <t>src/base/ItemRegistry.gd</t>
        </is>
      </c>
      <c r="O26" s="1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" t="inlineStr">
        <is>
          <t>mod_bullet_piercing</t>
        </is>
      </c>
      <c r="B27" s="17" t="inlineStr">
        <is>
          <t>穿甲弹模块</t>
        </is>
      </c>
      <c r="C27" s="17" t="inlineStr">
        <is>
          <t>module</t>
        </is>
      </c>
      <c r="D27" s="17" t="inlineStr">
        <is>
          <t>bullet</t>
        </is>
      </c>
      <c r="E27" s="17" t="inlineStr">
        <is>
          <t>rare</t>
        </is>
      </c>
      <c r="F27" s="17" t="n">
        <v>80</v>
      </c>
      <c r="G27" s="17" t="n">
        <v>10</v>
      </c>
      <c r="H27" s="17" t="str"/>
      <c r="I27" s="17" t="str"/>
      <c r="J27" s="17" t="inlineStr">
        <is>
          <t>combat_floor_3×1.5；loot_abyss×3；loot_floor_3_4×2；loot_floor_5×2.5；scavenge_floor_3×2；scavenge_floor_4×2.5；scavenge_floor_5×3</t>
        </is>
      </c>
      <c r="K27" s="17" t="n">
        <v>2</v>
      </c>
      <c r="L27" s="18" t="inlineStr">
        <is>
          <t>[已实装]</t>
        </is>
      </c>
      <c r="M27" s="17" t="inlineStr">
        <is>
          <t>已注册；具体掉落概率按同池权重计算</t>
        </is>
      </c>
      <c r="N27" s="17" t="inlineStr">
        <is>
          <t>src/base/ItemRegistry.gd</t>
        </is>
      </c>
      <c r="O27" s="1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" t="inlineStr">
        <is>
          <t>mod_bullet_standard</t>
        </is>
      </c>
      <c r="B28" s="17" t="inlineStr">
        <is>
          <t>标准子弹模块</t>
        </is>
      </c>
      <c r="C28" s="17" t="inlineStr">
        <is>
          <t>module</t>
        </is>
      </c>
      <c r="D28" s="17" t="inlineStr">
        <is>
          <t>bullet</t>
        </is>
      </c>
      <c r="E28" s="17" t="inlineStr">
        <is>
          <t>common</t>
        </is>
      </c>
      <c r="F28" s="17" t="n">
        <v>30</v>
      </c>
      <c r="G28" s="17" t="n">
        <v>10</v>
      </c>
      <c r="H28" s="17" t="str"/>
      <c r="I28" s="17" t="str"/>
      <c r="J28" s="17" t="inlineStr">
        <is>
          <t>combat_floor_1×3；combat_floor_2×2.5；loot_abyss×1.5；loot_floor_1_2×3；loot_floor_3_4×2.5；loot_floor_5×2；scavenge_floor_1×3；scavenge_floor_2×2.5；spawn_starter×3</t>
        </is>
      </c>
      <c r="K28" s="17" t="n">
        <v>0</v>
      </c>
      <c r="L28" s="18" t="inlineStr">
        <is>
          <t>[已实装]</t>
        </is>
      </c>
      <c r="M28" s="17" t="inlineStr">
        <is>
          <t>已注册；具体掉落概率按同池权重计算</t>
        </is>
      </c>
      <c r="N28" s="17" t="inlineStr">
        <is>
          <t>src/base/ItemRegistry.gd</t>
        </is>
      </c>
      <c r="O28" s="1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" t="inlineStr">
        <is>
          <t>mod_bullet_sticky</t>
        </is>
      </c>
      <c r="B29" s="17" t="inlineStr">
        <is>
          <t>黏黏弹模块</t>
        </is>
      </c>
      <c r="C29" s="17" t="inlineStr">
        <is>
          <t>module</t>
        </is>
      </c>
      <c r="D29" s="17" t="inlineStr">
        <is>
          <t>bullet</t>
        </is>
      </c>
      <c r="E29" s="17" t="inlineStr">
        <is>
          <t>uncommon</t>
        </is>
      </c>
      <c r="F29" s="17" t="n">
        <v>50</v>
      </c>
      <c r="G29" s="17" t="n">
        <v>10</v>
      </c>
      <c r="H29" s="17" t="str"/>
      <c r="I29" s="17" t="str"/>
      <c r="J29" s="17" t="inlineStr">
        <is>
          <t>combat_floor_1×2；combat_floor_2×2.5；loot_abyss×1.5；loot_floor_1_2×2；loot_floor_3_4×2.5；loot_floor_5×2；scavenge_floor_1×2；scavenge_floor_2×2.5；spawn_starter×2</t>
        </is>
      </c>
      <c r="K29" s="17" t="n">
        <v>1</v>
      </c>
      <c r="L29" s="18" t="inlineStr">
        <is>
          <t>[已实装]</t>
        </is>
      </c>
      <c r="M29" s="17" t="inlineStr">
        <is>
          <t>已注册；具体掉落概率按同池权重计算</t>
        </is>
      </c>
      <c r="N29" s="17" t="inlineStr">
        <is>
          <t>src/base/ItemRegistry.gd</t>
        </is>
      </c>
      <c r="O29" s="1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" t="inlineStr">
        <is>
          <t>weapon_charge</t>
        </is>
      </c>
      <c r="B30" s="17" t="inlineStr">
        <is>
          <t>蓄力萝卜炮</t>
        </is>
      </c>
      <c r="C30" s="17" t="inlineStr">
        <is>
          <t>weapon</t>
        </is>
      </c>
      <c r="D30" s="17" t="inlineStr">
        <is>
          <t>gun_body</t>
        </is>
      </c>
      <c r="E30" s="17" t="inlineStr">
        <is>
          <t>epic</t>
        </is>
      </c>
      <c r="F30" s="17" t="n">
        <v>350</v>
      </c>
      <c r="G30" s="17" t="n">
        <v>1</v>
      </c>
      <c r="H30" s="17" t="str"/>
      <c r="I30" s="17" t="inlineStr">
        <is>
          <t>蓄力时间越长伤害越高，超蓄力后弹体变大并附带穿透。左键装备为当前主武器。</t>
        </is>
      </c>
      <c r="J30" s="17" t="inlineStr">
        <is>
          <t>boss_floor_2×4；combat_floor_4×0.5；combat_floor_5×1；elite_floor_2×3；loot_abyss×2；loot_floor_5×0.8；scavenge_floor_4×0.4；scavenge_floor_5×1</t>
        </is>
      </c>
      <c r="K30" s="17" t="str"/>
      <c r="L30" s="18" t="inlineStr">
        <is>
          <t>[已实装]</t>
        </is>
      </c>
      <c r="M30" s="17" t="inlineStr">
        <is>
          <t>基础成品已注册；独立WeaponInstance与随枪构筑未实装</t>
        </is>
      </c>
      <c r="N30" s="17" t="inlineStr">
        <is>
          <t>src/base/ItemRegistry.gd</t>
        </is>
      </c>
      <c r="O30" s="1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" t="inlineStr">
        <is>
          <t>weapon_launcher</t>
        </is>
      </c>
      <c r="B31" s="17" t="inlineStr">
        <is>
          <t>反胃榴弹筒</t>
        </is>
      </c>
      <c r="C31" s="17" t="inlineStr">
        <is>
          <t>weapon</t>
        </is>
      </c>
      <c r="D31" s="17" t="inlineStr">
        <is>
          <t>gun_body</t>
        </is>
      </c>
      <c r="E31" s="17" t="inlineStr">
        <is>
          <t>rare</t>
        </is>
      </c>
      <c r="F31" s="17" t="n">
        <v>250</v>
      </c>
      <c r="G31" s="17" t="n">
        <v>1</v>
      </c>
      <c r="H31" s="17" t="str"/>
      <c r="I31" s="17" t="inlineStr">
        <is>
          <t>发射爆炸弹，抛物线弹道，大范围AOE。左键装备为当前主武器。</t>
        </is>
      </c>
      <c r="J31" s="17" t="inlineStr">
        <is>
          <t>boss_floor_1×2.5；boss_floor_2×4；combat_floor_3×0.8；combat_floor_4×0.5；combat_floor_5×1；elite_floor_2×3；loot_abyss×2.5；loot_floor_3_4×1；loot_floor_5×1.5；scavenge_floor_3×0.5；scavenge_floor_4×1；scavenge_floor_5×2</t>
        </is>
      </c>
      <c r="K31" s="17" t="str"/>
      <c r="L31" s="18" t="inlineStr">
        <is>
          <t>[已实装]</t>
        </is>
      </c>
      <c r="M31" s="17" t="inlineStr">
        <is>
          <t>基础成品已注册；独立WeaponInstance与随枪构筑未实装</t>
        </is>
      </c>
      <c r="N31" s="17" t="inlineStr">
        <is>
          <t>src/base/ItemRegistry.gd</t>
        </is>
      </c>
      <c r="O31" s="1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" t="inlineStr">
        <is>
          <t>weapon_machinegun</t>
        </is>
      </c>
      <c r="B32" s="17" t="inlineStr">
        <is>
          <t>蜂窝机枪</t>
        </is>
      </c>
      <c r="C32" s="17" t="inlineStr">
        <is>
          <t>weapon</t>
        </is>
      </c>
      <c r="D32" s="17" t="inlineStr">
        <is>
          <t>gun_body</t>
        </is>
      </c>
      <c r="E32" s="17" t="inlineStr">
        <is>
          <t>uncommon</t>
        </is>
      </c>
      <c r="F32" s="17" t="n">
        <v>180</v>
      </c>
      <c r="G32" s="17" t="n">
        <v>1</v>
      </c>
      <c r="H32" s="17" t="str"/>
      <c r="I32" s="17" t="inlineStr">
        <is>
          <t>高射速压制武器，适合清群怪。左键装备为当前主武器。</t>
        </is>
      </c>
      <c r="J32" s="17" t="inlineStr">
        <is>
          <t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t>
        </is>
      </c>
      <c r="K32" s="17" t="str"/>
      <c r="L32" s="18" t="inlineStr">
        <is>
          <t>[已实装]</t>
        </is>
      </c>
      <c r="M32" s="17" t="inlineStr">
        <is>
          <t>基础成品已注册；独立WeaponInstance与随枪构筑未实装</t>
        </is>
      </c>
      <c r="N32" s="17" t="inlineStr">
        <is>
          <t>src/base/ItemRegistry.gd</t>
        </is>
      </c>
      <c r="O32" s="1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" t="inlineStr">
        <is>
          <t>weapon_pistol</t>
        </is>
      </c>
      <c r="B33" s="17" t="inlineStr">
        <is>
          <t>豌豆手枪</t>
        </is>
      </c>
      <c r="C33" s="17" t="inlineStr">
        <is>
          <t>weapon</t>
        </is>
      </c>
      <c r="D33" s="17" t="inlineStr">
        <is>
          <t>gun_body</t>
        </is>
      </c>
      <c r="E33" s="17" t="inlineStr">
        <is>
          <t>common</t>
        </is>
      </c>
      <c r="F33" s="17" t="n">
        <v>70</v>
      </c>
      <c r="G33" s="17" t="n">
        <v>1</v>
      </c>
      <c r="H33" s="17" t="str"/>
      <c r="I33" s="17" t="inlineStr">
        <is>
          <t>可靠的基础半自动武器。左键装备为当前主武器。</t>
        </is>
      </c>
      <c r="J33" s="17" t="inlineStr">
        <is>
          <t>combat_floor_1×0.5；combat_floor_2×0.8；loot_floor_1_2×0.8；scavenge_floor_1×0.8；scavenge_floor_2×1.4</t>
        </is>
      </c>
      <c r="K33" s="17" t="str"/>
      <c r="L33" s="18" t="inlineStr">
        <is>
          <t>[已实装]</t>
        </is>
      </c>
      <c r="M33" s="17" t="inlineStr">
        <is>
          <t>基础成品已注册；独立WeaponInstance与随枪构筑未实装</t>
        </is>
      </c>
      <c r="N33" s="17" t="inlineStr">
        <is>
          <t>src/base/ItemRegistry.gd</t>
        </is>
      </c>
      <c r="O33" s="17" t="inlineStr">
        <is>
          <t>新设计：stack_max=1；生成永久weapon_instance_id，并保存命运槽、子弹模块与配件快照</t>
        </is>
      </c>
      <c r="P33" s="163">
        <f>IF(F33&gt;0,F33,0)</f>
        <v/>
      </c>
      <c r="Q33" s="163">
        <f>IF(F33&gt;0,ROUND(F33*0.5,0),0)</f>
        <v/>
      </c>
      <c r="R33" s="151" t="b">
        <v>1</v>
      </c>
      <c r="S33" s="151" t="inlineStr">
        <is>
          <t>unlimited</t>
        </is>
      </c>
      <c r="T33" s="163" t="n">
        <v>1</v>
      </c>
    </row>
    <row r="34" ht="54" customHeight="1" s="135">
      <c r="A34" s="17" t="inlineStr">
        <is>
          <t>weapon_rifle</t>
        </is>
      </c>
      <c r="B34" s="17" t="inlineStr">
        <is>
          <t>步枪</t>
        </is>
      </c>
      <c r="C34" s="17" t="inlineStr">
        <is>
          <t>weapon</t>
        </is>
      </c>
      <c r="D34" s="17" t="inlineStr">
        <is>
          <t>gun_body</t>
        </is>
      </c>
      <c r="E34" s="17" t="inlineStr">
        <is>
          <t>rare</t>
        </is>
      </c>
      <c r="F34" s="17" t="n">
        <v>150</v>
      </c>
      <c r="G34" s="17" t="n">
        <v>1</v>
      </c>
      <c r="H34" s="17" t="str"/>
      <c r="I34" s="17" t="inlineStr">
        <is>
          <t>稳定连发的中距离武器。左键装备为当前主武器。</t>
        </is>
      </c>
      <c r="J34" s="17" t="inlineStr">
        <is>
          <t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t>
        </is>
      </c>
      <c r="K34" s="17" t="str"/>
      <c r="L34" s="18" t="inlineStr">
        <is>
          <t>[已实装]</t>
        </is>
      </c>
      <c r="M34" s="17" t="inlineStr">
        <is>
          <t>基础成品已注册；独立WeaponInstance与随枪构筑未实装</t>
        </is>
      </c>
      <c r="N34" s="17" t="inlineStr">
        <is>
          <t>src/base/ItemRegistry.gd</t>
        </is>
      </c>
      <c r="O34" s="17" t="inlineStr">
        <is>
          <t>新设计：stack_max=1；生成永久weapon_instance_id，并保存命运槽、子弹模块与配件快照</t>
        </is>
      </c>
      <c r="P34" s="163">
        <f>IF(F34&gt;0,F34,0)</f>
        <v/>
      </c>
      <c r="Q34" s="163">
        <f>IF(F34&gt;0,ROUND(F34*0.5,0),0)</f>
        <v/>
      </c>
      <c r="R34" s="151" t="b">
        <v>1</v>
      </c>
      <c r="S34" s="151" t="inlineStr">
        <is>
          <t>unlimited</t>
        </is>
      </c>
      <c r="T34" s="163" t="n">
        <v>3</v>
      </c>
    </row>
    <row r="35" ht="54" customHeight="1" s="135">
      <c r="A35" s="17" t="inlineStr">
        <is>
          <t>weapon_shotgun</t>
        </is>
      </c>
      <c r="B35" s="17" t="inlineStr">
        <is>
          <t>散射喷壶</t>
        </is>
      </c>
      <c r="C35" s="17" t="inlineStr">
        <is>
          <t>weapon</t>
        </is>
      </c>
      <c r="D35" s="17" t="inlineStr">
        <is>
          <t>gun_body</t>
        </is>
      </c>
      <c r="E35" s="17" t="inlineStr">
        <is>
          <t>uncommon</t>
        </is>
      </c>
      <c r="F35" s="17" t="n">
        <v>110</v>
      </c>
      <c r="G35" s="17" t="n">
        <v>1</v>
      </c>
      <c r="H35" s="17" t="str"/>
      <c r="I35" s="17" t="inlineStr">
        <is>
          <t>近距离多弹丸散射武器。左键装备为当前主武器。</t>
        </is>
      </c>
      <c r="J35" s="17" t="inlineStr">
        <is>
          <t>combat_floor_1×0.8；combat_floor_2×1.2；loot_floor_1_2×1；scavenge_floor_1×1.4；scavenge_floor_2×2；spawn_starter×3</t>
        </is>
      </c>
      <c r="K35" s="17" t="str"/>
      <c r="L35" s="18" t="inlineStr">
        <is>
          <t>[已实装]</t>
        </is>
      </c>
      <c r="M35" s="17" t="inlineStr">
        <is>
          <t>基础成品已注册；独立WeaponInstance与随枪构筑未实装</t>
        </is>
      </c>
      <c r="N35" s="17" t="inlineStr">
        <is>
          <t>src/base/ItemRegistry.gd</t>
        </is>
      </c>
      <c r="O35" s="17" t="inlineStr">
        <is>
          <t>新设计：stack_max=1；生成永久weapon_instance_id，并保存命运槽、子弹模块与配件快照</t>
        </is>
      </c>
      <c r="P35" s="163">
        <f>IF(F35&gt;0,F35,0)</f>
        <v/>
      </c>
      <c r="Q35" s="163">
        <f>IF(F35&gt;0,ROUND(F35*0.5,0),0)</f>
        <v/>
      </c>
      <c r="R35" s="151" t="b">
        <v>1</v>
      </c>
      <c r="S35" s="151" t="inlineStr">
        <is>
          <t>unlimited</t>
        </is>
      </c>
      <c r="T35" s="163" t="n">
        <v>2</v>
      </c>
    </row>
    <row r="36" ht="54" customHeight="1" s="135">
      <c r="A36" s="17" t="inlineStr">
        <is>
          <t>weapon_sniper</t>
        </is>
      </c>
      <c r="B36" s="17" t="inlineStr">
        <is>
          <t>弹弓狙击</t>
        </is>
      </c>
      <c r="C36" s="17" t="inlineStr">
        <is>
          <t>weapon</t>
        </is>
      </c>
      <c r="D36" s="17" t="inlineStr">
        <is>
          <t>gun_body</t>
        </is>
      </c>
      <c r="E36" s="17" t="inlineStr">
        <is>
          <t>rare</t>
        </is>
      </c>
      <c r="F36" s="17" t="n">
        <v>220</v>
      </c>
      <c r="G36" s="17" t="n">
        <v>1</v>
      </c>
      <c r="H36" s="17" t="str"/>
      <c r="I36" s="17" t="inlineStr">
        <is>
          <t>低射速高伤害，穿透力强，适合精准打击。左键装备为当前主武器。</t>
        </is>
      </c>
      <c r="J36" s="17" t="inlineStr">
        <is>
          <t>boss_floor_1×2；boss_floor_2×4；combat_floor_2×0.3；combat_floor_3×0.8；elite_floor_1×1.5；elite_floor_2×2；loot_abyss×2.5；loot_floor_3_4×0.5；loot_floor_5×1.5；scavenge_floor_3×0.5；scavenge_floor_4×1；scavenge_floor_5×2</t>
        </is>
      </c>
      <c r="K36" s="17" t="str"/>
      <c r="L36" s="18" t="inlineStr">
        <is>
          <t>[已实装]</t>
        </is>
      </c>
      <c r="M36" s="17" t="inlineStr">
        <is>
          <t>基础成品已注册；独立WeaponInstance与随枪构筑未实装</t>
        </is>
      </c>
      <c r="N36" s="17" t="inlineStr">
        <is>
          <t>src/base/ItemRegistry.gd</t>
        </is>
      </c>
      <c r="O36" s="1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" t="inlineStr">
        <is>
          <t>item_boss_descent_key</t>
        </is>
      </c>
      <c r="B37" s="17" t="inlineStr">
        <is>
          <t>Boss下行专用钥匙</t>
        </is>
      </c>
      <c r="C37" s="17" t="inlineStr">
        <is>
          <t>key</t>
        </is>
      </c>
      <c r="D37" s="17" t="inlineStr">
        <is>
          <t>boss_progression</t>
        </is>
      </c>
      <c r="E37" s="17" t="inlineStr">
        <is>
          <t>special</t>
        </is>
      </c>
      <c r="F37" s="17" t="n">
        <v>0</v>
      </c>
      <c r="G37" s="17" t="n">
        <v>1</v>
      </c>
      <c r="H37" s="17" t="inlineStr">
        <is>
          <t>open_boss_descent_gate</t>
        </is>
      </c>
      <c r="I37" s="17" t="inlineStr">
        <is>
          <t>击败Boss后获得，只能开启本阶段唯一Boss下行门；不进入普通商店、普通掉落或撤离带出。</t>
        </is>
      </c>
      <c r="J37" s="17" t="inlineStr">
        <is>
          <t>Boss击败结算（唯一签发）</t>
        </is>
      </c>
      <c r="K37" s="17" t="inlineStr">
        <is>
          <t>不可出售</t>
        </is>
      </c>
      <c r="L37" s="20" t="inlineStr">
        <is>
          <t>[用户设计]</t>
        </is>
      </c>
      <c r="M37" s="17" t="inlineStr">
        <is>
          <t>设计冻结；未实装</t>
        </is>
      </c>
      <c r="N37" s="17" t="inlineStr">
        <is>
          <t>游戏设计文档 §8；技术施工_关卡生成与爬楼</t>
        </is>
      </c>
      <c r="O37" s="1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>
        <f>IF(F38&gt;0,F38,0)</f>
        <v/>
      </c>
      <c r="Q38" s="163">
        <f>IF(F38&gt;0,ROUND(F38*0.5,0),0)</f>
        <v/>
      </c>
      <c r="R38" s="151" t="b">
        <v>1</v>
      </c>
      <c r="S38" s="151" t="inlineStr">
        <is>
          <t>unlimited</t>
        </is>
      </c>
      <c r="T38" s="163" t="n">
        <v>4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20</v>
      </c>
      <c r="G41" s="167" t="n">
        <v>5</v>
      </c>
      <c r="H41" s="167" t="inlineStr">
        <is>
          <t>refill_flashlight</t>
        </is>
      </c>
      <c r="I41" s="167" t="inlineStr">
        <is>
          <t>恢复手电筒 25% 电量，仅作用于自身手电筒；不影响其他玩家或友军</t>
        </is>
      </c>
      <c r="J41" s="167" t="inlineStr">
        <is>
          <t>vending_stock×1；combat_floor_1×1.5；combat_floor_2×2；combat_floor_3×1.5；scavenge_floor_1×1；scavenge_floor_2×1.5；scavenge_floor_3×1；elite_floor_1×0.8；elite_floor_2×0.6</t>
        </is>
      </c>
      <c r="K41" s="167" t="n">
        <v>1</v>
      </c>
      <c r="L41" s="168" t="inlineStr">
        <is>
          <t>[用户设计]</t>
        </is>
      </c>
      <c r="M41" s="167" t="inlineStr">
        <is>
          <t>设计完成；未实装</t>
        </is>
      </c>
      <c r="N41" s="167" t="inlineStr">
        <is>
          <t>docs/v0.1/03_技术施工_玩家与操作.md §10.3</t>
        </is>
      </c>
      <c r="O41" s="167" t="inlineStr">
        <is>
          <t>tags=consumable, battery, flashlight; 手电筒电量契约</t>
        </is>
      </c>
      <c r="P41" s="169">
        <f>IF(F41&gt;0,F41,0)</f>
        <v/>
      </c>
      <c r="Q41" s="169">
        <f>IF(F41&gt;0,ROUND(F41*0.5,0),0)</f>
        <v/>
      </c>
      <c r="R41" s="169" t="b">
        <v>1</v>
      </c>
      <c r="S41" s="169" t="inlineStr">
        <is>
          <t>unlimited</t>
        </is>
      </c>
      <c r="T41" s="169" t="n">
        <v>6</v>
      </c>
    </row>
    <row r="42">
      <c r="A42" s="167" t="inlineStr">
        <is>
          <t>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3</v>
      </c>
      <c r="H42" s="167" t="inlineStr">
        <is>
          <t>refill_flashlight</t>
        </is>
      </c>
      <c r="I42" s="167" t="inlineStr">
        <is>
          <t>恢复手电筒 75% 电量，仅作用于自身手电筒</t>
        </is>
      </c>
      <c r="J42" s="167" t="inlineStr">
        <is>
          <t>scavenge_floor_3×1；scavenge_floor_4×1.5；scavenge_floor_5×1；elite_floor_2×1.2；elite_floor_3×1；boss_floor_1×0.8；loot_floor_3_4×0.8；loot_floor_5×1</t>
        </is>
      </c>
      <c r="K42" s="167" t="n">
        <v>1</v>
      </c>
      <c r="L42" s="168" t="inlineStr">
        <is>
          <t>[用户设计]</t>
        </is>
      </c>
      <c r="M42" s="167" t="inlineStr">
        <is>
          <t>设计完成；未实装</t>
        </is>
      </c>
      <c r="N42" s="167" t="inlineStr">
        <is>
          <t>docs/v0.1/03_技术施工_玩家与操作.md §10.3</t>
        </is>
      </c>
      <c r="O42" s="167" t="inlineStr">
        <is>
          <t>tags=consumable, battery, flashlight; 大型电池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>
      <c r="A43" s="167" t="inlineStr">
        <is>
          <t>cell_pack</t>
        </is>
      </c>
      <c r="B43" s="167" t="inlineStr">
        <is>
          <t>能量包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1</v>
      </c>
      <c r="H43" s="167" t="inlineStr">
        <is>
          <t>refill_flashlight_full</t>
        </is>
      </c>
      <c r="I43" s="167" t="inlineStr">
        <is>
          <t>完全恢复手电筒电量至 100%，仅作用于自身手电筒</t>
        </is>
      </c>
      <c r="J43" s="167" t="inlineStr">
        <is>
          <t>elite_floor_3×0.6；elite_floor_4×0.8；boss_floor_1×0.5；boss_floor_2×0.5；loot_floor_5×1；loot_abyss×1.5</t>
        </is>
      </c>
      <c r="K43" s="167" t="n">
        <v>2</v>
      </c>
      <c r="L43" s="168" t="inlineStr">
        <is>
          <t>[用户设计]</t>
        </is>
      </c>
      <c r="M43" s="167" t="inlineStr">
        <is>
          <t>设计完成；未实装</t>
        </is>
      </c>
      <c r="N43" s="167" t="inlineStr">
        <is>
          <t>docs/v0.1/03_技术施工_玩家与操作.md §10.3</t>
        </is>
      </c>
      <c r="O43" s="167" t="inlineStr">
        <is>
          <t>tags=consumable, battery, flashlight, rare; 能量包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>
      <c r="A44" s="167" t="inlineStr">
        <is>
          <t>flashlight_module_basic</t>
        </is>
      </c>
      <c r="B44" s="167" t="inlineStr">
        <is>
          <t>基础手电筒模块</t>
        </is>
      </c>
      <c r="C44" s="167" t="inlineStr">
        <is>
          <t>equipment</t>
        </is>
      </c>
      <c r="D44" s="167" t="inlineStr">
        <is>
          <t>flashlight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装备到 flashlight_module 槽位；功耗 1.0×，光照范围 1.0×；默认装备，模块切换仅在基地内可执行</t>
        </is>
      </c>
      <c r="J44" s="167" t="inlineStr">
        <is>
          <t>默认装备，未列入普通掉落</t>
        </is>
      </c>
      <c r="K44" s="167" t="n"/>
      <c r="L44" s="168" t="inlineStr">
        <is>
          <t>[用户设计]</t>
        </is>
      </c>
      <c r="M44" s="167" t="inlineStr">
        <is>
          <t>设计完成；未实装</t>
        </is>
      </c>
      <c r="N44" s="167" t="inlineStr">
        <is>
          <t>docs/v0.1/03_技术施工_玩家与操作.md §10.4</t>
        </is>
      </c>
      <c r="O44" s="167" t="inlineStr">
        <is>
          <t>tags=equipment, flashlight, default; 玩家初始装备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>
      <c r="A45" s="167" t="inlineStr">
        <is>
          <t>flashlight_module_advanced</t>
        </is>
      </c>
      <c r="B45" s="167" t="inlineStr">
        <is>
          <t>加强手电筒模块</t>
        </is>
      </c>
      <c r="C45" s="167" t="inlineStr">
        <is>
          <t>equipment</t>
        </is>
      </c>
      <c r="D45" s="167" t="inlineStr">
        <is>
          <t>flashlight</t>
        </is>
      </c>
      <c r="E45" s="167" t="inlineStr">
        <is>
          <t>uncommon</t>
        </is>
      </c>
      <c r="F45" s="167" t="n">
        <v>100</v>
      </c>
      <c r="G45" s="167" t="n">
        <v>1</v>
      </c>
      <c r="H45" s="167" t="inlineStr">
        <is>
          <t>equip_flashlight_module</t>
        </is>
      </c>
      <c r="I45" s="167" t="inlineStr">
        <is>
          <t>装备到 flashlight_module 槽位；功耗 0.75×，光照范围 1.20×；需要解锁蓝图或基地工坊制造</t>
        </is>
      </c>
      <c r="J45" s="167" t="inlineStr">
        <is>
          <t>loot_floor_3_4×1.5；loot_floor_5×1.2；elite_floor_2×0.8；scavenge_floor_4×1；scavenge_floor_5×1</t>
        </is>
      </c>
      <c r="K45" s="167" t="n">
        <v>1</v>
      </c>
      <c r="L45" s="168" t="inlineStr">
        <is>
          <t>[用户设计]</t>
        </is>
      </c>
      <c r="M45" s="167" t="inlineStr">
        <is>
          <t>设计完成；未实装</t>
        </is>
      </c>
      <c r="N45" s="167" t="inlineStr">
        <is>
          <t>docs/v0.1/03_技术施工_玩家与操作.md §10.4</t>
        </is>
      </c>
      <c r="O45" s="167" t="inlineStr">
        <is>
          <t>tags=equipment, flashlight, advanced; 蓝图或基地工坊制造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>
      <c r="A46" s="167" t="inlineStr">
        <is>
          <t>flashlight_module_efficient</t>
        </is>
      </c>
      <c r="B46" s="167" t="inlineStr">
        <is>
          <t>节能手电筒模块</t>
        </is>
      </c>
      <c r="C46" s="167" t="inlineStr">
        <is>
          <t>equipment</t>
        </is>
      </c>
      <c r="D46" s="167" t="inlineStr">
        <is>
          <t>flashlight</t>
        </is>
      </c>
      <c r="E46" s="167" t="inlineStr">
        <is>
          <t>rare</t>
        </is>
      </c>
      <c r="F46" s="167" t="n">
        <v>200</v>
      </c>
      <c r="G46" s="167" t="n">
        <v>1</v>
      </c>
      <c r="H46" s="167" t="inlineStr">
        <is>
          <t>equip_flashlight_module</t>
        </is>
      </c>
      <c r="I46" s="167" t="inlineStr">
        <is>
          <t>装备到 flashlight_module 槽位；功耗 0.50×，光照范围 0.85×；稀有模块，仅精英掉落或带出</t>
        </is>
      </c>
      <c r="J46" s="167" t="inlineStr">
        <is>
          <t>elite_floor_3×0.6；elite_floor_4×0.8；boss_floor_1×0.4；loot_abyss×1</t>
        </is>
      </c>
      <c r="K46" s="167" t="n">
        <v>2</v>
      </c>
      <c r="L46" s="168" t="inlineStr">
        <is>
          <t>[用户设计]</t>
        </is>
      </c>
      <c r="M46" s="167" t="inlineStr">
        <is>
          <t>设计完成；未实装</t>
        </is>
      </c>
      <c r="N46" s="167" t="inlineStr">
        <is>
          <t>docs/v0.1/03_技术施工_玩家与操作.md §10.4</t>
        </is>
      </c>
      <c r="O46" s="167" t="inlineStr">
        <is>
          <t>tags=equipment, flashlight, efficient; 稀有模块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3" t="inlineStr">
        <is>
          <t>ShellStorm2 游戏内容数据库｜字段字典</t>
        </is>
      </c>
    </row>
    <row r="2" ht="30" customHeight="1" s="135">
      <c r="A2" s="7" t="inlineStr">
        <is>
          <t>字段字典内容调整至人的共同契约。新增命运塔罗的阿尔卡那、花色、正/逆位概率、参数快照与翻牌字段。</t>
        </is>
      </c>
    </row>
    <row r="3" ht="30" customHeight="1" s="135">
      <c r="A3" s="7" t="inlineStr">
        <is>
          <t>字体颜色：绿色=已实装；蓝色=用户设计；橙色=Codex补充。实现状态需结合事实源判断。</t>
        </is>
      </c>
    </row>
    <row r="4" ht="36" customHeight="1" s="135">
      <c r="A4" s="13" t="inlineStr">
        <is>
          <t>工作表</t>
        </is>
      </c>
      <c r="B4" s="13" t="inlineStr">
        <is>
          <t>字段</t>
        </is>
      </c>
      <c r="C4" s="13" t="inlineStr">
        <is>
          <t>定义</t>
        </is>
      </c>
      <c r="D4" s="13" t="inlineStr">
        <is>
          <t>数据类型</t>
        </is>
      </c>
      <c r="E4" s="13" t="inlineStr">
        <is>
          <t>必填</t>
        </is>
      </c>
      <c r="F4" s="13" t="inlineStr">
        <is>
          <t>所有者</t>
        </is>
      </c>
      <c r="G4" s="13" t="inlineStr">
        <is>
          <t>验证规则</t>
        </is>
      </c>
      <c r="H4" s="13" t="inlineStr">
        <is>
          <t>来源</t>
        </is>
      </c>
    </row>
    <row r="5" ht="54" customHeight="1" s="135">
      <c r="A5" s="17" t="inlineStr">
        <is>
          <t>全表</t>
        </is>
      </c>
      <c r="B5" s="17" t="inlineStr">
        <is>
          <t>稳定ID</t>
        </is>
      </c>
      <c r="C5" s="17" t="inlineStr">
        <is>
          <t>跨版本稳定的内容定义主键</t>
        </is>
      </c>
      <c r="D5" s="17" t="inlineStr">
        <is>
          <t>string</t>
        </is>
      </c>
      <c r="E5" s="17" t="inlineStr">
        <is>
          <t>是</t>
        </is>
      </c>
      <c r="F5" s="17" t="inlineStr">
        <is>
          <t>内容系统</t>
        </is>
      </c>
      <c r="G5" s="17" t="inlineStr">
        <is>
          <t>小写蛇形；全局/表内唯一</t>
        </is>
      </c>
      <c r="H5" s="19" t="inlineStr">
        <is>
          <t>[Codex补充]</t>
        </is>
      </c>
    </row>
    <row r="6" ht="54" customHeight="1" s="135">
      <c r="A6" s="17" t="inlineStr">
        <is>
          <t>全表</t>
        </is>
      </c>
      <c r="B6" s="17" t="inlineStr">
        <is>
          <t>状态来源</t>
        </is>
      </c>
      <c r="C6" s="17" t="inlineStr">
        <is>
          <t>区分已实装、用户设计、Codex补充</t>
        </is>
      </c>
      <c r="D6" s="17" t="inlineStr">
        <is>
          <t>enum</t>
        </is>
      </c>
      <c r="E6" s="17" t="inlineStr">
        <is>
          <t>是</t>
        </is>
      </c>
      <c r="F6" s="17" t="inlineStr">
        <is>
          <t>文档治理</t>
        </is>
      </c>
      <c r="G6" s="17" t="inlineStr">
        <is>
          <t>三种固定值</t>
        </is>
      </c>
      <c r="H6" s="20" t="inlineStr">
        <is>
          <t>[用户设计]</t>
        </is>
      </c>
    </row>
    <row r="7" ht="54" customHeight="1" s="135">
      <c r="A7" s="17" t="inlineStr">
        <is>
          <t>全表</t>
        </is>
      </c>
      <c r="B7" s="17" t="inlineStr">
        <is>
          <t>实现状态</t>
        </is>
      </c>
      <c r="C7" s="17" t="inlineStr">
        <is>
          <t>说明正式3D、兼容原型、未实现或待QA</t>
        </is>
      </c>
      <c r="D7" s="17" t="inlineStr">
        <is>
          <t>string</t>
        </is>
      </c>
      <c r="E7" s="17" t="inlineStr">
        <is>
          <t>是</t>
        </is>
      </c>
      <c r="F7" s="17" t="inlineStr">
        <is>
          <t>对应系统</t>
        </is>
      </c>
      <c r="G7" s="17" t="inlineStr">
        <is>
          <t>不得只写完成/未完成</t>
        </is>
      </c>
      <c r="H7" s="19" t="inlineStr">
        <is>
          <t>[Codex补充]</t>
        </is>
      </c>
    </row>
    <row r="8" ht="54" customHeight="1" s="135">
      <c r="A8" s="17" t="inlineStr">
        <is>
          <t>全表</t>
        </is>
      </c>
      <c r="B8" s="17" t="inlineStr">
        <is>
          <t>事实源</t>
        </is>
      </c>
      <c r="C8" s="17" t="inlineStr">
        <is>
          <t>代码、场景、设计或数据库来源</t>
        </is>
      </c>
      <c r="D8" s="17" t="inlineStr">
        <is>
          <t>string</t>
        </is>
      </c>
      <c r="E8" s="17" t="inlineStr">
        <is>
          <t>是</t>
        </is>
      </c>
      <c r="F8" s="17" t="inlineStr">
        <is>
          <t>对应系统</t>
        </is>
      </c>
      <c r="G8" s="17" t="inlineStr">
        <is>
          <t>至少一个可定位来源</t>
        </is>
      </c>
      <c r="H8" s="19" t="inlineStr">
        <is>
          <t>[Codex补充]</t>
        </is>
      </c>
    </row>
    <row r="9" ht="54" customHeight="1" s="135">
      <c r="A9" s="17" t="inlineStr">
        <is>
          <t>武器</t>
        </is>
      </c>
      <c r="B9" s="17" t="inlineStr">
        <is>
          <t>蓝图Tier</t>
        </is>
      </c>
      <c r="C9" s="17" t="inlineStr">
        <is>
          <t>基地蓝图许可层级</t>
        </is>
      </c>
      <c r="D9" s="17" t="inlineStr">
        <is>
          <t>integer</t>
        </is>
      </c>
      <c r="E9" s="17" t="inlineStr">
        <is>
          <t>是</t>
        </is>
      </c>
      <c r="F9" s="17" t="inlineStr">
        <is>
          <t>战斗/基地</t>
        </is>
      </c>
      <c r="G9" s="17" t="inlineStr">
        <is>
          <t>0–99；当前0–3</t>
        </is>
      </c>
      <c r="H9" s="18" t="inlineStr">
        <is>
          <t>[已实装]</t>
        </is>
      </c>
    </row>
    <row r="10" ht="54" customHeight="1" s="135">
      <c r="A10" s="17" t="inlineStr">
        <is>
          <t>武器</t>
        </is>
      </c>
      <c r="B10" s="17" t="inlineStr">
        <is>
          <t>核心数值</t>
        </is>
      </c>
      <c r="C10" s="17" t="inlineStr">
        <is>
          <t>枪身/子弹/配件自身提供的基础参数</t>
        </is>
      </c>
      <c r="D10" s="17" t="inlineStr">
        <is>
          <t>key=value</t>
        </is>
      </c>
      <c r="E10" s="17" t="inlineStr">
        <is>
          <t>是</t>
        </is>
      </c>
      <c r="F10" s="17" t="inlineStr">
        <is>
          <t>战斗</t>
        </is>
      </c>
      <c r="G10" s="17" t="inlineStr">
        <is>
          <t>不写最终合成结果</t>
        </is>
      </c>
      <c r="H10" s="18" t="inlineStr">
        <is>
          <t>[已实装]</t>
        </is>
      </c>
    </row>
    <row r="11" ht="54" customHeight="1" s="135">
      <c r="A11" s="17" t="inlineStr">
        <is>
          <t>武器</t>
        </is>
      </c>
      <c r="B11" s="17" t="inlineStr">
        <is>
          <t>产出与掉落</t>
        </is>
      </c>
      <c r="C11" s="17" t="inlineStr">
        <is>
          <t>ItemRegistry掉落池键和相对权重</t>
        </is>
      </c>
      <c r="D11" s="17" t="inlineStr">
        <is>
          <t>list</t>
        </is>
      </c>
      <c r="E11" s="17" t="inlineStr">
        <is>
          <t>是</t>
        </is>
      </c>
      <c r="F11" s="17" t="inlineStr">
        <is>
          <t>掉落</t>
        </is>
      </c>
      <c r="G11" s="17" t="inlineStr">
        <is>
          <t>权重不是百分比</t>
        </is>
      </c>
      <c r="H11" s="18" t="inlineStr">
        <is>
          <t>[已实装]</t>
        </is>
      </c>
    </row>
    <row r="12" ht="54" customHeight="1" s="135">
      <c r="A12" s="17" t="inlineStr">
        <is>
          <t>命运卡</t>
        </is>
      </c>
      <c r="B12" s="17" t="inlineStr">
        <is>
          <t>背景来源</t>
        </is>
      </c>
      <c r="C12" s="17" t="inlineStr">
        <is>
          <t>区分功能来源与新增背景文案来源</t>
        </is>
      </c>
      <c r="D12" s="17" t="inlineStr">
        <is>
          <t>enum</t>
        </is>
      </c>
      <c r="E12" s="17" t="inlineStr">
        <is>
          <t>是</t>
        </is>
      </c>
      <c r="F12" s="17" t="inlineStr">
        <is>
          <t>叙事内容</t>
        </is>
      </c>
      <c r="G12" s="17" t="inlineStr">
        <is>
          <t>使用三色固定值</t>
        </is>
      </c>
      <c r="H12" s="19" t="inlineStr">
        <is>
          <t>[Codex补充]</t>
        </is>
      </c>
    </row>
    <row r="13" ht="54" customHeight="1" s="135">
      <c r="A13" s="17" t="inlineStr">
        <is>
          <t>命运卡</t>
        </is>
      </c>
      <c r="B13" s="17" t="inlineStr">
        <is>
          <t>目标规则</t>
        </is>
      </c>
      <c r="C13" s="17" t="inlineStr">
        <is>
          <t>卡片可以选择的装配节点</t>
        </is>
      </c>
      <c r="D13" s="17" t="inlineStr">
        <is>
          <t>list/dict</t>
        </is>
      </c>
      <c r="E13" s="17" t="inlineStr">
        <is>
          <t>是</t>
        </is>
      </c>
      <c r="F13" s="17" t="inlineStr">
        <is>
          <t>战斗</t>
        </is>
      </c>
      <c r="G13" s="17" t="inlineStr">
        <is>
          <t>空值表示执行器自动选择/环境规则</t>
        </is>
      </c>
      <c r="H13" s="18" t="inlineStr">
        <is>
          <t>[已实装]</t>
        </is>
      </c>
    </row>
    <row r="14" ht="54" customHeight="1" s="135">
      <c r="A14" s="17" t="inlineStr">
        <is>
          <t>命运卡</t>
        </is>
      </c>
      <c r="B14" s="17" t="inlineStr">
        <is>
          <t>效果参数</t>
        </is>
      </c>
      <c r="C14" s="17" t="inlineStr">
        <is>
          <t>EffectAction和全部执行参数</t>
        </is>
      </c>
      <c r="D14" s="17" t="inlineStr">
        <is>
          <t>key=value</t>
        </is>
      </c>
      <c r="E14" s="17" t="inlineStr">
        <is>
          <t>是</t>
        </is>
      </c>
      <c r="F14" s="17" t="inlineStr">
        <is>
          <t>战斗</t>
        </is>
      </c>
      <c r="G14" s="17" t="inlineStr">
        <is>
          <t>动作名必须可读</t>
        </is>
      </c>
      <c r="H14" s="18" t="inlineStr">
        <is>
          <t>[已实装]</t>
        </is>
      </c>
    </row>
    <row r="15" ht="54" customHeight="1" s="135">
      <c r="A15" s="17" t="inlineStr">
        <is>
          <t>怪物与Boss</t>
        </is>
      </c>
      <c r="B15" s="17" t="inlineStr">
        <is>
          <t>正式3D数值</t>
        </is>
      </c>
      <c r="C15" s="17" t="inlineStr">
        <is>
          <t>Enemy3D Profile基线</t>
        </is>
      </c>
      <c r="D15" s="17" t="inlineStr">
        <is>
          <t>number</t>
        </is>
      </c>
      <c r="E15" s="17" t="inlineStr">
        <is>
          <t>是</t>
        </is>
      </c>
      <c r="F15" s="17" t="inlineStr">
        <is>
          <t>怪物</t>
        </is>
      </c>
      <c r="G15" s="17" t="inlineStr">
        <is>
          <t>不得混用旧2D基线</t>
        </is>
      </c>
      <c r="H15" s="18" t="inlineStr">
        <is>
          <t>[已实装]</t>
        </is>
      </c>
    </row>
    <row r="16" ht="54" customHeight="1" s="135">
      <c r="A16" s="17" t="inlineStr">
        <is>
          <t>怪物与Boss</t>
        </is>
      </c>
      <c r="B16" s="17" t="inlineStr">
        <is>
          <t>刷新位置</t>
        </is>
      </c>
      <c r="C16" s="17" t="inlineStr">
        <is>
          <t>楼层深度、房间类型、主题池</t>
        </is>
      </c>
      <c r="D16" s="17" t="inlineStr">
        <is>
          <t>string</t>
        </is>
      </c>
      <c r="E16" s="17" t="inlineStr">
        <is>
          <t>是</t>
        </is>
      </c>
      <c r="F16" s="17" t="inlineStr">
        <is>
          <t>关卡/怪物</t>
        </is>
      </c>
      <c r="G16" s="17" t="inlineStr">
        <is>
          <t>不能只写随机</t>
        </is>
      </c>
      <c r="H16" s="19" t="inlineStr">
        <is>
          <t>[Codex补充]</t>
        </is>
      </c>
    </row>
    <row r="17" ht="54" customHeight="1" s="135">
      <c r="A17" s="17" t="inlineStr">
        <is>
          <t>精英怪</t>
        </is>
      </c>
      <c r="B17" s="17" t="inlineStr">
        <is>
          <t>名册来源</t>
        </is>
      </c>
      <c r="C17" s="17" t="inlineStr">
        <is>
          <t>12只固定唯一名册由用户设计冻结</t>
        </is>
      </c>
      <c r="D17" s="17" t="inlineStr">
        <is>
          <t>enum</t>
        </is>
      </c>
      <c r="E17" s="17" t="inlineStr">
        <is>
          <t>是</t>
        </is>
      </c>
      <c r="F17" s="17" t="inlineStr">
        <is>
          <t>精英名册</t>
        </is>
      </c>
      <c r="G17" s="17" t="inlineStr">
        <is>
          <t>12行均为用户设计</t>
        </is>
      </c>
      <c r="H17" s="20" t="inlineStr">
        <is>
          <t>[用户设计]</t>
        </is>
      </c>
    </row>
    <row r="18" ht="54" customHeight="1" s="135">
      <c r="A18" s="17" t="inlineStr">
        <is>
          <t>精英怪</t>
        </is>
      </c>
      <c r="B18" s="17" t="inlineStr">
        <is>
          <t>名称/玩法来源</t>
        </is>
      </c>
      <c r="C18" s="17" t="inlineStr">
        <is>
          <t>已有原型或Codex补齐的具体内容</t>
        </is>
      </c>
      <c r="D18" s="17" t="inlineStr">
        <is>
          <t>enum</t>
        </is>
      </c>
      <c r="E18" s="17" t="inlineStr">
        <is>
          <t>是</t>
        </is>
      </c>
      <c r="F18" s="17" t="inlineStr">
        <is>
          <t>内容设计</t>
        </is>
      </c>
      <c r="G18" s="17" t="inlineStr">
        <is>
          <t>与名册来源分开</t>
        </is>
      </c>
      <c r="H18" s="19" t="inlineStr">
        <is>
          <t>[Codex补充]</t>
        </is>
      </c>
    </row>
    <row r="19" ht="54" customHeight="1" s="135">
      <c r="A19" s="17" t="inlineStr">
        <is>
          <t>精英怪</t>
        </is>
      </c>
      <c r="B19" s="17" t="inlineStr">
        <is>
          <t>唯一约束</t>
        </is>
      </c>
      <c r="C19" s="17" t="inlineStr">
        <is>
          <t>同ID同一时间最多一个预约/实例</t>
        </is>
      </c>
      <c r="D19" s="17" t="inlineStr">
        <is>
          <t>string</t>
        </is>
      </c>
      <c r="E19" s="17" t="inlineStr">
        <is>
          <t>是</t>
        </is>
      </c>
      <c r="F19" s="17" t="inlineStr">
        <is>
          <t>精英名册</t>
        </is>
      </c>
      <c r="G19" s="17" t="inlineStr">
        <is>
          <t>全局服务执行</t>
        </is>
      </c>
      <c r="H19" s="20" t="inlineStr">
        <is>
          <t>[用户设计]</t>
        </is>
      </c>
    </row>
    <row r="20" ht="54" customHeight="1" s="135">
      <c r="A20" s="17" t="inlineStr">
        <is>
          <t>精英怪</t>
        </is>
      </c>
      <c r="B20" s="17" t="inlineStr">
        <is>
          <t>夺械转译</t>
        </is>
      </c>
      <c r="C20" s="17" t="inlineStr">
        <is>
          <t>玩家模块转为敌方技能的预算规则</t>
        </is>
      </c>
      <c r="D20" s="17" t="inlineStr">
        <is>
          <t>string</t>
        </is>
      </c>
      <c r="E20" s="17" t="inlineStr">
        <is>
          <t>是</t>
        </is>
      </c>
      <c r="F20" s="17" t="inlineStr">
        <is>
          <t>精英/战斗</t>
        </is>
      </c>
      <c r="G20" s="17" t="inlineStr">
        <is>
          <t>保存稳定内容ID</t>
        </is>
      </c>
      <c r="H20" s="20" t="inlineStr">
        <is>
          <t>[用户设计]</t>
        </is>
      </c>
    </row>
    <row r="21" ht="54" customHeight="1" s="135">
      <c r="A21" s="17" t="inlineStr">
        <is>
          <t>掉落物品</t>
        </is>
      </c>
      <c r="B21" s="17" t="inlineStr">
        <is>
          <t>价格</t>
        </is>
      </c>
      <c r="C21" s="17" t="inlineStr">
        <is>
          <t>出售/购买基础价值；0可能表示不可出售</t>
        </is>
      </c>
      <c r="D21" s="17" t="inlineStr">
        <is>
          <t>number</t>
        </is>
      </c>
      <c r="E21" s="17" t="inlineStr">
        <is>
          <t>是</t>
        </is>
      </c>
      <c r="F21" s="17" t="inlineStr">
        <is>
          <t>经济</t>
        </is>
      </c>
      <c r="G21" s="17" t="inlineStr">
        <is>
          <t>&gt;=0；结合商人层级</t>
        </is>
      </c>
      <c r="H21" s="18" t="inlineStr">
        <is>
          <t>[已实装]</t>
        </is>
      </c>
    </row>
    <row r="22" ht="54" customHeight="1" s="135">
      <c r="A22" s="17" t="inlineStr">
        <is>
          <t>掉落物品</t>
        </is>
      </c>
      <c r="B22" s="17" t="inlineStr">
        <is>
          <t>产出位置</t>
        </is>
      </c>
      <c r="C22" s="17" t="inlineStr">
        <is>
          <t>房间、怪物、Boss、搜索或系统签发</t>
        </is>
      </c>
      <c r="D22" s="17" t="inlineStr">
        <is>
          <t>string</t>
        </is>
      </c>
      <c r="E22" s="17" t="inlineStr">
        <is>
          <t>是</t>
        </is>
      </c>
      <c r="F22" s="17" t="inlineStr">
        <is>
          <t>掉落/关卡</t>
        </is>
      </c>
      <c r="G22" s="17" t="inlineStr">
        <is>
          <t>进度物不可进普通池</t>
        </is>
      </c>
      <c r="H22" s="19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可拆卸配件与子弹模块槽位快照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不占命运槽；卸装与交换必须事务化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157" t="inlineStr">
        <is>
          <t>基地自动贩卖机｜固定货物清单 v0.1</t>
        </is>
      </c>
    </row>
    <row r="2" ht="26" customHeight="1" s="135">
      <c r="A2" s="161" t="inlineStr">
        <is>
          <t>价格、上架与库存公式回查《掉落物品》；ItemRegistry 运行时定义必须与本表验收一致。购买进入保险柜并生成独立实例。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3"/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base_stock_pistol</t>
        </is>
      </c>
      <c r="B5" s="145" t="inlineStr">
        <is>
          <t>base_vending</t>
        </is>
      </c>
      <c r="C5" s="145" t="inlineStr">
        <is>
          <t>weapon_pistol</t>
        </is>
      </c>
      <c r="D5" s="145" t="inlineStr">
        <is>
          <t>掉落物品</t>
        </is>
      </c>
      <c r="E5" s="145">
        <f>XLOOKUP(C5,'掉落物品'!$A$5:$A$46,'掉落物品'!$B$5:$B$46,"缺失")</f>
        <v/>
      </c>
      <c r="F5" s="145">
        <f>XLOOKUP(C5,'掉落物品'!$A$5:$A$46,'掉落物品'!$C$5:$C$46,"缺失")</f>
        <v/>
      </c>
      <c r="G5" s="145" t="inlineStr">
        <is>
          <t>extraction_points</t>
        </is>
      </c>
      <c r="H5" s="162">
        <f>XLOOKUP(C5,'掉落物品'!$A$5:$A$46,'掉落物品'!$P$5:$P$46,0)</f>
        <v/>
      </c>
      <c r="I5" s="162">
        <f>XLOOKUP(C5,'掉落物品'!$A$5:$A$46,'掉落物品'!$Q$5:$Q$46,0)</f>
        <v/>
      </c>
      <c r="J5" s="145">
        <f>XLOOKUP(C5,'掉落物品'!$A$5:$A$46,'掉落物品'!$S$5:$S$46,"not_listed")</f>
        <v/>
      </c>
      <c r="K5" s="162">
        <f>XLOOKUP(C5,'掉落物品'!$A$5:$A$46,'掉落物品'!$T$5:$T$46,0)</f>
        <v/>
      </c>
      <c r="L5" s="145" t="inlineStr">
        <is>
          <t>vault</t>
        </is>
      </c>
      <c r="M5" s="145" t="inlineStr">
        <is>
          <t>枪械进入保险柜；生成 item_instance_id + weapon_instance_id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base_stock_shotgun</t>
        </is>
      </c>
      <c r="B6" s="145" t="inlineStr">
        <is>
          <t>base_vending</t>
        </is>
      </c>
      <c r="C6" s="145" t="inlineStr">
        <is>
          <t>weapon_shotgun</t>
        </is>
      </c>
      <c r="D6" s="145" t="inlineStr">
        <is>
          <t>掉落物品</t>
        </is>
      </c>
      <c r="E6" s="145">
        <f>XLOOKUP(C6,'掉落物品'!$A$5:$A$46,'掉落物品'!$B$5:$B$46,"缺失")</f>
        <v/>
      </c>
      <c r="F6" s="145">
        <f>XLOOKUP(C6,'掉落物品'!$A$5:$A$46,'掉落物品'!$C$5:$C$46,"缺失")</f>
        <v/>
      </c>
      <c r="G6" s="145" t="inlineStr">
        <is>
          <t>extraction_points</t>
        </is>
      </c>
      <c r="H6" s="162">
        <f>XLOOKUP(C6,'掉落物品'!$A$5:$A$46,'掉落物品'!$P$5:$P$46,0)</f>
        <v/>
      </c>
      <c r="I6" s="162">
        <f>XLOOKUP(C6,'掉落物品'!$A$5:$A$46,'掉落物品'!$Q$5:$Q$46,0)</f>
        <v/>
      </c>
      <c r="J6" s="145">
        <f>XLOOKUP(C6,'掉落物品'!$A$5:$A$46,'掉落物品'!$S$5:$S$46,"not_listed")</f>
        <v/>
      </c>
      <c r="K6" s="162">
        <f>XLOOKUP(C6,'掉落物品'!$A$5:$A$46,'掉落物品'!$T$5:$T$46,0)</f>
        <v/>
      </c>
      <c r="L6" s="145" t="inlineStr">
        <is>
          <t>vault</t>
        </is>
      </c>
      <c r="M6" s="145" t="inlineStr">
        <is>
          <t>枪械进入保险柜；生成 item_instance_id + weapon_instance_id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base_stock_rifle</t>
        </is>
      </c>
      <c r="B7" s="145" t="inlineStr">
        <is>
          <t>base_vending</t>
        </is>
      </c>
      <c r="C7" s="145" t="inlineStr">
        <is>
          <t>weapon_rifle</t>
        </is>
      </c>
      <c r="D7" s="145" t="inlineStr">
        <is>
          <t>掉落物品</t>
        </is>
      </c>
      <c r="E7" s="145">
        <f>XLOOKUP(C7,'掉落物品'!$A$5:$A$46,'掉落物品'!$B$5:$B$46,"缺失")</f>
        <v/>
      </c>
      <c r="F7" s="145">
        <f>XLOOKUP(C7,'掉落物品'!$A$5:$A$46,'掉落物品'!$C$5:$C$46,"缺失")</f>
        <v/>
      </c>
      <c r="G7" s="145" t="inlineStr">
        <is>
          <t>extraction_points</t>
        </is>
      </c>
      <c r="H7" s="162">
        <f>XLOOKUP(C7,'掉落物品'!$A$5:$A$46,'掉落物品'!$P$5:$P$46,0)</f>
        <v/>
      </c>
      <c r="I7" s="162">
        <f>XLOOKUP(C7,'掉落物品'!$A$5:$A$46,'掉落物品'!$Q$5:$Q$46,0)</f>
        <v/>
      </c>
      <c r="J7" s="145">
        <f>XLOOKUP(C7,'掉落物品'!$A$5:$A$46,'掉落物品'!$S$5:$S$46,"not_listed")</f>
        <v/>
      </c>
      <c r="K7" s="162">
        <f>XLOOKUP(C7,'掉落物品'!$A$5:$A$46,'掉落物品'!$T$5:$T$46,0)</f>
        <v/>
      </c>
      <c r="L7" s="145" t="inlineStr">
        <is>
          <t>vault</t>
        </is>
      </c>
      <c r="M7" s="145" t="inlineStr">
        <is>
          <t>枪械进入保险柜；生成 item_instance_id + weapon_instance_id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base_stock_backpack_2</t>
        </is>
      </c>
      <c r="B8" s="145" t="inlineStr">
        <is>
          <t>base_vending</t>
        </is>
      </c>
      <c r="C8" s="145" t="inlineStr">
        <is>
          <t>equipment_backpack_2</t>
        </is>
      </c>
      <c r="D8" s="145" t="inlineStr">
        <is>
          <t>掉落物品</t>
        </is>
      </c>
      <c r="E8" s="145">
        <f>XLOOKUP(C8,'掉落物品'!$A$5:$A$46,'掉落物品'!$B$5:$B$46,"缺失")</f>
        <v/>
      </c>
      <c r="F8" s="145">
        <f>XLOOKUP(C8,'掉落物品'!$A$5:$A$46,'掉落物品'!$C$5:$C$46,"缺失")</f>
        <v/>
      </c>
      <c r="G8" s="145" t="inlineStr">
        <is>
          <t>extraction_points</t>
        </is>
      </c>
      <c r="H8" s="162">
        <f>XLOOKUP(C8,'掉落物品'!$A$5:$A$46,'掉落物品'!$P$5:$P$46,0)</f>
        <v/>
      </c>
      <c r="I8" s="162">
        <f>XLOOKUP(C8,'掉落物品'!$A$5:$A$46,'掉落物品'!$Q$5:$Q$46,0)</f>
        <v/>
      </c>
      <c r="J8" s="145">
        <f>XLOOKUP(C8,'掉落物品'!$A$5:$A$46,'掉落物品'!$S$5:$S$46,"not_listed")</f>
        <v/>
      </c>
      <c r="K8" s="162">
        <f>XLOOKUP(C8,'掉落物品'!$A$5:$A$46,'掉落物品'!$T$5:$T$46,0)</f>
        <v/>
      </c>
      <c r="L8" s="145" t="inlineStr">
        <is>
          <t>vault</t>
        </is>
      </c>
      <c r="M8" s="145" t="inlineStr">
        <is>
          <t>装备进入保险柜；生成 item_instance_id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base_stock_health_potion</t>
        </is>
      </c>
      <c r="B9" s="145" t="inlineStr">
        <is>
          <t>base_vending</t>
        </is>
      </c>
      <c r="C9" s="145" t="inlineStr">
        <is>
          <t>item_health_potion</t>
        </is>
      </c>
      <c r="D9" s="145" t="inlineStr">
        <is>
          <t>掉落物品</t>
        </is>
      </c>
      <c r="E9" s="145">
        <f>XLOOKUP(C9,'掉落物品'!$A$5:$A$46,'掉落物品'!$B$5:$B$46,"缺失")</f>
        <v/>
      </c>
      <c r="F9" s="145">
        <f>XLOOKUP(C9,'掉落物品'!$A$5:$A$46,'掉落物品'!$C$5:$C$46,"缺失")</f>
        <v/>
      </c>
      <c r="G9" s="145" t="inlineStr">
        <is>
          <t>extraction_points</t>
        </is>
      </c>
      <c r="H9" s="162">
        <f>XLOOKUP(C9,'掉落物品'!$A$5:$A$46,'掉落物品'!$P$5:$P$46,0)</f>
        <v/>
      </c>
      <c r="I9" s="162">
        <f>XLOOKUP(C9,'掉落物品'!$A$5:$A$46,'掉落物品'!$Q$5:$Q$46,0)</f>
        <v/>
      </c>
      <c r="J9" s="145">
        <f>XLOOKUP(C9,'掉落物品'!$A$5:$A$46,'掉落物品'!$S$5:$S$46,"not_listed")</f>
        <v/>
      </c>
      <c r="K9" s="162">
        <f>XLOOKUP(C9,'掉落物品'!$A$5:$A$46,'掉落物品'!$T$5:$T$46,0)</f>
        <v/>
      </c>
      <c r="L9" s="145" t="inlineStr">
        <is>
          <t>vault</t>
        </is>
      </c>
      <c r="M9" s="145" t="inlineStr">
        <is>
          <t>道具进入保险柜；生成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base_stock_battery_s</t>
        </is>
      </c>
      <c r="B10" s="167" t="inlineStr">
        <is>
          <t>base_vending</t>
        </is>
      </c>
      <c r="C10" s="167" t="inlineStr">
        <is>
          <t>battery_s</t>
        </is>
      </c>
      <c r="D10" s="167" t="inlineStr">
        <is>
          <t>掉落物品</t>
        </is>
      </c>
      <c r="E10" s="167">
        <f>XLOOKUP(C10,'掉落物品'!$A$5:$A$46,'掉落物品'!$B$5:$B$46,"缺失")</f>
        <v/>
      </c>
      <c r="F10" s="167">
        <f>XLOOKUP(C10,'掉落物品'!$A$5:$A$46,'掉落物品'!$C$5:$C$46,"缺失")</f>
        <v/>
      </c>
      <c r="G10" s="167" t="inlineStr">
        <is>
          <t>extraction_points</t>
        </is>
      </c>
      <c r="H10" s="169">
        <f>XLOOKUP(C10,'掉落物品'!$A$5:$A$46,'掉落物品'!$P$5:$P$46,0)</f>
        <v/>
      </c>
      <c r="I10" s="169">
        <f>XLOOKUP(C10,'掉落物品'!$A$5:$A$46,'掉落物品'!$Q$5:$Q$46,0)</f>
        <v/>
      </c>
      <c r="J10" s="167">
        <f>XLOOKUP(C10,'掉落物品'!$A$5:$A$46,'掉落物品'!$S$5:$S$46,"not_listed")</f>
        <v/>
      </c>
      <c r="K10" s="167">
        <f>XLOOKUP(C10,'掉落物品'!$A$5:$A$46,'掉落物品'!$T$5:$T$46,0)</f>
        <v/>
      </c>
      <c r="L10" s="167" t="inlineStr">
        <is>
          <t>vault</t>
        </is>
      </c>
      <c r="M10" s="167" t="inlineStr">
        <is>
          <t>道具进入保险柜；生成 item_instance_id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</sheetData>
  <mergeCells count="2">
    <mergeCell ref="A2:R2"/>
    <mergeCell ref="A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2026-08-07T13:07:07Z</dcterms:created>
  <dcterms:modified xsi:type="dcterms:W3CDTF">2026-08-07T13:33:57Z</dcterms:modified>
</cp:coreProperties>
</file>