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26c4d89f3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78057a856ef4da0"/>
    <x:sheet xmlns:r="http://schemas.openxmlformats.org/officeDocument/2006/relationships" name="资产主表" sheetId="2" r:id="R89f46afb9d6a4c9a"/>
    <x:sheet xmlns:r="http://schemas.openxmlformats.org/officeDocument/2006/relationships" name="角色组件" sheetId="3" r:id="Rf3444a70fa474c5b"/>
    <x:sheet xmlns:r="http://schemas.openxmlformats.org/officeDocument/2006/relationships" name="动画与状态" sheetId="4" r:id="R6343e391dd8945bc"/>
    <x:sheet xmlns:r="http://schemas.openxmlformats.org/officeDocument/2006/relationships" name="分类与编码" sheetId="5" r:id="R00fc235860a44335"/>
    <x:sheet xmlns:r="http://schemas.openxmlformats.org/officeDocument/2006/relationships" name="命名与查重" sheetId="6" r:id="R76db8c121ec04479"/>
    <x:sheet xmlns:r="http://schemas.openxmlformats.org/officeDocument/2006/relationships" name="原型角色" sheetId="7" r:id="Rc069d100ad1141b6"/>
    <x:sheet xmlns:r="http://schemas.openxmlformats.org/officeDocument/2006/relationships" name="版本记录" sheetId="8" r:id="Rce68a42e7f2e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</x:fills>
  <x:borders count="6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3" fillId="5" borderId="2" xfId="0" applyNumberFormat="1" applyFont="1" applyFill="1" applyBorder="1" applyAlignment="1">
      <x:alignment horizontal="center" vertical="center" wrapText="1"/>
    </x:xf>
    <x:xf numFmtId="0" fontId="13" fillId="5" borderId="3" xfId="0" applyNumberFormat="1" applyFont="1" applyFill="1" applyBorder="1" applyAlignment="1">
      <x:alignment horizontal="center" vertical="center" wrapText="1"/>
    </x:xf>
    <x:xf numFmtId="0" fontId="14" fillId="0" borderId="4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/>
    </x:xf>
    <x:xf numFmtId="0" fontId="14" fillId="0" borderId="5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0"/>
    </x:xf>
    <x:xf numFmtId="0" fontId="18" fillId="8" borderId="0" xfId="0" applyNumberFormat="1" applyFont="1" applyFill="1" applyBorder="1" applyAlignment="1">
      <x:alignment vertical="center" wrapText="0"/>
    </x:xf>
    <x:xf numFmtId="0" fontId="18" fillId="9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9" fillId="10" borderId="0" xfId="0" applyNumberFormat="1" applyFont="1" applyFill="1" applyBorder="1"/>
    <x:xf numFmtId="0" fontId="0" fillId="11" borderId="0" xfId="0" applyNumberFormat="1" applyFont="1" applyFill="1" applyBorder="1"/>
    <x:xf numFmtId="0" fontId="20" fillId="11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1" fillId="13" borderId="0" xfId="0" applyNumberFormat="1" applyFont="1" applyFill="1" applyBorder="1"/>
    <x:xf numFmtId="0" fontId="21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5" fillId="15" borderId="0" xfId="0" applyNumberFormat="1" applyFont="1" applyFill="1" applyBorder="1"/>
    <x:xf numFmtId="0" fontId="21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2" fillId="19" borderId="0" xfId="0" applyNumberFormat="1" applyFont="1" applyFill="1" applyBorder="1"/>
    <x:xf numFmtId="0" fontId="22" fillId="19" borderId="0" xfId="0" applyNumberFormat="1" applyFont="1" applyFill="1" applyBorder="1" applyAlignment="1">
      <x:alignment wrapText="1"/>
    </x:xf>
    <x:xf numFmtId="0" fontId="20" fillId="20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wrapText="1"/>
    </x:xf>
    <x:xf numFmtId="0" fontId="22" fillId="2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 applyAlignment="1">
      <x:alignment vertical="center" wrapText="1"/>
    </x:xf>
    <x:xf numFmtId="0" fontId="20" fillId="11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20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1d2db26404a1e" /><Relationship Type="http://schemas.openxmlformats.org/officeDocument/2006/relationships/theme" Target="/xl/theme/theme1.xml" Id="R06c67034696049c0" /><Relationship Type="http://schemas.openxmlformats.org/officeDocument/2006/relationships/sharedStrings" Target="/xl/sharedStrings.xml" Id="R41deb818af0e4803" /><Relationship Type="http://schemas.openxmlformats.org/officeDocument/2006/relationships/worksheet" Target="/xl/worksheets/sheet1.xml" Id="R478057a856ef4da0" /><Relationship Type="http://schemas.openxmlformats.org/officeDocument/2006/relationships/worksheet" Target="/xl/worksheets/sheet2.xml" Id="R89f46afb9d6a4c9a" /><Relationship Type="http://schemas.openxmlformats.org/officeDocument/2006/relationships/worksheet" Target="/xl/worksheets/sheet3.xml" Id="Rf3444a70fa474c5b" /><Relationship Type="http://schemas.openxmlformats.org/officeDocument/2006/relationships/worksheet" Target="/xl/worksheets/sheet4.xml" Id="R6343e391dd8945bc" /><Relationship Type="http://schemas.openxmlformats.org/officeDocument/2006/relationships/worksheet" Target="/xl/worksheets/sheet5.xml" Id="R00fc235860a44335" /><Relationship Type="http://schemas.openxmlformats.org/officeDocument/2006/relationships/worksheet" Target="/xl/worksheets/sheet6.xml" Id="R76db8c121ec04479" /><Relationship Type="http://schemas.openxmlformats.org/officeDocument/2006/relationships/worksheet" Target="/xl/worksheets/sheet7.xml" Id="Rc069d100ad1141b6" /><Relationship Type="http://schemas.openxmlformats.org/officeDocument/2006/relationships/worksheet" Target="/xl/worksheets/sheet8.xml" Id="Rce68a42e7f2e4c10" /><Relationship Type="http://schemas.microsoft.com/office/2017/10/relationships/person" Target="/xl/persons/person.xml" Id="Rce9c9f0d4a2d401e" /></Relationships>
</file>

<file path=xl/persons/person.xml><?xml version="1.0" encoding="utf-8"?>
<xltc:personList xmlns:xltc="http://schemas.microsoft.com/office/spreadsheetml/2018/threadedcomments">
  <xltc:person displayName="User" id="{6AE9DE0D-FB05-4CA4-A5C8-2591843D632D}"/>
</xltc:personList>
</file>

<file path=xl/tables/table1.xml><?xml version="1.0" encoding="utf-8"?>
<x:table xmlns:x="http://schemas.openxmlformats.org/spreadsheetml/2006/main" id="1" name="AssetMasterTable" displayName="AssetMasterTable" ref="A5:X112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e46b752a7748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" hidden="0" customWidth="1"/>
    <x:col min="5" max="5" width="8" hidden="0" customWidth="1"/>
    <x:col min="6" max="6" width="30" hidden="0" customWidth="1"/>
    <x:col min="7" max="7" width="42" hidden="0" customWidth="1"/>
    <x:col min="8" max="8" width="3" hidden="0" customWidth="1"/>
    <x:col min="9" max="9" width="21" hidden="0" customWidth="1"/>
    <x:col min="10" max="10" width="21" hidden="0" customWidth="1"/>
  </x:cols>
  <x:sheetData>
    <x:row r="1" ht="25" customHeight="1">
      <x:c r="A1" s="41" t="str">
        <x:v>SHELLSTORM 2 · 美术资产中枢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 ht="12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3" customHeight="1">
      <x:c r="A3" s="42" t="str">
        <x:v>先查重 → 归类 → 领取 AssetID → 制作组件 → 验收 → 登记哈希；本表是唯一资产台账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</x:row>
    <x:row r="5">
      <x:c r="A5" s="44" t="str">
        <x:v>资产总数</x:v>
      </x:c>
      <x:c r="B5" s="44" t="str"/>
      <x:c r="C5" s="44" t="str">
        <x:v>已完成/已接入</x:v>
      </x:c>
      <x:c r="D5" s="44" t="str"/>
      <x:c r="E5" s="44" t="str">
        <x:v>待制作/程序占位</x:v>
      </x:c>
      <x:c r="F5" s="44" t="str"/>
      <x:c r="G5" s="44" t="str">
        <x:v>重复警报</x:v>
      </x:c>
      <x:c r="H5" s="44" t="str"/>
      <x:c r="I5" s="44" t="str">
        <x:v>当前3D原型</x:v>
      </x:c>
      <x:c r="J5" s="44" t="str">
        <x:v>基地 + 四主题副本 + 独立靶场</x:v>
      </x:c>
    </x:row>
    <x:row r="6" ht="42" customHeight="1">
      <x:c r="A6" s="45" t="n">
        <x:v>155</x:v>
      </x:c>
      <x:c r="B6" s="43"/>
      <x:c r="C6" s="45" t="n">
        <x:v>59</x:v>
      </x:c>
      <x:c r="D6" s="43"/>
      <x:c r="E6" s="45" t="n">
        <x:f>COUNTIF('资产主表'!$K$6:$K$200,"待制作")+COUNTIF('资产主表'!$K$6:$K$200,"程序占位")</x:f>
        <x:v>94</x:v>
      </x:c>
      <x:c r="F6" s="43"/>
      <x:c r="G6" s="45" t="n">
        <x:f>COUNTIF('资产主表'!$S$6:$S$200,"重复")</x:f>
        <x:v>0</x:v>
      </x:c>
      <x:c r="H6" s="43"/>
      <x:c r="I6" s="46" t="str">
        <x:v>PH33 方形猫：头/身/单手/脚四模块；双眼双耳；圆短尾</x:v>
      </x:c>
      <x:c r="J6" s="46" t="str">
        <x:v>基地 + 四主题副本 + 独立靶场 + 角色与遭遇预览场</x:v>
      </x:c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</x:row>
    <x:row r="9" ht="32" customHeight="1">
      <x:c r="A9" s="47" t="str">
        <x:v>大类</x:v>
      </x:c>
      <x:c r="B9" s="48" t="str">
        <x:v>资产数</x:v>
      </x:c>
      <x:c r="C9" s="49" t="str">
        <x:v>完成/接入</x:v>
      </x:c>
      <x:c r="D9" s="43"/>
      <x:c r="E9" s="47" t="str">
        <x:v>新增资产强制门禁</x:v>
      </x:c>
      <x:c r="F9" s="48"/>
      <x:c r="G9" s="48"/>
      <x:c r="H9" s="48"/>
      <x:c r="I9" s="48"/>
      <x:c r="J9" s="49"/>
    </x:row>
    <x:row r="10">
      <x:c r="A10" s="50" t="str">
        <x:v>角色</x:v>
      </x:c>
      <x:c r="B10" s="50" t="n">
        <x:v>28</x:v>
      </x:c>
      <x:c r="C10" s="50" t="n">
        <x:v>27</x:v>
      </x:c>
      <x:c r="D10" s="43"/>
      <x:c r="E10" s="51" t="str">
        <x:v>1</x:v>
      </x:c>
      <x:c r="F10" s="50" t="str">
        <x:v>查逻辑 ID / 中文名 / 别名 / 文件哈希</x:v>
      </x:c>
      <x:c r="G10" s="50" t="str">
        <x:v>有同义资产则复用或建立变体父子关系</x:v>
      </x:c>
      <x:c r="H10" s="43"/>
      <x:c r="I10" s="43"/>
      <x:c r="J10" s="43"/>
    </x:row>
    <x:row r="11">
      <x:c r="A11" s="52" t="str">
        <x:v>敌人</x:v>
      </x:c>
      <x:c r="B11" s="52" t="n">
        <x:f>COUNTIF('资产主表'!$C$6:$C$200,A11)</x:f>
        <x:v>8</x:v>
      </x:c>
      <x:c r="C11" s="52" t="n">
        <x:f>COUNTIFS('资产主表'!$C$6:$C$200,A11,'资产主表'!$K$6:$K$200,"已完成")+COUNTIFS('资产主表'!$C$6:$C$200,A11,'资产主表'!$K$6:$K$200,"原型已接入")</x:f>
        <x:v>1</x:v>
      </x:c>
      <x:c r="D11" s="43"/>
      <x:c r="E11" s="51" t="str">
        <x:v>2</x:v>
      </x:c>
      <x:c r="F11" s="52" t="str">
        <x:v>在分类码表选择唯一大类与子类</x:v>
      </x:c>
      <x:c r="G11" s="52" t="str">
        <x:v>禁止同一资产跨目录复制</x:v>
      </x:c>
      <x:c r="H11" s="43"/>
      <x:c r="I11" s="43"/>
      <x:c r="J11" s="43"/>
    </x:row>
    <x:row r="12">
      <x:c r="A12" s="52" t="str">
        <x:v>枪械</x:v>
      </x:c>
      <x:c r="B12" s="52" t="n">
        <x:f>COUNTIF('资产主表'!$C$6:$C$200,A12)</x:f>
        <x:v>22</x:v>
      </x:c>
      <x:c r="C12" s="52" t="n">
        <x:f>COUNTIFS('资产主表'!$C$6:$C$200,A12,'资产主表'!$K$6:$K$200,"已完成")+COUNTIFS('资产主表'!$C$6:$C$200,A12,'资产主表'!$K$6:$K$200,"原型已接入")</x:f>
        <x:v>1</x:v>
      </x:c>
      <x:c r="D12" s="43"/>
      <x:c r="E12" s="51" t="str">
        <x:v>3</x:v>
      </x:c>
      <x:c r="F12" s="52" t="str">
        <x:v>领取稳定 AssetID 与小写 snake_case 文件名</x:v>
      </x:c>
      <x:c r="G12" s="52" t="str">
        <x:v>版本只加 _v002，不改 AssetID</x:v>
      </x:c>
      <x:c r="H12" s="43"/>
      <x:c r="I12" s="43"/>
      <x:c r="J12" s="43"/>
    </x:row>
    <x:row r="13">
      <x:c r="A13" s="52" t="str">
        <x:v>道具</x:v>
      </x:c>
      <x:c r="B13" s="52" t="n">
        <x:f>COUNTIF('资产主表'!$C$6:$C$200,A13)</x:f>
        <x:v>6</x:v>
      </x:c>
      <x:c r="C13" s="52" t="n">
        <x:f>COUNTIFS('资产主表'!$C$6:$C$200,A13,'资产主表'!$K$6:$K$200,"已完成")+COUNTIFS('资产主表'!$C$6:$C$200,A13,'资产主表'!$K$6:$K$200,"原型已接入")</x:f>
        <x:v>2</x:v>
      </x:c>
      <x:c r="D13" s="43"/>
      <x:c r="E13" s="51" t="str">
        <x:v>4</x:v>
      </x:c>
      <x:c r="F13" s="52" t="str">
        <x:v>3D房间/家具/枪械/怪物/灯具先查共用根与尺寸类</x:v>
      </x:c>
      <x:c r="G13" s="52" t="str">
        <x:v>主题差异进入资源或配置，禁止复制关卡局部目录</x:v>
      </x:c>
      <x:c r="H13" s="43"/>
      <x:c r="I13" s="43"/>
      <x:c r="J13" s="43"/>
    </x:row>
    <x:row r="14">
      <x:c r="A14" s="52" t="str">
        <x:v>场景</x:v>
      </x:c>
      <x:c r="B14" s="52" t="n">
        <x:f>COUNTIF('资产主表'!$C$6:$C$200,A14)</x:f>
        <x:v>35</x:v>
      </x:c>
      <x:c r="C14" s="52" t="n">
        <x:f>COUNTIFS('资产主表'!$C$6:$C$200,A14,'资产主表'!$K$6:$K$200,"已完成")+COUNTIFS('资产主表'!$C$6:$C$200,A14,'资产主表'!$K$6:$K$200,"原型已接入")</x:f>
        <x:v>14</x:v>
      </x:c>
      <x:c r="D14" s="43"/>
      <x:c r="E14" s="51" t="str">
        <x:v>5</x:v>
      </x:c>
      <x:c r="F14" s="52" t="str">
        <x:v>游戏内表现、状态机、玩法逻辑、性能四项验收</x:v>
      </x:c>
      <x:c r="G14" s="52" t="str">
        <x:v>通过后填写路径、尺寸、哈希、日期</x:v>
      </x:c>
      <x:c r="H14" s="43"/>
      <x:c r="I14" s="43"/>
      <x:c r="J14" s="43"/>
    </x:row>
    <x:row r="15">
      <x:c r="A15" s="52" t="str">
        <x:v>场景道具</x:v>
      </x:c>
      <x:c r="B15" s="52" t="n">
        <x:f>COUNTIF('资产主表'!$C$6:$C$200,A15)</x:f>
        <x:v>18</x:v>
      </x:c>
      <x:c r="C15" s="52" t="n">
        <x:f>COUNTIFS('资产主表'!$C$6:$C$200,A15,'资产主表'!$K$6:$K$200,"已完成")+COUNTIFS('资产主表'!$C$6:$C$200,A15,'资产主表'!$K$6:$K$200,"原型已接入")</x:f>
        <x:v>5</x:v>
      </x:c>
      <x:c r="D15" s="43"/>
      <x:c r="E15" s="43"/>
      <x:c r="F15" s="43"/>
      <x:c r="G15" s="43"/>
      <x:c r="H15" s="43"/>
      <x:c r="I15" s="43"/>
      <x:c r="J15" s="43"/>
    </x:row>
    <x:row r="16">
      <x:c r="A16" s="52" t="str">
        <x:v>UI</x:v>
      </x:c>
      <x:c r="B16" s="52" t="n">
        <x:f>COUNTIF('资产主表'!$C$6:$C$200,A16)</x:f>
        <x:v>16</x:v>
      </x:c>
      <x:c r="C16" s="52" t="n">
        <x:f>COUNTIFS('资产主表'!$C$6:$C$200,A16,'资产主表'!$K$6:$K$200,"已完成")+COUNTIFS('资产主表'!$C$6:$C$200,A16,'资产主表'!$K$6:$K$200,"原型已接入")</x:f>
        <x:v>4</x:v>
      </x:c>
      <x:c r="D16" s="43"/>
      <x:c r="E16" s="43"/>
      <x:c r="F16" s="43"/>
      <x:c r="G16" s="43"/>
      <x:c r="H16" s="43"/>
      <x:c r="I16" s="43"/>
      <x:c r="J16" s="43"/>
    </x:row>
    <x:row r="17">
      <x:c r="A17" s="52" t="str">
        <x:v>特效</x:v>
      </x:c>
      <x:c r="B17" s="52" t="n">
        <x:f>COUNTIF('资产主表'!$C$6:$C$200,A17)</x:f>
        <x:v>16</x:v>
      </x:c>
      <x:c r="C17" s="52" t="n">
        <x:f>COUNTIFS('资产主表'!$C$6:$C$200,A17,'资产主表'!$K$6:$K$200,"已完成")+COUNTIFS('资产主表'!$C$6:$C$200,A17,'资产主表'!$K$6:$K$200,"原型已接入")</x:f>
        <x:v>5</x:v>
      </x:c>
      <x:c r="D17" s="43"/>
      <x:c r="E17" s="43"/>
      <x:c r="F17" s="43"/>
      <x:c r="G17" s="43"/>
      <x:c r="H17" s="43"/>
      <x:c r="I17" s="43"/>
      <x:c r="J17" s="43"/>
    </x:row>
    <x:row r="18">
      <x:c r="A18" s="52" t="str">
        <x:v>音频</x:v>
      </x:c>
      <x:c r="B18" s="52" t="n">
        <x:f>COUNTIF('资产主表'!$C$6:$C$200,A18)</x:f>
        <x:v>13</x:v>
      </x:c>
      <x:c r="C18" s="52" t="n">
        <x:f>COUNTIFS('资产主表'!$C$6:$C$200,A18,'资产主表'!$K$6:$K$200,"已完成")+COUNTIFS('资产主表'!$C$6:$C$200,A18,'资产主表'!$K$6:$K$200,"原型已接入")</x:f>
        <x:v>1</x:v>
      </x:c>
      <x:c r="D18" s="43"/>
      <x:c r="E18" s="43"/>
      <x:c r="F18" s="43"/>
      <x:c r="G18" s="43"/>
      <x:c r="H18" s="43"/>
      <x:c r="I18" s="43"/>
      <x:c r="J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</x:row>
  </x:sheetData>
  <x:mergeCells>
    <x:mergeCell ref="A1:J2"/>
    <x:mergeCell ref="A3:J3"/>
    <x:mergeCell ref="I6:J6"/>
    <x:mergeCell ref="E9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0" hidden="0" customWidth="1"/>
    <x:col min="4" max="4" width="18" hidden="0" customWidth="1"/>
    <x:col min="5" max="5" width="22" hidden="0" customWidth="1"/>
    <x:col min="6" max="6" width="12" hidden="0" customWidth="1"/>
    <x:col min="7" max="7" width="25" hidden="0" customWidth="1"/>
    <x:col min="8" max="8" width="19" hidden="0" customWidth="1"/>
    <x:col min="9" max="9" width="15" hidden="0" customWidth="1"/>
    <x:col min="10" max="10" width="18" hidden="0" customWidth="1"/>
    <x:col min="11" max="11" width="12" hidden="0" customWidth="1"/>
    <x:col min="12" max="12" width="8" hidden="0" customWidth="1"/>
    <x:col min="13" max="13" width="9" hidden="0" customWidth="1"/>
    <x:col min="14" max="14" width="16" hidden="0" customWidth="1"/>
    <x:col min="15" max="15" width="36" hidden="0" customWidth="1"/>
    <x:col min="16" max="16" width="34" hidden="0" customWidth="1"/>
    <x:col min="17" max="17" width="26" hidden="0" customWidth="1"/>
    <x:col min="18" max="18" width="42" hidden="0" customWidth="1"/>
    <x:col min="19" max="19" width="12" hidden="0" customWidth="1"/>
    <x:col min="20" max="20" width="30" hidden="0" customWidth="1"/>
    <x:col min="21" max="21" width="12" hidden="0" customWidth="1"/>
    <x:col min="22" max="22" width="13" hidden="0" customWidth="1"/>
    <x:col min="23" max="23" width="16" hidden="0" customWidth="1"/>
    <x:col min="24" max="24" width="52" hidden="0" customWidth="1"/>
  </x:cols>
  <x:sheetData>
    <x:row r="1" ht="25" customHeight="1">
      <x:c r="A1" s="3" t="str">
        <x:v>资产主表 · 唯一登记源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3" customHeight="1">
      <x:c r="A3" s="6" t="str">
        <x:v>查重键由公式生成；S 列出现“重复”时禁止制作，先合并或建立变体父子关系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5" ht="32" customHeight="1">
      <x:c r="A5" s="28" t="str">
        <x:v>AssetID</x:v>
      </x:c>
      <x:c r="B5" s="29" t="str">
        <x:v>中文名</x:v>
      </x:c>
      <x:c r="C5" s="29" t="str">
        <x:v>大类</x:v>
      </x:c>
      <x:c r="D5" s="29" t="str">
        <x:v>子类</x:v>
      </x:c>
      <x:c r="E5" s="29" t="str">
        <x:v>逻辑ID/源键</x:v>
      </x:c>
      <x:c r="F5" s="29" t="str">
        <x:v>组件槽</x:v>
      </x:c>
      <x:c r="G5" s="29" t="str">
        <x:v>变体父ID</x:v>
      </x:c>
      <x:c r="H5" s="29" t="str">
        <x:v>视角</x:v>
      </x:c>
      <x:c r="I5" s="29" t="str">
        <x:v>状态/动画</x:v>
      </x:c>
      <x:c r="J5" s="29" t="str">
        <x:v>复用范围</x:v>
      </x:c>
      <x:c r="K5" s="29" t="str">
        <x:v>制作状态</x:v>
      </x:c>
      <x:c r="L5" s="29" t="str">
        <x:v>优先级</x:v>
      </x:c>
      <x:c r="M5" s="29" t="str">
        <x:v>版本</x:v>
      </x:c>
      <x:c r="N5" s="29" t="str">
        <x:v>规格(px)</x:v>
      </x:c>
      <x:c r="O5" s="29" t="str">
        <x:v>文件路径</x:v>
      </x:c>
      <x:c r="P5" s="29" t="str">
        <x:v>源码/策划依据</x:v>
      </x:c>
      <x:c r="Q5" s="29" t="str">
        <x:v>关键词/别名</x:v>
      </x:c>
      <x:c r="R5" s="29" t="str">
        <x:v>查重键</x:v>
      </x:c>
      <x:c r="S5" s="29" t="str">
        <x:v>查重结果</x:v>
      </x:c>
      <x:c r="T5" s="29" t="str">
        <x:v>SHA-256</x:v>
      </x:c>
      <x:c r="U5" s="29" t="str">
        <x:v>负责人</x:v>
      </x:c>
      <x:c r="V5" s="29" t="str">
        <x:v>更新时间</x:v>
      </x:c>
      <x:c r="W5" s="29" t="str">
        <x:v>来源/许可</x:v>
      </x:c>
      <x:c r="X5" s="30" t="str">
        <x:v>备注</x:v>
      </x:c>
    </x:row>
    <x:row r="6">
      <x:c r="A6" s="36" t="str">
        <x:v>CHR-PLY-CAPSULE01</x:v>
      </x:c>
      <x:c r="B6" s="36" t="str">
        <x:v>胶囊防护体玩家</x:v>
      </x:c>
      <x:c r="C6" s="36" t="str">
        <x:v>角色</x:v>
      </x:c>
      <x:c r="D6" s="36" t="str">
        <x:v>player</x:v>
      </x:c>
      <x:c r="E6" s="36" t="str">
        <x:v>player_capsule01</x:v>
      </x:c>
      <x:c r="F6" s="36" t="str">
        <x:v>root</x:v>
      </x:c>
      <x:c r="G6" s="36" t="str"/>
      <x:c r="H6" s="36" t="str">
        <x:v>侧面朝右（可水平翻转）</x:v>
      </x:c>
      <x:c r="I6" s="36" t="str">
        <x:v>default</x:v>
      </x:c>
      <x:c r="J6" s="36" t="str">
        <x:v>全模式玩家</x:v>
      </x:c>
      <x:c r="K6" s="36" t="str">
        <x:v>原型已接入</x:v>
      </x:c>
      <x:c r="L6" s="36" t="str">
        <x:v>P0</x:v>
      </x:c>
      <x:c r="M6" s="36" t="str">
        <x:v>v001</x:v>
      </x:c>
      <x:c r="N6" s="36" t="str">
        <x:v>组装后约 56×64 px</x:v>
      </x:c>
      <x:c r="O6" s="36" t="str">
        <x:v>assets/art/characters/player/chr_player_capsule01/</x:v>
      </x:c>
      <x:c r="P6" s="36" t="str">
        <x:v>src/player/PlayerAvatarRenderer.gd</x:v>
      </x:c>
      <x:c r="Q6" s="36" t="str">
        <x:v>玩家; 胶囊体; 防护服; 主角</x:v>
      </x:c>
      <x:c r="R6" s="36" t="str">
        <x:f>LOWER(TRIM(C6)&amp;"|"&amp;TRIM(D6)&amp;"|"&amp;TRIM(E6)&amp;"|"&amp;TRIM(F6)&amp;"|"&amp;TRIM(H6)&amp;"|"&amp;TRIM(I6))</x:f>
        <x:v>角色|player|player_capsule01|root|侧面朝右（可水平翻转）|default</x:v>
      </x:c>
      <x:c r="S6" s="36" t="str">
        <x:f>IF(A6="","",IF(COUNTIF($R$6:$R$162,R6)&gt;1,"重复","唯一"))</x:f>
        <x:v>唯一</x:v>
      </x:c>
      <x:c r="T6" s="36" t="str"/>
      <x:c r="U6" s="36" t="str">
        <x:v>待分配</x:v>
      </x:c>
      <x:c r="V6" s="53" t="n">
        <x:v>46224</x:v>
      </x:c>
      <x:c r="W6" s="36" t="str">
        <x:v>原创/待确认</x:v>
      </x:c>
      <x:c r="X6" s="36" t="str">
        <x:v>非人类抽象体；无腿；单手随身体朝向左右镜像；红围巾识别色</x:v>
      </x:c>
    </x:row>
    <x:row r="7">
      <x:c r="A7" s="37" t="str">
        <x:v>CHR-PLY-CAPSULE01-HEAD-SIDE</x:v>
      </x:c>
      <x:c r="B7" s="37" t="str">
        <x:v>胶囊头壳</x:v>
      </x:c>
      <x:c r="C7" s="37" t="str">
        <x:v>角色</x:v>
      </x:c>
      <x:c r="D7" s="37" t="str">
        <x:v>player_component</x:v>
      </x:c>
      <x:c r="E7" s="37" t="str">
        <x:v>player_capsule01</x:v>
      </x:c>
      <x:c r="F7" s="37" t="str">
        <x:v>head</x:v>
      </x:c>
      <x:c r="G7" s="37" t="str">
        <x:v>CHR-PLY-CAPSULE01</x:v>
      </x:c>
      <x:c r="H7" s="37" t="str">
        <x:v>侧面朝右（可水平翻转）</x:v>
      </x:c>
      <x:c r="I7" s="37" t="str">
        <x:v>default</x:v>
      </x:c>
      <x:c r="J7" s="37" t="str">
        <x:v>单资产</x:v>
      </x:c>
      <x:c r="K7" s="37" t="str">
        <x:v>已完成</x:v>
      </x:c>
      <x:c r="L7" s="37" t="str">
        <x:v>P0</x:v>
      </x:c>
      <x:c r="M7" s="37" t="str">
        <x:v>v001</x:v>
      </x:c>
      <x:c r="N7" s="37" t="str">
        <x:v>28×24 px</x:v>
      </x:c>
      <x:c r="O7" s="37" t="str">
        <x:v>assets/art/characters/player/chr_player_capsule01/components/chr_player_capsule01_head_side_v001.png</x:v>
      </x:c>
      <x:c r="P7" s="37" t="str">
        <x:v>AI 母版 + 色键裁切</x:v>
      </x:c>
      <x:c r="Q7" s="37" t="str">
        <x:v>头; 头盔; 传感器</x:v>
      </x:c>
      <x:c r="R7" s="37" t="str">
        <x:f>LOWER(TRIM(C7)&amp;"|"&amp;TRIM(D7)&amp;"|"&amp;TRIM(E7)&amp;"|"&amp;TRIM(F7)&amp;"|"&amp;TRIM(H7)&amp;"|"&amp;TRIM(I7))</x:f>
        <x:v>角色|player_component|player_capsule01|head|侧面朝右（可水平翻转）|default</x:v>
      </x:c>
      <x:c r="S7" s="37" t="str">
        <x:f>IF(A7="","",IF(COUNTIF($R$6:$R$162,R7)&gt;1,"重复","唯一"))</x:f>
        <x:v>唯一</x:v>
      </x:c>
      <x:c r="T7" s="37" t="str">
        <x:v>6035db0c8d1824ee0d0f12c0bcf7d5ebced8e37666541b7c31000ff7bad2f905</x:v>
      </x:c>
      <x:c r="U7" s="37" t="str">
        <x:v>待分配</x:v>
      </x:c>
      <x:c r="V7" s="54" t="n">
        <x:v>46224</x:v>
      </x:c>
      <x:c r="W7" s="37" t="str">
        <x:v>原创/待确认</x:v>
      </x:c>
      <x:c r="X7" s="37" t="str">
        <x:v>侧面单传感器；无脸；禁止补嘴</x:v>
      </x:c>
    </x:row>
    <x:row r="8">
      <x:c r="A8" s="37" t="str">
        <x:v>CHR-PLY-CAPSULE01-BODY-SIDE</x:v>
      </x:c>
      <x:c r="B8" s="37" t="str">
        <x:v>胶囊防护服躯干</x:v>
      </x:c>
      <x:c r="C8" s="37" t="str">
        <x:v>角色</x:v>
      </x:c>
      <x:c r="D8" s="37" t="str">
        <x:v>player_component</x:v>
      </x:c>
      <x:c r="E8" s="37" t="str">
        <x:v>player_capsule01</x:v>
      </x:c>
      <x:c r="F8" s="37" t="str">
        <x:v>body</x:v>
      </x:c>
      <x:c r="G8" s="37" t="str">
        <x:v>CHR-PLY-CAPSULE01</x:v>
      </x:c>
      <x:c r="H8" s="37" t="str">
        <x:v>侧面朝右（可水平翻转）</x:v>
      </x:c>
      <x:c r="I8" s="37" t="str">
        <x:v>default</x:v>
      </x:c>
      <x:c r="J8" s="37" t="str">
        <x:v>单资产</x:v>
      </x:c>
      <x:c r="K8" s="37" t="str">
        <x:v>已完成</x:v>
      </x:c>
      <x:c r="L8" s="37" t="str">
        <x:v>P0</x:v>
      </x:c>
      <x:c r="M8" s="37" t="str">
        <x:v>v001</x:v>
      </x:c>
      <x:c r="N8" s="37" t="str">
        <x:v>32×35 px</x:v>
      </x:c>
      <x:c r="O8" s="37" t="str">
        <x:v>assets/art/characters/player/chr_player_capsule01/components/chr_player_capsule01_body_side_v001.png</x:v>
      </x:c>
      <x:c r="P8" s="37" t="str">
        <x:v>AI 母版 + 色键裁切</x:v>
      </x:c>
      <x:c r="Q8" s="37" t="str">
        <x:v>身子; 躯干; 防护服</x:v>
      </x:c>
      <x:c r="R8" s="37" t="str">
        <x:f>LOWER(TRIM(C8)&amp;"|"&amp;TRIM(D8)&amp;"|"&amp;TRIM(E8)&amp;"|"&amp;TRIM(F8)&amp;"|"&amp;TRIM(H8)&amp;"|"&amp;TRIM(I8))</x:f>
        <x:v>角色|player_component|player_capsule01|body|侧面朝右（可水平翻转）|default</x:v>
      </x:c>
      <x:c r="S8" s="37" t="str">
        <x:f>IF(A8="","",IF(COUNTIF($R$6:$R$162,R8)&gt;1,"重复","唯一"))</x:f>
        <x:v>唯一</x:v>
      </x:c>
      <x:c r="T8" s="37" t="str">
        <x:v>653190cbcd99aaa10735842e4ee694c61e3c04b2d6aee7acfc3b03e0c7a65d6e</x:v>
      </x:c>
      <x:c r="U8" s="37" t="str">
        <x:v>待分配</x:v>
      </x:c>
      <x:c r="V8" s="54" t="n">
        <x:v>46224</x:v>
      </x:c>
      <x:c r="W8" s="37" t="str">
        <x:v>原创/待确认</x:v>
      </x:c>
      <x:c r="X8" s="37" t="str">
        <x:v>身体不含腿、脚、手臂</x:v>
      </x:c>
    </x:row>
    <x:row r="9">
      <x:c r="A9" s="37" t="str">
        <x:v>CHR-PLY-CAPSULE01-HAND-L-SIDE</x:v>
      </x:c>
      <x:c r="B9" s="37" t="str">
        <x:v>左悬浮手（停用）</x:v>
      </x:c>
      <x:c r="C9" s="37" t="str">
        <x:v>角色</x:v>
      </x:c>
      <x:c r="D9" s="37" t="str">
        <x:v>player_component</x:v>
      </x:c>
      <x:c r="E9" s="37" t="str">
        <x:v>player_capsule01</x:v>
      </x:c>
      <x:c r="F9" s="37" t="str">
        <x:v>hand_l_source</x:v>
      </x:c>
      <x:c r="G9" s="37" t="str">
        <x:v>CHR-PLY-CAPSULE01</x:v>
      </x:c>
      <x:c r="H9" s="37" t="str">
        <x:v>侧面朝右（可水平翻转）</x:v>
      </x:c>
      <x:c r="I9" s="37" t="str">
        <x:v>deprecated</x:v>
      </x:c>
      <x:c r="J9" s="37" t="str">
        <x:v>单资产</x:v>
      </x:c>
      <x:c r="K9" s="37" t="str">
        <x:v>弃用</x:v>
      </x:c>
      <x:c r="L9" s="37" t="str">
        <x:v>P0</x:v>
      </x:c>
      <x:c r="M9" s="37" t="str">
        <x:v>v001</x:v>
      </x:c>
      <x:c r="N9" s="37" t="str">
        <x:v>22×21 px</x:v>
      </x:c>
      <x:c r="O9" s="37" t="str">
        <x:v>assets/art/characters/player/chr_player_capsule01/components/chr_player_capsule01_hand_l_side_v001.png</x:v>
      </x:c>
      <x:c r="P9" s="37" t="str">
        <x:v>AI 母版 + 色键裁切</x:v>
      </x:c>
      <x:c r="Q9" s="37" t="str">
        <x:v>左手; 辅助手</x:v>
      </x:c>
      <x:c r="R9" s="37" t="str">
        <x:f>LOWER(TRIM(C9)&amp;"|"&amp;TRIM(D9)&amp;"|"&amp;TRIM(E9)&amp;"|"&amp;TRIM(F9)&amp;"|"&amp;TRIM(H9)&amp;"|"&amp;TRIM(I9))</x:f>
        <x:v>角色|player_component|player_capsule01|hand_l_source|侧面朝右（可水平翻转）|deprecated</x:v>
      </x:c>
      <x:c r="S9" s="37" t="str">
        <x:f>IF(A9="","",IF(COUNTIF($R$6:$R$162,R9)&gt;1,"重复","唯一"))</x:f>
        <x:v>唯一</x:v>
      </x:c>
      <x:c r="T9" s="37" t="str">
        <x:v>6270855f57a22aa2c1bc156b4fb85c98d8cc1b3978cd19082a0874e3d901c7c9</x:v>
      </x:c>
      <x:c r="U9" s="37" t="str">
        <x:v>待分配</x:v>
      </x:c>
      <x:c r="V9" s="54" t="n">
        <x:v>46224</x:v>
      </x:c>
      <x:c r="W9" s="37" t="str">
        <x:v>原创/待确认</x:v>
      </x:c>
      <x:c r="X9" s="37" t="str">
        <x:v>单手持枪方案不再实例化；保留源文件与历史 AssetID，运行时改用 CHR-PLY-CAPSULE01-HAND-R-SIDE</x:v>
      </x:c>
    </x:row>
    <x:row r="10">
      <x:c r="A10" s="37" t="str">
        <x:v>CHR-PLY-CAPSULE01-HAND-R-SIDE</x:v>
      </x:c>
      <x:c r="B10" s="37" t="str">
        <x:v>唯一镜像握持手</x:v>
      </x:c>
      <x:c r="C10" s="37" t="str">
        <x:v>角色</x:v>
      </x:c>
      <x:c r="D10" s="37" t="str">
        <x:v>player_component</x:v>
      </x:c>
      <x:c r="E10" s="37" t="str">
        <x:v>player_capsule01</x:v>
      </x:c>
      <x:c r="F10" s="37" t="str">
        <x:v>hand</x:v>
      </x:c>
      <x:c r="G10" s="37" t="str">
        <x:v>CHR-PLY-CAPSULE01</x:v>
      </x:c>
      <x:c r="H10" s="37" t="str">
        <x:v>侧面朝右（可水平翻转）</x:v>
      </x:c>
      <x:c r="I10" s="37" t="str">
        <x:v>default</x:v>
      </x:c>
      <x:c r="J10" s="37" t="str">
        <x:v>单资产</x:v>
      </x:c>
      <x:c r="K10" s="37" t="str">
        <x:v>已完成</x:v>
      </x:c>
      <x:c r="L10" s="37" t="str">
        <x:v>P0</x:v>
      </x:c>
      <x:c r="M10" s="37" t="str">
        <x:v>v001</x:v>
      </x:c>
      <x:c r="N10" s="37" t="str">
        <x:v>22×17 px</x:v>
      </x:c>
      <x:c r="O10" s="37" t="str">
        <x:v>assets/art/characters/player/chr_player_capsule01/components/chr_player_capsule01_hand_r_side_v001.png</x:v>
      </x:c>
      <x:c r="P10" s="37" t="str">
        <x:v>AI 母版 + 色键裁切</x:v>
      </x:c>
      <x:c r="Q10" s="37" t="str">
        <x:v>右手; 主手; 枪手; 镜像握持</x:v>
      </x:c>
      <x:c r="R10" s="37" t="str">
        <x:f>LOWER(TRIM(C10)&amp;"|"&amp;TRIM(D10)&amp;"|"&amp;TRIM(E10)&amp;"|"&amp;TRIM(F10)&amp;"|"&amp;TRIM(H10)&amp;"|"&amp;TRIM(I10))</x:f>
        <x:v>角色|player_component|player_capsule01|hand|侧面朝右（可水平翻转）|default</x:v>
      </x:c>
      <x:c r="S10" s="37" t="str">
        <x:f>IF(A10="","",IF(COUNTIF($R$6:$R$162,R10)&gt;1,"重复","唯一"))</x:f>
        <x:v>唯一</x:v>
      </x:c>
      <x:c r="T10" s="37" t="str">
        <x:v>69c2529cbd277ed337ce3b0a02a1994a2b470c99e545fad297e314a60485cfdf</x:v>
      </x:c>
      <x:c r="U10" s="37" t="str">
        <x:v>待分配</x:v>
      </x:c>
      <x:c r="V10" s="54" t="n">
        <x:v>46224</x:v>
      </x:c>
      <x:c r="W10" s="37" t="str">
        <x:v>原创/待确认</x:v>
      </x:c>
      <x:c r="X10" s="37" t="str">
        <x:v>运行时唯一可见手；随身体朝向在 (-19,0)/(19,0) 两个插槽镜像，不随准星连续旋转；枪械挂点同步在 x=±24 换边，枪械视觉独立读取 aim_direction</x:v>
      </x:c>
    </x:row>
    <x:row r="11">
      <x:c r="A11" s="37" t="str">
        <x:v>CHR-PLY-CAPSULE01-SCARF-SIDE</x:v>
      </x:c>
      <x:c r="B11" s="37" t="str">
        <x:v>红色安全围巾</x:v>
      </x:c>
      <x:c r="C11" s="37" t="str">
        <x:v>角色</x:v>
      </x:c>
      <x:c r="D11" s="37" t="str">
        <x:v>player_accessory</x:v>
      </x:c>
      <x:c r="E11" s="37" t="str">
        <x:v>player_capsule01</x:v>
      </x:c>
      <x:c r="F11" s="37" t="str">
        <x:v>scarf</x:v>
      </x:c>
      <x:c r="G11" s="37" t="str">
        <x:v>CHR-PLY-CAPSULE01</x:v>
      </x:c>
      <x:c r="H11" s="37" t="str">
        <x:v>侧面朝右（可水平翻转）</x:v>
      </x:c>
      <x:c r="I11" s="37" t="str">
        <x:v>default</x:v>
      </x:c>
      <x:c r="J11" s="37" t="str">
        <x:v>单资产</x:v>
      </x:c>
      <x:c r="K11" s="37" t="str">
        <x:v>已完成</x:v>
      </x:c>
      <x:c r="L11" s="37" t="str">
        <x:v>P0</x:v>
      </x:c>
      <x:c r="M11" s="37" t="str">
        <x:v>v001</x:v>
      </x:c>
      <x:c r="N11" s="37" t="str">
        <x:v>26×14 px</x:v>
      </x:c>
      <x:c r="O11" s="37" t="str">
        <x:v>assets/art/characters/player/chr_player_capsule01/components/chr_player_capsule01_scarf_side_v001.png</x:v>
      </x:c>
      <x:c r="P11" s="37" t="str">
        <x:v>AI 母版 + 色键裁切</x:v>
      </x:c>
      <x:c r="Q11" s="37" t="str">
        <x:v>红围巾; 牛仔围巾; 识别色</x:v>
      </x:c>
      <x:c r="R11" s="37" t="str">
        <x:f>LOWER(TRIM(C11)&amp;"|"&amp;TRIM(D11)&amp;"|"&amp;TRIM(E11)&amp;"|"&amp;TRIM(F11)&amp;"|"&amp;TRIM(H11)&amp;"|"&amp;TRIM(I11))</x:f>
        <x:v>角色|player_accessory|player_capsule01|scarf|侧面朝右（可水平翻转）|default</x:v>
      </x:c>
      <x:c r="S11" s="37" t="str">
        <x:f>IF(A11="","",IF(COUNTIF($R$6:$R$162,R11)&gt;1,"重复","唯一"))</x:f>
        <x:v>唯一</x:v>
      </x:c>
      <x:c r="T11" s="37" t="str">
        <x:v>d3a7b1bb5e2ac0ef0c2129854ce59e91d7503a88e478326e1bd3b918a74fc079</x:v>
      </x:c>
      <x:c r="U11" s="37" t="str">
        <x:v>待分配</x:v>
      </x:c>
      <x:c r="V11" s="54" t="n">
        <x:v>46224</x:v>
      </x:c>
      <x:c r="W11" s="37" t="str">
        <x:v>原创/待确认</x:v>
      </x:c>
      <x:c r="X11" s="37" t="str">
        <x:v>独立配件；位于头壳与躯干之间</x:v>
      </x:c>
    </x:row>
    <x:row r="12">
      <x:c r="A12" s="37" t="str">
        <x:v>CHR-PLY-CAPSULE01-PREVIEW-STATES</x:v>
      </x:c>
      <x:c r="B12" s="37" t="str">
        <x:v>玩家六态验收预览</x:v>
      </x:c>
      <x:c r="C12" s="37" t="str">
        <x:v>角色</x:v>
      </x:c>
      <x:c r="D12" s="37" t="str">
        <x:v>review_board</x:v>
      </x:c>
      <x:c r="E12" s="37" t="str">
        <x:v>player_capsule01</x:v>
      </x:c>
      <x:c r="F12" s="37" t="str">
        <x:v>preview</x:v>
      </x:c>
      <x:c r="G12" s="37" t="str">
        <x:v>CHR-PLY-CAPSULE01</x:v>
      </x:c>
      <x:c r="H12" s="37" t="str">
        <x:v>侧面朝右（可水平翻转）</x:v>
      </x:c>
      <x:c r="I12" s="37" t="str">
        <x:v>default</x:v>
      </x:c>
      <x:c r="J12" s="37" t="str">
        <x:v>评审/回归</x:v>
      </x:c>
      <x:c r="K12" s="37" t="str">
        <x:v>已完成</x:v>
      </x:c>
      <x:c r="L12" s="37" t="str">
        <x:v>P0</x:v>
      </x:c>
      <x:c r="M12" s="37" t="str">
        <x:v>v001</x:v>
      </x:c>
      <x:c r="N12" s="37" t="str">
        <x:v>1280×720 px</x:v>
      </x:c>
      <x:c r="O12" s="37" t="str">
        <x:v>assets/art/characters/player/chr_player_capsule01/chr_player_capsule01_states_preview_v001.png</x:v>
      </x:c>
      <x:c r="P12" s="37" t="str">
        <x:v>verify_player_pixel_art_flow.tscn</x:v>
      </x:c>
      <x:c r="Q12" s="37" t="str">
        <x:v>六态; 验收板</x:v>
      </x:c>
      <x:c r="R12" s="37" t="str">
        <x:f>LOWER(TRIM(C12)&amp;"|"&amp;TRIM(D12)&amp;"|"&amp;TRIM(E12)&amp;"|"&amp;TRIM(F12)&amp;"|"&amp;TRIM(H12)&amp;"|"&amp;TRIM(I12))</x:f>
        <x:v>角色|review_board|player_capsule01|preview|侧面朝右（可水平翻转）|default</x:v>
      </x:c>
      <x:c r="S12" s="37" t="str">
        <x:f>IF(A12="","",IF(COUNTIF($R$6:$R$162,R12)&gt;1,"重复","唯一"))</x:f>
        <x:v>唯一</x:v>
      </x:c>
      <x:c r="T12" s="37" t="str"/>
      <x:c r="U12" s="37" t="str">
        <x:v>待分配</x:v>
      </x:c>
      <x:c r="V12" s="54" t="n">
        <x:v>46224</x:v>
      </x:c>
      <x:c r="W12" s="37" t="str">
        <x:v>原创/待确认</x:v>
      </x:c>
      <x:c r="X12" s="37" t="str">
        <x:v>非运行时纹理</x:v>
      </x:c>
    </x:row>
    <x:row r="13">
      <x:c r="A13" s="37" t="str">
        <x:v>VFX-PLY-DASH-TRAIL</x:v>
      </x:c>
      <x:c r="B13" s="37" t="str">
        <x:v>玩家冲刺尾迹</x:v>
      </x:c>
      <x:c r="C13" s="37" t="str">
        <x:v>特效</x:v>
      </x:c>
      <x:c r="D13" s="37" t="str">
        <x:v>player_state</x:v>
      </x:c>
      <x:c r="E13" s="37" t="str">
        <x:v>player_dash</x:v>
      </x:c>
      <x:c r="F13" s="37" t="str">
        <x:v>root</x:v>
      </x:c>
      <x:c r="G13" s="37" t="str"/>
      <x:c r="H13" s="37" t="str">
        <x:v>侧面朝右（可水平翻转）</x:v>
      </x:c>
      <x:c r="I13" s="37" t="str">
        <x:v>dashing</x:v>
      </x:c>
      <x:c r="J13" s="37" t="str">
        <x:v>玩家状态</x:v>
      </x:c>
      <x:c r="K13" s="37" t="str">
        <x:v>程序占位</x:v>
      </x:c>
      <x:c r="L13" s="37" t="str">
        <x:v>P1</x:v>
      </x:c>
      <x:c r="M13" s="37" t="str">
        <x:v>v001</x:v>
      </x:c>
      <x:c r="N13" s="37" t="str">
        <x:v>待定</x:v>
      </x:c>
      <x:c r="O13" s="37" t="str"/>
      <x:c r="P13" s="37" t="str">
        <x:v>src/player/PlayerAvatarRenderer.gd</x:v>
      </x:c>
      <x:c r="Q13" s="37" t="str"/>
      <x:c r="R13" s="37" t="str">
        <x:f>LOWER(TRIM(C13)&amp;"|"&amp;TRIM(D13)&amp;"|"&amp;TRIM(E13)&amp;"|"&amp;TRIM(F13)&amp;"|"&amp;TRIM(H13)&amp;"|"&amp;TRIM(I13))</x:f>
        <x:v>特效|player_state|player_dash|root|侧面朝右（可水平翻转）|dashing</x:v>
      </x:c>
      <x:c r="S13" s="37" t="str">
        <x:f>IF(A13="","",IF(COUNTIF($R$6:$R$162,R13)&gt;1,"重复","唯一"))</x:f>
        <x:v>唯一</x:v>
      </x:c>
      <x:c r="T13" s="37" t="str"/>
      <x:c r="U13" s="37" t="str">
        <x:v>待分配</x:v>
      </x:c>
      <x:c r="V13" s="54" t="n">
        <x:v>46224</x:v>
      </x:c>
      <x:c r="W13" s="37" t="str">
        <x:v>原创/待确认</x:v>
      </x:c>
      <x:c r="X13" s="37" t="str">
        <x:v>正式像素特效可替换绘制线段</x:v>
      </x:c>
    </x:row>
    <x:row r="14">
      <x:c r="A14" s="37" t="str">
        <x:v>VFX-PLY-HURT-FLASH</x:v>
      </x:c>
      <x:c r="B14" s="37" t="str">
        <x:v>玩家受击闪光</x:v>
      </x:c>
      <x:c r="C14" s="37" t="str">
        <x:v>特效</x:v>
      </x:c>
      <x:c r="D14" s="37" t="str">
        <x:v>player_state</x:v>
      </x:c>
      <x:c r="E14" s="37" t="str">
        <x:v>player_hurt</x:v>
      </x:c>
      <x:c r="F14" s="37" t="str">
        <x:v>root</x:v>
      </x:c>
      <x:c r="G14" s="37" t="str"/>
      <x:c r="H14" s="37" t="str">
        <x:v>侧面朝右（可水平翻转）</x:v>
      </x:c>
      <x:c r="I14" s="37" t="str">
        <x:v>hurt</x:v>
      </x:c>
      <x:c r="J14" s="37" t="str">
        <x:v>玩家状态</x:v>
      </x:c>
      <x:c r="K14" s="37" t="str">
        <x:v>程序占位</x:v>
      </x:c>
      <x:c r="L14" s="37" t="str">
        <x:v>P1</x:v>
      </x:c>
      <x:c r="M14" s="37" t="str">
        <x:v>v001</x:v>
      </x:c>
      <x:c r="N14" s="37" t="str">
        <x:v>待定</x:v>
      </x:c>
      <x:c r="O14" s="37" t="str"/>
      <x:c r="P14" s="37" t="str">
        <x:v>src/player/PlayerAvatarRenderer.gd</x:v>
      </x:c>
      <x:c r="Q14" s="37" t="str"/>
      <x:c r="R14" s="37" t="str">
        <x:f>LOWER(TRIM(C14)&amp;"|"&amp;TRIM(D14)&amp;"|"&amp;TRIM(E14)&amp;"|"&amp;TRIM(F14)&amp;"|"&amp;TRIM(H14)&amp;"|"&amp;TRIM(I14))</x:f>
        <x:v>特效|player_state|player_hurt|root|侧面朝右（可水平翻转）|hurt</x:v>
      </x:c>
      <x:c r="S14" s="37" t="str">
        <x:f>IF(A14="","",IF(COUNTIF($R$6:$R$162,R14)&gt;1,"重复","唯一"))</x:f>
        <x:v>唯一</x:v>
      </x:c>
      <x:c r="T14" s="37" t="str"/>
      <x:c r="U14" s="37" t="str">
        <x:v>待分配</x:v>
      </x:c>
      <x:c r="V14" s="54" t="n">
        <x:v>46224</x:v>
      </x:c>
      <x:c r="W14" s="37" t="str">
        <x:v>原创/待确认</x:v>
      </x:c>
      <x:c r="X14" s="37" t="str"/>
    </x:row>
    <x:row r="15">
      <x:c r="A15" s="37" t="str">
        <x:v>VFX-PLY-LOWHP-RING</x:v>
      </x:c>
      <x:c r="B15" s="37" t="str">
        <x:v>玩家低血环</x:v>
      </x:c>
      <x:c r="C15" s="37" t="str">
        <x:v>特效</x:v>
      </x:c>
      <x:c r="D15" s="37" t="str">
        <x:v>player_overlay</x:v>
      </x:c>
      <x:c r="E15" s="37" t="str">
        <x:v>player_low_hp</x:v>
      </x:c>
      <x:c r="F15" s="37" t="str">
        <x:v>root</x:v>
      </x:c>
      <x:c r="G15" s="37" t="str"/>
      <x:c r="H15" s="37" t="str">
        <x:v>侧面朝右（可水平翻转）</x:v>
      </x:c>
      <x:c r="I15" s="37" t="str">
        <x:v>low_health</x:v>
      </x:c>
      <x:c r="J15" s="37" t="str">
        <x:v>叠加状态</x:v>
      </x:c>
      <x:c r="K15" s="37" t="str">
        <x:v>程序占位</x:v>
      </x:c>
      <x:c r="L15" s="37" t="str">
        <x:v>P2</x:v>
      </x:c>
      <x:c r="M15" s="37" t="str">
        <x:v>v001</x:v>
      </x:c>
      <x:c r="N15" s="37" t="str">
        <x:v>待定</x:v>
      </x:c>
      <x:c r="O15" s="37" t="str"/>
      <x:c r="P15" s="37" t="str">
        <x:v>src/player/PlayerAvatarRenderer.gd</x:v>
      </x:c>
      <x:c r="Q15" s="37" t="str"/>
      <x:c r="R15" s="37" t="str">
        <x:f>LOWER(TRIM(C15)&amp;"|"&amp;TRIM(D15)&amp;"|"&amp;TRIM(E15)&amp;"|"&amp;TRIM(F15)&amp;"|"&amp;TRIM(H15)&amp;"|"&amp;TRIM(I15))</x:f>
        <x:v>特效|player_overlay|player_low_hp|root|侧面朝右（可水平翻转）|low_health</x:v>
      </x:c>
      <x:c r="S15" s="37" t="str">
        <x:f>IF(A15="","",IF(COUNTIF($R$6:$R$162,R15)&gt;1,"重复","唯一"))</x:f>
        <x:v>唯一</x:v>
      </x:c>
      <x:c r="T15" s="37" t="str"/>
      <x:c r="U15" s="37" t="str">
        <x:v>待分配</x:v>
      </x:c>
      <x:c r="V15" s="54" t="n">
        <x:v>46224</x:v>
      </x:c>
      <x:c r="W15" s="37" t="str">
        <x:v>原创/待确认</x:v>
      </x:c>
      <x:c r="X15" s="37" t="str"/>
    </x:row>
    <x:row r="16">
      <x:c r="A16" s="37" t="str">
        <x:v>VFX-PLY-SILENCED-RING</x:v>
      </x:c>
      <x:c r="B16" s="37" t="str">
        <x:v>玩家沉默干扰环</x:v>
      </x:c>
      <x:c r="C16" s="37" t="str">
        <x:v>特效</x:v>
      </x:c>
      <x:c r="D16" s="37" t="str">
        <x:v>player_overlay</x:v>
      </x:c>
      <x:c r="E16" s="37" t="str">
        <x:v>player_silenced</x:v>
      </x:c>
      <x:c r="F16" s="37" t="str">
        <x:v>root</x:v>
      </x:c>
      <x:c r="G16" s="37" t="str"/>
      <x:c r="H16" s="37" t="str">
        <x:v>侧面朝右（可水平翻转）</x:v>
      </x:c>
      <x:c r="I16" s="37" t="str">
        <x:v>silenced</x:v>
      </x:c>
      <x:c r="J16" s="37" t="str">
        <x:v>叠加状态</x:v>
      </x:c>
      <x:c r="K16" s="37" t="str">
        <x:v>程序占位</x:v>
      </x:c>
      <x:c r="L16" s="37" t="str">
        <x:v>P2</x:v>
      </x:c>
      <x:c r="M16" s="37" t="str">
        <x:v>v001</x:v>
      </x:c>
      <x:c r="N16" s="37" t="str">
        <x:v>待定</x:v>
      </x:c>
      <x:c r="O16" s="37" t="str"/>
      <x:c r="P16" s="37" t="str">
        <x:v>src/player/PlayerAvatarRenderer.gd</x:v>
      </x:c>
      <x:c r="Q16" s="37" t="str"/>
      <x:c r="R16" s="37" t="str">
        <x:f>LOWER(TRIM(C16)&amp;"|"&amp;TRIM(D16)&amp;"|"&amp;TRIM(E16)&amp;"|"&amp;TRIM(F16)&amp;"|"&amp;TRIM(H16)&amp;"|"&amp;TRIM(I16))</x:f>
        <x:v>特效|player_overlay|player_silenced|root|侧面朝右（可水平翻转）|silenced</x:v>
      </x:c>
      <x:c r="S16" s="37" t="str">
        <x:f>IF(A16="","",IF(COUNTIF($R$6:$R$162,R16)&gt;1,"重复","唯一"))</x:f>
        <x:v>唯一</x:v>
      </x:c>
      <x:c r="T16" s="37" t="str"/>
      <x:c r="U16" s="37" t="str">
        <x:v>待分配</x:v>
      </x:c>
      <x:c r="V16" s="54" t="n">
        <x:v>46224</x:v>
      </x:c>
      <x:c r="W16" s="37" t="str">
        <x:v>原创/待确认</x:v>
      </x:c>
      <x:c r="X16" s="37" t="str"/>
    </x:row>
    <x:row r="17">
      <x:c r="A17" s="37" t="str">
        <x:v>ENM-MELEE-FUNGBOAR01</x:v>
      </x:c>
      <x:c r="B17" s="37" t="str">
        <x:v>小菌猪</x:v>
      </x:c>
      <x:c r="C17" s="37" t="str">
        <x:v>敌人</x:v>
      </x:c>
      <x:c r="D17" s="37" t="str">
        <x:v>normal_melee</x:v>
      </x:c>
      <x:c r="E17" s="37" t="str">
        <x:v>melee_chaser</x:v>
      </x:c>
      <x:c r="F17" s="37" t="str">
        <x:v>root</x:v>
      </x:c>
      <x:c r="G17" s="37" t="str"/>
      <x:c r="H17" s="37" t="str">
        <x:v>侧面朝右（可水平翻转）</x:v>
      </x:c>
      <x:c r="I17" s="37" t="str">
        <x:v>default</x:v>
      </x:c>
      <x:c r="J17" s="37" t="str">
        <x:v>单资产</x:v>
      </x:c>
      <x:c r="K17" s="37" t="str">
        <x:v>程序占位</x:v>
      </x:c>
      <x:c r="L17" s="37" t="str">
        <x:v>P0</x:v>
      </x:c>
      <x:c r="M17" s="37" t="str">
        <x:v>v001</x:v>
      </x:c>
      <x:c r="N17" s="37" t="str">
        <x:v>待定</x:v>
      </x:c>
      <x:c r="O17" s="37" t="str"/>
      <x:c r="P17" s="37" t="str">
        <x:v>src/enemy/EnemyTypes.gd</x:v>
      </x:c>
      <x:c r="Q17" s="37" t="str">
        <x:v>近战追击; chaser</x:v>
      </x:c>
      <x:c r="R17" s="37" t="str">
        <x:f>LOWER(TRIM(C17)&amp;"|"&amp;TRIM(D17)&amp;"|"&amp;TRIM(E17)&amp;"|"&amp;TRIM(F17)&amp;"|"&amp;TRIM(H17)&amp;"|"&amp;TRIM(I17))</x:f>
        <x:v>敌人|normal_melee|melee_chaser|root|侧面朝右（可水平翻转）|default</x:v>
      </x:c>
      <x:c r="S17" s="37" t="str">
        <x:f>IF(A17="","",IF(COUNTIF($R$6:$R$162,R17)&gt;1,"重复","唯一"))</x:f>
        <x:v>唯一</x:v>
      </x:c>
      <x:c r="T17" s="37" t="str"/>
      <x:c r="U17" s="37" t="str">
        <x:v>待分配</x:v>
      </x:c>
      <x:c r="V17" s="54" t="n">
        <x:v>46224</x:v>
      </x:c>
      <x:c r="W17" s="37" t="str">
        <x:v>原创/待确认</x:v>
      </x:c>
      <x:c r="X17" s="37" t="str">
        <x:v>需保持快速贴脸轮廓</x:v>
      </x:c>
    </x:row>
    <x:row r="18">
      <x:c r="A18" s="37" t="str">
        <x:v>ENM-RANGED-SPORESHOOTER01</x:v>
      </x:c>
      <x:c r="B18" s="37" t="str">
        <x:v>孢子射手</x:v>
      </x:c>
      <x:c r="C18" s="37" t="str">
        <x:v>敌人</x:v>
      </x:c>
      <x:c r="D18" s="37" t="str">
        <x:v>normal_ranged</x:v>
      </x:c>
      <x:c r="E18" s="37" t="str">
        <x:v>ranged_caster</x:v>
      </x:c>
      <x:c r="F18" s="37" t="str">
        <x:v>root</x:v>
      </x:c>
      <x:c r="G18" s="37" t="str"/>
      <x:c r="H18" s="37" t="str">
        <x:v>侧面朝右（可水平翻转）</x:v>
      </x:c>
      <x:c r="I18" s="37" t="str">
        <x:v>default</x:v>
      </x:c>
      <x:c r="J18" s="37" t="str">
        <x:v>单资产</x:v>
      </x:c>
      <x:c r="K18" s="37" t="str">
        <x:v>程序占位</x:v>
      </x:c>
      <x:c r="L18" s="37" t="str">
        <x:v>P0</x:v>
      </x:c>
      <x:c r="M18" s="37" t="str">
        <x:v>v001</x:v>
      </x:c>
      <x:c r="N18" s="37" t="str">
        <x:v>待定</x:v>
      </x:c>
      <x:c r="O18" s="37" t="str"/>
      <x:c r="P18" s="37" t="str">
        <x:v>src/enemy/EnemyTypes.gd</x:v>
      </x:c>
      <x:c r="Q18" s="37" t="str">
        <x:v>远程弹幕; ranged</x:v>
      </x:c>
      <x:c r="R18" s="37" t="str">
        <x:f>LOWER(TRIM(C18)&amp;"|"&amp;TRIM(D18)&amp;"|"&amp;TRIM(E18)&amp;"|"&amp;TRIM(F18)&amp;"|"&amp;TRIM(H18)&amp;"|"&amp;TRIM(I18))</x:f>
        <x:v>敌人|normal_ranged|ranged_caster|root|侧面朝右（可水平翻转）|default</x:v>
      </x:c>
      <x:c r="S18" s="37" t="str">
        <x:f>IF(A18="","",IF(COUNTIF($R$6:$R$162,R18)&gt;1,"重复","唯一"))</x:f>
        <x:v>唯一</x:v>
      </x:c>
      <x:c r="T18" s="37" t="str"/>
      <x:c r="U18" s="37" t="str">
        <x:v>待分配</x:v>
      </x:c>
      <x:c r="V18" s="54" t="n">
        <x:v>46224</x:v>
      </x:c>
      <x:c r="W18" s="37" t="str">
        <x:v>原创/待确认</x:v>
      </x:c>
      <x:c r="X18" s="37" t="str"/>
    </x:row>
    <x:row r="19">
      <x:c r="A19" s="37" t="str">
        <x:v>ENM-SUMMON-HIVE01</x:v>
      </x:c>
      <x:c r="B19" s="37" t="str">
        <x:v>蜂巢怪</x:v>
      </x:c>
      <x:c r="C19" s="37" t="str">
        <x:v>敌人</x:v>
      </x:c>
      <x:c r="D19" s="37" t="str">
        <x:v>normal_summoner</x:v>
      </x:c>
      <x:c r="E19" s="37" t="str">
        <x:v>summoner</x:v>
      </x:c>
      <x:c r="F19" s="37" t="str">
        <x:v>root</x:v>
      </x:c>
      <x:c r="G19" s="37" t="str"/>
      <x:c r="H19" s="37" t="str">
        <x:v>侧面朝右（可水平翻转）</x:v>
      </x:c>
      <x:c r="I19" s="37" t="str">
        <x:v>default</x:v>
      </x:c>
      <x:c r="J19" s="37" t="str">
        <x:v>单资产</x:v>
      </x:c>
      <x:c r="K19" s="37" t="str">
        <x:v>程序占位</x:v>
      </x:c>
      <x:c r="L19" s="37" t="str">
        <x:v>P0</x:v>
      </x:c>
      <x:c r="M19" s="37" t="str">
        <x:v>v001</x:v>
      </x:c>
      <x:c r="N19" s="37" t="str">
        <x:v>待定</x:v>
      </x:c>
      <x:c r="O19" s="37" t="str"/>
      <x:c r="P19" s="37" t="str">
        <x:v>src/enemy/EnemyTypes.gd</x:v>
      </x:c>
      <x:c r="Q19" s="37" t="str">
        <x:v>召唤型; hive</x:v>
      </x:c>
      <x:c r="R19" s="37" t="str">
        <x:f>LOWER(TRIM(C19)&amp;"|"&amp;TRIM(D19)&amp;"|"&amp;TRIM(E19)&amp;"|"&amp;TRIM(F19)&amp;"|"&amp;TRIM(H19)&amp;"|"&amp;TRIM(I19))</x:f>
        <x:v>敌人|normal_summoner|summoner|root|侧面朝右（可水平翻转）|default</x:v>
      </x:c>
      <x:c r="S19" s="37" t="str">
        <x:f>IF(A19="","",IF(COUNTIF($R$6:$R$162,R19)&gt;1,"重复","唯一"))</x:f>
        <x:v>唯一</x:v>
      </x:c>
      <x:c r="T19" s="37" t="str"/>
      <x:c r="U19" s="37" t="str">
        <x:v>待分配</x:v>
      </x:c>
      <x:c r="V19" s="54" t="n">
        <x:v>46224</x:v>
      </x:c>
      <x:c r="W19" s="37" t="str">
        <x:v>原创/待确认</x:v>
      </x:c>
      <x:c r="X19" s="37" t="str"/>
    </x:row>
    <x:row r="20">
      <x:c r="A20" s="37" t="str">
        <x:v>ENM-TANK-SHELLGUARD01</x:v>
      </x:c>
      <x:c r="B20" s="37" t="str">
        <x:v>壳甲卫兵</x:v>
      </x:c>
      <x:c r="C20" s="37" t="str">
        <x:v>敌人</x:v>
      </x:c>
      <x:c r="D20" s="37" t="str">
        <x:v>normal_tank</x:v>
      </x:c>
      <x:c r="E20" s="37" t="str">
        <x:v>shielded</x:v>
      </x:c>
      <x:c r="F20" s="37" t="str">
        <x:v>root</x:v>
      </x:c>
      <x:c r="G20" s="37" t="str"/>
      <x:c r="H20" s="37" t="str">
        <x:v>侧面朝右（可水平翻转）</x:v>
      </x:c>
      <x:c r="I20" s="37" t="str">
        <x:v>default</x:v>
      </x:c>
      <x:c r="J20" s="37" t="str">
        <x:v>单资产</x:v>
      </x:c>
      <x:c r="K20" s="37" t="str">
        <x:v>程序占位</x:v>
      </x:c>
      <x:c r="L20" s="37" t="str">
        <x:v>P0</x:v>
      </x:c>
      <x:c r="M20" s="37" t="str">
        <x:v>v001</x:v>
      </x:c>
      <x:c r="N20" s="37" t="str">
        <x:v>待定</x:v>
      </x:c>
      <x:c r="O20" s="37" t="str"/>
      <x:c r="P20" s="37" t="str">
        <x:v>src/enemy/EnemyTypes.gd</x:v>
      </x:c>
      <x:c r="Q20" s="37" t="str">
        <x:v>护盾型; tank</x:v>
      </x:c>
      <x:c r="R20" s="37" t="str">
        <x:f>LOWER(TRIM(C20)&amp;"|"&amp;TRIM(D20)&amp;"|"&amp;TRIM(E20)&amp;"|"&amp;TRIM(F20)&amp;"|"&amp;TRIM(H20)&amp;"|"&amp;TRIM(I20))</x:f>
        <x:v>敌人|normal_tank|shielded|root|侧面朝右（可水平翻转）|default</x:v>
      </x:c>
      <x:c r="S20" s="37" t="str">
        <x:f>IF(A20="","",IF(COUNTIF($R$6:$R$162,R20)&gt;1,"重复","唯一"))</x:f>
        <x:v>唯一</x:v>
      </x:c>
      <x:c r="T20" s="37" t="str"/>
      <x:c r="U20" s="37" t="str">
        <x:v>待分配</x:v>
      </x:c>
      <x:c r="V20" s="54" t="n">
        <x:v>46224</x:v>
      </x:c>
      <x:c r="W20" s="37" t="str">
        <x:v>原创/待确认</x:v>
      </x:c>
      <x:c r="X20" s="37" t="str"/>
    </x:row>
    <x:row r="21">
      <x:c r="A21" s="37" t="str">
        <x:v>ENM-BOMBER-FRUIT01</x:v>
      </x:c>
      <x:c r="B21" s="37" t="str">
        <x:v>炸弹果</x:v>
      </x:c>
      <x:c r="C21" s="37" t="str">
        <x:v>敌人</x:v>
      </x:c>
      <x:c r="D21" s="37" t="str">
        <x:v>normal_bomber</x:v>
      </x:c>
      <x:c r="E21" s="37" t="str">
        <x:v>exploder</x:v>
      </x:c>
      <x:c r="F21" s="37" t="str">
        <x:v>root</x:v>
      </x:c>
      <x:c r="G21" s="37" t="str"/>
      <x:c r="H21" s="37" t="str">
        <x:v>侧面朝右（可水平翻转）</x:v>
      </x:c>
      <x:c r="I21" s="37" t="str">
        <x:v>default</x:v>
      </x:c>
      <x:c r="J21" s="37" t="str">
        <x:v>单资产</x:v>
      </x:c>
      <x:c r="K21" s="37" t="str">
        <x:v>程序占位</x:v>
      </x:c>
      <x:c r="L21" s="37" t="str">
        <x:v>P0</x:v>
      </x:c>
      <x:c r="M21" s="37" t="str">
        <x:v>v001</x:v>
      </x:c>
      <x:c r="N21" s="37" t="str">
        <x:v>待定</x:v>
      </x:c>
      <x:c r="O21" s="37" t="str"/>
      <x:c r="P21" s="37" t="str">
        <x:v>src/enemy/EnemyTypes.gd</x:v>
      </x:c>
      <x:c r="Q21" s="37" t="str">
        <x:v>膨胀鼠; 自爆型; bomber</x:v>
      </x:c>
      <x:c r="R21" s="37" t="str">
        <x:f>LOWER(TRIM(C21)&amp;"|"&amp;TRIM(D21)&amp;"|"&amp;TRIM(E21)&amp;"|"&amp;TRIM(F21)&amp;"|"&amp;TRIM(H21)&amp;"|"&amp;TRIM(I21))</x:f>
        <x:v>敌人|normal_bomber|exploder|root|侧面朝右（可水平翻转）|default</x:v>
      </x:c>
      <x:c r="S21" s="37" t="str">
        <x:f>IF(A21="","",IF(COUNTIF($R$6:$R$162,R21)&gt;1,"重复","唯一"))</x:f>
        <x:v>唯一</x:v>
      </x:c>
      <x:c r="T21" s="37" t="str"/>
      <x:c r="U21" s="37" t="str">
        <x:v>待分配</x:v>
      </x:c>
      <x:c r="V21" s="54" t="n">
        <x:v>46224</x:v>
      </x:c>
      <x:c r="W21" s="37" t="str">
        <x:v>原创/待确认</x:v>
      </x:c>
      <x:c r="X21" s="37" t="str"/>
    </x:row>
    <x:row r="22">
      <x:c r="A22" s="37" t="str">
        <x:v>ENM-TRAP-SPIKEWORM01</x:v>
      </x:c>
      <x:c r="B22" s="37" t="str">
        <x:v>地刺虫</x:v>
      </x:c>
      <x:c r="C22" s="37" t="str">
        <x:v>敌人</x:v>
      </x:c>
      <x:c r="D22" s="37" t="str">
        <x:v>normal_ambusher</x:v>
      </x:c>
      <x:c r="E22" s="37" t="str">
        <x:v>ambusher</x:v>
      </x:c>
      <x:c r="F22" s="37" t="str">
        <x:v>root</x:v>
      </x:c>
      <x:c r="G22" s="37" t="str"/>
      <x:c r="H22" s="37" t="str">
        <x:v>侧面朝右（可水平翻转）</x:v>
      </x:c>
      <x:c r="I22" s="37" t="str">
        <x:v>default</x:v>
      </x:c>
      <x:c r="J22" s="37" t="str">
        <x:v>单资产</x:v>
      </x:c>
      <x:c r="K22" s="37" t="str">
        <x:v>程序占位</x:v>
      </x:c>
      <x:c r="L22" s="37" t="str">
        <x:v>P0</x:v>
      </x:c>
      <x:c r="M22" s="37" t="str">
        <x:v>v001</x:v>
      </x:c>
      <x:c r="N22" s="37" t="str">
        <x:v>待定</x:v>
      </x:c>
      <x:c r="O22" s="37" t="str"/>
      <x:c r="P22" s="37" t="str">
        <x:v>src/enemy/EnemyTypes.gd</x:v>
      </x:c>
      <x:c r="Q22" s="37" t="str">
        <x:v>潜伏型; trapper</x:v>
      </x:c>
      <x:c r="R22" s="37" t="str">
        <x:f>LOWER(TRIM(C22)&amp;"|"&amp;TRIM(D22)&amp;"|"&amp;TRIM(E22)&amp;"|"&amp;TRIM(F22)&amp;"|"&amp;TRIM(H22)&amp;"|"&amp;TRIM(I22))</x:f>
        <x:v>敌人|normal_ambusher|ambusher|root|侧面朝右（可水平翻转）|default</x:v>
      </x:c>
      <x:c r="S22" s="37" t="str">
        <x:f>IF(A22="","",IF(COUNTIF($R$6:$R$162,R22)&gt;1,"重复","唯一"))</x:f>
        <x:v>唯一</x:v>
      </x:c>
      <x:c r="T22" s="37" t="str"/>
      <x:c r="U22" s="37" t="str">
        <x:v>待分配</x:v>
      </x:c>
      <x:c r="V22" s="54" t="n">
        <x:v>46224</x:v>
      </x:c>
      <x:c r="W22" s="37" t="str">
        <x:v>原创/待确认</x:v>
      </x:c>
      <x:c r="X22" s="37" t="str"/>
    </x:row>
    <x:row r="23">
      <x:c r="A23" s="37" t="str">
        <x:v>ENM-BOSS-ABYSS01</x:v>
      </x:c>
      <x:c r="B23" s="37" t="str">
        <x:v>深渊 Boss</x:v>
      </x:c>
      <x:c r="C23" s="37" t="str">
        <x:v>敌人</x:v>
      </x:c>
      <x:c r="D23" s="37" t="str">
        <x:v>boss</x:v>
      </x:c>
      <x:c r="E23" s="37" t="str">
        <x:v>boss</x:v>
      </x:c>
      <x:c r="F23" s="37" t="str">
        <x:v>root</x:v>
      </x:c>
      <x:c r="G23" s="37" t="str"/>
      <x:c r="H23" s="37" t="str">
        <x:v>侧面朝右（可水平翻转）</x:v>
      </x:c>
      <x:c r="I23" s="37" t="str">
        <x:v>default</x:v>
      </x:c>
      <x:c r="J23" s="37" t="str">
        <x:v>单资产</x:v>
      </x:c>
      <x:c r="K23" s="37" t="str">
        <x:v>程序占位</x:v>
      </x:c>
      <x:c r="L23" s="37" t="str">
        <x:v>P1</x:v>
      </x:c>
      <x:c r="M23" s="37" t="str">
        <x:v>v001</x:v>
      </x:c>
      <x:c r="N23" s="37" t="str">
        <x:v>待定</x:v>
      </x:c>
      <x:c r="O23" s="37" t="str"/>
      <x:c r="P23" s="37" t="str">
        <x:v>src/enemy/BossAvatarRenderer.gd</x:v>
      </x:c>
      <x:c r="Q23" s="37" t="str">
        <x:v>BossActor; 三阶段</x:v>
      </x:c>
      <x:c r="R23" s="37" t="str">
        <x:f>LOWER(TRIM(C23)&amp;"|"&amp;TRIM(D23)&amp;"|"&amp;TRIM(E23)&amp;"|"&amp;TRIM(F23)&amp;"|"&amp;TRIM(H23)&amp;"|"&amp;TRIM(I23))</x:f>
        <x:v>敌人|boss|boss|root|侧面朝右（可水平翻转）|default</x:v>
      </x:c>
      <x:c r="S23" s="37" t="str">
        <x:f>IF(A23="","",IF(COUNTIF($R$6:$R$162,R23)&gt;1,"重复","唯一"))</x:f>
        <x:v>唯一</x:v>
      </x:c>
      <x:c r="T23" s="37" t="str"/>
      <x:c r="U23" s="37" t="str">
        <x:v>待分配</x:v>
      </x:c>
      <x:c r="V23" s="54" t="n">
        <x:v>46224</x:v>
      </x:c>
      <x:c r="W23" s="37" t="str">
        <x:v>原创/待确认</x:v>
      </x:c>
      <x:c r="X23" s="37" t="str">
        <x:v>三阶段由同一主体加部件/发光变化，不重复做整套</x:v>
      </x:c>
    </x:row>
    <x:row r="24">
      <x:c r="A24" s="37" t="str">
        <x:v>WPN-GUN-BP-PISTOL</x:v>
      </x:c>
      <x:c r="B24" s="37" t="str">
        <x:v>豌豆手枪</x:v>
      </x:c>
      <x:c r="C24" s="37" t="str">
        <x:v>枪械</x:v>
      </x:c>
      <x:c r="D24" s="37" t="str">
        <x:v>gunbody</x:v>
      </x:c>
      <x:c r="E24" s="37" t="str">
        <x:v>bp_pistol</x:v>
      </x:c>
      <x:c r="F24" s="37" t="str">
        <x:v>root</x:v>
      </x:c>
      <x:c r="G24" s="37" t="str"/>
      <x:c r="H24" s="37" t="str">
        <x:v>侧面朝右</x:v>
      </x:c>
      <x:c r="I24" s="37" t="str">
        <x:v>default</x:v>
      </x:c>
      <x:c r="J24" s="37" t="str">
        <x:v>玩家/掉落/UI 共用母资产</x:v>
      </x:c>
      <x:c r="K24" s="37" t="str">
        <x:v>程序占位</x:v>
      </x:c>
      <x:c r="L24" s="37" t="str">
        <x:v>P0</x:v>
      </x:c>
      <x:c r="M24" s="37" t="str">
        <x:v>v001</x:v>
      </x:c>
      <x:c r="N24" s="37" t="str">
        <x:v>建议 48×20 px</x:v>
      </x:c>
      <x:c r="O24" s="37" t="str"/>
      <x:c r="P24" s="37" t="str">
        <x:v>src/base/BlueprintRegistry.gd</x:v>
      </x:c>
      <x:c r="Q24" s="37" t="str">
        <x:v>bp_pistol</x:v>
      </x:c>
      <x:c r="R24" s="37" t="str">
        <x:f>LOWER(TRIM(C24)&amp;"|"&amp;TRIM(D24)&amp;"|"&amp;TRIM(E24)&amp;"|"&amp;TRIM(F24)&amp;"|"&amp;TRIM(H24)&amp;"|"&amp;TRIM(I24))</x:f>
        <x:v>枪械|gunbody|bp_pistol|root|侧面朝右|default</x:v>
      </x:c>
      <x:c r="S24" s="37" t="str">
        <x:f>IF(A24="","",IF(COUNTIF($R$6:$R$162,R24)&gt;1,"重复","唯一"))</x:f>
        <x:v>唯一</x:v>
      </x:c>
      <x:c r="T24" s="37" t="str"/>
      <x:c r="U24" s="37" t="str">
        <x:v>待分配</x:v>
      </x:c>
      <x:c r="V24" s="54" t="n">
        <x:v>46224</x:v>
      </x:c>
      <x:c r="W24" s="37" t="str">
        <x:v>原创/待确认</x:v>
      </x:c>
      <x:c r="X24" s="37" t="str">
        <x:v>运行时枪身与 UI 图标从同一母资产派生</x:v>
      </x:c>
    </x:row>
    <x:row r="25">
      <x:c r="A25" s="37" t="str">
        <x:v>WPN-GUN-BP-SHOTGUN</x:v>
      </x:c>
      <x:c r="B25" s="37" t="str">
        <x:v>散射喷壶</x:v>
      </x:c>
      <x:c r="C25" s="37" t="str">
        <x:v>枪械</x:v>
      </x:c>
      <x:c r="D25" s="37" t="str">
        <x:v>gunbody</x:v>
      </x:c>
      <x:c r="E25" s="37" t="str">
        <x:v>bp_shotgun</x:v>
      </x:c>
      <x:c r="F25" s="37" t="str">
        <x:v>root</x:v>
      </x:c>
      <x:c r="G25" s="37" t="str"/>
      <x:c r="H25" s="37" t="str">
        <x:v>侧面朝右</x:v>
      </x:c>
      <x:c r="I25" s="37" t="str">
        <x:v>default</x:v>
      </x:c>
      <x:c r="J25" s="37" t="str">
        <x:v>玩家/掉落/UI 共用母资产</x:v>
      </x:c>
      <x:c r="K25" s="37" t="str">
        <x:v>程序占位</x:v>
      </x:c>
      <x:c r="L25" s="37" t="str">
        <x:v>P0</x:v>
      </x:c>
      <x:c r="M25" s="37" t="str">
        <x:v>v001</x:v>
      </x:c>
      <x:c r="N25" s="37" t="str">
        <x:v>建议 48×20 px</x:v>
      </x:c>
      <x:c r="O25" s="37" t="str"/>
      <x:c r="P25" s="37" t="str">
        <x:v>src/base/BlueprintRegistry.gd</x:v>
      </x:c>
      <x:c r="Q25" s="37" t="str">
        <x:v>bp_shotgun</x:v>
      </x:c>
      <x:c r="R25" s="37" t="str">
        <x:f>LOWER(TRIM(C25)&amp;"|"&amp;TRIM(D25)&amp;"|"&amp;TRIM(E25)&amp;"|"&amp;TRIM(F25)&amp;"|"&amp;TRIM(H25)&amp;"|"&amp;TRIM(I25))</x:f>
        <x:v>枪械|gunbody|bp_shotgun|root|侧面朝右|default</x:v>
      </x:c>
      <x:c r="S25" s="37" t="str">
        <x:f>IF(A25="","",IF(COUNTIF($R$6:$R$162,R25)&gt;1,"重复","唯一"))</x:f>
        <x:v>唯一</x:v>
      </x:c>
      <x:c r="T25" s="37" t="str"/>
      <x:c r="U25" s="37" t="str">
        <x:v>待分配</x:v>
      </x:c>
      <x:c r="V25" s="54" t="n">
        <x:v>46224</x:v>
      </x:c>
      <x:c r="W25" s="37" t="str">
        <x:v>原创/待确认</x:v>
      </x:c>
      <x:c r="X25" s="37" t="str">
        <x:v>运行时枪身与 UI 图标从同一母资产派生</x:v>
      </x:c>
    </x:row>
    <x:row r="26">
      <x:c r="A26" s="37" t="str">
        <x:v>WPN-GUN-BP-RIFLE</x:v>
      </x:c>
      <x:c r="B26" s="37" t="str">
        <x:v>步枪</x:v>
      </x:c>
      <x:c r="C26" s="37" t="str">
        <x:v>枪械</x:v>
      </x:c>
      <x:c r="D26" s="37" t="str">
        <x:v>gunbody</x:v>
      </x:c>
      <x:c r="E26" s="37" t="str">
        <x:v>bp_rifle</x:v>
      </x:c>
      <x:c r="F26" s="37" t="str">
        <x:v>root</x:v>
      </x:c>
      <x:c r="G26" s="37" t="str"/>
      <x:c r="H26" s="37" t="str">
        <x:v>侧面朝右</x:v>
      </x:c>
      <x:c r="I26" s="37" t="str">
        <x:v>default</x:v>
      </x:c>
      <x:c r="J26" s="37" t="str">
        <x:v>玩家/掉落/UI 共用母资产</x:v>
      </x:c>
      <x:c r="K26" s="37" t="str">
        <x:v>程序占位</x:v>
      </x:c>
      <x:c r="L26" s="37" t="str">
        <x:v>P0</x:v>
      </x:c>
      <x:c r="M26" s="37" t="str">
        <x:v>v001</x:v>
      </x:c>
      <x:c r="N26" s="37" t="str">
        <x:v>建议 48×20 px</x:v>
      </x:c>
      <x:c r="O26" s="37" t="str"/>
      <x:c r="P26" s="37" t="str">
        <x:v>src/base/BlueprintRegistry.gd</x:v>
      </x:c>
      <x:c r="Q26" s="37" t="str">
        <x:v>bp_rifle</x:v>
      </x:c>
      <x:c r="R26" s="37" t="str">
        <x:f>LOWER(TRIM(C26)&amp;"|"&amp;TRIM(D26)&amp;"|"&amp;TRIM(E26)&amp;"|"&amp;TRIM(F26)&amp;"|"&amp;TRIM(H26)&amp;"|"&amp;TRIM(I26))</x:f>
        <x:v>枪械|gunbody|bp_rifle|root|侧面朝右|default</x:v>
      </x:c>
      <x:c r="S26" s="37" t="str">
        <x:f>IF(A26="","",IF(COUNTIF($R$6:$R$162,R26)&gt;1,"重复","唯一"))</x:f>
        <x:v>唯一</x:v>
      </x:c>
      <x:c r="T26" s="37" t="str"/>
      <x:c r="U26" s="37" t="str">
        <x:v>待分配</x:v>
      </x:c>
      <x:c r="V26" s="54" t="n">
        <x:v>46224</x:v>
      </x:c>
      <x:c r="W26" s="37" t="str">
        <x:v>原创/待确认</x:v>
      </x:c>
      <x:c r="X26" s="37" t="str">
        <x:v>运行时枪身与 UI 图标从同一母资产派生</x:v>
      </x:c>
    </x:row>
    <x:row r="27">
      <x:c r="A27" s="37" t="str">
        <x:v>WPN-GUN-BP-MACHINEGUN</x:v>
      </x:c>
      <x:c r="B27" s="37" t="str">
        <x:v>蜂窝机枪</x:v>
      </x:c>
      <x:c r="C27" s="37" t="str">
        <x:v>枪械</x:v>
      </x:c>
      <x:c r="D27" s="37" t="str">
        <x:v>gunbody</x:v>
      </x:c>
      <x:c r="E27" s="37" t="str">
        <x:v>bp_machinegun</x:v>
      </x:c>
      <x:c r="F27" s="37" t="str">
        <x:v>root</x:v>
      </x:c>
      <x:c r="G27" s="37" t="str"/>
      <x:c r="H27" s="37" t="str">
        <x:v>侧面朝右</x:v>
      </x:c>
      <x:c r="I27" s="37" t="str">
        <x:v>default</x:v>
      </x:c>
      <x:c r="J27" s="37" t="str">
        <x:v>玩家/掉落/UI 共用母资产</x:v>
      </x:c>
      <x:c r="K27" s="37" t="str">
        <x:v>程序占位</x:v>
      </x:c>
      <x:c r="L27" s="37" t="str">
        <x:v>P1</x:v>
      </x:c>
      <x:c r="M27" s="37" t="str">
        <x:v>v001</x:v>
      </x:c>
      <x:c r="N27" s="37" t="str">
        <x:v>建议 48×20 px</x:v>
      </x:c>
      <x:c r="O27" s="37" t="str"/>
      <x:c r="P27" s="37" t="str">
        <x:v>src/base/BlueprintRegistry.gd</x:v>
      </x:c>
      <x:c r="Q27" s="37" t="str">
        <x:v>bp_machinegun</x:v>
      </x:c>
      <x:c r="R27" s="37" t="str">
        <x:f>LOWER(TRIM(C27)&amp;"|"&amp;TRIM(D27)&amp;"|"&amp;TRIM(E27)&amp;"|"&amp;TRIM(F27)&amp;"|"&amp;TRIM(H27)&amp;"|"&amp;TRIM(I27))</x:f>
        <x:v>枪械|gunbody|bp_machinegun|root|侧面朝右|default</x:v>
      </x:c>
      <x:c r="S27" s="37" t="str">
        <x:f>IF(A27="","",IF(COUNTIF($R$6:$R$162,R27)&gt;1,"重复","唯一"))</x:f>
        <x:v>唯一</x:v>
      </x:c>
      <x:c r="T27" s="37" t="str"/>
      <x:c r="U27" s="37" t="str">
        <x:v>待分配</x:v>
      </x:c>
      <x:c r="V27" s="54" t="n">
        <x:v>46224</x:v>
      </x:c>
      <x:c r="W27" s="37" t="str">
        <x:v>原创/待确认</x:v>
      </x:c>
      <x:c r="X27" s="37" t="str">
        <x:v>运行时枪身与 UI 图标从同一母资产派生</x:v>
      </x:c>
    </x:row>
    <x:row r="28">
      <x:c r="A28" s="37" t="str">
        <x:v>WPN-GUN-BP-SNIPER</x:v>
      </x:c>
      <x:c r="B28" s="37" t="str">
        <x:v>弹弓狙击</x:v>
      </x:c>
      <x:c r="C28" s="37" t="str">
        <x:v>枪械</x:v>
      </x:c>
      <x:c r="D28" s="37" t="str">
        <x:v>gunbody</x:v>
      </x:c>
      <x:c r="E28" s="37" t="str">
        <x:v>bp_sniper</x:v>
      </x:c>
      <x:c r="F28" s="37" t="str">
        <x:v>root</x:v>
      </x:c>
      <x:c r="G28" s="37" t="str"/>
      <x:c r="H28" s="37" t="str">
        <x:v>侧面朝右</x:v>
      </x:c>
      <x:c r="I28" s="37" t="str">
        <x:v>default</x:v>
      </x:c>
      <x:c r="J28" s="37" t="str">
        <x:v>玩家/掉落/UI 共用母资产</x:v>
      </x:c>
      <x:c r="K28" s="37" t="str">
        <x:v>程序占位</x:v>
      </x:c>
      <x:c r="L28" s="37" t="str">
        <x:v>P1</x:v>
      </x:c>
      <x:c r="M28" s="37" t="str">
        <x:v>v001</x:v>
      </x:c>
      <x:c r="N28" s="37" t="str">
        <x:v>建议 48×20 px</x:v>
      </x:c>
      <x:c r="O28" s="37" t="str"/>
      <x:c r="P28" s="37" t="str">
        <x:v>src/base/BlueprintRegistry.gd</x:v>
      </x:c>
      <x:c r="Q28" s="37" t="str">
        <x:v>bp_sniper</x:v>
      </x:c>
      <x:c r="R28" s="37" t="str">
        <x:f>LOWER(TRIM(C28)&amp;"|"&amp;TRIM(D28)&amp;"|"&amp;TRIM(E28)&amp;"|"&amp;TRIM(F28)&amp;"|"&amp;TRIM(H28)&amp;"|"&amp;TRIM(I28))</x:f>
        <x:v>枪械|gunbody|bp_sniper|root|侧面朝右|default</x:v>
      </x:c>
      <x:c r="S28" s="37" t="str">
        <x:f>IF(A28="","",IF(COUNTIF($R$6:$R$162,R28)&gt;1,"重复","唯一"))</x:f>
        <x:v>唯一</x:v>
      </x:c>
      <x:c r="T28" s="37" t="str"/>
      <x:c r="U28" s="37" t="str">
        <x:v>待分配</x:v>
      </x:c>
      <x:c r="V28" s="54" t="n">
        <x:v>46224</x:v>
      </x:c>
      <x:c r="W28" s="37" t="str">
        <x:v>原创/待确认</x:v>
      </x:c>
      <x:c r="X28" s="37" t="str">
        <x:v>运行时枪身与 UI 图标从同一母资产派生</x:v>
      </x:c>
    </x:row>
    <x:row r="29">
      <x:c r="A29" s="37" t="str">
        <x:v>WPN-GUN-BP-LAUNCHER</x:v>
      </x:c>
      <x:c r="B29" s="37" t="str">
        <x:v>反胃榴弹筒</x:v>
      </x:c>
      <x:c r="C29" s="37" t="str">
        <x:v>枪械</x:v>
      </x:c>
      <x:c r="D29" s="37" t="str">
        <x:v>gunbody</x:v>
      </x:c>
      <x:c r="E29" s="37" t="str">
        <x:v>bp_launcher</x:v>
      </x:c>
      <x:c r="F29" s="37" t="str">
        <x:v>root</x:v>
      </x:c>
      <x:c r="G29" s="37" t="str"/>
      <x:c r="H29" s="37" t="str">
        <x:v>侧面朝右</x:v>
      </x:c>
      <x:c r="I29" s="37" t="str">
        <x:v>default</x:v>
      </x:c>
      <x:c r="J29" s="37" t="str">
        <x:v>玩家/掉落/UI 共用母资产</x:v>
      </x:c>
      <x:c r="K29" s="37" t="str">
        <x:v>程序占位</x:v>
      </x:c>
      <x:c r="L29" s="37" t="str">
        <x:v>P1</x:v>
      </x:c>
      <x:c r="M29" s="37" t="str">
        <x:v>v001</x:v>
      </x:c>
      <x:c r="N29" s="37" t="str">
        <x:v>建议 48×20 px</x:v>
      </x:c>
      <x:c r="O29" s="37" t="str"/>
      <x:c r="P29" s="37" t="str">
        <x:v>src/base/BlueprintRegistry.gd</x:v>
      </x:c>
      <x:c r="Q29" s="37" t="str">
        <x:v>bp_launcher</x:v>
      </x:c>
      <x:c r="R29" s="37" t="str">
        <x:f>LOWER(TRIM(C29)&amp;"|"&amp;TRIM(D29)&amp;"|"&amp;TRIM(E29)&amp;"|"&amp;TRIM(F29)&amp;"|"&amp;TRIM(H29)&amp;"|"&amp;TRIM(I29))</x:f>
        <x:v>枪械|gunbody|bp_launcher|root|侧面朝右|default</x:v>
      </x:c>
      <x:c r="S29" s="37" t="str">
        <x:f>IF(A29="","",IF(COUNTIF($R$6:$R$162,R29)&gt;1,"重复","唯一"))</x:f>
        <x:v>唯一</x:v>
      </x:c>
      <x:c r="T29" s="37" t="str"/>
      <x:c r="U29" s="37" t="str">
        <x:v>待分配</x:v>
      </x:c>
      <x:c r="V29" s="54" t="n">
        <x:v>46224</x:v>
      </x:c>
      <x:c r="W29" s="37" t="str">
        <x:v>原创/待确认</x:v>
      </x:c>
      <x:c r="X29" s="37" t="str">
        <x:v>运行时枪身与 UI 图标从同一母资产派生</x:v>
      </x:c>
    </x:row>
    <x:row r="30">
      <x:c r="A30" s="37" t="str">
        <x:v>WPN-GUN-BP-CHARGE</x:v>
      </x:c>
      <x:c r="B30" s="37" t="str">
        <x:v>蓄力萝卜炮</x:v>
      </x:c>
      <x:c r="C30" s="37" t="str">
        <x:v>枪械</x:v>
      </x:c>
      <x:c r="D30" s="37" t="str">
        <x:v>gunbody</x:v>
      </x:c>
      <x:c r="E30" s="37" t="str">
        <x:v>bp_charge</x:v>
      </x:c>
      <x:c r="F30" s="37" t="str">
        <x:v>root</x:v>
      </x:c>
      <x:c r="G30" s="37" t="str"/>
      <x:c r="H30" s="37" t="str">
        <x:v>侧面朝右</x:v>
      </x:c>
      <x:c r="I30" s="37" t="str">
        <x:v>default</x:v>
      </x:c>
      <x:c r="J30" s="37" t="str">
        <x:v>玩家/掉落/UI 共用母资产</x:v>
      </x:c>
      <x:c r="K30" s="37" t="str">
        <x:v>程序占位</x:v>
      </x:c>
      <x:c r="L30" s="37" t="str">
        <x:v>P2</x:v>
      </x:c>
      <x:c r="M30" s="37" t="str">
        <x:v>v001</x:v>
      </x:c>
      <x:c r="N30" s="37" t="str">
        <x:v>建议 48×20 px</x:v>
      </x:c>
      <x:c r="O30" s="37" t="str"/>
      <x:c r="P30" s="37" t="str">
        <x:v>src/base/BlueprintRegistry.gd</x:v>
      </x:c>
      <x:c r="Q30" s="37" t="str">
        <x:v>bp_charge</x:v>
      </x:c>
      <x:c r="R30" s="37" t="str">
        <x:f>LOWER(TRIM(C30)&amp;"|"&amp;TRIM(D30)&amp;"|"&amp;TRIM(E30)&amp;"|"&amp;TRIM(F30)&amp;"|"&amp;TRIM(H30)&amp;"|"&amp;TRIM(I30))</x:f>
        <x:v>枪械|gunbody|bp_charge|root|侧面朝右|default</x:v>
      </x:c>
      <x:c r="S30" s="37" t="str">
        <x:f>IF(A30="","",IF(COUNTIF($R$6:$R$162,R30)&gt;1,"重复","唯一"))</x:f>
        <x:v>唯一</x:v>
      </x:c>
      <x:c r="T30" s="37" t="str"/>
      <x:c r="U30" s="37" t="str">
        <x:v>待分配</x:v>
      </x:c>
      <x:c r="V30" s="54" t="n">
        <x:v>46224</x:v>
      </x:c>
      <x:c r="W30" s="37" t="str">
        <x:v>原创/待确认</x:v>
      </x:c>
      <x:c r="X30" s="37" t="str">
        <x:v>运行时枪身与 UI 图标从同一母资产派生</x:v>
      </x:c>
    </x:row>
    <x:row r="31">
      <x:c r="A31" s="37" t="str">
        <x:v>WPN-BUL-MOD-BULLET-STANDARD</x:v>
      </x:c>
      <x:c r="B31" s="37" t="str">
        <x:v>标准子弹</x:v>
      </x:c>
      <x:c r="C31" s="37" t="str">
        <x:v>枪械</x:v>
      </x:c>
      <x:c r="D31" s="37" t="str">
        <x:v>bullet_module</x:v>
      </x:c>
      <x:c r="E31" s="37" t="str">
        <x:v>mod_bullet_standard</x:v>
      </x:c>
      <x:c r="F31" s="37" t="str">
        <x:v>root</x:v>
      </x:c>
      <x:c r="G31" s="37" t="str"/>
      <x:c r="H31" s="37" t="str">
        <x:v>顶视/方向无关</x:v>
      </x:c>
      <x:c r="I31" s="37" t="str">
        <x:v>default</x:v>
      </x:c>
      <x:c r="J31" s="37" t="str">
        <x:v>弹体/VFX/UI 图标</x:v>
      </x:c>
      <x:c r="K31" s="37" t="str">
        <x:v>程序占位</x:v>
      </x:c>
      <x:c r="L31" s="37" t="str">
        <x:v>P1</x:v>
      </x:c>
      <x:c r="M31" s="37" t="str">
        <x:v>v001</x:v>
      </x:c>
      <x:c r="N31" s="37" t="str">
        <x:v>建议 12×12 px</x:v>
      </x:c>
      <x:c r="O31" s="37" t="str"/>
      <x:c r="P31" s="37" t="str">
        <x:v>src/base/BlueprintRegistry.gd</x:v>
      </x:c>
      <x:c r="Q31" s="37" t="str"/>
      <x:c r="R31" s="37" t="str">
        <x:f>LOWER(TRIM(C31)&amp;"|"&amp;TRIM(D31)&amp;"|"&amp;TRIM(E31)&amp;"|"&amp;TRIM(F31)&amp;"|"&amp;TRIM(H31)&amp;"|"&amp;TRIM(I31))</x:f>
        <x:v>枪械|bullet_module|mod_bullet_standard|root|顶视/方向无关|default</x:v>
      </x:c>
      <x:c r="S31" s="37" t="str">
        <x:f>IF(A31="","",IF(COUNTIF($R$6:$R$162,R31)&gt;1,"重复","唯一"))</x:f>
        <x:v>唯一</x:v>
      </x:c>
      <x:c r="T31" s="37" t="str"/>
      <x:c r="U31" s="37" t="str">
        <x:v>待分配</x:v>
      </x:c>
      <x:c r="V31" s="54" t="n">
        <x:v>46224</x:v>
      </x:c>
      <x:c r="W31" s="37" t="str">
        <x:v>原创/待确认</x:v>
      </x:c>
      <x:c r="X31" s="37" t="str">
        <x:v>优先复用颜色和弹道特效，不为每把枪重复制作</x:v>
      </x:c>
    </x:row>
    <x:row r="32">
      <x:c r="A32" s="37" t="str">
        <x:v>WPN-BUL-MOD-BULLET-STICKY</x:v>
      </x:c>
      <x:c r="B32" s="37" t="str">
        <x:v>黏黏弹</x:v>
      </x:c>
      <x:c r="C32" s="37" t="str">
        <x:v>枪械</x:v>
      </x:c>
      <x:c r="D32" s="37" t="str">
        <x:v>bullet_module</x:v>
      </x:c>
      <x:c r="E32" s="37" t="str">
        <x:v>mod_bullet_sticky</x:v>
      </x:c>
      <x:c r="F32" s="37" t="str">
        <x:v>root</x:v>
      </x:c>
      <x:c r="G32" s="37" t="str"/>
      <x:c r="H32" s="37" t="str">
        <x:v>顶视/方向无关</x:v>
      </x:c>
      <x:c r="I32" s="37" t="str">
        <x:v>default</x:v>
      </x:c>
      <x:c r="J32" s="37" t="str">
        <x:v>弹体/VFX/UI 图标</x:v>
      </x:c>
      <x:c r="K32" s="37" t="str">
        <x:v>程序占位</x:v>
      </x:c>
      <x:c r="L32" s="37" t="str">
        <x:v>P1</x:v>
      </x:c>
      <x:c r="M32" s="37" t="str">
        <x:v>v001</x:v>
      </x:c>
      <x:c r="N32" s="37" t="str">
        <x:v>建议 12×12 px</x:v>
      </x:c>
      <x:c r="O32" s="37" t="str"/>
      <x:c r="P32" s="37" t="str">
        <x:v>src/base/BlueprintRegistry.gd</x:v>
      </x:c>
      <x:c r="Q32" s="37" t="str"/>
      <x:c r="R32" s="37" t="str">
        <x:f>LOWER(TRIM(C32)&amp;"|"&amp;TRIM(D32)&amp;"|"&amp;TRIM(E32)&amp;"|"&amp;TRIM(F32)&amp;"|"&amp;TRIM(H32)&amp;"|"&amp;TRIM(I32))</x:f>
        <x:v>枪械|bullet_module|mod_bullet_sticky|root|顶视/方向无关|default</x:v>
      </x:c>
      <x:c r="S32" s="37" t="str">
        <x:f>IF(A32="","",IF(COUNTIF($R$6:$R$162,R32)&gt;1,"重复","唯一"))</x:f>
        <x:v>唯一</x:v>
      </x:c>
      <x:c r="T32" s="37" t="str"/>
      <x:c r="U32" s="37" t="str">
        <x:v>待分配</x:v>
      </x:c>
      <x:c r="V32" s="54" t="n">
        <x:v>46224</x:v>
      </x:c>
      <x:c r="W32" s="37" t="str">
        <x:v>原创/待确认</x:v>
      </x:c>
      <x:c r="X32" s="37" t="str">
        <x:v>优先复用颜色和弹道特效，不为每把枪重复制作</x:v>
      </x:c>
    </x:row>
    <x:row r="33">
      <x:c r="A33" s="37" t="str">
        <x:v>WPN-BUL-MOD-BULLET-BOUNCE</x:v>
      </x:c>
      <x:c r="B33" s="37" t="str">
        <x:v>回旋镖弹</x:v>
      </x:c>
      <x:c r="C33" s="37" t="str">
        <x:v>枪械</x:v>
      </x:c>
      <x:c r="D33" s="37" t="str">
        <x:v>bullet_module</x:v>
      </x:c>
      <x:c r="E33" s="37" t="str">
        <x:v>mod_bullet_bounce</x:v>
      </x:c>
      <x:c r="F33" s="37" t="str">
        <x:v>root</x:v>
      </x:c>
      <x:c r="G33" s="37" t="str"/>
      <x:c r="H33" s="37" t="str">
        <x:v>顶视/方向无关</x:v>
      </x:c>
      <x:c r="I33" s="37" t="str">
        <x:v>default</x:v>
      </x:c>
      <x:c r="J33" s="37" t="str">
        <x:v>弹体/VFX/UI 图标</x:v>
      </x:c>
      <x:c r="K33" s="37" t="str">
        <x:v>程序占位</x:v>
      </x:c>
      <x:c r="L33" s="37" t="str">
        <x:v>P1</x:v>
      </x:c>
      <x:c r="M33" s="37" t="str">
        <x:v>v001</x:v>
      </x:c>
      <x:c r="N33" s="37" t="str">
        <x:v>建议 12×12 px</x:v>
      </x:c>
      <x:c r="O33" s="37" t="str"/>
      <x:c r="P33" s="37" t="str">
        <x:v>src/base/BlueprintRegistry.gd</x:v>
      </x:c>
      <x:c r="Q33" s="37" t="str"/>
      <x:c r="R33" s="37" t="str">
        <x:f>LOWER(TRIM(C33)&amp;"|"&amp;TRIM(D33)&amp;"|"&amp;TRIM(E33)&amp;"|"&amp;TRIM(F33)&amp;"|"&amp;TRIM(H33)&amp;"|"&amp;TRIM(I33))</x:f>
        <x:v>枪械|bullet_module|mod_bullet_bounce|root|顶视/方向无关|default</x:v>
      </x:c>
      <x:c r="S33" s="37" t="str">
        <x:f>IF(A33="","",IF(COUNTIF($R$6:$R$162,R33)&gt;1,"重复","唯一"))</x:f>
        <x:v>唯一</x:v>
      </x:c>
      <x:c r="T33" s="37" t="str"/>
      <x:c r="U33" s="37" t="str">
        <x:v>待分配</x:v>
      </x:c>
      <x:c r="V33" s="54" t="n">
        <x:v>46224</x:v>
      </x:c>
      <x:c r="W33" s="37" t="str">
        <x:v>原创/待确认</x:v>
      </x:c>
      <x:c r="X33" s="37" t="str">
        <x:v>优先复用颜色和弹道特效，不为每把枪重复制作</x:v>
      </x:c>
    </x:row>
    <x:row r="34">
      <x:c r="A34" s="37" t="str">
        <x:v>WPN-BUL-MOD-BULLET-PIERCING</x:v>
      </x:c>
      <x:c r="B34" s="37" t="str">
        <x:v>穿甲弹</x:v>
      </x:c>
      <x:c r="C34" s="37" t="str">
        <x:v>枪械</x:v>
      </x:c>
      <x:c r="D34" s="37" t="str">
        <x:v>bullet_module</x:v>
      </x:c>
      <x:c r="E34" s="37" t="str">
        <x:v>mod_bullet_piercing</x:v>
      </x:c>
      <x:c r="F34" s="37" t="str">
        <x:v>root</x:v>
      </x:c>
      <x:c r="G34" s="37" t="str"/>
      <x:c r="H34" s="37" t="str">
        <x:v>顶视/方向无关</x:v>
      </x:c>
      <x:c r="I34" s="37" t="str">
        <x:v>default</x:v>
      </x:c>
      <x:c r="J34" s="37" t="str">
        <x:v>弹体/VFX/UI 图标</x:v>
      </x:c>
      <x:c r="K34" s="37" t="str">
        <x:v>程序占位</x:v>
      </x:c>
      <x:c r="L34" s="37" t="str">
        <x:v>P1</x:v>
      </x:c>
      <x:c r="M34" s="37" t="str">
        <x:v>v001</x:v>
      </x:c>
      <x:c r="N34" s="37" t="str">
        <x:v>建议 12×12 px</x:v>
      </x:c>
      <x:c r="O34" s="37" t="str"/>
      <x:c r="P34" s="37" t="str">
        <x:v>src/base/BlueprintRegistry.gd</x:v>
      </x:c>
      <x:c r="Q34" s="37" t="str"/>
      <x:c r="R34" s="37" t="str">
        <x:f>LOWER(TRIM(C34)&amp;"|"&amp;TRIM(D34)&amp;"|"&amp;TRIM(E34)&amp;"|"&amp;TRIM(F34)&amp;"|"&amp;TRIM(H34)&amp;"|"&amp;TRIM(I34))</x:f>
        <x:v>枪械|bullet_module|mod_bullet_piercing|root|顶视/方向无关|default</x:v>
      </x:c>
      <x:c r="S34" s="37" t="str">
        <x:f>IF(A34="","",IF(COUNTIF($R$6:$R$162,R34)&gt;1,"重复","唯一"))</x:f>
        <x:v>唯一</x:v>
      </x:c>
      <x:c r="T34" s="37" t="str"/>
      <x:c r="U34" s="37" t="str">
        <x:v>待分配</x:v>
      </x:c>
      <x:c r="V34" s="54" t="n">
        <x:v>46224</x:v>
      </x:c>
      <x:c r="W34" s="37" t="str">
        <x:v>原创/待确认</x:v>
      </x:c>
      <x:c r="X34" s="37" t="str">
        <x:v>优先复用颜色和弹道特效，不为每把枪重复制作</x:v>
      </x:c>
    </x:row>
    <x:row r="35">
      <x:c r="A35" s="37" t="str">
        <x:v>WPN-BUL-MOD-BULLET-EXPLOSIVE</x:v>
      </x:c>
      <x:c r="B35" s="37" t="str">
        <x:v>爆炸弹</x:v>
      </x:c>
      <x:c r="C35" s="37" t="str">
        <x:v>枪械</x:v>
      </x:c>
      <x:c r="D35" s="37" t="str">
        <x:v>bullet_module</x:v>
      </x:c>
      <x:c r="E35" s="37" t="str">
        <x:v>mod_bullet_explosive</x:v>
      </x:c>
      <x:c r="F35" s="37" t="str">
        <x:v>root</x:v>
      </x:c>
      <x:c r="G35" s="37" t="str"/>
      <x:c r="H35" s="37" t="str">
        <x:v>顶视/方向无关</x:v>
      </x:c>
      <x:c r="I35" s="37" t="str">
        <x:v>default</x:v>
      </x:c>
      <x:c r="J35" s="37" t="str">
        <x:v>弹体/VFX/UI 图标</x:v>
      </x:c>
      <x:c r="K35" s="37" t="str">
        <x:v>程序占位</x:v>
      </x:c>
      <x:c r="L35" s="37" t="str">
        <x:v>P1</x:v>
      </x:c>
      <x:c r="M35" s="37" t="str">
        <x:v>v001</x:v>
      </x:c>
      <x:c r="N35" s="37" t="str">
        <x:v>建议 12×12 px</x:v>
      </x:c>
      <x:c r="O35" s="37" t="str"/>
      <x:c r="P35" s="37" t="str">
        <x:v>src/base/BlueprintRegistry.gd</x:v>
      </x:c>
      <x:c r="Q35" s="37" t="str"/>
      <x:c r="R35" s="37" t="str">
        <x:f>LOWER(TRIM(C35)&amp;"|"&amp;TRIM(D35)&amp;"|"&amp;TRIM(E35)&amp;"|"&amp;TRIM(F35)&amp;"|"&amp;TRIM(H35)&amp;"|"&amp;TRIM(I35))</x:f>
        <x:v>枪械|bullet_module|mod_bullet_explosive|root|顶视/方向无关|default</x:v>
      </x:c>
      <x:c r="S35" s="37" t="str">
        <x:f>IF(A35="","",IF(COUNTIF($R$6:$R$162,R35)&gt;1,"重复","唯一"))</x:f>
        <x:v>唯一</x:v>
      </x:c>
      <x:c r="T35" s="37" t="str"/>
      <x:c r="U35" s="37" t="str">
        <x:v>待分配</x:v>
      </x:c>
      <x:c r="V35" s="54" t="n">
        <x:v>46224</x:v>
      </x:c>
      <x:c r="W35" s="37" t="str">
        <x:v>原创/待确认</x:v>
      </x:c>
      <x:c r="X35" s="37" t="str">
        <x:v>优先复用颜色和弹道特效，不为每把枪重复制作</x:v>
      </x:c>
    </x:row>
    <x:row r="36">
      <x:c r="A36" s="37" t="str">
        <x:v>WPN-BUL-MOD-BULLET-HOMING</x:v>
      </x:c>
      <x:c r="B36" s="37" t="str">
        <x:v>蜂卵弹</x:v>
      </x:c>
      <x:c r="C36" s="37" t="str">
        <x:v>枪械</x:v>
      </x:c>
      <x:c r="D36" s="37" t="str">
        <x:v>bullet_module</x:v>
      </x:c>
      <x:c r="E36" s="37" t="str">
        <x:v>mod_bullet_homing</x:v>
      </x:c>
      <x:c r="F36" s="37" t="str">
        <x:v>root</x:v>
      </x:c>
      <x:c r="G36" s="37" t="str"/>
      <x:c r="H36" s="37" t="str">
        <x:v>顶视/方向无关</x:v>
      </x:c>
      <x:c r="I36" s="37" t="str">
        <x:v>default</x:v>
      </x:c>
      <x:c r="J36" s="37" t="str">
        <x:v>弹体/VFX/UI 图标</x:v>
      </x:c>
      <x:c r="K36" s="37" t="str">
        <x:v>程序占位</x:v>
      </x:c>
      <x:c r="L36" s="37" t="str">
        <x:v>P1</x:v>
      </x:c>
      <x:c r="M36" s="37" t="str">
        <x:v>v001</x:v>
      </x:c>
      <x:c r="N36" s="37" t="str">
        <x:v>建议 12×12 px</x:v>
      </x:c>
      <x:c r="O36" s="37" t="str"/>
      <x:c r="P36" s="37" t="str">
        <x:v>src/base/BlueprintRegistry.gd</x:v>
      </x:c>
      <x:c r="Q36" s="37" t="str"/>
      <x:c r="R36" s="37" t="str">
        <x:f>LOWER(TRIM(C36)&amp;"|"&amp;TRIM(D36)&amp;"|"&amp;TRIM(E36)&amp;"|"&amp;TRIM(F36)&amp;"|"&amp;TRIM(H36)&amp;"|"&amp;TRIM(I36))</x:f>
        <x:v>枪械|bullet_module|mod_bullet_homing|root|顶视/方向无关|default</x:v>
      </x:c>
      <x:c r="S36" s="37" t="str">
        <x:f>IF(A36="","",IF(COUNTIF($R$6:$R$162,R36)&gt;1,"重复","唯一"))</x:f>
        <x:v>唯一</x:v>
      </x:c>
      <x:c r="T36" s="37" t="str"/>
      <x:c r="U36" s="37" t="str">
        <x:v>待分配</x:v>
      </x:c>
      <x:c r="V36" s="54" t="n">
        <x:v>46224</x:v>
      </x:c>
      <x:c r="W36" s="37" t="str">
        <x:v>原创/待确认</x:v>
      </x:c>
      <x:c r="X36" s="37" t="str">
        <x:v>优先复用颜色和弹道特效，不为每把枪重复制作</x:v>
      </x:c>
    </x:row>
    <x:row r="37">
      <x:c r="A37" s="37" t="str">
        <x:v>WPN-BUL-MOD-BULLET-BLACKHOLE</x:v>
      </x:c>
      <x:c r="B37" s="37" t="str">
        <x:v>黑洞弹</x:v>
      </x:c>
      <x:c r="C37" s="37" t="str">
        <x:v>枪械</x:v>
      </x:c>
      <x:c r="D37" s="37" t="str">
        <x:v>bullet_module</x:v>
      </x:c>
      <x:c r="E37" s="37" t="str">
        <x:v>mod_bullet_blackhole</x:v>
      </x:c>
      <x:c r="F37" s="37" t="str">
        <x:v>root</x:v>
      </x:c>
      <x:c r="G37" s="37" t="str"/>
      <x:c r="H37" s="37" t="str">
        <x:v>顶视/方向无关</x:v>
      </x:c>
      <x:c r="I37" s="37" t="str">
        <x:v>default</x:v>
      </x:c>
      <x:c r="J37" s="37" t="str">
        <x:v>弹体/VFX/UI 图标</x:v>
      </x:c>
      <x:c r="K37" s="37" t="str">
        <x:v>程序占位</x:v>
      </x:c>
      <x:c r="L37" s="37" t="str">
        <x:v>P1</x:v>
      </x:c>
      <x:c r="M37" s="37" t="str">
        <x:v>v001</x:v>
      </x:c>
      <x:c r="N37" s="37" t="str">
        <x:v>建议 12×12 px</x:v>
      </x:c>
      <x:c r="O37" s="37" t="str"/>
      <x:c r="P37" s="37" t="str">
        <x:v>src/base/BlueprintRegistry.gd</x:v>
      </x:c>
      <x:c r="Q37" s="37" t="str"/>
      <x:c r="R37" s="37" t="str">
        <x:f>LOWER(TRIM(C37)&amp;"|"&amp;TRIM(D37)&amp;"|"&amp;TRIM(E37)&amp;"|"&amp;TRIM(F37)&amp;"|"&amp;TRIM(H37)&amp;"|"&amp;TRIM(I37))</x:f>
        <x:v>枪械|bullet_module|mod_bullet_blackhole|root|顶视/方向无关|default</x:v>
      </x:c>
      <x:c r="S37" s="37" t="str">
        <x:f>IF(A37="","",IF(COUNTIF($R$6:$R$162,R37)&gt;1,"重复","唯一"))</x:f>
        <x:v>唯一</x:v>
      </x:c>
      <x:c r="T37" s="37" t="str"/>
      <x:c r="U37" s="37" t="str">
        <x:v>待分配</x:v>
      </x:c>
      <x:c r="V37" s="54" t="n">
        <x:v>46224</x:v>
      </x:c>
      <x:c r="W37" s="37" t="str">
        <x:v>原创/待确认</x:v>
      </x:c>
      <x:c r="X37" s="37" t="str">
        <x:v>优先复用颜色和弹道特效，不为每把枪重复制作</x:v>
      </x:c>
    </x:row>
    <x:row r="38">
      <x:c r="A38" s="37" t="str">
        <x:v>WPN-BUL-MOD-BULLET-BALLOON</x:v>
      </x:c>
      <x:c r="B38" s="37" t="str">
        <x:v>气球弹</x:v>
      </x:c>
      <x:c r="C38" s="37" t="str">
        <x:v>枪械</x:v>
      </x:c>
      <x:c r="D38" s="37" t="str">
        <x:v>bullet_module</x:v>
      </x:c>
      <x:c r="E38" s="37" t="str">
        <x:v>mod_bullet_balloon</x:v>
      </x:c>
      <x:c r="F38" s="37" t="str">
        <x:v>root</x:v>
      </x:c>
      <x:c r="G38" s="37" t="str"/>
      <x:c r="H38" s="37" t="str">
        <x:v>顶视/方向无关</x:v>
      </x:c>
      <x:c r="I38" s="37" t="str">
        <x:v>default</x:v>
      </x:c>
      <x:c r="J38" s="37" t="str">
        <x:v>弹体/VFX/UI 图标</x:v>
      </x:c>
      <x:c r="K38" s="37" t="str">
        <x:v>程序占位</x:v>
      </x:c>
      <x:c r="L38" s="37" t="str">
        <x:v>P1</x:v>
      </x:c>
      <x:c r="M38" s="37" t="str">
        <x:v>v001</x:v>
      </x:c>
      <x:c r="N38" s="37" t="str">
        <x:v>建议 12×12 px</x:v>
      </x:c>
      <x:c r="O38" s="37" t="str"/>
      <x:c r="P38" s="37" t="str">
        <x:v>src/base/BlueprintRegistry.gd</x:v>
      </x:c>
      <x:c r="Q38" s="37" t="str"/>
      <x:c r="R38" s="37" t="str">
        <x:f>LOWER(TRIM(C38)&amp;"|"&amp;TRIM(D38)&amp;"|"&amp;TRIM(E38)&amp;"|"&amp;TRIM(F38)&amp;"|"&amp;TRIM(H38)&amp;"|"&amp;TRIM(I38))</x:f>
        <x:v>枪械|bullet_module|mod_bullet_balloon|root|顶视/方向无关|default</x:v>
      </x:c>
      <x:c r="S38" s="37" t="str">
        <x:f>IF(A38="","",IF(COUNTIF($R$6:$R$162,R38)&gt;1,"重复","唯一"))</x:f>
        <x:v>唯一</x:v>
      </x:c>
      <x:c r="T38" s="37" t="str"/>
      <x:c r="U38" s="37" t="str">
        <x:v>待分配</x:v>
      </x:c>
      <x:c r="V38" s="54" t="n">
        <x:v>46224</x:v>
      </x:c>
      <x:c r="W38" s="37" t="str">
        <x:v>原创/待确认</x:v>
      </x:c>
      <x:c r="X38" s="37" t="str">
        <x:v>优先复用颜色和弹道特效，不为每把枪重复制作</x:v>
      </x:c>
    </x:row>
    <x:row r="39">
      <x:c r="A39" s="37" t="str">
        <x:v>WPN-ATT-ATTACH-TRIPLE-MUZZLE</x:v>
      </x:c>
      <x:c r="B39" s="37" t="str">
        <x:v>三叉枪口</x:v>
      </x:c>
      <x:c r="C39" s="37" t="str">
        <x:v>枪械</x:v>
      </x:c>
      <x:c r="D39" s="37" t="str">
        <x:v>attachment</x:v>
      </x:c>
      <x:c r="E39" s="37" t="str">
        <x:v>attach_triple_muzzle</x:v>
      </x:c>
      <x:c r="F39" s="37" t="str">
        <x:v>root</x:v>
      </x:c>
      <x:c r="G39" s="37" t="str"/>
      <x:c r="H39" s="37" t="str">
        <x:v>侧面朝右</x:v>
      </x:c>
      <x:c r="I39" s="37" t="str">
        <x:v>default</x:v>
      </x:c>
      <x:c r="J39" s="37" t="str">
        <x:v>装配树/枪身/UI 图标</x:v>
      </x:c>
      <x:c r="K39" s="37" t="str">
        <x:v>程序占位</x:v>
      </x:c>
      <x:c r="L39" s="37" t="str">
        <x:v>P2</x:v>
      </x:c>
      <x:c r="M39" s="37" t="str">
        <x:v>v001</x:v>
      </x:c>
      <x:c r="N39" s="37" t="str">
        <x:v>建议 12–24 px</x:v>
      </x:c>
      <x:c r="O39" s="37" t="str"/>
      <x:c r="P39" s="37" t="str">
        <x:v>src/base/BlueprintRegistry.gd</x:v>
      </x:c>
      <x:c r="Q39" s="37" t="str"/>
      <x:c r="R39" s="37" t="str">
        <x:f>LOWER(TRIM(C39)&amp;"|"&amp;TRIM(D39)&amp;"|"&amp;TRIM(E39)&amp;"|"&amp;TRIM(F39)&amp;"|"&amp;TRIM(H39)&amp;"|"&amp;TRIM(I39))</x:f>
        <x:v>枪械|attachment|attach_triple_muzzle|root|侧面朝右|default</x:v>
      </x:c>
      <x:c r="S39" s="37" t="str">
        <x:f>IF(A39="","",IF(COUNTIF($R$6:$R$162,R39)&gt;1,"重复","唯一"))</x:f>
        <x:v>唯一</x:v>
      </x:c>
      <x:c r="T39" s="37" t="str"/>
      <x:c r="U39" s="37" t="str">
        <x:v>待分配</x:v>
      </x:c>
      <x:c r="V39" s="54" t="n">
        <x:v>46224</x:v>
      </x:c>
      <x:c r="W39" s="37" t="str">
        <x:v>原创/待确认</x:v>
      </x:c>
      <x:c r="X39" s="37" t="str">
        <x:v>以挂点部件制作，不烘焙进整枪</x:v>
      </x:c>
    </x:row>
    <x:row r="40">
      <x:c r="A40" s="37" t="str">
        <x:v>WPN-ATT-ATTACH-RUBBER-STOCK</x:v>
      </x:c>
      <x:c r="B40" s="37" t="str">
        <x:v>橡皮枪托</x:v>
      </x:c>
      <x:c r="C40" s="37" t="str">
        <x:v>枪械</x:v>
      </x:c>
      <x:c r="D40" s="37" t="str">
        <x:v>attachment</x:v>
      </x:c>
      <x:c r="E40" s="37" t="str">
        <x:v>attach_rubber_stock</x:v>
      </x:c>
      <x:c r="F40" s="37" t="str">
        <x:v>root</x:v>
      </x:c>
      <x:c r="G40" s="37" t="str"/>
      <x:c r="H40" s="37" t="str">
        <x:v>侧面朝右</x:v>
      </x:c>
      <x:c r="I40" s="37" t="str">
        <x:v>default</x:v>
      </x:c>
      <x:c r="J40" s="37" t="str">
        <x:v>装配树/枪身/UI 图标</x:v>
      </x:c>
      <x:c r="K40" s="37" t="str">
        <x:v>程序占位</x:v>
      </x:c>
      <x:c r="L40" s="37" t="str">
        <x:v>P2</x:v>
      </x:c>
      <x:c r="M40" s="37" t="str">
        <x:v>v001</x:v>
      </x:c>
      <x:c r="N40" s="37" t="str">
        <x:v>建议 12–24 px</x:v>
      </x:c>
      <x:c r="O40" s="37" t="str"/>
      <x:c r="P40" s="37" t="str">
        <x:v>src/base/BlueprintRegistry.gd</x:v>
      </x:c>
      <x:c r="Q40" s="37" t="str"/>
      <x:c r="R40" s="37" t="str">
        <x:f>LOWER(TRIM(C40)&amp;"|"&amp;TRIM(D40)&amp;"|"&amp;TRIM(E40)&amp;"|"&amp;TRIM(F40)&amp;"|"&amp;TRIM(H40)&amp;"|"&amp;TRIM(I40))</x:f>
        <x:v>枪械|attachment|attach_rubber_stock|root|侧面朝右|default</x:v>
      </x:c>
      <x:c r="S40" s="37" t="str">
        <x:f>IF(A40="","",IF(COUNTIF($R$6:$R$162,R40)&gt;1,"重复","唯一"))</x:f>
        <x:v>唯一</x:v>
      </x:c>
      <x:c r="T40" s="37" t="str"/>
      <x:c r="U40" s="37" t="str">
        <x:v>待分配</x:v>
      </x:c>
      <x:c r="V40" s="54" t="n">
        <x:v>46224</x:v>
      </x:c>
      <x:c r="W40" s="37" t="str">
        <x:v>原创/待确认</x:v>
      </x:c>
      <x:c r="X40" s="37" t="str">
        <x:v>以挂点部件制作，不烘焙进整枪</x:v>
      </x:c>
    </x:row>
    <x:row r="41">
      <x:c r="A41" s="37" t="str">
        <x:v>WPN-ATT-ATTACH-SCOPE</x:v>
      </x:c>
      <x:c r="B41" s="37" t="str">
        <x:v>放大镜瞄具</x:v>
      </x:c>
      <x:c r="C41" s="37" t="str">
        <x:v>枪械</x:v>
      </x:c>
      <x:c r="D41" s="37" t="str">
        <x:v>attachment</x:v>
      </x:c>
      <x:c r="E41" s="37" t="str">
        <x:v>attach_scope</x:v>
      </x:c>
      <x:c r="F41" s="37" t="str">
        <x:v>root</x:v>
      </x:c>
      <x:c r="G41" s="37" t="str"/>
      <x:c r="H41" s="37" t="str">
        <x:v>侧面朝右</x:v>
      </x:c>
      <x:c r="I41" s="37" t="str">
        <x:v>default</x:v>
      </x:c>
      <x:c r="J41" s="37" t="str">
        <x:v>装配树/枪身/UI 图标</x:v>
      </x:c>
      <x:c r="K41" s="37" t="str">
        <x:v>程序占位</x:v>
      </x:c>
      <x:c r="L41" s="37" t="str">
        <x:v>P2</x:v>
      </x:c>
      <x:c r="M41" s="37" t="str">
        <x:v>v001</x:v>
      </x:c>
      <x:c r="N41" s="37" t="str">
        <x:v>建议 12–24 px</x:v>
      </x:c>
      <x:c r="O41" s="37" t="str"/>
      <x:c r="P41" s="37" t="str">
        <x:v>src/base/BlueprintRegistry.gd</x:v>
      </x:c>
      <x:c r="Q41" s="37" t="str"/>
      <x:c r="R41" s="37" t="str">
        <x:f>LOWER(TRIM(C41)&amp;"|"&amp;TRIM(D41)&amp;"|"&amp;TRIM(E41)&amp;"|"&amp;TRIM(F41)&amp;"|"&amp;TRIM(H41)&amp;"|"&amp;TRIM(I41))</x:f>
        <x:v>枪械|attachment|attach_scope|root|侧面朝右|default</x:v>
      </x:c>
      <x:c r="S41" s="37" t="str">
        <x:f>IF(A41="","",IF(COUNTIF($R$6:$R$162,R41)&gt;1,"重复","唯一"))</x:f>
        <x:v>唯一</x:v>
      </x:c>
      <x:c r="T41" s="37" t="str"/>
      <x:c r="U41" s="37" t="str">
        <x:v>待分配</x:v>
      </x:c>
      <x:c r="V41" s="54" t="n">
        <x:v>46224</x:v>
      </x:c>
      <x:c r="W41" s="37" t="str">
        <x:v>原创/待确认</x:v>
      </x:c>
      <x:c r="X41" s="37" t="str">
        <x:v>以挂点部件制作，不烘焙进整枪</x:v>
      </x:c>
    </x:row>
    <x:row r="42">
      <x:c r="A42" s="37" t="str">
        <x:v>WPN-ATT-ATTACH-BIG-MAG</x:v>
      </x:c>
      <x:c r="B42" s="37" t="str">
        <x:v>肉质弹匣</x:v>
      </x:c>
      <x:c r="C42" s="37" t="str">
        <x:v>枪械</x:v>
      </x:c>
      <x:c r="D42" s="37" t="str">
        <x:v>attachment</x:v>
      </x:c>
      <x:c r="E42" s="37" t="str">
        <x:v>attach_big_mag</x:v>
      </x:c>
      <x:c r="F42" s="37" t="str">
        <x:v>root</x:v>
      </x:c>
      <x:c r="G42" s="37" t="str"/>
      <x:c r="H42" s="37" t="str">
        <x:v>侧面朝右</x:v>
      </x:c>
      <x:c r="I42" s="37" t="str">
        <x:v>default</x:v>
      </x:c>
      <x:c r="J42" s="37" t="str">
        <x:v>装配树/枪身/UI 图标</x:v>
      </x:c>
      <x:c r="K42" s="37" t="str">
        <x:v>程序占位</x:v>
      </x:c>
      <x:c r="L42" s="37" t="str">
        <x:v>P2</x:v>
      </x:c>
      <x:c r="M42" s="37" t="str">
        <x:v>v001</x:v>
      </x:c>
      <x:c r="N42" s="37" t="str">
        <x:v>建议 12–24 px</x:v>
      </x:c>
      <x:c r="O42" s="37" t="str"/>
      <x:c r="P42" s="37" t="str">
        <x:v>src/base/BlueprintRegistry.gd</x:v>
      </x:c>
      <x:c r="Q42" s="37" t="str"/>
      <x:c r="R42" s="37" t="str">
        <x:f>LOWER(TRIM(C42)&amp;"|"&amp;TRIM(D42)&amp;"|"&amp;TRIM(E42)&amp;"|"&amp;TRIM(F42)&amp;"|"&amp;TRIM(H42)&amp;"|"&amp;TRIM(I42))</x:f>
        <x:v>枪械|attachment|attach_big_mag|root|侧面朝右|default</x:v>
      </x:c>
      <x:c r="S42" s="37" t="str">
        <x:f>IF(A42="","",IF(COUNTIF($R$6:$R$162,R42)&gt;1,"重复","唯一"))</x:f>
        <x:v>唯一</x:v>
      </x:c>
      <x:c r="T42" s="37" t="str"/>
      <x:c r="U42" s="37" t="str">
        <x:v>待分配</x:v>
      </x:c>
      <x:c r="V42" s="54" t="n">
        <x:v>46224</x:v>
      </x:c>
      <x:c r="W42" s="37" t="str">
        <x:v>原创/待确认</x:v>
      </x:c>
      <x:c r="X42" s="37" t="str">
        <x:v>以挂点部件制作，不烘焙进整枪</x:v>
      </x:c>
    </x:row>
    <x:row r="43">
      <x:c r="A43" s="37" t="str">
        <x:v>WPN-ATT-ATTACH-FAN</x:v>
      </x:c>
      <x:c r="B43" s="37" t="str">
        <x:v>小风扇</x:v>
      </x:c>
      <x:c r="C43" s="37" t="str">
        <x:v>枪械</x:v>
      </x:c>
      <x:c r="D43" s="37" t="str">
        <x:v>attachment</x:v>
      </x:c>
      <x:c r="E43" s="37" t="str">
        <x:v>attach_fan</x:v>
      </x:c>
      <x:c r="F43" s="37" t="str">
        <x:v>root</x:v>
      </x:c>
      <x:c r="G43" s="37" t="str"/>
      <x:c r="H43" s="37" t="str">
        <x:v>侧面朝右</x:v>
      </x:c>
      <x:c r="I43" s="37" t="str">
        <x:v>default</x:v>
      </x:c>
      <x:c r="J43" s="37" t="str">
        <x:v>装配树/枪身/UI 图标</x:v>
      </x:c>
      <x:c r="K43" s="37" t="str">
        <x:v>程序占位</x:v>
      </x:c>
      <x:c r="L43" s="37" t="str">
        <x:v>P2</x:v>
      </x:c>
      <x:c r="M43" s="37" t="str">
        <x:v>v001</x:v>
      </x:c>
      <x:c r="N43" s="37" t="str">
        <x:v>建议 12–24 px</x:v>
      </x:c>
      <x:c r="O43" s="37" t="str"/>
      <x:c r="P43" s="37" t="str">
        <x:v>src/base/BlueprintRegistry.gd</x:v>
      </x:c>
      <x:c r="Q43" s="37" t="str"/>
      <x:c r="R43" s="37" t="str">
        <x:f>LOWER(TRIM(C43)&amp;"|"&amp;TRIM(D43)&amp;"|"&amp;TRIM(E43)&amp;"|"&amp;TRIM(F43)&amp;"|"&amp;TRIM(H43)&amp;"|"&amp;TRIM(I43))</x:f>
        <x:v>枪械|attachment|attach_fan|root|侧面朝右|default</x:v>
      </x:c>
      <x:c r="S43" s="37" t="str">
        <x:f>IF(A43="","",IF(COUNTIF($R$6:$R$162,R43)&gt;1,"重复","唯一"))</x:f>
        <x:v>唯一</x:v>
      </x:c>
      <x:c r="T43" s="37" t="str"/>
      <x:c r="U43" s="37" t="str">
        <x:v>待分配</x:v>
      </x:c>
      <x:c r="V43" s="54" t="n">
        <x:v>46224</x:v>
      </x:c>
      <x:c r="W43" s="37" t="str">
        <x:v>原创/待确认</x:v>
      </x:c>
      <x:c r="X43" s="37" t="str">
        <x:v>以挂点部件制作，不烘焙进整枪</x:v>
      </x:c>
    </x:row>
    <x:row r="44">
      <x:c r="A44" s="37" t="str">
        <x:v>WPN-ATT-ATTACH-COPY-STICKER</x:v>
      </x:c>
      <x:c r="B44" s="37" t="str">
        <x:v>复制贴纸</x:v>
      </x:c>
      <x:c r="C44" s="37" t="str">
        <x:v>枪械</x:v>
      </x:c>
      <x:c r="D44" s="37" t="str">
        <x:v>attachment</x:v>
      </x:c>
      <x:c r="E44" s="37" t="str">
        <x:v>attach_copy_sticker</x:v>
      </x:c>
      <x:c r="F44" s="37" t="str">
        <x:v>root</x:v>
      </x:c>
      <x:c r="G44" s="37" t="str"/>
      <x:c r="H44" s="37" t="str">
        <x:v>侧面朝右</x:v>
      </x:c>
      <x:c r="I44" s="37" t="str">
        <x:v>default</x:v>
      </x:c>
      <x:c r="J44" s="37" t="str">
        <x:v>装配树/枪身/UI 图标</x:v>
      </x:c>
      <x:c r="K44" s="37" t="str">
        <x:v>程序占位</x:v>
      </x:c>
      <x:c r="L44" s="37" t="str">
        <x:v>P2</x:v>
      </x:c>
      <x:c r="M44" s="37" t="str">
        <x:v>v001</x:v>
      </x:c>
      <x:c r="N44" s="37" t="str">
        <x:v>建议 12–24 px</x:v>
      </x:c>
      <x:c r="O44" s="37" t="str"/>
      <x:c r="P44" s="37" t="str">
        <x:v>src/base/BlueprintRegistry.gd</x:v>
      </x:c>
      <x:c r="Q44" s="37" t="str"/>
      <x:c r="R44" s="37" t="str">
        <x:f>LOWER(TRIM(C44)&amp;"|"&amp;TRIM(D44)&amp;"|"&amp;TRIM(E44)&amp;"|"&amp;TRIM(F44)&amp;"|"&amp;TRIM(H44)&amp;"|"&amp;TRIM(I44))</x:f>
        <x:v>枪械|attachment|attach_copy_sticker|root|侧面朝右|default</x:v>
      </x:c>
      <x:c r="S44" s="37" t="str">
        <x:f>IF(A44="","",IF(COUNTIF($R$6:$R$162,R44)&gt;1,"重复","唯一"))</x:f>
        <x:v>唯一</x:v>
      </x:c>
      <x:c r="T44" s="37" t="str"/>
      <x:c r="U44" s="37" t="str">
        <x:v>待分配</x:v>
      </x:c>
      <x:c r="V44" s="54" t="n">
        <x:v>46224</x:v>
      </x:c>
      <x:c r="W44" s="37" t="str">
        <x:v>原创/待确认</x:v>
      </x:c>
      <x:c r="X44" s="37" t="str">
        <x:v>以挂点部件制作，不烘焙进整枪</x:v>
      </x:c>
    </x:row>
    <x:row r="45">
      <x:c r="A45" s="37" t="str">
        <x:v>ITM-CONSUMABLE-ITEM-BEACON</x:v>
      </x:c>
      <x:c r="B45" s="37" t="str">
        <x:v>撤离信标</x:v>
      </x:c>
      <x:c r="C45" s="37" t="str">
        <x:v>道具</x:v>
      </x:c>
      <x:c r="D45" s="37" t="str">
        <x:v>consumable</x:v>
      </x:c>
      <x:c r="E45" s="37" t="str">
        <x:v>item_beacon</x:v>
      </x:c>
      <x:c r="F45" s="37" t="str">
        <x:v>root</x:v>
      </x:c>
      <x:c r="G45" s="37" t="str"/>
      <x:c r="H45" s="37" t="str">
        <x:v>顶视/图标</x:v>
      </x:c>
      <x:c r="I45" s="37" t="str">
        <x:v>default</x:v>
      </x:c>
      <x:c r="J45" s="37" t="str">
        <x:v>世界拾取/UI 图标</x:v>
      </x:c>
      <x:c r="K45" s="37" t="str">
        <x:v>程序占位</x:v>
      </x:c>
      <x:c r="L45" s="37" t="str">
        <x:v>P0</x:v>
      </x:c>
      <x:c r="M45" s="37" t="str">
        <x:v>v001</x:v>
      </x:c>
      <x:c r="N45" s="37" t="str">
        <x:v>世界 24–40 px；UI 32 px</x:v>
      </x:c>
      <x:c r="O45" s="37" t="str"/>
      <x:c r="P45" s="37" t="str">
        <x:v>src/base/ItemRegistry.gd</x:v>
      </x:c>
      <x:c r="Q45" s="37" t="str"/>
      <x:c r="R45" s="37" t="str">
        <x:f>LOWER(TRIM(C45)&amp;"|"&amp;TRIM(D45)&amp;"|"&amp;TRIM(E45)&amp;"|"&amp;TRIM(F45)&amp;"|"&amp;TRIM(H45)&amp;"|"&amp;TRIM(I45))</x:f>
        <x:v>道具|consumable|item_beacon|root|顶视/图标|default</x:v>
      </x:c>
      <x:c r="S45" s="37" t="str">
        <x:f>IF(A45="","",IF(COUNTIF($R$6:$R$162,R45)&gt;1,"重复","唯一"))</x:f>
        <x:v>唯一</x:v>
      </x:c>
      <x:c r="T45" s="37" t="str"/>
      <x:c r="U45" s="37" t="str">
        <x:v>待分配</x:v>
      </x:c>
      <x:c r="V45" s="54" t="n">
        <x:v>46224</x:v>
      </x:c>
      <x:c r="W45" s="37" t="str">
        <x:v>原创/待确认</x:v>
      </x:c>
      <x:c r="X45" s="37" t="str"/>
    </x:row>
    <x:row r="46">
      <x:c r="A46" s="37" t="str">
        <x:v>ITM-KEY-ITEM-ROOM-KEY</x:v>
      </x:c>
      <x:c r="B46" s="37" t="str">
        <x:v>房间钥匙</x:v>
      </x:c>
      <x:c r="C46" s="37" t="str">
        <x:v>道具</x:v>
      </x:c>
      <x:c r="D46" s="37" t="str">
        <x:v>key</x:v>
      </x:c>
      <x:c r="E46" s="37" t="str">
        <x:v>item_room_key</x:v>
      </x:c>
      <x:c r="F46" s="37" t="str">
        <x:v>root</x:v>
      </x:c>
      <x:c r="G46" s="37" t="str"/>
      <x:c r="H46" s="37" t="str">
        <x:v>顶视/图标</x:v>
      </x:c>
      <x:c r="I46" s="37" t="str">
        <x:v>default</x:v>
      </x:c>
      <x:c r="J46" s="37" t="str">
        <x:v>世界拾取/UI 图标</x:v>
      </x:c>
      <x:c r="K46" s="37" t="str">
        <x:v>程序占位</x:v>
      </x:c>
      <x:c r="L46" s="37" t="str">
        <x:v>P0</x:v>
      </x:c>
      <x:c r="M46" s="37" t="str">
        <x:v>v001</x:v>
      </x:c>
      <x:c r="N46" s="37" t="str">
        <x:v>世界 24–40 px；UI 32 px</x:v>
      </x:c>
      <x:c r="O46" s="37" t="str"/>
      <x:c r="P46" s="37" t="str">
        <x:v>src/base/ItemRegistry.gd</x:v>
      </x:c>
      <x:c r="Q46" s="37" t="str"/>
      <x:c r="R46" s="37" t="str">
        <x:f>LOWER(TRIM(C46)&amp;"|"&amp;TRIM(D46)&amp;"|"&amp;TRIM(E46)&amp;"|"&amp;TRIM(F46)&amp;"|"&amp;TRIM(H46)&amp;"|"&amp;TRIM(I46))</x:f>
        <x:v>道具|key|item_room_key|root|顶视/图标|default</x:v>
      </x:c>
      <x:c r="S46" s="37" t="str">
        <x:f>IF(A46="","",IF(COUNTIF($R$6:$R$162,R46)&gt;1,"重复","唯一"))</x:f>
        <x:v>唯一</x:v>
      </x:c>
      <x:c r="T46" s="37" t="str"/>
      <x:c r="U46" s="37" t="str">
        <x:v>待分配</x:v>
      </x:c>
      <x:c r="V46" s="54" t="n">
        <x:v>46224</x:v>
      </x:c>
      <x:c r="W46" s="37" t="str">
        <x:v>原创/待确认</x:v>
      </x:c>
      <x:c r="X46" s="37" t="str"/>
    </x:row>
    <x:row r="47">
      <x:c r="A47" s="37" t="str">
        <x:v>ITM-PICKUP-SOUL-ORB</x:v>
      </x:c>
      <x:c r="B47" s="37" t="str">
        <x:v>灵魂球</x:v>
      </x:c>
      <x:c r="C47" s="37" t="str">
        <x:v>道具</x:v>
      </x:c>
      <x:c r="D47" s="37" t="str">
        <x:v>pickup</x:v>
      </x:c>
      <x:c r="E47" s="37" t="str">
        <x:v>soul_orb</x:v>
      </x:c>
      <x:c r="F47" s="37" t="str">
        <x:v>root</x:v>
      </x:c>
      <x:c r="G47" s="37" t="str"/>
      <x:c r="H47" s="37" t="str">
        <x:v>顶视/图标</x:v>
      </x:c>
      <x:c r="I47" s="37" t="str">
        <x:v>default</x:v>
      </x:c>
      <x:c r="J47" s="37" t="str">
        <x:v>世界拾取/UI 图标</x:v>
      </x:c>
      <x:c r="K47" s="37" t="str">
        <x:v>程序占位</x:v>
      </x:c>
      <x:c r="L47" s="37" t="str">
        <x:v>P1</x:v>
      </x:c>
      <x:c r="M47" s="37" t="str">
        <x:v>v001</x:v>
      </x:c>
      <x:c r="N47" s="37" t="str">
        <x:v>世界 24–40 px；UI 32 px</x:v>
      </x:c>
      <x:c r="O47" s="37" t="str"/>
      <x:c r="P47" s="37" t="str">
        <x:v>scenes/</x:v>
      </x:c>
      <x:c r="Q47" s="37" t="str"/>
      <x:c r="R47" s="37" t="str">
        <x:f>LOWER(TRIM(C47)&amp;"|"&amp;TRIM(D47)&amp;"|"&amp;TRIM(E47)&amp;"|"&amp;TRIM(F47)&amp;"|"&amp;TRIM(H47)&amp;"|"&amp;TRIM(I47))</x:f>
        <x:v>道具|pickup|soul_orb|root|顶视/图标|default</x:v>
      </x:c>
      <x:c r="S47" s="37" t="str">
        <x:f>IF(A47="","",IF(COUNTIF($R$6:$R$162,R47)&gt;1,"重复","唯一"))</x:f>
        <x:v>唯一</x:v>
      </x:c>
      <x:c r="T47" s="37" t="str"/>
      <x:c r="U47" s="37" t="str">
        <x:v>待分配</x:v>
      </x:c>
      <x:c r="V47" s="54" t="n">
        <x:v>46224</x:v>
      </x:c>
      <x:c r="W47" s="37" t="str">
        <x:v>原创/待确认</x:v>
      </x:c>
      <x:c r="X47" s="37" t="str"/>
    </x:row>
    <x:row r="48">
      <x:c r="A48" s="37" t="str">
        <x:v>ITM-CONTAINER-CONTAINER</x:v>
      </x:c>
      <x:c r="B48" s="37" t="str">
        <x:v>战利品容器</x:v>
      </x:c>
      <x:c r="C48" s="37" t="str">
        <x:v>道具</x:v>
      </x:c>
      <x:c r="D48" s="37" t="str">
        <x:v>container</x:v>
      </x:c>
      <x:c r="E48" s="37" t="str">
        <x:v>container</x:v>
      </x:c>
      <x:c r="F48" s="37" t="str">
        <x:v>root</x:v>
      </x:c>
      <x:c r="G48" s="37" t="str"/>
      <x:c r="H48" s="37" t="str">
        <x:v>顶视/图标</x:v>
      </x:c>
      <x:c r="I48" s="37" t="str">
        <x:v>default</x:v>
      </x:c>
      <x:c r="J48" s="37" t="str">
        <x:v>世界拾取/UI 图标</x:v>
      </x:c>
      <x:c r="K48" s="37" t="str">
        <x:v>程序占位</x:v>
      </x:c>
      <x:c r="L48" s="37" t="str">
        <x:v>P1</x:v>
      </x:c>
      <x:c r="M48" s="37" t="str">
        <x:v>v001</x:v>
      </x:c>
      <x:c r="N48" s="37" t="str">
        <x:v>世界 24–40 px；UI 32 px</x:v>
      </x:c>
      <x:c r="O48" s="37" t="str"/>
      <x:c r="P48" s="37" t="str">
        <x:v>scenes/</x:v>
      </x:c>
      <x:c r="Q48" s="37" t="str"/>
      <x:c r="R48" s="37" t="str">
        <x:f>LOWER(TRIM(C48)&amp;"|"&amp;TRIM(D48)&amp;"|"&amp;TRIM(E48)&amp;"|"&amp;TRIM(F48)&amp;"|"&amp;TRIM(H48)&amp;"|"&amp;TRIM(I48))</x:f>
        <x:v>道具|container|container|root|顶视/图标|default</x:v>
      </x:c>
      <x:c r="S48" s="37" t="str">
        <x:f>IF(A48="","",IF(COUNTIF($R$6:$R$162,R48)&gt;1,"重复","唯一"))</x:f>
        <x:v>唯一</x:v>
      </x:c>
      <x:c r="T48" s="37" t="str"/>
      <x:c r="U48" s="37" t="str">
        <x:v>待分配</x:v>
      </x:c>
      <x:c r="V48" s="54" t="n">
        <x:v>46224</x:v>
      </x:c>
      <x:c r="W48" s="37" t="str">
        <x:v>原创/待确认</x:v>
      </x:c>
      <x:c r="X48" s="37" t="str"/>
    </x:row>
    <x:row r="49">
      <x:c r="A49" s="37" t="str">
        <x:v>ITM-PICKUP-ROOM-KEY-PICKUP</x:v>
      </x:c>
      <x:c r="B49" s="37" t="str">
        <x:v>房间钥匙掉落</x:v>
      </x:c>
      <x:c r="C49" s="37" t="str">
        <x:v>道具</x:v>
      </x:c>
      <x:c r="D49" s="37" t="str">
        <x:v>pickup</x:v>
      </x:c>
      <x:c r="E49" s="37" t="str">
        <x:v>room_key_pickup</x:v>
      </x:c>
      <x:c r="F49" s="37" t="str">
        <x:v>root</x:v>
      </x:c>
      <x:c r="G49" s="37" t="str"/>
      <x:c r="H49" s="37" t="str">
        <x:v>顶视/图标</x:v>
      </x:c>
      <x:c r="I49" s="37" t="str">
        <x:v>default</x:v>
      </x:c>
      <x:c r="J49" s="37" t="str">
        <x:v>全部3D房间/清房奖励</x:v>
      </x:c>
      <x:c r="K49" s="37" t="str">
        <x:v>原型已接入</x:v>
      </x:c>
      <x:c r="L49" s="37" t="str">
        <x:v>P1</x:v>
      </x:c>
      <x:c r="M49" s="37" t="str">
        <x:v>v001</x:v>
      </x:c>
      <x:c r="N49" s="37" t="str">
        <x:v>程序模型/0.32s Tween</x:v>
      </x:c>
      <x:c r="O49" s="37"/>
      <x:c r="P49" s="37" t="str">
        <x:v>src/world3d/RoomKeyPickup3D.gd</x:v>
      </x:c>
      <x:c r="Q49" s="37" t="str"/>
      <x:c r="R49" s="37" t="str">
        <x:f>LOWER(TRIM(C49)&amp;"|"&amp;TRIM(D49)&amp;"|"&amp;TRIM(E49)&amp;"|"&amp;TRIM(F49)&amp;"|"&amp;TRIM(H49)&amp;"|"&amp;TRIM(I49))</x:f>
        <x:v>道具|pickup|room_key_pickup|root|顶视/图标|default</x:v>
      </x:c>
      <x:c r="S49" s="37" t="str">
        <x:f>IF(A49="","",IF(COUNTIF($R$6:$R$162,R49)&gt;1,"重复","唯一"))</x:f>
        <x:v>唯一</x:v>
      </x:c>
      <x:c r="T49" s="37" t="str"/>
      <x:c r="U49" s="37" t="str">
        <x:v>Codex</x:v>
      </x:c>
      <x:c r="V49" s="54" t="n">
        <x:v>46225</x:v>
      </x:c>
      <x:c r="W49" s="37" t="str">
        <x:v>原创程序几何</x:v>
      </x:c>
      <x:c r="X49" s="37" t="str">
        <x:v>清房后在玩家附近安全边界生成；同房唯一且返回时可补发；成功拾取先关闭碰撞，再上弹旋转缩小后回收</x:v>
      </x:c>
    </x:row>
    <x:row r="50">
      <x:c r="A50" s="37" t="str">
        <x:v>ITM-PICKUP-BASE-GROUND-ITEM</x:v>
      </x:c>
      <x:c r="B50" s="37" t="str">
        <x:v>地面物品底座</x:v>
      </x:c>
      <x:c r="C50" s="37" t="str">
        <x:v>道具</x:v>
      </x:c>
      <x:c r="D50" s="37" t="str">
        <x:v>pickup_base</x:v>
      </x:c>
      <x:c r="E50" s="37" t="str">
        <x:v>ground_item</x:v>
      </x:c>
      <x:c r="F50" s="37" t="str">
        <x:v>root</x:v>
      </x:c>
      <x:c r="G50" s="37" t="str"/>
      <x:c r="H50" s="37" t="str">
        <x:v>顶视/图标</x:v>
      </x:c>
      <x:c r="I50" s="37" t="str">
        <x:v>default</x:v>
      </x:c>
      <x:c r="J50" s="37" t="str">
        <x:v>地面掉落/背包投影</x:v>
      </x:c>
      <x:c r="K50" s="37" t="str">
        <x:v>原型已接入</x:v>
      </x:c>
      <x:c r="L50" s="37" t="str">
        <x:v>P2</x:v>
      </x:c>
      <x:c r="M50" s="37" t="str">
        <x:v>v001</x:v>
      </x:c>
      <x:c r="N50" s="37" t="str">
        <x:v>程序模型/0.32s Tween</x:v>
      </x:c>
      <x:c r="O50" s="37"/>
      <x:c r="P50" s="37" t="str">
        <x:v>src/world3d/GroundLootPickup3D.gd</x:v>
      </x:c>
      <x:c r="Q50" s="37" t="str"/>
      <x:c r="R50" s="37" t="str">
        <x:f>LOWER(TRIM(C50)&amp;"|"&amp;TRIM(D50)&amp;"|"&amp;TRIM(E50)&amp;"|"&amp;TRIM(F50)&amp;"|"&amp;TRIM(H50)&amp;"|"&amp;TRIM(I50))</x:f>
        <x:v>道具|pickup_base|ground_item|root|顶视/图标|default</x:v>
      </x:c>
      <x:c r="S50" s="37" t="str">
        <x:f>IF(A50="","",IF(COUNTIF($R$6:$R$162,R50)&gt;1,"重复","唯一"))</x:f>
        <x:v>唯一</x:v>
      </x:c>
      <x:c r="T50" s="37" t="str"/>
      <x:c r="U50" s="37" t="str">
        <x:v>Codex</x:v>
      </x:c>
      <x:c r="V50" s="54" t="n">
        <x:v>46225</x:v>
      </x:c>
      <x:c r="W50" s="37" t="str">
        <x:v>原创程序几何</x:v>
      </x:c>
      <x:c r="X50" s="37" t="str">
        <x:v>与背包投影共用 ItemModelFactory3D；满包时保留，成功接收后播放0.32秒上弹旋转缩小动画</x:v>
      </x:c>
    </x:row>
    <x:row r="51">
      <x:c r="A51" s="37" t="str">
        <x:v>ENV-BASE-WORLD-KIT</x:v>
      </x:c>
      <x:c r="B51" s="37" t="str">
        <x:v>末日基地与荒野</x:v>
      </x:c>
      <x:c r="C51" s="37" t="str">
        <x:v>场景</x:v>
      </x:c>
      <x:c r="D51" s="37" t="str">
        <x:v>biome_kit</x:v>
      </x:c>
      <x:c r="E51" s="37" t="str">
        <x:v>base_world</x:v>
      </x:c>
      <x:c r="F51" s="37" t="str">
        <x:v>root</x:v>
      </x:c>
      <x:c r="G51" s="37" t="str"/>
      <x:c r="H51" s="37" t="str">
        <x:v>顶视</x:v>
      </x:c>
      <x:c r="I51" s="37" t="str">
        <x:v>default</x:v>
      </x:c>
      <x:c r="J51" s="37" t="str">
        <x:v>同主题房间共享</x:v>
      </x:c>
      <x:c r="K51" s="37" t="str">
        <x:v>程序占位</x:v>
      </x:c>
      <x:c r="L51" s="37" t="str">
        <x:v>P0</x:v>
      </x:c>
      <x:c r="M51" s="37" t="str">
        <x:v>v001</x:v>
      </x:c>
      <x:c r="N51" s="37" t="str">
        <x:v>64 px 网格；模块化 Tile/Prop</x:v>
      </x:c>
      <x:c r="O51" s="37" t="str"/>
      <x:c r="P51" s="37" t="str">
        <x:v>scenes/BaseWorld.tscn</x:v>
      </x:c>
      <x:c r="Q51" s="37" t="str"/>
      <x:c r="R51" s="37" t="str">
        <x:f>LOWER(TRIM(C51)&amp;"|"&amp;TRIM(D51)&amp;"|"&amp;TRIM(E51)&amp;"|"&amp;TRIM(F51)&amp;"|"&amp;TRIM(H51)&amp;"|"&amp;TRIM(I51))</x:f>
        <x:v>场景|biome_kit|base_world|root|顶视|default</x:v>
      </x:c>
      <x:c r="S51" s="37" t="str">
        <x:f>IF(A51="","",IF(COUNTIF($R$6:$R$162,R51)&gt;1,"重复","唯一"))</x:f>
        <x:v>唯一</x:v>
      </x:c>
      <x:c r="T51" s="37" t="str"/>
      <x:c r="U51" s="37" t="str">
        <x:v>待分配</x:v>
      </x:c>
      <x:c r="V51" s="54" t="n">
        <x:v>46224</x:v>
      </x:c>
      <x:c r="W51" s="37" t="str">
        <x:v>原创/待确认</x:v>
      </x:c>
      <x:c r="X51" s="37" t="str">
        <x:v>先拆地面/墙/门/大中小道具，禁止整张场景烘焙</x:v>
      </x:c>
    </x:row>
    <x:row r="52">
      <x:c r="A52" s="37" t="str">
        <x:v>ENV-IRON-FRONTIER-KIT</x:v>
      </x:c>
      <x:c r="B52" s="37" t="str">
        <x:v>冷钢边境</x:v>
      </x:c>
      <x:c r="C52" s="37" t="str">
        <x:v>场景</x:v>
      </x:c>
      <x:c r="D52" s="37" t="str">
        <x:v>biome_kit</x:v>
      </x:c>
      <x:c r="E52" s="37" t="str">
        <x:v>iron_frontier</x:v>
      </x:c>
      <x:c r="F52" s="37" t="str">
        <x:v>root</x:v>
      </x:c>
      <x:c r="G52" s="37" t="str"/>
      <x:c r="H52" s="37" t="str">
        <x:v>顶视</x:v>
      </x:c>
      <x:c r="I52" s="37" t="str">
        <x:v>default</x:v>
      </x:c>
      <x:c r="J52" s="37" t="str">
        <x:v>同主题房间共享</x:v>
      </x:c>
      <x:c r="K52" s="37" t="str">
        <x:v>程序占位</x:v>
      </x:c>
      <x:c r="L52" s="37" t="str">
        <x:v>P0</x:v>
      </x:c>
      <x:c r="M52" s="37" t="str">
        <x:v>v001</x:v>
      </x:c>
      <x:c r="N52" s="37" t="str">
        <x:v>64 px 网格；模块化 Tile/Prop</x:v>
      </x:c>
      <x:c r="O52" s="37" t="str"/>
      <x:c r="P52" s="37" t="str">
        <x:v>scenes/levels/IronFrontier.tscn</x:v>
      </x:c>
      <x:c r="Q52" s="37" t="str"/>
      <x:c r="R52" s="37" t="str">
        <x:f>LOWER(TRIM(C52)&amp;"|"&amp;TRIM(D52)&amp;"|"&amp;TRIM(E52)&amp;"|"&amp;TRIM(F52)&amp;"|"&amp;TRIM(H52)&amp;"|"&amp;TRIM(I52))</x:f>
        <x:v>场景|biome_kit|iron_frontier|root|顶视|default</x:v>
      </x:c>
      <x:c r="S52" s="37" t="str">
        <x:f>IF(A52="","",IF(COUNTIF($R$6:$R$162,R52)&gt;1,"重复","唯一"))</x:f>
        <x:v>唯一</x:v>
      </x:c>
      <x:c r="T52" s="37" t="str"/>
      <x:c r="U52" s="37" t="str">
        <x:v>待分配</x:v>
      </x:c>
      <x:c r="V52" s="54" t="n">
        <x:v>46224</x:v>
      </x:c>
      <x:c r="W52" s="37" t="str">
        <x:v>原创/待确认</x:v>
      </x:c>
      <x:c r="X52" s="37" t="str">
        <x:v>先拆地面/墙/门/大中小道具，禁止整张场景烘焙</x:v>
      </x:c>
    </x:row>
    <x:row r="53">
      <x:c r="A53" s="37" t="str">
        <x:v>ENV-RUST-FOUNDRY-KIT</x:v>
      </x:c>
      <x:c r="B53" s="37" t="str">
        <x:v>锈蚀铸造厂</x:v>
      </x:c>
      <x:c r="C53" s="37" t="str">
        <x:v>场景</x:v>
      </x:c>
      <x:c r="D53" s="37" t="str">
        <x:v>biome_kit</x:v>
      </x:c>
      <x:c r="E53" s="37" t="str">
        <x:v>rust_foundry</x:v>
      </x:c>
      <x:c r="F53" s="37" t="str">
        <x:v>root</x:v>
      </x:c>
      <x:c r="G53" s="37" t="str"/>
      <x:c r="H53" s="37" t="str">
        <x:v>顶视</x:v>
      </x:c>
      <x:c r="I53" s="37" t="str">
        <x:v>default</x:v>
      </x:c>
      <x:c r="J53" s="37" t="str">
        <x:v>同主题房间共享</x:v>
      </x:c>
      <x:c r="K53" s="37" t="str">
        <x:v>程序占位</x:v>
      </x:c>
      <x:c r="L53" s="37" t="str">
        <x:v>P1</x:v>
      </x:c>
      <x:c r="M53" s="37" t="str">
        <x:v>v001</x:v>
      </x:c>
      <x:c r="N53" s="37" t="str">
        <x:v>64 px 网格；模块化 Tile/Prop</x:v>
      </x:c>
      <x:c r="O53" s="37" t="str"/>
      <x:c r="P53" s="37" t="str">
        <x:v>scenes/levels/RustFoundry.tscn</x:v>
      </x:c>
      <x:c r="Q53" s="37" t="str"/>
      <x:c r="R53" s="37" t="str">
        <x:f>LOWER(TRIM(C53)&amp;"|"&amp;TRIM(D53)&amp;"|"&amp;TRIM(E53)&amp;"|"&amp;TRIM(F53)&amp;"|"&amp;TRIM(H53)&amp;"|"&amp;TRIM(I53))</x:f>
        <x:v>场景|biome_kit|rust_foundry|root|顶视|default</x:v>
      </x:c>
      <x:c r="S53" s="37" t="str">
        <x:f>IF(A53="","",IF(COUNTIF($R$6:$R$162,R53)&gt;1,"重复","唯一"))</x:f>
        <x:v>唯一</x:v>
      </x:c>
      <x:c r="T53" s="37" t="str"/>
      <x:c r="U53" s="37" t="str">
        <x:v>待分配</x:v>
      </x:c>
      <x:c r="V53" s="54" t="n">
        <x:v>46224</x:v>
      </x:c>
      <x:c r="W53" s="37" t="str">
        <x:v>原创/待确认</x:v>
      </x:c>
      <x:c r="X53" s="37" t="str">
        <x:v>先拆地面/墙/门/大中小道具，禁止整张场景烘焙</x:v>
      </x:c>
    </x:row>
    <x:row r="54">
      <x:c r="A54" s="37" t="str">
        <x:v>ENV-SPORE-DEPTHS-KIT</x:v>
      </x:c>
      <x:c r="B54" s="37" t="str">
        <x:v>孢子深层</x:v>
      </x:c>
      <x:c r="C54" s="37" t="str">
        <x:v>场景</x:v>
      </x:c>
      <x:c r="D54" s="37" t="str">
        <x:v>biome_kit</x:v>
      </x:c>
      <x:c r="E54" s="37" t="str">
        <x:v>spore_depths</x:v>
      </x:c>
      <x:c r="F54" s="37" t="str">
        <x:v>root</x:v>
      </x:c>
      <x:c r="G54" s="37" t="str"/>
      <x:c r="H54" s="37" t="str">
        <x:v>顶视</x:v>
      </x:c>
      <x:c r="I54" s="37" t="str">
        <x:v>default</x:v>
      </x:c>
      <x:c r="J54" s="37" t="str">
        <x:v>同主题房间共享</x:v>
      </x:c>
      <x:c r="K54" s="37" t="str">
        <x:v>程序占位</x:v>
      </x:c>
      <x:c r="L54" s="37" t="str">
        <x:v>P1</x:v>
      </x:c>
      <x:c r="M54" s="37" t="str">
        <x:v>v001</x:v>
      </x:c>
      <x:c r="N54" s="37" t="str">
        <x:v>64 px 网格；模块化 Tile/Prop</x:v>
      </x:c>
      <x:c r="O54" s="37" t="str"/>
      <x:c r="P54" s="37" t="str">
        <x:v>scenes/levels/SporeDepths.tscn</x:v>
      </x:c>
      <x:c r="Q54" s="37" t="str"/>
      <x:c r="R54" s="37" t="str">
        <x:f>LOWER(TRIM(C54)&amp;"|"&amp;TRIM(D54)&amp;"|"&amp;TRIM(E54)&amp;"|"&amp;TRIM(F54)&amp;"|"&amp;TRIM(H54)&amp;"|"&amp;TRIM(I54))</x:f>
        <x:v>场景|biome_kit|spore_depths|root|顶视|default</x:v>
      </x:c>
      <x:c r="S54" s="37" t="str">
        <x:f>IF(A54="","",IF(COUNTIF($R$6:$R$162,R54)&gt;1,"重复","唯一"))</x:f>
        <x:v>唯一</x:v>
      </x:c>
      <x:c r="T54" s="37" t="str"/>
      <x:c r="U54" s="37" t="str">
        <x:v>待分配</x:v>
      </x:c>
      <x:c r="V54" s="54" t="n">
        <x:v>46224</x:v>
      </x:c>
      <x:c r="W54" s="37" t="str">
        <x:v>原创/待确认</x:v>
      </x:c>
      <x:c r="X54" s="37" t="str">
        <x:v>先拆地面/墙/门/大中小道具，禁止整张场景烘焙</x:v>
      </x:c>
    </x:row>
    <x:row r="55">
      <x:c r="A55" s="37" t="str">
        <x:v>ENV-ABYSS-ARCHIVE-KIT</x:v>
      </x:c>
      <x:c r="B55" s="37" t="str">
        <x:v>深渊档案库</x:v>
      </x:c>
      <x:c r="C55" s="37" t="str">
        <x:v>场景</x:v>
      </x:c>
      <x:c r="D55" s="37" t="str">
        <x:v>biome_kit</x:v>
      </x:c>
      <x:c r="E55" s="37" t="str">
        <x:v>abyss_archive</x:v>
      </x:c>
      <x:c r="F55" s="37" t="str">
        <x:v>root</x:v>
      </x:c>
      <x:c r="G55" s="37" t="str"/>
      <x:c r="H55" s="37" t="str">
        <x:v>顶视</x:v>
      </x:c>
      <x:c r="I55" s="37" t="str">
        <x:v>default</x:v>
      </x:c>
      <x:c r="J55" s="37" t="str">
        <x:v>同主题房间共享</x:v>
      </x:c>
      <x:c r="K55" s="37" t="str">
        <x:v>程序占位</x:v>
      </x:c>
      <x:c r="L55" s="37" t="str">
        <x:v>P1</x:v>
      </x:c>
      <x:c r="M55" s="37" t="str">
        <x:v>v001</x:v>
      </x:c>
      <x:c r="N55" s="37" t="str">
        <x:v>64 px 网格；模块化 Tile/Prop</x:v>
      </x:c>
      <x:c r="O55" s="37" t="str"/>
      <x:c r="P55" s="37" t="str">
        <x:v>scenes/levels/AbyssArchive.tscn</x:v>
      </x:c>
      <x:c r="Q55" s="37" t="str"/>
      <x:c r="R55" s="37" t="str">
        <x:f>LOWER(TRIM(C55)&amp;"|"&amp;TRIM(D55)&amp;"|"&amp;TRIM(E55)&amp;"|"&amp;TRIM(F55)&amp;"|"&amp;TRIM(H55)&amp;"|"&amp;TRIM(I55))</x:f>
        <x:v>场景|biome_kit|abyss_archive|root|顶视|default</x:v>
      </x:c>
      <x:c r="S55" s="37" t="str">
        <x:f>IF(A55="","",IF(COUNTIF($R$6:$R$162,R55)&gt;1,"重复","唯一"))</x:f>
        <x:v>唯一</x:v>
      </x:c>
      <x:c r="T55" s="37" t="str"/>
      <x:c r="U55" s="37" t="str">
        <x:v>待分配</x:v>
      </x:c>
      <x:c r="V55" s="54" t="n">
        <x:v>46224</x:v>
      </x:c>
      <x:c r="W55" s="37" t="str">
        <x:v>原创/待确认</x:v>
      </x:c>
      <x:c r="X55" s="37" t="str">
        <x:v>先拆地面/墙/门/大中小道具，禁止整张场景烘焙</x:v>
      </x:c>
    </x:row>
    <x:row r="56">
      <x:c r="A56" s="37" t="str">
        <x:v>ENV-TRAINING-RANGE-KIT</x:v>
      </x:c>
      <x:c r="B56" s="37" t="str">
        <x:v>地下训练靶场</x:v>
      </x:c>
      <x:c r="C56" s="37" t="str">
        <x:v>场景</x:v>
      </x:c>
      <x:c r="D56" s="37" t="str">
        <x:v>biome_kit</x:v>
      </x:c>
      <x:c r="E56" s="37" t="str">
        <x:v>training_range</x:v>
      </x:c>
      <x:c r="F56" s="37" t="str">
        <x:v>root</x:v>
      </x:c>
      <x:c r="G56" s="37" t="str"/>
      <x:c r="H56" s="37" t="str">
        <x:v>顶视</x:v>
      </x:c>
      <x:c r="I56" s="37" t="str">
        <x:v>default</x:v>
      </x:c>
      <x:c r="J56" s="37" t="str">
        <x:v>同主题房间共享</x:v>
      </x:c>
      <x:c r="K56" s="37" t="str">
        <x:v>程序占位</x:v>
      </x:c>
      <x:c r="L56" s="37" t="str">
        <x:v>P0</x:v>
      </x:c>
      <x:c r="M56" s="37" t="str">
        <x:v>v001</x:v>
      </x:c>
      <x:c r="N56" s="37" t="str">
        <x:v>64 px 网格；模块化 Tile/Prop</x:v>
      </x:c>
      <x:c r="O56" s="37" t="str"/>
      <x:c r="P56" s="37" t="str">
        <x:v>scenes/TrainingRange.tscn</x:v>
      </x:c>
      <x:c r="Q56" s="37" t="str"/>
      <x:c r="R56" s="37" t="str">
        <x:f>LOWER(TRIM(C56)&amp;"|"&amp;TRIM(D56)&amp;"|"&amp;TRIM(E56)&amp;"|"&amp;TRIM(F56)&amp;"|"&amp;TRIM(H56)&amp;"|"&amp;TRIM(I56))</x:f>
        <x:v>场景|biome_kit|training_range|root|顶视|default</x:v>
      </x:c>
      <x:c r="S56" s="37" t="str">
        <x:f>IF(A56="","",IF(COUNTIF($R$6:$R$162,R56)&gt;1,"重复","唯一"))</x:f>
        <x:v>唯一</x:v>
      </x:c>
      <x:c r="T56" s="37" t="str"/>
      <x:c r="U56" s="37" t="str">
        <x:v>待分配</x:v>
      </x:c>
      <x:c r="V56" s="54" t="n">
        <x:v>46224</x:v>
      </x:c>
      <x:c r="W56" s="37" t="str">
        <x:v>原创/待确认</x:v>
      </x:c>
      <x:c r="X56" s="37" t="str">
        <x:v>先拆地面/墙/门/大中小道具，禁止整张场景烘焙</x:v>
      </x:c>
    </x:row>
    <x:row r="57">
      <x:c r="A57" s="37" t="str">
        <x:v>ENV-ROOM-COMBAT-DRESSING</x:v>
      </x:c>
      <x:c r="B57" s="37" t="str">
        <x:v>combat 房间陈设包</x:v>
      </x:c>
      <x:c r="C57" s="37" t="str">
        <x:v>场景</x:v>
      </x:c>
      <x:c r="D57" s="37" t="str">
        <x:v>room_dressing</x:v>
      </x:c>
      <x:c r="E57" s="37" t="str">
        <x:v>room_combat</x:v>
      </x:c>
      <x:c r="F57" s="37" t="str">
        <x:v>root</x:v>
      </x:c>
      <x:c r="G57" s="37" t="str"/>
      <x:c r="H57" s="37" t="str">
        <x:v>顶视</x:v>
      </x:c>
      <x:c r="I57" s="37" t="str">
        <x:v>default</x:v>
      </x:c>
      <x:c r="J57" s="37" t="str">
        <x:v>跨楼层配色变体</x:v>
      </x:c>
      <x:c r="K57" s="37" t="str">
        <x:v>程序占位</x:v>
      </x:c>
      <x:c r="L57" s="37" t="str">
        <x:v>P1</x:v>
      </x:c>
      <x:c r="M57" s="37" t="str">
        <x:v>v001</x:v>
      </x:c>
      <x:c r="N57" s="37" t="str">
        <x:v>64 px 网格</x:v>
      </x:c>
      <x:c r="O57" s="37" t="str"/>
      <x:c r="P57" s="37" t="str">
        <x:v>scenes/RoomCombat.tscn</x:v>
      </x:c>
      <x:c r="Q57" s="37" t="str"/>
      <x:c r="R57" s="37" t="str">
        <x:f>LOWER(TRIM(C57)&amp;"|"&amp;TRIM(D57)&amp;"|"&amp;TRIM(E57)&amp;"|"&amp;TRIM(F57)&amp;"|"&amp;TRIM(H57)&amp;"|"&amp;TRIM(I57))</x:f>
        <x:v>场景|room_dressing|room_combat|root|顶视|default</x:v>
      </x:c>
      <x:c r="S57" s="37" t="str">
        <x:f>IF(A57="","",IF(COUNTIF($R$6:$R$162,R57)&gt;1,"重复","唯一"))</x:f>
        <x:v>唯一</x:v>
      </x:c>
      <x:c r="T57" s="37" t="str"/>
      <x:c r="U57" s="37" t="str">
        <x:v>待分配</x:v>
      </x:c>
      <x:c r="V57" s="54" t="n">
        <x:v>46224</x:v>
      </x:c>
      <x:c r="W57" s="37" t="str">
        <x:v>原创/待确认</x:v>
      </x:c>
      <x:c r="X57" s="37" t="str">
        <x:v>只登记房间独有件；地板墙体引用 biome kit</x:v>
      </x:c>
    </x:row>
    <x:row r="58">
      <x:c r="A58" s="37" t="str">
        <x:v>ENV-ROOM-ELITE-DRESSING</x:v>
      </x:c>
      <x:c r="B58" s="37" t="str">
        <x:v>elite 房间陈设包</x:v>
      </x:c>
      <x:c r="C58" s="37" t="str">
        <x:v>场景</x:v>
      </x:c>
      <x:c r="D58" s="37" t="str">
        <x:v>room_dressing</x:v>
      </x:c>
      <x:c r="E58" s="37" t="str">
        <x:v>room_elite</x:v>
      </x:c>
      <x:c r="F58" s="37" t="str">
        <x:v>root</x:v>
      </x:c>
      <x:c r="G58" s="37" t="str"/>
      <x:c r="H58" s="37" t="str">
        <x:v>顶视</x:v>
      </x:c>
      <x:c r="I58" s="37" t="str">
        <x:v>default</x:v>
      </x:c>
      <x:c r="J58" s="37" t="str">
        <x:v>跨楼层配色变体</x:v>
      </x:c>
      <x:c r="K58" s="37" t="str">
        <x:v>程序占位</x:v>
      </x:c>
      <x:c r="L58" s="37" t="str">
        <x:v>P2</x:v>
      </x:c>
      <x:c r="M58" s="37" t="str">
        <x:v>v001</x:v>
      </x:c>
      <x:c r="N58" s="37" t="str">
        <x:v>64 px 网格</x:v>
      </x:c>
      <x:c r="O58" s="37" t="str"/>
      <x:c r="P58" s="37" t="str">
        <x:v>scenes/RoomElite.tscn</x:v>
      </x:c>
      <x:c r="Q58" s="37" t="str"/>
      <x:c r="R58" s="37" t="str">
        <x:f>LOWER(TRIM(C58)&amp;"|"&amp;TRIM(D58)&amp;"|"&amp;TRIM(E58)&amp;"|"&amp;TRIM(F58)&amp;"|"&amp;TRIM(H58)&amp;"|"&amp;TRIM(I58))</x:f>
        <x:v>场景|room_dressing|room_elite|root|顶视|default</x:v>
      </x:c>
      <x:c r="S58" s="37" t="str">
        <x:f>IF(A58="","",IF(COUNTIF($R$6:$R$162,R58)&gt;1,"重复","唯一"))</x:f>
        <x:v>唯一</x:v>
      </x:c>
      <x:c r="T58" s="37" t="str"/>
      <x:c r="U58" s="37" t="str">
        <x:v>待分配</x:v>
      </x:c>
      <x:c r="V58" s="54" t="n">
        <x:v>46224</x:v>
      </x:c>
      <x:c r="W58" s="37" t="str">
        <x:v>原创/待确认</x:v>
      </x:c>
      <x:c r="X58" s="37" t="str">
        <x:v>只登记房间独有件；地板墙体引用 biome kit</x:v>
      </x:c>
    </x:row>
    <x:row r="59">
      <x:c r="A59" s="37" t="str">
        <x:v>ENV-ROOM-BOSS-DRESSING</x:v>
      </x:c>
      <x:c r="B59" s="37" t="str">
        <x:v>boss 房间陈设包</x:v>
      </x:c>
      <x:c r="C59" s="37" t="str">
        <x:v>场景</x:v>
      </x:c>
      <x:c r="D59" s="37" t="str">
        <x:v>room_dressing</x:v>
      </x:c>
      <x:c r="E59" s="37" t="str">
        <x:v>room_boss</x:v>
      </x:c>
      <x:c r="F59" s="37" t="str">
        <x:v>root</x:v>
      </x:c>
      <x:c r="G59" s="37" t="str"/>
      <x:c r="H59" s="37" t="str">
        <x:v>顶视</x:v>
      </x:c>
      <x:c r="I59" s="37" t="str">
        <x:v>default</x:v>
      </x:c>
      <x:c r="J59" s="37" t="str">
        <x:v>跨楼层配色变体</x:v>
      </x:c>
      <x:c r="K59" s="37" t="str">
        <x:v>程序占位</x:v>
      </x:c>
      <x:c r="L59" s="37" t="str">
        <x:v>P1</x:v>
      </x:c>
      <x:c r="M59" s="37" t="str">
        <x:v>v001</x:v>
      </x:c>
      <x:c r="N59" s="37" t="str">
        <x:v>64 px 网格</x:v>
      </x:c>
      <x:c r="O59" s="37" t="str"/>
      <x:c r="P59" s="37" t="str">
        <x:v>scenes/RoomBoss.tscn</x:v>
      </x:c>
      <x:c r="Q59" s="37" t="str"/>
      <x:c r="R59" s="37" t="str">
        <x:f>LOWER(TRIM(C59)&amp;"|"&amp;TRIM(D59)&amp;"|"&amp;TRIM(E59)&amp;"|"&amp;TRIM(F59)&amp;"|"&amp;TRIM(H59)&amp;"|"&amp;TRIM(I59))</x:f>
        <x:v>场景|room_dressing|room_boss|root|顶视|default</x:v>
      </x:c>
      <x:c r="S59" s="37" t="str">
        <x:f>IF(A59="","",IF(COUNTIF($R$6:$R$162,R59)&gt;1,"重复","唯一"))</x:f>
        <x:v>唯一</x:v>
      </x:c>
      <x:c r="T59" s="37" t="str"/>
      <x:c r="U59" s="37" t="str">
        <x:v>待分配</x:v>
      </x:c>
      <x:c r="V59" s="54" t="n">
        <x:v>46224</x:v>
      </x:c>
      <x:c r="W59" s="37" t="str">
        <x:v>原创/待确认</x:v>
      </x:c>
      <x:c r="X59" s="37" t="str">
        <x:v>只登记房间独有件；地板墙体引用 biome kit</x:v>
      </x:c>
    </x:row>
    <x:row r="60">
      <x:c r="A60" s="37" t="str">
        <x:v>ENV-ROOM-EVENT-DRESSING</x:v>
      </x:c>
      <x:c r="B60" s="37" t="str">
        <x:v>event 房间陈设包</x:v>
      </x:c>
      <x:c r="C60" s="37" t="str">
        <x:v>场景</x:v>
      </x:c>
      <x:c r="D60" s="37" t="str">
        <x:v>room_dressing</x:v>
      </x:c>
      <x:c r="E60" s="37" t="str">
        <x:v>room_event</x:v>
      </x:c>
      <x:c r="F60" s="37" t="str">
        <x:v>root</x:v>
      </x:c>
      <x:c r="G60" s="37" t="str"/>
      <x:c r="H60" s="37" t="str">
        <x:v>顶视</x:v>
      </x:c>
      <x:c r="I60" s="37" t="str">
        <x:v>default</x:v>
      </x:c>
      <x:c r="J60" s="37" t="str">
        <x:v>跨楼层配色变体</x:v>
      </x:c>
      <x:c r="K60" s="37" t="str">
        <x:v>程序占位</x:v>
      </x:c>
      <x:c r="L60" s="37" t="str">
        <x:v>P2</x:v>
      </x:c>
      <x:c r="M60" s="37" t="str">
        <x:v>v001</x:v>
      </x:c>
      <x:c r="N60" s="37" t="str">
        <x:v>64 px 网格</x:v>
      </x:c>
      <x:c r="O60" s="37" t="str"/>
      <x:c r="P60" s="37" t="str">
        <x:v>scenes/RoomEvent.tscn</x:v>
      </x:c>
      <x:c r="Q60" s="37" t="str"/>
      <x:c r="R60" s="37" t="str">
        <x:f>LOWER(TRIM(C60)&amp;"|"&amp;TRIM(D60)&amp;"|"&amp;TRIM(E60)&amp;"|"&amp;TRIM(F60)&amp;"|"&amp;TRIM(H60)&amp;"|"&amp;TRIM(I60))</x:f>
        <x:v>场景|room_dressing|room_event|root|顶视|default</x:v>
      </x:c>
      <x:c r="S60" s="37" t="str">
        <x:f>IF(A60="","",IF(COUNTIF($R$6:$R$162,R60)&gt;1,"重复","唯一"))</x:f>
        <x:v>唯一</x:v>
      </x:c>
      <x:c r="T60" s="37" t="str"/>
      <x:c r="U60" s="37" t="str">
        <x:v>待分配</x:v>
      </x:c>
      <x:c r="V60" s="54" t="n">
        <x:v>46224</x:v>
      </x:c>
      <x:c r="W60" s="37" t="str">
        <x:v>原创/待确认</x:v>
      </x:c>
      <x:c r="X60" s="37" t="str">
        <x:v>只登记房间独有件；地板墙体引用 biome kit</x:v>
      </x:c>
    </x:row>
    <x:row r="61">
      <x:c r="A61" s="37" t="str">
        <x:v>ENV-ROOM-EXTRACTION-DRESSING</x:v>
      </x:c>
      <x:c r="B61" s="37" t="str">
        <x:v>extraction 房间陈设包</x:v>
      </x:c>
      <x:c r="C61" s="37" t="str">
        <x:v>场景</x:v>
      </x:c>
      <x:c r="D61" s="37" t="str">
        <x:v>room_dressing</x:v>
      </x:c>
      <x:c r="E61" s="37" t="str">
        <x:v>room_extraction</x:v>
      </x:c>
      <x:c r="F61" s="37" t="str">
        <x:v>root</x:v>
      </x:c>
      <x:c r="G61" s="37" t="str"/>
      <x:c r="H61" s="37" t="str">
        <x:v>顶视</x:v>
      </x:c>
      <x:c r="I61" s="37" t="str">
        <x:v>default</x:v>
      </x:c>
      <x:c r="J61" s="37" t="str">
        <x:v>跨楼层配色变体</x:v>
      </x:c>
      <x:c r="K61" s="37" t="str">
        <x:v>程序占位</x:v>
      </x:c>
      <x:c r="L61" s="37" t="str">
        <x:v>P1</x:v>
      </x:c>
      <x:c r="M61" s="37" t="str">
        <x:v>v001</x:v>
      </x:c>
      <x:c r="N61" s="37" t="str">
        <x:v>64 px 网格</x:v>
      </x:c>
      <x:c r="O61" s="37" t="str"/>
      <x:c r="P61" s="37" t="str">
        <x:v>scenes/RoomExtraction.tscn</x:v>
      </x:c>
      <x:c r="Q61" s="37" t="str"/>
      <x:c r="R61" s="37" t="str">
        <x:f>LOWER(TRIM(C61)&amp;"|"&amp;TRIM(D61)&amp;"|"&amp;TRIM(E61)&amp;"|"&amp;TRIM(F61)&amp;"|"&amp;TRIM(H61)&amp;"|"&amp;TRIM(I61))</x:f>
        <x:v>场景|room_dressing|room_extraction|root|顶视|default</x:v>
      </x:c>
      <x:c r="S61" s="37" t="str">
        <x:f>IF(A61="","",IF(COUNTIF($R$6:$R$162,R61)&gt;1,"重复","唯一"))</x:f>
        <x:v>唯一</x:v>
      </x:c>
      <x:c r="T61" s="37" t="str"/>
      <x:c r="U61" s="37" t="str">
        <x:v>待分配</x:v>
      </x:c>
      <x:c r="V61" s="54" t="n">
        <x:v>46224</x:v>
      </x:c>
      <x:c r="W61" s="37" t="str">
        <x:v>原创/待确认</x:v>
      </x:c>
      <x:c r="X61" s="37" t="str">
        <x:v>只登记房间独有件；地板墙体引用 biome kit</x:v>
      </x:c>
    </x:row>
    <x:row r="62">
      <x:c r="A62" s="37" t="str">
        <x:v>ENV-ROOM-MERCHANT-DRESSING</x:v>
      </x:c>
      <x:c r="B62" s="37" t="str">
        <x:v>merchant 房间陈设包</x:v>
      </x:c>
      <x:c r="C62" s="37" t="str">
        <x:v>场景</x:v>
      </x:c>
      <x:c r="D62" s="37" t="str">
        <x:v>room_dressing</x:v>
      </x:c>
      <x:c r="E62" s="37" t="str">
        <x:v>room_merchant</x:v>
      </x:c>
      <x:c r="F62" s="37" t="str">
        <x:v>root</x:v>
      </x:c>
      <x:c r="G62" s="37" t="str"/>
      <x:c r="H62" s="37" t="str">
        <x:v>顶视</x:v>
      </x:c>
      <x:c r="I62" s="37" t="str">
        <x:v>default</x:v>
      </x:c>
      <x:c r="J62" s="37" t="str">
        <x:v>跨楼层配色变体</x:v>
      </x:c>
      <x:c r="K62" s="37" t="str">
        <x:v>程序占位</x:v>
      </x:c>
      <x:c r="L62" s="37" t="str">
        <x:v>P2</x:v>
      </x:c>
      <x:c r="M62" s="37" t="str">
        <x:v>v001</x:v>
      </x:c>
      <x:c r="N62" s="37" t="str">
        <x:v>64 px 网格</x:v>
      </x:c>
      <x:c r="O62" s="37" t="str"/>
      <x:c r="P62" s="37" t="str">
        <x:v>scenes/RoomMerchant.tscn</x:v>
      </x:c>
      <x:c r="Q62" s="37" t="str"/>
      <x:c r="R62" s="37" t="str">
        <x:f>LOWER(TRIM(C62)&amp;"|"&amp;TRIM(D62)&amp;"|"&amp;TRIM(E62)&amp;"|"&amp;TRIM(F62)&amp;"|"&amp;TRIM(H62)&amp;"|"&amp;TRIM(I62))</x:f>
        <x:v>场景|room_dressing|room_merchant|root|顶视|default</x:v>
      </x:c>
      <x:c r="S62" s="37" t="str">
        <x:f>IF(A62="","",IF(COUNTIF($R$6:$R$162,R62)&gt;1,"重复","唯一"))</x:f>
        <x:v>唯一</x:v>
      </x:c>
      <x:c r="T62" s="37" t="str"/>
      <x:c r="U62" s="37" t="str">
        <x:v>待分配</x:v>
      </x:c>
      <x:c r="V62" s="54" t="n">
        <x:v>46224</x:v>
      </x:c>
      <x:c r="W62" s="37" t="str">
        <x:v>原创/待确认</x:v>
      </x:c>
      <x:c r="X62" s="37" t="str">
        <x:v>只登记房间独有件；地板墙体引用 biome kit</x:v>
      </x:c>
    </x:row>
    <x:row r="63">
      <x:c r="A63" s="37" t="str">
        <x:v>ENV-ROOM-SCAVENGE-DRESSING</x:v>
      </x:c>
      <x:c r="B63" s="37" t="str">
        <x:v>scavenge 房间陈设包</x:v>
      </x:c>
      <x:c r="C63" s="37" t="str">
        <x:v>场景</x:v>
      </x:c>
      <x:c r="D63" s="37" t="str">
        <x:v>room_dressing</x:v>
      </x:c>
      <x:c r="E63" s="37" t="str">
        <x:v>room_scavenge</x:v>
      </x:c>
      <x:c r="F63" s="37" t="str">
        <x:v>root</x:v>
      </x:c>
      <x:c r="G63" s="37" t="str"/>
      <x:c r="H63" s="37" t="str">
        <x:v>顶视</x:v>
      </x:c>
      <x:c r="I63" s="37" t="str">
        <x:v>default</x:v>
      </x:c>
      <x:c r="J63" s="37" t="str">
        <x:v>跨楼层配色变体</x:v>
      </x:c>
      <x:c r="K63" s="37" t="str">
        <x:v>程序占位</x:v>
      </x:c>
      <x:c r="L63" s="37" t="str">
        <x:v>P2</x:v>
      </x:c>
      <x:c r="M63" s="37" t="str">
        <x:v>v001</x:v>
      </x:c>
      <x:c r="N63" s="37" t="str">
        <x:v>64 px 网格</x:v>
      </x:c>
      <x:c r="O63" s="37" t="str"/>
      <x:c r="P63" s="37" t="str">
        <x:v>scenes/RoomScavenge.tscn</x:v>
      </x:c>
      <x:c r="Q63" s="37" t="str"/>
      <x:c r="R63" s="37" t="str">
        <x:f>LOWER(TRIM(C63)&amp;"|"&amp;TRIM(D63)&amp;"|"&amp;TRIM(E63)&amp;"|"&amp;TRIM(F63)&amp;"|"&amp;TRIM(H63)&amp;"|"&amp;TRIM(I63))</x:f>
        <x:v>场景|room_dressing|room_scavenge|root|顶视|default</x:v>
      </x:c>
      <x:c r="S63" s="37" t="str">
        <x:f>IF(A63="","",IF(COUNTIF($R$6:$R$162,R63)&gt;1,"重复","唯一"))</x:f>
        <x:v>唯一</x:v>
      </x:c>
      <x:c r="T63" s="37" t="str"/>
      <x:c r="U63" s="37" t="str">
        <x:v>待分配</x:v>
      </x:c>
      <x:c r="V63" s="54" t="n">
        <x:v>46224</x:v>
      </x:c>
      <x:c r="W63" s="37" t="str">
        <x:v>原创/待确认</x:v>
      </x:c>
      <x:c r="X63" s="37" t="str">
        <x:v>只登记房间独有件；地板墙体引用 biome kit</x:v>
      </x:c>
    </x:row>
    <x:row r="64">
      <x:c r="A64" s="37" t="str">
        <x:v>ENV-ROOM-STORAGE-DRESSING</x:v>
      </x:c>
      <x:c r="B64" s="37" t="str">
        <x:v>storage 房间陈设包</x:v>
      </x:c>
      <x:c r="C64" s="37" t="str">
        <x:v>场景</x:v>
      </x:c>
      <x:c r="D64" s="37" t="str">
        <x:v>room_dressing</x:v>
      </x:c>
      <x:c r="E64" s="37" t="str">
        <x:v>room_storage</x:v>
      </x:c>
      <x:c r="F64" s="37" t="str">
        <x:v>root</x:v>
      </x:c>
      <x:c r="G64" s="37" t="str"/>
      <x:c r="H64" s="37" t="str">
        <x:v>顶视</x:v>
      </x:c>
      <x:c r="I64" s="37" t="str">
        <x:v>default</x:v>
      </x:c>
      <x:c r="J64" s="37" t="str">
        <x:v>跨楼层配色变体</x:v>
      </x:c>
      <x:c r="K64" s="37" t="str">
        <x:v>程序占位</x:v>
      </x:c>
      <x:c r="L64" s="37" t="str">
        <x:v>P2</x:v>
      </x:c>
      <x:c r="M64" s="37" t="str">
        <x:v>v001</x:v>
      </x:c>
      <x:c r="N64" s="37" t="str">
        <x:v>64 px 网格</x:v>
      </x:c>
      <x:c r="O64" s="37" t="str"/>
      <x:c r="P64" s="37" t="str">
        <x:v>scenes/RoomStorage.tscn</x:v>
      </x:c>
      <x:c r="Q64" s="37" t="str"/>
      <x:c r="R64" s="37" t="str">
        <x:f>LOWER(TRIM(C64)&amp;"|"&amp;TRIM(D64)&amp;"|"&amp;TRIM(E64)&amp;"|"&amp;TRIM(F64)&amp;"|"&amp;TRIM(H64)&amp;"|"&amp;TRIM(I64))</x:f>
        <x:v>场景|room_dressing|room_storage|root|顶视|default</x:v>
      </x:c>
      <x:c r="S64" s="37" t="str">
        <x:f>IF(A64="","",IF(COUNTIF($R$6:$R$162,R64)&gt;1,"重复","唯一"))</x:f>
        <x:v>唯一</x:v>
      </x:c>
      <x:c r="T64" s="37" t="str"/>
      <x:c r="U64" s="37" t="str">
        <x:v>待分配</x:v>
      </x:c>
      <x:c r="V64" s="54" t="n">
        <x:v>46224</x:v>
      </x:c>
      <x:c r="W64" s="37" t="str">
        <x:v>原创/待确认</x:v>
      </x:c>
      <x:c r="X64" s="37" t="str">
        <x:v>只登记房间独有件；地板墙体引用 biome kit</x:v>
      </x:c>
    </x:row>
    <x:row r="65">
      <x:c r="A65" s="37" t="str">
        <x:v>ENV-ROOM-TRAP-DRESSING</x:v>
      </x:c>
      <x:c r="B65" s="37" t="str">
        <x:v>trap 房间陈设包</x:v>
      </x:c>
      <x:c r="C65" s="37" t="str">
        <x:v>场景</x:v>
      </x:c>
      <x:c r="D65" s="37" t="str">
        <x:v>room_dressing</x:v>
      </x:c>
      <x:c r="E65" s="37" t="str">
        <x:v>room_trap</x:v>
      </x:c>
      <x:c r="F65" s="37" t="str">
        <x:v>root</x:v>
      </x:c>
      <x:c r="G65" s="37" t="str"/>
      <x:c r="H65" s="37" t="str">
        <x:v>顶视</x:v>
      </x:c>
      <x:c r="I65" s="37" t="str">
        <x:v>default</x:v>
      </x:c>
      <x:c r="J65" s="37" t="str">
        <x:v>跨楼层配色变体</x:v>
      </x:c>
      <x:c r="K65" s="37" t="str">
        <x:v>程序占位</x:v>
      </x:c>
      <x:c r="L65" s="37" t="str">
        <x:v>P2</x:v>
      </x:c>
      <x:c r="M65" s="37" t="str">
        <x:v>v001</x:v>
      </x:c>
      <x:c r="N65" s="37" t="str">
        <x:v>64 px 网格</x:v>
      </x:c>
      <x:c r="O65" s="37" t="str"/>
      <x:c r="P65" s="37" t="str">
        <x:v>scenes/RoomTrap.tscn</x:v>
      </x:c>
      <x:c r="Q65" s="37" t="str"/>
      <x:c r="R65" s="37" t="str">
        <x:f>LOWER(TRIM(C65)&amp;"|"&amp;TRIM(D65)&amp;"|"&amp;TRIM(E65)&amp;"|"&amp;TRIM(F65)&amp;"|"&amp;TRIM(H65)&amp;"|"&amp;TRIM(I65))</x:f>
        <x:v>场景|room_dressing|room_trap|root|顶视|default</x:v>
      </x:c>
      <x:c r="S65" s="37" t="str">
        <x:f>IF(A65="","",IF(COUNTIF($R$6:$R$162,R65)&gt;1,"重复","唯一"))</x:f>
        <x:v>唯一</x:v>
      </x:c>
      <x:c r="T65" s="37" t="str"/>
      <x:c r="U65" s="37" t="str">
        <x:v>待分配</x:v>
      </x:c>
      <x:c r="V65" s="54" t="n">
        <x:v>46224</x:v>
      </x:c>
      <x:c r="W65" s="37" t="str">
        <x:v>原创/待确认</x:v>
      </x:c>
      <x:c r="X65" s="37" t="str">
        <x:v>只登记房间独有件；地板墙体引用 biome kit</x:v>
      </x:c>
    </x:row>
    <x:row r="66">
      <x:c r="A66" s="37" t="str">
        <x:v>ENV-ROOM-UPGRADE-DRESSING</x:v>
      </x:c>
      <x:c r="B66" s="37" t="str">
        <x:v>upgrade 房间陈设包</x:v>
      </x:c>
      <x:c r="C66" s="37" t="str">
        <x:v>场景</x:v>
      </x:c>
      <x:c r="D66" s="37" t="str">
        <x:v>room_dressing</x:v>
      </x:c>
      <x:c r="E66" s="37" t="str">
        <x:v>room_upgrade</x:v>
      </x:c>
      <x:c r="F66" s="37" t="str">
        <x:v>root</x:v>
      </x:c>
      <x:c r="G66" s="37" t="str"/>
      <x:c r="H66" s="37" t="str">
        <x:v>顶视</x:v>
      </x:c>
      <x:c r="I66" s="37" t="str">
        <x:v>default</x:v>
      </x:c>
      <x:c r="J66" s="37" t="str">
        <x:v>跨楼层配色变体</x:v>
      </x:c>
      <x:c r="K66" s="37" t="str">
        <x:v>程序占位</x:v>
      </x:c>
      <x:c r="L66" s="37" t="str">
        <x:v>P2</x:v>
      </x:c>
      <x:c r="M66" s="37" t="str">
        <x:v>v001</x:v>
      </x:c>
      <x:c r="N66" s="37" t="str">
        <x:v>64 px 网格</x:v>
      </x:c>
      <x:c r="O66" s="37" t="str"/>
      <x:c r="P66" s="37" t="str">
        <x:v>scenes/RoomUpgrade.tscn</x:v>
      </x:c>
      <x:c r="Q66" s="37" t="str"/>
      <x:c r="R66" s="37" t="str">
        <x:f>LOWER(TRIM(C66)&amp;"|"&amp;TRIM(D66)&amp;"|"&amp;TRIM(E66)&amp;"|"&amp;TRIM(F66)&amp;"|"&amp;TRIM(H66)&amp;"|"&amp;TRIM(I66))</x:f>
        <x:v>场景|room_dressing|room_upgrade|root|顶视|default</x:v>
      </x:c>
      <x:c r="S66" s="37" t="str">
        <x:f>IF(A66="","",IF(COUNTIF($R$6:$R$162,R66)&gt;1,"重复","唯一"))</x:f>
        <x:v>唯一</x:v>
      </x:c>
      <x:c r="T66" s="37" t="str"/>
      <x:c r="U66" s="37" t="str">
        <x:v>待分配</x:v>
      </x:c>
      <x:c r="V66" s="54" t="n">
        <x:v>46224</x:v>
      </x:c>
      <x:c r="W66" s="37" t="str">
        <x:v>原创/待确认</x:v>
      </x:c>
      <x:c r="X66" s="37" t="str">
        <x:v>只登记房间独有件；地板墙体引用 biome kit</x:v>
      </x:c>
    </x:row>
    <x:row r="67">
      <x:c r="A67" s="37" t="str">
        <x:v>ENV-ROOM-SPAWN-DRESSING</x:v>
      </x:c>
      <x:c r="B67" s="37" t="str">
        <x:v>spawn 房间陈设包</x:v>
      </x:c>
      <x:c r="C67" s="37" t="str">
        <x:v>场景</x:v>
      </x:c>
      <x:c r="D67" s="37" t="str">
        <x:v>room_dressing</x:v>
      </x:c>
      <x:c r="E67" s="37" t="str">
        <x:v>room_spawn</x:v>
      </x:c>
      <x:c r="F67" s="37" t="str">
        <x:v>root</x:v>
      </x:c>
      <x:c r="G67" s="37" t="str"/>
      <x:c r="H67" s="37" t="str">
        <x:v>顶视</x:v>
      </x:c>
      <x:c r="I67" s="37" t="str">
        <x:v>default</x:v>
      </x:c>
      <x:c r="J67" s="37" t="str">
        <x:v>跨楼层配色变体</x:v>
      </x:c>
      <x:c r="K67" s="37" t="str">
        <x:v>程序占位</x:v>
      </x:c>
      <x:c r="L67" s="37" t="str">
        <x:v>P2</x:v>
      </x:c>
      <x:c r="M67" s="37" t="str">
        <x:v>v001</x:v>
      </x:c>
      <x:c r="N67" s="37" t="str">
        <x:v>64 px 网格</x:v>
      </x:c>
      <x:c r="O67" s="37" t="str"/>
      <x:c r="P67" s="37" t="str">
        <x:v>scenes/RoomSpawn.tscn</x:v>
      </x:c>
      <x:c r="Q67" s="37" t="str"/>
      <x:c r="R67" s="37" t="str">
        <x:f>LOWER(TRIM(C67)&amp;"|"&amp;TRIM(D67)&amp;"|"&amp;TRIM(E67)&amp;"|"&amp;TRIM(F67)&amp;"|"&amp;TRIM(H67)&amp;"|"&amp;TRIM(I67))</x:f>
        <x:v>场景|room_dressing|room_spawn|root|顶视|default</x:v>
      </x:c>
      <x:c r="S67" s="37" t="str">
        <x:f>IF(A67="","",IF(COUNTIF($R$6:$R$162,R67)&gt;1,"重复","唯一"))</x:f>
        <x:v>唯一</x:v>
      </x:c>
      <x:c r="T67" s="37" t="str"/>
      <x:c r="U67" s="37" t="str">
        <x:v>待分配</x:v>
      </x:c>
      <x:c r="V67" s="54" t="n">
        <x:v>46224</x:v>
      </x:c>
      <x:c r="W67" s="37" t="str">
        <x:v>原创/待确认</x:v>
      </x:c>
      <x:c r="X67" s="37" t="str">
        <x:v>只登记房间独有件；地板墙体引用 biome kit</x:v>
      </x:c>
    </x:row>
    <x:row r="68">
      <x:c r="A68" s="37" t="str">
        <x:v>ENV-ROOM-STAIRS-DRESSING</x:v>
      </x:c>
      <x:c r="B68" s="37" t="str">
        <x:v>stairs 房间陈设包</x:v>
      </x:c>
      <x:c r="C68" s="37" t="str">
        <x:v>场景</x:v>
      </x:c>
      <x:c r="D68" s="37" t="str">
        <x:v>room_dressing</x:v>
      </x:c>
      <x:c r="E68" s="37" t="str">
        <x:v>room_stairs</x:v>
      </x:c>
      <x:c r="F68" s="37" t="str">
        <x:v>root</x:v>
      </x:c>
      <x:c r="G68" s="37" t="str"/>
      <x:c r="H68" s="37" t="str">
        <x:v>顶视</x:v>
      </x:c>
      <x:c r="I68" s="37" t="str">
        <x:v>default</x:v>
      </x:c>
      <x:c r="J68" s="37" t="str">
        <x:v>跨楼层配色变体</x:v>
      </x:c>
      <x:c r="K68" s="37" t="str">
        <x:v>程序占位</x:v>
      </x:c>
      <x:c r="L68" s="37" t="str">
        <x:v>P2</x:v>
      </x:c>
      <x:c r="M68" s="37" t="str">
        <x:v>v001</x:v>
      </x:c>
      <x:c r="N68" s="37" t="str">
        <x:v>64 px 网格</x:v>
      </x:c>
      <x:c r="O68" s="37" t="str"/>
      <x:c r="P68" s="37" t="str">
        <x:v>scenes/RoomStairs.tscn</x:v>
      </x:c>
      <x:c r="Q68" s="37" t="str"/>
      <x:c r="R68" s="37" t="str">
        <x:f>LOWER(TRIM(C68)&amp;"|"&amp;TRIM(D68)&amp;"|"&amp;TRIM(E68)&amp;"|"&amp;TRIM(F68)&amp;"|"&amp;TRIM(H68)&amp;"|"&amp;TRIM(I68))</x:f>
        <x:v>场景|room_dressing|room_stairs|root|顶视|default</x:v>
      </x:c>
      <x:c r="S68" s="37" t="str">
        <x:f>IF(A68="","",IF(COUNTIF($R$6:$R$162,R68)&gt;1,"重复","唯一"))</x:f>
        <x:v>唯一</x:v>
      </x:c>
      <x:c r="T68" s="37" t="str"/>
      <x:c r="U68" s="37" t="str">
        <x:v>待分配</x:v>
      </x:c>
      <x:c r="V68" s="54" t="n">
        <x:v>46224</x:v>
      </x:c>
      <x:c r="W68" s="37" t="str">
        <x:v>原创/待确认</x:v>
      </x:c>
      <x:c r="X68" s="37" t="str">
        <x:v>只登记房间独有件；地板墙体引用 biome kit</x:v>
      </x:c>
    </x:row>
    <x:row r="69">
      <x:c r="A69" s="37" t="str">
        <x:v>PRP-BASE-BRIEFING</x:v>
      </x:c>
      <x:c r="B69" s="37" t="str">
        <x:v>远征情报室</x:v>
      </x:c>
      <x:c r="C69" s="37" t="str">
        <x:v>场景道具</x:v>
      </x:c>
      <x:c r="D69" s="37" t="str">
        <x:v>facility</x:v>
      </x:c>
      <x:c r="E69" s="37" t="str">
        <x:v>base_briefing</x:v>
      </x:c>
      <x:c r="F69" s="37" t="str">
        <x:v>root</x:v>
      </x:c>
      <x:c r="G69" s="37" t="str"/>
      <x:c r="H69" s="37" t="str">
        <x:v>顶视</x:v>
      </x:c>
      <x:c r="I69" s="37" t="str">
        <x:v>default</x:v>
      </x:c>
      <x:c r="J69" s="37" t="str">
        <x:v>基地/房间</x:v>
      </x:c>
      <x:c r="K69" s="37" t="str">
        <x:v>程序占位</x:v>
      </x:c>
      <x:c r="L69" s="37" t="str">
        <x:v>P1</x:v>
      </x:c>
      <x:c r="M69" s="37" t="str">
        <x:v>v001</x:v>
      </x:c>
      <x:c r="N69" s="37" t="str">
        <x:v>64 px 网格对齐</x:v>
      </x:c>
      <x:c r="O69" s="37" t="str"/>
      <x:c r="P69" s="37" t="str">
        <x:v>scenes/BaseWorld.tscn</x:v>
      </x:c>
      <x:c r="Q69" s="37" t="str"/>
      <x:c r="R69" s="37" t="str">
        <x:f>LOWER(TRIM(C69)&amp;"|"&amp;TRIM(D69)&amp;"|"&amp;TRIM(E69)&amp;"|"&amp;TRIM(F69)&amp;"|"&amp;TRIM(H69)&amp;"|"&amp;TRIM(I69))</x:f>
        <x:v>场景道具|facility|base_briefing|root|顶视|default</x:v>
      </x:c>
      <x:c r="S69" s="37" t="str">
        <x:f>IF(A69="","",IF(COUNTIF($R$6:$R$162,R69)&gt;1,"重复","唯一"))</x:f>
        <x:v>唯一</x:v>
      </x:c>
      <x:c r="T69" s="37" t="str"/>
      <x:c r="U69" s="37" t="str">
        <x:v>待分配</x:v>
      </x:c>
      <x:c r="V69" s="54" t="n">
        <x:v>46224</x:v>
      </x:c>
      <x:c r="W69" s="37" t="str">
        <x:v>原创/待确认</x:v>
      </x:c>
      <x:c r="X69" s="37" t="str">
        <x:v>状态变体使用同一 AssetID + state，不复制新命名根</x:v>
      </x:c>
    </x:row>
    <x:row r="70">
      <x:c r="A70" s="37" t="str">
        <x:v>PRP-BASE-WORKSHOP</x:v>
      </x:c>
      <x:c r="B70" s="37" t="str">
        <x:v>枪械工坊</x:v>
      </x:c>
      <x:c r="C70" s="37" t="str">
        <x:v>场景道具</x:v>
      </x:c>
      <x:c r="D70" s="37" t="str">
        <x:v>facility</x:v>
      </x:c>
      <x:c r="E70" s="37" t="str">
        <x:v>base_workshop</x:v>
      </x:c>
      <x:c r="F70" s="37" t="str">
        <x:v>root</x:v>
      </x:c>
      <x:c r="G70" s="37" t="str"/>
      <x:c r="H70" s="37" t="str">
        <x:v>顶视</x:v>
      </x:c>
      <x:c r="I70" s="37" t="str">
        <x:v>default</x:v>
      </x:c>
      <x:c r="J70" s="37" t="str">
        <x:v>基地/房间</x:v>
      </x:c>
      <x:c r="K70" s="37" t="str">
        <x:v>程序占位</x:v>
      </x:c>
      <x:c r="L70" s="37" t="str">
        <x:v>P1</x:v>
      </x:c>
      <x:c r="M70" s="37" t="str">
        <x:v>v001</x:v>
      </x:c>
      <x:c r="N70" s="37" t="str">
        <x:v>64 px 网格对齐</x:v>
      </x:c>
      <x:c r="O70" s="37" t="str"/>
      <x:c r="P70" s="37" t="str">
        <x:v>scenes/BaseWorld.tscn</x:v>
      </x:c>
      <x:c r="Q70" s="37" t="str"/>
      <x:c r="R70" s="37" t="str">
        <x:f>LOWER(TRIM(C70)&amp;"|"&amp;TRIM(D70)&amp;"|"&amp;TRIM(E70)&amp;"|"&amp;TRIM(F70)&amp;"|"&amp;TRIM(H70)&amp;"|"&amp;TRIM(I70))</x:f>
        <x:v>场景道具|facility|base_workshop|root|顶视|default</x:v>
      </x:c>
      <x:c r="S70" s="37" t="str">
        <x:f>IF(A70="","",IF(COUNTIF($R$6:$R$162,R70)&gt;1,"重复","唯一"))</x:f>
        <x:v>唯一</x:v>
      </x:c>
      <x:c r="T70" s="37" t="str"/>
      <x:c r="U70" s="37" t="str">
        <x:v>待分配</x:v>
      </x:c>
      <x:c r="V70" s="54" t="n">
        <x:v>46224</x:v>
      </x:c>
      <x:c r="W70" s="37" t="str">
        <x:v>原创/待确认</x:v>
      </x:c>
      <x:c r="X70" s="37" t="str">
        <x:v>状态变体使用同一 AssetID + state，不复制新命名根</x:v>
      </x:c>
    </x:row>
    <x:row r="71">
      <x:c r="A71" s="37" t="str">
        <x:v>PRP-BASE-DIVINATION</x:v>
      </x:c>
      <x:c r="B71" s="37" t="str">
        <x:v>命运占卜屋</x:v>
      </x:c>
      <x:c r="C71" s="37" t="str">
        <x:v>场景道具</x:v>
      </x:c>
      <x:c r="D71" s="37" t="str">
        <x:v>facility</x:v>
      </x:c>
      <x:c r="E71" s="37" t="str">
        <x:v>base_divination</x:v>
      </x:c>
      <x:c r="F71" s="37" t="str">
        <x:v>root</x:v>
      </x:c>
      <x:c r="G71" s="37" t="str"/>
      <x:c r="H71" s="37" t="str">
        <x:v>顶视</x:v>
      </x:c>
      <x:c r="I71" s="37" t="str">
        <x:v>default</x:v>
      </x:c>
      <x:c r="J71" s="37" t="str">
        <x:v>基地/房间</x:v>
      </x:c>
      <x:c r="K71" s="37" t="str">
        <x:v>程序占位</x:v>
      </x:c>
      <x:c r="L71" s="37" t="str">
        <x:v>P1</x:v>
      </x:c>
      <x:c r="M71" s="37" t="str">
        <x:v>v001</x:v>
      </x:c>
      <x:c r="N71" s="37" t="str">
        <x:v>64 px 网格对齐</x:v>
      </x:c>
      <x:c r="O71" s="37" t="str"/>
      <x:c r="P71" s="37" t="str">
        <x:v>scenes/BaseWorld.tscn</x:v>
      </x:c>
      <x:c r="Q71" s="37" t="str"/>
      <x:c r="R71" s="37" t="str">
        <x:f>LOWER(TRIM(C71)&amp;"|"&amp;TRIM(D71)&amp;"|"&amp;TRIM(E71)&amp;"|"&amp;TRIM(F71)&amp;"|"&amp;TRIM(H71)&amp;"|"&amp;TRIM(I71))</x:f>
        <x:v>场景道具|facility|base_divination|root|顶视|default</x:v>
      </x:c>
      <x:c r="S71" s="37" t="str">
        <x:f>IF(A71="","",IF(COUNTIF($R$6:$R$162,R71)&gt;1,"重复","唯一"))</x:f>
        <x:v>唯一</x:v>
      </x:c>
      <x:c r="T71" s="37" t="str"/>
      <x:c r="U71" s="37" t="str">
        <x:v>待分配</x:v>
      </x:c>
      <x:c r="V71" s="54" t="n">
        <x:v>46224</x:v>
      </x:c>
      <x:c r="W71" s="37" t="str">
        <x:v>原创/待确认</x:v>
      </x:c>
      <x:c r="X71" s="37" t="str">
        <x:v>状态变体使用同一 AssetID + state，不复制新命名根</x:v>
      </x:c>
    </x:row>
    <x:row r="72">
      <x:c r="A72" s="37" t="str">
        <x:v>PRP-BASE-VAULT</x:v>
      </x:c>
      <x:c r="B72" s="37" t="str">
        <x:v>保险柜</x:v>
      </x:c>
      <x:c r="C72" s="37" t="str">
        <x:v>场景道具</x:v>
      </x:c>
      <x:c r="D72" s="37" t="str">
        <x:v>facility</x:v>
      </x:c>
      <x:c r="E72" s="37" t="str">
        <x:v>base_vault</x:v>
      </x:c>
      <x:c r="F72" s="37" t="str">
        <x:v>root</x:v>
      </x:c>
      <x:c r="G72" s="37" t="str"/>
      <x:c r="H72" s="37" t="str">
        <x:v>顶视</x:v>
      </x:c>
      <x:c r="I72" s="37" t="str">
        <x:v>default</x:v>
      </x:c>
      <x:c r="J72" s="37" t="str">
        <x:v>基地/房间</x:v>
      </x:c>
      <x:c r="K72" s="37" t="str">
        <x:v>程序占位</x:v>
      </x:c>
      <x:c r="L72" s="37" t="str">
        <x:v>P1</x:v>
      </x:c>
      <x:c r="M72" s="37" t="str">
        <x:v>v001</x:v>
      </x:c>
      <x:c r="N72" s="37" t="str">
        <x:v>64 px 网格对齐</x:v>
      </x:c>
      <x:c r="O72" s="37" t="str"/>
      <x:c r="P72" s="37" t="str">
        <x:v>scenes/BaseWorld.tscn</x:v>
      </x:c>
      <x:c r="Q72" s="37" t="str"/>
      <x:c r="R72" s="37" t="str">
        <x:f>LOWER(TRIM(C72)&amp;"|"&amp;TRIM(D72)&amp;"|"&amp;TRIM(E72)&amp;"|"&amp;TRIM(F72)&amp;"|"&amp;TRIM(H72)&amp;"|"&amp;TRIM(I72))</x:f>
        <x:v>场景道具|facility|base_vault|root|顶视|default</x:v>
      </x:c>
      <x:c r="S72" s="37" t="str">
        <x:f>IF(A72="","",IF(COUNTIF($R$6:$R$162,R72)&gt;1,"重复","唯一"))</x:f>
        <x:v>唯一</x:v>
      </x:c>
      <x:c r="T72" s="37" t="str"/>
      <x:c r="U72" s="37" t="str">
        <x:v>待分配</x:v>
      </x:c>
      <x:c r="V72" s="54" t="n">
        <x:v>46224</x:v>
      </x:c>
      <x:c r="W72" s="37" t="str">
        <x:v>原创/待确认</x:v>
      </x:c>
      <x:c r="X72" s="37" t="str">
        <x:v>状态变体使用同一 AssetID + state，不复制新命名根</x:v>
      </x:c>
    </x:row>
    <x:row r="73">
      <x:c r="A73" s="37" t="str">
        <x:v>PRP-BASE-MONSTER-ARCHIVE</x:v>
      </x:c>
      <x:c r="B73" s="37" t="str">
        <x:v>怪物档案室</x:v>
      </x:c>
      <x:c r="C73" s="37" t="str">
        <x:v>场景道具</x:v>
      </x:c>
      <x:c r="D73" s="37" t="str">
        <x:v>facility</x:v>
      </x:c>
      <x:c r="E73" s="37" t="str">
        <x:v>base_monster_archive</x:v>
      </x:c>
      <x:c r="F73" s="37" t="str">
        <x:v>root</x:v>
      </x:c>
      <x:c r="G73" s="37" t="str"/>
      <x:c r="H73" s="37" t="str">
        <x:v>顶视</x:v>
      </x:c>
      <x:c r="I73" s="37" t="str">
        <x:v>default</x:v>
      </x:c>
      <x:c r="J73" s="37" t="str">
        <x:v>基地/房间</x:v>
      </x:c>
      <x:c r="K73" s="37" t="str">
        <x:v>程序占位</x:v>
      </x:c>
      <x:c r="L73" s="37" t="str">
        <x:v>P1</x:v>
      </x:c>
      <x:c r="M73" s="37" t="str">
        <x:v>v001</x:v>
      </x:c>
      <x:c r="N73" s="37" t="str">
        <x:v>64 px 网格对齐</x:v>
      </x:c>
      <x:c r="O73" s="37" t="str"/>
      <x:c r="P73" s="37" t="str">
        <x:v>scenes/BaseWorld.tscn</x:v>
      </x:c>
      <x:c r="Q73" s="37" t="str"/>
      <x:c r="R73" s="37" t="str">
        <x:f>LOWER(TRIM(C73)&amp;"|"&amp;TRIM(D73)&amp;"|"&amp;TRIM(E73)&amp;"|"&amp;TRIM(F73)&amp;"|"&amp;TRIM(H73)&amp;"|"&amp;TRIM(I73))</x:f>
        <x:v>场景道具|facility|base_monster_archive|root|顶视|default</x:v>
      </x:c>
      <x:c r="S73" s="37" t="str">
        <x:f>IF(A73="","",IF(COUNTIF($R$6:$R$162,R73)&gt;1,"重复","唯一"))</x:f>
        <x:v>唯一</x:v>
      </x:c>
      <x:c r="T73" s="37" t="str"/>
      <x:c r="U73" s="37" t="str">
        <x:v>待分配</x:v>
      </x:c>
      <x:c r="V73" s="54" t="n">
        <x:v>46224</x:v>
      </x:c>
      <x:c r="W73" s="37" t="str">
        <x:v>原创/待确认</x:v>
      </x:c>
      <x:c r="X73" s="37" t="str">
        <x:v>状态变体使用同一 AssetID + state，不复制新命名根</x:v>
      </x:c>
    </x:row>
    <x:row r="74">
      <x:c r="A74" s="37" t="str">
        <x:v>PRP-BASE-CARD-COLLECTION</x:v>
      </x:c>
      <x:c r="B74" s="37" t="str">
        <x:v>命运卡牌收藏室</x:v>
      </x:c>
      <x:c r="C74" s="37" t="str">
        <x:v>场景道具</x:v>
      </x:c>
      <x:c r="D74" s="37" t="str">
        <x:v>facility</x:v>
      </x:c>
      <x:c r="E74" s="37" t="str">
        <x:v>base_card_collection</x:v>
      </x:c>
      <x:c r="F74" s="37" t="str">
        <x:v>root</x:v>
      </x:c>
      <x:c r="G74" s="37" t="str"/>
      <x:c r="H74" s="37" t="str">
        <x:v>顶视</x:v>
      </x:c>
      <x:c r="I74" s="37" t="str">
        <x:v>default</x:v>
      </x:c>
      <x:c r="J74" s="37" t="str">
        <x:v>基地/房间</x:v>
      </x:c>
      <x:c r="K74" s="37" t="str">
        <x:v>程序占位</x:v>
      </x:c>
      <x:c r="L74" s="37" t="str">
        <x:v>P1</x:v>
      </x:c>
      <x:c r="M74" s="37" t="str">
        <x:v>v001</x:v>
      </x:c>
      <x:c r="N74" s="37" t="str">
        <x:v>64 px 网格对齐</x:v>
      </x:c>
      <x:c r="O74" s="37" t="str"/>
      <x:c r="P74" s="37" t="str">
        <x:v>scenes/BaseWorld.tscn</x:v>
      </x:c>
      <x:c r="Q74" s="37" t="str"/>
      <x:c r="R74" s="37" t="str">
        <x:f>LOWER(TRIM(C74)&amp;"|"&amp;TRIM(D74)&amp;"|"&amp;TRIM(E74)&amp;"|"&amp;TRIM(F74)&amp;"|"&amp;TRIM(H74)&amp;"|"&amp;TRIM(I74))</x:f>
        <x:v>场景道具|facility|base_card_collection|root|顶视|default</x:v>
      </x:c>
      <x:c r="S74" s="37" t="str">
        <x:f>IF(A74="","",IF(COUNTIF($R$6:$R$162,R74)&gt;1,"重复","唯一"))</x:f>
        <x:v>唯一</x:v>
      </x:c>
      <x:c r="T74" s="37" t="str"/>
      <x:c r="U74" s="37" t="str">
        <x:v>待分配</x:v>
      </x:c>
      <x:c r="V74" s="54" t="n">
        <x:v>46224</x:v>
      </x:c>
      <x:c r="W74" s="37" t="str">
        <x:v>原创/待确认</x:v>
      </x:c>
      <x:c r="X74" s="37" t="str">
        <x:v>状态变体使用同一 AssetID + state，不复制新命名根</x:v>
      </x:c>
    </x:row>
    <x:row r="75">
      <x:c r="A75" s="37" t="str">
        <x:v>PRP-BASE-TERMINAL</x:v>
      </x:c>
      <x:c r="B75" s="37" t="str">
        <x:v>基地管理终端</x:v>
      </x:c>
      <x:c r="C75" s="37" t="str">
        <x:v>场景道具</x:v>
      </x:c>
      <x:c r="D75" s="37" t="str">
        <x:v>facility</x:v>
      </x:c>
      <x:c r="E75" s="37" t="str">
        <x:v>base_terminal</x:v>
      </x:c>
      <x:c r="F75" s="37" t="str">
        <x:v>root</x:v>
      </x:c>
      <x:c r="G75" s="37" t="str"/>
      <x:c r="H75" s="37" t="str">
        <x:v>顶视</x:v>
      </x:c>
      <x:c r="I75" s="37" t="str">
        <x:v>default</x:v>
      </x:c>
      <x:c r="J75" s="37" t="str">
        <x:v>基地/房间</x:v>
      </x:c>
      <x:c r="K75" s="37" t="str">
        <x:v>程序占位</x:v>
      </x:c>
      <x:c r="L75" s="37" t="str">
        <x:v>P1</x:v>
      </x:c>
      <x:c r="M75" s="37" t="str">
        <x:v>v001</x:v>
      </x:c>
      <x:c r="N75" s="37" t="str">
        <x:v>64 px 网格对齐</x:v>
      </x:c>
      <x:c r="O75" s="37" t="str"/>
      <x:c r="P75" s="37" t="str">
        <x:v>scenes/BaseWorld.tscn</x:v>
      </x:c>
      <x:c r="Q75" s="37" t="str"/>
      <x:c r="R75" s="37" t="str">
        <x:f>LOWER(TRIM(C75)&amp;"|"&amp;TRIM(D75)&amp;"|"&amp;TRIM(E75)&amp;"|"&amp;TRIM(F75)&amp;"|"&amp;TRIM(H75)&amp;"|"&amp;TRIM(I75))</x:f>
        <x:v>场景道具|facility|base_terminal|root|顶视|default</x:v>
      </x:c>
      <x:c r="S75" s="37" t="str">
        <x:f>IF(A75="","",IF(COUNTIF($R$6:$R$162,R75)&gt;1,"重复","唯一"))</x:f>
        <x:v>唯一</x:v>
      </x:c>
      <x:c r="T75" s="37" t="str"/>
      <x:c r="U75" s="37" t="str">
        <x:v>待分配</x:v>
      </x:c>
      <x:c r="V75" s="54" t="n">
        <x:v>46224</x:v>
      </x:c>
      <x:c r="W75" s="37" t="str">
        <x:v>原创/待确认</x:v>
      </x:c>
      <x:c r="X75" s="37" t="str">
        <x:v>状态变体使用同一 AssetID + state，不复制新命名根</x:v>
      </x:c>
    </x:row>
    <x:row r="76">
      <x:c r="A76" s="37" t="str">
        <x:v>PRP-DUNGEON-GATE</x:v>
      </x:c>
      <x:c r="B76" s="37" t="str">
        <x:v>副本入口</x:v>
      </x:c>
      <x:c r="C76" s="37" t="str">
        <x:v>场景道具</x:v>
      </x:c>
      <x:c r="D76" s="37" t="str">
        <x:v>facility</x:v>
      </x:c>
      <x:c r="E76" s="37" t="str">
        <x:v>dungeon_gate</x:v>
      </x:c>
      <x:c r="F76" s="37" t="str">
        <x:v>root</x:v>
      </x:c>
      <x:c r="G76" s="37" t="str"/>
      <x:c r="H76" s="37" t="str">
        <x:v>顶视</x:v>
      </x:c>
      <x:c r="I76" s="37" t="str">
        <x:v>default</x:v>
      </x:c>
      <x:c r="J76" s="37" t="str">
        <x:v>基地/房间</x:v>
      </x:c>
      <x:c r="K76" s="37" t="str">
        <x:v>程序占位</x:v>
      </x:c>
      <x:c r="L76" s="37" t="str">
        <x:v>P1</x:v>
      </x:c>
      <x:c r="M76" s="37" t="str">
        <x:v>v001</x:v>
      </x:c>
      <x:c r="N76" s="37" t="str">
        <x:v>64 px 网格对齐</x:v>
      </x:c>
      <x:c r="O76" s="37" t="str"/>
      <x:c r="P76" s="37" t="str">
        <x:v>scenes/BaseWorld.tscn</x:v>
      </x:c>
      <x:c r="Q76" s="37" t="str"/>
      <x:c r="R76" s="37" t="str">
        <x:f>LOWER(TRIM(C76)&amp;"|"&amp;TRIM(D76)&amp;"|"&amp;TRIM(E76)&amp;"|"&amp;TRIM(F76)&amp;"|"&amp;TRIM(H76)&amp;"|"&amp;TRIM(I76))</x:f>
        <x:v>场景道具|facility|dungeon_gate|root|顶视|default</x:v>
      </x:c>
      <x:c r="S76" s="37" t="str">
        <x:f>IF(A76="","",IF(COUNTIF($R$6:$R$162,R76)&gt;1,"重复","唯一"))</x:f>
        <x:v>唯一</x:v>
      </x:c>
      <x:c r="T76" s="37" t="str"/>
      <x:c r="U76" s="37" t="str">
        <x:v>待分配</x:v>
      </x:c>
      <x:c r="V76" s="54" t="n">
        <x:v>46224</x:v>
      </x:c>
      <x:c r="W76" s="37" t="str">
        <x:v>原创/待确认</x:v>
      </x:c>
      <x:c r="X76" s="37" t="str">
        <x:v>状态变体使用同一 AssetID + state，不复制新命名根</x:v>
      </x:c>
    </x:row>
    <x:row r="77">
      <x:c r="A77" s="37" t="str">
        <x:v>PRP-WORKBENCH</x:v>
      </x:c>
      <x:c r="B77" s="37" t="str">
        <x:v>工作台</x:v>
      </x:c>
      <x:c r="C77" s="37" t="str">
        <x:v>场景道具</x:v>
      </x:c>
      <x:c r="D77" s="37" t="str">
        <x:v>facility</x:v>
      </x:c>
      <x:c r="E77" s="37" t="str">
        <x:v>workbench</x:v>
      </x:c>
      <x:c r="F77" s="37" t="str">
        <x:v>root</x:v>
      </x:c>
      <x:c r="G77" s="37" t="str"/>
      <x:c r="H77" s="37" t="str">
        <x:v>顶视</x:v>
      </x:c>
      <x:c r="I77" s="37" t="str">
        <x:v>default</x:v>
      </x:c>
      <x:c r="J77" s="37" t="str">
        <x:v>基地/房间</x:v>
      </x:c>
      <x:c r="K77" s="37" t="str">
        <x:v>程序占位</x:v>
      </x:c>
      <x:c r="L77" s="37" t="str">
        <x:v>P1</x:v>
      </x:c>
      <x:c r="M77" s="37" t="str">
        <x:v>v001</x:v>
      </x:c>
      <x:c r="N77" s="37" t="str">
        <x:v>64 px 网格对齐</x:v>
      </x:c>
      <x:c r="O77" s="37" t="str"/>
      <x:c r="P77" s="37" t="str">
        <x:v>scenes/BaseWorld.tscn</x:v>
      </x:c>
      <x:c r="Q77" s="37" t="str"/>
      <x:c r="R77" s="37" t="str">
        <x:f>LOWER(TRIM(C77)&amp;"|"&amp;TRIM(D77)&amp;"|"&amp;TRIM(E77)&amp;"|"&amp;TRIM(F77)&amp;"|"&amp;TRIM(H77)&amp;"|"&amp;TRIM(I77))</x:f>
        <x:v>场景道具|facility|workbench|root|顶视|default</x:v>
      </x:c>
      <x:c r="S77" s="37" t="str">
        <x:f>IF(A77="","",IF(COUNTIF($R$6:$R$162,R77)&gt;1,"重复","唯一"))</x:f>
        <x:v>唯一</x:v>
      </x:c>
      <x:c r="T77" s="37" t="str"/>
      <x:c r="U77" s="37" t="str">
        <x:v>待分配</x:v>
      </x:c>
      <x:c r="V77" s="54" t="n">
        <x:v>46224</x:v>
      </x:c>
      <x:c r="W77" s="37" t="str">
        <x:v>原创/待确认</x:v>
      </x:c>
      <x:c r="X77" s="37" t="str">
        <x:v>状态变体使用同一 AssetID + state，不复制新命名根</x:v>
      </x:c>
    </x:row>
    <x:row r="78">
      <x:c r="A78" s="37" t="str">
        <x:v>PRP-DOOR</x:v>
      </x:c>
      <x:c r="B78" s="37" t="str">
        <x:v>房门</x:v>
      </x:c>
      <x:c r="C78" s="37" t="str">
        <x:v>场景道具</x:v>
      </x:c>
      <x:c r="D78" s="37" t="str">
        <x:v>facility</x:v>
      </x:c>
      <x:c r="E78" s="37" t="str">
        <x:v>door</x:v>
      </x:c>
      <x:c r="F78" s="37" t="str">
        <x:v>root</x:v>
      </x:c>
      <x:c r="G78" s="37" t="str"/>
      <x:c r="H78" s="37" t="str">
        <x:v>顶视</x:v>
      </x:c>
      <x:c r="I78" s="37" t="str">
        <x:v>default</x:v>
      </x:c>
      <x:c r="J78" s="37" t="str">
        <x:v>基地/房间</x:v>
      </x:c>
      <x:c r="K78" s="37" t="str">
        <x:v>程序占位</x:v>
      </x:c>
      <x:c r="L78" s="37" t="str">
        <x:v>P1</x:v>
      </x:c>
      <x:c r="M78" s="37" t="str">
        <x:v>v001</x:v>
      </x:c>
      <x:c r="N78" s="37" t="str">
        <x:v>64 px 网格对齐</x:v>
      </x:c>
      <x:c r="O78" s="37" t="str"/>
      <x:c r="P78" s="37" t="str">
        <x:v>scenes/BaseWorld.tscn</x:v>
      </x:c>
      <x:c r="Q78" s="37" t="str"/>
      <x:c r="R78" s="37" t="str">
        <x:f>LOWER(TRIM(C78)&amp;"|"&amp;TRIM(D78)&amp;"|"&amp;TRIM(E78)&amp;"|"&amp;TRIM(F78)&amp;"|"&amp;TRIM(H78)&amp;"|"&amp;TRIM(I78))</x:f>
        <x:v>场景道具|facility|door|root|顶视|default</x:v>
      </x:c>
      <x:c r="S78" s="37" t="str">
        <x:f>IF(A78="","",IF(COUNTIF($R$6:$R$162,R78)&gt;1,"重复","唯一"))</x:f>
        <x:v>唯一</x:v>
      </x:c>
      <x:c r="T78" s="37" t="str"/>
      <x:c r="U78" s="37" t="str">
        <x:v>待分配</x:v>
      </x:c>
      <x:c r="V78" s="54" t="n">
        <x:v>46224</x:v>
      </x:c>
      <x:c r="W78" s="37" t="str">
        <x:v>原创/待确认</x:v>
      </x:c>
      <x:c r="X78" s="37" t="str">
        <x:v>状态变体使用同一 AssetID + state，不复制新命名根</x:v>
      </x:c>
    </x:row>
    <x:row r="79" ht="155" customHeight="1">
      <x:c r="A79" s="101" t="str">
        <x:v>UI-SCREEN-HUD</x:v>
      </x:c>
      <x:c r="B79" s="101" t="str">
        <x:v>战斗 HUD</x:v>
      </x:c>
      <x:c r="C79" s="101" t="str">
        <x:v>UI</x:v>
      </x:c>
      <x:c r="D79" s="101" t="str">
        <x:v>screen</x:v>
      </x:c>
      <x:c r="E79" s="101" t="str">
        <x:v>hud</x:v>
      </x:c>
      <x:c r="F79" s="101" t="str">
        <x:v>root</x:v>
      </x:c>
      <x:c r="G79" s="101" t="str"/>
      <x:c r="H79" s="101" t="str">
        <x:v>屏幕空间</x:v>
      </x:c>
      <x:c r="I79" s="101" t="str">
        <x:v>default</x:v>
      </x:c>
      <x:c r="J79" s="101" t="str">
        <x:v>跨分辨率</x:v>
      </x:c>
      <x:c r="K79" s="101" t="str">
        <x:v>已接入</x:v>
      </x:c>
      <x:c r="L79" s="101" t="str">
        <x:v>P0</x:v>
      </x:c>
      <x:c r="M79" s="101" t="str">
        <x:v>v002</x:v>
      </x:c>
      <x:c r="N79" s="101" t="str">
        <x:v>1280×720 基准；九宫格/矢量优先</x:v>
      </x:c>
      <x:c r="O79" s="101" t="str"/>
      <x:c r="P79" s="101" t="str">
        <x:v>src/ui/GameUIManager.gd</x:v>
      </x:c>
      <x:c r="Q79" s="101" t="str"/>
      <x:c r="R79" s="101" t="str">
        <x:f>LOWER(TRIM(C79)&amp;"|"&amp;TRIM(D79)&amp;"|"&amp;TRIM(E79)&amp;"|"&amp;TRIM(F79)&amp;"|"&amp;TRIM(H79)&amp;"|"&amp;TRIM(I79))</x:f>
        <x:v>ui|screen|hud|root|屏幕空间|default</x:v>
      </x:c>
      <x:c r="S79" s="101" t="str">
        <x:f>IF(A79="","",IF(COUNTIF($R$6:$R$162,R79)&gt;1,"重复","唯一"))</x:f>
        <x:v>唯一</x:v>
      </x:c>
      <x:c r="T79" s="101" t="str"/>
      <x:c r="U79" s="101" t="str">
        <x:v>待分配</x:v>
      </x:c>
      <x:c r="V79" s="104" t="n">
        <x:v>46233</x:v>
      </x:c>
      <x:c r="W79" s="101" t="str">
        <x:v>原创/待确认</x:v>
      </x:c>
      <x:c r="X79" s="101" t="str">
        <x:v>PH49：主游戏HUD升级为深色半透明青色全息面板，危险/撤离信息使用琥珀与绿色分层；小地图以20Hz实时更新当前楼层，显示玩家位置与朝向、扫描扇区、脉冲环、透视网格、已发现房间/连线和楼层纵向索引。</x:v>
      </x:c>
    </x:row>
    <x:row r="80">
      <x:c r="A80" s="37" t="str">
        <x:v>UI-SCREEN-INVENTORY</x:v>
      </x:c>
      <x:c r="B80" s="37" t="str">
        <x:v>背包</x:v>
      </x:c>
      <x:c r="C80" s="37" t="str">
        <x:v>UI</x:v>
      </x:c>
      <x:c r="D80" s="37" t="str">
        <x:v>screen</x:v>
      </x:c>
      <x:c r="E80" s="37" t="str">
        <x:v>inventory</x:v>
      </x:c>
      <x:c r="F80" s="37" t="str">
        <x:v>root</x:v>
      </x:c>
      <x:c r="G80" s="37" t="str"/>
      <x:c r="H80" s="37" t="str">
        <x:v>屏幕空间</x:v>
      </x:c>
      <x:c r="I80" s="37" t="str">
        <x:v>default</x:v>
      </x:c>
      <x:c r="J80" s="37" t="str">
        <x:v>跨分辨率</x:v>
      </x:c>
      <x:c r="K80" s="37" t="str">
        <x:v>原型已接入</x:v>
      </x:c>
      <x:c r="L80" s="37" t="str">
        <x:v>P0</x:v>
      </x:c>
      <x:c r="M80" s="37" t="str">
        <x:v>v001</x:v>
      </x:c>
      <x:c r="N80" s="37" t="str">
        <x:v>1280×720 基准；九宫格/矢量优先</x:v>
      </x:c>
      <x:c r="O80" s="37" t="str"/>
      <x:c r="P80" s="37" t="str">
        <x:v>src/ui/InventoryUI.gd</x:v>
      </x:c>
      <x:c r="Q80" s="37" t="str"/>
      <x:c r="R80" s="37" t="str">
        <x:f>LOWER(TRIM(C80)&amp;"|"&amp;TRIM(D80)&amp;"|"&amp;TRIM(E80)&amp;"|"&amp;TRIM(F80)&amp;"|"&amp;TRIM(H80)&amp;"|"&amp;TRIM(I80))</x:f>
        <x:v>ui|screen|inventory|root|屏幕空间|default</x:v>
      </x:c>
      <x:c r="S80" s="37" t="str">
        <x:f>IF(A80="","",IF(COUNTIF($R$6:$R$162,R80)&gt;1,"重复","唯一"))</x:f>
        <x:v>唯一</x:v>
      </x:c>
      <x:c r="T80" s="37" t="str"/>
      <x:c r="U80" s="37" t="str">
        <x:v>待分配</x:v>
      </x:c>
      <x:c r="V80" s="54" t="n">
        <x:v>46225</x:v>
      </x:c>
      <x:c r="W80" s="37" t="str">
        <x:v>原创/待确认</x:v>
      </x:c>
      <x:c r="X80" s="37" t="str">
        <x:v>背包共享逻辑根；3D表现登记为 UI-SCREEN-INVENTORY-3D；12+2槽与保险契约不变</x:v>
      </x:c>
    </x:row>
    <x:row r="81">
      <x:c r="A81" s="37" t="str">
        <x:v>UI-SCREEN-MERCHANT</x:v>
      </x:c>
      <x:c r="B81" s="37" t="str">
        <x:v>商人</x:v>
      </x:c>
      <x:c r="C81" s="37" t="str">
        <x:v>UI</x:v>
      </x:c>
      <x:c r="D81" s="37" t="str">
        <x:v>screen</x:v>
      </x:c>
      <x:c r="E81" s="37" t="str">
        <x:v>merchant</x:v>
      </x:c>
      <x:c r="F81" s="37" t="str">
        <x:v>root</x:v>
      </x:c>
      <x:c r="G81" s="37" t="str"/>
      <x:c r="H81" s="37" t="str">
        <x:v>屏幕空间</x:v>
      </x:c>
      <x:c r="I81" s="37" t="str">
        <x:v>default</x:v>
      </x:c>
      <x:c r="J81" s="37" t="str">
        <x:v>跨分辨率</x:v>
      </x:c>
      <x:c r="K81" s="37" t="str">
        <x:v>程序占位</x:v>
      </x:c>
      <x:c r="L81" s="37" t="str">
        <x:v>P2</x:v>
      </x:c>
      <x:c r="M81" s="37" t="str">
        <x:v>v001</x:v>
      </x:c>
      <x:c r="N81" s="37" t="str">
        <x:v>1280×720 基准；九宫格/矢量优先</x:v>
      </x:c>
      <x:c r="O81" s="37" t="str"/>
      <x:c r="P81" s="37" t="str">
        <x:v>src/ui/MerchantUI.gd</x:v>
      </x:c>
      <x:c r="Q81" s="37" t="str"/>
      <x:c r="R81" s="37" t="str">
        <x:f>LOWER(TRIM(C81)&amp;"|"&amp;TRIM(D81)&amp;"|"&amp;TRIM(E81)&amp;"|"&amp;TRIM(F81)&amp;"|"&amp;TRIM(H81)&amp;"|"&amp;TRIM(I81))</x:f>
        <x:v>ui|screen|merchant|root|屏幕空间|default</x:v>
      </x:c>
      <x:c r="S81" s="37" t="str">
        <x:f>IF(A81="","",IF(COUNTIF($R$6:$R$162,R81)&gt;1,"重复","唯一"))</x:f>
        <x:v>唯一</x:v>
      </x:c>
      <x:c r="T81" s="37" t="str"/>
      <x:c r="U81" s="37" t="str">
        <x:v>待分配</x:v>
      </x:c>
      <x:c r="V81" s="54" t="n">
        <x:v>46224</x:v>
      </x:c>
      <x:c r="W81" s="37" t="str">
        <x:v>原创/待确认</x:v>
      </x:c>
      <x:c r="X81" s="37" t="str">
        <x:v>先建组件库，再做页面，避免每页重复画按钮/面板</x:v>
      </x:c>
    </x:row>
    <x:row r="82">
      <x:c r="A82" s="37" t="str">
        <x:v>UI-SCREEN-WORKSHOP</x:v>
      </x:c>
      <x:c r="B82" s="37" t="str">
        <x:v>枪械工坊</x:v>
      </x:c>
      <x:c r="C82" s="37" t="str">
        <x:v>UI</x:v>
      </x:c>
      <x:c r="D82" s="37" t="str">
        <x:v>screen</x:v>
      </x:c>
      <x:c r="E82" s="37" t="str">
        <x:v>workshop</x:v>
      </x:c>
      <x:c r="F82" s="37" t="str">
        <x:v>root</x:v>
      </x:c>
      <x:c r="G82" s="37" t="str"/>
      <x:c r="H82" s="37" t="str">
        <x:v>屏幕空间</x:v>
      </x:c>
      <x:c r="I82" s="37" t="str">
        <x:v>default</x:v>
      </x:c>
      <x:c r="J82" s="37" t="str">
        <x:v>跨分辨率</x:v>
      </x:c>
      <x:c r="K82" s="37" t="str">
        <x:v>程序占位</x:v>
      </x:c>
      <x:c r="L82" s="37" t="str">
        <x:v>P2</x:v>
      </x:c>
      <x:c r="M82" s="37" t="str">
        <x:v>v001</x:v>
      </x:c>
      <x:c r="N82" s="37" t="str">
        <x:v>1280×720 基准；九宫格/矢量优先</x:v>
      </x:c>
      <x:c r="O82" s="37" t="str"/>
      <x:c r="P82" s="37" t="str">
        <x:v>src/ui/WorkshopMenu.gd</x:v>
      </x:c>
      <x:c r="Q82" s="37" t="str"/>
      <x:c r="R82" s="37" t="str">
        <x:f>LOWER(TRIM(C82)&amp;"|"&amp;TRIM(D82)&amp;"|"&amp;TRIM(E82)&amp;"|"&amp;TRIM(F82)&amp;"|"&amp;TRIM(H82)&amp;"|"&amp;TRIM(I82))</x:f>
        <x:v>ui|screen|workshop|root|屏幕空间|default</x:v>
      </x:c>
      <x:c r="S82" s="37" t="str">
        <x:f>IF(A82="","",IF(COUNTIF($R$6:$R$162,R82)&gt;1,"重复","唯一"))</x:f>
        <x:v>唯一</x:v>
      </x:c>
      <x:c r="T82" s="37" t="str"/>
      <x:c r="U82" s="37" t="str">
        <x:v>待分配</x:v>
      </x:c>
      <x:c r="V82" s="54" t="n">
        <x:v>46224</x:v>
      </x:c>
      <x:c r="W82" s="37" t="str">
        <x:v>原创/待确认</x:v>
      </x:c>
      <x:c r="X82" s="37" t="str">
        <x:v>先建组件库，再做页面，避免每页重复画按钮/面板</x:v>
      </x:c>
    </x:row>
    <x:row r="83">
      <x:c r="A83" s="37" t="str">
        <x:v>UI-SCREEN-WORKBENCH</x:v>
      </x:c>
      <x:c r="B83" s="37" t="str">
        <x:v>工作台</x:v>
      </x:c>
      <x:c r="C83" s="37" t="str">
        <x:v>UI</x:v>
      </x:c>
      <x:c r="D83" s="37" t="str">
        <x:v>screen</x:v>
      </x:c>
      <x:c r="E83" s="37" t="str">
        <x:v>workbench</x:v>
      </x:c>
      <x:c r="F83" s="37" t="str">
        <x:v>root</x:v>
      </x:c>
      <x:c r="G83" s="37" t="str"/>
      <x:c r="H83" s="37" t="str">
        <x:v>屏幕空间</x:v>
      </x:c>
      <x:c r="I83" s="37" t="str">
        <x:v>default</x:v>
      </x:c>
      <x:c r="J83" s="37" t="str">
        <x:v>跨分辨率</x:v>
      </x:c>
      <x:c r="K83" s="37" t="str">
        <x:v>程序占位</x:v>
      </x:c>
      <x:c r="L83" s="37" t="str">
        <x:v>P2</x:v>
      </x:c>
      <x:c r="M83" s="37" t="str">
        <x:v>v001</x:v>
      </x:c>
      <x:c r="N83" s="37" t="str">
        <x:v>1280×720 基准；九宫格/矢量优先</x:v>
      </x:c>
      <x:c r="O83" s="37" t="str"/>
      <x:c r="P83" s="37" t="str">
        <x:v>src/ui/WorkbenchPanel.gd</x:v>
      </x:c>
      <x:c r="Q83" s="37" t="str"/>
      <x:c r="R83" s="37" t="str">
        <x:f>LOWER(TRIM(C83)&amp;"|"&amp;TRIM(D83)&amp;"|"&amp;TRIM(E83)&amp;"|"&amp;TRIM(F83)&amp;"|"&amp;TRIM(H83)&amp;"|"&amp;TRIM(I83))</x:f>
        <x:v>ui|screen|workbench|root|屏幕空间|default</x:v>
      </x:c>
      <x:c r="S83" s="37" t="str">
        <x:f>IF(A83="","",IF(COUNTIF($R$6:$R$162,R83)&gt;1,"重复","唯一"))</x:f>
        <x:v>唯一</x:v>
      </x:c>
      <x:c r="T83" s="37" t="str"/>
      <x:c r="U83" s="37" t="str">
        <x:v>待分配</x:v>
      </x:c>
      <x:c r="V83" s="54" t="n">
        <x:v>46224</x:v>
      </x:c>
      <x:c r="W83" s="37" t="str">
        <x:v>原创/待确认</x:v>
      </x:c>
      <x:c r="X83" s="37" t="str">
        <x:v>先建组件库，再做页面，避免每页重复画按钮/面板</x:v>
      </x:c>
    </x:row>
    <x:row r="84">
      <x:c r="A84" s="37" t="str">
        <x:v>UI-SCREEN-WEAPON-TREE</x:v>
      </x:c>
      <x:c r="B84" s="37" t="str">
        <x:v>武器装配树</x:v>
      </x:c>
      <x:c r="C84" s="37" t="str">
        <x:v>UI</x:v>
      </x:c>
      <x:c r="D84" s="37" t="str">
        <x:v>screen</x:v>
      </x:c>
      <x:c r="E84" s="37" t="str">
        <x:v>weapon_tree</x:v>
      </x:c>
      <x:c r="F84" s="37" t="str">
        <x:v>root</x:v>
      </x:c>
      <x:c r="G84" s="37" t="str"/>
      <x:c r="H84" s="37" t="str">
        <x:v>屏幕空间</x:v>
      </x:c>
      <x:c r="I84" s="37" t="str">
        <x:v>default</x:v>
      </x:c>
      <x:c r="J84" s="37" t="str">
        <x:v>跨分辨率</x:v>
      </x:c>
      <x:c r="K84" s="37" t="str">
        <x:v>程序占位</x:v>
      </x:c>
      <x:c r="L84" s="37" t="str">
        <x:v>P2</x:v>
      </x:c>
      <x:c r="M84" s="37" t="str">
        <x:v>v001</x:v>
      </x:c>
      <x:c r="N84" s="37" t="str">
        <x:v>1280×720 基准；九宫格/矢量优先</x:v>
      </x:c>
      <x:c r="O84" s="37" t="str"/>
      <x:c r="P84" s="37" t="str">
        <x:v>src/ui/WeaponAssemblyTreePanel.gd</x:v>
      </x:c>
      <x:c r="Q84" s="37" t="str"/>
      <x:c r="R84" s="37" t="str">
        <x:f>LOWER(TRIM(C84)&amp;"|"&amp;TRIM(D84)&amp;"|"&amp;TRIM(E84)&amp;"|"&amp;TRIM(F84)&amp;"|"&amp;TRIM(H84)&amp;"|"&amp;TRIM(I84))</x:f>
        <x:v>ui|screen|weapon_tree|root|屏幕空间|default</x:v>
      </x:c>
      <x:c r="S84" s="37" t="str">
        <x:f>IF(A84="","",IF(COUNTIF($R$6:$R$162,R84)&gt;1,"重复","唯一"))</x:f>
        <x:v>唯一</x:v>
      </x:c>
      <x:c r="T84" s="37" t="str"/>
      <x:c r="U84" s="37" t="str">
        <x:v>待分配</x:v>
      </x:c>
      <x:c r="V84" s="54" t="n">
        <x:v>46224</x:v>
      </x:c>
      <x:c r="W84" s="37" t="str">
        <x:v>原创/待确认</x:v>
      </x:c>
      <x:c r="X84" s="37" t="str">
        <x:v>先建组件库，再做页面，避免每页重复画按钮/面板</x:v>
      </x:c>
    </x:row>
    <x:row r="85">
      <x:c r="A85" s="37" t="str">
        <x:v>UI-SCREEN-FATE-SELECT</x:v>
      </x:c>
      <x:c r="B85" s="37" t="str">
        <x:v>命运卡选择</x:v>
      </x:c>
      <x:c r="C85" s="37" t="str">
        <x:v>UI</x:v>
      </x:c>
      <x:c r="D85" s="37" t="str">
        <x:v>screen</x:v>
      </x:c>
      <x:c r="E85" s="37" t="str">
        <x:v>fate_select</x:v>
      </x:c>
      <x:c r="F85" s="37" t="str">
        <x:v>root</x:v>
      </x:c>
      <x:c r="G85" s="37" t="str"/>
      <x:c r="H85" s="37" t="str">
        <x:v>屏幕空间</x:v>
      </x:c>
      <x:c r="I85" s="37" t="str">
        <x:v>default</x:v>
      </x:c>
      <x:c r="J85" s="37" t="str">
        <x:v>跨分辨率</x:v>
      </x:c>
      <x:c r="K85" s="37" t="str">
        <x:v>程序占位</x:v>
      </x:c>
      <x:c r="L85" s="37" t="str">
        <x:v>P2</x:v>
      </x:c>
      <x:c r="M85" s="37" t="str">
        <x:v>v001</x:v>
      </x:c>
      <x:c r="N85" s="37" t="str">
        <x:v>1280×720 基准；九宫格/矢量优先</x:v>
      </x:c>
      <x:c r="O85" s="37" t="str"/>
      <x:c r="P85" s="37" t="str">
        <x:v>src/ui/FateCardUIController.gd</x:v>
      </x:c>
      <x:c r="Q85" s="37" t="str"/>
      <x:c r="R85" s="37" t="str">
        <x:f>LOWER(TRIM(C85)&amp;"|"&amp;TRIM(D85)&amp;"|"&amp;TRIM(E85)&amp;"|"&amp;TRIM(F85)&amp;"|"&amp;TRIM(H85)&amp;"|"&amp;TRIM(I85))</x:f>
        <x:v>ui|screen|fate_select|root|屏幕空间|default</x:v>
      </x:c>
      <x:c r="S85" s="37" t="str">
        <x:f>IF(A85="","",IF(COUNTIF($R$6:$R$162,R85)&gt;1,"重复","唯一"))</x:f>
        <x:v>唯一</x:v>
      </x:c>
      <x:c r="T85" s="37" t="str"/>
      <x:c r="U85" s="37" t="str">
        <x:v>待分配</x:v>
      </x:c>
      <x:c r="V85" s="54" t="n">
        <x:v>46224</x:v>
      </x:c>
      <x:c r="W85" s="37" t="str">
        <x:v>原创/待确认</x:v>
      </x:c>
      <x:c r="X85" s="37" t="str">
        <x:v>先建组件库，再做页面，避免每页重复画按钮/面板</x:v>
      </x:c>
    </x:row>
    <x:row r="86">
      <x:c r="A86" s="37" t="str">
        <x:v>UI-SCREEN-FATE-COLLECTION</x:v>
      </x:c>
      <x:c r="B86" s="37" t="str">
        <x:v>命运卡收藏</x:v>
      </x:c>
      <x:c r="C86" s="37" t="str">
        <x:v>UI</x:v>
      </x:c>
      <x:c r="D86" s="37" t="str">
        <x:v>screen</x:v>
      </x:c>
      <x:c r="E86" s="37" t="str">
        <x:v>fate_collection</x:v>
      </x:c>
      <x:c r="F86" s="37" t="str">
        <x:v>root</x:v>
      </x:c>
      <x:c r="G86" s="37" t="str"/>
      <x:c r="H86" s="37" t="str">
        <x:v>屏幕空间</x:v>
      </x:c>
      <x:c r="I86" s="37" t="str">
        <x:v>default</x:v>
      </x:c>
      <x:c r="J86" s="37" t="str">
        <x:v>跨分辨率</x:v>
      </x:c>
      <x:c r="K86" s="37" t="str">
        <x:v>程序占位</x:v>
      </x:c>
      <x:c r="L86" s="37" t="str">
        <x:v>P2</x:v>
      </x:c>
      <x:c r="M86" s="37" t="str">
        <x:v>v001</x:v>
      </x:c>
      <x:c r="N86" s="37" t="str">
        <x:v>1280×720 基准；九宫格/矢量优先</x:v>
      </x:c>
      <x:c r="O86" s="37" t="str"/>
      <x:c r="P86" s="37" t="str">
        <x:v>src/ui/FateCardCollectionMenu.gd</x:v>
      </x:c>
      <x:c r="Q86" s="37" t="str"/>
      <x:c r="R86" s="37" t="str">
        <x:f>LOWER(TRIM(C86)&amp;"|"&amp;TRIM(D86)&amp;"|"&amp;TRIM(E86)&amp;"|"&amp;TRIM(F86)&amp;"|"&amp;TRIM(H86)&amp;"|"&amp;TRIM(I86))</x:f>
        <x:v>ui|screen|fate_collection|root|屏幕空间|default</x:v>
      </x:c>
      <x:c r="S86" s="37" t="str">
        <x:f>IF(A86="","",IF(COUNTIF($R$6:$R$162,R86)&gt;1,"重复","唯一"))</x:f>
        <x:v>唯一</x:v>
      </x:c>
      <x:c r="T86" s="37" t="str"/>
      <x:c r="U86" s="37" t="str">
        <x:v>待分配</x:v>
      </x:c>
      <x:c r="V86" s="54" t="n">
        <x:v>46224</x:v>
      </x:c>
      <x:c r="W86" s="37" t="str">
        <x:v>原创/待确认</x:v>
      </x:c>
      <x:c r="X86" s="37" t="str">
        <x:v>先建组件库，再做页面，避免每页重复画按钮/面板</x:v>
      </x:c>
    </x:row>
    <x:row r="87">
      <x:c r="A87" s="37" t="str">
        <x:v>UI-SCREEN-LEVEL-SELECT</x:v>
      </x:c>
      <x:c r="B87" s="37" t="str">
        <x:v>关卡选择</x:v>
      </x:c>
      <x:c r="C87" s="37" t="str">
        <x:v>UI</x:v>
      </x:c>
      <x:c r="D87" s="37" t="str">
        <x:v>screen</x:v>
      </x:c>
      <x:c r="E87" s="37" t="str">
        <x:v>level_select</x:v>
      </x:c>
      <x:c r="F87" s="37" t="str">
        <x:v>root</x:v>
      </x:c>
      <x:c r="G87" s="37" t="str"/>
      <x:c r="H87" s="37" t="str">
        <x:v>屏幕空间</x:v>
      </x:c>
      <x:c r="I87" s="37" t="str">
        <x:v>default</x:v>
      </x:c>
      <x:c r="J87" s="37" t="str">
        <x:v>跨分辨率</x:v>
      </x:c>
      <x:c r="K87" s="37" t="str">
        <x:v>程序占位</x:v>
      </x:c>
      <x:c r="L87" s="37" t="str">
        <x:v>P2</x:v>
      </x:c>
      <x:c r="M87" s="37" t="str">
        <x:v>v001</x:v>
      </x:c>
      <x:c r="N87" s="37" t="str">
        <x:v>1280×720 基准；九宫格/矢量优先</x:v>
      </x:c>
      <x:c r="O87" s="37" t="str"/>
      <x:c r="P87" s="37" t="str">
        <x:v>src/ui/LevelSelectMenu.gd</x:v>
      </x:c>
      <x:c r="Q87" s="37" t="str"/>
      <x:c r="R87" s="37" t="str">
        <x:f>LOWER(TRIM(C87)&amp;"|"&amp;TRIM(D87)&amp;"|"&amp;TRIM(E87)&amp;"|"&amp;TRIM(F87)&amp;"|"&amp;TRIM(H87)&amp;"|"&amp;TRIM(I87))</x:f>
        <x:v>ui|screen|level_select|root|屏幕空间|default</x:v>
      </x:c>
      <x:c r="S87" s="37" t="str">
        <x:f>IF(A87="","",IF(COUNTIF($R$6:$R$162,R87)&gt;1,"重复","唯一"))</x:f>
        <x:v>唯一</x:v>
      </x:c>
      <x:c r="T87" s="37" t="str"/>
      <x:c r="U87" s="37" t="str">
        <x:v>待分配</x:v>
      </x:c>
      <x:c r="V87" s="54" t="n">
        <x:v>46224</x:v>
      </x:c>
      <x:c r="W87" s="37" t="str">
        <x:v>原创/待确认</x:v>
      </x:c>
      <x:c r="X87" s="37" t="str">
        <x:v>先建组件库，再做页面，避免每页重复画按钮/面板</x:v>
      </x:c>
    </x:row>
    <x:row r="88">
      <x:c r="A88" s="37" t="str">
        <x:v>UI-SCREEN-VAULT</x:v>
      </x:c>
      <x:c r="B88" s="37" t="str">
        <x:v>保险柜</x:v>
      </x:c>
      <x:c r="C88" s="37" t="str">
        <x:v>UI</x:v>
      </x:c>
      <x:c r="D88" s="37" t="str">
        <x:v>screen</x:v>
      </x:c>
      <x:c r="E88" s="37" t="str">
        <x:v>vault</x:v>
      </x:c>
      <x:c r="F88" s="37" t="str">
        <x:v>root</x:v>
      </x:c>
      <x:c r="G88" s="37" t="str"/>
      <x:c r="H88" s="37" t="str">
        <x:v>屏幕空间</x:v>
      </x:c>
      <x:c r="I88" s="37" t="str">
        <x:v>default</x:v>
      </x:c>
      <x:c r="J88" s="37" t="str">
        <x:v>跨分辨率</x:v>
      </x:c>
      <x:c r="K88" s="37" t="str">
        <x:v>程序占位</x:v>
      </x:c>
      <x:c r="L88" s="37" t="str">
        <x:v>P2</x:v>
      </x:c>
      <x:c r="M88" s="37" t="str">
        <x:v>v001</x:v>
      </x:c>
      <x:c r="N88" s="37" t="str">
        <x:v>1280×720 基准；九宫格/矢量优先</x:v>
      </x:c>
      <x:c r="O88" s="37" t="str"/>
      <x:c r="P88" s="37" t="str">
        <x:v>src/ui/VaultMenu.gd</x:v>
      </x:c>
      <x:c r="Q88" s="37" t="str"/>
      <x:c r="R88" s="37" t="str">
        <x:f>LOWER(TRIM(C88)&amp;"|"&amp;TRIM(D88)&amp;"|"&amp;TRIM(E88)&amp;"|"&amp;TRIM(F88)&amp;"|"&amp;TRIM(H88)&amp;"|"&amp;TRIM(I88))</x:f>
        <x:v>ui|screen|vault|root|屏幕空间|default</x:v>
      </x:c>
      <x:c r="S88" s="37" t="str">
        <x:f>IF(A88="","",IF(COUNTIF($R$6:$R$162,R88)&gt;1,"重复","唯一"))</x:f>
        <x:v>唯一</x:v>
      </x:c>
      <x:c r="T88" s="37" t="str"/>
      <x:c r="U88" s="37" t="str">
        <x:v>待分配</x:v>
      </x:c>
      <x:c r="V88" s="54" t="n">
        <x:v>46224</x:v>
      </x:c>
      <x:c r="W88" s="37" t="str">
        <x:v>原创/待确认</x:v>
      </x:c>
      <x:c r="X88" s="37" t="str">
        <x:v>先建组件库，再做页面，避免每页重复画按钮/面板</x:v>
      </x:c>
    </x:row>
    <x:row r="89">
      <x:c r="A89" s="37" t="str">
        <x:v>UI-SCREEN-MONSTER-ARCHIVE</x:v>
      </x:c>
      <x:c r="B89" s="37" t="str">
        <x:v>怪物档案</x:v>
      </x:c>
      <x:c r="C89" s="37" t="str">
        <x:v>UI</x:v>
      </x:c>
      <x:c r="D89" s="37" t="str">
        <x:v>screen</x:v>
      </x:c>
      <x:c r="E89" s="37" t="str">
        <x:v>monster_archive</x:v>
      </x:c>
      <x:c r="F89" s="37" t="str">
        <x:v>root</x:v>
      </x:c>
      <x:c r="G89" s="37" t="str"/>
      <x:c r="H89" s="37" t="str">
        <x:v>屏幕空间</x:v>
      </x:c>
      <x:c r="I89" s="37" t="str">
        <x:v>default</x:v>
      </x:c>
      <x:c r="J89" s="37" t="str">
        <x:v>跨分辨率</x:v>
      </x:c>
      <x:c r="K89" s="37" t="str">
        <x:v>程序占位</x:v>
      </x:c>
      <x:c r="L89" s="37" t="str">
        <x:v>P2</x:v>
      </x:c>
      <x:c r="M89" s="37" t="str">
        <x:v>v001</x:v>
      </x:c>
      <x:c r="N89" s="37" t="str">
        <x:v>1280×720 基准；九宫格/矢量优先</x:v>
      </x:c>
      <x:c r="O89" s="37" t="str"/>
      <x:c r="P89" s="37" t="str">
        <x:v>src/ui/MonsterArchiveMenu.gd</x:v>
      </x:c>
      <x:c r="Q89" s="37" t="str"/>
      <x:c r="R89" s="37" t="str">
        <x:f>LOWER(TRIM(C89)&amp;"|"&amp;TRIM(D89)&amp;"|"&amp;TRIM(E89)&amp;"|"&amp;TRIM(F89)&amp;"|"&amp;TRIM(H89)&amp;"|"&amp;TRIM(I89))</x:f>
        <x:v>ui|screen|monster_archive|root|屏幕空间|default</x:v>
      </x:c>
      <x:c r="S89" s="37" t="str">
        <x:f>IF(A89="","",IF(COUNTIF($R$6:$R$162,R89)&gt;1,"重复","唯一"))</x:f>
        <x:v>唯一</x:v>
      </x:c>
      <x:c r="T89" s="37" t="str"/>
      <x:c r="U89" s="37" t="str">
        <x:v>待分配</x:v>
      </x:c>
      <x:c r="V89" s="54" t="n">
        <x:v>46224</x:v>
      </x:c>
      <x:c r="W89" s="37" t="str">
        <x:v>原创/待确认</x:v>
      </x:c>
      <x:c r="X89" s="37" t="str">
        <x:v>先建组件库，再做页面，避免每页重复画按钮/面板</x:v>
      </x:c>
    </x:row>
    <x:row r="90">
      <x:c r="A90" s="37" t="str">
        <x:v>UI-SCREEN-BASE-MENU</x:v>
      </x:c>
      <x:c r="B90" s="37" t="str">
        <x:v>基地菜单</x:v>
      </x:c>
      <x:c r="C90" s="37" t="str">
        <x:v>UI</x:v>
      </x:c>
      <x:c r="D90" s="37" t="str">
        <x:v>screen</x:v>
      </x:c>
      <x:c r="E90" s="37" t="str">
        <x:v>base_menu</x:v>
      </x:c>
      <x:c r="F90" s="37" t="str">
        <x:v>root</x:v>
      </x:c>
      <x:c r="G90" s="37" t="str"/>
      <x:c r="H90" s="37" t="str">
        <x:v>屏幕空间</x:v>
      </x:c>
      <x:c r="I90" s="37" t="str">
        <x:v>default</x:v>
      </x:c>
      <x:c r="J90" s="37" t="str">
        <x:v>跨分辨率</x:v>
      </x:c>
      <x:c r="K90" s="37" t="str">
        <x:v>程序占位</x:v>
      </x:c>
      <x:c r="L90" s="37" t="str">
        <x:v>P2</x:v>
      </x:c>
      <x:c r="M90" s="37" t="str">
        <x:v>v001</x:v>
      </x:c>
      <x:c r="N90" s="37" t="str">
        <x:v>1280×720 基准；九宫格/矢量优先</x:v>
      </x:c>
      <x:c r="O90" s="37" t="str"/>
      <x:c r="P90" s="37" t="str">
        <x:v>src/ui/BaseMenu.gd</x:v>
      </x:c>
      <x:c r="Q90" s="37" t="str"/>
      <x:c r="R90" s="37" t="str">
        <x:f>LOWER(TRIM(C90)&amp;"|"&amp;TRIM(D90)&amp;"|"&amp;TRIM(E90)&amp;"|"&amp;TRIM(F90)&amp;"|"&amp;TRIM(H90)&amp;"|"&amp;TRIM(I90))</x:f>
        <x:v>ui|screen|base_menu|root|屏幕空间|default</x:v>
      </x:c>
      <x:c r="S90" s="37" t="str">
        <x:f>IF(A90="","",IF(COUNTIF($R$6:$R$162,R90)&gt;1,"重复","唯一"))</x:f>
        <x:v>唯一</x:v>
      </x:c>
      <x:c r="T90" s="37" t="str"/>
      <x:c r="U90" s="37" t="str">
        <x:v>待分配</x:v>
      </x:c>
      <x:c r="V90" s="54" t="n">
        <x:v>46224</x:v>
      </x:c>
      <x:c r="W90" s="37" t="str">
        <x:v>原创/待确认</x:v>
      </x:c>
      <x:c r="X90" s="37" t="str">
        <x:v>先建组件库，再做页面，避免每页重复画按钮/面板</x:v>
      </x:c>
    </x:row>
    <x:row r="91">
      <x:c r="A91" s="37" t="str">
        <x:v>UI-SCREEN-MOBILE-CONTROLS</x:v>
      </x:c>
      <x:c r="B91" s="37" t="str">
        <x:v>移动端控制</x:v>
      </x:c>
      <x:c r="C91" s="37" t="str">
        <x:v>UI</x:v>
      </x:c>
      <x:c r="D91" s="37" t="str">
        <x:v>screen</x:v>
      </x:c>
      <x:c r="E91" s="37" t="str">
        <x:v>mobile_controls</x:v>
      </x:c>
      <x:c r="F91" s="37" t="str">
        <x:v>root</x:v>
      </x:c>
      <x:c r="G91" s="37" t="str"/>
      <x:c r="H91" s="37" t="str">
        <x:v>屏幕空间</x:v>
      </x:c>
      <x:c r="I91" s="37" t="str">
        <x:v>default</x:v>
      </x:c>
      <x:c r="J91" s="37" t="str">
        <x:v>跨分辨率</x:v>
      </x:c>
      <x:c r="K91" s="37" t="str">
        <x:v>程序占位</x:v>
      </x:c>
      <x:c r="L91" s="37" t="str">
        <x:v>P2</x:v>
      </x:c>
      <x:c r="M91" s="37" t="str">
        <x:v>v001</x:v>
      </x:c>
      <x:c r="N91" s="37" t="str">
        <x:v>1280×720 基准；九宫格/矢量优先</x:v>
      </x:c>
      <x:c r="O91" s="37" t="str"/>
      <x:c r="P91" s="37" t="str">
        <x:v>src/ui/MobileControls.gd</x:v>
      </x:c>
      <x:c r="Q91" s="37" t="str"/>
      <x:c r="R91" s="37" t="str">
        <x:f>LOWER(TRIM(C91)&amp;"|"&amp;TRIM(D91)&amp;"|"&amp;TRIM(E91)&amp;"|"&amp;TRIM(F91)&amp;"|"&amp;TRIM(H91)&amp;"|"&amp;TRIM(I91))</x:f>
        <x:v>ui|screen|mobile_controls|root|屏幕空间|default</x:v>
      </x:c>
      <x:c r="S91" s="37" t="str">
        <x:f>IF(A91="","",IF(COUNTIF($R$6:$R$162,R91)&gt;1,"重复","唯一"))</x:f>
        <x:v>唯一</x:v>
      </x:c>
      <x:c r="T91" s="37" t="str"/>
      <x:c r="U91" s="37" t="str">
        <x:v>待分配</x:v>
      </x:c>
      <x:c r="V91" s="54" t="n">
        <x:v>46224</x:v>
      </x:c>
      <x:c r="W91" s="37" t="str">
        <x:v>原创/待确认</x:v>
      </x:c>
      <x:c r="X91" s="37" t="str">
        <x:v>先建组件库，再做页面，避免每页重复画按钮/面板</x:v>
      </x:c>
    </x:row>
    <x:row r="92">
      <x:c r="A92" s="37" t="str">
        <x:v>VFX-EXPLOSION</x:v>
      </x:c>
      <x:c r="B92" s="37" t="str">
        <x:v>爆炸</x:v>
      </x:c>
      <x:c r="C92" s="37" t="str">
        <x:v>特效</x:v>
      </x:c>
      <x:c r="D92" s="37" t="str">
        <x:v>gameplay_vfx</x:v>
      </x:c>
      <x:c r="E92" s="37" t="str">
        <x:v>explosion</x:v>
      </x:c>
      <x:c r="F92" s="37" t="str">
        <x:v>root</x:v>
      </x:c>
      <x:c r="G92" s="37" t="str"/>
      <x:c r="H92" s="37" t="str">
        <x:v>顶视/屏幕空间</x:v>
      </x:c>
      <x:c r="I92" s="37" t="str">
        <x:v>default</x:v>
      </x:c>
      <x:c r="J92" s="37" t="str">
        <x:v>跨武器/跨场景</x:v>
      </x:c>
      <x:c r="K92" s="37" t="str">
        <x:v>程序占位</x:v>
      </x:c>
      <x:c r="L92" s="37" t="str">
        <x:v>P1</x:v>
      </x:c>
      <x:c r="M92" s="37" t="str">
        <x:v>v001</x:v>
      </x:c>
      <x:c r="N92" s="37" t="str">
        <x:v>粒子或 8–16 帧序列</x:v>
      </x:c>
      <x:c r="O92" s="37" t="str"/>
      <x:c r="P92" s="37" t="str">
        <x:v>scenes/ExplosionEffect.tscn</x:v>
      </x:c>
      <x:c r="Q92" s="37" t="str"/>
      <x:c r="R92" s="37" t="str">
        <x:f>LOWER(TRIM(C92)&amp;"|"&amp;TRIM(D92)&amp;"|"&amp;TRIM(E92)&amp;"|"&amp;TRIM(F92)&amp;"|"&amp;TRIM(H92)&amp;"|"&amp;TRIM(I92))</x:f>
        <x:v>特效|gameplay_vfx|explosion|root|顶视/屏幕空间|default</x:v>
      </x:c>
      <x:c r="S92" s="37" t="str">
        <x:f>IF(A92="","",IF(COUNTIF($R$6:$R$162,R92)&gt;1,"重复","唯一"))</x:f>
        <x:v>唯一</x:v>
      </x:c>
      <x:c r="T92" s="37" t="str"/>
      <x:c r="U92" s="37" t="str">
        <x:v>待分配</x:v>
      </x:c>
      <x:c r="V92" s="54" t="n">
        <x:v>46224</x:v>
      </x:c>
      <x:c r="W92" s="37" t="str">
        <x:v>原创/待确认</x:v>
      </x:c>
      <x:c r="X92" s="37" t="str">
        <x:v>颜色/尺寸作参数变体，禁止复制整套</x:v>
      </x:c>
    </x:row>
    <x:row r="93">
      <x:c r="A93" s="37" t="str">
        <x:v>VFX-MUZZLE-FLASH</x:v>
      </x:c>
      <x:c r="B93" s="37" t="str">
        <x:v>枪口火焰</x:v>
      </x:c>
      <x:c r="C93" s="37" t="str">
        <x:v>特效</x:v>
      </x:c>
      <x:c r="D93" s="37" t="str">
        <x:v>gameplay_vfx</x:v>
      </x:c>
      <x:c r="E93" s="37" t="str">
        <x:v>muzzle_flash</x:v>
      </x:c>
      <x:c r="F93" s="37" t="str">
        <x:v>root</x:v>
      </x:c>
      <x:c r="G93" s="37" t="str"/>
      <x:c r="H93" s="37" t="str">
        <x:v>顶视/屏幕空间</x:v>
      </x:c>
      <x:c r="I93" s="37" t="str">
        <x:v>default</x:v>
      </x:c>
      <x:c r="J93" s="37" t="str">
        <x:v>跨武器/跨场景</x:v>
      </x:c>
      <x:c r="K93" s="37" t="str">
        <x:v>程序占位</x:v>
      </x:c>
      <x:c r="L93" s="37" t="str">
        <x:v>P1</x:v>
      </x:c>
      <x:c r="M93" s="37" t="str">
        <x:v>v001</x:v>
      </x:c>
      <x:c r="N93" s="37" t="str">
        <x:v>粒子或 8–16 帧序列</x:v>
      </x:c>
      <x:c r="O93" s="37" t="str"/>
      <x:c r="P93" s="37" t="str">
        <x:v>src/weapon/WeaponDisplay.gd</x:v>
      </x:c>
      <x:c r="Q93" s="37" t="str"/>
      <x:c r="R93" s="37" t="str">
        <x:f>LOWER(TRIM(C93)&amp;"|"&amp;TRIM(D93)&amp;"|"&amp;TRIM(E93)&amp;"|"&amp;TRIM(F93)&amp;"|"&amp;TRIM(H93)&amp;"|"&amp;TRIM(I93))</x:f>
        <x:v>特效|gameplay_vfx|muzzle_flash|root|顶视/屏幕空间|default</x:v>
      </x:c>
      <x:c r="S93" s="37" t="str">
        <x:f>IF(A93="","",IF(COUNTIF($R$6:$R$162,R93)&gt;1,"重复","唯一"))</x:f>
        <x:v>唯一</x:v>
      </x:c>
      <x:c r="T93" s="37" t="str"/>
      <x:c r="U93" s="37" t="str">
        <x:v>待分配</x:v>
      </x:c>
      <x:c r="V93" s="54" t="n">
        <x:v>46224</x:v>
      </x:c>
      <x:c r="W93" s="37" t="str">
        <x:v>原创/待确认</x:v>
      </x:c>
      <x:c r="X93" s="37" t="str">
        <x:v>颜色/尺寸作参数变体，禁止复制整套</x:v>
      </x:c>
    </x:row>
    <x:row r="94">
      <x:c r="A94" s="37" t="str">
        <x:v>VFX-DAMAGE-NUMBER</x:v>
      </x:c>
      <x:c r="B94" s="37" t="str">
        <x:v>伤害数字</x:v>
      </x:c>
      <x:c r="C94" s="37" t="str">
        <x:v>特效</x:v>
      </x:c>
      <x:c r="D94" s="37" t="str">
        <x:v>gameplay_vfx</x:v>
      </x:c>
      <x:c r="E94" s="37" t="str">
        <x:v>damage_number</x:v>
      </x:c>
      <x:c r="F94" s="37" t="str">
        <x:v>root</x:v>
      </x:c>
      <x:c r="G94" s="37" t="str"/>
      <x:c r="H94" s="37" t="str">
        <x:v>顶视/屏幕空间</x:v>
      </x:c>
      <x:c r="I94" s="37" t="str">
        <x:v>default</x:v>
      </x:c>
      <x:c r="J94" s="37" t="str">
        <x:v>跨武器/跨场景</x:v>
      </x:c>
      <x:c r="K94" s="37" t="str">
        <x:v>程序占位</x:v>
      </x:c>
      <x:c r="L94" s="37" t="str">
        <x:v>P2</x:v>
      </x:c>
      <x:c r="M94" s="37" t="str">
        <x:v>v001</x:v>
      </x:c>
      <x:c r="N94" s="37" t="str">
        <x:v>粒子或 8–16 帧序列</x:v>
      </x:c>
      <x:c r="O94" s="37" t="str"/>
      <x:c r="P94" s="37" t="str">
        <x:v>scenes/DamageNumber.tscn</x:v>
      </x:c>
      <x:c r="Q94" s="37" t="str"/>
      <x:c r="R94" s="37" t="str">
        <x:f>LOWER(TRIM(C94)&amp;"|"&amp;TRIM(D94)&amp;"|"&amp;TRIM(E94)&amp;"|"&amp;TRIM(F94)&amp;"|"&amp;TRIM(H94)&amp;"|"&amp;TRIM(I94))</x:f>
        <x:v>特效|gameplay_vfx|damage_number|root|顶视/屏幕空间|default</x:v>
      </x:c>
      <x:c r="S94" s="37" t="str">
        <x:f>IF(A94="","",IF(COUNTIF($R$6:$R$162,R94)&gt;1,"重复","唯一"))</x:f>
        <x:v>唯一</x:v>
      </x:c>
      <x:c r="T94" s="37" t="str"/>
      <x:c r="U94" s="37" t="str">
        <x:v>待分配</x:v>
      </x:c>
      <x:c r="V94" s="54" t="n">
        <x:v>46224</x:v>
      </x:c>
      <x:c r="W94" s="37" t="str">
        <x:v>原创/待确认</x:v>
      </x:c>
      <x:c r="X94" s="37" t="str">
        <x:v>颜色/尺寸作参数变体，禁止复制整套</x:v>
      </x:c>
    </x:row>
    <x:row r="95">
      <x:c r="A95" s="37" t="str">
        <x:v>VFX-SPARK</x:v>
      </x:c>
      <x:c r="B95" s="37" t="str">
        <x:v>火花</x:v>
      </x:c>
      <x:c r="C95" s="37" t="str">
        <x:v>特效</x:v>
      </x:c>
      <x:c r="D95" s="37" t="str">
        <x:v>gameplay_vfx</x:v>
      </x:c>
      <x:c r="E95" s="37" t="str">
        <x:v>spark</x:v>
      </x:c>
      <x:c r="F95" s="37" t="str">
        <x:v>root</x:v>
      </x:c>
      <x:c r="G95" s="37" t="str"/>
      <x:c r="H95" s="37" t="str">
        <x:v>顶视/屏幕空间</x:v>
      </x:c>
      <x:c r="I95" s="37" t="str">
        <x:v>default</x:v>
      </x:c>
      <x:c r="J95" s="37" t="str">
        <x:v>跨武器/跨场景</x:v>
      </x:c>
      <x:c r="K95" s="37" t="str">
        <x:v>程序占位</x:v>
      </x:c>
      <x:c r="L95" s="37" t="str">
        <x:v>P2</x:v>
      </x:c>
      <x:c r="M95" s="37" t="str">
        <x:v>v001</x:v>
      </x:c>
      <x:c r="N95" s="37" t="str">
        <x:v>粒子或 8–16 帧序列</x:v>
      </x:c>
      <x:c r="O95" s="37" t="str"/>
      <x:c r="P95" s="37" t="str">
        <x:v>src/fx/SparkParticles.gd</x:v>
      </x:c>
      <x:c r="Q95" s="37" t="str"/>
      <x:c r="R95" s="37" t="str">
        <x:f>LOWER(TRIM(C95)&amp;"|"&amp;TRIM(D95)&amp;"|"&amp;TRIM(E95)&amp;"|"&amp;TRIM(F95)&amp;"|"&amp;TRIM(H95)&amp;"|"&amp;TRIM(I95))</x:f>
        <x:v>特效|gameplay_vfx|spark|root|顶视/屏幕空间|default</x:v>
      </x:c>
      <x:c r="S95" s="37" t="str">
        <x:f>IF(A95="","",IF(COUNTIF($R$6:$R$162,R95)&gt;1,"重复","唯一"))</x:f>
        <x:v>唯一</x:v>
      </x:c>
      <x:c r="T95" s="37" t="str"/>
      <x:c r="U95" s="37" t="str">
        <x:v>待分配</x:v>
      </x:c>
      <x:c r="V95" s="54" t="n">
        <x:v>46224</x:v>
      </x:c>
      <x:c r="W95" s="37" t="str">
        <x:v>原创/待确认</x:v>
      </x:c>
      <x:c r="X95" s="37" t="str">
        <x:v>颜色/尺寸作参数变体，禁止复制整套</x:v>
      </x:c>
    </x:row>
    <x:row r="96">
      <x:c r="A96" s="37" t="str">
        <x:v>VFX-ROOM-TRANSITION</x:v>
      </x:c>
      <x:c r="B96" s="37" t="str">
        <x:v>房间转场</x:v>
      </x:c>
      <x:c r="C96" s="37" t="str">
        <x:v>特效</x:v>
      </x:c>
      <x:c r="D96" s="37" t="str">
        <x:v>gameplay_vfx</x:v>
      </x:c>
      <x:c r="E96" s="37" t="str">
        <x:v>room_transition</x:v>
      </x:c>
      <x:c r="F96" s="37" t="str">
        <x:v>root</x:v>
      </x:c>
      <x:c r="G96" s="37" t="str"/>
      <x:c r="H96" s="37" t="str">
        <x:v>顶视/屏幕空间</x:v>
      </x:c>
      <x:c r="I96" s="37" t="str">
        <x:v>default</x:v>
      </x:c>
      <x:c r="J96" s="37" t="str">
        <x:v>跨武器/跨场景</x:v>
      </x:c>
      <x:c r="K96" s="37" t="str">
        <x:v>程序占位</x:v>
      </x:c>
      <x:c r="L96" s="37" t="str">
        <x:v>P2</x:v>
      </x:c>
      <x:c r="M96" s="37" t="str">
        <x:v>v001</x:v>
      </x:c>
      <x:c r="N96" s="37" t="str">
        <x:v>粒子或 8–16 帧序列</x:v>
      </x:c>
      <x:c r="O96" s="37" t="str"/>
      <x:c r="P96" s="37" t="str">
        <x:v>src/fx/RoomTransitionFX.gd</x:v>
      </x:c>
      <x:c r="Q96" s="37" t="str"/>
      <x:c r="R96" s="37" t="str">
        <x:f>LOWER(TRIM(C96)&amp;"|"&amp;TRIM(D96)&amp;"|"&amp;TRIM(E96)&amp;"|"&amp;TRIM(F96)&amp;"|"&amp;TRIM(H96)&amp;"|"&amp;TRIM(I96))</x:f>
        <x:v>特效|gameplay_vfx|room_transition|root|顶视/屏幕空间|default</x:v>
      </x:c>
      <x:c r="S96" s="37" t="str">
        <x:f>IF(A96="","",IF(COUNTIF($R$6:$R$162,R96)&gt;1,"重复","唯一"))</x:f>
        <x:v>唯一</x:v>
      </x:c>
      <x:c r="T96" s="37" t="str"/>
      <x:c r="U96" s="37" t="str">
        <x:v>待分配</x:v>
      </x:c>
      <x:c r="V96" s="54" t="n">
        <x:v>46224</x:v>
      </x:c>
      <x:c r="W96" s="37" t="str">
        <x:v>原创/待确认</x:v>
      </x:c>
      <x:c r="X96" s="37" t="str">
        <x:v>颜色/尺寸作参数变体，禁止复制整套</x:v>
      </x:c>
    </x:row>
    <x:row r="97">
      <x:c r="A97" s="37" t="str">
        <x:v>VFX-HEALTH-VIGNETTE</x:v>
      </x:c>
      <x:c r="B97" s="37" t="str">
        <x:v>低血暗角</x:v>
      </x:c>
      <x:c r="C97" s="37" t="str">
        <x:v>特效</x:v>
      </x:c>
      <x:c r="D97" s="37" t="str">
        <x:v>gameplay_vfx</x:v>
      </x:c>
      <x:c r="E97" s="37" t="str">
        <x:v>health_vignette</x:v>
      </x:c>
      <x:c r="F97" s="37" t="str">
        <x:v>root</x:v>
      </x:c>
      <x:c r="G97" s="37" t="str"/>
      <x:c r="H97" s="37" t="str">
        <x:v>顶视/屏幕空间</x:v>
      </x:c>
      <x:c r="I97" s="37" t="str">
        <x:v>default</x:v>
      </x:c>
      <x:c r="J97" s="37" t="str">
        <x:v>跨武器/跨场景</x:v>
      </x:c>
      <x:c r="K97" s="37" t="str">
        <x:v>原型已接入</x:v>
      </x:c>
      <x:c r="L97" s="37" t="str">
        <x:v>P2</x:v>
      </x:c>
      <x:c r="M97" s="37" t="str">
        <x:v>v001</x:v>
      </x:c>
      <x:c r="N97" s="37" t="str">
        <x:v>粒子或 8–16 帧序列</x:v>
      </x:c>
      <x:c r="O97" s="37" t="str">
        <x:v>scenes/Dungeon3D.tscn</x:v>
      </x:c>
      <x:c r="P97" s="37" t="str">
        <x:v>src/world3d/Dungeon3D.gd</x:v>
      </x:c>
      <x:c r="Q97" s="37" t="str"/>
      <x:c r="R97" s="37" t="str">
        <x:f>LOWER(TRIM(C97)&amp;"|"&amp;TRIM(D97)&amp;"|"&amp;TRIM(E97)&amp;"|"&amp;TRIM(F97)&amp;"|"&amp;TRIM(H97)&amp;"|"&amp;TRIM(I97))</x:f>
        <x:v>特效|gameplay_vfx|health_vignette|root|顶视/屏幕空间|default</x:v>
      </x:c>
      <x:c r="S97" s="37" t="str">
        <x:f>IF(A97="","",IF(COUNTIF($R$6:$R$162,R97)&gt;1,"重复","唯一"))</x:f>
        <x:v>唯一</x:v>
      </x:c>
      <x:c r="T97" s="37" t="str"/>
      <x:c r="U97" s="37" t="str">
        <x:v>待分配</x:v>
      </x:c>
      <x:c r="V97" s="54" t="n">
        <x:v>46225</x:v>
      </x:c>
      <x:c r="W97" s="37" t="str">
        <x:v>原创/待确认</x:v>
      </x:c>
      <x:c r="X97" s="37" t="str">
        <x:v>复用低血暗角身份；3D HUD低血时提高边缘强度，不复制第二套逻辑ID</x:v>
      </x:c>
    </x:row>
    <x:row r="98">
      <x:c r="A98" s="37" t="str">
        <x:v>VFX-VISIBILITY-LIGHT</x:v>
      </x:c>
      <x:c r="B98" s="37" t="str">
        <x:v>视野光锥</x:v>
      </x:c>
      <x:c r="C98" s="37" t="str">
        <x:v>特效</x:v>
      </x:c>
      <x:c r="D98" s="37" t="str">
        <x:v>gameplay_vfx</x:v>
      </x:c>
      <x:c r="E98" s="37" t="str">
        <x:v>visibility_light</x:v>
      </x:c>
      <x:c r="F98" s="37" t="str">
        <x:v>root</x:v>
      </x:c>
      <x:c r="G98" s="37" t="str"/>
      <x:c r="H98" s="37" t="str">
        <x:v>顶视/屏幕空间</x:v>
      </x:c>
      <x:c r="I98" s="37" t="str">
        <x:v>default</x:v>
      </x:c>
      <x:c r="J98" s="37" t="str">
        <x:v>跨武器/跨场景</x:v>
      </x:c>
      <x:c r="K98" s="37" t="str">
        <x:v>程序占位</x:v>
      </x:c>
      <x:c r="L98" s="37" t="str">
        <x:v>P2</x:v>
      </x:c>
      <x:c r="M98" s="37" t="str">
        <x:v>v001</x:v>
      </x:c>
      <x:c r="N98" s="37" t="str">
        <x:v>粒子或 8–16 帧序列</x:v>
      </x:c>
      <x:c r="O98" s="37" t="str"/>
      <x:c r="P98" s="37" t="str">
        <x:v>src/fx/VisibilityLight2D.gd</x:v>
      </x:c>
      <x:c r="Q98" s="37" t="str"/>
      <x:c r="R98" s="37" t="str">
        <x:f>LOWER(TRIM(C98)&amp;"|"&amp;TRIM(D98)&amp;"|"&amp;TRIM(E98)&amp;"|"&amp;TRIM(F98)&amp;"|"&amp;TRIM(H98)&amp;"|"&amp;TRIM(I98))</x:f>
        <x:v>特效|gameplay_vfx|visibility_light|root|顶视/屏幕空间|default</x:v>
      </x:c>
      <x:c r="S98" s="37" t="str">
        <x:f>IF(A98="","",IF(COUNTIF($R$6:$R$162,R98)&gt;1,"重复","唯一"))</x:f>
        <x:v>唯一</x:v>
      </x:c>
      <x:c r="T98" s="37" t="str"/>
      <x:c r="U98" s="37" t="str">
        <x:v>待分配</x:v>
      </x:c>
      <x:c r="V98" s="54" t="n">
        <x:v>46225</x:v>
      </x:c>
      <x:c r="W98" s="37" t="str">
        <x:v>原创/待确认</x:v>
      </x:c>
      <x:c r="X98" s="37" t="str">
        <x:v>2D视野表现根；3D真实判定与地面网格登记为 VFX-VISIBILITY-FIELD-3D，禁止用灯光替代</x:v>
      </x:c>
    </x:row>
    <x:row r="99">
      <x:c r="A99" s="37" t="str">
        <x:v>VFX-EXTRACTION-BEACON</x:v>
      </x:c>
      <x:c r="B99" s="37" t="str">
        <x:v>撤离信标效果</x:v>
      </x:c>
      <x:c r="C99" s="37" t="str">
        <x:v>特效</x:v>
      </x:c>
      <x:c r="D99" s="37" t="str">
        <x:v>gameplay_vfx</x:v>
      </x:c>
      <x:c r="E99" s="37" t="str">
        <x:v>extraction_beacon</x:v>
      </x:c>
      <x:c r="F99" s="37" t="str">
        <x:v>root</x:v>
      </x:c>
      <x:c r="G99" s="37" t="str"/>
      <x:c r="H99" s="37" t="str">
        <x:v>顶视/屏幕空间</x:v>
      </x:c>
      <x:c r="I99" s="37" t="str">
        <x:v>default</x:v>
      </x:c>
      <x:c r="J99" s="37" t="str">
        <x:v>跨武器/跨场景</x:v>
      </x:c>
      <x:c r="K99" s="37" t="str">
        <x:v>程序占位</x:v>
      </x:c>
      <x:c r="L99" s="37" t="str">
        <x:v>P2</x:v>
      </x:c>
      <x:c r="M99" s="37" t="str">
        <x:v>v001</x:v>
      </x:c>
      <x:c r="N99" s="37" t="str">
        <x:v>粒子或 8–16 帧序列</x:v>
      </x:c>
      <x:c r="O99" s="37" t="str"/>
      <x:c r="P99" s="37" t="str">
        <x:v>src/map/ExtractionDirector.gd</x:v>
      </x:c>
      <x:c r="Q99" s="37" t="str"/>
      <x:c r="R99" s="37" t="str">
        <x:f>LOWER(TRIM(C99)&amp;"|"&amp;TRIM(D99)&amp;"|"&amp;TRIM(E99)&amp;"|"&amp;TRIM(F99)&amp;"|"&amp;TRIM(H99)&amp;"|"&amp;TRIM(I99))</x:f>
        <x:v>特效|gameplay_vfx|extraction_beacon|root|顶视/屏幕空间|default</x:v>
      </x:c>
      <x:c r="S99" s="37" t="str">
        <x:f>IF(A99="","",IF(COUNTIF($R$6:$R$162,R99)&gt;1,"重复","唯一"))</x:f>
        <x:v>唯一</x:v>
      </x:c>
      <x:c r="T99" s="37" t="str"/>
      <x:c r="U99" s="37" t="str">
        <x:v>待分配</x:v>
      </x:c>
      <x:c r="V99" s="54" t="n">
        <x:v>46224</x:v>
      </x:c>
      <x:c r="W99" s="37" t="str">
        <x:v>原创/待确认</x:v>
      </x:c>
      <x:c r="X99" s="37" t="str">
        <x:v>颜色/尺寸作参数变体，禁止复制整套</x:v>
      </x:c>
    </x:row>
    <x:row r="100">
      <x:c r="A100" s="37" t="str">
        <x:v>AUD-BGM-WASTELAND</x:v>
      </x:c>
      <x:c r="B100" s="37" t="str">
        <x:v>末日荒野 BGM</x:v>
      </x:c>
      <x:c r="C100" s="37" t="str">
        <x:v>音频</x:v>
      </x:c>
      <x:c r="D100" s="37" t="str">
        <x:v>bgm</x:v>
      </x:c>
      <x:c r="E100" s="37" t="str">
        <x:v>bgm_wasteland</x:v>
      </x:c>
      <x:c r="F100" s="37" t="str">
        <x:v>root</x:v>
      </x:c>
      <x:c r="G100" s="37" t="str"/>
      <x:c r="H100" s="37" t="str">
        <x:v>不适用</x:v>
      </x:c>
      <x:c r="I100" s="37" t="str">
        <x:v>default</x:v>
      </x:c>
      <x:c r="J100" s="37" t="str">
        <x:v>按事件复用</x:v>
      </x:c>
      <x:c r="K100" s="37" t="str">
        <x:v>已完成</x:v>
      </x:c>
      <x:c r="L100" s="37" t="str">
        <x:v>P2</x:v>
      </x:c>
      <x:c r="M100" s="37" t="str">
        <x:v>v001</x:v>
      </x:c>
      <x:c r="N100" s="37" t="str">
        <x:v>循环 WAV/OGG</x:v>
      </x:c>
      <x:c r="O100" s="37" t="str"/>
      <x:c r="P100" s="37" t="str">
        <x:v>bgm_wasteland.wav</x:v>
      </x:c>
      <x:c r="Q100" s="37" t="str"/>
      <x:c r="R100" s="37" t="str">
        <x:f>LOWER(TRIM(C100)&amp;"|"&amp;TRIM(D100)&amp;"|"&amp;TRIM(E100)&amp;"|"&amp;TRIM(F100)&amp;"|"&amp;TRIM(H100)&amp;"|"&amp;TRIM(I100))</x:f>
        <x:v>音频|bgm|bgm_wasteland|root|不适用|default</x:v>
      </x:c>
      <x:c r="S100" s="37" t="str">
        <x:f>IF(A100="","",IF(COUNTIF($R$6:$R$162,R100)&gt;1,"重复","唯一"))</x:f>
        <x:v>唯一</x:v>
      </x:c>
      <x:c r="T100" s="37" t="str"/>
      <x:c r="U100" s="37" t="str">
        <x:v>待分配</x:v>
      </x:c>
      <x:c r="V100" s="54" t="n">
        <x:v>46224</x:v>
      </x:c>
      <x:c r="W100" s="37" t="str">
        <x:v>项目现有/待核对</x:v>
      </x:c>
      <x:c r="X100" s="37" t="str"/>
    </x:row>
    <x:row r="101">
      <x:c r="A101" s="37" t="str">
        <x:v>AUD-PISTOL-FIRE</x:v>
      </x:c>
      <x:c r="B101" s="37" t="str">
        <x:v>手枪射击</x:v>
      </x:c>
      <x:c r="C101" s="37" t="str">
        <x:v>音频</x:v>
      </x:c>
      <x:c r="D101" s="37" t="str">
        <x:v>sfx</x:v>
      </x:c>
      <x:c r="E101" s="37" t="str">
        <x:v>pistol_fire</x:v>
      </x:c>
      <x:c r="F101" s="37" t="str">
        <x:v>root</x:v>
      </x:c>
      <x:c r="G101" s="37" t="str"/>
      <x:c r="H101" s="37" t="str">
        <x:v>不适用</x:v>
      </x:c>
      <x:c r="I101" s="37" t="str">
        <x:v>default</x:v>
      </x:c>
      <x:c r="J101" s="37" t="str">
        <x:v>按事件复用</x:v>
      </x:c>
      <x:c r="K101" s="37" t="str">
        <x:v>待制作</x:v>
      </x:c>
      <x:c r="L101" s="37" t="str">
        <x:v>P2</x:v>
      </x:c>
      <x:c r="M101" s="37" t="str">
        <x:v>v001</x:v>
      </x:c>
      <x:c r="N101" s="37" t="str">
        <x:v>0.1–2.0s WAV/OGG</x:v>
      </x:c>
      <x:c r="O101" s="37" t="str"/>
      <x:c r="P101" s="37" t="str">
        <x:v>src/core/AudioManager.gd</x:v>
      </x:c>
      <x:c r="Q101" s="37" t="str"/>
      <x:c r="R101" s="37" t="str">
        <x:f>LOWER(TRIM(C101)&amp;"|"&amp;TRIM(D101)&amp;"|"&amp;TRIM(E101)&amp;"|"&amp;TRIM(F101)&amp;"|"&amp;TRIM(H101)&amp;"|"&amp;TRIM(I101))</x:f>
        <x:v>音频|sfx|pistol_fire|root|不适用|default</x:v>
      </x:c>
      <x:c r="S101" s="37" t="str">
        <x:f>IF(A101="","",IF(COUNTIF($R$6:$R$162,R101)&gt;1,"重复","唯一"))</x:f>
        <x:v>唯一</x:v>
      </x:c>
      <x:c r="T101" s="37" t="str"/>
      <x:c r="U101" s="37" t="str">
        <x:v>待分配</x:v>
      </x:c>
      <x:c r="V101" s="54" t="n">
        <x:v>46224</x:v>
      </x:c>
      <x:c r="W101" s="37" t="str">
        <x:v>原创/待确认</x:v>
      </x:c>
      <x:c r="X101" s="37" t="str"/>
    </x:row>
    <x:row r="102">
      <x:c r="A102" s="37" t="str">
        <x:v>AUD-RIFLE-FIRE</x:v>
      </x:c>
      <x:c r="B102" s="37" t="str">
        <x:v>步枪射击</x:v>
      </x:c>
      <x:c r="C102" s="37" t="str">
        <x:v>音频</x:v>
      </x:c>
      <x:c r="D102" s="37" t="str">
        <x:v>sfx</x:v>
      </x:c>
      <x:c r="E102" s="37" t="str">
        <x:v>rifle_fire</x:v>
      </x:c>
      <x:c r="F102" s="37" t="str">
        <x:v>root</x:v>
      </x:c>
      <x:c r="G102" s="37" t="str"/>
      <x:c r="H102" s="37" t="str">
        <x:v>不适用</x:v>
      </x:c>
      <x:c r="I102" s="37" t="str">
        <x:v>default</x:v>
      </x:c>
      <x:c r="J102" s="37" t="str">
        <x:v>按事件复用</x:v>
      </x:c>
      <x:c r="K102" s="37" t="str">
        <x:v>待制作</x:v>
      </x:c>
      <x:c r="L102" s="37" t="str">
        <x:v>P2</x:v>
      </x:c>
      <x:c r="M102" s="37" t="str">
        <x:v>v001</x:v>
      </x:c>
      <x:c r="N102" s="37" t="str">
        <x:v>0.1–2.0s WAV/OGG</x:v>
      </x:c>
      <x:c r="O102" s="37" t="str"/>
      <x:c r="P102" s="37" t="str">
        <x:v>src/core/AudioManager.gd</x:v>
      </x:c>
      <x:c r="Q102" s="37" t="str"/>
      <x:c r="R102" s="37" t="str">
        <x:f>LOWER(TRIM(C102)&amp;"|"&amp;TRIM(D102)&amp;"|"&amp;TRIM(E102)&amp;"|"&amp;TRIM(F102)&amp;"|"&amp;TRIM(H102)&amp;"|"&amp;TRIM(I102))</x:f>
        <x:v>音频|sfx|rifle_fire|root|不适用|default</x:v>
      </x:c>
      <x:c r="S102" s="37" t="str">
        <x:f>IF(A102="","",IF(COUNTIF($R$6:$R$162,R102)&gt;1,"重复","唯一"))</x:f>
        <x:v>唯一</x:v>
      </x:c>
      <x:c r="T102" s="37" t="str"/>
      <x:c r="U102" s="37" t="str">
        <x:v>待分配</x:v>
      </x:c>
      <x:c r="V102" s="54" t="n">
        <x:v>46224</x:v>
      </x:c>
      <x:c r="W102" s="37" t="str">
        <x:v>原创/待确认</x:v>
      </x:c>
      <x:c r="X102" s="37" t="str"/>
    </x:row>
    <x:row r="103">
      <x:c r="A103" s="37" t="str">
        <x:v>AUD-SHOTGUN-FIRE</x:v>
      </x:c>
      <x:c r="B103" s="37" t="str">
        <x:v>霰弹枪射击</x:v>
      </x:c>
      <x:c r="C103" s="37" t="str">
        <x:v>音频</x:v>
      </x:c>
      <x:c r="D103" s="37" t="str">
        <x:v>sfx</x:v>
      </x:c>
      <x:c r="E103" s="37" t="str">
        <x:v>shotgun_fire</x:v>
      </x:c>
      <x:c r="F103" s="37" t="str">
        <x:v>root</x:v>
      </x:c>
      <x:c r="G103" s="37" t="str"/>
      <x:c r="H103" s="37" t="str">
        <x:v>不适用</x:v>
      </x:c>
      <x:c r="I103" s="37" t="str">
        <x:v>default</x:v>
      </x:c>
      <x:c r="J103" s="37" t="str">
        <x:v>按事件复用</x:v>
      </x:c>
      <x:c r="K103" s="37" t="str">
        <x:v>待制作</x:v>
      </x:c>
      <x:c r="L103" s="37" t="str">
        <x:v>P2</x:v>
      </x:c>
      <x:c r="M103" s="37" t="str">
        <x:v>v001</x:v>
      </x:c>
      <x:c r="N103" s="37" t="str">
        <x:v>0.1–2.0s WAV/OGG</x:v>
      </x:c>
      <x:c r="O103" s="37" t="str"/>
      <x:c r="P103" s="37" t="str">
        <x:v>src/core/AudioManager.gd</x:v>
      </x:c>
      <x:c r="Q103" s="37" t="str"/>
      <x:c r="R103" s="37" t="str">
        <x:f>LOWER(TRIM(C103)&amp;"|"&amp;TRIM(D103)&amp;"|"&amp;TRIM(E103)&amp;"|"&amp;TRIM(F103)&amp;"|"&amp;TRIM(H103)&amp;"|"&amp;TRIM(I103))</x:f>
        <x:v>音频|sfx|shotgun_fire|root|不适用|default</x:v>
      </x:c>
      <x:c r="S103" s="37" t="str">
        <x:f>IF(A103="","",IF(COUNTIF($R$6:$R$162,R103)&gt;1,"重复","唯一"))</x:f>
        <x:v>唯一</x:v>
      </x:c>
      <x:c r="T103" s="37" t="str"/>
      <x:c r="U103" s="37" t="str">
        <x:v>待分配</x:v>
      </x:c>
      <x:c r="V103" s="54" t="n">
        <x:v>46224</x:v>
      </x:c>
      <x:c r="W103" s="37" t="str">
        <x:v>原创/待确认</x:v>
      </x:c>
      <x:c r="X103" s="37" t="str"/>
    </x:row>
    <x:row r="104">
      <x:c r="A104" s="37" t="str">
        <x:v>AUD-SMG-FIRE</x:v>
      </x:c>
      <x:c r="B104" s="37" t="str">
        <x:v>机枪射击</x:v>
      </x:c>
      <x:c r="C104" s="37" t="str">
        <x:v>音频</x:v>
      </x:c>
      <x:c r="D104" s="37" t="str">
        <x:v>sfx</x:v>
      </x:c>
      <x:c r="E104" s="37" t="str">
        <x:v>smg_fire</x:v>
      </x:c>
      <x:c r="F104" s="37" t="str">
        <x:v>root</x:v>
      </x:c>
      <x:c r="G104" s="37" t="str"/>
      <x:c r="H104" s="37" t="str">
        <x:v>不适用</x:v>
      </x:c>
      <x:c r="I104" s="37" t="str">
        <x:v>default</x:v>
      </x:c>
      <x:c r="J104" s="37" t="str">
        <x:v>按事件复用</x:v>
      </x:c>
      <x:c r="K104" s="37" t="str">
        <x:v>待制作</x:v>
      </x:c>
      <x:c r="L104" s="37" t="str">
        <x:v>P2</x:v>
      </x:c>
      <x:c r="M104" s="37" t="str">
        <x:v>v001</x:v>
      </x:c>
      <x:c r="N104" s="37" t="str">
        <x:v>0.1–2.0s WAV/OGG</x:v>
      </x:c>
      <x:c r="O104" s="37" t="str"/>
      <x:c r="P104" s="37" t="str">
        <x:v>src/core/AudioManager.gd</x:v>
      </x:c>
      <x:c r="Q104" s="37" t="str"/>
      <x:c r="R104" s="37" t="str">
        <x:f>LOWER(TRIM(C104)&amp;"|"&amp;TRIM(D104)&amp;"|"&amp;TRIM(E104)&amp;"|"&amp;TRIM(F104)&amp;"|"&amp;TRIM(H104)&amp;"|"&amp;TRIM(I104))</x:f>
        <x:v>音频|sfx|smg_fire|root|不适用|default</x:v>
      </x:c>
      <x:c r="S104" s="37" t="str">
        <x:f>IF(A104="","",IF(COUNTIF($R$6:$R$162,R104)&gt;1,"重复","唯一"))</x:f>
        <x:v>唯一</x:v>
      </x:c>
      <x:c r="T104" s="37" t="str"/>
      <x:c r="U104" s="37" t="str">
        <x:v>待分配</x:v>
      </x:c>
      <x:c r="V104" s="54" t="n">
        <x:v>46224</x:v>
      </x:c>
      <x:c r="W104" s="37" t="str">
        <x:v>原创/待确认</x:v>
      </x:c>
      <x:c r="X104" s="37" t="str"/>
    </x:row>
    <x:row r="105">
      <x:c r="A105" s="37" t="str">
        <x:v>AUD-SNIPER-FIRE</x:v>
      </x:c>
      <x:c r="B105" s="37" t="str">
        <x:v>狙击射击</x:v>
      </x:c>
      <x:c r="C105" s="37" t="str">
        <x:v>音频</x:v>
      </x:c>
      <x:c r="D105" s="37" t="str">
        <x:v>sfx</x:v>
      </x:c>
      <x:c r="E105" s="37" t="str">
        <x:v>sniper_fire</x:v>
      </x:c>
      <x:c r="F105" s="37" t="str">
        <x:v>root</x:v>
      </x:c>
      <x:c r="G105" s="37" t="str"/>
      <x:c r="H105" s="37" t="str">
        <x:v>不适用</x:v>
      </x:c>
      <x:c r="I105" s="37" t="str">
        <x:v>default</x:v>
      </x:c>
      <x:c r="J105" s="37" t="str">
        <x:v>按事件复用</x:v>
      </x:c>
      <x:c r="K105" s="37" t="str">
        <x:v>待制作</x:v>
      </x:c>
      <x:c r="L105" s="37" t="str">
        <x:v>P2</x:v>
      </x:c>
      <x:c r="M105" s="37" t="str">
        <x:v>v001</x:v>
      </x:c>
      <x:c r="N105" s="37" t="str">
        <x:v>0.1–2.0s WAV/OGG</x:v>
      </x:c>
      <x:c r="O105" s="37" t="str"/>
      <x:c r="P105" s="37" t="str">
        <x:v>src/core/AudioManager.gd</x:v>
      </x:c>
      <x:c r="Q105" s="37" t="str"/>
      <x:c r="R105" s="37" t="str">
        <x:f>LOWER(TRIM(C105)&amp;"|"&amp;TRIM(D105)&amp;"|"&amp;TRIM(E105)&amp;"|"&amp;TRIM(F105)&amp;"|"&amp;TRIM(H105)&amp;"|"&amp;TRIM(I105))</x:f>
        <x:v>音频|sfx|sniper_fire|root|不适用|default</x:v>
      </x:c>
      <x:c r="S105" s="37" t="str">
        <x:f>IF(A105="","",IF(COUNTIF($R$6:$R$162,R105)&gt;1,"重复","唯一"))</x:f>
        <x:v>唯一</x:v>
      </x:c>
      <x:c r="T105" s="37" t="str"/>
      <x:c r="U105" s="37" t="str">
        <x:v>待分配</x:v>
      </x:c>
      <x:c r="V105" s="54" t="n">
        <x:v>46224</x:v>
      </x:c>
      <x:c r="W105" s="37" t="str">
        <x:v>原创/待确认</x:v>
      </x:c>
      <x:c r="X105" s="37" t="str"/>
    </x:row>
    <x:row r="106">
      <x:c r="A106" s="37" t="str">
        <x:v>AUD-PLAYER-HIT</x:v>
      </x:c>
      <x:c r="B106" s="37" t="str">
        <x:v>玩家受击</x:v>
      </x:c>
      <x:c r="C106" s="37" t="str">
        <x:v>音频</x:v>
      </x:c>
      <x:c r="D106" s="37" t="str">
        <x:v>sfx</x:v>
      </x:c>
      <x:c r="E106" s="37" t="str">
        <x:v>player_hit</x:v>
      </x:c>
      <x:c r="F106" s="37" t="str">
        <x:v>root</x:v>
      </x:c>
      <x:c r="G106" s="37" t="str"/>
      <x:c r="H106" s="37" t="str">
        <x:v>不适用</x:v>
      </x:c>
      <x:c r="I106" s="37" t="str">
        <x:v>default</x:v>
      </x:c>
      <x:c r="J106" s="37" t="str">
        <x:v>按事件复用</x:v>
      </x:c>
      <x:c r="K106" s="37" t="str">
        <x:v>待制作</x:v>
      </x:c>
      <x:c r="L106" s="37" t="str">
        <x:v>P2</x:v>
      </x:c>
      <x:c r="M106" s="37" t="str">
        <x:v>v001</x:v>
      </x:c>
      <x:c r="N106" s="37" t="str">
        <x:v>0.1–2.0s WAV/OGG</x:v>
      </x:c>
      <x:c r="O106" s="37" t="str"/>
      <x:c r="P106" s="37" t="str">
        <x:v>src/core/AudioManager.gd</x:v>
      </x:c>
      <x:c r="Q106" s="37" t="str"/>
      <x:c r="R106" s="37" t="str">
        <x:f>LOWER(TRIM(C106)&amp;"|"&amp;TRIM(D106)&amp;"|"&amp;TRIM(E106)&amp;"|"&amp;TRIM(F106)&amp;"|"&amp;TRIM(H106)&amp;"|"&amp;TRIM(I106))</x:f>
        <x:v>音频|sfx|player_hit|root|不适用|default</x:v>
      </x:c>
      <x:c r="S106" s="37" t="str">
        <x:f>IF(A106="","",IF(COUNTIF($R$6:$R$162,R106)&gt;1,"重复","唯一"))</x:f>
        <x:v>唯一</x:v>
      </x:c>
      <x:c r="T106" s="37" t="str"/>
      <x:c r="U106" s="37" t="str">
        <x:v>待分配</x:v>
      </x:c>
      <x:c r="V106" s="54" t="n">
        <x:v>46224</x:v>
      </x:c>
      <x:c r="W106" s="37" t="str">
        <x:v>原创/待确认</x:v>
      </x:c>
      <x:c r="X106" s="37" t="str"/>
    </x:row>
    <x:row r="107">
      <x:c r="A107" s="37" t="str">
        <x:v>AUD-PLAYER-DASH</x:v>
      </x:c>
      <x:c r="B107" s="37" t="str">
        <x:v>玩家冲刺</x:v>
      </x:c>
      <x:c r="C107" s="37" t="str">
        <x:v>音频</x:v>
      </x:c>
      <x:c r="D107" s="37" t="str">
        <x:v>sfx</x:v>
      </x:c>
      <x:c r="E107" s="37" t="str">
        <x:v>player_dash</x:v>
      </x:c>
      <x:c r="F107" s="37" t="str">
        <x:v>root</x:v>
      </x:c>
      <x:c r="G107" s="37" t="str"/>
      <x:c r="H107" s="37" t="str">
        <x:v>不适用</x:v>
      </x:c>
      <x:c r="I107" s="37" t="str">
        <x:v>default</x:v>
      </x:c>
      <x:c r="J107" s="37" t="str">
        <x:v>按事件复用</x:v>
      </x:c>
      <x:c r="K107" s="37" t="str">
        <x:v>待制作</x:v>
      </x:c>
      <x:c r="L107" s="37" t="str">
        <x:v>P2</x:v>
      </x:c>
      <x:c r="M107" s="37" t="str">
        <x:v>v001</x:v>
      </x:c>
      <x:c r="N107" s="37" t="str">
        <x:v>0.1–2.0s WAV/OGG</x:v>
      </x:c>
      <x:c r="O107" s="37" t="str"/>
      <x:c r="P107" s="37" t="str">
        <x:v>src/core/AudioManager.gd</x:v>
      </x:c>
      <x:c r="Q107" s="37" t="str"/>
      <x:c r="R107" s="37" t="str">
        <x:f>LOWER(TRIM(C107)&amp;"|"&amp;TRIM(D107)&amp;"|"&amp;TRIM(E107)&amp;"|"&amp;TRIM(F107)&amp;"|"&amp;TRIM(H107)&amp;"|"&amp;TRIM(I107))</x:f>
        <x:v>音频|sfx|player_dash|root|不适用|default</x:v>
      </x:c>
      <x:c r="S107" s="37" t="str">
        <x:f>IF(A107="","",IF(COUNTIF($R$6:$R$162,R107)&gt;1,"重复","唯一"))</x:f>
        <x:v>唯一</x:v>
      </x:c>
      <x:c r="T107" s="37" t="str"/>
      <x:c r="U107" s="37" t="str">
        <x:v>待分配</x:v>
      </x:c>
      <x:c r="V107" s="54" t="n">
        <x:v>46224</x:v>
      </x:c>
      <x:c r="W107" s="37" t="str">
        <x:v>原创/待确认</x:v>
      </x:c>
      <x:c r="X107" s="37" t="str"/>
    </x:row>
    <x:row r="108">
      <x:c r="A108" s="37" t="str">
        <x:v>AUD-ENEMY-HIT</x:v>
      </x:c>
      <x:c r="B108" s="37" t="str">
        <x:v>敌人受击</x:v>
      </x:c>
      <x:c r="C108" s="37" t="str">
        <x:v>音频</x:v>
      </x:c>
      <x:c r="D108" s="37" t="str">
        <x:v>sfx</x:v>
      </x:c>
      <x:c r="E108" s="37" t="str">
        <x:v>enemy_hit</x:v>
      </x:c>
      <x:c r="F108" s="37" t="str">
        <x:v>root</x:v>
      </x:c>
      <x:c r="G108" s="37" t="str"/>
      <x:c r="H108" s="37" t="str">
        <x:v>不适用</x:v>
      </x:c>
      <x:c r="I108" s="37" t="str">
        <x:v>default</x:v>
      </x:c>
      <x:c r="J108" s="37" t="str">
        <x:v>按事件复用</x:v>
      </x:c>
      <x:c r="K108" s="37" t="str">
        <x:v>待制作</x:v>
      </x:c>
      <x:c r="L108" s="37" t="str">
        <x:v>P2</x:v>
      </x:c>
      <x:c r="M108" s="37" t="str">
        <x:v>v001</x:v>
      </x:c>
      <x:c r="N108" s="37" t="str">
        <x:v>0.1–2.0s WAV/OGG</x:v>
      </x:c>
      <x:c r="O108" s="37" t="str"/>
      <x:c r="P108" s="37" t="str">
        <x:v>src/core/AudioManager.gd</x:v>
      </x:c>
      <x:c r="Q108" s="37" t="str"/>
      <x:c r="R108" s="37" t="str">
        <x:f>LOWER(TRIM(C108)&amp;"|"&amp;TRIM(D108)&amp;"|"&amp;TRIM(E108)&amp;"|"&amp;TRIM(F108)&amp;"|"&amp;TRIM(H108)&amp;"|"&amp;TRIM(I108))</x:f>
        <x:v>音频|sfx|enemy_hit|root|不适用|default</x:v>
      </x:c>
      <x:c r="S108" s="37" t="str">
        <x:f>IF(A108="","",IF(COUNTIF($R$6:$R$162,R108)&gt;1,"重复","唯一"))</x:f>
        <x:v>唯一</x:v>
      </x:c>
      <x:c r="T108" s="37" t="str"/>
      <x:c r="U108" s="37" t="str">
        <x:v>待分配</x:v>
      </x:c>
      <x:c r="V108" s="54" t="n">
        <x:v>46224</x:v>
      </x:c>
      <x:c r="W108" s="37" t="str">
        <x:v>原创/待确认</x:v>
      </x:c>
      <x:c r="X108" s="37" t="str"/>
    </x:row>
    <x:row r="109">
      <x:c r="A109" s="37" t="str">
        <x:v>AUD-ENEMY-DIE</x:v>
      </x:c>
      <x:c r="B109" s="37" t="str">
        <x:v>敌人死亡</x:v>
      </x:c>
      <x:c r="C109" s="37" t="str">
        <x:v>音频</x:v>
      </x:c>
      <x:c r="D109" s="37" t="str">
        <x:v>sfx</x:v>
      </x:c>
      <x:c r="E109" s="37" t="str">
        <x:v>enemy_die</x:v>
      </x:c>
      <x:c r="F109" s="37" t="str">
        <x:v>root</x:v>
      </x:c>
      <x:c r="G109" s="37" t="str"/>
      <x:c r="H109" s="37" t="str">
        <x:v>不适用</x:v>
      </x:c>
      <x:c r="I109" s="37" t="str">
        <x:v>default</x:v>
      </x:c>
      <x:c r="J109" s="37" t="str">
        <x:v>按事件复用</x:v>
      </x:c>
      <x:c r="K109" s="37" t="str">
        <x:v>待制作</x:v>
      </x:c>
      <x:c r="L109" s="37" t="str">
        <x:v>P2</x:v>
      </x:c>
      <x:c r="M109" s="37" t="str">
        <x:v>v001</x:v>
      </x:c>
      <x:c r="N109" s="37" t="str">
        <x:v>0.1–2.0s WAV/OGG</x:v>
      </x:c>
      <x:c r="O109" s="37" t="str"/>
      <x:c r="P109" s="37" t="str">
        <x:v>src/core/AudioManager.gd</x:v>
      </x:c>
      <x:c r="Q109" s="37" t="str"/>
      <x:c r="R109" s="37" t="str">
        <x:f>LOWER(TRIM(C109)&amp;"|"&amp;TRIM(D109)&amp;"|"&amp;TRIM(E109)&amp;"|"&amp;TRIM(F109)&amp;"|"&amp;TRIM(H109)&amp;"|"&amp;TRIM(I109))</x:f>
        <x:v>音频|sfx|enemy_die|root|不适用|default</x:v>
      </x:c>
      <x:c r="S109" s="37" t="str">
        <x:f>IF(A109="","",IF(COUNTIF($R$6:$R$162,R109)&gt;1,"重复","唯一"))</x:f>
        <x:v>唯一</x:v>
      </x:c>
      <x:c r="T109" s="37" t="str"/>
      <x:c r="U109" s="37" t="str">
        <x:v>待分配</x:v>
      </x:c>
      <x:c r="V109" s="54" t="n">
        <x:v>46224</x:v>
      </x:c>
      <x:c r="W109" s="37" t="str">
        <x:v>原创/待确认</x:v>
      </x:c>
      <x:c r="X109" s="37" t="str"/>
    </x:row>
    <x:row r="110">
      <x:c r="A110" s="37" t="str">
        <x:v>AUD-RELOAD</x:v>
      </x:c>
      <x:c r="B110" s="37" t="str">
        <x:v>换弹</x:v>
      </x:c>
      <x:c r="C110" s="37" t="str">
        <x:v>音频</x:v>
      </x:c>
      <x:c r="D110" s="37" t="str">
        <x:v>sfx</x:v>
      </x:c>
      <x:c r="E110" s="37" t="str">
        <x:v>reload</x:v>
      </x:c>
      <x:c r="F110" s="37" t="str">
        <x:v>root</x:v>
      </x:c>
      <x:c r="G110" s="37" t="str"/>
      <x:c r="H110" s="37" t="str">
        <x:v>不适用</x:v>
      </x:c>
      <x:c r="I110" s="37" t="str">
        <x:v>default</x:v>
      </x:c>
      <x:c r="J110" s="37" t="str">
        <x:v>按事件复用</x:v>
      </x:c>
      <x:c r="K110" s="37" t="str">
        <x:v>待制作</x:v>
      </x:c>
      <x:c r="L110" s="37" t="str">
        <x:v>P2</x:v>
      </x:c>
      <x:c r="M110" s="37" t="str">
        <x:v>v001</x:v>
      </x:c>
      <x:c r="N110" s="37" t="str">
        <x:v>0.1–2.0s WAV/OGG</x:v>
      </x:c>
      <x:c r="O110" s="37" t="str"/>
      <x:c r="P110" s="37" t="str">
        <x:v>src/core/AudioManager.gd</x:v>
      </x:c>
      <x:c r="Q110" s="37" t="str"/>
      <x:c r="R110" s="37" t="str">
        <x:f>LOWER(TRIM(C110)&amp;"|"&amp;TRIM(D110)&amp;"|"&amp;TRIM(E110)&amp;"|"&amp;TRIM(F110)&amp;"|"&amp;TRIM(H110)&amp;"|"&amp;TRIM(I110))</x:f>
        <x:v>音频|sfx|reload|root|不适用|default</x:v>
      </x:c>
      <x:c r="S110" s="37" t="str">
        <x:f>IF(A110="","",IF(COUNTIF($R$6:$R$162,R110)&gt;1,"重复","唯一"))</x:f>
        <x:v>唯一</x:v>
      </x:c>
      <x:c r="T110" s="37" t="str"/>
      <x:c r="U110" s="37" t="str">
        <x:v>待分配</x:v>
      </x:c>
      <x:c r="V110" s="54" t="n">
        <x:v>46224</x:v>
      </x:c>
      <x:c r="W110" s="37" t="str">
        <x:v>原创/待确认</x:v>
      </x:c>
      <x:c r="X110" s="37" t="str"/>
    </x:row>
    <x:row r="111">
      <x:c r="A111" s="37" t="str">
        <x:v>AUD-EXTRACTION-START</x:v>
      </x:c>
      <x:c r="B111" s="37" t="str">
        <x:v>撤离启动</x:v>
      </x:c>
      <x:c r="C111" s="37" t="str">
        <x:v>音频</x:v>
      </x:c>
      <x:c r="D111" s="37" t="str">
        <x:v>sfx</x:v>
      </x:c>
      <x:c r="E111" s="37" t="str">
        <x:v>extraction_start</x:v>
      </x:c>
      <x:c r="F111" s="37" t="str">
        <x:v>root</x:v>
      </x:c>
      <x:c r="G111" s="37" t="str"/>
      <x:c r="H111" s="37" t="str">
        <x:v>不适用</x:v>
      </x:c>
      <x:c r="I111" s="37" t="str">
        <x:v>default</x:v>
      </x:c>
      <x:c r="J111" s="37" t="str">
        <x:v>按事件复用</x:v>
      </x:c>
      <x:c r="K111" s="37" t="str">
        <x:v>待制作</x:v>
      </x:c>
      <x:c r="L111" s="37" t="str">
        <x:v>P2</x:v>
      </x:c>
      <x:c r="M111" s="37" t="str">
        <x:v>v001</x:v>
      </x:c>
      <x:c r="N111" s="37" t="str">
        <x:v>0.1–2.0s WAV/OGG</x:v>
      </x:c>
      <x:c r="O111" s="37" t="str"/>
      <x:c r="P111" s="37" t="str">
        <x:v>src/core/AudioManager.gd</x:v>
      </x:c>
      <x:c r="Q111" s="37" t="str"/>
      <x:c r="R111" s="37" t="str">
        <x:f>LOWER(TRIM(C111)&amp;"|"&amp;TRIM(D111)&amp;"|"&amp;TRIM(E111)&amp;"|"&amp;TRIM(F111)&amp;"|"&amp;TRIM(H111)&amp;"|"&amp;TRIM(I111))</x:f>
        <x:v>音频|sfx|extraction_start|root|不适用|default</x:v>
      </x:c>
      <x:c r="S111" s="37" t="str">
        <x:f>IF(A111="","",IF(COUNTIF($R$6:$R$162,R111)&gt;1,"重复","唯一"))</x:f>
        <x:v>唯一</x:v>
      </x:c>
      <x:c r="T111" s="37" t="str"/>
      <x:c r="U111" s="37" t="str">
        <x:v>待分配</x:v>
      </x:c>
      <x:c r="V111" s="54" t="n">
        <x:v>46224</x:v>
      </x:c>
      <x:c r="W111" s="37" t="str">
        <x:v>原创/待确认</x:v>
      </x:c>
      <x:c r="X111" s="37" t="str"/>
    </x:row>
    <x:row r="112">
      <x:c r="A112" s="37" t="str">
        <x:v>AUD-EXTRACTION-DONE</x:v>
      </x:c>
      <x:c r="B112" s="37" t="str">
        <x:v>撤离完成</x:v>
      </x:c>
      <x:c r="C112" s="37" t="str">
        <x:v>音频</x:v>
      </x:c>
      <x:c r="D112" s="37" t="str">
        <x:v>sfx</x:v>
      </x:c>
      <x:c r="E112" s="37" t="str">
        <x:v>extraction_done</x:v>
      </x:c>
      <x:c r="F112" s="37" t="str">
        <x:v>root</x:v>
      </x:c>
      <x:c r="G112" s="37" t="str"/>
      <x:c r="H112" s="37" t="str">
        <x:v>不适用</x:v>
      </x:c>
      <x:c r="I112" s="37" t="str">
        <x:v>default</x:v>
      </x:c>
      <x:c r="J112" s="37" t="str">
        <x:v>按事件复用</x:v>
      </x:c>
      <x:c r="K112" s="37" t="str">
        <x:v>待制作</x:v>
      </x:c>
      <x:c r="L112" s="37" t="str">
        <x:v>P2</x:v>
      </x:c>
      <x:c r="M112" s="37" t="str">
        <x:v>v001</x:v>
      </x:c>
      <x:c r="N112" s="37" t="str">
        <x:v>0.1–2.0s WAV/OGG</x:v>
      </x:c>
      <x:c r="O112" s="37" t="str"/>
      <x:c r="P112" s="37" t="str">
        <x:v>src/core/AudioManager.gd</x:v>
      </x:c>
      <x:c r="Q112" s="37" t="str"/>
      <x:c r="R112" s="37" t="str">
        <x:f>LOWER(TRIM(C112)&amp;"|"&amp;TRIM(D112)&amp;"|"&amp;TRIM(E112)&amp;"|"&amp;TRIM(F112)&amp;"|"&amp;TRIM(H112)&amp;"|"&amp;TRIM(I112))</x:f>
        <x:v>音频|sfx|extraction_done|root|不适用|default</x:v>
      </x:c>
      <x:c r="S112" s="37" t="str">
        <x:f>IF(A112="","",IF(COUNTIF($R$6:$R$162,R112)&gt;1,"重复","唯一"))</x:f>
        <x:v>唯一</x:v>
      </x:c>
      <x:c r="T112" s="37" t="str"/>
      <x:c r="U112" s="37" t="str">
        <x:v>待分配</x:v>
      </x:c>
      <x:c r="V112" s="54" t="n">
        <x:v>46224</x:v>
      </x:c>
      <x:c r="W112" s="37" t="str">
        <x:v>原创/待确认</x:v>
      </x:c>
      <x:c r="X112" s="37" t="str"/>
    </x:row>
    <x:row r="113" ht="155" customHeight="1">
      <x:c r="A113" s="70" t="str">
        <x:v>CHR-PLY-CAPSULE01-3D</x:v>
      </x:c>
      <x:c r="B113" s="70" t="str">
        <x:v>方形猫角色3D根组件</x:v>
      </x:c>
      <x:c r="C113" s="70" t="str">
        <x:v>角色</x:v>
      </x:c>
      <x:c r="D113" s="70" t="str">
        <x:v>player</x:v>
      </x:c>
      <x:c r="E113" s="70" t="str">
        <x:v>player_capsule01</x:v>
      </x:c>
      <x:c r="F113" s="70" t="str">
        <x:v>root_3d</x:v>
      </x:c>
      <x:c r="G113" s="70" t="str">
        <x:v>CHR-PLY-CAPSULE01</x:v>
      </x:c>
      <x:c r="H113" s="70" t="str">
        <x:v>俯视3D</x:v>
      </x:c>
      <x:c r="I113" s="70" t="str">
        <x:v>default</x:v>
      </x:c>
      <x:c r="J113" s="70" t="str">
        <x:v>3D玩家场景</x:v>
      </x:c>
      <x:c r="K113" s="70" t="str">
        <x:v>原型已接入</x:v>
      </x:c>
      <x:c r="L113" s="70" t="str">
        <x:v>P0</x:v>
      </x:c>
      <x:c r="M113" s="70" t="str">
        <x:v>v001</x:v>
      </x:c>
      <x:c r="N113" s="70" t="str">
        <x:v>PackedScene/程序材质</x:v>
      </x:c>
      <x:c r="O113" s="70" t="str">
        <x:v>assets/art/characters/player/chr_player_capsule01_3d/chr_player_capsule01_root_top3d_v001.tscn</x:v>
      </x:c>
      <x:c r="P113" s="70" t="str">
        <x:v>scenes/Player3D.tscn</x:v>
      </x:c>
      <x:c r="Q113" s="70" t="str">
        <x:v>胶囊;防护服;3D;模块角色</x:v>
      </x:c>
      <x:c r="R113" s="70" t="str">
        <x:f>LOWER(TRIM(C113)&amp;"|"&amp;TRIM(D113)&amp;"|"&amp;TRIM(E113)&amp;"|"&amp;TRIM(F113)&amp;"|"&amp;TRIM(H113)&amp;"|"&amp;TRIM(I113))</x:f>
        <x:v>角色|player|player_capsule01|root_3d|俯视3d|default</x:v>
      </x:c>
      <x:c r="S113" s="70" t="str">
        <x:f>IF(A113="","",IF(COUNTIF($R$6:$R$162,R113)&gt;1,"重复","唯一"))</x:f>
        <x:v>唯一</x:v>
      </x:c>
      <x:c r="T113" s="70" t="str">
        <x:v>0a15194d68ecc0490ecd3910d2e51901a006ec6ac28e093e2aba48c6f67fec64</x:v>
      </x:c>
      <x:c r="U113" s="70" t="str">
        <x:v>Codex</x:v>
      </x:c>
      <x:c r="V113" s="71" t="n">
        <x:v>46233</x:v>
      </x:c>
      <x:c r="W113" s="70" t="str">
        <x:v>原创程序几何</x:v>
      </x:c>
      <x:c r="X113" s="70" t="str">
        <x:v>PH49：原先项目外shellstorm2-art/blender中的三份角色Blender源已按稳定命名归档到assets/art/characters/player/chr_player_capsule01_3d/source/，SHA-256与原件一致；运行时场景路径不变，后续不再依赖仓库外资产。</x:v>
      </x:c>
    </x:row>
    <x:row r="114">
      <x:c r="A114" t="str">
        <x:v>CHR-PLY-CAPSULE01-BODY-3D</x:v>
      </x:c>
      <x:c r="B114" t="str">
        <x:v>方形猫角色3D身躯</x:v>
      </x:c>
      <x:c r="C114" t="str">
        <x:v>角色</x:v>
      </x:c>
      <x:c r="D114" t="str">
        <x:v>player</x:v>
      </x:c>
      <x:c r="E114" t="str">
        <x:v>player_capsule01</x:v>
      </x:c>
      <x:c r="F114" t="str">
        <x:v>body_3d</x:v>
      </x:c>
      <x:c r="G114" t="str">
        <x:v>CHR-PLY-CAPSULE01-3D</x:v>
      </x:c>
      <x:c r="H114" t="str">
        <x:v>俯视3D</x:v>
      </x:c>
      <x:c r="I114" t="str">
        <x:v>default</x:v>
      </x:c>
      <x:c r="J114" t="str">
        <x:v>3D玩家场景</x:v>
      </x:c>
      <x:c r="K114" t="str">
        <x:v>原型已接入</x:v>
      </x:c>
      <x:c r="L114" t="str">
        <x:v>P0</x:v>
      </x:c>
      <x:c r="M114" t="str">
        <x:v>v001</x:v>
      </x:c>
      <x:c r="N114" t="str">
        <x:v>CapsuleMesh节点</x:v>
      </x:c>
      <x:c r="O114" t="str">
        <x:v>assets/art/characters/player/chr_player_capsule01_3d/chr_player_capsule01_root_top3d_v001.tscn</x:v>
      </x:c>
      <x:c r="P114" t="str">
        <x:v>VisualRoot/Body</x:v>
      </x:c>
      <x:c r="Q114" t="str">
        <x:v>身躯;防护服;无腿;3D</x:v>
      </x:c>
      <x:c r="R114" t="str">
        <x:f>LOWER(TRIM(C114)&amp;"|"&amp;TRIM(D114)&amp;"|"&amp;TRIM(E114)&amp;"|"&amp;TRIM(F114)&amp;"|"&amp;TRIM(H114)&amp;"|"&amp;TRIM(I114))</x:f>
        <x:v>角色|player|player_capsule01|body_3d|俯视3d|default</x:v>
      </x:c>
      <x:c r="S114" t="str">
        <x:f>IF(A114="","",IF(COUNTIF($R$6:$R$162,R114)&gt;1,"重复","唯一"))</x:f>
        <x:v>唯一</x:v>
      </x:c>
      <x:c r="T114" t="str">
        <x:v>0a15194d68ecc0490ecd3910d2e51901a006ec6ac28e093e2aba48c6f67fec64</x:v>
      </x:c>
      <x:c r="U114" t="str">
        <x:v>Codex</x:v>
      </x:c>
      <x:c r="V114" s="62" t="str">
        <x:v>2026-07-25</x:v>
      </x:c>
      <x:c r="W114" t="str">
        <x:v>原创程序几何</x:v>
      </x:c>
      <x:c r="X114" t="str">
        <x:v>VisualRoot/Body：BoxMesh身躯、BellyPatch、圆形TailStub；PH33方形猫原型；verify_player3d_diy_flow / gallery flow / visual PASS</x:v>
      </x:c>
    </x:row>
    <x:row r="115">
      <x:c r="A115" t="str">
        <x:v>CHR-PLY-CAPSULE01-HEAD-3D</x:v>
      </x:c>
      <x:c r="B115" t="str">
        <x:v>方形猫角色3D头部</x:v>
      </x:c>
      <x:c r="C115" t="str">
        <x:v>角色</x:v>
      </x:c>
      <x:c r="D115" t="str">
        <x:v>player</x:v>
      </x:c>
      <x:c r="E115" t="str">
        <x:v>player_capsule01</x:v>
      </x:c>
      <x:c r="F115" t="str">
        <x:v>head_3d</x:v>
      </x:c>
      <x:c r="G115" t="str">
        <x:v>CHR-PLY-CAPSULE01-3D</x:v>
      </x:c>
      <x:c r="H115" t="str">
        <x:v>俯视3D</x:v>
      </x:c>
      <x:c r="I115" t="str">
        <x:v>default</x:v>
      </x:c>
      <x:c r="J115" t="str">
        <x:v>3D玩家场景</x:v>
      </x:c>
      <x:c r="K115" t="str">
        <x:v>原型已接入</x:v>
      </x:c>
      <x:c r="L115" t="str">
        <x:v>P0</x:v>
      </x:c>
      <x:c r="M115" t="str">
        <x:v>v001</x:v>
      </x:c>
      <x:c r="N115" t="str">
        <x:v>SphereMesh节点</x:v>
      </x:c>
      <x:c r="O115" t="str">
        <x:v>assets/art/characters/player/chr_player_capsule01_3d/chr_player_capsule01_root_top3d_v001.tscn</x:v>
      </x:c>
      <x:c r="P115" t="str">
        <x:v>VisualRoot/Head</x:v>
      </x:c>
      <x:c r="Q115" t="str">
        <x:v>头壳;单传感器;3D</x:v>
      </x:c>
      <x:c r="R115" t="str">
        <x:f>LOWER(TRIM(C115)&amp;"|"&amp;TRIM(D115)&amp;"|"&amp;TRIM(E115)&amp;"|"&amp;TRIM(F115)&amp;"|"&amp;TRIM(H115)&amp;"|"&amp;TRIM(I115))</x:f>
        <x:v>角色|player|player_capsule01|head_3d|俯视3d|default</x:v>
      </x:c>
      <x:c r="S115" t="str">
        <x:f>IF(A115="","",IF(COUNTIF($R$6:$R$162,R115)&gt;1,"重复","唯一"))</x:f>
        <x:v>唯一</x:v>
      </x:c>
      <x:c r="T115" t="str">
        <x:v>0a15194d68ecc0490ecd3910d2e51901a006ec6ac28e093e2aba48c6f67fec64</x:v>
      </x:c>
      <x:c r="U115" t="str">
        <x:v>Codex</x:v>
      </x:c>
      <x:c r="V115" s="62" t="str">
        <x:v>2026-07-25</x:v>
      </x:c>
      <x:c r="W115" t="str">
        <x:v>原创程序几何</x:v>
      </x:c>
      <x:c r="X115" t="str">
        <x:v>VisualRoot/Head：BoxMesh方头；Eyes双矩形眼；Ears双三角耳；PH33方形猫原型；verify_player3d_diy_flow / gallery flow / visual PASS</x:v>
      </x:c>
    </x:row>
    <x:row r="116">
      <x:c r="A116" t="str">
        <x:v>CHR-PLY-CAPSULE01-HAND-3D</x:v>
      </x:c>
      <x:c r="B116" t="str">
        <x:v>方形猫角色3D唯一手部</x:v>
      </x:c>
      <x:c r="C116" t="str">
        <x:v>角色</x:v>
      </x:c>
      <x:c r="D116" t="str">
        <x:v>player</x:v>
      </x:c>
      <x:c r="E116" t="str">
        <x:v>player_capsule01</x:v>
      </x:c>
      <x:c r="F116" t="str">
        <x:v>hand_3d</x:v>
      </x:c>
      <x:c r="G116" t="str">
        <x:v>CHR-PLY-CAPSULE01-3D</x:v>
      </x:c>
      <x:c r="H116" t="str">
        <x:v>俯视3D</x:v>
      </x:c>
      <x:c r="I116" t="str">
        <x:v>default</x:v>
      </x:c>
      <x:c r="J116" t="str">
        <x:v>3D玩家场景</x:v>
      </x:c>
      <x:c r="K116" t="str">
        <x:v>原型已接入</x:v>
      </x:c>
      <x:c r="L116" t="str">
        <x:v>P0</x:v>
      </x:c>
      <x:c r="M116" t="str">
        <x:v>v001</x:v>
      </x:c>
      <x:c r="N116" t="str">
        <x:v>SphereMesh节点</x:v>
      </x:c>
      <x:c r="O116" t="str">
        <x:v>assets/art/characters/player/chr_player_capsule01_3d/chr_player_capsule01_root_top3d_v001.tscn</x:v>
      </x:c>
      <x:c r="P116" t="str">
        <x:v>VisualRoot/Hand</x:v>
      </x:c>
      <x:c r="Q116" t="str">
        <x:v>单手;悬浮手;握持;3D</x:v>
      </x:c>
      <x:c r="R116" t="str">
        <x:f>LOWER(TRIM(C116)&amp;"|"&amp;TRIM(D116)&amp;"|"&amp;TRIM(E116)&amp;"|"&amp;TRIM(F116)&amp;"|"&amp;TRIM(H116)&amp;"|"&amp;TRIM(I116))</x:f>
        <x:v>角色|player|player_capsule01|hand_3d|俯视3d|default</x:v>
      </x:c>
      <x:c r="S116" t="str">
        <x:f>IF(A116="","",IF(COUNTIF($R$6:$R$162,R116)&gt;1,"重复","唯一"))</x:f>
        <x:v>唯一</x:v>
      </x:c>
      <x:c r="T116" t="str">
        <x:v>0a15194d68ecc0490ecd3910d2e51901a006ec6ac28e093e2aba48c6f67fec64</x:v>
      </x:c>
      <x:c r="U116" t="str">
        <x:v>Codex</x:v>
      </x:c>
      <x:c r="V116" s="62" t="str">
        <x:v>2026-07-25</x:v>
      </x:c>
      <x:c r="W116" t="str">
        <x:v>原创程序几何</x:v>
      </x:c>
      <x:c r="X116" t="str">
        <x:v>VisualRoot/Hand：单个BoxMesh悬浮握持手；全动作与weapon_socket同相；PH33方形猫原型；verify_player3d_diy_flow / gallery flow / visual PASS</x:v>
      </x:c>
    </x:row>
    <x:row r="117">
      <x:c r="A117" t="str">
        <x:v>CHR-PLY-CAPSULE01-SCARF-3D</x:v>
      </x:c>
      <x:c r="B117" t="str">
        <x:v>旧3D红围巾兼容节点</x:v>
      </x:c>
      <x:c r="C117" t="str">
        <x:v>角色</x:v>
      </x:c>
      <x:c r="D117" t="str">
        <x:v>player</x:v>
      </x:c>
      <x:c r="E117" t="str">
        <x:v>player_capsule01</x:v>
      </x:c>
      <x:c r="F117" t="str">
        <x:v>scarf_3d</x:v>
      </x:c>
      <x:c r="G117" t="str">
        <x:v>CHR-PLY-CAPSULE01-3D</x:v>
      </x:c>
      <x:c r="H117" t="str">
        <x:v>俯视3D</x:v>
      </x:c>
      <x:c r="I117" t="str">
        <x:v>default</x:v>
      </x:c>
      <x:c r="J117" t="str">
        <x:v>3D玩家场景</x:v>
      </x:c>
      <x:c r="K117" t="str">
        <x:v>原型已接入</x:v>
      </x:c>
      <x:c r="L117" t="str">
        <x:v>P0</x:v>
      </x:c>
      <x:c r="M117" t="str">
        <x:v>v001</x:v>
      </x:c>
      <x:c r="N117" t="str">
        <x:v>Cylinder+Box节点</x:v>
      </x:c>
      <x:c r="O117" t="str">
        <x:v>assets/art/characters/player/chr_player_capsule01_3d/chr_player_capsule01_root_top3d_v001.tscn</x:v>
      </x:c>
      <x:c r="P117" t="str">
        <x:v>VisualRoot/Scarf</x:v>
      </x:c>
      <x:c r="Q117" t="str">
        <x:v>红围巾;身份配件;3D</x:v>
      </x:c>
      <x:c r="R117" t="str">
        <x:f>LOWER(TRIM(C117)&amp;"|"&amp;TRIM(D117)&amp;"|"&amp;TRIM(E117)&amp;"|"&amp;TRIM(F117)&amp;"|"&amp;TRIM(H117)&amp;"|"&amp;TRIM(I117))</x:f>
        <x:v>角色|player|player_capsule01|scarf_3d|俯视3d|default</x:v>
      </x:c>
      <x:c r="S117" t="str">
        <x:f>IF(A117="","",IF(COUNTIF($R$6:$R$162,R117)&gt;1,"重复","唯一"))</x:f>
        <x:v>唯一</x:v>
      </x:c>
      <x:c r="T117" t="str">
        <x:v>0a15194d68ecc0490ecd3910d2e51901a006ec6ac28e093e2aba48c6f67fec64</x:v>
      </x:c>
      <x:c r="U117" t="str">
        <x:v>Codex</x:v>
      </x:c>
      <x:c r="V117" s="62" t="str">
        <x:v>2026-07-25</x:v>
      </x:c>
      <x:c r="W117" t="str">
        <x:v>原创程序几何</x:v>
      </x:c>
      <x:c r="X117" t="str">
        <x:v>VisualRoot/Scarf默认隐藏，仅为旧场景兼容；当前四主模块不计入scarf；PH33方形猫原型；verify_player3d_diy_flow / gallery flow / visual PASS</x:v>
      </x:c>
    </x:row>
    <x:row r="118">
      <x:c r="A118" t="str">
        <x:v>CHR-PLY-CAPSULE01-WEAPON-SOCKET-3D</x:v>
      </x:c>
      <x:c r="B118" t="str">
        <x:v>方形猫角色3D武器挂点</x:v>
      </x:c>
      <x:c r="C118" t="str">
        <x:v>角色</x:v>
      </x:c>
      <x:c r="D118" t="str">
        <x:v>player</x:v>
      </x:c>
      <x:c r="E118" t="str">
        <x:v>player_capsule01</x:v>
      </x:c>
      <x:c r="F118" t="str">
        <x:v>weapon_socket_3d</x:v>
      </x:c>
      <x:c r="G118" t="str">
        <x:v>CHR-PLY-CAPSULE01-3D</x:v>
      </x:c>
      <x:c r="H118" t="str">
        <x:v>俯视3D</x:v>
      </x:c>
      <x:c r="I118" t="str">
        <x:v>default</x:v>
      </x:c>
      <x:c r="J118" t="str">
        <x:v>武器系统</x:v>
      </x:c>
      <x:c r="K118" t="str">
        <x:v>原型已接入</x:v>
      </x:c>
      <x:c r="L118" t="str">
        <x:v>P0</x:v>
      </x:c>
      <x:c r="M118" t="str">
        <x:v>v001</x:v>
      </x:c>
      <x:c r="N118" t="str">
        <x:v>Marker3D</x:v>
      </x:c>
      <x:c r="O118" t="str">
        <x:v>assets/art/characters/player/chr_player_capsule01_3d/chr_player_capsule01_root_top3d_v001.tscn</x:v>
      </x:c>
      <x:c r="P118" t="str">
        <x:v>VisualRoot/WeaponSocket</x:v>
      </x:c>
      <x:c r="Q118" t="str">
        <x:v>武器挂点;Marker3D;瞄准</x:v>
      </x:c>
      <x:c r="R118" t="str">
        <x:f>LOWER(TRIM(C118)&amp;"|"&amp;TRIM(D118)&amp;"|"&amp;TRIM(E118)&amp;"|"&amp;TRIM(F118)&amp;"|"&amp;TRIM(H118)&amp;"|"&amp;TRIM(I118))</x:f>
        <x:v>角色|player|player_capsule01|weapon_socket_3d|俯视3d|default</x:v>
      </x:c>
      <x:c r="S118" t="str">
        <x:f>IF(A118="","",IF(COUNTIF($R$6:$R$162,R118)&gt;1,"重复","唯一"))</x:f>
        <x:v>唯一</x:v>
      </x:c>
      <x:c r="T118" t="str">
        <x:v>0a15194d68ecc0490ecd3910d2e51901a006ec6ac28e093e2aba48c6f67fec64</x:v>
      </x:c>
      <x:c r="U118" t="str">
        <x:v>Codex</x:v>
      </x:c>
      <x:c r="V118" s="62" t="str">
        <x:v>2026-07-25</x:v>
      </x:c>
      <x:c r="W118" t="str">
        <x:v>原创逻辑挂点</x:v>
      </x:c>
      <x:c r="X118" t="str">
        <x:v>VisualRoot/WeaponSocket：(0.60,1.15,-0.42)，与唯一手固定相对向量；PH33方形猫原型；verify_player3d_diy_flow / gallery flow / visual PASS</x:v>
      </x:c>
    </x:row>
    <x:row r="119">
      <x:c r="A119" t="str">
        <x:v>ENV-BASE-WORLD-KIT-3D</x:v>
      </x:c>
      <x:c r="B119" t="str">
        <x:v>入口基地3D环境套件</x:v>
      </x:c>
      <x:c r="C119" t="str">
        <x:v>场景</x:v>
      </x:c>
      <x:c r="D119" t="str">
        <x:v>base</x:v>
      </x:c>
      <x:c r="E119" t="str">
        <x:v>base_world</x:v>
      </x:c>
      <x:c r="F119" t="str">
        <x:v>root_3d</x:v>
      </x:c>
      <x:c r="G119" t="str">
        <x:v>ENV-BASE-WORLD-KIT</x:v>
      </x:c>
      <x:c r="H119" t="str">
        <x:v>俯视3D</x:v>
      </x:c>
      <x:c r="I119" t="str">
        <x:v>default</x:v>
      </x:c>
      <x:c r="J119" t="str">
        <x:v>入口基地地图</x:v>
      </x:c>
      <x:c r="K119" t="str">
        <x:v>原型已接入</x:v>
      </x:c>
      <x:c r="L119" t="str">
        <x:v>P0</x:v>
      </x:c>
      <x:c r="M119" t="str">
        <x:v>v001</x:v>
      </x:c>
      <x:c r="N119" t="str">
        <x:v>约1:100迁移/程序几何</x:v>
      </x:c>
      <x:c r="O119" t="str">
        <x:v>assets/art/environments/base_world_3d/env_base_world_kit_top3d_v001.tscn</x:v>
      </x:c>
      <x:c r="P119" t="str">
        <x:v>scenes/BaseWorld3D.tscn</x:v>
      </x:c>
      <x:c r="Q119" t="str">
        <x:v>基地;道路;废墟;3D;入口地图</x:v>
      </x:c>
      <x:c r="R119" t="str">
        <x:f>LOWER(TRIM(C119)&amp;"|"&amp;TRIM(D119)&amp;"|"&amp;TRIM(E119)&amp;"|"&amp;TRIM(F119)&amp;"|"&amp;TRIM(H119)&amp;"|"&amp;TRIM(I119))</x:f>
        <x:v>场景|base|base_world|root_3d|俯视3d|default</x:v>
      </x:c>
      <x:c r="S119" t="str">
        <x:f>IF(A119="","",IF(COUNTIF($R$6:$R$162,R119)&gt;1,"重复","唯一"))</x:f>
        <x:v>唯一</x:v>
      </x:c>
      <x:c r="T119" t="str">
        <x:v>63c840d59bcecefab946690136474c9ca7b70408fb7b6bcc264819f9b66f14a5</x:v>
      </x:c>
      <x:c r="U119" t="str">
        <x:v>Codex</x:v>
      </x:c>
      <x:c r="V119" s="62" t="n">
        <x:v>46224</x:v>
      </x:c>
      <x:c r="W119" t="str">
        <x:v>原创程序几何</x:v>
      </x:c>
      <x:c r="X119" t="str">
        <x:v>保留原2D布局语义；首张3D迁移地图</x:v>
      </x:c>
    </x:row>
    <x:row r="120" ht="155" customHeight="1">
      <x:c r="A120" s="70" t="str">
        <x:v>PRP-BASE-FACILITY-3D</x:v>
      </x:c>
      <x:c r="B120" s="70" t="str">
        <x:v>基地设施3D通用模块</x:v>
      </x:c>
      <x:c r="C120" s="70" t="str">
        <x:v>场景道具</x:v>
      </x:c>
      <x:c r="D120" s="70" t="str">
        <x:v>facility</x:v>
      </x:c>
      <x:c r="E120" s="70" t="str">
        <x:v>base_facility_module</x:v>
      </x:c>
      <x:c r="F120" s="70" t="str">
        <x:v>root_3d</x:v>
      </x:c>
      <x:c r="G120" s="70" t="str">
        <x:v>ENV-BASE-WORLD-KIT-3D</x:v>
      </x:c>
      <x:c r="H120" s="70" t="str">
        <x:v>俯视3D</x:v>
      </x:c>
      <x:c r="I120" s="70" t="str">
        <x:v>default</x:v>
      </x:c>
      <x:c r="J120" s="70" t="str">
        <x:v>8类基地设施</x:v>
      </x:c>
      <x:c r="K120" s="70" t="str">
        <x:v>已接入</x:v>
      </x:c>
      <x:c r="L120" s="70" t="str">
        <x:v>P0</x:v>
      </x:c>
      <x:c r="M120" s="70" t="str">
        <x:v>v001</x:v>
      </x:c>
      <x:c r="N120" s="70" t="str">
        <x:v>PackedScene/材质变体</x:v>
      </x:c>
      <x:c r="O120" s="70" t="str">
        <x:v>assets/art/props/base_world_3d/prp_base_facility_root_top3d_v001.tscn</x:v>
      </x:c>
      <x:c r="P120" s="70" t="str">
        <x:v>src/base3d/BaseFacility3D.gd</x:v>
      </x:c>
      <x:c r="Q120" s="70" t="str">
        <x:v>设施;交互;信标;3D</x:v>
      </x:c>
      <x:c r="R120" s="70" t="str">
        <x:f>LOWER(TRIM(C120)&amp;"|"&amp;TRIM(D120)&amp;"|"&amp;TRIM(E120)&amp;"|"&amp;TRIM(F120)&amp;"|"&amp;TRIM(H120)&amp;"|"&amp;TRIM(I120))</x:f>
        <x:v>场景道具|facility|base_facility_module|root_3d|俯视3d|default</x:v>
      </x:c>
      <x:c r="S120" s="70" t="str">
        <x:f>IF(A120="","",IF(COUNTIF($R$6:$R$162,R120)&gt;1,"重复","唯一"))</x:f>
        <x:v>唯一</x:v>
      </x:c>
      <x:c r="T120" s="70" t="str">
        <x:v>18921dbda4e5997f5c49c6efa66b7af030310d5d086b60fe476e8f0e664e104e</x:v>
      </x:c>
      <x:c r="U120" s="70" t="str">
        <x:v>Codex</x:v>
      </x:c>
      <x:c r="V120" s="71" t="n">
        <x:v>46233</x:v>
      </x:c>
      <x:c r="W120" s="70" t="str">
        <x:v>原创程序几何</x:v>
      </x:c>
      <x:c r="X120" s="70" t="str">
        <x:v>PH49：BaseFacility3D复用于五个独立电梯设施（99—95层各一处），设施挂在走廊设施层级而非房间内部，放置在基地房间墙边或楼层走廊边。电梯解锁、目标楼层和到达点从邻接的elevator_access房间读取。</x:v>
      </x:c>
    </x:row>
    <x:row r="121">
      <x:c r="A121" t="str">
        <x:v>PRP-DUNGEON-GATE-3D</x:v>
      </x:c>
      <x:c r="B121" t="str">
        <x:v>地下城入口3D模块</x:v>
      </x:c>
      <x:c r="C121" t="str">
        <x:v>场景道具</x:v>
      </x:c>
      <x:c r="D121" t="str">
        <x:v>door</x:v>
      </x:c>
      <x:c r="E121" t="str">
        <x:v>dungeon_gate</x:v>
      </x:c>
      <x:c r="F121" t="str">
        <x:v>root_3d</x:v>
      </x:c>
      <x:c r="G121" t="str">
        <x:v>PRP-DUNGEON-GATE</x:v>
      </x:c>
      <x:c r="H121" t="str">
        <x:v>俯视3D</x:v>
      </x:c>
      <x:c r="I121" t="str">
        <x:v>default</x:v>
      </x:c>
      <x:c r="J121" t="str">
        <x:v>4个地下城入口</x:v>
      </x:c>
      <x:c r="K121" t="str">
        <x:v>原型已接入</x:v>
      </x:c>
      <x:c r="L121" t="str">
        <x:v>P0</x:v>
      </x:c>
      <x:c r="M121" t="str">
        <x:v>v001</x:v>
      </x:c>
      <x:c r="N121" t="str">
        <x:v>PackedScene/材质变体</x:v>
      </x:c>
      <x:c r="O121" t="str">
        <x:v>assets/art/props/base_world_3d/prp_dungeon_gate_root_top3d_v001.tscn</x:v>
      </x:c>
      <x:c r="P121" t="str">
        <x:v>src/base3d/DungeonEntrance3D.gd</x:v>
      </x:c>
      <x:c r="Q121" t="str">
        <x:v>地下城;门;交互;3D</x:v>
      </x:c>
      <x:c r="R121" t="str">
        <x:f>LOWER(TRIM(C121)&amp;"|"&amp;TRIM(D121)&amp;"|"&amp;TRIM(E121)&amp;"|"&amp;TRIM(F121)&amp;"|"&amp;TRIM(H121)&amp;"|"&amp;TRIM(I121))</x:f>
        <x:v>场景道具|door|dungeon_gate|root_3d|俯视3d|default</x:v>
      </x:c>
      <x:c r="S121" t="str">
        <x:f>IF(A121="","",IF(COUNTIF($R$6:$R$162,R121)&gt;1,"重复","唯一"))</x:f>
        <x:v>唯一</x:v>
      </x:c>
      <x:c r="T121" t="str">
        <x:v>1fc802ceb8caef1ce77a54958a8b5e82a0fcae37459106fee970c8941146ba8f</x:v>
      </x:c>
      <x:c r="U121" t="str">
        <x:v>Codex</x:v>
      </x:c>
      <x:c r="V121" s="62" t="n">
        <x:v>46224</x:v>
      </x:c>
      <x:c r="W121" t="str">
        <x:v>原创程序几何</x:v>
      </x:c>
      <x:c r="X121" t="str">
        <x:v>保持旧入口ID与目标场景；地下城内部暂保留2D</x:v>
      </x:c>
    </x:row>
    <x:row r="122">
      <x:c r="A122" t="str">
        <x:v>ENV-BASE-WORLD-3D-PREVIEW</x:v>
      </x:c>
      <x:c r="B122" t="str">
        <x:v>入口基地3D验收预览</x:v>
      </x:c>
      <x:c r="C122" t="str">
        <x:v>场景</x:v>
      </x:c>
      <x:c r="D122" t="str">
        <x:v>review_board</x:v>
      </x:c>
      <x:c r="E122" t="str">
        <x:v>base_world</x:v>
      </x:c>
      <x:c r="F122" t="str">
        <x:v>preview_3d</x:v>
      </x:c>
      <x:c r="G122" t="str">
        <x:v>ENV-BASE-WORLD-KIT-3D</x:v>
      </x:c>
      <x:c r="H122" t="str">
        <x:v>俯视3D</x:v>
      </x:c>
      <x:c r="I122" t="str">
        <x:v>default</x:v>
      </x:c>
      <x:c r="J122" t="str">
        <x:v>评审与资产QA</x:v>
      </x:c>
      <x:c r="K122" t="str">
        <x:v>已完成</x:v>
      </x:c>
      <x:c r="L122" t="str">
        <x:v>P1</x:v>
      </x:c>
      <x:c r="M122" t="str">
        <x:v>v001</x:v>
      </x:c>
      <x:c r="N122" t="str">
        <x:v>1280×720 PNG</x:v>
      </x:c>
      <x:c r="O122" t="str">
        <x:v>assets/art/environments/base_world_3d/env_base_world_preview_top3d_v001.png</x:v>
      </x:c>
      <x:c r="P122" t="str">
        <x:v>verify_base_world_3d_visual.tscn</x:v>
      </x:c>
      <x:c r="Q122" t="str">
        <x:v>3D预览;评审;入口地图</x:v>
      </x:c>
      <x:c r="R122" t="str">
        <x:f>LOWER(TRIM(C122)&amp;"|"&amp;TRIM(D122)&amp;"|"&amp;TRIM(E122)&amp;"|"&amp;TRIM(F122)&amp;"|"&amp;TRIM(H122)&amp;"|"&amp;TRIM(I122))</x:f>
        <x:v>场景|review_board|base_world|preview_3d|俯视3d|default</x:v>
      </x:c>
      <x:c r="S122" t="str">
        <x:f>IF(A122="","",IF(COUNTIF($R$6:$R$162,R122)&gt;1,"重复","唯一"))</x:f>
        <x:v>唯一</x:v>
      </x:c>
      <x:c r="T122" t="str">
        <x:v>7dc3ff5d1bb5942c8340359bfa6d55374604dfbc9fc8b2a23b68a3079fac2e01</x:v>
      </x:c>
      <x:c r="U122" t="str">
        <x:v>Codex</x:v>
      </x:c>
      <x:c r="V122" s="62" t="n">
        <x:v>46224</x:v>
      </x:c>
      <x:c r="W122" t="str">
        <x:v>项目运行截图</x:v>
      </x:c>
      <x:c r="X122" t="str">
        <x:v>用于检查3D布局、镜头、组件比例与交互可读性</x:v>
      </x:c>
    </x:row>
    <x:row r="123" ht="155" customHeight="1">
      <x:c r="A123" s="70" t="str">
        <x:v>ENV-DUNGEON-RUNTIME-3D</x:v>
      </x:c>
      <x:c r="B123" s="70" t="str">
        <x:v>3D随机关卡通用房间套件</x:v>
      </x:c>
      <x:c r="C123" s="70" t="str">
        <x:v>场景</x:v>
      </x:c>
      <x:c r="D123" s="70" t="str">
        <x:v>room</x:v>
      </x:c>
      <x:c r="E123" s="70" t="str">
        <x:v>dungeon_runtime</x:v>
      </x:c>
      <x:c r="F123" s="70" t="str">
        <x:v>root_3d</x:v>
      </x:c>
      <x:c r="G123" s="70"/>
      <x:c r="H123" s="70" t="str">
        <x:v>俯视3D</x:v>
      </x:c>
      <x:c r="I123" s="70" t="str">
        <x:v>default</x:v>
      </x:c>
      <x:c r="J123" s="70" t="str">
        <x:v>四主题副本/随机房间</x:v>
      </x:c>
      <x:c r="K123" s="70" t="str">
        <x:v>已接入</x:v>
      </x:c>
      <x:c r="L123" s="70" t="str">
        <x:v>P0</x:v>
      </x:c>
      <x:c r="M123" s="70" t="str">
        <x:v>v001</x:v>
      </x:c>
      <x:c r="N123" s="70" t="str">
        <x:v>PackedScene/三档程序几何</x:v>
      </x:c>
      <x:c r="O123" s="70" t="str">
        <x:v>assets/art/environments/dungeon_3d/env_dungeon_runtime_kit_top3d_v001.tscn</x:v>
      </x:c>
      <x:c r="P123" s="70" t="str">
        <x:v>src/world3d/DungeonRoom3D.gd</x:v>
      </x:c>
      <x:c r="Q123" s="70" t="str">
        <x:v>房间;门洞;走廊;随机地图;3D</x:v>
      </x:c>
      <x:c r="R123" s="70" t="str">
        <x:f>LOWER(TRIM(C123)&amp;"|"&amp;TRIM(D123)&amp;"|"&amp;TRIM(E123)&amp;"|"&amp;TRIM(F123)&amp;"|"&amp;TRIM(H123)&amp;"|"&amp;TRIM(I123))</x:f>
        <x:v>场景|room|dungeon_runtime|root_3d|俯视3d|default</x:v>
      </x:c>
      <x:c r="S123" s="70" t="str">
        <x:f>IF(A123="","",IF(COUNTIF($R$6:$R$162,R123)&gt;1,"重复","唯一"))</x:f>
        <x:v>唯一</x:v>
      </x:c>
      <x:c r="T123" s="70" t="str">
        <x:v>fc33ac084150c3e3cbba89505b3e04f35712abbceaa5cec297c94fe4d7dcc2f3</x:v>
      </x:c>
      <x:c r="U123" s="70" t="str">
        <x:v>Codex</x:v>
      </x:c>
      <x:c r="V123" s="71" t="n">
        <x:v>46233</x:v>
      </x:c>
      <x:c r="W123" s="70" t="str">
        <x:v>原创程序几何</x:v>
      </x:c>
      <x:c r="X123" s="70" t="str">
        <x:v>PH49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x:v>
      </x:c>
    </x:row>
    <x:row r="124" ht="34" customHeight="1">
      <x:c r="A124" s="63" t="str">
        <x:v>ENV-DUNGEON-IRON-FRONTIER-3D</x:v>
      </x:c>
      <x:c r="B124" s="63" t="str">
        <x:v>冷钢边境3D主题资源</x:v>
      </x:c>
      <x:c r="C124" s="63" t="str">
        <x:v>场景</x:v>
      </x:c>
      <x:c r="D124" s="63" t="str">
        <x:v>biome</x:v>
      </x:c>
      <x:c r="E124" s="63" t="str">
        <x:v>iron_frontier</x:v>
      </x:c>
      <x:c r="F124" s="63" t="str">
        <x:v>theme_3d</x:v>
      </x:c>
      <x:c r="G124" s="63" t="str">
        <x:v>ENV-DUNGEON-RUNTIME-3D</x:v>
      </x:c>
      <x:c r="H124" s="63" t="str">
        <x:v>俯视3D</x:v>
      </x:c>
      <x:c r="I124" s="63" t="str">
        <x:v>default</x:v>
      </x:c>
      <x:c r="J124" s="63" t="str">
        <x:v>冷钢边境</x:v>
      </x:c>
      <x:c r="K124" s="63" t="str">
        <x:v>原型已接入</x:v>
      </x:c>
      <x:c r="L124" s="63" t="str">
        <x:v>P0</x:v>
      </x:c>
      <x:c r="M124" s="63" t="str">
        <x:v>v001</x:v>
      </x:c>
      <x:c r="N124" s="63" t="str">
        <x:v>DungeonTheme3D Resource</x:v>
      </x:c>
      <x:c r="O124" s="63" t="str">
        <x:v>assets/art/environments/dungeon_3d/env_iron_frontier_kit_top3d_v001.tres</x:v>
      </x:c>
      <x:c r="P124" s="63" t="str">
        <x:v>scenes/levels3d/IronFrontier3D.tscn</x:v>
      </x:c>
      <x:c r="Q124" s="63" t="str">
        <x:v>冷钢;冷蓝;边境;雾;灯光</x:v>
      </x:c>
      <x:c r="R124" s="63" t="str">
        <x:f>LOWER(TRIM(C124)&amp;"|"&amp;TRIM(D124)&amp;"|"&amp;TRIM(E124)&amp;"|"&amp;TRIM(F124)&amp;"|"&amp;TRIM(H124)&amp;"|"&amp;TRIM(I124))</x:f>
        <x:v>场景|biome|iron_frontier|theme_3d|俯视3d|default</x:v>
      </x:c>
      <x:c r="S124" s="63" t="str">
        <x:f>IF(A124="","",IF(COUNTIF($R$6:$R$162,R124)&gt;1,"重复","唯一"))</x:f>
        <x:v>唯一</x:v>
      </x:c>
      <x:c r="T124" s="63" t="str">
        <x:v>a3c6e7e5433928b790e1fa0fe5124beaeb5ab579f2d376aa35a1be25b6736b58</x:v>
      </x:c>
      <x:c r="U124" s="63" t="str">
        <x:v>Codex</x:v>
      </x:c>
      <x:c r="V124" s="64" t="n">
        <x:v>46224</x:v>
      </x:c>
      <x:c r="W124" s="63" t="str">
        <x:v>原创程序配置</x:v>
      </x:c>
      <x:c r="X124" s="63" t="str">
        <x:v>只保存3D色彩/雾/灯光/家具倾向；玩法读取MapThemeProfile</x:v>
      </x:c>
    </x:row>
    <x:row r="125" ht="34" customHeight="1">
      <x:c r="A125" s="63" t="str">
        <x:v>ENV-DUNGEON-RUST-FOUNDRY-3D</x:v>
      </x:c>
      <x:c r="B125" s="63" t="str">
        <x:v>锈蚀铸造厂3D主题资源</x:v>
      </x:c>
      <x:c r="C125" s="63" t="str">
        <x:v>场景</x:v>
      </x:c>
      <x:c r="D125" s="63" t="str">
        <x:v>biome</x:v>
      </x:c>
      <x:c r="E125" s="63" t="str">
        <x:v>rust_foundry</x:v>
      </x:c>
      <x:c r="F125" s="63" t="str">
        <x:v>theme_3d</x:v>
      </x:c>
      <x:c r="G125" s="63" t="str">
        <x:v>ENV-DUNGEON-RUNTIME-3D</x:v>
      </x:c>
      <x:c r="H125" s="63" t="str">
        <x:v>俯视3D</x:v>
      </x:c>
      <x:c r="I125" s="63" t="str">
        <x:v>default</x:v>
      </x:c>
      <x:c r="J125" s="63" t="str">
        <x:v>锈蚀铸造厂</x:v>
      </x:c>
      <x:c r="K125" s="63" t="str">
        <x:v>原型已接入</x:v>
      </x:c>
      <x:c r="L125" s="63" t="str">
        <x:v>P0</x:v>
      </x:c>
      <x:c r="M125" s="63" t="str">
        <x:v>v001</x:v>
      </x:c>
      <x:c r="N125" s="63" t="str">
        <x:v>DungeonTheme3D Resource</x:v>
      </x:c>
      <x:c r="O125" s="63" t="str">
        <x:v>assets/art/environments/dungeon_3d/env_rust_foundry_kit_top3d_v001.tres</x:v>
      </x:c>
      <x:c r="P125" s="63" t="str">
        <x:v>scenes/levels3d/RustFoundry3D.tscn</x:v>
      </x:c>
      <x:c r="Q125" s="63" t="str">
        <x:v>锈蚀;铸造;橙光;工业</x:v>
      </x:c>
      <x:c r="R125" s="63" t="str">
        <x:f>LOWER(TRIM(C125)&amp;"|"&amp;TRIM(D125)&amp;"|"&amp;TRIM(E125)&amp;"|"&amp;TRIM(F125)&amp;"|"&amp;TRIM(H125)&amp;"|"&amp;TRIM(I125))</x:f>
        <x:v>场景|biome|rust_foundry|theme_3d|俯视3d|default</x:v>
      </x:c>
      <x:c r="S125" s="63" t="str">
        <x:f>IF(A125="","",IF(COUNTIF($R$6:$R$162,R125)&gt;1,"重复","唯一"))</x:f>
        <x:v>唯一</x:v>
      </x:c>
      <x:c r="T125" s="63" t="str">
        <x:v>0c14c1dd5a5b8edcb51fa5bb024666d845611bfd87c3c4ee0ded56c4614010a8</x:v>
      </x:c>
      <x:c r="U125" s="63" t="str">
        <x:v>Codex</x:v>
      </x:c>
      <x:c r="V125" s="64" t="n">
        <x:v>46224</x:v>
      </x:c>
      <x:c r="W125" s="63" t="str">
        <x:v>原创程序配置</x:v>
      </x:c>
      <x:c r="X125" s="63" t="str">
        <x:v>复用通用房间根；主题资源不复制玩法规则</x:v>
      </x:c>
    </x:row>
    <x:row r="126" ht="34" customHeight="1">
      <x:c r="A126" s="63" t="str">
        <x:v>ENV-DUNGEON-SPORE-DEPTHS-3D</x:v>
      </x:c>
      <x:c r="B126" s="63" t="str">
        <x:v>孢子深层3D主题资源</x:v>
      </x:c>
      <x:c r="C126" s="63" t="str">
        <x:v>场景</x:v>
      </x:c>
      <x:c r="D126" s="63" t="str">
        <x:v>biome</x:v>
      </x:c>
      <x:c r="E126" s="63" t="str">
        <x:v>spore_depths</x:v>
      </x:c>
      <x:c r="F126" s="63" t="str">
        <x:v>theme_3d</x:v>
      </x:c>
      <x:c r="G126" s="63" t="str">
        <x:v>ENV-DUNGEON-RUNTIME-3D</x:v>
      </x:c>
      <x:c r="H126" s="63" t="str">
        <x:v>俯视3D</x:v>
      </x:c>
      <x:c r="I126" s="63" t="str">
        <x:v>default</x:v>
      </x:c>
      <x:c r="J126" s="63" t="str">
        <x:v>孢子深层</x:v>
      </x:c>
      <x:c r="K126" s="63" t="str">
        <x:v>原型已接入</x:v>
      </x:c>
      <x:c r="L126" s="63" t="str">
        <x:v>P0</x:v>
      </x:c>
      <x:c r="M126" s="63" t="str">
        <x:v>v001</x:v>
      </x:c>
      <x:c r="N126" s="63" t="str">
        <x:v>DungeonTheme3D Resource</x:v>
      </x:c>
      <x:c r="O126" s="63" t="str">
        <x:v>assets/art/environments/dungeon_3d/env_spore_depths_kit_top3d_v001.tres</x:v>
      </x:c>
      <x:c r="P126" s="63" t="str">
        <x:v>scenes/levels3d/SporeDepths3D.tscn</x:v>
      </x:c>
      <x:c r="Q126" s="63" t="str">
        <x:v>孢子;病绿;地下;异化</x:v>
      </x:c>
      <x:c r="R126" s="63" t="str">
        <x:f>LOWER(TRIM(C126)&amp;"|"&amp;TRIM(D126)&amp;"|"&amp;TRIM(E126)&amp;"|"&amp;TRIM(F126)&amp;"|"&amp;TRIM(H126)&amp;"|"&amp;TRIM(I126))</x:f>
        <x:v>场景|biome|spore_depths|theme_3d|俯视3d|default</x:v>
      </x:c>
      <x:c r="S126" s="63" t="str">
        <x:f>IF(A126="","",IF(COUNTIF($R$6:$R$162,R126)&gt;1,"重复","唯一"))</x:f>
        <x:v>唯一</x:v>
      </x:c>
      <x:c r="T126" s="63" t="str">
        <x:v>bbd5cc04028e3962ce9eb8ea04c1c06157d128b5dbad1cea64bed7b4a02e7689</x:v>
      </x:c>
      <x:c r="U126" s="63" t="str">
        <x:v>Codex</x:v>
      </x:c>
      <x:c r="V126" s="64" t="n">
        <x:v>46224</x:v>
      </x:c>
      <x:c r="W126" s="63" t="str">
        <x:v>原创程序配置</x:v>
      </x:c>
      <x:c r="X126" s="63" t="str">
        <x:v>复用通用房间根；主题资源不复制玩法规则</x:v>
      </x:c>
    </x:row>
    <x:row r="127" ht="34" customHeight="1">
      <x:c r="A127" s="63" t="str">
        <x:v>ENV-DUNGEON-ABYSS-ARCHIVE-3D</x:v>
      </x:c>
      <x:c r="B127" s="63" t="str">
        <x:v>深渊档案库3D主题资源</x:v>
      </x:c>
      <x:c r="C127" s="63" t="str">
        <x:v>场景</x:v>
      </x:c>
      <x:c r="D127" s="63" t="str">
        <x:v>biome</x:v>
      </x:c>
      <x:c r="E127" s="63" t="str">
        <x:v>abyss_archive</x:v>
      </x:c>
      <x:c r="F127" s="63" t="str">
        <x:v>theme_3d</x:v>
      </x:c>
      <x:c r="G127" s="63" t="str">
        <x:v>ENV-DUNGEON-RUNTIME-3D</x:v>
      </x:c>
      <x:c r="H127" s="63" t="str">
        <x:v>俯视3D</x:v>
      </x:c>
      <x:c r="I127" s="63" t="str">
        <x:v>default</x:v>
      </x:c>
      <x:c r="J127" s="63" t="str">
        <x:v>深渊档案库</x:v>
      </x:c>
      <x:c r="K127" s="63" t="str">
        <x:v>原型已接入</x:v>
      </x:c>
      <x:c r="L127" s="63" t="str">
        <x:v>P0</x:v>
      </x:c>
      <x:c r="M127" s="63" t="str">
        <x:v>v001</x:v>
      </x:c>
      <x:c r="N127" s="63" t="str">
        <x:v>DungeonTheme3D Resource</x:v>
      </x:c>
      <x:c r="O127" s="63" t="str">
        <x:v>assets/art/environments/dungeon_3d/env_abyss_archive_kit_top3d_v001.tres</x:v>
      </x:c>
      <x:c r="P127" s="63" t="str">
        <x:v>scenes/levels3d/AbyssArchive3D.tscn</x:v>
      </x:c>
      <x:c r="Q127" s="63" t="str">
        <x:v>深渊;档案;紫光;禁区</x:v>
      </x:c>
      <x:c r="R127" s="63" t="str">
        <x:f>LOWER(TRIM(C127)&amp;"|"&amp;TRIM(D127)&amp;"|"&amp;TRIM(E127)&amp;"|"&amp;TRIM(F127)&amp;"|"&amp;TRIM(H127)&amp;"|"&amp;TRIM(I127))</x:f>
        <x:v>场景|biome|abyss_archive|theme_3d|俯视3d|default</x:v>
      </x:c>
      <x:c r="S127" s="63" t="str">
        <x:f>IF(A127="","",IF(COUNTIF($R$6:$R$162,R127)&gt;1,"重复","唯一"))</x:f>
        <x:v>唯一</x:v>
      </x:c>
      <x:c r="T127" s="63" t="str">
        <x:v>fb276fb1586de1b69d306ff894800f51da600b8dfb2780cf8bc8d22695ad3a52</x:v>
      </x:c>
      <x:c r="U127" s="63" t="str">
        <x:v>Codex</x:v>
      </x:c>
      <x:c r="V127" s="64" t="n">
        <x:v>46224</x:v>
      </x:c>
      <x:c r="W127" s="63" t="str">
        <x:v>原创程序配置</x:v>
      </x:c>
      <x:c r="X127" s="63" t="str">
        <x:v>复用通用房间根；主题资源不复制玩法规则</x:v>
      </x:c>
    </x:row>
    <x:row r="128" ht="155" customHeight="1">
      <x:c r="A128" s="70" t="str">
        <x:v>PRP-WASTELAND-LIGHT-3D</x:v>
      </x:c>
      <x:c r="B128" s="70" t="str">
        <x:v>废土灯具3D通用模块（街灯/顶灯）</x:v>
      </x:c>
      <x:c r="C128" s="70" t="str">
        <x:v>场景道具</x:v>
      </x:c>
      <x:c r="D128" s="70" t="str">
        <x:v>light</x:v>
      </x:c>
      <x:c r="E128" s="70" t="str">
        <x:v>wasteland_light</x:v>
      </x:c>
      <x:c r="F128" s="70" t="str">
        <x:v>root_3d</x:v>
      </x:c>
      <x:c r="G128" s="70" t="str">
        <x:v>ENV-DUNGEON-RUNTIME-3D</x:v>
      </x:c>
      <x:c r="H128" s="70" t="str">
        <x:v>俯视3D</x:v>
      </x:c>
      <x:c r="I128" s="70" t="str">
        <x:v>default</x:v>
      </x:c>
      <x:c r="J128" s="70" t="str">
        <x:v>关卡/靶场/房间中央照明</x:v>
      </x:c>
      <x:c r="K128" s="70" t="str">
        <x:v>已接入</x:v>
      </x:c>
      <x:c r="L128" s="70" t="str">
        <x:v>P0</x:v>
      </x:c>
      <x:c r="M128" s="70" t="str">
        <x:v>v001</x:v>
      </x:c>
      <x:c r="N128" s="70" t="str">
        <x:v>PackedScene/OmniLight3D</x:v>
      </x:c>
      <x:c r="O128" s="70" t="str">
        <x:v>assets/art/props/dungeon_3d/prp_wasteland_light_root_top3d_v001.tscn</x:v>
      </x:c>
      <x:c r="P128" s="70" t="str">
        <x:v>src/world3d/WastelandLight3D.gd</x:v>
      </x:c>
      <x:c r="Q128" s="70" t="str">
        <x:v>灯具;街灯;中央顶灯;故障灯;废土</x:v>
      </x:c>
      <x:c r="R128" s="70" t="str">
        <x:f>LOWER(TRIM(C128)&amp;"|"&amp;TRIM(D128)&amp;"|"&amp;TRIM(E128)&amp;"|"&amp;TRIM(F128)&amp;"|"&amp;TRIM(H128)&amp;"|"&amp;TRIM(I128))</x:f>
        <x:v>场景道具|light|wasteland_light|root_3d|俯视3d|default</x:v>
      </x:c>
      <x:c r="S128" s="70" t="str">
        <x:f>IF(A128="","",IF(COUNTIF($R$6:$R$162,R128)&gt;1,"重复","唯一"))</x:f>
        <x:v>唯一</x:v>
      </x:c>
      <x:c r="T128" s="70" t="str">
        <x:v>0a6ec0add8b6e01b83f4dbaae421ff0dc69ed08648d304bac061f540af27d99b</x:v>
      </x:c>
      <x:c r="U128" s="70" t="str">
        <x:v>Codex</x:v>
      </x:c>
      <x:c r="V128" s="71" t="n">
        <x:v>46233</x:v>
      </x:c>
      <x:c r="W128" s="70" t="str">
        <x:v>原创程序几何</x:v>
      </x:c>
      <x:c r="X128" s="70" t="str">
        <x:v>PH49：灯具最大作用范围提升到64m；普通房按房间短边约94%设置可感知范围并提高能量。基地采用四盏冷暖混合顶灯、26m范围；95层90m Boss区采用四区顶灯。两者默认开启但都保留墙边总开关，楼梯大厅也提供基础照明。</x:v>
      </x:c>
    </x:row>
    <x:row r="129" ht="34" customHeight="1">
      <x:c r="A129" s="63" t="str">
        <x:v>PRP-ROOM-FURNITURE-3D</x:v>
      </x:c>
      <x:c r="B129" s="63" t="str">
        <x:v>房间家具3D通用模块</x:v>
      </x:c>
      <x:c r="C129" s="63" t="str">
        <x:v>场景道具</x:v>
      </x:c>
      <x:c r="D129" s="63" t="str">
        <x:v>furniture</x:v>
      </x:c>
      <x:c r="E129" s="63" t="str">
        <x:v>room_furniture</x:v>
      </x:c>
      <x:c r="F129" s="63" t="str">
        <x:v>root_3d</x:v>
      </x:c>
      <x:c r="G129" s="63" t="str">
        <x:v>ENV-DUNGEON-RUNTIME-3D</x:v>
      </x:c>
      <x:c r="H129" s="63" t="str">
        <x:v>俯视3D</x:v>
      </x:c>
      <x:c r="I129" s="63" t="str">
        <x:v>default</x:v>
      </x:c>
      <x:c r="J129" s="63" t="str">
        <x:v>全部3D房间</x:v>
      </x:c>
      <x:c r="K129" s="63" t="str">
        <x:v>原型已接入</x:v>
      </x:c>
      <x:c r="L129" s="63" t="str">
        <x:v>P0</x:v>
      </x:c>
      <x:c r="M129" s="63" t="str">
        <x:v>v001</x:v>
      </x:c>
      <x:c r="N129" s="63" t="str">
        <x:v>PackedScene/类型与尺寸配置</x:v>
      </x:c>
      <x:c r="O129" s="63" t="str">
        <x:v>assets/art/props/dungeon_3d/prp_room_furniture_root_top3d_v001.tscn</x:v>
      </x:c>
      <x:c r="P129" s="63" t="str">
        <x:v>src/world3d/RoomFurniture3D.gd</x:v>
      </x:c>
      <x:c r="Q129" s="63" t="str">
        <x:v>家具;小中大;箱柜;工作台</x:v>
      </x:c>
      <x:c r="R129" s="63" t="str">
        <x:f>LOWER(TRIM(C129)&amp;"|"&amp;TRIM(D129)&amp;"|"&amp;TRIM(E129)&amp;"|"&amp;TRIM(F129)&amp;"|"&amp;TRIM(H129)&amp;"|"&amp;TRIM(I129))</x:f>
        <x:v>场景道具|furniture|room_furniture|root_3d|俯视3d|default</x:v>
      </x:c>
      <x:c r="S129" s="63" t="str">
        <x:f>IF(A129="","",IF(COUNTIF($R$6:$R$162,R129)&gt;1,"重复","唯一"))</x:f>
        <x:v>唯一</x:v>
      </x:c>
      <x:c r="T129" s="63" t="str">
        <x:v>a78a7eaac02ce39add97d8a57754cc86ea34e740e24e0e901f4e037198a086e9</x:v>
      </x:c>
      <x:c r="U129" s="63" t="str">
        <x:v>Codex</x:v>
      </x:c>
      <x:c r="V129" s="64" t="n">
        <x:v>46224</x:v>
      </x:c>
      <x:c r="W129" s="63" t="str">
        <x:v>原创程序几何</x:v>
      </x:c>
      <x:c r="X129" s="63" t="str">
        <x:v>11类轮廓；small/medium/large影响占地与碰撞</x:v>
      </x:c>
    </x:row>
    <x:row r="130" ht="34" customHeight="1">
      <x:c r="A130" s="63" t="str">
        <x:v>PRP-SEARCH-CONTAINER-3D</x:v>
      </x:c>
      <x:c r="B130" s="63" t="str">
        <x:v>可搜索容器3D通用模块</x:v>
      </x:c>
      <x:c r="C130" s="63" t="str">
        <x:v>场景道具</x:v>
      </x:c>
      <x:c r="D130" s="63" t="str">
        <x:v>container</x:v>
      </x:c>
      <x:c r="E130" s="63" t="str">
        <x:v>search_container</x:v>
      </x:c>
      <x:c r="F130" s="63" t="str">
        <x:v>root_3d</x:v>
      </x:c>
      <x:c r="G130" s="63" t="str">
        <x:v>PRP-ROOM-FURNITURE-3D</x:v>
      </x:c>
      <x:c r="H130" s="63" t="str">
        <x:v>俯视3D</x:v>
      </x:c>
      <x:c r="I130" s="63" t="str">
        <x:v>closed_opened</x:v>
      </x:c>
      <x:c r="J130" s="63" t="str">
        <x:v>搜索房/仓储/事件</x:v>
      </x:c>
      <x:c r="K130" s="63" t="str">
        <x:v>原型已接入</x:v>
      </x:c>
      <x:c r="L130" s="63" t="str">
        <x:v>P0</x:v>
      </x:c>
      <x:c r="M130" s="63" t="str">
        <x:v>v001</x:v>
      </x:c>
      <x:c r="N130" s="63" t="str">
        <x:v>PackedScene/搜索状态</x:v>
      </x:c>
      <x:c r="O130" s="63" t="str">
        <x:v>assets/art/props/dungeon_3d/prp_search_container_root_top3d_v001.tscn</x:v>
      </x:c>
      <x:c r="P130" s="63" t="str">
        <x:v>src/world3d/RoomFurniture3D.gd</x:v>
      </x:c>
      <x:c r="Q130" s="63" t="str">
        <x:v>搜索;容器;战利品;小中大</x:v>
      </x:c>
      <x:c r="R130" s="63" t="str">
        <x:f>LOWER(TRIM(C130)&amp;"|"&amp;TRIM(D130)&amp;"|"&amp;TRIM(E130)&amp;"|"&amp;TRIM(F130)&amp;"|"&amp;TRIM(H130)&amp;"|"&amp;TRIM(I130))</x:f>
        <x:v>场景道具|container|search_container|root_3d|俯视3d|closed_opened</x:v>
      </x:c>
      <x:c r="S130" s="63" t="str">
        <x:f>IF(A130="","",IF(COUNTIF($R$6:$R$162,R130)&gt;1,"重复","唯一"))</x:f>
        <x:v>唯一</x:v>
      </x:c>
      <x:c r="T130" s="63" t="str">
        <x:v>2c0852d86e7c0e635e76197ff8d2f6a030daa186f760dfb339d3fdeddf3c192d</x:v>
      </x:c>
      <x:c r="U130" s="63" t="str">
        <x:v>Codex</x:v>
      </x:c>
      <x:c r="V130" s="64" t="n">
        <x:v>46224</x:v>
      </x:c>
      <x:c r="W130" s="63" t="str">
        <x:v>原创程序几何</x:v>
      </x:c>
      <x:c r="X130" s="63" t="str">
        <x:v>搜索为家具状态与配置，不建立关卡局部重复模型</x:v>
      </x:c>
    </x:row>
    <x:row r="131" ht="34" customHeight="1">
      <x:c r="A131" s="63" t="str">
        <x:v>PRP-SERVICE-STATION-3D</x:v>
      </x:c>
      <x:c r="B131" s="63" t="str">
        <x:v>废土服务终端3D模块</x:v>
      </x:c>
      <x:c r="C131" s="63" t="str">
        <x:v>场景道具</x:v>
      </x:c>
      <x:c r="D131" s="63" t="str">
        <x:v>facility</x:v>
      </x:c>
      <x:c r="E131" s="63" t="str">
        <x:v>service_station</x:v>
      </x:c>
      <x:c r="F131" s="63" t="str">
        <x:v>root_3d</x:v>
      </x:c>
      <x:c r="G131" s="63" t="str">
        <x:v>ENV-DUNGEON-RUNTIME-3D</x:v>
      </x:c>
      <x:c r="H131" s="63" t="str">
        <x:v>俯视3D</x:v>
      </x:c>
      <x:c r="I131" s="63" t="str">
        <x:v>default</x:v>
      </x:c>
      <x:c r="J131" s="63" t="str">
        <x:v>商店/升级/事件/重置</x:v>
      </x:c>
      <x:c r="K131" s="63" t="str">
        <x:v>原型已接入</x:v>
      </x:c>
      <x:c r="L131" s="63" t="str">
        <x:v>P0</x:v>
      </x:c>
      <x:c r="M131" s="63" t="str">
        <x:v>v001</x:v>
      </x:c>
      <x:c r="N131" s="63" t="str">
        <x:v>PackedScene/程序组件</x:v>
      </x:c>
      <x:c r="O131" s="63" t="str">
        <x:v>assets/art/props/dungeon_3d/prp_service_station_root_top3d_v001.tscn</x:v>
      </x:c>
      <x:c r="P131" s="63" t="str">
        <x:v>src/world3d/ServiceStation3D.gd</x:v>
      </x:c>
      <x:c r="Q131" s="63" t="str">
        <x:v>终端;商店;升级;事件;重置</x:v>
      </x:c>
      <x:c r="R131" s="63" t="str">
        <x:f>LOWER(TRIM(C131)&amp;"|"&amp;TRIM(D131)&amp;"|"&amp;TRIM(E131)&amp;"|"&amp;TRIM(F131)&amp;"|"&amp;TRIM(H131)&amp;"|"&amp;TRIM(I131))</x:f>
        <x:v>场景道具|facility|service_station|root_3d|俯视3d|default</x:v>
      </x:c>
      <x:c r="S131" s="63" t="str">
        <x:f>IF(A131="","",IF(COUNTIF($R$6:$R$162,R131)&gt;1,"重复","唯一"))</x:f>
        <x:v>唯一</x:v>
      </x:c>
      <x:c r="T131" s="63" t="str">
        <x:v>da288e4a8ffc005053741d2eda3bbcbf2f6ad34c32c6657e35d0ddf62b837be4</x:v>
      </x:c>
      <x:c r="U131" s="63" t="str">
        <x:v>Codex</x:v>
      </x:c>
      <x:c r="V131" s="64" t="n">
        <x:v>46224</x:v>
      </x:c>
      <x:c r="W131" s="63" t="str">
        <x:v>原创程序几何</x:v>
      </x:c>
      <x:c r="X131" s="63" t="str">
        <x:v>四种服务行为复用同一视觉与交互组件</x:v>
      </x:c>
    </x:row>
    <x:row r="132" ht="34" customHeight="1">
      <x:c r="A132" s="63" t="str">
        <x:v>PRP-EXTRACTION-BEACON-3D</x:v>
      </x:c>
      <x:c r="B132" s="63" t="str">
        <x:v>撤离信标3D模块</x:v>
      </x:c>
      <x:c r="C132" s="63" t="str">
        <x:v>场景道具</x:v>
      </x:c>
      <x:c r="D132" s="63" t="str">
        <x:v>facility</x:v>
      </x:c>
      <x:c r="E132" s="63" t="str">
        <x:v>extraction_beacon</x:v>
      </x:c>
      <x:c r="F132" s="63" t="str">
        <x:v>root_3d</x:v>
      </x:c>
      <x:c r="G132" s="63" t="str">
        <x:v>ENV-DUNGEON-RUNTIME-3D</x:v>
      </x:c>
      <x:c r="H132" s="63" t="str">
        <x:v>俯视3D</x:v>
      </x:c>
      <x:c r="I132" s="63" t="str">
        <x:v>locked_active_done</x:v>
      </x:c>
      <x:c r="J132" s="63" t="str">
        <x:v>四主题撤离房</x:v>
      </x:c>
      <x:c r="K132" s="63" t="str">
        <x:v>原型已接入</x:v>
      </x:c>
      <x:c r="L132" s="63" t="str">
        <x:v>P0</x:v>
      </x:c>
      <x:c r="M132" s="63" t="str">
        <x:v>v001</x:v>
      </x:c>
      <x:c r="N132" s="63" t="str">
        <x:v>PackedScene/程序组件</x:v>
      </x:c>
      <x:c r="O132" s="63" t="str">
        <x:v>assets/art/props/dungeon_3d/prp_extraction_beacon_root_top3d_v001.tscn</x:v>
      </x:c>
      <x:c r="P132" s="63" t="str">
        <x:v>src/world3d/ExtractionBeacon3D.gd</x:v>
      </x:c>
      <x:c r="Q132" s="63" t="str">
        <x:v>撤离;信标;倒计时;Boss解锁</x:v>
      </x:c>
      <x:c r="R132" s="63" t="str">
        <x:f>LOWER(TRIM(C132)&amp;"|"&amp;TRIM(D132)&amp;"|"&amp;TRIM(E132)&amp;"|"&amp;TRIM(F132)&amp;"|"&amp;TRIM(H132)&amp;"|"&amp;TRIM(I132))</x:f>
        <x:v>场景道具|facility|extraction_beacon|root_3d|俯视3d|locked_active_done</x:v>
      </x:c>
      <x:c r="S132" s="63" t="str">
        <x:f>IF(A132="","",IF(COUNTIF($R$6:$R$162,R132)&gt;1,"重复","唯一"))</x:f>
        <x:v>唯一</x:v>
      </x:c>
      <x:c r="T132" s="63" t="str">
        <x:v>f2638fdaca3f9542e918a56750bda04a5828b18a763569eb16a36619e9e336b4</x:v>
      </x:c>
      <x:c r="U132" s="63" t="str">
        <x:v>Codex</x:v>
      </x:c>
      <x:c r="V132" s="64" t="n">
        <x:v>46224</x:v>
      </x:c>
      <x:c r="W132" s="63" t="str">
        <x:v>原创程序几何</x:v>
      </x:c>
      <x:c r="X132" s="63" t="str">
        <x:v>锁定/同步/取消/完成四段生命周期</x:v>
      </x:c>
    </x:row>
    <x:row r="133" ht="34" customHeight="1">
      <x:c r="A133" s="63" t="str">
        <x:v>VFX-HAZARD-FIELD-3D</x:v>
      </x:c>
      <x:c r="B133" s="63" t="str">
        <x:v>房间危险场3D特效</x:v>
      </x:c>
      <x:c r="C133" s="63" t="str">
        <x:v>特效</x:v>
      </x:c>
      <x:c r="D133" s="63" t="str">
        <x:v>environment</x:v>
      </x:c>
      <x:c r="E133" s="63" t="str">
        <x:v>hazard_field</x:v>
      </x:c>
      <x:c r="F133" s="63" t="str">
        <x:v>root_3d</x:v>
      </x:c>
      <x:c r="G133" s="63" t="str">
        <x:v>ENV-DUNGEON-RUNTIME-3D</x:v>
      </x:c>
      <x:c r="H133" s="63" t="str">
        <x:v>俯视3D</x:v>
      </x:c>
      <x:c r="I133" s="63" t="str">
        <x:v>active</x:v>
      </x:c>
      <x:c r="J133" s="63" t="str">
        <x:v>陷阱房</x:v>
      </x:c>
      <x:c r="K133" s="63" t="str">
        <x:v>原型已接入</x:v>
      </x:c>
      <x:c r="L133" s="63" t="str">
        <x:v>P0</x:v>
      </x:c>
      <x:c r="M133" s="63" t="str">
        <x:v>v001</x:v>
      </x:c>
      <x:c r="N133" s="63" t="str">
        <x:v>PackedScene/程序环形特效</x:v>
      </x:c>
      <x:c r="O133" s="63" t="str">
        <x:v>assets/art/vfx/environment_3d/vfx_hazard_field_root_top3d_v001.tscn</x:v>
      </x:c>
      <x:c r="P133" s="63" t="str">
        <x:v>src/world3d/HazardField3D.gd</x:v>
      </x:c>
      <x:c r="Q133" s="63" t="str">
        <x:v>危险区;陷阱;范围伤害;3D</x:v>
      </x:c>
      <x:c r="R133" s="63" t="str">
        <x:f>LOWER(TRIM(C133)&amp;"|"&amp;TRIM(D133)&amp;"|"&amp;TRIM(E133)&amp;"|"&amp;TRIM(F133)&amp;"|"&amp;TRIM(H133)&amp;"|"&amp;TRIM(I133))</x:f>
        <x:v>特效|environment|hazard_field|root_3d|俯视3d|active</x:v>
      </x:c>
      <x:c r="S133" s="63" t="str">
        <x:f>IF(A133="","",IF(COUNTIF($R$6:$R$162,R133)&gt;1,"重复","唯一"))</x:f>
        <x:v>唯一</x:v>
      </x:c>
      <x:c r="T133" s="63" t="str">
        <x:v>66ab8d6bc0e2729ca56c7f3c46a588e5f74890cfdf02b90de1fdc46fd1a67648</x:v>
      </x:c>
      <x:c r="U133" s="63" t="str">
        <x:v>Codex</x:v>
      </x:c>
      <x:c r="V133" s="64" t="n">
        <x:v>46224</x:v>
      </x:c>
      <x:c r="W133" s="63" t="str">
        <x:v>原创程序特效</x:v>
      </x:c>
      <x:c r="X133" s="63" t="str">
        <x:v>颜色、半径与伤害可按主题配置</x:v>
      </x:c>
    </x:row>
    <x:row r="134" ht="34" customHeight="1">
      <x:c r="A134" s="63" t="str">
        <x:v>WPN-GUN-KIT-3D</x:v>
      </x:c>
      <x:c r="B134" s="63" t="str">
        <x:v>枪械3D通用模型套件</x:v>
      </x:c>
      <x:c r="C134" s="63" t="str">
        <x:v>枪械</x:v>
      </x:c>
      <x:c r="D134" s="63" t="str">
        <x:v>gunbody</x:v>
      </x:c>
      <x:c r="E134" s="63" t="str">
        <x:v>blueprint_gun_catalog</x:v>
      </x:c>
      <x:c r="F134" s="63" t="str">
        <x:v>root_3d</x:v>
      </x:c>
      <x:c r="G134" s="63"/>
      <x:c r="H134" s="63" t="str">
        <x:v>俯视3D</x:v>
      </x:c>
      <x:c r="I134" s="63" t="str">
        <x:v>default</x:v>
      </x:c>
      <x:c r="J134" s="63" t="str">
        <x:v>玩家/靶场/全部副本</x:v>
      </x:c>
      <x:c r="K134" s="63" t="str">
        <x:v>原型已接入</x:v>
      </x:c>
      <x:c r="L134" s="63" t="str">
        <x:v>P0</x:v>
      </x:c>
      <x:c r="M134" s="63" t="str">
        <x:v>v001</x:v>
      </x:c>
      <x:c r="N134" s="63" t="str">
        <x:v>PackedScene/7枪配置模型</x:v>
      </x:c>
      <x:c r="O134" s="63" t="str">
        <x:v>assets/art/weapons/weapon_3d/wpn_gun_kit_root_top3d_v001.tscn</x:v>
      </x:c>
      <x:c r="P134" s="63" t="str">
        <x:v>src/combat3d/WeaponModel3D.gd</x:v>
      </x:c>
      <x:c r="Q134" s="63" t="str">
        <x:v>枪械;7枪身;8弹药;后坐力;枪口</x:v>
      </x:c>
      <x:c r="R134" s="63" t="str">
        <x:f>LOWER(TRIM(C134)&amp;"|"&amp;TRIM(D134)&amp;"|"&amp;TRIM(E134)&amp;"|"&amp;TRIM(F134)&amp;"|"&amp;TRIM(H134)&amp;"|"&amp;TRIM(I134))</x:f>
        <x:v>枪械|gunbody|blueprint_gun_catalog|root_3d|俯视3d|default</x:v>
      </x:c>
      <x:c r="S134" s="63" t="str">
        <x:f>IF(A134="","",IF(COUNTIF($R$6:$R$162,R134)&gt;1,"重复","唯一"))</x:f>
        <x:v>唯一</x:v>
      </x:c>
      <x:c r="T134" s="63" t="str">
        <x:v>e13801540404433f6fc5f00faa0f523b804d18ec7fa30c0f6c15fab48f1ec4c9</x:v>
      </x:c>
      <x:c r="U134" s="63" t="str">
        <x:v>Codex</x:v>
      </x:c>
      <x:c r="V134" s="64" t="n">
        <x:v>46225</x:v>
      </x:c>
      <x:c r="W134" s="63" t="str">
        <x:v>原创程序几何</x:v>
      </x:c>
      <x:c r="X134" s="63" t="str">
        <x:v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</x:v>
      </x:c>
    </x:row>
    <x:row r="135" ht="34" customHeight="1">
      <x:c r="A135" s="63" t="str">
        <x:v>ENM-ECOSYSTEM-KIT-3D</x:v>
      </x:c>
      <x:c r="B135" s="63" t="str">
        <x:v>七类怪物3D生态套件</x:v>
      </x:c>
      <x:c r="C135" s="63" t="str">
        <x:v>敌人</x:v>
      </x:c>
      <x:c r="D135" s="63" t="str">
        <x:v>normal_elite_boss</x:v>
      </x:c>
      <x:c r="E135" s="63" t="str">
        <x:v>enemy_ecosystem</x:v>
      </x:c>
      <x:c r="F135" s="63" t="str">
        <x:v>root_3d</x:v>
      </x:c>
      <x:c r="G135" s="63"/>
      <x:c r="H135" s="63" t="str">
        <x:v>俯视3D</x:v>
      </x:c>
      <x:c r="I135" s="63" t="str">
        <x:v>default</x:v>
      </x:c>
      <x:c r="J135" s="63" t="str">
        <x:v>四主题战斗房</x:v>
      </x:c>
      <x:c r="K135" s="63" t="str">
        <x:v>原型已接入</x:v>
      </x:c>
      <x:c r="L135" s="63" t="str">
        <x:v>P0</x:v>
      </x:c>
      <x:c r="M135" s="63" t="str">
        <x:v>v001</x:v>
      </x:c>
      <x:c r="N135" s="63" t="str">
        <x:v>PackedScene/模块敌人</x:v>
      </x:c>
      <x:c r="O135" s="63" t="str">
        <x:v>assets/art/enemies/enemy_3d/enm_ecosystem_kit_root_top3d_v001.tscn</x:v>
      </x:c>
      <x:c r="P135" s="63" t="str">
        <x:v>src/enemy3d/Enemy3D.gd</x:v>
      </x:c>
      <x:c r="Q135" s="63" t="str">
        <x:v>怪物;七类;核心;外壳;附肢;状态</x:v>
      </x:c>
      <x:c r="R135" s="63" t="str">
        <x:f>LOWER(TRIM(C135)&amp;"|"&amp;TRIM(D135)&amp;"|"&amp;TRIM(E135)&amp;"|"&amp;TRIM(F135)&amp;"|"&amp;TRIM(H135)&amp;"|"&amp;TRIM(I135))</x:f>
        <x:v>敌人|normal_elite_boss|enemy_ecosystem|root_3d|俯视3d|default</x:v>
      </x:c>
      <x:c r="S135" s="63" t="str">
        <x:f>IF(A135="","",IF(COUNTIF($R$6:$R$162,R135)&gt;1,"重复","唯一"))</x:f>
        <x:v>唯一</x:v>
      </x:c>
      <x:c r="T135" s="63" t="str">
        <x:v>d9d8a49bed3fdcb863bad72f60be1f774309c7dda52753f5efb3d4e56159c12d</x:v>
      </x:c>
      <x:c r="U135" s="63" t="str">
        <x:v>Codex</x:v>
      </x:c>
      <x:c r="V135" s="64" t="n">
        <x:v>46225</x:v>
      </x:c>
      <x:c r="W135" s="63" t="str">
        <x:v>原创程序几何</x:v>
      </x:c>
      <x:c r="X135" s="63" t="str">
        <x:v>九态AI视线允许射线命中玩家本体并保留实体墙遮挡；3D基础HP乘旧楼层/主题/精英倍率，开局手枪普通命中不秒杀基础怪</x:v>
      </x:c>
    </x:row>
    <x:row r="136" ht="34" customHeight="1">
      <x:c r="A136" s="63" t="str">
        <x:v>VFX-COMBAT-KIT-3D</x:v>
      </x:c>
      <x:c r="B136" s="63" t="str">
        <x:v>战斗反馈3D通用特效套件</x:v>
      </x:c>
      <x:c r="C136" s="63" t="str">
        <x:v>特效</x:v>
      </x:c>
      <x:c r="D136" s="63" t="str">
        <x:v>combat</x:v>
      </x:c>
      <x:c r="E136" s="63" t="str">
        <x:v>combat_feedback</x:v>
      </x:c>
      <x:c r="F136" s="63" t="str">
        <x:v>root_3d</x:v>
      </x:c>
      <x:c r="G136" s="63"/>
      <x:c r="H136" s="63" t="str">
        <x:v>俯视3D</x:v>
      </x:c>
      <x:c r="I136" s="63" t="str">
        <x:v>muzzle_impact_damage_explosion</x:v>
      </x:c>
      <x:c r="J136" s="63" t="str">
        <x:v>枪械/敌人/关卡</x:v>
      </x:c>
      <x:c r="K136" s="63" t="str">
        <x:v>原型已接入</x:v>
      </x:c>
      <x:c r="L136" s="63" t="str">
        <x:v>P0</x:v>
      </x:c>
      <x:c r="M136" s="63" t="str">
        <x:v>v001</x:v>
      </x:c>
      <x:c r="N136" s="63" t="str">
        <x:v>PackedScene/参数化特效</x:v>
      </x:c>
      <x:c r="O136" s="63" t="str">
        <x:v>assets/art/vfx/combat_3d/vfx_combat_kit_root_top3d_v001.tscn</x:v>
      </x:c>
      <x:c r="P136" s="63" t="str">
        <x:v>src/combat3d/CombatEffect3D.gd</x:v>
      </x:c>
      <x:c r="Q136" s="63" t="str">
        <x:v>枪口;命中;伤害;爆炸;3D</x:v>
      </x:c>
      <x:c r="R136" s="63" t="str">
        <x:f>LOWER(TRIM(C136)&amp;"|"&amp;TRIM(D136)&amp;"|"&amp;TRIM(E136)&amp;"|"&amp;TRIM(F136)&amp;"|"&amp;TRIM(H136)&amp;"|"&amp;TRIM(I136))</x:f>
        <x:v>特效|combat|combat_feedback|root_3d|俯视3d|muzzle_impact_damage_explosion</x:v>
      </x:c>
      <x:c r="S136" s="63" t="str">
        <x:f>IF(A136="","",IF(COUNTIF($R$6:$R$162,R136)&gt;1,"重复","唯一"))</x:f>
        <x:v>唯一</x:v>
      </x:c>
      <x:c r="T136" s="63" t="str">
        <x:v>2ee5109b1876ea2114ac5c73b4bd0e2fc0348e1209a9d2ca16bc8ef9834ff357</x:v>
      </x:c>
      <x:c r="U136" s="63" t="str">
        <x:v>Codex</x:v>
      </x:c>
      <x:c r="V136" s="64" t="n">
        <x:v>46224</x:v>
      </x:c>
      <x:c r="W136" s="63" t="str">
        <x:v>原创程序特效</x:v>
      </x:c>
      <x:c r="X136" s="63" t="str">
        <x:v>effect kind、颜色与尺寸参数化，避免每把枪复制特效</x:v>
      </x:c>
    </x:row>
    <x:row r="137" ht="34" customHeight="1">
      <x:c r="A137" s="63" t="str">
        <x:v>ENV-TRAINING-RANGE-KIT-3D</x:v>
      </x:c>
      <x:c r="B137" s="63" t="str">
        <x:v>独立3D训练靶场套件</x:v>
      </x:c>
      <x:c r="C137" s="63" t="str">
        <x:v>场景</x:v>
      </x:c>
      <x:c r="D137" s="63" t="str">
        <x:v>training_range</x:v>
      </x:c>
      <x:c r="E137" s="63" t="str">
        <x:v>training_range</x:v>
      </x:c>
      <x:c r="F137" s="63" t="str">
        <x:v>root_3d</x:v>
      </x:c>
      <x:c r="G137" s="63"/>
      <x:c r="H137" s="63" t="str">
        <x:v>俯视3D</x:v>
      </x:c>
      <x:c r="I137" s="63" t="str">
        <x:v>default</x:v>
      </x:c>
      <x:c r="J137" s="63" t="str">
        <x:v>独立训练地图</x:v>
      </x:c>
      <x:c r="K137" s="63" t="str">
        <x:v>原型已接入</x:v>
      </x:c>
      <x:c r="L137" s="63" t="str">
        <x:v>P0</x:v>
      </x:c>
      <x:c r="M137" s="63" t="str">
        <x:v>v001</x:v>
      </x:c>
      <x:c r="N137" s="63" t="str">
        <x:v>PackedScene/程序环境</x:v>
      </x:c>
      <x:c r="O137" s="63" t="str">
        <x:v>assets/art/environments/training_range_3d/env_training_range_kit_top3d_v001.tscn</x:v>
      </x:c>
      <x:c r="P137" s="63" t="str">
        <x:v>scenes/TrainingRange3D.tscn</x:v>
      </x:c>
      <x:c r="Q137" s="63" t="str">
        <x:v>靶场;射击道;货架;56组合;三类靶</x:v>
      </x:c>
      <x:c r="R137" s="63" t="str">
        <x:f>LOWER(TRIM(C137)&amp;"|"&amp;TRIM(D137)&amp;"|"&amp;TRIM(E137)&amp;"|"&amp;TRIM(F137)&amp;"|"&amp;TRIM(H137)&amp;"|"&amp;TRIM(I137))</x:f>
        <x:v>场景|training_range|training_range|root_3d|俯视3d|default</x:v>
      </x:c>
      <x:c r="S137" s="63" t="str">
        <x:f>IF(A137="","",IF(COUNTIF($R$6:$R$162,R137)&gt;1,"重复","唯一"))</x:f>
        <x:v>唯一</x:v>
      </x:c>
      <x:c r="T137" s="63" t="str">
        <x:v>4d1153bc736fab0790300f171beef8435002670f3789d6434e966bca0a79d28e</x:v>
      </x:c>
      <x:c r="U137" s="63" t="str">
        <x:v>Codex</x:v>
      </x:c>
      <x:c r="V137" s="64" t="n">
        <x:v>46224</x:v>
      </x:c>
      <x:c r="W137" s="63" t="str">
        <x:v>原创程序几何</x:v>
      </x:c>
      <x:c r="X137" s="63" t="str">
        <x:v>15货架、三射击道、三靶标、重置与返回；BaseData隔离</x:v>
      </x:c>
    </x:row>
    <x:row r="138" ht="34" customHeight="1">
      <x:c r="A138" s="63" t="str">
        <x:v>ENV-DUNGEON-RUNTIME-3D-PREVIEW</x:v>
      </x:c>
      <x:c r="B138" s="63" t="str">
        <x:v>3D关卡运行时验收预览</x:v>
      </x:c>
      <x:c r="C138" s="63" t="str">
        <x:v>场景</x:v>
      </x:c>
      <x:c r="D138" s="63" t="str">
        <x:v>review_board</x:v>
      </x:c>
      <x:c r="E138" s="63" t="str">
        <x:v>dungeon_runtime</x:v>
      </x:c>
      <x:c r="F138" s="63" t="str">
        <x:v>preview_3d</x:v>
      </x:c>
      <x:c r="G138" s="63" t="str">
        <x:v>ENV-DUNGEON-RUNTIME-3D</x:v>
      </x:c>
      <x:c r="H138" s="63" t="str">
        <x:v>俯视3D</x:v>
      </x:c>
      <x:c r="I138" s="63" t="str">
        <x:v>default</x:v>
      </x:c>
      <x:c r="J138" s="63" t="str">
        <x:v>评审与资产QA</x:v>
      </x:c>
      <x:c r="K138" s="63" t="str">
        <x:v>已完成</x:v>
      </x:c>
      <x:c r="L138" s="63" t="str">
        <x:v>P1</x:v>
      </x:c>
      <x:c r="M138" s="63" t="str">
        <x:v>v001</x:v>
      </x:c>
      <x:c r="N138" s="63" t="str">
        <x:v>1280×720 PNG</x:v>
      </x:c>
      <x:c r="O138" s="63" t="str">
        <x:v>assets/art/environments/dungeon_3d/env_dungeon_runtime_preview_top3d_v001.png</x:v>
      </x:c>
      <x:c r="P138" s="63" t="str">
        <x:v>verify_full_3d_visual.tscn</x:v>
      </x:c>
      <x:c r="Q138" s="63" t="str">
        <x:v>3D关卡;预览;灯光;战斗;QA</x:v>
      </x:c>
      <x:c r="R138" s="63" t="str">
        <x:f>LOWER(TRIM(C138)&amp;"|"&amp;TRIM(D138)&amp;"|"&amp;TRIM(E138)&amp;"|"&amp;TRIM(F138)&amp;"|"&amp;TRIM(H138)&amp;"|"&amp;TRIM(I138))</x:f>
        <x:v>场景|review_board|dungeon_runtime|preview_3d|俯视3d|default</x:v>
      </x:c>
      <x:c r="S138" s="63" t="str">
        <x:f>IF(A138="","",IF(COUNTIF($R$6:$R$162,R138)&gt;1,"重复","唯一"))</x:f>
        <x:v>唯一</x:v>
      </x:c>
      <x:c r="T138" s="63" t="str">
        <x:v>3b2c2212f1283ed366a31dc3a101b3555c78768c3906600eb0b18c74423fb247</x:v>
      </x:c>
      <x:c r="U138" s="63" t="str">
        <x:v>Codex</x:v>
      </x:c>
      <x:c r="V138" s="64" t="n">
        <x:v>46225</x:v>
      </x:c>
      <x:c r="W138" s="63" t="str">
        <x:v>项目运行截图</x:v>
      </x:c>
      <x:c r="X138" s="63" t="str">
        <x:v>实际GPU窗口确认360°遮挡逻辑与96°定向表现；PH28三层玩家灯去除头顶溢光，角色正面柔光、增强中央灯与战斗轮廓通过验收</x:v>
      </x:c>
    </x:row>
    <x:row r="139" ht="34" customHeight="1">
      <x:c r="A139" s="63" t="str">
        <x:v>ENV-TRAINING-RANGE-3D-PREVIEW</x:v>
      </x:c>
      <x:c r="B139" s="63" t="str">
        <x:v>3D训练靶场验收预览</x:v>
      </x:c>
      <x:c r="C139" s="63" t="str">
        <x:v>场景</x:v>
      </x:c>
      <x:c r="D139" s="63" t="str">
        <x:v>review_board</x:v>
      </x:c>
      <x:c r="E139" s="63" t="str">
        <x:v>training_range</x:v>
      </x:c>
      <x:c r="F139" s="63" t="str">
        <x:v>preview_3d</x:v>
      </x:c>
      <x:c r="G139" s="63" t="str">
        <x:v>ENV-TRAINING-RANGE-KIT-3D</x:v>
      </x:c>
      <x:c r="H139" s="63" t="str">
        <x:v>俯视3D</x:v>
      </x:c>
      <x:c r="I139" s="63" t="str">
        <x:v>default</x:v>
      </x:c>
      <x:c r="J139" s="63" t="str">
        <x:v>评审与资产QA</x:v>
      </x:c>
      <x:c r="K139" s="63" t="str">
        <x:v>已完成</x:v>
      </x:c>
      <x:c r="L139" s="63" t="str">
        <x:v>P1</x:v>
      </x:c>
      <x:c r="M139" s="63" t="str">
        <x:v>v001</x:v>
      </x:c>
      <x:c r="N139" s="63" t="str">
        <x:v>1280×720 PNG</x:v>
      </x:c>
      <x:c r="O139" s="63" t="str">
        <x:v>assets/art/environments/training_range_3d/env_training_range_preview_top3d_v001.png</x:v>
      </x:c>
      <x:c r="P139" s="63" t="str">
        <x:v>verify_training_range_3d_visual.tscn</x:v>
      </x:c>
      <x:c r="Q139" s="63" t="str">
        <x:v>3D靶场;预览;射击道;目标;QA</x:v>
      </x:c>
      <x:c r="R139" s="63" t="str">
        <x:f>LOWER(TRIM(C139)&amp;"|"&amp;TRIM(D139)&amp;"|"&amp;TRIM(E139)&amp;"|"&amp;TRIM(F139)&amp;"|"&amp;TRIM(H139)&amp;"|"&amp;TRIM(I139))</x:f>
        <x:v>场景|review_board|training_range|preview_3d|俯视3d|default</x:v>
      </x:c>
      <x:c r="S139" s="63" t="str">
        <x:f>IF(A139="","",IF(COUNTIF($R$6:$R$162,R139)&gt;1,"重复","唯一"))</x:f>
        <x:v>唯一</x:v>
      </x:c>
      <x:c r="T139" s="63" t="str">
        <x:v>51b63097607e69009e9b2e5ed9315b3c642cdc05e823a2fee547cb0bb1ad8377</x:v>
      </x:c>
      <x:c r="U139" s="63" t="str">
        <x:v>Codex</x:v>
      </x:c>
      <x:c r="V139" s="64" t="n">
        <x:v>46224</x:v>
      </x:c>
      <x:c r="W139" s="63" t="str">
        <x:v>项目运行截图</x:v>
      </x:c>
      <x:c r="X139" s="63" t="str">
        <x:v>真实GPU窗口检查三条射击道、三类靶、枪弹组合区与灯光</x:v>
      </x:c>
    </x:row>
    <x:row r="140">
      <x:c r="A140" t="str">
        <x:v>VFX-VISIBILITY-FIELD-3D</x:v>
      </x:c>
      <x:c r="B140" t="str">
        <x:v>柔边真实单位视野场3D</x:v>
      </x:c>
      <x:c r="C140" t="str">
        <x:v>特效</x:v>
      </x:c>
      <x:c r="D140" t="str">
        <x:v>gameplay_vfx</x:v>
      </x:c>
      <x:c r="E140" t="str">
        <x:v>visibility_field</x:v>
      </x:c>
      <x:c r="F140" t="str">
        <x:v>field_mesh_3d</x:v>
      </x:c>
      <x:c r="G140" t="str">
        <x:v>VFX-VISIBILITY-LIGHT</x:v>
      </x:c>
      <x:c r="H140" t="str">
        <x:v>俯视3D</x:v>
      </x:c>
      <x:c r="I140" t="str">
        <x:v>default</x:v>
      </x:c>
      <x:c r="J140" t="str">
        <x:v>3D行动区/靶场/基地</x:v>
      </x:c>
      <x:c r="K140" t="str">
        <x:v>原型已接入</x:v>
      </x:c>
      <x:c r="L140" t="str">
        <x:v>P0</x:v>
      </x:c>
      <x:c r="M140" t="str">
        <x:v>v001</x:v>
      </x:c>
      <x:c r="N140" t="str">
        <x:v>360°逻辑射线 + ImmediateMesh 49+28表现射线</x:v>
      </x:c>
      <x:c r="O140" t="str">
        <x:v>src/player3d/PlayerVision3D.gd</x:v>
      </x:c>
      <x:c r="P140" t="str">
        <x:v>scenes/Player3D.tscn</x:v>
      </x:c>
      <x:c r="Q140" t="str">
        <x:v>360度逻辑视野;96度目光表现;柔边;墙体遮挡;无描边;非灯光判定</x:v>
      </x:c>
      <x:c r="R140" t="str">
        <x:f>LOWER(TRIM(C140)&amp;"|"&amp;TRIM(D140)&amp;"|"&amp;TRIM(E140)&amp;"|"&amp;TRIM(F140)&amp;"|"&amp;TRIM(H140)&amp;"|"&amp;TRIM(I140))</x:f>
        <x:v>特效|gameplay_vfx|visibility_field|field_mesh_3d|俯视3d|default</x:v>
      </x:c>
      <x:c r="S140" t="str">
        <x:f>IF(A140="","",IF(COUNTIF($R$6:$R$162,R140)&gt;1,"重复","唯一"))</x:f>
        <x:v>唯一</x:v>
      </x:c>
      <x:c r="T140" t="str">
        <x:v>f2b2eaf61798845c9068d45db0fdad2b32930df5b14a259e36bb8be67eefda07</x:v>
      </x:c>
      <x:c r="U140" t="str">
        <x:v>Codex</x:v>
      </x:c>
      <x:c r="V140" t="n">
        <x:v>46225</x:v>
      </x:c>
      <x:c r="W140" t="str">
        <x:v>原创程序几何</x:v>
      </x:c>
      <x:c r="X140" t="str">
        <x:v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</x:v>
      </x:c>
    </x:row>
    <x:row r="141">
      <x:c r="A141" t="str">
        <x:v>UI-SCREEN-INVENTORY-3D</x:v>
      </x:c>
      <x:c r="B141" t="str">
        <x:v>3D背包与保险界面</x:v>
      </x:c>
      <x:c r="C141" t="str">
        <x:v>UI</x:v>
      </x:c>
      <x:c r="D141" t="str">
        <x:v>screen</x:v>
      </x:c>
      <x:c r="E141" t="str">
        <x:v>inventory</x:v>
      </x:c>
      <x:c r="F141" t="str">
        <x:v>root_3d</x:v>
      </x:c>
      <x:c r="G141" t="str">
        <x:v>UI-SCREEN-INVENTORY</x:v>
      </x:c>
      <x:c r="H141" t="str">
        <x:v>屏幕空间</x:v>
      </x:c>
      <x:c r="I141" t="str">
        <x:v>default</x:v>
      </x:c>
      <x:c r="J141" t="str">
        <x:v>3D行动区</x:v>
      </x:c>
      <x:c r="K141" t="str">
        <x:v>原型已接入</x:v>
      </x:c>
      <x:c r="L141" t="str">
        <x:v>P0</x:v>
      </x:c>
      <x:c r="M141" t="str">
        <x:v>v001</x:v>
      </x:c>
      <x:c r="N141" t="str">
        <x:v>全屏Control/12+2槽/96×96投影</x:v>
      </x:c>
      <x:c r="O141" t="str">
        <x:v>src/ui/InventoryUI.gd</x:v>
      </x:c>
      <x:c r="P141" t="str">
        <x:v>scenes/Dungeon3D.tscn</x:v>
      </x:c>
      <x:c r="Q141" t="str">
        <x:v>背包;保险;I键;Tab;模态输入锁;3D道具投影;实际点击装备</x:v>
      </x:c>
      <x:c r="R141" t="str">
        <x:f>LOWER(TRIM(C141)&amp;"|"&amp;TRIM(D141)&amp;"|"&amp;TRIM(E141)&amp;"|"&amp;TRIM(F141)&amp;"|"&amp;TRIM(H141)&amp;"|"&amp;TRIM(I141))</x:f>
        <x:v>ui|screen|inventory|root_3d|屏幕空间|default</x:v>
      </x:c>
      <x:c r="S141" t="str">
        <x:f>IF(A141="","",IF(COUNTIF($R$6:$R$162,R141)&gt;1,"重复","唯一"))</x:f>
        <x:v>唯一</x:v>
      </x:c>
      <x:c r="T141" t="str">
        <x:v>ccd8f7d7f3c99454d157f0dfd2f34631a4d404931f2e1997b5c381db9ac90c99</x:v>
      </x:c>
      <x:c r="U141" t="str">
        <x:v>Codex</x:v>
      </x:c>
      <x:c r="V141" t="n">
        <x:v>46225</x:v>
      </x:c>
      <x:c r="W141" t="str">
        <x:v>原创程序UI</x:v>
      </x:c>
      <x:c r="X141" t="str">
        <x:v>复用背包根身份的3D子变体；I/Tab；打开时锁输入；道具共用 ItemModelFactory3D；实际 ItemSlot 信号完成换枪</x:v>
      </x:c>
    </x:row>
    <x:row r="142">
      <x:c r="A142" t="str">
        <x:v>UI-SCREEN-PAUSE-3D</x:v>
      </x:c>
      <x:c r="B142" t="str">
        <x:v>3D共用暂停界面</x:v>
      </x:c>
      <x:c r="C142" t="str">
        <x:v>UI</x:v>
      </x:c>
      <x:c r="D142" t="str">
        <x:v>screen</x:v>
      </x:c>
      <x:c r="E142" t="str">
        <x:v>pause</x:v>
      </x:c>
      <x:c r="F142" t="str">
        <x:v>root_3d</x:v>
      </x:c>
      <x:c r="G142"/>
      <x:c r="H142" t="str">
        <x:v>屏幕空间</x:v>
      </x:c>
      <x:c r="I142" t="str">
        <x:v>default</x:v>
      </x:c>
      <x:c r="J142" t="str">
        <x:v>地下城/基地/靶场</x:v>
      </x:c>
      <x:c r="K142" t="str">
        <x:v>已完成</x:v>
      </x:c>
      <x:c r="L142" t="str">
        <x:v>P0</x:v>
      </x:c>
      <x:c r="M142" t="str">
        <x:v>v001</x:v>
      </x:c>
      <x:c r="N142" t="str">
        <x:v>PackedScene/全屏Control</x:v>
      </x:c>
      <x:c r="O142" t="str">
        <x:v>assets/art/ui/pause_3d/ui_pause_overlay_screen_v001.tscn</x:v>
      </x:c>
      <x:c r="P142" t="str">
        <x:v>src/ui/PauseMenu3D.gd</x:v>
      </x:c>
      <x:c r="Q142" t="str">
        <x:v>暂停;Esc;继续;全局模态;3D HUD</x:v>
      </x:c>
      <x:c r="R142" t="str">
        <x:f>LOWER(TRIM(C142)&amp;"|"&amp;TRIM(D142)&amp;"|"&amp;TRIM(E142)&amp;"|"&amp;TRIM(F142)&amp;"|"&amp;TRIM(H142)&amp;"|"&amp;TRIM(I142))</x:f>
        <x:v>ui|screen|pause|root_3d|屏幕空间|default</x:v>
      </x:c>
      <x:c r="S142" t="str">
        <x:f>IF(A142="","",IF(COUNTIF($R$6:$R$162,R142)&gt;1,"重复","唯一"))</x:f>
        <x:v>唯一</x:v>
      </x:c>
      <x:c r="T142" t="str">
        <x:v>8fed542ebf6b89002c6922a287e666394472252ad9673d8183dd9db604c19a88</x:v>
      </x:c>
      <x:c r="U142" t="str">
        <x:v>Codex</x:v>
      </x:c>
      <x:c r="V142" t="n">
        <x:v>46225</x:v>
      </x:c>
      <x:c r="W142" t="str">
        <x:v>原创程序UI</x:v>
      </x:c>
      <x:c r="X142" t="str">
        <x:v>三张3D地图共用；Esc先关闭最上层模态，再进入真实暂停</x:v>
      </x:c>
    </x:row>
    <x:row r="143" ht="155" customHeight="1">
      <x:c r="A143" s="70" t="str">
        <x:v>PRP-ROOM-LIGHT-SWITCH-3D</x:v>
      </x:c>
      <x:c r="B143" s="70" t="str">
        <x:v>房间中央灯墙面开关3D</x:v>
      </x:c>
      <x:c r="C143" s="70" t="str">
        <x:v>场景道具</x:v>
      </x:c>
      <x:c r="D143" s="70" t="str">
        <x:v>facility</x:v>
      </x:c>
      <x:c r="E143" s="70" t="str">
        <x:v>room_light_switch</x:v>
      </x:c>
      <x:c r="F143" s="70" t="str">
        <x:v>root_3d</x:v>
      </x:c>
      <x:c r="G143" s="70" t="str">
        <x:v>ENV-DUNGEON-RUNTIME-3D</x:v>
      </x:c>
      <x:c r="H143" s="70" t="str">
        <x:v>俯视3D</x:v>
      </x:c>
      <x:c r="I143" s="70" t="str">
        <x:v>default</x:v>
      </x:c>
      <x:c r="J143" s="70" t="str">
        <x:v>随机关卡房间/四主题复用</x:v>
      </x:c>
      <x:c r="K143" s="70" t="str">
        <x:v>已接入</x:v>
      </x:c>
      <x:c r="L143" s="70" t="str">
        <x:v>P0</x:v>
      </x:c>
      <x:c r="M143" s="70" t="str">
        <x:v>v001</x:v>
      </x:c>
      <x:c r="N143" s="70" t="str">
        <x:v>PackedScene/Area3D</x:v>
      </x:c>
      <x:c r="O143" s="70" t="str">
        <x:v>assets/art/props/dungeon_3d/prp_room_light_switch_root_top3d_v001.tscn</x:v>
      </x:c>
      <x:c r="P143" s="70" t="str">
        <x:v>src/world3d/RoomLightSwitch3D.gd</x:v>
      </x:c>
      <x:c r="Q143" s="70" t="str">
        <x:v>房灯开关;墙面交互;中央顶灯;E键</x:v>
      </x:c>
      <x:c r="R143" s="70" t="str">
        <x:f>LOWER(TRIM(C143)&amp;"|"&amp;TRIM(D143)&amp;"|"&amp;TRIM(E143)&amp;"|"&amp;TRIM(F143)&amp;"|"&amp;TRIM(H143)&amp;"|"&amp;TRIM(I143))</x:f>
        <x:v>场景道具|facility|room_light_switch|root_3d|俯视3d|default</x:v>
      </x:c>
      <x:c r="S143" s="70" t="str">
        <x:f>IF(A143="","",IF(COUNTIF($R$6:$R$162,R143)&gt;1,"重复","唯一"))</x:f>
        <x:v>唯一</x:v>
      </x:c>
      <x:c r="T143" s="70" t="str">
        <x:v>7802bc3a71d892072e43962875e26b60443d19de35bcc77fe0cbedcfa6dd5d94</x:v>
      </x:c>
      <x:c r="U143" s="70" t="str">
        <x:v>Codex</x:v>
      </x:c>
      <x:c r="V143" s="71" t="n">
        <x:v>46233</x:v>
      </x:c>
      <x:c r="W143" s="70" t="str">
        <x:v>原创程序几何</x:v>
      </x:c>
      <x:c r="X143" s="70" t="str">
        <x:v>PH49：开关新增灯组控制，同一开关可统一切换多盏房间灯；基地四灯共用一个墙边开关并在快照中报告控制灯数量。单灯房继续兼容原接口。</x:v>
      </x:c>
    </x:row>
    <x:row r="144">
      <x:c r="A144" t="str">
        <x:v>VFX-PLAYER-FLASHLIGHT-3D</x:v>
      </x:c>
      <x:c r="B144" t="str">
        <x:v>玩家真实探照灯组件3D</x:v>
      </x:c>
      <x:c r="C144" t="str">
        <x:v>特效</x:v>
      </x:c>
      <x:c r="D144" t="str">
        <x:v>gameplay_vfx</x:v>
      </x:c>
      <x:c r="E144" t="str">
        <x:v>player_flashlight</x:v>
      </x:c>
      <x:c r="F144" t="str">
        <x:v>light_rig_3d</x:v>
      </x:c>
      <x:c r="G144" t="str">
        <x:v>VFX-VISIBILITY-FIELD-3D</x:v>
      </x:c>
      <x:c r="H144" t="str">
        <x:v>俯视3D</x:v>
      </x:c>
      <x:c r="I144" t="str">
        <x:v>default</x:v>
      </x:c>
      <x:c r="J144" t="str">
        <x:v>3D行动区/靶场/基地</x:v>
      </x:c>
      <x:c r="K144" t="str">
        <x:v>原型已接入</x:v>
      </x:c>
      <x:c r="L144" t="str">
        <x:v>P0</x:v>
      </x:c>
      <x:c r="M144" t="str">
        <x:v>v001</x:v>
      </x:c>
      <x:c r="N144" t="str">
        <x:v>PackedScene/2 SpotLight3D+1 OmniLight3D</x:v>
      </x:c>
      <x:c r="O144" t="str">
        <x:v>assets/art/vfx/visibility_3d/vfx_player_flashlight_root_top3d_v001.tscn</x:v>
      </x:c>
      <x:c r="P144" t="str">
        <x:v>src/player3d/PlayerFlashlight3D.gd</x:v>
      </x:c>
      <x:c r="Q144" t="str">
        <x:v>真实探照灯;玩家灯光;前向聚光;角色补光;可调灯光</x:v>
      </x:c>
      <x:c r="R144" t="str">
        <x:f>LOWER(TRIM(C144)&amp;"|"&amp;TRIM(D144)&amp;"|"&amp;TRIM(E144)&amp;"|"&amp;TRIM(F144)&amp;"|"&amp;TRIM(H144)&amp;"|"&amp;TRIM(I144))</x:f>
        <x:v>特效|gameplay_vfx|player_flashlight|light_rig_3d|俯视3d|default</x:v>
      </x:c>
      <x:c r="S144" t="str">
        <x:f>IF(A144="","",IF(COUNTIF($R$6:$R$162,R144)&gt;1,"重复","唯一"))</x:f>
        <x:v>唯一</x:v>
      </x:c>
      <x:c r="T144" t="str">
        <x:v>b389efe1d1fcfd30087a6d3f3f2784effee95cf6c54769fde27ecb6806011a05</x:v>
      </x:c>
      <x:c r="U144" t="str">
        <x:v>Codex</x:v>
      </x:c>
      <x:c r="V144" s="62" t="n">
        <x:v>46225</x:v>
      </x:c>
      <x:c r="W144" t="str">
        <x:v>原创程序灯光</x:v>
      </x:c>
      <x:c r="X144" t="str">
        <x:v>独立于玩法视野；环境layer1=投影主聚光+无阴影近身溢光，角色/手持枪layer2=微弱无阴影正面柔光；头顶环境灯不影响角色</x:v>
      </x:c>
    </x:row>
    <x:row r="145">
      <x:c r="A145" t="str">
        <x:v>UI-ICON-ITEM-MODEL-3D</x:v>
      </x:c>
      <x:c r="B145" t="str">
        <x:v>背包道具3D模型投影组件</x:v>
      </x:c>
      <x:c r="C145" t="str">
        <x:v>UI</x:v>
      </x:c>
      <x:c r="D145" t="str">
        <x:v>icon</x:v>
      </x:c>
      <x:c r="E145" t="str">
        <x:v>item_model_icon</x:v>
      </x:c>
      <x:c r="F145" t="str">
        <x:v>root_3d</x:v>
      </x:c>
      <x:c r="G145" t="str">
        <x:v>UI-SCREEN-INVENTORY-3D</x:v>
      </x:c>
      <x:c r="H145" t="str">
        <x:v>屏幕空间/3D投影</x:v>
      </x:c>
      <x:c r="I145" t="str">
        <x:v>default</x:v>
      </x:c>
      <x:c r="J145" t="str">
        <x:v>背包/保险格/道具预览</x:v>
      </x:c>
      <x:c r="K145" t="str">
        <x:v>原型已接入</x:v>
      </x:c>
      <x:c r="L145" t="str">
        <x:v>P0</x:v>
      </x:c>
      <x:c r="M145" t="str">
        <x:v>v001</x:v>
      </x:c>
      <x:c r="N145" t="str">
        <x:v>96×96 SubViewport/UPDATE_ONCE</x:v>
      </x:c>
      <x:c r="O145" t="str">
        <x:v>assets/art/ui/inventory_3d/ui_item_model_icon_root_v001.tscn</x:v>
      </x:c>
      <x:c r="P145" t="str">
        <x:v>src/ui/ItemModelIcon3D.gd</x:v>
      </x:c>
      <x:c r="Q145" t="str">
        <x:v>3D道具图标;模型投影;背包图标;共享世界模型;单次渲染</x:v>
      </x:c>
      <x:c r="R145" t="str">
        <x:f>LOWER(TRIM(C145)&amp;"|"&amp;TRIM(D145)&amp;"|"&amp;TRIM(E145)&amp;"|"&amp;TRIM(F145)&amp;"|"&amp;TRIM(H145)&amp;"|"&amp;TRIM(I145))</x:f>
        <x:v>ui|icon|item_model_icon|root_3d|屏幕空间/3d投影|default</x:v>
      </x:c>
      <x:c r="S145" t="str">
        <x:f>IF(A145="","",IF(COUNTIF($R$6:$R$162,R145)&gt;1,"重复","唯一"))</x:f>
        <x:v>唯一</x:v>
      </x:c>
      <x:c r="T145" t="str">
        <x:v>97c10f3884107c1263f3de1f8bc1ce84bb568ecd80418b62bdb023c55cdab9fe</x:v>
      </x:c>
      <x:c r="U145" t="str">
        <x:v>Codex</x:v>
      </x:c>
      <x:c r="V145" s="62" t="n">
        <x:v>46225</x:v>
      </x:c>
      <x:c r="W145" t="str">
        <x:v>原创程序UI</x:v>
      </x:c>
      <x:c r="X145" t="str">
        <x:v>与地面拾取共用 ItemModelFactory3D；96×96 内部视口缩放至56px槽位；只渲染一次；验收图：assets/art/ui/inventory_3d/ui_inventory_item_model_preview_v001.png</x:v>
      </x:c>
    </x:row>
    <x:row r="146" ht="44" customHeight="1">
      <x:c r="A146" s="63" t="str">
        <x:v>CHR-PLY-CAPSULE01-BODY-DIY-3D</x:v>
      </x:c>
      <x:c r="B146" s="63" t="str">
        <x:v>胶囊防护体3D身体DIY变体</x:v>
      </x:c>
      <x:c r="C146" s="63" t="str">
        <x:v>角色</x:v>
      </x:c>
      <x:c r="D146" s="63" t="str">
        <x:v>player_variant</x:v>
      </x:c>
      <x:c r="E146" s="63" t="str">
        <x:v>player_capsule01</x:v>
      </x:c>
      <x:c r="F146" s="63" t="str">
        <x:v>body_diy_3d</x:v>
      </x:c>
      <x:c r="G146" s="63" t="str">
        <x:v>CHR-PLY-CAPSULE01-BODY-3D</x:v>
      </x:c>
      <x:c r="H146" s="63" t="str">
        <x:v>俯视3D</x:v>
      </x:c>
      <x:c r="I146" s="63" t="str">
        <x:v>diy</x:v>
      </x:c>
      <x:c r="J146" s="63" t="str">
        <x:v>3D玩家/预览场</x:v>
      </x:c>
      <x:c r="K146" s="63" t="str">
        <x:v>原型已接入</x:v>
      </x:c>
      <x:c r="L146" s="63" t="str">
        <x:v>P1</x:v>
      </x:c>
      <x:c r="M146" s="63" t="str">
        <x:v>v001</x:v>
      </x:c>
      <x:c r="N146" s="63" t="str">
        <x:v>3种程序材质</x:v>
      </x:c>
      <x:c r="O146" s="63" t="str">
        <x:v>src/player3d/PlayerAvatar3D.gd</x:v>
      </x:c>
      <x:c r="P146" s="63" t="str">
        <x:v>VisualRoot/Body</x:v>
      </x:c>
      <x:c r="Q146" s="63" t="str">
        <x:v>身体;防护服;DIY;橄榄;沙色;钴蓝</x:v>
      </x:c>
      <x:c r="R146" s="63" t="str">
        <x:f>LOWER(TRIM(C146)&amp;"|"&amp;TRIM(D146)&amp;"|"&amp;TRIM(E146)&amp;"|"&amp;TRIM(F146)&amp;"|"&amp;TRIM(H146)&amp;"|"&amp;TRIM(I146))</x:f>
        <x:v>角色|player_variant|player_capsule01|body_diy_3d|俯视3d|diy</x:v>
      </x:c>
      <x:c r="S146" s="63" t="str">
        <x:f>IF(A146="","",IF(COUNTIF($R$6:$R$162,R146)&gt;1,"重复","唯一"))</x:f>
        <x:v>唯一</x:v>
      </x:c>
      <x:c r="T146" s="63" t="str">
        <x:v>43c7fa3fa002c9e5a2ec27f04fedeefacee2f32f3a91cb232e98f080513e2f7b</x:v>
      </x:c>
      <x:c r="U146" s="63" t="str">
        <x:v>Codex</x:v>
      </x:c>
      <x:c r="V146" s="63" t="str">
        <x:v>2026-07-25</x:v>
      </x:c>
      <x:c r="W146" s="63" t="str">
        <x:v>原创程序几何</x:v>
      </x:c>
      <x:c r="X146" s="63" t="str">
        <x:v>胶囊防护体3D身体DIY变体；作为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7" ht="44" customHeight="1">
      <x:c r="A147" s="63" t="str">
        <x:v>CHR-PLY-CAPSULE01-HEAD-DIY-3D</x:v>
      </x:c>
      <x:c r="B147" s="63" t="str">
        <x:v>胶囊防护体3D头部DIY变体</x:v>
      </x:c>
      <x:c r="C147" s="63" t="str">
        <x:v>角色</x:v>
      </x:c>
      <x:c r="D147" s="63" t="str">
        <x:v>player_variant</x:v>
      </x:c>
      <x:c r="E147" s="63" t="str">
        <x:v>player_capsule01</x:v>
      </x:c>
      <x:c r="F147" s="63" t="str">
        <x:v>head_diy_3d</x:v>
      </x:c>
      <x:c r="G147" s="63" t="str">
        <x:v>CHR-PLY-CAPSULE01-HEAD-3D</x:v>
      </x:c>
      <x:c r="H147" s="63" t="str">
        <x:v>俯视3D</x:v>
      </x:c>
      <x:c r="I147" s="63" t="str">
        <x:v>diy</x:v>
      </x:c>
      <x:c r="J147" s="63" t="str">
        <x:v>3D玩家/预览场</x:v>
      </x:c>
      <x:c r="K147" s="63" t="str">
        <x:v>原型已接入</x:v>
      </x:c>
      <x:c r="L147" s="63" t="str">
        <x:v>P1</x:v>
      </x:c>
      <x:c r="M147" s="63" t="str">
        <x:v>v001</x:v>
      </x:c>
      <x:c r="N147" s="63" t="str">
        <x:v>3种程序材质</x:v>
      </x:c>
      <x:c r="O147" s="63" t="str">
        <x:v>src/player3d/PlayerAvatar3D.gd</x:v>
      </x:c>
      <x:c r="P147" s="63" t="str">
        <x:v>VisualRoot/Head</x:v>
      </x:c>
      <x:c r="Q147" s="63" t="str">
        <x:v>头壳;传感器;DIY;青色面板;琥珀装甲</x:v>
      </x:c>
      <x:c r="R147" s="63" t="str">
        <x:f>LOWER(TRIM(C147)&amp;"|"&amp;TRIM(D147)&amp;"|"&amp;TRIM(E147)&amp;"|"&amp;TRIM(F147)&amp;"|"&amp;TRIM(H147)&amp;"|"&amp;TRIM(I147))</x:f>
        <x:v>角色|player_variant|player_capsule01|head_diy_3d|俯视3d|diy</x:v>
      </x:c>
      <x:c r="S147" s="63" t="str">
        <x:f>IF(A147="","",IF(COUNTIF($R$6:$R$162,R147)&gt;1,"重复","唯一"))</x:f>
        <x:v>唯一</x:v>
      </x:c>
      <x:c r="T147" s="63" t="str">
        <x:v>43c7fa3fa002c9e5a2ec27f04fedeefacee2f32f3a91cb232e98f080513e2f7b</x:v>
      </x:c>
      <x:c r="U147" s="63" t="str">
        <x:v>Codex</x:v>
      </x:c>
      <x:c r="V147" s="63" t="str">
        <x:v>2026-07-25</x:v>
      </x:c>
      <x:c r="W147" s="63" t="str">
        <x:v>原创程序几何</x:v>
      </x:c>
      <x:c r="X147" s="63" t="str">
        <x:v>胶囊防护体3D头部DIY变体；作为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8" ht="44" customHeight="1">
      <x:c r="A148" s="63" t="str">
        <x:v>CHR-PLY-CAPSULE01-HAND-DIY-3D</x:v>
      </x:c>
      <x:c r="B148" s="63" t="str">
        <x:v>胶囊防护体3D手部DIY变体</x:v>
      </x:c>
      <x:c r="C148" s="63" t="str">
        <x:v>角色</x:v>
      </x:c>
      <x:c r="D148" s="63" t="str">
        <x:v>player_variant</x:v>
      </x:c>
      <x:c r="E148" s="63" t="str">
        <x:v>player_capsule01</x:v>
      </x:c>
      <x:c r="F148" s="63" t="str">
        <x:v>hand_diy_3d</x:v>
      </x:c>
      <x:c r="G148" s="63" t="str">
        <x:v>CHR-PLY-CAPSULE01-HAND-3D</x:v>
      </x:c>
      <x:c r="H148" s="63" t="str">
        <x:v>俯视3D</x:v>
      </x:c>
      <x:c r="I148" s="63" t="str">
        <x:v>diy</x:v>
      </x:c>
      <x:c r="J148" s="63" t="str">
        <x:v>3D玩家/预览场</x:v>
      </x:c>
      <x:c r="K148" s="63" t="str">
        <x:v>原型已接入</x:v>
      </x:c>
      <x:c r="L148" s="63" t="str">
        <x:v>P1</x:v>
      </x:c>
      <x:c r="M148" s="63" t="str">
        <x:v>v001</x:v>
      </x:c>
      <x:c r="N148" s="63" t="str">
        <x:v>3种程序材质/抓握压缩</x:v>
      </x:c>
      <x:c r="O148" s="63" t="str">
        <x:v>src/player3d/PlayerAvatar3D.gd</x:v>
      </x:c>
      <x:c r="P148" s="63" t="str">
        <x:v>VisualRoot/Hand</x:v>
      </x:c>
      <x:c r="Q148" s="63" t="str">
        <x:v>唯一手;握持;DIY;橙色;青绿</x:v>
      </x:c>
      <x:c r="R148" s="63" t="str">
        <x:f>LOWER(TRIM(C148)&amp;"|"&amp;TRIM(D148)&amp;"|"&amp;TRIM(E148)&amp;"|"&amp;TRIM(F148)&amp;"|"&amp;TRIM(H148)&amp;"|"&amp;TRIM(I148))</x:f>
        <x:v>角色|player_variant|player_capsule01|hand_diy_3d|俯视3d|diy</x:v>
      </x:c>
      <x:c r="S148" s="63" t="str">
        <x:f>IF(A148="","",IF(COUNTIF($R$6:$R$162,R148)&gt;1,"重复","唯一"))</x:f>
        <x:v>唯一</x:v>
      </x:c>
      <x:c r="T148" s="63" t="str">
        <x:v>43c7fa3fa002c9e5a2ec27f04fedeefacee2f32f3a91cb232e98f080513e2f7b</x:v>
      </x:c>
      <x:c r="U148" s="63" t="str">
        <x:v>Codex</x:v>
      </x:c>
      <x:c r="V148" s="63" t="str">
        <x:v>2026-07-25</x:v>
      </x:c>
      <x:c r="W148" s="63" t="str">
        <x:v>原创程序几何</x:v>
      </x:c>
      <x:c r="X148" s="63" t="str">
        <x:v>胶囊防护体3D手部DIY变体；作为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9" ht="44" customHeight="1">
      <x:c r="A149" s="63" t="str">
        <x:v>CHR-PLY-CAPSULE01-HAT-DIY-3D</x:v>
      </x:c>
      <x:c r="B149" s="63" t="str">
        <x:v>胶囊防护体3D帽子DIY组件</x:v>
      </x:c>
      <x:c r="C149" s="63" t="str">
        <x:v>角色</x:v>
      </x:c>
      <x:c r="D149" s="63" t="str">
        <x:v>player_accessory</x:v>
      </x:c>
      <x:c r="E149" s="63" t="str">
        <x:v>player_capsule01</x:v>
      </x:c>
      <x:c r="F149" s="63" t="str">
        <x:v>hat_diy_3d</x:v>
      </x:c>
      <x:c r="G149" s="63" t="str">
        <x:v>CHR-PLY-CAPSULE01-HEAD-3D</x:v>
      </x:c>
      <x:c r="H149" s="63" t="str">
        <x:v>俯视3D</x:v>
      </x:c>
      <x:c r="I149" s="63" t="str">
        <x:v>diy</x:v>
      </x:c>
      <x:c r="J149" s="63" t="str">
        <x:v>3D玩家/预览场</x:v>
      </x:c>
      <x:c r="K149" s="63" t="str">
        <x:v>原型已接入</x:v>
      </x:c>
      <x:c r="L149" s="63" t="str">
        <x:v>P1</x:v>
      </x:c>
      <x:c r="M149" s="63" t="str">
        <x:v>v001</x:v>
      </x:c>
      <x:c r="N149" s="63" t="str">
        <x:v>软帽/安全帽/密封兜帽</x:v>
      </x:c>
      <x:c r="O149" s="63" t="str">
        <x:v>src/player3d/PlayerAvatar3D.gd</x:v>
      </x:c>
      <x:c r="P149" s="63" t="str">
        <x:v>VisualRoot/Head/Wearables</x:v>
      </x:c>
      <x:c r="Q149" s="63" t="str">
        <x:v>帽子;软帽;安全帽;兜帽;DIY</x:v>
      </x:c>
      <x:c r="R149" s="63" t="str">
        <x:f>LOWER(TRIM(C149)&amp;"|"&amp;TRIM(D149)&amp;"|"&amp;TRIM(E149)&amp;"|"&amp;TRIM(F149)&amp;"|"&amp;TRIM(H149)&amp;"|"&amp;TRIM(I149))</x:f>
        <x:v>角色|player_accessory|player_capsule01|hat_diy_3d|俯视3d|diy</x:v>
      </x:c>
      <x:c r="S149" s="63" t="str">
        <x:f>IF(A149="","",IF(COUNTIF($R$6:$R$162,R149)&gt;1,"重复","唯一"))</x:f>
        <x:v>唯一</x:v>
      </x:c>
      <x:c r="T149" s="63" t="str">
        <x:v>43c7fa3fa002c9e5a2ec27f04fedeefacee2f32f3a91cb232e98f080513e2f7b</x:v>
      </x:c>
      <x:c r="U149" s="63" t="str">
        <x:v>Codex</x:v>
      </x:c>
      <x:c r="V149" s="63" t="str">
        <x:v>2026-07-25</x:v>
      </x:c>
      <x:c r="W149" s="63" t="str">
        <x:v>原创程序几何</x:v>
      </x:c>
      <x:c r="X149" s="63" t="str">
        <x:v>胶囊防护体3D帽子DIY组件；作为 CHR-PLY-CAPSULE01-3D 子变体，由 Player3D.set_avatar_customization() 驱动；不改玩法。手/挂点内收并在移动、换弹、射击、蓄力、击飞中保持同相；verify_player3d_diy_flow PASS ｜ PH32灯光修正：角色专用层2；禁用投影/GI，仅接收AvatarFrontFill，不遮挡头壳传感器或探照灯 ｜ PH33：适配方形猫四模块与feet槽；双眼/双耳/圆短尾保持父组件归属</x:v>
      </x:c>
    </x:row>
    <x:row r="150" ht="44" customHeight="1">
      <x:c r="A150" s="63" t="str">
        <x:v>CHR-PLY-CAPSULE01-GLASSES-DIY-3D</x:v>
      </x:c>
      <x:c r="B150" s="63" t="str">
        <x:v>胶囊防护体3D眼镜DIY组件</x:v>
      </x:c>
      <x:c r="C150" s="63" t="str">
        <x:v>角色</x:v>
      </x:c>
      <x:c r="D150" s="63" t="str">
        <x:v>player_accessory</x:v>
      </x:c>
      <x:c r="E150" s="63" t="str">
        <x:v>player_capsule01</x:v>
      </x:c>
      <x:c r="F150" s="63" t="str">
        <x:v>glasses_diy_3d</x:v>
      </x:c>
      <x:c r="G150" s="63" t="str">
        <x:v>CHR-PLY-CAPSULE01-HEAD-3D</x:v>
      </x:c>
      <x:c r="H150" s="63" t="str">
        <x:v>俯视3D</x:v>
      </x:c>
      <x:c r="I150" s="63" t="str">
        <x:v>diy</x:v>
      </x:c>
      <x:c r="J150" s="63" t="str">
        <x:v>3D玩家/预览场</x:v>
      </x:c>
      <x:c r="K150" s="63" t="str">
        <x:v>原型已接入</x:v>
      </x:c>
      <x:c r="L150" s="63" t="str">
        <x:v>P1</x:v>
      </x:c>
      <x:c r="M150" s="63" t="str">
        <x:v>v001</x:v>
      </x:c>
      <x:c r="N150" s="63" t="str">
        <x:v>单目镜/双目护镜/宽面护目镜</x:v>
      </x:c>
      <x:c r="O150" s="63" t="str">
        <x:v>src/player3d/PlayerAvatar3D.gd</x:v>
      </x:c>
      <x:c r="P150" s="63" t="str">
        <x:v>VisualRoot/Head/Wearables</x:v>
      </x:c>
      <x:c r="Q150" s="63" t="str">
        <x:v>眼镜;单目镜;护目镜;宽面护目镜;DIY</x:v>
      </x:c>
      <x:c r="R150" s="63" t="str">
        <x:f>LOWER(TRIM(C150)&amp;"|"&amp;TRIM(D150)&amp;"|"&amp;TRIM(E150)&amp;"|"&amp;TRIM(F150)&amp;"|"&amp;TRIM(H150)&amp;"|"&amp;TRIM(I150))</x:f>
        <x:v>角色|player_accessory|player_capsule01|glasses_diy_3d|俯视3d|diy</x:v>
      </x:c>
      <x:c r="S150" s="63" t="str">
        <x:f>IF(A150="","",IF(COUNTIF($R$6:$R$162,R150)&gt;1,"重复","唯一"))</x:f>
        <x:v>唯一</x:v>
      </x:c>
      <x:c r="T150" s="63" t="str">
        <x:v>43c7fa3fa002c9e5a2ec27f04fedeefacee2f32f3a91cb232e98f080513e2f7b</x:v>
      </x:c>
      <x:c r="U150" s="63" t="str">
        <x:v>Codex</x:v>
      </x:c>
      <x:c r="V150" s="63" t="str">
        <x:v>2026-07-25</x:v>
      </x:c>
      <x:c r="W150" s="63" t="str">
        <x:v>原创程序几何</x:v>
      </x:c>
      <x:c r="X150" s="63" t="str">
        <x:v>胶囊防护体3D眼镜DIY组件；作为 CHR-PLY-CAPSULE01-3D 子变体，由 Player3D.set_avatar_customization() 驱动；不改玩法。手/挂点内收并在移动、换弹、射击、蓄力、击飞中保持同相；verify_player3d_diy_flow PASS ｜ PH32灯光修正：角色专用层2；禁用投影/GI，仅接收AvatarFrontFill，不遮挡头壳传感器或探照灯 ｜ PH33：适配方形猫四模块与feet槽；双眼/双耳/圆短尾保持父组件归属</x:v>
      </x:c>
    </x:row>
    <x:row r="151" ht="44" customHeight="1">
      <x:c r="A151" s="63" t="str">
        <x:v>CHR-PLY-CAPSULE01-FOOT-3D</x:v>
      </x:c>
      <x:c r="B151" s="63" t="str">
        <x:v>方形猫角色3D脚部模块</x:v>
      </x:c>
      <x:c r="C151" s="63" t="str">
        <x:v>角色</x:v>
      </x:c>
      <x:c r="D151" s="63" t="str">
        <x:v>player</x:v>
      </x:c>
      <x:c r="E151" s="63" t="str">
        <x:v>player_capsule01</x:v>
      </x:c>
      <x:c r="F151" s="63" t="str">
        <x:v>feet_3d</x:v>
      </x:c>
      <x:c r="G151" s="63" t="str">
        <x:v>CHR-PLY-CAPSULE01-3D</x:v>
      </x:c>
      <x:c r="H151" s="63" t="str">
        <x:v>俯视3D</x:v>
      </x:c>
      <x:c r="I151" s="63" t="str">
        <x:v>default</x:v>
      </x:c>
      <x:c r="J151" s="63" t="str">
        <x:v>3D玩家/预览场</x:v>
      </x:c>
      <x:c r="K151" s="63" t="str">
        <x:v>原型已接入</x:v>
      </x:c>
      <x:c r="L151" s="63" t="str">
        <x:v>P1</x:v>
      </x:c>
      <x:c r="M151" s="63" t="str">
        <x:v>v001</x:v>
      </x:c>
      <x:c r="N151" s="63" t="str">
        <x:v>双BoxMesh短脚</x:v>
      </x:c>
      <x:c r="O151" s="63" t="str">
        <x:v>assets/art/characters/player/chr_player_capsule01_3d/chr_player_capsule01_root_top3d_v001.tscn</x:v>
      </x:c>
      <x:c r="P151" s="63" t="str">
        <x:v>VisualRoot/Feet</x:v>
      </x:c>
      <x:c r="Q151" s="63" t="str">
        <x:v>脚;脚部;双脚;方脚;猫脚</x:v>
      </x:c>
      <x:c r="R151" s="63" t="str">
        <x:f>LOWER(TRIM(C151)&amp;"|"&amp;TRIM(D151)&amp;"|"&amp;TRIM(E151)&amp;"|"&amp;TRIM(F151)&amp;"|"&amp;TRIM(H151)&amp;"|"&amp;TRIM(I151))</x:f>
        <x:v>角色|player|player_capsule01|feet_3d|俯视3d|default</x:v>
      </x:c>
      <x:c r="S151" s="63" t="str">
        <x:f>IF(A151="","",IF(COUNTIF($R$6:$R$162,R151)&gt;1,"重复","唯一"))</x:f>
        <x:v>唯一</x:v>
      </x:c>
      <x:c r="T151" s="63" t="str">
        <x:v>0a15194d68ecc0490ecd3910d2e51901a006ec6ac28e093e2aba48c6f67fec64</x:v>
      </x:c>
      <x:c r="U151" s="63" t="str">
        <x:v>Codex</x:v>
      </x:c>
      <x:c r="V151" s="63" t="str">
        <x:v>2026-07-25</x:v>
      </x:c>
      <x:c r="W151" s="63" t="str">
        <x:v>原创程序几何</x:v>
      </x:c>
      <x:c r="X151" s="63" t="str">
        <x:v>方形猫角色3D脚部模块；复用CHR-PLY-CAPSULE01-3D玩家根；方形主语言，TailStub为用户指定圆尾例外；自动与视觉验收PASS</x:v>
      </x:c>
    </x:row>
    <x:row r="152" ht="44" customHeight="1">
      <x:c r="A152" s="63" t="str">
        <x:v>CHR-PLY-CAPSULE01-EYES-3D</x:v>
      </x:c>
      <x:c r="B152" s="63" t="str">
        <x:v>方形猫角色3D双眼配件</x:v>
      </x:c>
      <x:c r="C152" s="63" t="str">
        <x:v>角色</x:v>
      </x:c>
      <x:c r="D152" s="63" t="str">
        <x:v>player_accessory</x:v>
      </x:c>
      <x:c r="E152" s="63" t="str">
        <x:v>player_capsule01</x:v>
      </x:c>
      <x:c r="F152" s="63" t="str">
        <x:v>eyes_3d</x:v>
      </x:c>
      <x:c r="G152" s="63" t="str">
        <x:v>CHR-PLY-CAPSULE01-HEAD-3D</x:v>
      </x:c>
      <x:c r="H152" s="63" t="str">
        <x:v>俯视3D</x:v>
      </x:c>
      <x:c r="I152" s="63" t="str">
        <x:v>default</x:v>
      </x:c>
      <x:c r="J152" s="63" t="str">
        <x:v>3D玩家/预览场</x:v>
      </x:c>
      <x:c r="K152" s="63" t="str">
        <x:v>原型已接入</x:v>
      </x:c>
      <x:c r="L152" s="63" t="str">
        <x:v>P1</x:v>
      </x:c>
      <x:c r="M152" s="63" t="str">
        <x:v>v001</x:v>
      </x:c>
      <x:c r="N152" s="63" t="str">
        <x:v>2个矩形豆豆眼</x:v>
      </x:c>
      <x:c r="O152" s="63" t="str">
        <x:v>assets/art/characters/player/chr_player_capsule01_3d/chr_player_capsule01_root_top3d_v001.tscn</x:v>
      </x:c>
      <x:c r="P152" s="63" t="str">
        <x:v>VisualRoot/Head/Eyes</x:v>
      </x:c>
      <x:c r="Q152" s="63" t="str">
        <x:v>眼睛;双眼;豆豆眼;矩形眼</x:v>
      </x:c>
      <x:c r="R152" s="63" t="str">
        <x:f>LOWER(TRIM(C152)&amp;"|"&amp;TRIM(D152)&amp;"|"&amp;TRIM(E152)&amp;"|"&amp;TRIM(F152)&amp;"|"&amp;TRIM(H152)&amp;"|"&amp;TRIM(I152))</x:f>
        <x:v>角色|player_accessory|player_capsule01|eyes_3d|俯视3d|default</x:v>
      </x:c>
      <x:c r="S152" s="63" t="str">
        <x:f>IF(A152="","",IF(COUNTIF($R$6:$R$162,R152)&gt;1,"重复","唯一"))</x:f>
        <x:v>唯一</x:v>
      </x:c>
      <x:c r="T152" s="63" t="str">
        <x:v>0a15194d68ecc0490ecd3910d2e51901a006ec6ac28e093e2aba48c6f67fec64</x:v>
      </x:c>
      <x:c r="U152" s="63" t="str">
        <x:v>Codex</x:v>
      </x:c>
      <x:c r="V152" s="63" t="str">
        <x:v>2026-07-25</x:v>
      </x:c>
      <x:c r="W152" s="63" t="str">
        <x:v>原创程序几何</x:v>
      </x:c>
      <x:c r="X152" s="63" t="str">
        <x:v>方形猫角色3D双眼配件；复用CHR-PLY-CAPSULE01-3D玩家根；方形主语言，TailStub为用户指定圆尾例外；自动与视觉验收PASS</x:v>
      </x:c>
    </x:row>
    <x:row r="153" ht="44" customHeight="1">
      <x:c r="A153" s="63" t="str">
        <x:v>CHR-PLY-CAPSULE01-EARS-3D</x:v>
      </x:c>
      <x:c r="B153" s="63" t="str">
        <x:v>方形猫角色3D双耳配件</x:v>
      </x:c>
      <x:c r="C153" s="63" t="str">
        <x:v>角色</x:v>
      </x:c>
      <x:c r="D153" s="63" t="str">
        <x:v>player_accessory</x:v>
      </x:c>
      <x:c r="E153" s="63" t="str">
        <x:v>player_capsule01</x:v>
      </x:c>
      <x:c r="F153" s="63" t="str">
        <x:v>ears_3d</x:v>
      </x:c>
      <x:c r="G153" s="63" t="str">
        <x:v>CHR-PLY-CAPSULE01-HEAD-3D</x:v>
      </x:c>
      <x:c r="H153" s="63" t="str">
        <x:v>俯视3D</x:v>
      </x:c>
      <x:c r="I153" s="63" t="str">
        <x:v>default</x:v>
      </x:c>
      <x:c r="J153" s="63" t="str">
        <x:v>3D玩家/预览场</x:v>
      </x:c>
      <x:c r="K153" s="63" t="str">
        <x:v>原型已接入</x:v>
      </x:c>
      <x:c r="L153" s="63" t="str">
        <x:v>P1</x:v>
      </x:c>
      <x:c r="M153" s="63" t="str">
        <x:v>v001</x:v>
      </x:c>
      <x:c r="N153" s="63" t="str">
        <x:v>2个三角耳</x:v>
      </x:c>
      <x:c r="O153" s="63" t="str">
        <x:v>assets/art/characters/player/chr_player_capsule01_3d/chr_player_capsule01_root_top3d_v001.tscn</x:v>
      </x:c>
      <x:c r="P153" s="63" t="str">
        <x:v>VisualRoot/Head/Ears</x:v>
      </x:c>
      <x:c r="Q153" s="63" t="str">
        <x:v>耳朵;双耳;猫耳;三角耳</x:v>
      </x:c>
      <x:c r="R153" s="63" t="str">
        <x:f>LOWER(TRIM(C153)&amp;"|"&amp;TRIM(D153)&amp;"|"&amp;TRIM(E153)&amp;"|"&amp;TRIM(F153)&amp;"|"&amp;TRIM(H153)&amp;"|"&amp;TRIM(I153))</x:f>
        <x:v>角色|player_accessory|player_capsule01|ears_3d|俯视3d|default</x:v>
      </x:c>
      <x:c r="S153" s="63" t="str">
        <x:f>IF(A153="","",IF(COUNTIF($R$6:$R$162,R153)&gt;1,"重复","唯一"))</x:f>
        <x:v>唯一</x:v>
      </x:c>
      <x:c r="T153" s="63" t="str">
        <x:v>0a15194d68ecc0490ecd3910d2e51901a006ec6ac28e093e2aba48c6f67fec64</x:v>
      </x:c>
      <x:c r="U153" s="63" t="str">
        <x:v>Codex</x:v>
      </x:c>
      <x:c r="V153" s="63" t="str">
        <x:v>2026-07-25</x:v>
      </x:c>
      <x:c r="W153" s="63" t="str">
        <x:v>原创程序几何</x:v>
      </x:c>
      <x:c r="X153" s="63" t="str">
        <x:v>方形猫角色3D双耳配件；复用CHR-PLY-CAPSULE01-3D玩家根；方形主语言，TailStub为用户指定圆尾例外；自动与视觉验收PASS</x:v>
      </x:c>
    </x:row>
    <x:row r="154" ht="44" customHeight="1">
      <x:c r="A154" s="63" t="str">
        <x:v>CHR-PLY-CAPSULE01-TAIL-STUB-3D</x:v>
      </x:c>
      <x:c r="B154" s="63" t="str">
        <x:v>方形猫角色3D圆短尾</x:v>
      </x:c>
      <x:c r="C154" s="63" t="str">
        <x:v>角色</x:v>
      </x:c>
      <x:c r="D154" s="63" t="str">
        <x:v>player_accessory</x:v>
      </x:c>
      <x:c r="E154" s="63" t="str">
        <x:v>player_capsule01</x:v>
      </x:c>
      <x:c r="F154" s="63" t="str">
        <x:v>tail_stub_3d</x:v>
      </x:c>
      <x:c r="G154" s="63" t="str">
        <x:v>CHR-PLY-CAPSULE01-BODY-3D</x:v>
      </x:c>
      <x:c r="H154" s="63" t="str">
        <x:v>俯视3D</x:v>
      </x:c>
      <x:c r="I154" s="63" t="str">
        <x:v>default</x:v>
      </x:c>
      <x:c r="J154" s="63" t="str">
        <x:v>3D玩家/预览场</x:v>
      </x:c>
      <x:c r="K154" s="63" t="str">
        <x:v>原型已接入</x:v>
      </x:c>
      <x:c r="L154" s="63" t="str">
        <x:v>P1</x:v>
      </x:c>
      <x:c r="M154" s="63" t="str">
        <x:v>v001</x:v>
      </x:c>
      <x:c r="N154" s="63" t="str">
        <x:v>单个SphereMesh圆尾团</x:v>
      </x:c>
      <x:c r="O154" s="63" t="str">
        <x:v>assets/art/characters/player/chr_player_capsule01_3d/chr_player_capsule01_root_top3d_v001.tscn</x:v>
      </x:c>
      <x:c r="P154" s="63" t="str">
        <x:v>VisualRoot/Body/TailStub</x:v>
      </x:c>
      <x:c r="Q154" s="63" t="str">
        <x:v>尾巴;短尾;圆尾;尾团;无长尾</x:v>
      </x:c>
      <x:c r="R154" s="63" t="str">
        <x:f>LOWER(TRIM(C154)&amp;"|"&amp;TRIM(D154)&amp;"|"&amp;TRIM(E154)&amp;"|"&amp;TRIM(F154)&amp;"|"&amp;TRIM(H154)&amp;"|"&amp;TRIM(I154))</x:f>
        <x:v>角色|player_accessory|player_capsule01|tail_stub_3d|俯视3d|default</x:v>
      </x:c>
      <x:c r="S154" s="63" t="str">
        <x:f>IF(A154="","",IF(COUNTIF($R$6:$R$162,R154)&gt;1,"重复","唯一"))</x:f>
        <x:v>唯一</x:v>
      </x:c>
      <x:c r="T154" s="63" t="str">
        <x:v>0a15194d68ecc0490ecd3910d2e51901a006ec6ac28e093e2aba48c6f67fec64</x:v>
      </x:c>
      <x:c r="U154" s="63" t="str">
        <x:v>Codex</x:v>
      </x:c>
      <x:c r="V154" s="63" t="str">
        <x:v>2026-07-25</x:v>
      </x:c>
      <x:c r="W154" s="63" t="str">
        <x:v>原创程序几何</x:v>
      </x:c>
      <x:c r="X154" s="63" t="str">
        <x:v>方形猫角色3D圆短尾；复用CHR-PLY-CAPSULE01-3D玩家根；方形主语言，TailStub为用户指定圆尾例外；自动与视觉验收PASS</x:v>
      </x:c>
    </x:row>
    <x:row r="155" ht="44" customHeight="1">
      <x:c r="A155" s="63" t="str">
        <x:v>CHR-PLY-CAPSULE01-FEET-DIY-3D</x:v>
      </x:c>
      <x:c r="B155" s="63" t="str">
        <x:v>方形猫角色3D脚部DIY变体</x:v>
      </x:c>
      <x:c r="C155" s="63" t="str">
        <x:v>角色</x:v>
      </x:c>
      <x:c r="D155" s="63" t="str">
        <x:v>player_variant</x:v>
      </x:c>
      <x:c r="E155" s="63" t="str">
        <x:v>player_capsule01</x:v>
      </x:c>
      <x:c r="F155" s="63" t="str">
        <x:v>feet_diy_3d</x:v>
      </x:c>
      <x:c r="G155" s="63" t="str">
        <x:v>CHR-PLY-CAPSULE01-FOOT-3D</x:v>
      </x:c>
      <x:c r="H155" s="63" t="str">
        <x:v>俯视3D</x:v>
      </x:c>
      <x:c r="I155" s="63" t="str">
        <x:v>diy</x:v>
      </x:c>
      <x:c r="J155" s="63" t="str">
        <x:v>3D玩家/预览场</x:v>
      </x:c>
      <x:c r="K155" s="63" t="str">
        <x:v>原型已接入</x:v>
      </x:c>
      <x:c r="L155" s="63" t="str">
        <x:v>P1</x:v>
      </x:c>
      <x:c r="M155" s="63" t="str">
        <x:v>v001</x:v>
      </x:c>
      <x:c r="N155" s="63" t="str">
        <x:v>4种程序材质</x:v>
      </x:c>
      <x:c r="O155" s="63" t="str">
        <x:v>src/player3d/PlayerAvatar3D.gd</x:v>
      </x:c>
      <x:c r="P155" s="63" t="str">
        <x:v>VisualRoot/Feet</x:v>
      </x:c>
      <x:c r="Q155" s="63" t="str">
        <x:v>脚部DIY;猫脚;短靴;橙色;沙色;钴蓝;青绿</x:v>
      </x:c>
      <x:c r="R155" s="63" t="str">
        <x:f>LOWER(TRIM(C155)&amp;"|"&amp;TRIM(D155)&amp;"|"&amp;TRIM(E155)&amp;"|"&amp;TRIM(F155)&amp;"|"&amp;TRIM(H155)&amp;"|"&amp;TRIM(I155))</x:f>
        <x:v>角色|player_variant|player_capsule01|feet_diy_3d|俯视3d|diy</x:v>
      </x:c>
      <x:c r="S155" s="63" t="str">
        <x:f>IF(A155="","",IF(COUNTIF($R$6:$R$162,R155)&gt;1,"重复","唯一"))</x:f>
        <x:v>唯一</x:v>
      </x:c>
      <x:c r="T155" s="63" t="str">
        <x:v>43c7fa3fa002c9e5a2ec27f04fedeefacee2f32f3a91cb232e98f080513e2f7b</x:v>
      </x:c>
      <x:c r="U155" s="63" t="str">
        <x:v>Codex</x:v>
      </x:c>
      <x:c r="V155" s="63" t="str">
        <x:v>2026-07-25</x:v>
      </x:c>
      <x:c r="W155" s="63" t="str">
        <x:v>原创程序几何</x:v>
      </x:c>
      <x:c r="X155" s="63" t="str">
        <x:v>方形猫角色3D脚部DIY变体；复用CHR-PLY-CAPSULE01-3D玩家根；方形主语言，TailStub为用户指定圆尾例外；自动与视觉验收PASS</x:v>
      </x:c>
    </x:row>
    <x:row r="156" ht="132" customHeight="1">
      <x:c r="A156" s="70" t="str">
        <x:v>CHR-PLY-CAPSULE01-3D-BUNNY01</x:v>
      </x:c>
      <x:c r="B156" s="70" t="str">
        <x:v>兔子主角3D根变体</x:v>
      </x:c>
      <x:c r="C156" s="70" t="str">
        <x:v>角色</x:v>
      </x:c>
      <x:c r="D156" s="70" t="str">
        <x:v>player_variant</x:v>
      </x:c>
      <x:c r="E156" s="70" t="str">
        <x:v>player_capsule01</x:v>
      </x:c>
      <x:c r="F156" s="70" t="str">
        <x:v>root_3d_bunny01</x:v>
      </x:c>
      <x:c r="G156" s="70" t="str">
        <x:v>CHR-PLY-CAPSULE01-3D</x:v>
      </x:c>
      <x:c r="H156" s="70" t="str">
        <x:v>俯视3D</x:v>
      </x:c>
      <x:c r="I156" s="70" t="str">
        <x:v>default</x:v>
      </x:c>
      <x:c r="J156" s="70" t="str">
        <x:v>3D玩家场景</x:v>
      </x:c>
      <x:c r="K156" s="70" t="str">
        <x:v>原型已接入</x:v>
      </x:c>
      <x:c r="L156" s="70" t="str">
        <x:v>P0</x:v>
      </x:c>
      <x:c r="M156" s="70" t="str">
        <x:v>v006</x:v>
      </x:c>
      <x:c r="N156" s="70" t="str">
        <x:v>1.034×1.500×0.645 m / 完整视觉含耳</x:v>
      </x:c>
      <x:c r="O156" s="70" t="str">
        <x:v>assets/art/characters/player/chr_player_capsule01_3d/variants/bunny01/chr_player_capsule01_bunny01_root_top3d_v006.tscn</x:v>
      </x:c>
      <x:c r="P156" s="70" t="str">
        <x:v>assets/art/characters/player/chr_player_capsule01_3d/variants/bunny01/source/chr_player_capsule01_bunny01_top3d_v006.blend</x:v>
      </x:c>
      <x:c r="Q156" s="70" t="str">
        <x:v>兔子;主角;兔耳;3D;Blender;bunny01</x:v>
      </x:c>
      <x:c r="R156" s="70" t="str">
        <x:f>LOWER(TRIM(C156)&amp;"|"&amp;TRIM(D156)&amp;"|"&amp;TRIM(E156)&amp;"|"&amp;TRIM(F156)&amp;"|"&amp;TRIM(H156)&amp;"|"&amp;TRIM(I156))</x:f>
        <x:v>角色|player_variant|player_capsule01|root_3d_bunny01|俯视3d|default</x:v>
      </x:c>
      <x:c r="S156" s="70" t="str">
        <x:f>IF(A156="","",IF(COUNTIF($R$6:$R$162,R156)&gt;1,"重复","唯一"))</x:f>
        <x:v>唯一</x:v>
      </x:c>
      <x:c r="T156" s="70" t="str">
        <x:v>b88839fbe76eedddd48933ac1807867e7a4efbd683de36475215679d26e84998</x:v>
      </x:c>
      <x:c r="U156" s="70" t="str">
        <x:v>Codex</x:v>
      </x:c>
      <x:c r="V156" s="71" t="n">
        <x:v>46233</x:v>
      </x:c>
      <x:c r="W156" s="70" t="str">
        <x:v>用户提供 Blender 源文件 / Codex 模块化拆分</x:v>
      </x:c>
      <x:c r="X156" s="70" t="str">
        <x:v>PH43：继续复用v006 1.5m模型与稳定AssetID；Player3D玩法碰撞升级为高1.5m、半径0.34m的VirtualCollisionCapsule。顶层状态扩展为idle/moving/dashing/hurt/locked/falling/landing/dead；下落收腿、耳后扬与落地压缩/回弹均由既有刚性节点程序驱动，不新增GLB或贴图。</x:v>
      </x:c>
    </x:row>
    <x:row r="157" ht="118" customHeight="1">
      <x:c r="A157" s="70" t="str">
        <x:v>CHR-PLY-CAPSULE01-3D-BUNNY01-BODY</x:v>
      </x:c>
      <x:c r="B157" s="70" t="str">
        <x:v>兔子主角3D身体</x:v>
      </x:c>
      <x:c r="C157" s="70" t="str">
        <x:v>角色</x:v>
      </x:c>
      <x:c r="D157" s="70" t="str">
        <x:v>player_component</x:v>
      </x:c>
      <x:c r="E157" s="70" t="str">
        <x:v>player_capsule01</x:v>
      </x:c>
      <x:c r="F157" s="70" t="str">
        <x:v>body_3d_bunny01</x:v>
      </x:c>
      <x:c r="G157" s="70" t="str">
        <x:v>CHR-PLY-CAPSULE01-3D-BUNNY01</x:v>
      </x:c>
      <x:c r="H157" s="70" t="str">
        <x:v>俯视3D</x:v>
      </x:c>
      <x:c r="I157" s="70" t="str">
        <x:v>default</x:v>
      </x:c>
      <x:c r="J157" s="70" t="str">
        <x:v>3D玩家场景</x:v>
      </x:c>
      <x:c r="K157" s="70" t="str">
        <x:v>原型已接入</x:v>
      </x:c>
      <x:c r="L157" s="70" t="str">
        <x:v>P0</x:v>
      </x:c>
      <x:c r="M157" s="70" t="str">
        <x:v>v006</x:v>
      </x:c>
      <x:c r="N157" s="70" t="str">
        <x:v>GLB / 1,958 verts / pivot-local / 1.5m总高比例</x:v>
      </x:c>
      <x:c r="O157" s="70" t="str">
        <x:v>assets/art/characters/player/chr_player_capsule01_3d/variants/bunny01/components/chr_player_capsule01_bunny01_body_top3d_v006.glb</x:v>
      </x:c>
      <x:c r="P157" s="70" t="str">
        <x:v>assets/art/characters/player/chr_player_capsule01_3d/variants/bunny01/source/chr_player_capsule01_bunny01_top3d_v006.blend</x:v>
      </x:c>
      <x:c r="Q157" s="70" t="str">
        <x:v>兔子;身体;服装;body;bunny01</x:v>
      </x:c>
      <x:c r="R157" s="70" t="str">
        <x:f>LOWER(TRIM(C157)&amp;"|"&amp;TRIM(D157)&amp;"|"&amp;TRIM(E157)&amp;"|"&amp;TRIM(F157)&amp;"|"&amp;TRIM(H157)&amp;"|"&amp;TRIM(I157))</x:f>
        <x:v>角色|player_component|player_capsule01|body_3d_bunny01|俯视3d|default</x:v>
      </x:c>
      <x:c r="S157" s="70" t="str">
        <x:f>IF(A157="","",IF(COUNTIF($R$6:$R$162,R157)&gt;1,"重复","唯一"))</x:f>
        <x:v>唯一</x:v>
      </x:c>
      <x:c r="T157" s="70" t="str">
        <x:v>c574d76e0f19c1aaa4bee5f427a81028d7b3f0f50299f67b4dbf02a60fc5668d</x:v>
      </x:c>
      <x:c r="U157" s="70" t="str">
        <x:v>Codex</x:v>
      </x:c>
      <x:c r="V157" s="71" t="n">
        <x:v>46233</x:v>
      </x:c>
      <x:c r="W157" s="70" t="str">
        <x:v>用户提供 Blender 源文件</x:v>
      </x:c>
      <x:c r="X157" s="70" t="str">
        <x:v>PH41 v006：身体网格与底部中心原点从v005等比放大1.5倍；Godot BodyJoint=(-0.000030,0.155022,-0.000635)。</x:v>
      </x:c>
    </x:row>
    <x:row r="158" ht="118" customHeight="1">
      <x:c r="A158" s="70" t="str">
        <x:v>CHR-PLY-CAPSULE01-3D-BUNNY01-HEAD</x:v>
      </x:c>
      <x:c r="B158" s="70" t="str">
        <x:v>兔子主角3D头部</x:v>
      </x:c>
      <x:c r="C158" s="70" t="str">
        <x:v>角色</x:v>
      </x:c>
      <x:c r="D158" s="70" t="str">
        <x:v>player_component</x:v>
      </x:c>
      <x:c r="E158" s="70" t="str">
        <x:v>player_capsule01</x:v>
      </x:c>
      <x:c r="F158" s="70" t="str">
        <x:v>head_3d_bunny01</x:v>
      </x:c>
      <x:c r="G158" s="70" t="str">
        <x:v>CHR-PLY-CAPSULE01-3D-BUNNY01</x:v>
      </x:c>
      <x:c r="H158" s="70" t="str">
        <x:v>俯视3D</x:v>
      </x:c>
      <x:c r="I158" s="70" t="str">
        <x:v>default</x:v>
      </x:c>
      <x:c r="J158" s="70" t="str">
        <x:v>3D玩家场景</x:v>
      </x:c>
      <x:c r="K158" s="70" t="str">
        <x:v>原型已接入</x:v>
      </x:c>
      <x:c r="L158" s="70" t="str">
        <x:v>P0</x:v>
      </x:c>
      <x:c r="M158" s="70" t="str">
        <x:v>v006</x:v>
      </x:c>
      <x:c r="N158" s="70" t="str">
        <x:v>GLB / 5,936 verts / pivot-local / 头顶1.103390m</x:v>
      </x:c>
      <x:c r="O158" s="70" t="str">
        <x:v>assets/art/characters/player/chr_player_capsule01_3d/variants/bunny01/components/chr_player_capsule01_bunny01_head_top3d_v006.glb</x:v>
      </x:c>
      <x:c r="P158" s="70" t="str">
        <x:v>assets/art/characters/player/chr_player_capsule01_3d/variants/bunny01/source/chr_player_capsule01_bunny01_top3d_v006.blend</x:v>
      </x:c>
      <x:c r="Q158" s="70" t="str">
        <x:v>兔子;头部;head;bunny01</x:v>
      </x:c>
      <x:c r="R158" s="70" t="str">
        <x:f>LOWER(TRIM(C158)&amp;"|"&amp;TRIM(D158)&amp;"|"&amp;TRIM(E158)&amp;"|"&amp;TRIM(F158)&amp;"|"&amp;TRIM(H158)&amp;"|"&amp;TRIM(I158))</x:f>
        <x:v>角色|player_component|player_capsule01|head_3d_bunny01|俯视3d|default</x:v>
      </x:c>
      <x:c r="S158" s="70" t="str">
        <x:f>IF(A158="","",IF(COUNTIF($R$6:$R$162,R158)&gt;1,"重复","唯一"))</x:f>
        <x:v>唯一</x:v>
      </x:c>
      <x:c r="T158" s="70" t="str">
        <x:v>b8db86c722bb2ae4d760b8219051f492251f6b9fa29882c8e32453b020973c24</x:v>
      </x:c>
      <x:c r="U158" s="70" t="str">
        <x:v>Codex</x:v>
      </x:c>
      <x:c r="V158" s="71" t="n">
        <x:v>46233</x:v>
      </x:c>
      <x:c r="W158" s="70" t="str">
        <x:v>用户提供 Blender 源文件</x:v>
      </x:c>
      <x:c r="X158" s="70" t="str">
        <x:v>PH41 v006：头部与下沿中心原点真实1.5倍；不含耳头顶1.103390m，完整双耳顶部1.500m。</x:v>
      </x:c>
    </x:row>
    <x:row r="159" ht="118" customHeight="1">
      <x:c r="A159" s="70" t="str">
        <x:v>CHR-PLY-CAPSULE01-3D-BUNNY01-EARS</x:v>
      </x:c>
      <x:c r="B159" s="70" t="str">
        <x:v>兔子主角3D双耳配件</x:v>
      </x:c>
      <x:c r="C159" s="70" t="str">
        <x:v>角色</x:v>
      </x:c>
      <x:c r="D159" s="70" t="str">
        <x:v>player_accessory</x:v>
      </x:c>
      <x:c r="E159" s="70" t="str">
        <x:v>player_capsule01</x:v>
      </x:c>
      <x:c r="F159" s="70" t="str">
        <x:v>ears_3d_bunny01</x:v>
      </x:c>
      <x:c r="G159" s="70" t="str">
        <x:v>CHR-PLY-CAPSULE01-3D-BUNNY01-HEAD</x:v>
      </x:c>
      <x:c r="H159" s="70" t="str">
        <x:v>俯视3D</x:v>
      </x:c>
      <x:c r="I159" s="70" t="str">
        <x:v>default</x:v>
      </x:c>
      <x:c r="J159" s="70" t="str">
        <x:v>3D玩家场景</x:v>
      </x:c>
      <x:c r="K159" s="70" t="str">
        <x:v>原型已接入</x:v>
      </x:c>
      <x:c r="L159" s="70" t="str">
        <x:v>P0</x:v>
      </x:c>
      <x:c r="M159" s="70" t="str">
        <x:v>v006</x:v>
      </x:c>
      <x:c r="N159" s="70" t="str">
        <x:v>单 GLB / 1,536 verts / pivot-local / 双实例</x:v>
      </x:c>
      <x:c r="O159" s="70" t="str">
        <x:v>assets/art/characters/player/chr_player_capsule01_3d/variants/bunny01/components/chr_player_capsule01_bunny01_ear_top3d_v006.glb</x:v>
      </x:c>
      <x:c r="P159" s="70" t="str">
        <x:v>assets/art/characters/player/chr_player_capsule01_3d/variants/bunny01/source/chr_player_capsule01_bunny01_top3d_v006.blend</x:v>
      </x:c>
      <x:c r="Q159" s="70" t="str">
        <x:v>兔耳;耳朵;耳部配件;EarSocketL;EarSocketR;bunny01</x:v>
      </x:c>
      <x:c r="R159" s="70" t="str">
        <x:f>LOWER(TRIM(C159)&amp;"|"&amp;TRIM(D159)&amp;"|"&amp;TRIM(E159)&amp;"|"&amp;TRIM(F159)&amp;"|"&amp;TRIM(H159)&amp;"|"&amp;TRIM(I159))</x:f>
        <x:v>角色|player_accessory|player_capsule01|ears_3d_bunny01|俯视3d|default</x:v>
      </x:c>
      <x:c r="S159" s="70" t="str">
        <x:f>IF(A159="","",IF(COUNTIF($R$6:$R$162,R159)&gt;1,"重复","唯一"))</x:f>
        <x:v>唯一</x:v>
      </x:c>
      <x:c r="T159" s="70" t="str">
        <x:v>ed3c7abe283166648fafb43373c1dc2222bf9134f3d7bb8e0ebd8d3a05242ebf</x:v>
      </x:c>
      <x:c r="U159" s="70" t="str">
        <x:v>Codex</x:v>
      </x:c>
      <x:c r="V159" s="71" t="n">
        <x:v>46233</x:v>
      </x:c>
      <x:c r="W159" s="70" t="str">
        <x:v>用户提供 Blender 源文件</x:v>
      </x:c>
      <x:c r="X159" s="70" t="str">
        <x:v>PH41 v006：耳朵网格与耳根原点真实1.5倍；左右挂点复用单资产，装配后最高点严格1.500m。</x:v>
      </x:c>
    </x:row>
    <x:row r="160" ht="118" customHeight="1">
      <x:c r="A160" s="70" t="str">
        <x:v>CHR-PLY-CAPSULE01-3D-BUNNY01-HAND</x:v>
      </x:c>
      <x:c r="B160" s="70" t="str">
        <x:v>兔子主角3D双爪表现组件</x:v>
      </x:c>
      <x:c r="C160" s="70" t="str">
        <x:v>角色</x:v>
      </x:c>
      <x:c r="D160" s="70" t="str">
        <x:v>player_component</x:v>
      </x:c>
      <x:c r="E160" s="70" t="str">
        <x:v>player_capsule01</x:v>
      </x:c>
      <x:c r="F160" s="70" t="str">
        <x:v>hand_3d_bunny01</x:v>
      </x:c>
      <x:c r="G160" s="70" t="str">
        <x:v>CHR-PLY-CAPSULE01-3D-BUNNY01</x:v>
      </x:c>
      <x:c r="H160" s="70" t="str">
        <x:v>俯视3D</x:v>
      </x:c>
      <x:c r="I160" s="70" t="str">
        <x:v>default</x:v>
      </x:c>
      <x:c r="J160" s="70" t="str">
        <x:v>3D玩家场景</x:v>
      </x:c>
      <x:c r="K160" s="70" t="str">
        <x:v>原型已接入</x:v>
      </x:c>
      <x:c r="L160" s="70" t="str">
        <x:v>P0</x:v>
      </x:c>
      <x:c r="M160" s="70" t="str">
        <x:v>v006</x:v>
      </x:c>
      <x:c r="N160" s="70" t="str">
        <x:v>双 GLB / 左右各1,058 verts / pivot-local / 1.5m角色比例</x:v>
      </x:c>
      <x:c r="O160" s="70" t="str">
        <x:v>assets/art/characters/player/chr_player_capsule01_3d/variants/bunny01/components/chr_player_capsule01_bunny01_hand_l_top3d_v006.glb; assets/art/characters/player/chr_player_capsule01_3d/variants/bunny01/components/chr_player_capsule01_bunny01_hand_r_top3d_v006.glb</x:v>
      </x:c>
      <x:c r="P160" s="70" t="str">
        <x:v>assets/art/characters/player/chr_player_capsule01_3d/variants/bunny01/source/chr_player_capsule01_bunny01_top3d_v006.blend</x:v>
      </x:c>
      <x:c r="Q160" s="70" t="str">
        <x:v>兔爪;手;握持;weapon_socket;bunny01</x:v>
      </x:c>
      <x:c r="R160" s="70" t="str">
        <x:f>LOWER(TRIM(C160)&amp;"|"&amp;TRIM(D160)&amp;"|"&amp;TRIM(E160)&amp;"|"&amp;TRIM(F160)&amp;"|"&amp;TRIM(H160)&amp;"|"&amp;TRIM(I160))</x:f>
        <x:v>角色|player_component|player_capsule01|hand_3d_bunny01|俯视3d|default</x:v>
      </x:c>
      <x:c r="S160" s="70" t="str">
        <x:f>IF(A160="","",IF(COUNTIF($R$6:$R$162,R160)&gt;1,"重复","唯一"))</x:f>
        <x:v>唯一</x:v>
      </x:c>
      <x:c r="T160" s="70" t="str">
        <x:v>2c6647c0e4f234e9312ba65e7c73f55c02627be9b7a2c35d1591d86a20cb5f16 / b3ada7b67d0224156d1c39af0bdc0e53af02cb5d26ba68d4746b7859a84a1d10</x:v>
      </x:c>
      <x:c r="U160" s="70" t="str">
        <x:v>Codex</x:v>
      </x:c>
      <x:c r="V160" s="71" t="n">
        <x:v>46233</x:v>
      </x:c>
      <x:c r="W160" s="70" t="str">
        <x:v>用户提供 Blender 源文件</x:v>
      </x:c>
      <x:c r="X160" s="70" t="str">
        <x:v>PH41 v006：左右手、手腕原点、单/双手握持目标和动作平移统一改用0.606060606米制比例；持枪外观与确认预览一致。</x:v>
      </x:c>
    </x:row>
    <x:row r="161" ht="132" customHeight="1">
      <x:c r="A161" s="70" t="str">
        <x:v>CHR-PLY-CAPSULE01-3D-BUNNY01-FOOT-L</x:v>
      </x:c>
      <x:c r="B161" s="70" t="str">
        <x:v>兔子主角3D左脚</x:v>
      </x:c>
      <x:c r="C161" s="70" t="str">
        <x:v>角色</x:v>
      </x:c>
      <x:c r="D161" s="70" t="str">
        <x:v>player_component</x:v>
      </x:c>
      <x:c r="E161" s="70" t="str">
        <x:v>player_capsule01</x:v>
      </x:c>
      <x:c r="F161" s="70" t="str">
        <x:v>foot_l_3d_bunny01</x:v>
      </x:c>
      <x:c r="G161" s="70" t="str">
        <x:v>CHR-PLY-CAPSULE01-3D-BUNNY01</x:v>
      </x:c>
      <x:c r="H161" s="70" t="str">
        <x:v>俯视3D</x:v>
      </x:c>
      <x:c r="I161" s="70" t="str">
        <x:v>moving</x:v>
      </x:c>
      <x:c r="J161" s="70" t="str">
        <x:v>3D玩家场景</x:v>
      </x:c>
      <x:c r="K161" s="70" t="str">
        <x:v>原型已接入</x:v>
      </x:c>
      <x:c r="L161" s="70" t="str">
        <x:v>P0</x:v>
      </x:c>
      <x:c r="M161" s="70" t="str">
        <x:v>v006</x:v>
      </x:c>
      <x:c r="N161" s="70" t="str">
        <x:v>GLB / 5,396 verts / pivot-local / 1.5m角色比例</x:v>
      </x:c>
      <x:c r="O161" s="70" t="str">
        <x:v>assets/art/characters/player/chr_player_capsule01_3d/variants/bunny01/components/chr_player_capsule01_bunny01_foot_l_top3d_v006.glb</x:v>
      </x:c>
      <x:c r="P161" s="70" t="str">
        <x:v>assets/art/characters/player/chr_player_capsule01_3d/variants/bunny01/source/chr_player_capsule01_bunny01_top3d_v006.blend</x:v>
      </x:c>
      <x:c r="Q161" s="70" t="str">
        <x:v>兔脚;左脚;步态;FootL;bunny01</x:v>
      </x:c>
      <x:c r="R161" s="70" t="str">
        <x:f>LOWER(TRIM(C161)&amp;"|"&amp;TRIM(D161)&amp;"|"&amp;TRIM(E161)&amp;"|"&amp;TRIM(F161)&amp;"|"&amp;TRIM(H161)&amp;"|"&amp;TRIM(I161))</x:f>
        <x:v>角色|player_component|player_capsule01|foot_l_3d_bunny01|俯视3d|moving</x:v>
      </x:c>
      <x:c r="S161" s="70" t="str">
        <x:f>IF(A161="","",IF(COUNTIF($R$6:$R$162,R161)&gt;1,"重复","唯一"))</x:f>
        <x:v>唯一</x:v>
      </x:c>
      <x:c r="T161" s="70" t="str">
        <x:v>52051cba0db701d977c8baa8d7ed9899825b10406803ac63e6a3f66efbd80b64</x:v>
      </x:c>
      <x:c r="U161" s="70" t="str">
        <x:v>Codex</x:v>
      </x:c>
      <x:c r="V161" s="71" t="n">
        <x:v>46233</x:v>
      </x:c>
      <x:c r="W161" s="70" t="str">
        <x:v>用户提供 Blender 源文件</x:v>
      </x:c>
      <x:c r="X161" s="70" t="str">
        <x:v>PH43：v006网格与AssetID不变；FootJointL除moving步态外新增falling收腿与landing压缩恢复职责，动作由PlayerAvatar3D程序变换驱动。</x:v>
      </x:c>
    </x:row>
    <x:row r="162" ht="132" customHeight="1">
      <x:c r="A162" s="70" t="str">
        <x:v>CHR-PLY-CAPSULE01-3D-BUNNY01-FOOT-R</x:v>
      </x:c>
      <x:c r="B162" s="70" t="str">
        <x:v>兔子主角3D右脚</x:v>
      </x:c>
      <x:c r="C162" s="70" t="str">
        <x:v>角色</x:v>
      </x:c>
      <x:c r="D162" s="70" t="str">
        <x:v>player_component</x:v>
      </x:c>
      <x:c r="E162" s="70" t="str">
        <x:v>player_capsule01</x:v>
      </x:c>
      <x:c r="F162" s="70" t="str">
        <x:v>foot_r_3d_bunny01</x:v>
      </x:c>
      <x:c r="G162" s="70" t="str">
        <x:v>CHR-PLY-CAPSULE01-3D-BUNNY01</x:v>
      </x:c>
      <x:c r="H162" s="70" t="str">
        <x:v>俯视3D</x:v>
      </x:c>
      <x:c r="I162" s="70" t="str">
        <x:v>moving</x:v>
      </x:c>
      <x:c r="J162" s="70" t="str">
        <x:v>3D玩家场景</x:v>
      </x:c>
      <x:c r="K162" s="70" t="str">
        <x:v>原型已接入</x:v>
      </x:c>
      <x:c r="L162" s="70" t="str">
        <x:v>P0</x:v>
      </x:c>
      <x:c r="M162" s="70" t="str">
        <x:v>v006</x:v>
      </x:c>
      <x:c r="N162" s="70" t="str">
        <x:v>GLB / 5,396 verts / pivot-local / 1.5m角色比例</x:v>
      </x:c>
      <x:c r="O162" s="70" t="str">
        <x:v>assets/art/characters/player/chr_player_capsule01_3d/variants/bunny01/components/chr_player_capsule01_bunny01_foot_r_top3d_v006.glb</x:v>
      </x:c>
      <x:c r="P162" s="70" t="str">
        <x:v>assets/art/characters/player/chr_player_capsule01_3d/variants/bunny01/source/chr_player_capsule01_bunny01_top3d_v006.blend</x:v>
      </x:c>
      <x:c r="Q162" s="70" t="str">
        <x:v>兔脚;右脚;步态;FootR;bunny01</x:v>
      </x:c>
      <x:c r="R162" s="70" t="str">
        <x:f>LOWER(TRIM(C162)&amp;"|"&amp;TRIM(D162)&amp;"|"&amp;TRIM(E162)&amp;"|"&amp;TRIM(F162)&amp;"|"&amp;TRIM(H162)&amp;"|"&amp;TRIM(I162))</x:f>
        <x:v>角色|player_component|player_capsule01|foot_r_3d_bunny01|俯视3d|moving</x:v>
      </x:c>
      <x:c r="S162" s="70" t="str">
        <x:f>IF(A162="","",IF(COUNTIF($R$6:$R$162,R162)&gt;1,"重复","唯一"))</x:f>
        <x:v>唯一</x:v>
      </x:c>
      <x:c r="T162" s="70" t="str">
        <x:v>d81e840f5c087b349fd6e19b4cb7e65eb79294edb937fdc75192b66967c29e2e</x:v>
      </x:c>
      <x:c r="U162" s="70" t="str">
        <x:v>Codex</x:v>
      </x:c>
      <x:c r="V162" s="71" t="n">
        <x:v>46233</x:v>
      </x:c>
      <x:c r="W162" s="70" t="str">
        <x:v>用户提供 Blender 源文件</x:v>
      </x:c>
      <x:c r="X162" s="70" t="str">
        <x:v>PH43：v006网格与AssetID不变；FootJointR除moving步态外新增falling收腿与landing压缩恢复职责，动作由PlayerAvatar3D程序变换驱动。</x:v>
      </x:c>
    </x:row>
    <x:row r="163" ht="155" customHeight="1">
      <x:c r="A163" s="70" t="str">
        <x:v>ENV-TOWER-DESCENT-KIT-3D</x:v>
      </x:c>
      <x:c r="B163" s="70" t="str">
        <x:v>向下爬楼塔楼3D五米模块化母版</x:v>
      </x:c>
      <x:c r="C163" s="70" t="str">
        <x:v>场景</x:v>
      </x:c>
      <x:c r="D163" s="70" t="str">
        <x:v>room_kit</x:v>
      </x:c>
      <x:c r="E163" s="70" t="str">
        <x:v>tower_descent</x:v>
      </x:c>
      <x:c r="F163" s="70" t="str">
        <x:v>root_3d</x:v>
      </x:c>
      <x:c r="G163" s="70" t="str">
        <x:v>ENV-DUNGEON-RUNTIME-3D</x:v>
      </x:c>
      <x:c r="H163" s="70" t="str">
        <x:v>俯视3D</x:v>
      </x:c>
      <x:c r="I163" s="70" t="str">
        <x:v>godot_runtime</x:v>
      </x:c>
      <x:c r="J163" s="70" t="str">
        <x:v>250×250m整层；99层30×30m/6×6格基地；98—95层终局路线；2.2×2.5m门</x:v>
      </x:c>
      <x:c r="K163" s="70" t="str">
        <x:v>已接入</x:v>
      </x:c>
      <x:c r="L163" s="70" t="str">
        <x:v>P0</x:v>
      </x:c>
      <x:c r="M163" s="70" t="str">
        <x:v>v007</x:v>
      </x:c>
      <x:c r="N163" s="70" t="str">
        <x:v>Blender 4.2源文件/1单位=1m/PH49运行时布局审阅集合</x:v>
      </x:c>
      <x:c r="O163" s="70" t="str">
        <x:v>assets/art/environments/tower_descent_3d/source/env_tower_descent_kit_top3d_v007.blend</x:v>
      </x:c>
      <x:c r="P163" s="70" t="str">
        <x:v>assets/art/environments/tower_descent_3d/source/sync_env_tower_descent_kit_top3d_v007.py; assets/art/environments/tower_descent_3d/source/validate_env_tower_descent_kit_top3d_v007.py; outputs/019fb2a5-6bc8-7d10-a214-90288a5f7e80/previews/env_tower_descent_v007_base99.png; outputs/019fb2a5-6bc8-7d10-a214-90288a5f7e80/previews/env_tower_descent_v007_floors98_95.png</x:v>
      </x:c>
      <x:c r="Q163" s="70" t="str">
        <x:v>塔楼;向下爬楼;楼顶;基地层;战斗层;特殊楼梯;通用楼梯;五米网格;模块化地砖;模块化墙;模块化门;Blender</x:v>
      </x:c>
      <x:c r="R163" s="70" t="str">
        <x:v>场景|room_kit|tower_descent|root_3d|俯视3d|blender_review</x:v>
      </x:c>
      <x:c r="S163" s="70" t="str">
        <x:v>唯一</x:v>
      </x:c>
      <x:c r="T163" s="70" t="str">
        <x:v>ef19c00e61478f0b3268edd9746e7fcf6704a2865aac0b4121474ab9b98e7552</x:v>
      </x:c>
      <x:c r="U163" s="70" t="str">
        <x:v>Codex</x:v>
      </x:c>
      <x:c r="V163" s="71" t="n">
        <x:v>46233</x:v>
      </x:c>
      <x:c r="W163" s="70" t="str">
        <x:v>用户楼梯资产 + Codex PH49运行时同步</x:v>
      </x:c>
      <x:c r="X163" s="70" t="str">
        <x:v>PH49：保留99→98楼梯间位置，并在99层基地墙边补17.5m连接走廊；基地改为精确30×30m、6×6个5m地砖。98层入口门位于楼梯间左侧语义方向，关卡改刷在门的内侧而不是对侧。98—95层均含探索、搜刮、战斗、撤离及种子化随机房间/掉落；五处电梯为房间树之外的独立墙边设施。v007 Blender母版同步了基地、两条走廊、46个房间占位、5个独立电梯与2.2×2.5m门合同。</x:v>
      </x:c>
    </x:row>
    <x:row r="164" ht="132" customHeight="1">
      <x:c r="A164" s="70" t="str">
        <x:v>ENV-TOWER-FLOOR-TILE-5M</x:v>
      </x:c>
      <x:c r="B164" s="70" t="str">
        <x:v>塔楼5米地砖模块</x:v>
      </x:c>
      <x:c r="C164" s="70" t="str">
        <x:v>场景</x:v>
      </x:c>
      <x:c r="D164" s="70" t="str">
        <x:v>room_kit</x:v>
      </x:c>
      <x:c r="E164" s="70" t="str">
        <x:v>tower_descent</x:v>
      </x:c>
      <x:c r="F164" s="70" t="str">
        <x:v>floor_tile_5m</x:v>
      </x:c>
      <x:c r="G164" s="70" t="str">
        <x:v>ENV-TOWER-DESCENT-KIT-3D</x:v>
      </x:c>
      <x:c r="H164" s="70" t="str">
        <x:v>俯视3D</x:v>
      </x:c>
      <x:c r="I164" s="70" t="str">
        <x:v>godot_runtime</x:v>
      </x:c>
      <x:c r="J164" s="70" t="str">
        <x:v>塔楼六个物理层楼板/335m MultiMesh网格</x:v>
      </x:c>
      <x:c r="K164" s="70" t="str">
        <x:v>原型已接入</x:v>
      </x:c>
      <x:c r="L164" s="70" t="str">
        <x:v>P0</x:v>
      </x:c>
      <x:c r="M164" s="70" t="str">
        <x:v>v001</x:v>
      </x:c>
      <x:c r="N164" s="70" t="str">
        <x:v>GLB / 5×5×0.30m / 共享Mesh / MultiMesh平铺</x:v>
      </x:c>
      <x:c r="O164" s="70" t="str">
        <x:v>assets/art/environments/tower_descent_3d/components/env_tower_floor_tile_5m_top3d_v001.glb</x:v>
      </x:c>
      <x:c r="P164" s="70" t="str">
        <x:v>Blender集合=10A_MOD_FLOOR_TILE_5M_U01; export_env_tower_5m_modules_v001.py; TowerFloorStage3D.gd; verify_tower_descent_flow.tscn</x:v>
      </x:c>
      <x:c r="Q164" s="70" t="str">
        <x:v>塔楼;地砖;楼板;5米;模块化;平铺;四向接口</x:v>
      </x:c>
      <x:c r="R164" s="70" t="str">
        <x:v>场景|room_kit|tower_descent|floor_tile_5m|俯视3d|blender_review</x:v>
      </x:c>
      <x:c r="S164" s="70" t="str">
        <x:v>母版子集合</x:v>
      </x:c>
      <x:c r="T164" s="70" t="str">
        <x:v>987b220bef57c4176590caf7568c909d90768450c00f7e4e27c4c61986e6ef2d</x:v>
      </x:c>
      <x:c r="U164" s="70" t="str">
        <x:v>Codex</x:v>
      </x:c>
      <x:c r="V164" s="71" t="n">
        <x:v>46233</x:v>
      </x:c>
      <x:c r="W164" s="70" t="str">
        <x:v>程序生成Blender源集合</x:v>
      </x:c>
      <x:c r="X164" s="70" t="str">
        <x:v>PH44：整层由67×67调整为50×50个5m模块，物理尺寸250×250m、满铺2500块；地板仍由模块化MultiMesh渲染并保留独立StaticBody承重。四向楼梯洞口改用对齐5m世界矩形换算网格，避免尺寸与位移单位错位。</x:v>
      </x:c>
    </x:row>
    <x:row r="165" ht="132" customHeight="1">
      <x:c r="A165" s="70" t="str">
        <x:v>ENV-TOWER-WALL-SOLID-5M</x:v>
      </x:c>
      <x:c r="B165" s="70" t="str">
        <x:v>塔楼5米满高实墙模块</x:v>
      </x:c>
      <x:c r="C165" s="70" t="str">
        <x:v>场景</x:v>
      </x:c>
      <x:c r="D165" s="70" t="str">
        <x:v>room_kit</x:v>
      </x:c>
      <x:c r="E165" s="70" t="str">
        <x:v>tower_descent</x:v>
      </x:c>
      <x:c r="F165" s="70" t="str">
        <x:v>wall_solid_5m</x:v>
      </x:c>
      <x:c r="G165" s="70" t="str">
        <x:v>ENV-TOWER-DESCENT-KIT-3D</x:v>
      </x:c>
      <x:c r="H165" s="70" t="str">
        <x:v>俯视3D</x:v>
      </x:c>
      <x:c r="I165" s="70" t="str">
        <x:v>godot_runtime</x:v>
      </x:c>
      <x:c r="J165" s="70" t="str">
        <x:v>整层外墙/65m核心/探索房内墙/5m正交走廊</x:v>
      </x:c>
      <x:c r="K165" s="70" t="str">
        <x:v>原型已接入</x:v>
      </x:c>
      <x:c r="L165" s="70" t="str">
        <x:v>P0</x:v>
      </x:c>
      <x:c r="M165" s="70" t="str">
        <x:v>v001</x:v>
      </x:c>
      <x:c r="N165" s="70" t="str">
        <x:v>GLB / 5×0.30×9m / 共享Mesh / 可旋转</x:v>
      </x:c>
      <x:c r="O165" s="70" t="str">
        <x:v>assets/art/environments/tower_descent_3d/components/env_tower_wall_solid_5m_top3d_v001.glb</x:v>
      </x:c>
      <x:c r="P165" s="70" t="str">
        <x:v>Blender集合=10B_MOD_WALL_SOLID_5M_U01; export_env_tower_5m_modules_v001.py; DungeonRoom3D.gd; TowerFloorStage3D.gd</x:v>
      </x:c>
      <x:c r="Q165" s="70" t="str">
        <x:v>塔楼;实墙;满高墙;5米;模块化;室内隔墙;核心外墙</x:v>
      </x:c>
      <x:c r="R165" s="70" t="str">
        <x:v>场景|room_kit|tower_descent|wall_solid_5m|俯视3d|blender_review</x:v>
      </x:c>
      <x:c r="S165" s="70" t="str">
        <x:v>母版子集合</x:v>
      </x:c>
      <x:c r="T165" s="70" t="str">
        <x:v>5680bf2dedc964fcbfd5e5ee7d5ba86af5ba8a2c77c64a02151aee19a7f2cc33</x:v>
      </x:c>
      <x:c r="U165" s="70" t="str">
        <x:v>Codex</x:v>
      </x:c>
      <x:c r="V165" s="71" t="n">
        <x:v>46233</x:v>
      </x:c>
      <x:c r="W165" s="70" t="str">
        <x:v>程序生成Blender源集合</x:v>
      </x:c>
      <x:c r="X165" s="70" t="str">
        <x:v>PH44：继续复用同一5m实墙模块；45m战斗房每边按9个模块拼接。为控制250m楼层节点量，同方向连续实墙改为单个MultiMeshInstance3D批量渲染，碰撞按门洞两侧合并成长条StaticBody形状；视觉仍保持逐5m模块拼缝与命名语义。</x:v>
      </x:c>
    </x:row>
    <x:row r="166" ht="132" customHeight="1">
      <x:c r="A166" s="70" t="str">
        <x:v>ENV-TOWER-WALL-PARAPET-5M</x:v>
      </x:c>
      <x:c r="B166" s="70" t="str">
        <x:v>塔楼5米楼顶女儿墙模块</x:v>
      </x:c>
      <x:c r="C166" s="70" t="str">
        <x:v>场景</x:v>
      </x:c>
      <x:c r="D166" s="70" t="str">
        <x:v>room_kit</x:v>
      </x:c>
      <x:c r="E166" s="70" t="str">
        <x:v>tower_descent</x:v>
      </x:c>
      <x:c r="F166" s="70" t="str">
        <x:v>wall_parapet_5m</x:v>
      </x:c>
      <x:c r="G166" s="70" t="str">
        <x:v>ENV-TOWER-DESCENT-KIT-3D</x:v>
      </x:c>
      <x:c r="H166" s="70" t="str">
        <x:v>俯视3D</x:v>
      </x:c>
      <x:c r="I166" s="70" t="str">
        <x:v>godot_runtime</x:v>
      </x:c>
      <x:c r="J166" s="70" t="str">
        <x:v>335m楼顶四周边界/268段MultiMesh围栏</x:v>
      </x:c>
      <x:c r="K166" s="70" t="str">
        <x:v>原型已接入</x:v>
      </x:c>
      <x:c r="L166" s="70" t="str">
        <x:v>P1</x:v>
      </x:c>
      <x:c r="M166" s="70" t="str">
        <x:v>v001</x:v>
      </x:c>
      <x:c r="N166" s="70" t="str">
        <x:v>GLB / 5×0.30×1.50m / 共享Mesh</x:v>
      </x:c>
      <x:c r="O166" s="70" t="str">
        <x:v>assets/art/environments/tower_descent_3d/components/env_tower_wall_parapet_5m_top3d_v001.glb</x:v>
      </x:c>
      <x:c r="P166" s="70" t="str">
        <x:v>Blender集合=10C_MOD_WALL_PARAPET_5M_U01; export_env_tower_5m_modules_v001.py; TowerFloorStage3D.gd; verify_tower_descent_visual.tscn</x:v>
      </x:c>
      <x:c r="Q166" s="70" t="str">
        <x:v>塔楼;女儿墙;护栏;5米;模块化;楼顶边界</x:v>
      </x:c>
      <x:c r="R166" s="70" t="str">
        <x:v>场景|room_kit|tower_descent|wall_parapet_5m|俯视3d|blender_review</x:v>
      </x:c>
      <x:c r="S166" s="70" t="str">
        <x:v>母版子集合</x:v>
      </x:c>
      <x:c r="T166" s="70" t="str">
        <x:v>44fdb663487a9bf010d8fa249a2f9811843409c35d9f7ce8d09c48f7de7bf808</x:v>
      </x:c>
      <x:c r="U166" s="70" t="str">
        <x:v>Codex</x:v>
      </x:c>
      <x:c r="V166" s="71" t="n">
        <x:v>46233</x:v>
      </x:c>
      <x:c r="W166" s="70" t="str">
        <x:v>程序生成Blender源集合</x:v>
      </x:c>
      <x:c r="X166" s="70" t="str">
        <x:v>PH44：继续复用同一5m围栏模块，按50×50网格环绕250×250m楼顶与整层边界，不新增大块整体网格；普通楼顶由统一太阳照明，楼梯口局部阴影不再靠提高全局环境亮度解决。</x:v>
      </x:c>
    </x:row>
    <x:row r="167" ht="155" customHeight="1">
      <x:c r="A167" s="70" t="str">
        <x:v>ENV-TOWER-WALL-DOOR-5M</x:v>
      </x:c>
      <x:c r="B167" s="70" t="str">
        <x:v>塔楼5米带门墙模块</x:v>
      </x:c>
      <x:c r="C167" s="70" t="str">
        <x:v>场景</x:v>
      </x:c>
      <x:c r="D167" s="70" t="str">
        <x:v>room_kit</x:v>
      </x:c>
      <x:c r="E167" s="70" t="str">
        <x:v>tower_descent</x:v>
      </x:c>
      <x:c r="F167" s="70" t="str">
        <x:v>wall_door_5m</x:v>
      </x:c>
      <x:c r="G167" s="70" t="str">
        <x:v>ENV-TOWER-DESCENT-KIT-3D</x:v>
      </x:c>
      <x:c r="H167" s="70" t="str">
        <x:v>俯视3D</x:v>
      </x:c>
      <x:c r="I167" s="70" t="str">
        <x:v>godot_runtime</x:v>
      </x:c>
      <x:c r="J167" s="70" t="str">
        <x:v>5m墙位/2.2m净宽/2.5m净高/独立门扇</x:v>
      </x:c>
      <x:c r="K167" s="70" t="str">
        <x:v>已接入</x:v>
      </x:c>
      <x:c r="L167" s="70" t="str">
        <x:v>P0</x:v>
      </x:c>
      <x:c r="M167" s="70" t="str">
        <x:v>v002</x:v>
      </x:c>
      <x:c r="N167" s="70" t="str">
        <x:v>Blender 4.2 GLB/7个Mesh部件/2.2×2.5m净开口</x:v>
      </x:c>
      <x:c r="O167" s="70" t="str">
        <x:v>assets/art/environments/tower_descent_3d/components/env_tower_wall_door_5m_top3d_v002.glb</x:v>
      </x:c>
      <x:c r="P167" s="70" t="str">
        <x:v>assets/art/environments/tower_descent_3d/source/export_env_tower_door_5m_v002.py; assets/art/environments/tower_descent_3d/source/env_tower_descent_kit_top3d_v007.blend</x:v>
      </x:c>
      <x:c r="Q167" s="70" t="str">
        <x:v>塔楼;门;门洞;5米;模块化;肉鸽触发;独立门扇</x:v>
      </x:c>
      <x:c r="R167" s="70" t="str">
        <x:v>场景|room_kit|tower_descent|wall_door_5m|俯视3d|blender_review</x:v>
      </x:c>
      <x:c r="S167" s="70" t="str">
        <x:v>母版子集合</x:v>
      </x:c>
      <x:c r="T167" s="70" t="str">
        <x:v>75f03e2bc785b0d957df9e27940ac9a024097ce6f2c371ae947b2c48cce69ca1</x:v>
      </x:c>
      <x:c r="U167" s="70" t="str">
        <x:v>Codex</x:v>
      </x:c>
      <x:c r="V167" s="71" t="n">
        <x:v>46233</x:v>
      </x:c>
      <x:c r="W167" s="70" t="str">
        <x:v>Codex Blender导出 + Godot运行时接入</x:v>
      </x:c>
      <x:c r="X167" s="70" t="str">
        <x:v>PH49：门洞合同统一为2.2m宽、2.5m高；RoomDoor3D门扇、碰撞、开门抬升距离和四向墙垛均按同一尺寸更新。门开启后禁用门扇碰撞，角色可通过；98—95层全部逻辑门执行双向目标验收。</x:v>
      </x:c>
    </x:row>
    <x:row r="168" ht="132" customHeight="1">
      <x:c r="A168" s="70" t="str">
        <x:v>ENV-TOWER-STAIRWELL-GENERIC-9M</x:v>
      </x:c>
      <x:c r="B168" s="70" t="str">
        <x:v>塔楼9米通用双跑楼梯间</x:v>
      </x:c>
      <x:c r="C168" s="70" t="str">
        <x:v>场景</x:v>
      </x:c>
      <x:c r="D168" s="70" t="str">
        <x:v>room_kit</x:v>
      </x:c>
      <x:c r="E168" s="70" t="str">
        <x:v>tower_descent</x:v>
      </x:c>
      <x:c r="F168" s="70" t="str">
        <x:v>stairwell_generic_9m</x:v>
      </x:c>
      <x:c r="G168" s="70" t="str">
        <x:v>ENV-TOWER-DESCENT-KIT-3D</x:v>
      </x:c>
      <x:c r="H168" s="70" t="str">
        <x:v>俯视3D</x:v>
      </x:c>
      <x:c r="I168" s="70" t="str">
        <x:v>godot_runtime</x:v>
      </x:c>
      <x:c r="J168" s="70" t="str">
        <x:v>99层以下通用楼梯/四向旋转/上下楼交通</x:v>
      </x:c>
      <x:c r="K168" s="70" t="str">
        <x:v>原型已接入</x:v>
      </x:c>
      <x:c r="L168" s="70" t="str">
        <x:v>P0</x:v>
      </x:c>
      <x:c r="M168" s="70" t="str">
        <x:v>v001</x:v>
      </x:c>
      <x:c r="N168" s="70" t="str">
        <x:v>GLB / 14.751×27.617×约18.41m包围 / 9m层差 / 48子对象</x:v>
      </x:c>
      <x:c r="O168" s="70" t="str">
        <x:v>assets/art/environments/tower_descent_3d/components/env_tower_stairwell_generic_9m_top3d_v001.glb</x:v>
      </x:c>
      <x:c r="P168" s="70" t="str">
        <x:v>Blender根=Stair_Generic_Rotatable_ROOT; env_tower_descent_kit_top3d_v006.blend; export_env_tower_stairwells_v001.py; TowerDescent3D.gd; verify_tower_descent_flow.tscn</x:v>
      </x:c>
      <x:c r="Q168" s="70" t="str">
        <x:v>塔楼;通用楼梯;双跑楼梯;折角平台;9米层高;四向旋转;Blender直出</x:v>
      </x:c>
      <x:c r="R168" s="70" t="str">
        <x:f>LOWER(TRIM(C168)&amp;"|"&amp;TRIM(D168)&amp;"|"&amp;TRIM(E168)&amp;"|"&amp;TRIM(F168)&amp;"|"&amp;TRIM(H168)&amp;"|"&amp;TRIM(I168))</x:f>
        <x:v>场景|room_kit|tower_descent|stairwell_generic_9m|俯视3d|godot_runtime</x:v>
      </x:c>
      <x:c r="S168" s="70" t="str">
        <x:f>IF(COUNTIF($R:$R,R168)&gt;1,"重复","唯一")</x:f>
        <x:v>唯一</x:v>
      </x:c>
      <x:c r="T168" s="70" t="str">
        <x:v>b0416e02b70673bb4cc38a58436210ff04343f6d68b4f5b80f8e1a0c5daaf844</x:v>
      </x:c>
      <x:c r="U168" s="70" t="str">
        <x:v>Codex</x:v>
      </x:c>
      <x:c r="V168" s="71" t="n">
        <x:v>46233</x:v>
      </x:c>
      <x:c r="W168" s="70" t="str">
        <x:v>用户手工Blender模型</x:v>
      </x:c>
      <x:c r="X168" s="70" t="str">
        <x:v>PH44：继续直接复用用户v006通用9m楼梯视觉与六块Walkable同形常驻碰撞；按5m世界矩形对齐250m整层中的四向楼梯洞口，可旋转通用。上下端门侧分别记录，避免楼梯开口朝向改变后沿用同一侧导致错位。</x:v>
      </x:c>
    </x:row>
    <x:row r="169" ht="132" customHeight="1">
      <x:c r="A169" s="70" t="str">
        <x:v>ENV-TOWER-STAIRWELL-ROOFTOP-9M</x:v>
      </x:c>
      <x:c r="B169" s="70" t="str">
        <x:v>塔楼楼顶特殊双跑楼梯间</x:v>
      </x:c>
      <x:c r="C169" s="70" t="str">
        <x:v>场景</x:v>
      </x:c>
      <x:c r="D169" s="70" t="str">
        <x:v>room_kit</x:v>
      </x:c>
      <x:c r="E169" s="70" t="str">
        <x:v>tower_descent</x:v>
      </x:c>
      <x:c r="F169" s="70" t="str">
        <x:v>stairwell_rooftop_9m</x:v>
      </x:c>
      <x:c r="G169" s="70" t="str">
        <x:v>ENV-TOWER-DESCENT-KIT-3D</x:v>
      </x:c>
      <x:c r="H169" s="70" t="str">
        <x:v>俯视3D</x:v>
      </x:c>
      <x:c r="I169" s="70" t="str">
        <x:v>godot_runtime</x:v>
      </x:c>
      <x:c r="J169" s="70" t="str">
        <x:v>楼顶至99层特殊交通/保留手调墙高</x:v>
      </x:c>
      <x:c r="K169" s="70" t="str">
        <x:v>原型已接入</x:v>
      </x:c>
      <x:c r="L169" s="70" t="str">
        <x:v>P0</x:v>
      </x:c>
      <x:c r="M169" s="70" t="str">
        <x:v>v001</x:v>
      </x:c>
      <x:c r="N169" s="70" t="str">
        <x:v>GLB / 14.751×27.617×约15.36m包围 / 9m层差 / 47子对象</x:v>
      </x:c>
      <x:c r="O169" s="70" t="str">
        <x:v>assets/art/environments/tower_descent_3d/components/env_tower_stairwell_rooftop_9m_top3d_v001.glb</x:v>
      </x:c>
      <x:c r="P169" s="70" t="str">
        <x:v>Blender根=Stair_Special_Rooftop_ROOT; env_tower_descent_kit_top3d_v006.blend; export_env_tower_stairwells_v001.py; TowerDescent3D.gd; verify_tower_descent_flow.tscn</x:v>
      </x:c>
      <x:c r="Q169" s="70" t="str">
        <x:v>塔楼;楼顶楼梯;特殊楼梯;双跑楼梯;特殊墙高;9米层高;Blender直出</x:v>
      </x:c>
      <x:c r="R169" s="70" t="str">
        <x:f>LOWER(TRIM(C169)&amp;"|"&amp;TRIM(D169)&amp;"|"&amp;TRIM(E169)&amp;"|"&amp;TRIM(F169)&amp;"|"&amp;TRIM(H169)&amp;"|"&amp;TRIM(I169))</x:f>
        <x:v>场景|room_kit|tower_descent|stairwell_rooftop_9m|俯视3d|godot_runtime</x:v>
      </x:c>
      <x:c r="S169" s="70" t="str">
        <x:f>IF(COUNTIF($R:$R,R169)&gt;1,"重复","唯一")</x:f>
        <x:v>唯一</x:v>
      </x:c>
      <x:c r="T169" s="70" t="str">
        <x:v>88198a579cc846974f17f5203b46b568b7ab2421fd7bb63c0b7868ddd05684a2</x:v>
      </x:c>
      <x:c r="U169" s="70" t="str">
        <x:v>Codex</x:v>
      </x:c>
      <x:c r="V169" s="71" t="n">
        <x:v>46233</x:v>
      </x:c>
      <x:c r="W169" s="70" t="str">
        <x:v>用户手工Blender模型</x:v>
      </x:c>
      <x:c r="X169" s="70" t="str">
        <x:v>PH44：继续复用用户v006楼顶特殊楼梯、加高墙体及常驻Walkable/EnclosureWall碰撞。楼顶纯黑问题确认为固定斜俯视镜头被门墙整段遮挡；现仅剖切遮挡角色的墙体渲染，并联动同方向5m墙段，物理碰撞、门和楼梯围护保持有效；天空反弹光降至1.25，仅补兼容渲染器缺少实时天空GI。</x:v>
      </x:c>
    </x:row>
  </x:sheetData>
  <x:mergeCells>
    <x:mergeCell ref="A1:X2"/>
    <x:mergeCell ref="A3:X3"/>
  </x:mergeCells>
  <x:conditionalFormatting sqref="S6:S112">
    <x:cfRule type="containsText" dxfId="0" priority="1" operator="containsText" text="重复"/>
  </x:conditionalFormatting>
  <x:conditionalFormatting sqref="K6:K112">
    <x:cfRule type="containsText" dxfId="1" priority="2" operator="containsText" text="已完成"/>
    <x:cfRule type="containsText" dxfId="2" priority="3" operator="containsText" text="待制作"/>
  </x:conditionalFormatting>
  <x:dataValidations count="3">
    <x:dataValidation type="list" sqref="C6:C112">
      <x:formula1>"角色,敌人,枪械,道具,场景,场景道具,UI,特效,音频"</x:formula1>
    </x:dataValidation>
    <x:dataValidation type="list" sqref="K6:K132">
      <x:formula1>"已完成,原型已接入,程序占位,待制作,待核对,弃用"</x:formula1>
    </x:dataValidation>
    <x:dataValidation type="list" sqref="L6:L132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e46b752a7748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5" hidden="0" customWidth="1"/>
    <x:col min="5" max="5" width="44" hidden="0" customWidth="1"/>
    <x:col min="6" max="6" width="14" hidden="0" customWidth="1"/>
    <x:col min="7" max="7" width="34" hidden="0" customWidth="1"/>
    <x:col min="8" max="8" width="19" hidden="0" customWidth="1"/>
    <x:col min="9" max="9" width="6" hidden="0" customWidth="1"/>
    <x:col min="10" max="10" width="26" hidden="0" customWidth="1"/>
    <x:col min="11" max="11" width="20" hidden="0" customWidth="1"/>
    <x:col min="12" max="12" width="8" hidden="0" customWidth="1"/>
    <x:col min="13" max="13" width="42" hidden="0" customWidth="1"/>
  </x:cols>
  <x:sheetData>
    <x:row r="1" ht="25" customHeight="1">
      <x:c r="A1" s="3" t="str">
        <x:v>角色组件与挂点契约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3" customHeight="1">
      <x:c r="A3" s="6" t="str">
        <x:v>每个角色优先复用这些槽；允许缺少某槽，但禁止把手臂烘焙回 body，武器永远挂 weapon_socket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5" ht="32" customHeight="1">
      <x:c r="A5" s="28" t="str">
        <x:v>角色ID</x:v>
      </x:c>
      <x:c r="B5" s="29" t="str">
        <x:v>组件槽</x:v>
      </x:c>
      <x:c r="C5" s="29" t="str">
        <x:v>节点路径</x:v>
      </x:c>
      <x:c r="D5" s="29" t="str">
        <x:v>父槽</x:v>
      </x:c>
      <x:c r="E5" s="29" t="str">
        <x:v>纹理路径</x:v>
      </x:c>
      <x:c r="F5" s="29" t="str">
        <x:v>运行时尺寸</x:v>
      </x:c>
      <x:c r="G5" s="29" t="str">
        <x:v>局部位置</x:v>
      </x:c>
      <x:c r="H5" s="29" t="str">
        <x:v>旋转/翻转</x:v>
      </x:c>
      <x:c r="I5" s="29" t="str">
        <x:v>Z</x:v>
      </x:c>
      <x:c r="J5" s="29" t="str">
        <x:v>动画职责</x:v>
      </x:c>
      <x:c r="K5" s="29" t="str">
        <x:v>换装边界</x:v>
      </x:c>
      <x:c r="L5" s="29" t="str">
        <x:v>必需</x:v>
      </x:c>
      <x:c r="M5" s="30" t="str">
        <x:v>备注</x:v>
      </x:c>
    </x:row>
    <x:row r="6">
      <x:c r="A6" s="36" t="str">
        <x:v>player_capsule01</x:v>
      </x:c>
      <x:c r="B6" s="36" t="str">
        <x:v>body</x:v>
      </x:c>
      <x:c r="C6" s="36" t="str">
        <x:v>PixelComponents/Body</x:v>
      </x:c>
      <x:c r="D6" s="36" t="str">
        <x:v>root</x:v>
      </x:c>
      <x:c r="E6" s="36" t="str">
        <x:v>assets/art/characters/player/chr_player_capsule01/components/chr_player_capsule01_body_side_v001.png</x:v>
      </x:c>
      <x:c r="F6" s="36" t="str">
        <x:v>32×35</x:v>
      </x:c>
      <x:c r="G6" s="36" t="str">
        <x:v>(0, 7)</x:v>
      </x:c>
      <x:c r="H6" s="36" t="str">
        <x:v>随朝向 flip_h</x:v>
      </x:c>
      <x:c r="I6" s="36" t="n">
        <x:v>1</x:v>
      </x:c>
      <x:c r="J6" s="36" t="str">
        <x:v>呼吸/移动压缩/死亡倾倒</x:v>
      </x:c>
      <x:c r="K6" s="36" t="str">
        <x:v>防护服主体</x:v>
      </x:c>
      <x:c r="L6" s="36" t="str">
        <x:v>是</x:v>
      </x:c>
      <x:c r="M6" s="36" t="str">
        <x:v>无腿、无脚、无手臂</x:v>
      </x:c>
    </x:row>
    <x:row r="7">
      <x:c r="A7" s="37" t="str">
        <x:v>player_capsule01</x:v>
      </x:c>
      <x:c r="B7" s="37" t="str">
        <x:v>scarf</x:v>
      </x:c>
      <x:c r="C7" s="37" t="str">
        <x:v>PixelComponents/Scarf</x:v>
      </x:c>
      <x:c r="D7" s="37" t="str">
        <x:v>root</x:v>
      </x:c>
      <x:c r="E7" s="37" t="str">
        <x:v>assets/art/characters/player/chr_player_capsule01/components/chr_player_capsule01_scarf_side_v001.png</x:v>
      </x:c>
      <x:c r="F7" s="37" t="str">
        <x:v>26×14</x:v>
      </x:c>
      <x:c r="G7" s="37" t="str">
        <x:v>(0, -8)</x:v>
      </x:c>
      <x:c r="H7" s="37" t="str">
        <x:v>flip_h + 轻摆</x:v>
      </x:c>
      <x:c r="I7" s="37" t="n">
        <x:v>2</x:v>
      </x:c>
      <x:c r="J7" s="37" t="str">
        <x:v>移动滞后/冲刺飘动</x:v>
      </x:c>
      <x:c r="K7" s="37" t="str">
        <x:v>身份配件</x:v>
      </x:c>
      <x:c r="L7" s="37" t="str">
        <x:v>否</x:v>
      </x:c>
      <x:c r="M7" s="37" t="str">
        <x:v>红色识别色；可换其他颈部配件</x:v>
      </x:c>
    </x:row>
    <x:row r="8">
      <x:c r="A8" s="37" t="str">
        <x:v>player_capsule01</x:v>
      </x:c>
      <x:c r="B8" s="37" t="str">
        <x:v>head</x:v>
      </x:c>
      <x:c r="C8" s="37" t="str">
        <x:v>PixelComponents/Head</x:v>
      </x:c>
      <x:c r="D8" s="37" t="str">
        <x:v>root</x:v>
      </x:c>
      <x:c r="E8" s="37" t="str">
        <x:v>assets/art/characters/player/chr_player_capsule01/components/chr_player_capsule01_head_side_v001.png</x:v>
      </x:c>
      <x:c r="F8" s="37" t="str">
        <x:v>28×24</x:v>
      </x:c>
      <x:c r="G8" s="37" t="str">
        <x:v>(0, -19)</x:v>
      </x:c>
      <x:c r="H8" s="37" t="str">
        <x:v>随朝向 flip_h</x:v>
      </x:c>
      <x:c r="I8" s="37" t="n">
        <x:v>3</x:v>
      </x:c>
      <x:c r="J8" s="37" t="str">
        <x:v>朝向/受击/死亡</x:v>
      </x:c>
      <x:c r="K8" s="37" t="str">
        <x:v>头壳/传感器</x:v>
      </x:c>
      <x:c r="L8" s="37" t="str">
        <x:v>是</x:v>
      </x:c>
      <x:c r="M8" s="37" t="str">
        <x:v>单传感器，无人脸</x:v>
      </x:c>
    </x:row>
    <x:row r="9">
      <x:c r="A9" s="37" t="str">
        <x:v>player_capsule01</x:v>
      </x:c>
      <x:c r="B9" s="37" t="str">
        <x:v>hand_l_source</x:v>
      </x:c>
      <x:c r="C9" s="37" t="str">
        <x:v>不实例化</x:v>
      </x:c>
      <x:c r="D9" s="37" t="str">
        <x:v>root</x:v>
      </x:c>
      <x:c r="E9" s="37" t="str">
        <x:v>assets/art/characters/player/chr_player_capsule01/components/chr_player_capsule01_hand_l_side_v001.png</x:v>
      </x:c>
      <x:c r="F9" s="37" t="str">
        <x:v>22×21</x:v>
      </x:c>
      <x:c r="G9" s="37" t="str">
        <x:v>不适用</x:v>
      </x:c>
      <x:c r="H9" s="37" t="str">
        <x:v>不适用</x:v>
      </x:c>
      <x:c r="I9" s="37" t="n">
        <x:v>4</x:v>
      </x:c>
      <x:c r="J9" s="37" t="str">
        <x:v>停用；仅保留源文件</x:v>
      </x:c>
      <x:c r="K9" s="37" t="str">
        <x:v>历史副手源</x:v>
      </x:c>
      <x:c r="L9" s="37" t="str">
        <x:v>否</x:v>
      </x:c>
      <x:c r="M9" s="37" t="str">
        <x:v>单手方案不进入运行时；替代项为 hand</x:v>
      </x:c>
    </x:row>
    <x:row r="10">
      <x:c r="A10" s="37" t="str">
        <x:v>player_capsule01</x:v>
      </x:c>
      <x:c r="B10" s="37" t="str">
        <x:v>hand</x:v>
      </x:c>
      <x:c r="C10" s="37" t="str">
        <x:v>PixelComponents/Hand</x:v>
      </x:c>
      <x:c r="D10" s="37" t="str">
        <x:v>root</x:v>
      </x:c>
      <x:c r="E10" s="37" t="str">
        <x:v>assets/art/characters/player/chr_player_capsule01/components/chr_player_capsule01_hand_r_side_v001.png</x:v>
      </x:c>
      <x:c r="F10" s="37" t="str">
        <x:v>22×17</x:v>
      </x:c>
      <x:c r="G10" s="37" t="str">
        <x:v>(-19, 0)/(19, 0)</x:v>
      </x:c>
      <x:c r="H10" s="37" t="str">
        <x:v>随身体 flip_h；不连续旋转</x:v>
      </x:c>
      <x:c r="I10" s="37" t="n">
        <x:v>5</x:v>
      </x:c>
      <x:c r="J10" s="37" t="str">
        <x:v>随身体左右换边；局部距离固定</x:v>
      </x:c>
      <x:c r="K10" s="37" t="str">
        <x:v>唯一握持手</x:v>
      </x:c>
      <x:c r="L10" s="37" t="str">
        <x:v>是</x:v>
      </x:c>
      <x:c r="M10" s="37" t="str">
        <x:v>手读取身体左右朝向，不读取准星连续角度</x:v>
      </x:c>
    </x:row>
    <x:row r="11">
      <x:c r="A11" s="37" t="str">
        <x:v>player_capsule01</x:v>
      </x:c>
      <x:c r="B11" s="37" t="str">
        <x:v>weapon_socket</x:v>
      </x:c>
      <x:c r="C11" s="37" t="str">
        <x:v>Player/WeaponAnchor</x:v>
      </x:c>
      <x:c r="D11" s="37" t="str">
        <x:v>player_root</x:v>
      </x:c>
      <x:c r="E11" s="37" t="str">
        <x:v>无纹理</x:v>
      </x:c>
      <x:c r="F11" s="37" t="str">
        <x:v>Marker2D</x:v>
      </x:c>
      <x:c r="G11" s="37" t="str">
        <x:v>(-24, 0)/(24, 0)</x:v>
      </x:c>
      <x:c r="H11" s="37" t="str">
        <x:v>挂点随身体换边；枪械跟随 aim_direction</x:v>
      </x:c>
      <x:c r="I11" s="37" t="n">
        <x:v>6</x:v>
      </x:c>
      <x:c r="J11" s="37" t="str">
        <x:v>枪械挂载/枪口特效</x:v>
      </x:c>
      <x:c r="K11" s="37" t="str">
        <x:v>武器系统</x:v>
      </x:c>
      <x:c r="L11" s="37" t="str">
        <x:v>是</x:v>
      </x:c>
      <x:c r="M11" s="37" t="str">
        <x:v>逻辑挂点无 PNG；垂直瞄准沿用上次左右朝向</x:v>
      </x:c>
    </x:row>
    <x:row r="12">
      <x:c r="A12" s="37" t="str">
        <x:v>template</x:v>
      </x:c>
      <x:c r="B12" s="37" t="str">
        <x:v>accessory_back</x:v>
      </x:c>
      <x:c r="C12" s="37" t="str">
        <x:v>PixelComponents/AccessoryBack</x:v>
      </x:c>
      <x:c r="D12" s="37" t="str">
        <x:v>root</x:v>
      </x:c>
      <x:c r="E12" s="37" t="str">
        <x:v>按需</x:v>
      </x:c>
      <x:c r="F12" s="37" t="str">
        <x:v>按需</x:v>
      </x:c>
      <x:c r="G12" s="37" t="str">
        <x:v>按需</x:v>
      </x:c>
      <x:c r="H12" s="37" t="str">
        <x:v>随朝向</x:v>
      </x:c>
      <x:c r="I12" s="37" t="n">
        <x:v>0</x:v>
      </x:c>
      <x:c r="J12" s="37" t="str">
        <x:v>披风/背包/长围巾尾</x:v>
      </x:c>
      <x:c r="K12" s="37" t="str">
        <x:v>背部配件</x:v>
      </x:c>
      <x:c r="L12" s="37" t="str">
        <x:v>否</x:v>
      </x:c>
      <x:c r="M12" s="37" t="str">
        <x:v>避免与 body 合图</x:v>
      </x:c>
    </x:row>
    <x:row r="13">
      <x:c r="A13" s="37" t="str">
        <x:v>template</x:v>
      </x:c>
      <x:c r="B13" s="37" t="str">
        <x:v>accessory_front</x:v>
      </x:c>
      <x:c r="C13" s="37" t="str">
        <x:v>PixelComponents/AccessoryFront</x:v>
      </x:c>
      <x:c r="D13" s="37" t="str">
        <x:v>root</x:v>
      </x:c>
      <x:c r="E13" s="37" t="str">
        <x:v>按需</x:v>
      </x:c>
      <x:c r="F13" s="37" t="str">
        <x:v>按需</x:v>
      </x:c>
      <x:c r="G13" s="37" t="str">
        <x:v>按需</x:v>
      </x:c>
      <x:c r="H13" s="37" t="str">
        <x:v>随朝向</x:v>
      </x:c>
      <x:c r="I13" s="37" t="n">
        <x:v>6</x:v>
      </x:c>
      <x:c r="J13" s="37" t="str">
        <x:v>徽章/护盾/前景饰物</x:v>
      </x:c>
      <x:c r="K13" s="37" t="str">
        <x:v>前景配件</x:v>
      </x:c>
      <x:c r="L13" s="37" t="str">
        <x:v>否</x:v>
      </x:c>
      <x:c r="M13" s="37" t="str">
        <x:v>必要时高于双手</x:v>
      </x:c>
    </x:row>
    <x:row r="14" ht="38" customHeight="1">
      <x:c r="A14" s="63" t="str">
        <x:v>player_capsule01_3d</x:v>
      </x:c>
      <x:c r="B14" s="63" t="str">
        <x:v>root</x:v>
      </x:c>
      <x:c r="C14" s="63" t="str">
        <x:v>Avatar3D/CapsuleAvatar3D/VisualRoot</x:v>
      </x:c>
      <x:c r="D14" s="63" t="str">
        <x:v>player_root</x:v>
      </x:c>
      <x:c r="E14" s="63" t="str">
        <x:v>assets/art/characters/player/chr_player_capsule01_3d/chr_player_capsule01_root_top3d_v001.tscn</x:v>
      </x:c>
      <x:c r="F14" s="63" t="str">
        <x:v>Node3D</x:v>
      </x:c>
      <x:c r="G14" s="63" t="str">
        <x:v>(0,0,0)</x:v>
      </x:c>
      <x:c r="H14" s="63" t="str">
        <x:v>整体随准星绕Y轴</x:v>
      </x:c>
      <x:c r="I14" s="63" t="n">
        <x:v>0</x:v>
      </x:c>
      <x:c r="J14" s="63" t="str">
        <x:v>六态整体 + reloading/firing/charging/knockback覆盖</x:v>
      </x:c>
      <x:c r="K14" s="63" t="str">
        <x:v>3D表现根</x:v>
      </x:c>
      <x:c r="L14" s="63" t="str">
        <x:v>是</x:v>
      </x:c>
      <x:c r="M14" s="63" t="str">
        <x:v>四主模块：Body/Head/Hand/Feet；2D旧胶囊不在本次迁移范围</x:v>
      </x:c>
    </x:row>
    <x:row r="15" ht="38" customHeight="1">
      <x:c r="A15" s="63" t="str">
        <x:v>player_capsule01_3d</x:v>
      </x:c>
      <x:c r="B15" s="63" t="str">
        <x:v>body</x:v>
      </x:c>
      <x:c r="C15" s="63" t="str">
        <x:v>VisualRoot/Body</x:v>
      </x:c>
      <x:c r="D15" s="63" t="str">
        <x:v>root</x:v>
      </x:c>
      <x:c r="E15" s="63" t="str">
        <x:v>assets/art/characters/player/chr_player_capsule01_3d/chr_player_capsule01_root_top3d_v001.tscn</x:v>
      </x:c>
      <x:c r="F15" s="63" t="str">
        <x:v>BoxMesh + 子件</x:v>
      </x:c>
      <x:c r="G15" s="63" t="str">
        <x:v>(0,0.76,0.02)</x:v>
      </x:c>
      <x:c r="H15" s="63" t="str">
        <x:v>随root</x:v>
      </x:c>
      <x:c r="I15" s="63" t="n">
        <x:v>1</x:v>
      </x:c>
      <x:c r="J15" s="63" t="str">
        <x:v>呼吸/移动压缩/射击前探/死亡倾倒</x:v>
      </x:c>
      <x:c r="K15" s="63" t="str">
        <x:v>方形猫身</x:v>
      </x:c>
      <x:c r="L15" s="63" t="str">
        <x:v>是</x:v>
      </x:c>
      <x:c r="M15" s="63" t="str">
        <x:v>BodyShell + BellyPatch；方形主轮廓</x:v>
      </x:c>
    </x:row>
    <x:row r="16" ht="38" customHeight="1">
      <x:c r="A16" s="63" t="str">
        <x:v>player_capsule01_3d</x:v>
      </x:c>
      <x:c r="B16" s="63" t="str">
        <x:v>head</x:v>
      </x:c>
      <x:c r="C16" s="63" t="str">
        <x:v>VisualRoot/Head</x:v>
      </x:c>
      <x:c r="D16" s="63" t="str">
        <x:v>root</x:v>
      </x:c>
      <x:c r="E16" s="63" t="str">
        <x:v>assets/art/characters/player/chr_player_capsule01_3d/chr_player_capsule01_root_top3d_v001.tscn</x:v>
      </x:c>
      <x:c r="F16" s="63" t="str">
        <x:v>BoxMesh + 子件</x:v>
      </x:c>
      <x:c r="G16" s="63" t="str">
        <x:v>(0,1.72,-0.08)</x:v>
      </x:c>
      <x:c r="H16" s="63" t="str">
        <x:v>随root</x:v>
      </x:c>
      <x:c r="I16" s="63" t="n">
        <x:v>3</x:v>
      </x:c>
      <x:c r="J16" s="63" t="str">
        <x:v>移动反相滞后/后坐/受击/死亡</x:v>
      </x:c>
      <x:c r="K16" s="63" t="str">
        <x:v>方形猫头</x:v>
      </x:c>
      <x:c r="L16" s="63" t="str">
        <x:v>是</x:v>
      </x:c>
      <x:c r="M16" s="63" t="str">
        <x:v>无嘴无鼻；Eyes与Ears固定归Head</x:v>
      </x:c>
    </x:row>
    <x:row r="17" ht="38" customHeight="1">
      <x:c r="A17" s="63" t="str">
        <x:v>player_capsule01_3d</x:v>
      </x:c>
      <x:c r="B17" s="63" t="str">
        <x:v>hand</x:v>
      </x:c>
      <x:c r="C17" s="63" t="str">
        <x:v>VisualRoot/Hand</x:v>
      </x:c>
      <x:c r="D17" s="63" t="str">
        <x:v>root</x:v>
      </x:c>
      <x:c r="E17" s="63" t="str">
        <x:v>assets/art/characters/player/chr_player_capsule01_3d/chr_player_capsule01_root_top3d_v001.tscn</x:v>
      </x:c>
      <x:c r="F17" s="63" t="str">
        <x:v>BoxMesh</x:v>
      </x:c>
      <x:c r="G17" s="63" t="str">
        <x:v>(0.60,1.10,-0.30)</x:v>
      </x:c>
      <x:c r="H17" s="63" t="str">
        <x:v>随root；动作同相</x:v>
      </x:c>
      <x:c r="I17" s="63" t="n">
        <x:v>4</x:v>
      </x:c>
      <x:c r="J17" s="63" t="str">
        <x:v>移动/换弹/射击/蓄力/击飞保持握持</x:v>
      </x:c>
      <x:c r="K17" s="63" t="str">
        <x:v>唯一悬浮手</x:v>
      </x:c>
      <x:c r="L17" s="63" t="str">
        <x:v>是</x:v>
      </x:c>
      <x:c r="M17" s="63" t="str">
        <x:v>无手臂、无第二手；与WeaponSocket固定相对向量</x:v>
      </x:c>
    </x:row>
    <x:row r="18" ht="38" customHeight="1">
      <x:c r="A18" s="63" t="str">
        <x:v>player_capsule01_3d</x:v>
      </x:c>
      <x:c r="B18" s="63" t="str">
        <x:v>feet</x:v>
      </x:c>
      <x:c r="C18" s="63" t="str">
        <x:v>VisualRoot/Feet</x:v>
      </x:c>
      <x:c r="D18" s="63" t="str">
        <x:v>root</x:v>
      </x:c>
      <x:c r="E18" s="63" t="str">
        <x:v>assets/art/characters/player/chr_player_capsule01_3d/chr_player_capsule01_root_top3d_v001.tscn</x:v>
      </x:c>
      <x:c r="F18" s="63" t="str">
        <x:v>BoxMesh×2</x:v>
      </x:c>
      <x:c r="G18" s="63" t="str">
        <x:v>(0,0.22,-0.02)</x:v>
      </x:c>
      <x:c r="H18" s="63" t="str">
        <x:v>随root；FootL/R交替</x:v>
      </x:c>
      <x:c r="I18" s="63" t="n">
        <x:v>1</x:v>
      </x:c>
      <x:c r="J18" s="63" t="str">
        <x:v>moving交替抬脚；冲刺/受击/死亡随整体</x:v>
      </x:c>
      <x:c r="K18" s="63" t="str">
        <x:v>双脚主模块</x:v>
      </x:c>
      <x:c r="L18" s="63" t="str">
        <x:v>是</x:v>
      </x:c>
      <x:c r="M18" s="63" t="str">
        <x:v>FootL/FootR属于同一可替换Feet模块</x:v>
      </x:c>
    </x:row>
    <x:row r="19" ht="38" customHeight="1">
      <x:c r="A19" s="63" t="str">
        <x:v>player_capsule01_3d</x:v>
      </x:c>
      <x:c r="B19" s="63" t="str">
        <x:v>eyes</x:v>
      </x:c>
      <x:c r="C19" s="63" t="str">
        <x:v>VisualRoot/Head/Eyes</x:v>
      </x:c>
      <x:c r="D19" s="63" t="str">
        <x:v>head</x:v>
      </x:c>
      <x:c r="E19" s="63" t="str">
        <x:v>assets/art/characters/player/chr_player_capsule01_3d/chr_player_capsule01_root_top3d_v001.tscn</x:v>
      </x:c>
      <x:c r="F19" s="63" t="str">
        <x:v>BoxMesh×2</x:v>
      </x:c>
      <x:c r="G19" s="63" t="str">
        <x:v>(0,-0.03,-0.56)</x:v>
      </x:c>
      <x:c r="H19" s="63" t="str">
        <x:v>继承Head</x:v>
      </x:c>
      <x:c r="I19" s="63" t="n">
        <x:v>4</x:v>
      </x:c>
      <x:c r="J19" s="63" t="str">
        <x:v>随头部滞后/后坐/受击</x:v>
      </x:c>
      <x:c r="K19" s="63" t="str">
        <x:v>面部配件</x:v>
      </x:c>
      <x:c r="L19" s="63" t="str">
        <x:v>是</x:v>
      </x:c>
      <x:c r="M19" s="63" t="str">
        <x:v>EyeL/EyeR；深色窄矩形豆豆眼；无嘴</x:v>
      </x:c>
    </x:row>
    <x:row r="20" ht="38" customHeight="1">
      <x:c r="A20" s="63" t="str">
        <x:v>player_capsule01_3d</x:v>
      </x:c>
      <x:c r="B20" s="63" t="str">
        <x:v>ears</x:v>
      </x:c>
      <x:c r="C20" s="63" t="str">
        <x:v>VisualRoot/Head/Ears</x:v>
      </x:c>
      <x:c r="D20" s="63" t="str">
        <x:v>head</x:v>
      </x:c>
      <x:c r="E20" s="63" t="str">
        <x:v>assets/art/characters/player/chr_player_capsule01_3d/chr_player_capsule01_root_top3d_v001.tscn</x:v>
      </x:c>
      <x:c r="F20" s="63" t="str">
        <x:v>三边CylinderMesh×4</x:v>
      </x:c>
      <x:c r="G20" s="63" t="str">
        <x:v>沿Head顶部</x:v>
      </x:c>
      <x:c r="H20" s="63" t="str">
        <x:v>继承Head</x:v>
      </x:c>
      <x:c r="I20" s="63" t="n">
        <x:v>4</x:v>
      </x:c>
      <x:c r="J20" s="63" t="str">
        <x:v>随头部滞后/后坐/受击</x:v>
      </x:c>
      <x:c r="K20" s="63" t="str">
        <x:v>头部配件</x:v>
      </x:c>
      <x:c r="L20" s="63" t="str">
        <x:v>是</x:v>
      </x:c>
      <x:c r="M20" s="63" t="str">
        <x:v>EarL/EarR各含Inner；三角形语言</x:v>
      </x:c>
    </x:row>
    <x:row r="21" ht="38" customHeight="1">
      <x:c r="A21" s="63" t="str">
        <x:v>player_capsule01_3d</x:v>
      </x:c>
      <x:c r="B21" s="63" t="str">
        <x:v>tail_stub</x:v>
      </x:c>
      <x:c r="C21" s="63" t="str">
        <x:v>VisualRoot/Body/TailStub</x:v>
      </x:c>
      <x:c r="D21" s="63" t="str">
        <x:v>body</x:v>
      </x:c>
      <x:c r="E21" s="63" t="str">
        <x:v>assets/art/characters/player/chr_player_capsule01_3d/chr_player_capsule01_root_top3d_v001.tscn</x:v>
      </x:c>
      <x:c r="F21" s="63" t="str">
        <x:v>SphereMesh</x:v>
      </x:c>
      <x:c r="G21" s="63" t="str">
        <x:v>(-0.51,-0.02,0.24)</x:v>
      </x:c>
      <x:c r="H21" s="63" t="str">
        <x:v>继承Body + 轻摆</x:v>
      </x:c>
      <x:c r="I21" s="63" t="n">
        <x:v>2</x:v>
      </x:c>
      <x:c r="J21" s="63" t="str">
        <x:v>moving轻摆/弹性缩放</x:v>
      </x:c>
      <x:c r="K21" s="63" t="str">
        <x:v>身体配件</x:v>
      </x:c>
      <x:c r="L21" s="63" t="str">
        <x:v>是</x:v>
      </x:c>
      <x:c r="M21" s="63" t="str">
        <x:v>唯一圆形例外；短圆尾团，禁止长尾</x:v>
      </x:c>
    </x:row>
    <x:row r="22" ht="38" customHeight="1">
      <x:c r="A22" s="63" t="str">
        <x:v>player_capsule01_3d</x:v>
      </x:c>
      <x:c r="B22" s="63" t="str">
        <x:v>weapon_socket</x:v>
      </x:c>
      <x:c r="C22" s="63" t="str">
        <x:v>VisualRoot/WeaponSocket</x:v>
      </x:c>
      <x:c r="D22" s="63" t="str">
        <x:v>root</x:v>
      </x:c>
      <x:c r="E22" s="63" t="str">
        <x:v>无纹理</x:v>
      </x:c>
      <x:c r="F22" s="63" t="str">
        <x:v>Marker3D</x:v>
      </x:c>
      <x:c r="G22" s="63" t="str">
        <x:v>(0.60,1.15,-0.42)</x:v>
      </x:c>
      <x:c r="H22" s="63" t="str">
        <x:v>随root；动作同相</x:v>
      </x:c>
      <x:c r="I22" s="63" t="n">
        <x:v>5</x:v>
      </x:c>
      <x:c r="J22" s="63" t="str">
        <x:v>枪械挂载/枪口特效</x:v>
      </x:c>
      <x:c r="K22" s="63" t="str">
        <x:v>武器系统</x:v>
      </x:c>
      <x:c r="L22" s="63" t="str">
        <x:v>是</x:v>
      </x:c>
      <x:c r="M22" s="63" t="str">
        <x:v>与唯一手全动作固定局部关系；枪模layer 2</x:v>
      </x:c>
    </x:row>
    <x:row r="23" ht="38" customHeight="1">
      <x:c r="A23" s="63" t="str">
        <x:v>player_capsule01_3d</x:v>
      </x:c>
      <x:c r="B23" s="63" t="str">
        <x:v>reload_progress</x:v>
      </x:c>
      <x:c r="C23" s="63" t="str">
        <x:v>ReloadProgress3D</x:v>
      </x:c>
      <x:c r="D23" s="63" t="str">
        <x:v>player_root</x:v>
      </x:c>
      <x:c r="E23" s="63" t="str">
        <x:v>assets/art/characters/player/chr_player_capsule01_3d/chr_player_capsule01_root_top3d_v001.tscn</x:v>
      </x:c>
      <x:c r="F23" s="63" t="str">
        <x:v>QuadMesh×2</x:v>
      </x:c>
      <x:c r="G23" s="63" t="str">
        <x:v>(0,2.92,0.06)</x:v>
      </x:c>
      <x:c r="H23" s="63" t="str">
        <x:v>朝向相机；不随VisualRoot旋转</x:v>
      </x:c>
      <x:c r="I23" s="63" t="n">
        <x:v>6</x:v>
      </x:c>
      <x:c r="J23" s="63" t="str">
        <x:v>读取真实换弹进度</x:v>
      </x:c>
      <x:c r="K23" s="63" t="str">
        <x:v>状态UI子组件</x:v>
      </x:c>
      <x:c r="L23" s="63" t="str">
        <x:v>是</x:v>
      </x:c>
      <x:c r="M23" s="63" t="str">
        <x:v>高于猫耳；无独立计时器/SubViewport</x:v>
      </x:c>
    </x:row>
    <x:row r="24" ht="38" customHeight="1">
      <x:c r="A24" s="63" t="str">
        <x:v>player_capsule01_3d</x:v>
      </x:c>
      <x:c r="B24" s="63" t="str">
        <x:v>body_diy</x:v>
      </x:c>
      <x:c r="C24" s="63" t="str">
        <x:v>VisualRoot/Body</x:v>
      </x:c>
      <x:c r="D24" s="63" t="str">
        <x:v>root</x:v>
      </x:c>
      <x:c r="E24" s="63" t="str">
        <x:v>无独立纹理/程序材质</x:v>
      </x:c>
      <x:c r="F24" s="63" t="str">
        <x:v>4种配色</x:v>
      </x:c>
      <x:c r="G24" s="63" t="str">
        <x:v>沿Body</x:v>
      </x:c>
      <x:c r="H24" s="63" t="str">
        <x:v>随root</x:v>
      </x:c>
      <x:c r="I24" s="63" t="n">
        <x:v>1</x:v>
      </x:c>
      <x:c r="J24" s="63" t="str">
        <x:v>继承身体动态</x:v>
      </x:c>
      <x:c r="K24" s="63" t="str">
        <x:v>身体外观</x:v>
      </x:c>
      <x:c r="L24" s="63" t="str">
        <x:v>是</x:v>
      </x:c>
      <x:c r="M24" s="63" t="str">
        <x:v>cat_orange + 旧三色兼容</x:v>
      </x:c>
    </x:row>
    <x:row r="25" ht="38" customHeight="1">
      <x:c r="A25" s="63" t="str">
        <x:v>player_capsule01_3d</x:v>
      </x:c>
      <x:c r="B25" s="63" t="str">
        <x:v>head_diy</x:v>
      </x:c>
      <x:c r="C25" s="63" t="str">
        <x:v>VisualRoot/Head</x:v>
      </x:c>
      <x:c r="D25" s="63" t="str">
        <x:v>root</x:v>
      </x:c>
      <x:c r="E25" s="63" t="str">
        <x:v>无独立纹理/程序材质</x:v>
      </x:c>
      <x:c r="F25" s="63" t="str">
        <x:v>4种配色</x:v>
      </x:c>
      <x:c r="G25" s="63" t="str">
        <x:v>沿Head</x:v>
      </x:c>
      <x:c r="H25" s="63" t="str">
        <x:v>随root</x:v>
      </x:c>
      <x:c r="I25" s="63" t="n">
        <x:v>3</x:v>
      </x:c>
      <x:c r="J25" s="63" t="str">
        <x:v>继承头部动态</x:v>
      </x:c>
      <x:c r="K25" s="63" t="str">
        <x:v>头部外观</x:v>
      </x:c>
      <x:c r="L25" s="63" t="str">
        <x:v>是</x:v>
      </x:c>
      <x:c r="M25" s="63" t="str">
        <x:v>cat_orange + 旧三色兼容；双眼/双耳节点不变</x:v>
      </x:c>
    </x:row>
    <x:row r="26" ht="38" customHeight="1">
      <x:c r="A26" s="63" t="str">
        <x:v>player_capsule01_3d</x:v>
      </x:c>
      <x:c r="B26" s="63" t="str">
        <x:v>hand_diy</x:v>
      </x:c>
      <x:c r="C26" s="63" t="str">
        <x:v>VisualRoot/Hand</x:v>
      </x:c>
      <x:c r="D26" s="63" t="str">
        <x:v>root</x:v>
      </x:c>
      <x:c r="E26" s="63" t="str">
        <x:v>无独立纹理/程序材质</x:v>
      </x:c>
      <x:c r="F26" s="63" t="str">
        <x:v>4种配色</x:v>
      </x:c>
      <x:c r="G26" s="63" t="str">
        <x:v>(0.60,1.10,-0.30)</x:v>
      </x:c>
      <x:c r="H26" s="63" t="str">
        <x:v>随root+同相动作</x:v>
      </x:c>
      <x:c r="I26" s="63" t="n">
        <x:v>4</x:v>
      </x:c>
      <x:c r="J26" s="63" t="str">
        <x:v>抓握压缩；与socket同相</x:v>
      </x:c>
      <x:c r="K26" s="63" t="str">
        <x:v>唯一手外观</x:v>
      </x:c>
      <x:c r="L26" s="63" t="str">
        <x:v>是</x:v>
      </x:c>
      <x:c r="M26" s="63" t="str">
        <x:v>cat_orange + 旧三色兼容</x:v>
      </x:c>
    </x:row>
    <x:row r="27" ht="38" customHeight="1">
      <x:c r="A27" s="63" t="str">
        <x:v>player_capsule01_3d</x:v>
      </x:c>
      <x:c r="B27" s="63" t="str">
        <x:v>feet_diy</x:v>
      </x:c>
      <x:c r="C27" s="63" t="str">
        <x:v>VisualRoot/Feet</x:v>
      </x:c>
      <x:c r="D27" s="63" t="str">
        <x:v>root</x:v>
      </x:c>
      <x:c r="E27" s="63" t="str">
        <x:v>无独立纹理/程序材质</x:v>
      </x:c>
      <x:c r="F27" s="63" t="str">
        <x:v>4种配色</x:v>
      </x:c>
      <x:c r="G27" s="63" t="str">
        <x:v>沿Feet</x:v>
      </x:c>
      <x:c r="H27" s="63" t="str">
        <x:v>随root+交替步态</x:v>
      </x:c>
      <x:c r="I27" s="63" t="n">
        <x:v>1</x:v>
      </x:c>
      <x:c r="J27" s="63" t="str">
        <x:v>FootL/R交替抬起</x:v>
      </x:c>
      <x:c r="K27" s="63" t="str">
        <x:v>脚部外观</x:v>
      </x:c>
      <x:c r="L27" s="63" t="str">
        <x:v>是</x:v>
      </x:c>
      <x:c r="M27" s="63" t="str">
        <x:v>cat_orange / boot_sand / boot_cobalt / boot_teal</x:v>
      </x:c>
    </x:row>
    <x:row r="28" ht="38" customHeight="1">
      <x:c r="A28" s="63" t="str">
        <x:v>player_capsule01_3d</x:v>
      </x:c>
      <x:c r="B28" s="63" t="str">
        <x:v>hat</x:v>
      </x:c>
      <x:c r="C28" s="63" t="str">
        <x:v>VisualRoot/Head/Wearables/Hat*</x:v>
      </x:c>
      <x:c r="D28" s="63" t="str">
        <x:v>head</x:v>
      </x:c>
      <x:c r="E28" s="63" t="str">
        <x:v>无独立纹理/程序网格</x:v>
      </x:c>
      <x:c r="F28" s="63" t="str">
        <x:v>3种帽型</x:v>
      </x:c>
      <x:c r="G28" s="63" t="str">
        <x:v>沿Head</x:v>
      </x:c>
      <x:c r="H28" s="63" t="str">
        <x:v>继承Head</x:v>
      </x:c>
      <x:c r="I28" s="63" t="n">
        <x:v>5</x:v>
      </x:c>
      <x:c r="J28" s="63" t="str">
        <x:v>头部滞后/受击/死亡</x:v>
      </x:c>
      <x:c r="K28" s="63" t="str">
        <x:v>头部外戴件</x:v>
      </x:c>
      <x:c r="L28" s="63" t="str">
        <x:v>否</x:v>
      </x:c>
      <x:c r="M28" s="63" t="str">
        <x:v>可选；layer2，禁投影/GI；不得替代猫耳节点</x:v>
      </x:c>
    </x:row>
    <x:row r="29" ht="38" customHeight="1">
      <x:c r="A29" s="63" t="str">
        <x:v>player_capsule01_3d</x:v>
      </x:c>
      <x:c r="B29" s="63" t="str">
        <x:v>glasses</x:v>
      </x:c>
      <x:c r="C29" s="63" t="str">
        <x:v>VisualRoot/Head/Wearables/Glasses*</x:v>
      </x:c>
      <x:c r="D29" s="63" t="str">
        <x:v>head</x:v>
      </x:c>
      <x:c r="E29" s="63" t="str">
        <x:v>无独立纹理/程序网格</x:v>
      </x:c>
      <x:c r="F29" s="63" t="str">
        <x:v>3种护目件</x:v>
      </x:c>
      <x:c r="G29" s="63" t="str">
        <x:v>沿Head前侧</x:v>
      </x:c>
      <x:c r="H29" s="63" t="str">
        <x:v>继承Head</x:v>
      </x:c>
      <x:c r="I29" s="63" t="n">
        <x:v>5</x:v>
      </x:c>
      <x:c r="J29" s="63" t="str">
        <x:v>头部滞后/受击/死亡</x:v>
      </x:c>
      <x:c r="K29" s="63" t="str">
        <x:v>护目件</x:v>
      </x:c>
      <x:c r="L29" s="63" t="str">
        <x:v>否</x:v>
      </x:c>
      <x:c r="M29" s="63" t="str">
        <x:v>可选；layer2，禁投影/GI；不得替代双眼节点</x:v>
      </x:c>
    </x:row>
    <x:row r="30" ht="38" customHeight="1">
      <x:c r="A30" s="63" t="str">
        <x:v>player_capsule01_3d</x:v>
      </x:c>
      <x:c r="B30" s="63" t="str">
        <x:v>scarf_legacy</x:v>
      </x:c>
      <x:c r="C30" s="63" t="str">
        <x:v>VisualRoot/Scarf</x:v>
      </x:c>
      <x:c r="D30" s="63" t="str">
        <x:v>root</x:v>
      </x:c>
      <x:c r="E30" s="63" t="str">
        <x:v>assets/art/characters/player/chr_player_capsule01_3d/chr_player_capsule01_root_top3d_v001.tscn</x:v>
      </x:c>
      <x:c r="F30" s="63" t="str">
        <x:v>隐藏兼容节点</x:v>
      </x:c>
      <x:c r="G30" s="63" t="str">
        <x:v>(0,1.32,0)</x:v>
      </x:c>
      <x:c r="H30" s="63" t="str">
        <x:v>随root</x:v>
      </x:c>
      <x:c r="I30" s="63" t="n">
        <x:v>2</x:v>
      </x:c>
      <x:c r="J30" s="63" t="str">
        <x:v>不参与当前轮廓</x:v>
      </x:c>
      <x:c r="K30" s="63" t="str">
        <x:v>旧场景兼容</x:v>
      </x:c>
      <x:c r="L30" s="63" t="str">
        <x:v>否</x:v>
      </x:c>
      <x:c r="M30" s="63" t="str">
        <x:v>默认visible=false；不计入四主模块</x:v>
      </x:c>
    </x:row>
    <x:row r="31" ht="104" customHeight="1">
      <x:c r="A31" s="70" t="str">
        <x:v>player_capsule01_bunny01_3d</x:v>
      </x:c>
      <x:c r="B31" s="70" t="str">
        <x:v>root</x:v>
      </x:c>
      <x:c r="C31" s="70" t="str">
        <x:v>Avatar3D/VisualRoot/BunnyRig</x:v>
      </x:c>
      <x:c r="D31" s="70" t="str">
        <x:v>player_root</x:v>
      </x:c>
      <x:c r="E31" s="70" t="str">
        <x:v>assets/art/characters/player/chr_player_capsule01_3d/variants/bunny01/chr_player_capsule01_bunny01_root_top3d_v006.tscn</x:v>
      </x:c>
      <x:c r="F31" s="70" t="str">
        <x:v>Node3D刚性骨架 / 完整视觉1.500m</x:v>
      </x:c>
      <x:c r="G31" s="70" t="str">
        <x:v>(0,0,0)</x:v>
      </x:c>
      <x:c r="H31" s="70" t="str">
        <x:v>整体随准星绕Y轴</x:v>
      </x:c>
      <x:c r="I31" s="70" t="n">
        <x:v>0</x:v>
      </x:c>
      <x:c r="J31" s="70" t="str">
        <x:v>八态整体 + falling收束/landing压缩回弹 + 动作覆盖</x:v>
      </x:c>
      <x:c r="K31" s="70" t="str">
        <x:v>Godot骨架根</x:v>
      </x:c>
      <x:c r="L31" s="70" t="str">
        <x:v>是</x:v>
      </x:c>
      <x:c r="M31" s="70" t="str">
        <x:v>PH43：v006真实1.5m分体网格与AssetID不变；玩法碰撞位于Player3D/VirtualCollisionCapsule（height=1.5m、radius=0.34m）。falling/landing复用既有Body/Head/Hands/Feet/EarSocket关节。</x:v>
      </x:c>
    </x:row>
    <x:row r="32" ht="104" customHeight="1">
      <x:c r="A32" s="70" t="str">
        <x:v>player_capsule01_bunny01_3d</x:v>
      </x:c>
      <x:c r="B32" s="70" t="str">
        <x:v>body</x:v>
      </x:c>
      <x:c r="C32" s="70" t="str">
        <x:v>VisualRoot/BunnyRig/BodyJoint/Model</x:v>
      </x:c>
      <x:c r="D32" s="70" t="str">
        <x:v>BunnyRig</x:v>
      </x:c>
      <x:c r="E32" s="70" t="str">
        <x:v>assets/art/characters/player/chr_player_capsule01_3d/variants/bunny01/components/chr_player_capsule01_bunny01_body_top3d_v006.glb</x:v>
      </x:c>
      <x:c r="F32" s="70" t="str">
        <x:v>pivot-local GLB / 1.5m比例</x:v>
      </x:c>
      <x:c r="G32" s="70" t="str">
        <x:v>(-0.000030,0.155022,-0.000635)</x:v>
      </x:c>
      <x:c r="H32" s="70" t="str">
        <x:v>BodyJoint</x:v>
      </x:c>
      <x:c r="I32" s="70" t="n">
        <x:v>1</x:v>
      </x:c>
      <x:c r="J32" s="70" t="str">
        <x:v>呼吸/移动挤压/突进翻滚/受击</x:v>
      </x:c>
      <x:c r="K32" s="70" t="str">
        <x:v>身体组件</x:v>
      </x:c>
      <x:c r="L32" s="70" t="str">
        <x:v>是</x:v>
      </x:c>
      <x:c r="M32" s="70" t="str">
        <x:v>Blender原点：身体底部中心；v006真实1.5m几何。</x:v>
      </x:c>
    </x:row>
    <x:row r="33" ht="104" customHeight="1">
      <x:c r="A33" s="70" t="str">
        <x:v>player_capsule01_bunny01_3d</x:v>
      </x:c>
      <x:c r="B33" s="70" t="str">
        <x:v>head</x:v>
      </x:c>
      <x:c r="C33" s="70" t="str">
        <x:v>VisualRoot/BunnyRig/HeadJoint/Model</x:v>
      </x:c>
      <x:c r="D33" s="70" t="str">
        <x:v>BunnyRig</x:v>
      </x:c>
      <x:c r="E33" s="70" t="str">
        <x:v>assets/art/characters/player/chr_player_capsule01_3d/variants/bunny01/components/chr_player_capsule01_bunny01_head_top3d_v006.glb</x:v>
      </x:c>
      <x:c r="F33" s="70" t="str">
        <x:v>pivot-local GLB / 1.5m比例</x:v>
      </x:c>
      <x:c r="G33" s="70" t="str">
        <x:v>(-0.000028,0.477110,0.026431)</x:v>
      </x:c>
      <x:c r="H33" s="70" t="str">
        <x:v>HeadJoint</x:v>
      </x:c>
      <x:c r="I33" s="70" t="n">
        <x:v>3</x:v>
      </x:c>
      <x:c r="J33" s="70" t="str">
        <x:v>移动反相滞后/后坐/受击甩头</x:v>
      </x:c>
      <x:c r="K33" s="70" t="str">
        <x:v>头部组件</x:v>
      </x:c>
      <x:c r="L33" s="70" t="str">
        <x:v>是</x:v>
      </x:c>
      <x:c r="M33" s="70" t="str">
        <x:v>Blender原点：头部下沿中心；不含耳头顶1.103390m。</x:v>
      </x:c>
    </x:row>
    <x:row r="34" ht="104" customHeight="1">
      <x:c r="A34" s="70" t="str">
        <x:v>player_capsule01_bunny01_3d</x:v>
      </x:c>
      <x:c r="B34" s="70" t="str">
        <x:v>ear_l</x:v>
      </x:c>
      <x:c r="C34" s="70" t="str">
        <x:v>VisualRoot/BunnyRig/HeadJoint/Ears/EarSocketL/EarAccessory</x:v>
      </x:c>
      <x:c r="D34" s="70" t="str">
        <x:v>head</x:v>
      </x:c>
      <x:c r="E34" s="70" t="str">
        <x:v>assets/art/characters/player/chr_player_capsule01_3d/variants/bunny01/components/chr_player_capsule01_bunny01_ear_top3d_v006.glb</x:v>
      </x:c>
      <x:c r="F34" s="70" t="str">
        <x:v>pivot-local GLB × -X / 1.5m比例</x:v>
      </x:c>
      <x:c r="G34" s="70" t="str">
        <x:v>Head local (-0.245056,0.499653,-0.001671)</x:v>
      </x:c>
      <x:c r="H34" s="70" t="str">
        <x:v>继承HeadJoint</x:v>
      </x:c>
      <x:c r="I34" s="70" t="n">
        <x:v>4</x:v>
      </x:c>
      <x:c r="J34" s="70" t="str">
        <x:v>移动跟随/冲刺后压/受击收耳</x:v>
      </x:c>
      <x:c r="K34" s="70" t="str">
        <x:v>头部配件</x:v>
      </x:c>
      <x:c r="L34" s="70" t="str">
        <x:v>是</x:v>
      </x:c>
      <x:c r="M34" s="70" t="str">
        <x:v>复用语义右耳并在左挂点镜像；完整视觉顶部1.500m。</x:v>
      </x:c>
    </x:row>
    <x:row r="35" ht="104" customHeight="1">
      <x:c r="A35" s="70" t="str">
        <x:v>player_capsule01_bunny01_3d</x:v>
      </x:c>
      <x:c r="B35" s="70" t="str">
        <x:v>ear_r</x:v>
      </x:c>
      <x:c r="C35" s="70" t="str">
        <x:v>VisualRoot/BunnyRig/HeadJoint/Ears/EarSocketR/EarAccessory</x:v>
      </x:c>
      <x:c r="D35" s="70" t="str">
        <x:v>head</x:v>
      </x:c>
      <x:c r="E35" s="70" t="str">
        <x:v>assets/art/characters/player/chr_player_capsule01_3d/variants/bunny01/components/chr_player_capsule01_bunny01_ear_top3d_v006.glb</x:v>
      </x:c>
      <x:c r="F35" s="70" t="str">
        <x:v>pivot-local GLB / 1.5m比例</x:v>
      </x:c>
      <x:c r="G35" s="70" t="str">
        <x:v>Head local (0.245112,0.499653,-0.001671)</x:v>
      </x:c>
      <x:c r="H35" s="70" t="str">
        <x:v>继承HeadJoint</x:v>
      </x:c>
      <x:c r="I35" s="70" t="n">
        <x:v>4</x:v>
      </x:c>
      <x:c r="J35" s="70" t="str">
        <x:v>移动跟随/冲刺后压/受击收耳</x:v>
      </x:c>
      <x:c r="K35" s="70" t="str">
        <x:v>头部配件</x:v>
      </x:c>
      <x:c r="L35" s="70" t="str">
        <x:v>是</x:v>
      </x:c>
      <x:c r="M35" s="70" t="str">
        <x:v>语义右耳标准实例；完整视觉顶部1.500m。</x:v>
      </x:c>
    </x:row>
    <x:row r="36" ht="104" customHeight="1">
      <x:c r="A36" s="70" t="str">
        <x:v>player_capsule01_bunny01_3d</x:v>
      </x:c>
      <x:c r="B36" s="70" t="str">
        <x:v>hand_l</x:v>
      </x:c>
      <x:c r="C36" s="70" t="str">
        <x:v>VisualRoot/BunnyRig/HandRoot/HandJointL/Model</x:v>
      </x:c>
      <x:c r="D36" s="70" t="str">
        <x:v>BunnyRig</x:v>
      </x:c>
      <x:c r="E36" s="70" t="str">
        <x:v>assets/art/characters/player/chr_player_capsule01_3d/variants/bunny01/components/chr_player_capsule01_bunny01_hand_l_top3d_v006.glb</x:v>
      </x:c>
      <x:c r="F36" s="70" t="str">
        <x:v>pivot-local GLB / 1.5m比例</x:v>
      </x:c>
      <x:c r="G36" s="70" t="str">
        <x:v>Authored (-0.285833,0.321773,-0.014435); longgun support (0.121212,0.315152,-0.387879)</x:v>
      </x:c>
      <x:c r="H36" s="70" t="str">
        <x:v>HandRoot 独立左腕</x:v>
      </x:c>
      <x:c r="I36" s="70" t="n">
        <x:v>4</x:v>
      </x:c>
      <x:c r="J36" s="70" t="str">
        <x:v>手枪自由摆臂；长枪托举；换弹服务；双手枪后坐</x:v>
      </x:c>
      <x:c r="K36" s="70" t="str">
        <x:v>左手组件</x:v>
      </x:c>
      <x:c r="L36" s="70" t="str">
        <x:v>是</x:v>
      </x:c>
      <x:c r="M36" s="70" t="str">
        <x:v>手腕圆环近端轴心；网格、挂点与动作米制平移使用0.606060606比例。</x:v>
      </x:c>
    </x:row>
    <x:row r="37" ht="104" customHeight="1">
      <x:c r="A37" s="70" t="str">
        <x:v>player_capsule01_bunny01_3d</x:v>
      </x:c>
      <x:c r="B37" s="70" t="str">
        <x:v>hand_r</x:v>
      </x:c>
      <x:c r="C37" s="70" t="str">
        <x:v>VisualRoot/BunnyRig/HandRoot/HandJointR/Model</x:v>
      </x:c>
      <x:c r="D37" s="70" t="str">
        <x:v>BunnyRig</x:v>
      </x:c>
      <x:c r="E37" s="70" t="str">
        <x:v>assets/art/characters/player/chr_player_capsule01_3d/variants/bunny01/components/chr_player_capsule01_bunny01_hand_r_top3d_v006.glb</x:v>
      </x:c>
      <x:c r="F37" s="70" t="str">
        <x:v>pivot-local GLB / 1.5m比例</x:v>
      </x:c>
      <x:c r="G37" s="70" t="str">
        <x:v>Authored (0.285833,0.321773,-0.014435); sidearm (0.048485,0.339394,-0.296970)+socket X0.145455; longgun (0.078788,0.339394,-0.296970)</x:v>
      </x:c>
      <x:c r="H37" s="70" t="str">
        <x:v>HandRoot 独立右腕 / WeaponSocket 跟随</x:v>
      </x:c>
      <x:c r="I37" s="70" t="n">
        <x:v>4</x:v>
      </x:c>
      <x:c r="J37" s="70" t="str">
        <x:v>手枪/长枪主握把；独立跑步；武器差异射击后坐</x:v>
      </x:c>
      <x:c r="K37" s="70" t="str">
        <x:v>右手组件</x:v>
      </x:c>
      <x:c r="L37" s="70" t="str">
        <x:v>是</x:v>
      </x:c>
      <x:c r="M37" s="70" t="str">
        <x:v>右手主握把；持枪视觉与手/挂点使用同一0.606060606比例。</x:v>
      </x:c>
    </x:row>
    <x:row r="38" ht="104" customHeight="1">
      <x:c r="A38" s="70" t="str">
        <x:v>player_capsule01_bunny01_3d</x:v>
      </x:c>
      <x:c r="B38" s="70" t="str">
        <x:v>foot_l</x:v>
      </x:c>
      <x:c r="C38" s="70" t="str">
        <x:v>VisualRoot/BunnyRig/FeetRoot/FootJointL/Model</x:v>
      </x:c>
      <x:c r="D38" s="70" t="str">
        <x:v>FeetRoot</x:v>
      </x:c>
      <x:c r="E38" s="70" t="str">
        <x:v>assets/art/characters/player/chr_player_capsule01_3d/variants/bunny01/components/chr_player_capsule01_bunny01_foot_l_top3d_v006.glb</x:v>
      </x:c>
      <x:c r="F38" s="70" t="str">
        <x:v>pivot-local GLB / 1.5m比例</x:v>
      </x:c>
      <x:c r="G38" s="70" t="str">
        <x:v>(-0.129002,0,-0.010887)</x:v>
      </x:c>
      <x:c r="H38" s="70" t="str">
        <x:v>独立FootJointL</x:v>
      </x:c>
      <x:c r="I38" s="70" t="n">
        <x:v>1</x:v>
      </x:c>
      <x:c r="J38" s="70" t="str">
        <x:v>moving左脚/翻滚收腿/受击甩脚/falling收腿/landing压缩</x:v>
      </x:c>
      <x:c r="K38" s="70" t="str">
        <x:v>左脚组件</x:v>
      </x:c>
      <x:c r="L38" s="70" t="str">
        <x:v>是</x:v>
      </x:c>
      <x:c r="M38" s="70" t="str">
        <x:v>Blender原点：脚底中心；静态最低点Y=0；PH43复用同一v006网格增加下落与落地程序动作。</x:v>
      </x:c>
    </x:row>
    <x:row r="39" ht="104" customHeight="1">
      <x:c r="A39" s="70" t="str">
        <x:v>player_capsule01_bunny01_3d</x:v>
      </x:c>
      <x:c r="B39" s="70" t="str">
        <x:v>foot_r</x:v>
      </x:c>
      <x:c r="C39" s="70" t="str">
        <x:v>VisualRoot/BunnyRig/FeetRoot/FootJointR/Model</x:v>
      </x:c>
      <x:c r="D39" s="70" t="str">
        <x:v>FeetRoot</x:v>
      </x:c>
      <x:c r="E39" s="70" t="str">
        <x:v>assets/art/characters/player/chr_player_capsule01_3d/variants/bunny01/components/chr_player_capsule01_bunny01_foot_r_top3d_v006.glb</x:v>
      </x:c>
      <x:c r="F39" s="70" t="str">
        <x:v>pivot-local GLB / 1.5m比例</x:v>
      </x:c>
      <x:c r="G39" s="70" t="str">
        <x:v>(0.129002,0,-0.010887)</x:v>
      </x:c>
      <x:c r="H39" s="70" t="str">
        <x:v>独立FootJointR</x:v>
      </x:c>
      <x:c r="I39" s="70" t="n">
        <x:v>1</x:v>
      </x:c>
      <x:c r="J39" s="70" t="str">
        <x:v>moving右脚/翻滚收腿/受击甩脚/falling收腿/landing压缩</x:v>
      </x:c>
      <x:c r="K39" s="70" t="str">
        <x:v>右脚组件</x:v>
      </x:c>
      <x:c r="L39" s="70" t="str">
        <x:v>是</x:v>
      </x:c>
      <x:c r="M39" s="70" t="str">
        <x:v>Blender原点：脚底中心；静态最低点Y=0；PH43复用同一v006网格增加下落与落地程序动作。</x:v>
      </x:c>
    </x:row>
  </x:sheetData>
  <x:mergeCells>
    <x:mergeCell ref="A1:M2"/>
    <x:mergeCell ref="A3:M3"/>
  </x:mergeCells>
  <x:dataValidations count="1">
    <x:dataValidation type="list" sqref="L6:L1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24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2" hidden="0" customWidth="1"/>
  </x:cols>
  <x:sheetData>
    <x:row r="1" ht="25" customHeight="1">
      <x:c r="A1" s="3" t="str">
        <x:v>玩家状态机 × 美术组件映射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74" customHeight="1">
      <x:c r="A3" s="96" t="str">
        <x:v>Player3D 八态状态机 × 组件表现（falling/landing为真实垂直物理顶层状态）</x:v>
      </x:c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</x:row>
    <x:row r="4">
      <x:c r="A4" s="70"/>
      <x:c r="B4" s="70"/>
      <x:c r="C4" s="70"/>
      <x:c r="D4" s="70"/>
      <x:c r="E4" s="70"/>
      <x:c r="F4" s="70"/>
      <x:c r="G4" s="70"/>
      <x:c r="H4" s="70"/>
      <x:c r="I4" s="70"/>
      <x:c r="J4" s="70"/>
      <x:c r="K4" s="70"/>
      <x:c r="L4" s="70"/>
    </x:row>
    <x:row r="5" ht="32" customHeight="1">
      <x:c r="A5" s="28" t="str">
        <x:v>层级</x:v>
      </x:c>
      <x:c r="B5" s="29" t="str">
        <x:v>状态ID</x:v>
      </x:c>
      <x:c r="C5" s="29" t="str">
        <x:v>中文名</x:v>
      </x:c>
      <x:c r="D5" s="29" t="str">
        <x:v>允许来源</x:v>
      </x:c>
      <x:c r="E5" s="29" t="str">
        <x:v>允许去向</x:v>
      </x:c>
      <x:c r="F5" s="29" t="str">
        <x:v>Body</x:v>
      </x:c>
      <x:c r="G5" s="29" t="str">
        <x:v>Head</x:v>
      </x:c>
      <x:c r="H5" s="29" t="str">
        <x:v>Hand L</x:v>
      </x:c>
      <x:c r="I5" s="29" t="str">
        <x:v>Hand R / WeaponSocket</x:v>
      </x:c>
      <x:c r="J5" s="29" t="str">
        <x:v>Scarf</x:v>
      </x:c>
      <x:c r="K5" s="29" t="str">
        <x:v>VFX/UI</x:v>
      </x:c>
      <x:c r="L5" s="30" t="str">
        <x:v>首版实现</x:v>
      </x:c>
    </x:row>
    <x:row r="6" ht="58" customHeight="1">
      <x:c r="A6" s="100" t="str">
        <x:v>顶层</x:v>
      </x:c>
      <x:c r="B6" s="100" t="str">
        <x:v>idle</x:v>
      </x:c>
      <x:c r="C6" s="100" t="str">
        <x:v>待命</x:v>
      </x:c>
      <x:c r="D6" s="100" t="str">
        <x:v>start/moving/hurt/locked/landing</x:v>
      </x:c>
      <x:c r="E6" s="100" t="str">
        <x:v>moving,dashing,hurt,locked,falling,dead</x:v>
      </x:c>
      <x:c r="F6" s="100" t="str">
        <x:v>约2.38s呼吸挤压；半速重心换脚；躯干轻微侧移</x:v>
      </x:c>
      <x:c r="G6" s="100" t="str">
        <x:v>与身体反相缩放；反向滞后保持头重感</x:v>
      </x:c>
      <x:c r="H6" s="100" t="str">
        <x:v>手枪自由左手轻摆；长枪左手保持托举</x:v>
      </x:c>
      <x:c r="I6" s="100" t="str">
        <x:v>握持手与 WeaponSocket 同步稳定呼吸，不脱离握把</x:v>
      </x:c>
      <x:c r="J6" s="100" t="str">
        <x:v>低频错相轻摆</x:v>
      </x:c>
      <x:c r="K6" s="100" t="str">
        <x:v>HUD 待命；无新增VFX</x:v>
      </x:c>
      <x:c r="L6" s="100" t="str">
        <x:v>八态 StateMachine 的 idle 唯一驱动；idle_cycle 推进呼吸/换脚；双耳错相并偶发单耳轻弹；moving 本帧归零，停下后恢复</x:v>
      </x:c>
    </x:row>
    <x:row r="7">
      <x:c r="A7" s="101" t="str">
        <x:v>顶层</x:v>
      </x:c>
      <x:c r="B7" s="101" t="str">
        <x:v>moving</x:v>
      </x:c>
      <x:c r="C7" s="101" t="str">
        <x:v>机动</x:v>
      </x:c>
      <x:c r="D7" s="101" t="str">
        <x:v>idle/dashing/hurt/locked/landing</x:v>
      </x:c>
      <x:c r="E7" s="101" t="str">
        <x:v>idle,dashing,hurt,locked,falling,dead</x:v>
      </x:c>
      <x:c r="F7" s="101" t="str">
        <x:v>位移驱动弹跳/压缩回弹</x:v>
      </x:c>
      <x:c r="G7" s="101" t="str">
        <x:v>较小反相滞后</x:v>
      </x:c>
      <x:c r="H7" s="101" t="str">
        <x:v>手枪自由左手大幅反摆；长枪左手锁定托举</x:v>
      </x:c>
      <x:c r="I7" s="101" t="str">
        <x:v>手枪右手与右侧挂点紧凑起伏；长枪双手/挂点收胸跑</x:v>
      </x:c>
      <x:c r="J7" s="101" t="str">
        <x:v>周期滞后</x:v>
      </x:c>
      <x:c r="K7" s="101" t="str">
        <x:v>地面划痕</x:v>
      </x:c>
      <x:c r="L7" s="101" t="str">
        <x:v>位移驱动独立循环；WeaponPoseFSM 进入 sidearm_run 或 longgun_run；双脚交替，单手/双手剪影分离</x:v>
      </x:c>
    </x:row>
    <x:row r="8" ht="56" customHeight="1">
      <x:c r="A8" s="101" t="str">
        <x:v>顶层</x:v>
      </x:c>
      <x:c r="B8" s="101" t="str">
        <x:v>dashing</x:v>
      </x:c>
      <x:c r="C8" s="101" t="str">
        <x:v>突进</x:v>
      </x:c>
      <x:c r="D8" s="101" t="str">
        <x:v>idle/moving</x:v>
      </x:c>
      <x:c r="E8" s="101" t="str">
        <x:v>idle,moving,hurt,locked,falling,dead</x:v>
      </x:c>
      <x:c r="F8" s="101" t="str">
        <x:v>压缩成团并绕半高轴完整前滚</x:v>
      </x:c>
      <x:c r="G8" s="101" t="str">
        <x:v>随整体轴心翻滚，耳朵大幅后压</x:v>
      </x:c>
      <x:c r="H8" s="101" t="str">
        <x:v>按当前武器握持数收束；自由左手随整体抱团</x:v>
      </x:c>
      <x:c r="I8" s="101" t="str">
        <x:v>右手握把与 WeaponSocket 同轴完整翻滚</x:v>
      </x:c>
      <x:c r="J8" s="101" t="str">
        <x:v>随整体收束</x:v>
      </x:c>
      <x:c r="K8" s="101" t="str">
        <x:v>青色尾迹</x:v>
      </x:c>
      <x:c r="L8" s="101" t="str">
        <x:v>0.17s 内完成 360° 本地X前滚；用半高轴心补偿避免钻地；夸张压缩与抛物线位移</x:v>
      </x:c>
    </x:row>
    <x:row r="9" ht="56" customHeight="1">
      <x:c r="A9" s="101" t="str">
        <x:v>顶层</x:v>
      </x:c>
      <x:c r="B9" s="101" t="str">
        <x:v>hurt</x:v>
      </x:c>
      <x:c r="C9" s="101" t="str">
        <x:v>受创</x:v>
      </x:c>
      <x:c r="D9" s="101" t="str">
        <x:v>任意存活态</x:v>
      </x:c>
      <x:c r="E9" s="101" t="str">
        <x:v>idle,moving,locked,falling,dead</x:v>
      </x:c>
      <x:c r="F9" s="101" t="str">
        <x:v>三段压扁/抬起/过冲回正</x:v>
      </x:c>
      <x:c r="G9" s="101" t="str">
        <x:v>大幅后仰甩头 + 反向过冲</x:v>
      </x:c>
      <x:c r="H9" s="101" t="str">
        <x:v>手枪左手自由外甩；长枪左手回护木</x:v>
      </x:c>
      <x:c r="I9" s="101" t="str">
        <x:v>右手/WeaponSocket 同相后退，握把不脱离</x:v>
      </x:c>
      <x:c r="J9" s="101" t="str">
        <x:v>冲击滞后</x:v>
      </x:c>
      <x:c r="K9" s="101" t="str">
        <x:v>红闪/击退轨迹</x:v>
      </x:c>
      <x:c r="L9" s="101" t="str">
        <x:v>真实命中方向 + 受击进度关键姿势；头、双脚、双耳使用独立夸张回弹</x:v>
      </x:c>
    </x:row>
    <x:row r="10">
      <x:c r="A10" s="101" t="str">
        <x:v>顶层</x:v>
      </x:c>
      <x:c r="B10" s="101" t="str">
        <x:v>locked</x:v>
      </x:c>
      <x:c r="C10" s="101" t="str">
        <x:v>交互锁定</x:v>
      </x:c>
      <x:c r="D10" s="101" t="str">
        <x:v>任意存活态/landing</x:v>
      </x:c>
      <x:c r="E10" s="101" t="str">
        <x:v>idle,moving,hurt,falling,dead</x:v>
      </x:c>
      <x:c r="F10" s="101" t="str">
        <x:v>降亮稳定</x:v>
      </x:c>
      <x:c r="G10" s="101" t="str">
        <x:v>稳定</x:v>
      </x:c>
      <x:c r="H10" s="101" t="str">
        <x:v>稳定</x:v>
      </x:c>
      <x:c r="I10" s="101" t="str">
        <x:v>保持握持</x:v>
      </x:c>
      <x:c r="J10" s="101" t="str">
        <x:v>低摆</x:v>
      </x:c>
      <x:c r="K10" s="101" t="str">
        <x:v>琥珀锁定环</x:v>
      </x:c>
      <x:c r="L10" s="101" t="str">
        <x:v>降亮 + 锁定环；保持刚性层级</x:v>
      </x:c>
    </x:row>
    <x:row r="11" ht="92" customHeight="1">
      <x:c r="A11" s="101" t="str">
        <x:v>顶层</x:v>
      </x:c>
      <x:c r="B11" s="101" t="str">
        <x:v>falling</x:v>
      </x:c>
      <x:c r="C11" s="101" t="str">
        <x:v>下落</x:v>
      </x:c>
      <x:c r="D11" s="101" t="str">
        <x:v>idle/moving/dashing/hurt/locked</x:v>
      </x:c>
      <x:c r="E11" s="101" t="str">
        <x:v>landing,hurt,dead</x:v>
      </x:c>
      <x:c r="F11" s="101" t="str">
        <x:v>随下落速度轻微纵向拉长</x:v>
      </x:c>
      <x:c r="G11" s="101" t="str">
        <x:v>滞后上扬，保持头重感</x:v>
      </x:c>
      <x:c r="H11" s="101" t="str">
        <x:v>手枪自由手收束；长枪托举手不脱离</x:v>
      </x:c>
      <x:c r="I11" s="101" t="str">
        <x:v>握持手与WeaponSocket保持同相</x:v>
      </x:c>
      <x:c r="J11" s="101" t="str">
        <x:v>向上滞后</x:v>
      </x:c>
      <x:c r="K11" s="101" t="str">
        <x:v>无新增VFX</x:v>
      </x:c>
      <x:c r="L11" s="101" t="str">
        <x:v>真实重力+0.10s离地容错；双脚收起、双耳后压；楼梯接缝不误触发</x:v>
      </x:c>
    </x:row>
    <x:row r="12" ht="92" customHeight="1">
      <x:c r="A12" s="101" t="str">
        <x:v>顶层</x:v>
      </x:c>
      <x:c r="B12" s="101" t="str">
        <x:v>landing</x:v>
      </x:c>
      <x:c r="C12" s="101" t="str">
        <x:v>落地</x:v>
      </x:c>
      <x:c r="D12" s="101" t="str">
        <x:v>falling</x:v>
      </x:c>
      <x:c r="E12" s="101" t="str">
        <x:v>idle,moving,locked,falling,hurt,dead</x:v>
      </x:c>
      <x:c r="F12" s="101" t="str">
        <x:v>按冲击速度压缩并回弹</x:v>
      </x:c>
      <x:c r="G12" s="101" t="str">
        <x:v>轻微下压后恢复</x:v>
      </x:c>
      <x:c r="H12" s="101" t="str">
        <x:v>随整体吸收冲击</x:v>
      </x:c>
      <x:c r="I12" s="101" t="str">
        <x:v>握持手与WeaponSocket同相稳定</x:v>
      </x:c>
      <x:c r="J12" s="101" t="str">
        <x:v>短促回摆</x:v>
      </x:c>
      <x:c r="K12" s="101" t="str">
        <x:v>落地停顿</x:v>
      </x:c>
      <x:c r="L12" s="101" t="str">
        <x:v>冲击速度映射0.12—0.30s硬直；状态计时结束后恢复地面移动</x:v>
      </x:c>
    </x:row>
    <x:row r="13">
      <x:c r="A13" s="101" t="str">
        <x:v>顶层</x:v>
      </x:c>
      <x:c r="B13" s="101" t="str">
        <x:v>dead</x:v>
      </x:c>
      <x:c r="C13" s="101" t="str">
        <x:v>生命终止</x:v>
      </x:c>
      <x:c r="D13" s="101" t="str">
        <x:v>任意存活态</x:v>
      </x:c>
      <x:c r="E13" s="101" t="str">
        <x:v>无（终态）</x:v>
      </x:c>
      <x:c r="F13" s="101" t="str">
        <x:v>倾倒熄灭</x:v>
      </x:c>
      <x:c r="G13" s="101" t="str">
        <x:v>随整体倾倒</x:v>
      </x:c>
      <x:c r="H13" s="101" t="str">
        <x:v>随整体倾倒</x:v>
      </x:c>
      <x:c r="I13" s="101" t="str">
        <x:v>随整体倾倒</x:v>
      </x:c>
      <x:c r="J13" s="101" t="str">
        <x:v>停止</x:v>
      </x:c>
      <x:c r="K13" s="101" t="str">
        <x:v>HUD 终止</x:v>
      </x:c>
      <x:c r="L13" s="101" t="str">
        <x:v>整体倾倒；耳朵与肢体跟随关节</x:v>
      </x:c>
    </x:row>
    <x:row r="14">
      <x:c r="A14" s="101" t="str">
        <x:v>叠加</x:v>
      </x:c>
      <x:c r="B14" s="101" t="str">
        <x:v>low_health</x:v>
      </x:c>
      <x:c r="C14" s="101" t="str">
        <x:v>低血</x:v>
      </x:c>
      <x:c r="D14" s="101" t="str">
        <x:v>任意存活态</x:v>
      </x:c>
      <x:c r="E14" s="101" t="str">
        <x:v>不改变顶层</x:v>
      </x:c>
      <x:c r="F14" s="101" t="str">
        <x:v>不变</x:v>
      </x:c>
      <x:c r="G14" s="101" t="str">
        <x:v>不变</x:v>
      </x:c>
      <x:c r="H14" s="101" t="str">
        <x:v>保持当前动作</x:v>
      </x:c>
      <x:c r="I14" s="101" t="str">
        <x:v>保持当前动作</x:v>
      </x:c>
      <x:c r="J14" s="101" t="str">
        <x:v>不变</x:v>
      </x:c>
      <x:c r="K14" s="101" t="str">
        <x:v>红色呼吸环</x:v>
      </x:c>
      <x:c r="L14" s="101" t="str">
        <x:v>HP≤30%</x:v>
      </x:c>
    </x:row>
    <x:row r="15" ht="56" customHeight="1">
      <x:c r="A15" s="70" t="str">
        <x:v>叠加</x:v>
      </x:c>
      <x:c r="B15" s="70" t="str">
        <x:v>silenced</x:v>
      </x:c>
      <x:c r="C15" s="70" t="str">
        <x:v>沉默</x:v>
      </x:c>
      <x:c r="D15" s="70" t="str">
        <x:v>任意存活态</x:v>
      </x:c>
      <x:c r="E15" s="70" t="str">
        <x:v>不改变顶层</x:v>
      </x:c>
      <x:c r="F15" s="70" t="str">
        <x:v>降饱和可选</x:v>
      </x:c>
      <x:c r="G15" s="70" t="str">
        <x:v>传感器干扰</x:v>
      </x:c>
      <x:c r="H15" s="70" t="str">
        <x:v>保持当前动作</x:v>
      </x:c>
      <x:c r="I15" s="70" t="str">
        <x:v>保持当前动作</x:v>
      </x:c>
      <x:c r="J15" s="70" t="str">
        <x:v>不变</x:v>
      </x:c>
      <x:c r="K15" s="70" t="str">
        <x:v>紫色干扰环</x:v>
      </x:c>
      <x:c r="L15" s="70" t="str">
        <x:v>计时标志</x:v>
      </x:c>
    </x:row>
    <x:row r="16" ht="28" customHeight="1">
      <x:c r="A16" s="97" t="str">
        <x:v>叠加</x:v>
      </x:c>
      <x:c r="B16" s="97" t="str">
        <x:v>invincible</x:v>
      </x:c>
      <x:c r="C16" s="97" t="str">
        <x:v>无敌</x:v>
      </x:c>
      <x:c r="D16" s="97" t="str">
        <x:v>dash/hurt</x:v>
      </x:c>
      <x:c r="E16" s="97" t="str">
        <x:v>不改变顶层</x:v>
      </x:c>
      <x:c r="F16" s="97" t="str">
        <x:v>闪烁</x:v>
      </x:c>
      <x:c r="G16" s="97" t="str">
        <x:v>闪烁</x:v>
      </x:c>
      <x:c r="H16" s="97" t="str">
        <x:v>保持当前动作</x:v>
      </x:c>
      <x:c r="I16" s="97" t="str">
        <x:v>保持当前动作</x:v>
      </x:c>
      <x:c r="J16" s="97" t="str">
        <x:v>闪烁</x:v>
      </x:c>
      <x:c r="K16" s="97" t="str">
        <x:v>透明闪烁</x:v>
      </x:c>
      <x:c r="L16" s="97" t="str">
        <x:v>InvincibleTimer 唯一解除</x:v>
      </x:c>
    </x:row>
    <x:row r="17" ht="36" customHeight="1">
      <x:c r="A17" s="70" t="str">
        <x:v>叠加</x:v>
      </x:c>
      <x:c r="B17" s="70" t="str">
        <x:v>reloading</x:v>
      </x:c>
      <x:c r="C17" s="70" t="str">
        <x:v>换弹</x:v>
      </x:c>
      <x:c r="D17" s="70" t="str">
        <x:v>任意持枪存活态</x:v>
      </x:c>
      <x:c r="E17" s="70" t="str">
        <x:v>不改变顶层；完成/取消退出</x:v>
      </x:c>
      <x:c r="F17" s="70" t="str">
        <x:v>保持当前顶层</x:v>
      </x:c>
      <x:c r="G17" s="70" t="str">
        <x:v>保持当前顶层</x:v>
      </x:c>
      <x:c r="H17" s="70" t="str">
        <x:v>手枪左手近身取弹但不计握持；长枪左手离开护木服务</x:v>
      </x:c>
      <x:c r="I17" s="70" t="str">
        <x:v>右手持续握把并跟随 WeaponSocket 下压/回位</x:v>
      </x:c>
      <x:c r="J17" s="70" t="str">
        <x:v>保持当前顶层</x:v>
      </x:c>
      <x:c r="K17" s="70" t="str">
        <x:v>3D头顶billboard进度条；2D弹药栏</x:v>
      </x:c>
      <x:c r="L17" s="70" t="str">
        <x:v>WeaponModel3D 唯一计时源；WeaponPoseFSM 进入 sidearm_reload/longgun_reload；右手保持握把，左手按武器类型服务</x:v>
      </x:c>
    </x:row>
    <x:row r="18" ht="42" customHeight="1">
      <x:c r="A18" s="70" t="str">
        <x:v>Enemy3D 九态状态机 × 模块表现 × 模型轮廓碰撞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</x:row>
    <x:row r="19" ht="42" customHeight="1">
      <x:c r="A19" s="70" t="str">
        <x:v>层级</x:v>
      </x:c>
      <x:c r="B19" s="70" t="str">
        <x:v>状态ID</x:v>
      </x:c>
      <x:c r="C19" s="70" t="str">
        <x:v>中文名</x:v>
      </x:c>
      <x:c r="D19" s="70" t="str">
        <x:v>允许来源</x:v>
      </x:c>
      <x:c r="E19" s="70" t="str">
        <x:v>允许去向</x:v>
      </x:c>
      <x:c r="F19" s="70" t="str">
        <x:v>Core</x:v>
      </x:c>
      <x:c r="G19" s="70" t="str">
        <x:v>Shell</x:v>
      </x:c>
      <x:c r="H19" s="70" t="str">
        <x:v>Appendages</x:v>
      </x:c>
      <x:c r="I19" s="70" t="str">
        <x:v>StateVFX</x:v>
      </x:c>
      <x:c r="J19" s="70" t="str">
        <x:v>行为职责</x:v>
      </x:c>
      <x:c r="K19" s="70" t="str">
        <x:v>验收</x:v>
      </x:c>
      <x:c r="L19" s="70" t="str">
        <x:v>首版实现</x:v>
      </x:c>
    </x:row>
    <x:row r="20" ht="42" customHeight="1">
      <x:c r="A20" s="70" t="str">
        <x:v>顶层</x:v>
      </x:c>
      <x:c r="B20" s="70" t="str">
        <x:v>idle</x:v>
      </x:c>
      <x:c r="C20" s="70" t="str">
        <x:v>待机</x:v>
      </x:c>
      <x:c r="D20" s="70" t="str">
        <x:v>start/patrol/stagger</x:v>
      </x:c>
      <x:c r="E20" s="70" t="str">
        <x:v>patrol/alert/dead</x:v>
      </x:c>
      <x:c r="F20" s="70" t="str">
        <x:v>低频脉冲</x:v>
      </x:c>
      <x:c r="G20" s="70" t="str">
        <x:v>轻浮动</x:v>
      </x:c>
      <x:c r="H20" s="70" t="str">
        <x:v>低速</x:v>
      </x:c>
      <x:c r="I20" s="70" t="str">
        <x:v>关闭</x:v>
      </x:c>
      <x:c r="J20" s="70" t="str">
        <x:v>等待目标</x:v>
      </x:c>
      <x:c r="K20" s="70" t="str">
        <x:v>静态轮廓可读</x:v>
      </x:c>
      <x:c r="L20" s="70" t="str">
        <x:v>模块变换</x:v>
      </x:c>
    </x:row>
    <x:row r="21" ht="42" customHeight="1">
      <x:c r="A21" s="70" t="str">
        <x:v>顶层</x:v>
      </x:c>
      <x:c r="B21" s="70" t="str">
        <x:v>patrol</x:v>
      </x:c>
      <x:c r="C21" s="70" t="str">
        <x:v>巡逻</x:v>
      </x:c>
      <x:c r="D21" s="70" t="str">
        <x:v>idle/search</x:v>
      </x:c>
      <x:c r="E21" s="70" t="str">
        <x:v>idle/alert/stagger/dead</x:v>
      </x:c>
      <x:c r="F21" s="70" t="str">
        <x:v>低频脉冲</x:v>
      </x:c>
      <x:c r="G21" s="70" t="str">
        <x:v>朝巡逻点</x:v>
      </x:c>
      <x:c r="H21" s="70" t="str">
        <x:v>慢速步态</x:v>
      </x:c>
      <x:c r="I21" s="70" t="str">
        <x:v>关闭</x:v>
      </x:c>
      <x:c r="J21" s="70" t="str">
        <x:v>出生点附近巡逻</x:v>
      </x:c>
      <x:c r="K21" s="70" t="str">
        <x:v>无目标不原地僵住</x:v>
      </x:c>
      <x:c r="L21" s="70" t="str">
        <x:v>CharacterBody3D</x:v>
      </x:c>
    </x:row>
    <x:row r="22" ht="42" customHeight="1">
      <x:c r="A22" s="70" t="str">
        <x:v>顶层</x:v>
      </x:c>
      <x:c r="B22" s="70" t="str">
        <x:v>alert</x:v>
      </x:c>
      <x:c r="C22" s="70" t="str">
        <x:v>警觉</x:v>
      </x:c>
      <x:c r="D22" s="70" t="str">
        <x:v>idle/patrol/search</x:v>
      </x:c>
      <x:c r="E22" s="70" t="str">
        <x:v>chase/stagger/dead</x:v>
      </x:c>
      <x:c r="F22" s="70" t="str">
        <x:v>加速</x:v>
      </x:c>
      <x:c r="G22" s="70" t="str">
        <x:v>抬升</x:v>
      </x:c>
      <x:c r="H22" s="70" t="str">
        <x:v>展开</x:v>
      </x:c>
      <x:c r="I22" s="70" t="str">
        <x:v>关闭</x:v>
      </x:c>
      <x:c r="J22" s="70" t="str">
        <x:v>发现玩家</x:v>
      </x:c>
      <x:c r="K22" s="70" t="str">
        <x:v>0.28s响应</x:v>
      </x:c>
      <x:c r="L22" s="70" t="str">
        <x:v>模块变换</x:v>
      </x:c>
    </x:row>
    <x:row r="23" ht="42" customHeight="1">
      <x:c r="A23" s="70" t="str">
        <x:v>顶层</x:v>
      </x:c>
      <x:c r="B23" s="70" t="str">
        <x:v>chase</x:v>
      </x:c>
      <x:c r="C23" s="70" t="str">
        <x:v>追击</x:v>
      </x:c>
      <x:c r="D23" s="70" t="str">
        <x:v>alert/attack/stagger</x:v>
      </x:c>
      <x:c r="E23" s="70" t="str">
        <x:v>search/telegraph/stagger/dead</x:v>
      </x:c>
      <x:c r="F23" s="70" t="str">
        <x:v>稳定</x:v>
      </x:c>
      <x:c r="G23" s="70" t="str">
        <x:v>朝目标</x:v>
      </x:c>
      <x:c r="H23" s="70" t="str">
        <x:v>步态</x:v>
      </x:c>
      <x:c r="I23" s="70" t="str">
        <x:v>关闭</x:v>
      </x:c>
      <x:c r="J23" s="70" t="str">
        <x:v>距离控制</x:v>
      </x:c>
      <x:c r="K23" s="70" t="str">
        <x:v>七类速度差</x:v>
      </x:c>
      <x:c r="L23" s="70" t="str">
        <x:v>CharacterBody3D</x:v>
      </x:c>
    </x:row>
    <x:row r="24" ht="42" customHeight="1">
      <x:c r="A24" s="70" t="str">
        <x:v>顶层</x:v>
      </x:c>
      <x:c r="B24" s="70" t="str">
        <x:v>search</x:v>
      </x:c>
      <x:c r="C24" s="70" t="str">
        <x:v>搜索</x:v>
      </x:c>
      <x:c r="D24" s="70" t="str">
        <x:v>chase</x:v>
      </x:c>
      <x:c r="E24" s="70" t="str">
        <x:v>patrol/alert/stagger/dead</x:v>
      </x:c>
      <x:c r="F24" s="70" t="str">
        <x:v>渐缓</x:v>
      </x:c>
      <x:c r="G24" s="70" t="str">
        <x:v>朝最后位置</x:v>
      </x:c>
      <x:c r="H24" s="70" t="str">
        <x:v>搜索步态</x:v>
      </x:c>
      <x:c r="I24" s="70" t="str">
        <x:v>搜索提示</x:v>
      </x:c>
      <x:c r="J24" s="70" t="str">
        <x:v>失去视线后搜索</x:v>
      </x:c>
      <x:c r="K24" s="70" t="str">
        <x:v>2.4s后回巡逻</x:v>
      </x:c>
      <x:c r="L24" s="70" t="str">
        <x:v>射线+最后位置</x:v>
      </x:c>
    </x:row>
    <x:row r="25">
      <x:c r="A25" s="70" t="str">
        <x:v>顶层</x:v>
      </x:c>
      <x:c r="B25" s="70" t="str">
        <x:v>telegraph</x:v>
      </x:c>
      <x:c r="C25" s="70" t="str">
        <x:v>预警</x:v>
      </x:c>
      <x:c r="D25" s="70" t="str">
        <x:v>chase</x:v>
      </x:c>
      <x:c r="E25" s="70" t="str">
        <x:v>attack/stagger/dead</x:v>
      </x:c>
      <x:c r="F25" s="70" t="str">
        <x:v>高频脉冲</x:v>
      </x:c>
      <x:c r="G25" s="70" t="str">
        <x:v>稳定</x:v>
      </x:c>
      <x:c r="H25" s="70" t="str">
        <x:v>蓄势</x:v>
      </x:c>
      <x:c r="I25" s="70" t="str">
        <x:v>红色预警环</x:v>
      </x:c>
      <x:c r="J25" s="70" t="str">
        <x:v>攻击前摇</x:v>
      </x:c>
      <x:c r="K25" s="70" t="str">
        <x:v>不可省略</x:v>
      </x:c>
      <x:c r="L25" s="70" t="str">
        <x:v>计时状态</x:v>
      </x:c>
    </x:row>
    <x:row r="26">
      <x:c r="A26" s="70" t="str">
        <x:v>顶层</x:v>
      </x:c>
      <x:c r="B26" s="70" t="str">
        <x:v>attack</x:v>
      </x:c>
      <x:c r="C26" s="70" t="str">
        <x:v>攻击</x:v>
      </x:c>
      <x:c r="D26" s="70" t="str">
        <x:v>telegraph</x:v>
      </x:c>
      <x:c r="E26" s="70" t="str">
        <x:v>chase/stagger/dead</x:v>
      </x:c>
      <x:c r="F26" s="70" t="str">
        <x:v>峰值</x:v>
      </x:c>
      <x:c r="G26" s="70" t="str">
        <x:v>反冲</x:v>
      </x:c>
      <x:c r="H26" s="70" t="str">
        <x:v>执行</x:v>
      </x:c>
      <x:c r="I26" s="70" t="str">
        <x:v>按攻击类型</x:v>
      </x:c>
      <x:c r="J26" s="70" t="str">
        <x:v>近战/远程/召唤/爆炸</x:v>
      </x:c>
      <x:c r="K26" s="70" t="str">
        <x:v>七类差异</x:v>
      </x:c>
      <x:c r="L26" s="70" t="str">
        <x:v>profile策略</x:v>
      </x:c>
    </x:row>
    <x:row r="27">
      <x:c r="A27" s="70" t="str">
        <x:v>顶层</x:v>
      </x:c>
      <x:c r="B27" s="70" t="str">
        <x:v>stagger</x:v>
      </x:c>
      <x:c r="C27" s="70" t="str">
        <x:v>硬直</x:v>
      </x:c>
      <x:c r="D27" s="70" t="str">
        <x:v>任意存活态</x:v>
      </x:c>
      <x:c r="E27" s="70" t="str">
        <x:v>chase/dead</x:v>
      </x:c>
      <x:c r="F27" s="70" t="str">
        <x:v>闪色</x:v>
      </x:c>
      <x:c r="G27" s="70" t="str">
        <x:v>冲击</x:v>
      </x:c>
      <x:c r="H27" s="70" t="str">
        <x:v>暂停</x:v>
      </x:c>
      <x:c r="I27" s="70" t="str">
        <x:v>伤害反馈</x:v>
      </x:c>
      <x:c r="J27" s="70" t="str">
        <x:v>受击窗口</x:v>
      </x:c>
      <x:c r="K27" s="70" t="str">
        <x:v>方向可读</x:v>
      </x:c>
      <x:c r="L27" s="70" t="str">
        <x:v>统一伤害入口</x:v>
      </x:c>
    </x:row>
    <x:row r="28" ht="38" customHeight="1">
      <x:c r="A28" s="102" t="str">
        <x:v>顶层</x:v>
      </x:c>
      <x:c r="B28" s="102" t="str">
        <x:v>dead</x:v>
      </x:c>
      <x:c r="C28" s="102" t="str">
        <x:v>死亡</x:v>
      </x:c>
      <x:c r="D28" s="102" t="str">
        <x:v>任意存活态</x:v>
      </x:c>
      <x:c r="E28" s="102" t="str">
        <x:v>无（终态）</x:v>
      </x:c>
      <x:c r="F28" s="102" t="str">
        <x:v>熄灭</x:v>
      </x:c>
      <x:c r="G28" s="102" t="str">
        <x:v>压扁</x:v>
      </x:c>
      <x:c r="H28" s="102" t="str">
        <x:v>停止</x:v>
      </x:c>
      <x:c r="I28" s="102" t="str">
        <x:v>爆散/淡出</x:v>
      </x:c>
      <x:c r="J28" s="102" t="str">
        <x:v>掉落与计数</x:v>
      </x:c>
      <x:c r="K28" s="102" t="str">
        <x:v>不可回存活态</x:v>
      </x:c>
      <x:c r="L28" s="102" t="str">
        <x:v>终态 + Tween</x:v>
      </x:c>
    </x:row>
    <x:row r="29" ht="38" customHeight="1">
      <x:c r="A29" s="103"/>
      <x:c r="B29" s="103"/>
      <x:c r="C29" s="103"/>
      <x:c r="D29" s="103"/>
      <x:c r="E29" s="103"/>
      <x:c r="F29" s="103"/>
      <x:c r="G29" s="103"/>
      <x:c r="H29" s="103"/>
      <x:c r="I29" s="103"/>
      <x:c r="J29" s="103"/>
      <x:c r="K29" s="103"/>
      <x:c r="L29" s="103"/>
    </x:row>
    <x:row r="30" ht="56" customHeight="1">
      <x:c r="A30" s="70" t="str">
        <x:v>Player3D 动作覆盖层 × 组件表现（不新增顶层状态）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0"/>
      <x:c r="L30" s="70"/>
    </x:row>
    <x:row r="31" ht="56" customHeight="1">
      <x:c r="A31" s="70" t="str">
        <x:v>层级｜状态ID｜中文名｜唯一来源｜退出｜Body｜Head｜Hand L（停用）｜Hand（握持）｜Scarf｜VFX/UI｜首版实现</x:v>
      </x:c>
      <x:c r="B31" s="70"/>
      <x:c r="C31" s="70"/>
      <x:c r="D31" s="70"/>
      <x:c r="E31" s="70"/>
      <x:c r="F31" s="70"/>
      <x:c r="G31" s="70"/>
      <x:c r="H31" s="70"/>
      <x:c r="I31" s="70"/>
      <x:c r="J31" s="70"/>
      <x:c r="K31" s="70"/>
      <x:c r="L31" s="70"/>
    </x:row>
    <x:row r="32" ht="56" customHeight="1">
      <x:c r="A32" s="70" t="str">
        <x:v>叠加</x:v>
      </x:c>
      <x:c r="B32" s="70" t="str">
        <x:v>firing</x:v>
      </x:c>
      <x:c r="C32" s="70" t="str">
        <x:v>射击</x:v>
      </x:c>
      <x:c r="D32" s="70" t="str">
        <x:v>WeaponModel3D.shot_fired</x:v>
      </x:c>
      <x:c r="E32" s="70" t="str">
        <x:v>短时回弹后退出</x:v>
      </x:c>
      <x:c r="F32" s="70" t="str">
        <x:v>前探/压缩/弹性回弹</x:v>
      </x:c>
      <x:c r="G32" s="70" t="str">
        <x:v>小幅前探</x:v>
      </x:c>
      <x:c r="H32" s="70" t="str">
        <x:v>手枪左手不继承后坐；长枪左手托举并小幅刚性回弹</x:v>
      </x:c>
      <x:c r="I32" s="70" t="str">
        <x:v>右手握把跟随 WeaponSocket；手枪单腕上挑，长枪双手与躯干共同吃后坐</x:v>
      </x:c>
      <x:c r="J32" s="70" t="str">
        <x:v>受冲量轻摆</x:v>
      </x:c>
      <x:c r="K32" s="70" t="str">
        <x:v>枪口闪光/后坐</x:v>
      </x:c>
      <x:c r="L32" s="70" t="str">
        <x:v>真实 shot_fired 信号；WeaponPoseFSM 进入 sidearm_fire/longgun_fire；七种枪体读取独立 fire_style、kick、pitch、roll、lift 参数</x:v>
      </x:c>
    </x:row>
    <x:row r="33">
      <x:c r="A33" s="70" t="str">
        <x:v>叠加</x:v>
      </x:c>
      <x:c r="B33" s="70" t="str">
        <x:v>charging</x:v>
      </x:c>
      <x:c r="C33" s="70" t="str">
        <x:v>蓄力</x:v>
      </x:c>
      <x:c r="D33" s="70" t="str">
        <x:v>WeaponModel3D.charge_active / charge_ratio</x:v>
      </x:c>
      <x:c r="E33" s="70" t="str">
        <x:v>释放/取消/换枪/死亡</x:v>
      </x:c>
      <x:c r="F33" s="70" t="str">
        <x:v>下压蓄势</x:v>
      </x:c>
      <x:c r="G33" s="70" t="str">
        <x:v>轻微压低</x:v>
      </x:c>
      <x:c r="H33" s="70" t="str">
        <x:v>长枪左手向内压入形成张力；手枪保持自由手</x:v>
      </x:c>
      <x:c r="I33" s="70" t="str">
        <x:v>右手握把与 WeaponSocket 同相蓄势</x:v>
      </x:c>
      <x:c r="J33" s="70" t="str">
        <x:v>低频张力摆动</x:v>
      </x:c>
      <x:c r="K33" s="70" t="str">
        <x:v>紫色能量提示（可选）</x:v>
      </x:c>
      <x:c r="L33" s="70" t="str">
        <x:v>读取真实蓄力进度；WeaponPoseFSM 进入对应 charge 状态；释放后按枪体 profile 回弹</x:v>
      </x:c>
    </x:row>
    <x:row r="34" ht="34" customHeight="1">
      <x:c r="A34" s="102" t="str">
        <x:v>叠加</x:v>
      </x:c>
      <x:c r="B34" s="102" t="str">
        <x:v>knockback</x:v>
      </x:c>
      <x:c r="C34" s="102" t="str">
        <x:v>受击击飞</x:v>
      </x:c>
      <x:c r="D34" s="102" t="str">
        <x:v>Player3D 命中方向/强度/时长</x:v>
      </x:c>
      <x:c r="E34" s="102" t="str">
        <x:v>冲量归零或死亡</x:v>
      </x:c>
      <x:c r="F34" s="102" t="str">
        <x:v>反向位移/压缩/弹回</x:v>
      </x:c>
      <x:c r="G34" s="102" t="str">
        <x:v>夸张后仰甩头/回正</x:v>
      </x:c>
      <x:c r="H34" s="102" t="str">
        <x:v>手枪自由左手外甩；长枪左手回护木</x:v>
      </x:c>
      <x:c r="I34" s="102" t="str">
        <x:v>右手与 WeaponSocket 同相后退/回正</x:v>
      </x:c>
      <x:c r="J34" s="102" t="str">
        <x:v>滞后甩动</x:v>
      </x:c>
      <x:c r="K34" s="102" t="str">
        <x:v>红闪/短轨迹</x:v>
      </x:c>
      <x:c r="L34" s="102" t="str">
        <x:v>hurt 消费递减XZ冲量；双耳/双脚/双手分层过冲，不新增顶层状态</x:v>
      </x:c>
    </x:row>
    <x:row r="35" ht="34" customHeight="1">
      <x:c r="A35" s="103"/>
      <x:c r="B35" s="103"/>
      <x:c r="C35" s="103"/>
      <x:c r="D35" s="103"/>
      <x:c r="E35" s="103"/>
      <x:c r="F35" s="103"/>
      <x:c r="G35" s="103"/>
      <x:c r="H35" s="103"/>
      <x:c r="I35" s="103"/>
      <x:c r="J35" s="103"/>
      <x:c r="K35" s="103"/>
      <x:c r="L35" s="103"/>
    </x:row>
    <x:row r="36" ht="34" customHeight="1">
      <x:c r="A36" s="70" t="str">
        <x:v>Player3D DIY 外观槽 × 动态继承（不影响八态/玩法）</x:v>
      </x:c>
      <x:c r="B36" s="70"/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</x:row>
    <x:row r="37">
      <x:c r="A37" s="70" t="str">
        <x:v>槽位｜候选变体｜父组件｜移动｜射击/蓄力｜受击/击飞｜换弹｜死亡｜挂点契约｜验收｜复用范围｜首版实现</x:v>
      </x:c>
      <x:c r="B37" s="70"/>
      <x:c r="C37" s="70"/>
      <x:c r="D37" s="70"/>
      <x:c r="E37" s="70"/>
      <x:c r="F37" s="70"/>
      <x:c r="G37" s="70"/>
      <x:c r="H37" s="70"/>
      <x:c r="I37" s="70"/>
      <x:c r="J37" s="70"/>
      <x:c r="K37" s="70"/>
      <x:c r="L37" s="70"/>
    </x:row>
    <x:row r="38" ht="38" customHeight="1">
      <x:c r="A38" s="70" t="str">
        <x:v>body/head/hand/feet/hat/glasses</x:v>
      </x:c>
      <x:c r="B38" s="70" t="str">
        <x:v>4+4+4+4+3+3</x:v>
      </x:c>
      <x:c r="C38" s="70" t="str">
        <x:v>Body/Head/Hand/Feet/Wearables</x:v>
      </x:c>
      <x:c r="D38" s="70" t="str">
        <x:v>身体弹性+双脚交替+圆短尾轻摆</x:v>
      </x:c>
      <x:c r="E38" s="70" t="str">
        <x:v>手/枪同相后坐；头前探</x:v>
      </x:c>
      <x:c r="F38" s="70" t="str">
        <x:v>整体后仰/脚随根回正</x:v>
      </x:c>
      <x:c r="G38" s="70" t="str">
        <x:v>Hand+Socket同相</x:v>
      </x:c>
      <x:c r="H38" s="70" t="str">
        <x:v>四主模块随根倾倒</x:v>
      </x:c>
      <x:c r="I38" s="70" t="str">
        <x:v>唯一手/挂点相对向量固定</x:v>
      </x:c>
      <x:c r="J38" s="70" t="str">
        <x:v>四主模块+双眼双耳短尾+八态覆盖</x:v>
      </x:c>
      <x:c r="K38" s="70" t="str">
        <x:v>3D玩家/预览场</x:v>
      </x:c>
      <x:c r="L38" s="70" t="str">
        <x:v>Godot原生方体/三角耳/圆尾；Player3D.set_avatar_customization</x:v>
      </x:c>
    </x:row>
    <x:row r="39" ht="38" customHeight="1">
      <x:c r="A39" s="70"/>
      <x:c r="B39" s="70"/>
      <x:c r="C39" s="70"/>
      <x:c r="D39" s="70"/>
      <x:c r="E39" s="70"/>
      <x:c r="F39" s="70"/>
      <x:c r="G39" s="70"/>
      <x:c r="H39" s="70"/>
      <x:c r="I39" s="70"/>
      <x:c r="J39" s="70"/>
      <x:c r="K39" s="70"/>
      <x:c r="L39" s="70"/>
    </x:row>
    <x:row r="40" ht="38" customHeight="1">
      <x:c r="A40" s="70" t="str">
        <x:v>PH33 方形猫子组件 × 动作归属（不新增状态）</x:v>
      </x:c>
      <x:c r="B40" s="70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</x:row>
    <x:row r="41">
      <x:c r="A41" s="70" t="str">
        <x:v>父模块｜子组件｜节点数量｜Idle｜Moving｜Dashing｜Hurt/Knockback｜Reload/Fire｜Dead｜图形语言｜禁止事项｜验收</x:v>
      </x:c>
      <x:c r="B41" s="70"/>
      <x:c r="C41" s="70"/>
      <x:c r="D41" s="70"/>
      <x:c r="E41" s="70"/>
      <x:c r="F41" s="70"/>
      <x:c r="G41" s="70"/>
      <x:c r="H41" s="70"/>
      <x:c r="I41" s="70"/>
      <x:c r="J41" s="70"/>
      <x:c r="K41" s="70"/>
      <x:c r="L41" s="70"/>
    </x:row>
    <x:row r="42">
      <x:c r="A42" s="70" t="str">
        <x:v>Head / Body / Feet</x:v>
      </x:c>
      <x:c r="B42" s="70" t="str">
        <x:v>Eyes / Ears / TailStub / FootL / FootR</x:v>
      </x:c>
      <x:c r="C42" s="70" t="str">
        <x:v>2 / 2 / 1 / 2</x:v>
      </x:c>
      <x:c r="D42" s="70" t="str">
        <x:v>双眼双耳稳定；短尾微摆</x:v>
      </x:c>
      <x:c r="E42" s="70" t="str">
        <x:v>双脚交替抬起；短尾轻摆</x:v>
      </x:c>
      <x:c r="F42" s="70" t="str">
        <x:v>随VisualRoot压缩</x:v>
      </x:c>
      <x:c r="G42" s="70" t="str">
        <x:v>随父模块后仰回正</x:v>
      </x:c>
      <x:c r="H42" s="70" t="str">
        <x:v>手/枪动作不牵动脚；头部继承</x:v>
      </x:c>
      <x:c r="I42" s="70" t="str">
        <x:v>随父模块倾倒</x:v>
      </x:c>
      <x:c r="J42" s="70" t="str">
        <x:v>方头方身方手方脚；圆尾唯一例外</x:v>
      </x:c>
      <x:c r="K42" s="70" t="str">
        <x:v>嘴/鼻/第二手/长尾/烘焙跨模块</x:v>
      </x:c>
      <x:c r="L42" s="70" t="str">
        <x:v>节点路径+数量+步态+持枪+视觉</x:v>
      </x:c>
    </x:row>
  </x:sheetData>
  <x:mergeCells>
    <x:mergeCell ref="A1:L2"/>
    <x:mergeCell ref="A3:L3"/>
    <x:mergeCell ref="A18:L18"/>
    <x:mergeCell ref="A30:L30"/>
    <x:mergeCell ref="A31:L31"/>
    <x:mergeCell ref="A36:L36"/>
    <x:mergeCell ref="A37:L37"/>
    <x:mergeCell ref="A40:L40"/>
    <x:mergeCell ref="A41:L4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6" hidden="0" customWidth="1"/>
    <x:col min="5" max="5" width="52" hidden="0" customWidth="1"/>
    <x:col min="6" max="6" width="34" hidden="0" customWidth="1"/>
  </x:cols>
  <x:sheetData>
    <x:row r="1" ht="25" customHeight="1">
      <x:c r="A1" s="3" t="str">
        <x:v>分类、前缀与目录</x:v>
      </x:c>
      <x:c r="B1" s="3"/>
      <x:c r="C1" s="3"/>
      <x:c r="D1" s="3"/>
      <x:c r="E1" s="3"/>
      <x:c r="F1" s="3"/>
    </x:row>
    <x:row r="2" ht="12" customHeight="1">
      <x:c r="A2" s="3"/>
      <x:c r="B2" s="3"/>
      <x:c r="C2" s="3"/>
      <x:c r="D2" s="3"/>
      <x:c r="E2" s="3"/>
      <x:c r="F2" s="3"/>
    </x:row>
    <x:row r="3" ht="23" customHeight="1">
      <x:c r="A3" s="6" t="str">
        <x:v>新增资产必须从本表选择分类；如果找不到子类，先扩展本表再建文件，禁止临时随意命名</x:v>
      </x:c>
      <x:c r="B3" s="6"/>
      <x:c r="C3" s="6"/>
      <x:c r="D3" s="6"/>
      <x:c r="E3" s="6"/>
      <x:c r="F3" s="6"/>
    </x:row>
    <x:row r="5" ht="32" customHeight="1">
      <x:c r="A5" s="28" t="str">
        <x:v>前缀</x:v>
      </x:c>
      <x:c r="B5" s="29" t="str">
        <x:v>大类</x:v>
      </x:c>
      <x:c r="C5" s="29" t="str">
        <x:v>推荐子类</x:v>
      </x:c>
      <x:c r="D5" s="29" t="str">
        <x:v>标准目录</x:v>
      </x:c>
      <x:c r="E5" s="29" t="str">
        <x:v>文件名模式</x:v>
      </x:c>
      <x:c r="F5" s="30" t="str">
        <x:v>AssetID 示例</x:v>
      </x:c>
    </x:row>
    <x:row r="6">
      <x:c r="A6" s="36" t="str">
        <x:v>CHR</x:v>
      </x:c>
      <x:c r="B6" s="36" t="str">
        <x:v>角色</x:v>
      </x:c>
      <x:c r="C6" s="36" t="str">
        <x:v>player / npc / companion</x:v>
      </x:c>
      <x:c r="D6" s="36" t="str">
        <x:v>assets/art/characters/</x:v>
      </x:c>
      <x:c r="E6" s="36" t="str">
        <x:v>chr_{role}_{name}{nn}_{component}_{view}_v{nnn}.{png|glb|tscn}</x:v>
      </x:c>
      <x:c r="F6" s="36" t="str">
        <x:v>CHR-PLY-CAPSULE01-HEAD-SIDE</x:v>
      </x:c>
    </x:row>
    <x:row r="7">
      <x:c r="A7" s="37" t="str">
        <x:v>ENM</x:v>
      </x:c>
      <x:c r="B7" s="37" t="str">
        <x:v>敌人</x:v>
      </x:c>
      <x:c r="C7" s="37" t="str">
        <x:v>normal / elite / boss</x:v>
      </x:c>
      <x:c r="D7" s="37" t="str">
        <x:v>assets/art/enemies/</x:v>
      </x:c>
      <x:c r="E7" s="37" t="str">
        <x:v>enm_{archetype}_{name}{nn}_{part}_{view}_v{nnn}.{png|glb|tscn}</x:v>
      </x:c>
      <x:c r="F7" s="37" t="str">
        <x:v>ENM-MELEE-FUNGBOAR01-BODY</x:v>
      </x:c>
    </x:row>
    <x:row r="8">
      <x:c r="A8" s="37" t="str">
        <x:v>WPN</x:v>
      </x:c>
      <x:c r="B8" s="37" t="str">
        <x:v>枪械</x:v>
      </x:c>
      <x:c r="C8" s="37" t="str">
        <x:v>gunbody / bullet / attachment</x:v>
      </x:c>
      <x:c r="D8" s="37" t="str">
        <x:v>assets/art/weapons/</x:v>
      </x:c>
      <x:c r="E8" s="37" t="str">
        <x:v>wpn_{family}_{logic_id}_{view}_v{nnn}.{png|glb|tscn}</x:v>
      </x:c>
      <x:c r="F8" s="37" t="str">
        <x:v>WPN-GUN-BP-PISTOL-SIDE</x:v>
      </x:c>
    </x:row>
    <x:row r="9">
      <x:c r="A9" s="37" t="str">
        <x:v>ITM</x:v>
      </x:c>
      <x:c r="B9" s="37" t="str">
        <x:v>道具</x:v>
      </x:c>
      <x:c r="C9" s="37" t="str">
        <x:v>pickup / consumable / key / loot</x:v>
      </x:c>
      <x:c r="D9" s="37" t="str">
        <x:v>assets/art/items/</x:v>
      </x:c>
      <x:c r="E9" s="37" t="str">
        <x:v>itm_{type}_{logic_id}_{state}_v{nnn}.png</x:v>
      </x:c>
      <x:c r="F9" s="37" t="str">
        <x:v>ITM-KEY-ROOM-DEFAULT</x:v>
      </x:c>
    </x:row>
    <x:row r="10">
      <x:c r="A10" s="37" t="str">
        <x:v>ENV</x:v>
      </x:c>
      <x:c r="B10" s="37" t="str">
        <x:v>场景</x:v>
      </x:c>
      <x:c r="C10" s="37" t="str">
        <x:v>biome / room / base / tile</x:v>
      </x:c>
      <x:c r="D10" s="37" t="str">
        <x:v>assets/art/environments/</x:v>
      </x:c>
      <x:c r="E10" s="37" t="str">
        <x:v>env_{biome}_{set}_{piece}_v{nnn}.{png|glb|tres|tscn}</x:v>
      </x:c>
      <x:c r="F10" s="37" t="str">
        <x:v>ENV-IRON-FRONTIER-FLOOR-A</x:v>
      </x:c>
    </x:row>
    <x:row r="11">
      <x:c r="A11" s="37" t="str">
        <x:v>PRP</x:v>
      </x:c>
      <x:c r="B11" s="37" t="str">
        <x:v>场景道具</x:v>
      </x:c>
      <x:c r="C11" s="37" t="str">
        <x:v>facility / container / door / debris / light / switch</x:v>
      </x:c>
      <x:c r="D11" s="37" t="str">
        <x:v>assets/art/props/</x:v>
      </x:c>
      <x:c r="E11" s="37" t="str">
        <x:v>prp_{set}_{logic_id}_{state}_v{nnn}.{png|glb|tscn}</x:v>
      </x:c>
      <x:c r="F11" s="37" t="str">
        <x:v>PRP-BASE-WORKBENCH-IDLE</x:v>
      </x:c>
    </x:row>
    <x:row r="12">
      <x:c r="A12" s="37" t="str">
        <x:v>UI</x:v>
      </x:c>
      <x:c r="B12" s="37" t="str">
        <x:v>UI</x:v>
      </x:c>
      <x:c r="C12" s="37" t="str">
        <x:v>screen / panel / icon / cursor</x:v>
      </x:c>
      <x:c r="D12" s="37" t="str">
        <x:v>assets/art/ui/</x:v>
      </x:c>
      <x:c r="E12" s="37" t="str">
        <x:v>ui_{screen}_{element}_{state}_v{nnn}.png</x:v>
      </x:c>
      <x:c r="F12" s="37" t="str">
        <x:v>UI-HUD-HP-CRITICAL</x:v>
      </x:c>
    </x:row>
    <x:row r="13">
      <x:c r="A13" s="37" t="str">
        <x:v>VFX</x:v>
      </x:c>
      <x:c r="B13" s="37" t="str">
        <x:v>特效</x:v>
      </x:c>
      <x:c r="C13" s="37" t="str">
        <x:v>combat / status / environment</x:v>
      </x:c>
      <x:c r="D13" s="37" t="str">
        <x:v>assets/art/vfx/</x:v>
      </x:c>
      <x:c r="E13" s="37" t="str">
        <x:v>vfx_{system}_{effect}_{variant}_v{nnn}.{png|glb|tscn}</x:v>
      </x:c>
      <x:c r="F13" s="37" t="str">
        <x:v>VFX-PLAYER-DASH-TRAIL-A</x:v>
      </x:c>
    </x:row>
    <x:row r="14">
      <x:c r="A14" s="37" t="str">
        <x:v>AUD</x:v>
      </x:c>
      <x:c r="B14" s="37" t="str">
        <x:v>音频</x:v>
      </x:c>
      <x:c r="C14" s="37" t="str">
        <x:v>bgm / sfx / ambience / ui</x:v>
      </x:c>
      <x:c r="D14" s="37" t="str">
        <x:v>assets/audio/</x:v>
      </x:c>
      <x:c r="E14" s="37" t="str">
        <x:v>aud_{type}_{event}_{variant}_v{nnn}.wav</x:v>
      </x:c>
      <x:c r="F14" s="37" t="str">
        <x:v>AUD-SFX-PLAYER-DASH-A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34" hidden="0" customWidth="1"/>
    <x:col min="5" max="5" width="32" hidden="0" customWidth="1"/>
    <x:col min="6" max="6" width="28" hidden="0" customWidth="1"/>
    <x:col min="7" max="7" width="44" hidden="0" customWidth="1"/>
    <x:col min="8" max="8" width="12" hidden="0" customWidth="1"/>
  </x:cols>
  <x:sheetData>
    <x:row r="1" ht="25" customHeight="1">
      <x:c r="A1" s="3" t="str">
        <x:v>新增、变体与弃用流程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23" customHeight="1">
      <x:c r="A3" s="6" t="str">
        <x:v>目标：同一个逻辑对象只有一个稳定 AssetID；组件、状态和版本通过字段表达，不靠复制文件夹</x:v>
      </x:c>
      <x:c r="B3" s="6"/>
      <x:c r="C3" s="6"/>
      <x:c r="D3" s="6"/>
      <x:c r="E3" s="6"/>
      <x:c r="F3" s="6"/>
      <x:c r="G3" s="6"/>
      <x:c r="H3" s="6"/>
    </x:row>
    <x:row r="5" ht="32" customHeight="1">
      <x:c r="A5" s="28" t="str">
        <x:v>步骤</x:v>
      </x:c>
      <x:c r="B5" s="29" t="str">
        <x:v>动作</x:v>
      </x:c>
      <x:c r="C5" s="29" t="str">
        <x:v>必须查询</x:v>
      </x:c>
      <x:c r="D5" s="29" t="str">
        <x:v>通过标准</x:v>
      </x:c>
      <x:c r="E5" s="29" t="str">
        <x:v>禁止事项</x:v>
      </x:c>
      <x:c r="F5" s="29" t="str">
        <x:v>示例输入</x:v>
      </x:c>
      <x:c r="G5" s="29" t="str">
        <x:v>示例输出</x:v>
      </x:c>
      <x:c r="H5" s="30" t="str">
        <x:v>责任字段</x:v>
      </x:c>
    </x:row>
    <x:row r="6">
      <x:c r="A6" s="36" t="n">
        <x:v>1</x:v>
      </x:c>
      <x:c r="B6" s="36" t="str">
        <x:v>需求归一化</x:v>
      </x:c>
      <x:c r="C6" s="36" t="str">
        <x:v>逻辑ID、中文名、别名</x:v>
      </x:c>
      <x:c r="D6" s="36" t="str">
        <x:v>能写出唯一用途与复用范围</x:v>
      </x:c>
      <x:c r="E6" s="36" t="str">
        <x:v>只凭外观起名</x:v>
      </x:c>
      <x:c r="F6" s="36" t="str">
        <x:v>新的玩家右手</x:v>
      </x:c>
      <x:c r="G6" s="36" t="str">
        <x:v>logic=player_capsule01; slot=hand_r</x:v>
      </x:c>
      <x:c r="H6" s="36" t="str">
        <x:v>E/F/Q</x:v>
      </x:c>
    </x:row>
    <x:row r="7">
      <x:c r="A7" s="37" t="n">
        <x:v>2</x:v>
      </x:c>
      <x:c r="B7" s="37" t="str">
        <x:v>四重查重</x:v>
      </x:c>
      <x:c r="C7" s="37" t="str">
        <x:v>AssetID、查重键、文件名、SHA-256</x:v>
      </x:c>
      <x:c r="D7" s="37" t="str">
        <x:v>S列=唯一；无同哈希</x:v>
      </x:c>
      <x:c r="E7" s="37" t="str">
        <x:v>看到不同文件名就重做</x:v>
      </x:c>
      <x:c r="F7" s="37" t="str">
        <x:v>hand_r / 主手 / 枪手</x:v>
      </x:c>
      <x:c r="G7" s="37" t="str">
        <x:v>复用 CHR-PLY-CAPSULE01-HAND-R-SIDE</x:v>
      </x:c>
      <x:c r="H7" s="37" t="str">
        <x:v>A/R/S/T</x:v>
      </x:c>
    </x:row>
    <x:row r="8">
      <x:c r="A8" s="37" t="n">
        <x:v>3</x:v>
      </x:c>
      <x:c r="B8" s="37" t="str">
        <x:v>分类与父子关系</x:v>
      </x:c>
      <x:c r="C8" s="37" t="str">
        <x:v>分类码表、变体父ID</x:v>
      </x:c>
      <x:c r="D8" s="37" t="str">
        <x:v>只有一个大类；变体指向父ID</x:v>
      </x:c>
      <x:c r="E8" s="37" t="str">
        <x:v>跨目录复制同图</x:v>
      </x:c>
      <x:c r="F8" s="37" t="str">
        <x:v>受伤版头壳</x:v>
      </x:c>
      <x:c r="G8" s="37" t="str">
        <x:v>同 AssetID + state=hurt 或父子变体</x:v>
      </x:c>
      <x:c r="H8" s="37" t="str">
        <x:v>C/D/G/I</x:v>
      </x:c>
    </x:row>
    <x:row r="9">
      <x:c r="A9" s="37" t="n">
        <x:v>4</x:v>
      </x:c>
      <x:c r="B9" s="37" t="str">
        <x:v>命名</x:v>
      </x:c>
      <x:c r="C9" s="37" t="str">
        <x:v>前缀、逻辑ID、组件、视角、版本</x:v>
      </x:c>
      <x:c r="D9" s="37" t="str">
        <x:v>小写 snake_case 文件名；ID稳定</x:v>
      </x:c>
      <x:c r="E9" s="37" t="str">
        <x:v>空格/中文文件名/final_final</x:v>
      </x:c>
      <x:c r="F9" s="37" t="str">
        <x:v>玩家头壳 v2</x:v>
      </x:c>
      <x:c r="G9" s="37" t="str">
        <x:v>chr_player_capsule01_head_side_v002.png</x:v>
      </x:c>
      <x:c r="H9" s="37" t="str">
        <x:v>A/M/O</x:v>
      </x:c>
    </x:row>
    <x:row r="10">
      <x:c r="A10" s="37" t="n">
        <x:v>5</x:v>
      </x:c>
      <x:c r="B10" s="37" t="str">
        <x:v>组件制作</x:v>
      </x:c>
      <x:c r="C10" s="37" t="str">
        <x:v>角色/房间/家具尺寸/枪械/怪物/灯具共用根</x:v>
      </x:c>
      <x:c r="D10" s="37" t="str">
        <x:v>组件独立；3D用配置与父子变体</x:v>
      </x:c>
      <x:c r="E10" s="37" t="str">
        <x:v>关卡内复制枪表/房间/怪物根</x:v>
      </x:c>
      <x:c r="F10" s="37" t="str">
        <x:v>large可搜索柜</x:v>
      </x:c>
      <x:c r="G10" s="37" t="str">
        <x:v>复用RoomFurniture3D + size=large</x:v>
      </x:c>
      <x:c r="H10" s="37" t="str">
        <x:v>F/N/O/X</x:v>
      </x:c>
    </x:row>
    <x:row r="11">
      <x:c r="A11" s="37" t="n">
        <x:v>6</x:v>
      </x:c>
      <x:c r="B11" s="37" t="str">
        <x:v>验收</x:v>
      </x:c>
      <x:c r="C11" s="37" t="str">
        <x:v>透明边缘或3D灯光/雾/碰撞/状态/玩法逻辑/节点预算</x:v>
      </x:c>
      <x:c r="D11" s="37" t="str">
        <x:v>真实游戏镜头 + 玩法专项 + 性能专项通过</x:v>
      </x:c>
      <x:c r="E11" s="37" t="str">
        <x:v>只看母版或编辑器预览</x:v>
      </x:c>
      <x:c r="F11" s="37" t="str">
        <x:v>3D主题关卡</x:v>
      </x:c>
      <x:c r="G11" s="37" t="str">
        <x:v>seed/暗室开关/遮挡视野/七怪/56组合/撤离 PASS</x:v>
      </x:c>
      <x:c r="H11" s="37" t="str">
        <x:v>K/P/X</x:v>
      </x:c>
    </x:row>
    <x:row r="12">
      <x:c r="A12" s="37" t="n">
        <x:v>7</x:v>
      </x:c>
      <x:c r="B12" s="37" t="str">
        <x:v>登记与发布</x:v>
      </x:c>
      <x:c r="C12" s="37" t="str">
        <x:v>路径、尺寸、版本、哈希、许可</x:v>
      </x:c>
      <x:c r="D12" s="37" t="str">
        <x:v>字段齐全；更新时间为当天</x:v>
      </x:c>
      <x:c r="E12" s="37" t="str">
        <x:v>覆盖旧版本；删除历史来源</x:v>
      </x:c>
      <x:c r="F12" s="37" t="str">
        <x:v>通过的 PNG</x:v>
      </x:c>
      <x:c r="G12" s="37" t="str">
        <x:v>K=已完成，登记 SHA-256</x:v>
      </x:c>
      <x:c r="H12" s="37" t="str">
        <x:v>K–W</x:v>
      </x:c>
    </x:row>
    <x:row r="13">
      <x:c r="A13" s="37" t="n">
        <x:v>8</x:v>
      </x:c>
      <x:c r="B13" s="37" t="str">
        <x:v>弃用</x:v>
      </x:c>
      <x:c r="C13" s="37" t="str">
        <x:v>引用搜索、替代 AssetID</x:v>
      </x:c>
      <x:c r="D13" s="37" t="str">
        <x:v>K=弃用；备注写替代项</x:v>
      </x:c>
      <x:c r="E13" s="37" t="str">
        <x:v>直接删除仍被引用文件</x:v>
      </x:c>
      <x:c r="F13" s="37" t="str">
        <x:v>旧人类草案</x:v>
      </x:c>
      <x:c r="G13" s="37" t="str">
        <x:v>不入库或标弃用；不得误用</x:v>
      </x:c>
      <x:c r="H13" s="37" t="str">
        <x:v>K/X</x:v>
      </x:c>
    </x:row>
    <x:row r="17">
      <x:c r="A17" s="56" t="str">
        <x:v>命名正则：文件名 ^[a-z0-9]+(?:_[a-z0-9]+)*_v[0-9]{3}\.(png|webp|svg|wav|ogg|glb|gltf|tres|tscn)$ ｜ AssetID ^[A-Z0-9]+(?:-[A-Z0-9]+)+$</x:v>
      </x:c>
      <x:c r="B17" s="56"/>
      <x:c r="C17" s="56"/>
      <x:c r="D17" s="56"/>
      <x:c r="E17" s="56"/>
      <x:c r="F17" s="56"/>
      <x:c r="G17" s="56"/>
      <x:c r="H17" s="56"/>
    </x:row>
  </x:sheetData>
  <x:mergeCells>
    <x:mergeCell ref="A1:H2"/>
    <x:mergeCell ref="A3:H3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1" hidden="0" customWidth="1"/>
    <x:col min="4" max="4" width="24" hidden="0" customWidth="1"/>
    <x:col min="5" max="5" width="54" hidden="0" customWidth="1"/>
    <x:col min="6" max="6" width="18" hidden="0" customWidth="1"/>
    <x:col min="7" max="7" width="24" hidden="0" customWidth="1"/>
    <x:col min="8" max="8" width="12" hidden="0" customWidth="1"/>
  </x:cols>
  <x:sheetData>
    <x:row r="1" ht="25" customHeight="1">
      <x:c r="A1" s="3" t="str">
        <x:v>首个角色原型 · 胶囊防护体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3" customHeight="1">
      <x:c r="A3" s="6" t="str">
        <x:v>侧面朝右，可水平翻转；无腿、无人脸、无手臂；单手随身体朝向在 x=±19 镜像，枪械挂点在 x=±24 同步换边且枪械独立瞄准；红围巾为独立身份组件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5" ht="32" customHeight="1">
      <x:c r="A5" s="28" t="str">
        <x:v>组件</x:v>
      </x:c>
      <x:c r="B5" s="29" t="str">
        <x:v>AssetID</x:v>
      </x:c>
      <x:c r="C5" s="29" t="str">
        <x:v>尺寸</x:v>
      </x:c>
      <x:c r="D5" s="29" t="str">
        <x:v>用途</x:v>
      </x:c>
      <x:c r="E5" s="29" t="str">
        <x:v>文件</x:v>
      </x:c>
      <x:c r="F5" s="29" t="str">
        <x:v>哈希前12位</x:v>
      </x:c>
      <x:c r="G5" s="29" t="str">
        <x:v>动画方式</x:v>
      </x:c>
      <x:c r="H5" s="30" t="str">
        <x:v>验收</x:v>
      </x:c>
    </x:row>
    <x:row r="6">
      <x:c r="A6" s="36" t="str">
        <x:v>head</x:v>
      </x:c>
      <x:c r="B6" s="36" t="str">
        <x:v>CHR-PLY-CAPSULE01-HEAD-SIDE</x:v>
      </x:c>
      <x:c r="C6" s="36" t="str">
        <x:v>28×24</x:v>
      </x:c>
      <x:c r="D6" s="36" t="str">
        <x:v>头壳/单传感器</x:v>
      </x:c>
      <x:c r="E6" s="36" t="str">
        <x:v>assets/art/characters/player/chr_player_capsule01/components/chr_player_capsule01_head_side_v001.png</x:v>
      </x:c>
      <x:c r="F6" s="36" t="str">
        <x:v>6035db0c8d18</x:v>
      </x:c>
      <x:c r="G6" s="36" t="str">
        <x:v>flip_h + 滞后</x:v>
      </x:c>
      <x:c r="H6" s="36" t="str">
        <x:v>通过</x:v>
      </x:c>
    </x:row>
    <x:row r="7">
      <x:c r="A7" s="37" t="str">
        <x:v>body</x:v>
      </x:c>
      <x:c r="B7" s="37" t="str">
        <x:v>CHR-PLY-CAPSULE01-BODY-SIDE</x:v>
      </x:c>
      <x:c r="C7" s="37" t="str">
        <x:v>32×35</x:v>
      </x:c>
      <x:c r="D7" s="37" t="str">
        <x:v>胶囊防护服躯干</x:v>
      </x:c>
      <x:c r="E7" s="37" t="str">
        <x:v>assets/art/characters/player/chr_player_capsule01/components/chr_player_capsule01_body_side_v001.png</x:v>
      </x:c>
      <x:c r="F7" s="37" t="str">
        <x:v>653190cbcd99</x:v>
      </x:c>
      <x:c r="G7" s="37" t="str">
        <x:v>呼吸/压缩/倾倒</x:v>
      </x:c>
      <x:c r="H7" s="37" t="str">
        <x:v>通过</x:v>
      </x:c>
    </x:row>
    <x:row r="8">
      <x:c r="A8" s="37" t="str">
        <x:v>hand_l_source</x:v>
      </x:c>
      <x:c r="B8" s="37" t="str">
        <x:v>CHR-PLY-CAPSULE01-HAND-L-SIDE</x:v>
      </x:c>
      <x:c r="C8" s="37" t="str">
        <x:v>22×21</x:v>
      </x:c>
      <x:c r="D8" s="37" t="str">
        <x:v>停用的副手源</x:v>
      </x:c>
      <x:c r="E8" s="37" t="str">
        <x:v>assets/art/characters/player/chr_player_capsule01/components/chr_player_capsule01_hand_l_side_v001.png</x:v>
      </x:c>
      <x:c r="F8" s="37" t="str">
        <x:v>6270855f57a2</x:v>
      </x:c>
      <x:c r="G8" s="37" t="str">
        <x:v>不进运行时</x:v>
      </x:c>
      <x:c r="H8" s="37" t="str">
        <x:v>停用</x:v>
      </x:c>
    </x:row>
    <x:row r="9">
      <x:c r="A9" s="37" t="str">
        <x:v>hand</x:v>
      </x:c>
      <x:c r="B9" s="37" t="str">
        <x:v>CHR-PLY-CAPSULE01-HAND-R-SIDE</x:v>
      </x:c>
      <x:c r="C9" s="37" t="str">
        <x:v>22×17</x:v>
      </x:c>
      <x:c r="D9" s="37" t="str">
        <x:v>唯一镜像握持手</x:v>
      </x:c>
      <x:c r="E9" s="37" t="str">
        <x:v>assets/art/characters/player/chr_player_capsule01/components/chr_player_capsule01_hand_r_side_v001.png</x:v>
      </x:c>
      <x:c r="F9" s="37" t="str">
        <x:v>69c2529cbd27</x:v>
      </x:c>
      <x:c r="G9" s="37" t="str">
        <x:v>随身体左右镜像；不随准星连续旋转</x:v>
      </x:c>
      <x:c r="H9" s="37" t="str">
        <x:v>通过</x:v>
      </x:c>
    </x:row>
    <x:row r="10">
      <x:c r="A10" s="37" t="str">
        <x:v>scarf</x:v>
      </x:c>
      <x:c r="B10" s="37" t="str">
        <x:v>CHR-PLY-CAPSULE01-SCARF-SIDE</x:v>
      </x:c>
      <x:c r="C10" s="37" t="str">
        <x:v>26×14</x:v>
      </x:c>
      <x:c r="D10" s="37" t="str">
        <x:v>红色身份配件</x:v>
      </x:c>
      <x:c r="E10" s="37" t="str">
        <x:v>assets/art/characters/player/chr_player_capsule01/components/chr_player_capsule01_scarf_side_v001.png</x:v>
      </x:c>
      <x:c r="F10" s="37" t="str">
        <x:v>d3a7b1bb5e2a</x:v>
      </x:c>
      <x:c r="G10" s="37" t="str">
        <x:v>轻摆/翻转</x:v>
      </x:c>
      <x:c r="H10" s="37" t="str">
        <x:v>通过</x:v>
      </x:c>
    </x:row>
    <x:row r="13">
      <x:c r="A13" s="57" t="str">
        <x:v>六态游戏内验收预览（Idle / Moving / Dashing / Hurt / Locked / Dead）</x:v>
      </x:c>
      <x:c r="B13" s="57"/>
      <x:c r="C13" s="57"/>
      <x:c r="D13" s="57"/>
      <x:c r="E13" s="57"/>
      <x:c r="F13" s="57"/>
      <x:c r="G13" s="57"/>
      <x:c r="H13" s="57"/>
    </x:row>
    <x:row r="15" ht="32" customHeight="1">
      <x:c r="A15" s="28" t="str">
        <x:v>IDLE</x:v>
      </x:c>
      <x:c r="B15" s="29" t="str">
        <x:v>MOVING</x:v>
      </x:c>
      <x:c r="C15" s="29" t="str">
        <x:v>DASHING</x:v>
      </x:c>
      <x:c r="D15" s="29" t="str">
        <x:v>HURT</x:v>
      </x:c>
      <x:c r="E15" s="29" t="str">
        <x:v>LOCKED</x:v>
      </x:c>
      <x:c r="F15" s="30" t="str">
        <x:v>DEAD</x:v>
      </x:c>
    </x:row>
    <x:row r="16">
      <x:c r="A16" s="36" t="str">
        <x:v>待命</x:v>
      </x:c>
      <x:c r="B16" s="36" t="str">
        <x:v>机动</x:v>
      </x:c>
      <x:c r="C16" s="36" t="str">
        <x:v>突进</x:v>
      </x:c>
      <x:c r="D16" s="36" t="str">
        <x:v>受创</x:v>
      </x:c>
      <x:c r="E16" s="36" t="str">
        <x:v>交互锁定</x:v>
      </x:c>
      <x:c r="F16" s="36" t="str">
        <x:v>生命终止</x:v>
      </x:c>
    </x:row>
    <x:row r="17">
      <x:c r="A17" s="37" t="str">
        <x:v>低频呼吸</x:v>
      </x:c>
      <x:c r="B17" s="37" t="str">
        <x:v>上下弹性</x:v>
      </x:c>
      <x:c r="C17" s="37" t="str">
        <x:v>横向压缩</x:v>
      </x:c>
      <x:c r="D17" s="37" t="str">
        <x:v>冲击压缩</x:v>
      </x:c>
      <x:c r="E17" s="37" t="str">
        <x:v>降亮稳定</x:v>
      </x:c>
      <x:c r="F17" s="37" t="str">
        <x:v>倾倒熄灭</x:v>
      </x:c>
    </x:row>
    <x:row r="18">
      <x:c r="A18" s="37" t="str">
        <x:v>随向镜像</x:v>
      </x:c>
      <x:c r="B18" s="37" t="str">
        <x:v>随向镜像</x:v>
      </x:c>
      <x:c r="C18" s="37" t="str">
        <x:v>随向镜像</x:v>
      </x:c>
      <x:c r="D18" s="37" t="str">
        <x:v>随向镜像</x:v>
      </x:c>
      <x:c r="E18" s="37" t="str">
        <x:v>随向镜像</x:v>
      </x:c>
      <x:c r="F18" s="37" t="str">
        <x:v>随整体倾倒</x:v>
      </x:c>
    </x:row>
    <x:row r="19">
      <x:c r="A19" s="37" t="str">
        <x:v>无</x:v>
      </x:c>
      <x:c r="B19" s="37" t="str">
        <x:v>地面划痕</x:v>
      </x:c>
      <x:c r="C19" s="37" t="str">
        <x:v>青色尾迹</x:v>
      </x:c>
      <x:c r="D19" s="37" t="str">
        <x:v>红闪</x:v>
      </x:c>
      <x:c r="E19" s="37" t="str">
        <x:v>琥珀环</x:v>
      </x:c>
      <x:c r="F19" s="37" t="str">
        <x:v>终态守卫</x:v>
      </x:c>
    </x:row>
    <x:row r="21">
      <x:c r="A21" s="58" t="str">
        <x:v>预览图：assets/art/characters/player/chr_player_capsule01/chr_player_capsule01_states_preview_v001.png</x:v>
      </x:c>
      <x:c r="B21" s="58"/>
      <x:c r="C21" s="58"/>
      <x:c r="D21" s="58"/>
      <x:c r="E21" s="58"/>
      <x:c r="F21" s="58"/>
      <x:c r="G21" s="58"/>
      <x:c r="H21" s="58"/>
    </x:row>
    <x:row r="23">
      <x:c r="A23" s="61" t="str">
        <x:v>验证命令：godot --path . verify_player_pixel_art_flow.tscn ｜ 结果：单手随身体镜像 / 枪械独立连续瞄准 PASS</x:v>
      </x:c>
      <x:c r="B23" s="61"/>
      <x:c r="C23" s="61"/>
      <x:c r="D23" s="61"/>
      <x:c r="E23" s="61"/>
      <x:c r="F23" s="61"/>
      <x:c r="G23" s="61"/>
      <x:c r="H23" s="61"/>
    </x:row>
    <x:row r="24" ht="24" customHeight="1">
      <x:c r="A24" s="73" t="str">
        <x:v>换弹覆盖层：唯一手 + weapon_socket 同相三阶段动作；头顶 billboard 读取真实 0→1 进度；verify_3d_reload_state_flow.tscn PASS</x:v>
      </x:c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</x:row>
    <x:row r="25" ht="30" customHeight="1">
      <x:c r="A25" s="63" t="str">
        <x:v>独立3D验收场：scenes/Player3DStateGallery.tscn ｜ 真正驱动 Player3D 六态、WeaponModel3D 换弹覆盖、Enemy3D/Boss 九态与 ThemedNPC3D；验证：verify_player3d_state_gallery_flow.tscn / verify_player3d_state_gallery_visual.tscn PASS</x:v>
      </x:c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</x:row>
    <x:row r="26" ht="32" customHeight="1">
      <x:c r="A26" s="83" t="str">
        <x:v>动作覆盖层：firing 由 WeaponModel3D.shot_fired 启动；charging 读取真实蓄力；knockback 以命中方向驱动 hurt 冲量与弹性回正；唯一 Hand + weapon_socket 全程同相。验证：verify_player3d_state_gallery_flow.tscn PASS</x:v>
      </x:c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</x:row>
    <x:row r="28" ht="34" customHeight="1">
      <x:c r="A28" s="95" t="str">
        <x:v>DIY 组件：body/head/hand 三组外观变体 + hat/glasses 独立头部配件；真实入口 Player3D.set_avatar_customization()；握持点内收，移动/射击/击飞中 Hand + weapon_socket 同相。验证：verify_player3d_diy_flow.tscn PASS</x:v>
      </x:c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 ht="38" customHeight="1">
      <x:c r="A29" t="str">
        <x:v>PH33 方形猫：复用CHR-PLY-CAPSULE01-3D；Body/Head/Hand/Feet四主模块；Head含双矩形眼与双三角耳，Body含圆短尾；无嘴、无长尾、无第二手；moving双脚交替，手与weapon_socket全动作同相。</x:v>
      </x:c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</x:sheetData>
  <x:mergeCells>
    <x:mergeCell ref="A1:N2"/>
    <x:mergeCell ref="A3:N3"/>
    <x:mergeCell ref="A13:H13"/>
    <x:mergeCell ref="A21:H21"/>
    <x:mergeCell ref="A23:H23"/>
    <x:mergeCell ref="A24:N24"/>
    <x:mergeCell ref="A25:N25"/>
    <x:mergeCell ref="A26:N26"/>
    <x:mergeCell ref="A28:N28"/>
    <x:mergeCell ref="A29:N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8" hidden="0" customWidth="1"/>
    <x:col min="5" max="5" width="58" hidden="0" customWidth="1"/>
    <x:col min="6" max="6" width="18" hidden="0" customWidth="1"/>
    <x:col min="7" max="7" width="14" hidden="0" customWidth="1"/>
  </x:cols>
  <x:sheetData>
    <x:row r="1" ht="25" customHeight="1">
      <x:c r="A1" s="3" t="str">
        <x:v>资产台账版本记录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23" customHeight="1">
      <x:c r="A3" s="6" t="str">
        <x:v>只记录影响规范、分类、ID 或批量资产状态的变更；单张资产更新在主表版本列追踪</x:v>
      </x:c>
      <x:c r="B3" s="6"/>
      <x:c r="C3" s="6"/>
      <x:c r="D3" s="6"/>
      <x:c r="E3" s="6"/>
      <x:c r="F3" s="6"/>
      <x:c r="G3" s="6"/>
    </x:row>
    <x:row r="5" ht="32" customHeight="1">
      <x:c r="A5" s="28" t="str">
        <x:v>台账版本</x:v>
      </x:c>
      <x:c r="B5" s="29" t="str">
        <x:v>日期</x:v>
      </x:c>
      <x:c r="C5" s="29" t="str">
        <x:v>变更类型</x:v>
      </x:c>
      <x:c r="D5" s="29" t="str">
        <x:v>范围</x:v>
      </x:c>
      <x:c r="E5" s="29" t="str">
        <x:v>说明</x:v>
      </x:c>
      <x:c r="F5" s="29" t="str">
        <x:v>兼容性</x:v>
      </x:c>
      <x:c r="G5" s="30" t="str">
        <x:v>负责人</x:v>
      </x:c>
    </x:row>
    <x:row r="6">
      <x:c r="A6" s="36" t="str">
        <x:v>v1.0</x:v>
      </x:c>
      <x:c r="B6" s="53" t="n">
        <x:v>46224</x:v>
      </x:c>
      <x:c r="C6" s="36" t="str">
        <x:v>首次建立</x:v>
      </x:c>
      <x:c r="D6" s="36" t="str">
        <x:v>全项目</x:v>
      </x:c>
      <x:c r="E6" s="36" t="str">
        <x:v>建立分类、查重、角色组件、状态映射；登记胶囊防护体 v001</x:v>
      </x:c>
      <x:c r="F6" s="36" t="str">
        <x:v>基线</x:v>
      </x:c>
      <x:c r="G6" s="36" t="str">
        <x:v>Codex</x:v>
      </x:c>
    </x:row>
    <x:row r="7">
      <x:c r="A7" t="str">
        <x:v>v1.1</x:v>
      </x:c>
      <x:c r="B7" s="62" t="n">
        <x:v>46224</x:v>
      </x:c>
      <x:c r="C7" t="str">
        <x:v>组件契约修正</x:v>
      </x:c>
      <x:c r="D7" t="str">
        <x:v>player_capsule01</x:v>
      </x:c>
      <x:c r="E7" t="str">
        <x:v>停用左手运行时表现；唯一握持手固定在 (23,0)，准星只驱动枪械旋转</x:v>
      </x:c>
      <x:c r="F7" t="str">
        <x:v>保留旧 AssetID/源文件</x:v>
      </x:c>
      <x:c r="G7" t="str">
        <x:v>Codex</x:v>
      </x:c>
    </x:row>
    <x:row r="8">
      <x:c r="A8" t="str">
        <x:v>v1.2</x:v>
      </x:c>
      <x:c r="B8" s="62" t="n">
        <x:v>46224</x:v>
      </x:c>
      <x:c r="C8" t="str">
        <x:v>朝向与挂点契约修正</x:v>
      </x:c>
      <x:c r="D8" t="str">
        <x:v>player_capsule01</x:v>
      </x:c>
      <x:c r="E8" t="str">
        <x:v>握持手改为随身体在 x=±19 镜像；枪械挂点同步 x=±24；垂直瞄准保持上次左右朝向</x:v>
      </x:c>
      <x:c r="F8" t="str">
        <x:v>不改纹理与 AssetID</x:v>
      </x:c>
      <x:c r="G8" t="str">
        <x:v>Codex</x:v>
      </x:c>
    </x:row>
    <x:row r="9" ht="48" customHeight="1">
      <x:c r="A9" s="63" t="str">
        <x:v>v1.3</x:v>
      </x:c>
      <x:c r="B9" s="64" t="n">
        <x:v>46224</x:v>
      </x:c>
      <x:c r="C9" s="63" t="str">
        <x:v>3D变体登记</x:v>
      </x:c>
      <x:c r="D9" s="63" t="str">
        <x:v>入口基地 / player_capsule01</x:v>
      </x:c>
      <x:c r="E9" s="63" t="str">
        <x:v>登记首张3D入口地图、设施/入口模块、3D角色root/body/head/hand/scarf/socket；六态ID与2D保持一致</x:v>
      </x:c>
      <x:c r="F9" s="63" t="str">
        <x:v>保留原2D资产与场景作为基线</x:v>
      </x:c>
      <x:c r="G9" s="63" t="str">
        <x:v>Codex</x:v>
      </x:c>
    </x:row>
    <x:row r="10" ht="58" customHeight="1">
      <x:c r="A10" s="63" t="str">
        <x:v>v1.4</x:v>
      </x:c>
      <x:c r="B10" s="64" t="n">
        <x:v>46224</x:v>
      </x:c>
      <x:c r="C10" s="63" t="str">
        <x:v>全游戏3D原型登记</x:v>
      </x:c>
      <x:c r="D10" s="63" t="str">
        <x:v>四主题副本 / 靶场 / 战斗 / 共用资产</x:v>
      </x:c>
      <x:c r="E10" s="63" t="str">
        <x:v>登记通用房间、4主题、灯具、三档家具与搜索、服务/撤离、枪械、七怪、战斗VFX、3D靶场和两张GPU验收预览</x:v>
      </x:c>
      <x:c r="F10" s="63" t="str">
        <x:v>复用原玩法ID与BlueprintRegistry；保留2D基线</x:v>
      </x:c>
      <x:c r="G10" s="63" t="str">
        <x:v>Codex</x:v>
      </x:c>
    </x:row>
    <x:row r="11" ht="58" customHeight="1">
      <x:c r="A11" s="63" t="str">
        <x:v>v1.5</x:v>
      </x:c>
      <x:c r="B11" s="64" t="n">
        <x:v>46225</x:v>
      </x:c>
      <x:c r="C11" s="63" t="str">
        <x:v>真实视野与3D输入验收登记</x:v>
      </x:c>
      <x:c r="D11" s="63" t="str">
        <x:v>3D视野 / 背包 / 暂停 / Enemy3D</x:v>
      </x:c>
      <x:c r="E11" s="63" t="str">
        <x:v>登记真实视野场、3D背包子变体和共用暂停UI；低血暗角完成接入；Enemy3D状态表由七态修正为九态</x:v>
      </x:c>
      <x:c r="F11" s="63" t="str">
        <x:v>复用既有视野/背包/VFX根身份；新增暂停根；不改变2D资产ID</x:v>
      </x:c>
      <x:c r="G11" s="63" t="str">
        <x:v>Codex</x:v>
      </x:c>
    </x:row>
    <x:row r="12">
      <x:c r="A12" s="63" t="str">
        <x:v>v1.6</x:v>
      </x:c>
      <x:c r="B12" s="64" t="n">
        <x:v>46225</x:v>
      </x:c>
      <x:c r="C12" s="63" t="str">
        <x:v>暗室照明与战斗生态登记</x:v>
      </x:c>
      <x:c r="D12" s="63" t="str">
        <x:v>3D视野 / 房灯 / 怪物 / 枪械组合</x:v>
      </x:c>
      <x:c r="E12" s="63" t="str">
        <x:v>登记柔边视野与表现层探照灯、中央顶灯与墙面开关；七类怪碰撞随模型轮廓；枪械/子弹3D适配与开局副枪完成</x:v>
      </x:c>
      <x:c r="F12" s="63" t="str">
        <x:v>新增一个房灯开关根；其余复用既有根ID；玩法逻辑与表现解耦</x:v>
      </x:c>
      <x:c r="G12" s="63" t="str">
        <x:v>Codex</x:v>
      </x:c>
    </x:row>
    <x:row r="13" ht="60" customHeight="1">
      <x:c r="A13" s="70" t="str">
        <x:v>v1.7</x:v>
      </x:c>
      <x:c r="B13" s="71" t="n">
        <x:v>46225</x:v>
      </x:c>
      <x:c r="C13" s="70" t="str">
        <x:v>真实灯光与3D背包投影登记</x:v>
      </x:c>
      <x:c r="D13" s="70" t="str">
        <x:v>玩家探照灯 / 3D背包 / 世界道具模型</x:v>
      </x:c>
      <x:c r="E13" s="70" t="str">
        <x:v>登记独立真实探照灯和共用3D道具投影；视野不再持有灯光；实际槽位点击换枪纳入资产验收</x:v>
      </x:c>
      <x:c r="F13" s="70" t="str">
        <x:v>新增两个可复用子资产；不复制每个道具图标；玩法视野与灯光继续解耦</x:v>
      </x:c>
      <x:c r="G13" s="70" t="str">
        <x:v>Codex</x:v>
      </x:c>
    </x:row>
    <x:row r="14" ht="54" customHeight="1">
      <x:c r="A14" s="63" t="str">
        <x:v>v1.8</x:v>
      </x:c>
      <x:c r="B14" s="64" t="n">
        <x:v>46225</x:v>
      </x:c>
      <x:c r="C14" s="63" t="str">
        <x:v>360°逻辑视野契约修正</x:v>
      </x:c>
      <x:c r="D14" s="63" t="str">
        <x:v>VFX-VISIBILITY-FIELD-3D / PlayerVision3D</x:v>
      </x:c>
      <x:c r="E14" s="63" t="str">
        <x:v>目标显隐改为21m内360°物理遮挡；保留96°柔边目光场与探照灯表现。</x:v>
      </x:c>
      <x:c r="F14" s="63" t="str">
        <x:v>AssetID和路径不变；只更新玩法角度契约、诊断字段与验收。</x:v>
      </x:c>
      <x:c r="G14" s="63" t="str">
        <x:v>Codex</x:v>
      </x:c>
    </x:row>
    <x:row r="15" ht="72" customHeight="1">
      <x:c r="A15" s="70" t="str">
        <x:v>v1.9</x:v>
      </x:c>
      <x:c r="B15" s="71" t="n">
        <x:v>46225</x:v>
      </x:c>
      <x:c r="C15" s="70" t="str">
        <x:v>3D战斗生命、AI与反馈闭环</x:v>
      </x:c>
      <x:c r="D15" s="70" t="str">
        <x:v>Enemy3D / 玩家状态动画 / 三层灯组 / 钥匙与掉落</x:v>
      </x:c>
      <x:c r="E15" s="70" t="str">
        <x:v>修复AI视线与3D HP倍率；moving独立动画；环境/角色灯分层；中央灯增强；拾取上弹旋转；钥匙近距生成、查重与补发</x:v>
      </x:c>
      <x:c r="F15" s="70" t="str">
        <x:v>不新增AssetID或复制模型；更新既有根资产行为、哈希、状态职责与验收契约</x:v>
      </x:c>
      <x:c r="G15" s="70" t="str">
        <x:v>Codex</x:v>
      </x:c>
    </x:row>
    <x:row r="16" ht="72" customHeight="1">
      <x:c r="A16" s="63" t="str">
        <x:v>v1.10</x:v>
      </x:c>
      <x:c r="B16" s="64" t="n">
        <x:v>46225</x:v>
      </x:c>
      <x:c r="C16" s="63" t="str">
        <x:v>3D换弹覆盖状态登记</x:v>
      </x:c>
      <x:c r="D16" s="63" t="str">
        <x:v>CHR-PLY-CAPSULE01-3D / WPN-GUN-KIT-3D / 玩家状态机</x:v>
      </x:c>
      <x:c r="E16" s="63" t="str">
        <x:v>换弹成为可与移动并存的覆盖态；武器唯一计时驱动单手/枪同相动画和头顶billboard进度条；完成/补弹/换枪/死亡清理</x:v>
      </x:c>
      <x:c r="F16" s="63" t="str">
        <x:v>不新增AssetID；六态白名单与56组合不变；复用既有角色根和枪械套件</x:v>
      </x:c>
      <x:c r="G16" s="63" t="str">
        <x:v>Codex</x:v>
      </x:c>
    </x:row>
    <x:row r="17" ht="52" customHeight="1">
      <x:c r="A17" s="63" t="str">
        <x:v>v1.11</x:v>
      </x:c>
      <x:c r="B17" s="63" t="str">
        <x:v>2026-07-23</x:v>
      </x:c>
      <x:c r="C17" s="63" t="str">
        <x:v>3D动作覆盖层登记</x:v>
      </x:c>
      <x:c r="D17" s="63" t="str">
        <x:v>CHR-PLY-CAPSULE01-3D / WPN-GUN-KIT-3D</x:v>
      </x:c>
      <x:c r="E17" s="63" t="str">
        <x:v>登记 firing/charging/knockback：真实武器/命中来源、手与weapon_socket同相、击飞基础位移与弹性回正；预览场控件和自动验收补齐</x:v>
      </x:c>
      <x:c r="F17" s="63" t="str">
        <x:v>不新增AssetID或贴图；六态保持互斥，动作以既有组件程序组合</x:v>
      </x:c>
      <x:c r="G17" s="63" t="str">
        <x:v>Codex</x:v>
      </x:c>
    </x:row>
    <x:row r="18" ht="50" customHeight="1">
      <x:c r="A18" s="63" t="str">
        <x:v>v1.12</x:v>
      </x:c>
      <x:c r="B18" s="63" t="str">
        <x:v>2026-07-23</x:v>
      </x:c>
      <x:c r="C18" s="63" t="str">
        <x:v>3D角色DIY组件登记</x:v>
      </x:c>
      <x:c r="D18" s="63" t="str">
        <x:v>CHR-PLY-CAPSULE01-3D 及五个子变体</x:v>
      </x:c>
      <x:c r="E18" s="63" t="str">
        <x:v>登记 body/head/hand/hat/glasses 可装配变体、内收握持点、动态继承和预览/自动验收</x:v>
      </x:c>
      <x:c r="F18" s="63" t="str">
        <x:v>新增子AssetID；不增加角色根，不改玩法或六态</x:v>
      </x:c>
      <x:c r="G18" s="63" t="str">
        <x:v>Codex</x:v>
      </x:c>
    </x:row>
    <x:row r="19" ht="52" customHeight="1">
      <x:c r="A19" s="63" t="str">
        <x:v>v1.13</x:v>
      </x:c>
      <x:c r="B19" s="63" t="str">
        <x:v>2026-07-25</x:v>
      </x:c>
      <x:c r="C19" s="63" t="str">
        <x:v>方形猫3D角色原型登记</x:v>
      </x:c>
      <x:c r="D19" s="63" t="str">
        <x:v>CHR-PLY-CAPSULE01-3D及脚/眼/耳/短尾子资产</x:v>
      </x:c>
      <x:c r="E19" s="63" t="str">
        <x:v>复用玩家根；登记Body/Head/Hand/Feet四主模块、双矩形眼、双三角耳、圆短尾、feet DIY及交替脚步</x:v>
      </x:c>
      <x:c r="F19" s="63" t="str">
        <x:v>新增5个子AssetID；旧2D胶囊不变；3D旧Scarf隐藏兼容；玩法、碰撞、六态和灯光契约不变</x:v>
      </x:c>
      <x:c r="G19" s="63" t="str">
        <x:v>Codex</x:v>
      </x:c>
    </x:row>
    <x:row r="20" ht="90" customHeight="1">
      <x:c r="A20" s="63" t="str">
        <x:v>v1.14</x:v>
      </x:c>
      <x:c r="B20" s="63" t="str">
        <x:v>2026-07-29</x:v>
      </x:c>
      <x:c r="C20" s="63" t="str">
        <x:v>兔子武器姿势与虚拟碰撞契约</x:v>
      </x:c>
      <x:c r="D20" s="63" t="str">
        <x:v>CHR-PLY-CAPSULE01-3D-BUNNY01 / PlayerAvatar3D / Player3D</x:v>
      </x:c>
      <x:c r="E20" s="63" t="str">
        <x:v>登记圆环近端手腕轴心；手枪右侧单手、长枪右手握把+左手托举；hold/run/fire/reload/charge 武器姿势状态机；七枪差异后坐；模型零碰撞，根节点 1.80m 无耳虚拟盒</x:v>
      </x:c>
      <x:c r="F20" s="63" t="str">
        <x:v>不新增 AssetID、不复制 GLB、不改 v004 Blender 源网格；仅更新运行时姿势、碰撞职责与验收契约</x:v>
      </x:c>
      <x:c r="G20" s="63" t="str">
        <x:v>Codex</x:v>
      </x:c>
    </x:row>
    <x:row r="21" ht="86" customHeight="1">
      <x:c r="A21" s="63" t="str">
        <x:v>v1.15</x:v>
      </x:c>
      <x:c r="B21" s="63" t="str">
        <x:v>2026-07-29</x:v>
      </x:c>
      <x:c r="C21" s="63" t="str">
        <x:v>兔子站立待机动画登记</x:v>
      </x:c>
      <x:c r="D21" s="63" t="str">
        <x:v>CHR-PLY-CAPSULE01-3D-BUNNY01 / PlayerAvatar3D / Player3DIdleState</x:v>
      </x:c>
      <x:c r="E21" s="63" t="str">
        <x:v>复用既有六态 idle：登记约2.38s站立循环、呼吸挤压、重心换脚、头部滞后、双耳错相/偶发耳弹及持枪呼吸；移动时立即退出，停下后恢复</x:v>
      </x:c>
      <x:c r="F21" s="63" t="str">
        <x:v>不新增顶层状态、不新增 AssetID、不改 Blender/GLB；仅强化 v004 运行时组件动画与自动验收</x:v>
      </x:c>
      <x:c r="G21" s="63" t="str">
        <x:v>Codex</x:v>
      </x:c>
    </x:row>
    <x:row r="22" ht="72" customHeight="1">
      <x:c r="A22" s="63" t="str">
        <x:v>v1.16</x:v>
      </x:c>
      <x:c r="B22" s="64" t="n">
        <x:v>46232</x:v>
      </x:c>
      <x:c r="C22" s="63" t="str">
        <x:v>塔楼Blender三层堆叠版登记</x:v>
      </x:c>
      <x:c r="D22" s="63" t="str">
        <x:v>ENV-TOWER-DESCENT-KIT-3D</x:v>
      </x:c>
      <x:c r="E22" s="63" t="str">
        <x:v>将旧v001横向组件评审板保留为历史版本；登记独立v002三层真实堆叠文件，含楼板、外墙、室内隔墙、15扇门及西/东两段实际楼梯，并修复同名文件覆盖导致的评审图不一致。</x:v>
      </x:c>
      <x:c r="F22" s="63" t="str">
        <x:v>AssetID不变；只升级Blender评审源文件版本；确认前不导出GLB、不接入Godot。</x:v>
      </x:c>
      <x:c r="G22" s="63" t="str">
        <x:v>Codex</x:v>
      </x:c>
    </x:row>
    <x:row r="23" ht="78" customHeight="1">
      <x:c r="A23" s="63" t="str">
        <x:v>v1.17</x:v>
      </x:c>
      <x:c r="B23" s="64" t="n">
        <x:v>46233</x:v>
      </x:c>
      <x:c r="C23" s="63" t="str">
        <x:v>塔楼双楼梯与五倍边长地图登记</x:v>
      </x:c>
      <x:c r="D23" s="63" t="str">
        <x:v>ENV-TOWER-DESCENT-KIT-3D</x:v>
      </x:c>
      <x:c r="E23" s="63" t="str">
        <x:v>将用户手工v003保存为快照；登记v004特殊楼顶梯与通用旋转梯、02_STAIRWELLS集合层级、核心门口连接板、335.410m总占地、67.082m中央核心和空外围楼板。</x:v>
      </x:c>
      <x:c r="F23" s="63" t="str">
        <x:v>AssetID不变；v003可回退；只升级Blender评审源文件，确认前不导出GLB、不接入Godot。</x:v>
      </x:c>
      <x:c r="G23" s="63" t="str">
        <x:v>Codex</x:v>
      </x:c>
    </x:row>
    <x:row r="24" ht="100" customHeight="1">
      <x:c r="A24" s="63" t="str">
        <x:v>v1.18</x:v>
      </x:c>
      <x:c r="B24" s="64" t="n">
        <x:v>46233</x:v>
      </x:c>
      <x:c r="C24" s="63" t="str">
        <x:v>塔楼整层外壳五倍边长修正</x:v>
      </x:c>
      <x:c r="D24" s="63" t="str">
        <x:v>ENV-TOWER-DESCENT-KIT-3D</x:v>
      </x:c>
      <x:c r="E24" s="63" t="str">
        <x:v>登记v005：楼顶女儿墙、基地外墙、战斗层外墙全部移到335.410m总楼层边界；旧核心满高外墙取消，67.082m中央核心、楼梯、门、设施和内部隔墙保持原尺寸。</x:v>
      </x:c>
      <x:c r="F24" s="63" t="str">
        <x:v>AssetID不变；v004可回退；只修正Blender评审母版，确认前不导出GLB、不接入Godot。</x:v>
      </x:c>
      <x:c r="G24" s="63" t="str">
        <x:v>Codex</x:v>
      </x:c>
    </x:row>
    <x:row r="25" ht="115" customHeight="1">
      <x:c r="A25" s="63" t="str">
        <x:v>v1.19</x:v>
      </x:c>
      <x:c r="B25" s="64" t="n">
        <x:v>46233</x:v>
      </x:c>
      <x:c r="C25" s="63" t="str">
        <x:v>塔楼五米模块化楼层与墙体</x:v>
      </x:c>
      <x:c r="D25" s="63" t="str">
        <x:v>ENV-TOWER-DESCENT-KIT-3D; ENV-TOWER-FLOOR-TILE-5M; ENV-TOWER-WALL-SOLID-5M; ENV-TOWER-WALL-PARAPET-5M; ENV-TOWER-WALL-DOOR-5M</x:v>
      </x:c>
      <x:c r="E25" s="63" t="str">
        <x:v>登记v006：335m整层与65m基地/战斗核心全部对齐5m网格；地砖、满高墙、楼顶女儿墙、带门墙成为四个稳定子资产，基地完整围合，战斗内墙和门可独立拼装。</x:v>
      </x:c>
      <x:c r="F25" s="63" t="str">
        <x:v>v005用户内存状态另存快照；楼梯手调结构不重做。四个子资产当前仅为Blender程序占位，未导出GLB、未接入Godot。</x:v>
      </x:c>
      <x:c r="G25" s="63" t="str">
        <x:v>Codex</x:v>
      </x:c>
    </x:row>
    <x:row r="26" ht="118" customHeight="1">
      <x:c r="A26" s="70" t="str">
        <x:v>v1.20</x:v>
      </x:c>
      <x:c r="B26" s="71" t="n">
        <x:v>46233</x:v>
      </x:c>
      <x:c r="C26" s="70" t="str">
        <x:v>塔楼5m GLB与99—95层Godot首批关卡接入</x:v>
      </x:c>
      <x:c r="D26" s="70" t="str">
        <x:v>ENV-TOWER-DESCENT-KIT-3D及四个5m子资产</x:v>
      </x:c>
      <x:c r="E26" s="70" t="str">
        <x:v>四个Blender模块导出独立GLB并接入335m楼顶、99层基地、98—95层五房+电梯探索关卡；登记9m双跑楼梯、门后命运、Boss/撤离、城市日照、智能剖切与≤5层流送验收。</x:v>
      </x:c>
      <x:c r="F26" s="70" t="str">
        <x:v>AssetID与v006 Blender母版不变；子资产状态由程序占位升级为原型已接入；旧四主题Dungeon3D玩法继续共用。</x:v>
      </x:c>
      <x:c r="G26" s="70" t="str">
        <x:v>Codex</x:v>
      </x:c>
    </x:row>
    <x:row r="27" ht="118" customHeight="1">
      <x:c r="A27" s="70" t="str">
        <x:v>v1.21</x:v>
      </x:c>
      <x:c r="B27" s="71" t="n">
        <x:v>46233</x:v>
      </x:c>
      <x:c r="C27" s="70" t="str">
        <x:v>Blender楼梯直入与99—95层种子化关卡</x:v>
      </x:c>
      <x:c r="D27" s="70" t="str">
        <x:v>ENV-TOWER-DESCENT-KIT-3D; ENV-TOWER-STAIRWELL-GENERIC-9M; ENV-TOWER-STAIRWELL-ROOFTOP-9M</x:v>
      </x:c>
      <x:c r="E27" s="70" t="str">
        <x:v>两套用户手调楼梯从v006根节点直接导出GLB并接入Godot；登记前三段门禁差异、四类种子化房间模板、固定电梯、95层Boss、城市/室内光、智能遮挡与≤5层流送。</x:v>
      </x:c>
      <x:c r="F27" s="70" t="str">
        <x:v>新增两个楼梯子AssetID，不复制程序踏步；四个5m模块ID和母版ID不变；运行时碰撞/吸附与Blender视觉职责分离。</x:v>
      </x:c>
      <x:c r="G27" s="70" t="str">
        <x:v>Codex</x:v>
      </x:c>
    </x:row>
    <x:row r="28" ht="118" customHeight="1">
      <x:c r="A28" s="70" t="str">
        <x:v>v1.22</x:v>
      </x:c>
      <x:c r="B28" s="71" t="n">
        <x:v>46233</x:v>
      </x:c>
      <x:c r="C28" s="70" t="str">
        <x:v>bunny01完整视觉与碰撞统一为1米</x:v>
      </x:c>
      <x:c r="D28" s="70" t="str">
        <x:v>CHR-PLY-CAPSULE01-3D-BUNNY01及六个稳定组件AssetID</x:v>
      </x:c>
      <x:c r="E28" s="70" t="str">
        <x:v>从v004派生真实1m Blender v005与七个pivot-local GLB；Godot改用v005装配，碰撞体高1m，持枪视觉、挂点、可穿戴、VFX和全部米制动作平移同步缩放。</x:v>
      </x:c>
      <x:c r="F28" s="70" t="str">
        <x:v>不新增角色AssetID；v004保留回退。静态AABB、六态、武器姿势、碰撞、DIY、换弹、塔楼与性能验收通过。</x:v>
      </x:c>
      <x:c r="G28" s="70" t="str">
        <x:v>Codex</x:v>
      </x:c>
    </x:row>
    <x:row r="29" ht="84" hidden="0" customHeight="1">
      <x:c r="A29" s="70" t="str">
        <x:v>v1.23</x:v>
      </x:c>
      <x:c r="B29" s="71" t="n">
        <x:v>46233</x:v>
      </x:c>
      <x:c r="C29" s="70" t="str">
        <x:v>bunny01正式定版为1.5米</x:v>
      </x:c>
      <x:c r="D29" s="70" t="str">
        <x:v>CHR-PLY-CAPSULE01-3D-BUNNY01及六个稳定组件AssetID</x:v>
      </x:c>
      <x:c r="E29" s="70" t="str">
        <x:v>从一米v005等比烘焙真实1.5m Blender v006、七个pivot-local GLB与Godot v006装配；取消Avatar3D临时1.5倍缩放，碰撞、挂点、附件与米制动画固定为1.5m契约。</x:v>
      </x:c>
      <x:c r="F29" s="70" t="str">
        <x:v>不新增AssetID；v005保留回退。Blender/Godot AABB、武器姿势、碰撞、六态、DIY、换弹、塔楼楼梯和PH40镜头验收通过。</x:v>
      </x:c>
      <x:c r="G29" s="70" t="str">
        <x:v>Codex</x:v>
      </x:c>
    </x:row>
    <x:row r="30" ht="118" customHeight="1">
      <x:c r="A30" s="70" t="str">
        <x:v>v1.24</x:v>
      </x:c>
      <x:c r="B30" s="71" t="n">
        <x:v>46233</x:v>
      </x:c>
      <x:c r="C30" s="70" t="str">
        <x:v>PH43楼梯承重、下落落地与屋顶可读性</x:v>
      </x:c>
      <x:c r="D30" s="70" t="str">
        <x:v>Player3D / bunny01 v006 / 两套9m楼梯 / 楼顶洞口与镜头</x:v>
      </x:c>
      <x:c r="E30" s="70" t="str">
        <x:v>六态扩展为八态falling/landing；1.5m玩法碰撞改胶囊；楼梯取消Y吸附并合并连续三角承重面；掉落/钥匙向下找承重面；导入墙补同形碰撞；楼顶洞口收紧、8m镜头侧向避障并加物理天空反弹光；进入特殊楼梯围护体立即启用角色探照灯。</x:v>
      </x:c>
      <x:c r="F30" s="70" t="str">
        <x:v>不新增角色/楼梯AssetID、GLB或贴图；v006模型尺寸和单太阳参数不变；原战斗/命运/枪械/流送兼容。</x:v>
      </x:c>
      <x:c r="G30" s="70" t="str">
        <x:v>Codex</x:v>
      </x:c>
    </x:row>
    <x:row r="31" ht="118" customHeight="1">
      <x:c r="A31" s="70" t="str">
        <x:v>v1.25</x:v>
      </x:c>
      <x:c r="B31" s="71" t="n">
        <x:v>46233</x:v>
      </x:c>
      <x:c r="C31" s="70" t="str">
        <x:v>PH43楼梯Walkable根因修复与固定镜头</x:v>
      </x:c>
      <x:c r="D31" s="70" t="str">
        <x:v>Player3D / bunny01 v006 / 两套9m楼梯 / 楼顶洞口与镜头</x:v>
      </x:c>
      <x:c r="E31" s="70" t="str">
        <x:v>六态扩展为八态falling/landing；1.5m玩法碰撞改胶囊；楼梯取消Y吸附与程序路径承重面，直接采用v006每套六块*Walkable网格同形常驻碰撞；掉落/钥匙向下找承重面；EnclosureWall补围护碰撞；楼顶洞口收紧并加物理天空反弹光；镜头固定(0,8,5.5)、FOV 55°，每物理帧覆盖外部位移与旋转；进入特殊楼梯围护体立即启用角色探照灯。</x:v>
      </x:c>
      <x:c r="F31" s="70" t="str">
        <x:v>不新增角色/楼梯AssetID、GLB或贴图；v006模型尺寸和单太阳参数不变；原战斗/命运/枪械/流送兼容。</x:v>
      </x:c>
      <x:c r="G31" s="70" t="str">
        <x:v>Codex</x:v>
      </x:c>
    </x:row>
    <x:row r="32" ht="118" customHeight="1">
      <x:c r="A32" s="70" t="str">
        <x:v>v1.26</x:v>
      </x:c>
      <x:c r="B32" s="71" t="n">
        <x:v>46233</x:v>
      </x:c>
      <x:c r="C32" s="70" t="str">
        <x:v>PH44二百五十米塔楼与四乘四战斗层重构</x:v>
      </x:c>
      <x:c r="D32" s="70" t="str">
        <x:v>塔楼整层 / 5m地砖与墙体 / 两套9m楼梯 / 固定镜头局部剖切</x:v>
      </x:c>
      <x:c r="E32" s="70" t="str">
        <x:v>整层统一50×50格（250×250m、2500砖）；65×65m基地核心不变并偏移2.5m对齐；普通层12个45×45m房间，Boss层90×90m Boss区+9个普通房；实墙按方向MultiMesh批渲染并合并碰撞；上下楼梯分别记录两端门侧；固定8m镜头只剖切挡住角色的墙体渲染；楼顶天空反弹光降至1.25。</x:v>
      </x:c>
      <x:c r="F32" s="70" t="str">
        <x:v>不新增AssetID、GLB或贴图；v006楼梯与既有5m模块继续复用；碰撞、房门、命运卡、刷怪、流送和固定镜头角度保持兼容。完整探索节点数2783。</x:v>
      </x:c>
      <x:c r="G32" s="70" t="str">
        <x:v>Codex</x:v>
      </x:c>
    </x:row>
    <x:row r="33" ht="128" customHeight="1">
      <x:c r="A33" s="70" t="str">
        <x:v>v1.27</x:v>
      </x:c>
      <x:c r="B33" s="71" t="n">
        <x:v>46233</x:v>
      </x:c>
      <x:c r="C33" s="70" t="str">
        <x:v>PH49九十八至九十五层终局关卡与全局系统验收</x:v>
      </x:c>
      <x:c r="D33" s="70" t="str">
        <x:v>ENV-TOWER-DESCENT-KIT-3D; ENV-TOWER-WALL-DOOR-5M; ENV-DUNGEON-RUNTIME-3D; PRP-BASE-FACILITY-3D; PRP-WASTELAND-LIGHT-3D; PRP-ROOM-LIGHT-SWITCH-3D; UI-SCREEN-HUD; CHR-PLY-CAPSULE01-3D</x:v>
      </x:c>
      <x:c r="E33" s="70" t="str">
        <x:v>完成98—95层怪物、搜刮、随机房间/掉落与95层Boss撤离闭环；基地30×30m/6×6格；修正98层入口内外侧；电梯改为墙边独立设施；门统一2.2×2.5m；环境光改为全局固定；关闭会让墙体概率消失的相机材质淡出；基地四灯组和开关；实时3D全息小地图与游戏化HUD。</x:v>
      </x:c>
      <x:c r="F33" s="70" t="str">
        <x:v>Blender v007与Godot布局同步；导出门v002 GLB；三份仓库外角色Blender源归档进项目且不新增重复AssetID。主流程、全部楼层门、实际楼梯、灯光开关、随机种子、Boss撤离、相机遮挡和性能预算均有自动验收。</x:v>
      </x:c>
      <x:c r="G33" s="70" t="str">
        <x:v>Codex</x:v>
      </x:c>
    </x:row>
  </x:sheetData>
  <x:mergeCells>
    <x:mergeCell ref="A1:G2"/>
    <x:mergeCell ref="A3:G3"/>
  </x:mergeCells>
  <x:pageMargins left="0.7" right="0.7" top="0.75" bottom="0.75" header="0.3" footer="0.3"/>
</x:worksheet>
</file>