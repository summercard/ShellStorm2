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d873186ad444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89b0b33dc3648ca"/>
    <x:sheet xmlns:r="http://schemas.openxmlformats.org/officeDocument/2006/relationships" name="资产主表" sheetId="2" r:id="Rf15988e7e2de435d"/>
    <x:sheet xmlns:r="http://schemas.openxmlformats.org/officeDocument/2006/relationships" name="角色组件" sheetId="3" r:id="R5ad4a732e89b495b"/>
    <x:sheet xmlns:r="http://schemas.openxmlformats.org/officeDocument/2006/relationships" name="动画与状态" sheetId="4" r:id="Raaa80265dbc8422b"/>
    <x:sheet xmlns:r="http://schemas.openxmlformats.org/officeDocument/2006/relationships" name="分类与编码" sheetId="5" r:id="R6c1a7669ab9946ad"/>
    <x:sheet xmlns:r="http://schemas.openxmlformats.org/officeDocument/2006/relationships" name="命名与查重" sheetId="6" r:id="Rdc70a16280ca40b8"/>
    <x:sheet xmlns:r="http://schemas.openxmlformats.org/officeDocument/2006/relationships" name="原型角色" sheetId="7" r:id="Reb5f700f84524e72"/>
    <x:sheet xmlns:r="http://schemas.openxmlformats.org/officeDocument/2006/relationships" name="版本记录" sheetId="8" r:id="R0701514351e147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94012bdc094dac" /><Relationship Type="http://schemas.openxmlformats.org/officeDocument/2006/relationships/theme" Target="/xl/theme/theme1.xml" Id="R265fbf54098c4707" /><Relationship Type="http://schemas.openxmlformats.org/officeDocument/2006/relationships/sharedStrings" Target="/xl/sharedStrings.xml" Id="R6b78fe1d02124b40" /><Relationship Type="http://schemas.openxmlformats.org/officeDocument/2006/relationships/worksheet" Target="/xl/worksheets/sheet1.xml" Id="R289b0b33dc3648ca" /><Relationship Type="http://schemas.openxmlformats.org/officeDocument/2006/relationships/worksheet" Target="/xl/worksheets/sheet2.xml" Id="Rf15988e7e2de435d" /><Relationship Type="http://schemas.openxmlformats.org/officeDocument/2006/relationships/worksheet" Target="/xl/worksheets/sheet3.xml" Id="R5ad4a732e89b495b" /><Relationship Type="http://schemas.openxmlformats.org/officeDocument/2006/relationships/worksheet" Target="/xl/worksheets/sheet4.xml" Id="Raaa80265dbc8422b" /><Relationship Type="http://schemas.openxmlformats.org/officeDocument/2006/relationships/worksheet" Target="/xl/worksheets/sheet5.xml" Id="R6c1a7669ab9946ad" /><Relationship Type="http://schemas.openxmlformats.org/officeDocument/2006/relationships/worksheet" Target="/xl/worksheets/sheet6.xml" Id="Rdc70a16280ca40b8" /><Relationship Type="http://schemas.openxmlformats.org/officeDocument/2006/relationships/worksheet" Target="/xl/worksheets/sheet7.xml" Id="Reb5f700f84524e72" /><Relationship Type="http://schemas.openxmlformats.org/officeDocument/2006/relationships/worksheet" Target="/xl/worksheets/sheet8.xml" Id="R0701514351e147cc" /><Relationship Type="http://schemas.microsoft.com/office/2017/10/relationships/person" Target="/xl/persons/person.xml" Id="Rd66e461ad13d4e21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a5914e47234c5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155</x:v>
      </x:c>
      <x:c r="B6" s="43"/>
      <x:c r="C6" s="45" t="n">
        <x:v>59</x:v>
      </x:c>
      <x:c r="D6" s="43"/>
      <x:c r="E6" s="45" t="n">
        <x:f>COUNTIF('资产主表'!$K$6:$K$200,"待制作")+COUNTIF('资产主表'!$K$6:$K$200,"程序占位")</x:f>
        <x:v>95</x:v>
      </x:c>
      <x:c r="F6" s="43"/>
      <x:c r="G6" s="45" t="n">
        <x:f>COUNTIF('资产主表'!$S$6:$S$200,"重复")</x:f>
        <x:v>0</x:v>
      </x:c>
      <x:c r="H6" s="43"/>
      <x:c r="I6" s="46" t="str">
        <x:v>PH33 方形猫：头/身/单手/脚四模块；双眼双耳；圆短尾</x:v>
      </x:c>
      <x:c r="J6" s="46" t="str">
        <x:v>基地 + 四主题副本 + 独立靶场 + 角色与遭遇预览场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v>28</x:v>
      </x:c>
      <x:c r="C10" s="50" t="n">
        <x:v>27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35</x:v>
      </x:c>
      <x:c r="C14" s="52" t="n">
        <x:f>COUNTIFS('资产主表'!$C$6:$C$200,A14,'资产主表'!$K$6:$K$200,"已完成")+COUNTIFS('资产主表'!$C$6:$C$200,A14,'资产主表'!$K$6:$K$200,"原型已接入")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IF(A79="","",IF(COUNTIF($R$6:$R$162,R79)&gt;1,"重复","唯一"))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>
      <x:c r="A113" t="str">
        <x:v>CHR-PLY-CAPSULE01-3D</x:v>
      </x:c>
      <x:c r="B113" t="str">
        <x:v>方形猫角色3D根组件</x:v>
      </x:c>
      <x:c r="C113" t="str">
        <x:v>角色</x:v>
      </x:c>
      <x:c r="D113" t="str">
        <x:v>player</x:v>
      </x:c>
      <x:c r="E113" t="str">
        <x:v>player_capsule01</x:v>
      </x:c>
      <x:c r="F113" t="str">
        <x:v>root_3d</x:v>
      </x:c>
      <x:c r="G113" t="str">
        <x:v>CHR-PLY-CAPSULE01</x:v>
      </x:c>
      <x:c r="H113" t="str">
        <x:v>俯视3D</x:v>
      </x:c>
      <x:c r="I113" t="str">
        <x:v>default</x:v>
      </x:c>
      <x:c r="J113" t="str">
        <x:v>3D玩家场景</x:v>
      </x:c>
      <x:c r="K113" t="str">
        <x:v>原型已接入</x:v>
      </x:c>
      <x:c r="L113" t="str">
        <x:v>P0</x:v>
      </x:c>
      <x:c r="M113" t="str">
        <x:v>v001</x:v>
      </x:c>
      <x:c r="N113" t="str">
        <x:v>PackedScene/程序材质</x:v>
      </x:c>
      <x:c r="O113" t="str">
        <x:v>assets/art/characters/player/chr_player_capsule01_3d/chr_player_capsule01_root_top3d_v001.tscn</x:v>
      </x:c>
      <x:c r="P113" t="str">
        <x:v>scenes/Player3D.tscn</x:v>
      </x:c>
      <x:c r="Q113" t="str">
        <x:v>胶囊;防护服;3D;模块角色</x:v>
      </x:c>
      <x:c r="R113" t="str">
        <x:f>LOWER(TRIM(C113)&amp;"|"&amp;TRIM(D113)&amp;"|"&amp;TRIM(E113)&amp;"|"&amp;TRIM(F113)&amp;"|"&amp;TRIM(H113)&amp;"|"&amp;TRIM(I113))</x:f>
        <x:v>角色|player|player_capsule01|root_3d|俯视3d|default</x:v>
      </x:c>
      <x:c r="S113" t="str">
        <x:f>IF(A113="","",IF(COUNTIF($R$6:$R$162,R113)&gt;1,"重复","唯一"))</x:f>
        <x:v>唯一</x:v>
      </x:c>
      <x:c r="T113" t="str">
        <x:v>0a15194d68ecc0490ecd3910d2e51901a006ec6ac28e093e2aba48c6f67fec64</x:v>
      </x:c>
      <x:c r="U113" t="str">
        <x:v>Codex</x:v>
      </x:c>
      <x:c r="V113" s="62" t="str">
        <x:v>2026-07-25</x:v>
      </x:c>
      <x:c r="W113" t="str">
        <x:v>原创程序几何</x:v>
      </x:c>
      <x:c r="X113" s="63" t="str">
        <x:v>VisualRoot四主模块；方头/方身/方手/方脚；双眼双耳；圆短尾；六态与动作覆盖保持；PH33方形猫原型；verify_player3d_diy_flow / gallery flow / visual PASS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VisualRoot/Body：BoxMesh身躯、BellyPatch、圆形TailStub；PH33方形猫原型；verify_player3d_diy_flow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VisualRoot/Head：BoxMesh方头；Eyes双矩形眼；Ears双三角耳；PH33方形猫原型；verify_player3d_diy_flow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VisualRoot/Hand：单个BoxMesh悬浮握持手；全动作与weapon_socket同相；PH33方形猫原型；verify_player3d_diy_flow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VisualRoot/Scarf默认隐藏，仅为旧场景兼容；当前四主模块不计入scarf；PH33方形猫原型；verify_player3d_diy_flow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VisualRoot/WeaponSocket：(0.60,1.15,-0.42)，与唯一手固定相对向量；PH33方形猫原型；verify_player3d_diy_flow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>
      <x:c r="A120" t="str">
        <x:v>PRP-BASE-FACILITY-3D</x:v>
      </x:c>
      <x:c r="B120" t="str">
        <x:v>基地设施3D通用模块</x:v>
      </x:c>
      <x:c r="C120" t="str">
        <x:v>场景道具</x:v>
      </x:c>
      <x:c r="D120" t="str">
        <x:v>facility</x:v>
      </x:c>
      <x:c r="E120" t="str">
        <x:v>base_facility_module</x:v>
      </x:c>
      <x:c r="F120" t="str">
        <x:v>root_3d</x:v>
      </x:c>
      <x:c r="G120" t="str">
        <x:v>ENV-BASE-WORLD-KIT-3D</x:v>
      </x:c>
      <x:c r="H120" t="str">
        <x:v>俯视3D</x:v>
      </x:c>
      <x:c r="I120" t="str">
        <x:v>default</x:v>
      </x:c>
      <x:c r="J120" t="str">
        <x:v>8类基地设施</x:v>
      </x:c>
      <x:c r="K120" t="str">
        <x:v>原型已接入</x:v>
      </x:c>
      <x:c r="L120" t="str">
        <x:v>P0</x:v>
      </x:c>
      <x:c r="M120" t="str">
        <x:v>v001</x:v>
      </x:c>
      <x:c r="N120" t="str">
        <x:v>PackedScene/材质变体</x:v>
      </x:c>
      <x:c r="O120" t="str">
        <x:v>assets/art/props/base_world_3d/prp_base_facility_root_top3d_v001.tscn</x:v>
      </x:c>
      <x:c r="P120" t="str">
        <x:v>src/base3d/BaseFacility3D.gd</x:v>
      </x:c>
      <x:c r="Q120" t="str">
        <x:v>设施;交互;信标;3D</x:v>
      </x:c>
      <x:c r="R12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t="str">
        <x:f>IF(A120="","",IF(COUNTIF($R$6:$R$162,R120)&gt;1,"重复","唯一"))</x:f>
        <x:v>唯一</x:v>
      </x:c>
      <x:c r="T120" t="str">
        <x:v>18921dbda4e5997f5c49c6efa66b7af030310d5d086b60fe476e8f0e664e104e</x:v>
      </x:c>
      <x:c r="U120" t="str">
        <x:v>Codex</x:v>
      </x:c>
      <x:c r="V120" s="62" t="n">
        <x:v>46224</x:v>
      </x:c>
      <x:c r="W120" t="str">
        <x:v>原创程序几何</x:v>
      </x:c>
      <x:c r="X120" t="str">
        <x:v>由配置生成8个设施变体；复用同一场景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34" customHeight="1">
      <x:c r="A123" s="63" t="str">
        <x:v>ENV-DUNGEON-RUNTIME-3D</x:v>
      </x:c>
      <x:c r="B123" s="63" t="str">
        <x:v>3D随机关卡通用房间套件</x:v>
      </x:c>
      <x:c r="C123" s="63" t="str">
        <x:v>场景</x:v>
      </x:c>
      <x:c r="D123" s="63" t="str">
        <x:v>room</x:v>
      </x:c>
      <x:c r="E123" s="63" t="str">
        <x:v>dungeon_runtime</x:v>
      </x:c>
      <x:c r="F123" s="63" t="str">
        <x:v>root_3d</x:v>
      </x:c>
      <x:c r="G123" s="63"/>
      <x:c r="H123" s="63" t="str">
        <x:v>俯视3D</x:v>
      </x:c>
      <x:c r="I123" s="63" t="str">
        <x:v>default</x:v>
      </x:c>
      <x:c r="J123" s="63" t="str">
        <x:v>四主题副本/随机房间</x:v>
      </x:c>
      <x:c r="K123" s="63" t="str">
        <x:v>原型已接入</x:v>
      </x:c>
      <x:c r="L123" s="63" t="str">
        <x:v>P0</x:v>
      </x:c>
      <x:c r="M123" s="63" t="str">
        <x:v>v001</x:v>
      </x:c>
      <x:c r="N123" s="63" t="str">
        <x:v>PackedScene/三档程序几何</x:v>
      </x:c>
      <x:c r="O123" s="63" t="str">
        <x:v>assets/art/environments/dungeon_3d/env_dungeon_runtime_kit_top3d_v001.tscn</x:v>
      </x:c>
      <x:c r="P123" s="63" t="str">
        <x:v>src/world3d/DungeonRoom3D.gd</x:v>
      </x:c>
      <x:c r="Q123" s="63" t="str">
        <x:v>房间;门洞;走廊;随机地图;3D</x:v>
      </x:c>
      <x:c r="R123" s="63" t="str">
        <x:f>LOWER(TRIM(C123)&amp;"|"&amp;TRIM(D123)&amp;"|"&amp;TRIM(E123)&amp;"|"&amp;TRIM(F123)&amp;"|"&amp;TRIM(H123)&amp;"|"&amp;TRIM(I123))</x:f>
        <x:v>场景|room|dungeon_runtime|root_3d|俯视3d|default</x:v>
      </x:c>
      <x:c r="S123" s="63" t="str">
        <x:f>IF(A123="","",IF(COUNTIF($R$6:$R$162,R123)&gt;1,"重复","唯一"))</x:f>
        <x:v>唯一</x:v>
      </x:c>
      <x:c r="T123" s="63" t="str">
        <x:v>fc33ac084150c3e3cbba89505b3e04f35712abbceaa5cec297c94fe4d7dcc2f3</x:v>
      </x:c>
      <x:c r="U123" s="63" t="str">
        <x:v>Codex</x:v>
      </x:c>
      <x:c r="V123" s="64" t="n">
        <x:v>46232</x:v>
      </x:c>
      <x:c r="W123" s="63" t="str">
        <x:v>原创程序几何</x:v>
      </x:c>
      <x:c r="X123" s="63" t="str">
        <x:v>small/medium/large；四向门；家具、搜索、服务、危险区共用根；PH34复用塔楼层。2026-07-29楼梯最终修正：TowerGeometry3D统一米制（门/楼道/梯宽4.0m、门外平台3.0m、第一跑10.0m、两跑中心距5.2m、护栏端部净口2.4m、楼板厚0.24m、层高6.0m）；十段路径重做为七节点U形模块；路径Y定义为可走顶面，修复入口+0.12m台阶；测试角色从屋顶门内真实走完整楼梯并进入设施层。验证：verify_tower_descent_flow.tscn与Apple M1 OpenGL实机画面通过（1819节点）。 PH35 Blender重制待确认：目标层高9m、楼顶111.803m见方、设施/战斗层67.082m见方；固定6m净宽三组件楼梯。确认前现有PH34 Godot运行时仍保持6m层高与50/30m楼层，不提前替换。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34" customHeight="1">
      <x:c r="A128" s="63" t="str">
        <x:v>PRP-WASTELAND-LIGHT-3D</x:v>
      </x:c>
      <x:c r="B128" s="63" t="str">
        <x:v>废土灯具3D通用模块（街灯/顶灯）</x:v>
      </x:c>
      <x:c r="C128" s="63" t="str">
        <x:v>场景道具</x:v>
      </x:c>
      <x:c r="D128" s="63" t="str">
        <x:v>light</x:v>
      </x:c>
      <x:c r="E128" s="63" t="str">
        <x:v>wasteland_light</x:v>
      </x:c>
      <x:c r="F128" s="63" t="str">
        <x:v>root_3d</x:v>
      </x:c>
      <x:c r="G128" s="63" t="str">
        <x:v>ENV-DUNGEON-RUNTIME-3D</x:v>
      </x:c>
      <x:c r="H128" s="63" t="str">
        <x:v>俯视3D</x:v>
      </x:c>
      <x:c r="I128" s="63" t="str">
        <x:v>default</x:v>
      </x:c>
      <x:c r="J128" s="63" t="str">
        <x:v>关卡/靶场/房间中央照明</x:v>
      </x:c>
      <x:c r="K128" s="63" t="str">
        <x:v>原型已接入</x:v>
      </x:c>
      <x:c r="L128" s="63" t="str">
        <x:v>P0</x:v>
      </x:c>
      <x:c r="M128" s="63" t="str">
        <x:v>v001</x:v>
      </x:c>
      <x:c r="N128" s="63" t="str">
        <x:v>PackedScene/OmniLight3D</x:v>
      </x:c>
      <x:c r="O128" s="63" t="str">
        <x:v>assets/art/props/dungeon_3d/prp_wasteland_light_root_top3d_v001.tscn</x:v>
      </x:c>
      <x:c r="P128" s="63" t="str">
        <x:v>src/world3d/WastelandLight3D.gd</x:v>
      </x:c>
      <x:c r="Q128" s="63" t="str">
        <x:v>灯具;街灯;中央顶灯;故障灯;废土</x:v>
      </x:c>
      <x:c r="R128" s="63" t="str">
        <x:f>LOWER(TRIM(C128)&amp;"|"&amp;TRIM(D128)&amp;"|"&amp;TRIM(E128)&amp;"|"&amp;TRIM(F128)&amp;"|"&amp;TRIM(H128)&amp;"|"&amp;TRIM(I128))</x:f>
        <x:v>场景道具|light|wasteland_light|root_3d|俯视3d|default</x:v>
      </x:c>
      <x:c r="S128" s="63" t="str">
        <x:f>IF(A128="","",IF(COUNTIF($R$6:$R$162,R128)&gt;1,"重复","唯一"))</x:f>
        <x:v>唯一</x:v>
      </x:c>
      <x:c r="T128" s="63" t="str">
        <x:v>0a6ec0add8b6e01b83f4dbaae421ff0dc69ed08648d304bac061f540af27d99b</x:v>
      </x:c>
      <x:c r="U128" s="63" t="str">
        <x:v>Codex</x:v>
      </x:c>
      <x:c r="V128" s="64" t="n">
        <x:v>46225</x:v>
      </x:c>
      <x:c r="W128" s="63" t="str">
        <x:v>原创程序几何</x:v>
      </x:c>
      <x:c r="X128" s="63" t="str">
        <x:v>同根支持street/ceiling；房间只实例化唯一中央顶灯，默认关闭并由墙面开关控制；PH28开启能量较旧基线提高约22%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>
      <x:c r="A143" t="str">
        <x:v>PRP-ROOM-LIGHT-SWITCH-3D</x:v>
      </x:c>
      <x:c r="B143" t="str">
        <x:v>房间中央灯墙面开关3D</x:v>
      </x:c>
      <x:c r="C143" t="str">
        <x:v>场景道具</x:v>
      </x:c>
      <x:c r="D143" t="str">
        <x:v>facility</x:v>
      </x:c>
      <x:c r="E143" t="str">
        <x:v>room_light_switch</x:v>
      </x:c>
      <x:c r="F143" t="str">
        <x:v>root_3d</x:v>
      </x:c>
      <x:c r="G143" t="str">
        <x:v>ENV-DUNGEON-RUNTIME-3D</x:v>
      </x:c>
      <x:c r="H143" t="str">
        <x:v>俯视3D</x:v>
      </x:c>
      <x:c r="I143" t="str">
        <x:v>default</x:v>
      </x:c>
      <x:c r="J143" t="str">
        <x:v>随机关卡房间/四主题复用</x:v>
      </x:c>
      <x:c r="K143" t="str">
        <x:v>原型已接入</x:v>
      </x:c>
      <x:c r="L143" t="str">
        <x:v>P0</x:v>
      </x:c>
      <x:c r="M143" t="str">
        <x:v>v001</x:v>
      </x:c>
      <x:c r="N143" t="str">
        <x:v>PackedScene/Area3D</x:v>
      </x:c>
      <x:c r="O143" t="str">
        <x:v>assets/art/props/dungeon_3d/prp_room_light_switch_root_top3d_v001.tscn</x:v>
      </x:c>
      <x:c r="P143" t="str">
        <x:v>src/world3d/RoomLightSwitch3D.gd</x:v>
      </x:c>
      <x:c r="Q143" t="str">
        <x:v>房灯开关;墙面交互;中央顶灯;E键</x:v>
      </x:c>
      <x:c r="R143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t="str">
        <x:f>IF(A143="","",IF(COUNTIF($R$6:$R$162,R143)&gt;1,"重复","唯一"))</x:f>
        <x:v>唯一</x:v>
      </x:c>
      <x:c r="T143" t="str">
        <x:v>7802bc3a71d892072e43962875e26b60443d19de35bcc77fe0cbedcfa6dd5d94</x:v>
      </x:c>
      <x:c r="U143" t="str">
        <x:v>Codex</x:v>
      </x:c>
      <x:c r="V143" s="62" t="n">
        <x:v>46225</x:v>
      </x:c>
      <x:c r="W143" t="str">
        <x:v>原创程序几何</x:v>
      </x:c>
      <x:c r="X143" t="str">
        <x:v>每个房间共用一件；E键切换唯一中央顶灯；禁止复制到各主题局部目录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t="str">
        <x:v>原创程序灯光</x:v>
      </x:c>
      <x:c r="X144" t="str">
        <x:v>独立于玩法视野；环境layer1=投影主聚光+无阴影近身溢光，角色/手持枪layer2=微弱无阴影正面柔光；头顶环境灯不影响角色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0" t="str">
        <x:v>用户提供 Blender 源文件 / Codex 模块化拆分</x:v>
      </x:c>
      <x:c r="X156" s="70" t="str">
        <x:v>PH43：继续复用v006 1.5m模型与稳定AssetID；Player3D玩法碰撞升级为高1.5m、半径0.34m的VirtualCollisionCapsule。顶层状态扩展为idle/moving/dashing/hurt/locked/falling/landing/dead；下落收腿、耳后扬与落地压缩/回弹均由既有刚性节点程序驱动，不新增GLB或贴图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PH41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PH41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PH41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PH41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PH43：v006网格与AssetID不变；FootJointL除moving步态外新增falling收腿与landing压缩恢复职责，动作由PlayerAvatar3D程序变换驱动。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PH43：v006网格与AssetID不变；FootJointR除moving步态外新增falling收腿与landing压缩恢复职责，动作由PlayerAvatar3D程序变换驱动。</x:v>
      </x:c>
    </x:row>
    <x:row r="163" ht="132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335m楼顶/99层基地/98—95层种子化探索关卡/六个GLB运行时子资产</x:v>
      </x:c>
      <x:c r="K163" s="70" t="str">
        <x:v>原型已接入</x:v>
      </x:c>
      <x:c r="L163" s="70" t="str">
        <x:v>P0</x:v>
      </x:c>
      <x:c r="M163" s="70" t="str">
        <x:v>v006</x:v>
      </x:c>
      <x:c r="N163" s="70" t="str">
        <x:v>Blender 4.2源文件/1单位=1m/432对象/114 Mesh/18个未应用Array</x:v>
      </x:c>
      <x:c r="O163" s="70" t="str">
        <x:v>assets/art/environments/tower_descent_3d/source/env_tower_descent_kit_top3d_v006.blend</x:v>
      </x:c>
      <x:c r="P163" s="70" t="str">
        <x:v>env_tower_descent_kit_top3d_v006.blend; export_env_tower_5m_modules_v001.py; export_env_tower_stairwells_v001.py; docs/PH37_摩天楼99至95层深度玩法与楼梯资产接入.md; verify_tower_descent_flow.tscn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a99ca6f01c875cdf9414a9f132bbb9d4c2a921b4b4871346170ee6e6701130a2</x:v>
      </x:c>
      <x:c r="U163" s="70" t="str">
        <x:v>Codex</x:v>
      </x:c>
      <x:c r="V163" s="71" t="n">
        <x:v>46233</x:v>
      </x:c>
      <x:c r="W163" s="70" t="str">
        <x:v>用户手工Blender楼梯 + Codex五米模块化楼层</x:v>
      </x:c>
      <x:c r="X163" s="70" t="str">
        <x:v>PH44：Godot整层统一为50×50个5m网格，即250×250m、2500块地砖；65×65m基地核心保持不变，并以XZ各+2.5m对齐偶数整层网格。普通战斗层采用4×4槽位：12个45×45m外环房间，中央2×2槽位留给10m主走廊与上下楼梯。Boss层采用90×90m Boss区并保留9个普通房间。固定镜头仍为角色相对(0,8,5.5)、FOV 55°；新增仅隐藏镜头到角色射线所命中的墙体渲染的局部剖切，碰撞、门、视野阻挡与楼梯承重均不关闭。完整探索节点数2783。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46233</x:v>
      </x:c>
      <x:c r="W164" s="70" t="str">
        <x:v>程序生成Blender源集合</x:v>
      </x:c>
      <x:c r="X164" s="70" t="str">
        <x:v>PH44：整层由67×67调整为50×50个5m模块，物理尺寸250×250m、满铺2500块；地板仍由模块化MultiMesh渲染并保留独立StaticBody承重。四向楼梯洞口改用对齐5m世界矩形换算网格，避免尺寸与位移单位错位。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46233</x:v>
      </x:c>
      <x:c r="W165" s="70" t="str">
        <x:v>程序生成Blender源集合</x:v>
      </x:c>
      <x:c r="X165" s="70" t="str">
        <x:v>PH44：继续复用同一5m实墙模块；45m战斗房每边按9个模块拼接。为控制250m楼层节点量，同方向连续实墙改为单个MultiMeshInstance3D批量渲染，碰撞按门洞两侧合并成长条StaticBody形状；视觉仍保持逐5m模块拼缝与命名语义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PH44：继续复用同一5m围栏模块，按50×50网格环绕250×250m楼顶与整层边界，不新增大块整体网格；普通楼顶由统一太阳照明，楼梯口局部阴影不再靠提高全局环境亮度解决。</x:v>
      </x:c>
    </x:row>
    <x:row r="167" ht="132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塔楼房间门/走廊接口/楼梯门/命运触发</x:v>
      </x:c>
      <x:c r="K167" s="70" t="str">
        <x:v>原型已接入</x:v>
      </x:c>
      <x:c r="L167" s="70" t="str">
        <x:v>P0</x:v>
      </x:c>
      <x:c r="M167" s="70" t="str">
        <x:v>v001</x:v>
      </x:c>
      <x:c r="N167" s="70" t="str">
        <x:v>GLB / 5m墙位 / 4m净宽 / 4.5m净高 / 独立门扇</x:v>
      </x:c>
      <x:c r="O167" s="70" t="str">
        <x:v>assets/art/environments/tower_descent_3d/components/env_tower_wall_door_5m_top3d_v001.glb</x:v>
      </x:c>
      <x:c r="P167" s="70" t="str">
        <x:v>Blender集合=10D_MOD_WALL_DOOR_5M_U01; export_env_tower_5m_modules_v001.py; RoomDoor3D.gd; verify_tower_descent_flow.tscn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da5c2938eaca6360d945cdeb19d7af47c5ec64462c9065211191a9cf37deafe3</x:v>
      </x:c>
      <x:c r="U167" s="70" t="str">
        <x:v>Codex</x:v>
      </x:c>
      <x:c r="V167" s="71" t="n">
        <x:v>46233</x:v>
      </x:c>
      <x:c r="W167" s="70" t="str">
        <x:v>程序生成Blender源集合</x:v>
      </x:c>
      <x:c r="X167" s="70" t="str">
        <x:v>PH44：继续作为独立5m门墙语义模块；门洞不并入实墙MultiMesh，确保RoomDoor3D、命运卡、房间清理锁定与上下楼梯接口仍可逐门控制。上下层连接支持两端独立开口朝向。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env_tower_descent_kit_top3d_v006.blend; export_env_tower_stairwells_v001.py; TowerDescent3D.gd; 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PH44：继续直接复用用户v006通用9m楼梯视觉与六块Walkable同形常驻碰撞；按5m世界矩形对齐250m整层中的四向楼梯洞口，可旋转通用。上下端门侧分别记录，避免楼梯开口朝向改变后沿用同一侧导致错位。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env_tower_descent_kit_top3d_v006.blend; export_env_tower_stairwells_v001.py; TowerDescent3D.gd; 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46233</x:v>
      </x:c>
      <x:c r="W169" s="70" t="str">
        <x:v>用户手工Blender模型</x:v>
      </x:c>
      <x:c r="X169" s="70" t="str">
        <x:v>PH44：继续复用用户v006楼顶特殊楼梯、加高墙体及常驻Walkable/EnclosureWall碰撞。楼顶纯黑问题确认为固定斜俯视镜头被门墙整段遮挡；现仅剖切遮挡角色的墙体渲染，并联动同方向5m墙段，物理碰撞、门和楼梯围护保持有效；天空反弹光降至1.25，仅补兼容渲染器缺少实时天空GI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a5914e47234c5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可选；layer2，禁投影/GI；不得替代双眼节点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默认visible=false；不计入四主模块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PH43：v006真实1.5m分体网格与AssetID不变；玩法碰撞位于Player3D/VirtualCollisionCapsule（height=1.5m、radius=0.34m）。falling/landing复用既有Body/Head/Hands/Feet/EarSocket关节。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Blender原点：脚底中心；静态最低点Y=0；PH43复用同一v006网格增加下落与落地程序动作。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Blender原点：脚底中心；静态最低点Y=0；PH43复用同一v006网格增加下落与落地程序动作。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PH33 方形猫子组件 × 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独立3D验收场：scenes/Player3DStateGallery.tscn ｜ 真正驱动 Player3D 六态、WeaponModel3D 换弹覆盖、Enemy3D/Boss 九态与 ThemedNPC3D；验证：verify_player3d_state_gallery_flow.tscn / verify_player3d_state_gallery_visual.tscn PASS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由 WeaponModel3D.shot_fired 启动；charging 读取真实蓄力；knockback 以命中方向驱动 hurt 冲量与弹性回正；唯一 Hand + weapon_socket 全程同相。验证：verify_player3d_state_gallery_flow.tscn PASS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8" ht="34" customHeight="1">
      <x:c r="A28" s="95" t="str">
        <x:v>DIY 组件：body/head/hand 三组外观变体 + hat/glasses 独立头部配件；真实入口 Player3D.set_avatar_customization()；握持点内收，移动/射击/击飞中 Hand + weapon_socket 同相。验证：verify_player3d_diy_flow.tscn PASS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PH33 方形猫：复用CHR-PLY-CAPSULE01-3D；Body/Head/Hand/Feet四主模块；Head含双矩形眼与双三角耳，Body含圆短尾；无嘴、无长尾、无第二手；moving双脚交替，手与weapon_socket全动作同相。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  <x:row r="17" ht="52" customHeight="1">
      <x:c r="A17" s="63" t="str">
        <x:v>v1.11</x:v>
      </x:c>
      <x:c r="B17" s="63" t="str">
        <x:v>2026-07-23</x:v>
      </x:c>
      <x:c r="C17" s="63" t="str">
        <x:v>3D动作覆盖层登记</x:v>
      </x:c>
      <x:c r="D17" s="63" t="str">
        <x:v>CHR-PLY-CAPSULE01-3D / WPN-GUN-KIT-3D</x:v>
      </x:c>
      <x:c r="E17" s="63" t="str">
        <x:v>登记 firing/charging/knockback：真实武器/命中来源、手与weapon_socket同相、击飞基础位移与弹性回正；预览场控件和自动验收补齐</x:v>
      </x:c>
      <x:c r="F17" s="63" t="str">
        <x:v>不新增AssetID或贴图；六态保持互斥，动作以既有组件程序组合</x:v>
      </x:c>
      <x:c r="G17" s="63" t="str">
        <x:v>Codex</x:v>
      </x:c>
    </x:row>
    <x:row r="18" ht="50" customHeight="1">
      <x:c r="A18" s="63" t="str">
        <x:v>v1.12</x:v>
      </x:c>
      <x:c r="B18" s="63" t="str">
        <x:v>2026-07-23</x:v>
      </x:c>
      <x:c r="C18" s="63" t="str">
        <x:v>3D角色DIY组件登记</x:v>
      </x:c>
      <x:c r="D18" s="63" t="str">
        <x:v>CHR-PLY-CAPSULE01-3D 及五个子变体</x:v>
      </x:c>
      <x:c r="E18" s="63" t="str">
        <x:v>登记 body/head/hand/hat/glasses 可装配变体、内收握持点、动态继承和预览/自动验收</x:v>
      </x:c>
      <x:c r="F18" s="63" t="str">
        <x:v>新增子AssetID；不增加角色根，不改玩法或六态</x:v>
      </x:c>
      <x:c r="G18" s="63" t="str">
        <x:v>Codex</x:v>
      </x:c>
    </x:row>
    <x:row r="19" ht="52" customHeight="1">
      <x:c r="A19" s="63" t="str">
        <x:v>v1.13</x:v>
      </x:c>
      <x:c r="B19" s="63" t="str">
        <x:v>2026-07-25</x:v>
      </x:c>
      <x:c r="C19" s="63" t="str">
        <x:v>方形猫3D角色原型登记</x:v>
      </x:c>
      <x:c r="D19" s="63" t="str">
        <x:v>CHR-PLY-CAPSULE01-3D及脚/眼/耳/短尾子资产</x:v>
      </x:c>
      <x:c r="E19" s="63" t="str">
        <x:v>复用玩家根；登记Body/Head/Hand/Feet四主模块、双矩形眼、双三角耳、圆短尾、feet DIY及交替脚步</x:v>
      </x:c>
      <x:c r="F19" s="63" t="str">
        <x:v>新增5个子AssetID；旧2D胶囊不变；3D旧Scarf隐藏兼容；玩法、碰撞、六态和灯光契约不变</x:v>
      </x:c>
      <x:c r="G19" s="63" t="str">
        <x:v>Codex</x:v>
      </x:c>
    </x:row>
    <x:row r="20" ht="90" customHeight="1">
      <x:c r="A20" s="63" t="str">
        <x:v>v1.14</x:v>
      </x:c>
      <x:c r="B20" s="63" t="str">
        <x:v>2026-07-29</x:v>
      </x:c>
      <x:c r="C20" s="63" t="str">
        <x:v>兔子武器姿势与虚拟碰撞契约</x:v>
      </x:c>
      <x:c r="D20" s="63" t="str">
        <x:v>CHR-PLY-CAPSULE01-3D-BUNNY01 / PlayerAvatar3D / Player3D</x:v>
      </x:c>
      <x:c r="E20" s="63" t="str">
        <x:v>登记圆环近端手腕轴心；手枪右侧单手、长枪右手握把+左手托举；hold/run/fire/reload/charge 武器姿势状态机；七枪差异后坐；模型零碰撞，根节点 1.80m 无耳虚拟盒</x:v>
      </x:c>
      <x:c r="F20" s="63" t="str">
        <x:v>不新增 AssetID、不复制 GLB、不改 v004 Blender 源网格；仅更新运行时姿势、碰撞职责与验收契约</x:v>
      </x:c>
      <x:c r="G20" s="63" t="str">
        <x:v>Codex</x:v>
      </x:c>
    </x:row>
    <x:row r="21" ht="86" customHeight="1">
      <x:c r="A21" s="63" t="str">
        <x:v>v1.15</x:v>
      </x:c>
      <x:c r="B21" s="63" t="str">
        <x:v>2026-07-29</x:v>
      </x:c>
      <x:c r="C21" s="63" t="str">
        <x:v>兔子站立待机动画登记</x:v>
      </x:c>
      <x:c r="D21" s="63" t="str">
        <x:v>CHR-PLY-CAPSULE01-3D-BUNNY01 / PlayerAvatar3D / Player3DIdleState</x:v>
      </x:c>
      <x:c r="E21" s="63" t="str">
        <x:v>复用既有六态 idle：登记约2.38s站立循环、呼吸挤压、重心换脚、头部滞后、双耳错相/偶发耳弹及持枪呼吸；移动时立即退出，停下后恢复</x:v>
      </x:c>
      <x:c r="F21" s="63" t="str">
        <x:v>不新增顶层状态、不新增 AssetID、不改 Blender/GLB；仅强化 v004 运行时组件动画与自动验收</x:v>
      </x:c>
      <x:c r="G21" s="63" t="str">
        <x:v>Codex</x:v>
      </x:c>
    </x:row>
    <x:row r="22" ht="72" customHeight="1">
      <x:c r="A22" s="63" t="str">
        <x:v>v1.16</x:v>
      </x:c>
      <x:c r="B22" s="64" t="n">
        <x:v>46232</x:v>
      </x:c>
      <x:c r="C22" s="63" t="str">
        <x:v>塔楼Blender三层堆叠版登记</x:v>
      </x:c>
      <x:c r="D22" s="63" t="str">
        <x:v>ENV-TOWER-DESCENT-KIT-3D</x:v>
      </x:c>
      <x:c r="E22" s="63" t="str">
        <x:v>将旧v001横向组件评审板保留为历史版本；登记独立v002三层真实堆叠文件，含楼板、外墙、室内隔墙、15扇门及西/东两段实际楼梯，并修复同名文件覆盖导致的评审图不一致。</x:v>
      </x:c>
      <x:c r="F22" s="63" t="str">
        <x:v>AssetID不变；只升级Blender评审源文件版本；确认前不导出GLB、不接入Godot。</x:v>
      </x:c>
      <x:c r="G22" s="63" t="str">
        <x:v>Codex</x:v>
      </x:c>
    </x:row>
    <x:row r="23" ht="78" customHeight="1">
      <x:c r="A23" s="63" t="str">
        <x:v>v1.17</x:v>
      </x:c>
      <x:c r="B23" s="64" t="n">
        <x:v>46233</x:v>
      </x:c>
      <x:c r="C23" s="63" t="str">
        <x:v>塔楼双楼梯与五倍边长地图登记</x:v>
      </x:c>
      <x:c r="D23" s="63" t="str">
        <x:v>ENV-TOWER-DESCENT-KIT-3D</x:v>
      </x:c>
      <x:c r="E23" s="63" t="str">
        <x:v>将用户手工v003保存为快照；登记v004特殊楼顶梯与通用旋转梯、02_STAIRWELLS集合层级、核心门口连接板、335.410m总占地、67.082m中央核心和空外围楼板。</x:v>
      </x:c>
      <x:c r="F23" s="63" t="str">
        <x:v>AssetID不变；v003可回退；只升级Blender评审源文件，确认前不导出GLB、不接入Godot。</x:v>
      </x:c>
      <x:c r="G23" s="63" t="str">
        <x:v>Codex</x:v>
      </x:c>
    </x:row>
    <x:row r="24" ht="100" customHeight="1">
      <x:c r="A24" s="63" t="str">
        <x:v>v1.18</x:v>
      </x:c>
      <x:c r="B24" s="64" t="n">
        <x:v>46233</x:v>
      </x:c>
      <x:c r="C24" s="63" t="str">
        <x:v>塔楼整层外壳五倍边长修正</x:v>
      </x:c>
      <x:c r="D24" s="63" t="str">
        <x:v>ENV-TOWER-DESCENT-KIT-3D</x:v>
      </x:c>
      <x:c r="E24" s="63" t="str">
        <x:v>登记v005：楼顶女儿墙、基地外墙、战斗层外墙全部移到335.410m总楼层边界；旧核心满高外墙取消，67.082m中央核心、楼梯、门、设施和内部隔墙保持原尺寸。</x:v>
      </x:c>
      <x:c r="F24" s="63" t="str">
        <x:v>AssetID不变；v004可回退；只修正Blender评审母版，确认前不导出GLB、不接入Godot。</x:v>
      </x:c>
      <x:c r="G24" s="63" t="str">
        <x:v>Codex</x:v>
      </x:c>
    </x:row>
    <x:row r="25" ht="115" customHeight="1">
      <x:c r="A25" s="63" t="str">
        <x:v>v1.19</x:v>
      </x:c>
      <x:c r="B25" s="64" t="n">
        <x:v>46233</x:v>
      </x:c>
      <x:c r="C25" s="63" t="str">
        <x:v>塔楼五米模块化楼层与墙体</x:v>
      </x:c>
      <x:c r="D25" s="63" t="str">
        <x:v>ENV-TOWER-DESCENT-KIT-3D; ENV-TOWER-FLOOR-TILE-5M; ENV-TOWER-WALL-SOLID-5M; ENV-TOWER-WALL-PARAPET-5M; ENV-TOWER-WALL-DOOR-5M</x:v>
      </x:c>
      <x:c r="E25" s="63" t="str">
        <x:v>登记v006：335m整层与65m基地/战斗核心全部对齐5m网格；地砖、满高墙、楼顶女儿墙、带门墙成为四个稳定子资产，基地完整围合，战斗内墙和门可独立拼装。</x:v>
      </x:c>
      <x:c r="F25" s="63" t="str">
        <x:v>v005用户内存状态另存快照；楼梯手调结构不重做。四个子资产当前仅为Blender程序占位，未导出GLB、未接入Godot。</x:v>
      </x:c>
      <x:c r="G25" s="63" t="str">
        <x:v>Codex</x:v>
      </x:c>
    </x:row>
    <x:row r="26" ht="118" customHeight="1">
      <x:c r="A26" s="70" t="str">
        <x:v>v1.20</x:v>
      </x:c>
      <x:c r="B26" s="71" t="n">
        <x:v>46233</x:v>
      </x:c>
      <x:c r="C26" s="70" t="str">
        <x:v>塔楼5m GLB与99—95层Godot首批关卡接入</x:v>
      </x:c>
      <x:c r="D26" s="70" t="str">
        <x:v>ENV-TOWER-DESCENT-KIT-3D及四个5m子资产</x:v>
      </x:c>
      <x:c r="E26" s="70" t="str">
        <x:v>四个Blender模块导出独立GLB并接入335m楼顶、99层基地、98—95层五房+电梯探索关卡；登记9m双跑楼梯、门后命运、Boss/撤离、城市日照、智能剖切与≤5层流送验收。</x:v>
      </x:c>
      <x:c r="F26" s="70" t="str">
        <x:v>AssetID与v006 Blender母版不变；子资产状态由程序占位升级为原型已接入；旧四主题Dungeon3D玩法继续共用。</x:v>
      </x:c>
      <x:c r="G26" s="70" t="str">
        <x:v>Codex</x:v>
      </x:c>
    </x:row>
    <x:row r="27" ht="118" customHeight="1">
      <x:c r="A27" s="70" t="str">
        <x:v>v1.21</x:v>
      </x:c>
      <x:c r="B27" s="71" t="n">
        <x:v>46233</x:v>
      </x:c>
      <x:c r="C27" s="70" t="str">
        <x:v>Blender楼梯直入与99—95层种子化关卡</x:v>
      </x:c>
      <x:c r="D27" s="70" t="str">
        <x:v>ENV-TOWER-DESCENT-KIT-3D; ENV-TOWER-STAIRWELL-GENERIC-9M; ENV-TOWER-STAIRWELL-ROOFTOP-9M</x:v>
      </x:c>
      <x:c r="E27" s="70" t="str">
        <x:v>两套用户手调楼梯从v006根节点直接导出GLB并接入Godot；登记前三段门禁差异、四类种子化房间模板、固定电梯、95层Boss、城市/室内光、智能遮挡与≤5层流送。</x:v>
      </x:c>
      <x:c r="F27" s="70" t="str">
        <x:v>新增两个楼梯子AssetID，不复制程序踏步；四个5m模块ID和母版ID不变；运行时碰撞/吸附与Blender视觉职责分离。</x:v>
      </x:c>
      <x:c r="G27" s="70" t="str">
        <x:v>Codex</x:v>
      </x:c>
    </x:row>
    <x:row r="28" ht="118" customHeight="1">
      <x:c r="A28" s="70" t="str">
        <x:v>v1.22</x:v>
      </x:c>
      <x:c r="B28" s="71" t="n">
        <x:v>46233</x:v>
      </x:c>
      <x:c r="C28" s="70" t="str">
        <x:v>bunny01完整视觉与碰撞统一为1米</x:v>
      </x:c>
      <x:c r="D28" s="70" t="str">
        <x:v>CHR-PLY-CAPSULE01-3D-BUNNY01及六个稳定组件AssetID</x:v>
      </x:c>
      <x:c r="E28" s="70" t="str">
        <x:v>从v004派生真实1m Blender v005与七个pivot-local GLB；Godot改用v005装配，碰撞体高1m，持枪视觉、挂点、可穿戴、VFX和全部米制动作平移同步缩放。</x:v>
      </x:c>
      <x:c r="F28" s="70" t="str">
        <x:v>不新增角色AssetID；v004保留回退。静态AABB、六态、武器姿势、碰撞、DIY、换弹、塔楼与性能验收通过。</x:v>
      </x:c>
      <x:c r="G28" s="70" t="str">
        <x:v>Codex</x:v>
      </x:c>
    </x:row>
    <x:row r="29" ht="84" hidden="0" customHeight="1">
      <x:c r="A29" s="70" t="str">
        <x:v>v1.23</x:v>
      </x:c>
      <x:c r="B29" s="71" t="n">
        <x:v>46233</x:v>
      </x:c>
      <x:c r="C29" s="70" t="str">
        <x:v>bunny01正式定版为1.5米</x:v>
      </x:c>
      <x:c r="D29" s="70" t="str">
        <x:v>CHR-PLY-CAPSULE01-3D-BUNNY01及六个稳定组件AssetID</x:v>
      </x:c>
      <x:c r="E29" s="70" t="str">
        <x:v>从一米v005等比烘焙真实1.5m Blender v006、七个pivot-local GLB与Godot v006装配；取消Avatar3D临时1.5倍缩放，碰撞、挂点、附件与米制动画固定为1.5m契约。</x:v>
      </x:c>
      <x:c r="F29" s="70" t="str">
        <x:v>不新增AssetID；v005保留回退。Blender/Godot AABB、武器姿势、碰撞、六态、DIY、换弹、塔楼楼梯和PH40镜头验收通过。</x:v>
      </x:c>
      <x:c r="G29" s="70" t="str">
        <x:v>Codex</x:v>
      </x:c>
    </x:row>
    <x:row r="30" ht="118" customHeight="1">
      <x:c r="A30" s="70" t="str">
        <x:v>v1.24</x:v>
      </x:c>
      <x:c r="B30" s="71" t="n">
        <x:v>46233</x:v>
      </x:c>
      <x:c r="C30" s="70" t="str">
        <x:v>PH43楼梯承重、下落落地与屋顶可读性</x:v>
      </x:c>
      <x:c r="D30" s="70" t="str">
        <x:v>Player3D / bunny01 v006 / 两套9m楼梯 / 楼顶洞口与镜头</x:v>
      </x:c>
      <x:c r="E30" s="70" t="str">
        <x:v>六态扩展为八态falling/landing；1.5m玩法碰撞改胶囊；楼梯取消Y吸附并合并连续三角承重面；掉落/钥匙向下找承重面；导入墙补同形碰撞；楼顶洞口收紧、8m镜头侧向避障并加物理天空反弹光；进入特殊楼梯围护体立即启用角色探照灯。</x:v>
      </x:c>
      <x:c r="F30" s="70" t="str">
        <x:v>不新增角色/楼梯AssetID、GLB或贴图；v006模型尺寸和单太阳参数不变；原战斗/命运/枪械/流送兼容。</x:v>
      </x:c>
      <x:c r="G30" s="70" t="str">
        <x:v>Codex</x:v>
      </x:c>
    </x:row>
    <x:row r="31" ht="118" customHeight="1">
      <x:c r="A31" s="70" t="str">
        <x:v>v1.25</x:v>
      </x:c>
      <x:c r="B31" s="71" t="n">
        <x:v>46233</x:v>
      </x:c>
      <x:c r="C31" s="70" t="str">
        <x:v>PH43楼梯Walkable根因修复与固定镜头</x:v>
      </x:c>
      <x:c r="D31" s="70" t="str">
        <x:v>Player3D / bunny01 v006 / 两套9m楼梯 / 楼顶洞口与镜头</x:v>
      </x:c>
      <x:c r="E31" s="70" t="str">
        <x:v>六态扩展为八态falling/landing；1.5m玩法碰撞改胶囊；楼梯取消Y吸附与程序路径承重面，直接采用v006每套六块*Walkable网格同形常驻碰撞；掉落/钥匙向下找承重面；EnclosureWall补围护碰撞；楼顶洞口收紧并加物理天空反弹光；镜头固定(0,8,5.5)、FOV 55°，每物理帧覆盖外部位移与旋转；进入特殊楼梯围护体立即启用角色探照灯。</x:v>
      </x:c>
      <x:c r="F31" s="70" t="str">
        <x:v>不新增角色/楼梯AssetID、GLB或贴图；v006模型尺寸和单太阳参数不变；原战斗/命运/枪械/流送兼容。</x:v>
      </x:c>
      <x:c r="G31" s="70" t="str">
        <x:v>Codex</x:v>
      </x:c>
    </x:row>
    <x:row r="32" ht="118" customHeight="1">
      <x:c r="A32" s="70" t="str">
        <x:v>v1.26</x:v>
      </x:c>
      <x:c r="B32" s="71" t="n">
        <x:v>46233</x:v>
      </x:c>
      <x:c r="C32" s="70" t="str">
        <x:v>PH44二百五十米塔楼与四乘四战斗层重构</x:v>
      </x:c>
      <x:c r="D32" s="70" t="str">
        <x:v>塔楼整层 / 5m地砖与墙体 / 两套9m楼梯 / 固定镜头局部剖切</x:v>
      </x:c>
      <x:c r="E32" s="70" t="str">
        <x:v>整层统一50×50格（250×250m、2500砖）；65×65m基地核心不变并偏移2.5m对齐；普通层12个45×45m房间，Boss层90×90m Boss区+9个普通房；实墙按方向MultiMesh批渲染并合并碰撞；上下楼梯分别记录两端门侧；固定8m镜头只剖切挡住角色的墙体渲染；楼顶天空反弹光降至1.25。</x:v>
      </x:c>
      <x:c r="F32" s="70" t="str">
        <x:v>不新增AssetID、GLB或贴图；v006楼梯与既有5m模块继续复用；碰撞、房门、命运卡、刷怪、流送和固定镜头角度保持兼容。完整探索节点数2783。</x:v>
      </x:c>
      <x:c r="G32" s="70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