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敌人动画与状态" sheetId="4" state="visible" r:id="rId4"/>
    <sheet xmlns:r="http://schemas.openxmlformats.org/officeDocument/2006/relationships" name="3D-敌人" sheetId="5" state="visible" r:id="rId5"/>
    <sheet xmlns:r="http://schemas.openxmlformats.org/officeDocument/2006/relationships" name="域变更日志" sheetId="6" state="visible" r:id="rId6"/>
  </sheets>
  <definedNames>
    <definedName name="_xlnm._FilterDatabase" localSheetId="2" hidden="1">'资产主表'!$A$5:$Y$20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:mm:ss"/>
  </numFmts>
  <fonts count="31">
    <font>
      <name val="Linux Libertine G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b val="1"/>
      <color rgb="FFFFFFFF"/>
      <sz val="18"/>
    </font>
    <font>
      <name val="Linux Libertine G"/>
      <family val="2"/>
      <b val="1"/>
      <color rgb="FFFFFFFF"/>
      <sz val="18"/>
    </font>
    <font>
      <name val="Linux Libertine G"/>
      <family val="2"/>
      <i val="1"/>
      <color rgb="FF79D8E8"/>
      <sz val="10"/>
    </font>
    <font>
      <name val="Arial"/>
      <charset val="1"/>
      <family val="0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Linux Libertine G"/>
      <family val="2"/>
      <b val="1"/>
      <color rgb="FF2E7D32"/>
      <sz val="11"/>
    </font>
    <font>
      <name val="Cambria"/>
      <charset val="1"/>
      <family val="0"/>
      <b val="1"/>
      <color rgb="FF2E7D32"/>
      <sz val="11"/>
    </font>
    <font>
      <name val="Calibri"/>
      <charset val="1"/>
      <family val="0"/>
      <color rgb="FF13202B"/>
      <sz val="9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79D8E8"/>
      <sz val="10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mbria"/>
      <charset val="1"/>
      <family val="0"/>
      <b val="1"/>
      <sz val="11"/>
    </font>
    <font>
      <name val="Calibri"/>
      <charset val="1"/>
      <family val="0"/>
      <b val="1"/>
      <color rgb="FFFFFFFF"/>
      <sz val="16"/>
    </font>
    <font>
      <name val="Linux Libertine G"/>
      <family val="2"/>
      <b val="1"/>
      <color rgb="FFFFFFFF"/>
      <sz val="16"/>
    </font>
    <font>
      <name val="Linux Libertine G"/>
      <family val="2"/>
      <i val="1"/>
      <color rgb="FF334155"/>
      <sz val="10"/>
    </font>
    <font>
      <name val="Calibri"/>
      <charset val="1"/>
      <family val="0"/>
      <i val="1"/>
      <color rgb="FF334155"/>
      <sz val="10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</fonts>
  <fills count="11">
    <fill>
      <patternFill/>
    </fill>
    <fill>
      <patternFill patternType="gray125"/>
    </fill>
    <fill>
      <patternFill patternType="solid">
        <fgColor rgb="FF13202B"/>
        <bgColor rgb="FF1F2937"/>
      </patternFill>
    </fill>
    <fill>
      <patternFill patternType="solid">
        <fgColor rgb="FF163246"/>
        <bgColor rgb="FF17324D"/>
      </patternFill>
    </fill>
    <fill>
      <patternFill patternType="solid">
        <fgColor rgb="FFDCE8EC"/>
        <bgColor rgb="FFDCE6F1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E8F5E9"/>
        <bgColor rgb="FFD9F3E8"/>
      </patternFill>
    </fill>
    <fill>
      <patternFill patternType="solid">
        <fgColor rgb="FF17324D"/>
        <bgColor rgb="FF163246"/>
      </patternFill>
    </fill>
    <fill>
      <patternFill patternType="solid">
        <fgColor rgb="FFDCE6F1"/>
        <bgColor rgb="FFDCE8EC"/>
      </patternFill>
    </fill>
    <fill>
      <patternFill patternType="solid">
        <fgColor rgb="FF2F75B5"/>
        <bgColor rgb="FF156082"/>
      </patternFill>
    </fill>
  </fills>
  <borders count="18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 style="thin">
        <color rgb="FFE5E7EB"/>
      </right>
      <top/>
      <bottom style="thin">
        <color rgb="FF9FBAD0"/>
      </bottom>
      <diagonal/>
    </border>
    <border>
      <left style="thin">
        <color rgb="FFE5E7EB"/>
      </left>
      <right/>
      <top/>
      <bottom style="thin">
        <color rgb="FF9FBAD0"/>
      </bottom>
      <diagonal/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D9E2F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0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0" fillId="4" borderId="0" applyAlignment="1" pivotButton="0" quotePrefix="0" xfId="20">
      <alignment horizontal="general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0" fillId="0" borderId="15" pivotButton="0" quotePrefix="0" xfId="0"/>
    <xf numFmtId="0" fontId="0" fillId="0" borderId="2" pivotButton="0" quotePrefix="0" xfId="0"/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0" fillId="0" borderId="17" pivotButton="0" quotePrefix="0" xfId="0"/>
    <xf numFmtId="0" fontId="0" fillId="0" borderId="5" pivotButton="0" quotePrefix="0" xfId="0"/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2" applyAlignment="1" pivotButton="0" quotePrefix="0" xfId="20">
      <alignment horizontal="general" vertical="top" wrapText="1"/>
    </xf>
    <xf numFmtId="0" fontId="30" fillId="0" borderId="13" applyAlignment="1" pivotButton="0" quotePrefix="0" xfId="20">
      <alignment horizontal="general" vertical="top" wrapText="1"/>
    </xf>
    <xf numFmtId="165" fontId="0" fillId="0" borderId="0" pivotButton="0" quotePrefix="0" xfId="0"/>
    <xf numFmtId="0" fontId="15" fillId="0" borderId="4" applyAlignment="1" pivotButton="0" quotePrefix="0" xfId="20">
      <alignment vertical="top" wrapText="1"/>
    </xf>
    <xf numFmtId="164" fontId="19" fillId="0" borderId="4" applyAlignment="1" pivotButton="0" quotePrefix="0" xfId="20">
      <alignment vertical="top" wrapText="1"/>
    </xf>
    <xf numFmtId="0" fontId="15" fillId="0" borderId="4" applyAlignment="1" pivotButton="0" quotePrefix="0" xfId="2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pivotButton="0" quotePrefix="0" xfId="0" applyAlignment="1">
      <alignment vertical="top" wrapText="1"/>
    </xf>
    <xf numFmtId="0" fontId="0" fillId="0" borderId="0" pivotButton="0" quotePrefix="0" xfId="0" applyAlignment="1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F5A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320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3E8"/>
          <bgColor rgb="FF000000"/>
        </patternFill>
      </fill>
    </dxf>
    <dxf>
      <fill>
        <patternFill patternType="solid">
          <fgColor rgb="FF176C4A"/>
          <bgColor rgb="FF000000"/>
        </patternFill>
      </fill>
    </dxf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  <dxf>
      <font>
        <color rgb="FF000000"/>
      </font>
      <border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>
        <left/>
        <right/>
        <top style="double">
          <color theme="4"/>
        </top>
        <bottom/>
        <diagonal/>
      </border>
    </dxf>
  </dxfs>
  <tableStyles count="1" defaultTableStyle="TableStyleMedium9" defaultPivotStyle="PivotStyleLight16">
    <tableStyle name="TableStyleMedium2" count="7">
      <tableStyleElement type="wholeTable" dxfId="9"/>
      <tableStyleElement type="firstColumnStripe" dxfId="10"/>
      <tableStyleElement type="firstRowStripe" dxfId="11"/>
      <tableStyleElement type="lastColumn" dxfId="12"/>
      <tableStyleElement type="firstColumn" dxfId="13"/>
      <tableStyleElement type="headerRow" dxfId="14"/>
      <tableStyleElement type="totalRow" dxfId="15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61B1B"/>
      <rgbColor rgb="FF008000"/>
      <rgbColor rgb="FF000080"/>
      <rgbColor rgb="FF808000"/>
      <rgbColor rgb="FF800080"/>
      <rgbColor rgb="FF176C4A"/>
      <rgbColor rgb="FFB9CBD2"/>
      <rgbColor rgb="FF808080"/>
      <rgbColor rgb="FF79D8E8"/>
      <rgbColor rgb="FF993366"/>
      <rgbColor rgb="FFFFF0D6"/>
      <rgbColor rgb="FFD9F3E8"/>
      <rgbColor rgb="FF660066"/>
      <rgbColor rgb="FFFF8080"/>
      <rgbColor rgb="FF1F5A78"/>
      <rgbColor rgb="FFD9E2F3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8F5E9"/>
      <rgbColor rgb="FFDCE8EC"/>
      <rgbColor rgb="FFE5E7EB"/>
      <rgbColor rgb="FF9FBAD0"/>
      <rgbColor rgb="FFFF99CC"/>
      <rgbColor rgb="FFDCE6F1"/>
      <rgbColor rgb="FFFFD6D6"/>
      <rgbColor rgb="FF2F75B5"/>
      <rgbColor rgb="FF46B1E1"/>
      <rgbColor rgb="FF99CC00"/>
      <rgbColor rgb="FFF2C94C"/>
      <rgbColor rgb="FFFF9900"/>
      <rgbColor rgb="FFFF6600"/>
      <rgbColor rgb="FF446170"/>
      <rgbColor rgb="FF969696"/>
      <rgbColor rgb="FF17324D"/>
      <rgbColor rgb="FF2E7D32"/>
      <rgbColor rgb="FF13202B"/>
      <rgbColor rgb="FF163246"/>
      <rgbColor rgb="FF8A4B08"/>
      <rgbColor rgb="FF993366"/>
      <rgbColor rgb="FF334155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AssetMasterTable" displayName="AssetMasterTable" ref="A5:X115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1.48" customWidth="1" style="37" min="1" max="1"/>
    <col width="16.71" customWidth="1" style="37" min="2" max="3"/>
    <col width="3.58" customWidth="1" style="37" min="4" max="4"/>
    <col width="9.550000000000001" customWidth="1" style="37" min="5" max="5"/>
    <col width="35.81" customWidth="1" style="37" min="6" max="6"/>
    <col width="50.13" customWidth="1" style="37" min="7" max="7"/>
    <col width="3.58" customWidth="1" style="37" min="8" max="8"/>
    <col width="25.07" customWidth="1" style="37" min="9" max="10"/>
  </cols>
  <sheetData>
    <row r="1" ht="24.75" customHeight="1" s="38">
      <c r="A1" s="39" t="inlineStr">
        <is>
          <t>SHELLSTORM 2 · 敌人美术账本 v0.1</t>
        </is>
      </c>
    </row>
    <row r="2" ht="12" customHeight="1" s="38"/>
    <row r="3" ht="22.5" customHeight="1" s="38">
      <c r="A3" s="40" t="inlineStr">
        <is>
          <t>归属域=敌人｜覆盖大类=敌人｜AssetID 前缀=ENM｜主账本（总目录）=assets/registry/ShellStorm2_美术资产台账_v001.xlsx；本账本可独立并行编辑，跨域契约见主账本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</row>
    <row r="5" ht="27.6" customHeight="1" s="38">
      <c r="A5" s="42" t="inlineStr">
        <is>
          <t>资产总数</t>
        </is>
      </c>
      <c r="B5" s="42" t="n"/>
      <c r="C5" s="42" t="inlineStr">
        <is>
          <t>已完成/已接入</t>
        </is>
      </c>
      <c r="D5" s="42" t="n"/>
      <c r="E5" s="42" t="inlineStr">
        <is>
          <t>待制作/程序占位</t>
        </is>
      </c>
      <c r="F5" s="42" t="n"/>
      <c r="G5" s="42" t="inlineStr">
        <is>
          <t>重复警报</t>
        </is>
      </c>
      <c r="H5" s="42" t="n"/>
      <c r="I5" s="42" t="inlineStr">
        <is>
          <t>域内专表 / 3D Prefab 分页</t>
        </is>
      </c>
      <c r="J5" s="42" t="n"/>
    </row>
    <row r="6" ht="42" customHeight="1" s="38">
      <c r="A6" s="43">
        <f>COUNTA('资产主表'!$A$6:$A$20)</f>
        <v/>
      </c>
      <c r="B6" s="41" t="n"/>
      <c r="C6" s="43">
        <f>COUNTIF('资产主表'!$K$6:$K$20,"已完成")+COUNTIF('资产主表'!$K$6:$K$20,"原型已接入")+COUNTIF('资产主表'!$K$6:$K$20,"正式美术已接入")+COUNTIF('资产主表'!$K$6:$K$20,"已优化并正式接入")+COUNTIF('资产主表'!$K$6:$K$20,"Blender源已完成")+COUNTIF('资产主表'!$K$6:$K$20,"已导入；优化完成")+COUNTIF('资产主表'!$K$6:$K$20,"白模源已完成；QA PASS")</f>
        <v/>
      </c>
      <c r="D6" s="41" t="n"/>
      <c r="E6" s="43">
        <f>COUNTIF('资产主表'!$K$6:$K$20,"待制作")+COUNTIF('资产主表'!$K$6:$K$20,"程序占位")</f>
        <v/>
      </c>
      <c r="F6" s="41" t="n"/>
      <c r="G6" s="43">
        <f>COUNTIF('资产主表'!$S$6:$S$20,"重复")</f>
        <v/>
      </c>
      <c r="H6" s="41" t="n"/>
      <c r="I6" s="42" t="inlineStr">
        <is>
          <t>域内专表：敌人动画与状态 / 3D-敌人　|　3D Prefab 分页：3D-敌人</t>
        </is>
      </c>
    </row>
    <row r="7" ht="15" customHeight="1" s="38">
      <c r="A7" s="41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</row>
    <row r="8" ht="15" customHeight="1" s="38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</row>
    <row r="9" ht="31.5" customHeight="1" s="38">
      <c r="A9" s="44" t="inlineStr">
        <is>
          <t>大类</t>
        </is>
      </c>
      <c r="B9" s="44" t="inlineStr">
        <is>
          <t>资产数</t>
        </is>
      </c>
      <c r="C9" s="44" t="inlineStr">
        <is>
          <t>完成/接入</t>
        </is>
      </c>
      <c r="D9" s="44" t="n"/>
      <c r="E9" s="45" t="inlineStr">
        <is>
          <t>本账本只登记上列大类；跨域搬运资产须同步主账本《分类与编码》并重跑门禁</t>
        </is>
      </c>
      <c r="F9" s="46" t="n"/>
      <c r="G9" s="46" t="n"/>
      <c r="H9" s="46" t="n"/>
      <c r="I9" s="46" t="n"/>
      <c r="J9" s="47" t="n"/>
    </row>
    <row r="10" ht="21.75" customHeight="1" s="38">
      <c r="A10" s="48" t="inlineStr">
        <is>
          <t>敌人</t>
        </is>
      </c>
      <c r="B10" s="48">
        <f>COUNTIF('资产主表'!$C$6:$C$20,A10)</f>
        <v/>
      </c>
      <c r="C10" s="48">
        <f>SUMPRODUCT(('资产主表'!$C$6:$C$20=A10)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0" s="48" t="n"/>
      <c r="E10" s="48" t="n"/>
      <c r="F10" s="48" t="n"/>
      <c r="G10" s="48" t="n"/>
      <c r="H10" s="48" t="n"/>
      <c r="I10" s="48" t="n"/>
      <c r="J10" s="48" t="n"/>
    </row>
    <row r="11" ht="15" customHeight="1" s="38">
      <c r="A11" s="44" t="inlineStr">
        <is>
          <t>合计</t>
        </is>
      </c>
      <c r="B11" s="44">
        <f>COUNTIF('资产主表'!$C$6:$C$20,A11)</f>
        <v/>
      </c>
      <c r="C11" s="44">
        <f>SUMPRODUCT(('资产主表'!$C$6:$C$20=A11)*(('资产主表'!$K$6:$K$20="已完成")+('资产主表'!$K$6:$K$20="原型已接入")+('资产主表'!$K$6:$K$20="正式美术已接入")+('资产主表'!$K$6:$K$20="已优化并正式接入")+('资产主表'!$K$6:$K$20="Blender源已完成")+('资产主表'!$K$6:$K$20="已导入；优化完成")+('资产主表'!$K$6:$K$20="白模源已完成；QA PASS")))</f>
        <v/>
      </c>
      <c r="D11" s="44" t="n"/>
      <c r="E11" s="44" t="n"/>
      <c r="F11" s="44" t="n"/>
      <c r="G11" s="44" t="n"/>
      <c r="H11" s="44" t="n"/>
      <c r="I11" s="44" t="n"/>
      <c r="J11" s="44" t="n"/>
    </row>
    <row r="12" ht="15" customHeight="1" s="38">
      <c r="A12" s="49" t="n"/>
      <c r="B12" s="49" t="n"/>
      <c r="C12" s="49" t="n"/>
      <c r="D12" s="41" t="n"/>
      <c r="E12" s="50" t="n"/>
      <c r="F12" s="49" t="n"/>
      <c r="G12" s="49" t="n"/>
      <c r="H12" s="41" t="n"/>
      <c r="I12" s="41" t="n"/>
      <c r="J12" s="41" t="n"/>
    </row>
    <row r="13" ht="15" customHeight="1" s="38">
      <c r="A13" s="51" t="inlineStr">
        <is>
          <t>域内 3D Prefab 分页统计（快照口径与本账本分页一致；权威清单在各分页表）</t>
        </is>
      </c>
      <c r="B13" s="52" t="n"/>
      <c r="C13" s="52" t="n"/>
      <c r="D13" s="52" t="n"/>
      <c r="E13" s="52" t="n"/>
      <c r="F13" s="52" t="n"/>
      <c r="G13" s="52" t="n"/>
      <c r="H13" s="52" t="n"/>
      <c r="I13" s="52" t="n"/>
      <c r="J13" s="53" t="n"/>
    </row>
    <row r="14" ht="39.55" customHeight="1" s="38">
      <c r="A14" s="42" t="inlineStr">
        <is>
          <t>分页</t>
        </is>
      </c>
      <c r="B14" s="54" t="inlineStr">
        <is>
          <t>Prefab 数</t>
        </is>
      </c>
      <c r="C14" s="42" t="inlineStr">
        <is>
          <t>直接引用 GLB</t>
        </is>
      </c>
      <c r="D14" s="42" t="inlineStr">
        <is>
          <t>有功能脚本</t>
        </is>
      </c>
      <c r="E14" s="42" t="inlineStr">
        <is>
          <t>碰撞开启</t>
        </is>
      </c>
      <c r="F14" s="42" t="inlineStr">
        <is>
          <t>说明</t>
        </is>
      </c>
      <c r="G14" s="49" t="n"/>
      <c r="H14" s="41" t="n"/>
      <c r="I14" s="41" t="n"/>
      <c r="J14" s="41" t="n"/>
    </row>
    <row r="15" ht="15" customHeight="1" s="38">
      <c r="A15" s="55" t="inlineStr">
        <is>
          <t>3D-敌人</t>
        </is>
      </c>
      <c r="B15" s="48">
        <f>COUNTA('3D-敌人'!$A$5:$A$204)</f>
        <v/>
      </c>
      <c r="C15" s="48">
        <f>COUNTIF('3D-敌人'!$D$5:$D$204,"&lt;&gt;")</f>
        <v/>
      </c>
      <c r="D15" s="48">
        <f>COUNTIF('3D-敌人'!$G$5:$G$204,"&lt;&gt;")</f>
        <v/>
      </c>
      <c r="E15" s="48">
        <f>COUNTIF('3D-敌人'!$H$5:$H$204,"开")</f>
        <v/>
      </c>
      <c r="F15" s="48" t="inlineStr">
        <is>
          <t>一行 = 一个实际存在的 Godot PackedScene</t>
        </is>
      </c>
      <c r="G15" s="48" t="n"/>
      <c r="H15" s="48" t="n"/>
      <c r="I15" s="48" t="n"/>
      <c r="J15" s="48" t="n"/>
    </row>
    <row r="16" ht="15" customHeight="1" s="38">
      <c r="A16" s="44" t="inlineStr">
        <is>
          <t>合计</t>
        </is>
      </c>
      <c r="B16" s="44">
        <f>SUM(B15)</f>
        <v/>
      </c>
      <c r="C16" s="44">
        <f>SUM(C15)</f>
        <v/>
      </c>
      <c r="D16" s="44">
        <f>SUM(D15)</f>
        <v/>
      </c>
      <c r="E16" s="44">
        <f>SUM(E15)</f>
        <v/>
      </c>
      <c r="F16" s="44" t="n"/>
      <c r="G16" s="44" t="n"/>
      <c r="H16" s="44" t="n"/>
      <c r="I16" s="44" t="n"/>
      <c r="J16" s="44" t="n"/>
    </row>
    <row r="17" ht="15" customHeight="1" s="38">
      <c r="A17" s="49" t="n"/>
      <c r="B17" s="49" t="n"/>
      <c r="C17" s="49" t="n"/>
      <c r="D17" s="41" t="n"/>
      <c r="E17" s="41" t="n"/>
      <c r="F17" s="41" t="n"/>
      <c r="G17" s="41" t="n"/>
      <c r="H17" s="41" t="n"/>
      <c r="I17" s="41" t="n"/>
      <c r="J17" s="41" t="n"/>
    </row>
    <row r="18" ht="15" customHeight="1" s="38">
      <c r="A18" s="49" t="n"/>
      <c r="B18" s="49" t="n"/>
      <c r="C18" s="49" t="n"/>
      <c r="D18" s="41" t="n"/>
      <c r="E18" s="41" t="n"/>
      <c r="F18" s="41" t="n"/>
      <c r="G18" s="41" t="n"/>
      <c r="H18" s="41" t="n"/>
      <c r="I18" s="41" t="n"/>
      <c r="J18" s="41" t="n"/>
    </row>
    <row r="19" ht="15" customHeight="1" s="38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</row>
    <row r="20" ht="15" customHeight="1" s="38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</row>
  </sheetData>
  <mergeCells count="5">
    <mergeCell ref="A1:J2"/>
    <mergeCell ref="I6:J6"/>
    <mergeCell ref="A3:J3"/>
    <mergeCell ref="E9:J9"/>
    <mergeCell ref="A13:J1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6.26" customWidth="1" style="37" min="1" max="1"/>
    <col width="74" customWidth="1" style="37" min="2" max="2"/>
    <col width="40.58" customWidth="1" style="37" min="3" max="3"/>
    <col width="28.65" customWidth="1" style="37" min="4" max="6"/>
  </cols>
  <sheetData>
    <row r="1" ht="15" customHeight="1" s="38">
      <c r="A1" s="56" t="inlineStr">
        <is>
          <t>本账本说明 · 敌人</t>
        </is>
      </c>
    </row>
    <row r="2" ht="15" customHeight="1" s="38"/>
    <row r="3" ht="15" customHeight="1" s="38">
      <c r="A3" s="40" t="inlineStr">
        <is>
          <t>本表是分账本自描述；机器可读真源为 assets/registry/ledger_index.json，二者不一致时以 JSON 为准</t>
        </is>
      </c>
    </row>
    <row r="5" ht="15" customHeight="1" s="38">
      <c r="A5" s="44" t="inlineStr">
        <is>
          <t>项</t>
        </is>
      </c>
      <c r="B5" s="44" t="inlineStr">
        <is>
          <t>值</t>
        </is>
      </c>
      <c r="C5" s="44" t="n"/>
      <c r="D5" s="44" t="n"/>
      <c r="E5" s="44" t="n"/>
      <c r="F5" s="44" t="n"/>
    </row>
    <row r="6" ht="30" customHeight="1" s="38">
      <c r="A6" s="48" t="inlineStr">
        <is>
          <t>账本归属域</t>
        </is>
      </c>
      <c r="B6" s="48" t="inlineStr">
        <is>
          <t>敌人</t>
        </is>
      </c>
      <c r="C6" s="48" t="n"/>
      <c r="D6" s="48" t="n"/>
      <c r="E6" s="48" t="n"/>
      <c r="F6" s="48" t="n"/>
    </row>
    <row r="7" ht="30" customHeight="1" s="38">
      <c r="A7" s="48" t="inlineStr">
        <is>
          <t>分账本文件</t>
        </is>
      </c>
      <c r="B7" s="55" t="inlineStr">
        <is>
          <t>assets/registry/ledgers/ShellStorm2_敌人账本_v001.xlsx</t>
        </is>
      </c>
      <c r="C7" s="48" t="n"/>
      <c r="D7" s="48" t="n"/>
      <c r="E7" s="48" t="n"/>
      <c r="F7" s="48" t="n"/>
    </row>
    <row r="8" ht="30" customHeight="1" s="38">
      <c r="A8" s="48" t="inlineStr">
        <is>
          <t>覆盖大类</t>
        </is>
      </c>
      <c r="B8" s="48" t="inlineStr">
        <is>
          <t>敌人</t>
        </is>
      </c>
      <c r="C8" s="48" t="n"/>
      <c r="D8" s="48" t="n"/>
      <c r="E8" s="48" t="n"/>
      <c r="F8" s="48" t="n"/>
    </row>
    <row r="9" ht="30" customHeight="1" s="38">
      <c r="A9" s="55" t="inlineStr">
        <is>
          <t>AssetID 前缀</t>
        </is>
      </c>
      <c r="B9" s="55" t="inlineStr">
        <is>
          <t>ENM</t>
        </is>
      </c>
      <c r="C9" s="48" t="n"/>
      <c r="D9" s="48" t="n"/>
      <c r="E9" s="48" t="n"/>
      <c r="F9" s="48" t="n"/>
    </row>
    <row r="10" ht="30" customHeight="1" s="38">
      <c r="A10" s="48" t="inlineStr">
        <is>
          <t>域内专表</t>
        </is>
      </c>
      <c r="B10" s="48" t="inlineStr">
        <is>
          <t>敌人动画与状态 / 3D-敌人</t>
        </is>
      </c>
      <c r="C10" s="48" t="n"/>
      <c r="D10" s="48" t="n"/>
      <c r="E10" s="48" t="n"/>
      <c r="F10" s="48" t="n"/>
    </row>
    <row r="11" ht="30" customHeight="1" s="38">
      <c r="A11" s="55" t="inlineStr">
        <is>
          <t>3D Prefab 分页</t>
        </is>
      </c>
      <c r="B11" s="55" t="inlineStr">
        <is>
          <t>3D-敌人</t>
        </is>
      </c>
      <c r="C11" s="48" t="n"/>
      <c r="D11" s="48" t="n"/>
      <c r="E11" s="48" t="n"/>
      <c r="F11" s="48" t="n"/>
    </row>
    <row r="12" ht="30" customHeight="1" s="38">
      <c r="A12" s="48" t="inlineStr">
        <is>
          <t>动画登记表</t>
        </is>
      </c>
      <c r="B12" s="48" t="inlineStr">
        <is>
          <t>敌人动画与状态</t>
        </is>
      </c>
      <c r="C12" s="48" t="n"/>
      <c r="D12" s="48" t="n"/>
      <c r="E12" s="48" t="n"/>
      <c r="F12" s="48" t="n"/>
    </row>
    <row r="13" ht="30" customHeight="1" s="38">
      <c r="A13" s="48" t="inlineStr">
        <is>
          <t>主账本（总目录）</t>
        </is>
      </c>
      <c r="B13" s="55" t="inlineStr">
        <is>
          <t>assets/registry/ShellStorm2_美术资产台账_v001.xlsx</t>
        </is>
      </c>
      <c r="C13" s="48" t="n"/>
      <c r="D13" s="48" t="n"/>
      <c r="E13" s="48" t="n"/>
      <c r="F13" s="48" t="n"/>
    </row>
    <row r="14" ht="30" customHeight="1" s="38">
      <c r="A14" s="48" t="inlineStr">
        <is>
          <t>跨域契约</t>
        </is>
      </c>
      <c r="B14" s="48" t="inlineStr">
        <is>
          <t>分类与编码 / 命名与查重 / 版本记录 / Skill 清单 / 3D Prefab 总控 —— 全部只在主账本维护</t>
        </is>
      </c>
      <c r="C14" s="48" t="n"/>
      <c r="D14" s="48" t="n"/>
      <c r="E14" s="48" t="n"/>
      <c r="F14" s="48" t="n"/>
    </row>
    <row r="15" ht="30" customHeight="1" s="38">
      <c r="A15" s="48" t="inlineStr">
        <is>
          <t>首选制作 Skill</t>
        </is>
      </c>
      <c r="B15" s="55" t="inlineStr">
        <is>
          <t>game-character-model-pipeline</t>
        </is>
      </c>
      <c r="C15" s="48" t="n"/>
      <c r="D15" s="48" t="n"/>
      <c r="E15" s="48" t="n"/>
      <c r="F15" s="48" t="n"/>
    </row>
    <row r="16" ht="30" customHeight="1" s="38">
      <c r="A16" s="48" t="inlineStr">
        <is>
          <t>协作 Skill</t>
        </is>
      </c>
      <c r="B16" s="48" t="inlineStr">
        <is>
          <t>无</t>
        </is>
      </c>
      <c r="C16" s="48" t="n"/>
      <c r="D16" s="48" t="n"/>
      <c r="E16" s="48" t="n"/>
      <c r="F16" s="48" t="n"/>
    </row>
    <row r="17" ht="30" customHeight="1" s="38">
      <c r="A17" s="48" t="inlineStr">
        <is>
          <t>负责人</t>
        </is>
      </c>
      <c r="B17" s="48" t="inlineStr">
        <is>
          <t>待分配</t>
        </is>
      </c>
      <c r="C17" s="48" t="n"/>
      <c r="D17" s="48" t="n"/>
      <c r="E17" s="48" t="n"/>
      <c r="F17" s="48" t="n"/>
    </row>
    <row r="18" ht="30" customHeight="1" s="38">
      <c r="A18" s="48" t="inlineStr">
        <is>
          <t>登记范围</t>
        </is>
      </c>
      <c r="B18" s="48" t="inlineStr">
        <is>
          <t>普通怪七类原型、12只精英与Boss的独立表现包、共用生态根，以及怪物动作/状态清单。动画随怪物同账本。</t>
        </is>
      </c>
      <c r="C18" s="48" t="n"/>
      <c r="D18" s="48" t="n"/>
      <c r="E18" s="48" t="n"/>
      <c r="F18" s="48" t="n"/>
    </row>
    <row r="19" ht="30" customHeight="1" s="38">
      <c r="A19" s="48" t="inlineStr">
        <is>
          <t>编辑边界</t>
        </is>
      </c>
      <c r="B19" s="48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48" t="n"/>
      <c r="D19" s="48" t="n"/>
      <c r="E19" s="48" t="n"/>
      <c r="F19" s="48" t="n"/>
    </row>
    <row r="20" ht="30" customHeight="1" s="38">
      <c r="A20" s="48" t="inlineStr">
        <is>
          <t>登记口径</t>
        </is>
      </c>
      <c r="B20" s="48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48" t="n"/>
      <c r="D20" s="48" t="n"/>
      <c r="E20" s="48" t="n"/>
      <c r="F20" s="48" t="n"/>
    </row>
    <row r="21" ht="30" customHeight="1" s="38">
      <c r="A21" s="48" t="inlineStr">
        <is>
          <t>门禁</t>
        </is>
      </c>
      <c r="B21" s="55" t="inlineStr">
        <is>
          <t>python3 scripts/check_asset_registry.py --scope structure（需 venv python + openpyxl，且在 /tmp 下跑）</t>
        </is>
      </c>
      <c r="C21" s="48" t="n"/>
      <c r="D21" s="48" t="n"/>
      <c r="E21" s="48" t="n"/>
      <c r="F21" s="48" t="n"/>
    </row>
    <row r="22" ht="30" customHeight="1" s="38">
      <c r="A22" s="48" t="inlineStr">
        <is>
          <t>无损基线</t>
        </is>
      </c>
      <c r="B22" s="55" t="inlineStr">
        <is>
          <t>assets/registry/ledger_split_baseline.json；python3 tools/asset_pipeline/verify_ledger_split.py 断言并集与拆分前逐格一致</t>
        </is>
      </c>
      <c r="C22" s="48" t="n"/>
      <c r="D22" s="48" t="n"/>
      <c r="E22" s="48" t="n"/>
      <c r="F22" s="48" t="n"/>
    </row>
    <row r="23" ht="30" customHeight="1" s="38">
      <c r="A23" s="48" t="inlineStr">
        <is>
          <t>快照日期</t>
        </is>
      </c>
      <c r="B23" s="55" t="inlineStr">
        <is>
          <t>2026-09-18</t>
        </is>
      </c>
      <c r="C23" s="48" t="n"/>
      <c r="D23" s="48" t="n"/>
      <c r="E23" s="48" t="n"/>
      <c r="F23" s="48" t="n"/>
    </row>
  </sheetData>
  <mergeCells count="2">
    <mergeCell ref="A3:F3"/>
    <mergeCell ref="A1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9.84" customWidth="1" style="37" min="1" max="1"/>
    <col width="21.48" customWidth="1" style="37" min="2" max="2"/>
    <col width="11.94" customWidth="1" style="37" min="3" max="3"/>
    <col width="21.48" customWidth="1" style="37" min="4" max="4"/>
    <col width="26.26" customWidth="1" style="37" min="5" max="5"/>
    <col width="14.33" customWidth="1" style="37" min="6" max="6"/>
    <col width="29.84" customWidth="1" style="37" min="7" max="7"/>
    <col width="22.68" customWidth="1" style="37" min="8" max="8"/>
    <col width="17.9" customWidth="1" style="37" min="9" max="9"/>
    <col width="21.48" customWidth="1" style="37" min="10" max="10"/>
    <col width="14.33" customWidth="1" style="37" min="11" max="11"/>
    <col width="9.550000000000001" customWidth="1" style="37" min="12" max="12"/>
    <col width="10.74" customWidth="1" style="37" min="13" max="13"/>
    <col width="19.1" customWidth="1" style="37" min="14" max="14"/>
    <col width="42.97" customWidth="1" style="37" min="15" max="15"/>
    <col width="40.58" customWidth="1" style="37" min="16" max="16"/>
    <col width="31.03" customWidth="1" style="37" min="17" max="17"/>
    <col width="50.13" customWidth="1" style="37" min="18" max="18"/>
    <col width="14.33" customWidth="1" style="37" min="19" max="19"/>
    <col width="35.81" customWidth="1" style="37" min="20" max="20"/>
    <col width="14.33" customWidth="1" style="37" min="21" max="21"/>
    <col width="15.51" customWidth="1" style="37" min="22" max="22"/>
    <col width="19.1" customWidth="1" style="37" min="23" max="23"/>
    <col width="62.06" customWidth="1" style="37" min="24" max="24"/>
  </cols>
  <sheetData>
    <row r="1" ht="24.75" customHeight="1" s="38">
      <c r="A1" s="56" t="inlineStr">
        <is>
          <t>资产主表 · 唯一登记源</t>
        </is>
      </c>
    </row>
    <row r="2" ht="12" customHeight="1" s="38"/>
    <row r="3" ht="22.5" customHeight="1" s="38">
      <c r="A3" s="40" t="inlineStr">
        <is>
          <t>查重键由公式生成；S 列出现“重复”时禁止制作，先合并或建立变体父子关系</t>
        </is>
      </c>
    </row>
    <row r="4" ht="15" customHeight="1" s="38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Y4" s="41" t="n"/>
    </row>
    <row r="5" ht="31.5" customHeight="1" s="38">
      <c r="A5" s="57" t="inlineStr">
        <is>
          <t>AssetID</t>
        </is>
      </c>
      <c r="B5" s="58" t="inlineStr">
        <is>
          <t>中文名</t>
        </is>
      </c>
      <c r="C5" s="58" t="inlineStr">
        <is>
          <t>大类</t>
        </is>
      </c>
      <c r="D5" s="58" t="inlineStr">
        <is>
          <t>子类</t>
        </is>
      </c>
      <c r="E5" s="58" t="inlineStr">
        <is>
          <t>逻辑ID/源键</t>
        </is>
      </c>
      <c r="F5" s="58" t="inlineStr">
        <is>
          <t>组件槽</t>
        </is>
      </c>
      <c r="G5" s="58" t="inlineStr">
        <is>
          <t>变体父ID</t>
        </is>
      </c>
      <c r="H5" s="58" t="inlineStr">
        <is>
          <t>视角</t>
        </is>
      </c>
      <c r="I5" s="58" t="inlineStr">
        <is>
          <t>状态/动画</t>
        </is>
      </c>
      <c r="J5" s="58" t="inlineStr">
        <is>
          <t>复用范围</t>
        </is>
      </c>
      <c r="K5" s="58" t="inlineStr">
        <is>
          <t>制作状态</t>
        </is>
      </c>
      <c r="L5" s="58" t="inlineStr">
        <is>
          <t>优先级</t>
        </is>
      </c>
      <c r="M5" s="58" t="inlineStr">
        <is>
          <t>版本</t>
        </is>
      </c>
      <c r="N5" s="58" t="inlineStr">
        <is>
          <t>规格(px)</t>
        </is>
      </c>
      <c r="O5" s="58" t="inlineStr">
        <is>
          <t>文件路径</t>
        </is>
      </c>
      <c r="P5" s="58" t="inlineStr">
        <is>
          <t>源码/策划依据</t>
        </is>
      </c>
      <c r="Q5" s="58" t="inlineStr">
        <is>
          <t>关键词/别名</t>
        </is>
      </c>
      <c r="R5" s="58" t="inlineStr">
        <is>
          <t>查重键</t>
        </is>
      </c>
      <c r="S5" s="58" t="inlineStr">
        <is>
          <t>查重结果</t>
        </is>
      </c>
      <c r="T5" s="59" t="inlineStr">
        <is>
          <t>SHA-256</t>
        </is>
      </c>
      <c r="U5" s="58" t="inlineStr">
        <is>
          <t>负责人</t>
        </is>
      </c>
      <c r="V5" s="58" t="inlineStr">
        <is>
          <t>更新时间</t>
        </is>
      </c>
      <c r="W5" s="58" t="inlineStr">
        <is>
          <t>来源/许可</t>
        </is>
      </c>
      <c r="X5" s="60" t="inlineStr">
        <is>
          <t>源编号（Blender collection）</t>
        </is>
      </c>
      <c r="Y5" s="61" t="inlineStr">
        <is>
          <t>备注</t>
        </is>
      </c>
    </row>
    <row r="6" ht="516.4" customHeight="1" s="38">
      <c r="A6" s="62" t="inlineStr">
        <is>
          <t>ENM-MELEE-FUNGBOAR01</t>
        </is>
      </c>
      <c r="B6" s="49" t="inlineStr">
        <is>
          <t>小僵尸</t>
        </is>
      </c>
      <c r="C6" s="49" t="inlineStr">
        <is>
          <t>敌人</t>
        </is>
      </c>
      <c r="D6" s="62" t="inlineStr">
        <is>
          <t>normal_melee</t>
        </is>
      </c>
      <c r="E6" s="62" t="inlineStr">
        <is>
          <t>melee_chaser</t>
        </is>
      </c>
      <c r="F6" s="62" t="inlineStr">
        <is>
          <t>root_3d</t>
        </is>
      </c>
      <c r="G6" s="62" t="inlineStr">
        <is>
          <t>ENM-ECOSYSTEM-KIT-3D</t>
        </is>
      </c>
      <c r="H6" s="62" t="inlineStr">
        <is>
          <t>Top3D / local -Z 正面</t>
        </is>
      </c>
      <c r="I6" s="62" t="inlineStr">
        <is>
          <t>default / chase</t>
        </is>
      </c>
      <c r="J6" s="49" t="inlineStr">
        <is>
          <t>全部战斗关卡普通怪池</t>
        </is>
      </c>
      <c r="K6" s="49" t="inlineStr">
        <is>
          <t>已完成</t>
        </is>
      </c>
      <c r="L6" s="62" t="inlineStr">
        <is>
          <t>P0</t>
        </is>
      </c>
      <c r="M6" s="62" t="inlineStr">
        <is>
          <t>v003</t>
        </is>
      </c>
      <c r="N6" s="62" t="inlineStr">
        <is>
          <t>1.2819×0.9535×1.8571m；1 Mesh；1 材质；36 骨；6 剪辑</t>
        </is>
      </c>
      <c r="O6" s="62" t="inlineStr">
        <is>
          <t>assets/art/enemies/normal_enemy_3d/melee_chaser/runtime/enm_melee_fungboar01_root_top3d.tscn</t>
        </is>
      </c>
      <c r="P6" s="62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Q6" s="49" t="inlineStr">
        <is>
          <t>近战追击; chaser; 小僵尸; 小菌猪（旧登记名）; 普通怪标准样板; ENM-MELEE-FUNGBOAR01</t>
        </is>
      </c>
      <c r="R6" s="49">
        <f>LOWER(TRIM(C6)&amp;"|"&amp;TRIM(D6)&amp;"|"&amp;TRIM(E6)&amp;"|"&amp;TRIM(F6)&amp;"|"&amp;TRIM(H6)&amp;"|"&amp;TRIM(I6))</f>
        <v/>
      </c>
      <c r="S6" s="49">
        <f>IF(COUNTIF($R$6:$R$20,R6)&gt;1,"重复","唯一")</f>
        <v/>
      </c>
      <c r="T6" s="62" t="inlineStr">
        <is>
          <t>04167459feffd18fa2dfd581ff8def82f58377e13909093a1b599c75080732f0</t>
        </is>
      </c>
      <c r="U6" s="62" t="inlineStr">
        <is>
          <t>Codex</t>
        </is>
      </c>
      <c r="V6" s="63" t="n">
        <v>46285</v>
      </c>
      <c r="W6" s="62" t="inlineStr">
        <is>
          <t>AI 生成（Tripo）+ Blender 重制</t>
        </is>
      </c>
      <c r="X6" s="64" t="inlineStr">
        <is>
          <t>—</t>
        </is>
      </c>
      <c r="Y6" s="62" t="inlineStr">
        <is>
          <t>GLB 仅表现；runtime PackedScene 无碰撞，Enemy3D 继续持有 CylinderShape3D、AI、生命、伤害与掉落。EnemyAvatar3D 以 FORMAL_MELEE_KIND 常量分支自动挂载，普通怪没有 configure_*_content() 函数。
2026-09-20 首个标准普通怪转正：Tripo 源 → Blender 重制（模型 v002 / 动作 v003），六段剪辑按 12 态采样，verify_melee_zombie_presentation 通过。
显示名迁移：小菌猪 → 小僵尸（Enemy3D.configure_from_enemy_data 精确迁移旧存档尾名）；AssetID 与逻辑 ID 不变。
未闭合：碰撞 FOOTPRINT_PROFILES(radius 1.02/height 1.30) 仍为旧程序网格口径，按新几何应为 0.641/1.857，属玩法数值待拍板；贴图仅 basecolor，无法线贴图。</t>
        </is>
      </c>
    </row>
    <row r="7" ht="132.8" customHeight="1" s="38">
      <c r="A7" s="62" t="inlineStr">
        <is>
          <t>ENM-RANGED-SPORESHOOTER01</t>
        </is>
      </c>
      <c r="B7" s="49" t="inlineStr">
        <is>
          <t>保安僵尸</t>
        </is>
      </c>
      <c r="C7" s="49" t="inlineStr">
        <is>
          <t>敌人</t>
        </is>
      </c>
      <c r="D7" s="62" t="inlineStr">
        <is>
          <t>normal_ranged</t>
        </is>
      </c>
      <c r="E7" s="62" t="inlineStr">
        <is>
          <t>ranged_caster</t>
        </is>
      </c>
      <c r="F7" s="62" t="inlineStr">
        <is>
          <t>root_3d</t>
        </is>
      </c>
      <c r="G7" s="62" t="inlineStr">
        <is>
          <t>ENM-ECOSYSTEM-KIT-3D</t>
        </is>
      </c>
      <c r="H7" s="62" t="inlineStr">
        <is>
          <t>Top3D / local -Z 正面</t>
        </is>
      </c>
      <c r="I7" s="62" t="inlineStr">
        <is>
          <t>default / chase / shoot</t>
        </is>
      </c>
      <c r="J7" s="49" t="inlineStr">
        <is>
          <t>全部战斗关卡远程怪池</t>
        </is>
      </c>
      <c r="K7" s="49" t="inlineStr">
        <is>
          <t>已完成</t>
        </is>
      </c>
      <c r="L7" s="62" t="inlineStr">
        <is>
          <t>P0</t>
        </is>
      </c>
      <c r="M7" s="62" t="inlineStr">
        <is>
          <t>v002</t>
        </is>
      </c>
      <c r="N7" s="62" t="inlineStr">
        <is>
          <t>1.2819×0.9535×1.8571m；1 Mesh；1 材质；36 骨；10 剪辑</t>
        </is>
      </c>
      <c r="O7" s="62" t="inlineStr">
        <is>
          <t>assets/art/enemies/normal_enemy_3d/ranged_caster/runtime/enm_ranged_sporeshooter01_root_top3d.tscn</t>
        </is>
      </c>
      <c r="P7" s="62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Q7" s="49" t="inlineStr">
        <is>
          <t>远程射击; ranged; 保安僵尸; 孢子射手（旧程序名）; 单手持枪; ENM-RANGED-SPORESHOOTER01</t>
        </is>
      </c>
      <c r="R7" s="49">
        <f>LOWER(TRIM(C7)&amp;"|"&amp;TRIM(D7)&amp;"|"&amp;TRIM(E7)&amp;"|"&amp;TRIM(F7)&amp;"|"&amp;TRIM(H7)&amp;"|"&amp;TRIM(I7))</f>
        <v/>
      </c>
      <c r="S7" s="49">
        <f>IF(COUNTIF($R$6:$R$20,R7)&gt;1,"重复","唯一")</f>
        <v/>
      </c>
      <c r="T7" s="62" t="inlineStr">
        <is>
          <t>6ef48eb029670062dde23f413badea4a39cd27635f0365aa8bc1e2c9998173d4</t>
        </is>
      </c>
      <c r="U7" s="62" t="inlineStr">
        <is>
          <t>Codex</t>
        </is>
      </c>
      <c r="V7" s="63" t="n">
        <v>46286</v>
      </c>
      <c r="W7" s="49" t="inlineStr">
        <is>
          <t>桌面 FBX + Blender 共享小僵尸骨架重制</t>
        </is>
      </c>
      <c r="X7" s="64" t="inlineStr">
        <is>
          <t>—</t>
        </is>
      </c>
      <c r="Y7" s="62" t="inlineStr">
        <is>
          <t>GLB 仅表现；runtime PackedScene 无碰撞；Enemy3D 继续持有 ranged_caster 的 AI、三弹散布、生命、伤害与掉落。枪为双管炮视觉附件，挂 L_Hand，不接玩家武器逻辑。</t>
        </is>
      </c>
    </row>
    <row r="8" ht="20.85" customHeight="1" s="38">
      <c r="A8" s="62" t="inlineStr">
        <is>
          <t>ENM-SUMMON-HIVE01</t>
        </is>
      </c>
      <c r="B8" s="49" t="inlineStr">
        <is>
          <t>蜂巢怪</t>
        </is>
      </c>
      <c r="C8" s="49" t="inlineStr">
        <is>
          <t>敌人</t>
        </is>
      </c>
      <c r="D8" s="62" t="inlineStr">
        <is>
          <t>normal_summoner</t>
        </is>
      </c>
      <c r="E8" s="62" t="inlineStr">
        <is>
          <t>summoner</t>
        </is>
      </c>
      <c r="F8" s="62" t="inlineStr">
        <is>
          <t>root</t>
        </is>
      </c>
      <c r="G8" s="49" t="n"/>
      <c r="H8" s="49" t="inlineStr">
        <is>
          <t>侧面朝右（可水平翻转）</t>
        </is>
      </c>
      <c r="I8" s="62" t="inlineStr">
        <is>
          <t>default</t>
        </is>
      </c>
      <c r="J8" s="49" t="inlineStr">
        <is>
          <t>单资产</t>
        </is>
      </c>
      <c r="K8" s="49" t="inlineStr">
        <is>
          <t>程序占位</t>
        </is>
      </c>
      <c r="L8" s="62" t="inlineStr">
        <is>
          <t>P0</t>
        </is>
      </c>
      <c r="M8" s="62" t="inlineStr">
        <is>
          <t>v001</t>
        </is>
      </c>
      <c r="N8" s="49" t="inlineStr">
        <is>
          <t>待定</t>
        </is>
      </c>
      <c r="O8" s="49" t="n"/>
      <c r="P8" s="62" t="inlineStr">
        <is>
          <t>src/enemy/EnemyTypes.gd</t>
        </is>
      </c>
      <c r="Q8" s="49" t="inlineStr">
        <is>
          <t>召唤型; hive</t>
        </is>
      </c>
      <c r="R8" s="49">
        <f>LOWER(TRIM(C8)&amp;"|"&amp;TRIM(D8)&amp;"|"&amp;TRIM(E8)&amp;"|"&amp;TRIM(F8)&amp;"|"&amp;TRIM(H8)&amp;"|"&amp;TRIM(I8))</f>
        <v/>
      </c>
      <c r="S8" s="49">
        <f>IF(COUNTIF($R$6:$R$20,R8)&gt;1,"重复","唯一")</f>
        <v/>
      </c>
      <c r="T8" s="49" t="n"/>
      <c r="U8" s="49" t="inlineStr">
        <is>
          <t>待分配</t>
        </is>
      </c>
      <c r="V8" s="63" t="n">
        <v>46224</v>
      </c>
      <c r="W8" s="49" t="inlineStr">
        <is>
          <t>原创/待确认</t>
        </is>
      </c>
      <c r="X8" s="64" t="inlineStr">
        <is>
          <t>—</t>
        </is>
      </c>
      <c r="Y8" s="49" t="n"/>
    </row>
    <row r="9" ht="15" customHeight="1" s="38">
      <c r="A9" s="62" t="inlineStr">
        <is>
          <t>ENM-TANK-SHELLGUARD01</t>
        </is>
      </c>
      <c r="B9" s="49" t="inlineStr">
        <is>
          <t>壳甲卫兵</t>
        </is>
      </c>
      <c r="C9" s="49" t="inlineStr">
        <is>
          <t>敌人</t>
        </is>
      </c>
      <c r="D9" s="62" t="inlineStr">
        <is>
          <t>normal_tank</t>
        </is>
      </c>
      <c r="E9" s="62" t="inlineStr">
        <is>
          <t>shielded</t>
        </is>
      </c>
      <c r="F9" s="62" t="inlineStr">
        <is>
          <t>root</t>
        </is>
      </c>
      <c r="G9" s="49" t="n"/>
      <c r="H9" s="49" t="inlineStr">
        <is>
          <t>侧面朝右（可水平翻转）</t>
        </is>
      </c>
      <c r="I9" s="62" t="inlineStr">
        <is>
          <t>default</t>
        </is>
      </c>
      <c r="J9" s="49" t="inlineStr">
        <is>
          <t>单资产</t>
        </is>
      </c>
      <c r="K9" s="49" t="inlineStr">
        <is>
          <t>弃用</t>
        </is>
      </c>
      <c r="L9" s="62" t="inlineStr">
        <is>
          <t>P0</t>
        </is>
      </c>
      <c r="M9" s="62" t="inlineStr">
        <is>
          <t>v001</t>
        </is>
      </c>
      <c r="N9" s="49" t="inlineStr">
        <is>
          <t>待定</t>
        </is>
      </c>
      <c r="O9" s="49" t="n"/>
      <c r="P9" s="62" t="inlineStr">
        <is>
          <t>src/enemy/EnemyTypes.gd</t>
        </is>
      </c>
      <c r="Q9" s="49" t="inlineStr">
        <is>
          <t>护盾型; tank</t>
        </is>
      </c>
      <c r="R9" s="49">
        <f>LOWER(TRIM(C9)&amp;"|"&amp;TRIM(D9)&amp;"|"&amp;TRIM(E9)&amp;"|"&amp;TRIM(F9)&amp;"|"&amp;TRIM(H9)&amp;"|"&amp;TRIM(I9))</f>
        <v/>
      </c>
      <c r="S9" s="49">
        <f>IF(COUNTIF($R$6:$R$20,R9)&gt;1,"重复","唯一")</f>
        <v/>
      </c>
      <c r="T9" s="49" t="n"/>
      <c r="U9" s="49" t="inlineStr">
        <is>
          <t>待分配</t>
        </is>
      </c>
      <c r="V9" s="63" t="n">
        <v>46298</v>
      </c>
      <c r="W9" s="49" t="inlineStr">
        <is>
          <t>原创/待确认</t>
        </is>
      </c>
      <c r="X9" s="64" t="inlineStr">
        <is>
          <t>—</t>
        </is>
      </c>
      <c r="Y9" s="49" t="inlineStr">
        <is>
          <t>2026-10-03用户要求退役；现行盒/随机池/主题池由ENM-NORMAL-FAT-ZOMBIE03接替。旧ID、源与存档兼容保留；不再新投放。</t>
        </is>
      </c>
    </row>
    <row r="10" ht="15" customHeight="1" s="38">
      <c r="A10" s="62" t="inlineStr">
        <is>
          <t>ENM-BOMBER-FRUIT01</t>
        </is>
      </c>
      <c r="B10" s="49" t="inlineStr">
        <is>
          <t>炸弹果</t>
        </is>
      </c>
      <c r="C10" s="49" t="inlineStr">
        <is>
          <t>敌人</t>
        </is>
      </c>
      <c r="D10" s="62" t="inlineStr">
        <is>
          <t>normal_bomber</t>
        </is>
      </c>
      <c r="E10" s="62" t="inlineStr">
        <is>
          <t>exploder</t>
        </is>
      </c>
      <c r="F10" s="62" t="inlineStr">
        <is>
          <t>root</t>
        </is>
      </c>
      <c r="G10" s="49" t="n"/>
      <c r="H10" s="49" t="inlineStr">
        <is>
          <t>侧面朝右（可水平翻转）</t>
        </is>
      </c>
      <c r="I10" s="62" t="inlineStr">
        <is>
          <t>default</t>
        </is>
      </c>
      <c r="J10" s="49" t="inlineStr">
        <is>
          <t>单资产</t>
        </is>
      </c>
      <c r="K10" s="49" t="inlineStr">
        <is>
          <t>程序占位</t>
        </is>
      </c>
      <c r="L10" s="62" t="inlineStr">
        <is>
          <t>P0</t>
        </is>
      </c>
      <c r="M10" s="62" t="inlineStr">
        <is>
          <t>v001</t>
        </is>
      </c>
      <c r="N10" s="49" t="inlineStr">
        <is>
          <t>待定</t>
        </is>
      </c>
      <c r="O10" s="49" t="n"/>
      <c r="P10" s="62" t="inlineStr">
        <is>
          <t>src/enemy/EnemyTypes.gd</t>
        </is>
      </c>
      <c r="Q10" s="49" t="inlineStr">
        <is>
          <t>膨胀鼠; 自爆型; bomber</t>
        </is>
      </c>
      <c r="R10" s="49">
        <f>LOWER(TRIM(C10)&amp;"|"&amp;TRIM(D10)&amp;"|"&amp;TRIM(E10)&amp;"|"&amp;TRIM(F10)&amp;"|"&amp;TRIM(H10)&amp;"|"&amp;TRIM(I10))</f>
        <v/>
      </c>
      <c r="S10" s="49">
        <f>IF(COUNTIF($R$6:$R$20,R10)&gt;1,"重复","唯一")</f>
        <v/>
      </c>
      <c r="T10" s="49" t="n"/>
      <c r="U10" s="49" t="inlineStr">
        <is>
          <t>待分配</t>
        </is>
      </c>
      <c r="V10" s="63" t="n">
        <v>46224</v>
      </c>
      <c r="W10" s="49" t="inlineStr">
        <is>
          <t>原创/待确认</t>
        </is>
      </c>
      <c r="X10" s="64" t="inlineStr">
        <is>
          <t>—</t>
        </is>
      </c>
      <c r="Y10" s="49" t="n"/>
    </row>
    <row r="11" ht="20.85" customHeight="1" s="38">
      <c r="A11" s="62" t="inlineStr">
        <is>
          <t>ENM-TRAP-SPIKEWORM01</t>
        </is>
      </c>
      <c r="B11" s="49" t="inlineStr">
        <is>
          <t>地刺虫</t>
        </is>
      </c>
      <c r="C11" s="49" t="inlineStr">
        <is>
          <t>敌人</t>
        </is>
      </c>
      <c r="D11" s="62" t="inlineStr">
        <is>
          <t>normal_ambusher</t>
        </is>
      </c>
      <c r="E11" s="62" t="inlineStr">
        <is>
          <t>ambusher</t>
        </is>
      </c>
      <c r="F11" s="62" t="inlineStr">
        <is>
          <t>root</t>
        </is>
      </c>
      <c r="G11" s="49" t="n"/>
      <c r="H11" s="49" t="inlineStr">
        <is>
          <t>侧面朝右（可水平翻转）</t>
        </is>
      </c>
      <c r="I11" s="62" t="inlineStr">
        <is>
          <t>default</t>
        </is>
      </c>
      <c r="J11" s="49" t="inlineStr">
        <is>
          <t>单资产</t>
        </is>
      </c>
      <c r="K11" s="49" t="inlineStr">
        <is>
          <t>程序占位</t>
        </is>
      </c>
      <c r="L11" s="62" t="inlineStr">
        <is>
          <t>P0</t>
        </is>
      </c>
      <c r="M11" s="62" t="inlineStr">
        <is>
          <t>v001</t>
        </is>
      </c>
      <c r="N11" s="49" t="inlineStr">
        <is>
          <t>待定</t>
        </is>
      </c>
      <c r="O11" s="49" t="n"/>
      <c r="P11" s="62" t="inlineStr">
        <is>
          <t>src/enemy/EnemyTypes.gd</t>
        </is>
      </c>
      <c r="Q11" s="49" t="inlineStr">
        <is>
          <t>潜伏型; trapper</t>
        </is>
      </c>
      <c r="R11" s="49">
        <f>LOWER(TRIM(C11)&amp;"|"&amp;TRIM(D11)&amp;"|"&amp;TRIM(E11)&amp;"|"&amp;TRIM(F11)&amp;"|"&amp;TRIM(H11)&amp;"|"&amp;TRIM(I11))</f>
        <v/>
      </c>
      <c r="S11" s="49">
        <f>IF(COUNTIF($R$6:$R$20,R11)&gt;1,"重复","唯一")</f>
        <v/>
      </c>
      <c r="T11" s="49" t="n"/>
      <c r="U11" s="49" t="inlineStr">
        <is>
          <t>待分配</t>
        </is>
      </c>
      <c r="V11" s="63" t="n">
        <v>46224</v>
      </c>
      <c r="W11" s="49" t="inlineStr">
        <is>
          <t>原创/待确认</t>
        </is>
      </c>
      <c r="X11" s="64" t="inlineStr">
        <is>
          <t>—</t>
        </is>
      </c>
      <c r="Y11" s="49" t="n"/>
    </row>
    <row r="12" ht="32.8" customHeight="1" s="38">
      <c r="A12" s="62" t="inlineStr">
        <is>
          <t>ENM-BOSS-ABYSS01</t>
        </is>
      </c>
      <c r="B12" s="49" t="inlineStr">
        <is>
          <t>深渊 Boss</t>
        </is>
      </c>
      <c r="C12" s="49" t="inlineStr">
        <is>
          <t>敌人</t>
        </is>
      </c>
      <c r="D12" s="62" t="inlineStr">
        <is>
          <t>boss</t>
        </is>
      </c>
      <c r="E12" s="62" t="inlineStr">
        <is>
          <t>boss</t>
        </is>
      </c>
      <c r="F12" s="62" t="inlineStr">
        <is>
          <t>root</t>
        </is>
      </c>
      <c r="G12" s="49" t="n"/>
      <c r="H12" s="49" t="inlineStr">
        <is>
          <t>侧面朝右（可水平翻转）</t>
        </is>
      </c>
      <c r="I12" s="62" t="inlineStr">
        <is>
          <t>default</t>
        </is>
      </c>
      <c r="J12" s="49" t="inlineStr">
        <is>
          <t>单资产</t>
        </is>
      </c>
      <c r="K12" s="49" t="inlineStr">
        <is>
          <t>程序占位</t>
        </is>
      </c>
      <c r="L12" s="62" t="inlineStr">
        <is>
          <t>P1</t>
        </is>
      </c>
      <c r="M12" s="62" t="inlineStr">
        <is>
          <t>v001</t>
        </is>
      </c>
      <c r="N12" s="49" t="inlineStr">
        <is>
          <t>待定</t>
        </is>
      </c>
      <c r="O12" s="49" t="n"/>
      <c r="P12" s="62" t="inlineStr">
        <is>
          <t>src/enemy/BossAvatarRenderer.gd</t>
        </is>
      </c>
      <c r="Q12" s="62" t="inlineStr">
        <is>
          <t>BossActor; 三阶段</t>
        </is>
      </c>
      <c r="R12" s="49">
        <f>LOWER(TRIM(C12)&amp;"|"&amp;TRIM(D12)&amp;"|"&amp;TRIM(E12)&amp;"|"&amp;TRIM(F12)&amp;"|"&amp;TRIM(H12)&amp;"|"&amp;TRIM(I12))</f>
        <v/>
      </c>
      <c r="S12" s="49">
        <f>IF(COUNTIF($R$6:$R$20,R12)&gt;1,"重复","唯一")</f>
        <v/>
      </c>
      <c r="T12" s="49" t="n"/>
      <c r="U12" s="49" t="inlineStr">
        <is>
          <t>待分配</t>
        </is>
      </c>
      <c r="V12" s="63" t="n">
        <v>46224</v>
      </c>
      <c r="W12" s="49" t="inlineStr">
        <is>
          <t>原创/待确认</t>
        </is>
      </c>
      <c r="X12" s="64" t="inlineStr">
        <is>
          <t>—</t>
        </is>
      </c>
      <c r="Y12" s="49" t="inlineStr">
        <is>
          <t>三阶段由同一主体加部件/发光变化，不重复做整套</t>
        </is>
      </c>
    </row>
    <row r="13" ht="115.65" customHeight="1" s="38">
      <c r="A13" s="65" t="inlineStr">
        <is>
          <t>ENM-ECOSYSTEM-KIT-3D</t>
        </is>
      </c>
      <c r="B13" s="41" t="inlineStr">
        <is>
          <t>七类怪物3D生态套件</t>
        </is>
      </c>
      <c r="C13" s="41" t="inlineStr">
        <is>
          <t>敌人</t>
        </is>
      </c>
      <c r="D13" s="65" t="inlineStr">
        <is>
          <t>normal_elite_boss</t>
        </is>
      </c>
      <c r="E13" s="65" t="inlineStr">
        <is>
          <t>enemy_ecosystem</t>
        </is>
      </c>
      <c r="F13" s="65" t="inlineStr">
        <is>
          <t>root_3d</t>
        </is>
      </c>
      <c r="G13" s="65" t="n"/>
      <c r="H13" s="41" t="inlineStr">
        <is>
          <t>俯视3D</t>
        </is>
      </c>
      <c r="I13" s="65" t="inlineStr">
        <is>
          <t>default</t>
        </is>
      </c>
      <c r="J13" s="41" t="inlineStr">
        <is>
          <t>四主题战斗房</t>
        </is>
      </c>
      <c r="K13" s="41" t="inlineStr">
        <is>
          <t>原型已接入</t>
        </is>
      </c>
      <c r="L13" s="65" t="inlineStr">
        <is>
          <t>P0</t>
        </is>
      </c>
      <c r="M13" s="65" t="inlineStr">
        <is>
          <t>v001</t>
        </is>
      </c>
      <c r="N13" s="65" t="inlineStr">
        <is>
          <t>PackedScene/模块敌人</t>
        </is>
      </c>
      <c r="O13" s="65" t="inlineStr">
        <is>
          <t>assets/art/enemies/enemy_3d/enm_ecosystem_kit_root_top3d_v001.tscn</t>
        </is>
      </c>
      <c r="P13" s="65" t="inlineStr">
        <is>
          <t>src/enemy3d/Enemy3D.gd</t>
        </is>
      </c>
      <c r="Q13" s="41" t="inlineStr">
        <is>
          <t>怪物;七类;核心;外壳;附肢;状态</t>
        </is>
      </c>
      <c r="R13" s="65">
        <f>LOWER(TRIM(C13)&amp;"|"&amp;TRIM(D13)&amp;"|"&amp;TRIM(E13)&amp;"|"&amp;TRIM(F13)&amp;"|"&amp;TRIM(H13)&amp;"|"&amp;TRIM(I13))</f>
        <v/>
      </c>
      <c r="S13" s="41">
        <f>IF(COUNTIF($R$6:$R$20,R13)&gt;1,"重复","唯一")</f>
        <v/>
      </c>
      <c r="T13" s="65" t="inlineStr">
        <is>
          <t>d9d8a49bed3fdcb863bad72f60be1f774309c7dda52753f5efb3d4e56159c12d</t>
        </is>
      </c>
      <c r="U13" s="65" t="inlineStr">
        <is>
          <t>Codex</t>
        </is>
      </c>
      <c r="V13" s="66" t="n">
        <v>46225</v>
      </c>
      <c r="W13" s="41" t="inlineStr">
        <is>
          <t>原创程序几何</t>
        </is>
      </c>
      <c r="X13" s="64" t="inlineStr">
        <is>
          <t>—</t>
        </is>
      </c>
      <c r="Y13" s="41" t="inlineStr">
        <is>
          <t>九态AI视线允许射线命中玩家本体并保留实体墙遮挡；3D基础HP乘旧楼层/主题/精英倍率，开局手枪普通命中不秒杀基础怪</t>
        </is>
      </c>
    </row>
    <row r="14" ht="182.8" customHeight="1" s="38">
      <c r="A14" s="65" t="inlineStr">
        <is>
          <t>ENM-BOSS-ARCHIVIST-95</t>
        </is>
      </c>
      <c r="B14" s="41" t="inlineStr">
        <is>
          <t>深渊档案官</t>
        </is>
      </c>
      <c r="C14" s="41" t="inlineStr">
        <is>
          <t>敌人</t>
        </is>
      </c>
      <c r="D14" s="65" t="inlineStr">
        <is>
          <t>boss</t>
        </is>
      </c>
      <c r="E14" s="65" t="inlineStr">
        <is>
          <t>boss_abyss_archivist_95</t>
        </is>
      </c>
      <c r="F14" s="65" t="inlineStr">
        <is>
          <t>root</t>
        </is>
      </c>
      <c r="G14" s="65" t="n"/>
      <c r="H14" s="65" t="inlineStr">
        <is>
          <t>Top3D</t>
        </is>
      </c>
      <c r="I14" s="65" t="inlineStr">
        <is>
          <t>default / 三阶段</t>
        </is>
      </c>
      <c r="J14" s="65" t="inlineStr">
        <is>
          <t>95层Boss</t>
        </is>
      </c>
      <c r="K14" s="41" t="inlineStr">
        <is>
          <t>已完成</t>
        </is>
      </c>
      <c r="L14" s="65" t="inlineStr">
        <is>
          <t>P0</t>
        </is>
      </c>
      <c r="M14" s="65" t="inlineStr">
        <is>
          <t>v001</t>
        </is>
      </c>
      <c r="N14" s="65" t="inlineStr">
        <is>
          <t>GLB；主体/发光/附肢语义拆分</t>
        </is>
      </c>
      <c r="O14" s="65" t="inlineStr">
        <is>
          <t>assets/art/enemies/bosses_v01/enm_boss_archivist_95_top3d_v001.glb</t>
        </is>
      </c>
      <c r="P14" s="65" t="inlineStr">
        <is>
          <t>source/art/blender/bosses_v01/enm_boss_archivist_95_top3d_v001.blend; src/enemy3d/BossContentCatalog.gd</t>
        </is>
      </c>
      <c r="Q14" s="41" t="inlineStr">
        <is>
          <t>深渊档案官; archive; 95F; 三阶段</t>
        </is>
      </c>
      <c r="R14" s="65">
        <f>LOWER(TRIM(C14)&amp;"|"&amp;TRIM(D14)&amp;"|"&amp;TRIM(E14)&amp;"|"&amp;TRIM(F14)&amp;"|"&amp;TRIM(H14)&amp;"|"&amp;TRIM(I14))</f>
        <v/>
      </c>
      <c r="S14" s="41">
        <f>IF(COUNTIF($R$6:$R$20,R14)&gt;1,"重复","唯一")</f>
        <v/>
      </c>
      <c r="T14" s="65" t="inlineStr">
        <is>
          <t>d48dbdef27c500895471b8e14e4d07ae8f733b511ea67bf44cf0dffe959d781c</t>
        </is>
      </c>
      <c r="U14" s="65" t="inlineStr">
        <is>
          <t>Codex</t>
        </is>
      </c>
      <c r="V14" s="65" t="n">
        <v>46247</v>
      </c>
      <c r="W14" s="41" t="inlineStr">
        <is>
          <t>原创程序建模</t>
        </is>
      </c>
      <c r="X14" s="64" t="inlineStr">
        <is>
          <t>—</t>
        </is>
      </c>
      <c r="Y14" s="41" t="inlineStr">
        <is>
          <t>独立正式模型；阶段技能袋 archive_fan/index_beam/archive_storm；通过Boss专项验收。
2026-08-30 AST-01规范化（原制作状态：正式美术已接入）</t>
        </is>
      </c>
    </row>
    <row r="15" ht="181.3" customHeight="1" s="38">
      <c r="A15" s="65" t="inlineStr">
        <is>
          <t>ENM-BOSS-FURNACE-WARDEN-90</t>
        </is>
      </c>
      <c r="B15" s="41" t="inlineStr">
        <is>
          <t>熔炉狱监</t>
        </is>
      </c>
      <c r="C15" s="41" t="inlineStr">
        <is>
          <t>敌人</t>
        </is>
      </c>
      <c r="D15" s="65" t="inlineStr">
        <is>
          <t>boss</t>
        </is>
      </c>
      <c r="E15" s="65" t="inlineStr">
        <is>
          <t>boss_furnace_warden_90</t>
        </is>
      </c>
      <c r="F15" s="65" t="inlineStr">
        <is>
          <t>root</t>
        </is>
      </c>
      <c r="G15" s="65" t="n"/>
      <c r="H15" s="65" t="inlineStr">
        <is>
          <t>Top3D</t>
        </is>
      </c>
      <c r="I15" s="65" t="inlineStr">
        <is>
          <t>default / 三阶段</t>
        </is>
      </c>
      <c r="J15" s="65" t="inlineStr">
        <is>
          <t>90层Boss</t>
        </is>
      </c>
      <c r="K15" s="41" t="inlineStr">
        <is>
          <t>已完成</t>
        </is>
      </c>
      <c r="L15" s="65" t="inlineStr">
        <is>
          <t>P0</t>
        </is>
      </c>
      <c r="M15" s="65" t="inlineStr">
        <is>
          <t>v001</t>
        </is>
      </c>
      <c r="N15" s="65" t="inlineStr">
        <is>
          <t>GLB；主体/发光/附肢语义拆分</t>
        </is>
      </c>
      <c r="O15" s="65" t="inlineStr">
        <is>
          <t>assets/art/enemies/bosses_v01/enm_boss_furnace_warden_90_top3d_v001.glb</t>
        </is>
      </c>
      <c r="P15" s="65" t="inlineStr">
        <is>
          <t>source/art/blender/bosses_v01/enm_boss_furnace_warden_90_top3d_v001.blend; src/enemy3d/BossContentCatalog.gd</t>
        </is>
      </c>
      <c r="Q15" s="41" t="inlineStr">
        <is>
          <t>熔炉狱监; furnace; 90F; 三阶段</t>
        </is>
      </c>
      <c r="R15" s="65">
        <f>LOWER(TRIM(C15)&amp;"|"&amp;TRIM(D15)&amp;"|"&amp;TRIM(E15)&amp;"|"&amp;TRIM(F15)&amp;"|"&amp;TRIM(H15)&amp;"|"&amp;TRIM(I15))</f>
        <v/>
      </c>
      <c r="S15" s="41">
        <f>IF(COUNTIF($R$6:$R$20,R15)&gt;1,"重复","唯一")</f>
        <v/>
      </c>
      <c r="T15" s="65" t="inlineStr">
        <is>
          <t>77469ad543d9265ffcc32198c06e25dd3ea8b793b79da4afeb7bd5e56f09d24c</t>
        </is>
      </c>
      <c r="U15" s="65" t="inlineStr">
        <is>
          <t>Codex</t>
        </is>
      </c>
      <c r="V15" s="65" t="n">
        <v>46247</v>
      </c>
      <c r="W15" s="41" t="inlineStr">
        <is>
          <t>原创程序建模</t>
        </is>
      </c>
      <c r="X15" s="64" t="inlineStr">
        <is>
          <t>—</t>
        </is>
      </c>
      <c r="Y15" s="41" t="inlineStr">
        <is>
          <t>独立正式模型；阶段技能袋 molten_volley/hammer_drive/furnace_burst；通过Boss专项验收。
2026-08-30 AST-01规范化（原制作状态：正式美术已接入）</t>
        </is>
      </c>
    </row>
    <row r="16" ht="182.8" customHeight="1" s="38">
      <c r="A16" s="65" t="inlineStr">
        <is>
          <t>ENM-BOSS-HOLLOW-CHOIR-85</t>
        </is>
      </c>
      <c r="B16" s="41" t="inlineStr">
        <is>
          <t>空洞合唱团</t>
        </is>
      </c>
      <c r="C16" s="41" t="inlineStr">
        <is>
          <t>敌人</t>
        </is>
      </c>
      <c r="D16" s="65" t="inlineStr">
        <is>
          <t>boss</t>
        </is>
      </c>
      <c r="E16" s="65" t="inlineStr">
        <is>
          <t>boss_hollow_choir_85</t>
        </is>
      </c>
      <c r="F16" s="65" t="inlineStr">
        <is>
          <t>root</t>
        </is>
      </c>
      <c r="G16" s="65" t="n"/>
      <c r="H16" s="65" t="inlineStr">
        <is>
          <t>Top3D</t>
        </is>
      </c>
      <c r="I16" s="65" t="inlineStr">
        <is>
          <t>default / 三阶段</t>
        </is>
      </c>
      <c r="J16" s="65" t="inlineStr">
        <is>
          <t>85层Boss</t>
        </is>
      </c>
      <c r="K16" s="41" t="inlineStr">
        <is>
          <t>已完成</t>
        </is>
      </c>
      <c r="L16" s="65" t="inlineStr">
        <is>
          <t>P0</t>
        </is>
      </c>
      <c r="M16" s="65" t="inlineStr">
        <is>
          <t>v001</t>
        </is>
      </c>
      <c r="N16" s="65" t="inlineStr">
        <is>
          <t>GLB；主体/发光/附肢语义拆分</t>
        </is>
      </c>
      <c r="O16" s="65" t="inlineStr">
        <is>
          <t>assets/art/enemies/bosses_v01/enm_boss_hollow_choir_85_top3d_v001.glb</t>
        </is>
      </c>
      <c r="P16" s="65" t="inlineStr">
        <is>
          <t>source/art/blender/bosses_v01/enm_boss_hollow_choir_85_top3d_v001.blend; src/enemy3d/BossContentCatalog.gd</t>
        </is>
      </c>
      <c r="Q16" s="41" t="inlineStr">
        <is>
          <t>空洞合唱团; choir; 85F; 三阶段</t>
        </is>
      </c>
      <c r="R16" s="65">
        <f>LOWER(TRIM(C16)&amp;"|"&amp;TRIM(D16)&amp;"|"&amp;TRIM(E16)&amp;"|"&amp;TRIM(F16)&amp;"|"&amp;TRIM(H16)&amp;"|"&amp;TRIM(I16))</f>
        <v/>
      </c>
      <c r="S16" s="41">
        <f>IF(COUNTIF($R$6:$R$20,R16)&gt;1,"重复","唯一")</f>
        <v/>
      </c>
      <c r="T16" s="65" t="inlineStr">
        <is>
          <t>c7d1bade328047877d64770b2c534cbd930fc377ce8a00e19873fc108a73a56f</t>
        </is>
      </c>
      <c r="U16" s="65" t="inlineStr">
        <is>
          <t>Codex</t>
        </is>
      </c>
      <c r="V16" s="65" t="n">
        <v>46247</v>
      </c>
      <c r="W16" s="41" t="inlineStr">
        <is>
          <t>原创程序建模</t>
        </is>
      </c>
      <c r="X16" s="64" t="inlineStr">
        <is>
          <t>—</t>
        </is>
      </c>
      <c r="Y16" s="41" t="inlineStr">
        <is>
          <t>独立正式模型；阶段技能袋 choir_wave/silence_chord/echo_burst；通过Boss专项验收。
2026-08-30 AST-01规范化（原制作状态：正式美术已接入）</t>
        </is>
      </c>
    </row>
    <row r="17" ht="525.35" customHeight="1" s="38">
      <c r="A17" s="65" t="inlineStr">
        <is>
          <t>ENM-ELITE-RIFT-BOAR-ARMED-3D</t>
        </is>
      </c>
      <c r="B17" s="41" t="inlineStr">
        <is>
          <t>背枪的裂口爬虫3D精英根</t>
        </is>
      </c>
      <c r="C17" s="41" t="inlineStr">
        <is>
          <t>敌人</t>
        </is>
      </c>
      <c r="D17" s="65" t="inlineStr">
        <is>
          <t>elite</t>
        </is>
      </c>
      <c r="E17" s="65" t="inlineStr">
        <is>
          <t>elite_rift_boar_armed</t>
        </is>
      </c>
      <c r="F17" s="65" t="inlineStr">
        <is>
          <t>root_3d</t>
        </is>
      </c>
      <c r="G17" s="65" t="inlineStr">
        <is>
          <t>ENM-ECOSYSTEM-KIT-3D</t>
        </is>
      </c>
      <c r="H17" s="65" t="inlineStr">
        <is>
          <t>Top3D / local -Z 正面</t>
        </is>
      </c>
      <c r="I17" s="65" t="inlineStr">
        <is>
          <t>default / armed_rush</t>
        </is>
      </c>
      <c r="J17" s="41" t="inlineStr">
        <is>
          <t>每次行动98—96F三选一；目标层随机ELITE房</t>
        </is>
      </c>
      <c r="K17" s="41" t="inlineStr">
        <is>
          <t>已完成</t>
        </is>
      </c>
      <c r="L17" s="65" t="inlineStr">
        <is>
          <t>P0</t>
        </is>
      </c>
      <c r="M17" s="65" t="inlineStr">
        <is>
          <t>v001</t>
        </is>
      </c>
      <c r="N17" s="65" t="inlineStr">
        <is>
          <t>1.970×1.843×1.345m；18 Mesh；4材质</t>
        </is>
      </c>
      <c r="O17" s="65" t="inlineStr">
        <is>
          <t>assets/art/enemies/elite_3d/rift_boar_armed/runtime/enm_elite_rift_boar_armed_root_top3d_v001.tscn</t>
        </is>
      </c>
      <c r="P17" s="65" t="inlineStr">
        <is>
          <t>assets/art/enemies/elite_3d/rift_boar_armed/source/enm_elite_rift_boar_armed_source_v001.blend; assets/art/enemies/elite_3d/rift_boar_armed/components/enm_elite_rift_boar_armed_visual_top3d_v001.glb; scripts/blender/build_elite_rift_boar_armed_v001.py; src/enemy3d/EliteContentCatalog.gd</t>
        </is>
      </c>
      <c r="Q17" s="41" t="inlineStr">
        <is>
          <t>唯一精英;背枪;裂口爬虫;elite_rift_boar_armed;armed_rush;98F;97F;96F;命名血条</t>
        </is>
      </c>
      <c r="R17" s="65">
        <f>LOWER(TRIM(C17)&amp;"|"&amp;TRIM(D17)&amp;"|"&amp;TRIM(E17)&amp;"|"&amp;TRIM(F17)&amp;"|"&amp;TRIM(H17)&amp;"|"&amp;TRIM(I17))</f>
        <v/>
      </c>
      <c r="S17" s="41">
        <f>IF(COUNTIF($R$6:$R$20,R17)&gt;1,"重复","唯一")</f>
        <v/>
      </c>
      <c r="T17" s="65" t="inlineStr">
        <is>
          <t>b5b187474a58aebe1f5e7c2522b2e4a4db609f103365dca6e7bd8c082a08b496</t>
        </is>
      </c>
      <c r="U17" s="65" t="inlineStr">
        <is>
          <t>Codex</t>
        </is>
      </c>
      <c r="V17" s="66" t="n">
        <v>46264</v>
      </c>
      <c r="W17" s="41" t="inlineStr">
        <is>
          <t>原创 Blender/Godot 组合</t>
        </is>
      </c>
      <c r="X17" s="64" t="inlineStr">
        <is>
          <t>—</t>
        </is>
      </c>
      <c r="Y17" s="65" t="inlineStr">
        <is>
          <t>GLB仅表现；core/shell/appendages/weapon_attachment/state_vfx语义齐全；PackedScene无碰撞；Enemy3D继续持有melee_chaser碰撞、AI、生命、伤害与掉落。Forward+固定机位与专项验收通过。
2026-08-30 AST-01规范化（原制作状态：正式美术已接入）
2026-08-30 AST-02：合法内容更新；文件为Git已跟踪且修改时间不早于原台账日期；验收：verify_unique_elite_roster_flow；SHA c72d42495532→b5b187474a58。</t>
        </is>
      </c>
    </row>
    <row r="18" ht="525.35" customHeight="1" s="38">
      <c r="A18" s="62" t="inlineStr">
        <is>
          <t>ENM-BEAST-SPIKESHELL01</t>
        </is>
      </c>
      <c r="B18" s="49" t="inlineStr">
        <is>
          <t>暗影兽</t>
        </is>
      </c>
      <c r="C18" s="49" t="inlineStr">
        <is>
          <t>敌人</t>
        </is>
      </c>
      <c r="D18" s="62" t="inlineStr">
        <is>
          <t>normal_beast</t>
        </is>
      </c>
      <c r="E18" s="62" t="inlineStr">
        <is>
          <t>spike_shell</t>
        </is>
      </c>
      <c r="F18" s="62" t="inlineStr">
        <is>
          <t>root</t>
        </is>
      </c>
      <c r="G18" s="49" t="n"/>
      <c r="H18" s="49" t="inlineStr">
        <is>
          <t>侧面朝右（可水平翻转）</t>
        </is>
      </c>
      <c r="I18" s="62" t="inlineStr">
        <is>
          <t>default</t>
        </is>
      </c>
      <c r="J18" s="49" t="inlineStr">
        <is>
          <t>单资产</t>
        </is>
      </c>
      <c r="K18" s="49" t="inlineStr">
        <is>
          <t>待制作</t>
        </is>
      </c>
      <c r="L18" s="62" t="inlineStr">
        <is>
          <t>P1</t>
        </is>
      </c>
      <c r="M18" s="62" t="inlineStr">
        <is>
          <t>v001</t>
        </is>
      </c>
      <c r="N18" s="49" t="inlineStr">
        <is>
          <t>待定</t>
        </is>
      </c>
      <c r="O18" s="49" t="n"/>
      <c r="P18" s="62" t="inlineStr">
        <is>
          <t>待入库（Tripo 生成模型当前仅在 Blender 会话中，尚未保存为 .blend）</t>
        </is>
      </c>
      <c r="Q18" s="49" t="inlineStr">
        <is>
          <t>暗影兽; 暗影; 刺背; spike shell; 四足怪; Tripo生成; ENM-BEAST-SPIKESHELL01</t>
        </is>
      </c>
      <c r="R18" s="49">
        <f>LOWER(TRIM(C18)&amp;"|"&amp;TRIM(D18)&amp;"|"&amp;TRIM(E18)&amp;"|"&amp;TRIM(F18)&amp;"|"&amp;TRIM(H18)&amp;"|"&amp;TRIM(I18))</f>
        <v/>
      </c>
      <c r="S18" s="49">
        <f>IF(COUNTIF($R$6:$R$20,R18)&gt;1,"重复","唯一")</f>
        <v/>
      </c>
      <c r="T18" s="49" t="n"/>
      <c r="U18" s="49" t="inlineStr">
        <is>
          <t>待分配</t>
        </is>
      </c>
      <c r="V18" s="63" t="n">
        <v>46288</v>
      </c>
      <c r="W18" s="49" t="inlineStr">
        <is>
          <t>AI 生成（Tripo）/待确认</t>
        </is>
      </c>
      <c r="X18" s="64" t="inlineStr">
        <is>
          <t>—</t>
        </is>
      </c>
      <c r="Y18" s="49" t="inlineStr">
        <is>
          <t>2026-09-23 新登记为独立新怪，只登记不接线。造型：低伏四足、背脊一排尖刺、大圆头带尾，头部朝 Blender -Y（契约要求 +Y，后续 S3 需整体转 180°）。源尺寸 0.8286×0.9995×0.7104m（Tripo 原始尺度，未按展示倍率归一）。已完成 Rigify 骨架生成 + 自动权重蒙皮（Rigify Basic Human 29 骨 metarig → 219 骨 rig / 34 DEF 骨 / 34 顶点组，3241 顶点全有权重），但**尚未改名到本项目 36 骨契约骨架**，也**缺契约的 16 根手指骨**（Basic Human 无手指链）。入库前待办：① 源 .blend 落 source/model/ 并内部改名；② 按展示倍率 0.70 归一尺寸（源高 = 目标游戏内高 / (0.70×kind×variant)）；③ 朝向归正到 +Y；④ DEF 改名到契约骨架并补手指链；⑤ 另建动作母版 6 段剪辑；⑥ 导出视觉 GLB + runtime Prefab；⑦ 补《3D-敌人》与《敌人动画与状态》行（那两张表分别有『一行=一个真实 PackedScene』与逐字节摘要约束，故本次刻意未动）。玩法数值（HP/速度/伤害/范围/冷却）未定，未接入 Enemy3D.PROFILES。</t>
        </is>
      </c>
    </row>
    <row r="19" ht="525.35" customHeight="1" s="38">
      <c r="A19" s="62" t="inlineStr">
        <is>
          <t>ENM-NORMAL-FAT-ZOMBIE03</t>
        </is>
      </c>
      <c r="B19" s="49" t="inlineStr">
        <is>
          <t>胖子僵尸</t>
        </is>
      </c>
      <c r="C19" s="49" t="inlineStr">
        <is>
          <t>敌人</t>
        </is>
      </c>
      <c r="D19" s="62" t="inlineStr">
        <is>
          <t>normal</t>
        </is>
      </c>
      <c r="E19" s="62" t="inlineStr">
        <is>
          <t>fat_zombie03</t>
        </is>
      </c>
      <c r="F19" s="62" t="inlineStr">
        <is>
          <t>root_3d</t>
        </is>
      </c>
      <c r="G19" s="49" t="n"/>
      <c r="H19" s="49" t="inlineStr">
        <is>
          <t>Top3D / local -Z 正面</t>
        </is>
      </c>
      <c r="I19" s="62" t="inlineStr">
        <is>
          <t>12态绑定13段动画；idle/walking/running循环，其他单次；hit_light上半身局部混合</t>
        </is>
      </c>
      <c r="J19" s="49" t="inlineStr">
        <is>
          <t>独立新怪资产；未投放</t>
        </is>
      </c>
      <c r="K19" s="49" t="inlineStr">
        <is>
          <t>正式美术已接入</t>
        </is>
      </c>
      <c r="L19" s="62" t="inlineStr">
        <is>
          <t>P1</t>
        </is>
      </c>
      <c r="M19" s="62" t="inlineStr">
        <is>
          <t>v011</t>
        </is>
      </c>
      <c r="N19" s="49" t="inlineStr">
        <is>
          <t>源高3.142857m；游戏站立高2.2m；2867顶点/5690三角；66骨；512²贴图；13已验收动作/13设计动作</t>
        </is>
      </c>
      <c r="O19" s="49" t="inlineStr">
        <is>
          <t>assets/art/enemies/normal_enemy_3d/fat_zombie03/runtime/enm_normal_fat_zombie03_root_top3d.tscn</t>
        </is>
      </c>
      <c r="P19" s="62" t="inlineStr">
        <is>
          <t>assets/art/enemies/normal_enemy_3d/fat_zombie03/source/model/enm_normal_fat_zombie03_model_v003.blend; assets/art/enemies/normal_enemy_3d/fat_zombie03/source/animation/enm_normal_fat_zombie03_animation_v008.blend; docs/v0.1/design/胖子僵尸03运行配置.md</t>
        </is>
      </c>
      <c r="Q19" s="49" t="inlineStr">
        <is>
          <t>胖子僵尸; fat zombie; 03</t>
        </is>
      </c>
      <c r="R19" s="49">
        <f>LOWER(TRIM(C19)&amp;"|"&amp;TRIM(D19)&amp;"|"&amp;TRIM(E19)&amp;"|"&amp;TRIM(F19)&amp;"|"&amp;TRIM(H19)&amp;"|"&amp;TRIM(I19))</f>
        <v/>
      </c>
      <c r="S19" s="49">
        <f>IF(COUNTIF($R$6:$R$20,R19)&gt;1,"重复","唯一")</f>
        <v/>
      </c>
      <c r="T19" s="49" t="inlineStr">
        <is>
          <t>946f406f5f9faee0387576fd46888eb314e9c70e294c7eb0bb0111e434edd704</t>
        </is>
      </c>
      <c r="U19" s="49" t="inlineStr">
        <is>
          <t>Codex</t>
        </is>
      </c>
      <c r="V19" s="63" t="n">
        <v>46299</v>
      </c>
      <c r="W19" s="49" t="inlineStr">
        <is>
          <t>用户提供Tripo素材；许可待确认</t>
        </is>
      </c>
      <c r="X19" s="64" t="inlineStr">
        <is>
          <t>03</t>
        </is>
      </c>
      <c r="Y19" s="49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替换壳甲卫兵的远征盒、默认随机池和两个主题怪池；固定种子全关实测10只胖子/0只壳甲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20" ht="525.35" customHeight="1" s="38">
      <c r="A20" s="62" t="inlineStr">
        <is>
          <t>ENM-BOSS-MONITOR002-3D</t>
        </is>
      </c>
      <c r="B20" s="49" t="inlineStr">
        <is>
          <t>Boss002 显示器 MONITOR.EXE</t>
        </is>
      </c>
      <c r="C20" s="49" t="inlineStr">
        <is>
          <t>敌人</t>
        </is>
      </c>
      <c r="D20" s="62" t="inlineStr">
        <is>
          <t>boss</t>
        </is>
      </c>
      <c r="E20" s="62" t="inlineStr">
        <is>
          <t>boss_monitor002</t>
        </is>
      </c>
      <c r="F20" s="62" t="inlineStr">
        <is>
          <t>root_3d</t>
        </is>
      </c>
      <c r="G20" s="49" t="n"/>
      <c r="H20" s="49" t="inlineStr">
        <is>
          <t>Top3D / Blender +Y</t>
        </is>
      </c>
      <c xmlns="http://schemas.openxmlformats.org/spreadsheetml/2006/main" r="I20" t="str" s="62">
        <v>12态；16剪辑：idle move melee_keyboard melee_cable heavy_spin_slam special四段 hurt stun三段 turn_left/right dead</v>
      </c>
      <c xmlns="http://schemas.openxmlformats.org/spreadsheetml/2006/main" r="J20" t="str" s="78">
        <v>expedition_01 / floor_00 / boss（源房ID f00_boss）</v>
      </c>
      <c xmlns="http://schemas.openxmlformats.org/spreadsheetml/2006/main" r="K20" t="str" s="49">
        <v>active</v>
      </c>
      <c r="L20" s="62" t="inlineStr">
        <is>
          <t>P1</t>
        </is>
      </c>
      <c xmlns="http://schemas.openxmlformats.org/spreadsheetml/2006/main" r="M20" s="62" t="str">
        <v>v032</v>
      </c>
      <c r="N20" s="49" t="inlineStr">
        <is>
          <t>18684三角面；64骨；每臂6段；3材质；中心后轴独立屏幕旋转</t>
        </is>
      </c>
      <c xmlns="http://schemas.openxmlformats.org/spreadsheetml/2006/main" r="O20" t="str" s="49">
        <v>assets/art/enemies/bosses/enm_boss_monitor002/runtime/enm_boss_monitor002/enm_boss_monitor002_root_top3d.tscn</v>
      </c>
      <c xmlns="http://schemas.openxmlformats.org/spreadsheetml/2006/main" r="P20" s="62" t="str">
        <v>assets/art/enemies/bosses/enm_boss_monitor002/source/enm_boss_monitor002_model_v032.blend; assets/art/enemies/bosses/enm_boss_monitor002/source/enm_boss_monitor002_animation_v032.blend；SKEL-MONITOR002-005</v>
      </c>
      <c r="Q20" s="49" t="inlineStr">
        <is>
          <t>Boss002;monitor;显示器;平面五官</t>
        </is>
      </c>
      <c r="R20" s="49">
        <f>LOWER(TRIM(C20)&amp;"|"&amp;TRIM(D20)&amp;"|"&amp;TRIM(E20)&amp;"|"&amp;TRIM(F20)&amp;"|"&amp;TRIM(H20)&amp;"|"&amp;TRIM(I20))</f>
        <v/>
      </c>
      <c r="S20" s="49">
        <f>IF(COUNTIF($R$6:$R$20,R20)&gt;1,"重复","唯一")</f>
        <v/>
      </c>
      <c xmlns="http://schemas.openxmlformats.org/spreadsheetml/2006/main" r="T20" s="49" t="str">
        <v>b34c90ef9a59473a9267ddd1f11f7cfeb83c0eca6f84cc4c6b974c842c20f62d</v>
      </c>
      <c r="U20" s="49" t="inlineStr">
        <is>
          <t>Codex</t>
        </is>
      </c>
      <c xmlns="http://schemas.openxmlformats.org/spreadsheetml/2006/main" r="V20" s="79" t="str">
        <v>2026-10-08</v>
      </c>
      <c r="W20" s="49" t="inlineStr">
        <is>
          <t>用户设计图；原创程序建模</t>
        </is>
      </c>
      <c r="X20" s="64" t="inlineStr">
        <is>
          <t>BOSS002_MONITOR</t>
        </is>
      </c>
      <c xmlns="http://schemas.openxmlformats.org/spreadsheetml/2006/main" r="Y20" s="80" t="str">
        <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v>
      </c>
    </row>
    <row r="79" ht="154.5" customHeight="1" s="38"/>
    <row r="113" ht="154.5" customHeight="1" s="38"/>
    <row r="120" ht="154.5" customHeight="1" s="38"/>
    <row r="123" ht="154.5" customHeight="1" s="38"/>
    <row r="124" ht="33.75" customHeight="1" s="38"/>
    <row r="125" ht="33.75" customHeight="1" s="38"/>
    <row r="126" ht="33.75" customHeight="1" s="38"/>
    <row r="127" ht="33.75" customHeight="1" s="38"/>
    <row r="128" ht="154.5" customHeight="1" s="38"/>
    <row r="129" ht="33.75" customHeight="1" s="38"/>
    <row r="130" ht="33.75" customHeight="1" s="38"/>
    <row r="131" ht="33.75" customHeight="1" s="38"/>
    <row r="132" ht="33.75" customHeight="1" s="38"/>
    <row r="133" ht="33.75" customHeight="1" s="38"/>
    <row r="134" ht="33.75" customHeight="1" s="38"/>
    <row r="135" ht="33.75" customHeight="1" s="38"/>
    <row r="136" ht="33.75" customHeight="1" s="38"/>
    <row r="137" ht="33.75" customHeight="1" s="38"/>
    <row r="138" ht="33.75" customHeight="1" s="38"/>
    <row r="139" ht="33.75" customHeight="1" s="38"/>
    <row r="143" ht="154.5" customHeight="1" s="38"/>
    <row r="146" ht="43.5" customHeight="1" s="38"/>
    <row r="147" ht="43.5" customHeight="1" s="38"/>
    <row r="148" ht="43.5" customHeight="1" s="38"/>
    <row r="149" ht="43.5" customHeight="1" s="38"/>
    <row r="150" ht="43.5" customHeight="1" s="38"/>
    <row r="151" ht="43.5" customHeight="1" s="38"/>
    <row r="152" ht="43.5" customHeight="1" s="38"/>
    <row r="153" ht="43.5" customHeight="1" s="38"/>
    <row r="154" ht="43.5" customHeight="1" s="38"/>
    <row r="155" ht="43.5" customHeight="1" s="38"/>
    <row r="156" ht="132" customHeight="1" s="38"/>
    <row r="157" ht="117.75" customHeight="1" s="38"/>
    <row r="158" ht="117.75" customHeight="1" s="38"/>
    <row r="159" ht="117.75" customHeight="1" s="38"/>
    <row r="160" ht="117.75" customHeight="1" s="38"/>
    <row r="161" ht="132" customHeight="1" s="38"/>
    <row r="162" ht="132" customHeight="1" s="38"/>
    <row r="163" ht="154.5" customHeight="1" s="38"/>
    <row r="164" ht="132" customHeight="1" s="38"/>
    <row r="165" ht="132" customHeight="1" s="38"/>
    <row r="166" ht="132" customHeight="1" s="38"/>
    <row r="167" ht="154.5" customHeight="1" s="38"/>
    <row r="168" ht="219.75" customHeight="1" s="38"/>
    <row r="169" ht="219.75" customHeight="1" s="38"/>
    <row r="172" ht="42" customHeight="1" s="38"/>
    <row r="173" ht="42" customHeight="1" s="38"/>
    <row r="174" ht="43.5" customHeight="1" s="38"/>
    <row r="175" ht="43.5" customHeight="1" s="38"/>
    <row r="176" ht="43.5" customHeight="1" s="38"/>
    <row r="177" ht="43.5" customHeight="1" s="38"/>
    <row r="178" ht="43.5" customHeight="1" s="38"/>
    <row r="179" ht="43.5" customHeight="1" s="38"/>
    <row r="180" ht="43.5" customHeight="1" s="38"/>
    <row r="181" ht="43.5" customHeight="1" s="38"/>
    <row r="182" ht="43.5" customHeight="1" s="38"/>
    <row r="183" ht="43.5" customHeight="1" s="38"/>
    <row r="184" ht="43.5" customHeight="1" s="38"/>
    <row r="185" ht="43.5" customHeight="1" s="38"/>
    <row r="186" ht="43.5" customHeight="1" s="38"/>
    <row r="187" ht="43.5" customHeight="1" s="38"/>
    <row r="188" ht="43.5" customHeight="1" s="38"/>
    <row r="189" ht="43.5" customHeight="1" s="38"/>
    <row r="190" ht="43.5" customHeight="1" s="38"/>
    <row r="191" ht="43.5" customHeight="1" s="38"/>
    <row r="192" ht="43.5" customHeight="1" s="38"/>
    <row r="193" ht="43.5" customHeight="1" s="38"/>
    <row r="194" ht="43.5" customHeight="1" s="38"/>
    <row r="195" ht="43.5" customHeight="1" s="38"/>
    <row r="196" ht="43.5" customHeight="1" s="38"/>
    <row r="197" ht="43.5" customHeight="1" s="38"/>
    <row r="198" ht="43.5" customHeight="1" s="38"/>
    <row r="199" ht="43.5" customHeight="1" s="38"/>
    <row r="200" ht="43.5" customHeight="1" s="38"/>
    <row r="201" ht="43.5" customHeight="1" s="38"/>
    <row r="202" ht="43.5" customHeight="1" s="38"/>
    <row r="203" ht="43.5" customHeight="1" s="38"/>
    <row r="204" ht="43.5" customHeight="1" s="38"/>
    <row r="240" ht="255" customHeight="1" s="38"/>
    <row r="281" ht="66" customHeight="1" s="38"/>
    <row r="282" ht="66" customHeight="1" s="38"/>
    <row r="283" ht="66" customHeight="1" s="38"/>
    <row r="284" ht="66" customHeight="1" s="38"/>
    <row r="285" ht="66" customHeight="1" s="38"/>
    <row r="286" ht="66" customHeight="1" s="38"/>
    <row r="287" ht="55.5" customHeight="1" s="38"/>
    <row r="301" ht="132" customHeight="1" s="38"/>
    <row r="302" ht="54" customHeight="1" s="38"/>
    <row r="303" ht="54" customHeight="1" s="38"/>
    <row r="304" ht="54" customHeight="1" s="38"/>
    <row r="305" ht="54" customHeight="1" s="38"/>
    <row r="306" ht="54" customHeight="1" s="38"/>
    <row r="307" ht="54" customHeight="1" s="38"/>
    <row r="308" ht="54" customHeight="1" s="38"/>
    <row r="309" ht="54" customHeight="1" s="38"/>
    <row r="310" ht="54" customHeight="1" s="38"/>
    <row r="311" ht="72" customHeight="1" s="38"/>
    <row r="312" ht="54" customHeight="1" s="38"/>
    <row r="313" ht="54" customHeight="1" s="38"/>
    <row r="314" ht="54" customHeight="1" s="38"/>
    <row r="315" ht="54" customHeight="1" s="38"/>
    <row r="316" ht="54" customHeight="1" s="38"/>
    <row r="317" ht="54" customHeight="1" s="38"/>
    <row r="318" ht="54" customHeight="1" s="38"/>
    <row r="319" ht="54" customHeight="1" s="38"/>
    <row r="320" ht="54" customHeight="1" s="38"/>
    <row r="321" ht="54" customHeight="1" s="38"/>
    <row r="322" ht="54" customHeight="1" s="38"/>
    <row r="323" ht="54" customHeight="1" s="38"/>
    <row r="324" ht="54" customHeight="1" s="38"/>
    <row r="325" ht="54" customHeight="1" s="38"/>
    <row r="326" ht="54" customHeight="1" s="38"/>
    <row r="327" ht="54" customHeight="1" s="38"/>
    <row r="328" ht="54" customHeight="1" s="38"/>
    <row r="329" ht="54" customHeight="1" s="38"/>
    <row r="330" ht="54" customHeight="1" s="38"/>
    <row r="331" ht="54" customHeight="1" s="38"/>
    <row r="332" ht="54" customHeight="1" s="38"/>
    <row r="333" ht="54" customHeight="1" s="38"/>
    <row r="334" ht="54" customHeight="1" s="38"/>
    <row r="335" ht="54" customHeight="1" s="38"/>
    <row r="336" ht="54" customHeight="1" s="38"/>
    <row r="337" ht="54" customHeight="1" s="38"/>
    <row r="338" ht="54" customHeight="1" s="38"/>
    <row r="339" ht="54" customHeight="1" s="38"/>
    <row r="340" ht="54" customHeight="1" s="38"/>
    <row r="341" ht="54" customHeight="1" s="38"/>
    <row r="342" ht="54" customHeight="1" s="38"/>
    <row r="343" ht="54" customHeight="1" s="38"/>
    <row r="344" ht="54" customHeight="1" s="38"/>
    <row r="345" ht="54" customHeight="1" s="38"/>
    <row r="346" ht="54" customHeight="1" s="38"/>
    <row r="347" ht="54" customHeight="1" s="38"/>
    <row r="348" ht="54" customHeight="1" s="38"/>
    <row r="349" ht="54" customHeight="1" s="38"/>
    <row r="350" ht="54" customHeight="1" s="38"/>
    <row r="351" ht="54" customHeight="1" s="38"/>
    <row r="352" ht="54" customHeight="1" s="38"/>
    <row r="353" ht="54" customHeight="1" s="38"/>
    <row r="354" ht="54" customHeight="1" s="38"/>
    <row r="355" ht="54" customHeight="1" s="38"/>
    <row r="356" ht="54" customHeight="1" s="38"/>
    <row r="357" ht="54" customHeight="1" s="38"/>
    <row r="358" ht="54" customHeight="1" s="38"/>
    <row r="359" ht="72" customHeight="1" s="38"/>
    <row r="360" ht="54" customHeight="1" s="38"/>
    <row r="361" ht="54" customHeight="1" s="38"/>
    <row r="362" ht="54" customHeight="1" s="38"/>
    <row r="363" ht="54" customHeight="1" s="38"/>
    <row r="364" ht="54" customHeight="1" s="38"/>
    <row r="365" ht="54" customHeight="1" s="38"/>
    <row r="366" ht="54" customHeight="1" s="38"/>
    <row r="367" ht="54" customHeight="1" s="38"/>
    <row r="368" ht="72" customHeight="1" s="38"/>
    <row r="369" ht="54" customHeight="1" s="38"/>
    <row r="370" ht="54" customHeight="1" s="38"/>
    <row r="371" ht="54" customHeight="1" s="38"/>
    <row r="372" ht="54" customHeight="1" s="38"/>
    <row r="373" ht="54" customHeight="1" s="38"/>
    <row r="374" ht="54" customHeight="1" s="38"/>
    <row r="375" ht="54" customHeight="1" s="38"/>
    <row r="376" ht="54" customHeight="1" s="38"/>
    <row r="377" ht="54" customHeight="1" s="38"/>
    <row r="378" ht="54" customHeight="1" s="38"/>
    <row r="379" ht="54" customHeight="1" s="38"/>
    <row r="380" ht="54" customHeight="1" s="38"/>
    <row r="381" ht="54" customHeight="1" s="38"/>
    <row r="382" ht="54" customHeight="1" s="38"/>
    <row r="383" ht="54" customHeight="1" s="38"/>
    <row r="384" ht="54" customHeight="1" s="38"/>
    <row r="385" ht="54" customHeight="1" s="38"/>
    <row r="386" ht="54" customHeight="1" s="38"/>
    <row r="387" ht="54" customHeight="1" s="38"/>
    <row r="388" ht="54" customHeight="1" s="38"/>
    <row r="389" ht="54" customHeight="1" s="38"/>
    <row r="390" ht="54" customHeight="1" s="38"/>
    <row r="391" ht="54" customHeight="1" s="38"/>
    <row r="392" ht="54" customHeight="1" s="38"/>
    <row r="393" ht="54" customHeight="1" s="38"/>
    <row r="394" ht="54" customHeight="1" s="38"/>
    <row r="395" ht="54" customHeight="1" s="38"/>
    <row r="396" ht="54" customHeight="1" s="38"/>
    <row r="397" ht="54" customHeight="1" s="38"/>
    <row r="398" ht="54" customHeight="1" s="38"/>
    <row r="399" ht="54" customHeight="1" s="38"/>
    <row r="400" ht="54" customHeight="1" s="38"/>
    <row r="401" ht="54" customHeight="1" s="38"/>
    <row r="402" ht="54" customHeight="1" s="38"/>
    <row r="403" ht="54" customHeight="1" s="38"/>
    <row r="404" ht="54" customHeight="1" s="38"/>
    <row r="405" ht="54" customHeight="1" s="38"/>
    <row r="406" ht="54" customHeight="1" s="38"/>
    <row r="407" ht="54" customHeight="1" s="38"/>
    <row r="408" ht="54" customHeight="1" s="38"/>
    <row r="409" ht="54" customHeight="1" s="38"/>
    <row r="410" ht="54" customHeight="1" s="38"/>
    <row r="411" ht="54" customHeight="1" s="38"/>
    <row r="412" ht="54" customHeight="1" s="38"/>
    <row r="413" ht="75.75" customHeight="1" s="38"/>
    <row r="414" ht="72" customHeight="1" s="38"/>
    <row r="415" ht="72" customHeight="1" s="38"/>
    <row r="416" ht="72" customHeight="1" s="38"/>
    <row r="424" ht="84.75" customHeight="1" s="38"/>
    <row r="425" ht="84.75" customHeight="1" s="38"/>
    <row r="426" ht="84.75" customHeight="1" s="38"/>
    <row r="427" ht="84.75" customHeight="1" s="38"/>
    <row r="429" ht="120" customHeight="1" s="38"/>
  </sheetData>
  <autoFilter ref="A5:Y20"/>
  <mergeCells count="2">
    <mergeCell ref="A1:X2"/>
    <mergeCell ref="A3:X3"/>
  </mergeCells>
  <conditionalFormatting sqref="S6:S17">
    <cfRule type="containsText" rank="0" priority="2" equalAverage="0" operator="containsText" aboveAverage="0" dxfId="6" text="重复" percent="0" bottom="0">
      <formula>NOT(ISERROR(SEARCH("重复",S6)))</formula>
    </cfRule>
  </conditionalFormatting>
  <conditionalFormatting sqref="K6:K17">
    <cfRule type="containsText" rank="0" priority="3" equalAverage="0" operator="containsText" aboveAverage="0" dxfId="7" text="已完成" percent="0" bottom="0">
      <formula>NOT(ISERROR(SEARCH("已完成",K6)))</formula>
    </cfRule>
    <cfRule type="containsText" rank="0" priority="4" equalAverage="0" operator="containsText" aboveAverage="0" dxfId="8" text="待制作" percent="0" bottom="0">
      <formula>NOT(ISERROR(SEARCH("待制作",K6)))</formula>
    </cfRule>
  </conditionalFormatting>
  <dataValidations count="3">
    <dataValidation sqref="C6:C20" showDropDown="0" showInputMessage="0" showErrorMessage="0" allowBlank="1" type="list" errorStyle="stop">
      <formula1>"角色,敌人,武器,道具,场景,场景道具,基地资产包,UI,特效,音频"</formula1>
      <formula2>0</formula2>
    </dataValidation>
    <dataValidation sqref="K6:K20" showDropDown="0" showInputMessage="0" showErrorMessage="0" allowBlank="1" type="list" errorStyle="stop">
      <formula1>"待制作,程序占位,已完成,原型已接入,弃用,旧资产已从正式基地移除,正式美术已接入,已优化并正式接入,Blender源已完成,已导入；优化完成,已从运行场景移除,白盒组件,design_only,authored,exported_pending_godot_validation,validated,active"</formula1>
      <formula2>0</formula2>
    </dataValidation>
    <dataValidation sqref="L6:L20" showDropDown="0" showInputMessage="0" showErrorMessage="0" allowBlank="1" type="list" errorStyle="stop">
      <formula1>"P0,P1,P2,P3"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5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7.16" customWidth="1" style="37" min="1" max="1"/>
    <col width="28.65" customWidth="1" style="37" min="2" max="2"/>
    <col width="16.71" customWidth="1" style="37" min="3" max="3"/>
    <col width="40.58" customWidth="1" style="37" min="4" max="4"/>
    <col width="31.03" customWidth="1" style="37" min="5" max="5"/>
    <col width="9.550000000000001" customWidth="1" style="37" min="6" max="6"/>
    <col width="31.03" customWidth="1" style="37" min="7" max="7"/>
    <col width="21.48" customWidth="1" style="37" min="8" max="8"/>
    <col width="54.9" customWidth="1" style="37" min="9" max="9"/>
  </cols>
  <sheetData>
    <row r="1" ht="15" customHeight="1" s="38">
      <c r="A1" s="56" t="inlineStr">
        <is>
          <t>敌人动画与状态 · 状态机 × 表现职责</t>
        </is>
      </c>
    </row>
    <row r="2" ht="15" customHeight="1" s="38"/>
    <row r="3" ht="15" customHeight="1" s="38">
      <c r="A3" s="40" t="inlineStr">
        <is>
          <t>状态ID 逐字取自 src/enemy3d/Enemy3D.gd 的 VALID_STATES（12 态）；敌人当前为程序驱动，尚无 Blender 动作母版。动作库接入后必须在「动作来源」列改为 Blender，并登记动作母版路径与 SHA-256。</t>
        </is>
      </c>
    </row>
    <row r="4"/>
    <row r="5" ht="31.5" customHeight="1" s="38">
      <c r="A5" s="44" t="inlineStr">
        <is>
          <t>序号</t>
        </is>
      </c>
      <c r="B5" s="44" t="inlineStr">
        <is>
          <t>状态ID</t>
        </is>
      </c>
      <c r="C5" s="44" t="inlineStr">
        <is>
          <t>中文名</t>
        </is>
      </c>
      <c r="D5" s="44" t="inlineStr">
        <is>
          <t>表现职责</t>
        </is>
      </c>
      <c r="E5" s="44" t="inlineStr">
        <is>
          <t>动作来源</t>
        </is>
      </c>
      <c r="F5" s="44" t="inlineStr">
        <is>
          <t>循环</t>
        </is>
      </c>
      <c r="G5" s="44" t="inlineStr">
        <is>
          <t>挂点/特效挂钩</t>
        </is>
      </c>
      <c r="H5" s="44" t="inlineStr">
        <is>
          <t>首版实现</t>
        </is>
      </c>
      <c r="I5" s="44" t="inlineStr">
        <is>
          <t>备注</t>
        </is>
      </c>
    </row>
    <row r="6" ht="25.5" customHeight="1" s="38">
      <c r="A6" s="48" t="n">
        <v>1</v>
      </c>
      <c r="B6" s="55" t="inlineStr">
        <is>
          <t>dormant</t>
        </is>
      </c>
      <c r="C6" s="48" t="inlineStr">
        <is>
          <t>休眠</t>
        </is>
      </c>
      <c r="D6" s="48" t="inlineStr">
        <is>
          <t>未激活前不表现；不消耗视觉预算</t>
        </is>
      </c>
      <c r="E6" s="48" t="inlineStr">
        <is>
          <t>程序驱动；ranged_caster 已接入保安僵尸 Blender 视觉与射击剪辑</t>
        </is>
      </c>
      <c r="F6" s="48" t="inlineStr">
        <is>
          <t>不播放（采样钉在 0）</t>
        </is>
      </c>
      <c r="G6" s="48" t="inlineStr">
        <is>
          <t>—</t>
        </is>
      </c>
      <c r="H6" s="48" t="inlineStr">
        <is>
          <t>无（钉 0）</t>
        </is>
      </c>
      <c r="I6" s="48" t="inlineStr">
        <is>
          <t>状态转移表见 src/enemy3d/Enemy3D.gd transition_to()，尚未逐条登记</t>
        </is>
      </c>
    </row>
    <row r="7" ht="25.5" customHeight="1" s="38">
      <c r="A7" s="48" t="n">
        <v>2</v>
      </c>
      <c r="B7" s="55" t="inlineStr">
        <is>
          <t>idle</t>
        </is>
      </c>
      <c r="C7" s="48" t="inlineStr">
        <is>
          <t>待机</t>
        </is>
      </c>
      <c r="D7" s="48" t="inlineStr">
        <is>
          <t>呼吸/轻微起伏；程序驱动</t>
        </is>
      </c>
      <c r="E7" s="48" t="inlineStr">
        <is>
          <t>程序驱动；ranged_caster 已接入保安僵尸 Blender 视觉与射击剪辑</t>
        </is>
      </c>
      <c r="F7" s="48" t="inlineStr">
        <is>
          <t>循环</t>
        </is>
      </c>
      <c r="G7" s="55" t="inlineStr">
        <is>
          <t>StateVFX 状态环</t>
        </is>
      </c>
      <c r="H7" s="55" t="inlineStr">
        <is>
          <t>idle 循环剪辑</t>
        </is>
      </c>
      <c r="I7" s="48" t="inlineStr">
        <is>
          <t>状态转移表见 src/enemy3d/Enemy3D.gd transition_to()，尚未逐条登记</t>
        </is>
      </c>
    </row>
    <row r="8" ht="25.5" customHeight="1" s="38">
      <c r="A8" s="48" t="n">
        <v>3</v>
      </c>
      <c r="B8" s="55" t="inlineStr">
        <is>
          <t>patrol</t>
        </is>
      </c>
      <c r="C8" s="48" t="inlineStr">
        <is>
          <t>巡逻</t>
        </is>
      </c>
      <c r="D8" s="48" t="inlineStr">
        <is>
          <t>沿巡逻点位移；朝向跟随路径</t>
        </is>
      </c>
      <c r="E8" s="48" t="inlineStr">
        <is>
          <t>程序驱动；ranged_caster 已接入保安僵尸 Blender 视觉与射击剪辑</t>
        </is>
      </c>
      <c r="F8" s="48" t="inlineStr">
        <is>
          <t>循环</t>
        </is>
      </c>
      <c r="G8" s="55" t="inlineStr">
        <is>
          <t>StateVFX 状态环</t>
        </is>
      </c>
      <c r="H8" s="55" t="inlineStr">
        <is>
          <t>walking（唯一用走路的移动状态）</t>
        </is>
      </c>
      <c r="I8" s="48" t="inlineStr">
        <is>
          <t>状态转移表见 src/enemy3d/Enemy3D.gd transition_to()，尚未逐条登记</t>
        </is>
      </c>
    </row>
    <row r="9" ht="25.5" customHeight="1" s="38">
      <c r="A9" s="48" t="n">
        <v>4</v>
      </c>
      <c r="B9" s="55" t="inlineStr">
        <is>
          <t>alert</t>
        </is>
      </c>
      <c r="C9" s="48" t="inlineStr">
        <is>
          <t>警觉</t>
        </is>
      </c>
      <c r="D9" s="48" t="inlineStr">
        <is>
          <t>锁定可疑目标；身体抬升/视线上抬</t>
        </is>
      </c>
      <c r="E9" s="48" t="inlineStr">
        <is>
          <t>程序驱动；ranged_caster 已接入保安僵尸 Blender 视觉与射击剪辑</t>
        </is>
      </c>
      <c r="F9" s="48" t="inlineStr">
        <is>
          <t>循环（复用 idle）</t>
        </is>
      </c>
      <c r="G9" s="55" t="inlineStr">
        <is>
          <t>StateVFX 状态环</t>
        </is>
      </c>
      <c r="H9" s="55" t="inlineStr">
        <is>
          <t>idle 循环剪辑</t>
        </is>
      </c>
      <c r="I9" s="48" t="inlineStr">
        <is>
          <t>状态转移表见 src/enemy3d/Enemy3D.gd transition_to()，尚未逐条登记</t>
        </is>
      </c>
    </row>
    <row r="10" ht="25.5" customHeight="1" s="38">
      <c r="A10" s="48" t="n">
        <v>5</v>
      </c>
      <c r="B10" s="55" t="inlineStr">
        <is>
          <t>chase</t>
        </is>
      </c>
      <c r="C10" s="48" t="inlineStr">
        <is>
          <t>追击</t>
        </is>
      </c>
      <c r="D10" s="48" t="inlineStr">
        <is>
          <t>朝玩家追击；步频随速度切换</t>
        </is>
      </c>
      <c r="E10" s="48" t="inlineStr">
        <is>
          <t>程序驱动；ranged_caster 已接入保安僵尸 Blender 视觉与射击剪辑</t>
        </is>
      </c>
      <c r="F10" s="48" t="inlineStr">
        <is>
          <t>循环</t>
        </is>
      </c>
      <c r="G10" s="55" t="inlineStr">
        <is>
          <t>StateVFX 状态环</t>
        </is>
      </c>
      <c r="H10" s="55" t="inlineStr">
        <is>
          <t>running 循环剪辑</t>
        </is>
      </c>
      <c r="I10" s="48" t="inlineStr">
        <is>
          <t>状态转移表见 src/enemy3d/Enemy3D.gd transition_to()，尚未逐条登记</t>
        </is>
      </c>
    </row>
    <row r="11" ht="25.5" customHeight="1" s="38">
      <c r="A11" s="48" t="n">
        <v>6</v>
      </c>
      <c r="B11" s="55" t="inlineStr">
        <is>
          <t>search</t>
        </is>
      </c>
      <c r="C11" s="48" t="inlineStr">
        <is>
          <t>搜寻</t>
        </is>
      </c>
      <c r="D11" s="48" t="inlineStr">
        <is>
          <t>丢失目标后在最后已知位置环视</t>
        </is>
      </c>
      <c r="E11" s="48" t="inlineStr">
        <is>
          <t>程序驱动；ranged_caster 已接入保安僵尸 Blender 视觉与射击剪辑</t>
        </is>
      </c>
      <c r="F11" s="48" t="inlineStr">
        <is>
          <t>循环</t>
        </is>
      </c>
      <c r="G11" s="55" t="inlineStr">
        <is>
          <t>StateVFX 状态环</t>
        </is>
      </c>
      <c r="H11" s="55" t="inlineStr">
        <is>
          <t>running 循环剪辑</t>
        </is>
      </c>
      <c r="I11" s="48" t="inlineStr">
        <is>
          <t>状态转移表见 src/enemy3d/Enemy3D.gd transition_to()，尚未逐条登记</t>
        </is>
      </c>
    </row>
    <row r="12" ht="25.5" customHeight="1" s="38">
      <c r="A12" s="48" t="n">
        <v>7</v>
      </c>
      <c r="B12" s="55" t="inlineStr">
        <is>
          <t>return</t>
        </is>
      </c>
      <c r="C12" s="48" t="inlineStr">
        <is>
          <t>归位</t>
        </is>
      </c>
      <c r="D12" s="48" t="inlineStr">
        <is>
          <t>脱离战斗归巡逻点</t>
        </is>
      </c>
      <c r="E12" s="48" t="inlineStr">
        <is>
          <t>程序驱动；ranged_caster 已接入保安僵尸 Blender 视觉与射击剪辑</t>
        </is>
      </c>
      <c r="F12" s="48" t="inlineStr">
        <is>
          <t>循环</t>
        </is>
      </c>
      <c r="G12" s="55" t="inlineStr">
        <is>
          <t>StateVFX 状态环</t>
        </is>
      </c>
      <c r="H12" s="55" t="inlineStr">
        <is>
          <t>running 循环剪辑</t>
        </is>
      </c>
      <c r="I12" s="48" t="inlineStr">
        <is>
          <t>状态转移表见 src/enemy3d/Enemy3D.gd transition_to()，尚未逐条登记</t>
        </is>
      </c>
    </row>
    <row r="13" ht="25.5" customHeight="1" s="38">
      <c r="A13" s="48" t="n">
        <v>8</v>
      </c>
      <c r="B13" s="55" t="inlineStr">
        <is>
          <t>telegraph</t>
        </is>
      </c>
      <c r="C13" s="48" t="inlineStr">
        <is>
          <t>预警</t>
        </is>
      </c>
      <c r="D13" s="48" t="inlineStr">
        <is>
          <t>出手前的蓄力前摇，必须可读</t>
        </is>
      </c>
      <c r="E13" s="48" t="inlineStr">
        <is>
          <t>程序驱动；ranged_caster 已接入保安僵尸 Blender 视觉与射击剪辑</t>
        </is>
      </c>
      <c r="F13" s="48" t="inlineStr">
        <is>
          <t>单次（采样至 length×0.48）</t>
        </is>
      </c>
      <c r="G13" s="55" t="inlineStr">
        <is>
          <t>StateVFX 状态环（前摇必须可读）</t>
        </is>
      </c>
      <c r="H13" s="55" t="inlineStr">
        <is>
          <t>shoot（状态机采样；攻击事件仍由 Enemy3D 发射三弹）</t>
        </is>
      </c>
      <c r="I13" s="48" t="inlineStr">
        <is>
          <t>状态转移表见 src/enemy3d/Enemy3D.gd transition_to()，尚未逐条登记</t>
        </is>
      </c>
    </row>
    <row r="14" ht="25.5" customHeight="1" s="38">
      <c r="A14" s="48" t="n">
        <v>9</v>
      </c>
      <c r="B14" s="55" t="inlineStr">
        <is>
          <t>attack</t>
        </is>
      </c>
      <c r="C14" s="48" t="inlineStr">
        <is>
          <t>攻击</t>
        </is>
      </c>
      <c r="D14" s="48" t="inlineStr">
        <is>
          <t>判定生效帧与挥击/发射表现对齐</t>
        </is>
      </c>
      <c r="E14" s="48" t="inlineStr">
        <is>
          <t>程序驱动；ranged_caster 已接入保安僵尸 Blender 视觉与射击剪辑</t>
        </is>
      </c>
      <c r="F14" s="48" t="inlineStr">
        <is>
          <t>单次（钉 length×0.48）</t>
        </is>
      </c>
      <c r="G14" s="55" t="inlineStr">
        <is>
          <t>StateVFX 状态环；VFX-IMPACT-3D</t>
        </is>
      </c>
      <c r="H14" s="55" t="inlineStr">
        <is>
          <t>shoot（状态机采样；攻击事件仍由 Enemy3D 发射三弹）</t>
        </is>
      </c>
      <c r="I14" s="48" t="inlineStr">
        <is>
          <t>状态转移表见 src/enemy3d/Enemy3D.gd transition_to()，尚未逐条登记</t>
        </is>
      </c>
    </row>
    <row r="15" ht="25.5" customHeight="1" s="38">
      <c r="A15" s="48" t="n">
        <v>10</v>
      </c>
      <c r="B15" s="55" t="inlineStr">
        <is>
          <t>recovery</t>
        </is>
      </c>
      <c r="C15" s="48" t="inlineStr">
        <is>
          <t>收招</t>
        </is>
      </c>
      <c r="D15" s="48" t="inlineStr">
        <is>
          <t>攻击后的硬直表现</t>
        </is>
      </c>
      <c r="E15" s="48" t="inlineStr">
        <is>
          <t>程序驱动；ranged_caster 已接入保安僵尸 Blender 视觉与射击剪辑</t>
        </is>
      </c>
      <c r="F15" s="48" t="inlineStr">
        <is>
          <t>单次（0.48 → 1.0 线性）</t>
        </is>
      </c>
      <c r="G15" s="55" t="inlineStr">
        <is>
          <t>StateVFX 状态环</t>
        </is>
      </c>
      <c r="H15" s="55" t="inlineStr">
        <is>
          <t>shoot（状态机采样；攻击事件仍由 Enemy3D 发射三弹）</t>
        </is>
      </c>
      <c r="I15" s="48" t="inlineStr">
        <is>
          <t>状态转移表见 src/enemy3d/Enemy3D.gd transition_to()，尚未逐条登记</t>
        </is>
      </c>
    </row>
    <row r="16" ht="25.5" customHeight="1" s="38">
      <c r="A16" s="48" t="n">
        <v>11</v>
      </c>
      <c r="B16" s="55" t="inlineStr">
        <is>
          <t>stagger</t>
        </is>
      </c>
      <c r="C16" s="48" t="inlineStr">
        <is>
          <t>踉跄</t>
        </is>
      </c>
      <c r="D16" s="48" t="inlineStr">
        <is>
          <t>受击打断；闪白 + 位移</t>
        </is>
      </c>
      <c r="E16" s="48" t="inlineStr">
        <is>
          <t>程序驱动；ranged_caster 已接入保安僵尸 Blender 视觉与射击剪辑</t>
        </is>
      </c>
      <c r="F16" s="48" t="inlineStr">
        <is>
          <t>单次（0.16s 硬直内）</t>
        </is>
      </c>
      <c r="G16" s="48" t="inlineStr">
        <is>
          <t>受击闪白（材质 emission 覆盖）</t>
        </is>
      </c>
      <c r="H16" s="55" t="inlineStr">
        <is>
          <t>hurt 按 0.16s 采样</t>
        </is>
      </c>
      <c r="I16" s="48" t="inlineStr">
        <is>
          <t>状态转移表见 src/enemy3d/Enemy3D.gd transition_to()，尚未逐条登记</t>
        </is>
      </c>
    </row>
    <row r="17" ht="25.5" customHeight="1" s="38">
      <c r="A17" s="48" t="n">
        <v>12</v>
      </c>
      <c r="B17" s="55" t="inlineStr">
        <is>
          <t>dead</t>
        </is>
      </c>
      <c r="C17" s="48" t="inlineStr">
        <is>
          <t>死亡</t>
        </is>
      </c>
      <c r="D17" s="48" t="inlineStr">
        <is>
          <t>倒地/瓦解；播放结束即回收</t>
        </is>
      </c>
      <c r="E17" s="48" t="inlineStr">
        <is>
          <t>程序驱动；ranged_caster 已接入保安僵尸 Blender 视觉与射击剪辑</t>
        </is>
      </c>
      <c r="F17" s="48" t="inlineStr">
        <is>
          <t>单次（末帧保持）</t>
        </is>
      </c>
      <c r="G17" s="55" t="inlineStr">
        <is>
          <t>VFX-IMPACT-3D；表现保留 2.4s</t>
        </is>
      </c>
      <c r="H17" s="55" t="inlineStr">
        <is>
          <t>dead 采样至剪辑长</t>
        </is>
      </c>
      <c r="I17" s="48" t="inlineStr">
        <is>
          <t>状态转移表见 src/enemy3d/Enemy3D.gd transition_to()，尚未逐条登记</t>
        </is>
      </c>
    </row>
    <row r="18"/>
    <row r="19" ht="15" customHeight="1" s="38">
      <c r="A19" s="51" t="inlineStr">
        <is>
          <t>敌人条目 × 状态机对照（本账本《资产主表》的每条敌人资产都走同一套 12 态状态机）</t>
        </is>
      </c>
      <c r="B19" s="52" t="n"/>
      <c r="C19" s="52" t="n"/>
      <c r="D19" s="52" t="n"/>
      <c r="E19" s="52" t="n"/>
      <c r="F19" s="52" t="n"/>
      <c r="G19" s="52" t="n"/>
      <c r="H19" s="52" t="n"/>
      <c r="I19" s="53" t="n"/>
    </row>
    <row r="20" ht="15" customHeight="1" s="38">
      <c r="A20" s="42" t="inlineStr">
        <is>
          <t>序号</t>
        </is>
      </c>
      <c r="B20" s="42" t="inlineStr">
        <is>
          <t>敌人ID(AssetID)</t>
        </is>
      </c>
      <c r="C20" s="42" t="inlineStr">
        <is>
          <t>中文名</t>
        </is>
      </c>
      <c r="D20" s="42" t="inlineStr">
        <is>
          <t>骨架/动作库</t>
        </is>
      </c>
      <c r="E20" s="42" t="inlineStr">
        <is>
          <t>状态机</t>
        </is>
      </c>
      <c r="F20" s="42" t="inlineStr">
        <is>
          <t>表现层级</t>
        </is>
      </c>
      <c r="G20" s="42" t="inlineStr">
        <is>
          <t>独立动作母版</t>
        </is>
      </c>
      <c r="H20" s="42" t="inlineStr">
        <is>
          <t>首版实现</t>
        </is>
      </c>
      <c r="I20" s="42" t="inlineStr">
        <is>
          <t>备注</t>
        </is>
      </c>
    </row>
    <row r="21" ht="47.75" customHeight="1" s="38">
      <c r="A21" s="48" t="n">
        <v>1</v>
      </c>
      <c r="B21" s="55" t="inlineStr">
        <is>
          <t>ENM-MELEE-FUNGBOAR01</t>
        </is>
      </c>
      <c r="C21" s="48" t="inlineStr">
        <is>
          <t>小僵尸</t>
        </is>
      </c>
      <c r="D21" s="55" t="inlineStr">
        <is>
          <t>Blender 动作母版 v003（36 骨；6 剪辑 idle/walking/running/attack/hurt/dead）</t>
        </is>
      </c>
      <c r="E21" s="55" t="inlineStr">
        <is>
          <t>ENEMY_AI_12_STATES</t>
        </is>
      </c>
      <c r="F21" s="48" t="inlineStr">
        <is>
          <t>骨骼 GLB / runtime Prefab（无碰撞）</t>
        </is>
      </c>
      <c r="G21" s="48" t="inlineStr">
        <is>
          <t>有：assets/art/enemies/normal_enemy_3d/melee_chaser/source/animation/enm_melee_fungboar01_animation_v003.blend</t>
        </is>
      </c>
      <c r="H21" s="48" t="inlineStr">
        <is>
          <t>已完成（verify_melee_zombie_presentation）</t>
        </is>
      </c>
      <c r="I21" s="48" t="n"/>
    </row>
    <row r="22" ht="52.2" customHeight="1" s="38">
      <c r="A22" s="48" t="n">
        <v>2</v>
      </c>
      <c r="B22" s="55" t="inlineStr">
        <is>
          <t>ENM-RANGED-SPORESHOOTER01</t>
        </is>
      </c>
      <c r="C22" s="48" t="inlineStr">
        <is>
          <t>保安僵尸</t>
        </is>
      </c>
      <c r="D22" s="55" t="inlineStr">
        <is>
          <t>Blender 动作母版 v002（复用36骨；6基础剪辑 + armed_idle/walking_armed/running_armed/shoot）</t>
        </is>
      </c>
      <c r="E22" s="55" t="inlineStr">
        <is>
          <t>ENEMY_AI_12_STATES</t>
        </is>
      </c>
      <c r="F22" s="48" t="inlineStr">
        <is>
          <t>骨骼 GLB / runtime Prefab / 双管炮视觉附件（无碰撞）</t>
        </is>
      </c>
      <c r="G22" s="48" t="inlineStr">
        <is>
          <t>有：assets/art/enemies/normal_enemy_3d/ranged_caster/source/animation/enm_ranged_sporeshooter01_animation_v002.blend</t>
        </is>
      </c>
      <c r="H22" s="48" t="inlineStr">
        <is>
          <t>已接入（verify_security_zombie_presentation）</t>
        </is>
      </c>
      <c r="I22" s="48" t="n"/>
    </row>
    <row r="23" ht="20.85" customHeight="1" s="38">
      <c r="A23" s="48" t="n">
        <v>3</v>
      </c>
      <c r="B23" s="55" t="inlineStr">
        <is>
          <t>ENM-SUMMON-HIVE01</t>
        </is>
      </c>
      <c r="C23" s="48" t="inlineStr">
        <is>
          <t>蜂巢怪</t>
        </is>
      </c>
      <c r="D23" s="48" t="inlineStr">
        <is>
          <t>无 Blender 动作母版（程序驱动）</t>
        </is>
      </c>
      <c r="E23" s="55" t="inlineStr">
        <is>
          <t>ENEMY_AI_12_STATES</t>
        </is>
      </c>
      <c r="F23" s="48" t="inlineStr">
        <is>
          <t>程序 Mesh / Prefab</t>
        </is>
      </c>
      <c r="G23" s="48" t="inlineStr">
        <is>
          <t>无</t>
        </is>
      </c>
      <c r="H23" s="48" t="inlineStr">
        <is>
          <t>待登记</t>
        </is>
      </c>
      <c r="I23" s="48" t="n"/>
    </row>
    <row r="24" ht="20.85" customHeight="1" s="38">
      <c r="A24" s="48" t="n">
        <v>4</v>
      </c>
      <c r="B24" s="55" t="inlineStr">
        <is>
          <t>ENM-TANK-SHELLGUARD01</t>
        </is>
      </c>
      <c r="C24" s="48" t="inlineStr">
        <is>
          <t>壳甲卫兵</t>
        </is>
      </c>
      <c r="D24" s="48" t="inlineStr">
        <is>
          <t>无 Blender 动作母版（程序驱动）</t>
        </is>
      </c>
      <c r="E24" s="55" t="inlineStr">
        <is>
          <t>ENEMY_AI_12_STATES</t>
        </is>
      </c>
      <c r="F24" s="48" t="inlineStr">
        <is>
          <t>程序 Mesh / Prefab</t>
        </is>
      </c>
      <c r="G24" s="48" t="inlineStr">
        <is>
          <t>无</t>
        </is>
      </c>
      <c r="H24" s="48" t="inlineStr">
        <is>
          <t>待登记</t>
        </is>
      </c>
      <c r="I24" s="48" t="n"/>
    </row>
    <row r="25" ht="20.85" customHeight="1" s="38">
      <c r="A25" s="48" t="n">
        <v>5</v>
      </c>
      <c r="B25" s="55" t="inlineStr">
        <is>
          <t>ENM-BOMBER-FRUIT01</t>
        </is>
      </c>
      <c r="C25" s="48" t="inlineStr">
        <is>
          <t>炸弹果</t>
        </is>
      </c>
      <c r="D25" s="48" t="inlineStr">
        <is>
          <t>无 Blender 动作母版（程序驱动）</t>
        </is>
      </c>
      <c r="E25" s="55" t="inlineStr">
        <is>
          <t>ENEMY_AI_12_STATES</t>
        </is>
      </c>
      <c r="F25" s="48" t="inlineStr">
        <is>
          <t>程序 Mesh / Prefab</t>
        </is>
      </c>
      <c r="G25" s="48" t="inlineStr">
        <is>
          <t>无</t>
        </is>
      </c>
      <c r="H25" s="48" t="inlineStr">
        <is>
          <t>待登记</t>
        </is>
      </c>
      <c r="I25" s="48" t="n"/>
    </row>
    <row r="26" ht="20.85" customHeight="1" s="38">
      <c r="A26" s="48" t="n">
        <v>6</v>
      </c>
      <c r="B26" s="55" t="inlineStr">
        <is>
          <t>ENM-TRAP-SPIKEWORM01</t>
        </is>
      </c>
      <c r="C26" s="48" t="inlineStr">
        <is>
          <t>地刺虫</t>
        </is>
      </c>
      <c r="D26" s="48" t="inlineStr">
        <is>
          <t>无 Blender 动作母版（程序驱动）</t>
        </is>
      </c>
      <c r="E26" s="55" t="inlineStr">
        <is>
          <t>ENEMY_AI_12_STATES</t>
        </is>
      </c>
      <c r="F26" s="48" t="inlineStr">
        <is>
          <t>程序 Mesh / Prefab</t>
        </is>
      </c>
      <c r="G26" s="48" t="inlineStr">
        <is>
          <t>无</t>
        </is>
      </c>
      <c r="H26" s="48" t="inlineStr">
        <is>
          <t>待登记</t>
        </is>
      </c>
      <c r="I26" s="48" t="n"/>
    </row>
    <row r="27" ht="20.85" customHeight="1" s="38">
      <c r="A27" s="48" t="n">
        <v>7</v>
      </c>
      <c r="B27" s="55" t="inlineStr">
        <is>
          <t>ENM-BOSS-ABYSS01</t>
        </is>
      </c>
      <c r="C27" s="48" t="inlineStr">
        <is>
          <t>深渊 Boss</t>
        </is>
      </c>
      <c r="D27" s="48" t="inlineStr">
        <is>
          <t>无 Blender 动作母版（程序驱动）</t>
        </is>
      </c>
      <c r="E27" s="55" t="inlineStr">
        <is>
          <t>ENEMY_AI_12_STATES</t>
        </is>
      </c>
      <c r="F27" s="48" t="inlineStr">
        <is>
          <t>程序 Mesh / Prefab</t>
        </is>
      </c>
      <c r="G27" s="48" t="inlineStr">
        <is>
          <t>无</t>
        </is>
      </c>
      <c r="H27" s="48" t="inlineStr">
        <is>
          <t>待登记</t>
        </is>
      </c>
      <c r="I27" s="48" t="n"/>
    </row>
    <row r="28" ht="20.85" customHeight="1" s="38">
      <c r="A28" s="48" t="n">
        <v>8</v>
      </c>
      <c r="B28" s="55" t="inlineStr">
        <is>
          <t>ENM-ECOSYSTEM-KIT-3D</t>
        </is>
      </c>
      <c r="C28" s="48" t="inlineStr">
        <is>
          <t>七类怪物3D生态套件</t>
        </is>
      </c>
      <c r="D28" s="48" t="inlineStr">
        <is>
          <t>无 Blender 动作母版（程序驱动）</t>
        </is>
      </c>
      <c r="E28" s="55" t="inlineStr">
        <is>
          <t>ENEMY_AI_12_STATES</t>
        </is>
      </c>
      <c r="F28" s="48" t="inlineStr">
        <is>
          <t>程序 Mesh / Prefab</t>
        </is>
      </c>
      <c r="G28" s="48" t="inlineStr">
        <is>
          <t>无</t>
        </is>
      </c>
      <c r="H28" s="48" t="inlineStr">
        <is>
          <t>待登记</t>
        </is>
      </c>
      <c r="I28" s="48" t="n"/>
    </row>
    <row r="29" ht="20.85" customHeight="1" s="38">
      <c r="A29" s="48" t="n">
        <v>9</v>
      </c>
      <c r="B29" s="55" t="inlineStr">
        <is>
          <t>ENM-BOSS-ARCHIVIST-95</t>
        </is>
      </c>
      <c r="C29" s="48" t="inlineStr">
        <is>
          <t>深渊档案官</t>
        </is>
      </c>
      <c r="D29" s="48" t="inlineStr">
        <is>
          <t>无 Blender 动作母版（程序驱动）</t>
        </is>
      </c>
      <c r="E29" s="55" t="inlineStr">
        <is>
          <t>ENEMY_AI_12_STATES</t>
        </is>
      </c>
      <c r="F29" s="48" t="inlineStr">
        <is>
          <t>程序 Mesh / Prefab</t>
        </is>
      </c>
      <c r="G29" s="48" t="inlineStr">
        <is>
          <t>无</t>
        </is>
      </c>
      <c r="H29" s="48" t="inlineStr">
        <is>
          <t>待登记</t>
        </is>
      </c>
      <c r="I29" s="48" t="n"/>
    </row>
    <row r="30" ht="20.85" customHeight="1" s="38">
      <c r="A30" s="48" t="n">
        <v>10</v>
      </c>
      <c r="B30" s="55" t="inlineStr">
        <is>
          <t>ENM-BOSS-FURNACE-WARDEN-90</t>
        </is>
      </c>
      <c r="C30" s="48" t="inlineStr">
        <is>
          <t>熔炉狱监</t>
        </is>
      </c>
      <c r="D30" s="48" t="inlineStr">
        <is>
          <t>无 Blender 动作母版（程序驱动）</t>
        </is>
      </c>
      <c r="E30" s="55" t="inlineStr">
        <is>
          <t>ENEMY_AI_12_STATES</t>
        </is>
      </c>
      <c r="F30" s="48" t="inlineStr">
        <is>
          <t>程序 Mesh / Prefab</t>
        </is>
      </c>
      <c r="G30" s="48" t="inlineStr">
        <is>
          <t>无</t>
        </is>
      </c>
      <c r="H30" s="48" t="inlineStr">
        <is>
          <t>待登记</t>
        </is>
      </c>
      <c r="I30" s="48" t="n"/>
    </row>
    <row r="31" ht="20.85" customHeight="1" s="38">
      <c r="A31" s="48" t="n">
        <v>11</v>
      </c>
      <c r="B31" s="55" t="inlineStr">
        <is>
          <t>ENM-BOSS-HOLLOW-CHOIR-85</t>
        </is>
      </c>
      <c r="C31" s="48" t="inlineStr">
        <is>
          <t>空洞合唱团</t>
        </is>
      </c>
      <c r="D31" s="48" t="inlineStr">
        <is>
          <t>无 Blender 动作母版（程序驱动）</t>
        </is>
      </c>
      <c r="E31" s="55" t="inlineStr">
        <is>
          <t>ENEMY_AI_12_STATES</t>
        </is>
      </c>
      <c r="F31" s="48" t="inlineStr">
        <is>
          <t>程序 Mesh / Prefab</t>
        </is>
      </c>
      <c r="G31" s="48" t="inlineStr">
        <is>
          <t>无</t>
        </is>
      </c>
      <c r="H31" s="48" t="inlineStr">
        <is>
          <t>待登记</t>
        </is>
      </c>
      <c r="I31" s="48" t="n"/>
    </row>
    <row r="32" ht="20.85" customHeight="1" s="38">
      <c r="A32" s="48" t="n">
        <v>12</v>
      </c>
      <c r="B32" s="55" t="inlineStr">
        <is>
          <t>ENM-ELITE-RIFT-BOAR-ARMED-3D</t>
        </is>
      </c>
      <c r="C32" s="48" t="inlineStr">
        <is>
          <t>背枪的裂口爬虫3D精英根</t>
        </is>
      </c>
      <c r="D32" s="48" t="inlineStr">
        <is>
          <t>无 Blender 动作母版（程序驱动）</t>
        </is>
      </c>
      <c r="E32" s="55" t="inlineStr">
        <is>
          <t>ENEMY_AI_12_STATES</t>
        </is>
      </c>
      <c r="F32" s="48" t="inlineStr">
        <is>
          <t>程序 Mesh / Prefab</t>
        </is>
      </c>
      <c r="G32" s="48" t="inlineStr">
        <is>
          <t>无</t>
        </is>
      </c>
      <c r="H32" s="48" t="inlineStr">
        <is>
          <t>待登记</t>
        </is>
      </c>
      <c r="I32" s="48" t="n"/>
    </row>
    <row r="33" ht="15" customHeight="1" s="38">
      <c r="A33" s="44" t="inlineStr">
        <is>
          <t>合计</t>
        </is>
      </c>
      <c r="B33" s="44">
        <f>COUNTA(B21:B32)</f>
        <v/>
      </c>
      <c r="C33" s="44" t="n"/>
      <c r="D33" s="44" t="n"/>
      <c r="E33" s="44" t="n"/>
      <c r="F33" s="44" t="n"/>
      <c r="G33" s="44" t="n"/>
      <c r="H33" s="44" t="n"/>
      <c r="I33" s="44" t="n"/>
    </row>
    <row r="34">
      <c r="A34" s="37" t="inlineStr">
        <is>
          <t>ENM-NORMAL-FAT-ZOMBIE03</t>
        </is>
      </c>
      <c r="B34" s="37" t="inlineStr">
        <is>
          <t>idle</t>
        </is>
      </c>
      <c r="C34" s="37" t="inlineStr">
        <is>
          <t>胖子僵尸03 压重待机</t>
        </is>
      </c>
      <c r="D34" s="37" t="inlineStr">
        <is>
          <t>自然张手/压重呼吸/左右移重；30fps F0—96；3.2s</t>
        </is>
      </c>
      <c r="E34" s="37" t="inlineStr">
        <is>
          <t>assets/art/enemies/normal_enemy_3d/fat_zombie03/source/animation/enm_normal_fat_zombie03_animation_v008.blend</t>
        </is>
      </c>
      <c r="F34" s="37" t="inlineStr">
        <is>
          <t>循环</t>
        </is>
      </c>
      <c r="G34" s="37" t="inlineStr">
        <is>
          <t>idle循环；dormant保持首帧</t>
        </is>
      </c>
      <c r="H34" s="37" t="inlineStr">
        <is>
          <t>已制作/导出/12态绑定/运行验收通过</t>
        </is>
      </c>
      <c r="I3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5">
      <c r="A35" s="37" t="inlineStr">
        <is>
          <t>ENM-NORMAL-FAT-ZOMBIE03</t>
        </is>
      </c>
      <c r="B35" s="37" t="inlineStr">
        <is>
          <t>walking</t>
        </is>
      </c>
      <c r="C35" s="37" t="inlineStr">
        <is>
          <t>胖子僵尸03 沉重巡逻</t>
        </is>
      </c>
      <c r="D35" s="37" t="inlineStr">
        <is>
          <t>抬臂自然屈肘；短步移重；30fps F0—60；2.0s；参考0.30m/s</t>
        </is>
      </c>
      <c r="E35" s="37" t="inlineStr">
        <is>
          <t>assets/art/enemies/normal_enemy_3d/fat_zombie03/source/animation/enm_normal_fat_zombie03_animation_v008.blend</t>
        </is>
      </c>
      <c r="F35" s="37" t="inlineStr">
        <is>
          <t>循环</t>
        </is>
      </c>
      <c r="G35" s="37" t="inlineStr">
        <is>
          <t>仅patrol；步频按实际速度采样</t>
        </is>
      </c>
      <c r="H35" s="37" t="inlineStr">
        <is>
          <t>已制作/导出/12态绑定/运行验收通过</t>
        </is>
      </c>
      <c r="I3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6">
      <c r="A36" s="37" t="inlineStr">
        <is>
          <t>ENM-NORMAL-FAT-ZOMBIE03</t>
        </is>
      </c>
      <c r="B36" s="37" t="inlineStr">
        <is>
          <t>running</t>
        </is>
      </c>
      <c r="C36" s="37" t="inlineStr">
        <is>
          <t>胖子僵尸03 低速压迫追击</t>
        </is>
      </c>
      <c r="D36" s="37" t="inlineStr">
        <is>
          <t>张臂重踏/胸肩扭摆；30fps F0—36；1.2s；参考0.60m/s</t>
        </is>
      </c>
      <c r="E36" s="37" t="inlineStr">
        <is>
          <t>assets/art/enemies/normal_enemy_3d/fat_zombie03/source/animation/enm_normal_fat_zombie03_animation_v008.blend</t>
        </is>
      </c>
      <c r="F36" s="37" t="inlineStr">
        <is>
          <t>循环</t>
        </is>
      </c>
      <c r="G36" s="37" t="inlineStr">
        <is>
          <t>chase/search/return；按实际速度采样</t>
        </is>
      </c>
      <c r="H36" s="37" t="inlineStr">
        <is>
          <t>已制作/导出/12态绑定/运行验收通过</t>
        </is>
      </c>
      <c r="I3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7">
      <c r="A37" s="37" t="inlineStr">
        <is>
          <t>ENM-NORMAL-FAT-ZOMBIE03</t>
        </is>
      </c>
      <c r="B37" s="37" t="inlineStr">
        <is>
          <t>attack</t>
        </is>
      </c>
      <c r="C37" s="37" t="inlineStr">
        <is>
          <t>双手张开向内抱扑</t>
        </is>
      </c>
      <c r="D37" s="37" t="inlineStr">
        <is>
          <t>大幅张臂/6帧双掌拍合/压实收势；30fps F0—75；2.5s</t>
        </is>
      </c>
      <c r="E37" s="37" t="inlineStr">
        <is>
          <t>assets/art/enemies/normal_enemy_3d/fat_zombie03/source/animation/enm_normal_fat_zombie03_animation_v008.blend</t>
        </is>
      </c>
      <c r="F37" s="37" t="inlineStr">
        <is>
          <t>单次末帧保持</t>
        </is>
      </c>
      <c r="G37" s="37" t="inlineStr">
        <is>
          <t>Enemy3D：F30锁朝向，F36单次伤害；Root无突进</t>
        </is>
      </c>
      <c r="H37" s="37" t="inlineStr">
        <is>
          <t>已制作/导出/12态绑定/运行验收通过</t>
        </is>
      </c>
      <c r="I37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8">
      <c r="A38" s="37" t="inlineStr">
        <is>
          <t>ENM-NORMAL-FAT-ZOMBIE03</t>
        </is>
      </c>
      <c r="B38" s="37" t="inlineStr">
        <is>
          <t>hurt</t>
        </is>
      </c>
      <c r="C38" s="37" t="inlineStr">
        <is>
          <t>胖子僵尸03 重击硬直</t>
        </is>
      </c>
      <c r="D38" s="37" t="inlineStr">
        <is>
          <t>30fps F0—24；0.8s；独立Action</t>
        </is>
      </c>
      <c r="E38" s="37" t="inlineStr">
        <is>
          <t>assets/art/enemies/normal_enemy_3d/fat_zombie03/source/animation/enm_normal_fat_zombie03_animation_v008.blend</t>
        </is>
      </c>
      <c r="F38" s="37" t="inlineStr">
        <is>
          <t>单次末帧保持</t>
        </is>
      </c>
      <c r="G38" s="37" t="inlineStr">
        <is>
          <t>重击stagger 0.8秒</t>
        </is>
      </c>
      <c r="H38" s="37" t="inlineStr">
        <is>
          <t>已制作/导出/12态绑定/运行验收通过</t>
        </is>
      </c>
      <c r="I38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39">
      <c r="A39" s="37" t="inlineStr">
        <is>
          <t>ENM-NORMAL-FAT-ZOMBIE03</t>
        </is>
      </c>
      <c r="B39" s="37" t="inlineStr">
        <is>
          <t>dead</t>
        </is>
      </c>
      <c r="C39" s="37" t="inlineStr">
        <is>
          <t>胖子僵尸03 跪塌前扑</t>
        </is>
      </c>
      <c r="D39" s="37" t="inlineStr">
        <is>
          <t>30fps F0—78；2.6s；独立Action</t>
        </is>
      </c>
      <c r="E39" s="37" t="inlineStr">
        <is>
          <t>assets/art/enemies/normal_enemy_3d/fat_zombie03/source/animation/enm_normal_fat_zombie03_animation_v008.blend</t>
        </is>
      </c>
      <c r="F39" s="37" t="inlineStr">
        <is>
          <t>单次末帧保持</t>
        </is>
      </c>
      <c r="G39" s="37" t="inlineStr">
        <is>
          <t>死亡2.6秒回收；腹部形变/落地回弹保留</t>
        </is>
      </c>
      <c r="H39" s="37" t="inlineStr">
        <is>
          <t>已制作/导出/12态绑定/运行验收通过</t>
        </is>
      </c>
      <c r="I3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40">
      <c r="A40" s="37" t="inlineStr">
        <is>
          <t>ENM-NORMAL-FAT-ZOMBIE03</t>
        </is>
      </c>
      <c r="B40" s="37" t="inlineStr">
        <is>
          <t>awaken</t>
        </is>
      </c>
      <c r="C40" s="37" t="inlineStr">
        <is>
          <t>胖子僵尸03 唤醒</t>
        </is>
      </c>
      <c r="D40" s="37" t="inlineStr">
        <is>
          <t>30fps F0—36；1.2s；独立Action</t>
        </is>
      </c>
      <c r="E40" s="37" t="inlineStr">
        <is>
          <t>assets/art/enemies/normal_enemy_3d/fat_zombie03/source/animation/enm_normal_fat_zombie03_animation_v008.blend</t>
        </is>
      </c>
      <c r="F40" s="37" t="inlineStr">
        <is>
          <t>单次末帧保持</t>
        </is>
      </c>
      <c r="G40" s="37" t="inlineStr">
        <is>
          <t>dormant→idle</t>
        </is>
      </c>
      <c r="H40" s="37" t="inlineStr">
        <is>
          <t>已制作/导出/12态绑定/运行验收通过</t>
        </is>
      </c>
      <c r="I40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1">
      <c r="A41" s="37" t="inlineStr">
        <is>
          <t>ENM-NORMAL-FAT-ZOMBIE03</t>
        </is>
      </c>
      <c r="B41" s="37" t="inlineStr">
        <is>
          <t>alert</t>
        </is>
      </c>
      <c r="C41" s="37" t="inlineStr">
        <is>
          <t>胖子僵尸03 察觉定身</t>
        </is>
      </c>
      <c r="D41" s="37" t="inlineStr">
        <is>
          <t>30fps F0—18；0.6s；独立Action</t>
        </is>
      </c>
      <c r="E41" s="37" t="inlineStr">
        <is>
          <t>assets/art/enemies/normal_enemy_3d/fat_zombie03/source/animation/enm_normal_fat_zombie03_animation_v008.blend</t>
        </is>
      </c>
      <c r="F41" s="37" t="inlineStr">
        <is>
          <t>单次末帧保持</t>
        </is>
      </c>
      <c r="G41" s="37" t="inlineStr">
        <is>
          <t>alert 0.6秒</t>
        </is>
      </c>
      <c r="H41" s="37" t="inlineStr">
        <is>
          <t>已制作/导出/12态绑定/运行验收通过</t>
        </is>
      </c>
      <c r="I41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2">
      <c r="A42" s="37" t="inlineStr">
        <is>
          <t>ENM-NORMAL-FAT-ZOMBIE03</t>
        </is>
      </c>
      <c r="B42" s="37" t="inlineStr">
        <is>
          <t>turn_l</t>
        </is>
      </c>
      <c r="C42" s="37" t="inlineStr">
        <is>
          <t>胖子僵尸03 左转</t>
        </is>
      </c>
      <c r="D42" s="37" t="inlineStr">
        <is>
          <t>30fps F0—24；0.8s；独立Action</t>
        </is>
      </c>
      <c r="E42" s="37" t="inlineStr">
        <is>
          <t>assets/art/enemies/normal_enemy_3d/fat_zombie03/source/animation/enm_normal_fat_zombie03_animation_v008.blend</t>
        </is>
      </c>
      <c r="F42" s="37" t="inlineStr">
        <is>
          <t>单次末帧保持</t>
        </is>
      </c>
      <c r="G42" s="37" t="inlineStr">
        <is>
          <t>idle实际左转触发</t>
        </is>
      </c>
      <c r="H42" s="37" t="inlineStr">
        <is>
          <t>已制作/导出/12态绑定/运行验收通过</t>
        </is>
      </c>
      <c r="I42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3">
      <c r="A43" s="37" t="inlineStr">
        <is>
          <t>ENM-NORMAL-FAT-ZOMBIE03</t>
        </is>
      </c>
      <c r="B43" s="37" t="inlineStr">
        <is>
          <t>turn_r</t>
        </is>
      </c>
      <c r="C43" s="37" t="inlineStr">
        <is>
          <t>胖子僵尸03 右转</t>
        </is>
      </c>
      <c r="D43" s="37" t="inlineStr">
        <is>
          <t>30fps F0—24；0.8s；独立Action</t>
        </is>
      </c>
      <c r="E43" s="37" t="inlineStr">
        <is>
          <t>assets/art/enemies/normal_enemy_3d/fat_zombie03/source/animation/enm_normal_fat_zombie03_animation_v008.blend</t>
        </is>
      </c>
      <c r="F43" s="37" t="inlineStr">
        <is>
          <t>单次末帧保持</t>
        </is>
      </c>
      <c r="G43" s="37" t="inlineStr">
        <is>
          <t>idle实际右转触发</t>
        </is>
      </c>
      <c r="H43" s="37" t="inlineStr">
        <is>
          <t>已制作/导出/12态绑定/运行验收通过</t>
        </is>
      </c>
      <c r="I4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4">
      <c r="A44" s="37" t="inlineStr">
        <is>
          <t>ENM-NORMAL-FAT-ZOMBIE03</t>
        </is>
      </c>
      <c r="B44" s="37" t="inlineStr">
        <is>
          <t>move_start</t>
        </is>
      </c>
      <c r="C44" s="37" t="inlineStr">
        <is>
          <t>胖子僵尸03 起步</t>
        </is>
      </c>
      <c r="D44" s="37" t="inlineStr">
        <is>
          <t>30fps F0—12；0.4s；独立Action</t>
        </is>
      </c>
      <c r="E44" s="37" t="inlineStr">
        <is>
          <t>assets/art/enemies/normal_enemy_3d/fat_zombie03/source/animation/enm_normal_fat_zombie03_animation_v008.blend</t>
        </is>
      </c>
      <c r="F44" s="37" t="inlineStr">
        <is>
          <t>单次末帧保持</t>
        </is>
      </c>
      <c r="G44" s="37" t="inlineStr">
        <is>
          <t>进入patrol；0.4秒接walking</t>
        </is>
      </c>
      <c r="H44" s="37" t="inlineStr">
        <is>
          <t>已制作/导出/12态绑定/运行验收通过</t>
        </is>
      </c>
      <c r="I44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5">
      <c r="A45" s="37" t="inlineStr">
        <is>
          <t>ENM-NORMAL-FAT-ZOMBIE03</t>
        </is>
      </c>
      <c r="B45" s="37" t="inlineStr">
        <is>
          <t>move_stop</t>
        </is>
      </c>
      <c r="C45" s="37" t="inlineStr">
        <is>
          <t>胖子僵尸03 刹停</t>
        </is>
      </c>
      <c r="D45" s="37" t="inlineStr">
        <is>
          <t>30fps F0—18；0.6s；独立Action</t>
        </is>
      </c>
      <c r="E45" s="37" t="inlineStr">
        <is>
          <t>assets/art/enemies/normal_enemy_3d/fat_zombie03/source/animation/enm_normal_fat_zombie03_animation_v008.blend</t>
        </is>
      </c>
      <c r="F45" s="37" t="inlineStr">
        <is>
          <t>单次末帧保持</t>
        </is>
      </c>
      <c r="G45" s="37" t="inlineStr">
        <is>
          <t>patrol→idle；0.6秒接idle</t>
        </is>
      </c>
      <c r="H45" s="37" t="inlineStr">
        <is>
          <t>已制作/导出/12态绑定/运行验收通过</t>
        </is>
      </c>
      <c r="I45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6">
      <c r="A46" s="37" t="inlineStr">
        <is>
          <t>ENM-NORMAL-FAT-ZOMBIE03</t>
        </is>
      </c>
      <c r="B46" s="37" t="inlineStr">
        <is>
          <t>hit_light</t>
        </is>
      </c>
      <c r="C46" s="37" t="inlineStr">
        <is>
          <t>胖子僵尸03 普通受击</t>
        </is>
      </c>
      <c r="D46" s="37" t="inlineStr">
        <is>
          <t>30fps F0—9；0.3s；独立Action</t>
        </is>
      </c>
      <c r="E46" s="37" t="inlineStr">
        <is>
          <t>assets/art/enemies/normal_enemy_3d/fat_zombie03/source/animation/enm_normal_fat_zombie03_animation_v008.blend</t>
        </is>
      </c>
      <c r="F46" s="37" t="inlineStr">
        <is>
          <t>单次末帧保持</t>
        </is>
      </c>
      <c r="G46" s="37" t="inlineStr">
        <is>
          <t>普通命中触发；Waist以上旋转局部替换，保留腿部动作</t>
        </is>
      </c>
      <c r="H46" s="37" t="inlineStr">
        <is>
          <t>已制作/导出/12态绑定/运行验收通过</t>
        </is>
      </c>
      <c r="I46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</t>
        </is>
      </c>
    </row>
    <row r="47" ht="90" customHeight="1">
      <c xmlns="http://schemas.openxmlformats.org/spreadsheetml/2006/main" r="A47" t="str" s="37">
        <v>ENM-BOSS-MONITOR002-3D</v>
      </c>
      <c xmlns="http://schemas.openxmlformats.org/spreadsheetml/2006/main" r="B47" t="str" s="37">
        <v>dormant</v>
      </c>
      <c xmlns="http://schemas.openxmlformats.org/spreadsheetml/2006/main" r="C47" t="str" s="37">
        <v>显示器Boss002</v>
      </c>
      <c xmlns="http://schemas.openxmlformats.org/spreadsheetml/2006/main" r="D47" t="str" s="37">
        <v>idle</v>
      </c>
      <c xmlns="http://schemas.openxmlformats.org/spreadsheetml/2006/main" r="E47" s="37" t="str">
        <v>assets/art/enemies/bosses/enm_boss_monitor002/source/enm_boss_monitor002_model_v032.blend; assets/art/enemies/bosses/enm_boss_monitor002/source/enm_boss_monitor002_animation_v032.blend</v>
      </c>
      <c xmlns="http://schemas.openxmlformats.org/spreadsheetml/2006/main" r="F47" t="str" s="37">
        <v>idle/move/通电/坐地循环；其他单次</v>
      </c>
      <c xmlns="http://schemas.openxmlformats.org/spreadsheetml/2006/main" r="G47" t="str" s="37">
        <v>键盘/线梢/屏幕挂点；纯色块赛博VFX</v>
      </c>
      <c xmlns="http://schemas.openxmlformats.org/spreadsheetml/2006/main" r="H47" t="str" s="37">
        <v>Blender采样；Enemy3D技能策略</v>
      </c>
      <c xmlns="http://schemas.openxmlformats.org/spreadsheetml/2006/main" r="I47" s="37" t="str">
        <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v>
      </c>
    </row>
    <row r="48" ht="90" customHeight="1">
      <c xmlns="http://schemas.openxmlformats.org/spreadsheetml/2006/main" r="A48" t="str" s="37">
        <v>ENM-BOSS-MONITOR002-3D</v>
      </c>
      <c xmlns="http://schemas.openxmlformats.org/spreadsheetml/2006/main" r="B48" t="str" s="37">
        <v>idle</v>
      </c>
      <c xmlns="http://schemas.openxmlformats.org/spreadsheetml/2006/main" r="C48" t="str" s="37">
        <v>显示器Boss002</v>
      </c>
      <c xmlns="http://schemas.openxmlformats.org/spreadsheetml/2006/main" r="D48" t="str" s="37">
        <v>idle</v>
      </c>
      <c xmlns="http://schemas.openxmlformats.org/spreadsheetml/2006/main" r="E48" s="37" t="str">
        <v>assets/art/enemies/bosses/enm_boss_monitor002/source/enm_boss_monitor002_model_v032.blend; assets/art/enemies/bosses/enm_boss_monitor002/source/enm_boss_monitor002_animation_v032.blend</v>
      </c>
      <c xmlns="http://schemas.openxmlformats.org/spreadsheetml/2006/main" r="F48" t="str" s="37">
        <v>idle/move/通电/坐地循环；其他单次</v>
      </c>
      <c xmlns="http://schemas.openxmlformats.org/spreadsheetml/2006/main" r="G48" t="str" s="37">
        <v>键盘/线梢/屏幕挂点；纯色块赛博VFX</v>
      </c>
      <c xmlns="http://schemas.openxmlformats.org/spreadsheetml/2006/main" r="H48" t="str" s="37">
        <v>Blender采样；Enemy3D技能策略</v>
      </c>
      <c xmlns="http://schemas.openxmlformats.org/spreadsheetml/2006/main" r="I48" s="37" t="str">
        <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v>
      </c>
    </row>
    <row r="49" ht="90" customHeight="1">
      <c xmlns="http://schemas.openxmlformats.org/spreadsheetml/2006/main" r="A49" t="str" s="37">
        <v>ENM-BOSS-MONITOR002-3D</v>
      </c>
      <c xmlns="http://schemas.openxmlformats.org/spreadsheetml/2006/main" r="B49" t="str" s="37">
        <v>patrol</v>
      </c>
      <c xmlns="http://schemas.openxmlformats.org/spreadsheetml/2006/main" r="C49" t="str" s="37">
        <v>显示器Boss002</v>
      </c>
      <c xmlns="http://schemas.openxmlformats.org/spreadsheetml/2006/main" r="D49" t="str" s="37">
        <v>move</v>
      </c>
      <c xmlns="http://schemas.openxmlformats.org/spreadsheetml/2006/main" r="E49" s="37" t="str">
        <v>assets/art/enemies/bosses/enm_boss_monitor002/source/enm_boss_monitor002_model_v032.blend; assets/art/enemies/bosses/enm_boss_monitor002/source/enm_boss_monitor002_animation_v032.blend</v>
      </c>
      <c xmlns="http://schemas.openxmlformats.org/spreadsheetml/2006/main" r="F49" t="str" s="37">
        <v>idle/move/通电/坐地循环；其他单次</v>
      </c>
      <c xmlns="http://schemas.openxmlformats.org/spreadsheetml/2006/main" r="G49" t="str" s="37">
        <v>键盘/线梢/屏幕挂点；纯色块赛博VFX</v>
      </c>
      <c xmlns="http://schemas.openxmlformats.org/spreadsheetml/2006/main" r="H49" t="str" s="37">
        <v>Blender采样；Enemy3D技能策略</v>
      </c>
      <c xmlns="http://schemas.openxmlformats.org/spreadsheetml/2006/main" r="I49" s="37" t="str">
        <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v>
      </c>
    </row>
    <row r="50" ht="90" customHeight="1">
      <c xmlns="http://schemas.openxmlformats.org/spreadsheetml/2006/main" r="A50" t="str" s="37">
        <v>ENM-BOSS-MONITOR002-3D</v>
      </c>
      <c xmlns="http://schemas.openxmlformats.org/spreadsheetml/2006/main" r="B50" t="str" s="37">
        <v>alert</v>
      </c>
      <c xmlns="http://schemas.openxmlformats.org/spreadsheetml/2006/main" r="C50" t="str" s="37">
        <v>显示器Boss002</v>
      </c>
      <c xmlns="http://schemas.openxmlformats.org/spreadsheetml/2006/main" r="D50" t="str" s="37">
        <v>idle</v>
      </c>
      <c xmlns="http://schemas.openxmlformats.org/spreadsheetml/2006/main" r="E50" s="37" t="str">
        <v>assets/art/enemies/bosses/enm_boss_monitor002/source/enm_boss_monitor002_model_v032.blend; assets/art/enemies/bosses/enm_boss_monitor002/source/enm_boss_monitor002_animation_v032.blend</v>
      </c>
      <c xmlns="http://schemas.openxmlformats.org/spreadsheetml/2006/main" r="F50" t="str" s="37">
        <v>idle/move/通电/坐地循环；其他单次</v>
      </c>
      <c xmlns="http://schemas.openxmlformats.org/spreadsheetml/2006/main" r="G50" t="str" s="37">
        <v>键盘/线梢/屏幕挂点；纯色块赛博VFX</v>
      </c>
      <c xmlns="http://schemas.openxmlformats.org/spreadsheetml/2006/main" r="H50" t="str" s="37">
        <v>Blender采样；Enemy3D技能策略</v>
      </c>
      <c xmlns="http://schemas.openxmlformats.org/spreadsheetml/2006/main" r="I50" s="37" t="str">
        <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v>
      </c>
    </row>
    <row r="51" ht="90" customHeight="1">
      <c xmlns="http://schemas.openxmlformats.org/spreadsheetml/2006/main" r="A51" t="str" s="37">
        <v>ENM-BOSS-MONITOR002-3D</v>
      </c>
      <c xmlns="http://schemas.openxmlformats.org/spreadsheetml/2006/main" r="B51" t="str" s="37">
        <v>chase</v>
      </c>
      <c xmlns="http://schemas.openxmlformats.org/spreadsheetml/2006/main" r="C51" t="str" s="37">
        <v>显示器Boss002</v>
      </c>
      <c xmlns="http://schemas.openxmlformats.org/spreadsheetml/2006/main" r="D51" t="str" s="37">
        <v>move / turn_left/right</v>
      </c>
      <c xmlns="http://schemas.openxmlformats.org/spreadsheetml/2006/main" r="E51" s="37" t="str">
        <v>assets/art/enemies/bosses/enm_boss_monitor002/source/enm_boss_monitor002_model_v032.blend; assets/art/enemies/bosses/enm_boss_monitor002/source/enm_boss_monitor002_animation_v032.blend</v>
      </c>
      <c xmlns="http://schemas.openxmlformats.org/spreadsheetml/2006/main" r="F51" t="str" s="37">
        <v>idle/move/通电/坐地循环；其他单次</v>
      </c>
      <c xmlns="http://schemas.openxmlformats.org/spreadsheetml/2006/main" r="G51" t="str" s="37">
        <v>键盘/线梢/屏幕挂点；纯色块赛博VFX</v>
      </c>
      <c xmlns="http://schemas.openxmlformats.org/spreadsheetml/2006/main" r="H51" t="str" s="37">
        <v>Blender采样；Enemy3D技能策略</v>
      </c>
      <c xmlns="http://schemas.openxmlformats.org/spreadsheetml/2006/main" r="I51" s="37" t="str">
        <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v>
      </c>
    </row>
    <row r="52" ht="90" customHeight="1">
      <c xmlns="http://schemas.openxmlformats.org/spreadsheetml/2006/main" r="A52" t="str" s="37">
        <v>ENM-BOSS-MONITOR002-3D</v>
      </c>
      <c xmlns="http://schemas.openxmlformats.org/spreadsheetml/2006/main" r="B52" t="str" s="37">
        <v>search</v>
      </c>
      <c xmlns="http://schemas.openxmlformats.org/spreadsheetml/2006/main" r="C52" t="str" s="37">
        <v>显示器Boss002</v>
      </c>
      <c xmlns="http://schemas.openxmlformats.org/spreadsheetml/2006/main" r="D52" t="str" s="37">
        <v>move</v>
      </c>
      <c xmlns="http://schemas.openxmlformats.org/spreadsheetml/2006/main" r="E52" s="37" t="str">
        <v>assets/art/enemies/bosses/enm_boss_monitor002/source/enm_boss_monitor002_model_v032.blend; assets/art/enemies/bosses/enm_boss_monitor002/source/enm_boss_monitor002_animation_v032.blend</v>
      </c>
      <c xmlns="http://schemas.openxmlformats.org/spreadsheetml/2006/main" r="F52" t="str" s="37">
        <v>idle/move/通电/坐地循环；其他单次</v>
      </c>
      <c xmlns="http://schemas.openxmlformats.org/spreadsheetml/2006/main" r="G52" t="str" s="37">
        <v>键盘/线梢/屏幕挂点；纯色块赛博VFX</v>
      </c>
      <c xmlns="http://schemas.openxmlformats.org/spreadsheetml/2006/main" r="H52" t="str" s="37">
        <v>Blender采样；Enemy3D技能策略</v>
      </c>
      <c xmlns="http://schemas.openxmlformats.org/spreadsheetml/2006/main" r="I52" s="37" t="str">
        <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v>
      </c>
    </row>
    <row r="53" ht="90" customHeight="1">
      <c xmlns="http://schemas.openxmlformats.org/spreadsheetml/2006/main" r="A53" t="str" s="37">
        <v>ENM-BOSS-MONITOR002-3D</v>
      </c>
      <c xmlns="http://schemas.openxmlformats.org/spreadsheetml/2006/main" r="B53" t="str" s="37">
        <v>return</v>
      </c>
      <c xmlns="http://schemas.openxmlformats.org/spreadsheetml/2006/main" r="C53" t="str" s="37">
        <v>显示器Boss002</v>
      </c>
      <c xmlns="http://schemas.openxmlformats.org/spreadsheetml/2006/main" r="D53" t="str" s="37">
        <v>move</v>
      </c>
      <c xmlns="http://schemas.openxmlformats.org/spreadsheetml/2006/main" r="E53" s="37" t="str">
        <v>assets/art/enemies/bosses/enm_boss_monitor002/source/enm_boss_monitor002_model_v032.blend; assets/art/enemies/bosses/enm_boss_monitor002/source/enm_boss_monitor002_animation_v032.blend</v>
      </c>
      <c xmlns="http://schemas.openxmlformats.org/spreadsheetml/2006/main" r="F53" t="str" s="37">
        <v>idle/move/通电/坐地循环；其他单次</v>
      </c>
      <c xmlns="http://schemas.openxmlformats.org/spreadsheetml/2006/main" r="G53" t="str" s="37">
        <v>键盘/线梢/屏幕挂点；纯色块赛博VFX</v>
      </c>
      <c xmlns="http://schemas.openxmlformats.org/spreadsheetml/2006/main" r="H53" t="str" s="37">
        <v>Blender采样；Enemy3D技能策略</v>
      </c>
      <c xmlns="http://schemas.openxmlformats.org/spreadsheetml/2006/main" r="I53" s="37" t="str">
        <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v>
      </c>
    </row>
    <row r="54" ht="90" customHeight="1">
      <c xmlns="http://schemas.openxmlformats.org/spreadsheetml/2006/main" r="A54" t="str" s="37">
        <v>ENM-BOSS-MONITOR002-3D</v>
      </c>
      <c xmlns="http://schemas.openxmlformats.org/spreadsheetml/2006/main" r="B54" t="str" s="37">
        <v>telegraph</v>
      </c>
      <c xmlns="http://schemas.openxmlformats.org/spreadsheetml/2006/main" r="C54" t="str" s="37">
        <v>显示器Boss002</v>
      </c>
      <c xmlns="http://schemas.openxmlformats.org/spreadsheetml/2006/main" r="D54" t="str" s="37">
        <v>技能剪辑前摇</v>
      </c>
      <c xmlns="http://schemas.openxmlformats.org/spreadsheetml/2006/main" r="E54" s="37" t="str">
        <v>assets/art/enemies/bosses/enm_boss_monitor002/source/enm_boss_monitor002_model_v032.blend; assets/art/enemies/bosses/enm_boss_monitor002/source/enm_boss_monitor002_animation_v032.blend</v>
      </c>
      <c xmlns="http://schemas.openxmlformats.org/spreadsheetml/2006/main" r="F54" t="str" s="37">
        <v>idle/move/通电/坐地循环；其他单次</v>
      </c>
      <c xmlns="http://schemas.openxmlformats.org/spreadsheetml/2006/main" r="G54" t="str" s="37">
        <v>键盘/线梢/屏幕挂点；纯色块赛博VFX</v>
      </c>
      <c xmlns="http://schemas.openxmlformats.org/spreadsheetml/2006/main" r="H54" t="str" s="37">
        <v>Blender采样；Enemy3D技能策略</v>
      </c>
      <c xmlns="http://schemas.openxmlformats.org/spreadsheetml/2006/main" r="I54" s="37" t="str">
        <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v>
      </c>
    </row>
    <row r="55" ht="90" customHeight="1">
      <c xmlns="http://schemas.openxmlformats.org/spreadsheetml/2006/main" r="A55" t="str" s="37">
        <v>ENM-BOSS-MONITOR002-3D</v>
      </c>
      <c xmlns="http://schemas.openxmlformats.org/spreadsheetml/2006/main" r="B55" t="str" s="37">
        <v>attack</v>
      </c>
      <c xmlns="http://schemas.openxmlformats.org/spreadsheetml/2006/main" r="C55" t="str" s="37">
        <v>显示器Boss002</v>
      </c>
      <c xmlns="http://schemas.openxmlformats.org/spreadsheetml/2006/main" r="D55" t="str" s="37">
        <v>技能剪辑生效段 / special_channel</v>
      </c>
      <c xmlns="http://schemas.openxmlformats.org/spreadsheetml/2006/main" r="E55" s="37" t="str">
        <v>assets/art/enemies/bosses/enm_boss_monitor002/source/enm_boss_monitor002_model_v032.blend; assets/art/enemies/bosses/enm_boss_monitor002/source/enm_boss_monitor002_animation_v032.blend</v>
      </c>
      <c xmlns="http://schemas.openxmlformats.org/spreadsheetml/2006/main" r="F55" t="str" s="37">
        <v>idle/move/通电/坐地循环；其他单次</v>
      </c>
      <c xmlns="http://schemas.openxmlformats.org/spreadsheetml/2006/main" r="G55" t="str" s="37">
        <v>键盘/线梢/屏幕挂点；纯色块赛博VFX</v>
      </c>
      <c xmlns="http://schemas.openxmlformats.org/spreadsheetml/2006/main" r="H55" t="str" s="37">
        <v>Blender采样；Enemy3D技能策略</v>
      </c>
      <c xmlns="http://schemas.openxmlformats.org/spreadsheetml/2006/main" r="I55" s="37" t="str">
        <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v>
      </c>
    </row>
    <row r="56" ht="90" customHeight="1">
      <c xmlns="http://schemas.openxmlformats.org/spreadsheetml/2006/main" r="A56" t="str" s="37">
        <v>ENM-BOSS-MONITOR002-3D</v>
      </c>
      <c xmlns="http://schemas.openxmlformats.org/spreadsheetml/2006/main" r="B56" t="str" s="37">
        <v>recovery</v>
      </c>
      <c xmlns="http://schemas.openxmlformats.org/spreadsheetml/2006/main" r="C56" t="str" s="37">
        <v>显示器Boss002</v>
      </c>
      <c xmlns="http://schemas.openxmlformats.org/spreadsheetml/2006/main" r="D56" t="str" s="37">
        <v>技能剪辑恢复段 / special_recover</v>
      </c>
      <c xmlns="http://schemas.openxmlformats.org/spreadsheetml/2006/main" r="E56" s="37" t="str">
        <v>assets/art/enemies/bosses/enm_boss_monitor002/source/enm_boss_monitor002_model_v032.blend; assets/art/enemies/bosses/enm_boss_monitor002/source/enm_boss_monitor002_animation_v032.blend</v>
      </c>
      <c xmlns="http://schemas.openxmlformats.org/spreadsheetml/2006/main" r="F56" t="str" s="37">
        <v>idle/move/通电/坐地循环；其他单次</v>
      </c>
      <c xmlns="http://schemas.openxmlformats.org/spreadsheetml/2006/main" r="G56" t="str" s="37">
        <v>键盘/线梢/屏幕挂点；纯色块赛博VFX</v>
      </c>
      <c xmlns="http://schemas.openxmlformats.org/spreadsheetml/2006/main" r="H56" t="str" s="37">
        <v>Blender采样；Enemy3D技能策略</v>
      </c>
      <c xmlns="http://schemas.openxmlformats.org/spreadsheetml/2006/main" r="I56" s="37" t="str">
        <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v>
      </c>
    </row>
    <row r="57" ht="90" customHeight="1">
      <c xmlns="http://schemas.openxmlformats.org/spreadsheetml/2006/main" r="A57" t="str" s="37">
        <v>ENM-BOSS-MONITOR002-3D</v>
      </c>
      <c xmlns="http://schemas.openxmlformats.org/spreadsheetml/2006/main" r="B57" t="str" s="37">
        <v>stagger</v>
      </c>
      <c xmlns="http://schemas.openxmlformats.org/spreadsheetml/2006/main" r="C57" t="str" s="37">
        <v>显示器Boss002</v>
      </c>
      <c xmlns="http://schemas.openxmlformats.org/spreadsheetml/2006/main" r="D57" t="str" s="37">
        <v>hurt / stun_enter→stun_loop→stun_exit</v>
      </c>
      <c xmlns="http://schemas.openxmlformats.org/spreadsheetml/2006/main" r="E57" s="37" t="str">
        <v>assets/art/enemies/bosses/enm_boss_monitor002/source/enm_boss_monitor002_model_v032.blend; assets/art/enemies/bosses/enm_boss_monitor002/source/enm_boss_monitor002_animation_v032.blend</v>
      </c>
      <c xmlns="http://schemas.openxmlformats.org/spreadsheetml/2006/main" r="F57" t="str" s="37">
        <v>idle/move/通电/坐地循环；其他单次</v>
      </c>
      <c xmlns="http://schemas.openxmlformats.org/spreadsheetml/2006/main" r="G57" t="str" s="37">
        <v>键盘/线梢/屏幕挂点；纯色块赛博VFX</v>
      </c>
      <c xmlns="http://schemas.openxmlformats.org/spreadsheetml/2006/main" r="H57" t="str" s="37">
        <v>Blender采样；Enemy3D技能策略</v>
      </c>
      <c xmlns="http://schemas.openxmlformats.org/spreadsheetml/2006/main" r="I57" s="37" t="str">
        <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v>
      </c>
    </row>
    <row r="58" ht="90" customHeight="1">
      <c xmlns="http://schemas.openxmlformats.org/spreadsheetml/2006/main" r="A58" t="str" s="37">
        <v>ENM-BOSS-MONITOR002-3D</v>
      </c>
      <c xmlns="http://schemas.openxmlformats.org/spreadsheetml/2006/main" r="B58" t="str" s="37">
        <v>dead</v>
      </c>
      <c xmlns="http://schemas.openxmlformats.org/spreadsheetml/2006/main" r="C58" t="str" s="37">
        <v>显示器Boss002</v>
      </c>
      <c xmlns="http://schemas.openxmlformats.org/spreadsheetml/2006/main" r="D58" t="str" s="37">
        <v>dead</v>
      </c>
      <c xmlns="http://schemas.openxmlformats.org/spreadsheetml/2006/main" r="E58" s="37" t="str">
        <v>assets/art/enemies/bosses/enm_boss_monitor002/source/enm_boss_monitor002_model_v032.blend; assets/art/enemies/bosses/enm_boss_monitor002/source/enm_boss_monitor002_animation_v032.blend</v>
      </c>
      <c xmlns="http://schemas.openxmlformats.org/spreadsheetml/2006/main" r="F58" t="str" s="37">
        <v>idle/move/通电/坐地循环；其他单次</v>
      </c>
      <c xmlns="http://schemas.openxmlformats.org/spreadsheetml/2006/main" r="G58" t="str" s="37">
        <v>键盘/线梢/屏幕挂点；纯色块赛博VFX</v>
      </c>
      <c xmlns="http://schemas.openxmlformats.org/spreadsheetml/2006/main" r="H58" t="str" s="37">
        <v>Blender采样；Enemy3D技能策略</v>
      </c>
      <c xmlns="http://schemas.openxmlformats.org/spreadsheetml/2006/main" r="I58" s="37" t="str">
        <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v>
      </c>
    </row>
  </sheetData>
  <mergeCells count="3">
    <mergeCell ref="A3:I3"/>
    <mergeCell ref="A1:I2"/>
    <mergeCell ref="A19:I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35.81" customWidth="1" style="37" min="1" max="1"/>
    <col width="25.07" customWidth="1" style="37" min="2" max="2"/>
    <col width="52.52" customWidth="1" style="37" min="3" max="3"/>
    <col width="50.13" customWidth="1" style="37" min="4" max="4"/>
    <col width="45.35" customWidth="1" style="37" min="5" max="5"/>
    <col width="32.22" customWidth="1" style="37" min="6" max="6"/>
    <col width="42.97" customWidth="1" style="37" min="7" max="7"/>
    <col width="11.94" customWidth="1" style="37" min="8" max="8"/>
    <col width="14.33" customWidth="1" style="37" min="9" max="9"/>
    <col width="21.48" customWidth="1" style="37" min="10" max="10"/>
    <col width="31.03" customWidth="1" style="37" min="11" max="11"/>
    <col width="28.65" customWidth="1" style="37" min="12" max="13"/>
    <col width="26.26" customWidth="1" style="37" min="14" max="14"/>
    <col width="11.94" customWidth="1" style="37" min="15" max="15"/>
    <col width="52.52" customWidth="1" style="37" min="16" max="16"/>
  </cols>
  <sheetData>
    <row r="1" ht="30" customHeight="1" s="38">
      <c r="A1" s="67" t="inlineStr">
        <is>
          <t>ShellStorm2 · 敌人 3D Prefab</t>
        </is>
      </c>
    </row>
    <row r="2" ht="33.75" customHeight="1" s="38">
      <c r="A2" s="68" t="inlineStr">
        <is>
          <t>普通敌人、精英、Boss与敌人共用根；当前2个独立Prefab，其中首只正式精英资产1/12。</t>
        </is>
      </c>
    </row>
    <row r="3"/>
    <row r="4" ht="30" customHeight="1" s="38">
      <c r="A4" s="69" t="inlineStr">
        <is>
          <t>AssetID</t>
        </is>
      </c>
      <c r="B4" s="70" t="inlineStr">
        <is>
          <t>中文名</t>
        </is>
      </c>
      <c r="C4" s="71" t="inlineStr">
        <is>
          <t>Prefab路径</t>
        </is>
      </c>
      <c r="D4" s="71" t="inlineStr">
        <is>
          <t>GLB模型路径</t>
        </is>
      </c>
      <c r="E4" s="71" t="inlineStr">
        <is>
          <t>Blender源文件</t>
        </is>
      </c>
      <c r="F4" s="70" t="inlineStr">
        <is>
          <t>功能说明</t>
        </is>
      </c>
      <c r="G4" s="70" t="inlineStr">
        <is>
          <t>功能脚本路径</t>
        </is>
      </c>
      <c r="H4" s="70" t="inlineStr">
        <is>
          <t>碰撞开关</t>
        </is>
      </c>
      <c r="I4" s="70" t="inlineStr">
        <is>
          <t>碰撞归属</t>
        </is>
      </c>
      <c r="J4" s="70" t="inlineStr">
        <is>
          <t>碰撞方式</t>
        </is>
      </c>
      <c r="K4" s="70" t="inlineStr">
        <is>
          <t>标准尺寸</t>
        </is>
      </c>
      <c r="L4" s="70" t="inlineStr">
        <is>
          <t>原点与朝向</t>
        </is>
      </c>
      <c r="M4" s="70" t="inlineStr">
        <is>
          <t>使用位置</t>
        </is>
      </c>
      <c r="N4" s="70" t="inlineStr">
        <is>
          <t>制作状态</t>
        </is>
      </c>
      <c r="O4" s="70" t="inlineStr">
        <is>
          <t>版本</t>
        </is>
      </c>
      <c r="P4" s="72" t="inlineStr">
        <is>
          <t>备注</t>
        </is>
      </c>
    </row>
    <row r="5" ht="66" customHeight="1" s="38">
      <c r="A5" s="73" t="inlineStr">
        <is>
          <t>ENM-ECOSYSTEM-KIT-3D</t>
        </is>
      </c>
      <c r="B5" s="74" t="inlineStr">
        <is>
          <t>七类怪物3D生态套件</t>
        </is>
      </c>
      <c r="C5" s="75" t="inlineStr">
        <is>
          <t>assets/art/enemies/enemy_3d/enm_ecosystem_kit_root_top3d_v001.tscn</t>
        </is>
      </c>
      <c r="D5" s="75" t="n"/>
      <c r="E5" s="75" t="n"/>
      <c r="F5" s="74" t="inlineStr">
        <is>
          <t>敌人3D共用根与表现系统</t>
        </is>
      </c>
      <c r="G5" s="75" t="inlineStr">
        <is>
          <t>src/enemy3d/Enemy3D.gd; src/enemy3d/EnemyAvatar3D.gd</t>
        </is>
      </c>
      <c r="H5" s="74" t="inlineStr">
        <is>
          <t>开</t>
        </is>
      </c>
      <c r="I5" s="75" t="inlineStr">
        <is>
          <t>Prefab自身</t>
        </is>
      </c>
      <c r="J5" s="75" t="inlineStr">
        <is>
          <t>CapsuleShape3D</t>
        </is>
      </c>
      <c r="K5" s="75" t="inlineStr">
        <is>
          <t>PackedScene/模块敌人</t>
        </is>
      </c>
      <c r="L5" s="74" t="inlineStr">
        <is>
          <t>未声明</t>
        </is>
      </c>
      <c r="M5" s="74" t="inlineStr">
        <is>
          <t>四主题战斗房</t>
        </is>
      </c>
      <c r="N5" s="74" t="inlineStr">
        <is>
          <t>原型已接入</t>
        </is>
      </c>
      <c r="O5" s="75" t="inlineStr">
        <is>
          <t>v001</t>
        </is>
      </c>
      <c r="P5" s="76" t="inlineStr">
        <is>
          <t>根节点=Enemy3D(CharacterBody3D)</t>
        </is>
      </c>
    </row>
    <row r="6" ht="54" customHeight="1" s="38">
      <c r="A6" s="65" t="inlineStr">
        <is>
          <t>ENM-ELITE-RIFT-BOAR-ARMED-3D</t>
        </is>
      </c>
      <c r="B6" s="41" t="inlineStr">
        <is>
          <t>背枪的裂口爬虫</t>
        </is>
      </c>
      <c r="C6" s="65" t="inlineStr">
        <is>
          <t>assets/art/enemies/elite_3d/rift_boar_armed/runtime/enm_elite_rift_boar_armed_root_top3d_v001.tscn</t>
        </is>
      </c>
      <c r="D6" s="65" t="inlineStr">
        <is>
          <t>assets/art/enemies/elite_3d/rift_boar_armed/components/enm_elite_rift_boar_armed_visual_top3d_v001.glb</t>
        </is>
      </c>
      <c r="E6" s="65" t="inlineStr">
        <is>
          <t>assets/art/enemies/elite_3d/rift_boar_armed/source/enm_elite_rift_boar_armed_source_v001.blend</t>
        </is>
      </c>
      <c r="F6" s="41" t="inlineStr">
        <is>
          <t>首只唯一精英独立表现、背负副枪与命名专属血条</t>
        </is>
      </c>
      <c r="G6" s="65" t="inlineStr">
        <is>
          <t>src/enemy3d/EliteContentCatalog.gd; src/enemy3d/EliteRosterService.gd; src/enemy3d/EnemyAvatar3D.gd; src/enemy3d/Enemy3D.gd</t>
        </is>
      </c>
      <c r="H6" s="41" t="inlineStr">
        <is>
          <t>关（表现资产）</t>
        </is>
      </c>
      <c r="I6" s="65" t="inlineStr">
        <is>
          <t>Enemy3D</t>
        </is>
      </c>
      <c r="J6" s="41" t="inlineStr">
        <is>
          <t>复用melee_chaser CylinderShape3D</t>
        </is>
      </c>
      <c r="K6" s="65" t="inlineStr">
        <is>
          <t>1.970×1.843×1.345m；18 Mesh；4材质</t>
        </is>
      </c>
      <c r="L6" s="41" t="inlineStr">
        <is>
          <t>底部可预测；Blender -Y / Godot -Z 正面；根Scale=1</t>
        </is>
      </c>
      <c r="M6" s="41" t="inlineStr">
        <is>
          <t>每次行动按run_seed在98F/97F/96F三选一；目标层随机ELITE房</t>
        </is>
      </c>
      <c r="N6" s="41" t="inlineStr">
        <is>
          <t>正式美术已接入</t>
        </is>
      </c>
      <c r="O6" s="65" t="inlineStr">
        <is>
          <t>v001</t>
        </is>
      </c>
      <c r="P6" s="65" t="inlineStr">
        <is>
          <t>AssetID与elite_id稳定；其余11只仍为design_only，完成专项前不投放。</t>
        </is>
      </c>
    </row>
    <row r="7" ht="79.84999999999999" customHeight="1" s="38">
      <c r="A7" s="65" t="inlineStr">
        <is>
          <t>ENM-MELEE-FUNGBOAR01</t>
        </is>
      </c>
      <c r="B7" s="41" t="inlineStr">
        <is>
          <t>小僵尸</t>
        </is>
      </c>
      <c r="C7" s="65" t="inlineStr">
        <is>
          <t>assets/art/enemies/normal_enemy_3d/melee_chaser/runtime/enm_melee_fungboar01_root_top3d.tscn</t>
        </is>
      </c>
      <c r="D7" s="65" t="inlineStr">
        <is>
          <t>assets/art/enemies/normal_enemy_3d/melee_chaser/components/enm_melee_fungboar01_visual_top3d.glb</t>
        </is>
      </c>
      <c r="E7" s="65" t="inlineStr">
        <is>
          <t>assets/art/enemies/normal_enemy_3d/melee_chaser/source/model/enm_melee_fungboar01_model_v002.blend; assets/art/enemies/normal_enemy_3d/melee_chaser/source/animation/enm_melee_fungboar01_animation_v003.blend</t>
        </is>
      </c>
      <c r="F7" s="41" t="inlineStr">
        <is>
          <t>首个标准普通怪表现；六段 Blender 剪辑按 12 态 AI 采样；36 骨</t>
        </is>
      </c>
      <c r="G7" s="65" t="inlineStr">
        <is>
          <t>src/enemy3d/EnemyAvatar3D.gd; assets/art/enemies/normal_enemy_3d/melee_chaser/runtime/melee_chaser_formal_visual.gd</t>
        </is>
      </c>
      <c r="H7" s="41" t="inlineStr">
        <is>
          <t>关（表现资产）</t>
        </is>
      </c>
      <c r="I7" s="65" t="inlineStr">
        <is>
          <t>Enemy3D</t>
        </is>
      </c>
      <c r="J7" s="65" t="inlineStr">
        <is>
          <t>CylinderShape3D（FOOTPRINT_PROFILES）</t>
        </is>
      </c>
      <c r="K7" s="65" t="inlineStr">
        <is>
          <t>1.2819×0.9535×1.8571m；1 Mesh；1 材质</t>
        </is>
      </c>
      <c r="L7" s="41" t="inlineStr">
        <is>
          <t>底部可预测；Blender +Y / Godot -Z 正面；根 Scale=1</t>
        </is>
      </c>
      <c r="M7" s="41" t="inlineStr">
        <is>
          <t>全部战斗关卡普通怪池（melee_chaser）</t>
        </is>
      </c>
      <c r="N7" s="41" t="inlineStr">
        <is>
          <t>正式美术已接入</t>
        </is>
      </c>
      <c r="O7" s="65" t="inlineStr">
        <is>
          <t>v003</t>
        </is>
      </c>
      <c r="P7" s="41" t="inlineStr">
        <is>
          <t>无碰撞；Enemy3D 持有碰撞/AI/伤害/掉落。碰撞体尺寸沿用旧程序网格口径（1.02/1.30），与模型几何（0.641/1.857）不一致，待拍板后再收紧。显示名 小菌猪 → 小僵尸。</t>
        </is>
      </c>
    </row>
    <row r="8" ht="91" customHeight="1" s="38">
      <c r="A8" s="65" t="inlineStr">
        <is>
          <t>ENM-RANGED-SPORESHOOTER01</t>
        </is>
      </c>
      <c r="B8" s="41" t="inlineStr">
        <is>
          <t>保安僵尸</t>
        </is>
      </c>
      <c r="C8" s="65" t="inlineStr">
        <is>
          <t>assets/art/enemies/normal_enemy_3d/ranged_caster/runtime/enm_ranged_sporeshooter01_root_top3d.tscn</t>
        </is>
      </c>
      <c r="D8" s="65" t="inlineStr">
        <is>
          <t>assets/art/enemies/normal_enemy_3d/ranged_caster/components/enm_ranged_sporeshooter01_visual_top3d.glb</t>
        </is>
      </c>
      <c r="E8" s="65" t="inlineStr">
        <is>
          <t>assets/art/enemies/normal_enemy_3d/ranged_caster/source/model/enm_ranged_sporeshooter01_model_v001.blend; assets/art/enemies/normal_enemy_3d/ranged_caster/source/animation/enm_ranged_sporeshooter01_animation_v002.blend</t>
        </is>
      </c>
      <c r="F8" s="41" t="inlineStr">
        <is>
          <t>远程普通怪正式表现；复用小僵尸36骨与基础动作；单手持枪shoot；双管炮视觉挂 L_Hand</t>
        </is>
      </c>
      <c r="G8" s="65" t="inlineStr">
        <is>
          <t>src/enemy3d/EnemyAvatar3D.gd; assets/art/enemies/normal_enemy_3d/ranged_caster/runtime/ranged_caster_formal_visual.gd</t>
        </is>
      </c>
      <c r="H8" s="41" t="inlineStr">
        <is>
          <t>关（表现资产）</t>
        </is>
      </c>
      <c r="I8" s="65" t="inlineStr">
        <is>
          <t>Enemy3D</t>
        </is>
      </c>
      <c r="J8" s="65" t="inlineStr">
        <is>
          <t>CylinderShape3D（既有 ranged_caster FOOTPRINT_PROFILES）</t>
        </is>
      </c>
      <c r="K8" s="65" t="inlineStr">
        <is>
          <t>1.2819×0.9535×1.8571m；1 Mesh；1 材质；36 骨；10 剪辑</t>
        </is>
      </c>
      <c r="L8" s="41" t="inlineStr">
        <is>
          <t>底部可预测；Blender +Y / Godot -Z 正面；根 Scale=1</t>
        </is>
      </c>
      <c r="M8" s="41" t="inlineStr">
        <is>
          <t>全部战斗关卡远程怪池（ranged_caster）</t>
        </is>
      </c>
      <c r="N8" s="41" t="inlineStr">
        <is>
          <t>正式美术已接入</t>
        </is>
      </c>
      <c r="O8" s="65" t="inlineStr">
        <is>
          <t>v002</t>
        </is>
      </c>
      <c r="P8" s="41" t="inlineStr">
        <is>
          <t>无碰撞；Enemy3D 保留三弹齐射和所有玩法规则；双管炮仅视觉附件。</t>
        </is>
      </c>
    </row>
    <row r="9">
      <c r="A9" s="37" t="inlineStr">
        <is>
          <t>ENM-NORMAL-FAT-ZOMBIE03</t>
        </is>
      </c>
      <c r="B9" s="37" t="inlineStr">
        <is>
          <t>胖子僵尸</t>
        </is>
      </c>
      <c r="C9" s="37" t="inlineStr">
        <is>
          <t>assets/art/enemies/normal_enemy_3d/fat_zombie03/runtime/enm_normal_fat_zombie03_root_top3d.tscn</t>
        </is>
      </c>
      <c r="D9" s="37" t="inlineStr">
        <is>
          <t>assets/art/enemies/normal_enemy_3d/fat_zombie03/components/enm_normal_fat_zombie03_visual_top3d.glb</t>
        </is>
      </c>
      <c r="E9" s="37" t="inlineStr">
        <is>
          <t>assets/art/enemies/normal_enemy_3d/fat_zombie03/source/model/enm_normal_fat_zombie03_model_v003.blend; assets/art/enemies/normal_enemy_3d/fat_zombie03/source/animation/enm_normal_fat_zombie03_animation_v008.blend</t>
        </is>
      </c>
      <c r="F9" s="37" t="inlineStr">
        <is>
          <t>正式厚血慢速近战；12态输出单向驱动13段动画</t>
        </is>
      </c>
      <c r="G9" s="37" t="inlineStr">
        <is>
          <t>src/enemy3d/Enemy3D.gd; src/enemy3d/EnemyAvatar3D.gd; assets/art/enemies/normal_enemy_3d/fat_zombie03/runtime/fat_zombie03_formal_visual.gd</t>
        </is>
      </c>
      <c r="H9" s="37" t="inlineStr">
        <is>
          <t>视觉包关闭；实体开启</t>
        </is>
      </c>
      <c r="I9" s="37" t="inlineStr">
        <is>
          <t>Enemy3D</t>
        </is>
      </c>
      <c r="J9" s="37" t="inlineStr">
        <is>
          <t>玩法CylinderShape3D；视觉包无碰撞</t>
        </is>
      </c>
      <c r="K9" s="37" t="inlineStr">
        <is>
          <t>站立2.2m；世界圆柱半径0.77m/高2.2m；66骨；512贴图</t>
        </is>
      </c>
      <c r="L9" s="37" t="inlineStr">
        <is>
          <t>脚底0；Blender+Y/Godot-Z；Scale=1；游戏高2.2m</t>
        </is>
      </c>
      <c r="M9" s="37" t="inlineStr">
        <is>
          <t>远征01纵列/桥心盒；默认随机池、锈炉/深渊主题池；独立实体</t>
        </is>
      </c>
      <c r="N9" s="37" t="inlineStr">
        <is>
          <t>正式美术已接入</t>
        </is>
      </c>
      <c r="O9" s="37" t="inlineStr">
        <is>
          <t>v011</t>
        </is>
      </c>
      <c r="P9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152项、负向循环故障检出及真实Forward+四图通过。；已接替壳甲卫兵，现行投放启用。；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</row>
    <row r="10" ht="180" customHeight="1">
      <c xmlns="http://schemas.openxmlformats.org/spreadsheetml/2006/main" r="A10" t="str" s="37">
        <v>ENM-BOSS-MONITOR002-3D</v>
      </c>
      <c xmlns="http://schemas.openxmlformats.org/spreadsheetml/2006/main" r="B10" t="str" s="37">
        <v>MONITOR.EXE 显示器</v>
      </c>
      <c xmlns="http://schemas.openxmlformats.org/spreadsheetml/2006/main" r="C10" t="str" s="37">
        <v>assets/art/enemies/bosses/enm_boss_monitor002/runtime/enm_boss_monitor002/enm_boss_monitor002_root_top3d.tscn</v>
      </c>
      <c xmlns="http://schemas.openxmlformats.org/spreadsheetml/2006/main" r="D10" t="str" s="37">
        <v>assets/art/enemies/bosses/enm_boss_monitor002/components/enm_boss_monitor002/enm_boss_monitor002_visual_top3d.glb</v>
      </c>
      <c xmlns="http://schemas.openxmlformats.org/spreadsheetml/2006/main" r="E10" s="37" t="str">
        <v>assets/art/enemies/bosses/enm_boss_monitor002/source/enm_boss_monitor002_model_v032.blend; assets/art/enemies/bosses/enm_boss_monitor002/source/enm_boss_monitor002_animation_v032.blend</v>
      </c>
      <c xmlns="http://schemas.openxmlformats.org/spreadsheetml/2006/main" r="F10" t="str" s="37">
        <v>16剪辑；四技能；三阶段；双母版同64骨架</v>
      </c>
      <c xmlns="http://schemas.openxmlformats.org/spreadsheetml/2006/main" r="G10" t="str" s="37">
        <v>src/enemy3d/Enemy3D.gd; src/enemy3d/MonitorBossCombat.gd; src/enemy3d/MonitorBossPresentation.gd</v>
      </c>
      <c xmlns="http://schemas.openxmlformats.org/spreadsheetml/2006/main" r="H10" t="str" s="37">
        <v>视觉关闭；玩法开启</v>
      </c>
      <c xmlns="http://schemas.openxmlformats.org/spreadsheetml/2006/main" r="I10" t="str" s="37">
        <v>外部脚本Enemy3D</v>
      </c>
      <c xmlns="http://schemas.openxmlformats.org/spreadsheetml/2006/main" r="J10" t="str" s="37">
        <v>CylinderShape3D，沿用Boss基线1.92/2.30m</v>
      </c>
      <c xmlns="http://schemas.openxmlformats.org/spreadsheetml/2006/main" r="K10" t="str" s="37">
        <v>18684三角形；64骨；站立约4m；根倍率1.05</v>
      </c>
      <c xmlns="http://schemas.openxmlformats.org/spreadsheetml/2006/main" r="L10" t="str" s="37">
        <v>底座接地；Blender+Y / Godot-Z；Prefab根1</v>
      </c>
      <c xmlns="http://schemas.openxmlformats.org/spreadsheetml/2006/main" r="M10" t="str" s="88">
        <v>expedition_01 / floor_00 / boss（源房ID f00_boss）；box_boss_arena首波1只</v>
      </c>
      <c xmlns="http://schemas.openxmlformats.org/spreadsheetml/2006/main" r="N10" t="str" s="37">
        <v>active</v>
      </c>
      <c xmlns="http://schemas.openxmlformats.org/spreadsheetml/2006/main" r="O10" s="37" t="str">
        <v>v032</v>
      </c>
      <c xmlns="http://schemas.openxmlformats.org/spreadsheetml/2006/main" r="P10" s="89" t="str">
        <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v>
      </c>
    </row>
  </sheetData>
  <mergeCells count="2">
    <mergeCell ref="A1:P1"/>
    <mergeCell ref="A2:P2"/>
  </mergeCells>
  <dataValidations count="3">
    <dataValidation sqref="H5:H250" showDropDown="0" showInputMessage="0" showErrorMessage="0" allowBlank="0" type="list" errorStyle="stop" operator="between">
      <formula1>"开,关,无"</formula1>
      <formula2>0</formula2>
    </dataValidation>
    <dataValidation sqref="I5:I250" showDropDown="0" showInputMessage="0" showErrorMessage="0" allowBlank="0" type="list" errorStyle="stop" operator="between">
      <formula1>"Prefab自身,外部脚本,混合,无"</formula1>
      <formula2>0</formula2>
    </dataValidation>
    <dataValidation sqref="N5:N25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5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37" min="1" max="1"/>
    <col width="15.51" customWidth="1" style="37" min="2" max="2"/>
    <col width="28.65" customWidth="1" style="37" min="3" max="3"/>
    <col width="33.42" customWidth="1" style="37" min="4" max="4"/>
    <col width="83.55" customWidth="1" style="37" min="5" max="5"/>
    <col width="57.29" customWidth="1" style="37" min="6" max="6"/>
    <col width="14.33" customWidth="1" style="37" min="7" max="7"/>
  </cols>
  <sheetData>
    <row r="1" ht="15" customHeight="1" s="38">
      <c r="A1" s="56" t="inlineStr">
        <is>
          <t>敌人账本变更日志</t>
        </is>
      </c>
    </row>
    <row r="2" ht="15" customHeight="1" s="38"/>
    <row r="3" ht="15" customHeight="1" s="38">
      <c r="A3" s="40" t="inlineStr">
        <is>
          <t>只记录本账本的域内变更；跨域与全局变更记录在主账本《版本记录》</t>
        </is>
      </c>
    </row>
    <row r="5" ht="15" customHeight="1" s="38">
      <c r="A5" s="44" t="inlineStr">
        <is>
          <t>台账版本</t>
        </is>
      </c>
      <c r="B5" s="44" t="inlineStr">
        <is>
          <t>日期</t>
        </is>
      </c>
      <c r="C5" s="44" t="inlineStr">
        <is>
          <t>变更类型</t>
        </is>
      </c>
      <c r="D5" s="44" t="inlineStr">
        <is>
          <t>范围</t>
        </is>
      </c>
      <c r="E5" s="44" t="inlineStr">
        <is>
          <t>说明</t>
        </is>
      </c>
      <c r="F5" s="44" t="inlineStr">
        <is>
          <t>兼容性</t>
        </is>
      </c>
      <c r="G5" s="44" t="inlineStr">
        <is>
          <t>负责人</t>
        </is>
      </c>
    </row>
    <row r="6" ht="45.75" customHeight="1" s="38">
      <c r="A6" s="55" t="inlineStr">
        <is>
          <t>v0.1.0</t>
        </is>
      </c>
      <c r="B6" s="55" t="inlineStr">
        <is>
          <t>2026-09-18</t>
        </is>
      </c>
      <c r="C6" s="48" t="inlineStr">
        <is>
          <t>分账本建立</t>
        </is>
      </c>
      <c r="D6" s="48" t="inlineStr">
        <is>
          <t>敌人</t>
        </is>
      </c>
      <c r="E6" s="48" t="inlineStr">
        <is>
          <t>由单体账本《ShellStorm2_美术资产台账_v001.xlsx》按大类拆分而来；本账本接管大类=敌人，条目内容逐格不变，仅登记位置变化。</t>
        </is>
      </c>
      <c r="F6" s="48" t="inlineStr">
        <is>
          <t>资产条目、AssetID、路径与哈希全部不变；只换文件。旧引用可用 scripts/ledger_registry.py 解析。</t>
        </is>
      </c>
      <c r="G6" s="48" t="inlineStr">
        <is>
          <t>摩斯拉</t>
        </is>
      </c>
    </row>
    <row r="7" ht="32.8" customHeight="1" s="38">
      <c r="A7" s="55" t="inlineStr">
        <is>
          <t>v0.1.1</t>
        </is>
      </c>
      <c r="B7" s="55" t="inlineStr">
        <is>
          <t>2026-09-20</t>
        </is>
      </c>
      <c r="C7" s="48" t="inlineStr">
        <is>
          <t>资产转正</t>
        </is>
      </c>
      <c r="D7" s="48" t="inlineStr">
        <is>
          <t>敌人</t>
        </is>
      </c>
      <c r="E7" s="55" t="inlineStr">
        <is>
          <t>ENM-MELEE-FUNGBOAR01（小僵尸，旧登记名小菌猪）由「程序占位」转正为「已完成」：AssetID 与逻辑 ID(melee_chaser) 不变；《资产主表》r6 迁 3D 口径（组件槽 root_3d、变体父 ID ENM-ECOSYSTEM-KIT-3D、视角 Top3D/local -Z、规格真实包围盒、文件路径 -&gt; runtime tscn、SHA-256、模型/动作双 blend）；《敌人动画与状态》12 态补 动作来源/循环/挂点/首版实现 四列，条目行补骨架与动作母版；《3D-敌人》新增该 Prefab 行。</t>
        </is>
      </c>
      <c r="F7" s="48" t="inlineStr">
        <is>
          <t>只升级既有行，未新增 AssetID；其余 6 类普通怪仍为程序占位。碰撞体积未动（玩法数值待拍板）。</t>
        </is>
      </c>
      <c r="G7" s="55" t="inlineStr">
        <is>
          <t>Codex</t>
        </is>
      </c>
    </row>
    <row r="8" ht="22.35" customHeight="1" s="38">
      <c r="A8" s="55" t="inlineStr">
        <is>
          <t>v0.1.2</t>
        </is>
      </c>
      <c r="B8" s="55" t="inlineStr">
        <is>
          <t>2026-09-21</t>
        </is>
      </c>
      <c r="C8" s="48" t="inlineStr">
        <is>
          <t>资产转正</t>
        </is>
      </c>
      <c r="D8" s="48" t="inlineStr">
        <is>
          <t>敌人</t>
        </is>
      </c>
      <c r="E8" s="55" t="inlineStr">
        <is>
          <t>ENM-RANGED-SPORESHOOTER01（保安僵尸）由程序占位转正为正式3D表现：复用小僵尸36骨与基础动作，新增armed_idle/持枪移动/shoot，双管炮仅作为L_Hand视觉附件；ranged_caster逻辑与三弹发射规则不变。</t>
        </is>
      </c>
      <c r="F8" s="48" t="inlineStr">
        <is>
          <t>只升级既有 AssetID 与 ranged_caster 行，未新增逻辑敌人；Prefab无碰撞，Enemy3D继续持有AI、碰撞、生命、伤害、掉落和弹丸。</t>
        </is>
      </c>
      <c r="G8" s="55" t="inlineStr">
        <is>
          <t>Codex</t>
        </is>
      </c>
    </row>
    <row r="9" ht="22.35" customHeight="1" s="38">
      <c r="A9" s="55" t="inlineStr">
        <is>
          <t>v0.1.3</t>
        </is>
      </c>
      <c r="B9" s="55" t="inlineStr">
        <is>
          <t>2026-09-23</t>
        </is>
      </c>
      <c r="C9" s="48" t="inlineStr">
        <is>
          <t>新增登记</t>
        </is>
      </c>
      <c r="D9" s="48" t="inlineStr">
        <is>
          <t>敌人</t>
        </is>
      </c>
      <c r="E9" s="55" t="inlineStr">
        <is>
          <t>新增 ENM-BEAST-SPIKESHELL01（暗影兽）作为独立新怪，制作状态=待制作。AssetID 与既有 7 类预登记不冲突（新原型 normal_beast / 逻辑ID spike_shell）。《资产主表》新增 r18，规格、文件路径、SHA-256 留空（无产物），来源记为 Tripo 生成模型待入库。《总览》公式区间由 $6:$17 扩到 $6:$18 以满足门禁「区间 == 本账本行数」。本次只登记、不接线：游戏侧 Enemy3D.PROFILES / FOOTPRINT_PROFILES / EnemyAvatar3D 挂载分支 与《怪物与Boss》数值均未定义。未触碰《敌人动画与状态》与《3D-敌人》——前者受逐字节摘要约束，后者要求「一行=一个真实 PackedScene」。</t>
        </is>
      </c>
      <c r="F9" s="48" t="inlineStr">
        <is>
          <t>新增资产行 ⇒ 其余 11 行内容未变，仅《总览》区间随之扩到 $18（属预期）。无损基线 verify_ledger_split 原会 fail(asset_not_in_baseline) —— 已按既有「从当前分账本重建」口径做最小补录（只加本行指纹，其余 409 条逐位不变，列摘要与分类计数重算），补录前基线备份见 ledger_split_baseline.json.bak_before_spikeshell。</t>
        </is>
      </c>
      <c r="G9" s="55" t="inlineStr">
        <is>
          <t>摩斯拉</t>
        </is>
      </c>
    </row>
    <row r="10">
      <c r="A10" s="37" t="inlineStr">
        <is>
          <t>v0.1.4</t>
        </is>
      </c>
      <c r="B10" s="37" t="inlineStr">
        <is>
          <t>2026-10-03</t>
        </is>
      </c>
      <c r="C10" s="37" t="inlineStr">
        <is>
          <t>新增素材入库</t>
        </is>
      </c>
      <c r="D10" s="37" t="inlineStr">
        <is>
          <t>敌人</t>
        </is>
      </c>
      <c r="E10" s="37" t="inlineStr">
        <is>
          <t>ENM-NORMAL-FAT-ZOMBIE03 胖子僵尸源编号03；源编号03；模型入库及Godot独立加载通过，非完整怪物验收。65骨Mixamo骨名未对齐项目，缺Root；无动画，待idle/walking/running/attack/hurt/dead六段与动作母版、状态绑定。未配置AI/伤害/掉落/碰撞或投放。T姿势宽度不作为碰撞尺寸。来源许可待确认。</t>
        </is>
      </c>
      <c r="F10" s="37" t="inlineStr">
        <is>
          <t>既有资产内容不变；未接入运行池</t>
        </is>
      </c>
      <c r="G10" s="37" t="inlineStr">
        <is>
          <t>Codex</t>
        </is>
      </c>
    </row>
    <row r="11">
      <c r="A11" s="37" t="inlineStr">
        <is>
          <t>v0.1.5</t>
        </is>
      </c>
      <c r="B11" s="37" t="inlineStr">
        <is>
          <t>2026-10-03</t>
        </is>
      </c>
      <c r="C11" s="37" t="inlineStr">
        <is>
          <t>骨架修正与动作设计</t>
        </is>
      </c>
      <c r="D11" s="37" t="inlineStr">
        <is>
          <t>敌人</t>
        </is>
      </c>
      <c r="E11" s="37" t="inlineStr">
        <is>
          <t>ENM-NORMAL-FAT-ZOMBIE03；编号03；v002从原始FBX重建，修正v001连接骨重复变换。36核心骨名齐全+30原有附加骨=66；Root无父级、Hip→Root；保留全部权重。512²贴图；游戏高2.2m（源3.142857m×0.70，kind/variant=1）。动作设计r1为13段，动画尚未制作或绑定，未投放。独立骨架签名，不声称共享静止姿态。</t>
        </is>
      </c>
      <c r="F11" s="37" t="inlineStr">
        <is>
          <t>模型与稳定GLB更新；AI/碰撞/伤害未变</t>
        </is>
      </c>
      <c r="G11" s="37" t="inlineStr">
        <is>
          <t>Codex</t>
        </is>
      </c>
    </row>
    <row r="12">
      <c r="A12" s="37" t="inlineStr">
        <is>
          <t>v0.1.6</t>
        </is>
      </c>
      <c r="B12" s="37" t="inlineStr">
        <is>
          <t>2026-10-03</t>
        </is>
      </c>
      <c r="C12" s="37" t="inlineStr">
        <is>
          <t>待机动画制作</t>
        </is>
      </c>
      <c r="D12" s="37" t="inlineStr">
        <is>
          <t>敌人</t>
        </is>
      </c>
      <c r="E12" s="37" t="inlineStr">
        <is>
          <t>编号03；v003待机idle已制作并验收，30fps/F0—96/3.2s循环；压重呼吸、左右2cm移重、低垂握拳，双脚锁地。模型v002/动作v001共享66骨签名，512贴图、站立游戏高2.2m。独立Prefab默认循环idle；其余12段仍设计待制作，未绑定完整AI状态或投放。</t>
        </is>
      </c>
      <c r="F12" s="37" t="inlineStr">
        <is>
          <t>骨架/网格/权重/碰撞不变；仅新增idle</t>
        </is>
      </c>
      <c r="G12" s="37" t="inlineStr">
        <is>
          <t>Codex</t>
        </is>
      </c>
    </row>
    <row r="13">
      <c r="A13" s="37" t="inlineStr">
        <is>
          <t>v0.1.7</t>
        </is>
      </c>
      <c r="B13" s="37" t="inlineStr">
        <is>
          <t>2026-10-03</t>
        </is>
      </c>
      <c r="C13" s="37" t="inlineStr">
        <is>
          <t>张手修正与行走制作</t>
        </is>
      </c>
      <c r="D13" s="37" t="inlineStr">
        <is>
          <t>敌人</t>
        </is>
      </c>
      <c r="E13" s="37" t="inlineStr">
        <is>
          <t>编号03；v004修正右手指姿态，双手自然张开；idle 3.2s与walking 2.0s均30fps循环并验收。walking短步承重、抬脚6cm、参考速度0.30m/s，Root固定。模型v002/动作v002共享66骨签名、512贴图、站立高2.2m；其余11段待制作，未绑定完整AI或投放。</t>
        </is>
      </c>
      <c r="F13" s="37" t="inlineStr">
        <is>
          <t>骨架/网格/权重/碰撞不变；修正idle并新增walking</t>
        </is>
      </c>
      <c r="G13" s="37" t="inlineStr">
        <is>
          <t>Codex</t>
        </is>
      </c>
    </row>
    <row r="14">
      <c r="A14" s="37" t="inlineStr">
        <is>
          <t>v0.1.8</t>
        </is>
      </c>
      <c r="B14" s="37" t="inlineStr">
        <is>
          <t>2026-10-03</t>
        </is>
      </c>
      <c r="C14" s="37" t="inlineStr">
        <is>
          <t>行走屈肘与夸张跑步制作</t>
        </is>
      </c>
      <c r="D14" s="37" t="inlineStr">
        <is>
          <t>敌人</t>
        </is>
      </c>
      <c r="E14" s="37" t="inlineStr">
        <is>
          <t>编号03；v005行走上臂略抬自然屈肘，脚步逐帧保留；新增running 1.2s/30fps，张臂屈肘、胸肩扭摆、髋横摆8cm/起伏6cm、抬脚9cm，顶视剪影清晰。参考跑速0.60m/s。idle/walking/running共3段已验收，余10段待制作；模型v002/动作v003共享66骨签名；未绑定完整AI或投放。</t>
        </is>
      </c>
      <c r="F14" s="37" t="inlineStr">
        <is>
          <t>骨架/网格/权重/碰撞不变；保留idle与行走脚步，修正行走双臂并新增running</t>
        </is>
      </c>
      <c r="G14" s="37" t="inlineStr">
        <is>
          <t>Codex</t>
        </is>
      </c>
    </row>
    <row r="15">
      <c r="A15" s="37" t="inlineStr">
        <is>
          <t>v0.1.9</t>
        </is>
      </c>
      <c r="B15" s="37" t="inlineStr">
        <is>
          <t>2026-10-03</t>
        </is>
      </c>
      <c r="C15" s="37" t="inlineStr">
        <is>
          <t>双手张开向内抱扑攻击制作</t>
        </is>
      </c>
      <c r="D15" s="37" t="inlineStr">
        <is>
          <t>敌人</t>
        </is>
      </c>
      <c r="E15" s="37" t="inlineStr">
        <is>
          <t>编号03；v006新增双手张开向内抱扑attack，30fps/F0—75/2.5s单次，F26—30大幅张臂蓄力、F30—36快速收拢、F36—38压实、F75回待机；双脚承重，Root固定。已有3段逐骨逐帧保留。4段已验收，余9段待制作；模型v002/动作v004共享66骨签名；未绑定完整AI/伤害/投放。</t>
        </is>
      </c>
      <c r="F15" s="37" t="inlineStr">
        <is>
          <t>骨架/网格/权重/碰撞不变；保留idle/walking/running，新增attack</t>
        </is>
      </c>
      <c r="G15" s="37" t="inlineStr">
        <is>
          <t>Codex</t>
        </is>
      </c>
    </row>
    <row r="16">
      <c r="A16" s="37" t="inlineStr">
        <is>
          <t>v0.1.10</t>
        </is>
      </c>
      <c r="B16" s="37" t="inlineStr">
        <is>
          <t>2026-10-03</t>
        </is>
      </c>
      <c r="C16" s="37" t="inlineStr">
        <is>
          <t>攻击终点双掌拍合修正</t>
        </is>
      </c>
      <c r="D16" s="37" t="inlineStr">
        <is>
          <t>敌人</t>
        </is>
      </c>
      <c r="E16" s="37" t="inlineStr">
        <is>
          <t>编号03；v007攻击命中终点改为双掌相向拍合，手掌立起、手指朝前、肘向外撑；F36—38压实停顿，F75回待机。2.5s单次，其他三段保留。模型v002/动作v005；4段已验收，余9段待制作，未绑定伤害逻辑。</t>
        </is>
      </c>
      <c r="F16" s="37" t="inlineStr">
        <is>
          <t>骨架/网格/权重/碰撞不变；保留idle/walking/running，新增attack</t>
        </is>
      </c>
      <c r="G16" s="37" t="inlineStr">
        <is>
          <t>Codex</t>
        </is>
      </c>
    </row>
    <row r="17">
      <c r="A17" s="37" t="inlineStr">
        <is>
          <t>v0.1.新增Boss002</t>
        </is>
      </c>
      <c r="B17" s="77" t="n">
        <v>46298</v>
      </c>
      <c r="C17" s="37" t="inlineStr">
        <is>
          <t>Codex</t>
        </is>
      </c>
      <c r="D17" s="37" t="inlineStr">
        <is>
          <t>ENM-BOSS-MONITOR002-3D</t>
        </is>
      </c>
      <c r="E17" s="37" t="inlineStr">
        <is>
          <t>新增002显示器Boss，仅T Pose无骨骼模型，独立制作明细账；尚无运行时映射</t>
        </is>
      </c>
    </row>
    <row r="18">
      <c r="A18" s="37" t="inlineStr">
        <is>
          <t>v0.1.11</t>
        </is>
      </c>
      <c r="B18" s="37" t="inlineStr">
        <is>
          <t>2026-10-03</t>
        </is>
      </c>
      <c r="C18" s="37" t="inlineStr">
        <is>
          <t>补齐九段基础补充动作</t>
        </is>
      </c>
      <c r="D18" s="37" t="inlineStr">
        <is>
          <t>敌人</t>
        </is>
      </c>
      <c r="E18" s="37" t="inlineStr">
        <is>
          <t>编号03；v008补齐hurt/dead/awaken/alert/turn_l/turn_r/move_start/move_stop/hit_light九段，13段源与导入专项完成。原四段曲线保留，hit_light仅上半身。模型v002/动作v006共享66骨签名；完整AI状态适配、加法受击及伤害/事件仍待绑定，不标记在役。</t>
        </is>
      </c>
      <c r="F18" s="37" t="inlineStr">
        <is>
          <t>骨架/网格/权重/碰撞不变；保留idle/walking/running，新增attack</t>
        </is>
      </c>
      <c r="G18" s="37" t="inlineStr">
        <is>
          <t>Codex</t>
        </is>
      </c>
    </row>
    <row r="19">
      <c r="A19" s="37" t="inlineStr">
        <is>
          <t>v0.1.12</t>
        </is>
      </c>
      <c r="B19" s="37" t="inlineStr">
        <is>
          <t>2026-10-03</t>
        </is>
      </c>
      <c r="C19" s="37" t="inlineStr">
        <is>
          <t>死亡脱离脚锁与弹性回落修正</t>
        </is>
      </c>
      <c r="D19" s="37" t="inlineStr">
        <is>
          <t>敌人</t>
        </is>
      </c>
      <c r="E19" s="37" t="inlineStr">
        <is>
          <t>编号03；v009重做dead：解除脚底锁定、整条腿随身体前倒，F34落地、F40约10cm主回弹、F52约2cm余震，F60—78停稳。其余12段曲线原样保留。13段导入专项验证，玩法适配待接入。模型v002/动作v007。</t>
        </is>
      </c>
      <c r="F19" s="37" t="inlineStr">
        <is>
          <t>骨架/网格/权重/碰撞不变；保留idle/walking/running，新增attack</t>
        </is>
      </c>
      <c r="G19" s="37" t="inlineStr">
        <is>
          <t>Codex</t>
        </is>
      </c>
    </row>
    <row r="20">
      <c r="A20" s="37" t="inlineStr">
        <is>
          <t>v002</t>
        </is>
      </c>
      <c r="B20" s="37" t="inlineStr">
        <is>
          <t>2026-10-03</t>
        </is>
      </c>
      <c r="C20" s="37" t="inlineStr">
        <is>
          <t>Codex</t>
        </is>
      </c>
      <c r="D20" s="37" t="inlineStr">
        <is>
          <t>ENM-BOSS-MONITOR002-3D</t>
        </is>
      </c>
      <c r="E20" s="37" t="inlineStr">
        <is>
          <t>四指手套改为平展姿势；保留v001源</t>
        </is>
      </c>
    </row>
    <row r="21">
      <c r="A21" s="37" t="inlineStr">
        <is>
          <t>v0.1.13</t>
        </is>
      </c>
      <c r="B21" s="37" t="inlineStr">
        <is>
          <t>2026-10-03</t>
        </is>
      </c>
      <c r="C21" s="37" t="inlineStr">
        <is>
          <t>死亡脱离脚锁与弹性回落修正</t>
        </is>
      </c>
      <c r="D21" s="37" t="inlineStr">
        <is>
          <t>敌人</t>
        </is>
      </c>
      <c r="E21" s="37" t="inlineStr">
        <is>
          <t>编号03；v010死亡增加腹部地面压扁形态键及横向展开，降低躯干、手掌和腿部悬空；回弹时部分恢复。模型v003/动作v008，静止骨架与权重保留，其他12段骨曲线保留，非死亡全身动作形态键归零。13段导入验证，玩法适配待接入。</t>
        </is>
      </c>
      <c r="F21" s="37" t="inlineStr">
        <is>
          <t>骨架/网格/权重/碰撞不变；保留idle/walking/running，新增attack</t>
        </is>
      </c>
      <c r="G21" s="37" t="inlineStr">
        <is>
          <t>Codex</t>
        </is>
      </c>
    </row>
    <row r="22">
      <c r="A22" s="37" t="inlineStr">
        <is>
          <t>v003</t>
        </is>
      </c>
      <c r="B22" s="37" t="inlineStr">
        <is>
          <t>2026-10-03</t>
        </is>
      </c>
      <c r="C22" s="37" t="inlineStr">
        <is>
          <t>Codex</t>
        </is>
      </c>
      <c r="D22" s="37" t="inlineStr">
        <is>
          <t>ENM-BOSS-MONITOR002-3D</t>
        </is>
      </c>
      <c r="E22" s="37" t="inlineStr">
        <is>
          <t>圆头手指；整套低于20000三角面；image-2代码与表情贴图；键盘减面无字</t>
        </is>
      </c>
    </row>
    <row r="23">
      <c r="A23" s="37" t="inlineStr">
        <is>
          <t>v0.1.14</t>
        </is>
      </c>
      <c r="B23" s="37" t="inlineStr">
        <is>
          <t>2026-10-03</t>
        </is>
      </c>
      <c r="C23" s="37" t="inlineStr">
        <is>
          <t>胖子僵尸03正式运行配置</t>
        </is>
      </c>
      <c r="D23" s="37" t="inlineStr">
        <is>
          <t>敌人</t>
        </is>
      </c>
      <c r="E23" s="37" t="inlineStr">
        <is>
          <t>编号03；v011正式绑定Enemy3D共用12态与13段动画，独立类型fat_zombie03；标准2.2m/512贴图，生命696伤害19，巡逻0.30/追击0.60m/s；F36拍合单次命中、F30锁朝向、视线/范围/扇区判定；普通命中仅上半身，死亡2.6s保留腹部压扁及回弹。专项150项、负向循环故障检出及真实Forward+四图通过。</t>
        </is>
      </c>
      <c r="F23" s="37" t="inlineStr">
        <is>
          <t>新增kind复用FSM；既有七类玩法默认值保留</t>
        </is>
      </c>
      <c r="G23" s="37" t="inlineStr">
        <is>
          <t>Codex</t>
        </is>
      </c>
    </row>
    <row r="24">
      <c r="A24" s="37" t="inlineStr">
        <is>
          <t>v004</t>
        </is>
      </c>
      <c r="B24" s="37" t="inlineStr">
        <is>
          <t>2026-10-03</t>
        </is>
      </c>
      <c r="C24" s="37" t="inlineStr">
        <is>
          <t>Codex</t>
        </is>
      </c>
      <c r="D24" s="37" t="inlineStr">
        <is>
          <t>ENM-BOSS-MONITOR002-3D</t>
        </is>
      </c>
      <c r="E24" s="37" t="inlineStr">
        <is>
          <t>六表情图集与可切换预览，保持18144面</t>
        </is>
      </c>
    </row>
    <row r="25">
      <c r="A25" s="37" t="inlineStr">
        <is>
          <t>v0.1.15</t>
        </is>
      </c>
      <c r="B25" s="37" t="inlineStr">
        <is>
          <t>2026-10-03</t>
        </is>
      </c>
      <c r="C25" s="37" t="inlineStr">
        <is>
          <t>壳甲卫兵退役，由03胖子僵尸接替</t>
        </is>
      </c>
      <c r="D25" s="37" t="inlineStr">
        <is>
          <t>敌人</t>
        </is>
      </c>
      <c r="E25" s="37" t="inlineStr">
        <is>
          <t>远征纵列1只/桥心4只，数量延迟保留；所有现行shielded池改fat_zombie03</t>
        </is>
      </c>
      <c r="F25" s="37" t="inlineStr">
        <is>
          <t>旧存档兼容与未实装精英设计保留</t>
        </is>
      </c>
      <c r="G25" s="37" t="inlineStr">
        <is>
          <t>Codex</t>
        </is>
      </c>
    </row>
    <row r="26">
      <c r="A26" s="37" t="inlineStr">
        <is>
          <t>v005</t>
        </is>
      </c>
      <c r="B26" s="37" t="inlineStr">
        <is>
          <t>2026-10-03</t>
        </is>
      </c>
      <c r="C26" s="37" t="inlineStr">
        <is>
          <t>Codex</t>
        </is>
      </c>
      <c r="D26" s="37" t="inlineStr">
        <is>
          <t>ENM-BOSS-MONITOR002-3D</t>
        </is>
      </c>
      <c r="E26" s="37" t="inlineStr">
        <is>
          <t>41骨蒙皮与双母版；六表情状态；21项源级验收通过</t>
        </is>
      </c>
    </row>
    <row r="27">
      <c r="A27" s="37" t="inlineStr">
        <is>
          <t>v006</t>
        </is>
      </c>
      <c r="B27" s="37" t="inlineStr">
        <is>
          <t>2026-10-04</t>
        </is>
      </c>
      <c r="C27" s="37" t="inlineStr">
        <is>
          <t>Codex</t>
        </is>
      </c>
      <c r="D27" s="37" t="inlineStr">
        <is>
          <t>ENM-BOSS-MONITOR002-3D</t>
        </is>
      </c>
      <c r="E27" s="37" t="inlineStr">
        <is>
          <t>中心后轴、每臂6骨、3材质、向上代码滚动；32项检查通过</t>
        </is>
      </c>
    </row>
    <row r="28">
      <c r="A28" s="37" t="inlineStr">
        <is>
          <t>v007</t>
        </is>
      </c>
      <c r="B28" s="37" t="inlineStr">
        <is>
          <t>2026-10-04</t>
        </is>
      </c>
      <c r="C28" s="37" t="inlineStr">
        <is>
          <t>Codex</t>
        </is>
      </c>
      <c r="D28" s="37" t="inlineStr">
        <is>
          <t>ENM-BOSS-MONITOR002-3D</t>
        </is>
      </c>
      <c r="E28" s="37" t="inlineStr">
        <is>
          <t>五官按红框下移，10类/15剪辑动画设计，正式动作未制作；33项检查通过</t>
        </is>
      </c>
    </row>
    <row r="29">
      <c r="A29" s="37" t="inlineStr">
        <is>
          <t>v008</t>
        </is>
      </c>
      <c r="B29" s="37" t="inlineStr">
        <is>
          <t>2026-10-04</t>
        </is>
      </c>
      <c r="C29" s="37" t="inlineStr">
        <is>
          <t>Codex</t>
        </is>
      </c>
      <c r="D29" s="37" t="inlineStr">
        <is>
          <t>ENM-BOSS-MONITOR002-3D</t>
        </is>
      </c>
      <c r="E29" s="37" t="inlineStr">
        <is>
          <t>五官恢复；正式idle循环，弧线下垂双臂和滞后回摆；9项检查通过</t>
        </is>
      </c>
    </row>
    <row r="30">
      <c r="A30" s="37" t="inlineStr">
        <is>
          <t>v009</t>
        </is>
      </c>
      <c r="B30" s="37" t="inlineStr">
        <is>
          <t>2026-10-04</t>
        </is>
      </c>
      <c r="C30" s="37" t="inlineStr">
        <is>
          <t>Codex</t>
        </is>
      </c>
      <c r="D30" s="37" t="inlineStr">
        <is>
          <t>ENM-BOSS-MONITOR002-3D</t>
        </is>
      </c>
      <c r="E30" s="37" t="inlineStr">
        <is>
          <t>待机重做握持：四指夹键盘、握线；16节垂线及朝下插头；16项检查通过</t>
        </is>
      </c>
    </row>
    <row r="31">
      <c r="A31" s="37" t="inlineStr">
        <is>
          <t>v010</t>
        </is>
      </c>
      <c r="B31" s="37" t="inlineStr">
        <is>
          <t>2026-10-04</t>
        </is>
      </c>
      <c r="C31" s="37" t="inlineStr">
        <is>
          <t>Codex</t>
        </is>
      </c>
      <c r="D31" s="37" t="inlineStr">
        <is>
          <t>ENM-BOSS-MONITOR002-3D</t>
        </is>
      </c>
      <c r="E31" s="37" t="inlineStr">
        <is>
          <t>橡皮管风格idle：强弧臂、键盘中段握持、呼吸浮动和代码UV上升；21项检查通过</t>
        </is>
      </c>
    </row>
    <row r="32">
      <c r="A32" s="37" t="inlineStr">
        <is>
          <t>v011</t>
        </is>
      </c>
      <c r="B32" s="37" t="inlineStr">
        <is>
          <t>2026-10-04</t>
        </is>
      </c>
      <c r="C32" s="37" t="inlineStr">
        <is>
          <t>Codex</t>
        </is>
      </c>
      <c r="D32" s="37" t="inlineStr">
        <is>
          <t>ENM-BOSS-MONITOR002-3D</t>
        </is>
      </c>
      <c r="E32" s="37" t="inlineStr">
        <is>
          <t>新增move：底座左右23度压重与46厘米横移、弹性滞后；保留idle；26项检查通过</t>
        </is>
      </c>
    </row>
    <row r="33">
      <c r="A33" s="37" t="inlineStr">
        <is>
          <t>v012</t>
        </is>
      </c>
      <c r="B33" s="37" t="inlineStr">
        <is>
          <t>2026-10-04</t>
        </is>
      </c>
      <c r="C33" s="37" t="inlineStr">
        <is>
          <t>Codex</t>
        </is>
      </c>
      <c r="D33" s="37" t="inlineStr">
        <is>
          <t>ENM-BOSS-MONITOR002-3D</t>
        </is>
      </c>
      <c r="E33" s="37" t="inlineStr">
        <is>
          <t>新增键盘普通攻击：举高蓄力、停顿、六帧砸下、低位回收，表情切换；20项检查通过</t>
        </is>
      </c>
    </row>
    <row r="34">
      <c r="A34" s="37" t="inlineStr">
        <is>
          <t>v0.1.16</t>
        </is>
      </c>
      <c r="B34" s="37" t="inlineStr">
        <is>
          <t>2026-10-04</t>
        </is>
      </c>
      <c r="C34" s="37" t="inlineStr">
        <is>
          <t>死亡表现视野与回收修复</t>
        </is>
      </c>
      <c r="D34" s="37" t="inlineStr">
        <is>
          <t>敌人</t>
        </is>
      </c>
      <c r="E34" s="37" t="inlineStr">
        <is>
          <t>2026-10-04修复游戏内死亡隐藏：尸体退出AI后独立视野组继续判定距离/遮挡，表现帧计时推进2.6秒倒地/腹部接地/回弹后回收；AI休眠不暂停死亡。真实Player3D视野逻辑与Forward+四帧截图通过，负向原失踪条件检出；胖子152项/小僵尸死亡/玩家视野回归通过。</t>
        </is>
      </c>
      <c r="F34" s="37" t="inlineStr">
        <is>
          <t>美术源/导出不变；Owner Enemy3D/PlayerVision3D</t>
        </is>
      </c>
      <c r="G34" s="37" t="inlineStr">
        <is>
          <t>Codex</t>
        </is>
      </c>
    </row>
    <row r="35">
      <c xmlns="http://schemas.openxmlformats.org/spreadsheetml/2006/main" r="A35" t="str" s="0">
        <v>v031/S2</v>
      </c>
      <c xmlns="http://schemas.openxmlformats.org/spreadsheetml/2006/main" r="B35" t="str" s="0">
        <v>2026-10-06</v>
      </c>
      <c xmlns="http://schemas.openxmlformats.org/spreadsheetml/2006/main" r="C35" t="str" s="0">
        <v>Codex</v>
      </c>
      <c xmlns="http://schemas.openxmlformats.org/spreadsheetml/2006/main" r="D35" t="str" s="0">
        <v>ENM-BOSS-MONITOR002-3D</v>
      </c>
      <c xmlns="http://schemas.openxmlformats.org/spreadsheetml/2006/main" r="E35" t="str" s="0">
        <v>双母版签名比对、纯视觉GLB与骨姿态采样导出；中转character_transfer_ledger.json</v>
      </c>
    </row>
    <row r="36">
      <c xmlns="http://schemas.openxmlformats.org/spreadsheetml/2006/main" r="A36" t="str" s="0">
        <v>v031/S3</v>
      </c>
      <c xmlns="http://schemas.openxmlformats.org/spreadsheetml/2006/main" r="B36" t="str" s="0">
        <v>2026-10-06</v>
      </c>
      <c xmlns="http://schemas.openxmlformats.org/spreadsheetml/2006/main" r="C36" t="str" s="0">
        <v>Codex</v>
      </c>
      <c xmlns="http://schemas.openxmlformats.org/spreadsheetml/2006/main" r="D36" t="str" s="0">
        <v>ENM-BOSS-MONITOR002-3D</v>
      </c>
      <c xmlns="http://schemas.openxmlformats.org/spreadsheetml/2006/main" r="E36" t="str" s="0">
        <v>独立PackedScene加载，根1，无碰撞，64骨；骨与变形网格边界比对通过</v>
      </c>
    </row>
    <row r="37">
      <c xmlns="http://schemas.openxmlformats.org/spreadsheetml/2006/main" r="A37" t="str" s="0">
        <v>v031/S4-S5</v>
      </c>
      <c xmlns="http://schemas.openxmlformats.org/spreadsheetml/2006/main" r="B37" t="str" s="0">
        <v>2026-10-06</v>
      </c>
      <c xmlns="http://schemas.openxmlformats.org/spreadsheetml/2006/main" r="C37" t="str" s="0">
        <v>Codex</v>
      </c>
      <c xmlns="http://schemas.openxmlformats.org/spreadsheetml/2006/main" r="D37" t="str" s="0">
        <v>ENM-BOSS-MONITOR002-3D</v>
      </c>
      <c xmlns="http://schemas.openxmlformats.org/spreadsheetml/2006/main" r="E37" t="str" s="0">
        <v>v031正式接入：16源剪辑/64骨/十二态/四技能/三阶段；根驱动弹簧甩臂、双螺旋坐地、黄色单帧闪形及接地电流；507项专项及真实渲染10关键帧通过；Enemy3D拥有碰撞/AI/伤害；远征01 Boss房调用boss_monitor002。；asset_guard分类：version_increment。</v>
      </c>
    </row>
    <row r="38">
      <c xmlns="http://schemas.openxmlformats.org/spreadsheetml/2006/main" r="A38" t="str">
        <v>v017</v>
      </c>
      <c xmlns="http://schemas.openxmlformats.org/spreadsheetml/2006/main" r="B38" t="str">
        <v>2026-10-05</v>
      </c>
      <c xmlns="http://schemas.openxmlformats.org/spreadsheetml/2006/main" r="C38" t="str">
        <v>Codex</v>
      </c>
      <c xmlns="http://schemas.openxmlformats.org/spreadsheetml/2006/main" r="D38" t="str">
        <v>ENM-BOSS-MONITOR002-3D</v>
      </c>
      <c xmlns="http://schemas.openxmlformats.org/spreadsheetml/2006/main" r="E38" t="str">
        <v>v017 源级制作：深化heavy_spin_slam：双手惯性滞后与腕部跟随；专用旋转弧带；19度后仰、停顿、6帧加速砸地、回弹压稳。原三个动作保持。保留idle/move。特效为独立预览集合；未导出/未接入Godot。</v>
      </c>
    </row>
    <row r="39">
      <c xmlns="http://schemas.openxmlformats.org/spreadsheetml/2006/main" r="A39" t="str">
        <v>v018</v>
      </c>
      <c xmlns="http://schemas.openxmlformats.org/spreadsheetml/2006/main" r="B39" t="str">
        <v>2026-10-05</v>
      </c>
      <c xmlns="http://schemas.openxmlformats.org/spreadsheetml/2006/main" r="C39" t="str">
        <v>Codex</v>
      </c>
      <c xmlns="http://schemas.openxmlformats.org/spreadsheetml/2006/main" r="D39" t="str">
        <v>ENM-BOSS-MONITOR002-3D</v>
      </c>
      <c xmlns="http://schemas.openxmlformats.org/spreadsheetml/2006/main" r="E39" t="str">
        <v>v018 源级制作：重击特效改为高饱和正红/亮蓝，降低发光避免冲淡；四个角色动作曲线与v017完全相同。保留idle/move。特效为独立预览集合；未导出/未接入Godot。</v>
      </c>
    </row>
    <row r="40">
      <c xmlns="http://schemas.openxmlformats.org/spreadsheetml/2006/main" r="A40" t="str">
        <v>v019</v>
      </c>
      <c xmlns="http://schemas.openxmlformats.org/spreadsheetml/2006/main" r="B40" t="str">
        <v>2026-10-05</v>
      </c>
      <c xmlns="http://schemas.openxmlformats.org/spreadsheetml/2006/main" r="C40" t="str">
        <v>Codex</v>
      </c>
      <c xmlns="http://schemas.openxmlformats.org/spreadsheetml/2006/main" r="D40" t="str">
        <v>ENM-BOSS-MONITOR002-3D</v>
      </c>
      <c xmlns="http://schemas.openxmlformats.org/spreadsheetml/2006/main" r="E40" t="str">
        <v>v019 源级制作：重击特效改为纯色块加清晰勾线，去掉涂鸦纹理；高饱和红蓝；四个角色动作曲线与v017完全相同。保留idle/move。特效为独立预览集合；未导出/未接入Godot。</v>
      </c>
    </row>
    <row r="41">
      <c xmlns="http://schemas.openxmlformats.org/spreadsheetml/2006/main" r="A41" t="str">
        <v>v020</v>
      </c>
      <c xmlns="http://schemas.openxmlformats.org/spreadsheetml/2006/main" r="B41" t="str">
        <v>2026-10-05</v>
      </c>
      <c xmlns="http://schemas.openxmlformats.org/spreadsheetml/2006/main" r="C41" t="str">
        <v>Codex</v>
      </c>
      <c xmlns="http://schemas.openxmlformats.org/spreadsheetml/2006/main" r="D41" t="str">
        <v>ENM-BOSS-MONITOR002-3D</v>
      </c>
      <c xmlns="http://schemas.openxmlformats.org/spreadsheetml/2006/main" r="E41" t="str">
        <v>v020 源级制作：重击特效重新设计为无勾线冷蓝色块、分段脉冲环、惯性旋转光带及少量玫红数据碎片，降低整体饱和度；四个角色动作曲线与v017完全相同。保留idle/move。特效为独立预览集合；未导出/未接入Godot。</v>
      </c>
    </row>
    <row r="42">
      <c xmlns="http://schemas.openxmlformats.org/spreadsheetml/2006/main" r="A42" t="str">
        <v>v021</v>
      </c>
      <c xmlns="http://schemas.openxmlformats.org/spreadsheetml/2006/main" r="B42" t="str">
        <v>2026-10-05</v>
      </c>
      <c xmlns="http://schemas.openxmlformats.org/spreadsheetml/2006/main" r="C42" t="str">
        <v>Codex</v>
      </c>
      <c xmlns="http://schemas.openxmlformats.org/spreadsheetml/2006/main" r="D42" t="str">
        <v>ENM-BOSS-MONITOR002-3D</v>
      </c>
      <c xmlns="http://schemas.openxmlformats.org/spreadsheetml/2006/main" r="E42" t="str">
        <v>v021 源级制作：砸地第65帧增加冰白高亮锯齿爆裂色块及瞬时地面补光，仅持续1帧；保留v020无勾线赛博脉冲；四个角色动作曲线与v017完全相同。保留idle/move。特效为独立预览集合；未导出/未接入Godot。</v>
      </c>
    </row>
    <row r="43">
      <c xmlns="http://schemas.openxmlformats.org/spreadsheetml/2006/main" r="A43" t="str">
        <v>v022</v>
      </c>
      <c xmlns="http://schemas.openxmlformats.org/spreadsheetml/2006/main" r="B43" t="str">
        <v>2026-10-05</v>
      </c>
      <c xmlns="http://schemas.openxmlformats.org/spreadsheetml/2006/main" r="C43" t="str">
        <v>Codex</v>
      </c>
      <c xmlns="http://schemas.openxmlformats.org/spreadsheetml/2006/main" r="D43" t="str">
        <v>ENM-BOSS-MONITOR002-3D</v>
      </c>
      <c xmlns="http://schemas.openxmlformats.org/spreadsheetml/2006/main" r="E43" t="str">
        <v>v022 源级制作：砸地第65帧增加黄色高亮锯齿爆裂色块及瞬时地面补光，仅持续1帧；保留v020无勾线赛博脉冲；四个角色动作曲线与v017完全相同。保留idle/move。特效为独立预览集合；未导出/未接入Godot。</v>
      </c>
    </row>
    <row r="44">
      <c xmlns="http://schemas.openxmlformats.org/spreadsheetml/2006/main" r="A44" t="str">
        <v>v023</v>
      </c>
      <c xmlns="http://schemas.openxmlformats.org/spreadsheetml/2006/main" r="B44" t="str">
        <v>2026-10-05</v>
      </c>
      <c xmlns="http://schemas.openxmlformats.org/spreadsheetml/2006/main" r="C44" t="str">
        <v>Codex</v>
      </c>
      <c xmlns="http://schemas.openxmlformats.org/spreadsheetml/2006/main" r="D44" t="str">
        <v>ENM-BOSS-MONITOR002-3D</v>
      </c>
      <c xmlns="http://schemas.openxmlformats.org/spreadsheetml/2006/main" r="E44" t="str">
        <v>v023 新增melee_cable数据线近战：后撤蓄力、17至21帧停顿、身前弧形横甩、16段线身延迟、双臂惯性与回收；特效采用普通键盘攻击蓝/玫红/亮色。原四个动作不变。241次连续采样通过，未导出或接入Godot。</v>
      </c>
    </row>
    <row r="45">
      <c xmlns="http://schemas.openxmlformats.org/spreadsheetml/2006/main" r="A45" t="str">
        <v>v024</v>
      </c>
      <c xmlns="http://schemas.openxmlformats.org/spreadsheetml/2006/main" r="B45" t="str">
        <v>2026-10-05</v>
      </c>
      <c xmlns="http://schemas.openxmlformats.org/spreadsheetml/2006/main" r="C45" t="str">
        <v>Codex</v>
      </c>
      <c xmlns="http://schemas.openxmlformats.org/spreadsheetml/2006/main" r="D45" t="str">
        <v>ENM-BOSS-MONITOR002-3D</v>
      </c>
      <c xmlns="http://schemas.openxmlformats.org/spreadsheetml/2006/main" r="E45" t="str">
        <v>v024 数据线甩击修订：双手以后轴局部坐标随身体平移和旋转；前摇1.5圈螺旋甩线、短停后快速横甩，拖尾65点曲线采样与切线带面。保留原四个动作，未接入Godot。</v>
      </c>
    </row>
    <row r="46">
      <c xmlns="http://schemas.openxmlformats.org/spreadsheetml/2006/main" r="A46" t="str">
        <v>v025</v>
      </c>
      <c xmlns="http://schemas.openxmlformats.org/spreadsheetml/2006/main" r="B46" t="str">
        <v>2026-10-05</v>
      </c>
      <c xmlns="http://schemas.openxmlformats.org/spreadsheetml/2006/main" r="C46" t="str">
        <v>Codex</v>
      </c>
      <c xmlns="http://schemas.openxmlformats.org/spreadsheetml/2006/main" r="D46" t="str">
        <v>ENM-BOSS-MONITOR002-3D</v>
      </c>
      <c xmlns="http://schemas.openxmlformats.org/spreadsheetml/2006/main" r="E46" t="str">
        <v>v025 双臂改为肩关节先行的固定段长FK链，手腕继承末段变换，取消世界手部目标；减弱身体位移与偏航，修正支撑骨混合翻滚。专项轨迹与正侧视验收，未接入Godot。</v>
      </c>
    </row>
    <row r="47">
      <c xmlns="http://schemas.openxmlformats.org/spreadsheetml/2006/main" r="A47" t="str">
        <v>v026</v>
      </c>
      <c xmlns="http://schemas.openxmlformats.org/spreadsheetml/2006/main" r="B47" t="str">
        <v>2026-10-05</v>
      </c>
      <c xmlns="http://schemas.openxmlformats.org/spreadsheetml/2006/main" r="C47" t="str">
        <v>Codex</v>
      </c>
      <c xmlns="http://schemas.openxmlformats.org/spreadsheetml/2006/main" r="D47" t="str">
        <v>ENM-BOSS-MONITOR002-3D</v>
      </c>
      <c xmlns="http://schemas.openxmlformats.org/spreadsheetml/2006/main" r="E47" t="str">
        <v>v026 补齐剩余五类十剪辑：special四段、hurt、stun三段、turn_left/right。肩侧带动双手，前后错拍与腕部回弹；插地锁点及坐地接触专项检查。15个正式动作源级制作，未导出或接入Godot。</v>
      </c>
    </row>
    <row r="48">
      <c xmlns="http://schemas.openxmlformats.org/spreadsheetml/2006/main" r="A48" t="str">
        <v>v027</v>
      </c>
      <c xmlns="http://schemas.openxmlformats.org/spreadsheetml/2006/main" r="B48" t="str">
        <v>2026-10-05</v>
      </c>
      <c xmlns="http://schemas.openxmlformats.org/spreadsheetml/2006/main" r="C48" t="str">
        <v>Codex</v>
      </c>
      <c xmlns="http://schemas.openxmlformats.org/spreadsheetml/2006/main" r="D48" t="str">
        <v>ENM-BOSS-MONITOR002-3D</v>
      </c>
      <c xmlns="http://schemas.openxmlformats.org/spreadsheetml/2006/main" r="E48" t="str">
        <v>v027 受击后坐地一次反弹并进入眩晕：螺旋眼、环绕星星、单帧黄色受击闪形；特殊攻击接地线缆增加随骨骼蓝色电流，拔出关闭。15动作，源级检查，未导出或接入Godot。</v>
      </c>
    </row>
    <row r="49">
      <c xmlns="http://schemas.openxmlformats.org/spreadsheetml/2006/main" r="A49" t="str">
        <v>v028</v>
      </c>
      <c xmlns="http://schemas.openxmlformats.org/spreadsheetml/2006/main" r="B49" t="str">
        <v>2026-10-05</v>
      </c>
      <c xmlns="http://schemas.openxmlformats.org/spreadsheetml/2006/main" r="C49" t="str">
        <v>Codex</v>
      </c>
      <c xmlns="http://schemas.openxmlformats.org/spreadsheetml/2006/main" r="D49" t="str">
        <v>ENM-BOSS-MONITOR002-3D</v>
      </c>
      <c xmlns="http://schemas.openxmlformats.org/spreadsheetml/2006/main" r="E49" t="str">
        <v>v028 仅调整新增五类十段手臂：特殊四段、受击、眩晕三段、左右转。显示器侧根部发力，绳鞭式C/S弯曲逐段传递，弹簧长度压缩/伸长、腕部拖后回弹；原五个动作曲线保持。插线接触点保留；未导出或接入Godot。</v>
      </c>
    </row>
    <row r="50">
      <c xmlns="http://schemas.openxmlformats.org/spreadsheetml/2006/main" r="A50" t="str">
        <v>v029</v>
      </c>
      <c xmlns="http://schemas.openxmlformats.org/spreadsheetml/2006/main" r="B50" t="str">
        <v>2026-10-06</v>
      </c>
      <c xmlns="http://schemas.openxmlformats.org/spreadsheetml/2006/main" r="C50" t="str">
        <v>Codex</v>
      </c>
      <c xmlns="http://schemas.openxmlformats.org/spreadsheetml/2006/main" r="D50" t="str">
        <v>ENM-BOSS-MONITOR002-3D</v>
      </c>
      <c xmlns="http://schemas.openxmlformats.org/spreadsheetml/2006/main" r="E50" t="str">
        <v>v029 击晕第二次坐地后双手张开摊地，弹簧臂松弛弯垂，键盘平放、数据线低放，眩晕循环保持，起身收回；只改stun三段，其他12段保持，未导出或接入Godot。</v>
      </c>
    </row>
    <row r="51">
      <c xmlns="http://schemas.openxmlformats.org/spreadsheetml/2006/main" r="A51" t="str">
        <v>v030</v>
      </c>
      <c xmlns="http://schemas.openxmlformats.org/spreadsheetml/2006/main" r="B51" t="str">
        <v>2026-10-06</v>
      </c>
      <c xmlns="http://schemas.openxmlformats.org/spreadsheetml/2006/main" r="C51" t="str">
        <v>Codex</v>
      </c>
      <c xmlns="http://schemas.openxmlformats.org/spreadsheetml/2006/main" r="D51" t="str">
        <v>ENM-BOSS-MONITOR002-3D</v>
      </c>
      <c xmlns="http://schemas.openxmlformats.org/spreadsheetml/2006/main" r="E51" t="str">
        <v>v030 图1叉眼吐舌用于hurt及stun_enter受击前段；图2坐地眩晕改为双螺旋眼，stun_loop保持。imagegen内置工具制作透明图集，已打包双母版；未导出或接入Godot。</v>
      </c>
    </row>
    <row r="52" ht="150" customHeight="1">
      <c xmlns="http://schemas.openxmlformats.org/spreadsheetml/2006/main" r="A52" t="str" s="81">
        <v>v031</v>
      </c>
      <c xmlns="http://schemas.openxmlformats.org/spreadsheetml/2006/main" r="B52" t="str" s="82">
        <v>2026-10-07</v>
      </c>
      <c xmlns="http://schemas.openxmlformats.org/spreadsheetml/2006/main" r="C52" t="str" s="83">
        <v>Codex</v>
      </c>
      <c xmlns="http://schemas.openxmlformats.org/spreadsheetml/2006/main" r="D52" t="str" s="84">
        <v>ENM-BOSS-MONITOR002-3D</v>
      </c>
      <c xmlns="http://schemas.openxmlformats.org/spreadsheetml/2006/main" r="E52" t="str" s="85">
        <v>补录v031正式接入及远征01房间投放验收。远征01正式Boss房投放：box_boss_arena首波生成1只，房间共3波。5200HP、4技能、3阶段。全清后按原钥匙/门策略前往STANDARD撤离；重进不重刷，不发塔楼下行权限。2026-10-07房间流程25项通过；技能专项507项通过。见2026-10-07_expedition01_monitor_boss_spawn.md。</v>
      </c>
      <c xmlns="http://schemas.openxmlformats.org/spreadsheetml/2006/main" r="F52" t="str" s="86">
        <v>docs/v0.1/development/2026-10-07_expedition01_monitor_boss_spawn.md</v>
      </c>
      <c xmlns="http://schemas.openxmlformats.org/spreadsheetml/2006/main" r="G52" t="str" s="87">
        <v>原资产ID、v031、active保持；未重导模型。</v>
      </c>
    </row>
    <row r="53">
      <c xmlns="http://schemas.openxmlformats.org/spreadsheetml/2006/main" r="A53" s="89" t="str">
        <v>v032</v>
      </c>
      <c xmlns="http://schemas.openxmlformats.org/spreadsheetml/2006/main" r="B53" s="89" t="str">
        <v>2026-10-08</v>
      </c>
      <c xmlns="http://schemas.openxmlformats.org/spreadsheetml/2006/main" r="C53" s="89" t="str">
        <v>Codex</v>
      </c>
      <c xmlns="http://schemas.openxmlformats.org/spreadsheetml/2006/main" r="D53" s="89" t="str">
        <v>ENM-BOSS-MONITOR002-3D</v>
      </c>
      <c xmlns="http://schemas.openxmlformats.org/spreadsheetml/2006/main" r="E53" s="89" t="str">
        <v>v032：仅move改为底座平放左右挪动0.46m，机身左右扭转约41°，双臂柔性跟随。1.6s/48帧，其他15剪辑与四技能时序保留。源97采样、Godot509项、48帧真实渲染通过；previews/move_v032/monitor_walk.mp4。远征01首波1只/3波清房/钥匙通行/ STANDARD撤离规则保留。</v>
      </c>
      <c xmlns="http://schemas.openxmlformats.org/spreadsheetml/2006/main" r="F53" s="89" t="str">
        <v>docs/v0.1/development/2026-10-08_boss002_grounded_move.md</v>
      </c>
      <c xmlns="http://schemas.openxmlformats.org/spreadsheetml/2006/main" r="G53" s="89" t="str">
        <v>不改模型几何、玩法或其余动作</v>
      </c>
    </row>
  </sheetData>
  <mergeCells count="2">
    <mergeCell ref="A3:G3"/>
    <mergeCell ref="A1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2026-09-18T02:30:01Z</dcterms:created>
  <dcterms:modified xmlns:dcterms="http://purl.org/dc/terms/" xmlns:xsi="http://www.w3.org/2001/XMLSchema-instance" xsi:type="dcterms:W3CDTF">2026-10-04T14:53:39Z</dcterms:modified>
  <cp:revision>0</cp:revision>
</cp:coreProperties>
</file>