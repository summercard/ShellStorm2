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'资产主表'!$A$5:$X$239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Carlito"/>
      <color rgb="FF13202B"/>
      <sz val="9"/>
    </font>
    <font>
      <name val="Arial"/>
      <color rgb="FF13202B"/>
      <sz val="9"/>
    </font>
    <font>
      <name val="Arial"/>
      <b val="1"/>
      <color rgb="FF13202B"/>
      <sz val="11"/>
    </font>
    <font>
      <b val="1"/>
      <color rgb="FF2E7D32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b val="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color rgb="FF176C4A"/>
    </font>
    <font>
      <name val="Carlito"/>
      <sz val="11"/>
    </font>
  </fonts>
  <fills count="1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>
        <bgColor rgb="FFD9F3E8"/>
      </patternFill>
    </fill>
    <fill>
      <patternFill/>
    </fill>
  </fills>
  <borders count="27">
    <border>
      <left/>
      <right/>
      <top/>
      <bottom/>
      <diagonal/>
    </border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right style="thin">
        <color rgb="FFE5E7EB"/>
      </right>
      <bottom style="thin">
        <color rgb="FFD9E2F3"/>
      </bottom>
    </border>
    <border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/>
    <border>
      <right style="medium">
        <color rgb="FF446170"/>
      </right>
      <bottom style="medium">
        <color rgb="FF446170"/>
      </bottom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E5E7EB"/>
      </right>
      <top/>
      <bottom style="thin">
        <color rgb="FFD9E2F3"/>
      </bottom>
      <diagonal/>
    </border>
  </borders>
  <cellStyleXfs count="1">
    <xf numFmtId="0" fontId="21" fillId="12" borderId="19"/>
  </cellStyleXfs>
  <cellXfs count="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21" fillId="12" borderId="2" applyAlignment="1" pivotButton="0" quotePrefix="0" xfId="1">
      <alignment vertical="center"/>
    </xf>
    <xf numFmtId="0" fontId="21" fillId="12" borderId="3" applyAlignment="1" pivotButton="0" quotePrefix="0" xfId="1">
      <alignment vertical="center"/>
    </xf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21" fillId="12" borderId="7" applyAlignment="1" pivotButton="0" quotePrefix="0" xfId="1">
      <alignment vertical="center"/>
    </xf>
    <xf numFmtId="0" fontId="21" fillId="12" borderId="6" applyAlignment="1" pivotButton="0" quotePrefix="0" xfId="1">
      <alignment vertical="center"/>
    </xf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  <xf numFmtId="0" fontId="20" fillId="11" borderId="0" applyAlignment="1" pivotButton="0" quotePrefix="0" xfId="0">
      <alignment vertical="center"/>
    </xf>
    <xf numFmtId="0" fontId="0" fillId="0" borderId="0" pivotButton="0" quotePrefix="0" xfId="0"/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6" fillId="4" borderId="20" applyAlignment="1" pivotButton="0" quotePrefix="0" xfId="1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style="50" min="1" max="1"/>
    <col width="14" customWidth="1" style="50" min="2" max="2"/>
    <col width="14" customWidth="1" style="50" min="3" max="3"/>
    <col width="3" customWidth="1" style="50" min="4" max="4"/>
    <col width="8" customWidth="1" style="50" min="5" max="5"/>
    <col width="30" customWidth="1" style="50" min="6" max="6"/>
    <col width="42" customWidth="1" style="50" min="7" max="7"/>
    <col width="3" customWidth="1" style="50" min="8" max="8"/>
    <col width="21" customWidth="1" style="50" min="9" max="9"/>
    <col width="21" customWidth="1" style="50" min="10" max="10"/>
  </cols>
  <sheetData>
    <row r="1" ht="25" customHeight="1" s="50">
      <c r="A1" s="51" t="inlineStr">
        <is>
          <t>SHELLSTORM 2 · 关卡场景美术账本 v0.1</t>
        </is>
      </c>
    </row>
    <row r="2" ht="12" customHeight="1" s="50"/>
    <row r="3" ht="23" customHeight="1" s="50">
      <c r="A3" s="52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>
      <c r="A4" s="53" t="inlineStr"/>
      <c r="B4" s="53" t="inlineStr"/>
      <c r="C4" s="53" t="inlineStr"/>
      <c r="D4" s="53" t="inlineStr"/>
      <c r="E4" s="53" t="inlineStr"/>
      <c r="F4" s="53" t="inlineStr"/>
      <c r="G4" s="53" t="inlineStr"/>
      <c r="H4" s="53" t="inlineStr"/>
      <c r="I4" s="53" t="inlineStr"/>
      <c r="J4" s="53" t="inlineStr"/>
    </row>
    <row r="5">
      <c r="A5" s="54" t="inlineStr">
        <is>
          <t>资产总数</t>
        </is>
      </c>
      <c r="B5" s="54" t="inlineStr"/>
      <c r="C5" s="54" t="inlineStr">
        <is>
          <t>已完成/已接入</t>
        </is>
      </c>
      <c r="D5" s="54" t="inlineStr"/>
      <c r="E5" s="54" t="inlineStr">
        <is>
          <t>待制作/程序占位</t>
        </is>
      </c>
      <c r="F5" s="54" t="inlineStr"/>
      <c r="G5" s="54" t="inlineStr">
        <is>
          <t>重复警报</t>
        </is>
      </c>
      <c r="H5" s="54" t="inlineStr"/>
      <c r="I5" s="54" t="inlineStr">
        <is>
          <t>域内专表 / 3D Prefab 分页</t>
        </is>
      </c>
      <c r="J5" s="54" t="inlineStr"/>
    </row>
    <row r="6" ht="42" customHeight="1" s="50">
      <c r="A6" s="55">
        <f>=COUNTA(资产主表!$A$6:$A$239)</f>
        <v/>
      </c>
      <c r="B6" s="53" t="inlineStr"/>
      <c r="C6" s="55">
        <f>=COUNTIF(资产主表!$K$6:$K$239,"已完成")+COUNTIF(资产主表!$K$6:$K$239,"原型已接入")+COUNTIF(资产主表!$K$6:$K$239,"正式美术已接入")+COUNTIF(资产主表!$K$6:$K$239,"已优化并正式接入")+COUNTIF(资产主表!$K$6:$K$239,"Blender源已完成")+COUNTIF(资产主表!$K$6:$K$239,"已导入；优化完成")</f>
        <v/>
      </c>
      <c r="D6" s="53" t="inlineStr"/>
      <c r="E6" s="55">
        <f>=COUNTIF(资产主表!$K$6:$K$239,"待制作")+COUNTIF(资产主表!$K$6:$K$239,"程序占位")</f>
        <v/>
      </c>
      <c r="F6" s="53" t="inlineStr"/>
      <c r="G6" s="55">
        <f>=COUNTIF(资产主表!$S$6:$S$239,"重复")</f>
        <v/>
      </c>
      <c r="H6" s="53" t="inlineStr"/>
      <c r="I6" s="54" t="inlineStr">
        <is>
          <t>域内专表：3D-场景通用 / 3D-设施 / 3D-其他　|　3D Prefab 分页：3D-场景通用 / 3D-设施 / 3D-其他</t>
        </is>
      </c>
    </row>
    <row r="7">
      <c r="A7" s="53" t="inlineStr"/>
      <c r="B7" s="53" t="inlineStr"/>
      <c r="C7" s="53" t="inlineStr"/>
      <c r="D7" s="53" t="inlineStr"/>
      <c r="E7" s="53" t="inlineStr"/>
      <c r="F7" s="53" t="inlineStr"/>
      <c r="G7" s="53" t="inlineStr"/>
      <c r="H7" s="53" t="inlineStr"/>
      <c r="I7" s="53" t="inlineStr"/>
      <c r="J7" s="53" t="inlineStr"/>
    </row>
    <row r="8">
      <c r="A8" s="53" t="inlineStr"/>
      <c r="B8" s="53" t="inlineStr"/>
      <c r="C8" s="53" t="inlineStr"/>
      <c r="D8" s="53" t="inlineStr"/>
      <c r="E8" s="53" t="inlineStr"/>
      <c r="F8" s="53" t="inlineStr"/>
      <c r="G8" s="53" t="inlineStr"/>
      <c r="H8" s="53" t="inlineStr"/>
      <c r="I8" s="53" t="inlineStr"/>
      <c r="J8" s="53" t="inlineStr"/>
    </row>
    <row r="9" ht="32" customHeight="1" s="50">
      <c r="A9" s="56" t="inlineStr">
        <is>
          <t>大类</t>
        </is>
      </c>
      <c r="B9" s="56" t="inlineStr">
        <is>
          <t>资产数</t>
        </is>
      </c>
      <c r="C9" s="56" t="inlineStr">
        <is>
          <t>完成/接入</t>
        </is>
      </c>
      <c r="D9" s="56" t="inlineStr"/>
      <c r="E9" s="57" t="inlineStr">
        <is>
          <t>本账本只登记上列大类；跨域搬运资产须同步主账本《分类与编码》并重跑门禁</t>
        </is>
      </c>
      <c r="F9" s="58" t="n"/>
      <c r="G9" s="58" t="n"/>
      <c r="H9" s="58" t="n"/>
      <c r="I9" s="58" t="n"/>
      <c r="J9" s="59" t="n"/>
    </row>
    <row r="10" ht="22" customHeight="1" s="50">
      <c r="A10" s="60" t="inlineStr">
        <is>
          <t>场景</t>
        </is>
      </c>
      <c r="B10" s="60">
        <f>=COUNTIF(资产主表!$C$6:$C$239,A10)</f>
        <v/>
      </c>
      <c r="C10" s="60">
        <f>=SUMPRODUCT((资产主表!$C$6:$C$239=A10)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0" s="60" t="inlineStr"/>
      <c r="E10" s="60" t="inlineStr"/>
      <c r="F10" s="60" t="inlineStr"/>
      <c r="G10" s="60" t="inlineStr"/>
      <c r="H10" s="60" t="inlineStr"/>
      <c r="I10" s="60" t="inlineStr"/>
      <c r="J10" s="60" t="inlineStr"/>
    </row>
    <row r="11" ht="22" customHeight="1" s="50">
      <c r="A11" s="60" t="inlineStr">
        <is>
          <t>场景道具</t>
        </is>
      </c>
      <c r="B11" s="60">
        <f>=COUNTIF(资产主表!$C$6:$C$239,A11)</f>
        <v/>
      </c>
      <c r="C11" s="60">
        <f>=SUMPRODUCT((资产主表!$C$6:$C$239=A11)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1" s="60" t="inlineStr"/>
      <c r="E11" s="60" t="inlineStr"/>
      <c r="F11" s="60" t="inlineStr"/>
      <c r="G11" s="60" t="inlineStr"/>
      <c r="H11" s="60" t="inlineStr"/>
      <c r="I11" s="60" t="inlineStr"/>
      <c r="J11" s="60" t="inlineStr"/>
    </row>
    <row r="12" ht="22" customHeight="1" s="50">
      <c r="A12" s="60" t="inlineStr">
        <is>
          <t>基地资产包</t>
        </is>
      </c>
      <c r="B12" s="60">
        <f>=COUNTIF(资产主表!$C$6:$C$239,A12)</f>
        <v/>
      </c>
      <c r="C12" s="60">
        <f>=SUMPRODUCT((资产主表!$C$6:$C$239=A12)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2" s="60" t="inlineStr"/>
      <c r="E12" s="60" t="inlineStr"/>
      <c r="F12" s="60" t="inlineStr"/>
      <c r="G12" s="60" t="inlineStr"/>
      <c r="H12" s="60" t="inlineStr"/>
      <c r="I12" s="60" t="inlineStr"/>
      <c r="J12" s="60" t="inlineStr"/>
    </row>
    <row r="13">
      <c r="A13" s="56" t="inlineStr">
        <is>
          <t>合计</t>
        </is>
      </c>
      <c r="B13" s="56">
        <f>=SUM(B10:B12)</f>
        <v/>
      </c>
      <c r="C13" s="56">
        <f>=SUM(C10:C12)</f>
        <v/>
      </c>
      <c r="D13" s="56" t="inlineStr"/>
      <c r="E13" s="56" t="inlineStr"/>
      <c r="F13" s="56" t="inlineStr"/>
      <c r="G13" s="56" t="inlineStr"/>
      <c r="H13" s="56" t="inlineStr"/>
      <c r="I13" s="56" t="inlineStr"/>
      <c r="J13" s="56" t="inlineStr"/>
    </row>
    <row r="14">
      <c r="A14" s="61" t="inlineStr"/>
      <c r="B14" s="61" t="inlineStr"/>
      <c r="C14" s="61" t="inlineStr"/>
      <c r="D14" s="53" t="inlineStr"/>
      <c r="E14" s="62" t="inlineStr"/>
      <c r="F14" s="61" t="inlineStr"/>
      <c r="G14" s="61" t="inlineStr"/>
      <c r="H14" s="53" t="inlineStr"/>
      <c r="I14" s="53" t="inlineStr"/>
      <c r="J14" s="53" t="inlineStr"/>
    </row>
    <row r="15">
      <c r="A15" s="63" t="inlineStr">
        <is>
          <t>域内 3D Prefab 分页统计（快照口径与本账本分页一致；权威清单在各分页表）</t>
        </is>
      </c>
      <c r="B15" s="64" t="n"/>
      <c r="C15" s="64" t="n"/>
      <c r="D15" s="64" t="n"/>
      <c r="E15" s="64" t="n"/>
      <c r="F15" s="64" t="n"/>
      <c r="G15" s="64" t="n"/>
      <c r="H15" s="64" t="n"/>
      <c r="I15" s="64" t="n"/>
      <c r="J15" s="65" t="n"/>
    </row>
    <row r="16">
      <c r="A16" s="54" t="inlineStr">
        <is>
          <t>分页</t>
        </is>
      </c>
      <c r="B16" s="54" t="inlineStr">
        <is>
          <t>Prefab 数</t>
        </is>
      </c>
      <c r="C16" s="54" t="inlineStr">
        <is>
          <t>直接引用 GLB</t>
        </is>
      </c>
      <c r="D16" s="54" t="inlineStr">
        <is>
          <t>有功能脚本</t>
        </is>
      </c>
      <c r="E16" s="54" t="inlineStr">
        <is>
          <t>碰撞开启</t>
        </is>
      </c>
      <c r="F16" s="54" t="inlineStr">
        <is>
          <t>说明</t>
        </is>
      </c>
      <c r="G16" s="53" t="inlineStr"/>
      <c r="H16" s="53" t="inlineStr"/>
      <c r="I16" s="53" t="inlineStr"/>
      <c r="J16" s="53" t="inlineStr"/>
    </row>
    <row r="17">
      <c r="A17" s="60" t="inlineStr">
        <is>
          <t>3D-场景通用</t>
        </is>
      </c>
      <c r="B17" s="60">
        <f>=COUNTA('3D-场景通用'!$A$5:$A$204)</f>
        <v/>
      </c>
      <c r="C17" s="60">
        <f>=COUNTIF('3D-场景通用'!$D$5:$D$204,"&lt;&gt;")</f>
        <v/>
      </c>
      <c r="D17" s="60">
        <f>=COUNTIF('3D-场景通用'!$G$5:$G$204,"&lt;&gt;")</f>
        <v/>
      </c>
      <c r="E17" s="60">
        <f>=COUNTIF('3D-场景通用'!$H$5:$H$204,"开")</f>
        <v/>
      </c>
      <c r="F17" s="60" t="inlineStr">
        <is>
          <t>一行 = 一个实际存在的 Godot PackedScene</t>
        </is>
      </c>
      <c r="G17" s="60" t="inlineStr"/>
      <c r="H17" s="60" t="inlineStr"/>
      <c r="I17" s="60" t="inlineStr"/>
      <c r="J17" s="60" t="inlineStr"/>
    </row>
    <row r="18">
      <c r="A18" s="60" t="inlineStr">
        <is>
          <t>3D-设施</t>
        </is>
      </c>
      <c r="B18" s="60">
        <f>=COUNTA('3D-设施'!$A$5:$A$204)</f>
        <v/>
      </c>
      <c r="C18" s="60">
        <f>=COUNTIF('3D-设施'!$D$5:$D$204,"&lt;&gt;")</f>
        <v/>
      </c>
      <c r="D18" s="60">
        <f>=COUNTIF('3D-设施'!$G$5:$G$204,"&lt;&gt;")</f>
        <v/>
      </c>
      <c r="E18" s="60">
        <f>=COUNTIF('3D-设施'!$H$5:$H$204,"开")</f>
        <v/>
      </c>
      <c r="F18" s="60" t="inlineStr">
        <is>
          <t>一行 = 一个实际存在的 Godot PackedScene</t>
        </is>
      </c>
      <c r="G18" s="60" t="inlineStr"/>
      <c r="H18" s="60" t="inlineStr"/>
      <c r="I18" s="60" t="inlineStr"/>
      <c r="J18" s="60" t="inlineStr"/>
    </row>
    <row r="19">
      <c r="A19" s="60" t="inlineStr">
        <is>
          <t>3D-其他</t>
        </is>
      </c>
      <c r="B19" s="60">
        <f>=COUNTA('3D-其他'!$A$5:$A$204)</f>
        <v/>
      </c>
      <c r="C19" s="60">
        <f>=COUNTIF('3D-其他'!$D$5:$D$204,"&lt;&gt;")</f>
        <v/>
      </c>
      <c r="D19" s="60">
        <f>=COUNTIF('3D-其他'!$G$5:$G$204,"&lt;&gt;")</f>
        <v/>
      </c>
      <c r="E19" s="60">
        <f>=COUNTIF('3D-其他'!$H$5:$H$204,"开")</f>
        <v/>
      </c>
      <c r="F19" s="60" t="inlineStr">
        <is>
          <t>一行 = 一个实际存在的 Godot PackedScene</t>
        </is>
      </c>
      <c r="G19" s="60" t="inlineStr"/>
      <c r="H19" s="60" t="inlineStr"/>
      <c r="I19" s="60" t="inlineStr"/>
      <c r="J19" s="60" t="inlineStr"/>
    </row>
    <row r="20">
      <c r="A20" s="56" t="inlineStr">
        <is>
          <t>合计</t>
        </is>
      </c>
      <c r="B20" s="56">
        <f>=SUM(B17:B19)</f>
        <v/>
      </c>
      <c r="C20" s="56">
        <f>=SUM(C17:C19)</f>
        <v/>
      </c>
      <c r="D20" s="56">
        <f>=SUM(D17:D19)</f>
        <v/>
      </c>
      <c r="E20" s="56">
        <f>=SUM(E17:E19)</f>
        <v/>
      </c>
      <c r="F20" s="56" t="inlineStr"/>
      <c r="G20" s="56" t="inlineStr"/>
      <c r="H20" s="56" t="inlineStr"/>
      <c r="I20" s="56" t="inlineStr"/>
      <c r="J20" s="56" t="inlineStr"/>
    </row>
  </sheetData>
  <mergeCells count="5">
    <mergeCell ref="A1:J2"/>
    <mergeCell ref="I6:J6"/>
    <mergeCell ref="A3:J3"/>
    <mergeCell ref="E9:J9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style="50" min="1" max="1"/>
    <col width="62" customWidth="1" style="50" min="2" max="2"/>
    <col width="34" customWidth="1" style="50" min="3" max="3"/>
    <col width="24" customWidth="1" style="50" min="4" max="4"/>
    <col width="24" customWidth="1" style="50" min="5" max="5"/>
    <col width="24" customWidth="1" style="50" min="6" max="6"/>
  </cols>
  <sheetData>
    <row r="1">
      <c r="A1" s="51" t="inlineStr">
        <is>
          <t>本账本说明 · 关卡场景</t>
        </is>
      </c>
    </row>
    <row r="2"/>
    <row r="3">
      <c r="A3" s="52" t="inlineStr">
        <is>
          <t>本表是分账本自描述；机器可读真源为 assets/registry/ledger_index.json，二者不一致时以 JSON 为准</t>
        </is>
      </c>
    </row>
    <row r="5">
      <c r="A5" s="66" t="inlineStr">
        <is>
          <t>项</t>
        </is>
      </c>
      <c r="B5" s="66" t="inlineStr">
        <is>
          <t>值</t>
        </is>
      </c>
      <c r="C5" s="66" t="inlineStr"/>
      <c r="D5" s="66" t="inlineStr"/>
      <c r="E5" s="66" t="inlineStr"/>
      <c r="F5" s="66" t="inlineStr"/>
    </row>
    <row r="6" ht="30" customHeight="1" s="50">
      <c r="A6" s="60" t="inlineStr">
        <is>
          <t>账本归属域</t>
        </is>
      </c>
      <c r="B6" s="60" t="inlineStr">
        <is>
          <t>关卡场景</t>
        </is>
      </c>
      <c r="C6" s="60" t="inlineStr"/>
      <c r="D6" s="60" t="inlineStr"/>
      <c r="E6" s="60" t="inlineStr"/>
      <c r="F6" s="60" t="inlineStr"/>
    </row>
    <row r="7" ht="30" customHeight="1" s="50">
      <c r="A7" s="60" t="inlineStr">
        <is>
          <t>分账本文件</t>
        </is>
      </c>
      <c r="B7" s="60" t="inlineStr">
        <is>
          <t>assets/registry/ledgers/ShellStorm2_场景账本_v001.xlsx</t>
        </is>
      </c>
      <c r="C7" s="60" t="inlineStr"/>
      <c r="D7" s="60" t="inlineStr"/>
      <c r="E7" s="60" t="inlineStr"/>
      <c r="F7" s="60" t="inlineStr"/>
    </row>
    <row r="8" ht="30" customHeight="1" s="50">
      <c r="A8" s="60" t="inlineStr">
        <is>
          <t>覆盖大类</t>
        </is>
      </c>
      <c r="B8" s="60" t="inlineStr">
        <is>
          <t>场景 / 场景道具 / 基地资产包</t>
        </is>
      </c>
      <c r="C8" s="60" t="inlineStr"/>
      <c r="D8" s="60" t="inlineStr"/>
      <c r="E8" s="60" t="inlineStr"/>
      <c r="F8" s="60" t="inlineStr"/>
    </row>
    <row r="9" ht="30" customHeight="1" s="50">
      <c r="A9" s="60" t="inlineStr">
        <is>
          <t>AssetID 前缀</t>
        </is>
      </c>
      <c r="B9" s="60" t="inlineStr">
        <is>
          <t>ART / ENV / BPK / PRP</t>
        </is>
      </c>
      <c r="C9" s="60" t="inlineStr"/>
      <c r="D9" s="60" t="inlineStr"/>
      <c r="E9" s="60" t="inlineStr"/>
      <c r="F9" s="60" t="inlineStr"/>
    </row>
    <row r="10" ht="30" customHeight="1" s="50">
      <c r="A10" s="60" t="inlineStr">
        <is>
          <t>域内专表</t>
        </is>
      </c>
      <c r="B10" s="60" t="inlineStr">
        <is>
          <t>3D-场景通用 / 3D-设施 / 3D-其他</t>
        </is>
      </c>
      <c r="C10" s="60" t="inlineStr"/>
      <c r="D10" s="60" t="inlineStr"/>
      <c r="E10" s="60" t="inlineStr"/>
      <c r="F10" s="60" t="inlineStr"/>
    </row>
    <row r="11" ht="30" customHeight="1" s="50">
      <c r="A11" s="60" t="inlineStr">
        <is>
          <t>3D Prefab 分页</t>
        </is>
      </c>
      <c r="B11" s="60" t="inlineStr">
        <is>
          <t>3D-场景通用 / 3D-设施 / 3D-其他</t>
        </is>
      </c>
      <c r="C11" s="60" t="inlineStr"/>
      <c r="D11" s="60" t="inlineStr"/>
      <c r="E11" s="60" t="inlineStr"/>
      <c r="F11" s="60" t="inlineStr"/>
    </row>
    <row r="12" ht="30" customHeight="1" s="50">
      <c r="A12" s="60" t="inlineStr">
        <is>
          <t>动画登记表</t>
        </is>
      </c>
      <c r="B12" s="60" t="inlineStr">
        <is>
          <t>无</t>
        </is>
      </c>
      <c r="C12" s="60" t="inlineStr"/>
      <c r="D12" s="60" t="inlineStr"/>
      <c r="E12" s="60" t="inlineStr"/>
      <c r="F12" s="60" t="inlineStr"/>
    </row>
    <row r="13" ht="30" customHeight="1" s="50">
      <c r="A13" s="60" t="inlineStr">
        <is>
          <t>主账本（总目录）</t>
        </is>
      </c>
      <c r="B13" s="60" t="inlineStr">
        <is>
          <t>assets/registry/ShellStorm2_美术资产台账_v001.xlsx</t>
        </is>
      </c>
      <c r="C13" s="60" t="inlineStr"/>
      <c r="D13" s="60" t="inlineStr"/>
      <c r="E13" s="60" t="inlineStr"/>
      <c r="F13" s="60" t="inlineStr"/>
    </row>
    <row r="14" ht="30" customHeight="1" s="50">
      <c r="A14" s="60" t="inlineStr">
        <is>
          <t>跨域契约</t>
        </is>
      </c>
      <c r="B14" s="60" t="inlineStr">
        <is>
          <t>分类与编码 / 命名与查重 / 版本记录 / Skill 清单 / 3D Prefab 总控 —— 全部只在主账本维护</t>
        </is>
      </c>
      <c r="C14" s="60" t="inlineStr"/>
      <c r="D14" s="60" t="inlineStr"/>
      <c r="E14" s="60" t="inlineStr"/>
      <c r="F14" s="60" t="inlineStr"/>
    </row>
    <row r="15" ht="30" customHeight="1" s="50">
      <c r="A15" s="60" t="inlineStr">
        <is>
          <t>首选制作 Skill</t>
        </is>
      </c>
      <c r="B15" s="60" t="inlineStr">
        <is>
          <t>scene-full-pipeline</t>
        </is>
      </c>
      <c r="C15" s="60" t="inlineStr"/>
      <c r="D15" s="60" t="inlineStr"/>
      <c r="E15" s="60" t="inlineStr"/>
      <c r="F15" s="60" t="inlineStr"/>
    </row>
    <row r="16" ht="30" customHeight="1" s="50">
      <c r="A16" s="60" t="inlineStr">
        <is>
          <t>协作 Skill</t>
        </is>
      </c>
      <c r="B16" s="60" t="inlineStr">
        <is>
          <t>godot-model-asset-import-standard / blender-game-prop-standard / scene-art-merge-into-shared-component</t>
        </is>
      </c>
      <c r="C16" s="60" t="inlineStr"/>
      <c r="D16" s="60" t="inlineStr"/>
      <c r="E16" s="60" t="inlineStr"/>
      <c r="F16" s="60" t="inlineStr"/>
    </row>
    <row r="17" ht="30" customHeight="1" s="50">
      <c r="A17" s="60" t="inlineStr">
        <is>
          <t>负责人</t>
        </is>
      </c>
      <c r="B17" s="60" t="inlineStr">
        <is>
          <t>待分配</t>
        </is>
      </c>
      <c r="C17" s="60" t="inlineStr"/>
      <c r="D17" s="60" t="inlineStr"/>
      <c r="E17" s="60" t="inlineStr"/>
      <c r="F17" s="60" t="inlineStr"/>
    </row>
    <row r="18" ht="30" customHeight="1" s="50">
      <c r="A18" s="60" t="inlineStr">
        <is>
          <t>登记范围</t>
        </is>
      </c>
      <c r="B18" s="60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60" t="inlineStr"/>
      <c r="D18" s="60" t="inlineStr"/>
      <c r="E18" s="60" t="inlineStr"/>
      <c r="F18" s="60" t="inlineStr"/>
    </row>
    <row r="19" ht="30" customHeight="1" s="50">
      <c r="A19" s="60" t="inlineStr">
        <is>
          <t>编辑边界</t>
        </is>
      </c>
      <c r="B19" s="60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60" t="inlineStr"/>
      <c r="D19" s="60" t="inlineStr"/>
      <c r="E19" s="60" t="inlineStr"/>
      <c r="F19" s="60" t="inlineStr"/>
    </row>
    <row r="20" ht="30" customHeight="1" s="50">
      <c r="A20" s="60" t="inlineStr">
        <is>
          <t>登记口径</t>
        </is>
      </c>
      <c r="B20" s="60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60" t="inlineStr"/>
      <c r="D20" s="60" t="inlineStr"/>
      <c r="E20" s="60" t="inlineStr"/>
      <c r="F20" s="60" t="inlineStr"/>
    </row>
    <row r="21" ht="30" customHeight="1" s="50">
      <c r="A21" s="60" t="inlineStr">
        <is>
          <t>门禁</t>
        </is>
      </c>
      <c r="B21" s="60" t="inlineStr">
        <is>
          <t>python3 scripts/check_asset_registry.py --scope structure（需 venv python + openpyxl，且在 /tmp 下跑）</t>
        </is>
      </c>
      <c r="C21" s="60" t="inlineStr"/>
      <c r="D21" s="60" t="inlineStr"/>
      <c r="E21" s="60" t="inlineStr"/>
      <c r="F21" s="60" t="inlineStr"/>
    </row>
    <row r="22" ht="30" customHeight="1" s="50">
      <c r="A22" s="60" t="inlineStr">
        <is>
          <t>无损基线</t>
        </is>
      </c>
      <c r="B22" s="60" t="inlineStr">
        <is>
          <t>assets/registry/ledger_split_baseline.json；python3 tools/asset_pipeline/verify_ledger_split.py 断言并集与拆分前逐格一致</t>
        </is>
      </c>
      <c r="C22" s="60" t="inlineStr"/>
      <c r="D22" s="60" t="inlineStr"/>
      <c r="E22" s="60" t="inlineStr"/>
      <c r="F22" s="60" t="inlineStr"/>
    </row>
    <row r="23" ht="30" customHeight="1" s="50">
      <c r="A23" s="60" t="inlineStr">
        <is>
          <t>快照日期</t>
        </is>
      </c>
      <c r="B23" s="60" t="inlineStr">
        <is>
          <t>2026-09-18</t>
        </is>
      </c>
      <c r="C23" s="60" t="inlineStr"/>
      <c r="D23" s="60" t="inlineStr"/>
      <c r="E23" s="60" t="inlineStr"/>
      <c r="F23" s="60" t="inlineStr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9"/>
  <sheetViews>
    <sheetView showGridLines="0" workbookViewId="0">
      <selection activeCell="A1" sqref="A1"/>
    </sheetView>
  </sheetViews>
  <sheetFormatPr baseColWidth="8" defaultRowHeight="15"/>
  <cols>
    <col width="25" customWidth="1" style="50" min="1" max="1"/>
    <col width="18" customWidth="1" style="50" min="2" max="2"/>
    <col width="10" customWidth="1" style="50" min="3" max="3"/>
    <col width="18" customWidth="1" style="50" min="4" max="4"/>
    <col width="22" customWidth="1" style="50" min="5" max="5"/>
    <col width="12" customWidth="1" style="50" min="6" max="6"/>
    <col width="25" customWidth="1" style="50" min="7" max="7"/>
    <col width="19" customWidth="1" style="50" min="8" max="8"/>
    <col width="15" customWidth="1" style="50" min="9" max="9"/>
    <col width="18" customWidth="1" style="50" min="10" max="10"/>
    <col width="12" customWidth="1" style="50" min="11" max="11"/>
    <col width="8" customWidth="1" style="50" min="12" max="12"/>
    <col width="9" customWidth="1" style="50" min="13" max="13"/>
    <col width="16" customWidth="1" style="50" min="14" max="14"/>
    <col width="36" customWidth="1" style="50" min="15" max="15"/>
    <col width="34" customWidth="1" style="50" min="16" max="16"/>
    <col width="26" customWidth="1" style="50" min="17" max="17"/>
    <col width="42" customWidth="1" style="50" min="18" max="18"/>
    <col width="12" customWidth="1" style="50" min="19" max="19"/>
    <col width="30" customWidth="1" style="50" min="20" max="20"/>
    <col width="12" customWidth="1" style="50" min="21" max="21"/>
    <col width="13" customWidth="1" style="50" min="22" max="22"/>
    <col width="16" customWidth="1" style="50" min="23" max="23"/>
    <col width="52" customWidth="1" style="50" min="24" max="24"/>
  </cols>
  <sheetData>
    <row r="1" ht="25" customHeight="1" s="50">
      <c r="A1" s="67" t="inlineStr">
        <is>
          <t>资产主表 · 唯一登记源</t>
        </is>
      </c>
    </row>
    <row r="2" ht="12" customHeight="1" s="50"/>
    <row r="3" ht="23" customHeight="1" s="50">
      <c r="A3" s="68" t="inlineStr">
        <is>
          <t>查重键由公式生成；S 列出现“重复”时禁止制作，先合并或建立变体父子关系</t>
        </is>
      </c>
    </row>
    <row r="4">
      <c r="A4" s="69" t="inlineStr"/>
      <c r="B4" s="69" t="inlineStr"/>
      <c r="C4" s="69" t="inlineStr"/>
      <c r="D4" s="69" t="inlineStr"/>
      <c r="E4" s="69" t="inlineStr"/>
      <c r="F4" s="69" t="inlineStr"/>
      <c r="G4" s="69" t="inlineStr"/>
      <c r="H4" s="69" t="inlineStr"/>
      <c r="I4" s="69" t="inlineStr"/>
      <c r="J4" s="69" t="inlineStr"/>
      <c r="K4" s="69" t="inlineStr"/>
      <c r="L4" s="69" t="inlineStr"/>
      <c r="M4" s="69" t="inlineStr"/>
      <c r="N4" s="69" t="inlineStr"/>
      <c r="O4" s="69" t="inlineStr"/>
      <c r="P4" s="69" t="inlineStr"/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Y4" s="69" t="inlineStr"/>
    </row>
    <row r="5" ht="32" customHeight="1" s="50">
      <c r="A5" s="66" t="inlineStr">
        <is>
          <t>AssetID</t>
        </is>
      </c>
      <c r="B5" s="70" t="inlineStr">
        <is>
          <t>中文名</t>
        </is>
      </c>
      <c r="C5" s="70" t="inlineStr">
        <is>
          <t>大类</t>
        </is>
      </c>
      <c r="D5" s="70" t="inlineStr">
        <is>
          <t>子类</t>
        </is>
      </c>
      <c r="E5" s="70" t="inlineStr">
        <is>
          <t>逻辑ID/源键</t>
        </is>
      </c>
      <c r="F5" s="70" t="inlineStr">
        <is>
          <t>组件槽</t>
        </is>
      </c>
      <c r="G5" s="70" t="inlineStr">
        <is>
          <t>变体父ID</t>
        </is>
      </c>
      <c r="H5" s="70" t="inlineStr">
        <is>
          <t>视角</t>
        </is>
      </c>
      <c r="I5" s="70" t="inlineStr">
        <is>
          <t>状态/动画</t>
        </is>
      </c>
      <c r="J5" s="70" t="inlineStr">
        <is>
          <t>复用范围</t>
        </is>
      </c>
      <c r="K5" s="70" t="inlineStr">
        <is>
          <t>制作状态</t>
        </is>
      </c>
      <c r="L5" s="70" t="inlineStr">
        <is>
          <t>优先级</t>
        </is>
      </c>
      <c r="M5" s="70" t="inlineStr">
        <is>
          <t>版本</t>
        </is>
      </c>
      <c r="N5" s="70" t="inlineStr">
        <is>
          <t>规格(px)</t>
        </is>
      </c>
      <c r="O5" s="70" t="inlineStr">
        <is>
          <t>文件路径</t>
        </is>
      </c>
      <c r="P5" s="70" t="inlineStr">
        <is>
          <t>源码/策划依据</t>
        </is>
      </c>
      <c r="Q5" s="70" t="inlineStr">
        <is>
          <t>关键词/别名</t>
        </is>
      </c>
      <c r="R5" s="70" t="inlineStr">
        <is>
          <t>查重键</t>
        </is>
      </c>
      <c r="S5" s="70" t="inlineStr">
        <is>
          <t>查重结果</t>
        </is>
      </c>
      <c r="T5" s="70" t="inlineStr">
        <is>
          <t>SHA-256</t>
        </is>
      </c>
      <c r="U5" s="70" t="inlineStr">
        <is>
          <t>负责人</t>
        </is>
      </c>
      <c r="V5" s="70" t="inlineStr">
        <is>
          <t>更新时间</t>
        </is>
      </c>
      <c r="W5" s="70" t="inlineStr">
        <is>
          <t>来源/许可</t>
        </is>
      </c>
      <c r="X5" s="71" t="inlineStr">
        <is>
          <t>源编号（Blender collection）</t>
        </is>
      </c>
      <c r="Y5" s="72" t="inlineStr">
        <is>
          <t>备注</t>
        </is>
      </c>
    </row>
    <row r="6">
      <c r="A6" s="73" t="inlineStr">
        <is>
          <t>ENV-BASE-WORLD-KIT</t>
        </is>
      </c>
      <c r="B6" s="73" t="inlineStr">
        <is>
          <t>末日基地与荒野</t>
        </is>
      </c>
      <c r="C6" s="73" t="inlineStr">
        <is>
          <t>场景</t>
        </is>
      </c>
      <c r="D6" s="73" t="inlineStr">
        <is>
          <t>biome_kit</t>
        </is>
      </c>
      <c r="E6" s="73" t="inlineStr">
        <is>
          <t>base_world</t>
        </is>
      </c>
      <c r="F6" s="73" t="inlineStr">
        <is>
          <t>root</t>
        </is>
      </c>
      <c r="G6" s="73" t="inlineStr"/>
      <c r="H6" s="73" t="inlineStr">
        <is>
          <t>顶视</t>
        </is>
      </c>
      <c r="I6" s="73" t="inlineStr">
        <is>
          <t>default</t>
        </is>
      </c>
      <c r="J6" s="73" t="inlineStr">
        <is>
          <t>同主题房间共享</t>
        </is>
      </c>
      <c r="K6" s="73" t="inlineStr">
        <is>
          <t>程序占位</t>
        </is>
      </c>
      <c r="L6" s="73" t="inlineStr">
        <is>
          <t>P0</t>
        </is>
      </c>
      <c r="M6" s="73" t="inlineStr">
        <is>
          <t>v001</t>
        </is>
      </c>
      <c r="N6" s="73" t="inlineStr">
        <is>
          <t>64 px 网格；模块化 Tile/Prop</t>
        </is>
      </c>
      <c r="O6" s="73" t="inlineStr"/>
      <c r="P6" s="73" t="inlineStr">
        <is>
          <t>scenes/BaseWorld.tscn</t>
        </is>
      </c>
      <c r="Q6" s="73" t="inlineStr"/>
      <c r="R6" s="73">
        <f>LOWER(TRIM(C6)&amp;"|"&amp;TRIM(D6)&amp;"|"&amp;TRIM(E6)&amp;"|"&amp;TRIM(F6)&amp;"|"&amp;TRIM(H6)&amp;"|"&amp;TRIM(I6))</f>
        <v/>
      </c>
      <c r="S6" s="73">
        <f>IF(COUNTIF($R$6:$R$239,R6)&gt;1,"重复","唯一")</f>
        <v/>
      </c>
      <c r="T6" s="73" t="inlineStr"/>
      <c r="U6" s="73" t="inlineStr">
        <is>
          <t>待分配</t>
        </is>
      </c>
      <c r="V6" s="74" t="n">
        <v>46224</v>
      </c>
      <c r="W6" s="73" t="inlineStr">
        <is>
          <t>原创/待确认</t>
        </is>
      </c>
      <c r="X6" s="75" t="inlineStr">
        <is>
          <t>—</t>
        </is>
      </c>
      <c r="Y6" s="73" t="inlineStr">
        <is>
          <t>先拆地面/墙/门/大中小道具，禁止整张场景烘焙</t>
        </is>
      </c>
    </row>
    <row r="7">
      <c r="A7" s="73" t="inlineStr">
        <is>
          <t>ENV-IRON-FRONTIER-KIT</t>
        </is>
      </c>
      <c r="B7" s="73" t="inlineStr">
        <is>
          <t>冷钢边境</t>
        </is>
      </c>
      <c r="C7" s="73" t="inlineStr">
        <is>
          <t>场景</t>
        </is>
      </c>
      <c r="D7" s="73" t="inlineStr">
        <is>
          <t>biome_kit</t>
        </is>
      </c>
      <c r="E7" s="73" t="inlineStr">
        <is>
          <t>iron_frontier</t>
        </is>
      </c>
      <c r="F7" s="73" t="inlineStr">
        <is>
          <t>root</t>
        </is>
      </c>
      <c r="G7" s="73" t="inlineStr"/>
      <c r="H7" s="73" t="inlineStr">
        <is>
          <t>顶视</t>
        </is>
      </c>
      <c r="I7" s="73" t="inlineStr">
        <is>
          <t>default</t>
        </is>
      </c>
      <c r="J7" s="73" t="inlineStr">
        <is>
          <t>同主题房间共享</t>
        </is>
      </c>
      <c r="K7" s="73" t="inlineStr">
        <is>
          <t>程序占位</t>
        </is>
      </c>
      <c r="L7" s="73" t="inlineStr">
        <is>
          <t>P0</t>
        </is>
      </c>
      <c r="M7" s="73" t="inlineStr">
        <is>
          <t>v001</t>
        </is>
      </c>
      <c r="N7" s="73" t="inlineStr">
        <is>
          <t>64 px 网格；模块化 Tile/Prop</t>
        </is>
      </c>
      <c r="O7" s="73" t="inlineStr"/>
      <c r="P7" s="73" t="inlineStr">
        <is>
          <t>scenes/levels/IronFrontier.tscn</t>
        </is>
      </c>
      <c r="Q7" s="73" t="inlineStr"/>
      <c r="R7" s="73">
        <f>LOWER(TRIM(C7)&amp;"|"&amp;TRIM(D7)&amp;"|"&amp;TRIM(E7)&amp;"|"&amp;TRIM(F7)&amp;"|"&amp;TRIM(H7)&amp;"|"&amp;TRIM(I7))</f>
        <v/>
      </c>
      <c r="S7" s="73">
        <f>IF(COUNTIF($R$6:$R$239,R7)&gt;1,"重复","唯一")</f>
        <v/>
      </c>
      <c r="T7" s="73" t="inlineStr"/>
      <c r="U7" s="73" t="inlineStr">
        <is>
          <t>待分配</t>
        </is>
      </c>
      <c r="V7" s="74" t="n">
        <v>46224</v>
      </c>
      <c r="W7" s="73" t="inlineStr">
        <is>
          <t>原创/待确认</t>
        </is>
      </c>
      <c r="X7" s="75" t="inlineStr">
        <is>
          <t>—</t>
        </is>
      </c>
      <c r="Y7" s="73" t="inlineStr">
        <is>
          <t>先拆地面/墙/门/大中小道具，禁止整张场景烘焙</t>
        </is>
      </c>
    </row>
    <row r="8">
      <c r="A8" s="73" t="inlineStr">
        <is>
          <t>ENV-RUST-FOUNDRY-KIT</t>
        </is>
      </c>
      <c r="B8" s="73" t="inlineStr">
        <is>
          <t>锈蚀铸造厂</t>
        </is>
      </c>
      <c r="C8" s="73" t="inlineStr">
        <is>
          <t>场景</t>
        </is>
      </c>
      <c r="D8" s="73" t="inlineStr">
        <is>
          <t>biome_kit</t>
        </is>
      </c>
      <c r="E8" s="73" t="inlineStr">
        <is>
          <t>rust_foundry</t>
        </is>
      </c>
      <c r="F8" s="73" t="inlineStr">
        <is>
          <t>root</t>
        </is>
      </c>
      <c r="G8" s="73" t="inlineStr"/>
      <c r="H8" s="73" t="inlineStr">
        <is>
          <t>顶视</t>
        </is>
      </c>
      <c r="I8" s="73" t="inlineStr">
        <is>
          <t>default</t>
        </is>
      </c>
      <c r="J8" s="73" t="inlineStr">
        <is>
          <t>同主题房间共享</t>
        </is>
      </c>
      <c r="K8" s="73" t="inlineStr">
        <is>
          <t>程序占位</t>
        </is>
      </c>
      <c r="L8" s="73" t="inlineStr">
        <is>
          <t>P1</t>
        </is>
      </c>
      <c r="M8" s="73" t="inlineStr">
        <is>
          <t>v001</t>
        </is>
      </c>
      <c r="N8" s="73" t="inlineStr">
        <is>
          <t>64 px 网格；模块化 Tile/Prop</t>
        </is>
      </c>
      <c r="O8" s="73" t="inlineStr"/>
      <c r="P8" s="73" t="inlineStr">
        <is>
          <t>scenes/levels/RustFoundry.tscn</t>
        </is>
      </c>
      <c r="Q8" s="73" t="inlineStr"/>
      <c r="R8" s="73">
        <f>LOWER(TRIM(C8)&amp;"|"&amp;TRIM(D8)&amp;"|"&amp;TRIM(E8)&amp;"|"&amp;TRIM(F8)&amp;"|"&amp;TRIM(H8)&amp;"|"&amp;TRIM(I8))</f>
        <v/>
      </c>
      <c r="S8" s="73">
        <f>IF(COUNTIF($R$6:$R$239,R8)&gt;1,"重复","唯一")</f>
        <v/>
      </c>
      <c r="T8" s="73" t="inlineStr"/>
      <c r="U8" s="73" t="inlineStr">
        <is>
          <t>待分配</t>
        </is>
      </c>
      <c r="V8" s="74" t="n">
        <v>46224</v>
      </c>
      <c r="W8" s="73" t="inlineStr">
        <is>
          <t>原创/待确认</t>
        </is>
      </c>
      <c r="X8" s="75" t="inlineStr">
        <is>
          <t>—</t>
        </is>
      </c>
      <c r="Y8" s="73" t="inlineStr">
        <is>
          <t>先拆地面/墙/门/大中小道具，禁止整张场景烘焙</t>
        </is>
      </c>
    </row>
    <row r="9">
      <c r="A9" s="73" t="inlineStr">
        <is>
          <t>ENV-SPORE-DEPTHS-KIT</t>
        </is>
      </c>
      <c r="B9" s="73" t="inlineStr">
        <is>
          <t>孢子深层</t>
        </is>
      </c>
      <c r="C9" s="73" t="inlineStr">
        <is>
          <t>场景</t>
        </is>
      </c>
      <c r="D9" s="73" t="inlineStr">
        <is>
          <t>biome_kit</t>
        </is>
      </c>
      <c r="E9" s="73" t="inlineStr">
        <is>
          <t>spore_depths</t>
        </is>
      </c>
      <c r="F9" s="73" t="inlineStr">
        <is>
          <t>root</t>
        </is>
      </c>
      <c r="G9" s="73" t="inlineStr"/>
      <c r="H9" s="73" t="inlineStr">
        <is>
          <t>顶视</t>
        </is>
      </c>
      <c r="I9" s="73" t="inlineStr">
        <is>
          <t>default</t>
        </is>
      </c>
      <c r="J9" s="73" t="inlineStr">
        <is>
          <t>同主题房间共享</t>
        </is>
      </c>
      <c r="K9" s="73" t="inlineStr">
        <is>
          <t>程序占位</t>
        </is>
      </c>
      <c r="L9" s="73" t="inlineStr">
        <is>
          <t>P1</t>
        </is>
      </c>
      <c r="M9" s="73" t="inlineStr">
        <is>
          <t>v001</t>
        </is>
      </c>
      <c r="N9" s="73" t="inlineStr">
        <is>
          <t>64 px 网格；模块化 Tile/Prop</t>
        </is>
      </c>
      <c r="O9" s="73" t="inlineStr"/>
      <c r="P9" s="73" t="inlineStr">
        <is>
          <t>scenes/levels/SporeDepths.tscn</t>
        </is>
      </c>
      <c r="Q9" s="73" t="inlineStr"/>
      <c r="R9" s="73">
        <f>LOWER(TRIM(C9)&amp;"|"&amp;TRIM(D9)&amp;"|"&amp;TRIM(E9)&amp;"|"&amp;TRIM(F9)&amp;"|"&amp;TRIM(H9)&amp;"|"&amp;TRIM(I9))</f>
        <v/>
      </c>
      <c r="S9" s="73">
        <f>IF(COUNTIF($R$6:$R$239,R9)&gt;1,"重复","唯一")</f>
        <v/>
      </c>
      <c r="T9" s="73" t="inlineStr"/>
      <c r="U9" s="73" t="inlineStr">
        <is>
          <t>待分配</t>
        </is>
      </c>
      <c r="V9" s="74" t="n">
        <v>46224</v>
      </c>
      <c r="W9" s="73" t="inlineStr">
        <is>
          <t>原创/待确认</t>
        </is>
      </c>
      <c r="X9" s="75" t="inlineStr">
        <is>
          <t>—</t>
        </is>
      </c>
      <c r="Y9" s="73" t="inlineStr">
        <is>
          <t>先拆地面/墙/门/大中小道具，禁止整张场景烘焙</t>
        </is>
      </c>
    </row>
    <row r="10">
      <c r="A10" s="73" t="inlineStr">
        <is>
          <t>ENV-ABYSS-ARCHIVE-KIT</t>
        </is>
      </c>
      <c r="B10" s="73" t="inlineStr">
        <is>
          <t>深渊档案库</t>
        </is>
      </c>
      <c r="C10" s="73" t="inlineStr">
        <is>
          <t>场景</t>
        </is>
      </c>
      <c r="D10" s="73" t="inlineStr">
        <is>
          <t>biome_kit</t>
        </is>
      </c>
      <c r="E10" s="73" t="inlineStr">
        <is>
          <t>abyss_archive</t>
        </is>
      </c>
      <c r="F10" s="73" t="inlineStr">
        <is>
          <t>root</t>
        </is>
      </c>
      <c r="G10" s="73" t="inlineStr"/>
      <c r="H10" s="73" t="inlineStr">
        <is>
          <t>顶视</t>
        </is>
      </c>
      <c r="I10" s="73" t="inlineStr">
        <is>
          <t>default</t>
        </is>
      </c>
      <c r="J10" s="73" t="inlineStr">
        <is>
          <t>同主题房间共享</t>
        </is>
      </c>
      <c r="K10" s="73" t="inlineStr">
        <is>
          <t>程序占位</t>
        </is>
      </c>
      <c r="L10" s="73" t="inlineStr">
        <is>
          <t>P1</t>
        </is>
      </c>
      <c r="M10" s="73" t="inlineStr">
        <is>
          <t>v001</t>
        </is>
      </c>
      <c r="N10" s="73" t="inlineStr">
        <is>
          <t>64 px 网格；模块化 Tile/Prop</t>
        </is>
      </c>
      <c r="O10" s="73" t="inlineStr"/>
      <c r="P10" s="73" t="inlineStr">
        <is>
          <t>scenes/levels/AbyssArchive.tscn</t>
        </is>
      </c>
      <c r="Q10" s="73" t="inlineStr"/>
      <c r="R10" s="73">
        <f>LOWER(TRIM(C10)&amp;"|"&amp;TRIM(D10)&amp;"|"&amp;TRIM(E10)&amp;"|"&amp;TRIM(F10)&amp;"|"&amp;TRIM(H10)&amp;"|"&amp;TRIM(I10))</f>
        <v/>
      </c>
      <c r="S10" s="73">
        <f>IF(COUNTIF($R$6:$R$239,R10)&gt;1,"重复","唯一")</f>
        <v/>
      </c>
      <c r="T10" s="73" t="inlineStr"/>
      <c r="U10" s="73" t="inlineStr">
        <is>
          <t>待分配</t>
        </is>
      </c>
      <c r="V10" s="74" t="n">
        <v>46224</v>
      </c>
      <c r="W10" s="73" t="inlineStr">
        <is>
          <t>原创/待确认</t>
        </is>
      </c>
      <c r="X10" s="75" t="inlineStr">
        <is>
          <t>—</t>
        </is>
      </c>
      <c r="Y10" s="73" t="inlineStr">
        <is>
          <t>先拆地面/墙/门/大中小道具，禁止整张场景烘焙</t>
        </is>
      </c>
    </row>
    <row r="11">
      <c r="A11" s="73" t="inlineStr">
        <is>
          <t>ENV-TRAINING-RANGE-KIT</t>
        </is>
      </c>
      <c r="B11" s="73" t="inlineStr">
        <is>
          <t>地下训练靶场</t>
        </is>
      </c>
      <c r="C11" s="73" t="inlineStr">
        <is>
          <t>场景</t>
        </is>
      </c>
      <c r="D11" s="73" t="inlineStr">
        <is>
          <t>biome_kit</t>
        </is>
      </c>
      <c r="E11" s="73" t="inlineStr">
        <is>
          <t>training_range</t>
        </is>
      </c>
      <c r="F11" s="73" t="inlineStr">
        <is>
          <t>root</t>
        </is>
      </c>
      <c r="G11" s="73" t="inlineStr"/>
      <c r="H11" s="73" t="inlineStr">
        <is>
          <t>顶视</t>
        </is>
      </c>
      <c r="I11" s="73" t="inlineStr">
        <is>
          <t>default</t>
        </is>
      </c>
      <c r="J11" s="73" t="inlineStr">
        <is>
          <t>同主题房间共享</t>
        </is>
      </c>
      <c r="K11" s="73" t="inlineStr">
        <is>
          <t>程序占位</t>
        </is>
      </c>
      <c r="L11" s="73" t="inlineStr">
        <is>
          <t>P0</t>
        </is>
      </c>
      <c r="M11" s="73" t="inlineStr">
        <is>
          <t>v001</t>
        </is>
      </c>
      <c r="N11" s="73" t="inlineStr">
        <is>
          <t>64 px 网格；模块化 Tile/Prop</t>
        </is>
      </c>
      <c r="O11" s="73" t="inlineStr"/>
      <c r="P11" s="73" t="inlineStr">
        <is>
          <t>scenes/TrainingRange.tscn</t>
        </is>
      </c>
      <c r="Q11" s="73" t="inlineStr"/>
      <c r="R11" s="73">
        <f>LOWER(TRIM(C11)&amp;"|"&amp;TRIM(D11)&amp;"|"&amp;TRIM(E11)&amp;"|"&amp;TRIM(F11)&amp;"|"&amp;TRIM(H11)&amp;"|"&amp;TRIM(I11))</f>
        <v/>
      </c>
      <c r="S11" s="73">
        <f>IF(COUNTIF($R$6:$R$239,R11)&gt;1,"重复","唯一")</f>
        <v/>
      </c>
      <c r="T11" s="73" t="inlineStr"/>
      <c r="U11" s="73" t="inlineStr">
        <is>
          <t>待分配</t>
        </is>
      </c>
      <c r="V11" s="74" t="n">
        <v>46224</v>
      </c>
      <c r="W11" s="73" t="inlineStr">
        <is>
          <t>原创/待确认</t>
        </is>
      </c>
      <c r="X11" s="75" t="inlineStr">
        <is>
          <t>—</t>
        </is>
      </c>
      <c r="Y11" s="73" t="inlineStr">
        <is>
          <t>先拆地面/墙/门/大中小道具，禁止整张场景烘焙</t>
        </is>
      </c>
    </row>
    <row r="12">
      <c r="A12" s="73" t="inlineStr">
        <is>
          <t>ENV-ROOM-COMBAT-DRESSING</t>
        </is>
      </c>
      <c r="B12" s="73" t="inlineStr">
        <is>
          <t>combat 房间陈设包</t>
        </is>
      </c>
      <c r="C12" s="73" t="inlineStr">
        <is>
          <t>场景</t>
        </is>
      </c>
      <c r="D12" s="73" t="inlineStr">
        <is>
          <t>room_dressing</t>
        </is>
      </c>
      <c r="E12" s="73" t="inlineStr">
        <is>
          <t>room_combat</t>
        </is>
      </c>
      <c r="F12" s="73" t="inlineStr">
        <is>
          <t>root</t>
        </is>
      </c>
      <c r="G12" s="73" t="inlineStr"/>
      <c r="H12" s="73" t="inlineStr">
        <is>
          <t>顶视</t>
        </is>
      </c>
      <c r="I12" s="73" t="inlineStr">
        <is>
          <t>default</t>
        </is>
      </c>
      <c r="J12" s="73" t="inlineStr">
        <is>
          <t>跨楼层配色变体</t>
        </is>
      </c>
      <c r="K12" s="73" t="inlineStr">
        <is>
          <t>程序占位</t>
        </is>
      </c>
      <c r="L12" s="73" t="inlineStr">
        <is>
          <t>P1</t>
        </is>
      </c>
      <c r="M12" s="73" t="inlineStr">
        <is>
          <t>v001</t>
        </is>
      </c>
      <c r="N12" s="73" t="inlineStr">
        <is>
          <t>64 px 网格</t>
        </is>
      </c>
      <c r="O12" s="73" t="inlineStr"/>
      <c r="P12" s="73" t="inlineStr">
        <is>
          <t>scenes/RoomCombat.tscn</t>
        </is>
      </c>
      <c r="Q12" s="73" t="inlineStr"/>
      <c r="R12" s="73">
        <f>LOWER(TRIM(C12)&amp;"|"&amp;TRIM(D12)&amp;"|"&amp;TRIM(E12)&amp;"|"&amp;TRIM(F12)&amp;"|"&amp;TRIM(H12)&amp;"|"&amp;TRIM(I12))</f>
        <v/>
      </c>
      <c r="S12" s="73">
        <f>IF(COUNTIF($R$6:$R$239,R12)&gt;1,"重复","唯一")</f>
        <v/>
      </c>
      <c r="T12" s="73" t="inlineStr"/>
      <c r="U12" s="73" t="inlineStr">
        <is>
          <t>待分配</t>
        </is>
      </c>
      <c r="V12" s="74" t="n">
        <v>46224</v>
      </c>
      <c r="W12" s="73" t="inlineStr">
        <is>
          <t>原创/待确认</t>
        </is>
      </c>
      <c r="X12" s="75" t="inlineStr">
        <is>
          <t>—</t>
        </is>
      </c>
      <c r="Y12" s="73" t="inlineStr">
        <is>
          <t>只登记房间独有件；地板墙体引用 biome kit</t>
        </is>
      </c>
    </row>
    <row r="13">
      <c r="A13" s="73" t="inlineStr">
        <is>
          <t>ENV-ROOM-ELITE-DRESSING</t>
        </is>
      </c>
      <c r="B13" s="73" t="inlineStr">
        <is>
          <t>elite 房间陈设包</t>
        </is>
      </c>
      <c r="C13" s="73" t="inlineStr">
        <is>
          <t>场景</t>
        </is>
      </c>
      <c r="D13" s="73" t="inlineStr">
        <is>
          <t>room_dressing</t>
        </is>
      </c>
      <c r="E13" s="73" t="inlineStr">
        <is>
          <t>room_elite</t>
        </is>
      </c>
      <c r="F13" s="73" t="inlineStr">
        <is>
          <t>root</t>
        </is>
      </c>
      <c r="G13" s="73" t="inlineStr"/>
      <c r="H13" s="73" t="inlineStr">
        <is>
          <t>顶视</t>
        </is>
      </c>
      <c r="I13" s="73" t="inlineStr">
        <is>
          <t>default</t>
        </is>
      </c>
      <c r="J13" s="73" t="inlineStr">
        <is>
          <t>跨楼层配色变体</t>
        </is>
      </c>
      <c r="K13" s="73" t="inlineStr">
        <is>
          <t>程序占位</t>
        </is>
      </c>
      <c r="L13" s="73" t="inlineStr">
        <is>
          <t>P2</t>
        </is>
      </c>
      <c r="M13" s="73" t="inlineStr">
        <is>
          <t>v001</t>
        </is>
      </c>
      <c r="N13" s="73" t="inlineStr">
        <is>
          <t>64 px 网格</t>
        </is>
      </c>
      <c r="O13" s="73" t="inlineStr"/>
      <c r="P13" s="73" t="inlineStr">
        <is>
          <t>scenes/RoomElite.tscn</t>
        </is>
      </c>
      <c r="Q13" s="73" t="inlineStr"/>
      <c r="R13" s="73">
        <f>LOWER(TRIM(C13)&amp;"|"&amp;TRIM(D13)&amp;"|"&amp;TRIM(E13)&amp;"|"&amp;TRIM(F13)&amp;"|"&amp;TRIM(H13)&amp;"|"&amp;TRIM(I13))</f>
        <v/>
      </c>
      <c r="S13" s="73">
        <f>IF(COUNTIF($R$6:$R$239,R13)&gt;1,"重复","唯一")</f>
        <v/>
      </c>
      <c r="T13" s="73" t="inlineStr"/>
      <c r="U13" s="73" t="inlineStr">
        <is>
          <t>待分配</t>
        </is>
      </c>
      <c r="V13" s="74" t="n">
        <v>46224</v>
      </c>
      <c r="W13" s="73" t="inlineStr">
        <is>
          <t>原创/待确认</t>
        </is>
      </c>
      <c r="X13" s="75" t="inlineStr">
        <is>
          <t>—</t>
        </is>
      </c>
      <c r="Y13" s="73" t="inlineStr">
        <is>
          <t>只登记房间独有件；地板墙体引用 biome kit</t>
        </is>
      </c>
    </row>
    <row r="14">
      <c r="A14" s="73" t="inlineStr">
        <is>
          <t>ENV-ROOM-BOSS-DRESSING</t>
        </is>
      </c>
      <c r="B14" s="73" t="inlineStr">
        <is>
          <t>boss 房间陈设包</t>
        </is>
      </c>
      <c r="C14" s="73" t="inlineStr">
        <is>
          <t>场景</t>
        </is>
      </c>
      <c r="D14" s="73" t="inlineStr">
        <is>
          <t>room_dressing</t>
        </is>
      </c>
      <c r="E14" s="73" t="inlineStr">
        <is>
          <t>room_boss</t>
        </is>
      </c>
      <c r="F14" s="73" t="inlineStr">
        <is>
          <t>root</t>
        </is>
      </c>
      <c r="G14" s="73" t="inlineStr"/>
      <c r="H14" s="73" t="inlineStr">
        <is>
          <t>顶视</t>
        </is>
      </c>
      <c r="I14" s="73" t="inlineStr">
        <is>
          <t>default</t>
        </is>
      </c>
      <c r="J14" s="73" t="inlineStr">
        <is>
          <t>跨楼层配色变体</t>
        </is>
      </c>
      <c r="K14" s="73" t="inlineStr">
        <is>
          <t>程序占位</t>
        </is>
      </c>
      <c r="L14" s="73" t="inlineStr">
        <is>
          <t>P1</t>
        </is>
      </c>
      <c r="M14" s="73" t="inlineStr">
        <is>
          <t>v001</t>
        </is>
      </c>
      <c r="N14" s="73" t="inlineStr">
        <is>
          <t>64 px 网格</t>
        </is>
      </c>
      <c r="O14" s="73" t="inlineStr"/>
      <c r="P14" s="73" t="inlineStr">
        <is>
          <t>scenes/RoomBoss.tscn</t>
        </is>
      </c>
      <c r="Q14" s="73" t="inlineStr"/>
      <c r="R14" s="73">
        <f>LOWER(TRIM(C14)&amp;"|"&amp;TRIM(D14)&amp;"|"&amp;TRIM(E14)&amp;"|"&amp;TRIM(F14)&amp;"|"&amp;TRIM(H14)&amp;"|"&amp;TRIM(I14))</f>
        <v/>
      </c>
      <c r="S14" s="73">
        <f>IF(COUNTIF($R$6:$R$239,R14)&gt;1,"重复","唯一")</f>
        <v/>
      </c>
      <c r="T14" s="73" t="inlineStr"/>
      <c r="U14" s="73" t="inlineStr">
        <is>
          <t>待分配</t>
        </is>
      </c>
      <c r="V14" s="74" t="n">
        <v>46224</v>
      </c>
      <c r="W14" s="73" t="inlineStr">
        <is>
          <t>原创/待确认</t>
        </is>
      </c>
      <c r="X14" s="75" t="inlineStr">
        <is>
          <t>—</t>
        </is>
      </c>
      <c r="Y14" s="73" t="inlineStr">
        <is>
          <t>只登记房间独有件；地板墙体引用 biome kit</t>
        </is>
      </c>
    </row>
    <row r="15">
      <c r="A15" s="73" t="inlineStr">
        <is>
          <t>ENV-ROOM-EVENT-DRESSING</t>
        </is>
      </c>
      <c r="B15" s="73" t="inlineStr">
        <is>
          <t>event 房间陈设包</t>
        </is>
      </c>
      <c r="C15" s="73" t="inlineStr">
        <is>
          <t>场景</t>
        </is>
      </c>
      <c r="D15" s="73" t="inlineStr">
        <is>
          <t>room_dressing</t>
        </is>
      </c>
      <c r="E15" s="73" t="inlineStr">
        <is>
          <t>room_event</t>
        </is>
      </c>
      <c r="F15" s="73" t="inlineStr">
        <is>
          <t>root</t>
        </is>
      </c>
      <c r="G15" s="73" t="inlineStr"/>
      <c r="H15" s="73" t="inlineStr">
        <is>
          <t>顶视</t>
        </is>
      </c>
      <c r="I15" s="73" t="inlineStr">
        <is>
          <t>default</t>
        </is>
      </c>
      <c r="J15" s="73" t="inlineStr">
        <is>
          <t>跨楼层配色变体</t>
        </is>
      </c>
      <c r="K15" s="73" t="inlineStr">
        <is>
          <t>程序占位</t>
        </is>
      </c>
      <c r="L15" s="73" t="inlineStr">
        <is>
          <t>P2</t>
        </is>
      </c>
      <c r="M15" s="73" t="inlineStr">
        <is>
          <t>v001</t>
        </is>
      </c>
      <c r="N15" s="73" t="inlineStr">
        <is>
          <t>64 px 网格</t>
        </is>
      </c>
      <c r="O15" s="73" t="inlineStr"/>
      <c r="P15" s="73" t="inlineStr">
        <is>
          <t>scenes/RoomEvent.tscn</t>
        </is>
      </c>
      <c r="Q15" s="73" t="inlineStr"/>
      <c r="R15" s="73">
        <f>LOWER(TRIM(C15)&amp;"|"&amp;TRIM(D15)&amp;"|"&amp;TRIM(E15)&amp;"|"&amp;TRIM(F15)&amp;"|"&amp;TRIM(H15)&amp;"|"&amp;TRIM(I15))</f>
        <v/>
      </c>
      <c r="S15" s="73">
        <f>IF(COUNTIF($R$6:$R$239,R15)&gt;1,"重复","唯一")</f>
        <v/>
      </c>
      <c r="T15" s="73" t="inlineStr"/>
      <c r="U15" s="73" t="inlineStr">
        <is>
          <t>待分配</t>
        </is>
      </c>
      <c r="V15" s="74" t="n">
        <v>46224</v>
      </c>
      <c r="W15" s="73" t="inlineStr">
        <is>
          <t>原创/待确认</t>
        </is>
      </c>
      <c r="X15" s="75" t="inlineStr">
        <is>
          <t>—</t>
        </is>
      </c>
      <c r="Y15" s="73" t="inlineStr">
        <is>
          <t>只登记房间独有件；地板墙体引用 biome kit</t>
        </is>
      </c>
    </row>
    <row r="16">
      <c r="A16" s="73" t="inlineStr">
        <is>
          <t>ENV-ROOM-EXTRACTION-DRESSING</t>
        </is>
      </c>
      <c r="B16" s="73" t="inlineStr">
        <is>
          <t>extraction 房间陈设包</t>
        </is>
      </c>
      <c r="C16" s="73" t="inlineStr">
        <is>
          <t>场景</t>
        </is>
      </c>
      <c r="D16" s="73" t="inlineStr">
        <is>
          <t>room_dressing</t>
        </is>
      </c>
      <c r="E16" s="73" t="inlineStr">
        <is>
          <t>room_extraction</t>
        </is>
      </c>
      <c r="F16" s="73" t="inlineStr">
        <is>
          <t>root</t>
        </is>
      </c>
      <c r="G16" s="73" t="inlineStr"/>
      <c r="H16" s="73" t="inlineStr">
        <is>
          <t>顶视</t>
        </is>
      </c>
      <c r="I16" s="73" t="inlineStr">
        <is>
          <t>default</t>
        </is>
      </c>
      <c r="J16" s="73" t="inlineStr">
        <is>
          <t>跨楼层配色变体</t>
        </is>
      </c>
      <c r="K16" s="73" t="inlineStr">
        <is>
          <t>程序占位</t>
        </is>
      </c>
      <c r="L16" s="73" t="inlineStr">
        <is>
          <t>P1</t>
        </is>
      </c>
      <c r="M16" s="73" t="inlineStr">
        <is>
          <t>v001</t>
        </is>
      </c>
      <c r="N16" s="73" t="inlineStr">
        <is>
          <t>64 px 网格</t>
        </is>
      </c>
      <c r="O16" s="73" t="inlineStr"/>
      <c r="P16" s="73" t="inlineStr">
        <is>
          <t>scenes/RoomExtraction.tscn</t>
        </is>
      </c>
      <c r="Q16" s="73" t="inlineStr"/>
      <c r="R16" s="73">
        <f>LOWER(TRIM(C16)&amp;"|"&amp;TRIM(D16)&amp;"|"&amp;TRIM(E16)&amp;"|"&amp;TRIM(F16)&amp;"|"&amp;TRIM(H16)&amp;"|"&amp;TRIM(I16))</f>
        <v/>
      </c>
      <c r="S16" s="73">
        <f>IF(COUNTIF($R$6:$R$239,R16)&gt;1,"重复","唯一")</f>
        <v/>
      </c>
      <c r="T16" s="73" t="inlineStr"/>
      <c r="U16" s="73" t="inlineStr">
        <is>
          <t>待分配</t>
        </is>
      </c>
      <c r="V16" s="74" t="n">
        <v>46224</v>
      </c>
      <c r="W16" s="73" t="inlineStr">
        <is>
          <t>原创/待确认</t>
        </is>
      </c>
      <c r="X16" s="75" t="inlineStr">
        <is>
          <t>—</t>
        </is>
      </c>
      <c r="Y16" s="73" t="inlineStr">
        <is>
          <t>只登记房间独有件；地板墙体引用 biome kit</t>
        </is>
      </c>
    </row>
    <row r="17">
      <c r="A17" s="73" t="inlineStr">
        <is>
          <t>ENV-ROOM-MERCHANT-DRESSING</t>
        </is>
      </c>
      <c r="B17" s="73" t="inlineStr">
        <is>
          <t>merchant 房间陈设包</t>
        </is>
      </c>
      <c r="C17" s="73" t="inlineStr">
        <is>
          <t>场景</t>
        </is>
      </c>
      <c r="D17" s="73" t="inlineStr">
        <is>
          <t>room_dressing</t>
        </is>
      </c>
      <c r="E17" s="73" t="inlineStr">
        <is>
          <t>room_merchant</t>
        </is>
      </c>
      <c r="F17" s="73" t="inlineStr">
        <is>
          <t>root</t>
        </is>
      </c>
      <c r="G17" s="73" t="inlineStr"/>
      <c r="H17" s="73" t="inlineStr">
        <is>
          <t>顶视</t>
        </is>
      </c>
      <c r="I17" s="73" t="inlineStr">
        <is>
          <t>default</t>
        </is>
      </c>
      <c r="J17" s="73" t="inlineStr">
        <is>
          <t>跨楼层配色变体</t>
        </is>
      </c>
      <c r="K17" s="73" t="inlineStr">
        <is>
          <t>程序占位</t>
        </is>
      </c>
      <c r="L17" s="73" t="inlineStr">
        <is>
          <t>P2</t>
        </is>
      </c>
      <c r="M17" s="73" t="inlineStr">
        <is>
          <t>v001</t>
        </is>
      </c>
      <c r="N17" s="73" t="inlineStr">
        <is>
          <t>64 px 网格</t>
        </is>
      </c>
      <c r="O17" s="73" t="inlineStr"/>
      <c r="P17" s="73" t="inlineStr">
        <is>
          <t>scenes/RoomMerchant.tscn</t>
        </is>
      </c>
      <c r="Q17" s="73" t="inlineStr"/>
      <c r="R17" s="73">
        <f>LOWER(TRIM(C17)&amp;"|"&amp;TRIM(D17)&amp;"|"&amp;TRIM(E17)&amp;"|"&amp;TRIM(F17)&amp;"|"&amp;TRIM(H17)&amp;"|"&amp;TRIM(I17))</f>
        <v/>
      </c>
      <c r="S17" s="73">
        <f>IF(COUNTIF($R$6:$R$239,R17)&gt;1,"重复","唯一")</f>
        <v/>
      </c>
      <c r="T17" s="73" t="inlineStr"/>
      <c r="U17" s="73" t="inlineStr">
        <is>
          <t>待分配</t>
        </is>
      </c>
      <c r="V17" s="74" t="n">
        <v>46224</v>
      </c>
      <c r="W17" s="73" t="inlineStr">
        <is>
          <t>原创/待确认</t>
        </is>
      </c>
      <c r="X17" s="75" t="inlineStr">
        <is>
          <t>—</t>
        </is>
      </c>
      <c r="Y17" s="73" t="inlineStr">
        <is>
          <t>只登记房间独有件；地板墙体引用 biome kit</t>
        </is>
      </c>
    </row>
    <row r="18">
      <c r="A18" s="73" t="inlineStr">
        <is>
          <t>ENV-ROOM-SCAVENGE-DRESSING</t>
        </is>
      </c>
      <c r="B18" s="73" t="inlineStr">
        <is>
          <t>scavenge 房间陈设包</t>
        </is>
      </c>
      <c r="C18" s="73" t="inlineStr">
        <is>
          <t>场景</t>
        </is>
      </c>
      <c r="D18" s="73" t="inlineStr">
        <is>
          <t>room_dressing</t>
        </is>
      </c>
      <c r="E18" s="73" t="inlineStr">
        <is>
          <t>room_scavenge</t>
        </is>
      </c>
      <c r="F18" s="73" t="inlineStr">
        <is>
          <t>root</t>
        </is>
      </c>
      <c r="G18" s="73" t="inlineStr"/>
      <c r="H18" s="73" t="inlineStr">
        <is>
          <t>顶视</t>
        </is>
      </c>
      <c r="I18" s="73" t="inlineStr">
        <is>
          <t>default</t>
        </is>
      </c>
      <c r="J18" s="73" t="inlineStr">
        <is>
          <t>跨楼层配色变体</t>
        </is>
      </c>
      <c r="K18" s="73" t="inlineStr">
        <is>
          <t>程序占位</t>
        </is>
      </c>
      <c r="L18" s="73" t="inlineStr">
        <is>
          <t>P2</t>
        </is>
      </c>
      <c r="M18" s="73" t="inlineStr">
        <is>
          <t>v001</t>
        </is>
      </c>
      <c r="N18" s="73" t="inlineStr">
        <is>
          <t>64 px 网格</t>
        </is>
      </c>
      <c r="O18" s="73" t="inlineStr"/>
      <c r="P18" s="73" t="inlineStr">
        <is>
          <t>scenes/RoomScavenge.tscn</t>
        </is>
      </c>
      <c r="Q18" s="73" t="inlineStr"/>
      <c r="R18" s="73">
        <f>LOWER(TRIM(C18)&amp;"|"&amp;TRIM(D18)&amp;"|"&amp;TRIM(E18)&amp;"|"&amp;TRIM(F18)&amp;"|"&amp;TRIM(H18)&amp;"|"&amp;TRIM(I18))</f>
        <v/>
      </c>
      <c r="S18" s="73">
        <f>IF(COUNTIF($R$6:$R$239,R18)&gt;1,"重复","唯一")</f>
        <v/>
      </c>
      <c r="T18" s="73" t="inlineStr"/>
      <c r="U18" s="73" t="inlineStr">
        <is>
          <t>待分配</t>
        </is>
      </c>
      <c r="V18" s="74" t="n">
        <v>46224</v>
      </c>
      <c r="W18" s="73" t="inlineStr">
        <is>
          <t>原创/待确认</t>
        </is>
      </c>
      <c r="X18" s="75" t="inlineStr">
        <is>
          <t>—</t>
        </is>
      </c>
      <c r="Y18" s="73" t="inlineStr">
        <is>
          <t>只登记房间独有件；地板墙体引用 biome kit</t>
        </is>
      </c>
    </row>
    <row r="19">
      <c r="A19" s="73" t="inlineStr">
        <is>
          <t>ENV-ROOM-STORAGE-DRESSING</t>
        </is>
      </c>
      <c r="B19" s="73" t="inlineStr">
        <is>
          <t>storage 房间陈设包</t>
        </is>
      </c>
      <c r="C19" s="73" t="inlineStr">
        <is>
          <t>场景</t>
        </is>
      </c>
      <c r="D19" s="73" t="inlineStr">
        <is>
          <t>room_dressing</t>
        </is>
      </c>
      <c r="E19" s="73" t="inlineStr">
        <is>
          <t>room_storage</t>
        </is>
      </c>
      <c r="F19" s="73" t="inlineStr">
        <is>
          <t>root</t>
        </is>
      </c>
      <c r="G19" s="73" t="inlineStr"/>
      <c r="H19" s="73" t="inlineStr">
        <is>
          <t>顶视</t>
        </is>
      </c>
      <c r="I19" s="73" t="inlineStr">
        <is>
          <t>default</t>
        </is>
      </c>
      <c r="J19" s="73" t="inlineStr">
        <is>
          <t>跨楼层配色变体</t>
        </is>
      </c>
      <c r="K19" s="73" t="inlineStr">
        <is>
          <t>程序占位</t>
        </is>
      </c>
      <c r="L19" s="73" t="inlineStr">
        <is>
          <t>P2</t>
        </is>
      </c>
      <c r="M19" s="73" t="inlineStr">
        <is>
          <t>v001</t>
        </is>
      </c>
      <c r="N19" s="73" t="inlineStr">
        <is>
          <t>64 px 网格</t>
        </is>
      </c>
      <c r="O19" s="73" t="inlineStr"/>
      <c r="P19" s="73" t="inlineStr">
        <is>
          <t>scenes/RoomStorage.tscn</t>
        </is>
      </c>
      <c r="Q19" s="73" t="inlineStr"/>
      <c r="R19" s="73">
        <f>LOWER(TRIM(C19)&amp;"|"&amp;TRIM(D19)&amp;"|"&amp;TRIM(E19)&amp;"|"&amp;TRIM(F19)&amp;"|"&amp;TRIM(H19)&amp;"|"&amp;TRIM(I19))</f>
        <v/>
      </c>
      <c r="S19" s="73">
        <f>IF(COUNTIF($R$6:$R$239,R19)&gt;1,"重复","唯一")</f>
        <v/>
      </c>
      <c r="T19" s="73" t="inlineStr"/>
      <c r="U19" s="73" t="inlineStr">
        <is>
          <t>待分配</t>
        </is>
      </c>
      <c r="V19" s="74" t="n">
        <v>46224</v>
      </c>
      <c r="W19" s="73" t="inlineStr">
        <is>
          <t>原创/待确认</t>
        </is>
      </c>
      <c r="X19" s="75" t="inlineStr">
        <is>
          <t>—</t>
        </is>
      </c>
      <c r="Y19" s="73" t="inlineStr">
        <is>
          <t>只登记房间独有件；地板墙体引用 biome kit</t>
        </is>
      </c>
    </row>
    <row r="20">
      <c r="A20" s="73" t="inlineStr">
        <is>
          <t>ENV-ROOM-TRAP-DRESSING</t>
        </is>
      </c>
      <c r="B20" s="73" t="inlineStr">
        <is>
          <t>trap 房间陈设包</t>
        </is>
      </c>
      <c r="C20" s="73" t="inlineStr">
        <is>
          <t>场景</t>
        </is>
      </c>
      <c r="D20" s="73" t="inlineStr">
        <is>
          <t>room_dressing</t>
        </is>
      </c>
      <c r="E20" s="73" t="inlineStr">
        <is>
          <t>room_trap</t>
        </is>
      </c>
      <c r="F20" s="73" t="inlineStr">
        <is>
          <t>root</t>
        </is>
      </c>
      <c r="G20" s="73" t="inlineStr"/>
      <c r="H20" s="73" t="inlineStr">
        <is>
          <t>顶视</t>
        </is>
      </c>
      <c r="I20" s="73" t="inlineStr">
        <is>
          <t>default</t>
        </is>
      </c>
      <c r="J20" s="73" t="inlineStr">
        <is>
          <t>跨楼层配色变体</t>
        </is>
      </c>
      <c r="K20" s="73" t="inlineStr">
        <is>
          <t>程序占位</t>
        </is>
      </c>
      <c r="L20" s="73" t="inlineStr">
        <is>
          <t>P2</t>
        </is>
      </c>
      <c r="M20" s="73" t="inlineStr">
        <is>
          <t>v001</t>
        </is>
      </c>
      <c r="N20" s="73" t="inlineStr">
        <is>
          <t>64 px 网格</t>
        </is>
      </c>
      <c r="O20" s="73" t="inlineStr"/>
      <c r="P20" s="73" t="inlineStr">
        <is>
          <t>scenes/RoomTrap.tscn</t>
        </is>
      </c>
      <c r="Q20" s="73" t="inlineStr"/>
      <c r="R20" s="73">
        <f>LOWER(TRIM(C20)&amp;"|"&amp;TRIM(D20)&amp;"|"&amp;TRIM(E20)&amp;"|"&amp;TRIM(F20)&amp;"|"&amp;TRIM(H20)&amp;"|"&amp;TRIM(I20))</f>
        <v/>
      </c>
      <c r="S20" s="73">
        <f>IF(COUNTIF($R$6:$R$239,R20)&gt;1,"重复","唯一")</f>
        <v/>
      </c>
      <c r="T20" s="73" t="inlineStr"/>
      <c r="U20" s="73" t="inlineStr">
        <is>
          <t>待分配</t>
        </is>
      </c>
      <c r="V20" s="74" t="n">
        <v>46224</v>
      </c>
      <c r="W20" s="73" t="inlineStr">
        <is>
          <t>原创/待确认</t>
        </is>
      </c>
      <c r="X20" s="75" t="inlineStr">
        <is>
          <t>—</t>
        </is>
      </c>
      <c r="Y20" s="73" t="inlineStr">
        <is>
          <t>只登记房间独有件；地板墙体引用 biome kit</t>
        </is>
      </c>
    </row>
    <row r="21">
      <c r="A21" s="73" t="inlineStr">
        <is>
          <t>ENV-ROOM-UPGRADE-DRESSING</t>
        </is>
      </c>
      <c r="B21" s="73" t="inlineStr">
        <is>
          <t>upgrade 房间陈设包</t>
        </is>
      </c>
      <c r="C21" s="73" t="inlineStr">
        <is>
          <t>场景</t>
        </is>
      </c>
      <c r="D21" s="73" t="inlineStr">
        <is>
          <t>room_dressing</t>
        </is>
      </c>
      <c r="E21" s="73" t="inlineStr">
        <is>
          <t>room_upgrade</t>
        </is>
      </c>
      <c r="F21" s="73" t="inlineStr">
        <is>
          <t>root</t>
        </is>
      </c>
      <c r="G21" s="73" t="inlineStr"/>
      <c r="H21" s="73" t="inlineStr">
        <is>
          <t>顶视</t>
        </is>
      </c>
      <c r="I21" s="73" t="inlineStr">
        <is>
          <t>default</t>
        </is>
      </c>
      <c r="J21" s="73" t="inlineStr">
        <is>
          <t>跨楼层配色变体</t>
        </is>
      </c>
      <c r="K21" s="73" t="inlineStr">
        <is>
          <t>程序占位</t>
        </is>
      </c>
      <c r="L21" s="73" t="inlineStr">
        <is>
          <t>P2</t>
        </is>
      </c>
      <c r="M21" s="73" t="inlineStr">
        <is>
          <t>v001</t>
        </is>
      </c>
      <c r="N21" s="73" t="inlineStr">
        <is>
          <t>64 px 网格</t>
        </is>
      </c>
      <c r="O21" s="73" t="inlineStr"/>
      <c r="P21" s="73" t="inlineStr">
        <is>
          <t>scenes/RoomUpgrade.tscn</t>
        </is>
      </c>
      <c r="Q21" s="73" t="inlineStr"/>
      <c r="R21" s="73">
        <f>LOWER(TRIM(C21)&amp;"|"&amp;TRIM(D21)&amp;"|"&amp;TRIM(E21)&amp;"|"&amp;TRIM(F21)&amp;"|"&amp;TRIM(H21)&amp;"|"&amp;TRIM(I21))</f>
        <v/>
      </c>
      <c r="S21" s="73">
        <f>IF(COUNTIF($R$6:$R$239,R21)&gt;1,"重复","唯一")</f>
        <v/>
      </c>
      <c r="T21" s="73" t="inlineStr"/>
      <c r="U21" s="73" t="inlineStr">
        <is>
          <t>待分配</t>
        </is>
      </c>
      <c r="V21" s="74" t="n">
        <v>46224</v>
      </c>
      <c r="W21" s="73" t="inlineStr">
        <is>
          <t>原创/待确认</t>
        </is>
      </c>
      <c r="X21" s="75" t="inlineStr">
        <is>
          <t>—</t>
        </is>
      </c>
      <c r="Y21" s="73" t="inlineStr">
        <is>
          <t>只登记房间独有件；地板墙体引用 biome kit</t>
        </is>
      </c>
    </row>
    <row r="22">
      <c r="A22" s="73" t="inlineStr">
        <is>
          <t>ENV-ROOM-SPAWN-DRESSING</t>
        </is>
      </c>
      <c r="B22" s="73" t="inlineStr">
        <is>
          <t>spawn 房间陈设包</t>
        </is>
      </c>
      <c r="C22" s="73" t="inlineStr">
        <is>
          <t>场景</t>
        </is>
      </c>
      <c r="D22" s="73" t="inlineStr">
        <is>
          <t>room_dressing</t>
        </is>
      </c>
      <c r="E22" s="73" t="inlineStr">
        <is>
          <t>room_spawn</t>
        </is>
      </c>
      <c r="F22" s="73" t="inlineStr">
        <is>
          <t>root</t>
        </is>
      </c>
      <c r="G22" s="73" t="inlineStr"/>
      <c r="H22" s="73" t="inlineStr">
        <is>
          <t>顶视</t>
        </is>
      </c>
      <c r="I22" s="73" t="inlineStr">
        <is>
          <t>default</t>
        </is>
      </c>
      <c r="J22" s="73" t="inlineStr">
        <is>
          <t>跨楼层配色变体</t>
        </is>
      </c>
      <c r="K22" s="73" t="inlineStr">
        <is>
          <t>程序占位</t>
        </is>
      </c>
      <c r="L22" s="73" t="inlineStr">
        <is>
          <t>P2</t>
        </is>
      </c>
      <c r="M22" s="73" t="inlineStr">
        <is>
          <t>v001</t>
        </is>
      </c>
      <c r="N22" s="73" t="inlineStr">
        <is>
          <t>64 px 网格</t>
        </is>
      </c>
      <c r="O22" s="73" t="inlineStr"/>
      <c r="P22" s="73" t="inlineStr">
        <is>
          <t>scenes/RoomSpawn.tscn</t>
        </is>
      </c>
      <c r="Q22" s="73" t="inlineStr"/>
      <c r="R22" s="73">
        <f>LOWER(TRIM(C22)&amp;"|"&amp;TRIM(D22)&amp;"|"&amp;TRIM(E22)&amp;"|"&amp;TRIM(F22)&amp;"|"&amp;TRIM(H22)&amp;"|"&amp;TRIM(I22))</f>
        <v/>
      </c>
      <c r="S22" s="73">
        <f>IF(COUNTIF($R$6:$R$239,R22)&gt;1,"重复","唯一")</f>
        <v/>
      </c>
      <c r="T22" s="73" t="inlineStr"/>
      <c r="U22" s="73" t="inlineStr">
        <is>
          <t>待分配</t>
        </is>
      </c>
      <c r="V22" s="74" t="n">
        <v>46224</v>
      </c>
      <c r="W22" s="73" t="inlineStr">
        <is>
          <t>原创/待确认</t>
        </is>
      </c>
      <c r="X22" s="75" t="inlineStr">
        <is>
          <t>—</t>
        </is>
      </c>
      <c r="Y22" s="73" t="inlineStr">
        <is>
          <t>只登记房间独有件；地板墙体引用 biome kit</t>
        </is>
      </c>
    </row>
    <row r="23">
      <c r="A23" s="73" t="inlineStr">
        <is>
          <t>ENV-ROOM-STAIRS-DRESSING</t>
        </is>
      </c>
      <c r="B23" s="73" t="inlineStr">
        <is>
          <t>stairs 房间陈设包</t>
        </is>
      </c>
      <c r="C23" s="73" t="inlineStr">
        <is>
          <t>场景</t>
        </is>
      </c>
      <c r="D23" s="73" t="inlineStr">
        <is>
          <t>room_dressing</t>
        </is>
      </c>
      <c r="E23" s="73" t="inlineStr">
        <is>
          <t>room_stairs</t>
        </is>
      </c>
      <c r="F23" s="73" t="inlineStr">
        <is>
          <t>root</t>
        </is>
      </c>
      <c r="G23" s="73" t="inlineStr"/>
      <c r="H23" s="73" t="inlineStr">
        <is>
          <t>顶视</t>
        </is>
      </c>
      <c r="I23" s="73" t="inlineStr">
        <is>
          <t>default</t>
        </is>
      </c>
      <c r="J23" s="73" t="inlineStr">
        <is>
          <t>跨楼层配色变体</t>
        </is>
      </c>
      <c r="K23" s="73" t="inlineStr">
        <is>
          <t>程序占位</t>
        </is>
      </c>
      <c r="L23" s="73" t="inlineStr">
        <is>
          <t>P2</t>
        </is>
      </c>
      <c r="M23" s="73" t="inlineStr">
        <is>
          <t>v001</t>
        </is>
      </c>
      <c r="N23" s="73" t="inlineStr">
        <is>
          <t>64 px 网格</t>
        </is>
      </c>
      <c r="O23" s="73" t="inlineStr"/>
      <c r="P23" s="73" t="inlineStr">
        <is>
          <t>scenes/RoomStairs.tscn</t>
        </is>
      </c>
      <c r="Q23" s="73" t="inlineStr"/>
      <c r="R23" s="73">
        <f>LOWER(TRIM(C23)&amp;"|"&amp;TRIM(D23)&amp;"|"&amp;TRIM(E23)&amp;"|"&amp;TRIM(F23)&amp;"|"&amp;TRIM(H23)&amp;"|"&amp;TRIM(I23))</f>
        <v/>
      </c>
      <c r="S23" s="73">
        <f>IF(COUNTIF($R$6:$R$239,R23)&gt;1,"重复","唯一")</f>
        <v/>
      </c>
      <c r="T23" s="73" t="inlineStr"/>
      <c r="U23" s="73" t="inlineStr">
        <is>
          <t>待分配</t>
        </is>
      </c>
      <c r="V23" s="74" t="n">
        <v>46224</v>
      </c>
      <c r="W23" s="73" t="inlineStr">
        <is>
          <t>原创/待确认</t>
        </is>
      </c>
      <c r="X23" s="75" t="inlineStr">
        <is>
          <t>—</t>
        </is>
      </c>
      <c r="Y23" s="73" t="inlineStr">
        <is>
          <t>只登记房间独有件；地板墙体引用 biome kit</t>
        </is>
      </c>
    </row>
    <row r="24">
      <c r="A24" s="73" t="inlineStr">
        <is>
          <t>PRP-BASE-DIVINATION</t>
        </is>
      </c>
      <c r="B24" s="73" t="inlineStr">
        <is>
          <t>命运占卜屋</t>
        </is>
      </c>
      <c r="C24" s="73" t="inlineStr">
        <is>
          <t>场景道具</t>
        </is>
      </c>
      <c r="D24" s="73" t="inlineStr">
        <is>
          <t>facility</t>
        </is>
      </c>
      <c r="E24" s="73" t="inlineStr">
        <is>
          <t>base_divination</t>
        </is>
      </c>
      <c r="F24" s="73" t="inlineStr">
        <is>
          <t>root</t>
        </is>
      </c>
      <c r="G24" s="73" t="inlineStr"/>
      <c r="H24" s="73" t="inlineStr">
        <is>
          <t>顶视</t>
        </is>
      </c>
      <c r="I24" s="73" t="inlineStr">
        <is>
          <t>default</t>
        </is>
      </c>
      <c r="J24" s="73" t="inlineStr">
        <is>
          <t>基地/房间</t>
        </is>
      </c>
      <c r="K24" s="73" t="inlineStr">
        <is>
          <t>程序占位</t>
        </is>
      </c>
      <c r="L24" s="73" t="inlineStr">
        <is>
          <t>P1</t>
        </is>
      </c>
      <c r="M24" s="73" t="inlineStr">
        <is>
          <t>v001</t>
        </is>
      </c>
      <c r="N24" s="73" t="inlineStr">
        <is>
          <t>64 px 网格对齐</t>
        </is>
      </c>
      <c r="O24" s="73" t="inlineStr"/>
      <c r="P24" s="73" t="inlineStr">
        <is>
          <t>scenes/BaseWorld.tscn</t>
        </is>
      </c>
      <c r="Q24" s="73" t="inlineStr"/>
      <c r="R24" s="73">
        <f>LOWER(TRIM(C24)&amp;"|"&amp;TRIM(D24)&amp;"|"&amp;TRIM(E24)&amp;"|"&amp;TRIM(F24)&amp;"|"&amp;TRIM(H24)&amp;"|"&amp;TRIM(I24))</f>
        <v/>
      </c>
      <c r="S24" s="73">
        <f>IF(COUNTIF($R$6:$R$239,R24)&gt;1,"重复","唯一")</f>
        <v/>
      </c>
      <c r="T24" s="73" t="inlineStr"/>
      <c r="U24" s="73" t="inlineStr">
        <is>
          <t>待分配</t>
        </is>
      </c>
      <c r="V24" s="74" t="n">
        <v>46224</v>
      </c>
      <c r="W24" s="73" t="inlineStr">
        <is>
          <t>原创/待确认</t>
        </is>
      </c>
      <c r="X24" s="75" t="inlineStr">
        <is>
          <t>—</t>
        </is>
      </c>
      <c r="Y24" s="73" t="inlineStr">
        <is>
          <t>状态变体使用同一 AssetID + state，不复制新命名根</t>
        </is>
      </c>
    </row>
    <row r="25">
      <c r="A25" s="73" t="inlineStr">
        <is>
          <t>PRP-BASE-VAULT</t>
        </is>
      </c>
      <c r="B25" s="73" t="inlineStr">
        <is>
          <t>保险柜</t>
        </is>
      </c>
      <c r="C25" s="73" t="inlineStr">
        <is>
          <t>场景道具</t>
        </is>
      </c>
      <c r="D25" s="73" t="inlineStr">
        <is>
          <t>facility</t>
        </is>
      </c>
      <c r="E25" s="73" t="inlineStr">
        <is>
          <t>base_vault</t>
        </is>
      </c>
      <c r="F25" s="73" t="inlineStr">
        <is>
          <t>root</t>
        </is>
      </c>
      <c r="G25" s="73" t="inlineStr"/>
      <c r="H25" s="73" t="inlineStr">
        <is>
          <t>顶视</t>
        </is>
      </c>
      <c r="I25" s="73" t="inlineStr">
        <is>
          <t>default</t>
        </is>
      </c>
      <c r="J25" s="73" t="inlineStr">
        <is>
          <t>基地/房间</t>
        </is>
      </c>
      <c r="K25" s="73" t="inlineStr">
        <is>
          <t>程序占位</t>
        </is>
      </c>
      <c r="L25" s="73" t="inlineStr">
        <is>
          <t>P1</t>
        </is>
      </c>
      <c r="M25" s="73" t="inlineStr">
        <is>
          <t>v001</t>
        </is>
      </c>
      <c r="N25" s="73" t="inlineStr">
        <is>
          <t>64 px 网格对齐</t>
        </is>
      </c>
      <c r="O25" s="73" t="inlineStr"/>
      <c r="P25" s="73" t="inlineStr">
        <is>
          <t>scenes/BaseWorld.tscn</t>
        </is>
      </c>
      <c r="Q25" s="73" t="inlineStr"/>
      <c r="R25" s="73">
        <f>LOWER(TRIM(C25)&amp;"|"&amp;TRIM(D25)&amp;"|"&amp;TRIM(E25)&amp;"|"&amp;TRIM(F25)&amp;"|"&amp;TRIM(H25)&amp;"|"&amp;TRIM(I25))</f>
        <v/>
      </c>
      <c r="S25" s="73">
        <f>IF(COUNTIF($R$6:$R$239,R25)&gt;1,"重复","唯一")</f>
        <v/>
      </c>
      <c r="T25" s="73" t="inlineStr"/>
      <c r="U25" s="73" t="inlineStr">
        <is>
          <t>待分配</t>
        </is>
      </c>
      <c r="V25" s="74" t="n">
        <v>46224</v>
      </c>
      <c r="W25" s="73" t="inlineStr">
        <is>
          <t>原创/待确认</t>
        </is>
      </c>
      <c r="X25" s="75" t="inlineStr">
        <is>
          <t>—</t>
        </is>
      </c>
      <c r="Y25" s="73" t="inlineStr">
        <is>
          <t>状态变体使用同一 AssetID + state，不复制新命名根</t>
        </is>
      </c>
    </row>
    <row r="26">
      <c r="A26" s="73" t="inlineStr">
        <is>
          <t>PRP-BASE-MONSTER-ARCHIVE</t>
        </is>
      </c>
      <c r="B26" s="73" t="inlineStr">
        <is>
          <t>怪物档案室</t>
        </is>
      </c>
      <c r="C26" s="73" t="inlineStr">
        <is>
          <t>场景道具</t>
        </is>
      </c>
      <c r="D26" s="73" t="inlineStr">
        <is>
          <t>facility</t>
        </is>
      </c>
      <c r="E26" s="73" t="inlineStr">
        <is>
          <t>base_monster_archive</t>
        </is>
      </c>
      <c r="F26" s="73" t="inlineStr">
        <is>
          <t>root</t>
        </is>
      </c>
      <c r="G26" s="73" t="inlineStr"/>
      <c r="H26" s="73" t="inlineStr">
        <is>
          <t>顶视</t>
        </is>
      </c>
      <c r="I26" s="73" t="inlineStr">
        <is>
          <t>default</t>
        </is>
      </c>
      <c r="J26" s="73" t="inlineStr">
        <is>
          <t>基地/房间</t>
        </is>
      </c>
      <c r="K26" s="73" t="inlineStr">
        <is>
          <t>程序占位</t>
        </is>
      </c>
      <c r="L26" s="73" t="inlineStr">
        <is>
          <t>P1</t>
        </is>
      </c>
      <c r="M26" s="73" t="inlineStr">
        <is>
          <t>v001</t>
        </is>
      </c>
      <c r="N26" s="73" t="inlineStr">
        <is>
          <t>64 px 网格对齐</t>
        </is>
      </c>
      <c r="O26" s="73" t="inlineStr"/>
      <c r="P26" s="73" t="inlineStr">
        <is>
          <t>scenes/BaseWorld.tscn</t>
        </is>
      </c>
      <c r="Q26" s="73" t="inlineStr"/>
      <c r="R26" s="73">
        <f>LOWER(TRIM(C26)&amp;"|"&amp;TRIM(D26)&amp;"|"&amp;TRIM(E26)&amp;"|"&amp;TRIM(F26)&amp;"|"&amp;TRIM(H26)&amp;"|"&amp;TRIM(I26))</f>
        <v/>
      </c>
      <c r="S26" s="73">
        <f>IF(COUNTIF($R$6:$R$239,R26)&gt;1,"重复","唯一")</f>
        <v/>
      </c>
      <c r="T26" s="73" t="inlineStr"/>
      <c r="U26" s="73" t="inlineStr">
        <is>
          <t>待分配</t>
        </is>
      </c>
      <c r="V26" s="74" t="n">
        <v>46224</v>
      </c>
      <c r="W26" s="73" t="inlineStr">
        <is>
          <t>原创/待确认</t>
        </is>
      </c>
      <c r="X26" s="75" t="inlineStr">
        <is>
          <t>—</t>
        </is>
      </c>
      <c r="Y26" s="73" t="inlineStr">
        <is>
          <t>状态变体使用同一 AssetID + state，不复制新命名根</t>
        </is>
      </c>
    </row>
    <row r="27">
      <c r="A27" s="73" t="inlineStr">
        <is>
          <t>PRP-BASE-CARD-COLLECTION</t>
        </is>
      </c>
      <c r="B27" s="73" t="inlineStr">
        <is>
          <t>命运卡牌收藏室</t>
        </is>
      </c>
      <c r="C27" s="73" t="inlineStr">
        <is>
          <t>场景道具</t>
        </is>
      </c>
      <c r="D27" s="73" t="inlineStr">
        <is>
          <t>facility</t>
        </is>
      </c>
      <c r="E27" s="73" t="inlineStr">
        <is>
          <t>base_card_collection</t>
        </is>
      </c>
      <c r="F27" s="73" t="inlineStr">
        <is>
          <t>root</t>
        </is>
      </c>
      <c r="G27" s="73" t="inlineStr"/>
      <c r="H27" s="73" t="inlineStr">
        <is>
          <t>顶视</t>
        </is>
      </c>
      <c r="I27" s="73" t="inlineStr">
        <is>
          <t>default</t>
        </is>
      </c>
      <c r="J27" s="73" t="inlineStr">
        <is>
          <t>基地/房间</t>
        </is>
      </c>
      <c r="K27" s="73" t="inlineStr">
        <is>
          <t>程序占位</t>
        </is>
      </c>
      <c r="L27" s="73" t="inlineStr">
        <is>
          <t>P1</t>
        </is>
      </c>
      <c r="M27" s="73" t="inlineStr">
        <is>
          <t>v001</t>
        </is>
      </c>
      <c r="N27" s="73" t="inlineStr">
        <is>
          <t>64 px 网格对齐</t>
        </is>
      </c>
      <c r="O27" s="73" t="inlineStr"/>
      <c r="P27" s="73" t="inlineStr">
        <is>
          <t>scenes/BaseWorld.tscn</t>
        </is>
      </c>
      <c r="Q27" s="73" t="inlineStr"/>
      <c r="R27" s="73">
        <f>LOWER(TRIM(C27)&amp;"|"&amp;TRIM(D27)&amp;"|"&amp;TRIM(E27)&amp;"|"&amp;TRIM(F27)&amp;"|"&amp;TRIM(H27)&amp;"|"&amp;TRIM(I27))</f>
        <v/>
      </c>
      <c r="S27" s="73">
        <f>IF(COUNTIF($R$6:$R$239,R27)&gt;1,"重复","唯一")</f>
        <v/>
      </c>
      <c r="T27" s="73" t="inlineStr"/>
      <c r="U27" s="73" t="inlineStr">
        <is>
          <t>待分配</t>
        </is>
      </c>
      <c r="V27" s="74" t="n">
        <v>46224</v>
      </c>
      <c r="W27" s="73" t="inlineStr">
        <is>
          <t>原创/待确认</t>
        </is>
      </c>
      <c r="X27" s="75" t="inlineStr">
        <is>
          <t>—</t>
        </is>
      </c>
      <c r="Y27" s="73" t="inlineStr">
        <is>
          <t>状态变体使用同一 AssetID + state，不复制新命名根</t>
        </is>
      </c>
    </row>
    <row r="28">
      <c r="A28" s="73" t="inlineStr">
        <is>
          <t>PRP-BASE-TERMINAL</t>
        </is>
      </c>
      <c r="B28" s="73" t="inlineStr">
        <is>
          <t>基地管理终端</t>
        </is>
      </c>
      <c r="C28" s="73" t="inlineStr">
        <is>
          <t>场景道具</t>
        </is>
      </c>
      <c r="D28" s="73" t="inlineStr">
        <is>
          <t>facility</t>
        </is>
      </c>
      <c r="E28" s="73" t="inlineStr">
        <is>
          <t>base_terminal</t>
        </is>
      </c>
      <c r="F28" s="73" t="inlineStr">
        <is>
          <t>root</t>
        </is>
      </c>
      <c r="G28" s="73" t="inlineStr"/>
      <c r="H28" s="73" t="inlineStr">
        <is>
          <t>顶视</t>
        </is>
      </c>
      <c r="I28" s="73" t="inlineStr">
        <is>
          <t>default</t>
        </is>
      </c>
      <c r="J28" s="73" t="inlineStr">
        <is>
          <t>基地/房间</t>
        </is>
      </c>
      <c r="K28" s="73" t="inlineStr">
        <is>
          <t>程序占位</t>
        </is>
      </c>
      <c r="L28" s="73" t="inlineStr">
        <is>
          <t>P1</t>
        </is>
      </c>
      <c r="M28" s="73" t="inlineStr">
        <is>
          <t>v001</t>
        </is>
      </c>
      <c r="N28" s="73" t="inlineStr">
        <is>
          <t>64 px 网格对齐</t>
        </is>
      </c>
      <c r="O28" s="73" t="inlineStr"/>
      <c r="P28" s="73" t="inlineStr">
        <is>
          <t>scenes/BaseWorld.tscn</t>
        </is>
      </c>
      <c r="Q28" s="73" t="inlineStr"/>
      <c r="R28" s="73">
        <f>LOWER(TRIM(C28)&amp;"|"&amp;TRIM(D28)&amp;"|"&amp;TRIM(E28)&amp;"|"&amp;TRIM(F28)&amp;"|"&amp;TRIM(H28)&amp;"|"&amp;TRIM(I28))</f>
        <v/>
      </c>
      <c r="S28" s="73">
        <f>IF(COUNTIF($R$6:$R$239,R28)&gt;1,"重复","唯一")</f>
        <v/>
      </c>
      <c r="T28" s="73" t="inlineStr"/>
      <c r="U28" s="73" t="inlineStr">
        <is>
          <t>待分配</t>
        </is>
      </c>
      <c r="V28" s="74" t="n">
        <v>46224</v>
      </c>
      <c r="W28" s="73" t="inlineStr">
        <is>
          <t>原创/待确认</t>
        </is>
      </c>
      <c r="X28" s="75" t="inlineStr">
        <is>
          <t>—</t>
        </is>
      </c>
      <c r="Y28" s="73" t="inlineStr">
        <is>
          <t>状态变体使用同一 AssetID + state，不复制新命名根</t>
        </is>
      </c>
    </row>
    <row r="29">
      <c r="A29" s="73" t="inlineStr">
        <is>
          <t>PRP-DUNGEON-GATE</t>
        </is>
      </c>
      <c r="B29" s="73" t="inlineStr">
        <is>
          <t>副本入口</t>
        </is>
      </c>
      <c r="C29" s="73" t="inlineStr">
        <is>
          <t>场景道具</t>
        </is>
      </c>
      <c r="D29" s="73" t="inlineStr">
        <is>
          <t>facility</t>
        </is>
      </c>
      <c r="E29" s="73" t="inlineStr">
        <is>
          <t>dungeon_gate</t>
        </is>
      </c>
      <c r="F29" s="73" t="inlineStr">
        <is>
          <t>root</t>
        </is>
      </c>
      <c r="G29" s="73" t="inlineStr"/>
      <c r="H29" s="73" t="inlineStr">
        <is>
          <t>顶视</t>
        </is>
      </c>
      <c r="I29" s="73" t="inlineStr">
        <is>
          <t>default</t>
        </is>
      </c>
      <c r="J29" s="73" t="inlineStr">
        <is>
          <t>基地/房间</t>
        </is>
      </c>
      <c r="K29" s="73" t="inlineStr">
        <is>
          <t>程序占位</t>
        </is>
      </c>
      <c r="L29" s="73" t="inlineStr">
        <is>
          <t>P1</t>
        </is>
      </c>
      <c r="M29" s="73" t="inlineStr">
        <is>
          <t>v001</t>
        </is>
      </c>
      <c r="N29" s="73" t="inlineStr">
        <is>
          <t>64 px 网格对齐</t>
        </is>
      </c>
      <c r="O29" s="73" t="inlineStr"/>
      <c r="P29" s="73" t="inlineStr">
        <is>
          <t>scenes/BaseWorld.tscn</t>
        </is>
      </c>
      <c r="Q29" s="73" t="inlineStr"/>
      <c r="R29" s="73">
        <f>LOWER(TRIM(C29)&amp;"|"&amp;TRIM(D29)&amp;"|"&amp;TRIM(E29)&amp;"|"&amp;TRIM(F29)&amp;"|"&amp;TRIM(H29)&amp;"|"&amp;TRIM(I29))</f>
        <v/>
      </c>
      <c r="S29" s="73">
        <f>IF(COUNTIF($R$6:$R$239,R29)&gt;1,"重复","唯一")</f>
        <v/>
      </c>
      <c r="T29" s="73" t="inlineStr"/>
      <c r="U29" s="73" t="inlineStr">
        <is>
          <t>待分配</t>
        </is>
      </c>
      <c r="V29" s="74" t="n">
        <v>46224</v>
      </c>
      <c r="W29" s="73" t="inlineStr">
        <is>
          <t>原创/待确认</t>
        </is>
      </c>
      <c r="X29" s="75" t="inlineStr">
        <is>
          <t>—</t>
        </is>
      </c>
      <c r="Y29" s="73" t="inlineStr">
        <is>
          <t>状态变体使用同一 AssetID + state，不复制新命名根</t>
        </is>
      </c>
    </row>
    <row r="30">
      <c r="A30" s="73" t="inlineStr">
        <is>
          <t>PRP-WORKBENCH</t>
        </is>
      </c>
      <c r="B30" s="73" t="inlineStr">
        <is>
          <t>工作台</t>
        </is>
      </c>
      <c r="C30" s="73" t="inlineStr">
        <is>
          <t>场景道具</t>
        </is>
      </c>
      <c r="D30" s="73" t="inlineStr">
        <is>
          <t>facility</t>
        </is>
      </c>
      <c r="E30" s="73" t="inlineStr">
        <is>
          <t>workbench</t>
        </is>
      </c>
      <c r="F30" s="73" t="inlineStr">
        <is>
          <t>root</t>
        </is>
      </c>
      <c r="G30" s="73" t="inlineStr"/>
      <c r="H30" s="73" t="inlineStr">
        <is>
          <t>顶视</t>
        </is>
      </c>
      <c r="I30" s="73" t="inlineStr">
        <is>
          <t>default</t>
        </is>
      </c>
      <c r="J30" s="73" t="inlineStr">
        <is>
          <t>基地/房间</t>
        </is>
      </c>
      <c r="K30" s="73" t="inlineStr">
        <is>
          <t>程序占位</t>
        </is>
      </c>
      <c r="L30" s="73" t="inlineStr">
        <is>
          <t>P1</t>
        </is>
      </c>
      <c r="M30" s="73" t="inlineStr">
        <is>
          <t>v001</t>
        </is>
      </c>
      <c r="N30" s="73" t="inlineStr">
        <is>
          <t>64 px 网格对齐</t>
        </is>
      </c>
      <c r="O30" s="73" t="inlineStr"/>
      <c r="P30" s="73" t="inlineStr">
        <is>
          <t>scenes/BaseWorld.tscn</t>
        </is>
      </c>
      <c r="Q30" s="73" t="inlineStr"/>
      <c r="R30" s="73">
        <f>LOWER(TRIM(C30)&amp;"|"&amp;TRIM(D30)&amp;"|"&amp;TRIM(E30)&amp;"|"&amp;TRIM(F30)&amp;"|"&amp;TRIM(H30)&amp;"|"&amp;TRIM(I30))</f>
        <v/>
      </c>
      <c r="S30" s="73">
        <f>IF(COUNTIF($R$6:$R$239,R30)&gt;1,"重复","唯一")</f>
        <v/>
      </c>
      <c r="T30" s="73" t="inlineStr"/>
      <c r="U30" s="73" t="inlineStr">
        <is>
          <t>待分配</t>
        </is>
      </c>
      <c r="V30" s="74" t="n">
        <v>46224</v>
      </c>
      <c r="W30" s="73" t="inlineStr">
        <is>
          <t>原创/待确认</t>
        </is>
      </c>
      <c r="X30" s="75" t="inlineStr">
        <is>
          <t>—</t>
        </is>
      </c>
      <c r="Y30" s="73" t="inlineStr">
        <is>
          <t>状态变体使用同一 AssetID + state，不复制新命名根</t>
        </is>
      </c>
    </row>
    <row r="31">
      <c r="A31" s="73" t="inlineStr">
        <is>
          <t>PRP-DOOR</t>
        </is>
      </c>
      <c r="B31" s="73" t="inlineStr">
        <is>
          <t>房门</t>
        </is>
      </c>
      <c r="C31" s="73" t="inlineStr">
        <is>
          <t>场景道具</t>
        </is>
      </c>
      <c r="D31" s="73" t="inlineStr">
        <is>
          <t>facility</t>
        </is>
      </c>
      <c r="E31" s="73" t="inlineStr">
        <is>
          <t>door</t>
        </is>
      </c>
      <c r="F31" s="73" t="inlineStr">
        <is>
          <t>root</t>
        </is>
      </c>
      <c r="G31" s="73" t="inlineStr"/>
      <c r="H31" s="73" t="inlineStr">
        <is>
          <t>顶视</t>
        </is>
      </c>
      <c r="I31" s="73" t="inlineStr">
        <is>
          <t>default</t>
        </is>
      </c>
      <c r="J31" s="73" t="inlineStr">
        <is>
          <t>基地/房间</t>
        </is>
      </c>
      <c r="K31" s="73" t="inlineStr">
        <is>
          <t>程序占位</t>
        </is>
      </c>
      <c r="L31" s="73" t="inlineStr">
        <is>
          <t>P1</t>
        </is>
      </c>
      <c r="M31" s="73" t="inlineStr">
        <is>
          <t>v001</t>
        </is>
      </c>
      <c r="N31" s="73" t="inlineStr">
        <is>
          <t>64 px 网格对齐</t>
        </is>
      </c>
      <c r="O31" s="73" t="inlineStr"/>
      <c r="P31" s="73" t="inlineStr">
        <is>
          <t>scenes/BaseWorld.tscn</t>
        </is>
      </c>
      <c r="Q31" s="73" t="inlineStr"/>
      <c r="R31" s="73">
        <f>LOWER(TRIM(C31)&amp;"|"&amp;TRIM(D31)&amp;"|"&amp;TRIM(E31)&amp;"|"&amp;TRIM(F31)&amp;"|"&amp;TRIM(H31)&amp;"|"&amp;TRIM(I31))</f>
        <v/>
      </c>
      <c r="S31" s="73">
        <f>IF(COUNTIF($R$6:$R$239,R31)&gt;1,"重复","唯一")</f>
        <v/>
      </c>
      <c r="T31" s="73" t="inlineStr"/>
      <c r="U31" s="73" t="inlineStr">
        <is>
          <t>待分配</t>
        </is>
      </c>
      <c r="V31" s="74" t="n">
        <v>46224</v>
      </c>
      <c r="W31" s="73" t="inlineStr">
        <is>
          <t>原创/待确认</t>
        </is>
      </c>
      <c r="X31" s="75" t="inlineStr">
        <is>
          <t>—</t>
        </is>
      </c>
      <c r="Y31" s="73" t="inlineStr">
        <is>
          <t>状态变体使用同一 AssetID + state，不复制新命名根</t>
        </is>
      </c>
    </row>
    <row r="32">
      <c r="A32" s="76" t="inlineStr">
        <is>
          <t>ENV-BASE99-FLOOR-DETAILS-V017</t>
        </is>
      </c>
      <c r="B32" s="76" t="inlineStr">
        <is>
          <t>基地99层完整地板替换 V021</t>
        </is>
      </c>
      <c r="C32" s="76" t="inlineStr">
        <is>
          <t>场景</t>
        </is>
      </c>
      <c r="D32" s="76" t="inlineStr">
        <is>
          <t>environment_module_3d</t>
        </is>
      </c>
      <c r="E32" s="76" t="inlineStr">
        <is>
          <t>base99_floor_full_replacement_v021</t>
        </is>
      </c>
      <c r="F32" s="76" t="inlineStr">
        <is>
          <t>full_floor_visual_replacement</t>
        </is>
      </c>
      <c r="G32" s="76" t="inlineStr">
        <is>
          <t>ENV-BASE99-ART-LAYOUT-3D</t>
        </is>
      </c>
      <c r="H32" s="76" t="inlineStr">
        <is>
          <t>Top3D / local -Z 正面</t>
        </is>
      </c>
      <c r="I32" s="76" t="inlineStr">
        <is>
          <t>default / visual_only</t>
        </is>
      </c>
      <c r="J32" s="76" t="inlineStr">
        <is>
          <t>99层基地地面表现</t>
        </is>
      </c>
      <c r="K32" s="76" t="inlineStr">
        <is>
          <t>已完成</t>
        </is>
      </c>
      <c r="L32" s="76" t="inlineStr">
        <is>
          <t>P0</t>
        </is>
      </c>
      <c r="M32" s="76" t="inlineStr">
        <is>
          <t>v003</t>
        </is>
      </c>
      <c r="N32" s="76" t="inlineStr">
        <is>
          <t>30×30m；6×6×5m；2网格；4材质表面；498,920三角面；无内置碰撞</t>
        </is>
      </c>
      <c r="O32" s="76" t="inlineStr">
        <is>
          <t>assets/art/environments/base_facility_3d/runtime/env_base99_floor_full_replacement/env_base99_floor_full_replacement_root_top3d.tscn</t>
        </is>
      </c>
      <c r="P32" s="7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76" t="inlineStr">
        <is>
          <t>基地99层;完整地板替换;V021;PaletteUV;visual_only;旧MultiMesh已移除;无重叠</t>
        </is>
      </c>
      <c r="R32" s="76">
        <f>LOWER(TRIM(C32)&amp;"|"&amp;TRIM(D32)&amp;"|"&amp;TRIM(E32)&amp;"|"&amp;TRIM(F32)&amp;"|"&amp;TRIM(H32)&amp;"|"&amp;TRIM(I32))</f>
        <v/>
      </c>
      <c r="S32" s="76">
        <f>IF(COUNTIF($R$6:$R$239,R32)&gt;1,"重复","唯一")</f>
        <v/>
      </c>
      <c r="T32" s="76" t="inlineStr">
        <is>
          <t>a64002f9f70a0ff3b15375fc48e58911dd6c49dc0b59d676601ee63a8fdd437f</t>
        </is>
      </c>
      <c r="U32" s="76" t="inlineStr">
        <is>
          <t>Codex</t>
        </is>
      </c>
      <c r="V32" s="77" t="n">
        <v>46269</v>
      </c>
      <c r="W32" s="76" t="inlineStr">
        <is>
          <t>用户自制Blender资产</t>
        </is>
      </c>
      <c r="X32" s="75" t="inlineStr">
        <is>
          <t>—</t>
        </is>
      </c>
      <c r="Y32" s="76" t="inlineStr">
        <is>
          <t>GLB SHA256=6655e4322cd654e533e53670fb1e6611ce65818068de016faaea1b59ffb6835a；基础18普通板+18铆钉板保持复用；V017独占细节聚合为2网格，承重碰撞不变。</t>
        </is>
      </c>
    </row>
    <row r="33">
      <c r="A33" s="69" t="inlineStr">
        <is>
          <t>ENV-BASE99-LOFT-FLOOR-FINISH-V017</t>
        </is>
      </c>
      <c r="B33" s="69" t="inlineStr">
        <is>
          <t>基地99层二层地板面层 V020</t>
        </is>
      </c>
      <c r="C33" s="69" t="inlineStr">
        <is>
          <t>场景</t>
        </is>
      </c>
      <c r="D33" s="69" t="inlineStr">
        <is>
          <t>environment_module_3d</t>
        </is>
      </c>
      <c r="E33" s="69" t="inlineStr">
        <is>
          <t>base99_loft_floor_finish_v020</t>
        </is>
      </c>
      <c r="F33" s="69" t="inlineStr">
        <is>
          <t>loft_floor_finish_overlay</t>
        </is>
      </c>
      <c r="G33" s="69" t="inlineStr">
        <is>
          <t>ENV-BASE99-ART-LAYOUT-3D</t>
        </is>
      </c>
      <c r="H33" s="69" t="inlineStr">
        <is>
          <t>Top3D / local -Z 正面</t>
        </is>
      </c>
      <c r="I33" s="69" t="inlineStr">
        <is>
          <t>default / visual_only</t>
        </is>
      </c>
      <c r="J33" s="69" t="inlineStr">
        <is>
          <t>99层基地楼中楼地面表现</t>
        </is>
      </c>
      <c r="K33" s="69" t="inlineStr">
        <is>
          <t>已完成</t>
        </is>
      </c>
      <c r="L33" s="69" t="inlineStr">
        <is>
          <t>P0</t>
        </is>
      </c>
      <c r="M33" s="69" t="inlineStr">
        <is>
          <t>v002</t>
        </is>
      </c>
      <c r="N33" s="69" t="inlineStr">
        <is>
          <t>19.6×9.6×0.108m；1网格；2材质表面；206三角面；无内置碰撞</t>
        </is>
      </c>
      <c r="O33" s="69" t="inlineStr">
        <is>
          <t>assets/art/environments/base_facility_3d/runtime/env_base99_loft_floor_finish/env_base99_loft_floor_finish_root_top3d.tscn</t>
        </is>
      </c>
      <c r="P33" s="6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69" t="inlineStr">
        <is>
          <t>基地99层;二层地板;V020;PaletteUV;visual_only;无重叠</t>
        </is>
      </c>
      <c r="R33" s="69">
        <f>LOWER(TRIM(C33)&amp;"|"&amp;TRIM(D33)&amp;"|"&amp;TRIM(E33)&amp;"|"&amp;TRIM(F33)&amp;"|"&amp;TRIM(H33)&amp;"|"&amp;TRIM(I33))</f>
        <v/>
      </c>
      <c r="S33" s="69">
        <f>IF(COUNTIF($R$6:$R$239,R33)&gt;1,"重复","唯一")</f>
        <v/>
      </c>
      <c r="T33" s="69" t="inlineStr">
        <is>
          <t>f51994b6f49d96bc4707826819bd03529c6312c6b497ec63415cb01c430ab66f</t>
        </is>
      </c>
      <c r="U33" s="69" t="inlineStr">
        <is>
          <t>Codex</t>
        </is>
      </c>
      <c r="V33" s="78" t="n">
        <v>46269</v>
      </c>
      <c r="W33" s="69" t="inlineStr">
        <is>
          <t>用户自制Blender资产</t>
        </is>
      </c>
      <c r="X33" s="75" t="inlineStr">
        <is>
          <t>—</t>
        </is>
      </c>
      <c r="Y33" s="6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>
      <c r="A34" s="69" t="inlineStr">
        <is>
          <t>ENV-BASE99-FLOOR-VISUAL-LAYOUT-V017</t>
        </is>
      </c>
      <c r="B34" s="69" t="inlineStr">
        <is>
          <t>基地99层完整地板表现装配 V021</t>
        </is>
      </c>
      <c r="C34" s="69" t="inlineStr">
        <is>
          <t>场景</t>
        </is>
      </c>
      <c r="D34" s="69" t="inlineStr">
        <is>
          <t>environment_module_3d</t>
        </is>
      </c>
      <c r="E34" s="69" t="inlineStr">
        <is>
          <t>base99_floor_visual_layout_v021</t>
        </is>
      </c>
      <c r="F34" s="69" t="inlineStr">
        <is>
          <t>floor_visual_assembly</t>
        </is>
      </c>
      <c r="G34" s="69" t="inlineStr">
        <is>
          <t>ENV-BASE99-ART-LAYOUT-3D</t>
        </is>
      </c>
      <c r="H34" s="69" t="inlineStr">
        <is>
          <t>Top3D / local -Z 正面</t>
        </is>
      </c>
      <c r="I34" s="69" t="inlineStr">
        <is>
          <t>default / visual_only</t>
        </is>
      </c>
      <c r="J34" s="69" t="inlineStr">
        <is>
          <t>99层基地美术布局</t>
        </is>
      </c>
      <c r="K34" s="69" t="inlineStr">
        <is>
          <t>已完成</t>
        </is>
      </c>
      <c r="L34" s="69" t="inlineStr">
        <is>
          <t>P0</t>
        </is>
      </c>
      <c r="M34" s="69" t="inlineStr">
        <is>
          <t>v003</t>
        </is>
      </c>
      <c r="N34" s="69" t="inlineStr">
        <is>
          <t>一层30×30m + 二层20×10m；无内置碰撞</t>
        </is>
      </c>
      <c r="O34" s="69" t="inlineStr">
        <is>
          <t>assets/art/environments/base_facility_3d/runtime/env_base99_floor_visuals/env_base99_floor_visuals_root_top3d.tscn</t>
        </is>
      </c>
      <c r="P34" s="6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69" t="inlineStr">
        <is>
          <t>基地99层;完整地板表现装配;V021;visual_only;旧MultiMesh已移除</t>
        </is>
      </c>
      <c r="R34" s="69">
        <f>LOWER(TRIM(C34)&amp;"|"&amp;TRIM(D34)&amp;"|"&amp;TRIM(E34)&amp;"|"&amp;TRIM(F34)&amp;"|"&amp;TRIM(H34)&amp;"|"&amp;TRIM(I34))</f>
        <v/>
      </c>
      <c r="S34" s="69">
        <f>IF(COUNTIF($R$6:$R$239,R34)&gt;1,"重复","唯一")</f>
        <v/>
      </c>
      <c r="T34" s="69" t="inlineStr">
        <is>
          <t>7f5ef790624b34aa56cad971c411e7b5a4c9339db542e63ce5fa0d6acc25c5a3</t>
        </is>
      </c>
      <c r="U34" s="69" t="inlineStr">
        <is>
          <t>Codex</t>
        </is>
      </c>
      <c r="V34" s="78" t="n">
        <v>46269</v>
      </c>
      <c r="W34" s="69" t="inlineStr">
        <is>
          <t>项目现有Godot资产</t>
        </is>
      </c>
      <c r="X34" s="75" t="inlineStr">
        <is>
          <t>—</t>
        </is>
      </c>
      <c r="Y34" s="69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>
      <c r="A35" s="69" t="inlineStr">
        <is>
          <t>ENV-BASE-WORLD-KIT-3D</t>
        </is>
      </c>
      <c r="B35" s="69" t="inlineStr">
        <is>
          <t>入口基地3D环境套件</t>
        </is>
      </c>
      <c r="C35" s="69" t="inlineStr">
        <is>
          <t>场景</t>
        </is>
      </c>
      <c r="D35" s="69" t="inlineStr">
        <is>
          <t>base</t>
        </is>
      </c>
      <c r="E35" s="69" t="inlineStr">
        <is>
          <t>base_world</t>
        </is>
      </c>
      <c r="F35" s="69" t="inlineStr">
        <is>
          <t>root_3d</t>
        </is>
      </c>
      <c r="G35" s="69" t="inlineStr">
        <is>
          <t>ENV-BASE-WORLD-KIT</t>
        </is>
      </c>
      <c r="H35" s="69" t="inlineStr">
        <is>
          <t>俯视3D</t>
        </is>
      </c>
      <c r="I35" s="69" t="inlineStr">
        <is>
          <t>default</t>
        </is>
      </c>
      <c r="J35" s="69" t="inlineStr">
        <is>
          <t>入口基地地图</t>
        </is>
      </c>
      <c r="K35" s="69" t="inlineStr">
        <is>
          <t>原型已接入</t>
        </is>
      </c>
      <c r="L35" s="69" t="inlineStr">
        <is>
          <t>P0</t>
        </is>
      </c>
      <c r="M35" s="69" t="inlineStr">
        <is>
          <t>v001</t>
        </is>
      </c>
      <c r="N35" s="69" t="inlineStr">
        <is>
          <t>约1:100迁移/程序几何</t>
        </is>
      </c>
      <c r="O35" s="69" t="inlineStr">
        <is>
          <t>assets/art/environments/base_world_3d/env_base_world_kit_top3d_v001.tscn</t>
        </is>
      </c>
      <c r="P35" s="69" t="inlineStr">
        <is>
          <t>scenes/BaseWorld3D.tscn</t>
        </is>
      </c>
      <c r="Q35" s="69" t="inlineStr">
        <is>
          <t>基地;道路;废墟;3D;入口地图</t>
        </is>
      </c>
      <c r="R35" s="69">
        <f>LOWER(TRIM(C35)&amp;"|"&amp;TRIM(D35)&amp;"|"&amp;TRIM(E35)&amp;"|"&amp;TRIM(F35)&amp;"|"&amp;TRIM(H35)&amp;"|"&amp;TRIM(I35))</f>
        <v/>
      </c>
      <c r="S35" s="69">
        <f>IF(COUNTIF($R$6:$R$239,R35)&gt;1,"重复","唯一")</f>
        <v/>
      </c>
      <c r="T35" s="69" t="inlineStr">
        <is>
          <t>b9040926e7d2e7d09a25d072d30a815f7bb5e35a4aa1c824c0c27a73de1b6e71</t>
        </is>
      </c>
      <c r="U35" s="69" t="inlineStr">
        <is>
          <t>Codex</t>
        </is>
      </c>
      <c r="V35" s="78" t="n">
        <v>46224</v>
      </c>
      <c r="W35" s="69" t="inlineStr">
        <is>
          <t>原创程序几何</t>
        </is>
      </c>
      <c r="X35" s="75" t="inlineStr">
        <is>
          <t>—</t>
        </is>
      </c>
      <c r="Y35" s="69" t="inlineStr">
        <is>
          <t>保留原2D布局语义；首张3D迁移地图</t>
        </is>
      </c>
    </row>
    <row r="36">
      <c r="A36" s="76" t="inlineStr">
        <is>
          <t>PRP-BASE-FACILITY-3D</t>
        </is>
      </c>
      <c r="B36" s="76" t="inlineStr">
        <is>
          <t>基地设施3D通用模块</t>
        </is>
      </c>
      <c r="C36" s="76" t="inlineStr">
        <is>
          <t>场景道具</t>
        </is>
      </c>
      <c r="D36" s="76" t="inlineStr">
        <is>
          <t>facility</t>
        </is>
      </c>
      <c r="E36" s="76" t="inlineStr">
        <is>
          <t>base_facility_module</t>
        </is>
      </c>
      <c r="F36" s="76" t="inlineStr">
        <is>
          <t>root_3d</t>
        </is>
      </c>
      <c r="G36" s="76" t="inlineStr">
        <is>
          <t>ENV-BASE-WORLD-KIT-3D</t>
        </is>
      </c>
      <c r="H36" s="76" t="inlineStr">
        <is>
          <t>俯视3D</t>
        </is>
      </c>
      <c r="I36" s="76" t="inlineStr">
        <is>
          <t>default</t>
        </is>
      </c>
      <c r="J36" s="76" t="inlineStr">
        <is>
          <t>8类基地设施/统一状态牌</t>
        </is>
      </c>
      <c r="K36" s="76" t="inlineStr">
        <is>
          <t>原型已接入</t>
        </is>
      </c>
      <c r="L36" s="76" t="inlineStr">
        <is>
          <t>P0</t>
        </is>
      </c>
      <c r="M36" s="76" t="inlineStr">
        <is>
          <t>v001</t>
        </is>
      </c>
      <c r="N36" s="76" t="inlineStr">
        <is>
          <t>PackedScene/材质变体/名称与实时摘要共用Label3D</t>
        </is>
      </c>
      <c r="O36" s="76" t="inlineStr">
        <is>
          <t>assets/art/props/base_world_3d/prp_base_facility_root_top3d_v001.tscn</t>
        </is>
      </c>
      <c r="P36" s="7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76" t="inlineStr">
        <is>
          <t>设施;交互;信标;3D;facility_id;实时摘要;状态牌;共享目录</t>
        </is>
      </c>
      <c r="R36" s="76">
        <f>LOWER(TRIM(C36)&amp;"|"&amp;TRIM(D36)&amp;"|"&amp;TRIM(E36)&amp;"|"&amp;TRIM(F36)&amp;"|"&amp;TRIM(H36)&amp;"|"&amp;TRIM(I36))</f>
        <v/>
      </c>
      <c r="S36" s="76">
        <f>IF(COUNTIF($R$6:$R$239,R36)&gt;1,"重复","唯一")</f>
        <v/>
      </c>
      <c r="T36" s="76" t="inlineStr">
        <is>
          <t>0c12134edcce24dab43e3364e1f09a75d4c41d0721edfb40fc4720a8aad6c3a1</t>
        </is>
      </c>
      <c r="U36" s="76" t="inlineStr">
        <is>
          <t>Codex</t>
        </is>
      </c>
      <c r="V36" s="77" t="n">
        <v>46264</v>
      </c>
      <c r="W36" s="76" t="inlineStr">
        <is>
          <t>原创程序几何</t>
        </is>
      </c>
      <c r="X36" s="75" t="inlineStr">
        <is>
          <t>—</t>
        </is>
      </c>
      <c r="Y36" s="7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>
      <c r="A37" s="69" t="inlineStr">
        <is>
          <t>PRP-DUNGEON-GATE-3D</t>
        </is>
      </c>
      <c r="B37" s="69" t="inlineStr">
        <is>
          <t>地下城入口3D模块</t>
        </is>
      </c>
      <c r="C37" s="69" t="inlineStr">
        <is>
          <t>场景道具</t>
        </is>
      </c>
      <c r="D37" s="69" t="inlineStr">
        <is>
          <t>door</t>
        </is>
      </c>
      <c r="E37" s="69" t="inlineStr">
        <is>
          <t>dungeon_gate</t>
        </is>
      </c>
      <c r="F37" s="69" t="inlineStr">
        <is>
          <t>root_3d</t>
        </is>
      </c>
      <c r="G37" s="69" t="inlineStr">
        <is>
          <t>PRP-DUNGEON-GATE</t>
        </is>
      </c>
      <c r="H37" s="69" t="inlineStr">
        <is>
          <t>俯视3D</t>
        </is>
      </c>
      <c r="I37" s="69" t="inlineStr">
        <is>
          <t>default</t>
        </is>
      </c>
      <c r="J37" s="69" t="inlineStr">
        <is>
          <t>4个地下城入口</t>
        </is>
      </c>
      <c r="K37" s="69" t="inlineStr">
        <is>
          <t>原型已接入</t>
        </is>
      </c>
      <c r="L37" s="69" t="inlineStr">
        <is>
          <t>P0</t>
        </is>
      </c>
      <c r="M37" s="69" t="inlineStr">
        <is>
          <t>v001</t>
        </is>
      </c>
      <c r="N37" s="69" t="inlineStr">
        <is>
          <t>PackedScene/材质变体</t>
        </is>
      </c>
      <c r="O37" s="69" t="inlineStr">
        <is>
          <t>assets/art/props/base_world_3d/prp_dungeon_gate_root_top3d_v001.tscn</t>
        </is>
      </c>
      <c r="P37" s="69" t="inlineStr">
        <is>
          <t>src/base3d/DungeonEntrance3D.gd</t>
        </is>
      </c>
      <c r="Q37" s="69" t="inlineStr">
        <is>
          <t>地下城;门;交互;3D</t>
        </is>
      </c>
      <c r="R37" s="69">
        <f>LOWER(TRIM(C37)&amp;"|"&amp;TRIM(D37)&amp;"|"&amp;TRIM(E37)&amp;"|"&amp;TRIM(F37)&amp;"|"&amp;TRIM(H37)&amp;"|"&amp;TRIM(I37))</f>
        <v/>
      </c>
      <c r="S37" s="69">
        <f>IF(COUNTIF($R$6:$R$239,R37)&gt;1,"重复","唯一")</f>
        <v/>
      </c>
      <c r="T37" s="69" t="inlineStr">
        <is>
          <t>67f42bca67d541f83b244a4ed6a8ae23495b22d7cbf3aa9b32656339e59cfa0d</t>
        </is>
      </c>
      <c r="U37" s="69" t="inlineStr">
        <is>
          <t>Codex</t>
        </is>
      </c>
      <c r="V37" s="78" t="n">
        <v>46224</v>
      </c>
      <c r="W37" s="69" t="inlineStr">
        <is>
          <t>原创程序几何</t>
        </is>
      </c>
      <c r="X37" s="75" t="inlineStr">
        <is>
          <t>—</t>
        </is>
      </c>
      <c r="Y37" s="69" t="inlineStr">
        <is>
          <t>保持旧入口ID与目标场景；地下城内部暂保留2D</t>
        </is>
      </c>
    </row>
    <row r="38">
      <c r="A38" s="69" t="inlineStr">
        <is>
          <t>ENV-BASE-WORLD-3D-PREVIEW</t>
        </is>
      </c>
      <c r="B38" s="69" t="inlineStr">
        <is>
          <t>入口基地3D验收预览</t>
        </is>
      </c>
      <c r="C38" s="69" t="inlineStr">
        <is>
          <t>场景</t>
        </is>
      </c>
      <c r="D38" s="69" t="inlineStr">
        <is>
          <t>review_board</t>
        </is>
      </c>
      <c r="E38" s="69" t="inlineStr">
        <is>
          <t>base_world</t>
        </is>
      </c>
      <c r="F38" s="69" t="inlineStr">
        <is>
          <t>preview_3d</t>
        </is>
      </c>
      <c r="G38" s="69" t="inlineStr">
        <is>
          <t>ENV-BASE-WORLD-KIT-3D</t>
        </is>
      </c>
      <c r="H38" s="69" t="inlineStr">
        <is>
          <t>俯视3D</t>
        </is>
      </c>
      <c r="I38" s="69" t="inlineStr">
        <is>
          <t>default</t>
        </is>
      </c>
      <c r="J38" s="69" t="inlineStr">
        <is>
          <t>评审与资产QA</t>
        </is>
      </c>
      <c r="K38" s="69" t="inlineStr">
        <is>
          <t>已完成</t>
        </is>
      </c>
      <c r="L38" s="69" t="inlineStr">
        <is>
          <t>P1</t>
        </is>
      </c>
      <c r="M38" s="69" t="inlineStr">
        <is>
          <t>v001</t>
        </is>
      </c>
      <c r="N38" s="69" t="inlineStr">
        <is>
          <t>1280×720 PNG</t>
        </is>
      </c>
      <c r="O38" s="69" t="inlineStr">
        <is>
          <t>assets/art/environments/base_world_3d/env_base_world_preview_top3d_v001.png</t>
        </is>
      </c>
      <c r="P38" s="69" t="inlineStr">
        <is>
          <t>tests/verification/verify_base_world_3d_visual.tscn</t>
        </is>
      </c>
      <c r="Q38" s="69" t="inlineStr">
        <is>
          <t>3D预览;评审;入口地图</t>
        </is>
      </c>
      <c r="R38" s="69">
        <f>LOWER(TRIM(C38)&amp;"|"&amp;TRIM(D38)&amp;"|"&amp;TRIM(E38)&amp;"|"&amp;TRIM(F38)&amp;"|"&amp;TRIM(H38)&amp;"|"&amp;TRIM(I38))</f>
        <v/>
      </c>
      <c r="S38" s="69">
        <f>IF(COUNTIF($R$6:$R$239,R38)&gt;1,"重复","唯一")</f>
        <v/>
      </c>
      <c r="T38" s="69" t="inlineStr">
        <is>
          <t>7dc3ff5d1bb5942c8340359bfa6d55374604dfbc9fc8b2a23b68a3079fac2e01</t>
        </is>
      </c>
      <c r="U38" s="69" t="inlineStr">
        <is>
          <t>Codex</t>
        </is>
      </c>
      <c r="V38" s="78" t="n">
        <v>46224</v>
      </c>
      <c r="W38" s="69" t="inlineStr">
        <is>
          <t>项目运行截图</t>
        </is>
      </c>
      <c r="X38" s="75" t="inlineStr">
        <is>
          <t>—</t>
        </is>
      </c>
      <c r="Y38" s="69" t="inlineStr">
        <is>
          <t>用于检查3D布局、镜头、组件比例与交互可读性</t>
        </is>
      </c>
    </row>
    <row r="39">
      <c r="A39" s="76" t="inlineStr">
        <is>
          <t>ENV-DUNGEON-RUNTIME-3D</t>
        </is>
      </c>
      <c r="B39" s="76" t="inlineStr">
        <is>
          <t>3D随机关卡通用房间套件</t>
        </is>
      </c>
      <c r="C39" s="76" t="inlineStr">
        <is>
          <t>场景</t>
        </is>
      </c>
      <c r="D39" s="76" t="inlineStr">
        <is>
          <t>room</t>
        </is>
      </c>
      <c r="E39" s="76" t="inlineStr">
        <is>
          <t>dungeon_runtime</t>
        </is>
      </c>
      <c r="F39" s="76" t="inlineStr">
        <is>
          <t>root_3d</t>
        </is>
      </c>
      <c r="G39" s="76" t="inlineStr"/>
      <c r="H39" s="76" t="inlineStr">
        <is>
          <t>俯视3D</t>
        </is>
      </c>
      <c r="I39" s="76" t="inlineStr">
        <is>
          <t>default</t>
        </is>
      </c>
      <c r="J39" s="76" t="inlineStr">
        <is>
          <t>四主题副本/随机房间</t>
        </is>
      </c>
      <c r="K39" s="76" t="inlineStr">
        <is>
          <t>原型已接入</t>
        </is>
      </c>
      <c r="L39" s="76" t="inlineStr">
        <is>
          <t>P0</t>
        </is>
      </c>
      <c r="M39" s="76" t="inlineStr">
        <is>
          <t>v001</t>
        </is>
      </c>
      <c r="N39" s="76" t="inlineStr">
        <is>
          <t>PackedScene/三档程序几何</t>
        </is>
      </c>
      <c r="O39" s="76" t="inlineStr">
        <is>
          <t>assets/art/environments/dungeon_3d/env_dungeon_runtime_kit_top3d_v001.tscn</t>
        </is>
      </c>
      <c r="P39" s="76" t="inlineStr">
        <is>
          <t>src/world3d/DungeonRoom3D.gd</t>
        </is>
      </c>
      <c r="Q39" s="76" t="inlineStr">
        <is>
          <t>房间;门洞;走廊;随机地图;3D</t>
        </is>
      </c>
      <c r="R39" s="76">
        <f>LOWER(TRIM(C39)&amp;"|"&amp;TRIM(D39)&amp;"|"&amp;TRIM(E39)&amp;"|"&amp;TRIM(F39)&amp;"|"&amp;TRIM(H39)&amp;"|"&amp;TRIM(I39))</f>
        <v/>
      </c>
      <c r="S39" s="76">
        <f>IF(COUNTIF($R$6:$R$239,R39)&gt;1,"重复","唯一")</f>
        <v/>
      </c>
      <c r="T39" s="76" t="inlineStr">
        <is>
          <t>e4e7472285a1f2d89f18c5d8a11e414c475adabeed98584cd9d10d4e5d793b76</t>
        </is>
      </c>
      <c r="U39" s="76" t="inlineStr">
        <is>
          <t>Codex</t>
        </is>
      </c>
      <c r="V39" s="77" t="n">
        <v>46233</v>
      </c>
      <c r="W39" s="76" t="inlineStr">
        <is>
          <t>原创程序几何</t>
        </is>
      </c>
      <c r="X39" s="75" t="inlineStr">
        <is>
          <t>—</t>
        </is>
      </c>
      <c r="Y39" s="7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>
      <c r="A40" s="69" t="inlineStr">
        <is>
          <t>ENV-DUNGEON-IRON-FRONTIER-3D</t>
        </is>
      </c>
      <c r="B40" s="69" t="inlineStr">
        <is>
          <t>冷钢边境3D主题资源</t>
        </is>
      </c>
      <c r="C40" s="69" t="inlineStr">
        <is>
          <t>场景</t>
        </is>
      </c>
      <c r="D40" s="69" t="inlineStr">
        <is>
          <t>biome</t>
        </is>
      </c>
      <c r="E40" s="69" t="inlineStr">
        <is>
          <t>iron_frontier</t>
        </is>
      </c>
      <c r="F40" s="69" t="inlineStr">
        <is>
          <t>theme_3d</t>
        </is>
      </c>
      <c r="G40" s="69" t="inlineStr">
        <is>
          <t>ENV-DUNGEON-RUNTIME-3D</t>
        </is>
      </c>
      <c r="H40" s="69" t="inlineStr">
        <is>
          <t>俯视3D</t>
        </is>
      </c>
      <c r="I40" s="69" t="inlineStr">
        <is>
          <t>default</t>
        </is>
      </c>
      <c r="J40" s="69" t="inlineStr">
        <is>
          <t>冷钢边境</t>
        </is>
      </c>
      <c r="K40" s="69" t="inlineStr">
        <is>
          <t>原型已接入</t>
        </is>
      </c>
      <c r="L40" s="69" t="inlineStr">
        <is>
          <t>P0</t>
        </is>
      </c>
      <c r="M40" s="69" t="inlineStr">
        <is>
          <t>v001</t>
        </is>
      </c>
      <c r="N40" s="69" t="inlineStr">
        <is>
          <t>DungeonTheme3D Resource</t>
        </is>
      </c>
      <c r="O40" s="69" t="inlineStr">
        <is>
          <t>assets/art/environments/dungeon_3d/env_iron_frontier_kit_top3d_v001.tres</t>
        </is>
      </c>
      <c r="P40" s="69" t="inlineStr">
        <is>
          <t>scenes/levels3d/IronFrontier3D.tscn</t>
        </is>
      </c>
      <c r="Q40" s="69" t="inlineStr">
        <is>
          <t>冷钢;冷蓝;边境;雾;灯光</t>
        </is>
      </c>
      <c r="R40" s="69">
        <f>LOWER(TRIM(C40)&amp;"|"&amp;TRIM(D40)&amp;"|"&amp;TRIM(E40)&amp;"|"&amp;TRIM(F40)&amp;"|"&amp;TRIM(H40)&amp;"|"&amp;TRIM(I40))</f>
        <v/>
      </c>
      <c r="S40" s="69">
        <f>IF(COUNTIF($R$6:$R$239,R40)&gt;1,"重复","唯一")</f>
        <v/>
      </c>
      <c r="T40" s="69" t="inlineStr">
        <is>
          <t>f8b3ab02d3613a2e6c739e9d3013adce091dff82c76e6198eb13a816e144b00c</t>
        </is>
      </c>
      <c r="U40" s="69" t="inlineStr">
        <is>
          <t>Codex</t>
        </is>
      </c>
      <c r="V40" s="78" t="n">
        <v>46224</v>
      </c>
      <c r="W40" s="69" t="inlineStr">
        <is>
          <t>原创程序配置</t>
        </is>
      </c>
      <c r="X40" s="75" t="inlineStr">
        <is>
          <t>—</t>
        </is>
      </c>
      <c r="Y40" s="69" t="inlineStr">
        <is>
          <t>只保存3D色彩/雾/灯光/家具倾向；玩法读取MapThemeProfile</t>
        </is>
      </c>
    </row>
    <row r="41">
      <c r="A41" s="69" t="inlineStr">
        <is>
          <t>ENV-DUNGEON-RUST-FOUNDRY-3D</t>
        </is>
      </c>
      <c r="B41" s="69" t="inlineStr">
        <is>
          <t>锈蚀铸造厂3D主题资源</t>
        </is>
      </c>
      <c r="C41" s="69" t="inlineStr">
        <is>
          <t>场景</t>
        </is>
      </c>
      <c r="D41" s="69" t="inlineStr">
        <is>
          <t>biome</t>
        </is>
      </c>
      <c r="E41" s="69" t="inlineStr">
        <is>
          <t>rust_foundry</t>
        </is>
      </c>
      <c r="F41" s="69" t="inlineStr">
        <is>
          <t>theme_3d</t>
        </is>
      </c>
      <c r="G41" s="69" t="inlineStr">
        <is>
          <t>ENV-DUNGEON-RUNTIME-3D</t>
        </is>
      </c>
      <c r="H41" s="69" t="inlineStr">
        <is>
          <t>俯视3D</t>
        </is>
      </c>
      <c r="I41" s="69" t="inlineStr">
        <is>
          <t>default</t>
        </is>
      </c>
      <c r="J41" s="69" t="inlineStr">
        <is>
          <t>锈蚀铸造厂</t>
        </is>
      </c>
      <c r="K41" s="69" t="inlineStr">
        <is>
          <t>原型已接入</t>
        </is>
      </c>
      <c r="L41" s="69" t="inlineStr">
        <is>
          <t>P0</t>
        </is>
      </c>
      <c r="M41" s="69" t="inlineStr">
        <is>
          <t>v001</t>
        </is>
      </c>
      <c r="N41" s="69" t="inlineStr">
        <is>
          <t>DungeonTheme3D Resource</t>
        </is>
      </c>
      <c r="O41" s="69" t="inlineStr">
        <is>
          <t>assets/art/environments/dungeon_3d/env_rust_foundry_kit_top3d_v001.tres</t>
        </is>
      </c>
      <c r="P41" s="69" t="inlineStr">
        <is>
          <t>scenes/levels3d/RustFoundry3D.tscn</t>
        </is>
      </c>
      <c r="Q41" s="69" t="inlineStr">
        <is>
          <t>锈蚀;铸造;橙光;工业</t>
        </is>
      </c>
      <c r="R41" s="69">
        <f>LOWER(TRIM(C41)&amp;"|"&amp;TRIM(D41)&amp;"|"&amp;TRIM(E41)&amp;"|"&amp;TRIM(F41)&amp;"|"&amp;TRIM(H41)&amp;"|"&amp;TRIM(I41))</f>
        <v/>
      </c>
      <c r="S41" s="69">
        <f>IF(COUNTIF($R$6:$R$239,R41)&gt;1,"重复","唯一")</f>
        <v/>
      </c>
      <c r="T41" s="69" t="inlineStr">
        <is>
          <t>acc115574ec882b7bc3f74acb8da788151a6ce810b4b99ee4bedc96357d3d5b8</t>
        </is>
      </c>
      <c r="U41" s="69" t="inlineStr">
        <is>
          <t>Codex</t>
        </is>
      </c>
      <c r="V41" s="78" t="n">
        <v>46224</v>
      </c>
      <c r="W41" s="69" t="inlineStr">
        <is>
          <t>原创程序配置</t>
        </is>
      </c>
      <c r="X41" s="75" t="inlineStr">
        <is>
          <t>—</t>
        </is>
      </c>
      <c r="Y41" s="69" t="inlineStr">
        <is>
          <t>复用通用房间根；主题资源不复制玩法规则</t>
        </is>
      </c>
    </row>
    <row r="42">
      <c r="A42" s="69" t="inlineStr">
        <is>
          <t>ENV-DUNGEON-SPORE-DEPTHS-3D</t>
        </is>
      </c>
      <c r="B42" s="69" t="inlineStr">
        <is>
          <t>孢子深层3D主题资源</t>
        </is>
      </c>
      <c r="C42" s="69" t="inlineStr">
        <is>
          <t>场景</t>
        </is>
      </c>
      <c r="D42" s="69" t="inlineStr">
        <is>
          <t>biome</t>
        </is>
      </c>
      <c r="E42" s="69" t="inlineStr">
        <is>
          <t>spore_depths</t>
        </is>
      </c>
      <c r="F42" s="69" t="inlineStr">
        <is>
          <t>theme_3d</t>
        </is>
      </c>
      <c r="G42" s="69" t="inlineStr">
        <is>
          <t>ENV-DUNGEON-RUNTIME-3D</t>
        </is>
      </c>
      <c r="H42" s="69" t="inlineStr">
        <is>
          <t>俯视3D</t>
        </is>
      </c>
      <c r="I42" s="69" t="inlineStr">
        <is>
          <t>default</t>
        </is>
      </c>
      <c r="J42" s="69" t="inlineStr">
        <is>
          <t>孢子深层</t>
        </is>
      </c>
      <c r="K42" s="69" t="inlineStr">
        <is>
          <t>原型已接入</t>
        </is>
      </c>
      <c r="L42" s="69" t="inlineStr">
        <is>
          <t>P0</t>
        </is>
      </c>
      <c r="M42" s="69" t="inlineStr">
        <is>
          <t>v001</t>
        </is>
      </c>
      <c r="N42" s="69" t="inlineStr">
        <is>
          <t>DungeonTheme3D Resource</t>
        </is>
      </c>
      <c r="O42" s="69" t="inlineStr">
        <is>
          <t>assets/art/environments/dungeon_3d/env_spore_depths_kit_top3d_v001.tres</t>
        </is>
      </c>
      <c r="P42" s="69" t="inlineStr">
        <is>
          <t>scenes/levels3d/SporeDepths3D.tscn</t>
        </is>
      </c>
      <c r="Q42" s="69" t="inlineStr">
        <is>
          <t>孢子;病绿;地下;异化</t>
        </is>
      </c>
      <c r="R42" s="69">
        <f>LOWER(TRIM(C42)&amp;"|"&amp;TRIM(D42)&amp;"|"&amp;TRIM(E42)&amp;"|"&amp;TRIM(F42)&amp;"|"&amp;TRIM(H42)&amp;"|"&amp;TRIM(I42))</f>
        <v/>
      </c>
      <c r="S42" s="69">
        <f>IF(COUNTIF($R$6:$R$239,R42)&gt;1,"重复","唯一")</f>
        <v/>
      </c>
      <c r="T42" s="69" t="inlineStr">
        <is>
          <t>50b5a344a474a866d2065a8979bac564170ba8422bb610418ac8082d24db91dc</t>
        </is>
      </c>
      <c r="U42" s="69" t="inlineStr">
        <is>
          <t>Codex</t>
        </is>
      </c>
      <c r="V42" s="78" t="n">
        <v>46224</v>
      </c>
      <c r="W42" s="69" t="inlineStr">
        <is>
          <t>原创程序配置</t>
        </is>
      </c>
      <c r="X42" s="75" t="inlineStr">
        <is>
          <t>—</t>
        </is>
      </c>
      <c r="Y42" s="69" t="inlineStr">
        <is>
          <t>复用通用房间根；主题资源不复制玩法规则</t>
        </is>
      </c>
    </row>
    <row r="43">
      <c r="A43" s="69" t="inlineStr">
        <is>
          <t>ENV-DUNGEON-ABYSS-ARCHIVE-3D</t>
        </is>
      </c>
      <c r="B43" s="69" t="inlineStr">
        <is>
          <t>深渊档案库3D主题资源</t>
        </is>
      </c>
      <c r="C43" s="69" t="inlineStr">
        <is>
          <t>场景</t>
        </is>
      </c>
      <c r="D43" s="69" t="inlineStr">
        <is>
          <t>biome</t>
        </is>
      </c>
      <c r="E43" s="69" t="inlineStr">
        <is>
          <t>abyss_archive</t>
        </is>
      </c>
      <c r="F43" s="69" t="inlineStr">
        <is>
          <t>theme_3d</t>
        </is>
      </c>
      <c r="G43" s="69" t="inlineStr">
        <is>
          <t>ENV-DUNGEON-RUNTIME-3D</t>
        </is>
      </c>
      <c r="H43" s="69" t="inlineStr">
        <is>
          <t>俯视3D</t>
        </is>
      </c>
      <c r="I43" s="69" t="inlineStr">
        <is>
          <t>default</t>
        </is>
      </c>
      <c r="J43" s="69" t="inlineStr">
        <is>
          <t>深渊档案库</t>
        </is>
      </c>
      <c r="K43" s="69" t="inlineStr">
        <is>
          <t>原型已接入</t>
        </is>
      </c>
      <c r="L43" s="69" t="inlineStr">
        <is>
          <t>P0</t>
        </is>
      </c>
      <c r="M43" s="69" t="inlineStr">
        <is>
          <t>v001</t>
        </is>
      </c>
      <c r="N43" s="69" t="inlineStr">
        <is>
          <t>DungeonTheme3D Resource</t>
        </is>
      </c>
      <c r="O43" s="69" t="inlineStr">
        <is>
          <t>assets/art/environments/dungeon_3d/env_abyss_archive_kit_top3d_v001.tres</t>
        </is>
      </c>
      <c r="P43" s="69" t="inlineStr">
        <is>
          <t>scenes/levels3d/AbyssArchive3D.tscn</t>
        </is>
      </c>
      <c r="Q43" s="69" t="inlineStr">
        <is>
          <t>深渊;档案;紫光;禁区</t>
        </is>
      </c>
      <c r="R43" s="69">
        <f>LOWER(TRIM(C43)&amp;"|"&amp;TRIM(D43)&amp;"|"&amp;TRIM(E43)&amp;"|"&amp;TRIM(F43)&amp;"|"&amp;TRIM(H43)&amp;"|"&amp;TRIM(I43))</f>
        <v/>
      </c>
      <c r="S43" s="69">
        <f>IF(COUNTIF($R$6:$R$239,R43)&gt;1,"重复","唯一")</f>
        <v/>
      </c>
      <c r="T43" s="69" t="inlineStr">
        <is>
          <t>93b2f606618b202fd51513e3eb2b039c0db2d26f328d1f71dd0ef4df196939e5</t>
        </is>
      </c>
      <c r="U43" s="69" t="inlineStr">
        <is>
          <t>Codex</t>
        </is>
      </c>
      <c r="V43" s="78" t="n">
        <v>46224</v>
      </c>
      <c r="W43" s="69" t="inlineStr">
        <is>
          <t>原创程序配置</t>
        </is>
      </c>
      <c r="X43" s="75" t="inlineStr">
        <is>
          <t>—</t>
        </is>
      </c>
      <c r="Y43" s="69" t="inlineStr">
        <is>
          <t>复用通用房间根；主题资源不复制玩法规则</t>
        </is>
      </c>
    </row>
    <row r="44">
      <c r="A44" s="76" t="inlineStr">
        <is>
          <t>PRP-WASTELAND-LIGHT-3D</t>
        </is>
      </c>
      <c r="B44" s="76" t="inlineStr">
        <is>
          <t>废土灯具3D通用模块（街灯/顶灯）</t>
        </is>
      </c>
      <c r="C44" s="76" t="inlineStr">
        <is>
          <t>场景道具</t>
        </is>
      </c>
      <c r="D44" s="76" t="inlineStr">
        <is>
          <t>light</t>
        </is>
      </c>
      <c r="E44" s="76" t="inlineStr">
        <is>
          <t>wasteland_light</t>
        </is>
      </c>
      <c r="F44" s="76" t="inlineStr">
        <is>
          <t>root_3d</t>
        </is>
      </c>
      <c r="G44" s="76" t="inlineStr">
        <is>
          <t>ENV-DUNGEON-RUNTIME-3D</t>
        </is>
      </c>
      <c r="H44" s="76" t="inlineStr">
        <is>
          <t>俯视3D</t>
        </is>
      </c>
      <c r="I44" s="76" t="inlineStr">
        <is>
          <t>default</t>
        </is>
      </c>
      <c r="J44" s="76" t="inlineStr">
        <is>
          <t>关卡/靶场/房间中央照明</t>
        </is>
      </c>
      <c r="K44" s="76" t="inlineStr">
        <is>
          <t>原型已接入</t>
        </is>
      </c>
      <c r="L44" s="76" t="inlineStr">
        <is>
          <t>P0</t>
        </is>
      </c>
      <c r="M44" s="76" t="inlineStr">
        <is>
          <t>v001</t>
        </is>
      </c>
      <c r="N44" s="76" t="inlineStr">
        <is>
          <t>PackedScene/OmniLight3D</t>
        </is>
      </c>
      <c r="O44" s="76" t="inlineStr">
        <is>
          <t>assets/art/props/dungeon_3d/prp_wasteland_light_root_top3d_v001.tscn</t>
        </is>
      </c>
      <c r="P44" s="76" t="inlineStr">
        <is>
          <t>src/world3d/WastelandLight3D.gd</t>
        </is>
      </c>
      <c r="Q44" s="76" t="inlineStr">
        <is>
          <t>灯具;街灯;中央顶灯;故障灯;废土</t>
        </is>
      </c>
      <c r="R44" s="76">
        <f>LOWER(TRIM(C44)&amp;"|"&amp;TRIM(D44)&amp;"|"&amp;TRIM(E44)&amp;"|"&amp;TRIM(F44)&amp;"|"&amp;TRIM(H44)&amp;"|"&amp;TRIM(I44))</f>
        <v/>
      </c>
      <c r="S44" s="76">
        <f>IF(COUNTIF($R$6:$R$239,R44)&gt;1,"重复","唯一")</f>
        <v/>
      </c>
      <c r="T44" s="76" t="inlineStr">
        <is>
          <t>0b6eee3dde59911854d2a062aaab55672c6d1fa4c705155f7a217faf46394e00</t>
        </is>
      </c>
      <c r="U44" s="76" t="inlineStr">
        <is>
          <t>Codex</t>
        </is>
      </c>
      <c r="V44" s="77" t="n">
        <v>46237</v>
      </c>
      <c r="W44" s="76" t="inlineStr">
        <is>
          <t>原创程序几何</t>
        </is>
      </c>
      <c r="X44" s="75" t="inlineStr">
        <is>
          <t>—</t>
        </is>
      </c>
      <c r="Y44" s="7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>
      <c r="A45" s="69" t="inlineStr">
        <is>
          <t>PRP-ROOM-FURNITURE-3D</t>
        </is>
      </c>
      <c r="B45" s="69" t="inlineStr">
        <is>
          <t>房间家具3D通用模块</t>
        </is>
      </c>
      <c r="C45" s="69" t="inlineStr">
        <is>
          <t>场景道具</t>
        </is>
      </c>
      <c r="D45" s="69" t="inlineStr">
        <is>
          <t>furniture</t>
        </is>
      </c>
      <c r="E45" s="69" t="inlineStr">
        <is>
          <t>room_furniture</t>
        </is>
      </c>
      <c r="F45" s="69" t="inlineStr">
        <is>
          <t>root_3d</t>
        </is>
      </c>
      <c r="G45" s="69" t="inlineStr">
        <is>
          <t>ENV-DUNGEON-RUNTIME-3D</t>
        </is>
      </c>
      <c r="H45" s="69" t="inlineStr">
        <is>
          <t>俯视3D</t>
        </is>
      </c>
      <c r="I45" s="69" t="inlineStr">
        <is>
          <t>default</t>
        </is>
      </c>
      <c r="J45" s="69" t="inlineStr">
        <is>
          <t>全部3D房间</t>
        </is>
      </c>
      <c r="K45" s="69" t="inlineStr">
        <is>
          <t>原型已接入</t>
        </is>
      </c>
      <c r="L45" s="69" t="inlineStr">
        <is>
          <t>P0</t>
        </is>
      </c>
      <c r="M45" s="69" t="inlineStr">
        <is>
          <t>v001</t>
        </is>
      </c>
      <c r="N45" s="69" t="inlineStr">
        <is>
          <t>PackedScene/类型与尺寸配置</t>
        </is>
      </c>
      <c r="O45" s="69" t="inlineStr">
        <is>
          <t>assets/art/props/dungeon_3d/prp_room_furniture_root_top3d_v001.tscn</t>
        </is>
      </c>
      <c r="P45" s="69" t="inlineStr">
        <is>
          <t>src/world3d/RoomFurniture3D.gd</t>
        </is>
      </c>
      <c r="Q45" s="69" t="inlineStr">
        <is>
          <t>家具;小中大;箱柜;工作台</t>
        </is>
      </c>
      <c r="R45" s="69">
        <f>LOWER(TRIM(C45)&amp;"|"&amp;TRIM(D45)&amp;"|"&amp;TRIM(E45)&amp;"|"&amp;TRIM(F45)&amp;"|"&amp;TRIM(H45)&amp;"|"&amp;TRIM(I45))</f>
        <v/>
      </c>
      <c r="S45" s="69">
        <f>IF(COUNTIF($R$6:$R$239,R45)&gt;1,"重复","唯一")</f>
        <v/>
      </c>
      <c r="T45" s="69" t="inlineStr">
        <is>
          <t>b98c316a9634111506783e11ada7d6558cebd85f136ec1d2fb6bfb325b0f46c3</t>
        </is>
      </c>
      <c r="U45" s="69" t="inlineStr">
        <is>
          <t>Codex</t>
        </is>
      </c>
      <c r="V45" s="78" t="n">
        <v>46224</v>
      </c>
      <c r="W45" s="69" t="inlineStr">
        <is>
          <t>原创程序几何</t>
        </is>
      </c>
      <c r="X45" s="75" t="inlineStr">
        <is>
          <t>—</t>
        </is>
      </c>
      <c r="Y45" s="69" t="inlineStr">
        <is>
          <t>11类轮廓；small/medium/large影响占地与碰撞</t>
        </is>
      </c>
    </row>
    <row r="46">
      <c r="A46" s="69" t="inlineStr">
        <is>
          <t>PRP-SEARCH-CONTAINER-3D</t>
        </is>
      </c>
      <c r="B46" s="69" t="inlineStr">
        <is>
          <t>可搜索容器3D通用模块</t>
        </is>
      </c>
      <c r="C46" s="69" t="inlineStr">
        <is>
          <t>场景道具</t>
        </is>
      </c>
      <c r="D46" s="69" t="inlineStr">
        <is>
          <t>container</t>
        </is>
      </c>
      <c r="E46" s="69" t="inlineStr">
        <is>
          <t>search_container</t>
        </is>
      </c>
      <c r="F46" s="69" t="inlineStr">
        <is>
          <t>root_3d</t>
        </is>
      </c>
      <c r="G46" s="69" t="inlineStr">
        <is>
          <t>PRP-ROOM-FURNITURE-3D</t>
        </is>
      </c>
      <c r="H46" s="69" t="inlineStr">
        <is>
          <t>俯视3D</t>
        </is>
      </c>
      <c r="I46" s="69" t="inlineStr">
        <is>
          <t>closed_opened</t>
        </is>
      </c>
      <c r="J46" s="69" t="inlineStr">
        <is>
          <t>搜索房/仓储/事件</t>
        </is>
      </c>
      <c r="K46" s="69" t="inlineStr">
        <is>
          <t>原型已接入</t>
        </is>
      </c>
      <c r="L46" s="69" t="inlineStr">
        <is>
          <t>P0</t>
        </is>
      </c>
      <c r="M46" s="69" t="inlineStr">
        <is>
          <t>v001</t>
        </is>
      </c>
      <c r="N46" s="69" t="inlineStr">
        <is>
          <t>PackedScene/搜索状态</t>
        </is>
      </c>
      <c r="O46" s="69" t="inlineStr">
        <is>
          <t>assets/art/props/dungeon_3d/prp_search_container_root_top3d_v001.tscn</t>
        </is>
      </c>
      <c r="P46" s="69" t="inlineStr">
        <is>
          <t>src/world3d/RoomFurniture3D.gd</t>
        </is>
      </c>
      <c r="Q46" s="69" t="inlineStr">
        <is>
          <t>搜索;容器;战利品;小中大</t>
        </is>
      </c>
      <c r="R46" s="69">
        <f>LOWER(TRIM(C46)&amp;"|"&amp;TRIM(D46)&amp;"|"&amp;TRIM(E46)&amp;"|"&amp;TRIM(F46)&amp;"|"&amp;TRIM(H46)&amp;"|"&amp;TRIM(I46))</f>
        <v/>
      </c>
      <c r="S46" s="69">
        <f>IF(COUNTIF($R$6:$R$239,R46)&gt;1,"重复","唯一")</f>
        <v/>
      </c>
      <c r="T46" s="69" t="inlineStr">
        <is>
          <t>c9a836df320181589c748ffc3aa57dc45a403bc148dec9972013b105795c40f5</t>
        </is>
      </c>
      <c r="U46" s="69" t="inlineStr">
        <is>
          <t>Codex</t>
        </is>
      </c>
      <c r="V46" s="78" t="n">
        <v>46224</v>
      </c>
      <c r="W46" s="69" t="inlineStr">
        <is>
          <t>原创程序几何</t>
        </is>
      </c>
      <c r="X46" s="75" t="inlineStr">
        <is>
          <t>—</t>
        </is>
      </c>
      <c r="Y46" s="69" t="inlineStr">
        <is>
          <t>搜索为家具状态与配置，不建立关卡局部重复模型</t>
        </is>
      </c>
    </row>
    <row r="47">
      <c r="A47" s="69" t="inlineStr">
        <is>
          <t>PRP-SERVICE-STATION-3D</t>
        </is>
      </c>
      <c r="B47" s="69" t="inlineStr">
        <is>
          <t>废土服务终端3D模块</t>
        </is>
      </c>
      <c r="C47" s="69" t="inlineStr">
        <is>
          <t>场景道具</t>
        </is>
      </c>
      <c r="D47" s="69" t="inlineStr">
        <is>
          <t>facility</t>
        </is>
      </c>
      <c r="E47" s="69" t="inlineStr">
        <is>
          <t>service_station</t>
        </is>
      </c>
      <c r="F47" s="69" t="inlineStr">
        <is>
          <t>root_3d</t>
        </is>
      </c>
      <c r="G47" s="69" t="inlineStr">
        <is>
          <t>ENV-DUNGEON-RUNTIME-3D</t>
        </is>
      </c>
      <c r="H47" s="69" t="inlineStr">
        <is>
          <t>俯视3D</t>
        </is>
      </c>
      <c r="I47" s="69" t="inlineStr">
        <is>
          <t>default</t>
        </is>
      </c>
      <c r="J47" s="69" t="inlineStr">
        <is>
          <t>商店/升级/事件/重置</t>
        </is>
      </c>
      <c r="K47" s="69" t="inlineStr">
        <is>
          <t>原型已接入</t>
        </is>
      </c>
      <c r="L47" s="69" t="inlineStr">
        <is>
          <t>P0</t>
        </is>
      </c>
      <c r="M47" s="69" t="inlineStr">
        <is>
          <t>v001</t>
        </is>
      </c>
      <c r="N47" s="69" t="inlineStr">
        <is>
          <t>PackedScene/程序组件</t>
        </is>
      </c>
      <c r="O47" s="69" t="inlineStr">
        <is>
          <t>assets/art/props/dungeon_3d/prp_service_station_root_top3d_v001.tscn</t>
        </is>
      </c>
      <c r="P47" s="69" t="inlineStr">
        <is>
          <t>src/world3d/ServiceStation3D.gd</t>
        </is>
      </c>
      <c r="Q47" s="69" t="inlineStr">
        <is>
          <t>终端;商店;升级;事件;重置</t>
        </is>
      </c>
      <c r="R47" s="69">
        <f>LOWER(TRIM(C47)&amp;"|"&amp;TRIM(D47)&amp;"|"&amp;TRIM(E47)&amp;"|"&amp;TRIM(F47)&amp;"|"&amp;TRIM(H47)&amp;"|"&amp;TRIM(I47))</f>
        <v/>
      </c>
      <c r="S47" s="69">
        <f>IF(COUNTIF($R$6:$R$239,R47)&gt;1,"重复","唯一")</f>
        <v/>
      </c>
      <c r="T47" s="69" t="inlineStr">
        <is>
          <t>8d2ccf3e8714a237d0096d7e44beaa824ca2acd13e5c5a20b8cb22ba5ef38e78</t>
        </is>
      </c>
      <c r="U47" s="69" t="inlineStr">
        <is>
          <t>Codex</t>
        </is>
      </c>
      <c r="V47" s="78" t="n">
        <v>46224</v>
      </c>
      <c r="W47" s="69" t="inlineStr">
        <is>
          <t>原创程序几何</t>
        </is>
      </c>
      <c r="X47" s="75" t="inlineStr">
        <is>
          <t>—</t>
        </is>
      </c>
      <c r="Y47" s="69" t="inlineStr">
        <is>
          <t>四种服务行为复用同一视觉与交互组件</t>
        </is>
      </c>
    </row>
    <row r="48">
      <c r="A48" s="69" t="inlineStr">
        <is>
          <t>PRP-EXTRACTION-BEACON-3D</t>
        </is>
      </c>
      <c r="B48" s="69" t="inlineStr">
        <is>
          <t>撤离信标3D模块</t>
        </is>
      </c>
      <c r="C48" s="69" t="inlineStr">
        <is>
          <t>场景道具</t>
        </is>
      </c>
      <c r="D48" s="69" t="inlineStr">
        <is>
          <t>facility</t>
        </is>
      </c>
      <c r="E48" s="69" t="inlineStr">
        <is>
          <t>extraction_beacon</t>
        </is>
      </c>
      <c r="F48" s="69" t="inlineStr">
        <is>
          <t>root_3d</t>
        </is>
      </c>
      <c r="G48" s="69" t="inlineStr">
        <is>
          <t>ENV-DUNGEON-RUNTIME-3D</t>
        </is>
      </c>
      <c r="H48" s="69" t="inlineStr">
        <is>
          <t>俯视3D</t>
        </is>
      </c>
      <c r="I48" s="69" t="inlineStr">
        <is>
          <t>locked_active_done</t>
        </is>
      </c>
      <c r="J48" s="69" t="inlineStr">
        <is>
          <t>四主题撤离房</t>
        </is>
      </c>
      <c r="K48" s="69" t="inlineStr">
        <is>
          <t>原型已接入</t>
        </is>
      </c>
      <c r="L48" s="69" t="inlineStr">
        <is>
          <t>P0</t>
        </is>
      </c>
      <c r="M48" s="69" t="inlineStr">
        <is>
          <t>v001</t>
        </is>
      </c>
      <c r="N48" s="69" t="inlineStr">
        <is>
          <t>PackedScene/程序组件</t>
        </is>
      </c>
      <c r="O48" s="69" t="inlineStr">
        <is>
          <t>assets/art/props/dungeon_3d/prp_extraction_beacon_root_top3d_v001.tscn</t>
        </is>
      </c>
      <c r="P48" s="69" t="inlineStr">
        <is>
          <t>src/world3d/ExtractionBeacon3D.gd</t>
        </is>
      </c>
      <c r="Q48" s="69" t="inlineStr">
        <is>
          <t>撤离;信标;倒计时;Boss解锁</t>
        </is>
      </c>
      <c r="R48" s="69">
        <f>LOWER(TRIM(C48)&amp;"|"&amp;TRIM(D48)&amp;"|"&amp;TRIM(E48)&amp;"|"&amp;TRIM(F48)&amp;"|"&amp;TRIM(H48)&amp;"|"&amp;TRIM(I48))</f>
        <v/>
      </c>
      <c r="S48" s="69">
        <f>IF(COUNTIF($R$6:$R$239,R48)&gt;1,"重复","唯一")</f>
        <v/>
      </c>
      <c r="T48" s="69" t="inlineStr">
        <is>
          <t>26922cc2f1d9640f0b237f0876d6d549f1f323d20ac4f916ca789b3893bc6aa3</t>
        </is>
      </c>
      <c r="U48" s="69" t="inlineStr">
        <is>
          <t>Codex</t>
        </is>
      </c>
      <c r="V48" s="78" t="n">
        <v>46237</v>
      </c>
      <c r="W48" s="69" t="inlineStr">
        <is>
          <t>原创程序几何</t>
        </is>
      </c>
      <c r="X48" s="75" t="inlineStr">
        <is>
          <t>—</t>
        </is>
      </c>
      <c r="Y48" s="69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>
      <c r="A49" s="69" t="inlineStr">
        <is>
          <t>ENV-TRAINING-RANGE-KIT-3D</t>
        </is>
      </c>
      <c r="B49" s="69" t="inlineStr">
        <is>
          <t>独立3D训练靶场套件</t>
        </is>
      </c>
      <c r="C49" s="69" t="inlineStr">
        <is>
          <t>场景</t>
        </is>
      </c>
      <c r="D49" s="69" t="inlineStr">
        <is>
          <t>training_range</t>
        </is>
      </c>
      <c r="E49" s="69" t="inlineStr">
        <is>
          <t>training_range</t>
        </is>
      </c>
      <c r="F49" s="69" t="inlineStr">
        <is>
          <t>root_3d</t>
        </is>
      </c>
      <c r="G49" s="69" t="inlineStr"/>
      <c r="H49" s="69" t="inlineStr">
        <is>
          <t>俯视3D</t>
        </is>
      </c>
      <c r="I49" s="69" t="inlineStr">
        <is>
          <t>default</t>
        </is>
      </c>
      <c r="J49" s="69" t="inlineStr">
        <is>
          <t>独立训练地图</t>
        </is>
      </c>
      <c r="K49" s="69" t="inlineStr">
        <is>
          <t>原型已接入</t>
        </is>
      </c>
      <c r="L49" s="69" t="inlineStr">
        <is>
          <t>P0</t>
        </is>
      </c>
      <c r="M49" s="69" t="inlineStr">
        <is>
          <t>v001</t>
        </is>
      </c>
      <c r="N49" s="69" t="inlineStr">
        <is>
          <t>PackedScene/程序环境</t>
        </is>
      </c>
      <c r="O49" s="69" t="inlineStr">
        <is>
          <t>assets/art/environments/training_range_3d/env_training_range_kit_top3d.tscn</t>
        </is>
      </c>
      <c r="P49" s="69" t="inlineStr">
        <is>
          <t>scenes/TrainingRange3D.tscn</t>
        </is>
      </c>
      <c r="Q49" s="69" t="inlineStr">
        <is>
          <t>靶场;射击道;货架;59组合;三类靶</t>
        </is>
      </c>
      <c r="R49" s="69">
        <f>LOWER(TRIM(C49)&amp;"|"&amp;TRIM(D49)&amp;"|"&amp;TRIM(E49)&amp;"|"&amp;TRIM(F49)&amp;"|"&amp;TRIM(H49)&amp;"|"&amp;TRIM(I49))</f>
        <v/>
      </c>
      <c r="S49" s="69">
        <f>IF(COUNTIF($R$6:$R$239,R49)&gt;1,"重复","唯一")</f>
        <v/>
      </c>
      <c r="T49" s="69" t="inlineStr">
        <is>
          <t>e3a0ef2fb72576117c4f6faa6528c46f11bec8470b2ddec0eac2d1beb0bdc356</t>
        </is>
      </c>
      <c r="U49" s="69" t="inlineStr">
        <is>
          <t>Codex</t>
        </is>
      </c>
      <c r="V49" s="78" t="n">
        <v>46224</v>
      </c>
      <c r="W49" s="69" t="inlineStr">
        <is>
          <t>原创程序几何</t>
        </is>
      </c>
      <c r="X49" s="75" t="inlineStr">
        <is>
          <t>—</t>
        </is>
      </c>
      <c r="Y49" s="69" t="inlineStr">
        <is>
          <t>18货架（7远程+3近战+8子弹）、三射击道、三靶标、重置与返回；BaseData隔离</t>
        </is>
      </c>
    </row>
    <row r="50">
      <c r="A50" s="69" t="inlineStr">
        <is>
          <t>ENV-DUNGEON-RUNTIME-3D-PREVIEW</t>
        </is>
      </c>
      <c r="B50" s="69" t="inlineStr">
        <is>
          <t>3D关卡运行时验收预览</t>
        </is>
      </c>
      <c r="C50" s="69" t="inlineStr">
        <is>
          <t>场景</t>
        </is>
      </c>
      <c r="D50" s="69" t="inlineStr">
        <is>
          <t>review_board</t>
        </is>
      </c>
      <c r="E50" s="69" t="inlineStr">
        <is>
          <t>dungeon_runtime</t>
        </is>
      </c>
      <c r="F50" s="69" t="inlineStr">
        <is>
          <t>preview_3d</t>
        </is>
      </c>
      <c r="G50" s="69" t="inlineStr">
        <is>
          <t>ENV-DUNGEON-RUNTIME-3D</t>
        </is>
      </c>
      <c r="H50" s="69" t="inlineStr">
        <is>
          <t>俯视3D</t>
        </is>
      </c>
      <c r="I50" s="69" t="inlineStr">
        <is>
          <t>default</t>
        </is>
      </c>
      <c r="J50" s="69" t="inlineStr">
        <is>
          <t>评审与资产QA</t>
        </is>
      </c>
      <c r="K50" s="69" t="inlineStr">
        <is>
          <t>已完成</t>
        </is>
      </c>
      <c r="L50" s="69" t="inlineStr">
        <is>
          <t>P1</t>
        </is>
      </c>
      <c r="M50" s="69" t="inlineStr">
        <is>
          <t>v001</t>
        </is>
      </c>
      <c r="N50" s="69" t="inlineStr">
        <is>
          <t>1280×720 PNG</t>
        </is>
      </c>
      <c r="O50" s="69" t="inlineStr">
        <is>
          <t>assets/art/environments/dungeon_3d/previews/env_dungeon_runtime_preview_top3d_v001.png</t>
        </is>
      </c>
      <c r="P50" s="69" t="inlineStr">
        <is>
          <t>tests/verification/verify_full_3d_visual.tscn</t>
        </is>
      </c>
      <c r="Q50" s="69" t="inlineStr">
        <is>
          <t>3D关卡;预览;灯光;战斗;QA</t>
        </is>
      </c>
      <c r="R50" s="69">
        <f>LOWER(TRIM(C50)&amp;"|"&amp;TRIM(D50)&amp;"|"&amp;TRIM(E50)&amp;"|"&amp;TRIM(F50)&amp;"|"&amp;TRIM(H50)&amp;"|"&amp;TRIM(I50))</f>
        <v/>
      </c>
      <c r="S50" s="69">
        <f>IF(COUNTIF($R$6:$R$239,R50)&gt;1,"重复","唯一")</f>
        <v/>
      </c>
      <c r="T50" s="69" t="inlineStr">
        <is>
          <t>3b2c2212f1283ed366a31dc3a101b3555c78768c3906600eb0b18c74423fb247</t>
        </is>
      </c>
      <c r="U50" s="69" t="inlineStr">
        <is>
          <t>Codex</t>
        </is>
      </c>
      <c r="V50" s="78" t="n">
        <v>46264</v>
      </c>
      <c r="W50" s="69" t="inlineStr">
        <is>
          <t>项目运行截图</t>
        </is>
      </c>
      <c r="X50" s="75" t="inlineStr">
        <is>
          <t>—</t>
        </is>
      </c>
      <c r="Y50" s="69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>
      <c r="A51" s="69" t="inlineStr">
        <is>
          <t>ENV-TRAINING-RANGE-3D-PREVIEW</t>
        </is>
      </c>
      <c r="B51" s="69" t="inlineStr">
        <is>
          <t>3D训练靶场验收预览</t>
        </is>
      </c>
      <c r="C51" s="69" t="inlineStr">
        <is>
          <t>场景</t>
        </is>
      </c>
      <c r="D51" s="69" t="inlineStr">
        <is>
          <t>review_board</t>
        </is>
      </c>
      <c r="E51" s="69" t="inlineStr">
        <is>
          <t>training_range</t>
        </is>
      </c>
      <c r="F51" s="69" t="inlineStr">
        <is>
          <t>preview_3d</t>
        </is>
      </c>
      <c r="G51" s="69" t="inlineStr">
        <is>
          <t>ENV-TRAINING-RANGE-KIT-3D</t>
        </is>
      </c>
      <c r="H51" s="69" t="inlineStr">
        <is>
          <t>俯视3D</t>
        </is>
      </c>
      <c r="I51" s="69" t="inlineStr">
        <is>
          <t>default</t>
        </is>
      </c>
      <c r="J51" s="69" t="inlineStr">
        <is>
          <t>评审与资产QA</t>
        </is>
      </c>
      <c r="K51" s="69" t="inlineStr">
        <is>
          <t>已完成</t>
        </is>
      </c>
      <c r="L51" s="69" t="inlineStr">
        <is>
          <t>P1</t>
        </is>
      </c>
      <c r="M51" s="69" t="inlineStr">
        <is>
          <t>v001</t>
        </is>
      </c>
      <c r="N51" s="69" t="inlineStr">
        <is>
          <t>1280×720 PNG</t>
        </is>
      </c>
      <c r="O51" s="69" t="inlineStr">
        <is>
          <t>assets/art/environments/training_range_3d/env_training_range_preview_top3d_v001.png</t>
        </is>
      </c>
      <c r="P51" s="69" t="inlineStr">
        <is>
          <t>tests/verification/verify_training_range_3d_visual.tscn</t>
        </is>
      </c>
      <c r="Q51" s="69" t="inlineStr">
        <is>
          <t>3D靶场;预览;射击道;目标;QA</t>
        </is>
      </c>
      <c r="R51" s="69">
        <f>LOWER(TRIM(C51)&amp;"|"&amp;TRIM(D51)&amp;"|"&amp;TRIM(E51)&amp;"|"&amp;TRIM(F51)&amp;"|"&amp;TRIM(H51)&amp;"|"&amp;TRIM(I51))</f>
        <v/>
      </c>
      <c r="S51" s="69">
        <f>IF(COUNTIF($R$6:$R$239,R51)&gt;1,"重复","唯一")</f>
        <v/>
      </c>
      <c r="T51" s="69" t="inlineStr">
        <is>
          <t>51b63097607e69009e9b2e5ed9315b3c642cdc05e823a2fee547cb0bb1ad8377</t>
        </is>
      </c>
      <c r="U51" s="69" t="inlineStr">
        <is>
          <t>Codex</t>
        </is>
      </c>
      <c r="V51" s="78" t="n">
        <v>46224</v>
      </c>
      <c r="W51" s="69" t="inlineStr">
        <is>
          <t>项目运行截图</t>
        </is>
      </c>
      <c r="X51" s="75" t="inlineStr">
        <is>
          <t>—</t>
        </is>
      </c>
      <c r="Y51" s="69" t="inlineStr">
        <is>
          <t>真实GPU窗口检查三条射击道、三类靶、枪弹组合区与灯光</t>
        </is>
      </c>
    </row>
    <row r="52">
      <c r="A52" s="76" t="inlineStr">
        <is>
          <t>PRP-ROOM-LIGHT-SWITCH-3D</t>
        </is>
      </c>
      <c r="B52" s="76" t="inlineStr">
        <is>
          <t>房间中央灯墙面开关3D</t>
        </is>
      </c>
      <c r="C52" s="76" t="inlineStr">
        <is>
          <t>场景道具</t>
        </is>
      </c>
      <c r="D52" s="76" t="inlineStr">
        <is>
          <t>facility</t>
        </is>
      </c>
      <c r="E52" s="76" t="inlineStr">
        <is>
          <t>room_light_switch</t>
        </is>
      </c>
      <c r="F52" s="76" t="inlineStr">
        <is>
          <t>root_3d</t>
        </is>
      </c>
      <c r="G52" s="76" t="inlineStr">
        <is>
          <t>ENV-DUNGEON-RUNTIME-3D</t>
        </is>
      </c>
      <c r="H52" s="76" t="inlineStr">
        <is>
          <t>俯视3D</t>
        </is>
      </c>
      <c r="I52" s="76" t="inlineStr">
        <is>
          <t>default</t>
        </is>
      </c>
      <c r="J52" s="76" t="inlineStr">
        <is>
          <t>随机关卡房间/四主题复用</t>
        </is>
      </c>
      <c r="K52" s="76" t="inlineStr">
        <is>
          <t>原型已接入</t>
        </is>
      </c>
      <c r="L52" s="76" t="inlineStr">
        <is>
          <t>P0</t>
        </is>
      </c>
      <c r="M52" s="76" t="inlineStr">
        <is>
          <t>v001</t>
        </is>
      </c>
      <c r="N52" s="76" t="inlineStr">
        <is>
          <t>PackedScene/Area3D</t>
        </is>
      </c>
      <c r="O52" s="76" t="inlineStr">
        <is>
          <t>assets/art/props/dungeon_3d/prp_room_light_switch_root_top3d_v001.tscn</t>
        </is>
      </c>
      <c r="P52" s="76" t="inlineStr">
        <is>
          <t>src/world3d/RoomLightSwitch3D.gd</t>
        </is>
      </c>
      <c r="Q52" s="76" t="inlineStr">
        <is>
          <t>房灯开关;墙面交互;中央顶灯;E键</t>
        </is>
      </c>
      <c r="R52" s="76">
        <f>LOWER(TRIM(C52)&amp;"|"&amp;TRIM(D52)&amp;"|"&amp;TRIM(E52)&amp;"|"&amp;TRIM(F52)&amp;"|"&amp;TRIM(H52)&amp;"|"&amp;TRIM(I52))</f>
        <v/>
      </c>
      <c r="S52" s="76">
        <f>IF(COUNTIF($R$6:$R$239,R52)&gt;1,"重复","唯一")</f>
        <v/>
      </c>
      <c r="T52" s="76" t="inlineStr">
        <is>
          <t>56accc731cf04c9d11aaa105e3012f5e4aeecc34f96616dd8a20de5929929555</t>
        </is>
      </c>
      <c r="U52" s="76" t="inlineStr">
        <is>
          <t>Codex</t>
        </is>
      </c>
      <c r="V52" s="77" t="n">
        <v>46237</v>
      </c>
      <c r="W52" s="76" t="inlineStr">
        <is>
          <t>原创程序几何</t>
        </is>
      </c>
      <c r="X52" s="75" t="inlineStr">
        <is>
          <t>—</t>
        </is>
      </c>
      <c r="Y52" s="7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>
      <c r="A53" s="76" t="inlineStr">
        <is>
          <t>ENV-TOWER-DESCENT-KIT-3D</t>
        </is>
      </c>
      <c r="B53" s="76" t="inlineStr">
        <is>
          <t>局内关卡01-顶部数据库</t>
        </is>
      </c>
      <c r="C53" s="76" t="inlineStr">
        <is>
          <t>场景</t>
        </is>
      </c>
      <c r="D53" s="76" t="inlineStr">
        <is>
          <t>room_kit</t>
        </is>
      </c>
      <c r="E53" s="76" t="inlineStr">
        <is>
          <t>tower_descent</t>
        </is>
      </c>
      <c r="F53" s="76" t="inlineStr">
        <is>
          <t>root_3d</t>
        </is>
      </c>
      <c r="G53" s="76" t="inlineStr">
        <is>
          <t>ENV-DUNGEON-RUNTIME-3D</t>
        </is>
      </c>
      <c r="H53" s="76" t="inlineStr">
        <is>
          <t>俯视3D</t>
        </is>
      </c>
      <c r="I53" s="76" t="inlineStr">
        <is>
          <t>godot_runtime</t>
        </is>
      </c>
      <c r="J53" s="76" t="inlineStr">
        <is>
          <t>程序占位</t>
        </is>
      </c>
      <c r="K53" s="76" t="inlineStr">
        <is>
          <t>程序占位</t>
        </is>
      </c>
      <c r="L53" s="76" t="inlineStr">
        <is>
          <t>P0</t>
        </is>
      </c>
      <c r="M53" s="76" t="inlineStr">
        <is>
          <t>v002</t>
        </is>
      </c>
      <c r="N53" s="76" t="inlineStr">
        <is>
          <t>98–95F白盒区块；稳定编号=局内关卡01；可变设定名=顶部数据库</t>
        </is>
      </c>
      <c r="O53" s="76" t="inlineStr">
        <is>
          <t>scenes/TowerDescent3D.tscn</t>
        </is>
      </c>
      <c r="P53" s="7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76" t="inlineStr">
        <is>
          <t>局内关卡01;顶部数据库;98到95;Battle;首个Boss区段;白盒</t>
        </is>
      </c>
      <c r="R53" s="76">
        <f>LOWER(TRIM(C53)&amp;"|"&amp;TRIM(D53)&amp;"|"&amp;TRIM(E53)&amp;"|"&amp;TRIM(F53)&amp;"|"&amp;TRIM(H53)&amp;"|"&amp;TRIM(I53))</f>
        <v/>
      </c>
      <c r="S53" s="76">
        <f>IF(COUNTIF($R$6:$R$239,R53)&gt;1,"重复","唯一")</f>
        <v/>
      </c>
      <c r="T53" s="76" t="inlineStr">
        <is>
          <t>374967bf92d12e54e390a3d8ec6b5c29f6444f63f8302e1a1aeed022f777d14e</t>
        </is>
      </c>
      <c r="U53" s="76" t="inlineStr">
        <is>
          <t>Codex</t>
        </is>
      </c>
      <c r="V53" s="77" t="n">
        <v>46279</v>
      </c>
      <c r="W53" s="77" t="inlineStr">
        <is>
          <t>程序生成 Blender 源集合</t>
        </is>
      </c>
      <c r="X53" s="7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76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>
      <c r="A54" s="76" t="inlineStr">
        <is>
          <t>ENV-TOWER-FLOOR-TILE-5M</t>
        </is>
      </c>
      <c r="B54" s="76" t="inlineStr">
        <is>
          <t>塔楼5米地砖模块</t>
        </is>
      </c>
      <c r="C54" s="76" t="inlineStr">
        <is>
          <t>场景</t>
        </is>
      </c>
      <c r="D54" s="76" t="inlineStr">
        <is>
          <t>room_kit</t>
        </is>
      </c>
      <c r="E54" s="76" t="inlineStr">
        <is>
          <t>tower_descent</t>
        </is>
      </c>
      <c r="F54" s="76" t="inlineStr">
        <is>
          <t>floor_tile_5m</t>
        </is>
      </c>
      <c r="G54" s="76" t="inlineStr">
        <is>
          <t>ENV-TOWER-DESCENT-KIT-3D</t>
        </is>
      </c>
      <c r="H54" s="76" t="inlineStr">
        <is>
          <t>俯视3D</t>
        </is>
      </c>
      <c r="I54" s="76" t="inlineStr">
        <is>
          <t>godot_runtime</t>
        </is>
      </c>
      <c r="J54" s="76" t="inlineStr">
        <is>
          <t>100F天台与98F楼板；旧v001保留其他楼层与交通模块</t>
        </is>
      </c>
      <c r="K54" s="76" t="inlineStr">
        <is>
          <t>已完成</t>
        </is>
      </c>
      <c r="L54" s="76" t="inlineStr">
        <is>
          <t>P0</t>
        </is>
      </c>
      <c r="M54" s="76" t="inlineStr">
        <is>
          <t>v002</t>
        </is>
      </c>
      <c r="N54" s="76" t="inlineStr">
        <is>
          <t>5×5×0.3005m；716三角面；2材质；共享MultiMesh；承重面不变</t>
        </is>
      </c>
      <c r="O54" s="76" t="inlineStr">
        <is>
          <t>assets/art/environments/tower_descent_3d/runtime/floor_tile_5m/env_tower_floor_tile_5m_root_top3d_v002.tscn</t>
        </is>
      </c>
      <c r="P54" s="76" t="inlineStr">
        <is>
          <t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t>
        </is>
      </c>
      <c r="Q54" s="76" t="inlineStr">
        <is>
          <t>塔楼;地砖;楼板;5米;模块化;平铺;四向接口</t>
        </is>
      </c>
      <c r="R54" s="76">
        <f>LOWER(TRIM(C54)&amp;"|"&amp;TRIM(D54)&amp;"|"&amp;TRIM(E54)&amp;"|"&amp;TRIM(F54)&amp;"|"&amp;TRIM(H54)&amp;"|"&amp;TRIM(I54))</f>
        <v/>
      </c>
      <c r="S54" s="76">
        <f>IF(COUNTIF($R$6:$R$239,R54)&gt;1,"重复","唯一")</f>
        <v/>
      </c>
      <c r="T54" s="76" t="inlineStr">
        <is>
          <t>0678524ecdbca8efc085fa4bb65535c63aacc3397fcda0a85542236b1137d185</t>
        </is>
      </c>
      <c r="U54" s="76" t="inlineStr">
        <is>
          <t>Codex</t>
        </is>
      </c>
      <c r="V54" s="77" t="n">
        <v>46271</v>
      </c>
      <c r="W54" s="76" t="inlineStr">
        <is>
          <t>程序生成Blender源集合</t>
        </is>
      </c>
      <c r="X54" s="75" t="inlineStr">
        <is>
          <t>—</t>
        </is>
      </c>
      <c r="Y54" s="7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t>
        </is>
      </c>
    </row>
    <row r="55">
      <c r="A55" s="76" t="inlineStr">
        <is>
          <t>ENV-TOWER-WALL-SOLID-5M</t>
        </is>
      </c>
      <c r="B55" s="76" t="inlineStr">
        <is>
          <t>塔楼5米满高实墙模块</t>
        </is>
      </c>
      <c r="C55" s="76" t="inlineStr">
        <is>
          <t>场景</t>
        </is>
      </c>
      <c r="D55" s="76" t="inlineStr">
        <is>
          <t>room_kit</t>
        </is>
      </c>
      <c r="E55" s="76" t="inlineStr">
        <is>
          <t>tower_descent</t>
        </is>
      </c>
      <c r="F55" s="76" t="inlineStr">
        <is>
          <t>wall_solid_5m</t>
        </is>
      </c>
      <c r="G55" s="76" t="inlineStr">
        <is>
          <t>ENV-TOWER-DESCENT-KIT-3D</t>
        </is>
      </c>
      <c r="H55" s="76" t="inlineStr">
        <is>
          <t>俯视3D</t>
        </is>
      </c>
      <c r="I55" s="76" t="inlineStr">
        <is>
          <t>godot_runtime</t>
        </is>
      </c>
      <c r="J55" s="76" t="inlineStr">
        <is>
          <t>整层外墙/65m核心/探索房内墙/5m正交走廊</t>
        </is>
      </c>
      <c r="K55" s="76" t="inlineStr">
        <is>
          <t>原型已接入</t>
        </is>
      </c>
      <c r="L55" s="76" t="inlineStr">
        <is>
          <t>P0</t>
        </is>
      </c>
      <c r="M55" s="76" t="inlineStr">
        <is>
          <t>v004</t>
        </is>
      </c>
      <c r="N55" s="76" t="inlineStr">
        <is>
          <t>GLB / 可视包络 5×11.9×0.4675m（结构阻挡 0.30m）/ 12m逻辑碰撞 / 共享Mesh / 可旋转</t>
        </is>
      </c>
      <c r="O55" s="76" t="inlineStr">
        <is>
          <t>assets/art/environments/tower_descent_3d/components/env_tower_wall_solid_5m_top3d.glb</t>
        </is>
      </c>
      <c r="P55" s="7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76" t="inlineStr">
        <is>
          <t>塔楼;实墙;满高墙;5米;12米逻辑墙;11.9米可见墙;模块化</t>
        </is>
      </c>
      <c r="R55" s="76">
        <f>LOWER(TRIM(C55)&amp;"|"&amp;TRIM(D55)&amp;"|"&amp;TRIM(E55)&amp;"|"&amp;TRIM(F55)&amp;"|"&amp;TRIM(H55)&amp;"|"&amp;TRIM(I55))</f>
        <v/>
      </c>
      <c r="S55" s="76">
        <f>IF(COUNTIF($R$6:$R$239,R55)&gt;1,"重复","唯一")</f>
        <v/>
      </c>
      <c r="T55" s="76" t="inlineStr">
        <is>
          <t>0bca134eef74148f0df444d72afff769974863cab6fec4ca885b773186649fb9</t>
        </is>
      </c>
      <c r="U55" s="76" t="inlineStr">
        <is>
          <t>Codex</t>
        </is>
      </c>
      <c r="V55" s="77" t="n">
        <v>46284</v>
      </c>
      <c r="W55" s="76" t="inlineStr">
        <is>
          <t>Blender 派生（自 v007 通用实墙组件）</t>
        </is>
      </c>
      <c r="X55" s="75" t="inlineStr">
        <is>
          <t>—</t>
        </is>
      </c>
      <c r="Y55" s="7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>
      <c r="A56" s="76" t="inlineStr">
        <is>
          <t>ENV-TOWER-WALL-PARAPET-5M</t>
        </is>
      </c>
      <c r="B56" s="76" t="inlineStr">
        <is>
          <t>塔楼5米楼顶女儿墙模块</t>
        </is>
      </c>
      <c r="C56" s="76" t="inlineStr">
        <is>
          <t>场景</t>
        </is>
      </c>
      <c r="D56" s="76" t="inlineStr">
        <is>
          <t>room_kit</t>
        </is>
      </c>
      <c r="E56" s="76" t="inlineStr">
        <is>
          <t>tower_descent</t>
        </is>
      </c>
      <c r="F56" s="76" t="inlineStr">
        <is>
          <t>wall_parapet_5m</t>
        </is>
      </c>
      <c r="G56" s="76" t="inlineStr">
        <is>
          <t>ENV-TOWER-DESCENT-KIT-3D</t>
        </is>
      </c>
      <c r="H56" s="76" t="inlineStr">
        <is>
          <t>俯视3D</t>
        </is>
      </c>
      <c r="I56" s="76" t="inlineStr">
        <is>
          <t>godot_runtime</t>
        </is>
      </c>
      <c r="J56" s="76" t="inlineStr">
        <is>
          <t>335m楼顶四周边界/268段MultiMesh围栏</t>
        </is>
      </c>
      <c r="K56" s="76" t="inlineStr">
        <is>
          <t>原型已接入</t>
        </is>
      </c>
      <c r="L56" s="76" t="inlineStr">
        <is>
          <t>P1</t>
        </is>
      </c>
      <c r="M56" s="76" t="inlineStr">
        <is>
          <t>v001</t>
        </is>
      </c>
      <c r="N56" s="76" t="inlineStr">
        <is>
          <t>GLB / 5×0.30×1.50m / 共享Mesh</t>
        </is>
      </c>
      <c r="O56" s="76" t="inlineStr">
        <is>
          <t>assets/art/environments/tower_descent_3d/components/env_tower_wall_parapet_5m_top3d_v001.glb</t>
        </is>
      </c>
      <c r="P56" s="76" t="inlineStr">
        <is>
          <t>Blender集合=10C_MOD_WALL_PARAPET_5M_U01; export_env_tower_5m_modules_v001.py; TowerFloorStage3D.gd; tests/verification/verify_tower_descent_visual.tscn</t>
        </is>
      </c>
      <c r="Q56" s="76" t="inlineStr">
        <is>
          <t>塔楼;女儿墙;护栏;5米;模块化;楼顶边界</t>
        </is>
      </c>
      <c r="R56" s="76">
        <f>LOWER(TRIM(C56)&amp;"|"&amp;TRIM(D56)&amp;"|"&amp;TRIM(E56)&amp;"|"&amp;TRIM(F56)&amp;"|"&amp;TRIM(H56)&amp;"|"&amp;TRIM(I56))</f>
        <v/>
      </c>
      <c r="S56" s="76">
        <f>IF(COUNTIF($R$6:$R$239,R56)&gt;1,"重复","唯一")</f>
        <v/>
      </c>
      <c r="T56" s="76" t="inlineStr">
        <is>
          <t>44fdb663487a9bf010d8fa249a2f9811843409c35d9f7ce8d09c48f7de7bf808</t>
        </is>
      </c>
      <c r="U56" s="76" t="inlineStr">
        <is>
          <t>Codex</t>
        </is>
      </c>
      <c r="V56" s="77" t="n">
        <v>46233</v>
      </c>
      <c r="W56" s="76" t="inlineStr">
        <is>
          <t>程序生成Blender源集合</t>
        </is>
      </c>
      <c r="X56" s="75" t="inlineStr">
        <is>
          <t>—</t>
        </is>
      </c>
      <c r="Y56" s="7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>
      <c r="A57" s="76" t="inlineStr">
        <is>
          <t>ENV-TOWER-WALL-DOOR-5M</t>
        </is>
      </c>
      <c r="B57" s="76" t="inlineStr">
        <is>
          <t>塔楼5米带门墙模块</t>
        </is>
      </c>
      <c r="C57" s="76" t="inlineStr">
        <is>
          <t>场景</t>
        </is>
      </c>
      <c r="D57" s="76" t="inlineStr">
        <is>
          <t>room_kit</t>
        </is>
      </c>
      <c r="E57" s="76" t="inlineStr">
        <is>
          <t>tower_descent</t>
        </is>
      </c>
      <c r="F57" s="76" t="inlineStr">
        <is>
          <t>wall_door_5m</t>
        </is>
      </c>
      <c r="G57" s="76" t="inlineStr">
        <is>
          <t>ENV-TOWER-DESCENT-KIT-3D</t>
        </is>
      </c>
      <c r="H57" s="76" t="inlineStr">
        <is>
          <t>俯视3D</t>
        </is>
      </c>
      <c r="I57" s="76" t="inlineStr">
        <is>
          <t>godot_runtime</t>
        </is>
      </c>
      <c r="J57" s="76" t="inlineStr">
        <is>
          <t>5m墙位/2.2m净宽/2.5m净高/独立门扇</t>
        </is>
      </c>
      <c r="K57" s="76" t="inlineStr">
        <is>
          <t>原型已接入</t>
        </is>
      </c>
      <c r="L57" s="76" t="inlineStr">
        <is>
          <t>P0</t>
        </is>
      </c>
      <c r="M57" s="76" t="inlineStr">
        <is>
          <t>v005</t>
        </is>
      </c>
      <c r="N57" s="76" t="inlineStr">
        <is>
          <t>GLB / 可视包络 5×11.9×0.683m（双面装饰，两侧各前凸 0.3415；结构阻挡 0.30m）/ 门洞净空 2.2×2.5m / 12m逻辑碰撞 / 共享Mesh / 可旋转</t>
        </is>
      </c>
      <c r="O57" s="76" t="inlineStr">
        <is>
          <t>assets/art/environments/tower_descent_3d/components/env_tower_wall_door_5m_top3d.glb</t>
        </is>
      </c>
      <c r="P57" s="7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76" t="inlineStr">
        <is>
          <t>塔楼;门;门洞;5米;模块化;肉鸽触发;独立门扇</t>
        </is>
      </c>
      <c r="R57" s="76">
        <f>LOWER(TRIM(C57)&amp;"|"&amp;TRIM(D57)&amp;"|"&amp;TRIM(E57)&amp;"|"&amp;TRIM(F57)&amp;"|"&amp;TRIM(H57)&amp;"|"&amp;TRIM(I57))</f>
        <v/>
      </c>
      <c r="S57" s="76">
        <f>IF(COUNTIF($R$6:$R$239,R57)&gt;1,"重复","唯一")</f>
        <v/>
      </c>
      <c r="T57" s="76" t="inlineStr">
        <is>
          <t>473a2d18971202580e37823da026f53528774b527a307b05517a45aaf73cb8e0</t>
        </is>
      </c>
      <c r="U57" s="76" t="inlineStr">
        <is>
          <t>Codex</t>
        </is>
      </c>
      <c r="V57" s="77" t="n">
        <v>46277</v>
      </c>
      <c r="W57" s="76" t="inlineStr">
        <is>
          <t>Blender 派生（自 v007 通用门墙组件，v005 双面）</t>
        </is>
      </c>
      <c r="X57" s="75" t="inlineStr">
        <is>
          <t>—</t>
        </is>
      </c>
      <c r="Y57" s="7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>
      <c r="A58" s="76" t="inlineStr">
        <is>
          <t>ENV-TOWER-STAIRWELL-GENERIC-12M</t>
        </is>
      </c>
      <c r="B58" s="76" t="inlineStr">
        <is>
          <t>楼梯B（99→98通用）</t>
        </is>
      </c>
      <c r="C58" s="76" t="inlineStr">
        <is>
          <t>场景</t>
        </is>
      </c>
      <c r="D58" s="76" t="inlineStr">
        <is>
          <t>room_kit</t>
        </is>
      </c>
      <c r="E58" s="76" t="inlineStr">
        <is>
          <t>stairwell_generic_12m</t>
        </is>
      </c>
      <c r="F58" s="76" t="inlineStr">
        <is>
          <t>stairwell_generic_12m</t>
        </is>
      </c>
      <c r="G58" s="76" t="inlineStr">
        <is>
          <t>ENV-TOWER-DESCENT-KIT-3D</t>
        </is>
      </c>
      <c r="H58" s="76" t="inlineStr">
        <is>
          <t>俯视3D</t>
        </is>
      </c>
      <c r="I58" s="76" t="inlineStr">
        <is>
          <t>godot_runtime</t>
        </is>
      </c>
      <c r="J58" s="76" t="inlineStr">
        <is>
          <t>正式美术已接入</t>
        </is>
      </c>
      <c r="K58" s="76" t="inlineStr">
        <is>
          <t>正式美术已接入</t>
        </is>
      </c>
      <c r="L58" s="76" t="inlineStr">
        <is>
          <t>P0</t>
        </is>
      </c>
      <c r="M58" s="76" t="inlineStr">
        <is>
          <t>v002</t>
        </is>
      </c>
      <c r="N58" s="76" t="inlineStr">
        <is>
          <t>Blender v021；GLB/PackedScene v002；15×30m占地；12m层差；共享色盘；3网格运行优化；1个Walkable与1个EnclosureWall碰撞源</t>
        </is>
      </c>
      <c r="O58" s="76" t="inlineStr">
        <is>
          <t>assets/art/environments/tower_descent_3d/components/env_tower_stairwell_generic_12m_top3d_v002.glb</t>
        </is>
      </c>
      <c r="P58" s="7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76" t="inlineStr">
        <is>
          <t>楼梯B;Stair_B;通用楼梯;99到98;12米层高;Blender直出</t>
        </is>
      </c>
      <c r="R58" s="76">
        <f>LOWER(TRIM(C58)&amp;"|"&amp;TRIM(D58)&amp;"|"&amp;TRIM(E58)&amp;"|"&amp;TRIM(F58)&amp;"|"&amp;TRIM(H58)&amp;"|"&amp;TRIM(I58))</f>
        <v/>
      </c>
      <c r="S58" s="76">
        <f>IF(COUNTIF($R$6:$R$239,R58)&gt;1,"重复","唯一")</f>
        <v/>
      </c>
      <c r="T58" s="76" t="inlineStr">
        <is>
          <t>1865f6e89650640f12e1234b547f726d983c94fce215e74027f7489b43fd33dd</t>
        </is>
      </c>
      <c r="U58" s="76" t="inlineStr">
        <is>
          <t>Codex</t>
        </is>
      </c>
      <c r="V58" s="77" t="n">
        <v>46279</v>
      </c>
      <c r="W58" s="76" t="inlineStr">
        <is>
          <t>用户手工Blender模型</t>
        </is>
      </c>
      <c r="X58" s="75" t="inlineStr">
        <is>
          <t>—</t>
        </is>
      </c>
      <c r="Y58" s="7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>
      <c r="A59" s="76" t="inlineStr">
        <is>
          <t>ENV-TOWER-STAIRWELL-ROOFTOP-12M</t>
        </is>
      </c>
      <c r="B59" s="76" t="inlineStr">
        <is>
          <t>楼梯A（100→99天台）</t>
        </is>
      </c>
      <c r="C59" s="76" t="inlineStr">
        <is>
          <t>场景</t>
        </is>
      </c>
      <c r="D59" s="76" t="inlineStr">
        <is>
          <t>room_kit</t>
        </is>
      </c>
      <c r="E59" s="76" t="inlineStr">
        <is>
          <t>stairwell_rooftop_12m</t>
        </is>
      </c>
      <c r="F59" s="76" t="inlineStr">
        <is>
          <t>stairwell_rooftop_12m</t>
        </is>
      </c>
      <c r="G59" s="76" t="inlineStr">
        <is>
          <t>ENV-TOWER-DESCENT-KIT-3D</t>
        </is>
      </c>
      <c r="H59" s="76" t="inlineStr">
        <is>
          <t>俯视3D</t>
        </is>
      </c>
      <c r="I59" s="76" t="inlineStr">
        <is>
          <t>godot_runtime</t>
        </is>
      </c>
      <c r="J59" s="76" t="inlineStr">
        <is>
          <t>正式美术已接入</t>
        </is>
      </c>
      <c r="K59" s="76" t="inlineStr">
        <is>
          <t>正式美术已接入</t>
        </is>
      </c>
      <c r="L59" s="76" t="inlineStr">
        <is>
          <t>P0</t>
        </is>
      </c>
      <c r="M59" s="76" t="inlineStr">
        <is>
          <t>v002</t>
        </is>
      </c>
      <c r="N59" s="76" t="inlineStr">
        <is>
          <t>Blender v021；GLB/PackedScene v002；15×30m占地；12m层差；共享色盘；3网格运行优化；1个Walkable与1个EnclosureWall碰撞源</t>
        </is>
      </c>
      <c r="O59" s="76" t="inlineStr">
        <is>
          <t>assets/art/environments/tower_descent_3d/components/env_tower_stairwell_rooftop_12m_top3d_v002.glb</t>
        </is>
      </c>
      <c r="P59" s="7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76" t="inlineStr">
        <is>
          <t>楼梯A;Stair_A;天台楼梯;100到99;12米层高;Blender直出</t>
        </is>
      </c>
      <c r="R59" s="76">
        <f>LOWER(TRIM(C59)&amp;"|"&amp;TRIM(D59)&amp;"|"&amp;TRIM(E59)&amp;"|"&amp;TRIM(F59)&amp;"|"&amp;TRIM(H59)&amp;"|"&amp;TRIM(I59))</f>
        <v/>
      </c>
      <c r="S59" s="76">
        <f>IF(COUNTIF($R$6:$R$239,R59)&gt;1,"重复","唯一")</f>
        <v/>
      </c>
      <c r="T59" s="76" t="inlineStr">
        <is>
          <t>ab0d7e543ab36d5798d0cfa35c9eb824ae9a53edda3cd8b1a4ab090708ecffdf</t>
        </is>
      </c>
      <c r="U59" s="76" t="inlineStr">
        <is>
          <t>Codex</t>
        </is>
      </c>
      <c r="V59" s="77" t="n">
        <v>46279</v>
      </c>
      <c r="W59" s="76" t="inlineStr">
        <is>
          <t>用户手工Blender模型</t>
        </is>
      </c>
      <c r="X59" s="75" t="inlineStr">
        <is>
          <t>—</t>
        </is>
      </c>
      <c r="Y59" s="7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>
      <c r="A60" s="69" t="inlineStr">
        <is>
          <t>ENV-BOSS-ARENA-ARCHIVE-95</t>
        </is>
      </c>
      <c r="B60" s="69" t="inlineStr">
        <is>
          <t>档案回廊竞技场组件</t>
        </is>
      </c>
      <c r="C60" s="69" t="inlineStr">
        <is>
          <t>场景</t>
        </is>
      </c>
      <c r="D60" s="69" t="inlineStr">
        <is>
          <t>boss_arena</t>
        </is>
      </c>
      <c r="E60" s="69" t="inlineStr">
        <is>
          <t>arena_archive_95</t>
        </is>
      </c>
      <c r="F60" s="69" t="inlineStr">
        <is>
          <t>dressing</t>
        </is>
      </c>
      <c r="G60" s="69" t="inlineStr"/>
      <c r="H60" s="69" t="inlineStr">
        <is>
          <t>Top3D</t>
        </is>
      </c>
      <c r="I60" s="69" t="inlineStr">
        <is>
          <t>default / 高模流式</t>
        </is>
      </c>
      <c r="J60" s="69" t="inlineStr">
        <is>
          <t>95层Boss场地</t>
        </is>
      </c>
      <c r="K60" s="69" t="inlineStr">
        <is>
          <t>已完成</t>
        </is>
      </c>
      <c r="L60" s="69" t="inlineStr">
        <is>
          <t>P0</t>
        </is>
      </c>
      <c r="M60" s="69" t="inlineStr">
        <is>
          <t>v001</t>
        </is>
      </c>
      <c r="N60" s="69" t="inlineStr">
        <is>
          <t>GLB；8组柱体与掩体</t>
        </is>
      </c>
      <c r="O60" s="69" t="inlineStr">
        <is>
          <t>assets/art/environments/boss_arenas_v01/env_boss_arena_archive_95_top3d_v001.glb</t>
        </is>
      </c>
      <c r="P60" s="69" t="inlineStr">
        <is>
          <t>source/art/blender/bosses_v01/env_boss_arena_archive_95_top3d_v001.blend; src/world3d/DungeonRoom3D.gd</t>
        </is>
      </c>
      <c r="Q60" s="69" t="inlineStr">
        <is>
          <t>档案竞技场; 95F; arena; cover</t>
        </is>
      </c>
      <c r="R60" s="69">
        <f>LOWER(TRIM(C60)&amp;"|"&amp;TRIM(D60)&amp;"|"&amp;TRIM(E60)&amp;"|"&amp;TRIM(F60)&amp;"|"&amp;TRIM(H60)&amp;"|"&amp;TRIM(I60))</f>
        <v/>
      </c>
      <c r="S60" s="69">
        <f>IF(COUNTIF($R$6:$R$239,R60)&gt;1,"重复","唯一")</f>
        <v/>
      </c>
      <c r="T60" s="69" t="inlineStr">
        <is>
          <t>ff10424d3c6898385aad9eaf0de32b644eb282a567b36aa422c4dd9decff7d69</t>
        </is>
      </c>
      <c r="U60" s="69" t="inlineStr">
        <is>
          <t>Codex</t>
        </is>
      </c>
      <c r="V60" s="69" t="n">
        <v>46247</v>
      </c>
      <c r="W60" s="69" t="inlineStr">
        <is>
          <t>原创程序建模</t>
        </is>
      </c>
      <c r="X60" s="75" t="inlineStr">
        <is>
          <t>—</t>
        </is>
      </c>
      <c r="Y60" s="69" t="inlineStr">
        <is>
          <t>高模装饰可流式；对应8组碰撞掩体。永久楼板/关卡墙/外墙不隐藏。
2026-08-30 AST-01规范化（原制作状态：正式美术已接入）</t>
        </is>
      </c>
    </row>
    <row r="61">
      <c r="A61" s="69" t="inlineStr">
        <is>
          <t>ENV-BOSS-ARENA-FURNACE-90</t>
        </is>
      </c>
      <c r="B61" s="69" t="inlineStr">
        <is>
          <t>熔炉竞技场组件</t>
        </is>
      </c>
      <c r="C61" s="69" t="inlineStr">
        <is>
          <t>场景</t>
        </is>
      </c>
      <c r="D61" s="69" t="inlineStr">
        <is>
          <t>boss_arena</t>
        </is>
      </c>
      <c r="E61" s="69" t="inlineStr">
        <is>
          <t>arena_furnace_90</t>
        </is>
      </c>
      <c r="F61" s="69" t="inlineStr">
        <is>
          <t>dressing</t>
        </is>
      </c>
      <c r="G61" s="69" t="inlineStr"/>
      <c r="H61" s="69" t="inlineStr">
        <is>
          <t>Top3D</t>
        </is>
      </c>
      <c r="I61" s="69" t="inlineStr">
        <is>
          <t>default / 高模流式</t>
        </is>
      </c>
      <c r="J61" s="69" t="inlineStr">
        <is>
          <t>90层Boss场地</t>
        </is>
      </c>
      <c r="K61" s="69" t="inlineStr">
        <is>
          <t>已完成</t>
        </is>
      </c>
      <c r="L61" s="69" t="inlineStr">
        <is>
          <t>P0</t>
        </is>
      </c>
      <c r="M61" s="69" t="inlineStr">
        <is>
          <t>v001</t>
        </is>
      </c>
      <c r="N61" s="69" t="inlineStr">
        <is>
          <t>GLB；熔炉核心与6组掩体</t>
        </is>
      </c>
      <c r="O61" s="69" t="inlineStr">
        <is>
          <t>assets/art/environments/boss_arenas_v01/env_boss_arena_furnace_90_top3d_v001.glb</t>
        </is>
      </c>
      <c r="P61" s="69" t="inlineStr">
        <is>
          <t>source/art/blender/bosses_v01/env_boss_arena_furnace_90_top3d_v001.blend; src/world3d/DungeonRoom3D.gd</t>
        </is>
      </c>
      <c r="Q61" s="69" t="inlineStr">
        <is>
          <t>熔炉竞技场; 90F; arena; cover</t>
        </is>
      </c>
      <c r="R61" s="69">
        <f>LOWER(TRIM(C61)&amp;"|"&amp;TRIM(D61)&amp;"|"&amp;TRIM(E61)&amp;"|"&amp;TRIM(F61)&amp;"|"&amp;TRIM(H61)&amp;"|"&amp;TRIM(I61))</f>
        <v/>
      </c>
      <c r="S61" s="69">
        <f>IF(COUNTIF($R$6:$R$239,R61)&gt;1,"重复","唯一")</f>
        <v/>
      </c>
      <c r="T61" s="69" t="inlineStr">
        <is>
          <t>d376fba6190728dc8bf50664f4082b954a077fa96799d68f118ead53cb7aa63c</t>
        </is>
      </c>
      <c r="U61" s="69" t="inlineStr">
        <is>
          <t>Codex</t>
        </is>
      </c>
      <c r="V61" s="69" t="n">
        <v>46247</v>
      </c>
      <c r="W61" s="69" t="inlineStr">
        <is>
          <t>原创程序建模</t>
        </is>
      </c>
      <c r="X61" s="75" t="inlineStr">
        <is>
          <t>—</t>
        </is>
      </c>
      <c r="Y61" s="69" t="inlineStr">
        <is>
          <t>高模装饰可流式；对应6组碰撞掩体。永久楼板/关卡墙/外墙不隐藏。
2026-08-30 AST-01规范化（原制作状态：正式美术已接入）</t>
        </is>
      </c>
    </row>
    <row r="62">
      <c r="A62" s="69" t="inlineStr">
        <is>
          <t>ENV-BOSS-ARENA-CHOIR-85</t>
        </is>
      </c>
      <c r="B62" s="69" t="inlineStr">
        <is>
          <t>共鸣合唱竞技场组件</t>
        </is>
      </c>
      <c r="C62" s="69" t="inlineStr">
        <is>
          <t>场景</t>
        </is>
      </c>
      <c r="D62" s="69" t="inlineStr">
        <is>
          <t>boss_arena</t>
        </is>
      </c>
      <c r="E62" s="69" t="inlineStr">
        <is>
          <t>arena_choir_85</t>
        </is>
      </c>
      <c r="F62" s="69" t="inlineStr">
        <is>
          <t>dressing</t>
        </is>
      </c>
      <c r="G62" s="69" t="inlineStr"/>
      <c r="H62" s="69" t="inlineStr">
        <is>
          <t>Top3D</t>
        </is>
      </c>
      <c r="I62" s="69" t="inlineStr">
        <is>
          <t>default / 高模流式</t>
        </is>
      </c>
      <c r="J62" s="69" t="inlineStr">
        <is>
          <t>85层Boss场地</t>
        </is>
      </c>
      <c r="K62" s="69" t="inlineStr">
        <is>
          <t>已完成</t>
        </is>
      </c>
      <c r="L62" s="69" t="inlineStr">
        <is>
          <t>P0</t>
        </is>
      </c>
      <c r="M62" s="69" t="inlineStr">
        <is>
          <t>v001</t>
        </is>
      </c>
      <c r="N62" s="69" t="inlineStr">
        <is>
          <t>GLB；共鸣环与5组掩体</t>
        </is>
      </c>
      <c r="O62" s="69" t="inlineStr">
        <is>
          <t>assets/art/environments/boss_arenas_v01/env_boss_arena_choir_85_top3d_v001.glb</t>
        </is>
      </c>
      <c r="P62" s="69" t="inlineStr">
        <is>
          <t>source/art/blender/bosses_v01/env_boss_arena_choir_85_top3d_v001.blend; src/world3d/DungeonRoom3D.gd</t>
        </is>
      </c>
      <c r="Q62" s="69" t="inlineStr">
        <is>
          <t>合唱竞技场; 85F; arena; cover</t>
        </is>
      </c>
      <c r="R62" s="69">
        <f>LOWER(TRIM(C62)&amp;"|"&amp;TRIM(D62)&amp;"|"&amp;TRIM(E62)&amp;"|"&amp;TRIM(F62)&amp;"|"&amp;TRIM(H62)&amp;"|"&amp;TRIM(I62))</f>
        <v/>
      </c>
      <c r="S62" s="69">
        <f>IF(COUNTIF($R$6:$R$239,R62)&gt;1,"重复","唯一")</f>
        <v/>
      </c>
      <c r="T62" s="69" t="inlineStr">
        <is>
          <t>d2aae2a6fd2f091d5cb9c05d103a4512179bdc6ef0e9d77ba5834efc723eba3a</t>
        </is>
      </c>
      <c r="U62" s="69" t="inlineStr">
        <is>
          <t>Codex</t>
        </is>
      </c>
      <c r="V62" s="69" t="n">
        <v>46247</v>
      </c>
      <c r="W62" s="69" t="inlineStr">
        <is>
          <t>原创程序建模</t>
        </is>
      </c>
      <c r="X62" s="75" t="inlineStr">
        <is>
          <t>—</t>
        </is>
      </c>
      <c r="Y62" s="69" t="inlineStr">
        <is>
          <t>高模装饰可流式；对应5组碰撞掩体。永久楼板/关卡墙/外墙不隐藏。
2026-08-30 AST-01规范化（原制作状态：正式美术已接入）</t>
        </is>
      </c>
    </row>
    <row r="63">
      <c r="A63" s="69" t="inlineStr">
        <is>
          <t>ENV-BASE99-MODULAR-KIT-3D</t>
        </is>
      </c>
      <c r="B63" s="69" t="inlineStr">
        <is>
          <t>基地99层模块化房间3D套件</t>
        </is>
      </c>
      <c r="C63" s="69" t="inlineStr">
        <is>
          <t>场景</t>
        </is>
      </c>
      <c r="D63" s="69" t="inlineStr">
        <is>
          <t>environment_kit_3d</t>
        </is>
      </c>
      <c r="E63" s="69" t="inlineStr">
        <is>
          <t>base99_modular_room</t>
        </is>
      </c>
      <c r="F63" s="69" t="inlineStr">
        <is>
          <t>root_3d</t>
        </is>
      </c>
      <c r="G63" s="69" t="inlineStr">
        <is>
          <t>ENV-TOWER-DESCENT-KIT-3D</t>
        </is>
      </c>
      <c r="H63" s="69" t="inlineStr">
        <is>
          <t>Top3D / local -Z 正面</t>
        </is>
      </c>
      <c r="I63" s="69" t="inlineStr">
        <is>
          <t>default / modular</t>
        </is>
      </c>
      <c r="J63" s="69" t="inlineStr">
        <is>
          <t>99层基地专属环境模块</t>
        </is>
      </c>
      <c r="K63" s="69" t="inlineStr">
        <is>
          <t>弃用</t>
        </is>
      </c>
      <c r="L63" s="69" t="inlineStr">
        <is>
          <t>P0</t>
        </is>
      </c>
      <c r="M63" s="69" t="inlineStr">
        <is>
          <t>v001</t>
        </is>
      </c>
      <c r="N63" s="69" t="inlineStr">
        <is>
          <t>5m网格；30×30m房间；9m层高；9个稳定Prefab</t>
        </is>
      </c>
      <c r="O63" s="69" t="inlineStr"/>
      <c r="P63" s="69" t="inlineStr">
        <is>
          <t>聚合目录条目，不属于独立 PackedScene；由布局与 BPK 子项登记</t>
        </is>
      </c>
      <c r="Q63" s="69" t="inlineStr">
        <is>
          <t>基地99层;模块化房间;5米网格;9个Prefab;GLB;PackedScene</t>
        </is>
      </c>
      <c r="R63" s="69">
        <f>LOWER(TRIM(C63)&amp;"|"&amp;TRIM(D63)&amp;"|"&amp;TRIM(E63)&amp;"|"&amp;TRIM(F63)&amp;"|"&amp;TRIM(H63)&amp;"|"&amp;TRIM(I63))</f>
        <v/>
      </c>
      <c r="S63" s="69">
        <f>IF(COUNTIF($R$6:$R$239,R63)&gt;1,"重复","唯一")</f>
        <v/>
      </c>
      <c r="T63" s="69" t="inlineStr"/>
      <c r="U63" s="69" t="inlineStr">
        <is>
          <t>Codex</t>
        </is>
      </c>
      <c r="V63" s="78" t="n">
        <v>46252</v>
      </c>
      <c r="W63" s="69" t="inlineStr">
        <is>
          <t>用户自制Blender资产</t>
        </is>
      </c>
      <c r="X63" s="75" t="inlineStr">
        <is>
          <t>—</t>
        </is>
      </c>
      <c r="Y63" s="69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>
      <c r="A64" s="69" t="inlineStr">
        <is>
          <t>ENV-BASE99-WALL-PLAIN-5X12</t>
        </is>
      </c>
      <c r="B64" s="69" t="inlineStr">
        <is>
          <t>基地99层普通墙体5×12米</t>
        </is>
      </c>
      <c r="C64" s="69" t="inlineStr">
        <is>
          <t>场景</t>
        </is>
      </c>
      <c r="D64" s="69" t="inlineStr">
        <is>
          <t>environment_module_3d</t>
        </is>
      </c>
      <c r="E64" s="69" t="inlineStr">
        <is>
          <t>base99_wall_plain_5x12</t>
        </is>
      </c>
      <c r="F64" s="69" t="inlineStr">
        <is>
          <t>wall_plain</t>
        </is>
      </c>
      <c r="G64" s="69" t="inlineStr">
        <is>
          <t>ENV-BASE99-MODULAR-KIT-3D</t>
        </is>
      </c>
      <c r="H64" s="69" t="inlineStr">
        <is>
          <t>Top3D / local -Z 正面</t>
        </is>
      </c>
      <c r="I64" s="69" t="inlineStr">
        <is>
          <t>default / visual_only</t>
        </is>
      </c>
      <c r="J64" s="69" t="inlineStr">
        <is>
          <t>99层基地模块化结构</t>
        </is>
      </c>
      <c r="K64" s="69" t="inlineStr">
        <is>
          <t>已完成</t>
        </is>
      </c>
      <c r="L64" s="69" t="inlineStr">
        <is>
          <t>P0</t>
        </is>
      </c>
      <c r="M64" s="69" t="inlineStr">
        <is>
          <t>v002</t>
        </is>
      </c>
      <c r="N64" s="69" t="inlineStr">
        <is>
          <t>5×12×0.36m逻辑外廓；11.9m可见墙；底边中心原点；无内置碰撞</t>
        </is>
      </c>
      <c r="O64" s="69" t="inlineStr">
        <is>
          <t>assets/art/environments/base_facility_3d/runtime/env_base99_wall_plain_5x12/env_base99_wall_plain_5x12_root_top3d.tscn</t>
        </is>
      </c>
      <c r="P64" s="69" t="inlineStr">
        <is>
          <t>assets/art/environments/base_facility_3d/source/wall_height12/env_base99_wall_plain_5x12_source_v002.blend; scripts/blender/extend_wall_glb_to_11p9_v001.py; src/world3d/DungeonRoom3D.gd</t>
        </is>
      </c>
      <c r="Q64" s="69" t="inlineStr">
        <is>
          <t>基地99层普通墙体5×12米;base99;11.9米可见墙;PaletteUV</t>
        </is>
      </c>
      <c r="R64" s="69">
        <f>LOWER(TRIM(C64)&amp;"|"&amp;TRIM(D64)&amp;"|"&amp;TRIM(E64)&amp;"|"&amp;TRIM(F64)&amp;"|"&amp;TRIM(H64)&amp;"|"&amp;TRIM(I64))</f>
        <v/>
      </c>
      <c r="S64" s="69">
        <f>IF(COUNTIF($R$6:$R$239,R64)&gt;1,"重复","唯一")</f>
        <v/>
      </c>
      <c r="T64" s="69" t="inlineStr">
        <is>
          <t>a72feebed2a3b80ad1f4accc04030a43f31626f2c117dfb95f6dd2a589e62c21</t>
        </is>
      </c>
      <c r="U64" s="69" t="inlineStr">
        <is>
          <t>Codex</t>
        </is>
      </c>
      <c r="V64" s="78" t="n">
        <v>46277</v>
      </c>
      <c r="W64" s="69" t="inlineStr">
        <is>
          <t>用户自制Blender资产</t>
        </is>
      </c>
      <c r="X64" s="75" t="inlineStr">
        <is>
          <t>—</t>
        </is>
      </c>
      <c r="Y64" s="6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>
      <c r="A65" s="69" t="inlineStr">
        <is>
          <t>ENV-BASE99-WALL-DOOR-5X12</t>
        </is>
      </c>
      <c r="B65" s="69" t="inlineStr">
        <is>
          <t>基地99层带门墙体5×12米</t>
        </is>
      </c>
      <c r="C65" s="69" t="inlineStr">
        <is>
          <t>场景</t>
        </is>
      </c>
      <c r="D65" s="69" t="inlineStr">
        <is>
          <t>environment_module_3d</t>
        </is>
      </c>
      <c r="E65" s="69" t="inlineStr">
        <is>
          <t>base99_wall_door_5x12</t>
        </is>
      </c>
      <c r="F65" s="69" t="inlineStr">
        <is>
          <t>wall_door</t>
        </is>
      </c>
      <c r="G65" s="69" t="inlineStr">
        <is>
          <t>ENV-BASE99-MODULAR-KIT-3D</t>
        </is>
      </c>
      <c r="H65" s="69" t="inlineStr">
        <is>
          <t>Top3D / local -Z 正面</t>
        </is>
      </c>
      <c r="I65" s="69" t="inlineStr">
        <is>
          <t>default / visual_only</t>
        </is>
      </c>
      <c r="J65" s="69" t="inlineStr">
        <is>
          <t>99层基地模块化结构</t>
        </is>
      </c>
      <c r="K65" s="69" t="inlineStr">
        <is>
          <t>已完成</t>
        </is>
      </c>
      <c r="L65" s="69" t="inlineStr">
        <is>
          <t>P0</t>
        </is>
      </c>
      <c r="M65" s="69" t="inlineStr">
        <is>
          <t>v004</t>
        </is>
      </c>
      <c r="N65" s="69" t="inlineStr">
        <is>
          <t>5×12×1.1712m逻辑外廓；11.9m可见墙；2.2×2.5m门洞</t>
        </is>
      </c>
      <c r="O65" s="69" t="inlineStr">
        <is>
          <t>assets/art/environments/base_facility_3d/runtime/env_base99_wall_door_5x12/env_base99_wall_door_5x12_root_top3d.tscn</t>
        </is>
      </c>
      <c r="P65" s="69" t="inlineStr">
        <is>
          <t>assets/art/environments/base_facility_3d/source/wall_height12/env_base99_wall_door_5x12_source_v004.blend; scripts/blender/extend_wall_glb_to_11p9_v001.py; src/world3d/DungeonRoom3D.gd</t>
        </is>
      </c>
      <c r="Q65" s="69" t="inlineStr">
        <is>
          <t>基地99层带门墙体5×12米;base99;11.9米可见墙;2.2×2.5米门洞</t>
        </is>
      </c>
      <c r="R65" s="69">
        <f>LOWER(TRIM(C65)&amp;"|"&amp;TRIM(D65)&amp;"|"&amp;TRIM(E65)&amp;"|"&amp;TRIM(F65)&amp;"|"&amp;TRIM(H65)&amp;"|"&amp;TRIM(I65))</f>
        <v/>
      </c>
      <c r="S65" s="69">
        <f>IF(COUNTIF($R$6:$R$239,R65)&gt;1,"重复","唯一")</f>
        <v/>
      </c>
      <c r="T65" s="69" t="inlineStr">
        <is>
          <t>2699d3870f3c09b7bb0ed973e2665d3b5e16e262ff33f1e6b665c7096dc6c9a7</t>
        </is>
      </c>
      <c r="U65" s="69" t="inlineStr">
        <is>
          <t>Codex</t>
        </is>
      </c>
      <c r="V65" s="78" t="n">
        <v>46277</v>
      </c>
      <c r="W65" s="69" t="inlineStr">
        <is>
          <t>用户自制Blender资产</t>
        </is>
      </c>
      <c r="X65" s="75" t="inlineStr">
        <is>
          <t>—</t>
        </is>
      </c>
      <c r="Y65" s="69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>
      <c r="A66" s="69" t="inlineStr">
        <is>
          <t>ENV-BASE99-FLOOR-PLAIN-5M</t>
        </is>
      </c>
      <c r="B66" s="69" t="inlineStr">
        <is>
          <t>基地99层普通地板5×5米</t>
        </is>
      </c>
      <c r="C66" s="69" t="inlineStr">
        <is>
          <t>场景</t>
        </is>
      </c>
      <c r="D66" s="69" t="inlineStr">
        <is>
          <t>environment_module_3d</t>
        </is>
      </c>
      <c r="E66" s="69" t="inlineStr">
        <is>
          <t>base99_floor_plain_5m</t>
        </is>
      </c>
      <c r="F66" s="69" t="inlineStr">
        <is>
          <t>floor_plain</t>
        </is>
      </c>
      <c r="G66" s="69" t="inlineStr">
        <is>
          <t>ENV-BASE99-MODULAR-KIT-3D</t>
        </is>
      </c>
      <c r="H66" s="69" t="inlineStr">
        <is>
          <t>Top3D / local -Z 正面</t>
        </is>
      </c>
      <c r="I66" s="69" t="inlineStr">
        <is>
          <t>default / visual_only</t>
        </is>
      </c>
      <c r="J66" s="69" t="inlineStr">
        <is>
          <t>99层基地模块化结构</t>
        </is>
      </c>
      <c r="K66" s="69" t="inlineStr">
        <is>
          <t>已完成</t>
        </is>
      </c>
      <c r="L66" s="69" t="inlineStr">
        <is>
          <t>P0</t>
        </is>
      </c>
      <c r="M66" s="69" t="inlineStr">
        <is>
          <t>v001</t>
        </is>
      </c>
      <c r="N66" s="69" t="inlineStr">
        <is>
          <t>5×5×0.30m；平面中心/结构底面原点</t>
        </is>
      </c>
      <c r="O66" s="69" t="inlineStr">
        <is>
          <t>assets/art/environments/base_facility_3d/runtime/env_base99_floor_plain_5m/env_base99_floor_plain_5m_root_top3d.tscn</t>
        </is>
      </c>
      <c r="P6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69" t="inlineStr">
        <is>
          <t>基地99层普通地板5×5米;base99;PaletteUV;cast_and_receive</t>
        </is>
      </c>
      <c r="R66" s="69">
        <f>LOWER(TRIM(C66)&amp;"|"&amp;TRIM(D66)&amp;"|"&amp;TRIM(E66)&amp;"|"&amp;TRIM(F66)&amp;"|"&amp;TRIM(H66)&amp;"|"&amp;TRIM(I66))</f>
        <v/>
      </c>
      <c r="S66" s="69">
        <f>IF(COUNTIF($R$6:$R$239,R66)&gt;1,"重复","唯一")</f>
        <v/>
      </c>
      <c r="T66" s="69" t="inlineStr">
        <is>
          <t>4e59c7b770c48b9832d6f2134e36d6d6e2042c30e49dfa51e9bb58f33177fd1f</t>
        </is>
      </c>
      <c r="U66" s="69" t="inlineStr">
        <is>
          <t>Codex</t>
        </is>
      </c>
      <c r="V66" s="78" t="n">
        <v>46264</v>
      </c>
      <c r="W66" s="69" t="inlineStr">
        <is>
          <t>用户自制Blender资产</t>
        </is>
      </c>
      <c r="X66" s="75" t="inlineStr">
        <is>
          <t>—</t>
        </is>
      </c>
      <c r="Y66" s="69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>
      <c r="A67" s="69" t="inlineStr">
        <is>
          <t>ENV-BASE99-FLOOR-RIVET-5M</t>
        </is>
      </c>
      <c r="B67" s="69" t="inlineStr">
        <is>
          <t>基地99层铆钉铁皮带地板5×5米</t>
        </is>
      </c>
      <c r="C67" s="69" t="inlineStr">
        <is>
          <t>场景</t>
        </is>
      </c>
      <c r="D67" s="69" t="inlineStr">
        <is>
          <t>environment_module_3d</t>
        </is>
      </c>
      <c r="E67" s="69" t="inlineStr">
        <is>
          <t>base99_floor_rivet_5m</t>
        </is>
      </c>
      <c r="F67" s="69" t="inlineStr">
        <is>
          <t>floor_rivet</t>
        </is>
      </c>
      <c r="G67" s="69" t="inlineStr">
        <is>
          <t>ENV-BASE99-MODULAR-KIT-3D</t>
        </is>
      </c>
      <c r="H67" s="69" t="inlineStr">
        <is>
          <t>Top3D / local -Z 正面</t>
        </is>
      </c>
      <c r="I67" s="69" t="inlineStr">
        <is>
          <t>default / visual_only</t>
        </is>
      </c>
      <c r="J67" s="69" t="inlineStr">
        <is>
          <t>99层基地模块化结构</t>
        </is>
      </c>
      <c r="K67" s="69" t="inlineStr">
        <is>
          <t>已完成</t>
        </is>
      </c>
      <c r="L67" s="69" t="inlineStr">
        <is>
          <t>P0</t>
        </is>
      </c>
      <c r="M67" s="69" t="inlineStr">
        <is>
          <t>v001</t>
        </is>
      </c>
      <c r="N67" s="69" t="inlineStr">
        <is>
          <t>5×5×0.395m视觉外廓；0.30m结构板+0.095m装饰凸起</t>
        </is>
      </c>
      <c r="O67" s="69" t="inlineStr">
        <is>
          <t>assets/art/environments/base_facility_3d/runtime/env_base99_floor_rivet_5m/env_base99_floor_rivet_5m_root_top3d.tscn</t>
        </is>
      </c>
      <c r="P67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69" t="inlineStr">
        <is>
          <t>基地99层铆钉铁皮带地板5×5米;base99;PaletteUV;cast_and_receive</t>
        </is>
      </c>
      <c r="R67" s="69">
        <f>LOWER(TRIM(C67)&amp;"|"&amp;TRIM(D67)&amp;"|"&amp;TRIM(E67)&amp;"|"&amp;TRIM(F67)&amp;"|"&amp;TRIM(H67)&amp;"|"&amp;TRIM(I67))</f>
        <v/>
      </c>
      <c r="S67" s="69">
        <f>IF(COUNTIF($R$6:$R$239,R67)&gt;1,"重复","唯一")</f>
        <v/>
      </c>
      <c r="T67" s="69" t="inlineStr">
        <is>
          <t>27d8448e4860ea8b3fde87c4d7c99b7f8d137935fb5bc3e06c4d8f68551018f3</t>
        </is>
      </c>
      <c r="U67" s="69" t="inlineStr">
        <is>
          <t>Codex</t>
        </is>
      </c>
      <c r="V67" s="78" t="n">
        <v>46264</v>
      </c>
      <c r="W67" s="69" t="inlineStr">
        <is>
          <t>用户自制Blender资产</t>
        </is>
      </c>
      <c r="X67" s="75" t="inlineStr">
        <is>
          <t>—</t>
        </is>
      </c>
      <c r="Y67" s="69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>
      <c r="A68" s="69" t="inlineStr">
        <is>
          <t>ENV-BASE99-ART-LAYOUT-3D</t>
        </is>
      </c>
      <c r="B68" s="69" t="inlineStr">
        <is>
          <t>基地区美术</t>
        </is>
      </c>
      <c r="C68" s="69" t="inlineStr">
        <is>
          <t>场景</t>
        </is>
      </c>
      <c r="D68" s="69" t="inlineStr">
        <is>
          <t>environment_module_3d</t>
        </is>
      </c>
      <c r="E68" s="69" t="inlineStr">
        <is>
          <t>base_facility_art_layout</t>
        </is>
      </c>
      <c r="F68" s="69" t="inlineStr">
        <is>
          <t>root_3d</t>
        </is>
      </c>
      <c r="G68" s="69" t="inlineStr">
        <is>
          <t>ENV-BASE99-MODULAR-KIT-3D</t>
        </is>
      </c>
      <c r="H68" s="69" t="inlineStr">
        <is>
          <t>Top3D / local -Z 正面</t>
        </is>
      </c>
      <c r="I68" s="69" t="inlineStr">
        <is>
          <t>default / prefab</t>
        </is>
      </c>
      <c r="J68" s="69" t="inlineStr">
        <is>
          <t>Blocks/Base/Art；99F基地区</t>
        </is>
      </c>
      <c r="K68" s="69" t="inlineStr">
        <is>
          <t>原型已接入</t>
        </is>
      </c>
      <c r="L68" s="69" t="inlineStr">
        <is>
          <t>P1</t>
        </is>
      </c>
      <c r="M68" s="69" t="inlineStr">
        <is>
          <t>v002</t>
        </is>
      </c>
      <c r="N68" s="69" t="inlineStr">
        <is>
          <t>Godot PackedScene；根=Node3D；碰撞节点=0</t>
        </is>
      </c>
      <c r="O68" s="69" t="inlineStr">
        <is>
          <t>assets/art/environments/tower_zones/base/runtime/zone_base_v002.tscn</t>
        </is>
      </c>
      <c r="P68" s="6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69" t="inlineStr">
        <is>
          <t>基地区;Base;Art;99F;基地美术;Prefab;场景区块</t>
        </is>
      </c>
      <c r="R68" s="69">
        <f>LOWER(TRIM(C68)&amp;"|"&amp;TRIM(D68)&amp;"|"&amp;TRIM(E68)&amp;"|"&amp;TRIM(F68)&amp;"|"&amp;TRIM(H68)&amp;"|"&amp;TRIM(I68))</f>
        <v/>
      </c>
      <c r="S68" s="69">
        <f>IF(COUNTIF($R$6:$R$239,R68)&gt;1,"重复","唯一")</f>
        <v/>
      </c>
      <c r="T68" s="69" t="inlineStr">
        <is>
          <t>0fd9f545b99a34a18142bfbc1e7a397a82c401f1cc8d963015e32def95a41b86</t>
        </is>
      </c>
      <c r="U68" s="69" t="inlineStr">
        <is>
          <t>Codex</t>
        </is>
      </c>
      <c r="V68" s="78" t="n">
        <v>46278</v>
      </c>
      <c r="W68" s="69" t="inlineStr">
        <is>
          <t>项目现有Godot资产</t>
        </is>
      </c>
      <c r="X68" s="75" t="inlineStr">
        <is>
          <t>—</t>
        </is>
      </c>
      <c r="Y68" s="69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>
      <c r="A69" s="69" t="inlineStr">
        <is>
          <t>ENV-TOWER-CORNER-L-5M</t>
        </is>
      </c>
      <c r="B69" s="69" t="inlineStr">
        <is>
          <t>塔楼L型转角5米</t>
        </is>
      </c>
      <c r="C69" s="69" t="inlineStr">
        <is>
          <t>场景</t>
        </is>
      </c>
      <c r="D69" s="69" t="inlineStr">
        <is>
          <t>room_kit</t>
        </is>
      </c>
      <c r="E69" s="69" t="inlineStr">
        <is>
          <t>tower_descent</t>
        </is>
      </c>
      <c r="F69" s="69" t="inlineStr">
        <is>
          <t>corner_l_5m</t>
        </is>
      </c>
      <c r="G69" s="69" t="inlineStr">
        <is>
          <t>ENV-TOWER-DESCENT-KIT-3D</t>
        </is>
      </c>
      <c r="H69" s="69" t="inlineStr">
        <is>
          <t>俯视3D</t>
        </is>
      </c>
      <c r="I69" s="69" t="inlineStr">
        <is>
          <t>godot_runtime</t>
        </is>
      </c>
      <c r="J69" s="69" t="inlineStr">
        <is>
          <t>场景通用组件</t>
        </is>
      </c>
      <c r="K69" s="69" t="inlineStr">
        <is>
          <t>原型已接入</t>
        </is>
      </c>
      <c r="L69" s="69" t="inlineStr">
        <is>
          <t>P0</t>
        </is>
      </c>
      <c r="M69" s="69" t="inlineStr">
        <is>
          <t>v001</t>
        </is>
      </c>
      <c r="N69" s="6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69" t="inlineStr">
        <is>
          <t>assets/art/environments/tower_descent_3d/components/env_tower_corner_l_5m_top3d.glb</t>
        </is>
      </c>
      <c r="P69" s="6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69" t="inlineStr">
        <is>
          <t>塔楼L型转角5米;12米逻辑墙;11.9米可见墙;PaletteUV;L墙角;corner_l;bottom_corner</t>
        </is>
      </c>
      <c r="R69" s="69">
        <f>LOWER(TRIM(C69)&amp;"|"&amp;TRIM(D69)&amp;"|"&amp;TRIM(E69)&amp;"|"&amp;TRIM(F69)&amp;"|"&amp;TRIM(H69)&amp;"|"&amp;TRIM(I69))</f>
        <v/>
      </c>
      <c r="S69" s="69">
        <f>IF(COUNTIF($R$6:$R$239,R69)&gt;1,"重复","唯一")</f>
        <v/>
      </c>
      <c r="T69" s="69" t="inlineStr">
        <is>
          <t>451ba73e82aa38fa4bf91e8421496b09488cd202c453aee2c749619146031c71</t>
        </is>
      </c>
      <c r="U69" s="69" t="inlineStr">
        <is>
          <t>Codex</t>
        </is>
      </c>
      <c r="V69" s="78" t="n">
        <v>46284</v>
      </c>
      <c r="W69" s="69" t="inlineStr">
        <is>
          <t>Blender 派生（由两份通用墙刚性拼成）</t>
        </is>
      </c>
      <c r="X69" s="75" t="inlineStr">
        <is>
          <t>—</t>
        </is>
      </c>
      <c r="Y69" s="6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>
      <c r="A70" s="69" t="inlineStr">
        <is>
          <t>ENV-TOWER-CORNER-L-PARAPET-5M</t>
        </is>
      </c>
      <c r="B70" s="69" t="inlineStr">
        <is>
          <t>塔楼L型女儿墙转角5米</t>
        </is>
      </c>
      <c r="C70" s="69" t="inlineStr">
        <is>
          <t>场景</t>
        </is>
      </c>
      <c r="D70" s="69" t="inlineStr">
        <is>
          <t>environment_module_3d</t>
        </is>
      </c>
      <c r="E70" s="69" t="inlineStr">
        <is>
          <t>corner_L_parapet_5m</t>
        </is>
      </c>
      <c r="F70" s="69" t="inlineStr">
        <is>
          <t>root_3d</t>
        </is>
      </c>
      <c r="G70" s="69" t="inlineStr">
        <is>
          <t>ENV-TOWER-DESCENT-KIT-3D</t>
        </is>
      </c>
      <c r="H70" s="69" t="inlineStr">
        <is>
          <t>Top3D / local -Z 正面</t>
        </is>
      </c>
      <c r="I70" s="69" t="inlineStr">
        <is>
          <t>default / prefab</t>
        </is>
      </c>
      <c r="J70" s="69" t="inlineStr">
        <is>
          <t>场景通用组件</t>
        </is>
      </c>
      <c r="K70" s="69" t="inlineStr">
        <is>
          <t>程序占位</t>
        </is>
      </c>
      <c r="L70" s="69" t="inlineStr">
        <is>
          <t>P1</t>
        </is>
      </c>
      <c r="M70" s="69" t="inlineStr">
        <is>
          <t>v001</t>
        </is>
      </c>
      <c r="N70" s="69" t="inlineStr">
        <is>
          <t>Godot PackedScene；根=Node3D；碰撞节点=2</t>
        </is>
      </c>
      <c r="O70" s="69" t="inlineStr">
        <is>
          <t>assets/art/props/dungeon_3d/prp_corner_l_parapet_5m_v001.tscn</t>
        </is>
      </c>
      <c r="P70" s="69" t="inlineStr">
        <is>
          <t>assets/art/3D模型资产目录与命名规范.md</t>
        </is>
      </c>
      <c r="Q70" s="69" t="inlineStr">
        <is>
          <t>塔楼L型女儿墙转角5米;3D;Prefab;场景通用组件;corner_L_parapet_5m</t>
        </is>
      </c>
      <c r="R70" s="69">
        <f>LOWER(TRIM(C70)&amp;"|"&amp;TRIM(D70)&amp;"|"&amp;TRIM(E70)&amp;"|"&amp;TRIM(F70)&amp;"|"&amp;TRIM(H70)&amp;"|"&amp;TRIM(I70))</f>
        <v/>
      </c>
      <c r="S70" s="69">
        <f>IF(COUNTIF($R$6:$R$239,R70)&gt;1,"重复","唯一")</f>
        <v/>
      </c>
      <c r="T70" s="69" t="inlineStr">
        <is>
          <t>e08fcac94b8fac78352e62b5566215fa0a01baa19fcd76a910d82b4d462ff884</t>
        </is>
      </c>
      <c r="U70" s="69" t="inlineStr">
        <is>
          <t>Codex</t>
        </is>
      </c>
      <c r="V70" s="78" t="n">
        <v>46264</v>
      </c>
      <c r="W70" s="69" t="inlineStr">
        <is>
          <t>项目现有Godot资产</t>
        </is>
      </c>
      <c r="X70" s="75" t="inlineStr">
        <is>
          <t>—</t>
        </is>
      </c>
      <c r="Y70" s="6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>
      <c r="A71" s="69" t="inlineStr">
        <is>
          <t>ENV-TOWER-CORNER-T-5M</t>
        </is>
      </c>
      <c r="B71" s="69" t="inlineStr">
        <is>
          <t>塔楼T型转角5米</t>
        </is>
      </c>
      <c r="C71" s="69" t="inlineStr">
        <is>
          <t>场景</t>
        </is>
      </c>
      <c r="D71" s="69" t="inlineStr">
        <is>
          <t>environment_module_3d</t>
        </is>
      </c>
      <c r="E71" s="69" t="inlineStr">
        <is>
          <t>corner_T_5m</t>
        </is>
      </c>
      <c r="F71" s="69" t="inlineStr">
        <is>
          <t>root_3d</t>
        </is>
      </c>
      <c r="G71" s="69" t="inlineStr">
        <is>
          <t>ENV-TOWER-DESCENT-KIT-3D</t>
        </is>
      </c>
      <c r="H71" s="69" t="inlineStr">
        <is>
          <t>Top3D / local -Z 正面</t>
        </is>
      </c>
      <c r="I71" s="69" t="inlineStr">
        <is>
          <t>default / prefab</t>
        </is>
      </c>
      <c r="J71" s="69" t="inlineStr">
        <is>
          <t>场景通用组件</t>
        </is>
      </c>
      <c r="K71" s="69" t="inlineStr">
        <is>
          <t>程序占位</t>
        </is>
      </c>
      <c r="L71" s="69" t="inlineStr">
        <is>
          <t>P1</t>
        </is>
      </c>
      <c r="M71" s="69" t="inlineStr">
        <is>
          <t>v001</t>
        </is>
      </c>
      <c r="N71" s="69" t="inlineStr">
        <is>
          <t>Godot PackedScene；根=Node3D；碰撞节点=3</t>
        </is>
      </c>
      <c r="O71" s="69" t="inlineStr">
        <is>
          <t>assets/art/props/dungeon_3d/prp_corner_t_5m_v001.tscn</t>
        </is>
      </c>
      <c r="P71" s="69" t="inlineStr">
        <is>
          <t>assets/art/3D模型资产目录与命名规范.md</t>
        </is>
      </c>
      <c r="Q71" s="69" t="inlineStr">
        <is>
          <t>塔楼T型转角5米;3D;Prefab;场景通用组件;corner_T_5m</t>
        </is>
      </c>
      <c r="R71" s="69">
        <f>LOWER(TRIM(C71)&amp;"|"&amp;TRIM(D71)&amp;"|"&amp;TRIM(E71)&amp;"|"&amp;TRIM(F71)&amp;"|"&amp;TRIM(H71)&amp;"|"&amp;TRIM(I71))</f>
        <v/>
      </c>
      <c r="S71" s="69">
        <f>IF(COUNTIF($R$6:$R$239,R71)&gt;1,"重复","唯一")</f>
        <v/>
      </c>
      <c r="T71" s="69" t="inlineStr">
        <is>
          <t>38be070ae70cf35c83d3e817b62e21428f7dc97548a10b4907e30064df3276e7</t>
        </is>
      </c>
      <c r="U71" s="69" t="inlineStr">
        <is>
          <t>Codex</t>
        </is>
      </c>
      <c r="V71" s="78" t="n">
        <v>46264</v>
      </c>
      <c r="W71" s="69" t="inlineStr">
        <is>
          <t>项目现有Godot资产</t>
        </is>
      </c>
      <c r="X71" s="75" t="inlineStr">
        <is>
          <t>—</t>
        </is>
      </c>
      <c r="Y71" s="6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>
      <c r="A72" s="69" t="inlineStr">
        <is>
          <t>ENV-TOWER-CORNER-X-5M</t>
        </is>
      </c>
      <c r="B72" s="69" t="inlineStr">
        <is>
          <t>塔楼十字转角5米</t>
        </is>
      </c>
      <c r="C72" s="69" t="inlineStr">
        <is>
          <t>场景</t>
        </is>
      </c>
      <c r="D72" s="69" t="inlineStr">
        <is>
          <t>environment_module_3d</t>
        </is>
      </c>
      <c r="E72" s="69" t="inlineStr">
        <is>
          <t>corner_X_5m</t>
        </is>
      </c>
      <c r="F72" s="69" t="inlineStr">
        <is>
          <t>root_3d</t>
        </is>
      </c>
      <c r="G72" s="69" t="inlineStr">
        <is>
          <t>ENV-TOWER-DESCENT-KIT-3D</t>
        </is>
      </c>
      <c r="H72" s="69" t="inlineStr">
        <is>
          <t>Top3D / local -Z 正面</t>
        </is>
      </c>
      <c r="I72" s="69" t="inlineStr">
        <is>
          <t>default / prefab</t>
        </is>
      </c>
      <c r="J72" s="69" t="inlineStr">
        <is>
          <t>场景通用组件</t>
        </is>
      </c>
      <c r="K72" s="69" t="inlineStr">
        <is>
          <t>程序占位</t>
        </is>
      </c>
      <c r="L72" s="69" t="inlineStr">
        <is>
          <t>P1</t>
        </is>
      </c>
      <c r="M72" s="69" t="inlineStr">
        <is>
          <t>v001</t>
        </is>
      </c>
      <c r="N72" s="69" t="inlineStr">
        <is>
          <t>Godot PackedScene；根=Node3D；碰撞节点=4</t>
        </is>
      </c>
      <c r="O72" s="69" t="inlineStr">
        <is>
          <t>assets/art/props/dungeon_3d/prp_corner_x_5m_v001.tscn</t>
        </is>
      </c>
      <c r="P72" s="69" t="inlineStr">
        <is>
          <t>assets/art/3D模型资产目录与命名规范.md</t>
        </is>
      </c>
      <c r="Q72" s="69" t="inlineStr">
        <is>
          <t>塔楼十字转角5米;3D;Prefab;场景通用组件;corner_X_5m</t>
        </is>
      </c>
      <c r="R72" s="69">
        <f>LOWER(TRIM(C72)&amp;"|"&amp;TRIM(D72)&amp;"|"&amp;TRIM(E72)&amp;"|"&amp;TRIM(F72)&amp;"|"&amp;TRIM(H72)&amp;"|"&amp;TRIM(I72))</f>
        <v/>
      </c>
      <c r="S72" s="69">
        <f>IF(COUNTIF($R$6:$R$239,R72)&gt;1,"重复","唯一")</f>
        <v/>
      </c>
      <c r="T72" s="69" t="inlineStr">
        <is>
          <t>8f83e7591e65997f404f7137b11f9b7cf02dc962af97384831061a2a3242ff9c</t>
        </is>
      </c>
      <c r="U72" s="69" t="inlineStr">
        <is>
          <t>Codex</t>
        </is>
      </c>
      <c r="V72" s="78" t="n">
        <v>46264</v>
      </c>
      <c r="W72" s="69" t="inlineStr">
        <is>
          <t>项目现有Godot资产</t>
        </is>
      </c>
      <c r="X72" s="75" t="inlineStr">
        <is>
          <t>—</t>
        </is>
      </c>
      <c r="Y72" s="6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>
      <c r="A73" s="69" t="inlineStr">
        <is>
          <t>ENV-DUNGEON-CORRIDOR-CEILING-SEGMENT</t>
        </is>
      </c>
      <c r="B73" s="69" t="inlineStr">
        <is>
          <t>地牢走廊天花段</t>
        </is>
      </c>
      <c r="C73" s="69" t="inlineStr">
        <is>
          <t>场景</t>
        </is>
      </c>
      <c r="D73" s="69" t="inlineStr">
        <is>
          <t>environment_module_3d</t>
        </is>
      </c>
      <c r="E73" s="69" t="inlineStr">
        <is>
          <t>corridor_ceiling_segment</t>
        </is>
      </c>
      <c r="F73" s="69" t="inlineStr">
        <is>
          <t>root_3d</t>
        </is>
      </c>
      <c r="G73" s="69" t="inlineStr">
        <is>
          <t>ENV-DUNGEON-RUNTIME-3D</t>
        </is>
      </c>
      <c r="H73" s="69" t="inlineStr">
        <is>
          <t>Top3D / local -Z 正面</t>
        </is>
      </c>
      <c r="I73" s="69" t="inlineStr">
        <is>
          <t>default / prefab</t>
        </is>
      </c>
      <c r="J73" s="69" t="inlineStr">
        <is>
          <t>场景通用组件</t>
        </is>
      </c>
      <c r="K73" s="69" t="inlineStr">
        <is>
          <t>程序占位</t>
        </is>
      </c>
      <c r="L73" s="69" t="inlineStr">
        <is>
          <t>P1</t>
        </is>
      </c>
      <c r="M73" s="69" t="inlineStr">
        <is>
          <t>v001</t>
        </is>
      </c>
      <c r="N73" s="69" t="inlineStr">
        <is>
          <t>Godot PackedScene；根=Node3D；碰撞节点=1</t>
        </is>
      </c>
      <c r="O73" s="69" t="inlineStr">
        <is>
          <t>assets/art/props/dungeon_3d/prp_corridor_ceiling_segment_v001.tscn</t>
        </is>
      </c>
      <c r="P73" s="69" t="inlineStr">
        <is>
          <t>assets/art/3D模型资产目录与命名规范.md</t>
        </is>
      </c>
      <c r="Q73" s="69" t="inlineStr">
        <is>
          <t>地牢走廊天花段;3D;Prefab;场景通用组件;corridor_ceiling_segment</t>
        </is>
      </c>
      <c r="R73" s="69">
        <f>LOWER(TRIM(C73)&amp;"|"&amp;TRIM(D73)&amp;"|"&amp;TRIM(E73)&amp;"|"&amp;TRIM(F73)&amp;"|"&amp;TRIM(H73)&amp;"|"&amp;TRIM(I73))</f>
        <v/>
      </c>
      <c r="S73" s="69">
        <f>IF(COUNTIF($R$6:$R$239,R73)&gt;1,"重复","唯一")</f>
        <v/>
      </c>
      <c r="T73" s="69" t="inlineStr">
        <is>
          <t>de6c149315d394d21427445145cbac33ef5652db02b18b2d0080748dd0f82ff3</t>
        </is>
      </c>
      <c r="U73" s="69" t="inlineStr">
        <is>
          <t>Codex</t>
        </is>
      </c>
      <c r="V73" s="78" t="n">
        <v>46264</v>
      </c>
      <c r="W73" s="69" t="inlineStr">
        <is>
          <t>项目现有Godot资产</t>
        </is>
      </c>
      <c r="X73" s="75" t="inlineStr">
        <is>
          <t>—</t>
        </is>
      </c>
      <c r="Y73" s="6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>
      <c r="A74" s="69" t="inlineStr">
        <is>
          <t>ENV-DUNGEON-CORRIDOR-FLOOR-SEGMENT</t>
        </is>
      </c>
      <c r="B74" s="69" t="inlineStr">
        <is>
          <t>地牢走廊地板段</t>
        </is>
      </c>
      <c r="C74" s="69" t="inlineStr">
        <is>
          <t>场景</t>
        </is>
      </c>
      <c r="D74" s="69" t="inlineStr">
        <is>
          <t>environment_module_3d</t>
        </is>
      </c>
      <c r="E74" s="69" t="inlineStr">
        <is>
          <t>corridor_floor_segment</t>
        </is>
      </c>
      <c r="F74" s="69" t="inlineStr">
        <is>
          <t>root_3d</t>
        </is>
      </c>
      <c r="G74" s="69" t="inlineStr">
        <is>
          <t>ENV-DUNGEON-RUNTIME-3D</t>
        </is>
      </c>
      <c r="H74" s="69" t="inlineStr">
        <is>
          <t>Top3D / local -Z 正面</t>
        </is>
      </c>
      <c r="I74" s="69" t="inlineStr">
        <is>
          <t>default / prefab</t>
        </is>
      </c>
      <c r="J74" s="69" t="inlineStr">
        <is>
          <t>场景通用组件</t>
        </is>
      </c>
      <c r="K74" s="69" t="inlineStr">
        <is>
          <t>程序占位</t>
        </is>
      </c>
      <c r="L74" s="69" t="inlineStr">
        <is>
          <t>P1</t>
        </is>
      </c>
      <c r="M74" s="69" t="inlineStr">
        <is>
          <t>v001</t>
        </is>
      </c>
      <c r="N74" s="69" t="inlineStr">
        <is>
          <t>Godot PackedScene；根=Node3D；碰撞节点=1</t>
        </is>
      </c>
      <c r="O74" s="69" t="inlineStr">
        <is>
          <t>assets/art/props/dungeon_3d/prp_corridor_floor_segment_v001.tscn</t>
        </is>
      </c>
      <c r="P74" s="69" t="inlineStr">
        <is>
          <t>assets/art/3D模型资产目录与命名规范.md</t>
        </is>
      </c>
      <c r="Q74" s="69" t="inlineStr">
        <is>
          <t>地牢走廊地板段;3D;Prefab;场景通用组件;corridor_floor_segment</t>
        </is>
      </c>
      <c r="R74" s="69">
        <f>LOWER(TRIM(C74)&amp;"|"&amp;TRIM(D74)&amp;"|"&amp;TRIM(E74)&amp;"|"&amp;TRIM(F74)&amp;"|"&amp;TRIM(H74)&amp;"|"&amp;TRIM(I74))</f>
        <v/>
      </c>
      <c r="S74" s="69">
        <f>IF(COUNTIF($R$6:$R$239,R74)&gt;1,"重复","唯一")</f>
        <v/>
      </c>
      <c r="T74" s="69" t="inlineStr">
        <is>
          <t>89457606145ca7caa6db48cdf9362a670ce296fd191d8dc67ca8a704c7a3ad31</t>
        </is>
      </c>
      <c r="U74" s="69" t="inlineStr">
        <is>
          <t>Codex</t>
        </is>
      </c>
      <c r="V74" s="78" t="n">
        <v>46264</v>
      </c>
      <c r="W74" s="69" t="inlineStr">
        <is>
          <t>项目现有Godot资产</t>
        </is>
      </c>
      <c r="X74" s="75" t="inlineStr">
        <is>
          <t>—</t>
        </is>
      </c>
      <c r="Y74" s="6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>
      <c r="A75" s="69" t="inlineStr">
        <is>
          <t>ENV-DUNGEON-CORRIDOR-STAIR-TREAD</t>
        </is>
      </c>
      <c r="B75" s="69" t="inlineStr">
        <is>
          <t>地牢走廊楼梯踏步</t>
        </is>
      </c>
      <c r="C75" s="69" t="inlineStr">
        <is>
          <t>场景</t>
        </is>
      </c>
      <c r="D75" s="69" t="inlineStr">
        <is>
          <t>environment_module_3d</t>
        </is>
      </c>
      <c r="E75" s="69" t="inlineStr">
        <is>
          <t>corridor_stair_tread</t>
        </is>
      </c>
      <c r="F75" s="69" t="inlineStr">
        <is>
          <t>root_3d</t>
        </is>
      </c>
      <c r="G75" s="69" t="inlineStr">
        <is>
          <t>ENV-DUNGEON-RUNTIME-3D</t>
        </is>
      </c>
      <c r="H75" s="69" t="inlineStr">
        <is>
          <t>Top3D / local -Z 正面</t>
        </is>
      </c>
      <c r="I75" s="69" t="inlineStr">
        <is>
          <t>default / prefab</t>
        </is>
      </c>
      <c r="J75" s="69" t="inlineStr">
        <is>
          <t>场景通用组件</t>
        </is>
      </c>
      <c r="K75" s="69" t="inlineStr">
        <is>
          <t>程序占位</t>
        </is>
      </c>
      <c r="L75" s="69" t="inlineStr">
        <is>
          <t>P1</t>
        </is>
      </c>
      <c r="M75" s="69" t="inlineStr">
        <is>
          <t>v001</t>
        </is>
      </c>
      <c r="N75" s="69" t="inlineStr">
        <is>
          <t>Godot PackedScene；根=Node3D；碰撞节点=0</t>
        </is>
      </c>
      <c r="O75" s="69" t="inlineStr">
        <is>
          <t>assets/art/props/dungeon_3d/prp_corridor_stair_tread_v001.tscn</t>
        </is>
      </c>
      <c r="P75" s="69" t="inlineStr">
        <is>
          <t>assets/art/3D模型资产目录与命名规范.md</t>
        </is>
      </c>
      <c r="Q75" s="69" t="inlineStr">
        <is>
          <t>地牢走廊楼梯踏步;3D;Prefab;场景通用组件;corridor_stair_tread</t>
        </is>
      </c>
      <c r="R75" s="69">
        <f>LOWER(TRIM(C75)&amp;"|"&amp;TRIM(D75)&amp;"|"&amp;TRIM(E75)&amp;"|"&amp;TRIM(F75)&amp;"|"&amp;TRIM(H75)&amp;"|"&amp;TRIM(I75))</f>
        <v/>
      </c>
      <c r="S75" s="69">
        <f>IF(COUNTIF($R$6:$R$239,R75)&gt;1,"重复","唯一")</f>
        <v/>
      </c>
      <c r="T75" s="69" t="inlineStr">
        <is>
          <t>9cb096178ff640d1a46dc773d86af69873c5f92f054ead84ee6fdeaac15e608d</t>
        </is>
      </c>
      <c r="U75" s="69" t="inlineStr">
        <is>
          <t>Codex</t>
        </is>
      </c>
      <c r="V75" s="78" t="n">
        <v>46264</v>
      </c>
      <c r="W75" s="69" t="inlineStr">
        <is>
          <t>项目现有Godot资产</t>
        </is>
      </c>
      <c r="X75" s="75" t="inlineStr">
        <is>
          <t>—</t>
        </is>
      </c>
      <c r="Y75" s="6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>
      <c r="A76" s="69" t="inlineStr">
        <is>
          <t>ENV-DUNGEON-CORRIDOR-WALL-SEGMENT</t>
        </is>
      </c>
      <c r="B76" s="69" t="inlineStr">
        <is>
          <t>地牢走廊墙段</t>
        </is>
      </c>
      <c r="C76" s="69" t="inlineStr">
        <is>
          <t>场景</t>
        </is>
      </c>
      <c r="D76" s="69" t="inlineStr">
        <is>
          <t>environment_module_3d</t>
        </is>
      </c>
      <c r="E76" s="69" t="inlineStr">
        <is>
          <t>corridor_wall_segment</t>
        </is>
      </c>
      <c r="F76" s="69" t="inlineStr">
        <is>
          <t>root_3d</t>
        </is>
      </c>
      <c r="G76" s="69" t="inlineStr">
        <is>
          <t>ENV-DUNGEON-RUNTIME-3D</t>
        </is>
      </c>
      <c r="H76" s="69" t="inlineStr">
        <is>
          <t>Top3D / local -Z 正面</t>
        </is>
      </c>
      <c r="I76" s="69" t="inlineStr">
        <is>
          <t>default / prefab</t>
        </is>
      </c>
      <c r="J76" s="69" t="inlineStr">
        <is>
          <t>场景通用组件</t>
        </is>
      </c>
      <c r="K76" s="69" t="inlineStr">
        <is>
          <t>程序占位</t>
        </is>
      </c>
      <c r="L76" s="69" t="inlineStr">
        <is>
          <t>P1</t>
        </is>
      </c>
      <c r="M76" s="69" t="inlineStr">
        <is>
          <t>v001</t>
        </is>
      </c>
      <c r="N76" s="69" t="inlineStr">
        <is>
          <t>Godot PackedScene；根=Node3D；碰撞节点=1</t>
        </is>
      </c>
      <c r="O76" s="69" t="inlineStr">
        <is>
          <t>assets/art/props/dungeon_3d/prp_corridor_wall_segment_v001.tscn</t>
        </is>
      </c>
      <c r="P76" s="69" t="inlineStr">
        <is>
          <t>assets/art/3D模型资产目录与命名规范.md</t>
        </is>
      </c>
      <c r="Q76" s="69" t="inlineStr">
        <is>
          <t>地牢走廊墙段;3D;Prefab;场景通用组件;corridor_wall_segment</t>
        </is>
      </c>
      <c r="R76" s="69">
        <f>LOWER(TRIM(C76)&amp;"|"&amp;TRIM(D76)&amp;"|"&amp;TRIM(E76)&amp;"|"&amp;TRIM(F76)&amp;"|"&amp;TRIM(H76)&amp;"|"&amp;TRIM(I76))</f>
        <v/>
      </c>
      <c r="S76" s="69">
        <f>IF(COUNTIF($R$6:$R$239,R76)&gt;1,"重复","唯一")</f>
        <v/>
      </c>
      <c r="T76" s="69" t="inlineStr">
        <is>
          <t>b46c779faadc6e47bfe4fa2ff512ffe3425f90c36bc53846e40675c673042910</t>
        </is>
      </c>
      <c r="U76" s="69" t="inlineStr">
        <is>
          <t>Codex</t>
        </is>
      </c>
      <c r="V76" s="78" t="n">
        <v>46264</v>
      </c>
      <c r="W76" s="69" t="inlineStr">
        <is>
          <t>项目现有Godot资产</t>
        </is>
      </c>
      <c r="X76" s="75" t="inlineStr">
        <is>
          <t>—</t>
        </is>
      </c>
      <c r="Y76" s="6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>
      <c r="A77" s="69" t="inlineStr">
        <is>
          <t>ENV-DUNGEON-ROOM-ACCESS-STEP</t>
        </is>
      </c>
      <c r="B77" s="69" t="inlineStr">
        <is>
          <t>房间接入台阶</t>
        </is>
      </c>
      <c r="C77" s="69" t="inlineStr">
        <is>
          <t>场景</t>
        </is>
      </c>
      <c r="D77" s="69" t="inlineStr">
        <is>
          <t>environment_module_3d</t>
        </is>
      </c>
      <c r="E77" s="69" t="inlineStr">
        <is>
          <t>room_access_step</t>
        </is>
      </c>
      <c r="F77" s="69" t="inlineStr">
        <is>
          <t>root_3d</t>
        </is>
      </c>
      <c r="G77" s="69" t="inlineStr">
        <is>
          <t>ENV-DUNGEON-RUNTIME-3D</t>
        </is>
      </c>
      <c r="H77" s="69" t="inlineStr">
        <is>
          <t>Top3D / local -Z 正面</t>
        </is>
      </c>
      <c r="I77" s="69" t="inlineStr">
        <is>
          <t>default / prefab</t>
        </is>
      </c>
      <c r="J77" s="69" t="inlineStr">
        <is>
          <t>场景通用组件</t>
        </is>
      </c>
      <c r="K77" s="69" t="inlineStr">
        <is>
          <t>程序占位</t>
        </is>
      </c>
      <c r="L77" s="69" t="inlineStr">
        <is>
          <t>P1</t>
        </is>
      </c>
      <c r="M77" s="69" t="inlineStr">
        <is>
          <t>v001</t>
        </is>
      </c>
      <c r="N77" s="69" t="inlineStr">
        <is>
          <t>Godot PackedScene；根=Node3D；碰撞节点=0</t>
        </is>
      </c>
      <c r="O77" s="69" t="inlineStr">
        <is>
          <t>assets/art/props/dungeon_3d/prp_room_access_step_v001.tscn</t>
        </is>
      </c>
      <c r="P77" s="69" t="inlineStr">
        <is>
          <t>assets/art/3D模型资产目录与命名规范.md</t>
        </is>
      </c>
      <c r="Q77" s="69" t="inlineStr">
        <is>
          <t>房间接入台阶;3D;Prefab;场景通用组件;room_access_step</t>
        </is>
      </c>
      <c r="R77" s="69">
        <f>LOWER(TRIM(C77)&amp;"|"&amp;TRIM(D77)&amp;"|"&amp;TRIM(E77)&amp;"|"&amp;TRIM(F77)&amp;"|"&amp;TRIM(H77)&amp;"|"&amp;TRIM(I77))</f>
        <v/>
      </c>
      <c r="S77" s="69">
        <f>IF(COUNTIF($R$6:$R$239,R77)&gt;1,"重复","唯一")</f>
        <v/>
      </c>
      <c r="T77" s="69" t="inlineStr">
        <is>
          <t>ceeeed9e7163cf420bf047f1a9424990b111b63f3b3f72d5257ebbfeeb6b9c7a</t>
        </is>
      </c>
      <c r="U77" s="69" t="inlineStr">
        <is>
          <t>Codex</t>
        </is>
      </c>
      <c r="V77" s="78" t="n">
        <v>46264</v>
      </c>
      <c r="W77" s="69" t="inlineStr">
        <is>
          <t>项目现有Godot资产</t>
        </is>
      </c>
      <c r="X77" s="75" t="inlineStr">
        <is>
          <t>—</t>
        </is>
      </c>
      <c r="Y77" s="6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>
      <c r="A78" s="69" t="inlineStr">
        <is>
          <t>ENV-DUNGEON-ROOM-CORNER-POST</t>
        </is>
      </c>
      <c r="B78" s="69" t="inlineStr">
        <is>
          <t>房间转角立柱</t>
        </is>
      </c>
      <c r="C78" s="69" t="inlineStr">
        <is>
          <t>场景</t>
        </is>
      </c>
      <c r="D78" s="69" t="inlineStr">
        <is>
          <t>environment_module_3d</t>
        </is>
      </c>
      <c r="E78" s="69" t="inlineStr">
        <is>
          <t>room_corner_post</t>
        </is>
      </c>
      <c r="F78" s="69" t="inlineStr">
        <is>
          <t>root_3d</t>
        </is>
      </c>
      <c r="G78" s="69" t="inlineStr">
        <is>
          <t>ENV-DUNGEON-RUNTIME-3D</t>
        </is>
      </c>
      <c r="H78" s="69" t="inlineStr">
        <is>
          <t>Top3D / local -Z 正面</t>
        </is>
      </c>
      <c r="I78" s="69" t="inlineStr">
        <is>
          <t>default / prefab</t>
        </is>
      </c>
      <c r="J78" s="69" t="inlineStr">
        <is>
          <t>场景通用组件</t>
        </is>
      </c>
      <c r="K78" s="69" t="inlineStr">
        <is>
          <t>程序占位</t>
        </is>
      </c>
      <c r="L78" s="69" t="inlineStr">
        <is>
          <t>P1</t>
        </is>
      </c>
      <c r="M78" s="69" t="inlineStr">
        <is>
          <t>v001</t>
        </is>
      </c>
      <c r="N78" s="69" t="inlineStr">
        <is>
          <t>Godot PackedScene；根=Node3D；碰撞节点=1</t>
        </is>
      </c>
      <c r="O78" s="69" t="inlineStr">
        <is>
          <t>assets/art/props/dungeon_3d/prp_room_corner_post_v001.tscn</t>
        </is>
      </c>
      <c r="P78" s="69" t="inlineStr">
        <is>
          <t>assets/art/3D模型资产目录与命名规范.md</t>
        </is>
      </c>
      <c r="Q78" s="69" t="inlineStr">
        <is>
          <t>房间转角立柱;3D;Prefab;场景通用组件;room_corner_post</t>
        </is>
      </c>
      <c r="R78" s="69">
        <f>LOWER(TRIM(C78)&amp;"|"&amp;TRIM(D78)&amp;"|"&amp;TRIM(E78)&amp;"|"&amp;TRIM(F78)&amp;"|"&amp;TRIM(H78)&amp;"|"&amp;TRIM(I78))</f>
        <v/>
      </c>
      <c r="S78" s="69">
        <f>IF(COUNTIF($R$6:$R$239,R78)&gt;1,"重复","唯一")</f>
        <v/>
      </c>
      <c r="T78" s="69" t="inlineStr">
        <is>
          <t>138b81f147aff76227e21ca8e73825144df3c69a8236b4eabd849eefbc977022</t>
        </is>
      </c>
      <c r="U78" s="69" t="inlineStr">
        <is>
          <t>Codex</t>
        </is>
      </c>
      <c r="V78" s="78" t="n">
        <v>46264</v>
      </c>
      <c r="W78" s="69" t="inlineStr">
        <is>
          <t>项目现有Godot资产</t>
        </is>
      </c>
      <c r="X78" s="75" t="inlineStr">
        <is>
          <t>—</t>
        </is>
      </c>
      <c r="Y78" s="6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5" customHeight="1" s="50">
      <c r="A79" s="69" t="inlineStr">
        <is>
          <t>ENV-DUNGEON-ROOM-DOOR-LINTEL</t>
        </is>
      </c>
      <c r="B79" s="69" t="inlineStr">
        <is>
          <t>房间门楣</t>
        </is>
      </c>
      <c r="C79" s="69" t="inlineStr">
        <is>
          <t>场景</t>
        </is>
      </c>
      <c r="D79" s="69" t="inlineStr">
        <is>
          <t>environment_module_3d</t>
        </is>
      </c>
      <c r="E79" s="69" t="inlineStr">
        <is>
          <t>room_door_lintel</t>
        </is>
      </c>
      <c r="F79" s="69" t="inlineStr">
        <is>
          <t>root_3d</t>
        </is>
      </c>
      <c r="G79" s="69" t="inlineStr">
        <is>
          <t>ENV-DUNGEON-RUNTIME-3D</t>
        </is>
      </c>
      <c r="H79" s="69" t="inlineStr">
        <is>
          <t>Top3D / local -Z 正面</t>
        </is>
      </c>
      <c r="I79" s="69" t="inlineStr">
        <is>
          <t>default / prefab</t>
        </is>
      </c>
      <c r="J79" s="69" t="inlineStr">
        <is>
          <t>场景通用组件</t>
        </is>
      </c>
      <c r="K79" s="69" t="inlineStr">
        <is>
          <t>程序占位</t>
        </is>
      </c>
      <c r="L79" s="69" t="inlineStr">
        <is>
          <t>P1</t>
        </is>
      </c>
      <c r="M79" s="69" t="inlineStr">
        <is>
          <t>v001</t>
        </is>
      </c>
      <c r="N79" s="69" t="inlineStr">
        <is>
          <t>Godot PackedScene；根=Node3D；碰撞节点=0</t>
        </is>
      </c>
      <c r="O79" s="69" t="inlineStr">
        <is>
          <t>assets/art/props/dungeon_3d/prp_room_door_lintel_v001.tscn</t>
        </is>
      </c>
      <c r="P79" s="69" t="inlineStr">
        <is>
          <t>assets/art/3D模型资产目录与命名规范.md</t>
        </is>
      </c>
      <c r="Q79" s="69" t="inlineStr">
        <is>
          <t>房间门楣;3D;Prefab;场景通用组件;room_door_lintel</t>
        </is>
      </c>
      <c r="R79" s="69">
        <f>LOWER(TRIM(C79)&amp;"|"&amp;TRIM(D79)&amp;"|"&amp;TRIM(E79)&amp;"|"&amp;TRIM(F79)&amp;"|"&amp;TRIM(H79)&amp;"|"&amp;TRIM(I79))</f>
        <v/>
      </c>
      <c r="S79" s="69">
        <f>IF(COUNTIF($R$6:$R$239,R79)&gt;1,"重复","唯一")</f>
        <v/>
      </c>
      <c r="T79" s="69" t="inlineStr">
        <is>
          <t>82ce8f9afa7e5b59b4172c12c90693b5da5ee9934286658f5353fabda3c095fe</t>
        </is>
      </c>
      <c r="U79" s="69" t="inlineStr">
        <is>
          <t>Codex</t>
        </is>
      </c>
      <c r="V79" s="78" t="n">
        <v>46264</v>
      </c>
      <c r="W79" s="69" t="inlineStr">
        <is>
          <t>项目现有Godot资产</t>
        </is>
      </c>
      <c r="X79" s="75" t="inlineStr">
        <is>
          <t>—</t>
        </is>
      </c>
      <c r="Y79" s="6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>
      <c r="A80" s="69" t="inlineStr">
        <is>
          <t>ENV-DUNGEON-FACILITY-WALL-DOOR-SIDE</t>
        </is>
      </c>
      <c r="B80" s="69" t="inlineStr">
        <is>
          <t>基地设施门墙侧柱</t>
        </is>
      </c>
      <c r="C80" s="69" t="inlineStr">
        <is>
          <t>场景</t>
        </is>
      </c>
      <c r="D80" s="69" t="inlineStr">
        <is>
          <t>environment_module_3d</t>
        </is>
      </c>
      <c r="E80" s="69" t="inlineStr">
        <is>
          <t>room_facility_base_wall_door_side</t>
        </is>
      </c>
      <c r="F80" s="69" t="inlineStr">
        <is>
          <t>root_3d</t>
        </is>
      </c>
      <c r="G80" s="69" t="inlineStr">
        <is>
          <t>ENV-DUNGEON-RUNTIME-3D</t>
        </is>
      </c>
      <c r="H80" s="69" t="inlineStr">
        <is>
          <t>Top3D / local -Z 正面</t>
        </is>
      </c>
      <c r="I80" s="69" t="inlineStr">
        <is>
          <t>default / prefab</t>
        </is>
      </c>
      <c r="J80" s="69" t="inlineStr">
        <is>
          <t>场景通用组件</t>
        </is>
      </c>
      <c r="K80" s="69" t="inlineStr">
        <is>
          <t>程序占位</t>
        </is>
      </c>
      <c r="L80" s="69" t="inlineStr">
        <is>
          <t>P1</t>
        </is>
      </c>
      <c r="M80" s="69" t="inlineStr">
        <is>
          <t>v001</t>
        </is>
      </c>
      <c r="N80" s="69" t="inlineStr">
        <is>
          <t>Godot PackedScene；根=Node3D；碰撞节点=1</t>
        </is>
      </c>
      <c r="O80" s="69" t="inlineStr">
        <is>
          <t>assets/art/props/dungeon_3d/prp_room_facility_base_wall_door_side_v001.tscn</t>
        </is>
      </c>
      <c r="P80" s="69" t="inlineStr">
        <is>
          <t>assets/art/3D模型资产目录与命名规范.md</t>
        </is>
      </c>
      <c r="Q80" s="69" t="inlineStr">
        <is>
          <t>基地设施门墙侧柱;3D;Prefab;场景通用组件;room_facility_base_wall_door_side</t>
        </is>
      </c>
      <c r="R80" s="69">
        <f>LOWER(TRIM(C80)&amp;"|"&amp;TRIM(D80)&amp;"|"&amp;TRIM(E80)&amp;"|"&amp;TRIM(F80)&amp;"|"&amp;TRIM(H80)&amp;"|"&amp;TRIM(I80))</f>
        <v/>
      </c>
      <c r="S80" s="69">
        <f>IF(COUNTIF($R$6:$R$239,R80)&gt;1,"重复","唯一")</f>
        <v/>
      </c>
      <c r="T80" s="69" t="inlineStr">
        <is>
          <t>527a288a721bb8eb3046b67439359ac9a125897543debf07ce3c1450dee01d87</t>
        </is>
      </c>
      <c r="U80" s="69" t="inlineStr">
        <is>
          <t>Codex</t>
        </is>
      </c>
      <c r="V80" s="78" t="n">
        <v>46264</v>
      </c>
      <c r="W80" s="69" t="inlineStr">
        <is>
          <t>项目现有Godot资产</t>
        </is>
      </c>
      <c r="X80" s="75" t="inlineStr">
        <is>
          <t>—</t>
        </is>
      </c>
      <c r="Y80" s="6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>
      <c r="A81" s="69" t="inlineStr">
        <is>
          <t>ENV-DUNGEON-FACILITY-WALL-LINTEL</t>
        </is>
      </c>
      <c r="B81" s="69" t="inlineStr">
        <is>
          <t>基地设施墙门楣</t>
        </is>
      </c>
      <c r="C81" s="69" t="inlineStr">
        <is>
          <t>场景</t>
        </is>
      </c>
      <c r="D81" s="69" t="inlineStr">
        <is>
          <t>environment_module_3d</t>
        </is>
      </c>
      <c r="E81" s="69" t="inlineStr">
        <is>
          <t>room_facility_base_wall_lintel</t>
        </is>
      </c>
      <c r="F81" s="69" t="inlineStr">
        <is>
          <t>root_3d</t>
        </is>
      </c>
      <c r="G81" s="69" t="inlineStr">
        <is>
          <t>ENV-DUNGEON-RUNTIME-3D</t>
        </is>
      </c>
      <c r="H81" s="69" t="inlineStr">
        <is>
          <t>Top3D / local -Z 正面</t>
        </is>
      </c>
      <c r="I81" s="69" t="inlineStr">
        <is>
          <t>default / prefab</t>
        </is>
      </c>
      <c r="J81" s="69" t="inlineStr">
        <is>
          <t>场景通用组件</t>
        </is>
      </c>
      <c r="K81" s="69" t="inlineStr">
        <is>
          <t>程序占位</t>
        </is>
      </c>
      <c r="L81" s="69" t="inlineStr">
        <is>
          <t>P1</t>
        </is>
      </c>
      <c r="M81" s="69" t="inlineStr">
        <is>
          <t>v001</t>
        </is>
      </c>
      <c r="N81" s="69" t="inlineStr">
        <is>
          <t>Godot PackedScene；根=Node3D；碰撞节点=1</t>
        </is>
      </c>
      <c r="O81" s="69" t="inlineStr">
        <is>
          <t>assets/art/props/dungeon_3d/prp_room_facility_base_wall_lintel_v001.tscn</t>
        </is>
      </c>
      <c r="P81" s="69" t="inlineStr">
        <is>
          <t>assets/art/3D模型资产目录与命名规范.md</t>
        </is>
      </c>
      <c r="Q81" s="69" t="inlineStr">
        <is>
          <t>基地设施墙门楣;3D;Prefab;场景通用组件;room_facility_base_wall_lintel</t>
        </is>
      </c>
      <c r="R81" s="69">
        <f>LOWER(TRIM(C81)&amp;"|"&amp;TRIM(D81)&amp;"|"&amp;TRIM(E81)&amp;"|"&amp;TRIM(F81)&amp;"|"&amp;TRIM(H81)&amp;"|"&amp;TRIM(I81))</f>
        <v/>
      </c>
      <c r="S81" s="69">
        <f>IF(COUNTIF($R$6:$R$239,R81)&gt;1,"重复","唯一")</f>
        <v/>
      </c>
      <c r="T81" s="69" t="inlineStr">
        <is>
          <t>ddf4440db9d2e0e65cd6694a9dc266a26e5efba27d31345fee4be505966286c5</t>
        </is>
      </c>
      <c r="U81" s="69" t="inlineStr">
        <is>
          <t>Codex</t>
        </is>
      </c>
      <c r="V81" s="78" t="n">
        <v>46264</v>
      </c>
      <c r="W81" s="69" t="inlineStr">
        <is>
          <t>项目现有Godot资产</t>
        </is>
      </c>
      <c r="X81" s="75" t="inlineStr">
        <is>
          <t>—</t>
        </is>
      </c>
      <c r="Y81" s="6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>
      <c r="A82" s="69" t="inlineStr">
        <is>
          <t>ENV-DUNGEON-FACILITY-WALL</t>
        </is>
      </c>
      <c r="B82" s="69" t="inlineStr">
        <is>
          <t>基地设施墙段</t>
        </is>
      </c>
      <c r="C82" s="69" t="inlineStr">
        <is>
          <t>场景</t>
        </is>
      </c>
      <c r="D82" s="69" t="inlineStr">
        <is>
          <t>environment_module_3d</t>
        </is>
      </c>
      <c r="E82" s="69" t="inlineStr">
        <is>
          <t>room_facility_base_wall</t>
        </is>
      </c>
      <c r="F82" s="69" t="inlineStr">
        <is>
          <t>root_3d</t>
        </is>
      </c>
      <c r="G82" s="69" t="inlineStr">
        <is>
          <t>ENV-DUNGEON-RUNTIME-3D</t>
        </is>
      </c>
      <c r="H82" s="69" t="inlineStr">
        <is>
          <t>Top3D / local -Z 正面</t>
        </is>
      </c>
      <c r="I82" s="69" t="inlineStr">
        <is>
          <t>default / prefab</t>
        </is>
      </c>
      <c r="J82" s="69" t="inlineStr">
        <is>
          <t>场景通用组件</t>
        </is>
      </c>
      <c r="K82" s="69" t="inlineStr">
        <is>
          <t>程序占位</t>
        </is>
      </c>
      <c r="L82" s="69" t="inlineStr">
        <is>
          <t>P1</t>
        </is>
      </c>
      <c r="M82" s="69" t="inlineStr">
        <is>
          <t>v001</t>
        </is>
      </c>
      <c r="N82" s="69" t="inlineStr">
        <is>
          <t>Godot PackedScene；根=Node3D；碰撞节点=1</t>
        </is>
      </c>
      <c r="O82" s="69" t="inlineStr">
        <is>
          <t>assets/art/props/dungeon_3d/prp_room_facility_base_wall_v001.tscn</t>
        </is>
      </c>
      <c r="P82" s="69" t="inlineStr">
        <is>
          <t>assets/art/3D模型资产目录与命名规范.md</t>
        </is>
      </c>
      <c r="Q82" s="69" t="inlineStr">
        <is>
          <t>基地设施墙段;3D;Prefab;场景通用组件;room_facility_base_wall</t>
        </is>
      </c>
      <c r="R82" s="69">
        <f>LOWER(TRIM(C82)&amp;"|"&amp;TRIM(D82)&amp;"|"&amp;TRIM(E82)&amp;"|"&amp;TRIM(F82)&amp;"|"&amp;TRIM(H82)&amp;"|"&amp;TRIM(I82))</f>
        <v/>
      </c>
      <c r="S82" s="69">
        <f>IF(COUNTIF($R$6:$R$239,R82)&gt;1,"重复","唯一")</f>
        <v/>
      </c>
      <c r="T82" s="69" t="inlineStr">
        <is>
          <t>fd366cefe9f2bb2a052c33631818dfa1c006528562befe74988a3ecd9735ad8a</t>
        </is>
      </c>
      <c r="U82" s="69" t="inlineStr">
        <is>
          <t>Codex</t>
        </is>
      </c>
      <c r="V82" s="78" t="n">
        <v>46264</v>
      </c>
      <c r="W82" s="69" t="inlineStr">
        <is>
          <t>项目现有Godot资产</t>
        </is>
      </c>
      <c r="X82" s="75" t="inlineStr">
        <is>
          <t>—</t>
        </is>
      </c>
      <c r="Y82" s="6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>
      <c r="A83" s="69" t="inlineStr">
        <is>
          <t>ENV-DUNGEON-ROOM-FLOOR-INSET</t>
        </is>
      </c>
      <c r="B83" s="69" t="inlineStr">
        <is>
          <t>房间地板内嵌块</t>
        </is>
      </c>
      <c r="C83" s="69" t="inlineStr">
        <is>
          <t>场景</t>
        </is>
      </c>
      <c r="D83" s="69" t="inlineStr">
        <is>
          <t>environment_module_3d</t>
        </is>
      </c>
      <c r="E83" s="69" t="inlineStr">
        <is>
          <t>room_floor_inset</t>
        </is>
      </c>
      <c r="F83" s="69" t="inlineStr">
        <is>
          <t>root_3d</t>
        </is>
      </c>
      <c r="G83" s="69" t="inlineStr">
        <is>
          <t>ENV-DUNGEON-RUNTIME-3D</t>
        </is>
      </c>
      <c r="H83" s="69" t="inlineStr">
        <is>
          <t>Top3D / local -Z 正面</t>
        </is>
      </c>
      <c r="I83" s="69" t="inlineStr">
        <is>
          <t>default / prefab</t>
        </is>
      </c>
      <c r="J83" s="69" t="inlineStr">
        <is>
          <t>场景通用组件</t>
        </is>
      </c>
      <c r="K83" s="69" t="inlineStr">
        <is>
          <t>程序占位</t>
        </is>
      </c>
      <c r="L83" s="69" t="inlineStr">
        <is>
          <t>P1</t>
        </is>
      </c>
      <c r="M83" s="69" t="inlineStr">
        <is>
          <t>v001</t>
        </is>
      </c>
      <c r="N83" s="69" t="inlineStr">
        <is>
          <t>Godot PackedScene；根=Node3D；碰撞节点=0</t>
        </is>
      </c>
      <c r="O83" s="69" t="inlineStr">
        <is>
          <t>assets/art/props/dungeon_3d/prp_room_floor_inset_v001.tscn</t>
        </is>
      </c>
      <c r="P83" s="69" t="inlineStr">
        <is>
          <t>assets/art/3D模型资产目录与命名规范.md</t>
        </is>
      </c>
      <c r="Q83" s="69" t="inlineStr">
        <is>
          <t>房间地板内嵌块;3D;Prefab;场景通用组件;room_floor_inset</t>
        </is>
      </c>
      <c r="R83" s="69">
        <f>LOWER(TRIM(C83)&amp;"|"&amp;TRIM(D83)&amp;"|"&amp;TRIM(E83)&amp;"|"&amp;TRIM(F83)&amp;"|"&amp;TRIM(H83)&amp;"|"&amp;TRIM(I83))</f>
        <v/>
      </c>
      <c r="S83" s="69">
        <f>IF(COUNTIF($R$6:$R$239,R83)&gt;1,"重复","唯一")</f>
        <v/>
      </c>
      <c r="T83" s="69" t="inlineStr">
        <is>
          <t>fc300c9a29041123911466e1a28650365d2d8f30297b1b14dc3f0474df589019</t>
        </is>
      </c>
      <c r="U83" s="69" t="inlineStr">
        <is>
          <t>Codex</t>
        </is>
      </c>
      <c r="V83" s="78" t="n">
        <v>46264</v>
      </c>
      <c r="W83" s="69" t="inlineStr">
        <is>
          <t>项目现有Godot资产</t>
        </is>
      </c>
      <c r="X83" s="75" t="inlineStr">
        <is>
          <t>—</t>
        </is>
      </c>
      <c r="Y83" s="6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>
      <c r="A84" s="69" t="inlineStr">
        <is>
          <t>ENV-DUNGEON-ROOM-FLOOR-PARTITION-H</t>
        </is>
      </c>
      <c r="B84" s="69" t="inlineStr">
        <is>
          <t>房间地板水平分隔</t>
        </is>
      </c>
      <c r="C84" s="69" t="inlineStr">
        <is>
          <t>场景</t>
        </is>
      </c>
      <c r="D84" s="69" t="inlineStr">
        <is>
          <t>environment_module_3d</t>
        </is>
      </c>
      <c r="E84" s="69" t="inlineStr">
        <is>
          <t>room_floor_partition_horizontal</t>
        </is>
      </c>
      <c r="F84" s="69" t="inlineStr">
        <is>
          <t>root_3d</t>
        </is>
      </c>
      <c r="G84" s="69" t="inlineStr">
        <is>
          <t>ENV-DUNGEON-RUNTIME-3D</t>
        </is>
      </c>
      <c r="H84" s="69" t="inlineStr">
        <is>
          <t>Top3D / local -Z 正面</t>
        </is>
      </c>
      <c r="I84" s="69" t="inlineStr">
        <is>
          <t>default / prefab</t>
        </is>
      </c>
      <c r="J84" s="69" t="inlineStr">
        <is>
          <t>场景通用组件</t>
        </is>
      </c>
      <c r="K84" s="69" t="inlineStr">
        <is>
          <t>程序占位</t>
        </is>
      </c>
      <c r="L84" s="69" t="inlineStr">
        <is>
          <t>P1</t>
        </is>
      </c>
      <c r="M84" s="69" t="inlineStr">
        <is>
          <t>v001</t>
        </is>
      </c>
      <c r="N84" s="69" t="inlineStr">
        <is>
          <t>Godot PackedScene；根=Node3D；碰撞节点=1</t>
        </is>
      </c>
      <c r="O84" s="69" t="inlineStr">
        <is>
          <t>assets/art/props/dungeon_3d/prp_room_floor_partition_horizontal_v001.tscn</t>
        </is>
      </c>
      <c r="P84" s="69" t="inlineStr">
        <is>
          <t>assets/art/3D模型资产目录与命名规范.md</t>
        </is>
      </c>
      <c r="Q84" s="69" t="inlineStr">
        <is>
          <t>房间地板水平分隔;3D;Prefab;场景通用组件;room_floor_partition_horizontal</t>
        </is>
      </c>
      <c r="R84" s="69">
        <f>LOWER(TRIM(C84)&amp;"|"&amp;TRIM(D84)&amp;"|"&amp;TRIM(E84)&amp;"|"&amp;TRIM(F84)&amp;"|"&amp;TRIM(H84)&amp;"|"&amp;TRIM(I84))</f>
        <v/>
      </c>
      <c r="S84" s="69">
        <f>IF(COUNTIF($R$6:$R$239,R84)&gt;1,"重复","唯一")</f>
        <v/>
      </c>
      <c r="T84" s="69" t="inlineStr">
        <is>
          <t>71b79d714f6bb348f1d36e891799706e5d0f87b82ec0203563477e1cac20364d</t>
        </is>
      </c>
      <c r="U84" s="69" t="inlineStr">
        <is>
          <t>Codex</t>
        </is>
      </c>
      <c r="V84" s="78" t="n">
        <v>46264</v>
      </c>
      <c r="W84" s="69" t="inlineStr">
        <is>
          <t>项目现有Godot资产</t>
        </is>
      </c>
      <c r="X84" s="75" t="inlineStr">
        <is>
          <t>—</t>
        </is>
      </c>
      <c r="Y84" s="6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>
      <c r="A85" s="69" t="inlineStr">
        <is>
          <t>ENV-DUNGEON-ROOM-FLOOR-PARTITION-V</t>
        </is>
      </c>
      <c r="B85" s="69" t="inlineStr">
        <is>
          <t>房间地板垂直分隔</t>
        </is>
      </c>
      <c r="C85" s="69" t="inlineStr">
        <is>
          <t>场景</t>
        </is>
      </c>
      <c r="D85" s="69" t="inlineStr">
        <is>
          <t>environment_module_3d</t>
        </is>
      </c>
      <c r="E85" s="69" t="inlineStr">
        <is>
          <t>room_floor_partition_vertical</t>
        </is>
      </c>
      <c r="F85" s="69" t="inlineStr">
        <is>
          <t>root_3d</t>
        </is>
      </c>
      <c r="G85" s="69" t="inlineStr">
        <is>
          <t>ENV-DUNGEON-RUNTIME-3D</t>
        </is>
      </c>
      <c r="H85" s="69" t="inlineStr">
        <is>
          <t>Top3D / local -Z 正面</t>
        </is>
      </c>
      <c r="I85" s="69" t="inlineStr">
        <is>
          <t>default / prefab</t>
        </is>
      </c>
      <c r="J85" s="69" t="inlineStr">
        <is>
          <t>场景通用组件</t>
        </is>
      </c>
      <c r="K85" s="69" t="inlineStr">
        <is>
          <t>程序占位</t>
        </is>
      </c>
      <c r="L85" s="69" t="inlineStr">
        <is>
          <t>P1</t>
        </is>
      </c>
      <c r="M85" s="69" t="inlineStr">
        <is>
          <t>v001</t>
        </is>
      </c>
      <c r="N85" s="69" t="inlineStr">
        <is>
          <t>Godot PackedScene；根=Node3D；碰撞节点=1</t>
        </is>
      </c>
      <c r="O85" s="69" t="inlineStr">
        <is>
          <t>assets/art/props/dungeon_3d/prp_room_floor_partition_vertical_v001.tscn</t>
        </is>
      </c>
      <c r="P85" s="69" t="inlineStr">
        <is>
          <t>assets/art/3D模型资产目录与命名规范.md</t>
        </is>
      </c>
      <c r="Q85" s="69" t="inlineStr">
        <is>
          <t>房间地板垂直分隔;3D;Prefab;场景通用组件;room_floor_partition_vertical</t>
        </is>
      </c>
      <c r="R85" s="69">
        <f>LOWER(TRIM(C85)&amp;"|"&amp;TRIM(D85)&amp;"|"&amp;TRIM(E85)&amp;"|"&amp;TRIM(F85)&amp;"|"&amp;TRIM(H85)&amp;"|"&amp;TRIM(I85))</f>
        <v/>
      </c>
      <c r="S85" s="69">
        <f>IF(COUNTIF($R$6:$R$239,R85)&gt;1,"重复","唯一")</f>
        <v/>
      </c>
      <c r="T85" s="69" t="inlineStr">
        <is>
          <t>cf337709d3a6b489b6be06a15056b5cf03c2bfa50402cf63503233d67faa7caf</t>
        </is>
      </c>
      <c r="U85" s="69" t="inlineStr">
        <is>
          <t>Codex</t>
        </is>
      </c>
      <c r="V85" s="78" t="n">
        <v>46264</v>
      </c>
      <c r="W85" s="69" t="inlineStr">
        <is>
          <t>项目现有Godot资产</t>
        </is>
      </c>
      <c r="X85" s="75" t="inlineStr">
        <is>
          <t>—</t>
        </is>
      </c>
      <c r="Y85" s="6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>
      <c r="A86" s="69" t="inlineStr">
        <is>
          <t>ENV-DUNGEON-ROOM-FLOOR-SEAM</t>
        </is>
      </c>
      <c r="B86" s="69" t="inlineStr">
        <is>
          <t>房间地板接缝条</t>
        </is>
      </c>
      <c r="C86" s="69" t="inlineStr">
        <is>
          <t>场景</t>
        </is>
      </c>
      <c r="D86" s="69" t="inlineStr">
        <is>
          <t>environment_module_3d</t>
        </is>
      </c>
      <c r="E86" s="69" t="inlineStr">
        <is>
          <t>room_floor_seam_strip</t>
        </is>
      </c>
      <c r="F86" s="69" t="inlineStr">
        <is>
          <t>root_3d</t>
        </is>
      </c>
      <c r="G86" s="69" t="inlineStr">
        <is>
          <t>ENV-DUNGEON-RUNTIME-3D</t>
        </is>
      </c>
      <c r="H86" s="69" t="inlineStr">
        <is>
          <t>Top3D / local -Z 正面</t>
        </is>
      </c>
      <c r="I86" s="69" t="inlineStr">
        <is>
          <t>default / prefab</t>
        </is>
      </c>
      <c r="J86" s="69" t="inlineStr">
        <is>
          <t>场景通用组件</t>
        </is>
      </c>
      <c r="K86" s="69" t="inlineStr">
        <is>
          <t>程序占位</t>
        </is>
      </c>
      <c r="L86" s="69" t="inlineStr">
        <is>
          <t>P1</t>
        </is>
      </c>
      <c r="M86" s="69" t="inlineStr">
        <is>
          <t>v001</t>
        </is>
      </c>
      <c r="N86" s="69" t="inlineStr">
        <is>
          <t>Godot PackedScene；根=Node3D；碰撞节点=0</t>
        </is>
      </c>
      <c r="O86" s="69" t="inlineStr">
        <is>
          <t>assets/art/props/dungeon_3d/prp_room_floor_seam_strip_v001.tscn</t>
        </is>
      </c>
      <c r="P86" s="69" t="inlineStr">
        <is>
          <t>assets/art/3D模型资产目录与命名规范.md</t>
        </is>
      </c>
      <c r="Q86" s="69" t="inlineStr">
        <is>
          <t>房间地板接缝条;3D;Prefab;场景通用组件;room_floor_seam_strip</t>
        </is>
      </c>
      <c r="R86" s="69">
        <f>LOWER(TRIM(C86)&amp;"|"&amp;TRIM(D86)&amp;"|"&amp;TRIM(E86)&amp;"|"&amp;TRIM(F86)&amp;"|"&amp;TRIM(H86)&amp;"|"&amp;TRIM(I86))</f>
        <v/>
      </c>
      <c r="S86" s="69">
        <f>IF(COUNTIF($R$6:$R$239,R86)&gt;1,"重复","唯一")</f>
        <v/>
      </c>
      <c r="T86" s="69" t="inlineStr">
        <is>
          <t>93df5222c1f8d5a50f381f4915ab10a6ab7981e29f022ce1fcdc6c6645b5c873</t>
        </is>
      </c>
      <c r="U86" s="69" t="inlineStr">
        <is>
          <t>Codex</t>
        </is>
      </c>
      <c r="V86" s="78" t="n">
        <v>46264</v>
      </c>
      <c r="W86" s="69" t="inlineStr">
        <is>
          <t>项目现有Godot资产</t>
        </is>
      </c>
      <c r="X86" s="75" t="inlineStr">
        <is>
          <t>—</t>
        </is>
      </c>
      <c r="Y86" s="6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>
      <c r="A87" s="69" t="inlineStr">
        <is>
          <t>ENV-DUNGEON-ROOM-FLOOR</t>
        </is>
      </c>
      <c r="B87" s="69" t="inlineStr">
        <is>
          <t>地牢房间地板</t>
        </is>
      </c>
      <c r="C87" s="69" t="inlineStr">
        <is>
          <t>场景</t>
        </is>
      </c>
      <c r="D87" s="69" t="inlineStr">
        <is>
          <t>environment_module_3d</t>
        </is>
      </c>
      <c r="E87" s="69" t="inlineStr">
        <is>
          <t>room_floor</t>
        </is>
      </c>
      <c r="F87" s="69" t="inlineStr">
        <is>
          <t>root_3d</t>
        </is>
      </c>
      <c r="G87" s="69" t="inlineStr">
        <is>
          <t>ENV-DUNGEON-RUNTIME-3D</t>
        </is>
      </c>
      <c r="H87" s="69" t="inlineStr">
        <is>
          <t>Top3D / local -Z 正面</t>
        </is>
      </c>
      <c r="I87" s="69" t="inlineStr">
        <is>
          <t>default / prefab</t>
        </is>
      </c>
      <c r="J87" s="69" t="inlineStr">
        <is>
          <t>场景通用组件</t>
        </is>
      </c>
      <c r="K87" s="69" t="inlineStr">
        <is>
          <t>程序占位</t>
        </is>
      </c>
      <c r="L87" s="69" t="inlineStr">
        <is>
          <t>P1</t>
        </is>
      </c>
      <c r="M87" s="69" t="inlineStr">
        <is>
          <t>v001</t>
        </is>
      </c>
      <c r="N87" s="69" t="inlineStr">
        <is>
          <t>Godot PackedScene；根=Node3D；碰撞节点=1</t>
        </is>
      </c>
      <c r="O87" s="69" t="inlineStr">
        <is>
          <t>assets/art/props/dungeon_3d/prp_room_floor_v001.tscn</t>
        </is>
      </c>
      <c r="P87" s="69" t="inlineStr">
        <is>
          <t>assets/art/3D模型资产目录与命名规范.md</t>
        </is>
      </c>
      <c r="Q87" s="69" t="inlineStr">
        <is>
          <t>地牢房间地板;3D;Prefab;场景通用组件;room_floor</t>
        </is>
      </c>
      <c r="R87" s="69">
        <f>LOWER(TRIM(C87)&amp;"|"&amp;TRIM(D87)&amp;"|"&amp;TRIM(E87)&amp;"|"&amp;TRIM(F87)&amp;"|"&amp;TRIM(H87)&amp;"|"&amp;TRIM(I87))</f>
        <v/>
      </c>
      <c r="S87" s="69">
        <f>IF(COUNTIF($R$6:$R$239,R87)&gt;1,"重复","唯一")</f>
        <v/>
      </c>
      <c r="T87" s="69" t="inlineStr">
        <is>
          <t>98ac22cd5405149c41075f5d4da042bacfe5ec0b8af06f229d2059c85cccba4c</t>
        </is>
      </c>
      <c r="U87" s="69" t="inlineStr">
        <is>
          <t>Codex</t>
        </is>
      </c>
      <c r="V87" s="78" t="n">
        <v>46264</v>
      </c>
      <c r="W87" s="69" t="inlineStr">
        <is>
          <t>项目现有Godot资产</t>
        </is>
      </c>
      <c r="X87" s="75" t="inlineStr">
        <is>
          <t>—</t>
        </is>
      </c>
      <c r="Y87" s="6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>
      <c r="A88" s="69" t="inlineStr">
        <is>
          <t>ENV-TOWER-ROOFTOP-DESCENT-MARKER</t>
        </is>
      </c>
      <c r="B88" s="69" t="inlineStr">
        <is>
          <t>楼顶下降入口标记</t>
        </is>
      </c>
      <c r="C88" s="69" t="inlineStr">
        <is>
          <t>场景</t>
        </is>
      </c>
      <c r="D88" s="69" t="inlineStr">
        <is>
          <t>environment_module_3d</t>
        </is>
      </c>
      <c r="E88" s="69" t="inlineStr">
        <is>
          <t>room_rooftop_descent_marker</t>
        </is>
      </c>
      <c r="F88" s="69" t="inlineStr">
        <is>
          <t>root_3d</t>
        </is>
      </c>
      <c r="G88" s="69" t="inlineStr">
        <is>
          <t>ENV-TOWER-DESCENT-KIT-3D</t>
        </is>
      </c>
      <c r="H88" s="69" t="inlineStr">
        <is>
          <t>Top3D / local -Z 正面</t>
        </is>
      </c>
      <c r="I88" s="69" t="inlineStr">
        <is>
          <t>default / prefab</t>
        </is>
      </c>
      <c r="J88" s="69" t="inlineStr">
        <is>
          <t>场景通用组件</t>
        </is>
      </c>
      <c r="K88" s="69" t="inlineStr">
        <is>
          <t>程序占位</t>
        </is>
      </c>
      <c r="L88" s="69" t="inlineStr">
        <is>
          <t>P1</t>
        </is>
      </c>
      <c r="M88" s="69" t="inlineStr">
        <is>
          <t>v001</t>
        </is>
      </c>
      <c r="N88" s="69" t="inlineStr">
        <is>
          <t>Godot PackedScene；根=Node3D；碰撞节点=0</t>
        </is>
      </c>
      <c r="O88" s="69" t="inlineStr">
        <is>
          <t>assets/art/props/dungeon_3d/prp_room_rooftop_descent_marker_v001.tscn</t>
        </is>
      </c>
      <c r="P88" s="69" t="inlineStr">
        <is>
          <t>assets/art/3D模型资产目录与命名规范.md</t>
        </is>
      </c>
      <c r="Q88" s="69" t="inlineStr">
        <is>
          <t>楼顶下降入口标记;3D;Prefab;场景通用组件;room_rooftop_descent_marker</t>
        </is>
      </c>
      <c r="R88" s="69">
        <f>LOWER(TRIM(C88)&amp;"|"&amp;TRIM(D88)&amp;"|"&amp;TRIM(E88)&amp;"|"&amp;TRIM(F88)&amp;"|"&amp;TRIM(H88)&amp;"|"&amp;TRIM(I88))</f>
        <v/>
      </c>
      <c r="S88" s="69">
        <f>IF(COUNTIF($R$6:$R$239,R88)&gt;1,"重复","唯一")</f>
        <v/>
      </c>
      <c r="T88" s="69" t="inlineStr">
        <is>
          <t>1f0136508ef40eec0684ad986839d8454a6d8a2d468b52c445fee038450379ad</t>
        </is>
      </c>
      <c r="U88" s="69" t="inlineStr">
        <is>
          <t>Codex</t>
        </is>
      </c>
      <c r="V88" s="78" t="n">
        <v>46264</v>
      </c>
      <c r="W88" s="69" t="inlineStr">
        <is>
          <t>项目现有Godot资产</t>
        </is>
      </c>
      <c r="X88" s="75" t="inlineStr">
        <is>
          <t>—</t>
        </is>
      </c>
      <c r="Y88" s="6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>
      <c r="A89" s="69" t="inlineStr">
        <is>
          <t>ENV-TOWER-ROOFTOP-FACADE-BAND</t>
        </is>
      </c>
      <c r="B89" s="69" t="inlineStr">
        <is>
          <t>楼顶外立面饰带</t>
        </is>
      </c>
      <c r="C89" s="69" t="inlineStr">
        <is>
          <t>场景</t>
        </is>
      </c>
      <c r="D89" s="69" t="inlineStr">
        <is>
          <t>environment_module_3d</t>
        </is>
      </c>
      <c r="E89" s="69" t="inlineStr">
        <is>
          <t>room_rooftop_facade_band</t>
        </is>
      </c>
      <c r="F89" s="69" t="inlineStr">
        <is>
          <t>root_3d</t>
        </is>
      </c>
      <c r="G89" s="69" t="inlineStr">
        <is>
          <t>ENV-TOWER-DESCENT-KIT-3D</t>
        </is>
      </c>
      <c r="H89" s="69" t="inlineStr">
        <is>
          <t>Top3D / local -Z 正面</t>
        </is>
      </c>
      <c r="I89" s="69" t="inlineStr">
        <is>
          <t>default / prefab</t>
        </is>
      </c>
      <c r="J89" s="69" t="inlineStr">
        <is>
          <t>场景通用组件</t>
        </is>
      </c>
      <c r="K89" s="69" t="inlineStr">
        <is>
          <t>程序占位</t>
        </is>
      </c>
      <c r="L89" s="69" t="inlineStr">
        <is>
          <t>P1</t>
        </is>
      </c>
      <c r="M89" s="69" t="inlineStr">
        <is>
          <t>v001</t>
        </is>
      </c>
      <c r="N89" s="69" t="inlineStr">
        <is>
          <t>Godot PackedScene；根=Node3D；碰撞节点=0</t>
        </is>
      </c>
      <c r="O89" s="69" t="inlineStr">
        <is>
          <t>assets/art/props/dungeon_3d/prp_room_rooftop_facade_band_v001.tscn</t>
        </is>
      </c>
      <c r="P89" s="69" t="inlineStr">
        <is>
          <t>assets/art/3D模型资产目录与命名规范.md</t>
        </is>
      </c>
      <c r="Q89" s="69" t="inlineStr">
        <is>
          <t>楼顶外立面饰带;3D;Prefab;场景通用组件;room_rooftop_facade_band</t>
        </is>
      </c>
      <c r="R89" s="69">
        <f>LOWER(TRIM(C89)&amp;"|"&amp;TRIM(D89)&amp;"|"&amp;TRIM(E89)&amp;"|"&amp;TRIM(F89)&amp;"|"&amp;TRIM(H89)&amp;"|"&amp;TRIM(I89))</f>
        <v/>
      </c>
      <c r="S89" s="69">
        <f>IF(COUNTIF($R$6:$R$239,R89)&gt;1,"重复","唯一")</f>
        <v/>
      </c>
      <c r="T89" s="69" t="inlineStr">
        <is>
          <t>8a6870769e1e83dbf5c6afa9235e3eef5184a5ac3aa12509411a84afae9c52de</t>
        </is>
      </c>
      <c r="U89" s="69" t="inlineStr">
        <is>
          <t>Codex</t>
        </is>
      </c>
      <c r="V89" s="78" t="n">
        <v>46264</v>
      </c>
      <c r="W89" s="69" t="inlineStr">
        <is>
          <t>项目现有Godot资产</t>
        </is>
      </c>
      <c r="X89" s="75" t="inlineStr">
        <is>
          <t>—</t>
        </is>
      </c>
      <c r="Y89" s="6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>
      <c r="A90" s="69" t="inlineStr">
        <is>
          <t>ENV-TOWER-ROOFTOP-FACADE</t>
        </is>
      </c>
      <c r="B90" s="69" t="inlineStr">
        <is>
          <t>楼顶外立面</t>
        </is>
      </c>
      <c r="C90" s="69" t="inlineStr">
        <is>
          <t>场景</t>
        </is>
      </c>
      <c r="D90" s="69" t="inlineStr">
        <is>
          <t>environment_module_3d</t>
        </is>
      </c>
      <c r="E90" s="69" t="inlineStr">
        <is>
          <t>room_rooftop_facade</t>
        </is>
      </c>
      <c r="F90" s="69" t="inlineStr">
        <is>
          <t>root_3d</t>
        </is>
      </c>
      <c r="G90" s="69" t="inlineStr">
        <is>
          <t>ENV-TOWER-DESCENT-KIT-3D</t>
        </is>
      </c>
      <c r="H90" s="69" t="inlineStr">
        <is>
          <t>Top3D / local -Z 正面</t>
        </is>
      </c>
      <c r="I90" s="69" t="inlineStr">
        <is>
          <t>default / prefab</t>
        </is>
      </c>
      <c r="J90" s="69" t="inlineStr">
        <is>
          <t>场景通用组件</t>
        </is>
      </c>
      <c r="K90" s="69" t="inlineStr">
        <is>
          <t>程序占位</t>
        </is>
      </c>
      <c r="L90" s="69" t="inlineStr">
        <is>
          <t>P1</t>
        </is>
      </c>
      <c r="M90" s="69" t="inlineStr">
        <is>
          <t>v001</t>
        </is>
      </c>
      <c r="N90" s="69" t="inlineStr">
        <is>
          <t>Godot PackedScene；根=Node3D；碰撞节点=0</t>
        </is>
      </c>
      <c r="O90" s="69" t="inlineStr">
        <is>
          <t>assets/art/props/dungeon_3d/prp_room_rooftop_facade_v001.tscn</t>
        </is>
      </c>
      <c r="P90" s="69" t="inlineStr">
        <is>
          <t>assets/art/3D模型资产目录与命名规范.md</t>
        </is>
      </c>
      <c r="Q90" s="69" t="inlineStr">
        <is>
          <t>楼顶外立面;3D;Prefab;场景通用组件;room_rooftop_facade</t>
        </is>
      </c>
      <c r="R90" s="69">
        <f>LOWER(TRIM(C90)&amp;"|"&amp;TRIM(D90)&amp;"|"&amp;TRIM(E90)&amp;"|"&amp;TRIM(F90)&amp;"|"&amp;TRIM(H90)&amp;"|"&amp;TRIM(I90))</f>
        <v/>
      </c>
      <c r="S90" s="69">
        <f>IF(COUNTIF($R$6:$R$239,R90)&gt;1,"重复","唯一")</f>
        <v/>
      </c>
      <c r="T90" s="69" t="inlineStr">
        <is>
          <t>d2f5096342b470c4659e52c616f4b987714290d7d6d6b8987ebc40b76810259e</t>
        </is>
      </c>
      <c r="U90" s="69" t="inlineStr">
        <is>
          <t>Codex</t>
        </is>
      </c>
      <c r="V90" s="78" t="n">
        <v>46264</v>
      </c>
      <c r="W90" s="69" t="inlineStr">
        <is>
          <t>项目现有Godot资产</t>
        </is>
      </c>
      <c r="X90" s="75" t="inlineStr">
        <is>
          <t>—</t>
        </is>
      </c>
      <c r="Y90" s="6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>
      <c r="A91" s="69" t="inlineStr">
        <is>
          <t>ENV-TOWER-ROOFTOP-RAIL-POST</t>
        </is>
      </c>
      <c r="B91" s="69" t="inlineStr">
        <is>
          <t>楼顶栏杆立柱</t>
        </is>
      </c>
      <c r="C91" s="69" t="inlineStr">
        <is>
          <t>场景</t>
        </is>
      </c>
      <c r="D91" s="69" t="inlineStr">
        <is>
          <t>environment_module_3d</t>
        </is>
      </c>
      <c r="E91" s="69" t="inlineStr">
        <is>
          <t>room_rooftop_rail_post</t>
        </is>
      </c>
      <c r="F91" s="69" t="inlineStr">
        <is>
          <t>root_3d</t>
        </is>
      </c>
      <c r="G91" s="69" t="inlineStr">
        <is>
          <t>ENV-TOWER-DESCENT-KIT-3D</t>
        </is>
      </c>
      <c r="H91" s="69" t="inlineStr">
        <is>
          <t>Top3D / local -Z 正面</t>
        </is>
      </c>
      <c r="I91" s="69" t="inlineStr">
        <is>
          <t>default / prefab</t>
        </is>
      </c>
      <c r="J91" s="69" t="inlineStr">
        <is>
          <t>场景通用组件</t>
        </is>
      </c>
      <c r="K91" s="69" t="inlineStr">
        <is>
          <t>程序占位</t>
        </is>
      </c>
      <c r="L91" s="69" t="inlineStr">
        <is>
          <t>P1</t>
        </is>
      </c>
      <c r="M91" s="69" t="inlineStr">
        <is>
          <t>v001</t>
        </is>
      </c>
      <c r="N91" s="69" t="inlineStr">
        <is>
          <t>Godot PackedScene；根=Node3D；碰撞节点=0</t>
        </is>
      </c>
      <c r="O91" s="69" t="inlineStr">
        <is>
          <t>assets/art/props/dungeon_3d/prp_room_rooftop_rail_post_v001.tscn</t>
        </is>
      </c>
      <c r="P91" s="69" t="inlineStr">
        <is>
          <t>assets/art/3D模型资产目录与命名规范.md</t>
        </is>
      </c>
      <c r="Q91" s="69" t="inlineStr">
        <is>
          <t>楼顶栏杆立柱;3D;Prefab;场景通用组件;room_rooftop_rail_post</t>
        </is>
      </c>
      <c r="R91" s="69">
        <f>LOWER(TRIM(C91)&amp;"|"&amp;TRIM(D91)&amp;"|"&amp;TRIM(E91)&amp;"|"&amp;TRIM(F91)&amp;"|"&amp;TRIM(H91)&amp;"|"&amp;TRIM(I91))</f>
        <v/>
      </c>
      <c r="S91" s="69">
        <f>IF(COUNTIF($R$6:$R$239,R91)&gt;1,"重复","唯一")</f>
        <v/>
      </c>
      <c r="T91" s="69" t="inlineStr">
        <is>
          <t>35cd47a0be0e08b3827ded6a8b2709efe1df2eb27ed29a5fbd85e7713993e217</t>
        </is>
      </c>
      <c r="U91" s="69" t="inlineStr">
        <is>
          <t>Codex</t>
        </is>
      </c>
      <c r="V91" s="78" t="n">
        <v>46264</v>
      </c>
      <c r="W91" s="69" t="inlineStr">
        <is>
          <t>项目现有Godot资产</t>
        </is>
      </c>
      <c r="X91" s="75" t="inlineStr">
        <is>
          <t>—</t>
        </is>
      </c>
      <c r="Y91" s="6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>
      <c r="A92" s="69" t="inlineStr">
        <is>
          <t>ENV-TOWER-ROOFTOP-RAILING-LOWER</t>
        </is>
      </c>
      <c r="B92" s="69" t="inlineStr">
        <is>
          <t>楼顶下层栏杆</t>
        </is>
      </c>
      <c r="C92" s="69" t="inlineStr">
        <is>
          <t>场景</t>
        </is>
      </c>
      <c r="D92" s="69" t="inlineStr">
        <is>
          <t>environment_module_3d</t>
        </is>
      </c>
      <c r="E92" s="69" t="inlineStr">
        <is>
          <t>room_rooftop_railing_lower</t>
        </is>
      </c>
      <c r="F92" s="69" t="inlineStr">
        <is>
          <t>root_3d</t>
        </is>
      </c>
      <c r="G92" s="69" t="inlineStr">
        <is>
          <t>ENV-TOWER-DESCENT-KIT-3D</t>
        </is>
      </c>
      <c r="H92" s="69" t="inlineStr">
        <is>
          <t>Top3D / local -Z 正面</t>
        </is>
      </c>
      <c r="I92" s="69" t="inlineStr">
        <is>
          <t>default / prefab</t>
        </is>
      </c>
      <c r="J92" s="69" t="inlineStr">
        <is>
          <t>场景通用组件</t>
        </is>
      </c>
      <c r="K92" s="69" t="inlineStr">
        <is>
          <t>程序占位</t>
        </is>
      </c>
      <c r="L92" s="69" t="inlineStr">
        <is>
          <t>P1</t>
        </is>
      </c>
      <c r="M92" s="69" t="inlineStr">
        <is>
          <t>v001</t>
        </is>
      </c>
      <c r="N92" s="69" t="inlineStr">
        <is>
          <t>Godot PackedScene；根=Node3D；碰撞节点=1</t>
        </is>
      </c>
      <c r="O92" s="69" t="inlineStr">
        <is>
          <t>assets/art/props/dungeon_3d/prp_room_rooftop_railing_lower_v001.tscn</t>
        </is>
      </c>
      <c r="P92" s="69" t="inlineStr">
        <is>
          <t>assets/art/3D模型资产目录与命名规范.md</t>
        </is>
      </c>
      <c r="Q92" s="69" t="inlineStr">
        <is>
          <t>楼顶下层栏杆;3D;Prefab;场景通用组件;room_rooftop_railing_lower</t>
        </is>
      </c>
      <c r="R92" s="69">
        <f>LOWER(TRIM(C92)&amp;"|"&amp;TRIM(D92)&amp;"|"&amp;TRIM(E92)&amp;"|"&amp;TRIM(F92)&amp;"|"&amp;TRIM(H92)&amp;"|"&amp;TRIM(I92))</f>
        <v/>
      </c>
      <c r="S92" s="69">
        <f>IF(COUNTIF($R$6:$R$239,R92)&gt;1,"重复","唯一")</f>
        <v/>
      </c>
      <c r="T92" s="69" t="inlineStr">
        <is>
          <t>be6f1d3e15b5a52b51feeca51ab0057d358269522578ff7c0088b6428b1184db</t>
        </is>
      </c>
      <c r="U92" s="69" t="inlineStr">
        <is>
          <t>Codex</t>
        </is>
      </c>
      <c r="V92" s="78" t="n">
        <v>46264</v>
      </c>
      <c r="W92" s="69" t="inlineStr">
        <is>
          <t>项目现有Godot资产</t>
        </is>
      </c>
      <c r="X92" s="75" t="inlineStr">
        <is>
          <t>—</t>
        </is>
      </c>
      <c r="Y92" s="6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>
      <c r="A93" s="69" t="inlineStr">
        <is>
          <t>ENV-TOWER-ROOFTOP-RAILING-UPPER</t>
        </is>
      </c>
      <c r="B93" s="69" t="inlineStr">
        <is>
          <t>楼顶上层栏杆</t>
        </is>
      </c>
      <c r="C93" s="69" t="inlineStr">
        <is>
          <t>场景</t>
        </is>
      </c>
      <c r="D93" s="69" t="inlineStr">
        <is>
          <t>environment_module_3d</t>
        </is>
      </c>
      <c r="E93" s="69" t="inlineStr">
        <is>
          <t>room_rooftop_railing_upper</t>
        </is>
      </c>
      <c r="F93" s="69" t="inlineStr">
        <is>
          <t>root_3d</t>
        </is>
      </c>
      <c r="G93" s="69" t="inlineStr">
        <is>
          <t>ENV-TOWER-DESCENT-KIT-3D</t>
        </is>
      </c>
      <c r="H93" s="69" t="inlineStr">
        <is>
          <t>Top3D / local -Z 正面</t>
        </is>
      </c>
      <c r="I93" s="69" t="inlineStr">
        <is>
          <t>default / prefab</t>
        </is>
      </c>
      <c r="J93" s="69" t="inlineStr">
        <is>
          <t>场景通用组件</t>
        </is>
      </c>
      <c r="K93" s="69" t="inlineStr">
        <is>
          <t>程序占位</t>
        </is>
      </c>
      <c r="L93" s="69" t="inlineStr">
        <is>
          <t>P1</t>
        </is>
      </c>
      <c r="M93" s="69" t="inlineStr">
        <is>
          <t>v001</t>
        </is>
      </c>
      <c r="N93" s="69" t="inlineStr">
        <is>
          <t>Godot PackedScene；根=Node3D；碰撞节点=0</t>
        </is>
      </c>
      <c r="O93" s="69" t="inlineStr">
        <is>
          <t>assets/art/props/dungeon_3d/prp_room_rooftop_railing_upper_v001.tscn</t>
        </is>
      </c>
      <c r="P93" s="69" t="inlineStr">
        <is>
          <t>assets/art/3D模型资产目录与命名规范.md</t>
        </is>
      </c>
      <c r="Q93" s="69" t="inlineStr">
        <is>
          <t>楼顶上层栏杆;3D;Prefab;场景通用组件;room_rooftop_railing_upper</t>
        </is>
      </c>
      <c r="R93" s="69">
        <f>LOWER(TRIM(C93)&amp;"|"&amp;TRIM(D93)&amp;"|"&amp;TRIM(E93)&amp;"|"&amp;TRIM(F93)&amp;"|"&amp;TRIM(H93)&amp;"|"&amp;TRIM(I93))</f>
        <v/>
      </c>
      <c r="S93" s="69">
        <f>IF(COUNTIF($R$6:$R$239,R93)&gt;1,"重复","唯一")</f>
        <v/>
      </c>
      <c r="T93" s="69" t="inlineStr">
        <is>
          <t>f4a668e9374019455cb08c2de0addfc644da83854729d3147a6e0c093ff33b65</t>
        </is>
      </c>
      <c r="U93" s="69" t="inlineStr">
        <is>
          <t>Codex</t>
        </is>
      </c>
      <c r="V93" s="78" t="n">
        <v>46264</v>
      </c>
      <c r="W93" s="69" t="inlineStr">
        <is>
          <t>项目现有Godot资产</t>
        </is>
      </c>
      <c r="X93" s="75" t="inlineStr">
        <is>
          <t>—</t>
        </is>
      </c>
      <c r="Y93" s="6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>
      <c r="A94" s="69" t="inlineStr">
        <is>
          <t>ENV-TOWER-ROOFTOP-STAIR-FRAME-LINTEL</t>
        </is>
      </c>
      <c r="B94" s="69" t="inlineStr">
        <is>
          <t>楼顶楼梯框架门楣</t>
        </is>
      </c>
      <c r="C94" s="69" t="inlineStr">
        <is>
          <t>场景</t>
        </is>
      </c>
      <c r="D94" s="69" t="inlineStr">
        <is>
          <t>environment_module_3d</t>
        </is>
      </c>
      <c r="E94" s="69" t="inlineStr">
        <is>
          <t>room_rooftop_stair_frame_lintel</t>
        </is>
      </c>
      <c r="F94" s="69" t="inlineStr">
        <is>
          <t>root_3d</t>
        </is>
      </c>
      <c r="G94" s="69" t="inlineStr">
        <is>
          <t>ENV-TOWER-DESCENT-KIT-3D</t>
        </is>
      </c>
      <c r="H94" s="69" t="inlineStr">
        <is>
          <t>Top3D / local -Z 正面</t>
        </is>
      </c>
      <c r="I94" s="69" t="inlineStr">
        <is>
          <t>default / prefab</t>
        </is>
      </c>
      <c r="J94" s="69" t="inlineStr">
        <is>
          <t>场景通用组件</t>
        </is>
      </c>
      <c r="K94" s="69" t="inlineStr">
        <is>
          <t>程序占位</t>
        </is>
      </c>
      <c r="L94" s="69" t="inlineStr">
        <is>
          <t>P1</t>
        </is>
      </c>
      <c r="M94" s="69" t="inlineStr">
        <is>
          <t>v001</t>
        </is>
      </c>
      <c r="N94" s="69" t="inlineStr">
        <is>
          <t>Godot PackedScene；根=Node3D；碰撞节点=1</t>
        </is>
      </c>
      <c r="O94" s="69" t="inlineStr">
        <is>
          <t>assets/art/props/dungeon_3d/prp_room_rooftop_stair_frame_lintel_v001.tscn</t>
        </is>
      </c>
      <c r="P94" s="69" t="inlineStr">
        <is>
          <t>assets/art/3D模型资产目录与命名规范.md</t>
        </is>
      </c>
      <c r="Q94" s="69" t="inlineStr">
        <is>
          <t>楼顶楼梯框架门楣;3D;Prefab;场景通用组件;room_rooftop_stair_frame_lintel</t>
        </is>
      </c>
      <c r="R94" s="69">
        <f>LOWER(TRIM(C94)&amp;"|"&amp;TRIM(D94)&amp;"|"&amp;TRIM(E94)&amp;"|"&amp;TRIM(F94)&amp;"|"&amp;TRIM(H94)&amp;"|"&amp;TRIM(I94))</f>
        <v/>
      </c>
      <c r="S94" s="69">
        <f>IF(COUNTIF($R$6:$R$239,R94)&gt;1,"重复","唯一")</f>
        <v/>
      </c>
      <c r="T94" s="69" t="inlineStr">
        <is>
          <t>efb05f11a02bf2c4c4b3e455cfaa5de8ae3c9dc50d29e0b67fd7e78b6e8a73f9</t>
        </is>
      </c>
      <c r="U94" s="69" t="inlineStr">
        <is>
          <t>Codex</t>
        </is>
      </c>
      <c r="V94" s="78" t="n">
        <v>46264</v>
      </c>
      <c r="W94" s="69" t="inlineStr">
        <is>
          <t>项目现有Godot资产</t>
        </is>
      </c>
      <c r="X94" s="75" t="inlineStr">
        <is>
          <t>—</t>
        </is>
      </c>
      <c r="Y94" s="6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>
      <c r="A95" s="69" t="inlineStr">
        <is>
          <t>ENV-TOWER-ROOFTOP-STAIR-FRAME-POST</t>
        </is>
      </c>
      <c r="B95" s="69" t="inlineStr">
        <is>
          <t>楼顶楼梯框架立柱</t>
        </is>
      </c>
      <c r="C95" s="69" t="inlineStr">
        <is>
          <t>场景</t>
        </is>
      </c>
      <c r="D95" s="69" t="inlineStr">
        <is>
          <t>environment_module_3d</t>
        </is>
      </c>
      <c r="E95" s="69" t="inlineStr">
        <is>
          <t>room_rooftop_stair_frame_post</t>
        </is>
      </c>
      <c r="F95" s="69" t="inlineStr">
        <is>
          <t>root_3d</t>
        </is>
      </c>
      <c r="G95" s="69" t="inlineStr">
        <is>
          <t>ENV-TOWER-DESCENT-KIT-3D</t>
        </is>
      </c>
      <c r="H95" s="69" t="inlineStr">
        <is>
          <t>Top3D / local -Z 正面</t>
        </is>
      </c>
      <c r="I95" s="69" t="inlineStr">
        <is>
          <t>default / prefab</t>
        </is>
      </c>
      <c r="J95" s="69" t="inlineStr">
        <is>
          <t>场景通用组件</t>
        </is>
      </c>
      <c r="K95" s="69" t="inlineStr">
        <is>
          <t>程序占位</t>
        </is>
      </c>
      <c r="L95" s="69" t="inlineStr">
        <is>
          <t>P1</t>
        </is>
      </c>
      <c r="M95" s="69" t="inlineStr">
        <is>
          <t>v001</t>
        </is>
      </c>
      <c r="N95" s="69" t="inlineStr">
        <is>
          <t>Godot PackedScene；根=Node3D；碰撞节点=1</t>
        </is>
      </c>
      <c r="O95" s="69" t="inlineStr">
        <is>
          <t>assets/art/props/dungeon_3d/prp_room_rooftop_stair_frame_post_v001.tscn</t>
        </is>
      </c>
      <c r="P95" s="69" t="inlineStr">
        <is>
          <t>assets/art/3D模型资产目录与命名规范.md</t>
        </is>
      </c>
      <c r="Q95" s="69" t="inlineStr">
        <is>
          <t>楼顶楼梯框架立柱;3D;Prefab;场景通用组件;room_rooftop_stair_frame_post</t>
        </is>
      </c>
      <c r="R95" s="69">
        <f>LOWER(TRIM(C95)&amp;"|"&amp;TRIM(D95)&amp;"|"&amp;TRIM(E95)&amp;"|"&amp;TRIM(F95)&amp;"|"&amp;TRIM(H95)&amp;"|"&amp;TRIM(I95))</f>
        <v/>
      </c>
      <c r="S95" s="69">
        <f>IF(COUNTIF($R$6:$R$239,R95)&gt;1,"重复","唯一")</f>
        <v/>
      </c>
      <c r="T95" s="69" t="inlineStr">
        <is>
          <t>bba2d303ea0a6e2b795d0e2b31dbcf5c24db579d19203c5c5a7fe84a85b46977</t>
        </is>
      </c>
      <c r="U95" s="69" t="inlineStr">
        <is>
          <t>Codex</t>
        </is>
      </c>
      <c r="V95" s="78" t="n">
        <v>46264</v>
      </c>
      <c r="W95" s="69" t="inlineStr">
        <is>
          <t>项目现有Godot资产</t>
        </is>
      </c>
      <c r="X95" s="75" t="inlineStr">
        <is>
          <t>—</t>
        </is>
      </c>
      <c r="Y95" s="6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>
      <c r="A96" s="69" t="inlineStr">
        <is>
          <t>ENV-DUNGEON-STAIR-LOBBY-ROUTE-GUIDE</t>
        </is>
      </c>
      <c r="B96" s="69" t="inlineStr">
        <is>
          <t>楼梯厅路线引导</t>
        </is>
      </c>
      <c r="C96" s="69" t="inlineStr">
        <is>
          <t>场景</t>
        </is>
      </c>
      <c r="D96" s="69" t="inlineStr">
        <is>
          <t>environment_module_3d</t>
        </is>
      </c>
      <c r="E96" s="69" t="inlineStr">
        <is>
          <t>room_stair_lobby_route_guide</t>
        </is>
      </c>
      <c r="F96" s="69" t="inlineStr">
        <is>
          <t>root_3d</t>
        </is>
      </c>
      <c r="G96" s="69" t="inlineStr">
        <is>
          <t>ENV-DUNGEON-RUNTIME-3D</t>
        </is>
      </c>
      <c r="H96" s="69" t="inlineStr">
        <is>
          <t>Top3D / local -Z 正面</t>
        </is>
      </c>
      <c r="I96" s="69" t="inlineStr">
        <is>
          <t>default / prefab</t>
        </is>
      </c>
      <c r="J96" s="69" t="inlineStr">
        <is>
          <t>场景通用组件</t>
        </is>
      </c>
      <c r="K96" s="69" t="inlineStr">
        <is>
          <t>程序占位</t>
        </is>
      </c>
      <c r="L96" s="69" t="inlineStr">
        <is>
          <t>P1</t>
        </is>
      </c>
      <c r="M96" s="69" t="inlineStr">
        <is>
          <t>v001</t>
        </is>
      </c>
      <c r="N96" s="69" t="inlineStr">
        <is>
          <t>Godot PackedScene；根=Node3D；碰撞节点=0</t>
        </is>
      </c>
      <c r="O96" s="69" t="inlineStr">
        <is>
          <t>assets/art/props/dungeon_3d/prp_room_stair_lobby_route_guide_v001.tscn</t>
        </is>
      </c>
      <c r="P96" s="69" t="inlineStr">
        <is>
          <t>assets/art/3D模型资产目录与命名规范.md</t>
        </is>
      </c>
      <c r="Q96" s="69" t="inlineStr">
        <is>
          <t>楼梯厅路线引导;3D;Prefab;场景通用组件;room_stair_lobby_route_guide</t>
        </is>
      </c>
      <c r="R96" s="69">
        <f>LOWER(TRIM(C96)&amp;"|"&amp;TRIM(D96)&amp;"|"&amp;TRIM(E96)&amp;"|"&amp;TRIM(F96)&amp;"|"&amp;TRIM(H96)&amp;"|"&amp;TRIM(I96))</f>
        <v/>
      </c>
      <c r="S96" s="69">
        <f>IF(COUNTIF($R$6:$R$239,R96)&gt;1,"重复","唯一")</f>
        <v/>
      </c>
      <c r="T96" s="69" t="inlineStr">
        <is>
          <t>406e49ff720685c2ff9057e51871925c8f003645dfda340294aece7c1e2642ec</t>
        </is>
      </c>
      <c r="U96" s="69" t="inlineStr">
        <is>
          <t>Codex</t>
        </is>
      </c>
      <c r="V96" s="78" t="n">
        <v>46264</v>
      </c>
      <c r="W96" s="69" t="inlineStr">
        <is>
          <t>项目现有Godot资产</t>
        </is>
      </c>
      <c r="X96" s="75" t="inlineStr">
        <is>
          <t>—</t>
        </is>
      </c>
      <c r="Y96" s="6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>
      <c r="A97" s="69" t="inlineStr">
        <is>
          <t>ENV-DUNGEON-STAIR-LOBBY-THRESHOLD-GUIDE</t>
        </is>
      </c>
      <c r="B97" s="69" t="inlineStr">
        <is>
          <t>楼梯厅门槛引导</t>
        </is>
      </c>
      <c r="C97" s="69" t="inlineStr">
        <is>
          <t>场景</t>
        </is>
      </c>
      <c r="D97" s="69" t="inlineStr">
        <is>
          <t>environment_module_3d</t>
        </is>
      </c>
      <c r="E97" s="69" t="inlineStr">
        <is>
          <t>room_stair_lobby_threshold_guide</t>
        </is>
      </c>
      <c r="F97" s="69" t="inlineStr">
        <is>
          <t>root_3d</t>
        </is>
      </c>
      <c r="G97" s="69" t="inlineStr">
        <is>
          <t>ENV-DUNGEON-RUNTIME-3D</t>
        </is>
      </c>
      <c r="H97" s="69" t="inlineStr">
        <is>
          <t>Top3D / local -Z 正面</t>
        </is>
      </c>
      <c r="I97" s="69" t="inlineStr">
        <is>
          <t>default / prefab</t>
        </is>
      </c>
      <c r="J97" s="69" t="inlineStr">
        <is>
          <t>场景通用组件</t>
        </is>
      </c>
      <c r="K97" s="69" t="inlineStr">
        <is>
          <t>程序占位</t>
        </is>
      </c>
      <c r="L97" s="69" t="inlineStr">
        <is>
          <t>P1</t>
        </is>
      </c>
      <c r="M97" s="69" t="inlineStr">
        <is>
          <t>v001</t>
        </is>
      </c>
      <c r="N97" s="69" t="inlineStr">
        <is>
          <t>Godot PackedScene；根=Node3D；碰撞节点=0</t>
        </is>
      </c>
      <c r="O97" s="69" t="inlineStr">
        <is>
          <t>assets/art/props/dungeon_3d/prp_room_stair_lobby_threshold_guide_v001.tscn</t>
        </is>
      </c>
      <c r="P97" s="69" t="inlineStr">
        <is>
          <t>assets/art/3D模型资产目录与命名规范.md</t>
        </is>
      </c>
      <c r="Q97" s="69" t="inlineStr">
        <is>
          <t>楼梯厅门槛引导;3D;Prefab;场景通用组件;room_stair_lobby_threshold_guide</t>
        </is>
      </c>
      <c r="R97" s="69">
        <f>LOWER(TRIM(C97)&amp;"|"&amp;TRIM(D97)&amp;"|"&amp;TRIM(E97)&amp;"|"&amp;TRIM(F97)&amp;"|"&amp;TRIM(H97)&amp;"|"&amp;TRIM(I97))</f>
        <v/>
      </c>
      <c r="S97" s="69">
        <f>IF(COUNTIF($R$6:$R$239,R97)&gt;1,"重复","唯一")</f>
        <v/>
      </c>
      <c r="T97" s="69" t="inlineStr">
        <is>
          <t>434b6b0d6e3cf99062101cc2b1e9f2caa7d8270e1f642afed7397a6939734927</t>
        </is>
      </c>
      <c r="U97" s="69" t="inlineStr">
        <is>
          <t>Codex</t>
        </is>
      </c>
      <c r="V97" s="78" t="n">
        <v>46264</v>
      </c>
      <c r="W97" s="69" t="inlineStr">
        <is>
          <t>项目现有Godot资产</t>
        </is>
      </c>
      <c r="X97" s="75" t="inlineStr">
        <is>
          <t>—</t>
        </is>
      </c>
      <c r="Y97" s="6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>
      <c r="A98" s="69" t="inlineStr">
        <is>
          <t>ENV-DUNGEON-VERTICAL-ACCESS-MARKER</t>
        </is>
      </c>
      <c r="B98" s="69" t="inlineStr">
        <is>
          <t>垂直通行标记</t>
        </is>
      </c>
      <c r="C98" s="69" t="inlineStr">
        <is>
          <t>场景</t>
        </is>
      </c>
      <c r="D98" s="69" t="inlineStr">
        <is>
          <t>environment_module_3d</t>
        </is>
      </c>
      <c r="E98" s="69" t="inlineStr">
        <is>
          <t>room_vertical_access_marker_label</t>
        </is>
      </c>
      <c r="F98" s="69" t="inlineStr">
        <is>
          <t>root_3d</t>
        </is>
      </c>
      <c r="G98" s="69" t="inlineStr">
        <is>
          <t>ENV-DUNGEON-RUNTIME-3D</t>
        </is>
      </c>
      <c r="H98" s="69" t="inlineStr">
        <is>
          <t>Top3D / local -Z 正面</t>
        </is>
      </c>
      <c r="I98" s="69" t="inlineStr">
        <is>
          <t>default / prefab</t>
        </is>
      </c>
      <c r="J98" s="69" t="inlineStr">
        <is>
          <t>场景通用组件</t>
        </is>
      </c>
      <c r="K98" s="69" t="inlineStr">
        <is>
          <t>程序占位</t>
        </is>
      </c>
      <c r="L98" s="69" t="inlineStr">
        <is>
          <t>P1</t>
        </is>
      </c>
      <c r="M98" s="69" t="inlineStr">
        <is>
          <t>v001</t>
        </is>
      </c>
      <c r="N98" s="69" t="inlineStr">
        <is>
          <t>Godot PackedScene；根=Node3D；碰撞节点=0</t>
        </is>
      </c>
      <c r="O98" s="69" t="inlineStr">
        <is>
          <t>assets/art/props/dungeon_3d/prp_room_vertical_access_marker_label_v001.tscn</t>
        </is>
      </c>
      <c r="P98" s="69" t="inlineStr">
        <is>
          <t>assets/art/3D模型资产目录与命名规范.md</t>
        </is>
      </c>
      <c r="Q98" s="69" t="inlineStr">
        <is>
          <t>垂直通行标记;3D;Prefab;场景通用组件;room_vertical_access_marker_label</t>
        </is>
      </c>
      <c r="R98" s="69">
        <f>LOWER(TRIM(C98)&amp;"|"&amp;TRIM(D98)&amp;"|"&amp;TRIM(E98)&amp;"|"&amp;TRIM(F98)&amp;"|"&amp;TRIM(H98)&amp;"|"&amp;TRIM(I98))</f>
        <v/>
      </c>
      <c r="S98" s="69">
        <f>IF(COUNTIF($R$6:$R$239,R98)&gt;1,"重复","唯一")</f>
        <v/>
      </c>
      <c r="T98" s="69" t="inlineStr">
        <is>
          <t>d16dba271384f6d34a5426fe8060e6ebf08bec99acb2c227d480f1749482eb9a</t>
        </is>
      </c>
      <c r="U98" s="69" t="inlineStr">
        <is>
          <t>Codex</t>
        </is>
      </c>
      <c r="V98" s="78" t="n">
        <v>46264</v>
      </c>
      <c r="W98" s="69" t="inlineStr">
        <is>
          <t>项目现有Godot资产</t>
        </is>
      </c>
      <c r="X98" s="75" t="inlineStr">
        <is>
          <t>—</t>
        </is>
      </c>
      <c r="Y98" s="6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>
      <c r="A99" s="69" t="inlineStr">
        <is>
          <t>ENV-DUNGEON-ROOM-WALL-DOOR-SEGMENT</t>
        </is>
      </c>
      <c r="B99" s="69" t="inlineStr">
        <is>
          <t>房间带门墙段</t>
        </is>
      </c>
      <c r="C99" s="69" t="inlineStr">
        <is>
          <t>场景</t>
        </is>
      </c>
      <c r="D99" s="69" t="inlineStr">
        <is>
          <t>environment_module_3d</t>
        </is>
      </c>
      <c r="E99" s="69" t="inlineStr">
        <is>
          <t>room_wall_door_segment</t>
        </is>
      </c>
      <c r="F99" s="69" t="inlineStr">
        <is>
          <t>root_3d</t>
        </is>
      </c>
      <c r="G99" s="69" t="inlineStr">
        <is>
          <t>ENV-DUNGEON-RUNTIME-3D</t>
        </is>
      </c>
      <c r="H99" s="69" t="inlineStr">
        <is>
          <t>Top3D / local -Z 正面</t>
        </is>
      </c>
      <c r="I99" s="69" t="inlineStr">
        <is>
          <t>default / prefab</t>
        </is>
      </c>
      <c r="J99" s="69" t="inlineStr">
        <is>
          <t>场景通用组件</t>
        </is>
      </c>
      <c r="K99" s="69" t="inlineStr">
        <is>
          <t>程序占位</t>
        </is>
      </c>
      <c r="L99" s="69" t="inlineStr">
        <is>
          <t>P1</t>
        </is>
      </c>
      <c r="M99" s="69" t="inlineStr">
        <is>
          <t>v001</t>
        </is>
      </c>
      <c r="N99" s="69" t="inlineStr">
        <is>
          <t>Godot PackedScene；根=Node3D；碰撞节点=1</t>
        </is>
      </c>
      <c r="O99" s="69" t="inlineStr">
        <is>
          <t>assets/art/props/dungeon_3d/prp_room_wall_door_segment_v001.tscn</t>
        </is>
      </c>
      <c r="P99" s="69" t="inlineStr">
        <is>
          <t>assets/art/3D模型资产目录与命名规范.md</t>
        </is>
      </c>
      <c r="Q99" s="69" t="inlineStr">
        <is>
          <t>房间带门墙段;3D;Prefab;场景通用组件;room_wall_door_segment</t>
        </is>
      </c>
      <c r="R99" s="69">
        <f>LOWER(TRIM(C99)&amp;"|"&amp;TRIM(D99)&amp;"|"&amp;TRIM(E99)&amp;"|"&amp;TRIM(F99)&amp;"|"&amp;TRIM(H99)&amp;"|"&amp;TRIM(I99))</f>
        <v/>
      </c>
      <c r="S99" s="69">
        <f>IF(COUNTIF($R$6:$R$239,R99)&gt;1,"重复","唯一")</f>
        <v/>
      </c>
      <c r="T99" s="69" t="inlineStr">
        <is>
          <t>2b8f588e1fddcfe785d72bf14786fa3b3757733bcca2b4517f93c89c0c9cd299</t>
        </is>
      </c>
      <c r="U99" s="69" t="inlineStr">
        <is>
          <t>Codex</t>
        </is>
      </c>
      <c r="V99" s="78" t="n">
        <v>46264</v>
      </c>
      <c r="W99" s="69" t="inlineStr">
        <is>
          <t>项目现有Godot资产</t>
        </is>
      </c>
      <c r="X99" s="75" t="inlineStr">
        <is>
          <t>—</t>
        </is>
      </c>
      <c r="Y99" s="6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>
      <c r="A100" s="69" t="inlineStr">
        <is>
          <t>ENV-DUNGEON-ROOM-WALL-SEGMENT</t>
        </is>
      </c>
      <c r="B100" s="69" t="inlineStr">
        <is>
          <t>房间普通墙段</t>
        </is>
      </c>
      <c r="C100" s="69" t="inlineStr">
        <is>
          <t>场景</t>
        </is>
      </c>
      <c r="D100" s="69" t="inlineStr">
        <is>
          <t>environment_module_3d</t>
        </is>
      </c>
      <c r="E100" s="69" t="inlineStr">
        <is>
          <t>room_wall_segment</t>
        </is>
      </c>
      <c r="F100" s="69" t="inlineStr">
        <is>
          <t>root_3d</t>
        </is>
      </c>
      <c r="G100" s="69" t="inlineStr">
        <is>
          <t>ENV-DUNGEON-RUNTIME-3D</t>
        </is>
      </c>
      <c r="H100" s="69" t="inlineStr">
        <is>
          <t>Top3D / local -Z 正面</t>
        </is>
      </c>
      <c r="I100" s="69" t="inlineStr">
        <is>
          <t>default / prefab</t>
        </is>
      </c>
      <c r="J100" s="69" t="inlineStr">
        <is>
          <t>场景通用组件</t>
        </is>
      </c>
      <c r="K100" s="69" t="inlineStr">
        <is>
          <t>程序占位</t>
        </is>
      </c>
      <c r="L100" s="69" t="inlineStr">
        <is>
          <t>P1</t>
        </is>
      </c>
      <c r="M100" s="69" t="inlineStr">
        <is>
          <t>v001</t>
        </is>
      </c>
      <c r="N100" s="69" t="inlineStr">
        <is>
          <t>Godot PackedScene；根=Node3D；碰撞节点=1</t>
        </is>
      </c>
      <c r="O100" s="69" t="inlineStr">
        <is>
          <t>assets/art/props/dungeon_3d/prp_room_wall_segment_v001.tscn</t>
        </is>
      </c>
      <c r="P100" s="69" t="inlineStr">
        <is>
          <t>assets/art/3D模型资产目录与命名规范.md</t>
        </is>
      </c>
      <c r="Q100" s="69" t="inlineStr">
        <is>
          <t>房间普通墙段;3D;Prefab;场景通用组件;room_wall_segment</t>
        </is>
      </c>
      <c r="R100" s="69">
        <f>LOWER(TRIM(C100)&amp;"|"&amp;TRIM(D100)&amp;"|"&amp;TRIM(E100)&amp;"|"&amp;TRIM(F100)&amp;"|"&amp;TRIM(H100)&amp;"|"&amp;TRIM(I100))</f>
        <v/>
      </c>
      <c r="S100" s="69">
        <f>IF(COUNTIF($R$6:$R$239,R100)&gt;1,"重复","唯一")</f>
        <v/>
      </c>
      <c r="T100" s="69" t="inlineStr">
        <is>
          <t>abaad0806ec2da25df27bec88720515e194cf409a53a507606f73494a9cd2e6a</t>
        </is>
      </c>
      <c r="U100" s="69" t="inlineStr">
        <is>
          <t>Codex</t>
        </is>
      </c>
      <c r="V100" s="78" t="n">
        <v>46264</v>
      </c>
      <c r="W100" s="69" t="inlineStr">
        <is>
          <t>项目现有Godot资产</t>
        </is>
      </c>
      <c r="X100" s="75" t="inlineStr">
        <is>
          <t>—</t>
        </is>
      </c>
      <c r="Y100" s="6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>
      <c r="A101" s="69" t="inlineStr">
        <is>
          <t>ENV-TOWER-WALL-PARAPET-DOOR-5M</t>
        </is>
      </c>
      <c r="B101" s="69" t="inlineStr">
        <is>
          <t>塔楼带门女儿墙5米</t>
        </is>
      </c>
      <c r="C101" s="69" t="inlineStr">
        <is>
          <t>场景</t>
        </is>
      </c>
      <c r="D101" s="69" t="inlineStr">
        <is>
          <t>environment_module_3d</t>
        </is>
      </c>
      <c r="E101" s="69" t="inlineStr">
        <is>
          <t>tower_wall_parapet_door_5m</t>
        </is>
      </c>
      <c r="F101" s="69" t="inlineStr">
        <is>
          <t>root_3d</t>
        </is>
      </c>
      <c r="G101" s="69" t="inlineStr">
        <is>
          <t>ENV-TOWER-DESCENT-KIT-3D</t>
        </is>
      </c>
      <c r="H101" s="69" t="inlineStr">
        <is>
          <t>Top3D / local -Z 正面</t>
        </is>
      </c>
      <c r="I101" s="69" t="inlineStr">
        <is>
          <t>default / prefab</t>
        </is>
      </c>
      <c r="J101" s="69" t="inlineStr">
        <is>
          <t>场景通用组件</t>
        </is>
      </c>
      <c r="K101" s="69" t="inlineStr">
        <is>
          <t>程序占位</t>
        </is>
      </c>
      <c r="L101" s="69" t="inlineStr">
        <is>
          <t>P1</t>
        </is>
      </c>
      <c r="M101" s="69" t="inlineStr">
        <is>
          <t>v001</t>
        </is>
      </c>
      <c r="N101" s="69" t="inlineStr">
        <is>
          <t>Godot PackedScene；根=Node3D；碰撞节点=2</t>
        </is>
      </c>
      <c r="O101" s="69" t="inlineStr">
        <is>
          <t>assets/art/props/dungeon_3d/prp_tower_wall_parapet_door_5m_v001.tscn</t>
        </is>
      </c>
      <c r="P101" s="69" t="inlineStr">
        <is>
          <t>assets/art/3D模型资产目录与命名规范.md</t>
        </is>
      </c>
      <c r="Q101" s="69" t="inlineStr">
        <is>
          <t>塔楼带门女儿墙5米;3D;Prefab;场景通用组件;tower_wall_parapet_door_5m</t>
        </is>
      </c>
      <c r="R101" s="69">
        <f>LOWER(TRIM(C101)&amp;"|"&amp;TRIM(D101)&amp;"|"&amp;TRIM(E101)&amp;"|"&amp;TRIM(F101)&amp;"|"&amp;TRIM(H101)&amp;"|"&amp;TRIM(I101))</f>
        <v/>
      </c>
      <c r="S101" s="69">
        <f>IF(COUNTIF($R$6:$R$239,R101)&gt;1,"重复","唯一")</f>
        <v/>
      </c>
      <c r="T101" s="69" t="inlineStr">
        <is>
          <t>5112789a1c06ea2d2da1b5da68f0ca07a2f65903ace288956a3de8aa10b22aa3</t>
        </is>
      </c>
      <c r="U101" s="69" t="inlineStr">
        <is>
          <t>Codex</t>
        </is>
      </c>
      <c r="V101" s="78" t="n">
        <v>46264</v>
      </c>
      <c r="W101" s="69" t="inlineStr">
        <is>
          <t>项目现有Godot资产</t>
        </is>
      </c>
      <c r="X101" s="75" t="inlineStr">
        <is>
          <t>—</t>
        </is>
      </c>
      <c r="Y101" s="6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>
      <c r="A102" s="69" t="inlineStr">
        <is>
          <t>PRP-BASE-FACILITY-LIGHT-GRID-3D</t>
        </is>
      </c>
      <c r="B102" s="69" t="inlineStr">
        <is>
          <t>基地设施灯光网格</t>
        </is>
      </c>
      <c r="C102" s="69" t="inlineStr">
        <is>
          <t>场景道具</t>
        </is>
      </c>
      <c r="D102" s="69" t="inlineStr">
        <is>
          <t>facility</t>
        </is>
      </c>
      <c r="E102" s="69" t="inlineStr">
        <is>
          <t>base_facility_light_grid</t>
        </is>
      </c>
      <c r="F102" s="69" t="inlineStr">
        <is>
          <t>root_3d</t>
        </is>
      </c>
      <c r="G102" s="69" t="inlineStr">
        <is>
          <t>PRP-BASE-FACILITY-3D</t>
        </is>
      </c>
      <c r="H102" s="69" t="inlineStr">
        <is>
          <t>Top3D / local -Z 正面</t>
        </is>
      </c>
      <c r="I102" s="69" t="inlineStr">
        <is>
          <t>default / prefab</t>
        </is>
      </c>
      <c r="J102" s="69" t="inlineStr">
        <is>
          <t>设施组件</t>
        </is>
      </c>
      <c r="K102" s="69" t="inlineStr">
        <is>
          <t>程序占位</t>
        </is>
      </c>
      <c r="L102" s="69" t="inlineStr">
        <is>
          <t>P1</t>
        </is>
      </c>
      <c r="M102" s="69" t="inlineStr">
        <is>
          <t>v001</t>
        </is>
      </c>
      <c r="N102" s="69" t="inlineStr">
        <is>
          <t>Godot PackedScene；根=Node3D；碰撞节点=0</t>
        </is>
      </c>
      <c r="O102" s="69" t="inlineStr">
        <is>
          <t>assets/art/props/dungeon_3d/prp_base_facility_light_grid_root_top3d_v001.tscn</t>
        </is>
      </c>
      <c r="P102" s="69" t="inlineStr">
        <is>
          <t>assets/art/props/dungeon_3d/prp_wasteland_light_root_top3d_v001.tscn; assets/art/3D模型资产目录与命名规范.md</t>
        </is>
      </c>
      <c r="Q102" s="69" t="inlineStr">
        <is>
          <t>基地设施灯光网格;3D;Prefab;设施组件;base_facility_light_grid</t>
        </is>
      </c>
      <c r="R102" s="69">
        <f>LOWER(TRIM(C102)&amp;"|"&amp;TRIM(D102)&amp;"|"&amp;TRIM(E102)&amp;"|"&amp;TRIM(F102)&amp;"|"&amp;TRIM(H102)&amp;"|"&amp;TRIM(I102))</f>
        <v/>
      </c>
      <c r="S102" s="69">
        <f>IF(COUNTIF($R$6:$R$239,R102)&gt;1,"重复","唯一")</f>
        <v/>
      </c>
      <c r="T102" s="69" t="inlineStr">
        <is>
          <t>830cd5af5cdbad6e744ebb2eaaa2508aeb70a618f790a9c4edec23d59b5c7043</t>
        </is>
      </c>
      <c r="U102" s="69" t="inlineStr">
        <is>
          <t>Codex</t>
        </is>
      </c>
      <c r="V102" s="78" t="n">
        <v>46252</v>
      </c>
      <c r="W102" s="69" t="inlineStr">
        <is>
          <t>项目现有Godot资产</t>
        </is>
      </c>
      <c r="X102" s="75" t="inlineStr">
        <is>
          <t>—</t>
        </is>
      </c>
      <c r="Y102" s="69" t="inlineStr">
        <is>
          <t>2026-08-18项目扫描补登记；按Prefab独立身份管理；根节点=BaseFacilityLightGrid(Node3D)；子Prefab=1；2026-08-18扫描补登记资产主表</t>
        </is>
      </c>
    </row>
    <row r="103">
      <c r="A103" s="69" t="inlineStr">
        <is>
          <t>ENV-BASE99-WALL-WINDOW-5X12</t>
        </is>
      </c>
      <c r="B103" s="69" t="inlineStr">
        <is>
          <t>基地99层带窗墙体5×12米</t>
        </is>
      </c>
      <c r="C103" s="69" t="inlineStr">
        <is>
          <t>场景</t>
        </is>
      </c>
      <c r="D103" s="69" t="inlineStr">
        <is>
          <t>environment_module_3d</t>
        </is>
      </c>
      <c r="E103" s="69" t="inlineStr">
        <is>
          <t>base99_wall_window_5x12</t>
        </is>
      </c>
      <c r="F103" s="69" t="inlineStr">
        <is>
          <t>wall_window</t>
        </is>
      </c>
      <c r="G103" s="69" t="inlineStr">
        <is>
          <t>ENV-BASE99-MODULAR-KIT-3D</t>
        </is>
      </c>
      <c r="H103" s="69" t="inlineStr">
        <is>
          <t>Top3D / local -Z 正面</t>
        </is>
      </c>
      <c r="I103" s="69" t="inlineStr">
        <is>
          <t>default / visual_only</t>
        </is>
      </c>
      <c r="J103" s="69" t="inlineStr">
        <is>
          <t>99层基地模块化结构</t>
        </is>
      </c>
      <c r="K103" s="69" t="inlineStr">
        <is>
          <t>已完成</t>
        </is>
      </c>
      <c r="L103" s="69" t="inlineStr">
        <is>
          <t>P0</t>
        </is>
      </c>
      <c r="M103" s="69" t="inlineStr">
        <is>
          <t>v002</t>
        </is>
      </c>
      <c r="N103" s="69" t="inlineStr">
        <is>
          <t>5×12×0.60m逻辑外廓；11.9m可见墙；底边中心原点</t>
        </is>
      </c>
      <c r="O103" s="69" t="inlineStr">
        <is>
          <t>assets/art/environments/base_facility_3d/runtime/env_base99_wall_window_5x12/env_base99_wall_window_5x12_root_top3d.tscn</t>
        </is>
      </c>
      <c r="P103" s="69" t="inlineStr">
        <is>
          <t>assets/art/environments/base_facility_3d/source/wall_height12/env_base99_wall_window_5x12_source_v002.blend; scripts/blender/extend_wall_glb_to_11p9_v001.py</t>
        </is>
      </c>
      <c r="Q103" s="69" t="inlineStr">
        <is>
          <t>基地99层带窗墙体5×12米;base99;11.9米可见墙;PaletteUV</t>
        </is>
      </c>
      <c r="R103" s="69">
        <f>LOWER(TRIM(C103)&amp;"|"&amp;TRIM(D103)&amp;"|"&amp;TRIM(E103)&amp;"|"&amp;TRIM(F103)&amp;"|"&amp;TRIM(H103)&amp;"|"&amp;TRIM(I103))</f>
        <v/>
      </c>
      <c r="S103" s="69">
        <f>IF(COUNTIF($R$6:$R$239,R103)&gt;1,"重复","唯一")</f>
        <v/>
      </c>
      <c r="T103" s="69" t="inlineStr">
        <is>
          <t>f6d6c25d9d438daa18f5425cea6cacfdfd86151276aa4b159a407bb18ff0fd64</t>
        </is>
      </c>
      <c r="U103" s="69" t="inlineStr">
        <is>
          <t>Codex</t>
        </is>
      </c>
      <c r="V103" s="69" t="n">
        <v>46277</v>
      </c>
      <c r="W103" s="69" t="inlineStr">
        <is>
          <t>用户自制Blender资产</t>
        </is>
      </c>
      <c r="X103" s="75" t="inlineStr">
        <is>
          <t>—</t>
        </is>
      </c>
      <c r="Y103" s="6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>
      <c r="A104" s="69" t="inlineStr">
        <is>
          <t>ENV-BASE99-MEZZANINE-20X10-Z7</t>
        </is>
      </c>
      <c r="B104" s="69" t="inlineStr">
        <is>
          <t>基地99层7米楼中楼楼板</t>
        </is>
      </c>
      <c r="C104" s="69" t="inlineStr">
        <is>
          <t>场景</t>
        </is>
      </c>
      <c r="D104" s="69" t="inlineStr">
        <is>
          <t>environment_module_3d</t>
        </is>
      </c>
      <c r="E104" s="69" t="inlineStr">
        <is>
          <t>base99_mezzanine_20x10_z7</t>
        </is>
      </c>
      <c r="F104" s="69" t="inlineStr">
        <is>
          <t>mezzanine</t>
        </is>
      </c>
      <c r="G104" s="69" t="inlineStr">
        <is>
          <t>ENV-BASE99-MODULAR-KIT-3D</t>
        </is>
      </c>
      <c r="H104" s="69" t="inlineStr">
        <is>
          <t>Top3D / local -Z 正面</t>
        </is>
      </c>
      <c r="I104" s="69" t="inlineStr">
        <is>
          <t>default / visual_only</t>
        </is>
      </c>
      <c r="J104" s="69" t="inlineStr">
        <is>
          <t>99层基地模块化结构</t>
        </is>
      </c>
      <c r="K104" s="69" t="inlineStr">
        <is>
          <t>已完成</t>
        </is>
      </c>
      <c r="L104" s="69" t="inlineStr">
        <is>
          <t>P0</t>
        </is>
      </c>
      <c r="M104" s="69" t="inlineStr">
        <is>
          <t>v001</t>
        </is>
      </c>
      <c r="N104" s="69" t="inlineStr">
        <is>
          <t>约20.25×10.25m外廓；完成面7m；底部中心原点</t>
        </is>
      </c>
      <c r="O104" s="69" t="inlineStr">
        <is>
          <t>assets/art/environments/base_facility_3d/runtime/env_base99_mezzanine_20x10_z7/env_base99_mezzanine_20x10_z7_root_top3d.tscn</t>
        </is>
      </c>
      <c r="P104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69" t="inlineStr">
        <is>
          <t>基地99层7米楼中楼楼板;base99;PaletteUV;cast_and_receive</t>
        </is>
      </c>
      <c r="R104" s="69">
        <f>LOWER(TRIM(C104)&amp;"|"&amp;TRIM(D104)&amp;"|"&amp;TRIM(E104)&amp;"|"&amp;TRIM(F104)&amp;"|"&amp;TRIM(H104)&amp;"|"&amp;TRIM(I104))</f>
        <v/>
      </c>
      <c r="S104" s="69">
        <f>IF(COUNTIF($R$6:$R$239,R104)&gt;1,"重复","唯一")</f>
        <v/>
      </c>
      <c r="T104" s="69" t="inlineStr">
        <is>
          <t>e4a736764edfe29345bddc85c226360e7cd4ad0c44474c715b704b8521c9a8ac</t>
        </is>
      </c>
      <c r="U104" s="69" t="inlineStr">
        <is>
          <t>Codex</t>
        </is>
      </c>
      <c r="V104" s="69" t="n">
        <v>46264</v>
      </c>
      <c r="W104" s="69" t="inlineStr">
        <is>
          <t>用户自制Blender资产</t>
        </is>
      </c>
      <c r="X104" s="75" t="inlineStr">
        <is>
          <t>—</t>
        </is>
      </c>
      <c r="Y104" s="69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>
      <c r="A105" s="69" t="inlineStr">
        <is>
          <t>ENV-BASE99-STAIR-L-Z7</t>
        </is>
      </c>
      <c r="B105" s="69" t="inlineStr">
        <is>
          <t>基地99层7米L型楼梯</t>
        </is>
      </c>
      <c r="C105" s="69" t="inlineStr">
        <is>
          <t>场景</t>
        </is>
      </c>
      <c r="D105" s="69" t="inlineStr">
        <is>
          <t>environment_module_3d</t>
        </is>
      </c>
      <c r="E105" s="69" t="inlineStr">
        <is>
          <t>base99_stair_l_z7</t>
        </is>
      </c>
      <c r="F105" s="69" t="inlineStr">
        <is>
          <t>stair_l</t>
        </is>
      </c>
      <c r="G105" s="69" t="inlineStr">
        <is>
          <t>ENV-BASE99-MODULAR-KIT-3D</t>
        </is>
      </c>
      <c r="H105" s="69" t="inlineStr">
        <is>
          <t>Top3D / local -Z 正面</t>
        </is>
      </c>
      <c r="I105" s="69" t="inlineStr">
        <is>
          <t>default / visual_only</t>
        </is>
      </c>
      <c r="J105" s="69" t="inlineStr">
        <is>
          <t>99层基地模块化结构</t>
        </is>
      </c>
      <c r="K105" s="69" t="inlineStr">
        <is>
          <t>已完成</t>
        </is>
      </c>
      <c r="L105" s="69" t="inlineStr">
        <is>
          <t>P0</t>
        </is>
      </c>
      <c r="M105" s="69" t="inlineStr">
        <is>
          <t>v001</t>
        </is>
      </c>
      <c r="N105" s="69" t="inlineStr">
        <is>
          <t>约9.22×10.54×7.94m外廓；一楼至7m楼板</t>
        </is>
      </c>
      <c r="O105" s="69" t="inlineStr">
        <is>
          <t>assets/art/environments/base_facility_3d/runtime/env_base99_stair_l_z7/env_base99_stair_l_z7_root_top3d.tscn</t>
        </is>
      </c>
      <c r="P105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69" t="inlineStr">
        <is>
          <t>基地99层7米L型楼梯;base99;PaletteUV;cast_and_receive</t>
        </is>
      </c>
      <c r="R105" s="69">
        <f>LOWER(TRIM(C105)&amp;"|"&amp;TRIM(D105)&amp;"|"&amp;TRIM(E105)&amp;"|"&amp;TRIM(F105)&amp;"|"&amp;TRIM(H105)&amp;"|"&amp;TRIM(I105))</f>
        <v/>
      </c>
      <c r="S105" s="69">
        <f>IF(COUNTIF($R$6:$R$239,R105)&gt;1,"重复","唯一")</f>
        <v/>
      </c>
      <c r="T105" s="69" t="inlineStr">
        <is>
          <t>fa7d1d7f9745050ba7e584a2d8908b6eec256dfdeb5b22cf934b065096425254</t>
        </is>
      </c>
      <c r="U105" s="69" t="inlineStr">
        <is>
          <t>Codex</t>
        </is>
      </c>
      <c r="V105" s="69" t="n">
        <v>46264</v>
      </c>
      <c r="W105" s="69" t="inlineStr">
        <is>
          <t>用户自制Blender资产</t>
        </is>
      </c>
      <c r="X105" s="75" t="inlineStr">
        <is>
          <t>—</t>
        </is>
      </c>
      <c r="Y105" s="69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>
      <c r="A106" s="69" t="inlineStr">
        <is>
          <t>ENV-BASE99-STAIR-EXTERIOR-H2</t>
        </is>
      </c>
      <c r="B106" s="69" t="inlineStr">
        <is>
          <t>基地99层二楼外门2米小楼梯</t>
        </is>
      </c>
      <c r="C106" s="69" t="inlineStr">
        <is>
          <t>场景</t>
        </is>
      </c>
      <c r="D106" s="69" t="inlineStr">
        <is>
          <t>environment_module_3d</t>
        </is>
      </c>
      <c r="E106" s="69" t="inlineStr">
        <is>
          <t>base99_stair_exterior_h2</t>
        </is>
      </c>
      <c r="F106" s="69" t="inlineStr">
        <is>
          <t>stair_exterior</t>
        </is>
      </c>
      <c r="G106" s="69" t="inlineStr">
        <is>
          <t>ENV-BASE99-MODULAR-KIT-3D</t>
        </is>
      </c>
      <c r="H106" s="69" t="inlineStr">
        <is>
          <t>Top3D / local -Z 正面</t>
        </is>
      </c>
      <c r="I106" s="69" t="inlineStr">
        <is>
          <t>default / visual_only</t>
        </is>
      </c>
      <c r="J106" s="69" t="inlineStr">
        <is>
          <t>99层基地模块化结构</t>
        </is>
      </c>
      <c r="K106" s="69" t="inlineStr">
        <is>
          <t>已完成</t>
        </is>
      </c>
      <c r="L106" s="69" t="inlineStr">
        <is>
          <t>P0</t>
        </is>
      </c>
      <c r="M106" s="69" t="inlineStr">
        <is>
          <t>v001</t>
        </is>
      </c>
      <c r="N106" s="69" t="inlineStr">
        <is>
          <t>4.515×2.80×2.00m；7m楼板至9m外门门槛</t>
        </is>
      </c>
      <c r="O106" s="69" t="inlineStr">
        <is>
          <t>assets/art/environments/base_facility_3d/runtime/env_base99_stair_exterior_h2/env_base99_stair_exterior_h2_root_top3d.tscn</t>
        </is>
      </c>
      <c r="P10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69" t="inlineStr">
        <is>
          <t>基地99层二楼外门2米小楼梯;base99;PaletteUV;cast_and_receive</t>
        </is>
      </c>
      <c r="R106" s="69">
        <f>LOWER(TRIM(C106)&amp;"|"&amp;TRIM(D106)&amp;"|"&amp;TRIM(E106)&amp;"|"&amp;TRIM(F106)&amp;"|"&amp;TRIM(H106)&amp;"|"&amp;TRIM(I106))</f>
        <v/>
      </c>
      <c r="S106" s="69">
        <f>IF(COUNTIF($R$6:$R$239,R106)&gt;1,"重复","唯一")</f>
        <v/>
      </c>
      <c r="T106" s="69" t="inlineStr">
        <is>
          <t>7f7ba660bd28cad7f71605f7d2b2aa15726bbe19047e69a871efc0c21e93b73d</t>
        </is>
      </c>
      <c r="U106" s="69" t="inlineStr">
        <is>
          <t>Codex</t>
        </is>
      </c>
      <c r="V106" s="69" t="n">
        <v>46264</v>
      </c>
      <c r="W106" s="69" t="inlineStr">
        <is>
          <t>用户自制Blender资产</t>
        </is>
      </c>
      <c r="X106" s="75" t="inlineStr">
        <is>
          <t>—</t>
        </is>
      </c>
      <c r="Y106" s="69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>
      <c r="A107" s="69" t="inlineStr">
        <is>
          <t>ENV-BASE99-DOOR-LIFT-22X25</t>
        </is>
      </c>
      <c r="B107" s="69" t="inlineStr">
        <is>
          <t>基地99层2.2×2.5米滑升门扇</t>
        </is>
      </c>
      <c r="C107" s="69" t="inlineStr">
        <is>
          <t>场景</t>
        </is>
      </c>
      <c r="D107" s="69" t="inlineStr">
        <is>
          <t>facility_visual_3d</t>
        </is>
      </c>
      <c r="E107" s="69" t="inlineStr">
        <is>
          <t>base99_door_lift_2p2x2p5</t>
        </is>
      </c>
      <c r="F107" s="69" t="inlineStr">
        <is>
          <t>door_leaf</t>
        </is>
      </c>
      <c r="G107" s="69" t="inlineStr">
        <is>
          <t>ENV-BASE99-MODULAR-KIT-3D</t>
        </is>
      </c>
      <c r="H107" s="69" t="inlineStr">
        <is>
          <t>Top3D / local -Z 正面</t>
        </is>
      </c>
      <c r="I107" s="69" t="inlineStr">
        <is>
          <t>default / visual_only</t>
        </is>
      </c>
      <c r="J107" s="69" t="inlineStr">
        <is>
          <t>99层基地东/西滑升门</t>
        </is>
      </c>
      <c r="K107" s="69" t="inlineStr">
        <is>
          <t>已完成</t>
        </is>
      </c>
      <c r="L107" s="69" t="inlineStr">
        <is>
          <t>P0</t>
        </is>
      </c>
      <c r="M107" s="69" t="inlineStr">
        <is>
          <t>v001</t>
        </is>
      </c>
      <c r="N107" s="69" t="inlineStr">
        <is>
          <t>2.2×0.325×2.5m；底边中心原点</t>
        </is>
      </c>
      <c r="O107" s="69" t="inlineStr">
        <is>
          <t>assets/art/environments/base_facility_3d/runtime/env_base99_door_lift_2p2x2p5/env_base99_door_lift_2p2x2p5_root_top3d.tscn</t>
        </is>
      </c>
      <c r="P107" s="6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69" t="inlineStr">
        <is>
          <t>基地99层2.2×2.5米滑升门扇;base99;PaletteUV;cast_and_receive</t>
        </is>
      </c>
      <c r="R107" s="69">
        <f>LOWER(TRIM(C107)&amp;"|"&amp;TRIM(D107)&amp;"|"&amp;TRIM(E107)&amp;"|"&amp;TRIM(F107)&amp;"|"&amp;TRIM(H107)&amp;"|"&amp;TRIM(I107))</f>
        <v/>
      </c>
      <c r="S107" s="69">
        <f>IF(COUNTIF($R$6:$R$239,R107)&gt;1,"重复","唯一")</f>
        <v/>
      </c>
      <c r="T107" s="69" t="inlineStr">
        <is>
          <t>3d818286df5334e4f4b8ea9b27413a9c68d68b576adfed199e162d18c6be0b38</t>
        </is>
      </c>
      <c r="U107" s="69" t="inlineStr">
        <is>
          <t>Codex</t>
        </is>
      </c>
      <c r="V107" s="69" t="n">
        <v>46264</v>
      </c>
      <c r="W107" s="69" t="inlineStr">
        <is>
          <t>用户自制Blender资产</t>
        </is>
      </c>
      <c r="X107" s="75" t="inlineStr">
        <is>
          <t>—</t>
        </is>
      </c>
      <c r="Y107" s="69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>
      <c r="A108" s="79" t="inlineStr">
        <is>
          <t>ENV-BASE100-UPPER-SHELL-30X30-H12</t>
        </is>
      </c>
      <c r="B108" s="79" t="inlineStr">
        <is>
          <t>基地100层上层围护与24米封顶</t>
        </is>
      </c>
      <c r="C108" s="79" t="inlineStr">
        <is>
          <t>场景</t>
        </is>
      </c>
      <c r="D108" s="79" t="inlineStr">
        <is>
          <t>environment_kit_3d</t>
        </is>
      </c>
      <c r="E108" s="79" t="inlineStr">
        <is>
          <t>base100_upper_shell_30x30_h12</t>
        </is>
      </c>
      <c r="F108" s="79" t="inlineStr">
        <is>
          <t>root_3d</t>
        </is>
      </c>
      <c r="G108" s="79" t="inlineStr">
        <is>
          <t>ENV-BASE99-MODULAR-KIT-3D</t>
        </is>
      </c>
      <c r="H108" s="79" t="inlineStr">
        <is>
          <t>Top3D / local -Z 正面</t>
        </is>
      </c>
      <c r="I108" s="79" t="inlineStr">
        <is>
          <t>default / prefab</t>
        </is>
      </c>
      <c r="J108" s="79" t="inlineStr">
        <is>
          <t>场景通用组件</t>
        </is>
      </c>
      <c r="K108" s="79" t="inlineStr">
        <is>
          <t>已完成</t>
        </is>
      </c>
      <c r="L108" s="79" t="inlineStr">
        <is>
          <t>P0</t>
        </is>
      </c>
      <c r="M108" s="79" t="inlineStr">
        <is>
          <t>v002</t>
        </is>
      </c>
      <c r="N108" s="79" t="inlineStr">
        <is>
          <t>30×30m围护；本地12—24m墙体；24m封顶；墙视觉11.9m</t>
        </is>
      </c>
      <c r="O108" s="79" t="inlineStr">
        <is>
          <t>assets/art/environments/base_facility_3d/runtime/env_base100_upper_shell_30x30_h12/env_base100_upper_shell_30x30_h12_root_top3d.tscn</t>
        </is>
      </c>
      <c r="P108" s="79" t="inlineStr">
        <is>
          <t>src/world3d/Base100UpperShell3D.gd; assets/art/environments/base_facility_3d/source/wall_height12/</t>
        </is>
      </c>
      <c r="Q108" s="79" t="inlineStr">
        <is>
          <t>基地100层;上层围护;北侧窗墙;24米封顶;12米层高</t>
        </is>
      </c>
      <c r="R108" s="79">
        <f>LOWER(TRIM(C108)&amp;"|"&amp;TRIM(D108)&amp;"|"&amp;TRIM(E108)&amp;"|"&amp;TRIM(F108)&amp;"|"&amp;TRIM(H108)&amp;"|"&amp;TRIM(I108))</f>
        <v/>
      </c>
      <c r="S108" s="79">
        <f>IF(COUNTIF($R$6:$R$239,R108)&gt;1,"重复","唯一")</f>
        <v/>
      </c>
      <c r="T108" s="79" t="inlineStr">
        <is>
          <t>3c44b2bdd1cf204da495cc7d4196af7fe943b1a0ebd5110b3776f57b0c5e12ae</t>
        </is>
      </c>
      <c r="U108" s="79" t="inlineStr">
        <is>
          <t>Codex</t>
        </is>
      </c>
      <c r="V108" s="79" t="n">
        <v>46277</v>
      </c>
      <c r="W108" s="79" t="inlineStr">
        <is>
          <t>用户自制Blender资产</t>
        </is>
      </c>
      <c r="X108" s="75" t="inlineStr">
        <is>
          <t>—</t>
        </is>
      </c>
      <c r="Y108" s="79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t>
        </is>
      </c>
    </row>
    <row r="109">
      <c r="A109" s="69" t="inlineStr">
        <is>
          <t>ENV-BASE99-MEZZANINE-20X10-Z5</t>
        </is>
      </c>
      <c r="B109" s="69" t="inlineStr">
        <is>
          <t>基地99层5米楼中楼楼板</t>
        </is>
      </c>
      <c r="C109" s="69" t="inlineStr">
        <is>
          <t>场景</t>
        </is>
      </c>
      <c r="D109" s="69" t="inlineStr">
        <is>
          <t>environment_module</t>
        </is>
      </c>
      <c r="E109" s="69" t="inlineStr">
        <is>
          <t>base99_mezzanine_20x10_z5</t>
        </is>
      </c>
      <c r="F109" s="69" t="inlineStr">
        <is>
          <t>platform</t>
        </is>
      </c>
      <c r="G109" s="69" t="inlineStr">
        <is>
          <t>ENV-BASE99-MODULAR-ROOM</t>
        </is>
      </c>
      <c r="H109" s="69" t="inlineStr">
        <is>
          <t>俯视3D</t>
        </is>
      </c>
      <c r="I109" s="69" t="inlineStr">
        <is>
          <t>default</t>
        </is>
      </c>
      <c r="J109" s="69" t="inlineStr">
        <is>
          <t>基地99F</t>
        </is>
      </c>
      <c r="K109" s="69" t="inlineStr">
        <is>
          <t>旧资产已从正式基地移除</t>
        </is>
      </c>
      <c r="L109" s="69" t="inlineStr">
        <is>
          <t>P0</t>
        </is>
      </c>
      <c r="M109" s="69" t="inlineStr">
        <is>
          <t>v003</t>
        </is>
      </c>
      <c r="N109" s="69" t="inlineStr">
        <is>
          <t>20.2475×10.2475×5.93m外廓；5m完成面；承重皮四边内收0.15m；边缘共面0</t>
        </is>
      </c>
      <c r="O109" s="69" t="inlineStr">
        <is>
          <t>assets/art/environments/base_facility_3d/runtime/env_base99_mezzanine_20x10_z5/env_base99_mezzanine_20x10_z5_root_top3d.tscn</t>
        </is>
      </c>
      <c r="P109" s="6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69" t="inlineStr">
        <is>
          <t>5米楼板; 栏杆; 投影; Blender母版; 边缘共面0; PaletteUV</t>
        </is>
      </c>
      <c r="R109" s="69">
        <f>LOWER(TRIM(C109)&amp;"|"&amp;TRIM(D109)&amp;"|"&amp;TRIM(E109)&amp;"|"&amp;TRIM(F109)&amp;"|"&amp;TRIM(H109)&amp;"|"&amp;TRIM(I109))</f>
        <v/>
      </c>
      <c r="S109" s="69">
        <f>IF(COUNTIF($R$6:$R$239,R109)&gt;1,"重复","唯一")</f>
        <v/>
      </c>
      <c r="T109" s="69" t="inlineStr">
        <is>
          <t>bf889cc27c104d45f3826c3260530e2b676648c4a8689fb3305a26c444f326b4</t>
        </is>
      </c>
      <c r="U109" s="69" t="inlineStr">
        <is>
          <t>Codex</t>
        </is>
      </c>
      <c r="V109" s="78" t="n">
        <v>46264</v>
      </c>
      <c r="W109" s="69" t="inlineStr">
        <is>
          <t>用户自制/项目内资产</t>
        </is>
      </c>
      <c r="X109" s="75" t="inlineStr">
        <is>
          <t>—</t>
        </is>
      </c>
      <c r="Y109" s="6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>
      <c r="A110" s="69" t="inlineStr">
        <is>
          <t>ENV-BASE99-STAIR-L-Z5</t>
        </is>
      </c>
      <c r="B110" s="69" t="inlineStr">
        <is>
          <t>基地99层5米L型楼梯</t>
        </is>
      </c>
      <c r="C110" s="69" t="inlineStr">
        <is>
          <t>场景</t>
        </is>
      </c>
      <c r="D110" s="69" t="inlineStr">
        <is>
          <t>environment_module</t>
        </is>
      </c>
      <c r="E110" s="69" t="inlineStr">
        <is>
          <t>base99_stair_l_z5</t>
        </is>
      </c>
      <c r="F110" s="69" t="inlineStr">
        <is>
          <t>stair</t>
        </is>
      </c>
      <c r="G110" s="69" t="inlineStr">
        <is>
          <t>ENV-BASE99-MODULAR-ROOM</t>
        </is>
      </c>
      <c r="H110" s="69" t="inlineStr">
        <is>
          <t>俯视3D</t>
        </is>
      </c>
      <c r="I110" s="69" t="inlineStr">
        <is>
          <t>default</t>
        </is>
      </c>
      <c r="J110" s="69" t="inlineStr">
        <is>
          <t>基地99F</t>
        </is>
      </c>
      <c r="K110" s="69" t="inlineStr">
        <is>
          <t>旧资产已从正式基地移除</t>
        </is>
      </c>
      <c r="L110" s="69" t="inlineStr">
        <is>
          <t>P0</t>
        </is>
      </c>
      <c r="M110" s="69" t="inlineStr">
        <is>
          <t>v004</t>
        </is>
      </c>
      <c r="N110" s="69" t="inlineStr">
        <is>
          <t>0→2.5→5m；单一行走体</t>
        </is>
      </c>
      <c r="O110" s="69" t="inlineStr">
        <is>
          <t>assets/art/environments/base_facility_3d/runtime/env_base99_stair_l_z5/env_base99_stair_l_z5_root_top3d.tscn</t>
        </is>
      </c>
      <c r="P110" s="69" t="inlineStr">
        <is>
          <t>assets/art/environments/base_facility_3d/source/env_base99_modular_room/env_base99_modular_room_assets_clean_v004.blend</t>
        </is>
      </c>
      <c r="Q110" s="69" t="inlineStr">
        <is>
          <t>L梯; 连续坡面; 单一行走体; 转角扶手收口</t>
        </is>
      </c>
      <c r="R110" s="69">
        <f>LOWER(TRIM(C110)&amp;"|"&amp;TRIM(D110)&amp;"|"&amp;TRIM(E110)&amp;"|"&amp;TRIM(F110)&amp;"|"&amp;TRIM(H110)&amp;"|"&amp;TRIM(I110))</f>
        <v/>
      </c>
      <c r="S110" s="69">
        <f>IF(COUNTIF($R$6:$R$239,R110)&gt;1,"重复","唯一")</f>
        <v/>
      </c>
      <c r="T110" s="69" t="inlineStr">
        <is>
          <t>de5190a9cd57ef7319bffbf95bbec8625acb23b730254b05f6f98cfc1e82b02e</t>
        </is>
      </c>
      <c r="U110" s="69" t="inlineStr">
        <is>
          <t>Codex</t>
        </is>
      </c>
      <c r="V110" s="78" t="n">
        <v>46264</v>
      </c>
      <c r="W110" s="69" t="inlineStr">
        <is>
          <t>用户自制/项目内资产</t>
        </is>
      </c>
      <c r="X110" s="75" t="inlineStr">
        <is>
          <t>—</t>
        </is>
      </c>
      <c r="Y110" s="6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>
      <c r="A111" s="69" t="inlineStr">
        <is>
          <t>ENV-BASE99-STAIR-EXTERIOR-H4</t>
        </is>
      </c>
      <c r="B111" s="69" t="inlineStr">
        <is>
          <t>基地99至100层4米外梯</t>
        </is>
      </c>
      <c r="C111" s="69" t="inlineStr">
        <is>
          <t>场景</t>
        </is>
      </c>
      <c r="D111" s="69" t="inlineStr">
        <is>
          <t>environment_module</t>
        </is>
      </c>
      <c r="E111" s="69" t="inlineStr">
        <is>
          <t>base99_stair_exterior_h4</t>
        </is>
      </c>
      <c r="F111" s="69" t="inlineStr">
        <is>
          <t>stair_exterior</t>
        </is>
      </c>
      <c r="G111" s="69" t="inlineStr">
        <is>
          <t>ENV-BASE99-MODULAR-ROOM</t>
        </is>
      </c>
      <c r="H111" s="69" t="inlineStr">
        <is>
          <t>俯视3D</t>
        </is>
      </c>
      <c r="I111" s="69" t="inlineStr">
        <is>
          <t>default</t>
        </is>
      </c>
      <c r="J111" s="69" t="inlineStr">
        <is>
          <t>基地99F/100F</t>
        </is>
      </c>
      <c r="K111" s="69" t="inlineStr">
        <is>
          <t>旧资产已从正式基地移除</t>
        </is>
      </c>
      <c r="L111" s="69" t="inlineStr">
        <is>
          <t>P0</t>
        </is>
      </c>
      <c r="M111" s="69" t="inlineStr">
        <is>
          <t>v002</t>
        </is>
      </c>
      <c r="N111" s="69" t="inlineStr">
        <is>
          <t>5→9m；8.515m包络</t>
        </is>
      </c>
      <c r="O111" s="69" t="inlineStr">
        <is>
          <t>assets/art/environments/base_facility_3d/runtime/env_base99_stair_exterior_h4/env_base99_stair_exterior_h4_root_top3d.tscn</t>
        </is>
      </c>
      <c r="P111" s="69" t="inlineStr">
        <is>
          <t>assets/art/environments/base_facility_3d/source/env_base99_modular_room/env_base99_modular_room_assets_clean_v002.blend</t>
        </is>
      </c>
      <c r="Q111" s="69" t="inlineStr">
        <is>
          <t>外梯; H4; 连续坡面</t>
        </is>
      </c>
      <c r="R111" s="69">
        <f>LOWER(TRIM(C111)&amp;"|"&amp;TRIM(D111)&amp;"|"&amp;TRIM(E111)&amp;"|"&amp;TRIM(F111)&amp;"|"&amp;TRIM(H111)&amp;"|"&amp;TRIM(I111))</f>
        <v/>
      </c>
      <c r="S111" s="69">
        <f>IF(COUNTIF($R$6:$R$239,R111)&gt;1,"重复","唯一")</f>
        <v/>
      </c>
      <c r="T111" s="69" t="inlineStr">
        <is>
          <t>5a4c81bcb729e09f33dbafdb34acfdad63ee1583b0046dbd26cd77c2f6eb37b6</t>
        </is>
      </c>
      <c r="U111" s="69" t="inlineStr">
        <is>
          <t>Codex</t>
        </is>
      </c>
      <c r="V111" s="78" t="n">
        <v>46264</v>
      </c>
      <c r="W111" s="69" t="inlineStr">
        <is>
          <t>用户自制/项目内资产</t>
        </is>
      </c>
      <c r="X111" s="75" t="inlineStr">
        <is>
          <t>—</t>
        </is>
      </c>
      <c r="Y111" s="6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>
      <c r="A112" s="69" t="inlineStr">
        <is>
          <t>ENV-BASE99-MEZZANINE-UNDERDECK-BLOCKER</t>
        </is>
      </c>
      <c r="B112" s="69" t="inlineStr">
        <is>
          <t>基地99层楼中楼下方工业仓库挡板</t>
        </is>
      </c>
      <c r="C112" s="69" t="inlineStr">
        <is>
          <t>场景</t>
        </is>
      </c>
      <c r="D112" s="69" t="inlineStr">
        <is>
          <t>environment_module</t>
        </is>
      </c>
      <c r="E112" s="69" t="inlineStr">
        <is>
          <t>base99_mezzanine_underdeck_blocker</t>
        </is>
      </c>
      <c r="F112" s="69" t="inlineStr">
        <is>
          <t>underdeck_blocker</t>
        </is>
      </c>
      <c r="G112" s="69" t="inlineStr">
        <is>
          <t>ENV-BASE99-MODULAR-ROOM</t>
        </is>
      </c>
      <c r="H112" s="69" t="inlineStr">
        <is>
          <t>俯视3D / local -Z 正面</t>
        </is>
      </c>
      <c r="I112" s="69" t="inlineStr">
        <is>
          <t>default / permanent solid enclosure</t>
        </is>
      </c>
      <c r="J112" s="69" t="inlineStr">
        <is>
          <t>基地99F楼中楼下方</t>
        </is>
      </c>
      <c r="K112" s="69" t="inlineStr">
        <is>
          <t>旧资产已从正式基地移除</t>
        </is>
      </c>
      <c r="L112" s="69" t="inlineStr">
        <is>
          <t>P0</t>
        </is>
      </c>
      <c r="M112" s="69" t="inlineStr">
        <is>
          <t>v003</t>
        </is>
      </c>
      <c r="N112" s="69" t="inlineStr">
        <is>
          <t>19.31×9.11×4.65m视觉；0.55m内收；三面横向冷灰门板；碰撞顶4.95m</t>
        </is>
      </c>
      <c r="O112" s="69" t="inlineStr">
        <is>
          <t>assets/art/environments/base_facility_3d/runtime/env_base99_mezzanine_underdeck_blocker/env_base99_mezzanine_underdeck_blocker_root_top3d.tscn</t>
        </is>
      </c>
      <c r="P112" s="6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69" t="inlineStr">
        <is>
          <t>基地99层; 楼中楼; 横向门板; Blender母版; PaletteUV; 三面永久阻挡; 0.55米内收; 物理射线验收</t>
        </is>
      </c>
      <c r="R112" s="69">
        <f>LOWER(TRIM(C112)&amp;"|"&amp;TRIM(D112)&amp;"|"&amp;TRIM(E112)&amp;"|"&amp;TRIM(F112)&amp;"|"&amp;TRIM(H112)&amp;"|"&amp;TRIM(I112))</f>
        <v/>
      </c>
      <c r="S112" s="69">
        <f>IF(COUNTIF($R$6:$R$239,R112)&gt;1,"重复","唯一")</f>
        <v/>
      </c>
      <c r="T112" s="69" t="inlineStr">
        <is>
          <t>30bdd1491da3170e49719496dff7a8d0a7e856cabe7bdc4ec1e01fc53f6a5746</t>
        </is>
      </c>
      <c r="U112" s="69" t="inlineStr">
        <is>
          <t>Codex</t>
        </is>
      </c>
      <c r="V112" s="78" t="n">
        <v>46264</v>
      </c>
      <c r="W112" s="69" t="inlineStr">
        <is>
          <t>用户自制Blender资产</t>
        </is>
      </c>
      <c r="X112" s="75" t="inlineStr">
        <is>
          <t>—</t>
        </is>
      </c>
      <c r="Y112" s="6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5" customHeight="1" s="50">
      <c r="A113" s="69" t="inlineStr">
        <is>
          <t>PRP-BASE-AVATAR-WARDROBE-001</t>
        </is>
      </c>
      <c r="B113" s="69" t="inlineStr">
        <is>
          <t>基地角色衣柜</t>
        </is>
      </c>
      <c r="C113" s="69" t="inlineStr">
        <is>
          <t>场景道具</t>
        </is>
      </c>
      <c r="D113" s="69" t="inlineStr">
        <is>
          <t>base_facility</t>
        </is>
      </c>
      <c r="E113" s="69" t="inlineStr">
        <is>
          <t>avatar_wardrobe</t>
        </is>
      </c>
      <c r="F113" s="69" t="inlineStr">
        <is>
          <t>root</t>
        </is>
      </c>
      <c r="G113" s="69" t="inlineStr"/>
      <c r="H113" s="69" t="inlineStr">
        <is>
          <t>俯视3D</t>
        </is>
      </c>
      <c r="I113" s="69" t="inlineStr">
        <is>
          <t>default</t>
        </is>
      </c>
      <c r="J113" s="69" t="inlineStr">
        <is>
          <t>主基地/99F</t>
        </is>
      </c>
      <c r="K113" s="69" t="inlineStr">
        <is>
          <t>原型已接入</t>
        </is>
      </c>
      <c r="L113" s="69" t="inlineStr">
        <is>
          <t>P0</t>
        </is>
      </c>
      <c r="M113" s="69" t="inlineStr">
        <is>
          <t>v001</t>
        </is>
      </c>
      <c r="N113" s="69" t="inlineStr">
        <is>
          <t>根缩放1</t>
        </is>
      </c>
      <c r="O113" s="69" t="inlineStr">
        <is>
          <t>assets/art/props/base_world_3d/runtime/avatar_wardrobe/prp_base_avatar_wardrobe_root_top3d_v001.tscn</t>
        </is>
      </c>
      <c r="P113" s="69" t="inlineStr">
        <is>
          <t>src/ui/wardrobe/WardrobeMenu3D.gd</t>
        </is>
      </c>
      <c r="Q113" s="69" t="inlineStr">
        <is>
          <t>衣柜; avatar; 换装; 6分类</t>
        </is>
      </c>
      <c r="R113" s="69">
        <f>LOWER(TRIM(C113)&amp;"|"&amp;TRIM(D113)&amp;"|"&amp;TRIM(E113)&amp;"|"&amp;TRIM(F113)&amp;"|"&amp;TRIM(H113)&amp;"|"&amp;TRIM(I113))</f>
        <v/>
      </c>
      <c r="S113" s="69">
        <f>IF(COUNTIF($R$6:$R$239,R113)&gt;1,"重复","唯一")</f>
        <v/>
      </c>
      <c r="T113" s="69" t="inlineStr">
        <is>
          <t>6204010a604d138b4f5b797bfdc7b4701a3a2a086c80f69c9a749196dbc01c51</t>
        </is>
      </c>
      <c r="U113" s="69" t="inlineStr">
        <is>
          <t>Codex</t>
        </is>
      </c>
      <c r="V113" s="78" t="n">
        <v>46264</v>
      </c>
      <c r="W113" s="69" t="inlineStr">
        <is>
          <t>用户自制/项目内资产</t>
        </is>
      </c>
      <c r="X113" s="75" t="inlineStr">
        <is>
          <t>—</t>
        </is>
      </c>
      <c r="Y113" s="6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>
      <c r="A114" s="79" t="inlineStr">
        <is>
          <t>ART-PALETTE-FACILITY-LOWLIGHT-DOPAMINE</t>
        </is>
      </c>
      <c r="B114" s="79" t="inlineStr">
        <is>
          <t>设施低亮多巴胺共享色盘</t>
        </is>
      </c>
      <c r="C114" s="79" t="inlineStr">
        <is>
          <t>场景</t>
        </is>
      </c>
      <c r="D114" s="79" t="inlineStr">
        <is>
          <t>shared_palette</t>
        </is>
      </c>
      <c r="E114" s="79" t="inlineStr">
        <is>
          <t>palette_facility_lowlight_dopamine</t>
        </is>
      </c>
      <c r="F114" s="79" t="inlineStr">
        <is>
          <t>root</t>
        </is>
      </c>
      <c r="H114" s="79" t="inlineStr">
        <is>
          <t>不适用</t>
        </is>
      </c>
      <c r="I114" s="79" t="inlineStr">
        <is>
          <t>default</t>
        </is>
      </c>
      <c r="J114" s="79" t="inlineStr">
        <is>
          <t>场景/设施/固定装饰共享</t>
        </is>
      </c>
      <c r="K114" s="79" t="inlineStr">
        <is>
          <t>已完成</t>
        </is>
      </c>
      <c r="L114" s="79" t="inlineStr">
        <is>
          <t>P0</t>
        </is>
      </c>
      <c r="M114" s="79" t="inlineStr">
        <is>
          <t>v001</t>
        </is>
      </c>
      <c r="N114" s="79" t="inlineStr">
        <is>
          <t>512×512 PNG；10×10 色格；VRAM 压缩</t>
        </is>
      </c>
      <c r="O114" s="79" t="inlineStr">
        <is>
          <t>assets/art/shared/palette/设施低亮多巴胺色盘_10x10_512.png</t>
        </is>
      </c>
      <c r="P114" s="79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79" t="inlineStr">
        <is>
          <t>facility palette dopamine lowlight shared</t>
        </is>
      </c>
      <c r="R114" s="79">
        <f>LOWER(TRIM(C114)&amp;"|"&amp;TRIM(D114)&amp;"|"&amp;TRIM(E114)&amp;"|"&amp;TRIM(F114)&amp;"|"&amp;TRIM(H114)&amp;"|"&amp;TRIM(I114))</f>
        <v/>
      </c>
      <c r="S114" s="79">
        <f>IF(COUNTIF($R$6:$R$239,R114)&gt;1,"重复","唯一")</f>
        <v/>
      </c>
      <c r="T114" s="79" t="inlineStr">
        <is>
          <t>a6b1838fb80ad3ce7764e998bb1dfb70edf2b9315a4282da0fb2ae35ed266ce3</t>
        </is>
      </c>
      <c r="U114" s="79" t="inlineStr">
        <is>
          <t>美术</t>
        </is>
      </c>
      <c r="V114" s="79" t="n">
        <v>46264</v>
      </c>
      <c r="W114" s="79" t="inlineStr">
        <is>
          <t>项目自制/内部使用</t>
        </is>
      </c>
      <c r="X114" s="75" t="inlineStr">
        <is>
          <t>—</t>
        </is>
      </c>
      <c r="Y114" s="79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>
      <c r="A115" s="79" t="inlineStr">
        <is>
          <t>PRP-BASE-RECOVERY-STATION-3D</t>
        </is>
      </c>
      <c r="B115" s="79" t="inlineStr">
        <is>
          <t>基地恢复站</t>
        </is>
      </c>
      <c r="C115" s="79" t="inlineStr">
        <is>
          <t>场景道具</t>
        </is>
      </c>
      <c r="D115" s="79" t="inlineStr">
        <is>
          <t>基地设施</t>
        </is>
      </c>
      <c r="E115" s="79" t="inlineStr">
        <is>
          <t>recovery_station</t>
        </is>
      </c>
      <c r="F115" s="79" t="inlineStr">
        <is>
          <t>root</t>
        </is>
      </c>
      <c r="H115" s="79" t="inlineStr">
        <is>
          <t>3D</t>
        </is>
      </c>
      <c r="I115" s="79" t="inlineStr">
        <is>
          <t>default</t>
        </is>
      </c>
      <c r="J115" s="79" t="inlineStr">
        <is>
          <t>基地复用</t>
        </is>
      </c>
      <c r="K115" s="79" t="inlineStr">
        <is>
          <t>原型已接入</t>
        </is>
      </c>
      <c r="L115" s="79" t="inlineStr">
        <is>
          <t>P1</t>
        </is>
      </c>
      <c r="M115" s="79" t="inlineStr">
        <is>
          <t>v001</t>
        </is>
      </c>
      <c r="N115" s="79" t="inlineStr">
        <is>
          <t>PackedScene；固定设施；独立碰撞</t>
        </is>
      </c>
      <c r="O115" s="79" t="inlineStr">
        <is>
          <t>assets/art/props/base_world_3d/runtime/recovery_station/prp_base_recovery_station_root_top3d_v001.tscn</t>
        </is>
      </c>
      <c r="P115" s="79" t="inlineStr">
        <is>
          <t>scenes/BaseWorld3D.tscn；assets/art/environments/base_facility_3d/runtime/env_base_facility_art_layout_top3d_v001.tscn；3D-设施!A20</t>
        </is>
      </c>
      <c r="Q115" s="79" t="inlineStr">
        <is>
          <t>base recovery station</t>
        </is>
      </c>
      <c r="R115" s="79">
        <f>LOWER(TRIM(C115)&amp;"|"&amp;TRIM(D115)&amp;"|"&amp;TRIM(E115)&amp;"|"&amp;TRIM(F115)&amp;"|"&amp;TRIM(H115)&amp;"|"&amp;TRIM(I115))</f>
        <v/>
      </c>
      <c r="S115" s="79">
        <f>IF(COUNTIF($R$6:$R$239,R115)&gt;1,"重复","唯一")</f>
        <v/>
      </c>
      <c r="T115" s="79" t="inlineStr">
        <is>
          <t>76906ebbed0b1de64105ea4e31f85887f6437ecb9819ae3d47c558173a667237</t>
        </is>
      </c>
      <c r="U115" s="79" t="inlineStr">
        <is>
          <t>美术</t>
        </is>
      </c>
      <c r="V115" s="79" t="n">
        <v>46264</v>
      </c>
      <c r="W115" s="79" t="inlineStr">
        <is>
          <t>项目现有/内部制作</t>
        </is>
      </c>
      <c r="X115" s="75" t="inlineStr">
        <is>
          <t>—</t>
        </is>
      </c>
      <c r="Y115" s="79" t="inlineStr">
        <is>
          <t>2026-08-30 AST-04：从3D-设施分表提升为主表权威根资产；asset_guard PASS；运行时由BaseWorld3D与基地美术布局直接消费。</t>
        </is>
      </c>
    </row>
    <row r="116">
      <c r="A116" s="79" t="inlineStr">
        <is>
          <t>PRP-TOWER-ROOM-DOOR-3D</t>
        </is>
      </c>
      <c r="B116" s="79" t="inlineStr">
        <is>
          <t>塔楼房间交互门</t>
        </is>
      </c>
      <c r="C116" s="79" t="inlineStr">
        <is>
          <t>场景道具</t>
        </is>
      </c>
      <c r="D116" s="79" t="inlineStr">
        <is>
          <t>门</t>
        </is>
      </c>
      <c r="E116" s="79" t="inlineStr">
        <is>
          <t>room_door</t>
        </is>
      </c>
      <c r="F116" s="79" t="inlineStr">
        <is>
          <t>root</t>
        </is>
      </c>
      <c r="H116" s="79" t="inlineStr">
        <is>
          <t>3D</t>
        </is>
      </c>
      <c r="I116" s="79" t="inlineStr">
        <is>
          <t>closed/open/locked</t>
        </is>
      </c>
      <c r="J116" s="79" t="inlineStr">
        <is>
          <t>塔楼房间复用</t>
        </is>
      </c>
      <c r="K116" s="79" t="inlineStr">
        <is>
          <t>原型已接入</t>
        </is>
      </c>
      <c r="L116" s="79" t="inlineStr">
        <is>
          <t>P0</t>
        </is>
      </c>
      <c r="M116" s="79" t="inlineStr">
        <is>
          <t>v001</t>
        </is>
      </c>
      <c r="N116" s="79" t="inlineStr">
        <is>
          <t>StaticBody3D；脚本驱动开关与碰撞</t>
        </is>
      </c>
      <c r="O116" s="79" t="inlineStr">
        <is>
          <t>assets/art/props/dungeon_3d/prp_room_door_3d_v001.tscn</t>
        </is>
      </c>
      <c r="P116" s="79" t="inlineStr">
        <is>
          <t>src/world3d/RoomDoor3D.gd；src/world3d/DungeonRoom3D.gd；src/world3d/TowerDescent3D.gd；tests/verification/verify_door_passability.tscn</t>
        </is>
      </c>
      <c r="Q116" s="79" t="inlineStr">
        <is>
          <t>tower room interactive door</t>
        </is>
      </c>
      <c r="R116" s="79">
        <f>LOWER(TRIM(C116)&amp;"|"&amp;TRIM(D116)&amp;"|"&amp;TRIM(E116)&amp;"|"&amp;TRIM(F116)&amp;"|"&amp;TRIM(H116)&amp;"|"&amp;TRIM(I116))</f>
        <v/>
      </c>
      <c r="S116" s="79">
        <f>IF(COUNTIF($R$6:$R$239,R116)&gt;1,"重复","唯一")</f>
        <v/>
      </c>
      <c r="T116" s="79" t="inlineStr">
        <is>
          <t>6ab7516a40ca661264ceebe59973b3790640e3495230c25e70a38eb0b267d22f</t>
        </is>
      </c>
      <c r="U116" s="79" t="inlineStr">
        <is>
          <t>程序/美术</t>
        </is>
      </c>
      <c r="V116" s="79" t="n">
        <v>46264</v>
      </c>
      <c r="W116" s="79" t="inlineStr">
        <is>
          <t>项目现有/内部制作</t>
        </is>
      </c>
      <c r="X116" s="75" t="inlineStr">
        <is>
          <t>—</t>
        </is>
      </c>
      <c r="Y116" s="79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>
      <c r="A117" s="79" t="inlineStr">
        <is>
          <t>BPK-BASE99-EAST-MEZZANINE-STRUCTURE</t>
        </is>
      </c>
      <c r="B117" s="79" t="inlineStr">
        <is>
          <t>基地99层 · 东墙阁楼主体结构</t>
        </is>
      </c>
      <c r="C117" s="79" t="inlineStr">
        <is>
          <t>基地资产包</t>
        </is>
      </c>
      <c r="D117" s="79" t="inlineStr">
        <is>
          <t>建筑结构包</t>
        </is>
      </c>
      <c r="E117" s="79" t="inlineStr">
        <is>
          <t>base99_package_east_mezzanine_structure</t>
        </is>
      </c>
      <c r="F117" s="79" t="inlineStr">
        <is>
          <t>package_root</t>
        </is>
      </c>
      <c r="G117" s="79" t="inlineStr">
        <is>
          <t>ENV-BASE99-ART-LAYOUT-3D</t>
        </is>
      </c>
      <c r="H117" s="79" t="inlineStr">
        <is>
          <t>Top3D / Blender +Y北</t>
        </is>
      </c>
      <c r="I117" s="79" t="inlineStr">
        <is>
          <t>static / default</t>
        </is>
      </c>
      <c r="J117" s="79" t="inlineStr">
        <is>
          <t>3D-设施 / 基地99层独立资产包</t>
        </is>
      </c>
      <c r="K117" s="79" t="inlineStr">
        <is>
          <t>已优化并正式接入</t>
        </is>
      </c>
      <c r="L117" s="79" t="inlineStr">
        <is>
          <t>P0</t>
        </is>
      </c>
      <c r="M117" s="79" t="inlineStr">
        <is>
          <t>v017</t>
        </is>
      </c>
      <c r="N117" s="69" t="inlineStr">
        <is>
          <t>优化输出包络 20.069×9.993×7.315m；3440 三角面</t>
        </is>
      </c>
      <c r="O117" s="69" t="inlineStr">
        <is>
          <t>source/art/blender/base_facility_layout/component_packages/architecture/east_mezzanine_structure/asset_manifest.json</t>
        </is>
      </c>
      <c r="P117" s="6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69" t="inlineStr">
        <is>
          <t>基地99层;基地资产包;3D设施;建筑结构包;east_mezzanine_structure;PaletteUV</t>
        </is>
      </c>
      <c r="R117" s="69">
        <f>LOWER(TRIM(C117)&amp;"|"&amp;TRIM(D117)&amp;"|"&amp;TRIM(E117)&amp;"|"&amp;TRIM(F117)&amp;"|"&amp;TRIM(H117)&amp;"|"&amp;TRIM(I117))</f>
        <v/>
      </c>
      <c r="S117" s="69">
        <f>IF(COUNTIF($R$6:$R$239,R117)&gt;1,"重复","唯一")</f>
        <v/>
      </c>
      <c r="T117" s="69" t="inlineStr">
        <is>
          <t>b6757e1229b9394b9d29a5f3cef24473c04580c1cb864e13cfb76d04e6a7ae4f</t>
        </is>
      </c>
      <c r="U117" s="69" t="inlineStr">
        <is>
          <t>Codex</t>
        </is>
      </c>
      <c r="V117" s="78" t="n">
        <v>46269</v>
      </c>
      <c r="W117" s="69" t="inlineStr">
        <is>
          <t>用户自制Blender资产</t>
        </is>
      </c>
      <c r="X117" s="75" t="inlineStr">
        <is>
          <t>12</t>
        </is>
      </c>
      <c r="Y117" s="6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>
      <c r="A118" s="79" t="inlineStr">
        <is>
          <t>BPK-BASE99-EAST-UPPER-TRANSITION-STAIR</t>
        </is>
      </c>
      <c r="B118" s="79" t="inlineStr">
        <is>
          <t>基地99层 · 东侧5米至12米上行楼梯</t>
        </is>
      </c>
      <c r="C118" s="79" t="inlineStr">
        <is>
          <t>基地资产包</t>
        </is>
      </c>
      <c r="D118" s="79" t="inlineStr">
        <is>
          <t>建筑结构包</t>
        </is>
      </c>
      <c r="E118" s="79" t="inlineStr">
        <is>
          <t>base99_package_east_upper_transition_stair</t>
        </is>
      </c>
      <c r="F118" s="79" t="inlineStr">
        <is>
          <t>package_root</t>
        </is>
      </c>
      <c r="G118" s="79" t="inlineStr">
        <is>
          <t>ENV-BASE99-ART-LAYOUT-3D</t>
        </is>
      </c>
      <c r="H118" s="79" t="inlineStr">
        <is>
          <t>Top3D / Blender +Y北</t>
        </is>
      </c>
      <c r="I118" s="79" t="inlineStr">
        <is>
          <t>static / default</t>
        </is>
      </c>
      <c r="J118" s="79" t="inlineStr">
        <is>
          <t>3D-设施 / 基地99层独立资产包</t>
        </is>
      </c>
      <c r="K118" s="79" t="inlineStr">
        <is>
          <t>已优化并正式接入</t>
        </is>
      </c>
      <c r="L118" s="79" t="inlineStr">
        <is>
          <t>P0</t>
        </is>
      </c>
      <c r="M118" s="79" t="inlineStr">
        <is>
          <t>v002</t>
        </is>
      </c>
      <c r="N118" s="69" t="inlineStr">
        <is>
          <t>5→12m连续坡面；20级；0.35m级高；2.2m净宽；平面门位不变</t>
        </is>
      </c>
      <c r="O118" s="69" t="inlineStr">
        <is>
          <t>assets/art/environments/base_facility_3d/runtime/env_base99_structural/east_upper_transition_stair/east_upper_transition_stair_root_top3d.tscn</t>
        </is>
      </c>
      <c r="P118" s="6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69" t="inlineStr">
        <is>
          <t>基地99层;建筑结构包;上行楼梯;5米平台;12米门槛;20级</t>
        </is>
      </c>
      <c r="R118" s="69">
        <f>LOWER(TRIM(C118)&amp;"|"&amp;TRIM(D118)&amp;"|"&amp;TRIM(E118)&amp;"|"&amp;TRIM(F118)&amp;"|"&amp;TRIM(H118)&amp;"|"&amp;TRIM(I118))</f>
        <v/>
      </c>
      <c r="S118" s="69">
        <f>IF(COUNTIF($R$6:$R$239,R118)&gt;1,"重复","唯一")</f>
        <v/>
      </c>
      <c r="T118" s="69" t="inlineStr">
        <is>
          <t>bd9de7e71c24ac4f5629ee25f394ed8c5db2e3788d82b1fff8ad320a4c1a44ad</t>
        </is>
      </c>
      <c r="U118" s="69" t="inlineStr">
        <is>
          <t>Codex</t>
        </is>
      </c>
      <c r="V118" s="78" t="n">
        <v>46277</v>
      </c>
      <c r="W118" s="69" t="inlineStr">
        <is>
          <t>用户自制Blender资产</t>
        </is>
      </c>
      <c r="X118" s="75" t="inlineStr">
        <is>
          <t>51</t>
        </is>
      </c>
      <c r="Y118" s="69" t="inlineStr">
        <is>
          <t>2026-09-13：随标准层高升级，保留5米平台起点与东门平面坐标，重制为20级、0.35米级高并以连续坡面碰撞接至12米门槛。T列为v002运行包装SHA-256。</t>
        </is>
      </c>
    </row>
    <row r="119">
      <c r="A119" s="79" t="inlineStr">
        <is>
          <t>BPK-BASE99-NORTHWEST-L-STAIR</t>
        </is>
      </c>
      <c r="B119" s="79" t="inlineStr">
        <is>
          <t>基地99层 · 西北贴墙L型楼梯</t>
        </is>
      </c>
      <c r="C119" s="79" t="inlineStr">
        <is>
          <t>基地资产包</t>
        </is>
      </c>
      <c r="D119" s="79" t="inlineStr">
        <is>
          <t>建筑结构包</t>
        </is>
      </c>
      <c r="E119" s="79" t="inlineStr">
        <is>
          <t>base99_package_northwest_l_stair</t>
        </is>
      </c>
      <c r="F119" s="79" t="inlineStr">
        <is>
          <t>package_root</t>
        </is>
      </c>
      <c r="G119" s="79" t="inlineStr">
        <is>
          <t>ENV-BASE99-ART-LAYOUT-3D</t>
        </is>
      </c>
      <c r="H119" s="79" t="inlineStr">
        <is>
          <t>Top3D / Blender +Y北</t>
        </is>
      </c>
      <c r="I119" s="79" t="inlineStr">
        <is>
          <t>static / default</t>
        </is>
      </c>
      <c r="J119" s="79" t="inlineStr">
        <is>
          <t>3D-设施 / 基地99层独立资产包</t>
        </is>
      </c>
      <c r="K119" s="79" t="inlineStr">
        <is>
          <t>已优化并正式接入</t>
        </is>
      </c>
      <c r="L119" s="79" t="inlineStr">
        <is>
          <t>P0</t>
        </is>
      </c>
      <c r="M119" s="79" t="inlineStr">
        <is>
          <t>v022</t>
        </is>
      </c>
      <c r="N119" s="69" t="inlineStr">
        <is>
          <t>优化输出包络 10.082×7.908×7.124m；20310 三角面</t>
        </is>
      </c>
      <c r="O119" s="69" t="inlineStr">
        <is>
          <t>source/art/blender/base_facility_layout/component_packages/architecture/northwest_l_stair/asset_manifest.json</t>
        </is>
      </c>
      <c r="P119" s="6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69" t="inlineStr">
        <is>
          <t>基地99层;基地资产包;3D设施;建筑结构包;northwest_l_stair;PaletteUV</t>
        </is>
      </c>
      <c r="R119" s="69">
        <f>LOWER(TRIM(C119)&amp;"|"&amp;TRIM(D119)&amp;"|"&amp;TRIM(E119)&amp;"|"&amp;TRIM(F119)&amp;"|"&amp;TRIM(H119)&amp;"|"&amp;TRIM(I119))</f>
        <v/>
      </c>
      <c r="S119" s="69">
        <f>IF(COUNTIF($R$6:$R$239,R119)&gt;1,"重复","唯一")</f>
        <v/>
      </c>
      <c r="T119" s="69" t="inlineStr">
        <is>
          <t>0ea9d373b5ee6bec5c73c4c0e1eef330af2c5937838e3019a703437fa7de7a30</t>
        </is>
      </c>
      <c r="U119" s="69" t="inlineStr">
        <is>
          <t>Codex</t>
        </is>
      </c>
      <c r="V119" s="78" t="n">
        <v>46269</v>
      </c>
      <c r="W119" s="69" t="inlineStr">
        <is>
          <t>用户自制Blender资产</t>
        </is>
      </c>
      <c r="X119" s="75" t="inlineStr">
        <is>
          <t>14</t>
        </is>
      </c>
      <c r="Y119" s="6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5" customHeight="1" s="50">
      <c r="A120" s="79" t="inlineStr">
        <is>
          <t>BPK-BASE99-RETAINED-WALL-SYSTEM</t>
        </is>
      </c>
      <c r="B120" s="79" t="inlineStr">
        <is>
          <t>基地99层 · 四向保留墙体系统</t>
        </is>
      </c>
      <c r="C120" s="79" t="inlineStr">
        <is>
          <t>基地资产包</t>
        </is>
      </c>
      <c r="D120" s="79" t="inlineStr">
        <is>
          <t>建筑结构包</t>
        </is>
      </c>
      <c r="E120" s="79" t="inlineStr">
        <is>
          <t>base99_package_retained_wall_system</t>
        </is>
      </c>
      <c r="F120" s="79" t="inlineStr">
        <is>
          <t>package_root</t>
        </is>
      </c>
      <c r="G120" s="79" t="inlineStr">
        <is>
          <t>ENV-BASE99-ART-LAYOUT-3D</t>
        </is>
      </c>
      <c r="H120" s="79" t="inlineStr">
        <is>
          <t>Top3D / Blender +Y北</t>
        </is>
      </c>
      <c r="I120" s="79" t="inlineStr">
        <is>
          <t>static / default</t>
        </is>
      </c>
      <c r="J120" s="79" t="inlineStr">
        <is>
          <t>3D-设施 / 基地99层独立资产包</t>
        </is>
      </c>
      <c r="K120" s="79" t="inlineStr">
        <is>
          <t>Blender源已完成</t>
        </is>
      </c>
      <c r="L120" s="79" t="inlineStr">
        <is>
          <t>P0</t>
        </is>
      </c>
      <c r="M120" s="79" t="inlineStr">
        <is>
          <t>v017</t>
        </is>
      </c>
      <c r="N120" s="69" t="inlineStr">
        <is>
          <t>包络 31.171×30.360×9.000m；24 网格；0 灯</t>
        </is>
      </c>
      <c r="O120" s="69" t="inlineStr">
        <is>
          <t>source/art/blender/base_facility_layout/component_packages/architecture/retained_wall_system/asset_manifest.json</t>
        </is>
      </c>
      <c r="P120" s="6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69" t="inlineStr">
        <is>
          <t>基地99层;基地资产包;3D设施;建筑结构包;retained_wall_system;PaletteUV</t>
        </is>
      </c>
      <c r="R120" s="69">
        <f>LOWER(TRIM(C120)&amp;"|"&amp;TRIM(D120)&amp;"|"&amp;TRIM(E120)&amp;"|"&amp;TRIM(F120)&amp;"|"&amp;TRIM(H120)&amp;"|"&amp;TRIM(I120))</f>
        <v/>
      </c>
      <c r="S120" s="69">
        <f>IF(COUNTIF($R$6:$R$239,R120)&gt;1,"重复","唯一")</f>
        <v/>
      </c>
      <c r="T120" s="69" t="inlineStr">
        <is>
          <t>1757151e65d8c0d147dacfa2e0efac8fe420eef2130340a4371d2a9a452edcf6</t>
        </is>
      </c>
      <c r="U120" s="69" t="inlineStr">
        <is>
          <t>Codex</t>
        </is>
      </c>
      <c r="V120" s="78" t="n">
        <v>46269</v>
      </c>
      <c r="W120" s="69" t="inlineStr">
        <is>
          <t>用户自制Blender资产</t>
        </is>
      </c>
      <c r="X120" s="75" t="inlineStr">
        <is>
          <t>11</t>
        </is>
      </c>
      <c r="Y120" s="6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>
      <c r="A121" s="79" t="inlineStr">
        <is>
          <t>BPK-BASE99-UNDERDECK-SHEET-BLOCKER</t>
        </is>
      </c>
      <c r="B121" s="79" t="inlineStr">
        <is>
          <t>基地99层 · 阁楼下方铁皮封闭体</t>
        </is>
      </c>
      <c r="C121" s="79" t="inlineStr">
        <is>
          <t>基地资产包</t>
        </is>
      </c>
      <c r="D121" s="79" t="inlineStr">
        <is>
          <t>建筑结构包</t>
        </is>
      </c>
      <c r="E121" s="79" t="inlineStr">
        <is>
          <t>base99_package_underdeck_sheet_blocker</t>
        </is>
      </c>
      <c r="F121" s="79" t="inlineStr">
        <is>
          <t>package_root</t>
        </is>
      </c>
      <c r="G121" s="79" t="inlineStr">
        <is>
          <t>ENV-BASE99-ART-LAYOUT-3D</t>
        </is>
      </c>
      <c r="H121" s="79" t="inlineStr">
        <is>
          <t>Top3D / Blender +Y北</t>
        </is>
      </c>
      <c r="I121" s="79" t="inlineStr">
        <is>
          <t>static / fixture_light</t>
        </is>
      </c>
      <c r="J121" s="79" t="inlineStr">
        <is>
          <t>3D-设施 / 基地99层独立资产包</t>
        </is>
      </c>
      <c r="K121" s="79" t="inlineStr">
        <is>
          <t>已优化并正式接入</t>
        </is>
      </c>
      <c r="L121" s="79" t="inlineStr">
        <is>
          <t>P0</t>
        </is>
      </c>
      <c r="M121" s="79" t="inlineStr">
        <is>
          <t>v017</t>
        </is>
      </c>
      <c r="N121" s="69" t="inlineStr">
        <is>
          <t>优化输出包络 19.315×9.500×5.393m；2630 三角面</t>
        </is>
      </c>
      <c r="O121" s="69" t="inlineStr">
        <is>
          <t>source/art/blender/base_facility_layout/component_packages/architecture/underdeck_sheet_blocker/asset_manifest.json</t>
        </is>
      </c>
      <c r="P121" s="6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69" t="inlineStr">
        <is>
          <t>基地99层;基地资产包;3D设施;建筑结构包;underdeck_sheet_blocker;PaletteUV</t>
        </is>
      </c>
      <c r="R121" s="69">
        <f>LOWER(TRIM(C121)&amp;"|"&amp;TRIM(D121)&amp;"|"&amp;TRIM(E121)&amp;"|"&amp;TRIM(F121)&amp;"|"&amp;TRIM(H121)&amp;"|"&amp;TRIM(I121))</f>
        <v/>
      </c>
      <c r="S121" s="69">
        <f>IF(COUNTIF($R$6:$R$239,R121)&gt;1,"重复","唯一")</f>
        <v/>
      </c>
      <c r="T121" s="69" t="inlineStr">
        <is>
          <t>df9b6eff39e247df5282cea02660cf273b246090473f6269e5a0b2334943ac85</t>
        </is>
      </c>
      <c r="U121" s="69" t="inlineStr">
        <is>
          <t>Codex</t>
        </is>
      </c>
      <c r="V121" s="78" t="n">
        <v>46269</v>
      </c>
      <c r="W121" s="69" t="inlineStr">
        <is>
          <t>用户自制Blender资产</t>
        </is>
      </c>
      <c r="X121" s="75" t="inlineStr">
        <is>
          <t>13</t>
        </is>
      </c>
      <c r="Y121" s="6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>
      <c r="A122" s="79" t="inlineStr">
        <is>
          <t>BPK-BASE99-EAST-FLAMMABLE-BIN</t>
        </is>
      </c>
      <c r="B122" s="79" t="inlineStr">
        <is>
          <t>基地99层 · FLAMMABLE可燃垃圾设施</t>
        </is>
      </c>
      <c r="C122" s="79" t="inlineStr">
        <is>
          <t>基地资产包</t>
        </is>
      </c>
      <c r="D122" s="79" t="inlineStr">
        <is>
          <t>东侧固定设施包</t>
        </is>
      </c>
      <c r="E122" s="79" t="inlineStr">
        <is>
          <t>base99_package_east_flammable_bin</t>
        </is>
      </c>
      <c r="F122" s="79" t="inlineStr">
        <is>
          <t>package_root</t>
        </is>
      </c>
      <c r="G122" s="79" t="inlineStr">
        <is>
          <t>ENV-BASE99-ART-LAYOUT-3D</t>
        </is>
      </c>
      <c r="H122" s="79" t="inlineStr">
        <is>
          <t>Top3D / Blender +Y北</t>
        </is>
      </c>
      <c r="I122" s="79" t="inlineStr">
        <is>
          <t>static / default</t>
        </is>
      </c>
      <c r="J122" s="79" t="inlineStr">
        <is>
          <t>3D-设施 / 基地99层独立资产包</t>
        </is>
      </c>
      <c r="K122" s="79" t="inlineStr">
        <is>
          <t>Blender源已完成</t>
        </is>
      </c>
      <c r="L122" s="79" t="inlineStr">
        <is>
          <t>P1</t>
        </is>
      </c>
      <c r="M122" s="79" t="inlineStr">
        <is>
          <t>v017</t>
        </is>
      </c>
      <c r="N122" s="69" t="inlineStr">
        <is>
          <t>包络 1.298×1.100×1.460m；12 网格；0 灯</t>
        </is>
      </c>
      <c r="O122" s="69" t="inlineStr">
        <is>
          <t>source/art/blender/base_facility_layout/component_packages/east_facilities/east_flammable_bin/asset_manifest.json</t>
        </is>
      </c>
      <c r="P122" s="6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69" t="inlineStr">
        <is>
          <t>基地99层;基地资产包;3D设施;东侧固定设施包;east_flammable_bin;PaletteUV</t>
        </is>
      </c>
      <c r="R122" s="69">
        <f>LOWER(TRIM(C122)&amp;"|"&amp;TRIM(D122)&amp;"|"&amp;TRIM(E122)&amp;"|"&amp;TRIM(F122)&amp;"|"&amp;TRIM(H122)&amp;"|"&amp;TRIM(I122))</f>
        <v/>
      </c>
      <c r="S122" s="69">
        <f>IF(COUNTIF($R$6:$R$239,R122)&gt;1,"重复","唯一")</f>
        <v/>
      </c>
      <c r="T122" s="69" t="inlineStr">
        <is>
          <t>d67856f7054de69177c719bb95fb60f3840f92a162bfcdfbda06263ea1a12480</t>
        </is>
      </c>
      <c r="U122" s="69" t="inlineStr">
        <is>
          <t>Codex</t>
        </is>
      </c>
      <c r="V122" s="78" t="n">
        <v>46269</v>
      </c>
      <c r="W122" s="69" t="inlineStr">
        <is>
          <t>用户自制Blender资产</t>
        </is>
      </c>
      <c r="X122" s="75" t="inlineStr">
        <is>
          <t>76</t>
        </is>
      </c>
      <c r="Y122" s="6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5" customHeight="1" s="50">
      <c r="A123" s="79" t="inlineStr">
        <is>
          <t>BPK-BASE99-EAST-INDUSTRIAL-PIPELINE-SYSTEM</t>
        </is>
      </c>
      <c r="B123" s="79" t="inlineStr">
        <is>
          <t>基地99层 · 东墙工业管线系统</t>
        </is>
      </c>
      <c r="C123" s="79" t="inlineStr">
        <is>
          <t>基地资产包</t>
        </is>
      </c>
      <c r="D123" s="79" t="inlineStr">
        <is>
          <t>东侧固定设施包</t>
        </is>
      </c>
      <c r="E123" s="79" t="inlineStr">
        <is>
          <t>base99_package_east_industrial_pipeline_system</t>
        </is>
      </c>
      <c r="F123" s="79" t="inlineStr">
        <is>
          <t>package_root</t>
        </is>
      </c>
      <c r="G123" s="79" t="inlineStr">
        <is>
          <t>ENV-BASE99-ART-LAYOUT-3D</t>
        </is>
      </c>
      <c r="H123" s="79" t="inlineStr">
        <is>
          <t>Top3D / Blender +Y北</t>
        </is>
      </c>
      <c r="I123" s="79" t="inlineStr">
        <is>
          <t>static / default</t>
        </is>
      </c>
      <c r="J123" s="79" t="inlineStr">
        <is>
          <t>3D-设施 / 基地99层独立资产包</t>
        </is>
      </c>
      <c r="K123" s="79" t="inlineStr">
        <is>
          <t>Blender源已完成</t>
        </is>
      </c>
      <c r="L123" s="79" t="inlineStr">
        <is>
          <t>P1</t>
        </is>
      </c>
      <c r="M123" s="79" t="inlineStr">
        <is>
          <t>v022</t>
        </is>
      </c>
      <c r="N123" s="69" t="inlineStr">
        <is>
          <t>包络 0.578×17.600×5.460m；57 网格；0 灯</t>
        </is>
      </c>
      <c r="O123" s="69" t="inlineStr">
        <is>
          <t>source/art/blender/base_facility_layout/component_packages/east_facilities/east_industrial_pipeline_system/asset_manifest.json</t>
        </is>
      </c>
      <c r="P123" s="6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69" t="inlineStr">
        <is>
          <t>基地99层;基地资产包;3D设施;东侧固定设施包;east_industrial_pipeline_system;PaletteUV</t>
        </is>
      </c>
      <c r="R123" s="69">
        <f>LOWER(TRIM(C123)&amp;"|"&amp;TRIM(D123)&amp;"|"&amp;TRIM(E123)&amp;"|"&amp;TRIM(F123)&amp;"|"&amp;TRIM(H123)&amp;"|"&amp;TRIM(I123))</f>
        <v/>
      </c>
      <c r="S123" s="69">
        <f>IF(COUNTIF($R$6:$R$239,R123)&gt;1,"重复","唯一")</f>
        <v/>
      </c>
      <c r="T123" s="69" t="inlineStr">
        <is>
          <t>17131b6c007c19a68cbfa9840985791cde68ac938e59b14d960c27d164a391f3</t>
        </is>
      </c>
      <c r="U123" s="69" t="inlineStr">
        <is>
          <t>Codex</t>
        </is>
      </c>
      <c r="V123" s="78" t="n">
        <v>46269</v>
      </c>
      <c r="W123" s="69" t="inlineStr">
        <is>
          <t>用户自制Blender资产</t>
        </is>
      </c>
      <c r="X123" s="75" t="inlineStr">
        <is>
          <t>74</t>
        </is>
      </c>
      <c r="Y123" s="6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4" customHeight="1" s="50">
      <c r="A124" s="79" t="inlineStr">
        <is>
          <t>BPK-BASE99-EAST-LOW-STORAGE-BENCH</t>
        </is>
      </c>
      <c r="B124" s="79" t="inlineStr">
        <is>
          <t>基地99层 · 低矮储物收纳区</t>
        </is>
      </c>
      <c r="C124" s="79" t="inlineStr">
        <is>
          <t>基地资产包</t>
        </is>
      </c>
      <c r="D124" s="79" t="inlineStr">
        <is>
          <t>东侧固定设施包</t>
        </is>
      </c>
      <c r="E124" s="79" t="inlineStr">
        <is>
          <t>base99_package_east_low_storage_bench</t>
        </is>
      </c>
      <c r="F124" s="79" t="inlineStr">
        <is>
          <t>package_root</t>
        </is>
      </c>
      <c r="G124" s="79" t="inlineStr">
        <is>
          <t>ENV-BASE99-ART-LAYOUT-3D</t>
        </is>
      </c>
      <c r="H124" s="79" t="inlineStr">
        <is>
          <t>Top3D / Blender +Y北</t>
        </is>
      </c>
      <c r="I124" s="79" t="inlineStr">
        <is>
          <t>static / default</t>
        </is>
      </c>
      <c r="J124" s="79" t="inlineStr">
        <is>
          <t>3D-设施 / 基地99层独立资产包</t>
        </is>
      </c>
      <c r="K124" s="79" t="inlineStr">
        <is>
          <t>Blender源已完成</t>
        </is>
      </c>
      <c r="L124" s="79" t="inlineStr">
        <is>
          <t>P1</t>
        </is>
      </c>
      <c r="M124" s="79" t="inlineStr">
        <is>
          <t>v017</t>
        </is>
      </c>
      <c r="N124" s="69" t="inlineStr">
        <is>
          <t>包络 2.900×1.225×1.690m；10 网格；0 灯</t>
        </is>
      </c>
      <c r="O124" s="69" t="inlineStr">
        <is>
          <t>source/art/blender/base_facility_layout/component_packages/east_facilities/east_low_storage_bench/asset_manifest.json</t>
        </is>
      </c>
      <c r="P124" s="6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69" t="inlineStr">
        <is>
          <t>基地99层;基地资产包;3D设施;东侧固定设施包;east_low_storage_bench;PaletteUV</t>
        </is>
      </c>
      <c r="R124" s="69">
        <f>LOWER(TRIM(C124)&amp;"|"&amp;TRIM(D124)&amp;"|"&amp;TRIM(E124)&amp;"|"&amp;TRIM(F124)&amp;"|"&amp;TRIM(H124)&amp;"|"&amp;TRIM(I124))</f>
        <v/>
      </c>
      <c r="S124" s="69">
        <f>IF(COUNTIF($R$6:$R$239,R124)&gt;1,"重复","唯一")</f>
        <v/>
      </c>
      <c r="T124" s="69" t="inlineStr">
        <is>
          <t>425f3923fe553cac17dbb350477207a41015df2ae7aac88fe578e3737db1f438</t>
        </is>
      </c>
      <c r="U124" s="69" t="inlineStr">
        <is>
          <t>Codex</t>
        </is>
      </c>
      <c r="V124" s="78" t="n">
        <v>46269</v>
      </c>
      <c r="W124" s="69" t="inlineStr">
        <is>
          <t>用户自制Blender资产</t>
        </is>
      </c>
      <c r="X124" s="75" t="inlineStr">
        <is>
          <t>80</t>
        </is>
      </c>
      <c r="Y124" s="6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4" customHeight="1" s="50">
      <c r="A125" s="79" t="inlineStr">
        <is>
          <t>BPK-BASE99-EAST-MAINTENANCE-WORKSTATION</t>
        </is>
      </c>
      <c r="B125" s="79" t="inlineStr">
        <is>
          <t>基地99层 · 维修工作台与工具墙</t>
        </is>
      </c>
      <c r="C125" s="79" t="inlineStr">
        <is>
          <t>基地资产包</t>
        </is>
      </c>
      <c r="D125" s="79" t="inlineStr">
        <is>
          <t>东侧固定设施包</t>
        </is>
      </c>
      <c r="E125" s="79" t="inlineStr">
        <is>
          <t>base99_package_east_maintenance_workstation</t>
        </is>
      </c>
      <c r="F125" s="79" t="inlineStr">
        <is>
          <t>package_root</t>
        </is>
      </c>
      <c r="G125" s="79" t="inlineStr">
        <is>
          <t>ENV-BASE99-ART-LAYOUT-3D</t>
        </is>
      </c>
      <c r="H125" s="79" t="inlineStr">
        <is>
          <t>Top3D / Blender +Y北</t>
        </is>
      </c>
      <c r="I125" s="79" t="inlineStr">
        <is>
          <t>static / default</t>
        </is>
      </c>
      <c r="J125" s="79" t="inlineStr">
        <is>
          <t>3D-设施 / 基地99层独立资产包</t>
        </is>
      </c>
      <c r="K125" s="79" t="inlineStr">
        <is>
          <t>Blender源已完成</t>
        </is>
      </c>
      <c r="L125" s="79" t="inlineStr">
        <is>
          <t>P1</t>
        </is>
      </c>
      <c r="M125" s="79" t="inlineStr">
        <is>
          <t>v022</t>
        </is>
      </c>
      <c r="N125" s="69" t="inlineStr">
        <is>
          <t>包络 5.000×2.560×4.220m；115 网格；0 灯</t>
        </is>
      </c>
      <c r="O125" s="69" t="inlineStr">
        <is>
          <t>source/art/blender/base_facility_layout/component_packages/east_facilities/east_maintenance_workstation/asset_manifest.json</t>
        </is>
      </c>
      <c r="P125" s="6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69" t="inlineStr">
        <is>
          <t>基地99层;基地资产包;3D设施;东侧固定设施包;east_maintenance_workstation;PaletteUV</t>
        </is>
      </c>
      <c r="R125" s="69">
        <f>LOWER(TRIM(C125)&amp;"|"&amp;TRIM(D125)&amp;"|"&amp;TRIM(E125)&amp;"|"&amp;TRIM(F125)&amp;"|"&amp;TRIM(H125)&amp;"|"&amp;TRIM(I125))</f>
        <v/>
      </c>
      <c r="S125" s="69">
        <f>IF(COUNTIF($R$6:$R$239,R125)&gt;1,"重复","唯一")</f>
        <v/>
      </c>
      <c r="T125" s="69" t="inlineStr">
        <is>
          <t>8175ece5f3b1bea66004ebbca23a7c807b63e555eb1981feda6e1c564175ccc4</t>
        </is>
      </c>
      <c r="U125" s="69" t="inlineStr">
        <is>
          <t>Codex</t>
        </is>
      </c>
      <c r="V125" s="78" t="n">
        <v>46269</v>
      </c>
      <c r="W125" s="69" t="inlineStr">
        <is>
          <t>用户自制Blender资产</t>
        </is>
      </c>
      <c r="X125" s="75" t="inlineStr">
        <is>
          <t>78</t>
        </is>
      </c>
      <c r="Y125" s="6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4" customHeight="1" s="50">
      <c r="A126" s="79" t="inlineStr">
        <is>
          <t>BPK-BASE99-EAST-PERSONNEL-SECURITY-DOOR</t>
        </is>
      </c>
      <c r="B126" s="79" t="inlineStr">
        <is>
          <t>基地99层 · 正式人员安全门</t>
        </is>
      </c>
      <c r="C126" s="79" t="inlineStr">
        <is>
          <t>基地资产包</t>
        </is>
      </c>
      <c r="D126" s="79" t="inlineStr">
        <is>
          <t>东侧固定设施包</t>
        </is>
      </c>
      <c r="E126" s="79" t="inlineStr">
        <is>
          <t>base99_package_east_personnel_security_door</t>
        </is>
      </c>
      <c r="F126" s="79" t="inlineStr">
        <is>
          <t>package_root</t>
        </is>
      </c>
      <c r="G126" s="79" t="inlineStr">
        <is>
          <t>ENV-BASE99-ART-LAYOUT-3D</t>
        </is>
      </c>
      <c r="H126" s="79" t="inlineStr">
        <is>
          <t>Top3D / Blender +Y北</t>
        </is>
      </c>
      <c r="I126" s="79" t="inlineStr">
        <is>
          <t>static / fixture_light</t>
        </is>
      </c>
      <c r="J126" s="79" t="inlineStr">
        <is>
          <t>3D-设施 / 基地99层独立资产包</t>
        </is>
      </c>
      <c r="K126" s="79" t="inlineStr">
        <is>
          <t>Blender源已完成</t>
        </is>
      </c>
      <c r="L126" s="79" t="inlineStr">
        <is>
          <t>P1</t>
        </is>
      </c>
      <c r="M126" s="79" t="inlineStr">
        <is>
          <t>v021</t>
        </is>
      </c>
      <c r="N126" s="69" t="inlineStr">
        <is>
          <t>包络 0.898×2.040×2.340m；2 网格；1 灯</t>
        </is>
      </c>
      <c r="O126" s="69" t="inlineStr">
        <is>
          <t>source/art/blender/base_facility_layout/component_packages/east_facilities/east_personnel_security_door/asset_manifest.json</t>
        </is>
      </c>
      <c r="P126" s="6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69" t="inlineStr">
        <is>
          <t>基地99层;基地资产包;3D设施;东侧固定设施包;east_personnel_security_door;PaletteUV</t>
        </is>
      </c>
      <c r="R126" s="69">
        <f>LOWER(TRIM(C126)&amp;"|"&amp;TRIM(D126)&amp;"|"&amp;TRIM(E126)&amp;"|"&amp;TRIM(F126)&amp;"|"&amp;TRIM(H126)&amp;"|"&amp;TRIM(I126))</f>
        <v/>
      </c>
      <c r="S126" s="69">
        <f>IF(COUNTIF($R$6:$R$239,R126)&gt;1,"重复","唯一")</f>
        <v/>
      </c>
      <c r="T126" s="69" t="inlineStr">
        <is>
          <t>c5e08f9aa4fd858444a8622de401cf99106cd0af57ef8cb25f235bc05fdf3f20</t>
        </is>
      </c>
      <c r="U126" s="69" t="inlineStr">
        <is>
          <t>Codex</t>
        </is>
      </c>
      <c r="V126" s="78" t="n">
        <v>46269</v>
      </c>
      <c r="W126" s="69" t="inlineStr">
        <is>
          <t>用户自制Blender资产</t>
        </is>
      </c>
      <c r="X126" s="75" t="inlineStr">
        <is>
          <t>71</t>
        </is>
      </c>
      <c r="Y126" s="6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4" customHeight="1" s="50">
      <c r="A127" s="79" t="inlineStr">
        <is>
          <t>BPK-BASE99-EAST-PLANT-GROUP</t>
        </is>
      </c>
      <c r="B127" s="79" t="inlineStr">
        <is>
          <t>基地99层 · 东面植物点缀组</t>
        </is>
      </c>
      <c r="C127" s="79" t="inlineStr">
        <is>
          <t>基地资产包</t>
        </is>
      </c>
      <c r="D127" s="79" t="inlineStr">
        <is>
          <t>东侧固定设施包</t>
        </is>
      </c>
      <c r="E127" s="79" t="inlineStr">
        <is>
          <t>base99_package_east_plant_group</t>
        </is>
      </c>
      <c r="F127" s="79" t="inlineStr">
        <is>
          <t>package_root</t>
        </is>
      </c>
      <c r="G127" s="79" t="inlineStr">
        <is>
          <t>ENV-BASE99-ART-LAYOUT-3D</t>
        </is>
      </c>
      <c r="H127" s="79" t="inlineStr">
        <is>
          <t>Top3D / Blender +Y北</t>
        </is>
      </c>
      <c r="I127" s="79" t="inlineStr">
        <is>
          <t>static / default</t>
        </is>
      </c>
      <c r="J127" s="79" t="inlineStr">
        <is>
          <t>3D-设施 / 基地99层独立资产包</t>
        </is>
      </c>
      <c r="K127" s="79" t="inlineStr">
        <is>
          <t>Blender源已完成</t>
        </is>
      </c>
      <c r="L127" s="79" t="inlineStr">
        <is>
          <t>P1</t>
        </is>
      </c>
      <c r="M127" s="79" t="inlineStr">
        <is>
          <t>v017</t>
        </is>
      </c>
      <c r="N127" s="69" t="inlineStr">
        <is>
          <t>包络 1.364×17.030×2.000m；15 网格；0 灯</t>
        </is>
      </c>
      <c r="O127" s="69" t="inlineStr">
        <is>
          <t>source/art/blender/base_facility_layout/component_packages/east_facilities/east_plant_group/asset_manifest.json</t>
        </is>
      </c>
      <c r="P127" s="6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69" t="inlineStr">
        <is>
          <t>基地99层;基地资产包;3D设施;东侧固定设施包;east_plant_group;PaletteUV</t>
        </is>
      </c>
      <c r="R127" s="69">
        <f>LOWER(TRIM(C127)&amp;"|"&amp;TRIM(D127)&amp;"|"&amp;TRIM(E127)&amp;"|"&amp;TRIM(F127)&amp;"|"&amp;TRIM(H127)&amp;"|"&amp;TRIM(I127))</f>
        <v/>
      </c>
      <c r="S127" s="69">
        <f>IF(COUNTIF($R$6:$R$239,R127)&gt;1,"重复","唯一")</f>
        <v/>
      </c>
      <c r="T127" s="69" t="inlineStr">
        <is>
          <t>e776728d1d2cef6a575f5e32916f80050c3ee88c5cf2a160d64f7389d2285564</t>
        </is>
      </c>
      <c r="U127" s="69" t="inlineStr">
        <is>
          <t>Codex</t>
        </is>
      </c>
      <c r="V127" s="78" t="n">
        <v>46269</v>
      </c>
      <c r="W127" s="69" t="inlineStr">
        <is>
          <t>用户自制Blender资产</t>
        </is>
      </c>
      <c r="X127" s="75" t="inlineStr">
        <is>
          <t>83</t>
        </is>
      </c>
      <c r="Y127" s="6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5" customHeight="1" s="50">
      <c r="A128" s="79" t="inlineStr">
        <is>
          <t>BPK-BASE99-EAST-POWER-DISTRIBUTION</t>
        </is>
      </c>
      <c r="B128" s="79" t="inlineStr">
        <is>
          <t>基地99层 · POWER工业配电系统</t>
        </is>
      </c>
      <c r="C128" s="79" t="inlineStr">
        <is>
          <t>基地资产包</t>
        </is>
      </c>
      <c r="D128" s="79" t="inlineStr">
        <is>
          <t>东侧固定设施包</t>
        </is>
      </c>
      <c r="E128" s="79" t="inlineStr">
        <is>
          <t>base99_package_east_power_distribution</t>
        </is>
      </c>
      <c r="F128" s="79" t="inlineStr">
        <is>
          <t>package_root</t>
        </is>
      </c>
      <c r="G128" s="79" t="inlineStr">
        <is>
          <t>ENV-BASE99-ART-LAYOUT-3D</t>
        </is>
      </c>
      <c r="H128" s="79" t="inlineStr">
        <is>
          <t>Top3D / Blender +Y北</t>
        </is>
      </c>
      <c r="I128" s="79" t="inlineStr">
        <is>
          <t>static / default</t>
        </is>
      </c>
      <c r="J128" s="79" t="inlineStr">
        <is>
          <t>3D-设施 / 基地99层独立资产包</t>
        </is>
      </c>
      <c r="K128" s="79" t="inlineStr">
        <is>
          <t>Blender源已完成</t>
        </is>
      </c>
      <c r="L128" s="79" t="inlineStr">
        <is>
          <t>P1</t>
        </is>
      </c>
      <c r="M128" s="79" t="inlineStr">
        <is>
          <t>v022</t>
        </is>
      </c>
      <c r="N128" s="69" t="inlineStr">
        <is>
          <t>包络 0.828×1.550×2.690m；25 网格；0 灯</t>
        </is>
      </c>
      <c r="O128" s="69" t="inlineStr">
        <is>
          <t>source/art/blender/base_facility_layout/component_packages/east_facilities/east_power_distribution/asset_manifest.json</t>
        </is>
      </c>
      <c r="P128" s="6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69" t="inlineStr">
        <is>
          <t>基地99层;基地资产包;3D设施;东侧固定设施包;east_power_distribution;PaletteUV</t>
        </is>
      </c>
      <c r="R128" s="69">
        <f>LOWER(TRIM(C128)&amp;"|"&amp;TRIM(D128)&amp;"|"&amp;TRIM(E128)&amp;"|"&amp;TRIM(F128)&amp;"|"&amp;TRIM(H128)&amp;"|"&amp;TRIM(I128))</f>
        <v/>
      </c>
      <c r="S128" s="69">
        <f>IF(COUNTIF($R$6:$R$239,R128)&gt;1,"重复","唯一")</f>
        <v/>
      </c>
      <c r="T128" s="69" t="inlineStr">
        <is>
          <t>414ce80873bfafe62cbdab687819652bf7f5a851fbdda34d059c73e9a6a0ee5c</t>
        </is>
      </c>
      <c r="U128" s="69" t="inlineStr">
        <is>
          <t>Codex</t>
        </is>
      </c>
      <c r="V128" s="78" t="n">
        <v>46269</v>
      </c>
      <c r="W128" s="69" t="inlineStr">
        <is>
          <t>用户自制Blender资产</t>
        </is>
      </c>
      <c r="X128" s="75" t="inlineStr">
        <is>
          <t>73</t>
        </is>
      </c>
      <c r="Y128" s="6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4" customHeight="1" s="50">
      <c r="A129" s="79" t="inlineStr">
        <is>
          <t>BPK-BASE99-EAST-RECYCLE-BIN</t>
        </is>
      </c>
      <c r="B129" s="79" t="inlineStr">
        <is>
          <t>基地99层 · RECYCLE回收垃圾设施</t>
        </is>
      </c>
      <c r="C129" s="79" t="inlineStr">
        <is>
          <t>基地资产包</t>
        </is>
      </c>
      <c r="D129" s="79" t="inlineStr">
        <is>
          <t>东侧固定设施包</t>
        </is>
      </c>
      <c r="E129" s="79" t="inlineStr">
        <is>
          <t>base99_package_east_recycle_bin</t>
        </is>
      </c>
      <c r="F129" s="79" t="inlineStr">
        <is>
          <t>package_root</t>
        </is>
      </c>
      <c r="G129" s="79" t="inlineStr">
        <is>
          <t>ENV-BASE99-ART-LAYOUT-3D</t>
        </is>
      </c>
      <c r="H129" s="79" t="inlineStr">
        <is>
          <t>Top3D / Blender +Y北</t>
        </is>
      </c>
      <c r="I129" s="79" t="inlineStr">
        <is>
          <t>static / default</t>
        </is>
      </c>
      <c r="J129" s="79" t="inlineStr">
        <is>
          <t>3D-设施 / 基地99层独立资产包</t>
        </is>
      </c>
      <c r="K129" s="79" t="inlineStr">
        <is>
          <t>Blender源已完成</t>
        </is>
      </c>
      <c r="L129" s="79" t="inlineStr">
        <is>
          <t>P1</t>
        </is>
      </c>
      <c r="M129" s="79" t="inlineStr">
        <is>
          <t>v017</t>
        </is>
      </c>
      <c r="N129" s="69" t="inlineStr">
        <is>
          <t>包络 1.298×1.100×1.460m；12 网格；0 灯</t>
        </is>
      </c>
      <c r="O129" s="69" t="inlineStr">
        <is>
          <t>source/art/blender/base_facility_layout/component_packages/east_facilities/east_recycle_bin/asset_manifest.json</t>
        </is>
      </c>
      <c r="P129" s="6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69" t="inlineStr">
        <is>
          <t>基地99层;基地资产包;3D设施;东侧固定设施包;east_recycle_bin;PaletteUV</t>
        </is>
      </c>
      <c r="R129" s="69">
        <f>LOWER(TRIM(C129)&amp;"|"&amp;TRIM(D129)&amp;"|"&amp;TRIM(E129)&amp;"|"&amp;TRIM(F129)&amp;"|"&amp;TRIM(H129)&amp;"|"&amp;TRIM(I129))</f>
        <v/>
      </c>
      <c r="S129" s="69">
        <f>IF(COUNTIF($R$6:$R$239,R129)&gt;1,"重复","唯一")</f>
        <v/>
      </c>
      <c r="T129" s="69" t="inlineStr">
        <is>
          <t>cebdf92cb4adefa25ee23460d4f7c09ed6a14c2ebd54c08604f890dfb2ab8b98</t>
        </is>
      </c>
      <c r="U129" s="69" t="inlineStr">
        <is>
          <t>Codex</t>
        </is>
      </c>
      <c r="V129" s="78" t="n">
        <v>46269</v>
      </c>
      <c r="W129" s="69" t="inlineStr">
        <is>
          <t>用户自制Blender资产</t>
        </is>
      </c>
      <c r="X129" s="75" t="inlineStr">
        <is>
          <t>77</t>
        </is>
      </c>
      <c r="Y129" s="6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4" customHeight="1" s="50">
      <c r="A130" s="79" t="inlineStr">
        <is>
          <t>BPK-BASE99-EAST-ROUND-PENDANT-LIGHT</t>
        </is>
      </c>
      <c r="B130" s="79" t="inlineStr">
        <is>
          <t>基地99层 · 东面圆形工业吊灯</t>
        </is>
      </c>
      <c r="C130" s="79" t="inlineStr">
        <is>
          <t>基地资产包</t>
        </is>
      </c>
      <c r="D130" s="79" t="inlineStr">
        <is>
          <t>东侧固定设施包</t>
        </is>
      </c>
      <c r="E130" s="79" t="inlineStr">
        <is>
          <t>base99_package_east_round_pendant_light</t>
        </is>
      </c>
      <c r="F130" s="79" t="inlineStr">
        <is>
          <t>package_root</t>
        </is>
      </c>
      <c r="G130" s="79" t="inlineStr">
        <is>
          <t>ENV-BASE99-ART-LAYOUT-3D</t>
        </is>
      </c>
      <c r="H130" s="79" t="inlineStr">
        <is>
          <t>Top3D / Blender +Y北</t>
        </is>
      </c>
      <c r="I130" s="79" t="inlineStr">
        <is>
          <t>static / fixture_light</t>
        </is>
      </c>
      <c r="J130" s="79" t="inlineStr">
        <is>
          <t>3D-设施 / 基地99层独立资产包</t>
        </is>
      </c>
      <c r="K130" s="79" t="inlineStr">
        <is>
          <t>Blender源已完成</t>
        </is>
      </c>
      <c r="L130" s="79" t="inlineStr">
        <is>
          <t>P1</t>
        </is>
      </c>
      <c r="M130" s="79" t="inlineStr">
        <is>
          <t>v017</t>
        </is>
      </c>
      <c r="N130" s="69" t="inlineStr">
        <is>
          <t>包络 1.242×1.243×1.560m；10 网格；2 灯</t>
        </is>
      </c>
      <c r="O130" s="69" t="inlineStr">
        <is>
          <t>source/art/blender/base_facility_layout/component_packages/east_facilities/east_round_pendant_light/asset_manifest.json</t>
        </is>
      </c>
      <c r="P130" s="6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69" t="inlineStr">
        <is>
          <t>基地99层;基地资产包;3D设施;东侧固定设施包;east_round_pendant_light;PaletteUV</t>
        </is>
      </c>
      <c r="R130" s="69">
        <f>LOWER(TRIM(C130)&amp;"|"&amp;TRIM(D130)&amp;"|"&amp;TRIM(E130)&amp;"|"&amp;TRIM(F130)&amp;"|"&amp;TRIM(H130)&amp;"|"&amp;TRIM(I130))</f>
        <v/>
      </c>
      <c r="S130" s="69">
        <f>IF(COUNTIF($R$6:$R$239,R130)&gt;1,"重复","唯一")</f>
        <v/>
      </c>
      <c r="T130" s="69" t="inlineStr">
        <is>
          <t>97e280af194980156a0cdd900717a63adee22d679f0c9f7193e3b900d1d7e832</t>
        </is>
      </c>
      <c r="U130" s="69" t="inlineStr">
        <is>
          <t>Codex</t>
        </is>
      </c>
      <c r="V130" s="78" t="n">
        <v>46269</v>
      </c>
      <c r="W130" s="69" t="inlineStr">
        <is>
          <t>用户自制Blender资产</t>
        </is>
      </c>
      <c r="X130" s="75" t="inlineStr">
        <is>
          <t>84</t>
        </is>
      </c>
      <c r="Y130" s="6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4" customHeight="1" s="50">
      <c r="A131" s="79" t="inlineStr">
        <is>
          <t>BPK-BASE99-EAST-SMALL-SAFETY-DEVICES</t>
        </is>
      </c>
      <c r="B131" s="79" t="inlineStr">
        <is>
          <t>基地99层 · 东墙小型安全设备</t>
        </is>
      </c>
      <c r="C131" s="79" t="inlineStr">
        <is>
          <t>基地资产包</t>
        </is>
      </c>
      <c r="D131" s="79" t="inlineStr">
        <is>
          <t>东侧固定设施包</t>
        </is>
      </c>
      <c r="E131" s="79" t="inlineStr">
        <is>
          <t>base99_package_east_small_safety_devices</t>
        </is>
      </c>
      <c r="F131" s="79" t="inlineStr">
        <is>
          <t>package_root</t>
        </is>
      </c>
      <c r="G131" s="79" t="inlineStr">
        <is>
          <t>ENV-BASE99-ART-LAYOUT-3D</t>
        </is>
      </c>
      <c r="H131" s="79" t="inlineStr">
        <is>
          <t>Top3D / Blender +Y北</t>
        </is>
      </c>
      <c r="I131" s="79" t="inlineStr">
        <is>
          <t>static / default</t>
        </is>
      </c>
      <c r="J131" s="79" t="inlineStr">
        <is>
          <t>3D-设施 / 基地99层独立资产包</t>
        </is>
      </c>
      <c r="K131" s="79" t="inlineStr">
        <is>
          <t>Blender源已完成</t>
        </is>
      </c>
      <c r="L131" s="79" t="inlineStr">
        <is>
          <t>P1</t>
        </is>
      </c>
      <c r="M131" s="79" t="inlineStr">
        <is>
          <t>v022</t>
        </is>
      </c>
      <c r="N131" s="69" t="inlineStr">
        <is>
          <t>包络 0.430×12.470×3.790m；28 网格；0 灯</t>
        </is>
      </c>
      <c r="O131" s="69" t="inlineStr">
        <is>
          <t>source/art/blender/base_facility_layout/component_packages/east_facilities/east_small_safety_devices/asset_manifest.json</t>
        </is>
      </c>
      <c r="P131" s="6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69" t="inlineStr">
        <is>
          <t>基地99层;基地资产包;3D设施;东侧固定设施包;east_small_safety_devices;PaletteUV</t>
        </is>
      </c>
      <c r="R131" s="69">
        <f>LOWER(TRIM(C131)&amp;"|"&amp;TRIM(D131)&amp;"|"&amp;TRIM(E131)&amp;"|"&amp;TRIM(F131)&amp;"|"&amp;TRIM(H131)&amp;"|"&amp;TRIM(I131))</f>
        <v/>
      </c>
      <c r="S131" s="69">
        <f>IF(COUNTIF($R$6:$R$239,R131)&gt;1,"重复","唯一")</f>
        <v/>
      </c>
      <c r="T131" s="69" t="inlineStr">
        <is>
          <t>04104b58b3411162a65f90065f2c54f8cef5254413b0b4dfb4f59f12ee0ce0a5</t>
        </is>
      </c>
      <c r="U131" s="69" t="inlineStr">
        <is>
          <t>Codex</t>
        </is>
      </c>
      <c r="V131" s="78" t="n">
        <v>46269</v>
      </c>
      <c r="W131" s="69" t="inlineStr">
        <is>
          <t>用户自制Blender资产</t>
        </is>
      </c>
      <c r="X131" s="75" t="inlineStr">
        <is>
          <t>82</t>
        </is>
      </c>
      <c r="Y131" s="6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4" customHeight="1" s="50">
      <c r="A132" s="79" t="inlineStr">
        <is>
          <t>BPK-BASE99-EAST-SUPPLY-24H-STATION</t>
        </is>
      </c>
      <c r="B132" s="79" t="inlineStr">
        <is>
          <t>基地99层 · SUPPLY24H自动补给机</t>
        </is>
      </c>
      <c r="C132" s="79" t="inlineStr">
        <is>
          <t>基地资产包</t>
        </is>
      </c>
      <c r="D132" s="79" t="inlineStr">
        <is>
          <t>东侧固定设施包</t>
        </is>
      </c>
      <c r="E132" s="79" t="inlineStr">
        <is>
          <t>base99_package_east_supply_24h_station</t>
        </is>
      </c>
      <c r="F132" s="79" t="inlineStr">
        <is>
          <t>package_root</t>
        </is>
      </c>
      <c r="G132" s="79" t="inlineStr">
        <is>
          <t>ENV-BASE99-ART-LAYOUT-3D</t>
        </is>
      </c>
      <c r="H132" s="79" t="inlineStr">
        <is>
          <t>Top3D / Blender +Y北</t>
        </is>
      </c>
      <c r="I132" s="79" t="inlineStr">
        <is>
          <t>static / default</t>
        </is>
      </c>
      <c r="J132" s="79" t="inlineStr">
        <is>
          <t>3D-设施 / 基地99层独立资产包</t>
        </is>
      </c>
      <c r="K132" s="79" t="inlineStr">
        <is>
          <t>正式美术已接入</t>
        </is>
      </c>
      <c r="L132" s="79" t="inlineStr">
        <is>
          <t>P1</t>
        </is>
      </c>
      <c r="M132" s="79" t="inlineStr">
        <is>
          <t>v017</t>
        </is>
      </c>
      <c r="N132" s="69" t="inlineStr">
        <is>
          <t>包络 2.478×2.337×4.720m；50 网格；0 灯</t>
        </is>
      </c>
      <c r="O132" s="69" t="inlineStr">
        <is>
          <t>source/art/blender/base_facility_layout/component_packages/east_facilities/east_supply_24h_station/asset_manifest.json</t>
        </is>
      </c>
      <c r="P132" s="6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69" t="inlineStr">
        <is>
          <t>基地99层;基地资产包;3D设施;东侧固定设施包;east_supply_24h_station;PaletteUV; base_vending</t>
        </is>
      </c>
      <c r="R132" s="69">
        <f>LOWER(TRIM(C132)&amp;"|"&amp;TRIM(D132)&amp;"|"&amp;TRIM(E132)&amp;"|"&amp;TRIM(F132)&amp;"|"&amp;TRIM(H132)&amp;"|"&amp;TRIM(I132))</f>
        <v/>
      </c>
      <c r="S132" s="69">
        <f>IF(COUNTIF($R$6:$R$239,R132)&gt;1,"重复","唯一")</f>
        <v/>
      </c>
      <c r="T132" s="69" t="inlineStr">
        <is>
          <t>8aaec3764c331a2fe56f5645483c66e60b3f9b4d2e2fa2faccc794f03034f95d</t>
        </is>
      </c>
      <c r="U132" s="69" t="inlineStr">
        <is>
          <t>Codex</t>
        </is>
      </c>
      <c r="V132" s="78" t="n">
        <v>46269</v>
      </c>
      <c r="W132" s="69" t="inlineStr">
        <is>
          <t>用户自制Blender资产</t>
        </is>
      </c>
      <c r="X132" s="75" t="inlineStr">
        <is>
          <t>72</t>
        </is>
      </c>
      <c r="Y132" s="6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4" customHeight="1" s="50">
      <c r="A133" s="79" t="inlineStr">
        <is>
          <t>BPK-BASE99-EAST-WASTE-BIN</t>
        </is>
      </c>
      <c r="B133" s="79" t="inlineStr">
        <is>
          <t>基地99层 · WASTE普通垃圾设施</t>
        </is>
      </c>
      <c r="C133" s="79" t="inlineStr">
        <is>
          <t>基地资产包</t>
        </is>
      </c>
      <c r="D133" s="79" t="inlineStr">
        <is>
          <t>东侧固定设施包</t>
        </is>
      </c>
      <c r="E133" s="79" t="inlineStr">
        <is>
          <t>base99_package_east_waste_bin</t>
        </is>
      </c>
      <c r="F133" s="79" t="inlineStr">
        <is>
          <t>package_root</t>
        </is>
      </c>
      <c r="G133" s="79" t="inlineStr">
        <is>
          <t>ENV-BASE99-ART-LAYOUT-3D</t>
        </is>
      </c>
      <c r="H133" s="79" t="inlineStr">
        <is>
          <t>Top3D / Blender +Y北</t>
        </is>
      </c>
      <c r="I133" s="79" t="inlineStr">
        <is>
          <t>static / default</t>
        </is>
      </c>
      <c r="J133" s="79" t="inlineStr">
        <is>
          <t>3D-设施 / 基地99层独立资产包</t>
        </is>
      </c>
      <c r="K133" s="79" t="inlineStr">
        <is>
          <t>Blender源已完成</t>
        </is>
      </c>
      <c r="L133" s="79" t="inlineStr">
        <is>
          <t>P1</t>
        </is>
      </c>
      <c r="M133" s="79" t="inlineStr">
        <is>
          <t>v017</t>
        </is>
      </c>
      <c r="N133" s="69" t="inlineStr">
        <is>
          <t>包络 1.298×1.100×1.460m；11 网格；0 灯</t>
        </is>
      </c>
      <c r="O133" s="69" t="inlineStr">
        <is>
          <t>source/art/blender/base_facility_layout/component_packages/east_facilities/east_waste_bin/asset_manifest.json</t>
        </is>
      </c>
      <c r="P133" s="6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69" t="inlineStr">
        <is>
          <t>基地99层;基地资产包;3D设施;东侧固定设施包;east_waste_bin;PaletteUV</t>
        </is>
      </c>
      <c r="R133" s="69">
        <f>LOWER(TRIM(C133)&amp;"|"&amp;TRIM(D133)&amp;"|"&amp;TRIM(E133)&amp;"|"&amp;TRIM(F133)&amp;"|"&amp;TRIM(H133)&amp;"|"&amp;TRIM(I133))</f>
        <v/>
      </c>
      <c r="S133" s="69">
        <f>IF(COUNTIF($R$6:$R$239,R133)&gt;1,"重复","唯一")</f>
        <v/>
      </c>
      <c r="T133" s="69" t="inlineStr">
        <is>
          <t>7b49265dd096d1b51188f479eda5b4239755543c917f3d8e1cb757ffa633533e</t>
        </is>
      </c>
      <c r="U133" s="69" t="inlineStr">
        <is>
          <t>Codex</t>
        </is>
      </c>
      <c r="V133" s="78" t="n">
        <v>46269</v>
      </c>
      <c r="W133" s="69" t="inlineStr">
        <is>
          <t>用户自制Blender资产</t>
        </is>
      </c>
      <c r="X133" s="75" t="inlineStr">
        <is>
          <t>75</t>
        </is>
      </c>
      <c r="Y133" s="6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4" customHeight="1" s="50">
      <c r="A134" s="79" t="inlineStr">
        <is>
          <t>BPK-BASE99-EAST-WORK-TOGETHER-POSTER</t>
        </is>
      </c>
      <c r="B134" s="79" t="inlineStr">
        <is>
          <t>基地99层 · WORK_TOGETHER工业海报</t>
        </is>
      </c>
      <c r="C134" s="79" t="inlineStr">
        <is>
          <t>基地资产包</t>
        </is>
      </c>
      <c r="D134" s="79" t="inlineStr">
        <is>
          <t>东侧固定设施包</t>
        </is>
      </c>
      <c r="E134" s="79" t="inlineStr">
        <is>
          <t>base99_package_east_work_together_poster</t>
        </is>
      </c>
      <c r="F134" s="79" t="inlineStr">
        <is>
          <t>package_root</t>
        </is>
      </c>
      <c r="G134" s="79" t="inlineStr">
        <is>
          <t>ENV-BASE99-ART-LAYOUT-3D</t>
        </is>
      </c>
      <c r="H134" s="79" t="inlineStr">
        <is>
          <t>Top3D / Blender +Y北</t>
        </is>
      </c>
      <c r="I134" s="79" t="inlineStr">
        <is>
          <t>static / default</t>
        </is>
      </c>
      <c r="J134" s="79" t="inlineStr">
        <is>
          <t>3D-设施 / 基地99层独立资产包</t>
        </is>
      </c>
      <c r="K134" s="79" t="inlineStr">
        <is>
          <t>Blender源已完成</t>
        </is>
      </c>
      <c r="L134" s="79" t="inlineStr">
        <is>
          <t>P1</t>
        </is>
      </c>
      <c r="M134" s="79" t="inlineStr">
        <is>
          <t>v022</t>
        </is>
      </c>
      <c r="N134" s="69" t="inlineStr">
        <is>
          <t>包络 0.544×2.360×1.620m；15 网格；0 灯</t>
        </is>
      </c>
      <c r="O134" s="69" t="inlineStr">
        <is>
          <t>source/art/blender/base_facility_layout/component_packages/east_facilities/east_work_together_poster/asset_manifest.json</t>
        </is>
      </c>
      <c r="P134" s="6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69" t="inlineStr">
        <is>
          <t>基地99层;基地资产包;3D设施;东侧固定设施包;east_work_together_poster;PaletteUV</t>
        </is>
      </c>
      <c r="R134" s="69">
        <f>LOWER(TRIM(C134)&amp;"|"&amp;TRIM(D134)&amp;"|"&amp;TRIM(E134)&amp;"|"&amp;TRIM(F134)&amp;"|"&amp;TRIM(H134)&amp;"|"&amp;TRIM(I134))</f>
        <v/>
      </c>
      <c r="S134" s="69">
        <f>IF(COUNTIF($R$6:$R$239,R134)&gt;1,"重复","唯一")</f>
        <v/>
      </c>
      <c r="T134" s="69" t="inlineStr">
        <is>
          <t>862f766c8d48f7ef6ea4b6c5c918cc279e4e234c5680dda9f261b9f59943a8ec</t>
        </is>
      </c>
      <c r="U134" s="69" t="inlineStr">
        <is>
          <t>Codex</t>
        </is>
      </c>
      <c r="V134" s="78" t="n">
        <v>46269</v>
      </c>
      <c r="W134" s="69" t="inlineStr">
        <is>
          <t>用户自制Blender资产</t>
        </is>
      </c>
      <c r="X134" s="75" t="inlineStr">
        <is>
          <t>81</t>
        </is>
      </c>
      <c r="Y134" s="6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4" customHeight="1" s="50">
      <c r="A135" s="79" t="inlineStr">
        <is>
          <t>BPK-BASE99-TILE-R01-C01</t>
        </is>
      </c>
      <c r="B135" s="79" t="inlineStr">
        <is>
          <t>基地99层 · 地砖_R01C01_原砖与深化内容</t>
        </is>
      </c>
      <c r="C135" s="79" t="inlineStr">
        <is>
          <t>基地资产包</t>
        </is>
      </c>
      <c r="D135" s="79" t="inlineStr">
        <is>
          <t>地面系统包</t>
        </is>
      </c>
      <c r="E135" s="79" t="inlineStr">
        <is>
          <t>base99_package_tile_r01_c01</t>
        </is>
      </c>
      <c r="F135" s="79" t="inlineStr">
        <is>
          <t>package_root</t>
        </is>
      </c>
      <c r="G135" s="79" t="inlineStr">
        <is>
          <t>ENV-BASE99-ART-LAYOUT-3D</t>
        </is>
      </c>
      <c r="H135" s="79" t="inlineStr">
        <is>
          <t>Top3D / Blender +Y北</t>
        </is>
      </c>
      <c r="I135" s="79" t="inlineStr">
        <is>
          <t>static / default</t>
        </is>
      </c>
      <c r="J135" s="79" t="inlineStr">
        <is>
          <t>3D-设施 / 基地99层独立资产包</t>
        </is>
      </c>
      <c r="K135" s="79" t="inlineStr">
        <is>
          <t>正式美术已接入</t>
        </is>
      </c>
      <c r="L135" s="79" t="inlineStr">
        <is>
          <t>P0</t>
        </is>
      </c>
      <c r="M135" s="79" t="inlineStr">
        <is>
          <t>v017</t>
        </is>
      </c>
      <c r="N135" s="69" t="inlineStr">
        <is>
          <t>包络 5.000×5.000×0.448m；20 网格；0 灯</t>
        </is>
      </c>
      <c r="O135" s="69" t="inlineStr">
        <is>
          <t>source/art/blender/base_facility_layout/component_packages/floor/tile_r01_c01/asset_manifest.json</t>
        </is>
      </c>
      <c r="P135" s="6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69" t="inlineStr">
        <is>
          <t>基地99层;基地资产包;3D设施;地面系统包;tile_r01_c01;PaletteUV</t>
        </is>
      </c>
      <c r="R135" s="69">
        <f>LOWER(TRIM(C135)&amp;"|"&amp;TRIM(D135)&amp;"|"&amp;TRIM(E135)&amp;"|"&amp;TRIM(F135)&amp;"|"&amp;TRIM(H135)&amp;"|"&amp;TRIM(I135))</f>
        <v/>
      </c>
      <c r="S135" s="69">
        <f>IF(COUNTIF($R$6:$R$239,R135)&gt;1,"重复","唯一")</f>
        <v/>
      </c>
      <c r="T135" s="69" t="inlineStr">
        <is>
          <t>2d1bd5a9a5b1532ddfcd6b80d711b764255f4205abb334905a325ab2c72c1404</t>
        </is>
      </c>
      <c r="U135" s="69" t="inlineStr">
        <is>
          <t>Codex</t>
        </is>
      </c>
      <c r="V135" s="78" t="n">
        <v>46269</v>
      </c>
      <c r="W135" s="69" t="inlineStr">
        <is>
          <t>用户自制Blender资产</t>
        </is>
      </c>
      <c r="X135" s="75" t="inlineStr">
        <is>
          <t>—</t>
        </is>
      </c>
      <c r="Y135" s="6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4" customHeight="1" s="50">
      <c r="A136" s="79" t="inlineStr">
        <is>
          <t>BPK-BASE99-TILE-R01-C02</t>
        </is>
      </c>
      <c r="B136" s="79" t="inlineStr">
        <is>
          <t>基地99层 · 地砖_R01C02_原砖与深化内容</t>
        </is>
      </c>
      <c r="C136" s="79" t="inlineStr">
        <is>
          <t>基地资产包</t>
        </is>
      </c>
      <c r="D136" s="79" t="inlineStr">
        <is>
          <t>地面系统包</t>
        </is>
      </c>
      <c r="E136" s="79" t="inlineStr">
        <is>
          <t>base99_package_tile_r01_c02</t>
        </is>
      </c>
      <c r="F136" s="79" t="inlineStr">
        <is>
          <t>package_root</t>
        </is>
      </c>
      <c r="G136" s="79" t="inlineStr">
        <is>
          <t>ENV-BASE99-ART-LAYOUT-3D</t>
        </is>
      </c>
      <c r="H136" s="79" t="inlineStr">
        <is>
          <t>Top3D / Blender +Y北</t>
        </is>
      </c>
      <c r="I136" s="79" t="inlineStr">
        <is>
          <t>static / default</t>
        </is>
      </c>
      <c r="J136" s="79" t="inlineStr">
        <is>
          <t>3D-设施 / 基地99层独立资产包</t>
        </is>
      </c>
      <c r="K136" s="79" t="inlineStr">
        <is>
          <t>正式美术已接入</t>
        </is>
      </c>
      <c r="L136" s="79" t="inlineStr">
        <is>
          <t>P0</t>
        </is>
      </c>
      <c r="M136" s="79" t="inlineStr">
        <is>
          <t>v017</t>
        </is>
      </c>
      <c r="N136" s="69" t="inlineStr">
        <is>
          <t>包络 5.035×5.000×0.468m；33 网格；0 灯</t>
        </is>
      </c>
      <c r="O136" s="69" t="inlineStr">
        <is>
          <t>source/art/blender/base_facility_layout/component_packages/floor/tile_r01_c02/asset_manifest.json</t>
        </is>
      </c>
      <c r="P136" s="6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69" t="inlineStr">
        <is>
          <t>基地99层;基地资产包;3D设施;地面系统包;tile_r01_c02;PaletteUV</t>
        </is>
      </c>
      <c r="R136" s="69">
        <f>LOWER(TRIM(C136)&amp;"|"&amp;TRIM(D136)&amp;"|"&amp;TRIM(E136)&amp;"|"&amp;TRIM(F136)&amp;"|"&amp;TRIM(H136)&amp;"|"&amp;TRIM(I136))</f>
        <v/>
      </c>
      <c r="S136" s="69">
        <f>IF(COUNTIF($R$6:$R$239,R136)&gt;1,"重复","唯一")</f>
        <v/>
      </c>
      <c r="T136" s="69" t="inlineStr">
        <is>
          <t>5559ec023d166cae6a8b5155b696f5bd9998693f7f4ad9fbfea00136b490bcab</t>
        </is>
      </c>
      <c r="U136" s="69" t="inlineStr">
        <is>
          <t>Codex</t>
        </is>
      </c>
      <c r="V136" s="78" t="n">
        <v>46269</v>
      </c>
      <c r="W136" s="69" t="inlineStr">
        <is>
          <t>用户自制Blender资产</t>
        </is>
      </c>
      <c r="X136" s="75" t="inlineStr">
        <is>
          <t>—</t>
        </is>
      </c>
      <c r="Y136" s="6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4" customHeight="1" s="50">
      <c r="A137" s="79" t="inlineStr">
        <is>
          <t>BPK-BASE99-TILE-R01-C03</t>
        </is>
      </c>
      <c r="B137" s="79" t="inlineStr">
        <is>
          <t>基地99层 · 地砖_R01C03_原砖与深化内容</t>
        </is>
      </c>
      <c r="C137" s="79" t="inlineStr">
        <is>
          <t>基地资产包</t>
        </is>
      </c>
      <c r="D137" s="79" t="inlineStr">
        <is>
          <t>地面系统包</t>
        </is>
      </c>
      <c r="E137" s="79" t="inlineStr">
        <is>
          <t>base99_package_tile_r01_c03</t>
        </is>
      </c>
      <c r="F137" s="79" t="inlineStr">
        <is>
          <t>package_root</t>
        </is>
      </c>
      <c r="G137" s="79" t="inlineStr">
        <is>
          <t>ENV-BASE99-ART-LAYOUT-3D</t>
        </is>
      </c>
      <c r="H137" s="79" t="inlineStr">
        <is>
          <t>Top3D / Blender +Y北</t>
        </is>
      </c>
      <c r="I137" s="79" t="inlineStr">
        <is>
          <t>static / default</t>
        </is>
      </c>
      <c r="J137" s="79" t="inlineStr">
        <is>
          <t>3D-设施 / 基地99层独立资产包</t>
        </is>
      </c>
      <c r="K137" s="79" t="inlineStr">
        <is>
          <t>正式美术已接入</t>
        </is>
      </c>
      <c r="L137" s="79" t="inlineStr">
        <is>
          <t>P0</t>
        </is>
      </c>
      <c r="M137" s="79" t="inlineStr">
        <is>
          <t>v017</t>
        </is>
      </c>
      <c r="N137" s="69" t="inlineStr">
        <is>
          <t>包络 5.035×5.000×0.465m；31 网格；0 灯</t>
        </is>
      </c>
      <c r="O137" s="69" t="inlineStr">
        <is>
          <t>source/art/blender/base_facility_layout/component_packages/floor/tile_r01_c03/asset_manifest.json</t>
        </is>
      </c>
      <c r="P137" s="6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69" t="inlineStr">
        <is>
          <t>基地99层;基地资产包;3D设施;地面系统包;tile_r01_c03;PaletteUV</t>
        </is>
      </c>
      <c r="R137" s="69">
        <f>LOWER(TRIM(C137)&amp;"|"&amp;TRIM(D137)&amp;"|"&amp;TRIM(E137)&amp;"|"&amp;TRIM(F137)&amp;"|"&amp;TRIM(H137)&amp;"|"&amp;TRIM(I137))</f>
        <v/>
      </c>
      <c r="S137" s="69">
        <f>IF(COUNTIF($R$6:$R$239,R137)&gt;1,"重复","唯一")</f>
        <v/>
      </c>
      <c r="T137" s="69" t="inlineStr">
        <is>
          <t>e0e599a8f2798876cd7e29a52d4393d6b799bccf13aa46e25996cad94ee89836</t>
        </is>
      </c>
      <c r="U137" s="69" t="inlineStr">
        <is>
          <t>Codex</t>
        </is>
      </c>
      <c r="V137" s="78" t="n">
        <v>46269</v>
      </c>
      <c r="W137" s="69" t="inlineStr">
        <is>
          <t>用户自制Blender资产</t>
        </is>
      </c>
      <c r="X137" s="75" t="inlineStr">
        <is>
          <t>—</t>
        </is>
      </c>
      <c r="Y137" s="6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4" customHeight="1" s="50">
      <c r="A138" s="79" t="inlineStr">
        <is>
          <t>BPK-BASE99-TILE-R01-C04</t>
        </is>
      </c>
      <c r="B138" s="79" t="inlineStr">
        <is>
          <t>基地99层 · 地砖_R01C04_原砖与深化内容</t>
        </is>
      </c>
      <c r="C138" s="79" t="inlineStr">
        <is>
          <t>基地资产包</t>
        </is>
      </c>
      <c r="D138" s="79" t="inlineStr">
        <is>
          <t>地面系统包</t>
        </is>
      </c>
      <c r="E138" s="79" t="inlineStr">
        <is>
          <t>base99_package_tile_r01_c04</t>
        </is>
      </c>
      <c r="F138" s="79" t="inlineStr">
        <is>
          <t>package_root</t>
        </is>
      </c>
      <c r="G138" s="79" t="inlineStr">
        <is>
          <t>ENV-BASE99-ART-LAYOUT-3D</t>
        </is>
      </c>
      <c r="H138" s="79" t="inlineStr">
        <is>
          <t>Top3D / Blender +Y北</t>
        </is>
      </c>
      <c r="I138" s="79" t="inlineStr">
        <is>
          <t>static / default</t>
        </is>
      </c>
      <c r="J138" s="79" t="inlineStr">
        <is>
          <t>3D-设施 / 基地99层独立资产包</t>
        </is>
      </c>
      <c r="K138" s="79" t="inlineStr">
        <is>
          <t>正式美术已接入</t>
        </is>
      </c>
      <c r="L138" s="79" t="inlineStr">
        <is>
          <t>P0</t>
        </is>
      </c>
      <c r="M138" s="79" t="inlineStr">
        <is>
          <t>v017</t>
        </is>
      </c>
      <c r="N138" s="69" t="inlineStr">
        <is>
          <t>包络 5.035×5.000×0.448m；21 网格；0 灯</t>
        </is>
      </c>
      <c r="O138" s="69" t="inlineStr">
        <is>
          <t>source/art/blender/base_facility_layout/component_packages/floor/tile_r01_c04/asset_manifest.json</t>
        </is>
      </c>
      <c r="P138" s="6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69" t="inlineStr">
        <is>
          <t>基地99层;基地资产包;3D设施;地面系统包;tile_r01_c04;PaletteUV</t>
        </is>
      </c>
      <c r="R138" s="69">
        <f>LOWER(TRIM(C138)&amp;"|"&amp;TRIM(D138)&amp;"|"&amp;TRIM(E138)&amp;"|"&amp;TRIM(F138)&amp;"|"&amp;TRIM(H138)&amp;"|"&amp;TRIM(I138))</f>
        <v/>
      </c>
      <c r="S138" s="69">
        <f>IF(COUNTIF($R$6:$R$239,R138)&gt;1,"重复","唯一")</f>
        <v/>
      </c>
      <c r="T138" s="69" t="inlineStr">
        <is>
          <t>9991ac680ebbae80ea9b8b18305d51525090dd9aa55686ab78ef00437feccdb2</t>
        </is>
      </c>
      <c r="U138" s="69" t="inlineStr">
        <is>
          <t>Codex</t>
        </is>
      </c>
      <c r="V138" s="78" t="n">
        <v>46269</v>
      </c>
      <c r="W138" s="69" t="inlineStr">
        <is>
          <t>用户自制Blender资产</t>
        </is>
      </c>
      <c r="X138" s="75" t="inlineStr">
        <is>
          <t>—</t>
        </is>
      </c>
      <c r="Y138" s="6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4" customHeight="1" s="50">
      <c r="A139" s="79" t="inlineStr">
        <is>
          <t>BPK-BASE99-TILE-R01-C05</t>
        </is>
      </c>
      <c r="B139" s="79" t="inlineStr">
        <is>
          <t>基地99层 · 地砖_R01C05_原砖与深化内容</t>
        </is>
      </c>
      <c r="C139" s="79" t="inlineStr">
        <is>
          <t>基地资产包</t>
        </is>
      </c>
      <c r="D139" s="79" t="inlineStr">
        <is>
          <t>地面系统包</t>
        </is>
      </c>
      <c r="E139" s="79" t="inlineStr">
        <is>
          <t>base99_package_tile_r01_c05</t>
        </is>
      </c>
      <c r="F139" s="79" t="inlineStr">
        <is>
          <t>package_root</t>
        </is>
      </c>
      <c r="G139" s="79" t="inlineStr">
        <is>
          <t>ENV-BASE99-ART-LAYOUT-3D</t>
        </is>
      </c>
      <c r="H139" s="79" t="inlineStr">
        <is>
          <t>Top3D / Blender +Y北</t>
        </is>
      </c>
      <c r="I139" s="79" t="inlineStr">
        <is>
          <t>static / default</t>
        </is>
      </c>
      <c r="J139" s="79" t="inlineStr">
        <is>
          <t>3D-设施 / 基地99层独立资产包</t>
        </is>
      </c>
      <c r="K139" s="79" t="inlineStr">
        <is>
          <t>正式美术已接入</t>
        </is>
      </c>
      <c r="L139" s="79" t="inlineStr">
        <is>
          <t>P0</t>
        </is>
      </c>
      <c r="M139" s="79" t="inlineStr">
        <is>
          <t>v017</t>
        </is>
      </c>
      <c r="N139" s="69" t="inlineStr">
        <is>
          <t>包络 5.035×5.000×0.468m；33 网格；0 灯</t>
        </is>
      </c>
      <c r="O139" s="69" t="inlineStr">
        <is>
          <t>source/art/blender/base_facility_layout/component_packages/floor/tile_r01_c05/asset_manifest.json</t>
        </is>
      </c>
      <c r="P139" s="6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69" t="inlineStr">
        <is>
          <t>基地99层;基地资产包;3D设施;地面系统包;tile_r01_c05;PaletteUV</t>
        </is>
      </c>
      <c r="R139" s="69">
        <f>LOWER(TRIM(C139)&amp;"|"&amp;TRIM(D139)&amp;"|"&amp;TRIM(E139)&amp;"|"&amp;TRIM(F139)&amp;"|"&amp;TRIM(H139)&amp;"|"&amp;TRIM(I139))</f>
        <v/>
      </c>
      <c r="S139" s="69">
        <f>IF(COUNTIF($R$6:$R$239,R139)&gt;1,"重复","唯一")</f>
        <v/>
      </c>
      <c r="T139" s="69" t="inlineStr">
        <is>
          <t>d45ec20535d6cca0824c5c248ed49b5c3c0d381291e72aed3a0af3617e3a5a8a</t>
        </is>
      </c>
      <c r="U139" s="69" t="inlineStr">
        <is>
          <t>Codex</t>
        </is>
      </c>
      <c r="V139" s="78" t="n">
        <v>46269</v>
      </c>
      <c r="W139" s="69" t="inlineStr">
        <is>
          <t>用户自制Blender资产</t>
        </is>
      </c>
      <c r="X139" s="75" t="inlineStr">
        <is>
          <t>—</t>
        </is>
      </c>
      <c r="Y139" s="6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>
      <c r="A140" s="79" t="inlineStr">
        <is>
          <t>BPK-BASE99-TILE-R01-C06</t>
        </is>
      </c>
      <c r="B140" s="79" t="inlineStr">
        <is>
          <t>基地99层 · 地砖_R01C06_原砖与深化内容</t>
        </is>
      </c>
      <c r="C140" s="79" t="inlineStr">
        <is>
          <t>基地资产包</t>
        </is>
      </c>
      <c r="D140" s="79" t="inlineStr">
        <is>
          <t>地面系统包</t>
        </is>
      </c>
      <c r="E140" s="79" t="inlineStr">
        <is>
          <t>base99_package_tile_r01_c06</t>
        </is>
      </c>
      <c r="F140" s="79" t="inlineStr">
        <is>
          <t>package_root</t>
        </is>
      </c>
      <c r="G140" s="79" t="inlineStr">
        <is>
          <t>ENV-BASE99-ART-LAYOUT-3D</t>
        </is>
      </c>
      <c r="H140" s="79" t="inlineStr">
        <is>
          <t>Top3D / Blender +Y北</t>
        </is>
      </c>
      <c r="I140" s="79" t="inlineStr">
        <is>
          <t>static / default</t>
        </is>
      </c>
      <c r="J140" s="79" t="inlineStr">
        <is>
          <t>3D-设施 / 基地99层独立资产包</t>
        </is>
      </c>
      <c r="K140" s="79" t="inlineStr">
        <is>
          <t>正式美术已接入</t>
        </is>
      </c>
      <c r="L140" s="79" t="inlineStr">
        <is>
          <t>P0</t>
        </is>
      </c>
      <c r="M140" s="79" t="inlineStr">
        <is>
          <t>v017</t>
        </is>
      </c>
      <c r="N140" s="69" t="inlineStr">
        <is>
          <t>包络 5.035×5.000×0.448m；21 网格；0 灯</t>
        </is>
      </c>
      <c r="O140" s="69" t="inlineStr">
        <is>
          <t>source/art/blender/base_facility_layout/component_packages/floor/tile_r01_c06/asset_manifest.json</t>
        </is>
      </c>
      <c r="P140" s="6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69" t="inlineStr">
        <is>
          <t>基地99层;基地资产包;3D设施;地面系统包;tile_r01_c06;PaletteUV</t>
        </is>
      </c>
      <c r="R140" s="69">
        <f>LOWER(TRIM(C140)&amp;"|"&amp;TRIM(D140)&amp;"|"&amp;TRIM(E140)&amp;"|"&amp;TRIM(F140)&amp;"|"&amp;TRIM(H140)&amp;"|"&amp;TRIM(I140))</f>
        <v/>
      </c>
      <c r="S140" s="69">
        <f>IF(COUNTIF($R$6:$R$239,R140)&gt;1,"重复","唯一")</f>
        <v/>
      </c>
      <c r="T140" s="69" t="inlineStr">
        <is>
          <t>a3a61202fa7c06c7204854319288c1f0c5e60fef93e2c1f755a4f06f379a4a90</t>
        </is>
      </c>
      <c r="U140" s="69" t="inlineStr">
        <is>
          <t>Codex</t>
        </is>
      </c>
      <c r="V140" s="78" t="n">
        <v>46269</v>
      </c>
      <c r="W140" s="69" t="inlineStr">
        <is>
          <t>用户自制Blender资产</t>
        </is>
      </c>
      <c r="X140" s="75" t="inlineStr">
        <is>
          <t>—</t>
        </is>
      </c>
      <c r="Y140" s="6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>
      <c r="A141" s="79" t="inlineStr">
        <is>
          <t>BPK-BASE99-TILE-R02-C01</t>
        </is>
      </c>
      <c r="B141" s="79" t="inlineStr">
        <is>
          <t>基地99层 · 地砖_R02C01_原砖与深化内容</t>
        </is>
      </c>
      <c r="C141" s="79" t="inlineStr">
        <is>
          <t>基地资产包</t>
        </is>
      </c>
      <c r="D141" s="79" t="inlineStr">
        <is>
          <t>地面系统包</t>
        </is>
      </c>
      <c r="E141" s="79" t="inlineStr">
        <is>
          <t>base99_package_tile_r02_c01</t>
        </is>
      </c>
      <c r="F141" s="79" t="inlineStr">
        <is>
          <t>package_root</t>
        </is>
      </c>
      <c r="G141" s="79" t="inlineStr">
        <is>
          <t>ENV-BASE99-ART-LAYOUT-3D</t>
        </is>
      </c>
      <c r="H141" s="79" t="inlineStr">
        <is>
          <t>Top3D / Blender +Y北</t>
        </is>
      </c>
      <c r="I141" s="79" t="inlineStr">
        <is>
          <t>static / default</t>
        </is>
      </c>
      <c r="J141" s="79" t="inlineStr">
        <is>
          <t>3D-设施 / 基地99层独立资产包</t>
        </is>
      </c>
      <c r="K141" s="79" t="inlineStr">
        <is>
          <t>正式美术已接入</t>
        </is>
      </c>
      <c r="L141" s="79" t="inlineStr">
        <is>
          <t>P0</t>
        </is>
      </c>
      <c r="M141" s="79" t="inlineStr">
        <is>
          <t>v017</t>
        </is>
      </c>
      <c r="N141" s="69" t="inlineStr">
        <is>
          <t>包络 5.000×5.035×0.448m；22 网格；0 灯</t>
        </is>
      </c>
      <c r="O141" s="69" t="inlineStr">
        <is>
          <t>source/art/blender/base_facility_layout/component_packages/floor/tile_r02_c01/asset_manifest.json</t>
        </is>
      </c>
      <c r="P141" s="6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69" t="inlineStr">
        <is>
          <t>基地99层;基地资产包;3D设施;地面系统包;tile_r02_c01;PaletteUV</t>
        </is>
      </c>
      <c r="R141" s="69">
        <f>LOWER(TRIM(C141)&amp;"|"&amp;TRIM(D141)&amp;"|"&amp;TRIM(E141)&amp;"|"&amp;TRIM(F141)&amp;"|"&amp;TRIM(H141)&amp;"|"&amp;TRIM(I141))</f>
        <v/>
      </c>
      <c r="S141" s="69">
        <f>IF(COUNTIF($R$6:$R$239,R141)&gt;1,"重复","唯一")</f>
        <v/>
      </c>
      <c r="T141" s="69" t="inlineStr">
        <is>
          <t>05143a649b91d046c2c09dafe705d94f0346d0770c39b1ae526ee52a046582e8</t>
        </is>
      </c>
      <c r="U141" s="69" t="inlineStr">
        <is>
          <t>Codex</t>
        </is>
      </c>
      <c r="V141" s="78" t="n">
        <v>46269</v>
      </c>
      <c r="W141" s="69" t="inlineStr">
        <is>
          <t>用户自制Blender资产</t>
        </is>
      </c>
      <c r="X141" s="75" t="inlineStr">
        <is>
          <t>—</t>
        </is>
      </c>
      <c r="Y141" s="6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>
      <c r="A142" s="79" t="inlineStr">
        <is>
          <t>BPK-BASE99-TILE-R02-C02</t>
        </is>
      </c>
      <c r="B142" s="79" t="inlineStr">
        <is>
          <t>基地99层 · 地砖_R02C02_原砖与深化内容</t>
        </is>
      </c>
      <c r="C142" s="79" t="inlineStr">
        <is>
          <t>基地资产包</t>
        </is>
      </c>
      <c r="D142" s="79" t="inlineStr">
        <is>
          <t>地面系统包</t>
        </is>
      </c>
      <c r="E142" s="79" t="inlineStr">
        <is>
          <t>base99_package_tile_r02_c02</t>
        </is>
      </c>
      <c r="F142" s="79" t="inlineStr">
        <is>
          <t>package_root</t>
        </is>
      </c>
      <c r="G142" s="79" t="inlineStr">
        <is>
          <t>ENV-BASE99-ART-LAYOUT-3D</t>
        </is>
      </c>
      <c r="H142" s="79" t="inlineStr">
        <is>
          <t>Top3D / Blender +Y北</t>
        </is>
      </c>
      <c r="I142" s="79" t="inlineStr">
        <is>
          <t>static / default</t>
        </is>
      </c>
      <c r="J142" s="79" t="inlineStr">
        <is>
          <t>3D-设施 / 基地99层独立资产包</t>
        </is>
      </c>
      <c r="K142" s="79" t="inlineStr">
        <is>
          <t>正式美术已接入</t>
        </is>
      </c>
      <c r="L142" s="79" t="inlineStr">
        <is>
          <t>P0</t>
        </is>
      </c>
      <c r="M142" s="79" t="inlineStr">
        <is>
          <t>v017</t>
        </is>
      </c>
      <c r="N142" s="69" t="inlineStr">
        <is>
          <t>包络 5.035×5.035×0.448m；36 网格；0 灯</t>
        </is>
      </c>
      <c r="O142" s="69" t="inlineStr">
        <is>
          <t>source/art/blender/base_facility_layout/component_packages/floor/tile_r02_c02/asset_manifest.json</t>
        </is>
      </c>
      <c r="P142" s="6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69" t="inlineStr">
        <is>
          <t>基地99层;基地资产包;3D设施;地面系统包;tile_r02_c02;PaletteUV</t>
        </is>
      </c>
      <c r="R142" s="69">
        <f>LOWER(TRIM(C142)&amp;"|"&amp;TRIM(D142)&amp;"|"&amp;TRIM(E142)&amp;"|"&amp;TRIM(F142)&amp;"|"&amp;TRIM(H142)&amp;"|"&amp;TRIM(I142))</f>
        <v/>
      </c>
      <c r="S142" s="69">
        <f>IF(COUNTIF($R$6:$R$239,R142)&gt;1,"重复","唯一")</f>
        <v/>
      </c>
      <c r="T142" s="69" t="inlineStr">
        <is>
          <t>22b9e407b68836896207ea49099214bcf7aaa7efb8736162bb2722ebf00734a4</t>
        </is>
      </c>
      <c r="U142" s="69" t="inlineStr">
        <is>
          <t>Codex</t>
        </is>
      </c>
      <c r="V142" s="78" t="n">
        <v>46269</v>
      </c>
      <c r="W142" s="69" t="inlineStr">
        <is>
          <t>用户自制Blender资产</t>
        </is>
      </c>
      <c r="X142" s="75" t="inlineStr">
        <is>
          <t>—</t>
        </is>
      </c>
      <c r="Y142" s="6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5" customHeight="1" s="50">
      <c r="A143" s="79" t="inlineStr">
        <is>
          <t>BPK-BASE99-TILE-R02-C03</t>
        </is>
      </c>
      <c r="B143" s="79" t="inlineStr">
        <is>
          <t>基地99层 · 地砖_R02C03_原砖与深化内容</t>
        </is>
      </c>
      <c r="C143" s="79" t="inlineStr">
        <is>
          <t>基地资产包</t>
        </is>
      </c>
      <c r="D143" s="79" t="inlineStr">
        <is>
          <t>地面系统包</t>
        </is>
      </c>
      <c r="E143" s="79" t="inlineStr">
        <is>
          <t>base99_package_tile_r02_c03</t>
        </is>
      </c>
      <c r="F143" s="79" t="inlineStr">
        <is>
          <t>package_root</t>
        </is>
      </c>
      <c r="G143" s="79" t="inlineStr">
        <is>
          <t>ENV-BASE99-ART-LAYOUT-3D</t>
        </is>
      </c>
      <c r="H143" s="79" t="inlineStr">
        <is>
          <t>Top3D / Blender +Y北</t>
        </is>
      </c>
      <c r="I143" s="79" t="inlineStr">
        <is>
          <t>static / default</t>
        </is>
      </c>
      <c r="J143" s="79" t="inlineStr">
        <is>
          <t>3D-设施 / 基地99层独立资产包</t>
        </is>
      </c>
      <c r="K143" s="79" t="inlineStr">
        <is>
          <t>正式美术已接入</t>
        </is>
      </c>
      <c r="L143" s="79" t="inlineStr">
        <is>
          <t>P0</t>
        </is>
      </c>
      <c r="M143" s="79" t="inlineStr">
        <is>
          <t>v017</t>
        </is>
      </c>
      <c r="N143" s="69" t="inlineStr">
        <is>
          <t>包络 5.035×5.035×0.468m；42 网格；0 灯</t>
        </is>
      </c>
      <c r="O143" s="69" t="inlineStr">
        <is>
          <t>source/art/blender/base_facility_layout/component_packages/floor/tile_r02_c03/asset_manifest.json</t>
        </is>
      </c>
      <c r="P143" s="6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69" t="inlineStr">
        <is>
          <t>基地99层;基地资产包;3D设施;地面系统包;tile_r02_c03;PaletteUV</t>
        </is>
      </c>
      <c r="R143" s="69">
        <f>LOWER(TRIM(C143)&amp;"|"&amp;TRIM(D143)&amp;"|"&amp;TRIM(E143)&amp;"|"&amp;TRIM(F143)&amp;"|"&amp;TRIM(H143)&amp;"|"&amp;TRIM(I143))</f>
        <v/>
      </c>
      <c r="S143" s="69">
        <f>IF(COUNTIF($R$6:$R$239,R143)&gt;1,"重复","唯一")</f>
        <v/>
      </c>
      <c r="T143" s="69" t="inlineStr">
        <is>
          <t>2f6a8782942233e2926c6f31281f5d98fa50e858b72995eca6c74eb7198cc4db</t>
        </is>
      </c>
      <c r="U143" s="69" t="inlineStr">
        <is>
          <t>Codex</t>
        </is>
      </c>
      <c r="V143" s="78" t="n">
        <v>46269</v>
      </c>
      <c r="W143" s="69" t="inlineStr">
        <is>
          <t>用户自制Blender资产</t>
        </is>
      </c>
      <c r="X143" s="75" t="inlineStr">
        <is>
          <t>—</t>
        </is>
      </c>
      <c r="Y143" s="6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>
      <c r="A144" s="79" t="inlineStr">
        <is>
          <t>BPK-BASE99-TILE-R02-C04</t>
        </is>
      </c>
      <c r="B144" s="79" t="inlineStr">
        <is>
          <t>基地99层 · 地砖_R02C04_原砖与深化内容</t>
        </is>
      </c>
      <c r="C144" s="79" t="inlineStr">
        <is>
          <t>基地资产包</t>
        </is>
      </c>
      <c r="D144" s="79" t="inlineStr">
        <is>
          <t>地面系统包</t>
        </is>
      </c>
      <c r="E144" s="79" t="inlineStr">
        <is>
          <t>base99_package_tile_r02_c04</t>
        </is>
      </c>
      <c r="F144" s="79" t="inlineStr">
        <is>
          <t>package_root</t>
        </is>
      </c>
      <c r="G144" s="79" t="inlineStr">
        <is>
          <t>ENV-BASE99-ART-LAYOUT-3D</t>
        </is>
      </c>
      <c r="H144" s="79" t="inlineStr">
        <is>
          <t>Top3D / Blender +Y北</t>
        </is>
      </c>
      <c r="I144" s="79" t="inlineStr">
        <is>
          <t>static / default</t>
        </is>
      </c>
      <c r="J144" s="79" t="inlineStr">
        <is>
          <t>3D-设施 / 基地99层独立资产包</t>
        </is>
      </c>
      <c r="K144" s="79" t="inlineStr">
        <is>
          <t>正式美术已接入</t>
        </is>
      </c>
      <c r="L144" s="79" t="inlineStr">
        <is>
          <t>P0</t>
        </is>
      </c>
      <c r="M144" s="79" t="inlineStr">
        <is>
          <t>v017</t>
        </is>
      </c>
      <c r="N144" s="69" t="inlineStr">
        <is>
          <t>包络 5.190×5.035×0.468m；34 网格；0 灯</t>
        </is>
      </c>
      <c r="O144" s="69" t="inlineStr">
        <is>
          <t>source/art/blender/base_facility_layout/component_packages/floor/tile_r02_c04/asset_manifest.json</t>
        </is>
      </c>
      <c r="P144" s="6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69" t="inlineStr">
        <is>
          <t>基地99层;基地资产包;3D设施;地面系统包;tile_r02_c04;PaletteUV</t>
        </is>
      </c>
      <c r="R144" s="69">
        <f>LOWER(TRIM(C144)&amp;"|"&amp;TRIM(D144)&amp;"|"&amp;TRIM(E144)&amp;"|"&amp;TRIM(F144)&amp;"|"&amp;TRIM(H144)&amp;"|"&amp;TRIM(I144))</f>
        <v/>
      </c>
      <c r="S144" s="69">
        <f>IF(COUNTIF($R$6:$R$239,R144)&gt;1,"重复","唯一")</f>
        <v/>
      </c>
      <c r="T144" s="69" t="inlineStr">
        <is>
          <t>d90d14028c3f434be09acf88ef6b467aefaecdf5fa76a206d370c98c0603d555</t>
        </is>
      </c>
      <c r="U144" s="69" t="inlineStr">
        <is>
          <t>Codex</t>
        </is>
      </c>
      <c r="V144" s="78" t="n">
        <v>46269</v>
      </c>
      <c r="W144" s="69" t="inlineStr">
        <is>
          <t>用户自制Blender资产</t>
        </is>
      </c>
      <c r="X144" s="75" t="inlineStr">
        <is>
          <t>—</t>
        </is>
      </c>
      <c r="Y144" s="6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>
      <c r="A145" s="79" t="inlineStr">
        <is>
          <t>BPK-BASE99-TILE-R02-C05</t>
        </is>
      </c>
      <c r="B145" s="79" t="inlineStr">
        <is>
          <t>基地99层 · 地砖_R02C05_原砖与深化内容</t>
        </is>
      </c>
      <c r="C145" s="79" t="inlineStr">
        <is>
          <t>基地资产包</t>
        </is>
      </c>
      <c r="D145" s="79" t="inlineStr">
        <is>
          <t>地面系统包</t>
        </is>
      </c>
      <c r="E145" s="79" t="inlineStr">
        <is>
          <t>base99_package_tile_r02_c05</t>
        </is>
      </c>
      <c r="F145" s="79" t="inlineStr">
        <is>
          <t>package_root</t>
        </is>
      </c>
      <c r="G145" s="79" t="inlineStr">
        <is>
          <t>ENV-BASE99-ART-LAYOUT-3D</t>
        </is>
      </c>
      <c r="H145" s="79" t="inlineStr">
        <is>
          <t>Top3D / Blender +Y北</t>
        </is>
      </c>
      <c r="I145" s="79" t="inlineStr">
        <is>
          <t>static / default</t>
        </is>
      </c>
      <c r="J145" s="79" t="inlineStr">
        <is>
          <t>3D-设施 / 基地99层独立资产包</t>
        </is>
      </c>
      <c r="K145" s="79" t="inlineStr">
        <is>
          <t>正式美术已接入</t>
        </is>
      </c>
      <c r="L145" s="79" t="inlineStr">
        <is>
          <t>P0</t>
        </is>
      </c>
      <c r="M145" s="79" t="inlineStr">
        <is>
          <t>v017</t>
        </is>
      </c>
      <c r="N145" s="69" t="inlineStr">
        <is>
          <t>包络 5.035×5.035×0.465m；44 网格；0 灯</t>
        </is>
      </c>
      <c r="O145" s="69" t="inlineStr">
        <is>
          <t>source/art/blender/base_facility_layout/component_packages/floor/tile_r02_c05/asset_manifest.json</t>
        </is>
      </c>
      <c r="P145" s="6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69" t="inlineStr">
        <is>
          <t>基地99层;基地资产包;3D设施;地面系统包;tile_r02_c05;PaletteUV</t>
        </is>
      </c>
      <c r="R145" s="69">
        <f>LOWER(TRIM(C145)&amp;"|"&amp;TRIM(D145)&amp;"|"&amp;TRIM(E145)&amp;"|"&amp;TRIM(F145)&amp;"|"&amp;TRIM(H145)&amp;"|"&amp;TRIM(I145))</f>
        <v/>
      </c>
      <c r="S145" s="69">
        <f>IF(COUNTIF($R$6:$R$239,R145)&gt;1,"重复","唯一")</f>
        <v/>
      </c>
      <c r="T145" s="69" t="inlineStr">
        <is>
          <t>61200762c6e6e04e040bb6105dce32fda5f1bd9d69c357ec7cc539bce9754e3b</t>
        </is>
      </c>
      <c r="U145" s="69" t="inlineStr">
        <is>
          <t>Codex</t>
        </is>
      </c>
      <c r="V145" s="78" t="n">
        <v>46269</v>
      </c>
      <c r="W145" s="69" t="inlineStr">
        <is>
          <t>用户自制Blender资产</t>
        </is>
      </c>
      <c r="X145" s="75" t="inlineStr">
        <is>
          <t>—</t>
        </is>
      </c>
      <c r="Y145" s="6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4" customHeight="1" s="50">
      <c r="A146" s="79" t="inlineStr">
        <is>
          <t>BPK-BASE99-TILE-R02-C06</t>
        </is>
      </c>
      <c r="B146" s="79" t="inlineStr">
        <is>
          <t>基地99层 · 地砖_R02C06_原砖与深化内容</t>
        </is>
      </c>
      <c r="C146" s="79" t="inlineStr">
        <is>
          <t>基地资产包</t>
        </is>
      </c>
      <c r="D146" s="79" t="inlineStr">
        <is>
          <t>地面系统包</t>
        </is>
      </c>
      <c r="E146" s="79" t="inlineStr">
        <is>
          <t>base99_package_tile_r02_c06</t>
        </is>
      </c>
      <c r="F146" s="79" t="inlineStr">
        <is>
          <t>package_root</t>
        </is>
      </c>
      <c r="G146" s="79" t="inlineStr">
        <is>
          <t>ENV-BASE99-ART-LAYOUT-3D</t>
        </is>
      </c>
      <c r="H146" s="79" t="inlineStr">
        <is>
          <t>Top3D / Blender +Y北</t>
        </is>
      </c>
      <c r="I146" s="79" t="inlineStr">
        <is>
          <t>static / default</t>
        </is>
      </c>
      <c r="J146" s="79" t="inlineStr">
        <is>
          <t>3D-设施 / 基地99层独立资产包</t>
        </is>
      </c>
      <c r="K146" s="79" t="inlineStr">
        <is>
          <t>正式美术已接入</t>
        </is>
      </c>
      <c r="L146" s="79" t="inlineStr">
        <is>
          <t>P0</t>
        </is>
      </c>
      <c r="M146" s="79" t="inlineStr">
        <is>
          <t>v017</t>
        </is>
      </c>
      <c r="N146" s="69" t="inlineStr">
        <is>
          <t>包络 5.035×5.035×0.468m；35 网格；0 灯</t>
        </is>
      </c>
      <c r="O146" s="69" t="inlineStr">
        <is>
          <t>source/art/blender/base_facility_layout/component_packages/floor/tile_r02_c06/asset_manifest.json</t>
        </is>
      </c>
      <c r="P146" s="6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69" t="inlineStr">
        <is>
          <t>基地99层;基地资产包;3D设施;地面系统包;tile_r02_c06;PaletteUV</t>
        </is>
      </c>
      <c r="R146" s="69">
        <f>LOWER(TRIM(C146)&amp;"|"&amp;TRIM(D146)&amp;"|"&amp;TRIM(E146)&amp;"|"&amp;TRIM(F146)&amp;"|"&amp;TRIM(H146)&amp;"|"&amp;TRIM(I146))</f>
        <v/>
      </c>
      <c r="S146" s="69">
        <f>IF(COUNTIF($R$6:$R$239,R146)&gt;1,"重复","唯一")</f>
        <v/>
      </c>
      <c r="T146" s="69" t="inlineStr">
        <is>
          <t>5202b82292620f369443fa36ec4ba3b8b62ad620c4d74a797bbf69fb829c7ed1</t>
        </is>
      </c>
      <c r="U146" s="69" t="inlineStr">
        <is>
          <t>Codex</t>
        </is>
      </c>
      <c r="V146" s="78" t="n">
        <v>46269</v>
      </c>
      <c r="W146" s="69" t="inlineStr">
        <is>
          <t>用户自制Blender资产</t>
        </is>
      </c>
      <c r="X146" s="75" t="inlineStr">
        <is>
          <t>—</t>
        </is>
      </c>
      <c r="Y146" s="6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4" customHeight="1" s="50">
      <c r="A147" s="79" t="inlineStr">
        <is>
          <t>BPK-BASE99-TILE-R03-C01</t>
        </is>
      </c>
      <c r="B147" s="79" t="inlineStr">
        <is>
          <t>基地99层 · 地砖_R03C01_原砖与深化内容</t>
        </is>
      </c>
      <c r="C147" s="79" t="inlineStr">
        <is>
          <t>基地资产包</t>
        </is>
      </c>
      <c r="D147" s="79" t="inlineStr">
        <is>
          <t>地面系统包</t>
        </is>
      </c>
      <c r="E147" s="79" t="inlineStr">
        <is>
          <t>base99_package_tile_r03_c01</t>
        </is>
      </c>
      <c r="F147" s="79" t="inlineStr">
        <is>
          <t>package_root</t>
        </is>
      </c>
      <c r="G147" s="79" t="inlineStr">
        <is>
          <t>ENV-BASE99-ART-LAYOUT-3D</t>
        </is>
      </c>
      <c r="H147" s="79" t="inlineStr">
        <is>
          <t>Top3D / Blender +Y北</t>
        </is>
      </c>
      <c r="I147" s="79" t="inlineStr">
        <is>
          <t>static / default</t>
        </is>
      </c>
      <c r="J147" s="79" t="inlineStr">
        <is>
          <t>3D-设施 / 基地99层独立资产包</t>
        </is>
      </c>
      <c r="K147" s="79" t="inlineStr">
        <is>
          <t>正式美术已接入</t>
        </is>
      </c>
      <c r="L147" s="79" t="inlineStr">
        <is>
          <t>P0</t>
        </is>
      </c>
      <c r="M147" s="79" t="inlineStr">
        <is>
          <t>v017</t>
        </is>
      </c>
      <c r="N147" s="69" t="inlineStr">
        <is>
          <t>包络 5.000×5.035×0.468m；37 网格；0 灯</t>
        </is>
      </c>
      <c r="O147" s="69" t="inlineStr">
        <is>
          <t>source/art/blender/base_facility_layout/component_packages/floor/tile_r03_c01/asset_manifest.json</t>
        </is>
      </c>
      <c r="P147" s="6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69" t="inlineStr">
        <is>
          <t>基地99层;基地资产包;3D设施;地面系统包;tile_r03_c01;PaletteUV</t>
        </is>
      </c>
      <c r="R147" s="69">
        <f>LOWER(TRIM(C147)&amp;"|"&amp;TRIM(D147)&amp;"|"&amp;TRIM(E147)&amp;"|"&amp;TRIM(F147)&amp;"|"&amp;TRIM(H147)&amp;"|"&amp;TRIM(I147))</f>
        <v/>
      </c>
      <c r="S147" s="69">
        <f>IF(COUNTIF($R$6:$R$239,R147)&gt;1,"重复","唯一")</f>
        <v/>
      </c>
      <c r="T147" s="69" t="inlineStr">
        <is>
          <t>a71e85e45cc4d1a72e7875cc410843e8dfe193dfb676c9680d66c63a62aa0453</t>
        </is>
      </c>
      <c r="U147" s="69" t="inlineStr">
        <is>
          <t>Codex</t>
        </is>
      </c>
      <c r="V147" s="78" t="n">
        <v>46269</v>
      </c>
      <c r="W147" s="69" t="inlineStr">
        <is>
          <t>用户自制Blender资产</t>
        </is>
      </c>
      <c r="X147" s="75" t="inlineStr">
        <is>
          <t>—</t>
        </is>
      </c>
      <c r="Y147" s="6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4" customHeight="1" s="50">
      <c r="A148" s="79" t="inlineStr">
        <is>
          <t>BPK-BASE99-TILE-R03-C02</t>
        </is>
      </c>
      <c r="B148" s="79" t="inlineStr">
        <is>
          <t>基地99层 · 地砖_R03C02_原砖与深化内容</t>
        </is>
      </c>
      <c r="C148" s="79" t="inlineStr">
        <is>
          <t>基地资产包</t>
        </is>
      </c>
      <c r="D148" s="79" t="inlineStr">
        <is>
          <t>地面系统包</t>
        </is>
      </c>
      <c r="E148" s="79" t="inlineStr">
        <is>
          <t>base99_package_tile_r03_c02</t>
        </is>
      </c>
      <c r="F148" s="79" t="inlineStr">
        <is>
          <t>package_root</t>
        </is>
      </c>
      <c r="G148" s="79" t="inlineStr">
        <is>
          <t>ENV-BASE99-ART-LAYOUT-3D</t>
        </is>
      </c>
      <c r="H148" s="79" t="inlineStr">
        <is>
          <t>Top3D / Blender +Y北</t>
        </is>
      </c>
      <c r="I148" s="79" t="inlineStr">
        <is>
          <t>static / default</t>
        </is>
      </c>
      <c r="J148" s="79" t="inlineStr">
        <is>
          <t>3D-设施 / 基地99层独立资产包</t>
        </is>
      </c>
      <c r="K148" s="79" t="inlineStr">
        <is>
          <t>正式美术已接入</t>
        </is>
      </c>
      <c r="L148" s="79" t="inlineStr">
        <is>
          <t>P0</t>
        </is>
      </c>
      <c r="M148" s="79" t="inlineStr">
        <is>
          <t>v017</t>
        </is>
      </c>
      <c r="N148" s="69" t="inlineStr">
        <is>
          <t>包络 5.035×5.035×0.465m；41 网格；0 灯</t>
        </is>
      </c>
      <c r="O148" s="69" t="inlineStr">
        <is>
          <t>source/art/blender/base_facility_layout/component_packages/floor/tile_r03_c02/asset_manifest.json</t>
        </is>
      </c>
      <c r="P148" s="6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69" t="inlineStr">
        <is>
          <t>基地99层;基地资产包;3D设施;地面系统包;tile_r03_c02;PaletteUV</t>
        </is>
      </c>
      <c r="R148" s="69">
        <f>LOWER(TRIM(C148)&amp;"|"&amp;TRIM(D148)&amp;"|"&amp;TRIM(E148)&amp;"|"&amp;TRIM(F148)&amp;"|"&amp;TRIM(H148)&amp;"|"&amp;TRIM(I148))</f>
        <v/>
      </c>
      <c r="S148" s="69">
        <f>IF(COUNTIF($R$6:$R$239,R148)&gt;1,"重复","唯一")</f>
        <v/>
      </c>
      <c r="T148" s="69" t="inlineStr">
        <is>
          <t>f8dd8e763276ff2635af0ff614361bddd2930ef68c160cc229aaf2e0c54c9dd3</t>
        </is>
      </c>
      <c r="U148" s="69" t="inlineStr">
        <is>
          <t>Codex</t>
        </is>
      </c>
      <c r="V148" s="78" t="n">
        <v>46269</v>
      </c>
      <c r="W148" s="69" t="inlineStr">
        <is>
          <t>用户自制Blender资产</t>
        </is>
      </c>
      <c r="X148" s="75" t="inlineStr">
        <is>
          <t>—</t>
        </is>
      </c>
      <c r="Y148" s="6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4" customHeight="1" s="50">
      <c r="A149" s="79" t="inlineStr">
        <is>
          <t>BPK-BASE99-TILE-R03-C03</t>
        </is>
      </c>
      <c r="B149" s="79" t="inlineStr">
        <is>
          <t>基地99层 · 地砖_R03C03_原砖与深化内容</t>
        </is>
      </c>
      <c r="C149" s="79" t="inlineStr">
        <is>
          <t>基地资产包</t>
        </is>
      </c>
      <c r="D149" s="79" t="inlineStr">
        <is>
          <t>地面系统包</t>
        </is>
      </c>
      <c r="E149" s="79" t="inlineStr">
        <is>
          <t>base99_package_tile_r03_c03</t>
        </is>
      </c>
      <c r="F149" s="79" t="inlineStr">
        <is>
          <t>package_root</t>
        </is>
      </c>
      <c r="G149" s="79" t="inlineStr">
        <is>
          <t>ENV-BASE99-ART-LAYOUT-3D</t>
        </is>
      </c>
      <c r="H149" s="79" t="inlineStr">
        <is>
          <t>Top3D / Blender +Y北</t>
        </is>
      </c>
      <c r="I149" s="79" t="inlineStr">
        <is>
          <t>static / default</t>
        </is>
      </c>
      <c r="J149" s="79" t="inlineStr">
        <is>
          <t>3D-设施 / 基地99层独立资产包</t>
        </is>
      </c>
      <c r="K149" s="79" t="inlineStr">
        <is>
          <t>正式美术已接入</t>
        </is>
      </c>
      <c r="L149" s="79" t="inlineStr">
        <is>
          <t>P0</t>
        </is>
      </c>
      <c r="M149" s="79" t="inlineStr">
        <is>
          <t>v017</t>
        </is>
      </c>
      <c r="N149" s="69" t="inlineStr">
        <is>
          <t>包络 5.035×5.035×0.448m；22 网格；0 灯</t>
        </is>
      </c>
      <c r="O149" s="69" t="inlineStr">
        <is>
          <t>source/art/blender/base_facility_layout/component_packages/floor/tile_r03_c03/asset_manifest.json</t>
        </is>
      </c>
      <c r="P149" s="6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69" t="inlineStr">
        <is>
          <t>基地99层;基地资产包;3D设施;地面系统包;tile_r03_c03;PaletteUV</t>
        </is>
      </c>
      <c r="R149" s="69">
        <f>LOWER(TRIM(C149)&amp;"|"&amp;TRIM(D149)&amp;"|"&amp;TRIM(E149)&amp;"|"&amp;TRIM(F149)&amp;"|"&amp;TRIM(H149)&amp;"|"&amp;TRIM(I149))</f>
        <v/>
      </c>
      <c r="S149" s="69">
        <f>IF(COUNTIF($R$6:$R$239,R149)&gt;1,"重复","唯一")</f>
        <v/>
      </c>
      <c r="T149" s="69" t="inlineStr">
        <is>
          <t>2cd8e29242ecf121d91d5a44126c672b8d1d93529fef0ad1a3eab230cab3ee91</t>
        </is>
      </c>
      <c r="U149" s="69" t="inlineStr">
        <is>
          <t>Codex</t>
        </is>
      </c>
      <c r="V149" s="78" t="n">
        <v>46269</v>
      </c>
      <c r="W149" s="69" t="inlineStr">
        <is>
          <t>用户自制Blender资产</t>
        </is>
      </c>
      <c r="X149" s="75" t="inlineStr">
        <is>
          <t>—</t>
        </is>
      </c>
      <c r="Y149" s="6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4" customHeight="1" s="50">
      <c r="A150" s="79" t="inlineStr">
        <is>
          <t>BPK-BASE99-TILE-R03-C04</t>
        </is>
      </c>
      <c r="B150" s="79" t="inlineStr">
        <is>
          <t>基地99层 · 地砖_R03C04_原砖与深化内容</t>
        </is>
      </c>
      <c r="C150" s="79" t="inlineStr">
        <is>
          <t>基地资产包</t>
        </is>
      </c>
      <c r="D150" s="79" t="inlineStr">
        <is>
          <t>地面系统包</t>
        </is>
      </c>
      <c r="E150" s="79" t="inlineStr">
        <is>
          <t>base99_package_tile_r03_c04</t>
        </is>
      </c>
      <c r="F150" s="79" t="inlineStr">
        <is>
          <t>package_root</t>
        </is>
      </c>
      <c r="G150" s="79" t="inlineStr">
        <is>
          <t>ENV-BASE99-ART-LAYOUT-3D</t>
        </is>
      </c>
      <c r="H150" s="79" t="inlineStr">
        <is>
          <t>Top3D / Blender +Y北</t>
        </is>
      </c>
      <c r="I150" s="79" t="inlineStr">
        <is>
          <t>static / default</t>
        </is>
      </c>
      <c r="J150" s="79" t="inlineStr">
        <is>
          <t>3D-设施 / 基地99层独立资产包</t>
        </is>
      </c>
      <c r="K150" s="79" t="inlineStr">
        <is>
          <t>正式美术已接入</t>
        </is>
      </c>
      <c r="L150" s="79" t="inlineStr">
        <is>
          <t>P0</t>
        </is>
      </c>
      <c r="M150" s="79" t="inlineStr">
        <is>
          <t>v017</t>
        </is>
      </c>
      <c r="N150" s="69" t="inlineStr">
        <is>
          <t>包络 5.035×5.035×0.468m；40 网格；0 灯</t>
        </is>
      </c>
      <c r="O150" s="69" t="inlineStr">
        <is>
          <t>source/art/blender/base_facility_layout/component_packages/floor/tile_r03_c04/asset_manifest.json</t>
        </is>
      </c>
      <c r="P150" s="6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69" t="inlineStr">
        <is>
          <t>基地99层;基地资产包;3D设施;地面系统包;tile_r03_c04;PaletteUV</t>
        </is>
      </c>
      <c r="R150" s="69">
        <f>LOWER(TRIM(C150)&amp;"|"&amp;TRIM(D150)&amp;"|"&amp;TRIM(E150)&amp;"|"&amp;TRIM(F150)&amp;"|"&amp;TRIM(H150)&amp;"|"&amp;TRIM(I150))</f>
        <v/>
      </c>
      <c r="S150" s="69">
        <f>IF(COUNTIF($R$6:$R$239,R150)&gt;1,"重复","唯一")</f>
        <v/>
      </c>
      <c r="T150" s="69" t="inlineStr">
        <is>
          <t>5859d50bb04a09c0cf7b3fe6151193c51737b2118f3f5584bbedade814d66b6c</t>
        </is>
      </c>
      <c r="U150" s="69" t="inlineStr">
        <is>
          <t>Codex</t>
        </is>
      </c>
      <c r="V150" s="78" t="n">
        <v>46269</v>
      </c>
      <c r="W150" s="69" t="inlineStr">
        <is>
          <t>用户自制Blender资产</t>
        </is>
      </c>
      <c r="X150" s="75" t="inlineStr">
        <is>
          <t>—</t>
        </is>
      </c>
      <c r="Y150" s="6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4" customHeight="1" s="50">
      <c r="A151" s="79" t="inlineStr">
        <is>
          <t>BPK-BASE99-TILE-R03-C05</t>
        </is>
      </c>
      <c r="B151" s="79" t="inlineStr">
        <is>
          <t>基地99层 · 地砖_R03C05_原砖与深化内容</t>
        </is>
      </c>
      <c r="C151" s="79" t="inlineStr">
        <is>
          <t>基地资产包</t>
        </is>
      </c>
      <c r="D151" s="79" t="inlineStr">
        <is>
          <t>地面系统包</t>
        </is>
      </c>
      <c r="E151" s="79" t="inlineStr">
        <is>
          <t>base99_package_tile_r03_c05</t>
        </is>
      </c>
      <c r="F151" s="79" t="inlineStr">
        <is>
          <t>package_root</t>
        </is>
      </c>
      <c r="G151" s="79" t="inlineStr">
        <is>
          <t>ENV-BASE99-ART-LAYOUT-3D</t>
        </is>
      </c>
      <c r="H151" s="79" t="inlineStr">
        <is>
          <t>Top3D / Blender +Y北</t>
        </is>
      </c>
      <c r="I151" s="79" t="inlineStr">
        <is>
          <t>static / default</t>
        </is>
      </c>
      <c r="J151" s="79" t="inlineStr">
        <is>
          <t>3D-设施 / 基地99层独立资产包</t>
        </is>
      </c>
      <c r="K151" s="79" t="inlineStr">
        <is>
          <t>正式美术已接入</t>
        </is>
      </c>
      <c r="L151" s="79" t="inlineStr">
        <is>
          <t>P0</t>
        </is>
      </c>
      <c r="M151" s="79" t="inlineStr">
        <is>
          <t>v017</t>
        </is>
      </c>
      <c r="N151" s="69" t="inlineStr">
        <is>
          <t>包络 5.035×5.035×0.448m；43 网格；0 灯</t>
        </is>
      </c>
      <c r="O151" s="69" t="inlineStr">
        <is>
          <t>source/art/blender/base_facility_layout/component_packages/floor/tile_r03_c05/asset_manifest.json</t>
        </is>
      </c>
      <c r="P151" s="6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69" t="inlineStr">
        <is>
          <t>基地99层;基地资产包;3D设施;地面系统包;tile_r03_c05;PaletteUV</t>
        </is>
      </c>
      <c r="R151" s="69">
        <f>LOWER(TRIM(C151)&amp;"|"&amp;TRIM(D151)&amp;"|"&amp;TRIM(E151)&amp;"|"&amp;TRIM(F151)&amp;"|"&amp;TRIM(H151)&amp;"|"&amp;TRIM(I151))</f>
        <v/>
      </c>
      <c r="S151" s="69">
        <f>IF(COUNTIF($R$6:$R$239,R151)&gt;1,"重复","唯一")</f>
        <v/>
      </c>
      <c r="T151" s="69" t="inlineStr">
        <is>
          <t>e329b1e52e214692364ebf810abca7fc4fe6d0b67b0174eb2a6f418004ff6b8c</t>
        </is>
      </c>
      <c r="U151" s="69" t="inlineStr">
        <is>
          <t>Codex</t>
        </is>
      </c>
      <c r="V151" s="78" t="n">
        <v>46269</v>
      </c>
      <c r="W151" s="69" t="inlineStr">
        <is>
          <t>用户自制Blender资产</t>
        </is>
      </c>
      <c r="X151" s="75" t="inlineStr">
        <is>
          <t>—</t>
        </is>
      </c>
      <c r="Y151" s="6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4" customHeight="1" s="50">
      <c r="A152" s="79" t="inlineStr">
        <is>
          <t>BPK-BASE99-TILE-R03-C06</t>
        </is>
      </c>
      <c r="B152" s="79" t="inlineStr">
        <is>
          <t>基地99层 · 地砖_R03C06_原砖与深化内容</t>
        </is>
      </c>
      <c r="C152" s="79" t="inlineStr">
        <is>
          <t>基地资产包</t>
        </is>
      </c>
      <c r="D152" s="79" t="inlineStr">
        <is>
          <t>地面系统包</t>
        </is>
      </c>
      <c r="E152" s="79" t="inlineStr">
        <is>
          <t>base99_package_tile_r03_c06</t>
        </is>
      </c>
      <c r="F152" s="79" t="inlineStr">
        <is>
          <t>package_root</t>
        </is>
      </c>
      <c r="G152" s="79" t="inlineStr">
        <is>
          <t>ENV-BASE99-ART-LAYOUT-3D</t>
        </is>
      </c>
      <c r="H152" s="79" t="inlineStr">
        <is>
          <t>Top3D / Blender +Y北</t>
        </is>
      </c>
      <c r="I152" s="79" t="inlineStr">
        <is>
          <t>static / default</t>
        </is>
      </c>
      <c r="J152" s="79" t="inlineStr">
        <is>
          <t>3D-设施 / 基地99层独立资产包</t>
        </is>
      </c>
      <c r="K152" s="79" t="inlineStr">
        <is>
          <t>正式美术已接入</t>
        </is>
      </c>
      <c r="L152" s="79" t="inlineStr">
        <is>
          <t>P0</t>
        </is>
      </c>
      <c r="M152" s="79" t="inlineStr">
        <is>
          <t>v017</t>
        </is>
      </c>
      <c r="N152" s="69" t="inlineStr">
        <is>
          <t>包络 5.035×5.035×0.448m；22 网格；0 灯</t>
        </is>
      </c>
      <c r="O152" s="69" t="inlineStr">
        <is>
          <t>source/art/blender/base_facility_layout/component_packages/floor/tile_r03_c06/asset_manifest.json</t>
        </is>
      </c>
      <c r="P152" s="6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69" t="inlineStr">
        <is>
          <t>基地99层;基地资产包;3D设施;地面系统包;tile_r03_c06;PaletteUV</t>
        </is>
      </c>
      <c r="R152" s="69">
        <f>LOWER(TRIM(C152)&amp;"|"&amp;TRIM(D152)&amp;"|"&amp;TRIM(E152)&amp;"|"&amp;TRIM(F152)&amp;"|"&amp;TRIM(H152)&amp;"|"&amp;TRIM(I152))</f>
        <v/>
      </c>
      <c r="S152" s="69">
        <f>IF(COUNTIF($R$6:$R$239,R152)&gt;1,"重复","唯一")</f>
        <v/>
      </c>
      <c r="T152" s="69" t="inlineStr">
        <is>
          <t>e8eaa3e6e43e5b1ee450aee2ea8d502b34db6c300199466b2d90e919796fe00b</t>
        </is>
      </c>
      <c r="U152" s="69" t="inlineStr">
        <is>
          <t>Codex</t>
        </is>
      </c>
      <c r="V152" s="78" t="n">
        <v>46269</v>
      </c>
      <c r="W152" s="69" t="inlineStr">
        <is>
          <t>用户自制Blender资产</t>
        </is>
      </c>
      <c r="X152" s="75" t="inlineStr">
        <is>
          <t>—</t>
        </is>
      </c>
      <c r="Y152" s="6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4" customHeight="1" s="50">
      <c r="A153" s="79" t="inlineStr">
        <is>
          <t>BPK-BASE99-TILE-R04-C01</t>
        </is>
      </c>
      <c r="B153" s="79" t="inlineStr">
        <is>
          <t>基地99层 · 地砖_R04C01_原砖与深化内容</t>
        </is>
      </c>
      <c r="C153" s="79" t="inlineStr">
        <is>
          <t>基地资产包</t>
        </is>
      </c>
      <c r="D153" s="79" t="inlineStr">
        <is>
          <t>地面系统包</t>
        </is>
      </c>
      <c r="E153" s="79" t="inlineStr">
        <is>
          <t>base99_package_tile_r04_c01</t>
        </is>
      </c>
      <c r="F153" s="79" t="inlineStr">
        <is>
          <t>package_root</t>
        </is>
      </c>
      <c r="G153" s="79" t="inlineStr">
        <is>
          <t>ENV-BASE99-ART-LAYOUT-3D</t>
        </is>
      </c>
      <c r="H153" s="79" t="inlineStr">
        <is>
          <t>Top3D / Blender +Y北</t>
        </is>
      </c>
      <c r="I153" s="79" t="inlineStr">
        <is>
          <t>static / default</t>
        </is>
      </c>
      <c r="J153" s="79" t="inlineStr">
        <is>
          <t>3D-设施 / 基地99层独立资产包</t>
        </is>
      </c>
      <c r="K153" s="79" t="inlineStr">
        <is>
          <t>正式美术已接入</t>
        </is>
      </c>
      <c r="L153" s="79" t="inlineStr">
        <is>
          <t>P0</t>
        </is>
      </c>
      <c r="M153" s="79" t="inlineStr">
        <is>
          <t>v017</t>
        </is>
      </c>
      <c r="N153" s="69" t="inlineStr">
        <is>
          <t>包络 5.000×5.035×0.448m；21 网格；0 灯</t>
        </is>
      </c>
      <c r="O153" s="69" t="inlineStr">
        <is>
          <t>source/art/blender/base_facility_layout/component_packages/floor/tile_r04_c01/asset_manifest.json</t>
        </is>
      </c>
      <c r="P153" s="6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69" t="inlineStr">
        <is>
          <t>基地99层;基地资产包;3D设施;地面系统包;tile_r04_c01;PaletteUV</t>
        </is>
      </c>
      <c r="R153" s="69">
        <f>LOWER(TRIM(C153)&amp;"|"&amp;TRIM(D153)&amp;"|"&amp;TRIM(E153)&amp;"|"&amp;TRIM(F153)&amp;"|"&amp;TRIM(H153)&amp;"|"&amp;TRIM(I153))</f>
        <v/>
      </c>
      <c r="S153" s="69">
        <f>IF(COUNTIF($R$6:$R$239,R153)&gt;1,"重复","唯一")</f>
        <v/>
      </c>
      <c r="T153" s="69" t="inlineStr">
        <is>
          <t>b06fd80bf8c9725277500eaa6994ab44b64c0d0b57262ac5920e79bc56960650</t>
        </is>
      </c>
      <c r="U153" s="69" t="inlineStr">
        <is>
          <t>Codex</t>
        </is>
      </c>
      <c r="V153" s="78" t="n">
        <v>46269</v>
      </c>
      <c r="W153" s="69" t="inlineStr">
        <is>
          <t>用户自制Blender资产</t>
        </is>
      </c>
      <c r="X153" s="75" t="inlineStr">
        <is>
          <t>—</t>
        </is>
      </c>
      <c r="Y153" s="6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4" customHeight="1" s="50">
      <c r="A154" s="79" t="inlineStr">
        <is>
          <t>BPK-BASE99-TILE-R04-C02</t>
        </is>
      </c>
      <c r="B154" s="79" t="inlineStr">
        <is>
          <t>基地99层 · 地砖_R04C02_原砖与深化内容</t>
        </is>
      </c>
      <c r="C154" s="79" t="inlineStr">
        <is>
          <t>基地资产包</t>
        </is>
      </c>
      <c r="D154" s="79" t="inlineStr">
        <is>
          <t>地面系统包</t>
        </is>
      </c>
      <c r="E154" s="79" t="inlineStr">
        <is>
          <t>base99_package_tile_r04_c02</t>
        </is>
      </c>
      <c r="F154" s="79" t="inlineStr">
        <is>
          <t>package_root</t>
        </is>
      </c>
      <c r="G154" s="79" t="inlineStr">
        <is>
          <t>ENV-BASE99-ART-LAYOUT-3D</t>
        </is>
      </c>
      <c r="H154" s="79" t="inlineStr">
        <is>
          <t>Top3D / Blender +Y北</t>
        </is>
      </c>
      <c r="I154" s="79" t="inlineStr">
        <is>
          <t>static / default</t>
        </is>
      </c>
      <c r="J154" s="79" t="inlineStr">
        <is>
          <t>3D-设施 / 基地99层独立资产包</t>
        </is>
      </c>
      <c r="K154" s="79" t="inlineStr">
        <is>
          <t>正式美术已接入</t>
        </is>
      </c>
      <c r="L154" s="79" t="inlineStr">
        <is>
          <t>P0</t>
        </is>
      </c>
      <c r="M154" s="79" t="inlineStr">
        <is>
          <t>v017</t>
        </is>
      </c>
      <c r="N154" s="69" t="inlineStr">
        <is>
          <t>包络 5.035×5.035×0.468m；40 网格；0 灯</t>
        </is>
      </c>
      <c r="O154" s="69" t="inlineStr">
        <is>
          <t>source/art/blender/base_facility_layout/component_packages/floor/tile_r04_c02/asset_manifest.json</t>
        </is>
      </c>
      <c r="P154" s="6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69" t="inlineStr">
        <is>
          <t>基地99层;基地资产包;3D设施;地面系统包;tile_r04_c02;PaletteUV</t>
        </is>
      </c>
      <c r="R154" s="69">
        <f>LOWER(TRIM(C154)&amp;"|"&amp;TRIM(D154)&amp;"|"&amp;TRIM(E154)&amp;"|"&amp;TRIM(F154)&amp;"|"&amp;TRIM(H154)&amp;"|"&amp;TRIM(I154))</f>
        <v/>
      </c>
      <c r="S154" s="69">
        <f>IF(COUNTIF($R$6:$R$239,R154)&gt;1,"重复","唯一")</f>
        <v/>
      </c>
      <c r="T154" s="69" t="inlineStr">
        <is>
          <t>e8b84767dce8656c366c381fbc131452d8019be4581fb4f1892625d5909d3f97</t>
        </is>
      </c>
      <c r="U154" s="69" t="inlineStr">
        <is>
          <t>Codex</t>
        </is>
      </c>
      <c r="V154" s="78" t="n">
        <v>46269</v>
      </c>
      <c r="W154" s="69" t="inlineStr">
        <is>
          <t>用户自制Blender资产</t>
        </is>
      </c>
      <c r="X154" s="75" t="inlineStr">
        <is>
          <t>—</t>
        </is>
      </c>
      <c r="Y154" s="6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4" customHeight="1" s="50">
      <c r="A155" s="79" t="inlineStr">
        <is>
          <t>BPK-BASE99-TILE-R04-C03</t>
        </is>
      </c>
      <c r="B155" s="79" t="inlineStr">
        <is>
          <t>基地99层 · 地砖_R04C03_原砖与深化内容</t>
        </is>
      </c>
      <c r="C155" s="79" t="inlineStr">
        <is>
          <t>基地资产包</t>
        </is>
      </c>
      <c r="D155" s="79" t="inlineStr">
        <is>
          <t>地面系统包</t>
        </is>
      </c>
      <c r="E155" s="79" t="inlineStr">
        <is>
          <t>base99_package_tile_r04_c03</t>
        </is>
      </c>
      <c r="F155" s="79" t="inlineStr">
        <is>
          <t>package_root</t>
        </is>
      </c>
      <c r="G155" s="79" t="inlineStr">
        <is>
          <t>ENV-BASE99-ART-LAYOUT-3D</t>
        </is>
      </c>
      <c r="H155" s="79" t="inlineStr">
        <is>
          <t>Top3D / Blender +Y北</t>
        </is>
      </c>
      <c r="I155" s="79" t="inlineStr">
        <is>
          <t>static / default</t>
        </is>
      </c>
      <c r="J155" s="79" t="inlineStr">
        <is>
          <t>3D-设施 / 基地99层独立资产包</t>
        </is>
      </c>
      <c r="K155" s="79" t="inlineStr">
        <is>
          <t>正式美术已接入</t>
        </is>
      </c>
      <c r="L155" s="79" t="inlineStr">
        <is>
          <t>P0</t>
        </is>
      </c>
      <c r="M155" s="79" t="inlineStr">
        <is>
          <t>v017</t>
        </is>
      </c>
      <c r="N155" s="69" t="inlineStr">
        <is>
          <t>包络 5.035×5.035×0.448m；24 网格；0 灯</t>
        </is>
      </c>
      <c r="O155" s="69" t="inlineStr">
        <is>
          <t>source/art/blender/base_facility_layout/component_packages/floor/tile_r04_c03/asset_manifest.json</t>
        </is>
      </c>
      <c r="P155" s="6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69" t="inlineStr">
        <is>
          <t>基地99层;基地资产包;3D设施;地面系统包;tile_r04_c03;PaletteUV</t>
        </is>
      </c>
      <c r="R155" s="69">
        <f>LOWER(TRIM(C155)&amp;"|"&amp;TRIM(D155)&amp;"|"&amp;TRIM(E155)&amp;"|"&amp;TRIM(F155)&amp;"|"&amp;TRIM(H155)&amp;"|"&amp;TRIM(I155))</f>
        <v/>
      </c>
      <c r="S155" s="69">
        <f>IF(COUNTIF($R$6:$R$239,R155)&gt;1,"重复","唯一")</f>
        <v/>
      </c>
      <c r="T155" s="69" t="inlineStr">
        <is>
          <t>9a66cc637b1abd89d06434949aa19b6b38be017d2a6dad9454cf6403ba22b4ea</t>
        </is>
      </c>
      <c r="U155" s="69" t="inlineStr">
        <is>
          <t>Codex</t>
        </is>
      </c>
      <c r="V155" s="78" t="n">
        <v>46269</v>
      </c>
      <c r="W155" s="69" t="inlineStr">
        <is>
          <t>用户自制Blender资产</t>
        </is>
      </c>
      <c r="X155" s="75" t="inlineStr">
        <is>
          <t>—</t>
        </is>
      </c>
      <c r="Y155" s="6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Height="1" s="50">
      <c r="A156" s="79" t="inlineStr">
        <is>
          <t>BPK-BASE99-TILE-R04-C04</t>
        </is>
      </c>
      <c r="B156" s="79" t="inlineStr">
        <is>
          <t>基地99层 · 地砖_R04C04_原砖与深化内容</t>
        </is>
      </c>
      <c r="C156" s="79" t="inlineStr">
        <is>
          <t>基地资产包</t>
        </is>
      </c>
      <c r="D156" s="79" t="inlineStr">
        <is>
          <t>地面系统包</t>
        </is>
      </c>
      <c r="E156" s="79" t="inlineStr">
        <is>
          <t>base99_package_tile_r04_c04</t>
        </is>
      </c>
      <c r="F156" s="79" t="inlineStr">
        <is>
          <t>package_root</t>
        </is>
      </c>
      <c r="G156" s="79" t="inlineStr">
        <is>
          <t>ENV-BASE99-ART-LAYOUT-3D</t>
        </is>
      </c>
      <c r="H156" s="79" t="inlineStr">
        <is>
          <t>Top3D / Blender +Y北</t>
        </is>
      </c>
      <c r="I156" s="79" t="inlineStr">
        <is>
          <t>static / default</t>
        </is>
      </c>
      <c r="J156" s="79" t="inlineStr">
        <is>
          <t>3D-设施 / 基地99层独立资产包</t>
        </is>
      </c>
      <c r="K156" s="79" t="inlineStr">
        <is>
          <t>正式美术已接入</t>
        </is>
      </c>
      <c r="L156" s="79" t="inlineStr">
        <is>
          <t>P0</t>
        </is>
      </c>
      <c r="M156" s="79" t="inlineStr">
        <is>
          <t>v017</t>
        </is>
      </c>
      <c r="N156" s="69" t="inlineStr">
        <is>
          <t>包络 5.035×5.035×0.492m；60 网格；0 灯</t>
        </is>
      </c>
      <c r="O156" s="69" t="inlineStr">
        <is>
          <t>source/art/blender/base_facility_layout/component_packages/floor/tile_r04_c04/asset_manifest.json</t>
        </is>
      </c>
      <c r="P156" s="6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69" t="inlineStr">
        <is>
          <t>基地99层;基地资产包;3D设施;地面系统包;tile_r04_c04;PaletteUV</t>
        </is>
      </c>
      <c r="R156" s="69">
        <f>LOWER(TRIM(C156)&amp;"|"&amp;TRIM(D156)&amp;"|"&amp;TRIM(E156)&amp;"|"&amp;TRIM(F156)&amp;"|"&amp;TRIM(H156)&amp;"|"&amp;TRIM(I156))</f>
        <v/>
      </c>
      <c r="S156" s="69">
        <f>IF(COUNTIF($R$6:$R$239,R156)&gt;1,"重复","唯一")</f>
        <v/>
      </c>
      <c r="T156" s="69" t="inlineStr">
        <is>
          <t>9b962f6d003e082f33dc44ba251f5d5d1be141ffb69d6b056899e8ad9ef06c4f</t>
        </is>
      </c>
      <c r="U156" s="69" t="inlineStr">
        <is>
          <t>Codex</t>
        </is>
      </c>
      <c r="V156" s="78" t="n">
        <v>46269</v>
      </c>
      <c r="W156" s="69" t="inlineStr">
        <is>
          <t>用户自制Blender资产</t>
        </is>
      </c>
      <c r="X156" s="75" t="inlineStr">
        <is>
          <t>—</t>
        </is>
      </c>
      <c r="Y156" s="6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8" customHeight="1" s="50">
      <c r="A157" s="79" t="inlineStr">
        <is>
          <t>BPK-BASE99-TILE-R04-C05</t>
        </is>
      </c>
      <c r="B157" s="79" t="inlineStr">
        <is>
          <t>基地99层 · 地砖_R04C05_原砖与深化内容</t>
        </is>
      </c>
      <c r="C157" s="79" t="inlineStr">
        <is>
          <t>基地资产包</t>
        </is>
      </c>
      <c r="D157" s="79" t="inlineStr">
        <is>
          <t>地面系统包</t>
        </is>
      </c>
      <c r="E157" s="79" t="inlineStr">
        <is>
          <t>base99_package_tile_r04_c05</t>
        </is>
      </c>
      <c r="F157" s="79" t="inlineStr">
        <is>
          <t>package_root</t>
        </is>
      </c>
      <c r="G157" s="79" t="inlineStr">
        <is>
          <t>ENV-BASE99-ART-LAYOUT-3D</t>
        </is>
      </c>
      <c r="H157" s="79" t="inlineStr">
        <is>
          <t>Top3D / Blender +Y北</t>
        </is>
      </c>
      <c r="I157" s="79" t="inlineStr">
        <is>
          <t>static / default</t>
        </is>
      </c>
      <c r="J157" s="79" t="inlineStr">
        <is>
          <t>3D-设施 / 基地99层独立资产包</t>
        </is>
      </c>
      <c r="K157" s="79" t="inlineStr">
        <is>
          <t>正式美术已接入</t>
        </is>
      </c>
      <c r="L157" s="79" t="inlineStr">
        <is>
          <t>P0</t>
        </is>
      </c>
      <c r="M157" s="79" t="inlineStr">
        <is>
          <t>v017</t>
        </is>
      </c>
      <c r="N157" s="69" t="inlineStr">
        <is>
          <t>包络 6.180×5.035×0.493m；61 网格；0 灯</t>
        </is>
      </c>
      <c r="O157" s="69" t="inlineStr">
        <is>
          <t>source/art/blender/base_facility_layout/component_packages/floor/tile_r04_c05/asset_manifest.json</t>
        </is>
      </c>
      <c r="P157" s="6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69" t="inlineStr">
        <is>
          <t>基地99层;基地资产包;3D设施;地面系统包;tile_r04_c05;PaletteUV</t>
        </is>
      </c>
      <c r="R157" s="69">
        <f>LOWER(TRIM(C157)&amp;"|"&amp;TRIM(D157)&amp;"|"&amp;TRIM(E157)&amp;"|"&amp;TRIM(F157)&amp;"|"&amp;TRIM(H157)&amp;"|"&amp;TRIM(I157))</f>
        <v/>
      </c>
      <c r="S157" s="69">
        <f>IF(COUNTIF($R$6:$R$239,R157)&gt;1,"重复","唯一")</f>
        <v/>
      </c>
      <c r="T157" s="69" t="inlineStr">
        <is>
          <t>7865cb437e32dfb271918f2c09c14fd1864d17233a1f932563227af201e72374</t>
        </is>
      </c>
      <c r="U157" s="69" t="inlineStr">
        <is>
          <t>Codex</t>
        </is>
      </c>
      <c r="V157" s="78" t="n">
        <v>46269</v>
      </c>
      <c r="W157" s="69" t="inlineStr">
        <is>
          <t>用户自制Blender资产</t>
        </is>
      </c>
      <c r="X157" s="75" t="inlineStr">
        <is>
          <t>—</t>
        </is>
      </c>
      <c r="Y157" s="6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8" customHeight="1" s="50">
      <c r="A158" s="79" t="inlineStr">
        <is>
          <t>BPK-BASE99-TILE-R04-C06</t>
        </is>
      </c>
      <c r="B158" s="79" t="inlineStr">
        <is>
          <t>基地99层 · 地砖_R04C06_原砖与深化内容</t>
        </is>
      </c>
      <c r="C158" s="79" t="inlineStr">
        <is>
          <t>基地资产包</t>
        </is>
      </c>
      <c r="D158" s="79" t="inlineStr">
        <is>
          <t>地面系统包</t>
        </is>
      </c>
      <c r="E158" s="79" t="inlineStr">
        <is>
          <t>base99_package_tile_r04_c06</t>
        </is>
      </c>
      <c r="F158" s="79" t="inlineStr">
        <is>
          <t>package_root</t>
        </is>
      </c>
      <c r="G158" s="79" t="inlineStr">
        <is>
          <t>ENV-BASE99-ART-LAYOUT-3D</t>
        </is>
      </c>
      <c r="H158" s="79" t="inlineStr">
        <is>
          <t>Top3D / Blender +Y北</t>
        </is>
      </c>
      <c r="I158" s="79" t="inlineStr">
        <is>
          <t>static / default</t>
        </is>
      </c>
      <c r="J158" s="79" t="inlineStr">
        <is>
          <t>3D-设施 / 基地99层独立资产包</t>
        </is>
      </c>
      <c r="K158" s="79" t="inlineStr">
        <is>
          <t>正式美术已接入</t>
        </is>
      </c>
      <c r="L158" s="79" t="inlineStr">
        <is>
          <t>P0</t>
        </is>
      </c>
      <c r="M158" s="79" t="inlineStr">
        <is>
          <t>v017</t>
        </is>
      </c>
      <c r="N158" s="69" t="inlineStr">
        <is>
          <t>包络 5.035×5.035×0.468m；39 网格；0 灯</t>
        </is>
      </c>
      <c r="O158" s="69" t="inlineStr">
        <is>
          <t>source/art/blender/base_facility_layout/component_packages/floor/tile_r04_c06/asset_manifest.json</t>
        </is>
      </c>
      <c r="P158" s="6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69" t="inlineStr">
        <is>
          <t>基地99层;基地资产包;3D设施;地面系统包;tile_r04_c06;PaletteUV</t>
        </is>
      </c>
      <c r="R158" s="69">
        <f>LOWER(TRIM(C158)&amp;"|"&amp;TRIM(D158)&amp;"|"&amp;TRIM(E158)&amp;"|"&amp;TRIM(F158)&amp;"|"&amp;TRIM(H158)&amp;"|"&amp;TRIM(I158))</f>
        <v/>
      </c>
      <c r="S158" s="69">
        <f>IF(COUNTIF($R$6:$R$239,R158)&gt;1,"重复","唯一")</f>
        <v/>
      </c>
      <c r="T158" s="69" t="inlineStr">
        <is>
          <t>a727a84f59506e36ae549fafca03cd986e900c1fb0626ff7201158f492f2730b</t>
        </is>
      </c>
      <c r="U158" s="69" t="inlineStr">
        <is>
          <t>Codex</t>
        </is>
      </c>
      <c r="V158" s="78" t="n">
        <v>46269</v>
      </c>
      <c r="W158" s="69" t="inlineStr">
        <is>
          <t>用户自制Blender资产</t>
        </is>
      </c>
      <c r="X158" s="75" t="inlineStr">
        <is>
          <t>—</t>
        </is>
      </c>
      <c r="Y158" s="6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8" customHeight="1" s="50">
      <c r="A159" s="79" t="inlineStr">
        <is>
          <t>BPK-BASE99-TILE-R05-C01</t>
        </is>
      </c>
      <c r="B159" s="79" t="inlineStr">
        <is>
          <t>基地99层 · 地砖_R05C01_原砖与深化内容</t>
        </is>
      </c>
      <c r="C159" s="79" t="inlineStr">
        <is>
          <t>基地资产包</t>
        </is>
      </c>
      <c r="D159" s="79" t="inlineStr">
        <is>
          <t>地面系统包</t>
        </is>
      </c>
      <c r="E159" s="79" t="inlineStr">
        <is>
          <t>base99_package_tile_r05_c01</t>
        </is>
      </c>
      <c r="F159" s="79" t="inlineStr">
        <is>
          <t>package_root</t>
        </is>
      </c>
      <c r="G159" s="79" t="inlineStr">
        <is>
          <t>ENV-BASE99-ART-LAYOUT-3D</t>
        </is>
      </c>
      <c r="H159" s="79" t="inlineStr">
        <is>
          <t>Top3D / Blender +Y北</t>
        </is>
      </c>
      <c r="I159" s="79" t="inlineStr">
        <is>
          <t>static / default</t>
        </is>
      </c>
      <c r="J159" s="79" t="inlineStr">
        <is>
          <t>3D-设施 / 基地99层独立资产包</t>
        </is>
      </c>
      <c r="K159" s="79" t="inlineStr">
        <is>
          <t>正式美术已接入</t>
        </is>
      </c>
      <c r="L159" s="79" t="inlineStr">
        <is>
          <t>P0</t>
        </is>
      </c>
      <c r="M159" s="79" t="inlineStr">
        <is>
          <t>v017</t>
        </is>
      </c>
      <c r="N159" s="69" t="inlineStr">
        <is>
          <t>包络 5.000×5.035×0.448m；21 网格；0 灯</t>
        </is>
      </c>
      <c r="O159" s="69" t="inlineStr">
        <is>
          <t>source/art/blender/base_facility_layout/component_packages/floor/tile_r05_c01/asset_manifest.json</t>
        </is>
      </c>
      <c r="P159" s="6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69" t="inlineStr">
        <is>
          <t>基地99层;基地资产包;3D设施;地面系统包;tile_r05_c01;PaletteUV</t>
        </is>
      </c>
      <c r="R159" s="69">
        <f>LOWER(TRIM(C159)&amp;"|"&amp;TRIM(D159)&amp;"|"&amp;TRIM(E159)&amp;"|"&amp;TRIM(F159)&amp;"|"&amp;TRIM(H159)&amp;"|"&amp;TRIM(I159))</f>
        <v/>
      </c>
      <c r="S159" s="69">
        <f>IF(COUNTIF($R$6:$R$239,R159)&gt;1,"重复","唯一")</f>
        <v/>
      </c>
      <c r="T159" s="69" t="inlineStr">
        <is>
          <t>25ce320949596cebbe75797299a65b576438bc04be76cc4e7f9a8d8a8a942e2d</t>
        </is>
      </c>
      <c r="U159" s="69" t="inlineStr">
        <is>
          <t>Codex</t>
        </is>
      </c>
      <c r="V159" s="78" t="n">
        <v>46269</v>
      </c>
      <c r="W159" s="69" t="inlineStr">
        <is>
          <t>用户自制Blender资产</t>
        </is>
      </c>
      <c r="X159" s="75" t="inlineStr">
        <is>
          <t>—</t>
        </is>
      </c>
      <c r="Y159" s="6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8" customHeight="1" s="50">
      <c r="A160" s="79" t="inlineStr">
        <is>
          <t>BPK-BASE99-TILE-R05-C02</t>
        </is>
      </c>
      <c r="B160" s="79" t="inlineStr">
        <is>
          <t>基地99层 · 地砖_R05C02_原砖与深化内容</t>
        </is>
      </c>
      <c r="C160" s="79" t="inlineStr">
        <is>
          <t>基地资产包</t>
        </is>
      </c>
      <c r="D160" s="79" t="inlineStr">
        <is>
          <t>地面系统包</t>
        </is>
      </c>
      <c r="E160" s="79" t="inlineStr">
        <is>
          <t>base99_package_tile_r05_c02</t>
        </is>
      </c>
      <c r="F160" s="79" t="inlineStr">
        <is>
          <t>package_root</t>
        </is>
      </c>
      <c r="G160" s="79" t="inlineStr">
        <is>
          <t>ENV-BASE99-ART-LAYOUT-3D</t>
        </is>
      </c>
      <c r="H160" s="79" t="inlineStr">
        <is>
          <t>Top3D / Blender +Y北</t>
        </is>
      </c>
      <c r="I160" s="79" t="inlineStr">
        <is>
          <t>static / default</t>
        </is>
      </c>
      <c r="J160" s="79" t="inlineStr">
        <is>
          <t>3D-设施 / 基地99层独立资产包</t>
        </is>
      </c>
      <c r="K160" s="79" t="inlineStr">
        <is>
          <t>正式美术已接入</t>
        </is>
      </c>
      <c r="L160" s="79" t="inlineStr">
        <is>
          <t>P0</t>
        </is>
      </c>
      <c r="M160" s="79" t="inlineStr">
        <is>
          <t>v017</t>
        </is>
      </c>
      <c r="N160" s="69" t="inlineStr">
        <is>
          <t>包络 5.035×5.035×0.448m；22 网格；0 灯</t>
        </is>
      </c>
      <c r="O160" s="69" t="inlineStr">
        <is>
          <t>source/art/blender/base_facility_layout/component_packages/floor/tile_r05_c02/asset_manifest.json</t>
        </is>
      </c>
      <c r="P160" s="6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69" t="inlineStr">
        <is>
          <t>基地99层;基地资产包;3D设施;地面系统包;tile_r05_c02;PaletteUV</t>
        </is>
      </c>
      <c r="R160" s="69">
        <f>LOWER(TRIM(C160)&amp;"|"&amp;TRIM(D160)&amp;"|"&amp;TRIM(E160)&amp;"|"&amp;TRIM(F160)&amp;"|"&amp;TRIM(H160)&amp;"|"&amp;TRIM(I160))</f>
        <v/>
      </c>
      <c r="S160" s="69">
        <f>IF(COUNTIF($R$6:$R$239,R160)&gt;1,"重复","唯一")</f>
        <v/>
      </c>
      <c r="T160" s="69" t="inlineStr">
        <is>
          <t>c1e0cf57455c9162fa4db66615695f1bcce722fb9a4bf371884be2c28015b44f</t>
        </is>
      </c>
      <c r="U160" s="69" t="inlineStr">
        <is>
          <t>Codex</t>
        </is>
      </c>
      <c r="V160" s="78" t="n">
        <v>46269</v>
      </c>
      <c r="W160" s="69" t="inlineStr">
        <is>
          <t>用户自制Blender资产</t>
        </is>
      </c>
      <c r="X160" s="75" t="inlineStr">
        <is>
          <t>—</t>
        </is>
      </c>
      <c r="Y160" s="6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Height="1" s="50">
      <c r="A161" s="79" t="inlineStr">
        <is>
          <t>BPK-BASE99-TILE-R05-C03</t>
        </is>
      </c>
      <c r="B161" s="79" t="inlineStr">
        <is>
          <t>基地99层 · 地砖_R05C03_原砖与深化内容</t>
        </is>
      </c>
      <c r="C161" s="79" t="inlineStr">
        <is>
          <t>基地资产包</t>
        </is>
      </c>
      <c r="D161" s="79" t="inlineStr">
        <is>
          <t>地面系统包</t>
        </is>
      </c>
      <c r="E161" s="79" t="inlineStr">
        <is>
          <t>base99_package_tile_r05_c03</t>
        </is>
      </c>
      <c r="F161" s="79" t="inlineStr">
        <is>
          <t>package_root</t>
        </is>
      </c>
      <c r="G161" s="79" t="inlineStr">
        <is>
          <t>ENV-BASE99-ART-LAYOUT-3D</t>
        </is>
      </c>
      <c r="H161" s="79" t="inlineStr">
        <is>
          <t>Top3D / Blender +Y北</t>
        </is>
      </c>
      <c r="I161" s="79" t="inlineStr">
        <is>
          <t>static / default</t>
        </is>
      </c>
      <c r="J161" s="79" t="inlineStr">
        <is>
          <t>3D-设施 / 基地99层独立资产包</t>
        </is>
      </c>
      <c r="K161" s="79" t="inlineStr">
        <is>
          <t>正式美术已接入</t>
        </is>
      </c>
      <c r="L161" s="79" t="inlineStr">
        <is>
          <t>P0</t>
        </is>
      </c>
      <c r="M161" s="79" t="inlineStr">
        <is>
          <t>v017</t>
        </is>
      </c>
      <c r="N161" s="69" t="inlineStr">
        <is>
          <t>包络 5.035×5.035×0.448m；22 网格；0 灯</t>
        </is>
      </c>
      <c r="O161" s="69" t="inlineStr">
        <is>
          <t>source/art/blender/base_facility_layout/component_packages/floor/tile_r05_c03/asset_manifest.json</t>
        </is>
      </c>
      <c r="P161" s="6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69" t="inlineStr">
        <is>
          <t>基地99层;基地资产包;3D设施;地面系统包;tile_r05_c03;PaletteUV</t>
        </is>
      </c>
      <c r="R161" s="69">
        <f>LOWER(TRIM(C161)&amp;"|"&amp;TRIM(D161)&amp;"|"&amp;TRIM(E161)&amp;"|"&amp;TRIM(F161)&amp;"|"&amp;TRIM(H161)&amp;"|"&amp;TRIM(I161))</f>
        <v/>
      </c>
      <c r="S161" s="69">
        <f>IF(COUNTIF($R$6:$R$239,R161)&gt;1,"重复","唯一")</f>
        <v/>
      </c>
      <c r="T161" s="69" t="inlineStr">
        <is>
          <t>9963472468273a6ed85fd89256f4c5bfafa28b3bc881a663f698d1ede44168bf</t>
        </is>
      </c>
      <c r="U161" s="69" t="inlineStr">
        <is>
          <t>Codex</t>
        </is>
      </c>
      <c r="V161" s="78" t="n">
        <v>46269</v>
      </c>
      <c r="W161" s="69" t="inlineStr">
        <is>
          <t>用户自制Blender资产</t>
        </is>
      </c>
      <c r="X161" s="75" t="inlineStr">
        <is>
          <t>—</t>
        </is>
      </c>
      <c r="Y161" s="6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Height="1" s="50">
      <c r="A162" s="79" t="inlineStr">
        <is>
          <t>BPK-BASE99-TILE-R05-C04</t>
        </is>
      </c>
      <c r="B162" s="79" t="inlineStr">
        <is>
          <t>基地99层 · 地砖_R05C04_原砖与深化内容</t>
        </is>
      </c>
      <c r="C162" s="79" t="inlineStr">
        <is>
          <t>基地资产包</t>
        </is>
      </c>
      <c r="D162" s="79" t="inlineStr">
        <is>
          <t>地面系统包</t>
        </is>
      </c>
      <c r="E162" s="79" t="inlineStr">
        <is>
          <t>base99_package_tile_r05_c04</t>
        </is>
      </c>
      <c r="F162" s="79" t="inlineStr">
        <is>
          <t>package_root</t>
        </is>
      </c>
      <c r="G162" s="79" t="inlineStr">
        <is>
          <t>ENV-BASE99-ART-LAYOUT-3D</t>
        </is>
      </c>
      <c r="H162" s="79" t="inlineStr">
        <is>
          <t>Top3D / Blender +Y北</t>
        </is>
      </c>
      <c r="I162" s="79" t="inlineStr">
        <is>
          <t>static / default</t>
        </is>
      </c>
      <c r="J162" s="79" t="inlineStr">
        <is>
          <t>3D-设施 / 基地99层独立资产包</t>
        </is>
      </c>
      <c r="K162" s="79" t="inlineStr">
        <is>
          <t>正式美术已接入</t>
        </is>
      </c>
      <c r="L162" s="79" t="inlineStr">
        <is>
          <t>P0</t>
        </is>
      </c>
      <c r="M162" s="79" t="inlineStr">
        <is>
          <t>v017</t>
        </is>
      </c>
      <c r="N162" s="69" t="inlineStr">
        <is>
          <t>包络 5.035×5.035×0.448m；22 网格；0 灯</t>
        </is>
      </c>
      <c r="O162" s="69" t="inlineStr">
        <is>
          <t>source/art/blender/base_facility_layout/component_packages/floor/tile_r05_c04/asset_manifest.json</t>
        </is>
      </c>
      <c r="P162" s="6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69" t="inlineStr">
        <is>
          <t>基地99层;基地资产包;3D设施;地面系统包;tile_r05_c04;PaletteUV</t>
        </is>
      </c>
      <c r="R162" s="69">
        <f>LOWER(TRIM(C162)&amp;"|"&amp;TRIM(D162)&amp;"|"&amp;TRIM(E162)&amp;"|"&amp;TRIM(F162)&amp;"|"&amp;TRIM(H162)&amp;"|"&amp;TRIM(I162))</f>
        <v/>
      </c>
      <c r="S162" s="69">
        <f>IF(COUNTIF($R$6:$R$239,R162)&gt;1,"重复","唯一")</f>
        <v/>
      </c>
      <c r="T162" s="69" t="inlineStr">
        <is>
          <t>40018cec7389eec3fc60e519d46d2f568d92d4d6c95e8078efefd1fc52ddc952</t>
        </is>
      </c>
      <c r="U162" s="69" t="inlineStr">
        <is>
          <t>Codex</t>
        </is>
      </c>
      <c r="V162" s="78" t="n">
        <v>46269</v>
      </c>
      <c r="W162" s="69" t="inlineStr">
        <is>
          <t>用户自制Blender资产</t>
        </is>
      </c>
      <c r="X162" s="75" t="inlineStr">
        <is>
          <t>—</t>
        </is>
      </c>
      <c r="Y162" s="6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5" customHeight="1" s="50">
      <c r="A163" s="79" t="inlineStr">
        <is>
          <t>BPK-BASE99-TILE-R05-C05</t>
        </is>
      </c>
      <c r="B163" s="79" t="inlineStr">
        <is>
          <t>基地99层 · 地砖_R05C05_原砖与深化内容</t>
        </is>
      </c>
      <c r="C163" s="79" t="inlineStr">
        <is>
          <t>基地资产包</t>
        </is>
      </c>
      <c r="D163" s="79" t="inlineStr">
        <is>
          <t>地面系统包</t>
        </is>
      </c>
      <c r="E163" s="79" t="inlineStr">
        <is>
          <t>base99_package_tile_r05_c05</t>
        </is>
      </c>
      <c r="F163" s="79" t="inlineStr">
        <is>
          <t>package_root</t>
        </is>
      </c>
      <c r="G163" s="79" t="inlineStr">
        <is>
          <t>ENV-BASE99-ART-LAYOUT-3D</t>
        </is>
      </c>
      <c r="H163" s="79" t="inlineStr">
        <is>
          <t>Top3D / Blender +Y北</t>
        </is>
      </c>
      <c r="I163" s="79" t="inlineStr">
        <is>
          <t>static / default</t>
        </is>
      </c>
      <c r="J163" s="79" t="inlineStr">
        <is>
          <t>3D-设施 / 基地99层独立资产包</t>
        </is>
      </c>
      <c r="K163" s="79" t="inlineStr">
        <is>
          <t>正式美术已接入</t>
        </is>
      </c>
      <c r="L163" s="79" t="inlineStr">
        <is>
          <t>P0</t>
        </is>
      </c>
      <c r="M163" s="79" t="inlineStr">
        <is>
          <t>v017</t>
        </is>
      </c>
      <c r="N163" s="69" t="inlineStr">
        <is>
          <t>包络 5.035×5.035×0.448m；22 网格；0 灯</t>
        </is>
      </c>
      <c r="O163" s="69" t="inlineStr">
        <is>
          <t>source/art/blender/base_facility_layout/component_packages/floor/tile_r05_c05/asset_manifest.json</t>
        </is>
      </c>
      <c r="P163" s="6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69" t="inlineStr">
        <is>
          <t>基地99层;基地资产包;3D设施;地面系统包;tile_r05_c05;PaletteUV</t>
        </is>
      </c>
      <c r="R163" s="69">
        <f>LOWER(TRIM(C163)&amp;"|"&amp;TRIM(D163)&amp;"|"&amp;TRIM(E163)&amp;"|"&amp;TRIM(F163)&amp;"|"&amp;TRIM(H163)&amp;"|"&amp;TRIM(I163))</f>
        <v/>
      </c>
      <c r="S163" s="69">
        <f>IF(COUNTIF($R$6:$R$239,R163)&gt;1,"重复","唯一")</f>
        <v/>
      </c>
      <c r="T163" s="69" t="inlineStr">
        <is>
          <t>35cc3a0eaeeec55f2589501c960a46def1cfdf7a0cbc7a5514888399729cc3cf</t>
        </is>
      </c>
      <c r="U163" s="69" t="inlineStr">
        <is>
          <t>Codex</t>
        </is>
      </c>
      <c r="V163" s="78" t="n">
        <v>46269</v>
      </c>
      <c r="W163" s="69" t="inlineStr">
        <is>
          <t>用户自制Blender资产</t>
        </is>
      </c>
      <c r="X163" s="75" t="inlineStr">
        <is>
          <t>—</t>
        </is>
      </c>
      <c r="Y163" s="6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Height="1" s="50">
      <c r="A164" s="79" t="inlineStr">
        <is>
          <t>BPK-BASE99-TILE-R05-C06</t>
        </is>
      </c>
      <c r="B164" s="79" t="inlineStr">
        <is>
          <t>基地99层 · 地砖_R05C06_原砖与深化内容</t>
        </is>
      </c>
      <c r="C164" s="79" t="inlineStr">
        <is>
          <t>基地资产包</t>
        </is>
      </c>
      <c r="D164" s="79" t="inlineStr">
        <is>
          <t>地面系统包</t>
        </is>
      </c>
      <c r="E164" s="79" t="inlineStr">
        <is>
          <t>base99_package_tile_r05_c06</t>
        </is>
      </c>
      <c r="F164" s="79" t="inlineStr">
        <is>
          <t>package_root</t>
        </is>
      </c>
      <c r="G164" s="79" t="inlineStr">
        <is>
          <t>ENV-BASE99-ART-LAYOUT-3D</t>
        </is>
      </c>
      <c r="H164" s="79" t="inlineStr">
        <is>
          <t>Top3D / Blender +Y北</t>
        </is>
      </c>
      <c r="I164" s="79" t="inlineStr">
        <is>
          <t>static / default</t>
        </is>
      </c>
      <c r="J164" s="79" t="inlineStr">
        <is>
          <t>3D-设施 / 基地99层独立资产包</t>
        </is>
      </c>
      <c r="K164" s="79" t="inlineStr">
        <is>
          <t>正式美术已接入</t>
        </is>
      </c>
      <c r="L164" s="79" t="inlineStr">
        <is>
          <t>P0</t>
        </is>
      </c>
      <c r="M164" s="79" t="inlineStr">
        <is>
          <t>v017</t>
        </is>
      </c>
      <c r="N164" s="69" t="inlineStr">
        <is>
          <t>包络 5.035×5.035×0.448m；22 网格；0 灯</t>
        </is>
      </c>
      <c r="O164" s="69" t="inlineStr">
        <is>
          <t>source/art/blender/base_facility_layout/component_packages/floor/tile_r05_c06/asset_manifest.json</t>
        </is>
      </c>
      <c r="P164" s="6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69" t="inlineStr">
        <is>
          <t>基地99层;基地资产包;3D设施;地面系统包;tile_r05_c06;PaletteUV</t>
        </is>
      </c>
      <c r="R164" s="69">
        <f>LOWER(TRIM(C164)&amp;"|"&amp;TRIM(D164)&amp;"|"&amp;TRIM(E164)&amp;"|"&amp;TRIM(F164)&amp;"|"&amp;TRIM(H164)&amp;"|"&amp;TRIM(I164))</f>
        <v/>
      </c>
      <c r="S164" s="69">
        <f>IF(COUNTIF($R$6:$R$239,R164)&gt;1,"重复","唯一")</f>
        <v/>
      </c>
      <c r="T164" s="69" t="inlineStr">
        <is>
          <t>1ffb43895468ba8454caf8cd96736a43b23c4bfa7f1c5a7ce90045ab79b0cda1</t>
        </is>
      </c>
      <c r="U164" s="69" t="inlineStr">
        <is>
          <t>Codex</t>
        </is>
      </c>
      <c r="V164" s="78" t="n">
        <v>46269</v>
      </c>
      <c r="W164" s="69" t="inlineStr">
        <is>
          <t>用户自制Blender资产</t>
        </is>
      </c>
      <c r="X164" s="75" t="inlineStr">
        <is>
          <t>—</t>
        </is>
      </c>
      <c r="Y164" s="6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Height="1" s="50">
      <c r="A165" s="79" t="inlineStr">
        <is>
          <t>BPK-BASE99-TILE-R06-C01</t>
        </is>
      </c>
      <c r="B165" s="79" t="inlineStr">
        <is>
          <t>基地99层 · 地砖_R06C01_原砖与深化内容</t>
        </is>
      </c>
      <c r="C165" s="79" t="inlineStr">
        <is>
          <t>基地资产包</t>
        </is>
      </c>
      <c r="D165" s="79" t="inlineStr">
        <is>
          <t>地面系统包</t>
        </is>
      </c>
      <c r="E165" s="79" t="inlineStr">
        <is>
          <t>base99_package_tile_r06_c01</t>
        </is>
      </c>
      <c r="F165" s="79" t="inlineStr">
        <is>
          <t>package_root</t>
        </is>
      </c>
      <c r="G165" s="79" t="inlineStr">
        <is>
          <t>ENV-BASE99-ART-LAYOUT-3D</t>
        </is>
      </c>
      <c r="H165" s="79" t="inlineStr">
        <is>
          <t>Top3D / Blender +Y北</t>
        </is>
      </c>
      <c r="I165" s="79" t="inlineStr">
        <is>
          <t>static / default</t>
        </is>
      </c>
      <c r="J165" s="79" t="inlineStr">
        <is>
          <t>3D-设施 / 基地99层独立资产包</t>
        </is>
      </c>
      <c r="K165" s="79" t="inlineStr">
        <is>
          <t>正式美术已接入</t>
        </is>
      </c>
      <c r="L165" s="79" t="inlineStr">
        <is>
          <t>P0</t>
        </is>
      </c>
      <c r="M165" s="79" t="inlineStr">
        <is>
          <t>v017</t>
        </is>
      </c>
      <c r="N165" s="69" t="inlineStr">
        <is>
          <t>包络 5.000×5.035×0.448m；21 网格；0 灯</t>
        </is>
      </c>
      <c r="O165" s="69" t="inlineStr">
        <is>
          <t>source/art/blender/base_facility_layout/component_packages/floor/tile_r06_c01/asset_manifest.json</t>
        </is>
      </c>
      <c r="P165" s="6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69" t="inlineStr">
        <is>
          <t>基地99层;基地资产包;3D设施;地面系统包;tile_r06_c01;PaletteUV</t>
        </is>
      </c>
      <c r="R165" s="69">
        <f>LOWER(TRIM(C165)&amp;"|"&amp;TRIM(D165)&amp;"|"&amp;TRIM(E165)&amp;"|"&amp;TRIM(F165)&amp;"|"&amp;TRIM(H165)&amp;"|"&amp;TRIM(I165))</f>
        <v/>
      </c>
      <c r="S165" s="69">
        <f>IF(COUNTIF($R$6:$R$239,R165)&gt;1,"重复","唯一")</f>
        <v/>
      </c>
      <c r="T165" s="69" t="inlineStr">
        <is>
          <t>93355c7c277d68051bf8f57cbe647724040947ea3ef62fb303eb6156bcc3330a</t>
        </is>
      </c>
      <c r="U165" s="69" t="inlineStr">
        <is>
          <t>Codex</t>
        </is>
      </c>
      <c r="V165" s="78" t="n">
        <v>46269</v>
      </c>
      <c r="W165" s="69" t="inlineStr">
        <is>
          <t>用户自制Blender资产</t>
        </is>
      </c>
      <c r="X165" s="75" t="inlineStr">
        <is>
          <t>—</t>
        </is>
      </c>
      <c r="Y165" s="6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Height="1" s="50">
      <c r="A166" s="79" t="inlineStr">
        <is>
          <t>BPK-BASE99-TILE-R06-C02</t>
        </is>
      </c>
      <c r="B166" s="79" t="inlineStr">
        <is>
          <t>基地99层 · 地砖_R06C02_原砖与深化内容</t>
        </is>
      </c>
      <c r="C166" s="79" t="inlineStr">
        <is>
          <t>基地资产包</t>
        </is>
      </c>
      <c r="D166" s="79" t="inlineStr">
        <is>
          <t>地面系统包</t>
        </is>
      </c>
      <c r="E166" s="79" t="inlineStr">
        <is>
          <t>base99_package_tile_r06_c02</t>
        </is>
      </c>
      <c r="F166" s="79" t="inlineStr">
        <is>
          <t>package_root</t>
        </is>
      </c>
      <c r="G166" s="79" t="inlineStr">
        <is>
          <t>ENV-BASE99-ART-LAYOUT-3D</t>
        </is>
      </c>
      <c r="H166" s="79" t="inlineStr">
        <is>
          <t>Top3D / Blender +Y北</t>
        </is>
      </c>
      <c r="I166" s="79" t="inlineStr">
        <is>
          <t>static / default</t>
        </is>
      </c>
      <c r="J166" s="79" t="inlineStr">
        <is>
          <t>3D-设施 / 基地99层独立资产包</t>
        </is>
      </c>
      <c r="K166" s="79" t="inlineStr">
        <is>
          <t>正式美术已接入</t>
        </is>
      </c>
      <c r="L166" s="79" t="inlineStr">
        <is>
          <t>P0</t>
        </is>
      </c>
      <c r="M166" s="79" t="inlineStr">
        <is>
          <t>v017</t>
        </is>
      </c>
      <c r="N166" s="69" t="inlineStr">
        <is>
          <t>包络 5.035×5.035×0.448m；22 网格；0 灯</t>
        </is>
      </c>
      <c r="O166" s="69" t="inlineStr">
        <is>
          <t>source/art/blender/base_facility_layout/component_packages/floor/tile_r06_c02/asset_manifest.json</t>
        </is>
      </c>
      <c r="P166" s="6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69" t="inlineStr">
        <is>
          <t>基地99层;基地资产包;3D设施;地面系统包;tile_r06_c02;PaletteUV</t>
        </is>
      </c>
      <c r="R166" s="69">
        <f>LOWER(TRIM(C166)&amp;"|"&amp;TRIM(D166)&amp;"|"&amp;TRIM(E166)&amp;"|"&amp;TRIM(F166)&amp;"|"&amp;TRIM(H166)&amp;"|"&amp;TRIM(I166))</f>
        <v/>
      </c>
      <c r="S166" s="69">
        <f>IF(COUNTIF($R$6:$R$239,R166)&gt;1,"重复","唯一")</f>
        <v/>
      </c>
      <c r="T166" s="69" t="inlineStr">
        <is>
          <t>8b1d9e1c00926068b1a766bf9b06cd77c8564494a9e53a737cce499e8700299c</t>
        </is>
      </c>
      <c r="U166" s="69" t="inlineStr">
        <is>
          <t>Codex</t>
        </is>
      </c>
      <c r="V166" s="78" t="n">
        <v>46269</v>
      </c>
      <c r="W166" s="69" t="inlineStr">
        <is>
          <t>用户自制Blender资产</t>
        </is>
      </c>
      <c r="X166" s="75" t="inlineStr">
        <is>
          <t>—</t>
        </is>
      </c>
      <c r="Y166" s="6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5" customHeight="1" s="50">
      <c r="A167" s="79" t="inlineStr">
        <is>
          <t>BPK-BASE99-TILE-R06-C03</t>
        </is>
      </c>
      <c r="B167" s="79" t="inlineStr">
        <is>
          <t>基地99层 · 地砖_R06C03_原砖与深化内容</t>
        </is>
      </c>
      <c r="C167" s="79" t="inlineStr">
        <is>
          <t>基地资产包</t>
        </is>
      </c>
      <c r="D167" s="79" t="inlineStr">
        <is>
          <t>地面系统包</t>
        </is>
      </c>
      <c r="E167" s="79" t="inlineStr">
        <is>
          <t>base99_package_tile_r06_c03</t>
        </is>
      </c>
      <c r="F167" s="79" t="inlineStr">
        <is>
          <t>package_root</t>
        </is>
      </c>
      <c r="G167" s="79" t="inlineStr">
        <is>
          <t>ENV-BASE99-ART-LAYOUT-3D</t>
        </is>
      </c>
      <c r="H167" s="79" t="inlineStr">
        <is>
          <t>Top3D / Blender +Y北</t>
        </is>
      </c>
      <c r="I167" s="79" t="inlineStr">
        <is>
          <t>static / default</t>
        </is>
      </c>
      <c r="J167" s="79" t="inlineStr">
        <is>
          <t>3D-设施 / 基地99层独立资产包</t>
        </is>
      </c>
      <c r="K167" s="79" t="inlineStr">
        <is>
          <t>正式美术已接入</t>
        </is>
      </c>
      <c r="L167" s="79" t="inlineStr">
        <is>
          <t>P0</t>
        </is>
      </c>
      <c r="M167" s="79" t="inlineStr">
        <is>
          <t>v017</t>
        </is>
      </c>
      <c r="N167" s="69" t="inlineStr">
        <is>
          <t>包络 5.035×5.035×0.448m；22 网格；0 灯</t>
        </is>
      </c>
      <c r="O167" s="69" t="inlineStr">
        <is>
          <t>source/art/blender/base_facility_layout/component_packages/floor/tile_r06_c03/asset_manifest.json</t>
        </is>
      </c>
      <c r="P167" s="6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69" t="inlineStr">
        <is>
          <t>基地99层;基地资产包;3D设施;地面系统包;tile_r06_c03;PaletteUV</t>
        </is>
      </c>
      <c r="R167" s="69">
        <f>LOWER(TRIM(C167)&amp;"|"&amp;TRIM(D167)&amp;"|"&amp;TRIM(E167)&amp;"|"&amp;TRIM(F167)&amp;"|"&amp;TRIM(H167)&amp;"|"&amp;TRIM(I167))</f>
        <v/>
      </c>
      <c r="S167" s="69">
        <f>IF(COUNTIF($R$6:$R$239,R167)&gt;1,"重复","唯一")</f>
        <v/>
      </c>
      <c r="T167" s="69" t="inlineStr">
        <is>
          <t>587528fa866f3c611502ec6a25302b42a151003b4e9ce7f006bd333bef94df28</t>
        </is>
      </c>
      <c r="U167" s="69" t="inlineStr">
        <is>
          <t>Codex</t>
        </is>
      </c>
      <c r="V167" s="78" t="n">
        <v>46269</v>
      </c>
      <c r="W167" s="69" t="inlineStr">
        <is>
          <t>用户自制Blender资产</t>
        </is>
      </c>
      <c r="X167" s="75" t="inlineStr">
        <is>
          <t>—</t>
        </is>
      </c>
      <c r="Y167" s="6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20" customHeight="1" s="50">
      <c r="A168" s="79" t="inlineStr">
        <is>
          <t>BPK-BASE99-TILE-R06-C04</t>
        </is>
      </c>
      <c r="B168" s="79" t="inlineStr">
        <is>
          <t>基地99层 · 地砖_R06C04_原砖与深化内容</t>
        </is>
      </c>
      <c r="C168" s="79" t="inlineStr">
        <is>
          <t>基地资产包</t>
        </is>
      </c>
      <c r="D168" s="79" t="inlineStr">
        <is>
          <t>地面系统包</t>
        </is>
      </c>
      <c r="E168" s="79" t="inlineStr">
        <is>
          <t>base99_package_tile_r06_c04</t>
        </is>
      </c>
      <c r="F168" s="79" t="inlineStr">
        <is>
          <t>package_root</t>
        </is>
      </c>
      <c r="G168" s="79" t="inlineStr">
        <is>
          <t>ENV-BASE99-ART-LAYOUT-3D</t>
        </is>
      </c>
      <c r="H168" s="79" t="inlineStr">
        <is>
          <t>Top3D / Blender +Y北</t>
        </is>
      </c>
      <c r="I168" s="79" t="inlineStr">
        <is>
          <t>static / default</t>
        </is>
      </c>
      <c r="J168" s="79" t="inlineStr">
        <is>
          <t>3D-设施 / 基地99层独立资产包</t>
        </is>
      </c>
      <c r="K168" s="79" t="inlineStr">
        <is>
          <t>正式美术已接入</t>
        </is>
      </c>
      <c r="L168" s="79" t="inlineStr">
        <is>
          <t>P0</t>
        </is>
      </c>
      <c r="M168" s="79" t="inlineStr">
        <is>
          <t>v017</t>
        </is>
      </c>
      <c r="N168" s="69" t="inlineStr">
        <is>
          <t>包络 5.035×5.035×0.448m；22 网格；0 灯</t>
        </is>
      </c>
      <c r="O168" s="69" t="inlineStr">
        <is>
          <t>source/art/blender/base_facility_layout/component_packages/floor/tile_r06_c04/asset_manifest.json</t>
        </is>
      </c>
      <c r="P168" s="6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69" t="inlineStr">
        <is>
          <t>基地99层;基地资产包;3D设施;地面系统包;tile_r06_c04;PaletteUV</t>
        </is>
      </c>
      <c r="R168" s="69">
        <f>LOWER(TRIM(C168)&amp;"|"&amp;TRIM(D168)&amp;"|"&amp;TRIM(E168)&amp;"|"&amp;TRIM(F168)&amp;"|"&amp;TRIM(H168)&amp;"|"&amp;TRIM(I168))</f>
        <v/>
      </c>
      <c r="S168" s="69">
        <f>IF(COUNTIF($R$6:$R$239,R168)&gt;1,"重复","唯一")</f>
        <v/>
      </c>
      <c r="T168" s="69" t="inlineStr">
        <is>
          <t>642031fcb2150bb66acdf355c66a4c306df7dd33f72608668ff15c9577a46e38</t>
        </is>
      </c>
      <c r="U168" s="69" t="inlineStr">
        <is>
          <t>Codex</t>
        </is>
      </c>
      <c r="V168" s="78" t="n">
        <v>46269</v>
      </c>
      <c r="W168" s="69" t="inlineStr">
        <is>
          <t>用户自制Blender资产</t>
        </is>
      </c>
      <c r="X168" s="75" t="inlineStr">
        <is>
          <t>—</t>
        </is>
      </c>
      <c r="Y168" s="6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20" customHeight="1" s="50">
      <c r="A169" s="79" t="inlineStr">
        <is>
          <t>BPK-BASE99-TILE-R06-C05</t>
        </is>
      </c>
      <c r="B169" s="79" t="inlineStr">
        <is>
          <t>基地99层 · 地砖_R06C05_原砖与深化内容</t>
        </is>
      </c>
      <c r="C169" s="79" t="inlineStr">
        <is>
          <t>基地资产包</t>
        </is>
      </c>
      <c r="D169" s="79" t="inlineStr">
        <is>
          <t>地面系统包</t>
        </is>
      </c>
      <c r="E169" s="79" t="inlineStr">
        <is>
          <t>base99_package_tile_r06_c05</t>
        </is>
      </c>
      <c r="F169" s="79" t="inlineStr">
        <is>
          <t>package_root</t>
        </is>
      </c>
      <c r="G169" s="79" t="inlineStr">
        <is>
          <t>ENV-BASE99-ART-LAYOUT-3D</t>
        </is>
      </c>
      <c r="H169" s="79" t="inlineStr">
        <is>
          <t>Top3D / Blender +Y北</t>
        </is>
      </c>
      <c r="I169" s="79" t="inlineStr">
        <is>
          <t>static / default</t>
        </is>
      </c>
      <c r="J169" s="79" t="inlineStr">
        <is>
          <t>3D-设施 / 基地99层独立资产包</t>
        </is>
      </c>
      <c r="K169" s="79" t="inlineStr">
        <is>
          <t>正式美术已接入</t>
        </is>
      </c>
      <c r="L169" s="79" t="inlineStr">
        <is>
          <t>P0</t>
        </is>
      </c>
      <c r="M169" s="79" t="inlineStr">
        <is>
          <t>v017</t>
        </is>
      </c>
      <c r="N169" s="69" t="inlineStr">
        <is>
          <t>包络 5.035×5.035×0.448m；22 网格；0 灯</t>
        </is>
      </c>
      <c r="O169" s="69" t="inlineStr">
        <is>
          <t>source/art/blender/base_facility_layout/component_packages/floor/tile_r06_c05/asset_manifest.json</t>
        </is>
      </c>
      <c r="P169" s="6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69" t="inlineStr">
        <is>
          <t>基地99层;基地资产包;3D设施;地面系统包;tile_r06_c05;PaletteUV</t>
        </is>
      </c>
      <c r="R169" s="69">
        <f>LOWER(TRIM(C169)&amp;"|"&amp;TRIM(D169)&amp;"|"&amp;TRIM(E169)&amp;"|"&amp;TRIM(F169)&amp;"|"&amp;TRIM(H169)&amp;"|"&amp;TRIM(I169))</f>
        <v/>
      </c>
      <c r="S169" s="69">
        <f>IF(COUNTIF($R$6:$R$239,R169)&gt;1,"重复","唯一")</f>
        <v/>
      </c>
      <c r="T169" s="69" t="inlineStr">
        <is>
          <t>c0329eb9daf7da1934787930e05ca0bc66ec0f0de0e513bb38f7522c3afa085d</t>
        </is>
      </c>
      <c r="U169" s="69" t="inlineStr">
        <is>
          <t>Codex</t>
        </is>
      </c>
      <c r="V169" s="78" t="n">
        <v>46269</v>
      </c>
      <c r="W169" s="69" t="inlineStr">
        <is>
          <t>用户自制Blender资产</t>
        </is>
      </c>
      <c r="X169" s="75" t="inlineStr">
        <is>
          <t>—</t>
        </is>
      </c>
      <c r="Y169" s="6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>
      <c r="A170" s="79" t="inlineStr">
        <is>
          <t>BPK-BASE99-TILE-R06-C06</t>
        </is>
      </c>
      <c r="B170" s="79" t="inlineStr">
        <is>
          <t>基地99层 · 地砖_R06C06_原砖与深化内容</t>
        </is>
      </c>
      <c r="C170" s="79" t="inlineStr">
        <is>
          <t>基地资产包</t>
        </is>
      </c>
      <c r="D170" s="79" t="inlineStr">
        <is>
          <t>地面系统包</t>
        </is>
      </c>
      <c r="E170" s="79" t="inlineStr">
        <is>
          <t>base99_package_tile_r06_c06</t>
        </is>
      </c>
      <c r="F170" s="79" t="inlineStr">
        <is>
          <t>package_root</t>
        </is>
      </c>
      <c r="G170" s="79" t="inlineStr">
        <is>
          <t>ENV-BASE99-ART-LAYOUT-3D</t>
        </is>
      </c>
      <c r="H170" s="79" t="inlineStr">
        <is>
          <t>Top3D / Blender +Y北</t>
        </is>
      </c>
      <c r="I170" s="79" t="inlineStr">
        <is>
          <t>static / default</t>
        </is>
      </c>
      <c r="J170" s="79" t="inlineStr">
        <is>
          <t>3D-设施 / 基地99层独立资产包</t>
        </is>
      </c>
      <c r="K170" s="79" t="inlineStr">
        <is>
          <t>正式美术已接入</t>
        </is>
      </c>
      <c r="L170" s="79" t="inlineStr">
        <is>
          <t>P0</t>
        </is>
      </c>
      <c r="M170" s="79" t="inlineStr">
        <is>
          <t>v017</t>
        </is>
      </c>
      <c r="N170" s="69" t="inlineStr">
        <is>
          <t>包络 5.035×5.035×0.448m；22 网格；0 灯</t>
        </is>
      </c>
      <c r="O170" s="69" t="inlineStr">
        <is>
          <t>source/art/blender/base_facility_layout/component_packages/floor/tile_r06_c06/asset_manifest.json</t>
        </is>
      </c>
      <c r="P170" s="6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69" t="inlineStr">
        <is>
          <t>基地99层;基地资产包;3D设施;地面系统包;tile_r06_c06;PaletteUV</t>
        </is>
      </c>
      <c r="R170" s="69">
        <f>LOWER(TRIM(C170)&amp;"|"&amp;TRIM(D170)&amp;"|"&amp;TRIM(E170)&amp;"|"&amp;TRIM(F170)&amp;"|"&amp;TRIM(H170)&amp;"|"&amp;TRIM(I170))</f>
        <v/>
      </c>
      <c r="S170" s="69">
        <f>IF(COUNTIF($R$6:$R$239,R170)&gt;1,"重复","唯一")</f>
        <v/>
      </c>
      <c r="T170" s="69" t="inlineStr">
        <is>
          <t>4410eb7cee5e0420ed07525523ffd0ab0f340cc8f801a9c98419ff3b903e6a5a</t>
        </is>
      </c>
      <c r="U170" s="69" t="inlineStr">
        <is>
          <t>Codex</t>
        </is>
      </c>
      <c r="V170" s="78" t="n">
        <v>46269</v>
      </c>
      <c r="W170" s="69" t="inlineStr">
        <is>
          <t>用户自制Blender资产</t>
        </is>
      </c>
      <c r="X170" s="75" t="inlineStr">
        <is>
          <t>—</t>
        </is>
      </c>
      <c r="Y170" s="6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>
      <c r="A171" s="79" t="inlineStr">
        <is>
          <t>BPK-BASE99-LOFT-BACKWALL-FUNCTION-PANEL-SYSTEM</t>
        </is>
      </c>
      <c r="B171" s="79" t="inlineStr">
        <is>
          <t>基地99层 · 二楼后墙功能面板系统</t>
        </is>
      </c>
      <c r="C171" s="79" t="inlineStr">
        <is>
          <t>基地资产包</t>
        </is>
      </c>
      <c r="D171" s="79" t="inlineStr">
        <is>
          <t>二楼/阁楼设施包</t>
        </is>
      </c>
      <c r="E171" s="79" t="inlineStr">
        <is>
          <t>base99_package_loft_backwall_function_panel_system</t>
        </is>
      </c>
      <c r="F171" s="79" t="inlineStr">
        <is>
          <t>package_root</t>
        </is>
      </c>
      <c r="G171" s="79" t="inlineStr">
        <is>
          <t>ENV-BASE99-ART-LAYOUT-3D</t>
        </is>
      </c>
      <c r="H171" s="79" t="inlineStr">
        <is>
          <t>Top3D / Blender +Y北</t>
        </is>
      </c>
      <c r="I171" s="79" t="inlineStr">
        <is>
          <t>static / default</t>
        </is>
      </c>
      <c r="J171" s="79" t="inlineStr">
        <is>
          <t>3D-设施 / 基地99层独立资产包</t>
        </is>
      </c>
      <c r="K171" s="79" t="inlineStr">
        <is>
          <t>Blender源已完成</t>
        </is>
      </c>
      <c r="L171" s="79" t="inlineStr">
        <is>
          <t>P1</t>
        </is>
      </c>
      <c r="M171" s="79" t="inlineStr">
        <is>
          <t>v017</t>
        </is>
      </c>
      <c r="N171" s="69" t="inlineStr">
        <is>
          <t>包络 28.800×0.292×2.750m；77 网格；0 灯</t>
        </is>
      </c>
      <c r="O171" s="69" t="inlineStr">
        <is>
          <t>source/art/blender/base_facility_layout/component_packages/loft/loft_backwall_function_panel_system/asset_manifest.json</t>
        </is>
      </c>
      <c r="P171" s="6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69" t="inlineStr">
        <is>
          <t>基地99层;基地资产包;3D设施;二楼/阁楼设施包;loft_backwall_function_panel_system;PaletteUV</t>
        </is>
      </c>
      <c r="R171" s="69">
        <f>LOWER(TRIM(C171)&amp;"|"&amp;TRIM(D171)&amp;"|"&amp;TRIM(E171)&amp;"|"&amp;TRIM(F171)&amp;"|"&amp;TRIM(H171)&amp;"|"&amp;TRIM(I171))</f>
        <v/>
      </c>
      <c r="S171" s="69">
        <f>IF(COUNTIF($R$6:$R$239,R171)&gt;1,"重复","唯一")</f>
        <v/>
      </c>
      <c r="T171" s="69" t="inlineStr">
        <is>
          <t>e97ed4ea9b8bdf13e8c0accd7f2453cc0120175ee02d6f2d9051723d67239570</t>
        </is>
      </c>
      <c r="U171" s="69" t="inlineStr">
        <is>
          <t>Codex</t>
        </is>
      </c>
      <c r="V171" s="78" t="n">
        <v>46269</v>
      </c>
      <c r="W171" s="69" t="inlineStr">
        <is>
          <t>用户自制Blender资产</t>
        </is>
      </c>
      <c r="X171" s="75" t="inlineStr">
        <is>
          <t>51</t>
        </is>
      </c>
      <c r="Y171" s="6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Height="1" s="50">
      <c r="A172" s="79" t="inlineStr">
        <is>
          <t>BPK-BASE99-LOFT-BACKWALL-SERVICES</t>
        </is>
      </c>
      <c r="B172" s="79" t="inlineStr">
        <is>
          <t>基地99层 · 二楼后墙服务管线与应急盒</t>
        </is>
      </c>
      <c r="C172" s="79" t="inlineStr">
        <is>
          <t>基地资产包</t>
        </is>
      </c>
      <c r="D172" s="79" t="inlineStr">
        <is>
          <t>二楼/阁楼设施包</t>
        </is>
      </c>
      <c r="E172" s="79" t="inlineStr">
        <is>
          <t>base99_package_loft_backwall_services</t>
        </is>
      </c>
      <c r="F172" s="79" t="inlineStr">
        <is>
          <t>package_root</t>
        </is>
      </c>
      <c r="G172" s="79" t="inlineStr">
        <is>
          <t>ENV-BASE99-ART-LAYOUT-3D</t>
        </is>
      </c>
      <c r="H172" s="79" t="inlineStr">
        <is>
          <t>Top3D / Blender +Y北</t>
        </is>
      </c>
      <c r="I172" s="79" t="inlineStr">
        <is>
          <t>static / fixture_light</t>
        </is>
      </c>
      <c r="J172" s="79" t="inlineStr">
        <is>
          <t>3D-设施 / 基地99层独立资产包</t>
        </is>
      </c>
      <c r="K172" s="79" t="inlineStr">
        <is>
          <t>Blender源已完成</t>
        </is>
      </c>
      <c r="L172" s="79" t="inlineStr">
        <is>
          <t>P1</t>
        </is>
      </c>
      <c r="M172" s="79" t="inlineStr">
        <is>
          <t>v017</t>
        </is>
      </c>
      <c r="N172" s="69" t="inlineStr">
        <is>
          <t>包络 25.600×0.818×2.350m；66 网格；6 灯</t>
        </is>
      </c>
      <c r="O172" s="69" t="inlineStr">
        <is>
          <t>source/art/blender/base_facility_layout/component_packages/loft/loft_backwall_services/asset_manifest.json</t>
        </is>
      </c>
      <c r="P172" s="6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69" t="inlineStr">
        <is>
          <t>基地99层;基地资产包;3D设施;二楼/阁楼设施包;loft_backwall_services;PaletteUV</t>
        </is>
      </c>
      <c r="R172" s="69">
        <f>LOWER(TRIM(C172)&amp;"|"&amp;TRIM(D172)&amp;"|"&amp;TRIM(E172)&amp;"|"&amp;TRIM(F172)&amp;"|"&amp;TRIM(H172)&amp;"|"&amp;TRIM(I172))</f>
        <v/>
      </c>
      <c r="S172" s="69">
        <f>IF(COUNTIF($R$6:$R$239,R172)&gt;1,"重复","唯一")</f>
        <v/>
      </c>
      <c r="T172" s="69" t="inlineStr">
        <is>
          <t>176002fd29433831e3b0e5dc30d1ffc32abacb6a4f2c893ef9edeb4c5868fa0c</t>
        </is>
      </c>
      <c r="U172" s="69" t="inlineStr">
        <is>
          <t>Codex</t>
        </is>
      </c>
      <c r="V172" s="78" t="n">
        <v>46269</v>
      </c>
      <c r="W172" s="69" t="inlineStr">
        <is>
          <t>用户自制Blender资产</t>
        </is>
      </c>
      <c r="X172" s="75" t="inlineStr">
        <is>
          <t>50</t>
        </is>
      </c>
      <c r="Y172" s="6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Height="1" s="50">
      <c r="A173" s="79" t="inlineStr">
        <is>
          <t>BPK-BASE99-LOFT-BATTERY-CABINET</t>
        </is>
      </c>
      <c r="B173" s="79" t="inlineStr">
        <is>
          <t>基地99层 · BATTERY模块收纳箱</t>
        </is>
      </c>
      <c r="C173" s="79" t="inlineStr">
        <is>
          <t>基地资产包</t>
        </is>
      </c>
      <c r="D173" s="79" t="inlineStr">
        <is>
          <t>二楼/阁楼设施包</t>
        </is>
      </c>
      <c r="E173" s="79" t="inlineStr">
        <is>
          <t>base99_package_loft_battery_cabinet</t>
        </is>
      </c>
      <c r="F173" s="79" t="inlineStr">
        <is>
          <t>package_root</t>
        </is>
      </c>
      <c r="G173" s="79" t="inlineStr">
        <is>
          <t>ENV-BASE99-ART-LAYOUT-3D</t>
        </is>
      </c>
      <c r="H173" s="79" t="inlineStr">
        <is>
          <t>Top3D / Blender +Y北</t>
        </is>
      </c>
      <c r="I173" s="79" t="inlineStr">
        <is>
          <t>static / default</t>
        </is>
      </c>
      <c r="J173" s="79" t="inlineStr">
        <is>
          <t>3D-设施 / 基地99层独立资产包</t>
        </is>
      </c>
      <c r="K173" s="79" t="inlineStr">
        <is>
          <t>Blender源已完成</t>
        </is>
      </c>
      <c r="L173" s="79" t="inlineStr">
        <is>
          <t>P1</t>
        </is>
      </c>
      <c r="M173" s="79" t="inlineStr">
        <is>
          <t>v017</t>
        </is>
      </c>
      <c r="N173" s="69" t="inlineStr">
        <is>
          <t>包络 1.200×0.993×0.850m；12 网格；0 灯</t>
        </is>
      </c>
      <c r="O173" s="69" t="inlineStr">
        <is>
          <t>source/art/blender/base_facility_layout/component_packages/loft/loft_battery_cabinet/asset_manifest.json</t>
        </is>
      </c>
      <c r="P173" s="6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69" t="inlineStr">
        <is>
          <t>基地99层;基地资产包;3D设施;二楼/阁楼设施包;loft_battery_cabinet;PaletteUV</t>
        </is>
      </c>
      <c r="R173" s="69">
        <f>LOWER(TRIM(C173)&amp;"|"&amp;TRIM(D173)&amp;"|"&amp;TRIM(E173)&amp;"|"&amp;TRIM(F173)&amp;"|"&amp;TRIM(H173)&amp;"|"&amp;TRIM(I173))</f>
        <v/>
      </c>
      <c r="S173" s="69">
        <f>IF(COUNTIF($R$6:$R$239,R173)&gt;1,"重复","唯一")</f>
        <v/>
      </c>
      <c r="T173" s="69" t="inlineStr">
        <is>
          <t>35982945ea521268c8c3d232ef47bc175f652eae1ced10c42efcb806623fde73</t>
        </is>
      </c>
      <c r="U173" s="69" t="inlineStr">
        <is>
          <t>Codex</t>
        </is>
      </c>
      <c r="V173" s="78" t="n">
        <v>46269</v>
      </c>
      <c r="W173" s="69" t="inlineStr">
        <is>
          <t>用户自制Blender资产</t>
        </is>
      </c>
      <c r="X173" s="75" t="inlineStr">
        <is>
          <t>46</t>
        </is>
      </c>
      <c r="Y173" s="6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4" customHeight="1" s="50">
      <c r="A174" s="79" t="inlineStr">
        <is>
          <t>BPK-BASE99-LOFT-BED-AND-BEDDING</t>
        </is>
      </c>
      <c r="B174" s="79" t="inlineStr">
        <is>
          <t>基地99层 · 二楼床铺与床品</t>
        </is>
      </c>
      <c r="C174" s="79" t="inlineStr">
        <is>
          <t>基地资产包</t>
        </is>
      </c>
      <c r="D174" s="79" t="inlineStr">
        <is>
          <t>二楼/阁楼设施包</t>
        </is>
      </c>
      <c r="E174" s="79" t="inlineStr">
        <is>
          <t>base99_package_loft_bed_and_bedding</t>
        </is>
      </c>
      <c r="F174" s="79" t="inlineStr">
        <is>
          <t>package_root</t>
        </is>
      </c>
      <c r="G174" s="79" t="inlineStr">
        <is>
          <t>ENV-BASE99-ART-LAYOUT-3D</t>
        </is>
      </c>
      <c r="H174" s="79" t="inlineStr">
        <is>
          <t>Top3D / Blender +Y北</t>
        </is>
      </c>
      <c r="I174" s="79" t="inlineStr">
        <is>
          <t>static / default</t>
        </is>
      </c>
      <c r="J174" s="79" t="inlineStr">
        <is>
          <t>3D-设施 / 基地99层独立资产包</t>
        </is>
      </c>
      <c r="K174" s="79" t="inlineStr">
        <is>
          <t>Blender源已完成</t>
        </is>
      </c>
      <c r="L174" s="79" t="inlineStr">
        <is>
          <t>P1</t>
        </is>
      </c>
      <c r="M174" s="79" t="inlineStr">
        <is>
          <t>v022</t>
        </is>
      </c>
      <c r="N174" s="69" t="inlineStr">
        <is>
          <t>包络 4.750×2.906×1.318m；37 对象；源镜像 37 对象</t>
        </is>
      </c>
      <c r="O174" s="69" t="inlineStr">
        <is>
          <t>source/art/blender/base_facility_layout/component_packages/loft/loft_bed_and_bedding/asset_manifest.json</t>
        </is>
      </c>
      <c r="P174" s="6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69" t="inlineStr">
        <is>
          <t>基地99层;基地资产包;3D设施;二楼/阁楼设施包;loft_bed_and_bedding;PaletteUV</t>
        </is>
      </c>
      <c r="R174" s="69">
        <f>LOWER(TRIM(C174)&amp;"|"&amp;TRIM(D174)&amp;"|"&amp;TRIM(E174)&amp;"|"&amp;TRIM(F174)&amp;"|"&amp;TRIM(H174)&amp;"|"&amp;TRIM(I174))</f>
        <v/>
      </c>
      <c r="S174" s="69">
        <f>IF(COUNTIF($R$6:$R$239,R174)&gt;1,"重复","唯一")</f>
        <v/>
      </c>
      <c r="T174" s="69" t="inlineStr">
        <is>
          <t>9752c9cdd1e599e96b2aeb15bb787731a36ece66d7cde48db6747856c4542b41</t>
        </is>
      </c>
      <c r="U174" s="69" t="inlineStr">
        <is>
          <t>Codex</t>
        </is>
      </c>
      <c r="V174" s="78" t="n">
        <v>46269</v>
      </c>
      <c r="W174" s="69" t="inlineStr">
        <is>
          <t>用户自制Blender资产</t>
        </is>
      </c>
      <c r="X174" s="75" t="inlineStr">
        <is>
          <t>—</t>
        </is>
      </c>
      <c r="Y174" s="69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4" customHeight="1" s="50">
      <c r="A175" s="79" t="inlineStr">
        <is>
          <t>BPK-BASE99-LOFT-BEDSIDE-LAMP</t>
        </is>
      </c>
      <c r="B175" s="79" t="inlineStr">
        <is>
          <t>基地99层 · 暖橙床头灯</t>
        </is>
      </c>
      <c r="C175" s="79" t="inlineStr">
        <is>
          <t>基地资产包</t>
        </is>
      </c>
      <c r="D175" s="79" t="inlineStr">
        <is>
          <t>二楼/阁楼设施包</t>
        </is>
      </c>
      <c r="E175" s="79" t="inlineStr">
        <is>
          <t>base99_package_loft_bedside_lamp</t>
        </is>
      </c>
      <c r="F175" s="79" t="inlineStr">
        <is>
          <t>package_root</t>
        </is>
      </c>
      <c r="G175" s="79" t="inlineStr">
        <is>
          <t>ENV-BASE99-ART-LAYOUT-3D</t>
        </is>
      </c>
      <c r="H175" s="79" t="inlineStr">
        <is>
          <t>Top3D / Blender +Y北</t>
        </is>
      </c>
      <c r="I175" s="79" t="inlineStr">
        <is>
          <t>static / fixture_light</t>
        </is>
      </c>
      <c r="J175" s="79" t="inlineStr">
        <is>
          <t>3D-设施 / 基地99层独立资产包</t>
        </is>
      </c>
      <c r="K175" s="79" t="inlineStr">
        <is>
          <t>Blender源已完成</t>
        </is>
      </c>
      <c r="L175" s="79" t="inlineStr">
        <is>
          <t>P1</t>
        </is>
      </c>
      <c r="M175" s="79" t="inlineStr">
        <is>
          <t>v022</t>
        </is>
      </c>
      <c r="N175" s="69" t="inlineStr">
        <is>
          <t>包络 0.407×0.407×0.895m；3 网格；1 灯</t>
        </is>
      </c>
      <c r="O175" s="69" t="inlineStr">
        <is>
          <t>source/art/blender/base_facility_layout/component_packages/loft/loft_bedside_lamp/asset_manifest.json</t>
        </is>
      </c>
      <c r="P175" s="6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69" t="inlineStr">
        <is>
          <t>基地99层;基地资产包;3D设施;二楼/阁楼设施包;loft_bedside_lamp;PaletteUV</t>
        </is>
      </c>
      <c r="R175" s="69">
        <f>LOWER(TRIM(C175)&amp;"|"&amp;TRIM(D175)&amp;"|"&amp;TRIM(E175)&amp;"|"&amp;TRIM(F175)&amp;"|"&amp;TRIM(H175)&amp;"|"&amp;TRIM(I175))</f>
        <v/>
      </c>
      <c r="S175" s="69">
        <f>IF(COUNTIF($R$6:$R$239,R175)&gt;1,"重复","唯一")</f>
        <v/>
      </c>
      <c r="T175" s="69" t="inlineStr">
        <is>
          <t>dfa62a3159a7ffce0ca1d8dd098818ab648b2e5804ec339550a5dc2b69b877da</t>
        </is>
      </c>
      <c r="U175" s="69" t="inlineStr">
        <is>
          <t>Codex</t>
        </is>
      </c>
      <c r="V175" s="78" t="n">
        <v>46269</v>
      </c>
      <c r="W175" s="69" t="inlineStr">
        <is>
          <t>用户自制Blender资产</t>
        </is>
      </c>
      <c r="X175" s="75" t="inlineStr">
        <is>
          <t>—</t>
        </is>
      </c>
      <c r="Y175" s="6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4" customHeight="1" s="50">
      <c r="A176" s="79" t="inlineStr">
        <is>
          <t>BPK-BASE99-LOFT-BEDSIDE-RUG</t>
        </is>
      </c>
      <c r="B176" s="79" t="inlineStr">
        <is>
          <t>基地99层 · 床边暖灰地毯</t>
        </is>
      </c>
      <c r="C176" s="79" t="inlineStr">
        <is>
          <t>基地资产包</t>
        </is>
      </c>
      <c r="D176" s="79" t="inlineStr">
        <is>
          <t>二楼/阁楼设施包</t>
        </is>
      </c>
      <c r="E176" s="79" t="inlineStr">
        <is>
          <t>base99_package_loft_bedside_rug</t>
        </is>
      </c>
      <c r="F176" s="79" t="inlineStr">
        <is>
          <t>package_root</t>
        </is>
      </c>
      <c r="G176" s="79" t="inlineStr">
        <is>
          <t>ENV-BASE99-ART-LAYOUT-3D</t>
        </is>
      </c>
      <c r="H176" s="79" t="inlineStr">
        <is>
          <t>Top3D / Blender +Y北</t>
        </is>
      </c>
      <c r="I176" s="79" t="inlineStr">
        <is>
          <t>static / default</t>
        </is>
      </c>
      <c r="J176" s="79" t="inlineStr">
        <is>
          <t>3D-设施 / 基地99层独立资产包</t>
        </is>
      </c>
      <c r="K176" s="79" t="inlineStr">
        <is>
          <t>Blender源已完成</t>
        </is>
      </c>
      <c r="L176" s="79" t="inlineStr">
        <is>
          <t>P1</t>
        </is>
      </c>
      <c r="M176" s="79" t="inlineStr">
        <is>
          <t>v017</t>
        </is>
      </c>
      <c r="N176" s="69" t="inlineStr">
        <is>
          <t>包络 4.250×0.840×0.056m；6 网格；0 灯</t>
        </is>
      </c>
      <c r="O176" s="69" t="inlineStr">
        <is>
          <t>source/art/blender/base_facility_layout/component_packages/loft/loft_bedside_rug/asset_manifest.json</t>
        </is>
      </c>
      <c r="P176" s="6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69" t="inlineStr">
        <is>
          <t>基地99层;基地资产包;3D设施;二楼/阁楼设施包;loft_bedside_rug;PaletteUV</t>
        </is>
      </c>
      <c r="R176" s="69">
        <f>LOWER(TRIM(C176)&amp;"|"&amp;TRIM(D176)&amp;"|"&amp;TRIM(E176)&amp;"|"&amp;TRIM(F176)&amp;"|"&amp;TRIM(H176)&amp;"|"&amp;TRIM(I176))</f>
        <v/>
      </c>
      <c r="S176" s="69">
        <f>IF(COUNTIF($R$6:$R$239,R176)&gt;1,"重复","唯一")</f>
        <v/>
      </c>
      <c r="T176" s="69" t="inlineStr">
        <is>
          <t>c425070885081f74727ab40c783cd109cc5d52c65986d3dfe990665712bfaacd</t>
        </is>
      </c>
      <c r="U176" s="69" t="inlineStr">
        <is>
          <t>Codex</t>
        </is>
      </c>
      <c r="V176" s="78" t="n">
        <v>46269</v>
      </c>
      <c r="W176" s="69" t="inlineStr">
        <is>
          <t>用户自制Blender资产</t>
        </is>
      </c>
      <c r="X176" s="75" t="inlineStr">
        <is>
          <t>—</t>
        </is>
      </c>
      <c r="Y176" s="6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4" customHeight="1" s="50">
      <c r="A177" s="79" t="inlineStr">
        <is>
          <t>BPK-BASE99-LOFT-COFFEE-TABLE</t>
        </is>
      </c>
      <c r="B177" s="79" t="inlineStr">
        <is>
          <t>基地99层 · 红棕茶几与生活物件</t>
        </is>
      </c>
      <c r="C177" s="79" t="inlineStr">
        <is>
          <t>基地资产包</t>
        </is>
      </c>
      <c r="D177" s="79" t="inlineStr">
        <is>
          <t>二楼/阁楼设施包</t>
        </is>
      </c>
      <c r="E177" s="79" t="inlineStr">
        <is>
          <t>base99_package_loft_coffee_table</t>
        </is>
      </c>
      <c r="F177" s="79" t="inlineStr">
        <is>
          <t>package_root</t>
        </is>
      </c>
      <c r="G177" s="79" t="inlineStr">
        <is>
          <t>ENV-BASE99-ART-LAYOUT-3D</t>
        </is>
      </c>
      <c r="H177" s="79" t="inlineStr">
        <is>
          <t>Top3D / Blender +Y北</t>
        </is>
      </c>
      <c r="I177" s="79" t="inlineStr">
        <is>
          <t>static / default</t>
        </is>
      </c>
      <c r="J177" s="79" t="inlineStr">
        <is>
          <t>3D-设施 / 基地99层独立资产包</t>
        </is>
      </c>
      <c r="K177" s="79" t="inlineStr">
        <is>
          <t>Blender源已完成</t>
        </is>
      </c>
      <c r="L177" s="79" t="inlineStr">
        <is>
          <t>P1</t>
        </is>
      </c>
      <c r="M177" s="79" t="inlineStr">
        <is>
          <t>v021</t>
        </is>
      </c>
      <c r="N177" s="69" t="inlineStr">
        <is>
          <t>包络 2.850×1.280×0.910m；15 网格；0 灯</t>
        </is>
      </c>
      <c r="O177" s="69" t="inlineStr">
        <is>
          <t>source/art/blender/base_facility_layout/component_packages/loft/loft_coffee_table/asset_manifest.json</t>
        </is>
      </c>
      <c r="P177" s="6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69" t="inlineStr">
        <is>
          <t>基地99层;基地资产包;3D设施;二楼/阁楼设施包;loft_coffee_table;PaletteUV</t>
        </is>
      </c>
      <c r="R177" s="69">
        <f>LOWER(TRIM(C177)&amp;"|"&amp;TRIM(D177)&amp;"|"&amp;TRIM(E177)&amp;"|"&amp;TRIM(F177)&amp;"|"&amp;TRIM(H177)&amp;"|"&amp;TRIM(I177))</f>
        <v/>
      </c>
      <c r="S177" s="69">
        <f>IF(COUNTIF($R$6:$R$239,R177)&gt;1,"重复","唯一")</f>
        <v/>
      </c>
      <c r="T177" s="69" t="inlineStr">
        <is>
          <t>41b9b97f112c9f2e7b666edb68ebc21dda17e8904b1c31ed14392e840f81e202</t>
        </is>
      </c>
      <c r="U177" s="69" t="inlineStr">
        <is>
          <t>Codex</t>
        </is>
      </c>
      <c r="V177" s="78" t="n">
        <v>46269</v>
      </c>
      <c r="W177" s="69" t="inlineStr">
        <is>
          <t>用户自制Blender资产</t>
        </is>
      </c>
      <c r="X177" s="75" t="inlineStr">
        <is>
          <t>—</t>
        </is>
      </c>
      <c r="Y177" s="6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4" customHeight="1" s="50">
      <c r="A178" s="79" t="inlineStr">
        <is>
          <t>BPK-BASE99-LOFT-COMPUTER-WORKSTATION</t>
        </is>
      </c>
      <c r="B178" s="79" t="inlineStr">
        <is>
          <t>基地99层 · 双屏电脑完整工位</t>
        </is>
      </c>
      <c r="C178" s="79" t="inlineStr">
        <is>
          <t>基地资产包</t>
        </is>
      </c>
      <c r="D178" s="79" t="inlineStr">
        <is>
          <t>二楼/阁楼设施包</t>
        </is>
      </c>
      <c r="E178" s="79" t="inlineStr">
        <is>
          <t>base99_package_loft_computer_workstation</t>
        </is>
      </c>
      <c r="F178" s="79" t="inlineStr">
        <is>
          <t>package_root</t>
        </is>
      </c>
      <c r="G178" s="79" t="inlineStr">
        <is>
          <t>ENV-BASE99-ART-LAYOUT-3D</t>
        </is>
      </c>
      <c r="H178" s="79" t="inlineStr">
        <is>
          <t>Top3D / Blender +Y北</t>
        </is>
      </c>
      <c r="I178" s="79" t="inlineStr">
        <is>
          <t>static / default</t>
        </is>
      </c>
      <c r="J178" s="79" t="inlineStr">
        <is>
          <t>3D-设施 / 基地99层独立资产包</t>
        </is>
      </c>
      <c r="K178" s="79" t="inlineStr">
        <is>
          <t>正式美术已接入</t>
        </is>
      </c>
      <c r="L178" s="79" t="inlineStr">
        <is>
          <t>P1</t>
        </is>
      </c>
      <c r="M178" s="79" t="inlineStr">
        <is>
          <t>v017</t>
        </is>
      </c>
      <c r="N178" s="69" t="inlineStr">
        <is>
          <t>包络 6.015×1.468×3.040m；85 网格；0 灯</t>
        </is>
      </c>
      <c r="O178" s="69" t="inlineStr">
        <is>
          <t>source/art/blender/base_facility_layout/component_packages/loft/loft_computer_workstation/asset_manifest.json</t>
        </is>
      </c>
      <c r="P178" s="6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69" t="inlineStr">
        <is>
          <t>基地99层;基地资产包;3D设施;二楼/阁楼设施包;loft_computer_workstation;PaletteUV; fate_collection</t>
        </is>
      </c>
      <c r="R178" s="69">
        <f>LOWER(TRIM(C178)&amp;"|"&amp;TRIM(D178)&amp;"|"&amp;TRIM(E178)&amp;"|"&amp;TRIM(F178)&amp;"|"&amp;TRIM(H178)&amp;"|"&amp;TRIM(I178))</f>
        <v/>
      </c>
      <c r="S178" s="69">
        <f>IF(COUNTIF($R$6:$R$239,R178)&gt;1,"重复","唯一")</f>
        <v/>
      </c>
      <c r="T178" s="69" t="inlineStr">
        <is>
          <t>ae8512dc8d445075a9a334b6366d8595e635ce7c75a7c745497ba0bc4f6e31eb</t>
        </is>
      </c>
      <c r="U178" s="69" t="inlineStr">
        <is>
          <t>Codex</t>
        </is>
      </c>
      <c r="V178" s="78" t="n">
        <v>46269</v>
      </c>
      <c r="W178" s="69" t="inlineStr">
        <is>
          <t>用户自制Blender资产</t>
        </is>
      </c>
      <c r="X178" s="75" t="inlineStr">
        <is>
          <t>—</t>
        </is>
      </c>
      <c r="Y178" s="6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4" customHeight="1" s="50">
      <c r="A179" s="79" t="inlineStr">
        <is>
          <t>BPK-BASE99-LOFT-EXPLORE-POSTER</t>
        </is>
      </c>
      <c r="B179" s="79" t="inlineStr">
        <is>
          <t>基地99层 · EXPLORE独立海报</t>
        </is>
      </c>
      <c r="C179" s="79" t="inlineStr">
        <is>
          <t>基地资产包</t>
        </is>
      </c>
      <c r="D179" s="79" t="inlineStr">
        <is>
          <t>二楼/阁楼设施包</t>
        </is>
      </c>
      <c r="E179" s="79" t="inlineStr">
        <is>
          <t>base99_package_loft_explore_poster</t>
        </is>
      </c>
      <c r="F179" s="79" t="inlineStr">
        <is>
          <t>package_root</t>
        </is>
      </c>
      <c r="G179" s="79" t="inlineStr">
        <is>
          <t>ENV-BASE99-ART-LAYOUT-3D</t>
        </is>
      </c>
      <c r="H179" s="79" t="inlineStr">
        <is>
          <t>Top3D / Blender +Y北</t>
        </is>
      </c>
      <c r="I179" s="79" t="inlineStr">
        <is>
          <t>static / default</t>
        </is>
      </c>
      <c r="J179" s="79" t="inlineStr">
        <is>
          <t>3D-设施 / 基地99层独立资产包</t>
        </is>
      </c>
      <c r="K179" s="79" t="inlineStr">
        <is>
          <t>Blender源已完成</t>
        </is>
      </c>
      <c r="L179" s="79" t="inlineStr">
        <is>
          <t>P1</t>
        </is>
      </c>
      <c r="M179" s="79" t="inlineStr">
        <is>
          <t>v017</t>
        </is>
      </c>
      <c r="N179" s="69" t="inlineStr">
        <is>
          <t>包络 1.460×0.536×1.755m；14 网格；0 灯</t>
        </is>
      </c>
      <c r="O179" s="69" t="inlineStr">
        <is>
          <t>source/art/blender/base_facility_layout/component_packages/loft/loft_explore_poster/asset_manifest.json</t>
        </is>
      </c>
      <c r="P179" s="6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69" t="inlineStr">
        <is>
          <t>基地99层;基地资产包;3D设施;二楼/阁楼设施包;loft_explore_poster;PaletteUV</t>
        </is>
      </c>
      <c r="R179" s="69">
        <f>LOWER(TRIM(C179)&amp;"|"&amp;TRIM(D179)&amp;"|"&amp;TRIM(E179)&amp;"|"&amp;TRIM(F179)&amp;"|"&amp;TRIM(H179)&amp;"|"&amp;TRIM(I179))</f>
        <v/>
      </c>
      <c r="S179" s="69">
        <f>IF(COUNTIF($R$6:$R$239,R179)&gt;1,"重复","唯一")</f>
        <v/>
      </c>
      <c r="T179" s="69" t="inlineStr">
        <is>
          <t>3e6f3503232b8bf78b103a606d626169d02fdaf368bed59a62fedae9ae7e882b</t>
        </is>
      </c>
      <c r="U179" s="69" t="inlineStr">
        <is>
          <t>Codex</t>
        </is>
      </c>
      <c r="V179" s="78" t="n">
        <v>46269</v>
      </c>
      <c r="W179" s="69" t="inlineStr">
        <is>
          <t>用户自制Blender资产</t>
        </is>
      </c>
      <c r="X179" s="75" t="inlineStr">
        <is>
          <t>—</t>
        </is>
      </c>
      <c r="Y179" s="6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4" customHeight="1" s="50">
      <c r="A180" s="79" t="inlineStr">
        <is>
          <t>BPK-BASE99-LOFT-FOOD-CABINET</t>
        </is>
      </c>
      <c r="B180" s="79" t="inlineStr">
        <is>
          <t>基地99层 · FOOD模块收纳箱</t>
        </is>
      </c>
      <c r="C180" s="79" t="inlineStr">
        <is>
          <t>基地资产包</t>
        </is>
      </c>
      <c r="D180" s="79" t="inlineStr">
        <is>
          <t>二楼/阁楼设施包</t>
        </is>
      </c>
      <c r="E180" s="79" t="inlineStr">
        <is>
          <t>base99_package_loft_food_cabinet</t>
        </is>
      </c>
      <c r="F180" s="79" t="inlineStr">
        <is>
          <t>package_root</t>
        </is>
      </c>
      <c r="G180" s="79" t="inlineStr">
        <is>
          <t>ENV-BASE99-ART-LAYOUT-3D</t>
        </is>
      </c>
      <c r="H180" s="79" t="inlineStr">
        <is>
          <t>Top3D / Blender +Y北</t>
        </is>
      </c>
      <c r="I180" s="79" t="inlineStr">
        <is>
          <t>static / default</t>
        </is>
      </c>
      <c r="J180" s="79" t="inlineStr">
        <is>
          <t>3D-设施 / 基地99层独立资产包</t>
        </is>
      </c>
      <c r="K180" s="79" t="inlineStr">
        <is>
          <t>Blender源已完成</t>
        </is>
      </c>
      <c r="L180" s="79" t="inlineStr">
        <is>
          <t>P1</t>
        </is>
      </c>
      <c r="M180" s="79" t="inlineStr">
        <is>
          <t>v017</t>
        </is>
      </c>
      <c r="N180" s="69" t="inlineStr">
        <is>
          <t>包络 1.200×0.996×0.870m；9 网格；0 灯</t>
        </is>
      </c>
      <c r="O180" s="69" t="inlineStr">
        <is>
          <t>source/art/blender/base_facility_layout/component_packages/loft/loft_food_cabinet/asset_manifest.json</t>
        </is>
      </c>
      <c r="P180" s="6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69" t="inlineStr">
        <is>
          <t>基地99层;基地资产包;3D设施;二楼/阁楼设施包;loft_food_cabinet;PaletteUV</t>
        </is>
      </c>
      <c r="R180" s="69">
        <f>LOWER(TRIM(C180)&amp;"|"&amp;TRIM(D180)&amp;"|"&amp;TRIM(E180)&amp;"|"&amp;TRIM(F180)&amp;"|"&amp;TRIM(H180)&amp;"|"&amp;TRIM(I180))</f>
        <v/>
      </c>
      <c r="S180" s="69">
        <f>IF(COUNTIF($R$6:$R$239,R180)&gt;1,"重复","唯一")</f>
        <v/>
      </c>
      <c r="T180" s="69" t="inlineStr">
        <is>
          <t>47f07c66ca448d78584fc1a2c255f7e68b7431c9e017bd2896084fb5c1d0ded9</t>
        </is>
      </c>
      <c r="U180" s="69" t="inlineStr">
        <is>
          <t>Codex</t>
        </is>
      </c>
      <c r="V180" s="78" t="n">
        <v>46269</v>
      </c>
      <c r="W180" s="69" t="inlineStr">
        <is>
          <t>用户自制Blender资产</t>
        </is>
      </c>
      <c r="X180" s="75" t="inlineStr">
        <is>
          <t>47</t>
        </is>
      </c>
      <c r="Y180" s="6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4" customHeight="1" s="50">
      <c r="A181" s="79" t="inlineStr">
        <is>
          <t>BPK-BASE99-LOFT-GOOD-VIBES-NEON</t>
        </is>
      </c>
      <c r="B181" s="79" t="inlineStr">
        <is>
          <t>基地99层 · GOOD VIBES霓虹</t>
        </is>
      </c>
      <c r="C181" s="79" t="inlineStr">
        <is>
          <t>基地资产包</t>
        </is>
      </c>
      <c r="D181" s="79" t="inlineStr">
        <is>
          <t>二楼/阁楼设施包</t>
        </is>
      </c>
      <c r="E181" s="79" t="inlineStr">
        <is>
          <t>base99_package_loft_good_vibes_neon</t>
        </is>
      </c>
      <c r="F181" s="79" t="inlineStr">
        <is>
          <t>package_root</t>
        </is>
      </c>
      <c r="G181" s="79" t="inlineStr">
        <is>
          <t>ENV-BASE99-ART-LAYOUT-3D</t>
        </is>
      </c>
      <c r="H181" s="79" t="inlineStr">
        <is>
          <t>Top3D / Blender +Y北</t>
        </is>
      </c>
      <c r="I181" s="79" t="inlineStr">
        <is>
          <t>static / fixture_light</t>
        </is>
      </c>
      <c r="J181" s="79" t="inlineStr">
        <is>
          <t>3D-设施 / 基地99层独立资产包</t>
        </is>
      </c>
      <c r="K181" s="79" t="inlineStr">
        <is>
          <t>Blender源已完成</t>
        </is>
      </c>
      <c r="L181" s="79" t="inlineStr">
        <is>
          <t>P1</t>
        </is>
      </c>
      <c r="M181" s="79" t="inlineStr">
        <is>
          <t>v017</t>
        </is>
      </c>
      <c r="N181" s="69" t="inlineStr">
        <is>
          <t>包络 1.580×0.915×0.840m；15 网格；3 灯</t>
        </is>
      </c>
      <c r="O181" s="69" t="inlineStr">
        <is>
          <t>source/art/blender/base_facility_layout/component_packages/loft/loft_good_vibes_neon/asset_manifest.json</t>
        </is>
      </c>
      <c r="P181" s="6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69" t="inlineStr">
        <is>
          <t>基地99层;基地资产包;3D设施;二楼/阁楼设施包;loft_good_vibes_neon;PaletteUV</t>
        </is>
      </c>
      <c r="R181" s="69">
        <f>LOWER(TRIM(C181)&amp;"|"&amp;TRIM(D181)&amp;"|"&amp;TRIM(E181)&amp;"|"&amp;TRIM(F181)&amp;"|"&amp;TRIM(H181)&amp;"|"&amp;TRIM(I181))</f>
        <v/>
      </c>
      <c r="S181" s="69">
        <f>IF(COUNTIF($R$6:$R$239,R181)&gt;1,"重复","唯一")</f>
        <v/>
      </c>
      <c r="T181" s="69" t="inlineStr">
        <is>
          <t>d80f55a362a7f865b32988bfab3466cd054ac41ea5319f07541e39dea39dda0d</t>
        </is>
      </c>
      <c r="U181" s="69" t="inlineStr">
        <is>
          <t>Codex</t>
        </is>
      </c>
      <c r="V181" s="78" t="n">
        <v>46269</v>
      </c>
      <c r="W181" s="69" t="inlineStr">
        <is>
          <t>用户自制Blender资产</t>
        </is>
      </c>
      <c r="X181" s="75" t="inlineStr">
        <is>
          <t>44</t>
        </is>
      </c>
      <c r="Y181" s="6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4" customHeight="1" s="50">
      <c r="A182" s="79" t="inlineStr">
        <is>
          <t>BPK-BASE99-LOFT-HANGING-PLANT</t>
        </is>
      </c>
      <c r="B182" s="79" t="inlineStr">
        <is>
          <t>基地99层 · 后墙吊挂植物</t>
        </is>
      </c>
      <c r="C182" s="79" t="inlineStr">
        <is>
          <t>基地资产包</t>
        </is>
      </c>
      <c r="D182" s="79" t="inlineStr">
        <is>
          <t>二楼/阁楼设施包</t>
        </is>
      </c>
      <c r="E182" s="79" t="inlineStr">
        <is>
          <t>base99_package_loft_hanging_plant</t>
        </is>
      </c>
      <c r="F182" s="79" t="inlineStr">
        <is>
          <t>package_root</t>
        </is>
      </c>
      <c r="G182" s="79" t="inlineStr">
        <is>
          <t>ENV-BASE99-ART-LAYOUT-3D</t>
        </is>
      </c>
      <c r="H182" s="79" t="inlineStr">
        <is>
          <t>Top3D / Blender +Y北</t>
        </is>
      </c>
      <c r="I182" s="79" t="inlineStr">
        <is>
          <t>static / default</t>
        </is>
      </c>
      <c r="J182" s="79" t="inlineStr">
        <is>
          <t>3D-设施 / 基地99层独立资产包</t>
        </is>
      </c>
      <c r="K182" s="79" t="inlineStr">
        <is>
          <t>Blender源已完成</t>
        </is>
      </c>
      <c r="L182" s="79" t="inlineStr">
        <is>
          <t>P1</t>
        </is>
      </c>
      <c r="M182" s="79" t="inlineStr">
        <is>
          <t>v017</t>
        </is>
      </c>
      <c r="N182" s="69" t="inlineStr">
        <is>
          <t>包络 0.606×0.503×1.649m；12 网格；0 灯</t>
        </is>
      </c>
      <c r="O182" s="69" t="inlineStr">
        <is>
          <t>source/art/blender/base_facility_layout/component_packages/loft/loft_hanging_plant/asset_manifest.json</t>
        </is>
      </c>
      <c r="P182" s="6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69" t="inlineStr">
        <is>
          <t>基地99层;基地资产包;3D设施;二楼/阁楼设施包;loft_hanging_plant;PaletteUV</t>
        </is>
      </c>
      <c r="R182" s="69">
        <f>LOWER(TRIM(C182)&amp;"|"&amp;TRIM(D182)&amp;"|"&amp;TRIM(E182)&amp;"|"&amp;TRIM(F182)&amp;"|"&amp;TRIM(H182)&amp;"|"&amp;TRIM(I182))</f>
        <v/>
      </c>
      <c r="S182" s="69">
        <f>IF(COUNTIF($R$6:$R$239,R182)&gt;1,"重复","唯一")</f>
        <v/>
      </c>
      <c r="T182" s="69" t="inlineStr">
        <is>
          <t>ec3b5a9fe2c042eac25147940cef9cf1f3644d3c50a2fa70e6fb740c136e056a</t>
        </is>
      </c>
      <c r="U182" s="69" t="inlineStr">
        <is>
          <t>Codex</t>
        </is>
      </c>
      <c r="V182" s="78" t="n">
        <v>46269</v>
      </c>
      <c r="W182" s="69" t="inlineStr">
        <is>
          <t>用户自制Blender资产</t>
        </is>
      </c>
      <c r="X182" s="75" t="inlineStr">
        <is>
          <t>—</t>
        </is>
      </c>
      <c r="Y182" s="6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4" customHeight="1" s="50">
      <c r="A183" s="79" t="inlineStr">
        <is>
          <t>BPK-BASE99-LOFT-LOUNGE-RUG</t>
        </is>
      </c>
      <c r="B183" s="79" t="inlineStr">
        <is>
          <t>基地99层 · 二楼休闲区多色桌毯</t>
        </is>
      </c>
      <c r="C183" s="79" t="inlineStr">
        <is>
          <t>基地资产包</t>
        </is>
      </c>
      <c r="D183" s="79" t="inlineStr">
        <is>
          <t>二楼/阁楼设施包</t>
        </is>
      </c>
      <c r="E183" s="79" t="inlineStr">
        <is>
          <t>base99_package_loft_lounge_rug</t>
        </is>
      </c>
      <c r="F183" s="79" t="inlineStr">
        <is>
          <t>package_root</t>
        </is>
      </c>
      <c r="G183" s="79" t="inlineStr">
        <is>
          <t>ENV-BASE99-ART-LAYOUT-3D</t>
        </is>
      </c>
      <c r="H183" s="79" t="inlineStr">
        <is>
          <t>Top3D / Blender +Y北</t>
        </is>
      </c>
      <c r="I183" s="79" t="inlineStr">
        <is>
          <t>static / default</t>
        </is>
      </c>
      <c r="J183" s="79" t="inlineStr">
        <is>
          <t>3D-设施 / 基地99层独立资产包</t>
        </is>
      </c>
      <c r="K183" s="79" t="inlineStr">
        <is>
          <t>Blender源已完成</t>
        </is>
      </c>
      <c r="L183" s="79" t="inlineStr">
        <is>
          <t>P1</t>
        </is>
      </c>
      <c r="M183" s="79" t="inlineStr">
        <is>
          <t>v017</t>
        </is>
      </c>
      <c r="N183" s="69" t="inlineStr">
        <is>
          <t>包络 4.900×2.450×0.070m；13 对象；源镜像 13 对象</t>
        </is>
      </c>
      <c r="O183" s="69" t="inlineStr">
        <is>
          <t>source/art/blender/base_facility_layout/component_packages/loft/loft_lounge_rug/asset_manifest.json</t>
        </is>
      </c>
      <c r="P183" s="6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69" t="inlineStr">
        <is>
          <t>基地99层;基地资产包;3D设施;二楼/阁楼设施包;loft_lounge_rug;PaletteUV</t>
        </is>
      </c>
      <c r="R183" s="69">
        <f>LOWER(TRIM(C183)&amp;"|"&amp;TRIM(D183)&amp;"|"&amp;TRIM(E183)&amp;"|"&amp;TRIM(F183)&amp;"|"&amp;TRIM(H183)&amp;"|"&amp;TRIM(I183))</f>
        <v/>
      </c>
      <c r="S183" s="69">
        <f>IF(COUNTIF($R$6:$R$239,R183)&gt;1,"重复","唯一")</f>
        <v/>
      </c>
      <c r="T183" s="69" t="inlineStr">
        <is>
          <t>e78f61c3ad775e6d8f8c39cf945e9520953ba172268e18dc49fb4559dea30710</t>
        </is>
      </c>
      <c r="U183" s="69" t="inlineStr">
        <is>
          <t>Codex</t>
        </is>
      </c>
      <c r="V183" s="78" t="n">
        <v>46269</v>
      </c>
      <c r="W183" s="69" t="inlineStr">
        <is>
          <t>用户自制Blender资产</t>
        </is>
      </c>
      <c r="X183" s="75" t="inlineStr">
        <is>
          <t>—</t>
        </is>
      </c>
      <c r="Y183" s="69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4" customHeight="1" s="50">
      <c r="A184" s="79" t="inlineStr">
        <is>
          <t>BPK-BASE99-LOFT-LOUNGE-SOFA</t>
        </is>
      </c>
      <c r="B184" s="79" t="inlineStr">
        <is>
          <t>基地99层 · 墨绿三人休闲沙发</t>
        </is>
      </c>
      <c r="C184" s="79" t="inlineStr">
        <is>
          <t>基地资产包</t>
        </is>
      </c>
      <c r="D184" s="79" t="inlineStr">
        <is>
          <t>二楼/阁楼设施包</t>
        </is>
      </c>
      <c r="E184" s="79" t="inlineStr">
        <is>
          <t>base99_package_loft_lounge_sofa</t>
        </is>
      </c>
      <c r="F184" s="79" t="inlineStr">
        <is>
          <t>package_root</t>
        </is>
      </c>
      <c r="G184" s="79" t="inlineStr">
        <is>
          <t>ENV-BASE99-ART-LAYOUT-3D</t>
        </is>
      </c>
      <c r="H184" s="79" t="inlineStr">
        <is>
          <t>Top3D / Blender +Y北</t>
        </is>
      </c>
      <c r="I184" s="79" t="inlineStr">
        <is>
          <t>static / default</t>
        </is>
      </c>
      <c r="J184" s="79" t="inlineStr">
        <is>
          <t>3D-设施 / 基地99层独立资产包</t>
        </is>
      </c>
      <c r="K184" s="79" t="inlineStr">
        <is>
          <t>正式美术已接入</t>
        </is>
      </c>
      <c r="L184" s="79" t="inlineStr">
        <is>
          <t>P1</t>
        </is>
      </c>
      <c r="M184" s="79" t="inlineStr">
        <is>
          <t>v017</t>
        </is>
      </c>
      <c r="N184" s="69" t="inlineStr">
        <is>
          <t>包络 4.820×1.890×1.844m；35 网格；0 灯</t>
        </is>
      </c>
      <c r="O184" s="69" t="inlineStr">
        <is>
          <t>source/art/blender/base_facility_layout/component_packages/loft/loft_lounge_sofa/asset_manifest.json</t>
        </is>
      </c>
      <c r="P184" s="6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69" t="inlineStr">
        <is>
          <t>基地99层;基地资产包;3D设施;二楼/阁楼设施包;loft_lounge_sofa;PaletteUV; avatar_wardrobe</t>
        </is>
      </c>
      <c r="R184" s="69">
        <f>LOWER(TRIM(C184)&amp;"|"&amp;TRIM(D184)&amp;"|"&amp;TRIM(E184)&amp;"|"&amp;TRIM(F184)&amp;"|"&amp;TRIM(H184)&amp;"|"&amp;TRIM(I184))</f>
        <v/>
      </c>
      <c r="S184" s="69">
        <f>IF(COUNTIF($R$6:$R$239,R184)&gt;1,"重复","唯一")</f>
        <v/>
      </c>
      <c r="T184" s="69" t="inlineStr">
        <is>
          <t>0ea576fd93a4e4cfaab99f5fa628b2561954259a5cf0badcadfd0ed711dc711d</t>
        </is>
      </c>
      <c r="U184" s="69" t="inlineStr">
        <is>
          <t>Codex</t>
        </is>
      </c>
      <c r="V184" s="78" t="n">
        <v>46269</v>
      </c>
      <c r="W184" s="69" t="inlineStr">
        <is>
          <t>用户自制Blender资产</t>
        </is>
      </c>
      <c r="X184" s="75" t="inlineStr">
        <is>
          <t>—</t>
        </is>
      </c>
      <c r="Y184" s="6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4" customHeight="1" s="50">
      <c r="A185" s="79" t="inlineStr">
        <is>
          <t>BPK-BASE99-LOFT-MEDICAL-CABINET</t>
        </is>
      </c>
      <c r="B185" s="79" t="inlineStr">
        <is>
          <t>基地99层 · MEDICAL模块收纳箱</t>
        </is>
      </c>
      <c r="C185" s="79" t="inlineStr">
        <is>
          <t>基地资产包</t>
        </is>
      </c>
      <c r="D185" s="79" t="inlineStr">
        <is>
          <t>二楼/阁楼设施包</t>
        </is>
      </c>
      <c r="E185" s="79" t="inlineStr">
        <is>
          <t>base99_package_loft_medical_cabinet</t>
        </is>
      </c>
      <c r="F185" s="79" t="inlineStr">
        <is>
          <t>package_root</t>
        </is>
      </c>
      <c r="G185" s="79" t="inlineStr">
        <is>
          <t>ENV-BASE99-ART-LAYOUT-3D</t>
        </is>
      </c>
      <c r="H185" s="79" t="inlineStr">
        <is>
          <t>Top3D / Blender +Y北</t>
        </is>
      </c>
      <c r="I185" s="79" t="inlineStr">
        <is>
          <t>static / default</t>
        </is>
      </c>
      <c r="J185" s="79" t="inlineStr">
        <is>
          <t>3D-设施 / 基地99层独立资产包</t>
        </is>
      </c>
      <c r="K185" s="79" t="inlineStr">
        <is>
          <t>Blender源已完成</t>
        </is>
      </c>
      <c r="L185" s="79" t="inlineStr">
        <is>
          <t>P1</t>
        </is>
      </c>
      <c r="M185" s="79" t="inlineStr">
        <is>
          <t>v017</t>
        </is>
      </c>
      <c r="N185" s="69" t="inlineStr">
        <is>
          <t>包络 1.200×0.979×0.850m；9 网格；0 灯</t>
        </is>
      </c>
      <c r="O185" s="69" t="inlineStr">
        <is>
          <t>source/art/blender/base_facility_layout/component_packages/loft/loft_medical_cabinet/asset_manifest.json</t>
        </is>
      </c>
      <c r="P185" s="6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69" t="inlineStr">
        <is>
          <t>基地99层;基地资产包;3D设施;二楼/阁楼设施包;loft_medical_cabinet;PaletteUV</t>
        </is>
      </c>
      <c r="R185" s="69">
        <f>LOWER(TRIM(C185)&amp;"|"&amp;TRIM(D185)&amp;"|"&amp;TRIM(E185)&amp;"|"&amp;TRIM(F185)&amp;"|"&amp;TRIM(H185)&amp;"|"&amp;TRIM(I185))</f>
        <v/>
      </c>
      <c r="S185" s="69">
        <f>IF(COUNTIF($R$6:$R$239,R185)&gt;1,"重复","唯一")</f>
        <v/>
      </c>
      <c r="T185" s="69" t="inlineStr">
        <is>
          <t>90a440b55dfe8b8de10f0e4be29b60f4563b4659fea46da390a619131cc1466c</t>
        </is>
      </c>
      <c r="U185" s="69" t="inlineStr">
        <is>
          <t>Codex</t>
        </is>
      </c>
      <c r="V185" s="78" t="n">
        <v>46269</v>
      </c>
      <c r="W185" s="69" t="inlineStr">
        <is>
          <t>用户自制Blender资产</t>
        </is>
      </c>
      <c r="X185" s="75" t="inlineStr">
        <is>
          <t>—</t>
        </is>
      </c>
      <c r="Y185" s="6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4" customHeight="1" s="50">
      <c r="A186" s="79" t="inlineStr">
        <is>
          <t>BPK-BASE99-LOFT-NIGHTSTAND</t>
        </is>
      </c>
      <c r="B186" s="79" t="inlineStr">
        <is>
          <t>基地99层 · 参考床头柜与生活物件</t>
        </is>
      </c>
      <c r="C186" s="79" t="inlineStr">
        <is>
          <t>基地资产包</t>
        </is>
      </c>
      <c r="D186" s="79" t="inlineStr">
        <is>
          <t>二楼/阁楼设施包</t>
        </is>
      </c>
      <c r="E186" s="79" t="inlineStr">
        <is>
          <t>base99_package_loft_nightstand</t>
        </is>
      </c>
      <c r="F186" s="79" t="inlineStr">
        <is>
          <t>package_root</t>
        </is>
      </c>
      <c r="G186" s="79" t="inlineStr">
        <is>
          <t>ENV-BASE99-ART-LAYOUT-3D</t>
        </is>
      </c>
      <c r="H186" s="79" t="inlineStr">
        <is>
          <t>Top3D / Blender +Y北</t>
        </is>
      </c>
      <c r="I186" s="79" t="inlineStr">
        <is>
          <t>static / default</t>
        </is>
      </c>
      <c r="J186" s="79" t="inlineStr">
        <is>
          <t>3D-设施 / 基地99层独立资产包</t>
        </is>
      </c>
      <c r="K186" s="79" t="inlineStr">
        <is>
          <t>Blender源已完成</t>
        </is>
      </c>
      <c r="L186" s="79" t="inlineStr">
        <is>
          <t>P1</t>
        </is>
      </c>
      <c r="M186" s="79" t="inlineStr">
        <is>
          <t>v021</t>
        </is>
      </c>
      <c r="N186" s="69" t="inlineStr">
        <is>
          <t>包络 1.100×1.060×1.465m；10 网格；0 灯</t>
        </is>
      </c>
      <c r="O186" s="69" t="inlineStr">
        <is>
          <t>source/art/blender/base_facility_layout/component_packages/loft/loft_nightstand/asset_manifest.json</t>
        </is>
      </c>
      <c r="P186" s="6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69" t="inlineStr">
        <is>
          <t>基地99层;基地资产包;3D设施;二楼/阁楼设施包;loft_nightstand;PaletteUV</t>
        </is>
      </c>
      <c r="R186" s="69">
        <f>LOWER(TRIM(C186)&amp;"|"&amp;TRIM(D186)&amp;"|"&amp;TRIM(E186)&amp;"|"&amp;TRIM(F186)&amp;"|"&amp;TRIM(H186)&amp;"|"&amp;TRIM(I186))</f>
        <v/>
      </c>
      <c r="S186" s="69">
        <f>IF(COUNTIF($R$6:$R$239,R186)&gt;1,"重复","唯一")</f>
        <v/>
      </c>
      <c r="T186" s="69" t="inlineStr">
        <is>
          <t>a671d85e1ea271fc63803ef03491d6e963024cabedf4c795d2709e629d15a6f1</t>
        </is>
      </c>
      <c r="U186" s="69" t="inlineStr">
        <is>
          <t>Codex</t>
        </is>
      </c>
      <c r="V186" s="78" t="n">
        <v>46269</v>
      </c>
      <c r="W186" s="69" t="inlineStr">
        <is>
          <t>用户自制Blender资产</t>
        </is>
      </c>
      <c r="X186" s="75" t="inlineStr">
        <is>
          <t>—</t>
        </is>
      </c>
      <c r="Y186" s="6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4" customHeight="1" s="50">
      <c r="A187" s="79" t="inlineStr">
        <is>
          <t>BPK-BASE99-LOFT-OFFICE-CHAIR</t>
        </is>
      </c>
      <c r="B187" s="79" t="inlineStr">
        <is>
          <t>基地99层 · 带扶手办公椅</t>
        </is>
      </c>
      <c r="C187" s="79" t="inlineStr">
        <is>
          <t>基地资产包</t>
        </is>
      </c>
      <c r="D187" s="79" t="inlineStr">
        <is>
          <t>二楼/阁楼设施包</t>
        </is>
      </c>
      <c r="E187" s="79" t="inlineStr">
        <is>
          <t>base99_package_loft_office_chair</t>
        </is>
      </c>
      <c r="F187" s="79" t="inlineStr">
        <is>
          <t>package_root</t>
        </is>
      </c>
      <c r="G187" s="79" t="inlineStr">
        <is>
          <t>ENV-BASE99-ART-LAYOUT-3D</t>
        </is>
      </c>
      <c r="H187" s="79" t="inlineStr">
        <is>
          <t>Top3D / Blender +Y北</t>
        </is>
      </c>
      <c r="I187" s="79" t="inlineStr">
        <is>
          <t>static / default</t>
        </is>
      </c>
      <c r="J187" s="79" t="inlineStr">
        <is>
          <t>3D-设施 / 基地99层独立资产包</t>
        </is>
      </c>
      <c r="K187" s="79" t="inlineStr">
        <is>
          <t>Blender源已完成</t>
        </is>
      </c>
      <c r="L187" s="79" t="inlineStr">
        <is>
          <t>P1</t>
        </is>
      </c>
      <c r="M187" s="79" t="inlineStr">
        <is>
          <t>v017</t>
        </is>
      </c>
      <c r="N187" s="69" t="inlineStr">
        <is>
          <t>包络 1.280×1.127×2.021m；18 网格；0 灯</t>
        </is>
      </c>
      <c r="O187" s="69" t="inlineStr">
        <is>
          <t>source/art/blender/base_facility_layout/component_packages/loft/loft_office_chair/asset_manifest.json</t>
        </is>
      </c>
      <c r="P187" s="6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69" t="inlineStr">
        <is>
          <t>基地99层;基地资产包;3D设施;二楼/阁楼设施包;loft_office_chair;PaletteUV</t>
        </is>
      </c>
      <c r="R187" s="69">
        <f>LOWER(TRIM(C187)&amp;"|"&amp;TRIM(D187)&amp;"|"&amp;TRIM(E187)&amp;"|"&amp;TRIM(F187)&amp;"|"&amp;TRIM(H187)&amp;"|"&amp;TRIM(I187))</f>
        <v/>
      </c>
      <c r="S187" s="69">
        <f>IF(COUNTIF($R$6:$R$239,R187)&gt;1,"重复","唯一")</f>
        <v/>
      </c>
      <c r="T187" s="69" t="inlineStr">
        <is>
          <t>cebb026db98f698673e2758ee5b887a5d2108a277298e8fdd3dde9e2fa06704e</t>
        </is>
      </c>
      <c r="U187" s="69" t="inlineStr">
        <is>
          <t>Codex</t>
        </is>
      </c>
      <c r="V187" s="78" t="n">
        <v>46269</v>
      </c>
      <c r="W187" s="69" t="inlineStr">
        <is>
          <t>用户自制Blender资产</t>
        </is>
      </c>
      <c r="X187" s="75" t="inlineStr">
        <is>
          <t>—</t>
        </is>
      </c>
      <c r="Y187" s="6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4" customHeight="1" s="50">
      <c r="A188" s="79" t="inlineStr">
        <is>
          <t>BPK-BASE99-LOFT-POUF-01</t>
        </is>
      </c>
      <c r="B188" s="79" t="inlineStr">
        <is>
          <t>基地99层 · 青绿圆形坐墩01</t>
        </is>
      </c>
      <c r="C188" s="79" t="inlineStr">
        <is>
          <t>基地资产包</t>
        </is>
      </c>
      <c r="D188" s="79" t="inlineStr">
        <is>
          <t>二楼/阁楼设施包</t>
        </is>
      </c>
      <c r="E188" s="79" t="inlineStr">
        <is>
          <t>base99_package_loft_pouf_01</t>
        </is>
      </c>
      <c r="F188" s="79" t="inlineStr">
        <is>
          <t>package_root</t>
        </is>
      </c>
      <c r="G188" s="79" t="inlineStr">
        <is>
          <t>ENV-BASE99-ART-LAYOUT-3D</t>
        </is>
      </c>
      <c r="H188" s="79" t="inlineStr">
        <is>
          <t>Top3D / Blender +Y北</t>
        </is>
      </c>
      <c r="I188" s="79" t="inlineStr">
        <is>
          <t>static / default</t>
        </is>
      </c>
      <c r="J188" s="79" t="inlineStr">
        <is>
          <t>3D-设施 / 基地99层独立资产包</t>
        </is>
      </c>
      <c r="K188" s="79" t="inlineStr">
        <is>
          <t>Blender源已完成</t>
        </is>
      </c>
      <c r="L188" s="79" t="inlineStr">
        <is>
          <t>P1</t>
        </is>
      </c>
      <c r="M188" s="79" t="inlineStr">
        <is>
          <t>v017</t>
        </is>
      </c>
      <c r="N188" s="69" t="inlineStr">
        <is>
          <t>包络 0.880×0.880×0.570m；3 网格；0 灯</t>
        </is>
      </c>
      <c r="O188" s="69" t="inlineStr">
        <is>
          <t>source/art/blender/base_facility_layout/component_packages/loft/loft_pouf_01/asset_manifest.json</t>
        </is>
      </c>
      <c r="P188" s="6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69" t="inlineStr">
        <is>
          <t>基地99层;基地资产包;3D设施;二楼/阁楼设施包;loft_pouf_01;PaletteUV</t>
        </is>
      </c>
      <c r="R188" s="69">
        <f>LOWER(TRIM(C188)&amp;"|"&amp;TRIM(D188)&amp;"|"&amp;TRIM(E188)&amp;"|"&amp;TRIM(F188)&amp;"|"&amp;TRIM(H188)&amp;"|"&amp;TRIM(I188))</f>
        <v/>
      </c>
      <c r="S188" s="69">
        <f>IF(COUNTIF($R$6:$R$239,R188)&gt;1,"重复","唯一")</f>
        <v/>
      </c>
      <c r="T188" s="69" t="inlineStr">
        <is>
          <t>eefc2ff2071498076d80babd04c265a339885c872298e33ac1032f7ba16affde</t>
        </is>
      </c>
      <c r="U188" s="69" t="inlineStr">
        <is>
          <t>Codex</t>
        </is>
      </c>
      <c r="V188" s="78" t="n">
        <v>46269</v>
      </c>
      <c r="W188" s="69" t="inlineStr">
        <is>
          <t>用户自制Blender资产</t>
        </is>
      </c>
      <c r="X188" s="75" t="inlineStr">
        <is>
          <t>—</t>
        </is>
      </c>
      <c r="Y188" s="6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4" customHeight="1" s="50">
      <c r="A189" s="79" t="inlineStr">
        <is>
          <t>BPK-BASE99-LOFT-POUF-02</t>
        </is>
      </c>
      <c r="B189" s="79" t="inlineStr">
        <is>
          <t>基地99层 · 深绿圆形坐墩02</t>
        </is>
      </c>
      <c r="C189" s="79" t="inlineStr">
        <is>
          <t>基地资产包</t>
        </is>
      </c>
      <c r="D189" s="79" t="inlineStr">
        <is>
          <t>二楼/阁楼设施包</t>
        </is>
      </c>
      <c r="E189" s="79" t="inlineStr">
        <is>
          <t>base99_package_loft_pouf_02</t>
        </is>
      </c>
      <c r="F189" s="79" t="inlineStr">
        <is>
          <t>package_root</t>
        </is>
      </c>
      <c r="G189" s="79" t="inlineStr">
        <is>
          <t>ENV-BASE99-ART-LAYOUT-3D</t>
        </is>
      </c>
      <c r="H189" s="79" t="inlineStr">
        <is>
          <t>Top3D / Blender +Y北</t>
        </is>
      </c>
      <c r="I189" s="79" t="inlineStr">
        <is>
          <t>static / default</t>
        </is>
      </c>
      <c r="J189" s="79" t="inlineStr">
        <is>
          <t>3D-设施 / 基地99层独立资产包</t>
        </is>
      </c>
      <c r="K189" s="79" t="inlineStr">
        <is>
          <t>Blender源已完成</t>
        </is>
      </c>
      <c r="L189" s="79" t="inlineStr">
        <is>
          <t>P1</t>
        </is>
      </c>
      <c r="M189" s="79" t="inlineStr">
        <is>
          <t>v017</t>
        </is>
      </c>
      <c r="N189" s="69" t="inlineStr">
        <is>
          <t>包络 0.880×0.880×0.570m；3 网格；0 灯</t>
        </is>
      </c>
      <c r="O189" s="69" t="inlineStr">
        <is>
          <t>source/art/blender/base_facility_layout/component_packages/loft/loft_pouf_02/asset_manifest.json</t>
        </is>
      </c>
      <c r="P189" s="6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69" t="inlineStr">
        <is>
          <t>基地99层;基地资产包;3D设施;二楼/阁楼设施包;loft_pouf_02;PaletteUV</t>
        </is>
      </c>
      <c r="R189" s="69">
        <f>LOWER(TRIM(C189)&amp;"|"&amp;TRIM(D189)&amp;"|"&amp;TRIM(E189)&amp;"|"&amp;TRIM(F189)&amp;"|"&amp;TRIM(H189)&amp;"|"&amp;TRIM(I189))</f>
        <v/>
      </c>
      <c r="S189" s="69">
        <f>IF(COUNTIF($R$6:$R$239,R189)&gt;1,"重复","唯一")</f>
        <v/>
      </c>
      <c r="T189" s="69" t="inlineStr">
        <is>
          <t>12605eb5bd72bfcf95a6681defcf7f3bf10c433598bdc573bf88ba7c45988f01</t>
        </is>
      </c>
      <c r="U189" s="69" t="inlineStr">
        <is>
          <t>Codex</t>
        </is>
      </c>
      <c r="V189" s="78" t="n">
        <v>46269</v>
      </c>
      <c r="W189" s="69" t="inlineStr">
        <is>
          <t>用户自制Blender资产</t>
        </is>
      </c>
      <c r="X189" s="75" t="inlineStr">
        <is>
          <t>—</t>
        </is>
      </c>
      <c r="Y189" s="6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4" customHeight="1" s="50">
      <c r="A190" s="79" t="inlineStr">
        <is>
          <t>BPK-BASE99-LOFT-SIDE-TABLE</t>
        </is>
      </c>
      <c r="B190" s="79" t="inlineStr">
        <is>
          <t>基地99层 · 床前辅助小桌</t>
        </is>
      </c>
      <c r="C190" s="79" t="inlineStr">
        <is>
          <t>基地资产包</t>
        </is>
      </c>
      <c r="D190" s="79" t="inlineStr">
        <is>
          <t>二楼/阁楼设施包</t>
        </is>
      </c>
      <c r="E190" s="79" t="inlineStr">
        <is>
          <t>base99_package_loft_side_table</t>
        </is>
      </c>
      <c r="F190" s="79" t="inlineStr">
        <is>
          <t>package_root</t>
        </is>
      </c>
      <c r="G190" s="79" t="inlineStr">
        <is>
          <t>ENV-BASE99-ART-LAYOUT-3D</t>
        </is>
      </c>
      <c r="H190" s="79" t="inlineStr">
        <is>
          <t>Top3D / Blender +Y北</t>
        </is>
      </c>
      <c r="I190" s="79" t="inlineStr">
        <is>
          <t>static / default</t>
        </is>
      </c>
      <c r="J190" s="79" t="inlineStr">
        <is>
          <t>3D-设施 / 基地99层独立资产包</t>
        </is>
      </c>
      <c r="K190" s="79" t="inlineStr">
        <is>
          <t>Blender源已完成</t>
        </is>
      </c>
      <c r="L190" s="79" t="inlineStr">
        <is>
          <t>P1</t>
        </is>
      </c>
      <c r="M190" s="79" t="inlineStr">
        <is>
          <t>v017</t>
        </is>
      </c>
      <c r="N190" s="69" t="inlineStr">
        <is>
          <t>包络 1.120×0.760×0.765m；7 网格；0 灯</t>
        </is>
      </c>
      <c r="O190" s="69" t="inlineStr">
        <is>
          <t>source/art/blender/base_facility_layout/component_packages/loft/loft_side_table/asset_manifest.json</t>
        </is>
      </c>
      <c r="P190" s="6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69" t="inlineStr">
        <is>
          <t>基地99层;基地资产包;3D设施;二楼/阁楼设施包;loft_side_table;PaletteUV</t>
        </is>
      </c>
      <c r="R190" s="69">
        <f>LOWER(TRIM(C190)&amp;"|"&amp;TRIM(D190)&amp;"|"&amp;TRIM(E190)&amp;"|"&amp;TRIM(F190)&amp;"|"&amp;TRIM(H190)&amp;"|"&amp;TRIM(I190))</f>
        <v/>
      </c>
      <c r="S190" s="69">
        <f>IF(COUNTIF($R$6:$R$239,R190)&gt;1,"重复","唯一")</f>
        <v/>
      </c>
      <c r="T190" s="69" t="inlineStr">
        <is>
          <t>196228330020639583b065ab7356611b6ec416c887ed0cb2ea8a691979a94a43</t>
        </is>
      </c>
      <c r="U190" s="69" t="inlineStr">
        <is>
          <t>Codex</t>
        </is>
      </c>
      <c r="V190" s="78" t="n">
        <v>46269</v>
      </c>
      <c r="W190" s="69" t="inlineStr">
        <is>
          <t>用户自制Blender资产</t>
        </is>
      </c>
      <c r="X190" s="75" t="inlineStr">
        <is>
          <t>—</t>
        </is>
      </c>
      <c r="Y190" s="6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4" customHeight="1" s="50">
      <c r="A191" s="79" t="inlineStr">
        <is>
          <t>BPK-BASE99-LOFT-STAY-CURIOUS-NEON</t>
        </is>
      </c>
      <c r="B191" s="79" t="inlineStr">
        <is>
          <t>基地99层 · STAY_CURIOUS楼梯墙标识</t>
        </is>
      </c>
      <c r="C191" s="79" t="inlineStr">
        <is>
          <t>基地资产包</t>
        </is>
      </c>
      <c r="D191" s="79" t="inlineStr">
        <is>
          <t>二楼/阁楼设施包</t>
        </is>
      </c>
      <c r="E191" s="79" t="inlineStr">
        <is>
          <t>base99_package_loft_stay_curious_neon</t>
        </is>
      </c>
      <c r="F191" s="79" t="inlineStr">
        <is>
          <t>package_root</t>
        </is>
      </c>
      <c r="G191" s="79" t="inlineStr">
        <is>
          <t>ENV-BASE99-ART-LAYOUT-3D</t>
        </is>
      </c>
      <c r="H191" s="79" t="inlineStr">
        <is>
          <t>Top3D / Blender +Y北</t>
        </is>
      </c>
      <c r="I191" s="79" t="inlineStr">
        <is>
          <t>static / fixture_light</t>
        </is>
      </c>
      <c r="J191" s="79" t="inlineStr">
        <is>
          <t>3D-设施 / 基地99层独立资产包</t>
        </is>
      </c>
      <c r="K191" s="79" t="inlineStr">
        <is>
          <t>Blender源已完成</t>
        </is>
      </c>
      <c r="L191" s="79" t="inlineStr">
        <is>
          <t>P1</t>
        </is>
      </c>
      <c r="M191" s="79" t="inlineStr">
        <is>
          <t>v017</t>
        </is>
      </c>
      <c r="N191" s="69" t="inlineStr">
        <is>
          <t>包络 0.608×1.500×0.844m；2 网格；2 灯</t>
        </is>
      </c>
      <c r="O191" s="69" t="inlineStr">
        <is>
          <t>source/art/blender/base_facility_layout/component_packages/loft/loft_stay_curious_neon/asset_manifest.json</t>
        </is>
      </c>
      <c r="P191" s="6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69" t="inlineStr">
        <is>
          <t>基地99层;基地资产包;3D设施;二楼/阁楼设施包;loft_stay_curious_neon;PaletteUV</t>
        </is>
      </c>
      <c r="R191" s="69">
        <f>LOWER(TRIM(C191)&amp;"|"&amp;TRIM(D191)&amp;"|"&amp;TRIM(E191)&amp;"|"&amp;TRIM(F191)&amp;"|"&amp;TRIM(H191)&amp;"|"&amp;TRIM(I191))</f>
        <v/>
      </c>
      <c r="S191" s="69">
        <f>IF(COUNTIF($R$6:$R$239,R191)&gt;1,"重复","唯一")</f>
        <v/>
      </c>
      <c r="T191" s="69" t="inlineStr">
        <is>
          <t>839a14265dd791c3f75a3db2366d5f6ae3231711710ff2d37294e08852eab7d2</t>
        </is>
      </c>
      <c r="U191" s="69" t="inlineStr">
        <is>
          <t>Codex</t>
        </is>
      </c>
      <c r="V191" s="78" t="n">
        <v>46269</v>
      </c>
      <c r="W191" s="69" t="inlineStr">
        <is>
          <t>用户自制Blender资产</t>
        </is>
      </c>
      <c r="X191" s="75" t="inlineStr">
        <is>
          <t>52</t>
        </is>
      </c>
      <c r="Y191" s="6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4" customHeight="1" s="50">
      <c r="A192" s="79" t="inlineStr">
        <is>
          <t>BPK-BASE99-LOFT-STRIPED-PRIVACY-CURTAIN</t>
        </is>
      </c>
      <c r="B192" s="79" t="inlineStr">
        <is>
          <t>基地99层 · 红紫条纹隔断帘</t>
        </is>
      </c>
      <c r="C192" s="79" t="inlineStr">
        <is>
          <t>基地资产包</t>
        </is>
      </c>
      <c r="D192" s="79" t="inlineStr">
        <is>
          <t>二楼/阁楼设施包</t>
        </is>
      </c>
      <c r="E192" s="79" t="inlineStr">
        <is>
          <t>base99_package_loft_striped_privacy_curtain</t>
        </is>
      </c>
      <c r="F192" s="79" t="inlineStr">
        <is>
          <t>package_root</t>
        </is>
      </c>
      <c r="G192" s="79" t="inlineStr">
        <is>
          <t>ENV-BASE99-ART-LAYOUT-3D</t>
        </is>
      </c>
      <c r="H192" s="79" t="inlineStr">
        <is>
          <t>Top3D / Blender +Y北</t>
        </is>
      </c>
      <c r="I192" s="79" t="inlineStr">
        <is>
          <t>static / default</t>
        </is>
      </c>
      <c r="J192" s="79" t="inlineStr">
        <is>
          <t>3D-设施 / 基地99层独立资产包</t>
        </is>
      </c>
      <c r="K192" s="79" t="inlineStr">
        <is>
          <t>Blender源已完成</t>
        </is>
      </c>
      <c r="L192" s="79" t="inlineStr">
        <is>
          <t>P1</t>
        </is>
      </c>
      <c r="M192" s="79" t="inlineStr">
        <is>
          <t>v017</t>
        </is>
      </c>
      <c r="N192" s="69" t="inlineStr">
        <is>
          <t>包络 0.263×2.875×2.328m；29 网格；0 灯</t>
        </is>
      </c>
      <c r="O192" s="69" t="inlineStr">
        <is>
          <t>source/art/blender/base_facility_layout/component_packages/loft/loft_striped_privacy_curtain/asset_manifest.json</t>
        </is>
      </c>
      <c r="P192" s="6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69" t="inlineStr">
        <is>
          <t>基地99层;基地资产包;3D设施;二楼/阁楼设施包;loft_striped_privacy_curtain;PaletteUV</t>
        </is>
      </c>
      <c r="R192" s="69">
        <f>LOWER(TRIM(C192)&amp;"|"&amp;TRIM(D192)&amp;"|"&amp;TRIM(E192)&amp;"|"&amp;TRIM(F192)&amp;"|"&amp;TRIM(H192)&amp;"|"&amp;TRIM(I192))</f>
        <v/>
      </c>
      <c r="S192" s="69">
        <f>IF(COUNTIF($R$6:$R$239,R192)&gt;1,"重复","唯一")</f>
        <v/>
      </c>
      <c r="T192" s="69" t="inlineStr">
        <is>
          <t>314bae326f34e948dddfa42d0e73b70b79743095bcb218ec4ae96970f07cf656</t>
        </is>
      </c>
      <c r="U192" s="69" t="inlineStr">
        <is>
          <t>Codex</t>
        </is>
      </c>
      <c r="V192" s="78" t="n">
        <v>46269</v>
      </c>
      <c r="W192" s="69" t="inlineStr">
        <is>
          <t>用户自制Blender资产</t>
        </is>
      </c>
      <c r="X192" s="75" t="inlineStr">
        <is>
          <t>—</t>
        </is>
      </c>
      <c r="Y192" s="6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4" customHeight="1" s="50">
      <c r="A193" s="79" t="inlineStr">
        <is>
          <t>BPK-BASE99-LOFT-TOOL-PEGBOARD</t>
        </is>
      </c>
      <c r="B193" s="79" t="inlineStr">
        <is>
          <t>基地99层 · 工具洞洞板与固定工具</t>
        </is>
      </c>
      <c r="C193" s="79" t="inlineStr">
        <is>
          <t>基地资产包</t>
        </is>
      </c>
      <c r="D193" s="79" t="inlineStr">
        <is>
          <t>二楼/阁楼设施包</t>
        </is>
      </c>
      <c r="E193" s="79" t="inlineStr">
        <is>
          <t>base99_package_loft_tool_pegboard</t>
        </is>
      </c>
      <c r="F193" s="79" t="inlineStr">
        <is>
          <t>package_root</t>
        </is>
      </c>
      <c r="G193" s="79" t="inlineStr">
        <is>
          <t>ENV-BASE99-ART-LAYOUT-3D</t>
        </is>
      </c>
      <c r="H193" s="79" t="inlineStr">
        <is>
          <t>Top3D / Blender +Y北</t>
        </is>
      </c>
      <c r="I193" s="79" t="inlineStr">
        <is>
          <t>static / default</t>
        </is>
      </c>
      <c r="J193" s="79" t="inlineStr">
        <is>
          <t>3D-设施 / 基地99层独立资产包</t>
        </is>
      </c>
      <c r="K193" s="79" t="inlineStr">
        <is>
          <t>Blender源已完成</t>
        </is>
      </c>
      <c r="L193" s="79" t="inlineStr">
        <is>
          <t>P1</t>
        </is>
      </c>
      <c r="M193" s="79" t="inlineStr">
        <is>
          <t>v017</t>
        </is>
      </c>
      <c r="N193" s="69" t="inlineStr">
        <is>
          <t>包络 2.550×0.177×1.340m；41 网格；0 灯</t>
        </is>
      </c>
      <c r="O193" s="69" t="inlineStr">
        <is>
          <t>source/art/blender/base_facility_layout/component_packages/loft/loft_tool_pegboard/asset_manifest.json</t>
        </is>
      </c>
      <c r="P193" s="6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69" t="inlineStr">
        <is>
          <t>基地99层;基地资产包;3D设施;二楼/阁楼设施包;loft_tool_pegboard;PaletteUV</t>
        </is>
      </c>
      <c r="R193" s="69">
        <f>LOWER(TRIM(C193)&amp;"|"&amp;TRIM(D193)&amp;"|"&amp;TRIM(E193)&amp;"|"&amp;TRIM(F193)&amp;"|"&amp;TRIM(H193)&amp;"|"&amp;TRIM(I193))</f>
        <v/>
      </c>
      <c r="S193" s="69">
        <f>IF(COUNTIF($R$6:$R$239,R193)&gt;1,"重复","唯一")</f>
        <v/>
      </c>
      <c r="T193" s="69" t="inlineStr">
        <is>
          <t>680345a4a3adf2fc74a5395e7105033c8633e411e57dfc61f7c98474fa70d5e7</t>
        </is>
      </c>
      <c r="U193" s="69" t="inlineStr">
        <is>
          <t>Codex</t>
        </is>
      </c>
      <c r="V193" s="78" t="n">
        <v>46269</v>
      </c>
      <c r="W193" s="69" t="inlineStr">
        <is>
          <t>用户自制Blender资产</t>
        </is>
      </c>
      <c r="X193" s="75" t="inlineStr">
        <is>
          <t>—</t>
        </is>
      </c>
      <c r="Y193" s="6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4" customHeight="1" s="50">
      <c r="A194" s="79" t="inlineStr">
        <is>
          <t>BPK-BASE99-CORRIDOR-EMERGENCY-LIGHT-GROUP</t>
        </is>
      </c>
      <c r="B194" s="79" t="inlineStr">
        <is>
          <t>基地99层 · 主通道应急灯组</t>
        </is>
      </c>
      <c r="C194" s="79" t="inlineStr">
        <is>
          <t>基地资产包</t>
        </is>
      </c>
      <c r="D194" s="79" t="inlineStr">
        <is>
          <t>环境支持包</t>
        </is>
      </c>
      <c r="E194" s="79" t="inlineStr">
        <is>
          <t>base99_package_corridor_emergency_light_group</t>
        </is>
      </c>
      <c r="F194" s="79" t="inlineStr">
        <is>
          <t>package_root</t>
        </is>
      </c>
      <c r="G194" s="79" t="inlineStr">
        <is>
          <t>ENV-BASE99-ART-LAYOUT-3D</t>
        </is>
      </c>
      <c r="H194" s="79" t="inlineStr">
        <is>
          <t>Top3D / Blender +Y北</t>
        </is>
      </c>
      <c r="I194" s="79" t="inlineStr">
        <is>
          <t>static / fixture_light</t>
        </is>
      </c>
      <c r="J194" s="79" t="inlineStr">
        <is>
          <t>3D-设施 / 基地99层独立资产包</t>
        </is>
      </c>
      <c r="K194" s="79" t="inlineStr">
        <is>
          <t>Blender源已完成</t>
        </is>
      </c>
      <c r="L194" s="79" t="inlineStr">
        <is>
          <t>P1</t>
        </is>
      </c>
      <c r="M194" s="79" t="inlineStr">
        <is>
          <t>v022</t>
        </is>
      </c>
      <c r="N194" s="69" t="inlineStr">
        <is>
          <t>包络 27.820×0.750×0.320m；2 网格；2 灯</t>
        </is>
      </c>
      <c r="O194" s="69" t="inlineStr">
        <is>
          <t>source/art/blender/base_facility_layout/component_packages/support/corridor_emergency_light_group/asset_manifest.json</t>
        </is>
      </c>
      <c r="P194" s="6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69" t="inlineStr">
        <is>
          <t>基地99层;基地资产包;3D设施;环境支持包;corridor_emergency_light_group;PaletteUV</t>
        </is>
      </c>
      <c r="R194" s="69">
        <f>LOWER(TRIM(C194)&amp;"|"&amp;TRIM(D194)&amp;"|"&amp;TRIM(E194)&amp;"|"&amp;TRIM(F194)&amp;"|"&amp;TRIM(H194)&amp;"|"&amp;TRIM(I194))</f>
        <v/>
      </c>
      <c r="S194" s="69">
        <f>IF(COUNTIF($R$6:$R$239,R194)&gt;1,"重复","唯一")</f>
        <v/>
      </c>
      <c r="T194" s="69" t="inlineStr">
        <is>
          <t>91a2188f0a0819488332d5384088e7d4eba0c6043421a93b18c444260e1d9701</t>
        </is>
      </c>
      <c r="U194" s="69" t="inlineStr">
        <is>
          <t>Codex</t>
        </is>
      </c>
      <c r="V194" s="78" t="n">
        <v>46269</v>
      </c>
      <c r="W194" s="69" t="inlineStr">
        <is>
          <t>用户自制Blender资产</t>
        </is>
      </c>
      <c r="X194" s="75" t="inlineStr">
        <is>
          <t>62</t>
        </is>
      </c>
      <c r="Y194" s="6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4" customHeight="1" s="50">
      <c r="A195" s="79" t="inlineStr">
        <is>
          <t>BPK-BASE99-LOFT-LIGHTING-SUPPORT</t>
        </is>
      </c>
      <c r="B195" s="79" t="inlineStr">
        <is>
          <t>基地99层 · 二楼分层照明支持</t>
        </is>
      </c>
      <c r="C195" s="79" t="inlineStr">
        <is>
          <t>基地资产包</t>
        </is>
      </c>
      <c r="D195" s="79" t="inlineStr">
        <is>
          <t>环境支持包</t>
        </is>
      </c>
      <c r="E195" s="79" t="inlineStr">
        <is>
          <t>base99_package_loft_lighting_support</t>
        </is>
      </c>
      <c r="F195" s="79" t="inlineStr">
        <is>
          <t>package_root</t>
        </is>
      </c>
      <c r="G195" s="79" t="inlineStr">
        <is>
          <t>ENV-BASE99-ART-LAYOUT-3D</t>
        </is>
      </c>
      <c r="H195" s="79" t="inlineStr">
        <is>
          <t>Top3D / Blender +Y北</t>
        </is>
      </c>
      <c r="I195" s="79" t="inlineStr">
        <is>
          <t>static / fixture_light</t>
        </is>
      </c>
      <c r="J195" s="79" t="inlineStr">
        <is>
          <t>3D-设施 / 基地99层独立资产包</t>
        </is>
      </c>
      <c r="K195" s="79" t="inlineStr">
        <is>
          <t>Blender源已完成</t>
        </is>
      </c>
      <c r="L195" s="79" t="inlineStr">
        <is>
          <t>P1</t>
        </is>
      </c>
      <c r="M195" s="79" t="inlineStr">
        <is>
          <t>v017</t>
        </is>
      </c>
      <c r="N195" s="69" t="inlineStr">
        <is>
          <t>包络 18.321×9.467×5.292m；8 网格；4 灯</t>
        </is>
      </c>
      <c r="O195" s="69" t="inlineStr">
        <is>
          <t>source/art/blender/base_facility_layout/component_packages/support/loft_lighting_support/asset_manifest.json</t>
        </is>
      </c>
      <c r="P195" s="6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69" t="inlineStr">
        <is>
          <t>基地99层;基地资产包;3D设施;环境支持包;loft_lighting_support;PaletteUV</t>
        </is>
      </c>
      <c r="R195" s="69">
        <f>LOWER(TRIM(C195)&amp;"|"&amp;TRIM(D195)&amp;"|"&amp;TRIM(E195)&amp;"|"&amp;TRIM(F195)&amp;"|"&amp;TRIM(H195)&amp;"|"&amp;TRIM(I195))</f>
        <v/>
      </c>
      <c r="S195" s="69">
        <f>IF(COUNTIF($R$6:$R$239,R195)&gt;1,"重复","唯一")</f>
        <v/>
      </c>
      <c r="T195" s="69" t="inlineStr">
        <is>
          <t>abe38c11684b2be621edcb448b12850da7d3472d215e9f18c78a0a9592948f23</t>
        </is>
      </c>
      <c r="U195" s="69" t="inlineStr">
        <is>
          <t>Codex</t>
        </is>
      </c>
      <c r="V195" s="78" t="n">
        <v>46269</v>
      </c>
      <c r="W195" s="69" t="inlineStr">
        <is>
          <t>用户自制Blender资产</t>
        </is>
      </c>
      <c r="X195" s="75" t="inlineStr">
        <is>
          <t>50</t>
        </is>
      </c>
      <c r="Y195" s="6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4" customHeight="1" s="50">
      <c r="A196" s="79" t="inlineStr">
        <is>
          <t>BPK-BASE99-VOLUMETRIC-DUST-FX</t>
        </is>
      </c>
      <c r="B196" s="79" t="inlineStr">
        <is>
          <t>基地99层 · 光束尘埃动效组</t>
        </is>
      </c>
      <c r="C196" s="79" t="inlineStr">
        <is>
          <t>基地资产包</t>
        </is>
      </c>
      <c r="D196" s="79" t="inlineStr">
        <is>
          <t>环境支持包</t>
        </is>
      </c>
      <c r="E196" s="79" t="inlineStr">
        <is>
          <t>base99_package_volumetric_dust_fx</t>
        </is>
      </c>
      <c r="F196" s="79" t="inlineStr">
        <is>
          <t>package_root</t>
        </is>
      </c>
      <c r="G196" s="79" t="inlineStr">
        <is>
          <t>ENV-BASE99-ART-LAYOUT-3D</t>
        </is>
      </c>
      <c r="H196" s="79" t="inlineStr">
        <is>
          <t>Top3D / Blender +Y北</t>
        </is>
      </c>
      <c r="I196" s="79" t="inlineStr">
        <is>
          <t>static / default</t>
        </is>
      </c>
      <c r="J196" s="79" t="inlineStr">
        <is>
          <t>3D-设施 / 基地99层独立资产包</t>
        </is>
      </c>
      <c r="K196" s="79" t="inlineStr">
        <is>
          <t>Blender源已完成</t>
        </is>
      </c>
      <c r="L196" s="79" t="inlineStr">
        <is>
          <t>P1</t>
        </is>
      </c>
      <c r="M196" s="79" t="inlineStr">
        <is>
          <t>v017</t>
        </is>
      </c>
      <c r="N196" s="69" t="inlineStr">
        <is>
          <t>包络 23.750×12.014×6.494m；28 网格；0 灯</t>
        </is>
      </c>
      <c r="O196" s="69" t="inlineStr">
        <is>
          <t>source/art/blender/base_facility_layout/component_packages/support/volumetric_dust_fx/asset_manifest.json</t>
        </is>
      </c>
      <c r="P196" s="6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69" t="inlineStr">
        <is>
          <t>基地99层;基地资产包;3D设施;环境支持包;volumetric_dust_fx;PaletteUV</t>
        </is>
      </c>
      <c r="R196" s="69">
        <f>LOWER(TRIM(C196)&amp;"|"&amp;TRIM(D196)&amp;"|"&amp;TRIM(E196)&amp;"|"&amp;TRIM(F196)&amp;"|"&amp;TRIM(H196)&amp;"|"&amp;TRIM(I196))</f>
        <v/>
      </c>
      <c r="S196" s="69">
        <f>IF(COUNTIF($R$6:$R$239,R196)&gt;1,"重复","唯一")</f>
        <v/>
      </c>
      <c r="T196" s="69" t="inlineStr">
        <is>
          <t>70a699d6ddb5c3005b0c982960be90e7997595c76c6b22110d635452f3fde467</t>
        </is>
      </c>
      <c r="U196" s="69" t="inlineStr">
        <is>
          <t>Codex</t>
        </is>
      </c>
      <c r="V196" s="78" t="n">
        <v>46269</v>
      </c>
      <c r="W196" s="69" t="inlineStr">
        <is>
          <t>用户自制Blender资产</t>
        </is>
      </c>
      <c r="X196" s="75" t="inlineStr">
        <is>
          <t>64</t>
        </is>
      </c>
      <c r="Y196" s="6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4" customHeight="1" s="50">
      <c r="A197" s="79" t="inlineStr">
        <is>
          <t>BPK-BASE99-WAREHOUSE-PENDANT-LIGHT-GROUP</t>
        </is>
      </c>
      <c r="B197" s="79" t="inlineStr">
        <is>
          <t>基地99层 · 仓库防爆吊灯组</t>
        </is>
      </c>
      <c r="C197" s="79" t="inlineStr">
        <is>
          <t>基地资产包</t>
        </is>
      </c>
      <c r="D197" s="79" t="inlineStr">
        <is>
          <t>环境支持包</t>
        </is>
      </c>
      <c r="E197" s="79" t="inlineStr">
        <is>
          <t>base99_package_warehouse_pendant_light_group</t>
        </is>
      </c>
      <c r="F197" s="79" t="inlineStr">
        <is>
          <t>package_root</t>
        </is>
      </c>
      <c r="G197" s="79" t="inlineStr">
        <is>
          <t>ENV-BASE99-ART-LAYOUT-3D</t>
        </is>
      </c>
      <c r="H197" s="79" t="inlineStr">
        <is>
          <t>Top3D / Blender +Y北</t>
        </is>
      </c>
      <c r="I197" s="79" t="inlineStr">
        <is>
          <t>static / fixture_light</t>
        </is>
      </c>
      <c r="J197" s="79" t="inlineStr">
        <is>
          <t>3D-设施 / 基地99层独立资产包</t>
        </is>
      </c>
      <c r="K197" s="79" t="inlineStr">
        <is>
          <t>Blender源已完成</t>
        </is>
      </c>
      <c r="L197" s="79" t="inlineStr">
        <is>
          <t>P1</t>
        </is>
      </c>
      <c r="M197" s="79" t="inlineStr">
        <is>
          <t>v017</t>
        </is>
      </c>
      <c r="N197" s="69" t="inlineStr">
        <is>
          <t>包络 21.242×8.043×1.220m；15 网格；5 灯</t>
        </is>
      </c>
      <c r="O197" s="69" t="inlineStr">
        <is>
          <t>source/art/blender/base_facility_layout/component_packages/support/warehouse_pendant_light_group/asset_manifest.json</t>
        </is>
      </c>
      <c r="P197" s="6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69" t="inlineStr">
        <is>
          <t>基地99层;基地资产包;3D设施;环境支持包;warehouse_pendant_light_group;PaletteUV</t>
        </is>
      </c>
      <c r="R197" s="69">
        <f>LOWER(TRIM(C197)&amp;"|"&amp;TRIM(D197)&amp;"|"&amp;TRIM(E197)&amp;"|"&amp;TRIM(F197)&amp;"|"&amp;TRIM(H197)&amp;"|"&amp;TRIM(I197))</f>
        <v/>
      </c>
      <c r="S197" s="69">
        <f>IF(COUNTIF($R$6:$R$239,R197)&gt;1,"重复","唯一")</f>
        <v/>
      </c>
      <c r="T197" s="69" t="inlineStr">
        <is>
          <t>543f336c346e31fd89c4cf60b28a843e41023b7cd8be1b1d1036b3e28b711343</t>
        </is>
      </c>
      <c r="U197" s="69" t="inlineStr">
        <is>
          <t>Codex</t>
        </is>
      </c>
      <c r="V197" s="78" t="n">
        <v>46269</v>
      </c>
      <c r="W197" s="69" t="inlineStr">
        <is>
          <t>用户自制Blender资产</t>
        </is>
      </c>
      <c r="X197" s="75" t="inlineStr">
        <is>
          <t>61</t>
        </is>
      </c>
      <c r="Y197" s="6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4" customHeight="1" s="50">
      <c r="A198" s="79" t="inlineStr">
        <is>
          <t>BPK-BASE99-ACCESS-TERMINAL</t>
        </is>
      </c>
      <c r="B198" s="79" t="inlineStr">
        <is>
          <t>基地99层 · ACCESS门禁终端</t>
        </is>
      </c>
      <c r="C198" s="79" t="inlineStr">
        <is>
          <t>基地资产包</t>
        </is>
      </c>
      <c r="D198" s="79" t="inlineStr">
        <is>
          <t>阁楼下方固定设施包</t>
        </is>
      </c>
      <c r="E198" s="79" t="inlineStr">
        <is>
          <t>base99_package_access_terminal</t>
        </is>
      </c>
      <c r="F198" s="79" t="inlineStr">
        <is>
          <t>package_root</t>
        </is>
      </c>
      <c r="G198" s="79" t="inlineStr">
        <is>
          <t>ENV-BASE99-ART-LAYOUT-3D</t>
        </is>
      </c>
      <c r="H198" s="79" t="inlineStr">
        <is>
          <t>Top3D / Blender +Y北</t>
        </is>
      </c>
      <c r="I198" s="79" t="inlineStr">
        <is>
          <t>static / default</t>
        </is>
      </c>
      <c r="J198" s="79" t="inlineStr">
        <is>
          <t>3D-设施 / 基地99层独立资产包</t>
        </is>
      </c>
      <c r="K198" s="79" t="inlineStr">
        <is>
          <t>Blender源已完成</t>
        </is>
      </c>
      <c r="L198" s="79" t="inlineStr">
        <is>
          <t>P1</t>
        </is>
      </c>
      <c r="M198" s="79" t="inlineStr">
        <is>
          <t>v017</t>
        </is>
      </c>
      <c r="N198" s="69" t="inlineStr">
        <is>
          <t>包络 0.560×0.383×1.030m；9 网格；0 灯</t>
        </is>
      </c>
      <c r="O198" s="69" t="inlineStr">
        <is>
          <t>source/art/blender/base_facility_layout/component_packages/underloft/access_terminal/asset_manifest.json</t>
        </is>
      </c>
      <c r="P198" s="6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69" t="inlineStr">
        <is>
          <t>基地99层;基地资产包;3D设施;阁楼下方固定设施包;access_terminal;PaletteUV</t>
        </is>
      </c>
      <c r="R198" s="69">
        <f>LOWER(TRIM(C198)&amp;"|"&amp;TRIM(D198)&amp;"|"&amp;TRIM(E198)&amp;"|"&amp;TRIM(F198)&amp;"|"&amp;TRIM(H198)&amp;"|"&amp;TRIM(I198))</f>
        <v/>
      </c>
      <c r="S198" s="69">
        <f>IF(COUNTIF($R$6:$R$239,R198)&gt;1,"重复","唯一")</f>
        <v/>
      </c>
      <c r="T198" s="69" t="inlineStr">
        <is>
          <t>36db763dbbc616a69a135d71b83b094d1773b8196858c2340505527cf8574f1f</t>
        </is>
      </c>
      <c r="U198" s="69" t="inlineStr">
        <is>
          <t>Codex</t>
        </is>
      </c>
      <c r="V198" s="78" t="n">
        <v>46269</v>
      </c>
      <c r="W198" s="69" t="inlineStr">
        <is>
          <t>用户自制Blender资产</t>
        </is>
      </c>
      <c r="X198" s="75" t="inlineStr">
        <is>
          <t>52</t>
        </is>
      </c>
      <c r="Y198" s="6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4" customHeight="1" s="50">
      <c r="A199" s="79" t="inlineStr">
        <is>
          <t>BPK-BASE99-BASE-CAMP-NEON-SIGN</t>
        </is>
      </c>
      <c r="B199" s="79" t="inlineStr">
        <is>
          <t>基地99层 · BASE_CAMP立体霓虹标识</t>
        </is>
      </c>
      <c r="C199" s="79" t="inlineStr">
        <is>
          <t>基地资产包</t>
        </is>
      </c>
      <c r="D199" s="79" t="inlineStr">
        <is>
          <t>阁楼下方固定设施包</t>
        </is>
      </c>
      <c r="E199" s="79" t="inlineStr">
        <is>
          <t>base99_package_base_camp_neon_sign</t>
        </is>
      </c>
      <c r="F199" s="79" t="inlineStr">
        <is>
          <t>package_root</t>
        </is>
      </c>
      <c r="G199" s="79" t="inlineStr">
        <is>
          <t>ENV-BASE99-ART-LAYOUT-3D</t>
        </is>
      </c>
      <c r="H199" s="79" t="inlineStr">
        <is>
          <t>Top3D / Blender +Y北</t>
        </is>
      </c>
      <c r="I199" s="79" t="inlineStr">
        <is>
          <t>static / fixture_light</t>
        </is>
      </c>
      <c r="J199" s="79" t="inlineStr">
        <is>
          <t>3D-设施 / 基地99层独立资产包</t>
        </is>
      </c>
      <c r="K199" s="79" t="inlineStr">
        <is>
          <t>Blender源已完成</t>
        </is>
      </c>
      <c r="L199" s="79" t="inlineStr">
        <is>
          <t>P1</t>
        </is>
      </c>
      <c r="M199" s="79" t="inlineStr">
        <is>
          <t>v017</t>
        </is>
      </c>
      <c r="N199" s="69" t="inlineStr">
        <is>
          <t>包络 7.800×0.845×0.998m；17 网格；2 灯</t>
        </is>
      </c>
      <c r="O199" s="69" t="inlineStr">
        <is>
          <t>source/art/blender/base_facility_layout/component_packages/underloft/base_camp_neon_sign/asset_manifest.json</t>
        </is>
      </c>
      <c r="P199" s="6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69" t="inlineStr">
        <is>
          <t>基地99层;基地资产包;3D设施;阁楼下方固定设施包;base_camp_neon_sign;PaletteUV</t>
        </is>
      </c>
      <c r="R199" s="69">
        <f>LOWER(TRIM(C199)&amp;"|"&amp;TRIM(D199)&amp;"|"&amp;TRIM(E199)&amp;"|"&amp;TRIM(F199)&amp;"|"&amp;TRIM(H199)&amp;"|"&amp;TRIM(I199))</f>
        <v/>
      </c>
      <c r="S199" s="69">
        <f>IF(COUNTIF($R$6:$R$239,R199)&gt;1,"重复","唯一")</f>
        <v/>
      </c>
      <c r="T199" s="69" t="inlineStr">
        <is>
          <t>ba7d0fb2dbba09a1b860340c6b59b47c6b1eb598ab8b502ee36e288272de2e45</t>
        </is>
      </c>
      <c r="U199" s="69" t="inlineStr">
        <is>
          <t>Codex</t>
        </is>
      </c>
      <c r="V199" s="78" t="n">
        <v>46269</v>
      </c>
      <c r="W199" s="69" t="inlineStr">
        <is>
          <t>用户自制Blender资产</t>
        </is>
      </c>
      <c r="X199" s="75" t="inlineStr">
        <is>
          <t>44</t>
        </is>
      </c>
      <c r="Y199" s="6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4" customHeight="1" s="50">
      <c r="A200" s="79" t="inlineStr">
        <is>
          <t>BPK-BASE99-BASE-CAMP-ROLLUP-MAIN-DOOR</t>
        </is>
      </c>
      <c r="B200" s="79" t="inlineStr">
        <is>
          <t>基地99层 · BASE_CAMP大型卷帘主门</t>
        </is>
      </c>
      <c r="C200" s="79" t="inlineStr">
        <is>
          <t>基地资产包</t>
        </is>
      </c>
      <c r="D200" s="79" t="inlineStr">
        <is>
          <t>阁楼下方固定设施包</t>
        </is>
      </c>
      <c r="E200" s="79" t="inlineStr">
        <is>
          <t>base99_package_base_camp_rollup_main_door</t>
        </is>
      </c>
      <c r="F200" s="79" t="inlineStr">
        <is>
          <t>package_root</t>
        </is>
      </c>
      <c r="G200" s="79" t="inlineStr">
        <is>
          <t>ENV-BASE99-ART-LAYOUT-3D</t>
        </is>
      </c>
      <c r="H200" s="79" t="inlineStr">
        <is>
          <t>Top3D / Blender +Y北</t>
        </is>
      </c>
      <c r="I200" s="79" t="inlineStr">
        <is>
          <t>static / fixture_light</t>
        </is>
      </c>
      <c r="J200" s="79" t="inlineStr">
        <is>
          <t>3D-设施 / 基地99层独立资产包</t>
        </is>
      </c>
      <c r="K200" s="79" t="inlineStr">
        <is>
          <t>已优化并正式接入</t>
        </is>
      </c>
      <c r="L200" s="79" t="inlineStr">
        <is>
          <t>P1</t>
        </is>
      </c>
      <c r="M200" s="79" t="inlineStr">
        <is>
          <t>v024</t>
        </is>
      </c>
      <c r="N200" s="69" t="inlineStr">
        <is>
          <t>包络 6.440×0.910×2.920m；顶视角优化；向下朝向面已剔除；单一盒体阻挡</t>
        </is>
      </c>
      <c r="O200" s="69" t="inlineStr">
        <is>
          <t>source/art/blender/base_facility_layout/component_packages/underloft/base_camp_rollup_main_door/asset_manifest.json</t>
        </is>
      </c>
      <c r="P200" s="6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69" t="inlineStr">
        <is>
          <t>基地99层;基地资产包;3D设施;阁楼下方固定设施包;base_camp_rollup_main_door;PaletteUV</t>
        </is>
      </c>
      <c r="R200" s="69">
        <f>LOWER(TRIM(C200)&amp;"|"&amp;TRIM(D200)&amp;"|"&amp;TRIM(E200)&amp;"|"&amp;TRIM(F200)&amp;"|"&amp;TRIM(H200)&amp;"|"&amp;TRIM(I200))</f>
        <v/>
      </c>
      <c r="S200" s="69">
        <f>IF(COUNTIF($R$6:$R$239,R200)&gt;1,"重复","唯一")</f>
        <v/>
      </c>
      <c r="T200" s="69" t="inlineStr">
        <is>
          <t>10136ee036092b66b19780625e92a9f7bc808770838a285a8f1c52bc44e88581</t>
        </is>
      </c>
      <c r="U200" s="69" t="inlineStr">
        <is>
          <t>Codex</t>
        </is>
      </c>
      <c r="V200" s="78" t="n">
        <v>46269</v>
      </c>
      <c r="W200" s="69" t="inlineStr">
        <is>
          <t>用户自制Blender资产</t>
        </is>
      </c>
      <c r="X200" s="75" t="inlineStr">
        <is>
          <t>42</t>
        </is>
      </c>
      <c r="Y200" s="6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4" customHeight="1" s="50">
      <c r="A201" s="79" t="inlineStr">
        <is>
          <t>BPK-BASE99-BASE-STATUS-TERMINAL</t>
        </is>
      </c>
      <c r="B201" s="79" t="inlineStr">
        <is>
          <t>基地99层 · BASE_STATUS状态终端</t>
        </is>
      </c>
      <c r="C201" s="79" t="inlineStr">
        <is>
          <t>基地资产包</t>
        </is>
      </c>
      <c r="D201" s="79" t="inlineStr">
        <is>
          <t>阁楼下方固定设施包</t>
        </is>
      </c>
      <c r="E201" s="79" t="inlineStr">
        <is>
          <t>base99_package_base_status_terminal</t>
        </is>
      </c>
      <c r="F201" s="79" t="inlineStr">
        <is>
          <t>package_root</t>
        </is>
      </c>
      <c r="G201" s="79" t="inlineStr">
        <is>
          <t>ENV-BASE99-ART-LAYOUT-3D</t>
        </is>
      </c>
      <c r="H201" s="79" t="inlineStr">
        <is>
          <t>Top3D / Blender +Y北</t>
        </is>
      </c>
      <c r="I201" s="79" t="inlineStr">
        <is>
          <t>static / default</t>
        </is>
      </c>
      <c r="J201" s="79" t="inlineStr">
        <is>
          <t>3D-设施 / 基地99层独立资产包</t>
        </is>
      </c>
      <c r="K201" s="79" t="inlineStr">
        <is>
          <t>Blender源已完成</t>
        </is>
      </c>
      <c r="L201" s="79" t="inlineStr">
        <is>
          <t>P1</t>
        </is>
      </c>
      <c r="M201" s="79" t="inlineStr">
        <is>
          <t>v017</t>
        </is>
      </c>
      <c r="N201" s="69" t="inlineStr">
        <is>
          <t>包络 0.620×0.520×0.940m；10 网格；0 灯</t>
        </is>
      </c>
      <c r="O201" s="69" t="inlineStr">
        <is>
          <t>source/art/blender/base_facility_layout/component_packages/underloft/base_status_terminal/asset_manifest.json</t>
        </is>
      </c>
      <c r="P201" s="6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69" t="inlineStr">
        <is>
          <t>基地99层;基地资产包;3D设施;阁楼下方固定设施包;base_status_terminal;PaletteUV</t>
        </is>
      </c>
      <c r="R201" s="69">
        <f>LOWER(TRIM(C201)&amp;"|"&amp;TRIM(D201)&amp;"|"&amp;TRIM(E201)&amp;"|"&amp;TRIM(F201)&amp;"|"&amp;TRIM(H201)&amp;"|"&amp;TRIM(I201))</f>
        <v/>
      </c>
      <c r="S201" s="69">
        <f>IF(COUNTIF($R$6:$R$239,R201)&gt;1,"重复","唯一")</f>
        <v/>
      </c>
      <c r="T201" s="69" t="inlineStr">
        <is>
          <t>f5083ec93792056dedf834c275351c144170c170e265c45907654bab1a2e2d18</t>
        </is>
      </c>
      <c r="U201" s="69" t="inlineStr">
        <is>
          <t>Codex</t>
        </is>
      </c>
      <c r="V201" s="78" t="n">
        <v>46269</v>
      </c>
      <c r="W201" s="69" t="inlineStr">
        <is>
          <t>用户自制Blender资产</t>
        </is>
      </c>
      <c r="X201" s="75" t="inlineStr">
        <is>
          <t>53</t>
        </is>
      </c>
      <c r="Y201" s="6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4" customHeight="1" s="50">
      <c r="A202" s="79" t="inlineStr">
        <is>
          <t>BPK-BASE99-HOLOGRAM-TERMINAL-PLATFORM</t>
        </is>
      </c>
      <c r="B202" s="79" t="inlineStr">
        <is>
          <t>基地99层 · 圆形全息设备平台</t>
        </is>
      </c>
      <c r="C202" s="79" t="inlineStr">
        <is>
          <t>基地资产包</t>
        </is>
      </c>
      <c r="D202" s="79" t="inlineStr">
        <is>
          <t>阁楼下方固定设施包</t>
        </is>
      </c>
      <c r="E202" s="79" t="inlineStr">
        <is>
          <t>base99_package_hologram_terminal_platform</t>
        </is>
      </c>
      <c r="F202" s="79" t="inlineStr">
        <is>
          <t>package_root</t>
        </is>
      </c>
      <c r="G202" s="79" t="inlineStr">
        <is>
          <t>ENV-BASE99-ART-LAYOUT-3D</t>
        </is>
      </c>
      <c r="H202" s="79" t="inlineStr">
        <is>
          <t>Top3D / Blender +Y北</t>
        </is>
      </c>
      <c r="I202" s="79" t="inlineStr">
        <is>
          <t>static / fixture_light</t>
        </is>
      </c>
      <c r="J202" s="79" t="inlineStr">
        <is>
          <t>3D-设施 / 基地99层独立资产包</t>
        </is>
      </c>
      <c r="K202" s="79" t="inlineStr">
        <is>
          <t>Blender源已完成</t>
        </is>
      </c>
      <c r="L202" s="79" t="inlineStr">
        <is>
          <t>P1</t>
        </is>
      </c>
      <c r="M202" s="79" t="inlineStr">
        <is>
          <t>v022</t>
        </is>
      </c>
      <c r="N202" s="69" t="inlineStr">
        <is>
          <t>包络 2.409×2.409×1.825m；38 网格；1 灯</t>
        </is>
      </c>
      <c r="O202" s="69" t="inlineStr">
        <is>
          <t>source/art/blender/base_facility_layout/component_packages/underloft/hologram_terminal_platform/asset_manifest.json</t>
        </is>
      </c>
      <c r="P202" s="6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69" t="inlineStr">
        <is>
          <t>基地99层;基地资产包;3D设施;阁楼下方固定设施包;hologram_terminal_platform;PaletteUV</t>
        </is>
      </c>
      <c r="R202" s="69">
        <f>LOWER(TRIM(C202)&amp;"|"&amp;TRIM(D202)&amp;"|"&amp;TRIM(E202)&amp;"|"&amp;TRIM(F202)&amp;"|"&amp;TRIM(H202)&amp;"|"&amp;TRIM(I202))</f>
        <v/>
      </c>
      <c r="S202" s="69">
        <f>IF(COUNTIF($R$6:$R$239,R202)&gt;1,"重复","唯一")</f>
        <v/>
      </c>
      <c r="T202" s="69" t="inlineStr">
        <is>
          <t>761b1591ee608316a47fa06e85a5a7f2a18d87dac3cb80f5294b54c47813852d</t>
        </is>
      </c>
      <c r="U202" s="69" t="inlineStr">
        <is>
          <t>Codex</t>
        </is>
      </c>
      <c r="V202" s="78" t="n">
        <v>46269</v>
      </c>
      <c r="W202" s="69" t="inlineStr">
        <is>
          <t>用户自制Blender资产</t>
        </is>
      </c>
      <c r="X202" s="75" t="inlineStr">
        <is>
          <t>51</t>
        </is>
      </c>
      <c r="Y202" s="6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4" customHeight="1" s="50">
      <c r="A203" s="79" t="inlineStr">
        <is>
          <t>BPK-BASE99-MAIN-DOOR-LOW-STORAGE-CABINET</t>
        </is>
      </c>
      <c r="B203" s="79" t="inlineStr">
        <is>
          <t>基地99层 · 主门下方低矮设备柜</t>
        </is>
      </c>
      <c r="C203" s="79" t="inlineStr">
        <is>
          <t>基地资产包</t>
        </is>
      </c>
      <c r="D203" s="79" t="inlineStr">
        <is>
          <t>阁楼下方固定设施包</t>
        </is>
      </c>
      <c r="E203" s="79" t="inlineStr">
        <is>
          <t>base99_package_main_door_low_storage_cabinet</t>
        </is>
      </c>
      <c r="F203" s="79" t="inlineStr">
        <is>
          <t>package_root</t>
        </is>
      </c>
      <c r="G203" s="79" t="inlineStr">
        <is>
          <t>ENV-BASE99-ART-LAYOUT-3D</t>
        </is>
      </c>
      <c r="H203" s="79" t="inlineStr">
        <is>
          <t>Top3D / Blender +Y北</t>
        </is>
      </c>
      <c r="I203" s="79" t="inlineStr">
        <is>
          <t>static / default</t>
        </is>
      </c>
      <c r="J203" s="79" t="inlineStr">
        <is>
          <t>3D-设施 / 基地99层独立资产包</t>
        </is>
      </c>
      <c r="K203" s="79" t="inlineStr">
        <is>
          <t>Blender源已完成</t>
        </is>
      </c>
      <c r="L203" s="79" t="inlineStr">
        <is>
          <t>P1</t>
        </is>
      </c>
      <c r="M203" s="79" t="inlineStr">
        <is>
          <t>v017</t>
        </is>
      </c>
      <c r="N203" s="69" t="inlineStr">
        <is>
          <t>包络 6.280×1.230×2.060m；31 网格；0 灯</t>
        </is>
      </c>
      <c r="O203" s="69" t="inlineStr">
        <is>
          <t>source/art/blender/base_facility_layout/component_packages/underloft/main_door_low_storage_cabinet/asset_manifest.json</t>
        </is>
      </c>
      <c r="P203" s="6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69" t="inlineStr">
        <is>
          <t>基地99层;基地资产包;3D设施;阁楼下方固定设施包;main_door_low_storage_cabinet;PaletteUV</t>
        </is>
      </c>
      <c r="R203" s="69">
        <f>LOWER(TRIM(C203)&amp;"|"&amp;TRIM(D203)&amp;"|"&amp;TRIM(E203)&amp;"|"&amp;TRIM(F203)&amp;"|"&amp;TRIM(H203)&amp;"|"&amp;TRIM(I203))</f>
        <v/>
      </c>
      <c r="S203" s="69">
        <f>IF(COUNTIF($R$6:$R$239,R203)&gt;1,"重复","唯一")</f>
        <v/>
      </c>
      <c r="T203" s="69" t="inlineStr">
        <is>
          <t>5fa3be4b090c09f631db5d18960be6180696449b04bcba402aba6d34674fb928</t>
        </is>
      </c>
      <c r="U203" s="69" t="inlineStr">
        <is>
          <t>Codex</t>
        </is>
      </c>
      <c r="V203" s="78" t="n">
        <v>46269</v>
      </c>
      <c r="W203" s="69" t="inlineStr">
        <is>
          <t>用户自制Blender资产</t>
        </is>
      </c>
      <c r="X203" s="75" t="inlineStr">
        <is>
          <t>43</t>
        </is>
      </c>
      <c r="Y203" s="6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4" customHeight="1" s="50">
      <c r="A204" s="79" t="inlineStr">
        <is>
          <t>BPK-BASE99-MEDICAL-CABINET</t>
        </is>
      </c>
      <c r="B204" s="79" t="inlineStr">
        <is>
          <t>基地99层 · MEDICAL医疗柜</t>
        </is>
      </c>
      <c r="C204" s="79" t="inlineStr">
        <is>
          <t>基地资产包</t>
        </is>
      </c>
      <c r="D204" s="79" t="inlineStr">
        <is>
          <t>阁楼下方固定设施包</t>
        </is>
      </c>
      <c r="E204" s="79" t="inlineStr">
        <is>
          <t>base99_package_medical_cabinet</t>
        </is>
      </c>
      <c r="F204" s="79" t="inlineStr">
        <is>
          <t>package_root</t>
        </is>
      </c>
      <c r="G204" s="79" t="inlineStr">
        <is>
          <t>ENV-BASE99-ART-LAYOUT-3D</t>
        </is>
      </c>
      <c r="H204" s="79" t="inlineStr">
        <is>
          <t>Top3D / Blender +Y北</t>
        </is>
      </c>
      <c r="I204" s="79" t="inlineStr">
        <is>
          <t>static / default</t>
        </is>
      </c>
      <c r="J204" s="79" t="inlineStr">
        <is>
          <t>3D-设施 / 基地99层独立资产包</t>
        </is>
      </c>
      <c r="K204" s="79" t="inlineStr">
        <is>
          <t>正式美术已接入</t>
        </is>
      </c>
      <c r="L204" s="79" t="inlineStr">
        <is>
          <t>P1</t>
        </is>
      </c>
      <c r="M204" s="79" t="inlineStr">
        <is>
          <t>v017</t>
        </is>
      </c>
      <c r="N204" s="69" t="inlineStr">
        <is>
          <t>包络 1.580×0.973×3.330m；28 网格；0 灯</t>
        </is>
      </c>
      <c r="O204" s="69" t="inlineStr">
        <is>
          <t>source/art/blender/base_facility_layout/component_packages/underloft/medical_cabinet/asset_manifest.json</t>
        </is>
      </c>
      <c r="P204" s="6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69" t="inlineStr">
        <is>
          <t>基地99层;基地资产包;3D设施;阁楼下方固定设施包;medical_cabinet;PaletteUV; base_recovery</t>
        </is>
      </c>
      <c r="R204" s="69">
        <f>LOWER(TRIM(C204)&amp;"|"&amp;TRIM(D204)&amp;"|"&amp;TRIM(E204)&amp;"|"&amp;TRIM(F204)&amp;"|"&amp;TRIM(H204)&amp;"|"&amp;TRIM(I204))</f>
        <v/>
      </c>
      <c r="S204" s="69">
        <f>IF(COUNTIF($R$6:$R$239,R204)&gt;1,"重复","唯一")</f>
        <v/>
      </c>
      <c r="T204" s="69" t="inlineStr">
        <is>
          <t>e5d0bcd80ad4c56e60e6e5ead83154e036d46f6b3e7c7fd691c8d2eb12073f79</t>
        </is>
      </c>
      <c r="U204" s="69" t="inlineStr">
        <is>
          <t>Codex</t>
        </is>
      </c>
      <c r="V204" s="78" t="n">
        <v>46269</v>
      </c>
      <c r="W204" s="69" t="inlineStr">
        <is>
          <t>用户自制Blender资产</t>
        </is>
      </c>
      <c r="X204" s="75" t="inlineStr">
        <is>
          <t>45</t>
        </is>
      </c>
      <c r="Y204" s="6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>
      <c r="A205" s="79" t="inlineStr">
        <is>
          <t>BPK-BASE99-NARROW-BATTERY-CABINET</t>
        </is>
      </c>
      <c r="B205" s="79" t="inlineStr">
        <is>
          <t>基地99层 · 窄型电池柜</t>
        </is>
      </c>
      <c r="C205" s="79" t="inlineStr">
        <is>
          <t>基地资产包</t>
        </is>
      </c>
      <c r="D205" s="79" t="inlineStr">
        <is>
          <t>阁楼下方固定设施包</t>
        </is>
      </c>
      <c r="E205" s="79" t="inlineStr">
        <is>
          <t>base99_package_narrow_battery_cabinet</t>
        </is>
      </c>
      <c r="F205" s="79" t="inlineStr">
        <is>
          <t>package_root</t>
        </is>
      </c>
      <c r="G205" s="79" t="inlineStr">
        <is>
          <t>ENV-BASE99-ART-LAYOUT-3D</t>
        </is>
      </c>
      <c r="H205" s="79" t="inlineStr">
        <is>
          <t>Top3D / Blender +Y北</t>
        </is>
      </c>
      <c r="I205" s="79" t="inlineStr">
        <is>
          <t>static / default</t>
        </is>
      </c>
      <c r="J205" s="79" t="inlineStr">
        <is>
          <t>3D-设施 / 基地99层独立资产包</t>
        </is>
      </c>
      <c r="K205" s="79" t="inlineStr">
        <is>
          <t>正式美术已接入</t>
        </is>
      </c>
      <c r="L205" s="79" t="inlineStr">
        <is>
          <t>P1</t>
        </is>
      </c>
      <c r="M205" s="79" t="inlineStr">
        <is>
          <t>v017</t>
        </is>
      </c>
      <c r="N205" s="69" t="inlineStr">
        <is>
          <t>包络 1.580×0.983×3.220m；23 网格；0 灯</t>
        </is>
      </c>
      <c r="O205" s="69" t="inlineStr">
        <is>
          <t>source/art/blender/base_facility_layout/component_packages/underloft/narrow_battery_cabinet/asset_manifest.json</t>
        </is>
      </c>
      <c r="P205" s="6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69" t="inlineStr">
        <is>
          <t>基地99层;基地资产包;3D设施;阁楼下方固定设施包;narrow_battery_cabinet;PaletteUV; vault</t>
        </is>
      </c>
      <c r="R205" s="69">
        <f>LOWER(TRIM(C205)&amp;"|"&amp;TRIM(D205)&amp;"|"&amp;TRIM(E205)&amp;"|"&amp;TRIM(F205)&amp;"|"&amp;TRIM(H205)&amp;"|"&amp;TRIM(I205))</f>
        <v/>
      </c>
      <c r="S205" s="69">
        <f>IF(COUNTIF($R$6:$R$239,R205)&gt;1,"重复","唯一")</f>
        <v/>
      </c>
      <c r="T205" s="69" t="inlineStr">
        <is>
          <t>8d0866fc43cd1c50b0977d3b37c81ec27ad5203055dec4da99117ff788d45f2e</t>
        </is>
      </c>
      <c r="U205" s="69" t="inlineStr">
        <is>
          <t>Codex</t>
        </is>
      </c>
      <c r="V205" s="78" t="n">
        <v>46269</v>
      </c>
      <c r="W205" s="69" t="inlineStr">
        <is>
          <t>用户自制Blender资产</t>
        </is>
      </c>
      <c r="X205" s="75" t="inlineStr">
        <is>
          <t>47</t>
        </is>
      </c>
      <c r="Y205" s="6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>
      <c r="A206" s="79" t="inlineStr">
        <is>
          <t>BPK-BASE99-NARROW-EMERGENCY-CABINET</t>
        </is>
      </c>
      <c r="B206" s="79" t="inlineStr">
        <is>
          <t>基地99层 · 窄型应急柜</t>
        </is>
      </c>
      <c r="C206" s="79" t="inlineStr">
        <is>
          <t>基地资产包</t>
        </is>
      </c>
      <c r="D206" s="79" t="inlineStr">
        <is>
          <t>阁楼下方固定设施包</t>
        </is>
      </c>
      <c r="E206" s="79" t="inlineStr">
        <is>
          <t>base99_package_narrow_emergency_cabinet</t>
        </is>
      </c>
      <c r="F206" s="79" t="inlineStr">
        <is>
          <t>package_root</t>
        </is>
      </c>
      <c r="G206" s="79" t="inlineStr">
        <is>
          <t>ENV-BASE99-ART-LAYOUT-3D</t>
        </is>
      </c>
      <c r="H206" s="79" t="inlineStr">
        <is>
          <t>Top3D / Blender +Y北</t>
        </is>
      </c>
      <c r="I206" s="79" t="inlineStr">
        <is>
          <t>static / default</t>
        </is>
      </c>
      <c r="J206" s="79" t="inlineStr">
        <is>
          <t>3D-设施 / 基地99层独立资产包</t>
        </is>
      </c>
      <c r="K206" s="79" t="inlineStr">
        <is>
          <t>Blender源已完成</t>
        </is>
      </c>
      <c r="L206" s="79" t="inlineStr">
        <is>
          <t>P1</t>
        </is>
      </c>
      <c r="M206" s="79" t="inlineStr">
        <is>
          <t>v017</t>
        </is>
      </c>
      <c r="N206" s="69" t="inlineStr">
        <is>
          <t>包络 1.580×0.985×3.220m；24 网格；0 灯</t>
        </is>
      </c>
      <c r="O206" s="69" t="inlineStr">
        <is>
          <t>source/art/blender/base_facility_layout/component_packages/underloft/narrow_emergency_cabinet/asset_manifest.json</t>
        </is>
      </c>
      <c r="P206" s="6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69" t="inlineStr">
        <is>
          <t>基地99层;基地资产包;3D设施;阁楼下方固定设施包;narrow_emergency_cabinet;PaletteUV</t>
        </is>
      </c>
      <c r="R206" s="69">
        <f>LOWER(TRIM(C206)&amp;"|"&amp;TRIM(D206)&amp;"|"&amp;TRIM(E206)&amp;"|"&amp;TRIM(F206)&amp;"|"&amp;TRIM(H206)&amp;"|"&amp;TRIM(I206))</f>
        <v/>
      </c>
      <c r="S206" s="69">
        <f>IF(COUNTIF($R$6:$R$239,R206)&gt;1,"重复","唯一")</f>
        <v/>
      </c>
      <c r="T206" s="69" t="inlineStr">
        <is>
          <t>2d3e67ae01fb8d2722d637fd58c007ced90f44746aec4301eb762814acb1ed45</t>
        </is>
      </c>
      <c r="U206" s="69" t="inlineStr">
        <is>
          <t>Codex</t>
        </is>
      </c>
      <c r="V206" s="78" t="n">
        <v>46269</v>
      </c>
      <c r="W206" s="69" t="inlineStr">
        <is>
          <t>用户自制Blender资产</t>
        </is>
      </c>
      <c r="X206" s="75" t="inlineStr">
        <is>
          <t>48</t>
        </is>
      </c>
      <c r="Y206" s="6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>
      <c r="A207" s="79" t="inlineStr">
        <is>
          <t>BPK-BASE99-SOUTH-INDUSTRIAL-WALL-DETAILS</t>
        </is>
      </c>
      <c r="B207" s="79" t="inlineStr">
        <is>
          <t>基地99层 · 南墙工业墙板附着结构</t>
        </is>
      </c>
      <c r="C207" s="79" t="inlineStr">
        <is>
          <t>基地资产包</t>
        </is>
      </c>
      <c r="D207" s="79" t="inlineStr">
        <is>
          <t>阁楼下方固定设施包</t>
        </is>
      </c>
      <c r="E207" s="79" t="inlineStr">
        <is>
          <t>base99_package_south_industrial_wall_details</t>
        </is>
      </c>
      <c r="F207" s="79" t="inlineStr">
        <is>
          <t>package_root</t>
        </is>
      </c>
      <c r="G207" s="79" t="inlineStr">
        <is>
          <t>ENV-BASE99-ART-LAYOUT-3D</t>
        </is>
      </c>
      <c r="H207" s="79" t="inlineStr">
        <is>
          <t>Top3D / Blender +Y北</t>
        </is>
      </c>
      <c r="I207" s="79" t="inlineStr">
        <is>
          <t>static / default</t>
        </is>
      </c>
      <c r="J207" s="79" t="inlineStr">
        <is>
          <t>3D-设施 / 基地99层独立资产包</t>
        </is>
      </c>
      <c r="K207" s="79" t="inlineStr">
        <is>
          <t>Blender源已完成</t>
        </is>
      </c>
      <c r="L207" s="79" t="inlineStr">
        <is>
          <t>P1</t>
        </is>
      </c>
      <c r="M207" s="79" t="inlineStr">
        <is>
          <t>v017</t>
        </is>
      </c>
      <c r="N207" s="69" t="inlineStr">
        <is>
          <t>包络 19.500×0.530×4.785m；53 网格；0 灯</t>
        </is>
      </c>
      <c r="O207" s="69" t="inlineStr">
        <is>
          <t>source/art/blender/base_facility_layout/component_packages/underloft/south_industrial_wall_details/asset_manifest.json</t>
        </is>
      </c>
      <c r="P207" s="6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69" t="inlineStr">
        <is>
          <t>基地99层;基地资产包;3D设施;阁楼下方固定设施包;south_industrial_wall_details;PaletteUV</t>
        </is>
      </c>
      <c r="R207" s="69">
        <f>LOWER(TRIM(C207)&amp;"|"&amp;TRIM(D207)&amp;"|"&amp;TRIM(E207)&amp;"|"&amp;TRIM(F207)&amp;"|"&amp;TRIM(H207)&amp;"|"&amp;TRIM(I207))</f>
        <v/>
      </c>
      <c r="S207" s="69">
        <f>IF(COUNTIF($R$6:$R$239,R207)&gt;1,"重复","唯一")</f>
        <v/>
      </c>
      <c r="T207" s="69" t="inlineStr">
        <is>
          <t>b5c165d27e34d5e679129345e0a8fc19d716535f818f59946544275bbe2078df</t>
        </is>
      </c>
      <c r="U207" s="69" t="inlineStr">
        <is>
          <t>Codex</t>
        </is>
      </c>
      <c r="V207" s="78" t="n">
        <v>46269</v>
      </c>
      <c r="W207" s="69" t="inlineStr">
        <is>
          <t>用户自制Blender资产</t>
        </is>
      </c>
      <c r="X207" s="75" t="inlineStr">
        <is>
          <t>41</t>
        </is>
      </c>
      <c r="Y207" s="6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>
      <c r="A208" s="79" t="inlineStr">
        <is>
          <t>BPK-BASE99-SOUTH-UPPER-RAILING-DETAILS</t>
        </is>
      </c>
      <c r="B208" s="79" t="inlineStr">
        <is>
          <t>基地99层 · 二层栏杆附着细节</t>
        </is>
      </c>
      <c r="C208" s="79" t="inlineStr">
        <is>
          <t>基地资产包</t>
        </is>
      </c>
      <c r="D208" s="79" t="inlineStr">
        <is>
          <t>阁楼下方固定设施包</t>
        </is>
      </c>
      <c r="E208" s="79" t="inlineStr">
        <is>
          <t>base99_package_south_upper_railing_details</t>
        </is>
      </c>
      <c r="F208" s="79" t="inlineStr">
        <is>
          <t>package_root</t>
        </is>
      </c>
      <c r="G208" s="79" t="inlineStr">
        <is>
          <t>ENV-BASE99-ART-LAYOUT-3D</t>
        </is>
      </c>
      <c r="H208" s="79" t="inlineStr">
        <is>
          <t>Top3D / Blender +Y北</t>
        </is>
      </c>
      <c r="I208" s="79" t="inlineStr">
        <is>
          <t>static / default</t>
        </is>
      </c>
      <c r="J208" s="79" t="inlineStr">
        <is>
          <t>3D-设施 / 基地99层独立资产包</t>
        </is>
      </c>
      <c r="K208" s="79" t="inlineStr">
        <is>
          <t>Blender源已完成</t>
        </is>
      </c>
      <c r="L208" s="79" t="inlineStr">
        <is>
          <t>P1</t>
        </is>
      </c>
      <c r="M208" s="79" t="inlineStr">
        <is>
          <t>v017</t>
        </is>
      </c>
      <c r="N208" s="69" t="inlineStr">
        <is>
          <t>包络 18.500×0.443×0.783m；26 网格；0 灯</t>
        </is>
      </c>
      <c r="O208" s="69" t="inlineStr">
        <is>
          <t>source/art/blender/base_facility_layout/component_packages/underloft/south_upper_railing_details/asset_manifest.json</t>
        </is>
      </c>
      <c r="P208" s="6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69" t="inlineStr">
        <is>
          <t>基地99层;基地资产包;3D设施;阁楼下方固定设施包;south_upper_railing_details;PaletteUV</t>
        </is>
      </c>
      <c r="R208" s="69">
        <f>LOWER(TRIM(C208)&amp;"|"&amp;TRIM(D208)&amp;"|"&amp;TRIM(E208)&amp;"|"&amp;TRIM(F208)&amp;"|"&amp;TRIM(H208)&amp;"|"&amp;TRIM(I208))</f>
        <v/>
      </c>
      <c r="S208" s="69">
        <f>IF(COUNTIF($R$6:$R$239,R208)&gt;1,"重复","唯一")</f>
        <v/>
      </c>
      <c r="T208" s="69" t="inlineStr">
        <is>
          <t>a6ed0e3a365744c2d7ddc23b44f6db88a87e05ae3af5d8c4c049880fd02e6030</t>
        </is>
      </c>
      <c r="U208" s="69" t="inlineStr">
        <is>
          <t>Codex</t>
        </is>
      </c>
      <c r="V208" s="78" t="n">
        <v>46269</v>
      </c>
      <c r="W208" s="69" t="inlineStr">
        <is>
          <t>用户自制Blender资产</t>
        </is>
      </c>
      <c r="X208" s="75" t="inlineStr">
        <is>
          <t>56</t>
        </is>
      </c>
      <c r="Y208" s="6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>
      <c r="A209" s="79" t="inlineStr">
        <is>
          <t>BPK-BASE99-SOUTH-WALL-PIPELINE-SYSTEM</t>
        </is>
      </c>
      <c r="B209" s="79" t="inlineStr">
        <is>
          <t>基地99层 · 南墙工业管线系统</t>
        </is>
      </c>
      <c r="C209" s="79" t="inlineStr">
        <is>
          <t>基地资产包</t>
        </is>
      </c>
      <c r="D209" s="79" t="inlineStr">
        <is>
          <t>阁楼下方固定设施包</t>
        </is>
      </c>
      <c r="E209" s="79" t="inlineStr">
        <is>
          <t>base99_package_south_wall_pipeline_system</t>
        </is>
      </c>
      <c r="F209" s="79" t="inlineStr">
        <is>
          <t>package_root</t>
        </is>
      </c>
      <c r="G209" s="79" t="inlineStr">
        <is>
          <t>ENV-BASE99-ART-LAYOUT-3D</t>
        </is>
      </c>
      <c r="H209" s="79" t="inlineStr">
        <is>
          <t>Top3D / Blender +Y北</t>
        </is>
      </c>
      <c r="I209" s="79" t="inlineStr">
        <is>
          <t>static / default</t>
        </is>
      </c>
      <c r="J209" s="79" t="inlineStr">
        <is>
          <t>3D-设施 / 基地99层独立资产包</t>
        </is>
      </c>
      <c r="K209" s="79" t="inlineStr">
        <is>
          <t>Blender源已完成</t>
        </is>
      </c>
      <c r="L209" s="79" t="inlineStr">
        <is>
          <t>P1</t>
        </is>
      </c>
      <c r="M209" s="79" t="inlineStr">
        <is>
          <t>v017</t>
        </is>
      </c>
      <c r="N209" s="69" t="inlineStr">
        <is>
          <t>包络 18.600×0.580×4.950m；21 网格；0 灯</t>
        </is>
      </c>
      <c r="O209" s="69" t="inlineStr">
        <is>
          <t>source/art/blender/base_facility_layout/component_packages/underloft/south_wall_pipeline_system/asset_manifest.json</t>
        </is>
      </c>
      <c r="P209" s="6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69" t="inlineStr">
        <is>
          <t>基地99层;基地资产包;3D设施;阁楼下方固定设施包;south_wall_pipeline_system;PaletteUV</t>
        </is>
      </c>
      <c r="R209" s="69">
        <f>LOWER(TRIM(C209)&amp;"|"&amp;TRIM(D209)&amp;"|"&amp;TRIM(E209)&amp;"|"&amp;TRIM(F209)&amp;"|"&amp;TRIM(H209)&amp;"|"&amp;TRIM(I209))</f>
        <v/>
      </c>
      <c r="S209" s="69">
        <f>IF(COUNTIF($R$6:$R$239,R209)&gt;1,"重复","唯一")</f>
        <v/>
      </c>
      <c r="T209" s="69" t="inlineStr">
        <is>
          <t>4df099890e491380d7579c1a423144c6065aaceb8fc7aeb359b8dc12a45beb8e</t>
        </is>
      </c>
      <c r="U209" s="69" t="inlineStr">
        <is>
          <t>Codex</t>
        </is>
      </c>
      <c r="V209" s="78" t="n">
        <v>46269</v>
      </c>
      <c r="W209" s="69" t="inlineStr">
        <is>
          <t>用户自制Blender资产</t>
        </is>
      </c>
      <c r="X209" s="75" t="inlineStr">
        <is>
          <t>55</t>
        </is>
      </c>
      <c r="Y209" s="6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>
      <c r="A210" s="79" t="inlineStr">
        <is>
          <t>BPK-BASE99-STORAGE-TERMINAL</t>
        </is>
      </c>
      <c r="B210" s="79" t="inlineStr">
        <is>
          <t>基地99层 · STORAGE储物终端</t>
        </is>
      </c>
      <c r="C210" s="79" t="inlineStr">
        <is>
          <t>基地资产包</t>
        </is>
      </c>
      <c r="D210" s="79" t="inlineStr">
        <is>
          <t>阁楼下方固定设施包</t>
        </is>
      </c>
      <c r="E210" s="79" t="inlineStr">
        <is>
          <t>base99_package_storage_terminal</t>
        </is>
      </c>
      <c r="F210" s="79" t="inlineStr">
        <is>
          <t>package_root</t>
        </is>
      </c>
      <c r="G210" s="79" t="inlineStr">
        <is>
          <t>ENV-BASE99-ART-LAYOUT-3D</t>
        </is>
      </c>
      <c r="H210" s="79" t="inlineStr">
        <is>
          <t>Top3D / Blender +Y北</t>
        </is>
      </c>
      <c r="I210" s="79" t="inlineStr">
        <is>
          <t>static / default</t>
        </is>
      </c>
      <c r="J210" s="79" t="inlineStr">
        <is>
          <t>3D-设施 / 基地99层独立资产包</t>
        </is>
      </c>
      <c r="K210" s="79" t="inlineStr">
        <is>
          <t>Blender源已完成</t>
        </is>
      </c>
      <c r="L210" s="79" t="inlineStr">
        <is>
          <t>P1</t>
        </is>
      </c>
      <c r="M210" s="79" t="inlineStr">
        <is>
          <t>v017</t>
        </is>
      </c>
      <c r="N210" s="69" t="inlineStr">
        <is>
          <t>包络 0.560×0.383×1.030m；9 网格；0 灯</t>
        </is>
      </c>
      <c r="O210" s="69" t="inlineStr">
        <is>
          <t>source/art/blender/base_facility_layout/component_packages/underloft/storage_terminal/asset_manifest.json</t>
        </is>
      </c>
      <c r="P210" s="6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69" t="inlineStr">
        <is>
          <t>基地99层;基地资产包;3D设施;阁楼下方固定设施包;storage_terminal;PaletteUV</t>
        </is>
      </c>
      <c r="R210" s="69">
        <f>LOWER(TRIM(C210)&amp;"|"&amp;TRIM(D210)&amp;"|"&amp;TRIM(E210)&amp;"|"&amp;TRIM(F210)&amp;"|"&amp;TRIM(H210)&amp;"|"&amp;TRIM(I210))</f>
        <v/>
      </c>
      <c r="S210" s="69">
        <f>IF(COUNTIF($R$6:$R$239,R210)&gt;1,"重复","唯一")</f>
        <v/>
      </c>
      <c r="T210" s="69" t="inlineStr">
        <is>
          <t>9a3bcdb47187783f355dd37fe4127d98e38672a1d597ee68e97fa7dde5bfe180</t>
        </is>
      </c>
      <c r="U210" s="69" t="inlineStr">
        <is>
          <t>Codex</t>
        </is>
      </c>
      <c r="V210" s="78" t="n">
        <v>46269</v>
      </c>
      <c r="W210" s="69" t="inlineStr">
        <is>
          <t>用户自制Blender资产</t>
        </is>
      </c>
      <c r="X210" s="75" t="inlineStr">
        <is>
          <t>54</t>
        </is>
      </c>
      <c r="Y210" s="6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>
      <c r="A211" s="79" t="inlineStr">
        <is>
          <t>BPK-BASE99-TOOLS-CABINET</t>
        </is>
      </c>
      <c r="B211" s="79" t="inlineStr">
        <is>
          <t>基地99层 · TOOLS工具柜</t>
        </is>
      </c>
      <c r="C211" s="79" t="inlineStr">
        <is>
          <t>基地资产包</t>
        </is>
      </c>
      <c r="D211" s="79" t="inlineStr">
        <is>
          <t>阁楼下方固定设施包</t>
        </is>
      </c>
      <c r="E211" s="79" t="inlineStr">
        <is>
          <t>base99_package_tools_cabinet</t>
        </is>
      </c>
      <c r="F211" s="79" t="inlineStr">
        <is>
          <t>package_root</t>
        </is>
      </c>
      <c r="G211" s="79" t="inlineStr">
        <is>
          <t>ENV-BASE99-ART-LAYOUT-3D</t>
        </is>
      </c>
      <c r="H211" s="79" t="inlineStr">
        <is>
          <t>Top3D / Blender +Y北</t>
        </is>
      </c>
      <c r="I211" s="79" t="inlineStr">
        <is>
          <t>static / default</t>
        </is>
      </c>
      <c r="J211" s="79" t="inlineStr">
        <is>
          <t>3D-设施 / 基地99层独立资产包</t>
        </is>
      </c>
      <c r="K211" s="79" t="inlineStr">
        <is>
          <t>Blender源已完成</t>
        </is>
      </c>
      <c r="L211" s="79" t="inlineStr">
        <is>
          <t>P1</t>
        </is>
      </c>
      <c r="M211" s="79" t="inlineStr">
        <is>
          <t>v017</t>
        </is>
      </c>
      <c r="N211" s="69" t="inlineStr">
        <is>
          <t>包络 1.970×1.015×3.220m；25 网格；0 灯</t>
        </is>
      </c>
      <c r="O211" s="69" t="inlineStr">
        <is>
          <t>source/art/blender/base_facility_layout/component_packages/underloft/tools_cabinet/asset_manifest.json</t>
        </is>
      </c>
      <c r="P211" s="6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69" t="inlineStr">
        <is>
          <t>基地99层;基地资产包;3D设施;阁楼下方固定设施包;tools_cabinet;PaletteUV</t>
        </is>
      </c>
      <c r="R211" s="69">
        <f>LOWER(TRIM(C211)&amp;"|"&amp;TRIM(D211)&amp;"|"&amp;TRIM(E211)&amp;"|"&amp;TRIM(F211)&amp;"|"&amp;TRIM(H211)&amp;"|"&amp;TRIM(I211))</f>
        <v/>
      </c>
      <c r="S211" s="69">
        <f>IF(COUNTIF($R$6:$R$239,R211)&gt;1,"重复","唯一")</f>
        <v/>
      </c>
      <c r="T211" s="69" t="inlineStr">
        <is>
          <t>02c3f0b47847e989ae88a803b2e91cb9557fd60c776f69752d866d16c8a2a389</t>
        </is>
      </c>
      <c r="U211" s="69" t="inlineStr">
        <is>
          <t>Codex</t>
        </is>
      </c>
      <c r="V211" s="78" t="n">
        <v>46269</v>
      </c>
      <c r="W211" s="69" t="inlineStr">
        <is>
          <t>用户自制Blender资产</t>
        </is>
      </c>
      <c r="X211" s="75" t="inlineStr">
        <is>
          <t>46</t>
        </is>
      </c>
      <c r="Y211" s="6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>
      <c r="A212" s="79" t="inlineStr">
        <is>
          <t>BPK-BASE99-UNDERSTAIR-BULLETIN-BOARD</t>
        </is>
      </c>
      <c r="B212" s="79" t="inlineStr">
        <is>
          <t>基地99层 · 梯下公告留言板</t>
        </is>
      </c>
      <c r="C212" s="79" t="inlineStr">
        <is>
          <t>基地资产包</t>
        </is>
      </c>
      <c r="D212" s="79" t="inlineStr">
        <is>
          <t>阁楼下方固定设施包</t>
        </is>
      </c>
      <c r="E212" s="79" t="inlineStr">
        <is>
          <t>base99_package_understair_bulletin_board</t>
        </is>
      </c>
      <c r="F212" s="79" t="inlineStr">
        <is>
          <t>package_root</t>
        </is>
      </c>
      <c r="G212" s="79" t="inlineStr">
        <is>
          <t>ENV-BASE99-ART-LAYOUT-3D</t>
        </is>
      </c>
      <c r="H212" s="79" t="inlineStr">
        <is>
          <t>Top3D / Blender +Y北</t>
        </is>
      </c>
      <c r="I212" s="79" t="inlineStr">
        <is>
          <t>static / default</t>
        </is>
      </c>
      <c r="J212" s="79" t="inlineStr">
        <is>
          <t>3D-设施 / 基地99层独立资产包</t>
        </is>
      </c>
      <c r="K212" s="79" t="inlineStr">
        <is>
          <t>Blender源已完成</t>
        </is>
      </c>
      <c r="L212" s="79" t="inlineStr">
        <is>
          <t>P1</t>
        </is>
      </c>
      <c r="M212" s="79" t="inlineStr">
        <is>
          <t>v017</t>
        </is>
      </c>
      <c r="N212" s="69" t="inlineStr">
        <is>
          <t>包络 1.900×0.149×1.420m；1 网格；0 灯</t>
        </is>
      </c>
      <c r="O212" s="69" t="inlineStr">
        <is>
          <t>source/art/blender/base_facility_layout/component_packages/underloft/understair_bulletin_board/asset_manifest.json</t>
        </is>
      </c>
      <c r="P212" s="6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69" t="inlineStr">
        <is>
          <t>基地99层;基地资产包;3D设施;阁楼下方固定设施包;understair_bulletin_board;PaletteUV</t>
        </is>
      </c>
      <c r="R212" s="69">
        <f>LOWER(TRIM(C212)&amp;"|"&amp;TRIM(D212)&amp;"|"&amp;TRIM(E212)&amp;"|"&amp;TRIM(F212)&amp;"|"&amp;TRIM(H212)&amp;"|"&amp;TRIM(I212))</f>
        <v/>
      </c>
      <c r="S212" s="69">
        <f>IF(COUNTIF($R$6:$R$239,R212)&gt;1,"重复","唯一")</f>
        <v/>
      </c>
      <c r="T212" s="69" t="inlineStr">
        <is>
          <t>09b8e426a88a07d63b81fddfe5c60678c9a36795e7724ef7596b2a861784075f</t>
        </is>
      </c>
      <c r="U212" s="69" t="inlineStr">
        <is>
          <t>Codex</t>
        </is>
      </c>
      <c r="V212" s="78" t="n">
        <v>46269</v>
      </c>
      <c r="W212" s="69" t="inlineStr">
        <is>
          <t>用户自制Blender资产</t>
        </is>
      </c>
      <c r="X212" s="75" t="inlineStr">
        <is>
          <t>58</t>
        </is>
      </c>
      <c r="Y212" s="6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>
      <c r="A213" s="79" t="inlineStr">
        <is>
          <t>BPK-BASE99-UNDERSTAIR-EQUIPMENT-CABINET</t>
        </is>
      </c>
      <c r="B213" s="79" t="inlineStr">
        <is>
          <t>基地99层 · 梯下立式设备柜</t>
        </is>
      </c>
      <c r="C213" s="79" t="inlineStr">
        <is>
          <t>基地资产包</t>
        </is>
      </c>
      <c r="D213" s="79" t="inlineStr">
        <is>
          <t>阁楼下方固定设施包</t>
        </is>
      </c>
      <c r="E213" s="79" t="inlineStr">
        <is>
          <t>base99_package_understair_equipment_cabinet</t>
        </is>
      </c>
      <c r="F213" s="79" t="inlineStr">
        <is>
          <t>package_root</t>
        </is>
      </c>
      <c r="G213" s="79" t="inlineStr">
        <is>
          <t>ENV-BASE99-ART-LAYOUT-3D</t>
        </is>
      </c>
      <c r="H213" s="79" t="inlineStr">
        <is>
          <t>Top3D / Blender +Y北</t>
        </is>
      </c>
      <c r="I213" s="79" t="inlineStr">
        <is>
          <t>static / default</t>
        </is>
      </c>
      <c r="J213" s="79" t="inlineStr">
        <is>
          <t>3D-设施 / 基地99层独立资产包</t>
        </is>
      </c>
      <c r="K213" s="79" t="inlineStr">
        <is>
          <t>Blender源已完成</t>
        </is>
      </c>
      <c r="L213" s="79" t="inlineStr">
        <is>
          <t>P1</t>
        </is>
      </c>
      <c r="M213" s="79" t="inlineStr">
        <is>
          <t>v017</t>
        </is>
      </c>
      <c r="N213" s="69" t="inlineStr">
        <is>
          <t>包络 1.100×0.927×3.130m；3 网格；0 灯</t>
        </is>
      </c>
      <c r="O213" s="69" t="inlineStr">
        <is>
          <t>source/art/blender/base_facility_layout/component_packages/underloft/understair_equipment_cabinet/asset_manifest.json</t>
        </is>
      </c>
      <c r="P213" s="6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69" t="inlineStr">
        <is>
          <t>基地99层;基地资产包;3D设施;阁楼下方固定设施包;understair_equipment_cabinet;PaletteUV</t>
        </is>
      </c>
      <c r="R213" s="69">
        <f>LOWER(TRIM(C213)&amp;"|"&amp;TRIM(D213)&amp;"|"&amp;TRIM(E213)&amp;"|"&amp;TRIM(F213)&amp;"|"&amp;TRIM(H213)&amp;"|"&amp;TRIM(I213))</f>
        <v/>
      </c>
      <c r="S213" s="69">
        <f>IF(COUNTIF($R$6:$R$239,R213)&gt;1,"重复","唯一")</f>
        <v/>
      </c>
      <c r="T213" s="69" t="inlineStr">
        <is>
          <t>1aa9bb72dcf2d2937ff7d26c1df1e1886258ecbcc27d1a62dc3584b2ecc2ff80</t>
        </is>
      </c>
      <c r="U213" s="69" t="inlineStr">
        <is>
          <t>Codex</t>
        </is>
      </c>
      <c r="V213" s="78" t="n">
        <v>46269</v>
      </c>
      <c r="W213" s="69" t="inlineStr">
        <is>
          <t>用户自制Blender资产</t>
        </is>
      </c>
      <c r="X213" s="75" t="inlineStr">
        <is>
          <t>59</t>
        </is>
      </c>
      <c r="Y213" s="6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>
      <c r="A214" s="79" t="inlineStr">
        <is>
          <t>BPK-BASE99-UNDERSTAIR-GREEN-BENCH</t>
        </is>
      </c>
      <c r="B214" s="79" t="inlineStr">
        <is>
          <t>基地99层 · 梯下绿色软垫长凳</t>
        </is>
      </c>
      <c r="C214" s="79" t="inlineStr">
        <is>
          <t>基地资产包</t>
        </is>
      </c>
      <c r="D214" s="79" t="inlineStr">
        <is>
          <t>阁楼下方固定设施包</t>
        </is>
      </c>
      <c r="E214" s="79" t="inlineStr">
        <is>
          <t>base99_package_understair_green_bench</t>
        </is>
      </c>
      <c r="F214" s="79" t="inlineStr">
        <is>
          <t>package_root</t>
        </is>
      </c>
      <c r="G214" s="79" t="inlineStr">
        <is>
          <t>ENV-BASE99-ART-LAYOUT-3D</t>
        </is>
      </c>
      <c r="H214" s="79" t="inlineStr">
        <is>
          <t>Top3D / Blender +Y北</t>
        </is>
      </c>
      <c r="I214" s="79" t="inlineStr">
        <is>
          <t>static / default</t>
        </is>
      </c>
      <c r="J214" s="79" t="inlineStr">
        <is>
          <t>3D-设施 / 基地99层独立资产包</t>
        </is>
      </c>
      <c r="K214" s="79" t="inlineStr">
        <is>
          <t>Blender源已完成</t>
        </is>
      </c>
      <c r="L214" s="79" t="inlineStr">
        <is>
          <t>P1</t>
        </is>
      </c>
      <c r="M214" s="79" t="inlineStr">
        <is>
          <t>v017</t>
        </is>
      </c>
      <c r="N214" s="69" t="inlineStr">
        <is>
          <t>包络 2.580×0.912×1.660m；2 网格；0 灯</t>
        </is>
      </c>
      <c r="O214" s="69" t="inlineStr">
        <is>
          <t>source/art/blender/base_facility_layout/component_packages/underloft/understair_green_bench/asset_manifest.json</t>
        </is>
      </c>
      <c r="P214" s="6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69" t="inlineStr">
        <is>
          <t>基地99层;基地资产包;3D设施;阁楼下方固定设施包;understair_green_bench;PaletteUV</t>
        </is>
      </c>
      <c r="R214" s="69">
        <f>LOWER(TRIM(C214)&amp;"|"&amp;TRIM(D214)&amp;"|"&amp;TRIM(E214)&amp;"|"&amp;TRIM(F214)&amp;"|"&amp;TRIM(H214)&amp;"|"&amp;TRIM(I214))</f>
        <v/>
      </c>
      <c r="S214" s="69">
        <f>IF(COUNTIF($R$6:$R$239,R214)&gt;1,"重复","唯一")</f>
        <v/>
      </c>
      <c r="T214" s="69" t="inlineStr">
        <is>
          <t>5ac9a6343b67f5515d37eafb1feb9057d6809890c184a48acd90df6aa868964c</t>
        </is>
      </c>
      <c r="U214" s="69" t="inlineStr">
        <is>
          <t>Codex</t>
        </is>
      </c>
      <c r="V214" s="78" t="n">
        <v>46269</v>
      </c>
      <c r="W214" s="69" t="inlineStr">
        <is>
          <t>用户自制Blender资产</t>
        </is>
      </c>
      <c r="X214" s="75" t="inlineStr">
        <is>
          <t>57</t>
        </is>
      </c>
      <c r="Y214" s="6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>
      <c r="A215" s="79" t="inlineStr">
        <is>
          <t>BPK-BASE99-UNDERSTAIR-LIGHTING-LIVING-SUPPORT</t>
        </is>
      </c>
      <c r="B215" s="79" t="inlineStr">
        <is>
          <t>基地99层 · 梯下暖光与生活点缀</t>
        </is>
      </c>
      <c r="C215" s="79" t="inlineStr">
        <is>
          <t>基地资产包</t>
        </is>
      </c>
      <c r="D215" s="79" t="inlineStr">
        <is>
          <t>阁楼下方固定设施包</t>
        </is>
      </c>
      <c r="E215" s="79" t="inlineStr">
        <is>
          <t>base99_package_understair_lighting_living_support</t>
        </is>
      </c>
      <c r="F215" s="79" t="inlineStr">
        <is>
          <t>package_root</t>
        </is>
      </c>
      <c r="G215" s="79" t="inlineStr">
        <is>
          <t>ENV-BASE99-ART-LAYOUT-3D</t>
        </is>
      </c>
      <c r="H215" s="79" t="inlineStr">
        <is>
          <t>Top3D / Blender +Y北</t>
        </is>
      </c>
      <c r="I215" s="79" t="inlineStr">
        <is>
          <t>static / fixture_light</t>
        </is>
      </c>
      <c r="J215" s="79" t="inlineStr">
        <is>
          <t>3D-设施 / 基地99层独立资产包</t>
        </is>
      </c>
      <c r="K215" s="79" t="inlineStr">
        <is>
          <t>Blender源已完成</t>
        </is>
      </c>
      <c r="L215" s="79" t="inlineStr">
        <is>
          <t>P1</t>
        </is>
      </c>
      <c r="M215" s="79" t="inlineStr">
        <is>
          <t>v017</t>
        </is>
      </c>
      <c r="N215" s="69" t="inlineStr">
        <is>
          <t>包络 3.100×1.030×3.690m；3 网格；2 灯</t>
        </is>
      </c>
      <c r="O215" s="69" t="inlineStr">
        <is>
          <t>source/art/blender/base_facility_layout/component_packages/underloft/understair_lighting_living_support/asset_manifest.json</t>
        </is>
      </c>
      <c r="P215" s="6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69" t="inlineStr">
        <is>
          <t>基地99层;基地资产包;3D设施;阁楼下方固定设施包;understair_lighting_living_support;PaletteUV</t>
        </is>
      </c>
      <c r="R215" s="69">
        <f>LOWER(TRIM(C215)&amp;"|"&amp;TRIM(D215)&amp;"|"&amp;TRIM(E215)&amp;"|"&amp;TRIM(F215)&amp;"|"&amp;TRIM(H215)&amp;"|"&amp;TRIM(I215))</f>
        <v/>
      </c>
      <c r="S215" s="69">
        <f>IF(COUNTIF($R$6:$R$239,R215)&gt;1,"重复","唯一")</f>
        <v/>
      </c>
      <c r="T215" s="69" t="inlineStr">
        <is>
          <t>45b9c9bf88b00892b8ebf61ba99fafee68c80caee3307bcd7b52ab687069394d</t>
        </is>
      </c>
      <c r="U215" s="69" t="inlineStr">
        <is>
          <t>Codex</t>
        </is>
      </c>
      <c r="V215" s="78" t="n">
        <v>46269</v>
      </c>
      <c r="W215" s="69" t="inlineStr">
        <is>
          <t>用户自制Blender资产</t>
        </is>
      </c>
      <c r="X215" s="75" t="inlineStr">
        <is>
          <t>61</t>
        </is>
      </c>
      <c r="Y215" s="6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>
      <c r="A216" s="79" t="inlineStr">
        <is>
          <t>BPK-BASE99-UNDERSTAIR-STORAGE-SHELF</t>
        </is>
      </c>
      <c r="B216" s="79" t="inlineStr">
        <is>
          <t>基地99层 · 梯下层架与收纳</t>
        </is>
      </c>
      <c r="C216" s="79" t="inlineStr">
        <is>
          <t>基地资产包</t>
        </is>
      </c>
      <c r="D216" s="79" t="inlineStr">
        <is>
          <t>阁楼下方固定设施包</t>
        </is>
      </c>
      <c r="E216" s="79" t="inlineStr">
        <is>
          <t>base99_package_understair_storage_shelf</t>
        </is>
      </c>
      <c r="F216" s="79" t="inlineStr">
        <is>
          <t>package_root</t>
        </is>
      </c>
      <c r="G216" s="79" t="inlineStr">
        <is>
          <t>ENV-BASE99-ART-LAYOUT-3D</t>
        </is>
      </c>
      <c r="H216" s="79" t="inlineStr">
        <is>
          <t>Top3D / Blender +Y北</t>
        </is>
      </c>
      <c r="I216" s="79" t="inlineStr">
        <is>
          <t>static / default</t>
        </is>
      </c>
      <c r="J216" s="79" t="inlineStr">
        <is>
          <t>3D-设施 / 基地99层独立资产包</t>
        </is>
      </c>
      <c r="K216" s="79" t="inlineStr">
        <is>
          <t>Blender源已完成</t>
        </is>
      </c>
      <c r="L216" s="79" t="inlineStr">
        <is>
          <t>P1</t>
        </is>
      </c>
      <c r="M216" s="79" t="inlineStr">
        <is>
          <t>v017</t>
        </is>
      </c>
      <c r="N216" s="69" t="inlineStr">
        <is>
          <t>包络 1.240×0.934×2.600m；2 网格；0 灯</t>
        </is>
      </c>
      <c r="O216" s="69" t="inlineStr">
        <is>
          <t>source/art/blender/base_facility_layout/component_packages/underloft/understair_storage_shelf/asset_manifest.json</t>
        </is>
      </c>
      <c r="P216" s="6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69" t="inlineStr">
        <is>
          <t>基地99层;基地资产包;3D设施;阁楼下方固定设施包;understair_storage_shelf;PaletteUV</t>
        </is>
      </c>
      <c r="R216" s="69">
        <f>LOWER(TRIM(C216)&amp;"|"&amp;TRIM(D216)&amp;"|"&amp;TRIM(E216)&amp;"|"&amp;TRIM(F216)&amp;"|"&amp;TRIM(H216)&amp;"|"&amp;TRIM(I216))</f>
        <v/>
      </c>
      <c r="S216" s="69">
        <f>IF(COUNTIF($R$6:$R$239,R216)&gt;1,"重复","唯一")</f>
        <v/>
      </c>
      <c r="T216" s="69" t="inlineStr">
        <is>
          <t>2e7e296aec13638562542154a7e6c0f60864c65de6baa6f6dd51a33d1146849e</t>
        </is>
      </c>
      <c r="U216" s="69" t="inlineStr">
        <is>
          <t>Codex</t>
        </is>
      </c>
      <c r="V216" s="78" t="n">
        <v>46269</v>
      </c>
      <c r="W216" s="69" t="inlineStr">
        <is>
          <t>用户自制Blender资产</t>
        </is>
      </c>
      <c r="X216" s="75" t="inlineStr">
        <is>
          <t>60</t>
        </is>
      </c>
      <c r="Y216" s="6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>
      <c r="A217" s="79" t="inlineStr">
        <is>
          <t>BPK-BASE99-WEAPON-WORKSHOP-STATION</t>
        </is>
      </c>
      <c r="B217" s="79" t="inlineStr">
        <is>
          <t>基地99层 · 武器工作台与弹药附件</t>
        </is>
      </c>
      <c r="C217" s="79" t="inlineStr">
        <is>
          <t>基地资产包</t>
        </is>
      </c>
      <c r="D217" s="79" t="inlineStr">
        <is>
          <t>阁楼下方固定设施包</t>
        </is>
      </c>
      <c r="E217" s="79" t="inlineStr">
        <is>
          <t>base99_package_weapon_workshop_station</t>
        </is>
      </c>
      <c r="F217" s="79" t="inlineStr">
        <is>
          <t>package_root</t>
        </is>
      </c>
      <c r="G217" s="79" t="inlineStr">
        <is>
          <t>ENV-BASE99-ART-LAYOUT-3D</t>
        </is>
      </c>
      <c r="H217" s="79" t="inlineStr">
        <is>
          <t>Top3D / Blender +Y北</t>
        </is>
      </c>
      <c r="I217" s="79" t="inlineStr">
        <is>
          <t>static / fixture_light</t>
        </is>
      </c>
      <c r="J217" s="79" t="inlineStr">
        <is>
          <t>3D-设施 / 基地99层独立资产包</t>
        </is>
      </c>
      <c r="K217" s="79" t="inlineStr">
        <is>
          <t>正式美术已接入</t>
        </is>
      </c>
      <c r="L217" s="79" t="inlineStr">
        <is>
          <t>P1</t>
        </is>
      </c>
      <c r="M217" s="79" t="inlineStr">
        <is>
          <t>v022</t>
        </is>
      </c>
      <c r="N217" s="69" t="inlineStr">
        <is>
          <t>包络 2.330×6.000×4.491m；12 网格；1 灯</t>
        </is>
      </c>
      <c r="O217" s="69" t="inlineStr">
        <is>
          <t>source/art/blender/base_facility_layout/component_packages/underloft/weapon_workshop_station/asset_manifest.json</t>
        </is>
      </c>
      <c r="P217" s="6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69" t="inlineStr">
        <is>
          <t>基地99层;基地资产包;3D设施;阁楼下方固定设施包;weapon_workshop_station;PaletteUV; monster_archive</t>
        </is>
      </c>
      <c r="R217" s="69">
        <f>LOWER(TRIM(C217)&amp;"|"&amp;TRIM(D217)&amp;"|"&amp;TRIM(E217)&amp;"|"&amp;TRIM(F217)&amp;"|"&amp;TRIM(H217)&amp;"|"&amp;TRIM(I217))</f>
        <v/>
      </c>
      <c r="S217" s="69">
        <f>IF(COUNTIF($R$6:$R$239,R217)&gt;1,"重复","唯一")</f>
        <v/>
      </c>
      <c r="T217" s="69" t="inlineStr">
        <is>
          <t>f568e54a20f9da78496f14a7dc6b5a2480e8d06ae1444556e67eaf1714e52eed</t>
        </is>
      </c>
      <c r="U217" s="69" t="inlineStr">
        <is>
          <t>Codex</t>
        </is>
      </c>
      <c r="V217" s="78" t="n">
        <v>46269</v>
      </c>
      <c r="W217" s="69" t="inlineStr">
        <is>
          <t>用户自制Blender资产</t>
        </is>
      </c>
      <c r="X217" s="75" t="inlineStr">
        <is>
          <t>49</t>
        </is>
      </c>
      <c r="Y217" s="6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>
      <c r="A218" s="79" t="inlineStr">
        <is>
          <t>BPK-BASE99-AIR-COMPRESSOR</t>
        </is>
      </c>
      <c r="B218" s="79" t="inlineStr">
        <is>
          <t>基地99层 · 空气压缩机</t>
        </is>
      </c>
      <c r="C218" s="79" t="inlineStr">
        <is>
          <t>基地资产包</t>
        </is>
      </c>
      <c r="D218" s="79" t="inlineStr">
        <is>
          <t>仓库设施包</t>
        </is>
      </c>
      <c r="E218" s="79" t="inlineStr">
        <is>
          <t>base99_package_air_compressor</t>
        </is>
      </c>
      <c r="F218" s="79" t="inlineStr">
        <is>
          <t>package_root</t>
        </is>
      </c>
      <c r="G218" s="79" t="inlineStr">
        <is>
          <t>ENV-BASE99-ART-LAYOUT-3D</t>
        </is>
      </c>
      <c r="H218" s="79" t="inlineStr">
        <is>
          <t>Top3D / Blender +Y北</t>
        </is>
      </c>
      <c r="I218" s="79" t="inlineStr">
        <is>
          <t>static / default</t>
        </is>
      </c>
      <c r="J218" s="79" t="inlineStr">
        <is>
          <t>3D-设施 / 基地99层独立资产包</t>
        </is>
      </c>
      <c r="K218" s="79" t="inlineStr">
        <is>
          <t>Blender源已完成</t>
        </is>
      </c>
      <c r="L218" s="79" t="inlineStr">
        <is>
          <t>P1</t>
        </is>
      </c>
      <c r="M218" s="79" t="inlineStr">
        <is>
          <t>v017</t>
        </is>
      </c>
      <c r="N218" s="69" t="inlineStr">
        <is>
          <t>包络 2.000×1.450×1.200m；2 网格；0 灯</t>
        </is>
      </c>
      <c r="O218" s="69" t="inlineStr">
        <is>
          <t>source/art/blender/base_facility_layout/component_packages/warehouse/air_compressor/asset_manifest.json</t>
        </is>
      </c>
      <c r="P218" s="6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69" t="inlineStr">
        <is>
          <t>基地99层;基地资产包;3D设施;仓库设施包;air_compressor;PaletteUV</t>
        </is>
      </c>
      <c r="R218" s="69">
        <f>LOWER(TRIM(C218)&amp;"|"&amp;TRIM(D218)&amp;"|"&amp;TRIM(E218)&amp;"|"&amp;TRIM(F218)&amp;"|"&amp;TRIM(H218)&amp;"|"&amp;TRIM(I218))</f>
        <v/>
      </c>
      <c r="S218" s="69">
        <f>IF(COUNTIF($R$6:$R$239,R218)&gt;1,"重复","唯一")</f>
        <v/>
      </c>
      <c r="T218" s="69" t="inlineStr">
        <is>
          <t>fe223a3c61fefa41112c53d0db19456b7fe7fa7a1b96c344dd3731890f520abf</t>
        </is>
      </c>
      <c r="U218" s="69" t="inlineStr">
        <is>
          <t>Codex</t>
        </is>
      </c>
      <c r="V218" s="78" t="n">
        <v>46269</v>
      </c>
      <c r="W218" s="69" t="inlineStr">
        <is>
          <t>用户自制Blender资产</t>
        </is>
      </c>
      <c r="X218" s="75" t="inlineStr">
        <is>
          <t>58</t>
        </is>
      </c>
      <c r="Y218" s="6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>
      <c r="A219" s="79" t="inlineStr">
        <is>
          <t>BPK-BASE99-BACKUP-GENERATOR</t>
        </is>
      </c>
      <c r="B219" s="79" t="inlineStr">
        <is>
          <t>基地99层 · 备用发电机</t>
        </is>
      </c>
      <c r="C219" s="79" t="inlineStr">
        <is>
          <t>基地资产包</t>
        </is>
      </c>
      <c r="D219" s="79" t="inlineStr">
        <is>
          <t>仓库设施包</t>
        </is>
      </c>
      <c r="E219" s="79" t="inlineStr">
        <is>
          <t>base99_package_backup_generator</t>
        </is>
      </c>
      <c r="F219" s="79" t="inlineStr">
        <is>
          <t>package_root</t>
        </is>
      </c>
      <c r="G219" s="79" t="inlineStr">
        <is>
          <t>ENV-BASE99-ART-LAYOUT-3D</t>
        </is>
      </c>
      <c r="H219" s="79" t="inlineStr">
        <is>
          <t>Top3D / Blender +Y北</t>
        </is>
      </c>
      <c r="I219" s="79" t="inlineStr">
        <is>
          <t>static / default</t>
        </is>
      </c>
      <c r="J219" s="79" t="inlineStr">
        <is>
          <t>3D-设施 / 基地99层独立资产包</t>
        </is>
      </c>
      <c r="K219" s="79" t="inlineStr">
        <is>
          <t>Blender源已完成</t>
        </is>
      </c>
      <c r="L219" s="79" t="inlineStr">
        <is>
          <t>P1</t>
        </is>
      </c>
      <c r="M219" s="79" t="inlineStr">
        <is>
          <t>v017</t>
        </is>
      </c>
      <c r="N219" s="69" t="inlineStr">
        <is>
          <t>包络 2.325×3.100×1.655m；3 网格；0 灯</t>
        </is>
      </c>
      <c r="O219" s="69" t="inlineStr">
        <is>
          <t>source/art/blender/base_facility_layout/component_packages/warehouse/backup_generator/asset_manifest.json</t>
        </is>
      </c>
      <c r="P219" s="6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69" t="inlineStr">
        <is>
          <t>基地99层;基地资产包;3D设施;仓库设施包;backup_generator;PaletteUV</t>
        </is>
      </c>
      <c r="R219" s="69">
        <f>LOWER(TRIM(C219)&amp;"|"&amp;TRIM(D219)&amp;"|"&amp;TRIM(E219)&amp;"|"&amp;TRIM(F219)&amp;"|"&amp;TRIM(H219)&amp;"|"&amp;TRIM(I219))</f>
        <v/>
      </c>
      <c r="S219" s="69">
        <f>IF(COUNTIF($R$6:$R$239,R219)&gt;1,"重复","唯一")</f>
        <v/>
      </c>
      <c r="T219" s="69" t="inlineStr">
        <is>
          <t>46365109119549947bf83b6ce9dc5f6f437615a351fe9170e75fa25c7c9bd99a</t>
        </is>
      </c>
      <c r="U219" s="69" t="inlineStr">
        <is>
          <t>Codex</t>
        </is>
      </c>
      <c r="V219" s="78" t="n">
        <v>46269</v>
      </c>
      <c r="W219" s="69" t="inlineStr">
        <is>
          <t>用户自制Blender资产</t>
        </is>
      </c>
      <c r="X219" s="75" t="inlineStr">
        <is>
          <t>53</t>
        </is>
      </c>
      <c r="Y219" s="6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>
      <c r="A220" s="79" t="inlineStr">
        <is>
          <t>BPK-BASE99-BATTERY-BANK</t>
        </is>
      </c>
      <c r="B220" s="79" t="inlineStr">
        <is>
          <t>基地99层 · 蓄电池组</t>
        </is>
      </c>
      <c r="C220" s="79" t="inlineStr">
        <is>
          <t>基地资产包</t>
        </is>
      </c>
      <c r="D220" s="79" t="inlineStr">
        <is>
          <t>仓库设施包</t>
        </is>
      </c>
      <c r="E220" s="79" t="inlineStr">
        <is>
          <t>base99_package_battery_bank</t>
        </is>
      </c>
      <c r="F220" s="79" t="inlineStr">
        <is>
          <t>package_root</t>
        </is>
      </c>
      <c r="G220" s="79" t="inlineStr">
        <is>
          <t>ENV-BASE99-ART-LAYOUT-3D</t>
        </is>
      </c>
      <c r="H220" s="79" t="inlineStr">
        <is>
          <t>Top3D / Blender +Y北</t>
        </is>
      </c>
      <c r="I220" s="79" t="inlineStr">
        <is>
          <t>static / default</t>
        </is>
      </c>
      <c r="J220" s="79" t="inlineStr">
        <is>
          <t>3D-设施 / 基地99层独立资产包</t>
        </is>
      </c>
      <c r="K220" s="79" t="inlineStr">
        <is>
          <t>Blender源已完成</t>
        </is>
      </c>
      <c r="L220" s="79" t="inlineStr">
        <is>
          <t>P1</t>
        </is>
      </c>
      <c r="M220" s="79" t="inlineStr">
        <is>
          <t>v017</t>
        </is>
      </c>
      <c r="N220" s="69" t="inlineStr">
        <is>
          <t>包络 1.320×2.280×0.820m；6 网格；0 灯</t>
        </is>
      </c>
      <c r="O220" s="69" t="inlineStr">
        <is>
          <t>source/art/blender/base_facility_layout/component_packages/warehouse/battery_bank/asset_manifest.json</t>
        </is>
      </c>
      <c r="P220" s="6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69" t="inlineStr">
        <is>
          <t>基地99层;基地资产包;3D设施;仓库设施包;battery_bank;PaletteUV</t>
        </is>
      </c>
      <c r="R220" s="69">
        <f>LOWER(TRIM(C220)&amp;"|"&amp;TRIM(D220)&amp;"|"&amp;TRIM(E220)&amp;"|"&amp;TRIM(F220)&amp;"|"&amp;TRIM(H220)&amp;"|"&amp;TRIM(I220))</f>
        <v/>
      </c>
      <c r="S220" s="69">
        <f>IF(COUNTIF($R$6:$R$239,R220)&gt;1,"重复","唯一")</f>
        <v/>
      </c>
      <c r="T220" s="69" t="inlineStr">
        <is>
          <t>6fdffb163e8c09d489b9b6e8a016ee9f5a2966d88c59210a2631904733bf0417</t>
        </is>
      </c>
      <c r="U220" s="69" t="inlineStr">
        <is>
          <t>Codex</t>
        </is>
      </c>
      <c r="V220" s="78" t="n">
        <v>46269</v>
      </c>
      <c r="W220" s="69" t="inlineStr">
        <is>
          <t>用户自制Blender资产</t>
        </is>
      </c>
      <c r="X220" s="75" t="inlineStr">
        <is>
          <t>54</t>
        </is>
      </c>
      <c r="Y220" s="6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>
      <c r="A221" s="79" t="inlineStr">
        <is>
          <t>BPK-BASE99-HEAVY-SUPPLY-SHELF</t>
        </is>
      </c>
      <c r="B221" s="79" t="inlineStr">
        <is>
          <t>基地99层 · 重型货架与补给箱</t>
        </is>
      </c>
      <c r="C221" s="79" t="inlineStr">
        <is>
          <t>基地资产包</t>
        </is>
      </c>
      <c r="D221" s="79" t="inlineStr">
        <is>
          <t>仓库设施包</t>
        </is>
      </c>
      <c r="E221" s="79" t="inlineStr">
        <is>
          <t>base99_package_heavy_supply_shelf</t>
        </is>
      </c>
      <c r="F221" s="79" t="inlineStr">
        <is>
          <t>package_root</t>
        </is>
      </c>
      <c r="G221" s="79" t="inlineStr">
        <is>
          <t>ENV-BASE99-ART-LAYOUT-3D</t>
        </is>
      </c>
      <c r="H221" s="79" t="inlineStr">
        <is>
          <t>Top3D / Blender +Y北</t>
        </is>
      </c>
      <c r="I221" s="79" t="inlineStr">
        <is>
          <t>static / default</t>
        </is>
      </c>
      <c r="J221" s="79" t="inlineStr">
        <is>
          <t>3D-设施 / 基地99层独立资产包</t>
        </is>
      </c>
      <c r="K221" s="79" t="inlineStr">
        <is>
          <t>Blender源已完成</t>
        </is>
      </c>
      <c r="L221" s="79" t="inlineStr">
        <is>
          <t>P1</t>
        </is>
      </c>
      <c r="M221" s="79" t="inlineStr">
        <is>
          <t>v022</t>
        </is>
      </c>
      <c r="N221" s="69" t="inlineStr">
        <is>
          <t>包络 5.340×0.820×3.640m；22 网格；0 灯</t>
        </is>
      </c>
      <c r="O221" s="69" t="inlineStr">
        <is>
          <t>source/art/blender/base_facility_layout/component_packages/warehouse/heavy_supply_shelf/asset_manifest.json</t>
        </is>
      </c>
      <c r="P221" s="6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69" t="inlineStr">
        <is>
          <t>基地99层;基地资产包;3D设施;仓库设施包;heavy_supply_shelf;PaletteUV</t>
        </is>
      </c>
      <c r="R221" s="69">
        <f>LOWER(TRIM(C221)&amp;"|"&amp;TRIM(D221)&amp;"|"&amp;TRIM(E221)&amp;"|"&amp;TRIM(F221)&amp;"|"&amp;TRIM(H221)&amp;"|"&amp;TRIM(I221))</f>
        <v/>
      </c>
      <c r="S221" s="69">
        <f>IF(COUNTIF($R$6:$R$239,R221)&gt;1,"重复","唯一")</f>
        <v/>
      </c>
      <c r="T221" s="69" t="inlineStr">
        <is>
          <t>0d2048acc401d5580c86cb36de4f34b7e3787150cff3eb1ae8051c37a026e8e7</t>
        </is>
      </c>
      <c r="U221" s="69" t="inlineStr">
        <is>
          <t>Codex</t>
        </is>
      </c>
      <c r="V221" s="78" t="n">
        <v>46269</v>
      </c>
      <c r="W221" s="69" t="inlineStr">
        <is>
          <t>用户自制Blender资产</t>
        </is>
      </c>
      <c r="X221" s="75" t="inlineStr">
        <is>
          <t>51</t>
        </is>
      </c>
      <c r="Y221" s="6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>
      <c r="A222" s="79" t="inlineStr">
        <is>
          <t>BPK-BASE99-HOSE-REEL</t>
        </is>
      </c>
      <c r="B222" s="79" t="inlineStr">
        <is>
          <t>基地99层 · 水管卷盘</t>
        </is>
      </c>
      <c r="C222" s="79" t="inlineStr">
        <is>
          <t>基地资产包</t>
        </is>
      </c>
      <c r="D222" s="79" t="inlineStr">
        <is>
          <t>仓库设施包</t>
        </is>
      </c>
      <c r="E222" s="79" t="inlineStr">
        <is>
          <t>base99_package_hose_reel</t>
        </is>
      </c>
      <c r="F222" s="79" t="inlineStr">
        <is>
          <t>package_root</t>
        </is>
      </c>
      <c r="G222" s="79" t="inlineStr">
        <is>
          <t>ENV-BASE99-ART-LAYOUT-3D</t>
        </is>
      </c>
      <c r="H222" s="79" t="inlineStr">
        <is>
          <t>Top3D / Blender +Y北</t>
        </is>
      </c>
      <c r="I222" s="79" t="inlineStr">
        <is>
          <t>static / default</t>
        </is>
      </c>
      <c r="J222" s="79" t="inlineStr">
        <is>
          <t>3D-设施 / 基地99层独立资产包</t>
        </is>
      </c>
      <c r="K222" s="79" t="inlineStr">
        <is>
          <t>Blender源已完成</t>
        </is>
      </c>
      <c r="L222" s="79" t="inlineStr">
        <is>
          <t>P1</t>
        </is>
      </c>
      <c r="M222" s="79" t="inlineStr">
        <is>
          <t>v017</t>
        </is>
      </c>
      <c r="N222" s="69" t="inlineStr">
        <is>
          <t>包络 1.240×0.250×1.240m；1 网格；0 灯</t>
        </is>
      </c>
      <c r="O222" s="69" t="inlineStr">
        <is>
          <t>source/art/blender/base_facility_layout/component_packages/warehouse/hose_reel/asset_manifest.json</t>
        </is>
      </c>
      <c r="P222" s="6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69" t="inlineStr">
        <is>
          <t>基地99层;基地资产包;3D设施;仓库设施包;hose_reel;PaletteUV</t>
        </is>
      </c>
      <c r="R222" s="69">
        <f>LOWER(TRIM(C222)&amp;"|"&amp;TRIM(D222)&amp;"|"&amp;TRIM(E222)&amp;"|"&amp;TRIM(F222)&amp;"|"&amp;TRIM(H222)&amp;"|"&amp;TRIM(I222))</f>
        <v/>
      </c>
      <c r="S222" s="69">
        <f>IF(COUNTIF($R$6:$R$239,R222)&gt;1,"重复","唯一")</f>
        <v/>
      </c>
      <c r="T222" s="69" t="inlineStr">
        <is>
          <t>0824feeb2d04559927f281f0718fec54324bcd89a2a89a7adfbb9647a0e5778f</t>
        </is>
      </c>
      <c r="U222" s="69" t="inlineStr">
        <is>
          <t>Codex</t>
        </is>
      </c>
      <c r="V222" s="78" t="n">
        <v>46269</v>
      </c>
      <c r="W222" s="69" t="inlineStr">
        <is>
          <t>用户自制Blender资产</t>
        </is>
      </c>
      <c r="X222" s="75" t="inlineStr">
        <is>
          <t>59</t>
        </is>
      </c>
      <c r="Y222" s="6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>
      <c r="A223" s="79" t="inlineStr">
        <is>
          <t>BPK-BASE99-INDUSTRIAL-WATER-TANK</t>
        </is>
      </c>
      <c r="B223" s="79" t="inlineStr">
        <is>
          <t>基地99层 · 工业水箱</t>
        </is>
      </c>
      <c r="C223" s="79" t="inlineStr">
        <is>
          <t>基地资产包</t>
        </is>
      </c>
      <c r="D223" s="79" t="inlineStr">
        <is>
          <t>仓库设施包</t>
        </is>
      </c>
      <c r="E223" s="79" t="inlineStr">
        <is>
          <t>base99_package_industrial_water_tank</t>
        </is>
      </c>
      <c r="F223" s="79" t="inlineStr">
        <is>
          <t>package_root</t>
        </is>
      </c>
      <c r="G223" s="79" t="inlineStr">
        <is>
          <t>ENV-BASE99-ART-LAYOUT-3D</t>
        </is>
      </c>
      <c r="H223" s="79" t="inlineStr">
        <is>
          <t>Top3D / Blender +Y北</t>
        </is>
      </c>
      <c r="I223" s="79" t="inlineStr">
        <is>
          <t>static / default</t>
        </is>
      </c>
      <c r="J223" s="79" t="inlineStr">
        <is>
          <t>3D-设施 / 基地99层独立资产包</t>
        </is>
      </c>
      <c r="K223" s="79" t="inlineStr">
        <is>
          <t>Blender源已完成</t>
        </is>
      </c>
      <c r="L223" s="79" t="inlineStr">
        <is>
          <t>P1</t>
        </is>
      </c>
      <c r="M223" s="79" t="inlineStr">
        <is>
          <t>v017</t>
        </is>
      </c>
      <c r="N223" s="69" t="inlineStr">
        <is>
          <t>包络 2.000×2.000×2.550m；1 网格；0 灯</t>
        </is>
      </c>
      <c r="O223" s="69" t="inlineStr">
        <is>
          <t>source/art/blender/base_facility_layout/component_packages/warehouse/industrial_water_tank/asset_manifest.json</t>
        </is>
      </c>
      <c r="P223" s="6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69" t="inlineStr">
        <is>
          <t>基地99层;基地资产包;3D设施;仓库设施包;industrial_water_tank;PaletteUV</t>
        </is>
      </c>
      <c r="R223" s="69">
        <f>LOWER(TRIM(C223)&amp;"|"&amp;TRIM(D223)&amp;"|"&amp;TRIM(E223)&amp;"|"&amp;TRIM(F223)&amp;"|"&amp;TRIM(H223)&amp;"|"&amp;TRIM(I223))</f>
        <v/>
      </c>
      <c r="S223" s="69">
        <f>IF(COUNTIF($R$6:$R$239,R223)&gt;1,"重复","唯一")</f>
        <v/>
      </c>
      <c r="T223" s="69" t="inlineStr">
        <is>
          <t>dc9600c8d886f01da3ae3155cc834dc3be57a2ce1694443882cde146b37eea1f</t>
        </is>
      </c>
      <c r="U223" s="69" t="inlineStr">
        <is>
          <t>Codex</t>
        </is>
      </c>
      <c r="V223" s="78" t="n">
        <v>46269</v>
      </c>
      <c r="W223" s="69" t="inlineStr">
        <is>
          <t>用户自制Blender资产</t>
        </is>
      </c>
      <c r="X223" s="75" t="inlineStr">
        <is>
          <t>56</t>
        </is>
      </c>
      <c r="Y223" s="6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>
      <c r="A224" s="79" t="inlineStr">
        <is>
          <t>BPK-BASE99-SOUTH-WALL-INFORMATION-BOARDS</t>
        </is>
      </c>
      <c r="B224" s="79" t="inlineStr">
        <is>
          <t>基地99层 · 南墙资料板组</t>
        </is>
      </c>
      <c r="C224" s="79" t="inlineStr">
        <is>
          <t>基地资产包</t>
        </is>
      </c>
      <c r="D224" s="79" t="inlineStr">
        <is>
          <t>仓库设施包</t>
        </is>
      </c>
      <c r="E224" s="79" t="inlineStr">
        <is>
          <t>base99_package_south_wall_information_boards</t>
        </is>
      </c>
      <c r="F224" s="79" t="inlineStr">
        <is>
          <t>package_root</t>
        </is>
      </c>
      <c r="G224" s="79" t="inlineStr">
        <is>
          <t>ENV-BASE99-ART-LAYOUT-3D</t>
        </is>
      </c>
      <c r="H224" s="79" t="inlineStr">
        <is>
          <t>Top3D / Blender +Y北</t>
        </is>
      </c>
      <c r="I224" s="79" t="inlineStr">
        <is>
          <t>static / default</t>
        </is>
      </c>
      <c r="J224" s="79" t="inlineStr">
        <is>
          <t>3D-设施 / 基地99层独立资产包</t>
        </is>
      </c>
      <c r="K224" s="79" t="inlineStr">
        <is>
          <t>Blender源已完成</t>
        </is>
      </c>
      <c r="L224" s="79" t="inlineStr">
        <is>
          <t>P1</t>
        </is>
      </c>
      <c r="M224" s="79" t="inlineStr">
        <is>
          <t>v022</t>
        </is>
      </c>
      <c r="N224" s="69" t="inlineStr">
        <is>
          <t>包络 16.200×0.200×1.300m；6 网格；0 灯</t>
        </is>
      </c>
      <c r="O224" s="69" t="inlineStr">
        <is>
          <t>source/art/blender/base_facility_layout/component_packages/warehouse/south_wall_information_boards/asset_manifest.json</t>
        </is>
      </c>
      <c r="P224" s="6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69" t="inlineStr">
        <is>
          <t>基地99层;基地资产包;3D设施;仓库设施包;south_wall_information_boards;PaletteUV</t>
        </is>
      </c>
      <c r="R224" s="69">
        <f>LOWER(TRIM(C224)&amp;"|"&amp;TRIM(D224)&amp;"|"&amp;TRIM(E224)&amp;"|"&amp;TRIM(F224)&amp;"|"&amp;TRIM(H224)&amp;"|"&amp;TRIM(I224))</f>
        <v/>
      </c>
      <c r="S224" s="69">
        <f>IF(COUNTIF($R$6:$R$239,R224)&gt;1,"重复","唯一")</f>
        <v/>
      </c>
      <c r="T224" s="69" t="inlineStr">
        <is>
          <t>34a301ac94e1f61fe04e6ecbaf7cfd2ac7eba947bfffe534a361ee6f2fd70fa2</t>
        </is>
      </c>
      <c r="U224" s="69" t="inlineStr">
        <is>
          <t>Codex</t>
        </is>
      </c>
      <c r="V224" s="78" t="n">
        <v>46269</v>
      </c>
      <c r="W224" s="69" t="inlineStr">
        <is>
          <t>用户自制Blender资产</t>
        </is>
      </c>
      <c r="X224" s="75" t="inlineStr">
        <is>
          <t>61</t>
        </is>
      </c>
      <c r="Y224" s="6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>
      <c r="A225" s="79" t="inlineStr">
        <is>
          <t>BPK-BASE99-WATER-PURIFIER</t>
        </is>
      </c>
      <c r="B225" s="79" t="inlineStr">
        <is>
          <t>基地99层 · 净水器</t>
        </is>
      </c>
      <c r="C225" s="79" t="inlineStr">
        <is>
          <t>基地资产包</t>
        </is>
      </c>
      <c r="D225" s="79" t="inlineStr">
        <is>
          <t>仓库设施包</t>
        </is>
      </c>
      <c r="E225" s="79" t="inlineStr">
        <is>
          <t>base99_package_water_purifier</t>
        </is>
      </c>
      <c r="F225" s="79" t="inlineStr">
        <is>
          <t>package_root</t>
        </is>
      </c>
      <c r="G225" s="79" t="inlineStr">
        <is>
          <t>ENV-BASE99-ART-LAYOUT-3D</t>
        </is>
      </c>
      <c r="H225" s="79" t="inlineStr">
        <is>
          <t>Top3D / Blender +Y北</t>
        </is>
      </c>
      <c r="I225" s="79" t="inlineStr">
        <is>
          <t>static / default</t>
        </is>
      </c>
      <c r="J225" s="79" t="inlineStr">
        <is>
          <t>3D-设施 / 基地99层独立资产包</t>
        </is>
      </c>
      <c r="K225" s="79" t="inlineStr">
        <is>
          <t>Blender源已完成</t>
        </is>
      </c>
      <c r="L225" s="79" t="inlineStr">
        <is>
          <t>P1</t>
        </is>
      </c>
      <c r="M225" s="79" t="inlineStr">
        <is>
          <t>v022</t>
        </is>
      </c>
      <c r="N225" s="69" t="inlineStr">
        <is>
          <t>包络 1.992×1.500×2.450m；3 网格；0 灯</t>
        </is>
      </c>
      <c r="O225" s="69" t="inlineStr">
        <is>
          <t>source/art/blender/base_facility_layout/component_packages/warehouse/water_purifier/asset_manifest.json</t>
        </is>
      </c>
      <c r="P225" s="6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69" t="inlineStr">
        <is>
          <t>基地99层;基地资产包;3D设施;仓库设施包;water_purifier;PaletteUV</t>
        </is>
      </c>
      <c r="R225" s="69">
        <f>LOWER(TRIM(C225)&amp;"|"&amp;TRIM(D225)&amp;"|"&amp;TRIM(E225)&amp;"|"&amp;TRIM(F225)&amp;"|"&amp;TRIM(H225)&amp;"|"&amp;TRIM(I225))</f>
        <v/>
      </c>
      <c r="S225" s="69">
        <f>IF(COUNTIF($R$6:$R$239,R225)&gt;1,"重复","唯一")</f>
        <v/>
      </c>
      <c r="T225" s="69" t="inlineStr">
        <is>
          <t>ce901e1145a3d1f7c0ee20ba57e89ee224ce84c9d3057e001903b84e4ffad0ad</t>
        </is>
      </c>
      <c r="U225" s="69" t="inlineStr">
        <is>
          <t>Codex</t>
        </is>
      </c>
      <c r="V225" s="78" t="n">
        <v>46269</v>
      </c>
      <c r="W225" s="69" t="inlineStr">
        <is>
          <t>用户自制Blender资产</t>
        </is>
      </c>
      <c r="X225" s="75" t="inlineStr">
        <is>
          <t>57</t>
        </is>
      </c>
      <c r="Y225" s="6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>
      <c r="A226" s="79" t="inlineStr">
        <is>
          <t>BPK-BASE99-EAST-DOOR-ACCESS-CONTROL</t>
        </is>
      </c>
      <c r="B226" s="79" t="inlineStr">
        <is>
          <t>基地99层 · 东墙门禁外围控制</t>
        </is>
      </c>
      <c r="C226" s="79" t="inlineStr">
        <is>
          <t>基地资产包</t>
        </is>
      </c>
      <c r="D226" s="79" t="inlineStr">
        <is>
          <t>东侧固定设施包</t>
        </is>
      </c>
      <c r="E226" s="79" t="inlineStr">
        <is>
          <t>base99_package_east_door_access_control</t>
        </is>
      </c>
      <c r="F226" s="79" t="inlineStr">
        <is>
          <t>package_root</t>
        </is>
      </c>
      <c r="G226" s="79" t="inlineStr">
        <is>
          <t>ENV-BASE99-ART-LAYOUT-3D</t>
        </is>
      </c>
      <c r="H226" s="79" t="inlineStr">
        <is>
          <t>Top3D / Blender +Y北</t>
        </is>
      </c>
      <c r="I226" s="79" t="inlineStr">
        <is>
          <t>static / default</t>
        </is>
      </c>
      <c r="J226" s="79" t="inlineStr">
        <is>
          <t>3D-设施 / 基地99层独立资产包</t>
        </is>
      </c>
      <c r="K226" s="79" t="inlineStr">
        <is>
          <t>Blender源已完成</t>
        </is>
      </c>
      <c r="L226" s="79" t="inlineStr">
        <is>
          <t>P1</t>
        </is>
      </c>
      <c r="M226" s="79" t="inlineStr">
        <is>
          <t>v017</t>
        </is>
      </c>
      <c r="N226" s="69" t="inlineStr">
        <is>
          <t>包络 0.410×1.835×2.731m；17 网格；0 灯</t>
        </is>
      </c>
      <c r="O226" s="69" t="inlineStr">
        <is>
          <t>source/art/blender/base_facility_layout/component_packages/east_facilities/east_door_access_control/asset_manifest.json</t>
        </is>
      </c>
      <c r="P226" s="6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69" t="inlineStr">
        <is>
          <t>基地99层;基地资产包;3D设施;东侧固定设施包;east_door_access_control;PaletteUV</t>
        </is>
      </c>
      <c r="R226" s="69">
        <f>LOWER(TRIM(C226)&amp;"|"&amp;TRIM(D226)&amp;"|"&amp;TRIM(E226)&amp;"|"&amp;TRIM(F226)&amp;"|"&amp;TRIM(H226)&amp;"|"&amp;TRIM(I226))</f>
        <v/>
      </c>
      <c r="S226" s="69">
        <f>IF(COUNTIF($R$6:$R$239,R226)&gt;1,"重复","唯一")</f>
        <v/>
      </c>
      <c r="T226" s="69" t="inlineStr">
        <is>
          <t>a2ae13595d1301377c215e354641f74116c7e7935a2369ddf4f2fb1d2fd681c0</t>
        </is>
      </c>
      <c r="U226" s="69" t="inlineStr">
        <is>
          <t>Codex</t>
        </is>
      </c>
      <c r="V226" s="78" t="n">
        <v>46269</v>
      </c>
      <c r="W226" s="69" t="inlineStr">
        <is>
          <t>用户自制Blender资产</t>
        </is>
      </c>
      <c r="X226" s="75" t="inlineStr">
        <is>
          <t>73</t>
        </is>
      </c>
      <c r="Y226" s="6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>
      <c r="A227" s="79" t="inlineStr">
        <is>
          <t>BPK-BASE99-EAST-DOOR-WALL-MODULE</t>
        </is>
      </c>
      <c r="B227" s="79" t="inlineStr">
        <is>
          <t>基地99层 · 北段带门墙模块</t>
        </is>
      </c>
      <c r="C227" s="79" t="inlineStr">
        <is>
          <t>基地资产包</t>
        </is>
      </c>
      <c r="D227" s="79" t="inlineStr">
        <is>
          <t>建筑结构包</t>
        </is>
      </c>
      <c r="E227" s="79" t="inlineStr">
        <is>
          <t>base99_package_east_door_wall_module</t>
        </is>
      </c>
      <c r="F227" s="79" t="inlineStr">
        <is>
          <t>package_root</t>
        </is>
      </c>
      <c r="G227" s="79" t="inlineStr">
        <is>
          <t>ENV-BASE99-ART-LAYOUT-3D</t>
        </is>
      </c>
      <c r="H227" s="79" t="inlineStr">
        <is>
          <t>Top3D / Blender +Y北</t>
        </is>
      </c>
      <c r="I227" s="79" t="inlineStr">
        <is>
          <t>static / wall_owned_frame</t>
        </is>
      </c>
      <c r="J227" s="79" t="inlineStr">
        <is>
          <t>3D-设施 / 基地99层独立资产包</t>
        </is>
      </c>
      <c r="K227" s="79" t="inlineStr">
        <is>
          <t>Blender源已完成</t>
        </is>
      </c>
      <c r="L227" s="79" t="inlineStr">
        <is>
          <t>P1</t>
        </is>
      </c>
      <c r="M227" s="79" t="inlineStr">
        <is>
          <t>v025</t>
        </is>
      </c>
      <c r="N227" s="69" t="inlineStr">
        <is>
          <t>包络 1.051×5.000×9.000m；1 网格；0 灯</t>
        </is>
      </c>
      <c r="O227" s="69" t="inlineStr">
        <is>
          <t>source/art/blender/base_facility_layout/component_packages/architecture/east_door_wall_module/asset_manifest.json</t>
        </is>
      </c>
      <c r="P227" s="6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69" t="inlineStr">
        <is>
          <t>基地99层;基地资产包;3D设施;建筑结构包;east_door_wall_module;PaletteUV</t>
        </is>
      </c>
      <c r="R227" s="69">
        <f>LOWER(TRIM(C227)&amp;"|"&amp;TRIM(D227)&amp;"|"&amp;TRIM(E227)&amp;"|"&amp;TRIM(F227)&amp;"|"&amp;TRIM(H227)&amp;"|"&amp;TRIM(I227))</f>
        <v/>
      </c>
      <c r="S227" s="69">
        <f>IF(COUNTIF($R$6:$R$239,R227)&gt;1,"重复","唯一")</f>
        <v/>
      </c>
      <c r="T227" s="69" t="inlineStr">
        <is>
          <t>87bf2ab81c6713c2fcfc96fa83303389400b30df878ac64967d95d8c80578f21</t>
        </is>
      </c>
      <c r="U227" s="69" t="inlineStr">
        <is>
          <t>Codex</t>
        </is>
      </c>
      <c r="V227" s="78" t="n">
        <v>46269</v>
      </c>
      <c r="W227" s="69" t="inlineStr">
        <is>
          <t>用户自制Blender资产</t>
        </is>
      </c>
      <c r="X227" s="75" t="inlineStr">
        <is>
          <t>12</t>
        </is>
      </c>
      <c r="Y227" s="6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>
      <c r="A228" s="79" t="inlineStr">
        <is>
          <t>BPK-BASE99-WEST-DOOR-WALL-MODULE</t>
        </is>
      </c>
      <c r="B228" s="79" t="inlineStr">
        <is>
          <t>基地99层 · 西侧第三段带门墙模块</t>
        </is>
      </c>
      <c r="C228" s="79" t="inlineStr">
        <is>
          <t>基地资产包</t>
        </is>
      </c>
      <c r="D228" s="79" t="inlineStr">
        <is>
          <t>建筑结构包</t>
        </is>
      </c>
      <c r="E228" s="79" t="inlineStr">
        <is>
          <t>base99_package_west_door_wall_module</t>
        </is>
      </c>
      <c r="F228" s="79" t="inlineStr">
        <is>
          <t>package_root</t>
        </is>
      </c>
      <c r="G228" s="79" t="inlineStr">
        <is>
          <t>ENV-BASE99-WALL-DOOR-5X9</t>
        </is>
      </c>
      <c r="H228" s="79" t="inlineStr">
        <is>
          <t>Top3D / Blender +Y北</t>
        </is>
      </c>
      <c r="I228" s="79" t="inlineStr">
        <is>
          <t>static / wall_owned_frame</t>
        </is>
      </c>
      <c r="J228" s="79" t="inlineStr">
        <is>
          <t>3D-设施 / 基地99层独立资产包</t>
        </is>
      </c>
      <c r="K228" s="79" t="inlineStr">
        <is>
          <t>Blender源已完成</t>
        </is>
      </c>
      <c r="L228" s="79" t="inlineStr">
        <is>
          <t>P1</t>
        </is>
      </c>
      <c r="M228" s="79" t="inlineStr">
        <is>
          <t>v025</t>
        </is>
      </c>
      <c r="N228" s="69" t="inlineStr">
        <is>
          <t>包络 1.051×5.000×9.000m；1 网格；0 灯</t>
        </is>
      </c>
      <c r="O228" s="69" t="inlineStr">
        <is>
          <t>source/art/blender/base_facility_layout/component_packages/architecture/west_door_wall_module/asset_manifest.json</t>
        </is>
      </c>
      <c r="P228" s="6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69" t="inlineStr">
        <is>
          <t>基地99层;基地资产包;3D设施;建筑结构包;west_door_wall_module;ENV-BASE99-WALL-DOOR-5X9;PaletteUV</t>
        </is>
      </c>
      <c r="R228" s="69">
        <f>LOWER(TRIM(C228)&amp;"|"&amp;TRIM(D228)&amp;"|"&amp;TRIM(E228)&amp;"|"&amp;TRIM(F228)&amp;"|"&amp;TRIM(H228)&amp;"|"&amp;TRIM(I228))</f>
        <v/>
      </c>
      <c r="S228" s="69">
        <f>IF(COUNTIF($R$6:$R$239,R228)&gt;1,"重复","唯一")</f>
        <v/>
      </c>
      <c r="T228" s="69" t="inlineStr">
        <is>
          <t>561879c23a51a6aa3482596abb7ec85b58610759b734bf2d563aac18eee72f65</t>
        </is>
      </c>
      <c r="U228" s="69" t="inlineStr">
        <is>
          <t>Codex</t>
        </is>
      </c>
      <c r="V228" s="78" t="n">
        <v>46269</v>
      </c>
      <c r="W228" s="69" t="inlineStr">
        <is>
          <t>用户自制Blender资产</t>
        </is>
      </c>
      <c r="X228" s="75" t="inlineStr">
        <is>
          <t>114</t>
        </is>
      </c>
      <c r="Y228" s="6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>
      <c r="A229" s="79" t="inlineStr">
        <is>
          <t>BPK-BASE99-WEST-DOOR-LIFT-INSTANCE</t>
        </is>
      </c>
      <c r="B229" s="79" t="inlineStr">
        <is>
          <t>基地99层 · 西侧第三段通用滑升门实例</t>
        </is>
      </c>
      <c r="C229" s="79" t="inlineStr">
        <is>
          <t>基地资产包</t>
        </is>
      </c>
      <c r="D229" s="79" t="inlineStr">
        <is>
          <t>西侧固定设施实例</t>
        </is>
      </c>
      <c r="E229" s="79" t="inlineStr">
        <is>
          <t>base99_placement_west_door_lift_instance</t>
        </is>
      </c>
      <c r="F229" s="79" t="inlineStr">
        <is>
          <t>package_root</t>
        </is>
      </c>
      <c r="G229" s="79" t="inlineStr">
        <is>
          <t>ENV-BASE99-DOOR-LIFT-22X25</t>
        </is>
      </c>
      <c r="H229" s="79" t="inlineStr">
        <is>
          <t>Top3D / Blender +Y北</t>
        </is>
      </c>
      <c r="I229" s="79" t="inlineStr">
        <is>
          <t>static / fixture_light / shared_runtime_asset</t>
        </is>
      </c>
      <c r="J229" s="79" t="inlineStr">
        <is>
          <t>3D-设施 / 基地99层独立资产包</t>
        </is>
      </c>
      <c r="K229" s="79" t="inlineStr">
        <is>
          <t>Blender源已完成</t>
        </is>
      </c>
      <c r="L229" s="79" t="inlineStr">
        <is>
          <t>P1</t>
        </is>
      </c>
      <c r="M229" s="79" t="inlineStr">
        <is>
          <t>v021</t>
        </is>
      </c>
      <c r="N229" s="69" t="inlineStr">
        <is>
          <t>包络 0.898×2.040×2.340m；2 网格；1 灯</t>
        </is>
      </c>
      <c r="O229" s="69" t="inlineStr">
        <is>
          <t>source/art/blender/base_facility_layout/component_packages/west_facilities/west_door_lift_instance/asset_manifest.json</t>
        </is>
      </c>
      <c r="P229" s="6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69" t="inlineStr">
        <is>
          <t>基地99层;基地资产包;3D设施;西侧固定设施实例;west_door_lift_instance;ENV-BASE99-DOOR-LIFT-22X25;PaletteUV</t>
        </is>
      </c>
      <c r="R229" s="69">
        <f>LOWER(TRIM(C229)&amp;"|"&amp;TRIM(D229)&amp;"|"&amp;TRIM(E229)&amp;"|"&amp;TRIM(F229)&amp;"|"&amp;TRIM(H229)&amp;"|"&amp;TRIM(I229))</f>
        <v/>
      </c>
      <c r="S229" s="69">
        <f>IF(COUNTIF($R$6:$R$239,R229)&gt;1,"重复","唯一")</f>
        <v/>
      </c>
      <c r="T229" s="69" t="inlineStr">
        <is>
          <t>8476b5676a9345cef4f7eb9ac64694a546609f71770ff84b548d897f0e53907f</t>
        </is>
      </c>
      <c r="U229" s="69" t="inlineStr">
        <is>
          <t>Codex</t>
        </is>
      </c>
      <c r="V229" s="78" t="n">
        <v>46269</v>
      </c>
      <c r="W229" s="69" t="inlineStr">
        <is>
          <t>用户自制Blender资产</t>
        </is>
      </c>
      <c r="X229" s="75" t="inlineStr">
        <is>
          <t>115</t>
        </is>
      </c>
      <c r="Y229" s="6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>
      <c r="A230" s="79" t="inlineStr">
        <is>
          <t>BPK-BASE99-LOFT-FLOOR-FINISH</t>
        </is>
      </c>
      <c r="B230" s="79" t="inlineStr">
        <is>
          <t>基地99层 · 二楼地板色彩深化</t>
        </is>
      </c>
      <c r="C230" s="79" t="inlineStr">
        <is>
          <t>基地资产包</t>
        </is>
      </c>
      <c r="D230" s="79" t="inlineStr">
        <is>
          <t>地面系统包</t>
        </is>
      </c>
      <c r="E230" s="79" t="inlineStr">
        <is>
          <t>base99_package_loft_floor_finish</t>
        </is>
      </c>
      <c r="F230" s="79" t="inlineStr">
        <is>
          <t>package_root</t>
        </is>
      </c>
      <c r="G230" s="79" t="inlineStr">
        <is>
          <t>ENV-BASE99-ART-LAYOUT-3D</t>
        </is>
      </c>
      <c r="H230" s="79" t="inlineStr">
        <is>
          <t>Top3D / Blender +Y北</t>
        </is>
      </c>
      <c r="I230" s="79" t="inlineStr">
        <is>
          <t>static / default</t>
        </is>
      </c>
      <c r="J230" s="79" t="inlineStr">
        <is>
          <t>3D-设施 / 基地99层独立资产包</t>
        </is>
      </c>
      <c r="K230" s="79" t="inlineStr">
        <is>
          <t>正式美术已接入</t>
        </is>
      </c>
      <c r="L230" s="79" t="inlineStr">
        <is>
          <t>P0</t>
        </is>
      </c>
      <c r="M230" s="79" t="inlineStr">
        <is>
          <t>v017</t>
        </is>
      </c>
      <c r="N230" s="69" t="inlineStr">
        <is>
          <t>包络 19.600×9.600×0.108m；11 对象；源镜像 11 对象</t>
        </is>
      </c>
      <c r="O230" s="69" t="inlineStr">
        <is>
          <t>source/art/blender/base_facility_layout/component_packages/floor/loft_floor_finish/asset_manifest.json</t>
        </is>
      </c>
      <c r="P230" s="6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69" t="inlineStr">
        <is>
          <t>基地99层;基地资产包;3D设施;地面系统包;loft_floor_finish;PaletteUV</t>
        </is>
      </c>
      <c r="R230" s="69">
        <f>LOWER(TRIM(C230)&amp;"|"&amp;TRIM(D230)&amp;"|"&amp;TRIM(E230)&amp;"|"&amp;TRIM(F230)&amp;"|"&amp;TRIM(H230)&amp;"|"&amp;TRIM(I230))</f>
        <v/>
      </c>
      <c r="S230" s="69">
        <f>IF(COUNTIF($R$6:$R$239,R230)&gt;1,"重复","唯一")</f>
        <v/>
      </c>
      <c r="T230" s="69" t="inlineStr">
        <is>
          <t>cdbab0f3c5bc3a4cb41c97cc1522fa2abff0943bcb3e4495d09e323b2552c15b</t>
        </is>
      </c>
      <c r="U230" s="69" t="inlineStr">
        <is>
          <t>Codex</t>
        </is>
      </c>
      <c r="V230" s="78" t="n">
        <v>46269</v>
      </c>
      <c r="W230" s="69" t="inlineStr">
        <is>
          <t>用户自制Blender资产</t>
        </is>
      </c>
      <c r="X230" s="75" t="inlineStr">
        <is>
          <t>—</t>
        </is>
      </c>
      <c r="Y230" s="69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>
      <c r="A231" s="79" t="inlineStr">
        <is>
          <t>ENV-BASE99-WALL-CONTENTS-V021</t>
        </is>
      </c>
      <c r="B231" s="79" t="inlineStr">
        <is>
          <t>基地99层非门墙面内容资产包</t>
        </is>
      </c>
      <c r="C231" s="79" t="inlineStr">
        <is>
          <t>场景</t>
        </is>
      </c>
      <c r="D231" s="79" t="inlineStr">
        <is>
          <t>environment_module_3d</t>
        </is>
      </c>
      <c r="E231" s="79" t="inlineStr">
        <is>
          <t>base99_wall_contents_v021</t>
        </is>
      </c>
      <c r="F231" s="79" t="inlineStr">
        <is>
          <t>wall_content_visual_bundle</t>
        </is>
      </c>
      <c r="G231" s="79" t="inlineStr">
        <is>
          <t>ENV-BASE99-ART-LAYOUT-3D</t>
        </is>
      </c>
      <c r="H231" s="79" t="inlineStr">
        <is>
          <t>Top3D / Blender烘焙布局</t>
        </is>
      </c>
      <c r="I231" s="79" t="inlineStr">
        <is>
          <t>default / visual_only</t>
        </is>
      </c>
      <c r="J231" s="79" t="inlineStr">
        <is>
          <t>99层基地墙面内容</t>
        </is>
      </c>
      <c r="K231" s="79" t="inlineStr">
        <is>
          <t>已导入；优化完成</t>
        </is>
      </c>
      <c r="L231" s="79" t="inlineStr">
        <is>
          <t>P0</t>
        </is>
      </c>
      <c r="M231" s="79" t="inlineStr">
        <is>
          <t>v003</t>
        </is>
      </c>
      <c r="N231" s="79" t="inlineStr">
        <is>
          <t>18包；18网格；86,538三角面；无内置碰撞</t>
        </is>
      </c>
      <c r="O231" s="79" t="inlineStr">
        <is>
          <t>assets/art/environments/base_facility_3d/runtime/env_base99_wall_contents/env_base99_wall_contents_root_top3d.tscn</t>
        </is>
      </c>
      <c r="P231" s="79" t="inlineStr">
        <is>
          <t>source/art/blender/base_facility_layout/source/base_facility_runtime_layout_hq_v026.blend; assets/art/environments/base_facility_3d/source/env_base99_wall_contents_v021_manifest.json</t>
        </is>
      </c>
      <c r="Q231" s="79" t="inlineStr">
        <is>
          <t>基地99层;墙面内容;V021;非门;visual_only;无新增碰撞;Blender坐标复用</t>
        </is>
      </c>
      <c r="R231" s="79">
        <f>LOWER(TRIM(C231)&amp;"|"&amp;TRIM(D231)&amp;"|"&amp;TRIM(E231)&amp;"|"&amp;TRIM(F231)&amp;"|"&amp;TRIM(H231)&amp;"|"&amp;TRIM(I231))</f>
        <v/>
      </c>
      <c r="S231" s="79">
        <f>IF(COUNTIF($R$6:$R$239,R231)&gt;1,"重复","唯一")</f>
        <v/>
      </c>
      <c r="T231" s="79" t="inlineStr">
        <is>
          <t>f2e4c10d268036cd78fdefe1812a203b22bbf05e210f437bb7cd02ed2389f77d</t>
        </is>
      </c>
      <c r="U231" s="79" t="inlineStr">
        <is>
          <t>Codex</t>
        </is>
      </c>
      <c r="V231" s="80" t="n">
        <v>46270</v>
      </c>
      <c r="W231" s="79" t="inlineStr">
        <is>
          <t>用户自制Blender资产</t>
        </is>
      </c>
      <c r="X231" s="75" t="inlineStr">
        <is>
          <t>—</t>
        </is>
      </c>
      <c r="Y231" s="79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>
      <c r="A232" s="79" t="inlineStr">
        <is>
          <t>ENV-BASE99-REMAINING-FACILITIES-V021</t>
        </is>
      </c>
      <c r="B232" s="79" t="inlineStr">
        <is>
          <t>基地99层剩余非门非墙独立设施资产包</t>
        </is>
      </c>
      <c r="C232" s="79" t="inlineStr">
        <is>
          <t>场景</t>
        </is>
      </c>
      <c r="D232" s="79" t="inlineStr">
        <is>
          <t>environment_facility_bundle</t>
        </is>
      </c>
      <c r="E232" s="79" t="inlineStr">
        <is>
          <t>base99_remaining_facilities_v021</t>
        </is>
      </c>
      <c r="F232" s="79" t="inlineStr">
        <is>
          <t>facility_bundle</t>
        </is>
      </c>
      <c r="G232" s="79" t="inlineStr">
        <is>
          <t>ENV-BASE99-ART-LAYOUT-3D</t>
        </is>
      </c>
      <c r="H232" s="79" t="inlineStr">
        <is>
          <t>Top3D / Blender烘焙布局</t>
        </is>
      </c>
      <c r="I232" s="79" t="inlineStr">
        <is>
          <t>default / static + visual_only</t>
        </is>
      </c>
      <c r="J232" s="79" t="inlineStr">
        <is>
          <t>99层基地</t>
        </is>
      </c>
      <c r="K232" s="79" t="inlineStr">
        <is>
          <t>已导入；优化完成</t>
        </is>
      </c>
      <c r="L232" s="79" t="inlineStr">
        <is>
          <t>P0</t>
        </is>
      </c>
      <c r="M232" s="79" t="inlineStr">
        <is>
          <t>v004</t>
        </is>
      </c>
      <c r="N232" s="79" t="inlineStr">
        <is>
          <t>45独立包；45运行时网格；84,274三角面；34包逐物件简化阻挡，11包仅视觉</t>
        </is>
      </c>
      <c r="O232" s="79" t="inlineStr">
        <is>
          <t>assets/art/environments/base_facility_3d/runtime/env_base99_remaining_facilities/env_base99_remaining_facilities_root_top3d.tscn</t>
        </is>
      </c>
      <c r="P232" s="79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79" t="inlineStr">
        <is>
          <t>基地99层；仓储；阁楼家具；环境支持；排除门/墙/地板</t>
        </is>
      </c>
      <c r="R232" s="79">
        <f>LOWER(TRIM(C232)&amp;"|"&amp;TRIM(D232)&amp;"|"&amp;TRIM(E232)&amp;"|"&amp;TRIM(F232)&amp;"|"&amp;TRIM(H232)&amp;"|"&amp;TRIM(I232))</f>
        <v/>
      </c>
      <c r="S232" s="79">
        <f>IF(COUNTIF($R$6:$R$239,R232)&gt;1,"重复","唯一")</f>
        <v/>
      </c>
      <c r="T232" s="79" t="inlineStr">
        <is>
          <t>a5dfe6a7bf658ab2f66eb5bdd8044f68a0ce788ebbca6a654a5ea15a67440ba4</t>
        </is>
      </c>
      <c r="U232" s="79" t="inlineStr">
        <is>
          <t>Codex</t>
        </is>
      </c>
      <c r="V232" s="79" t="inlineStr">
        <is>
          <t>2026-09-05</t>
        </is>
      </c>
      <c r="W232" s="79" t="inlineStr">
        <is>
          <t>base_facility_runtime_layout_hq_v017.blend</t>
        </is>
      </c>
      <c r="X232" s="75" t="inlineStr">
        <is>
          <t>—</t>
        </is>
      </c>
      <c r="Y232" s="79" t="inlineStr">
        <is>
          <t>Godot正式导入完成；45个GLB均公共色盘、无嵌入贴图；基地美术布局已实例化</t>
        </is>
      </c>
    </row>
    <row r="233">
      <c r="A233" s="79" t="inlineStr">
        <is>
          <t>ENV-TOWER-STAIR-FLOOR-LOWER</t>
        </is>
      </c>
      <c r="B233" s="79" t="inlineStr">
        <is>
          <t>楼梯间下层楼板</t>
        </is>
      </c>
      <c r="C233" s="79" t="inlineStr">
        <is>
          <t>场景</t>
        </is>
      </c>
      <c r="D233" s="79" t="inlineStr">
        <is>
          <t>environment_module_3d</t>
        </is>
      </c>
      <c r="E233" s="79" t="inlineStr">
        <is>
          <t>tower_stair_floor_lower</t>
        </is>
      </c>
      <c r="F233" s="79" t="inlineStr">
        <is>
          <t>floor_lower</t>
        </is>
      </c>
      <c r="H233" s="79" t="inlineStr">
        <is>
          <t>Top3D / Blender Z-up</t>
        </is>
      </c>
      <c r="I233" s="79" t="inlineStr">
        <is>
          <t>whitebox / default</t>
        </is>
      </c>
      <c r="J233" s="79" t="inlineStr">
        <is>
          <t>楼梯区专用</t>
        </is>
      </c>
      <c r="K233" s="79" t="inlineStr">
        <is>
          <t>白盒组件</t>
        </is>
      </c>
      <c r="L233" s="79" t="inlineStr">
        <is>
          <t>P1</t>
        </is>
      </c>
      <c r="M233" s="79" t="inlineStr">
        <is>
          <t>v001</t>
        </is>
      </c>
      <c r="N233" s="69" t="inlineStr">
        <is>
          <t>每间下层18块5×5×0.3m固定地砖，完成面+0.1m</t>
        </is>
      </c>
      <c r="O233" s="69" t="inlineStr">
        <is>
          <t>source/art/whitebox/tower_zones/v015/data/whitebox_tower_stairs_v015.json</t>
        </is>
      </c>
      <c r="P233" s="69" t="inlineStr">
        <is>
          <t>source/art/whitebox/tower_zones/v015/blender/whitebox_tower_stairs_v015.blend</t>
        </is>
      </c>
      <c r="Q233" s="79" t="inlineStr">
        <is>
          <t>楼梯间;下层楼板;白盒</t>
        </is>
      </c>
      <c r="R233" s="79">
        <f>LOWER(TRIM(C233)&amp;"|"&amp;TRIM(D233)&amp;"|"&amp;TRIM(E233)&amp;"|"&amp;TRIM(F233)&amp;"|"&amp;TRIM(H233)&amp;"|"&amp;TRIM(I233))</f>
        <v/>
      </c>
      <c r="S233" s="79">
        <f>IF(COUNTIF($R$6:$R$239,R233)&gt;1,"重复","唯一")</f>
        <v/>
      </c>
      <c r="U233" s="79" t="inlineStr">
        <is>
          <t>Codex</t>
        </is>
      </c>
      <c r="V233" s="79" t="inlineStr">
        <is>
          <t>2026-09-14</t>
        </is>
      </c>
      <c r="W233" s="79" t="inlineStr">
        <is>
          <t>用户设计</t>
        </is>
      </c>
      <c r="X233" s="79" t="inlineStr">
        <is>
          <t>—</t>
        </is>
      </c>
      <c r="Y233" s="79" t="inlineStr">
        <is>
          <t>v015原位组件拼装；墙板固定模数+收边件；楼梯高度/坡度参数编辑；Scale=1。</t>
        </is>
      </c>
    </row>
    <row r="234">
      <c r="A234" s="79" t="inlineStr">
        <is>
          <t>ENV-TOWER-STAIR-FLOOR-MID</t>
        </is>
      </c>
      <c r="B234" s="79" t="inlineStr">
        <is>
          <t>楼梯间中层楼板</t>
        </is>
      </c>
      <c r="C234" s="79" t="inlineStr">
        <is>
          <t>场景</t>
        </is>
      </c>
      <c r="D234" s="79" t="inlineStr">
        <is>
          <t>environment_module_3d</t>
        </is>
      </c>
      <c r="E234" s="79" t="inlineStr">
        <is>
          <t>tower_stair_floor_mid</t>
        </is>
      </c>
      <c r="F234" s="79" t="inlineStr">
        <is>
          <t>floor_mid</t>
        </is>
      </c>
      <c r="H234" s="79" t="inlineStr">
        <is>
          <t>Top3D / Blender Z-up</t>
        </is>
      </c>
      <c r="I234" s="79" t="inlineStr">
        <is>
          <t>whitebox / default</t>
        </is>
      </c>
      <c r="J234" s="79" t="inlineStr">
        <is>
          <t>楼梯区专用</t>
        </is>
      </c>
      <c r="K234" s="79" t="inlineStr">
        <is>
          <t>白盒组件</t>
        </is>
      </c>
      <c r="L234" s="79" t="inlineStr">
        <is>
          <t>P1</t>
        </is>
      </c>
      <c r="M234" s="79" t="inlineStr">
        <is>
          <t>v001</t>
        </is>
      </c>
      <c r="N234" s="69" t="inlineStr">
        <is>
          <t>每间中层6块固定拼接件，沿原平台边界收边</t>
        </is>
      </c>
      <c r="O234" s="69" t="inlineStr">
        <is>
          <t>source/art/whitebox/tower_zones/v015/data/whitebox_tower_stairs_v015.json</t>
        </is>
      </c>
      <c r="P234" s="69" t="inlineStr">
        <is>
          <t>source/art/whitebox/tower_zones/v015/blender/whitebox_tower_stairs_v015.blend</t>
        </is>
      </c>
      <c r="Q234" s="79" t="inlineStr">
        <is>
          <t>楼梯间;中层楼板;转角平台;白盒</t>
        </is>
      </c>
      <c r="R234" s="79">
        <f>LOWER(TRIM(C234)&amp;"|"&amp;TRIM(D234)&amp;"|"&amp;TRIM(E234)&amp;"|"&amp;TRIM(F234)&amp;"|"&amp;TRIM(H234)&amp;"|"&amp;TRIM(I234))</f>
        <v/>
      </c>
      <c r="S234" s="79">
        <f>IF(COUNTIF($R$6:$R$239,R234)&gt;1,"重复","唯一")</f>
        <v/>
      </c>
      <c r="U234" s="79" t="inlineStr">
        <is>
          <t>Codex</t>
        </is>
      </c>
      <c r="V234" s="79" t="inlineStr">
        <is>
          <t>2026-09-14</t>
        </is>
      </c>
      <c r="W234" s="79" t="inlineStr">
        <is>
          <t>用户设计</t>
        </is>
      </c>
      <c r="X234" s="79" t="inlineStr">
        <is>
          <t>—</t>
        </is>
      </c>
      <c r="Y234" s="79" t="inlineStr">
        <is>
          <t>v015原位组件拼装；墙板固定模数+收边件；楼梯高度/坡度参数编辑；Scale=1。</t>
        </is>
      </c>
    </row>
    <row r="235">
      <c r="A235" s="79" t="inlineStr">
        <is>
          <t>ENV-TOWER-STAIR-FLOOR-UPPER</t>
        </is>
      </c>
      <c r="B235" s="79" t="inlineStr">
        <is>
          <t>楼梯间上层楼板</t>
        </is>
      </c>
      <c r="C235" s="79" t="inlineStr">
        <is>
          <t>场景</t>
        </is>
      </c>
      <c r="D235" s="79" t="inlineStr">
        <is>
          <t>environment_module_3d</t>
        </is>
      </c>
      <c r="E235" s="79" t="inlineStr">
        <is>
          <t>tower_stair_floor_upper</t>
        </is>
      </c>
      <c r="F235" s="79" t="inlineStr">
        <is>
          <t>floor_upper</t>
        </is>
      </c>
      <c r="H235" s="79" t="inlineStr">
        <is>
          <t>Top3D / Blender Z-up</t>
        </is>
      </c>
      <c r="I235" s="79" t="inlineStr">
        <is>
          <t>whitebox / default</t>
        </is>
      </c>
      <c r="J235" s="79" t="inlineStr">
        <is>
          <t>楼梯区专用</t>
        </is>
      </c>
      <c r="K235" s="79" t="inlineStr">
        <is>
          <t>白盒组件</t>
        </is>
      </c>
      <c r="L235" s="79" t="inlineStr">
        <is>
          <t>P1</t>
        </is>
      </c>
      <c r="M235" s="79" t="inlineStr">
        <is>
          <t>v001</t>
        </is>
      </c>
      <c r="N235" s="69" t="inlineStr">
        <is>
          <t>每间上层6块固定拼接件，另有2块门口连接板</t>
        </is>
      </c>
      <c r="O235" s="69" t="inlineStr">
        <is>
          <t>source/art/whitebox/tower_zones/v015/data/whitebox_tower_stairs_v015.json</t>
        </is>
      </c>
      <c r="P235" s="69" t="inlineStr">
        <is>
          <t>source/art/whitebox/tower_zones/v015/blender/whitebox_tower_stairs_v015.blend</t>
        </is>
      </c>
      <c r="Q235" s="79" t="inlineStr">
        <is>
          <t>楼梯间;上层楼板;白盒</t>
        </is>
      </c>
      <c r="R235" s="79">
        <f>LOWER(TRIM(C235)&amp;"|"&amp;TRIM(D235)&amp;"|"&amp;TRIM(E235)&amp;"|"&amp;TRIM(F235)&amp;"|"&amp;TRIM(H235)&amp;"|"&amp;TRIM(I235))</f>
        <v/>
      </c>
      <c r="S235" s="79">
        <f>IF(COUNTIF($R$6:$R$239,R235)&gt;1,"重复","唯一")</f>
        <v/>
      </c>
      <c r="U235" s="79" t="inlineStr">
        <is>
          <t>Codex</t>
        </is>
      </c>
      <c r="V235" s="79" t="inlineStr">
        <is>
          <t>2026-09-14</t>
        </is>
      </c>
      <c r="W235" s="79" t="inlineStr">
        <is>
          <t>用户设计</t>
        </is>
      </c>
      <c r="X235" s="79" t="inlineStr">
        <is>
          <t>—</t>
        </is>
      </c>
      <c r="Y235" s="79" t="inlineStr">
        <is>
          <t>v015原位组件拼装；墙板固定模数+收边件；楼梯高度/坡度参数编辑；Scale=1。</t>
        </is>
      </c>
    </row>
    <row r="236">
      <c r="A236" s="79" t="inlineStr">
        <is>
          <t>ENV-TOWER-STAIR-FLIGHT-ADJUSTABLE</t>
        </is>
      </c>
      <c r="B236" s="79" t="inlineStr">
        <is>
          <t>楼梯间可调直梯母组件</t>
        </is>
      </c>
      <c r="C236" s="79" t="inlineStr">
        <is>
          <t>场景</t>
        </is>
      </c>
      <c r="D236" s="79" t="inlineStr">
        <is>
          <t>environment_module_3d</t>
        </is>
      </c>
      <c r="E236" s="79" t="inlineStr">
        <is>
          <t>tower_stair_flight_adjustable</t>
        </is>
      </c>
      <c r="F236" s="79" t="inlineStr">
        <is>
          <t>stair_flight</t>
        </is>
      </c>
      <c r="H236" s="79" t="inlineStr">
        <is>
          <t>Top3D / Blender Z-up</t>
        </is>
      </c>
      <c r="I236" s="79" t="inlineStr">
        <is>
          <t>whitebox / default</t>
        </is>
      </c>
      <c r="J236" s="79" t="inlineStr">
        <is>
          <t>楼梯区专用</t>
        </is>
      </c>
      <c r="K236" s="79" t="inlineStr">
        <is>
          <t>白盒组件</t>
        </is>
      </c>
      <c r="L236" s="79" t="inlineStr">
        <is>
          <t>P1</t>
        </is>
      </c>
      <c r="M236" s="79" t="inlineStr">
        <is>
          <t>v002</t>
        </is>
      </c>
      <c r="N236" s="69" t="inlineStr">
        <is>
          <t>单母组件；每跑6m高/15m水平长度/21.8014°；20级；另一跑180°；高度/角度可调</t>
        </is>
      </c>
      <c r="O236" s="69" t="inlineStr">
        <is>
          <t>source/art/whitebox/tower_zones/v015/data/whitebox_tower_stairs_v015.json</t>
        </is>
      </c>
      <c r="P236" s="69" t="inlineStr">
        <is>
          <t>source/art/whitebox/tower_zones/v015/blender/whitebox_tower_stairs_v015.blend</t>
        </is>
      </c>
      <c r="Q236" s="79" t="inlineStr">
        <is>
          <t>楼梯间;直梯;可调坡度;可调长度;白盒</t>
        </is>
      </c>
      <c r="R236" s="79">
        <f>LOWER(TRIM(C236)&amp;"|"&amp;TRIM(D236)&amp;"|"&amp;TRIM(E236)&amp;"|"&amp;TRIM(F236)&amp;"|"&amp;TRIM(H236)&amp;"|"&amp;TRIM(I236))</f>
        <v/>
      </c>
      <c r="S236" s="79">
        <f>IF(COUNTIF($R$6:$R$239,R236)&gt;1,"重复","唯一")</f>
        <v/>
      </c>
      <c r="U236" s="79" t="inlineStr">
        <is>
          <t>Codex</t>
        </is>
      </c>
      <c r="V236" s="79" t="inlineStr">
        <is>
          <t>2026-09-14</t>
        </is>
      </c>
      <c r="W236" s="79" t="inlineStr">
        <is>
          <t>用户设计</t>
        </is>
      </c>
      <c r="X236" s="79" t="inlineStr">
        <is>
          <t>—</t>
        </is>
      </c>
      <c r="Y236" s="79" t="inlineStr">
        <is>
          <t>v015原位组件拼装；墙板固定模数+收边件；楼梯高度/坡度参数编辑；Scale=1。</t>
        </is>
      </c>
    </row>
    <row r="237">
      <c r="A237" s="79" t="inlineStr">
        <is>
          <t>ENV-TOWER-CORNER-COLUMN-05M</t>
        </is>
      </c>
      <c r="B237" s="79" t="inlineStr">
        <is>
          <t>塔楼通用拐角柱</t>
        </is>
      </c>
      <c r="C237" s="79" t="inlineStr">
        <is>
          <t>场景</t>
        </is>
      </c>
      <c r="D237" s="79" t="inlineStr">
        <is>
          <t>environment_module_3d</t>
        </is>
      </c>
      <c r="E237" s="79" t="inlineStr">
        <is>
          <t>tower_corner_column_05m</t>
        </is>
      </c>
      <c r="F237" s="79" t="inlineStr">
        <is>
          <t>corner_column</t>
        </is>
      </c>
      <c r="H237" s="79" t="inlineStr">
        <is>
          <t>Top3D / Blender Z-up</t>
        </is>
      </c>
      <c r="I237" s="79" t="inlineStr">
        <is>
          <t>whitebox / default</t>
        </is>
      </c>
      <c r="J237" s="79" t="inlineStr">
        <is>
          <t>全区块通用</t>
        </is>
      </c>
      <c r="K237" s="79" t="inlineStr">
        <is>
          <t>白盒组件</t>
        </is>
      </c>
      <c r="L237" s="79" t="inlineStr">
        <is>
          <t>P1</t>
        </is>
      </c>
      <c r="M237" s="79" t="inlineStr">
        <is>
          <t>v001</t>
        </is>
      </c>
      <c r="N237" s="79" t="inlineStr">
        <is>
          <t>0.5×0.5×12.9m</t>
        </is>
      </c>
      <c r="O237" s="79" t="inlineStr">
        <is>
          <t>source/art/whitebox/tower_zones/v013/data/stair_component_library_v001.json</t>
        </is>
      </c>
      <c r="P237" s="79" t="inlineStr">
        <is>
          <t>tools/3Dgame-design/src/main.js</t>
        </is>
      </c>
      <c r="Q237" s="79" t="inlineStr">
        <is>
          <t>拐角柱;角柱;通用组件;白盒</t>
        </is>
      </c>
      <c r="R237" s="79">
        <f>LOWER(TRIM(C237)&amp;"|"&amp;TRIM(D237)&amp;"|"&amp;TRIM(E237)&amp;"|"&amp;TRIM(F237)&amp;"|"&amp;TRIM(H237)&amp;"|"&amp;TRIM(I237))</f>
        <v/>
      </c>
      <c r="S237" s="79">
        <f>IF(COUNTIF($R$6:$R$239,R237)&gt;1,"重复","唯一")</f>
        <v/>
      </c>
      <c r="U237" s="79" t="inlineStr">
        <is>
          <t>Codex</t>
        </is>
      </c>
      <c r="V237" s="79" t="inlineStr">
        <is>
          <t>2026-09-14</t>
        </is>
      </c>
      <c r="W237" s="79" t="inlineStr">
        <is>
          <t>用户设计</t>
        </is>
      </c>
      <c r="X237" s="79" t="inlineStr">
        <is>
          <t>—</t>
        </is>
      </c>
      <c r="Y237" s="79" t="inlineStr">
        <is>
          <t>3Dgame-design通用组件；未重新导入Godot。</t>
        </is>
      </c>
    </row>
    <row r="238">
      <c r="A238" s="69" t="inlineStr">
        <is>
          <t>ENV-ROOFTOP-REFERENCE-COMPONENT-LIBRARY</t>
        </is>
      </c>
      <c r="B238" s="69" t="inlineStr">
        <is>
          <t>天台参考组件库</t>
        </is>
      </c>
      <c r="C238" s="69" t="inlineStr">
        <is>
          <t>场景</t>
        </is>
      </c>
      <c r="D238" s="69" t="inlineStr">
        <is>
          <t>environment_kit_3d</t>
        </is>
      </c>
      <c r="E238" s="69" t="inlineStr">
        <is>
          <t>rooftop_reference</t>
        </is>
      </c>
      <c r="F238" s="69" t="inlineStr">
        <is>
          <t>component_library</t>
        </is>
      </c>
      <c r="G238" s="69" t="n"/>
      <c r="H238" s="69" t="inlineStr">
        <is>
          <t>Blender Z-up / -Y</t>
        </is>
      </c>
      <c r="I238" s="69" t="inlineStr">
        <is>
          <t>reference_components</t>
        </is>
      </c>
      <c r="J238" s="69" t="inlineStr">
        <is>
          <t>100F独立组件制作；未接入运行场景</t>
        </is>
      </c>
      <c r="K238" s="69" t="inlineStr">
        <is>
          <t>Blender源已完成</t>
        </is>
      </c>
      <c r="L238" s="69" t="inlineStr">
        <is>
          <t>P1</t>
        </is>
      </c>
      <c r="M238" s="69" t="inlineStr">
        <is>
          <t>v002</t>
        </is>
      </c>
      <c r="N238" s="69" t="inlineStr">
        <is>
          <t>44包 / 45输出网格 / 4材质</t>
        </is>
      </c>
      <c r="O238" s="69" t="inlineStr">
        <is>
          <t>assets/art/environments/tower_zones/rooftop/source/reference_components/v002/天台区块_参考组件库_v002.blend</t>
        </is>
      </c>
      <c r="P238" s="69" t="inlineStr">
        <is>
          <t>用户参考与加厚门口追加要求；v002/qa/验证报告</t>
        </is>
      </c>
      <c r="Q238" s="69" t="inlineStr">
        <is>
          <t>天台;屋顶;女儿墙;外墙;空调;管道;藤蔓</t>
        </is>
      </c>
      <c r="R238" s="69">
        <f>LOWER(TRIM(C238)&amp;"|"&amp;TRIM(D238)&amp;"|"&amp;TRIM(E238)&amp;"|"&amp;TRIM(F238)&amp;"|"&amp;TRIM(H238)&amp;"|"&amp;TRIM(I238))</f>
        <v/>
      </c>
      <c r="S238" s="69">
        <f>IF(COUNTIF($R$6:$R$239,R238)&gt;1,"重复","唯一")</f>
        <v/>
      </c>
      <c r="T238" s="69" t="inlineStr">
        <is>
          <t>ca091c6dec5ac3dc0c63b4e3b28a84934d78d685656388c882087c1a9b9b966e</t>
        </is>
      </c>
      <c r="U238" s="69" t="inlineStr">
        <is>
          <t>Codex</t>
        </is>
      </c>
      <c r="V238" s="69" t="n">
        <v>46282</v>
      </c>
      <c r="W238" s="69" t="inlineStr">
        <is>
          <t>用户提供参考图；Blender几何制作</t>
        </is>
      </c>
      <c r="X238" s="69" t="inlineStr">
        <is>
          <t>项目内部</t>
        </is>
      </c>
      <c r="Y238" s="69" t="inlineStr">
        <is>
          <t>v002新增7个挂藤变体；门口加厚并保持门扇尺寸；其余36包源/输出几何及变换签名一致；未导入Godot。</t>
        </is>
      </c>
    </row>
    <row r="239">
      <c r="A239" s="69" t="inlineStr">
        <is>
          <t>ENV-TOWER-DOOR-LEAF-5M</t>
        </is>
      </c>
      <c r="B239" s="69" t="inlineStr">
        <is>
          <t>塔楼5米门扇模块</t>
        </is>
      </c>
      <c r="C239" s="69" t="inlineStr">
        <is>
          <t>场景</t>
        </is>
      </c>
      <c r="D239" s="69" t="inlineStr">
        <is>
          <t>room_kit</t>
        </is>
      </c>
      <c r="E239" s="69" t="inlineStr">
        <is>
          <t>tower_descent</t>
        </is>
      </c>
      <c r="F239" s="69" t="inlineStr">
        <is>
          <t>door_leaf_5m</t>
        </is>
      </c>
      <c r="G239" s="69" t="inlineStr">
        <is>
          <t>ENV-TOWER-DESCENT-KIT-3D</t>
        </is>
      </c>
      <c r="H239" s="69" t="inlineStr">
        <is>
          <t>俯视3D</t>
        </is>
      </c>
      <c r="I239" s="69" t="inlineStr">
        <is>
          <t>godot_runtime</t>
        </is>
      </c>
      <c r="J239" s="69" t="inlineStr">
        <is>
          <t>普通战斗房/BOSS房/入口安全房的房间门门板（99F 基地滑升门与 start→facility 除外）</t>
        </is>
      </c>
      <c r="K239" s="69" t="inlineStr">
        <is>
          <t>原型已接入</t>
        </is>
      </c>
      <c r="L239" s="69" t="inlineStr">
        <is>
          <t>P0</t>
        </is>
      </c>
      <c r="M239" s="69" t="inlineStr">
        <is>
          <t>v001</t>
        </is>
      </c>
      <c r="N239" s="69" t="inlineStr">
        <is>
          <t>GLB / 可视包络 2.2×2.492×0.18m（底边悬原点上方 0.008m）/ 门扇厚 0.18m / 单 Mesh 四材质角色 / 随门垂直升降 0.32m</t>
        </is>
      </c>
      <c r="O239" s="69" t="inlineStr">
        <is>
          <t>assets/art/environments/tower_descent_3d/components/env_tower_door_leaf_5m_top3d.glb</t>
        </is>
      </c>
      <c r="P239" s="6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69" t="inlineStr">
        <is>
          <t>门扇/门板/door_leaf/door_panel/tower_descent/door_5m</t>
        </is>
      </c>
      <c r="R239" s="69">
        <f>LOWER(TRIM(C239)&amp;"|"&amp;TRIM(D239)&amp;"|"&amp;TRIM(E239)&amp;"|"&amp;TRIM(F239)&amp;"|"&amp;TRIM(H239)&amp;"|"&amp;TRIM(I239))</f>
        <v/>
      </c>
      <c r="S239" s="69">
        <f>IF(COUNTIF($R$6:$R$239,R239)&gt;1,"重复","唯一")</f>
        <v/>
      </c>
      <c r="T239" s="69" t="inlineStr">
        <is>
          <t>067fa07693c766bf8025ee2b47c451b76f3b4f2a04765a7319def325e2702bcc</t>
        </is>
      </c>
      <c r="U239" s="69" t="inlineStr">
        <is>
          <t>Codex</t>
        </is>
      </c>
      <c r="V239" s="69" t="n">
        <v>46284</v>
      </c>
      <c r="W239" s="69" t="inlineStr">
        <is>
          <t>Blender 派生（自 door_5m_通用包）</t>
        </is>
      </c>
      <c r="X239" s="69" t="inlineStr">
        <is>
          <t>—</t>
        </is>
      </c>
      <c r="Y239" s="6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Height="1" s="50"/>
  </sheetData>
  <autoFilter ref="A5:X239"/>
  <mergeCells count="2">
    <mergeCell ref="A1:X2"/>
    <mergeCell ref="A3:X3"/>
  </mergeCells>
  <conditionalFormatting sqref="S6:S239">
    <cfRule type="containsText" priority="1" operator="containsText" dxfId="0" text="重复"/>
  </conditionalFormatting>
  <conditionalFormatting sqref="K6:K239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39" showDropDown="0" showInputMessage="0" showErrorMessage="0" allowBlank="1" type="list">
      <formula1>"角色,敌人,武器,道具,场景,场景道具,基地资产包,UI,特效,音频"</formula1>
    </dataValidation>
    <dataValidation sqref="K6:K239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39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场景通用组件 3D Prefab</t>
        </is>
      </c>
    </row>
    <row r="2" ht="34" customHeight="1" s="50">
      <c r="A2" s="82" t="inlineStr">
        <is>
          <t>关卡结构、地板、墙体、走廊、楼梯与楼板；场景模型统一引用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ENV-BASE99-ART-LAYOUT-3D</t>
        </is>
      </c>
      <c r="B5" s="87" t="inlineStr">
        <is>
          <t>基地区美术</t>
        </is>
      </c>
      <c r="C5" s="87" t="inlineStr">
        <is>
          <t>assets/art/environments/tower_zones/base/runtime/zone_base.tscn</t>
        </is>
      </c>
      <c r="D5" s="87" t="inlineStr"/>
      <c r="E5" s="87" t="inlineStr">
        <is>
          <t>source/art/blender/base_facility_layout/source/base_facility_runtime_layout_hq_v026.blend; source/art/blender/base_facility_layout/source/base_facility_runtime_layout_hq_v026.godot.json</t>
        </is>
      </c>
      <c r="F5" s="87" t="inlineStr">
        <is>
          <t>Blocks/Base/Art区块入口；运行时桥接基地设施与美术布局</t>
        </is>
      </c>
      <c r="G5" s="87" t="inlineStr">
        <is>
          <t>src/world3d/DungeonRoom3D.gd</t>
        </is>
      </c>
      <c r="H5" s="87" t="inlineStr">
        <is>
          <t>无</t>
        </is>
      </c>
      <c r="I5" s="87" t="inlineStr">
        <is>
          <t>无</t>
        </is>
      </c>
      <c r="J5" s="87" t="inlineStr">
        <is>
          <t>无</t>
        </is>
      </c>
      <c r="K5" s="87" t="inlineStr">
        <is>
          <t>未声明</t>
        </is>
      </c>
      <c r="L5" s="87" t="inlineStr">
        <is>
          <t>未声明</t>
        </is>
      </c>
      <c r="M5" s="87" t="inlineStr">
        <is>
          <t>Blocks/Base；99F</t>
        </is>
      </c>
      <c r="N5" s="87" t="inlineStr">
        <is>
          <t>原型已接入</t>
        </is>
      </c>
      <c r="O5" s="87" t="inlineStr">
        <is>
          <t>v002</t>
        </is>
      </c>
      <c r="P5" s="88" t="inlineStr">
        <is>
          <t>根节点=Art(Node3D)；Godot短名和Blender v026源通过账本映射；未重新导入GLB。</t>
        </is>
      </c>
    </row>
    <row r="6" ht="66" customHeight="1" s="50">
      <c r="A6" s="89" t="inlineStr">
        <is>
          <t>ENV-BASE99-WALL-PLAIN-5X12</t>
        </is>
      </c>
      <c r="B6" s="90" t="inlineStr">
        <is>
          <t>基地99层普通墙体5×12米</t>
        </is>
      </c>
      <c r="C6" s="90" t="inlineStr">
        <is>
          <t>assets/art/environments/base_facility_3d/runtime/env_base99_wall_plain_5x12/env_base99_wall_plain_5x12_root_top3d.tscn</t>
        </is>
      </c>
      <c r="D6" s="90" t="inlineStr">
        <is>
          <t>assets/art/environments/base_facility_3d/components/env_base99_wall_plain_5x12/env_base99_wall_plain_5x12_visual_top3d.glb</t>
        </is>
      </c>
      <c r="E6" s="90" t="inlineStr">
        <is>
          <t>assets/art/environments/base_facility_3d/source/wall_height12/env_base99_wall_plain_5x12_source_v002.blend</t>
        </is>
      </c>
      <c r="F6" s="90" t="inlineStr">
        <is>
          <t>5米网格墙视觉；逻辑高12米，可见高11.9米；共享色盘由Godot导入后处理绑定</t>
        </is>
      </c>
      <c r="G6" s="90" t="inlineStr">
        <is>
          <t>src/world3d/DungeonRoom3D.gd</t>
        </is>
      </c>
      <c r="H6" s="90" t="inlineStr">
        <is>
          <t>开</t>
        </is>
      </c>
      <c r="I6" s="90" t="inlineStr">
        <is>
          <t>外部脚本</t>
        </is>
      </c>
      <c r="J6" s="90" t="inlineStr">
        <is>
          <t>BoxShape3D</t>
        </is>
      </c>
      <c r="K6" s="90" t="inlineStr">
        <is>
          <t>5×12×0.36m逻辑外廓；11.9m可见墙；无自带碰撞</t>
        </is>
      </c>
      <c r="L6" s="90" t="inlineStr">
        <is>
          <t>bottom_center；-Z</t>
        </is>
      </c>
      <c r="M6" s="90" t="inlineStr">
        <is>
          <t>99/100层基地普通直墙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根节点=基地99层普通墙体5x12米(Node3D)；PaletteUV共享色盘；碰撞归DungeonRoom3D</t>
        </is>
      </c>
    </row>
    <row r="7" ht="66" customHeight="1" s="50">
      <c r="A7" s="89" t="inlineStr">
        <is>
          <t>ENV-BASE-WORLD-KIT-3D</t>
        </is>
      </c>
      <c r="B7" s="90" t="inlineStr">
        <is>
          <t>入口基地3D环境套件</t>
        </is>
      </c>
      <c r="C7" s="90" t="inlineStr">
        <is>
          <t>assets/art/environments/base_world_3d/env_base_world_kit_top3d.tscn</t>
        </is>
      </c>
      <c r="D7" s="90" t="inlineStr"/>
      <c r="E7" s="90" t="inlineStr"/>
      <c r="F7" s="90" t="inlineStr">
        <is>
          <t>Godot原生场景结构Prefab；由关卡脚本按模块实例化</t>
        </is>
      </c>
      <c r="G7" s="90" t="inlineStr">
        <is>
          <t>src/base3d/BaseWorld3DEnvironment.gd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脚本生成</t>
        </is>
      </c>
      <c r="K7" s="90" t="inlineStr">
        <is>
          <t>约1:100迁移/程序几何</t>
        </is>
      </c>
      <c r="L7" s="90" t="inlineStr">
        <is>
          <t>未声明</t>
        </is>
      </c>
      <c r="M7" s="90" t="inlineStr">
        <is>
          <t>入口基地地图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根节点=BaseWorld3DEnvironment(Node3D)</t>
        </is>
      </c>
    </row>
    <row r="8" ht="66" customHeight="1" s="50">
      <c r="A8" s="89" t="inlineStr">
        <is>
          <t>ENV-DUNGEON-RUNTIME-3D</t>
        </is>
      </c>
      <c r="B8" s="90" t="inlineStr">
        <is>
          <t>3D随机关卡通用房间套件</t>
        </is>
      </c>
      <c r="C8" s="90" t="inlineStr">
        <is>
          <t>assets/art/environments/dungeon_3d/env_dungeon_runtime_kit_top3d.tscn</t>
        </is>
      </c>
      <c r="D8" s="90" t="inlineStr"/>
      <c r="E8" s="90" t="inlineStr"/>
      <c r="F8" s="90" t="inlineStr">
        <is>
          <t>Godot原生场景结构Prefab；由关卡脚本按模块实例化</t>
        </is>
      </c>
      <c r="G8" s="90" t="inlineStr">
        <is>
          <t>src/world3d/DungeonRoom3D.gd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脚本生成</t>
        </is>
      </c>
      <c r="K8" s="90" t="inlineStr">
        <is>
          <t>PackedScene/三档程序几何</t>
        </is>
      </c>
      <c r="L8" s="90" t="inlineStr">
        <is>
          <t>未声明</t>
        </is>
      </c>
      <c r="M8" s="90" t="inlineStr">
        <is>
          <t>四主题副本/随机房间</t>
        </is>
      </c>
      <c r="N8" s="90" t="inlineStr">
        <is>
          <t>原型已接入</t>
        </is>
      </c>
      <c r="O8" s="90" t="inlineStr">
        <is>
          <t>v001</t>
        </is>
      </c>
      <c r="P8" s="91" t="inlineStr">
        <is>
          <t>根节点=DungeonRoom3D(Node3D)</t>
        </is>
      </c>
    </row>
    <row r="9" ht="66" customHeight="1" s="50">
      <c r="A9" s="89" t="inlineStr">
        <is>
          <t>ENV-TRAINING-RANGE-KIT-3D</t>
        </is>
      </c>
      <c r="B9" s="90" t="inlineStr">
        <is>
          <t>独立3D训练靶场套件</t>
        </is>
      </c>
      <c r="C9" s="90" t="inlineStr">
        <is>
          <t>assets/art/environments/training_range_3d/env_training_range_kit_top3d.tscn</t>
        </is>
      </c>
      <c r="D9" s="90" t="inlineStr"/>
      <c r="E9" s="90" t="inlineStr"/>
      <c r="F9" s="90" t="inlineStr">
        <is>
          <t>Godot原生场景结构Prefab；由关卡脚本按模块实例化</t>
        </is>
      </c>
      <c r="G9" s="90" t="inlineStr">
        <is>
          <t>src/training3d/TrainingRangeEnvironment3D.gd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脚本生成</t>
        </is>
      </c>
      <c r="K9" s="90" t="inlineStr">
        <is>
          <t>PackedScene/程序环境</t>
        </is>
      </c>
      <c r="L9" s="90" t="inlineStr">
        <is>
          <t>未声明</t>
        </is>
      </c>
      <c r="M9" s="90" t="inlineStr">
        <is>
          <t>独立训练地图</t>
        </is>
      </c>
      <c r="N9" s="90" t="inlineStr">
        <is>
          <t>原型已接入</t>
        </is>
      </c>
      <c r="O9" s="90" t="inlineStr">
        <is>
          <t>v001</t>
        </is>
      </c>
      <c r="P9" s="91" t="inlineStr">
        <is>
          <t>根节点=TrainingRangeEnvironment3D(Node3D)</t>
        </is>
      </c>
    </row>
    <row r="10" ht="66" customHeight="1" s="50">
      <c r="A10" s="89" t="inlineStr">
        <is>
          <t>ENV-TOWER-CORNER-L-5M</t>
        </is>
      </c>
      <c r="B10" s="90" t="inlineStr">
        <is>
          <t>塔楼L型转角5米</t>
        </is>
      </c>
      <c r="C10" s="90" t="inlineStr">
        <is>
          <t>assets/art/environments/base_facility_3d/runtime/env_base99_corner_l_5m/env_base99_corner_l_5m_collision_top3d.tscn</t>
        </is>
      </c>
      <c r="D10" s="90" t="inlineStr">
        <is>
          <t>assets/art/environments/base_facility_3d/components/env_base99_corner_l_5m/env_base99_corner_l_5m_visual_top3d.glb</t>
        </is>
      </c>
      <c r="E10" s="90" t="inlineStr">
        <is>
          <t>assets/art/environments/base_facility_3d/source/wall_height12/env_base99_corner_l_5m_source_v002.blend</t>
        </is>
      </c>
      <c r="F10" s="90" t="inlineStr">
        <is>
          <t>基地转角视觉包；逻辑高12米，可见高11.9米；共享色盘由Godot导入后处理绑定</t>
        </is>
      </c>
      <c r="G10" s="90" t="inlineStr">
        <is>
          <t>src/world3d/DungeonRoom3D.gd</t>
        </is>
      </c>
      <c r="H10" s="90" t="inlineStr">
        <is>
          <t>开</t>
        </is>
      </c>
      <c r="I10" s="90" t="inlineStr">
        <is>
          <t>外部脚本</t>
        </is>
      </c>
      <c r="J10" s="90" t="inlineStr">
        <is>
          <t>BoxShape3D双墙臂</t>
        </is>
      </c>
      <c r="K10" s="90" t="inlineStr">
        <is>
          <t>5×5×12m逻辑体；11.9m可见墙</t>
        </is>
      </c>
      <c r="L10" s="90" t="inlineStr">
        <is>
          <t>inside_corner_floor；-Z</t>
        </is>
      </c>
      <c r="M10" s="90" t="inlineStr">
        <is>
          <t>99层基地内外围转角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稳定AssetID；视觉包无重复碰撞；12m双臂碰撞归DungeonRoom3D；PaletteUV共享色盘</t>
        </is>
      </c>
    </row>
    <row r="11" ht="66" customHeight="1" s="50">
      <c r="A11" s="89" t="inlineStr">
        <is>
          <t>ENV-TOWER-CORNER-L-PARAPET-5M</t>
        </is>
      </c>
      <c r="B11" s="90" t="inlineStr">
        <is>
          <t>塔楼L型女儿墙转角5米</t>
        </is>
      </c>
      <c r="C11" s="90" t="inlineStr">
        <is>
          <t>assets/art/props/dungeon_3d/prp_corner_L_parapet_5m.tscn</t>
        </is>
      </c>
      <c r="D11" s="90" t="inlineStr"/>
      <c r="E11" s="90" t="inlineStr"/>
      <c r="F11" s="90" t="inlineStr">
        <is>
          <t>Godot原生场景结构Prefab；由关卡脚本按模块实例化</t>
        </is>
      </c>
      <c r="G11" s="90" t="inlineStr">
        <is>
          <t>src/world3d/TowerFloorStage3D.gd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未声明</t>
        </is>
      </c>
      <c r="L11" s="90" t="inlineStr">
        <is>
          <t>未声明</t>
        </is>
      </c>
      <c r="M11" s="90" t="inlineStr">
        <is>
          <t>场景通用组件</t>
        </is>
      </c>
      <c r="N11" s="90" t="inlineStr">
        <is>
          <t>程序占位</t>
        </is>
      </c>
      <c r="O11" s="90" t="inlineStr">
        <is>
          <t>v001</t>
        </is>
      </c>
      <c r="P11" s="91" t="inlineStr">
        <is>
          <t>根节点=PrpCornerLParapet5m(Node3D)；2026-08-18扫描补登记资产主表</t>
        </is>
      </c>
    </row>
    <row r="12" ht="66" customHeight="1" s="50">
      <c r="A12" s="89" t="inlineStr">
        <is>
          <t>ENV-TOWER-CORNER-T-5M</t>
        </is>
      </c>
      <c r="B12" s="90" t="inlineStr">
        <is>
          <t>塔楼T型转角5米</t>
        </is>
      </c>
      <c r="C12" s="90" t="inlineStr">
        <is>
          <t>assets/art/props/dungeon_3d/prp_corner_T_5m.tscn</t>
        </is>
      </c>
      <c r="D12" s="90" t="inlineStr"/>
      <c r="E12" s="90" t="inlineStr"/>
      <c r="F12" s="90" t="inlineStr">
        <is>
          <t>Godot原生场景结构Prefab；由关卡脚本按模块实例化</t>
        </is>
      </c>
      <c r="G12" s="90" t="inlineStr">
        <is>
          <t>src/world3d/DungeonRoom3D.gd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未声明</t>
        </is>
      </c>
      <c r="L12" s="90" t="inlineStr">
        <is>
          <t>未声明</t>
        </is>
      </c>
      <c r="M12" s="90" t="inlineStr">
        <is>
          <t>场景通用组件</t>
        </is>
      </c>
      <c r="N12" s="90" t="inlineStr">
        <is>
          <t>程序占位</t>
        </is>
      </c>
      <c r="O12" s="90" t="inlineStr">
        <is>
          <t>v001</t>
        </is>
      </c>
      <c r="P12" s="91" t="inlineStr">
        <is>
          <t>根节点=PrpCornerT5m(Node3D)；2026-08-18扫描补登记资产主表</t>
        </is>
      </c>
    </row>
    <row r="13" ht="66" customHeight="1" s="50">
      <c r="A13" s="89" t="inlineStr">
        <is>
          <t>ENV-TOWER-CORNER-X-5M</t>
        </is>
      </c>
      <c r="B13" s="90" t="inlineStr">
        <is>
          <t>塔楼十字转角5米</t>
        </is>
      </c>
      <c r="C13" s="90" t="inlineStr">
        <is>
          <t>assets/art/props/dungeon_3d/prp_corner_X_5m.tscn</t>
        </is>
      </c>
      <c r="D13" s="90" t="inlineStr"/>
      <c r="E13" s="90" t="inlineStr"/>
      <c r="F13" s="90" t="inlineStr">
        <is>
          <t>Godot原生场景结构Prefab；由关卡脚本按模块实例化</t>
        </is>
      </c>
      <c r="G13" s="90" t="inlineStr">
        <is>
          <t>src/world3d/DungeonRoom3D.gd</t>
        </is>
      </c>
      <c r="H13" s="90" t="inlineStr">
        <is>
          <t>开</t>
        </is>
      </c>
      <c r="I13" s="90" t="inlineStr">
        <is>
          <t>Prefab自身</t>
        </is>
      </c>
      <c r="J13" s="90" t="inlineStr">
        <is>
          <t>BoxShape3D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场景通用组件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根节点=PrpCornerX5m(Node3D)；2026-08-18扫描补登记资产主表</t>
        </is>
      </c>
    </row>
    <row r="14" ht="66" customHeight="1" s="50">
      <c r="A14" s="89" t="inlineStr">
        <is>
          <t>ENV-DUNGEON-CORRIDOR-CEILING-SEGMENT</t>
        </is>
      </c>
      <c r="B14" s="90" t="inlineStr">
        <is>
          <t>地牢走廊天花段</t>
        </is>
      </c>
      <c r="C14" s="90" t="inlineStr">
        <is>
          <t>assets/art/props/dungeon_3d/prp_corridor_ceiling_segment.tscn</t>
        </is>
      </c>
      <c r="D14" s="90" t="inlineStr"/>
      <c r="E14" s="90" t="inlineStr"/>
      <c r="F14" s="90" t="inlineStr">
        <is>
          <t>Godot原生场景结构Prefab；由关卡脚本按模块实例化</t>
        </is>
      </c>
      <c r="G14" s="90" t="inlineStr">
        <is>
          <t>src/world3d/DungeonRoom3D.gd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BoxShape3D</t>
        </is>
      </c>
      <c r="K14" s="90" t="inlineStr">
        <is>
          <t>未声明</t>
        </is>
      </c>
      <c r="L14" s="90" t="inlineStr">
        <is>
          <t>未声明</t>
        </is>
      </c>
      <c r="M14" s="90" t="inlineStr">
        <is>
          <t>场景通用组件</t>
        </is>
      </c>
      <c r="N14" s="90" t="inlineStr">
        <is>
          <t>程序占位</t>
        </is>
      </c>
      <c r="O14" s="90" t="inlineStr">
        <is>
          <t>v001</t>
        </is>
      </c>
      <c r="P14" s="91" t="inlineStr">
        <is>
          <t>根节点=PrpCorridorCeilingSegment(Node3D)；2026-08-18扫描补登记资产主表</t>
        </is>
      </c>
    </row>
    <row r="15" ht="66" customHeight="1" s="50">
      <c r="A15" s="89" t="inlineStr">
        <is>
          <t>ENV-DUNGEON-CORRIDOR-FLOOR-SEGMENT</t>
        </is>
      </c>
      <c r="B15" s="90" t="inlineStr">
        <is>
          <t>地牢走廊地板段</t>
        </is>
      </c>
      <c r="C15" s="90" t="inlineStr">
        <is>
          <t>assets/art/props/dungeon_3d/prp_corridor_floor_segment.tscn</t>
        </is>
      </c>
      <c r="D15" s="90" t="inlineStr"/>
      <c r="E15" s="90" t="inlineStr"/>
      <c r="F15" s="90" t="inlineStr">
        <is>
          <t>Godot原生场景结构Prefab；由关卡脚本按模块实例化</t>
        </is>
      </c>
      <c r="G15" s="90" t="inlineStr">
        <is>
          <t>src/world3d/DungeonRoom3D.gd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BoxShape3D</t>
        </is>
      </c>
      <c r="K15" s="90" t="inlineStr">
        <is>
          <t>未声明</t>
        </is>
      </c>
      <c r="L15" s="90" t="inlineStr">
        <is>
          <t>未声明</t>
        </is>
      </c>
      <c r="M15" s="90" t="inlineStr">
        <is>
          <t>场景通用组件</t>
        </is>
      </c>
      <c r="N15" s="90" t="inlineStr">
        <is>
          <t>程序占位</t>
        </is>
      </c>
      <c r="O15" s="90" t="inlineStr">
        <is>
          <t>v001</t>
        </is>
      </c>
      <c r="P15" s="91" t="inlineStr">
        <is>
          <t>根节点=PrpCorridorFloorSegment(Node3D)；2026-08-18扫描补登记资产主表</t>
        </is>
      </c>
    </row>
    <row r="16" ht="66" customHeight="1" s="50">
      <c r="A16" s="89" t="inlineStr">
        <is>
          <t>ENV-DUNGEON-CORRIDOR-STAIR-TREAD</t>
        </is>
      </c>
      <c r="B16" s="90" t="inlineStr">
        <is>
          <t>地牢走廊楼梯踏步</t>
        </is>
      </c>
      <c r="C16" s="90" t="inlineStr">
        <is>
          <t>assets/art/props/dungeon_3d/prp_corridor_stair_tread.tscn</t>
        </is>
      </c>
      <c r="D16" s="90" t="inlineStr"/>
      <c r="E16" s="90" t="inlineStr"/>
      <c r="F16" s="90" t="inlineStr">
        <is>
          <t>Godot原生场景结构Prefab；由关卡脚本按模块实例化</t>
        </is>
      </c>
      <c r="G16" s="90" t="inlineStr">
        <is>
          <t>src/world3d/DungeonRoom3D.gd</t>
        </is>
      </c>
      <c r="H16" s="90" t="inlineStr">
        <is>
          <t>无</t>
        </is>
      </c>
      <c r="I16" s="90" t="inlineStr">
        <is>
          <t>无</t>
        </is>
      </c>
      <c r="J16" s="90" t="inlineStr">
        <is>
          <t>无</t>
        </is>
      </c>
      <c r="K16" s="90" t="inlineStr">
        <is>
          <t>未声明</t>
        </is>
      </c>
      <c r="L16" s="90" t="inlineStr">
        <is>
          <t>未声明</t>
        </is>
      </c>
      <c r="M16" s="90" t="inlineStr">
        <is>
          <t>场景通用组件</t>
        </is>
      </c>
      <c r="N16" s="90" t="inlineStr">
        <is>
          <t>程序占位</t>
        </is>
      </c>
      <c r="O16" s="90" t="inlineStr">
        <is>
          <t>v001</t>
        </is>
      </c>
      <c r="P16" s="91" t="inlineStr">
        <is>
          <t>根节点=PrpCorridorStairTread(Node3D)；2026-08-18扫描补登记资产主表</t>
        </is>
      </c>
    </row>
    <row r="17" ht="66" customHeight="1" s="50">
      <c r="A17" s="89" t="inlineStr">
        <is>
          <t>ENV-DUNGEON-CORRIDOR-WALL-SEGMENT</t>
        </is>
      </c>
      <c r="B17" s="90" t="inlineStr">
        <is>
          <t>地牢走廊墙段</t>
        </is>
      </c>
      <c r="C17" s="90" t="inlineStr">
        <is>
          <t>assets/art/props/dungeon_3d/prp_corridor_wall_segment.tscn</t>
        </is>
      </c>
      <c r="D17" s="90" t="inlineStr"/>
      <c r="E17" s="90" t="inlineStr"/>
      <c r="F17" s="90" t="inlineStr">
        <is>
          <t>Godot原生场景结构Prefab；由关卡脚本按模块实例化</t>
        </is>
      </c>
      <c r="G17" s="90" t="inlineStr">
        <is>
          <t>src/world3d/DungeonRoom3D.gd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BoxShape3D</t>
        </is>
      </c>
      <c r="K17" s="90" t="inlineStr">
        <is>
          <t>未声明</t>
        </is>
      </c>
      <c r="L17" s="90" t="inlineStr">
        <is>
          <t>未声明</t>
        </is>
      </c>
      <c r="M17" s="90" t="inlineStr">
        <is>
          <t>场景通用组件</t>
        </is>
      </c>
      <c r="N17" s="90" t="inlineStr">
        <is>
          <t>程序占位</t>
        </is>
      </c>
      <c r="O17" s="90" t="inlineStr">
        <is>
          <t>v001</t>
        </is>
      </c>
      <c r="P17" s="91" t="inlineStr">
        <is>
          <t>根节点=PrpCorridorWallSegment(Node3D)；2026-08-18扫描补登记资产主表</t>
        </is>
      </c>
    </row>
    <row r="18" ht="66" customHeight="1" s="50">
      <c r="A18" s="89" t="inlineStr">
        <is>
          <t>ENV-DUNGEON-ROOM-ACCESS-STEP</t>
        </is>
      </c>
      <c r="B18" s="90" t="inlineStr">
        <is>
          <t>房间接入台阶</t>
        </is>
      </c>
      <c r="C18" s="90" t="inlineStr">
        <is>
          <t>assets/art/props/dungeon_3d/prp_room_access_step.tscn</t>
        </is>
      </c>
      <c r="D18" s="90" t="inlineStr"/>
      <c r="E18" s="90" t="inlineStr"/>
      <c r="F18" s="90" t="inlineStr">
        <is>
          <t>Godot原生场景结构Prefab；由关卡脚本按模块实例化</t>
        </is>
      </c>
      <c r="G18" s="90" t="inlineStr">
        <is>
          <t>src/world3d/DungeonRoom3D.gd</t>
        </is>
      </c>
      <c r="H18" s="90" t="inlineStr">
        <is>
          <t>无</t>
        </is>
      </c>
      <c r="I18" s="90" t="inlineStr">
        <is>
          <t>无</t>
        </is>
      </c>
      <c r="J18" s="90" t="inlineStr">
        <is>
          <t>无</t>
        </is>
      </c>
      <c r="K18" s="90" t="inlineStr">
        <is>
          <t>未声明</t>
        </is>
      </c>
      <c r="L18" s="90" t="inlineStr">
        <is>
          <t>未声明</t>
        </is>
      </c>
      <c r="M18" s="90" t="inlineStr">
        <is>
          <t>场景通用组件</t>
        </is>
      </c>
      <c r="N18" s="90" t="inlineStr">
        <is>
          <t>程序占位</t>
        </is>
      </c>
      <c r="O18" s="90" t="inlineStr">
        <is>
          <t>v001</t>
        </is>
      </c>
      <c r="P18" s="91" t="inlineStr">
        <is>
          <t>根节点=PrpRoomAccessStep(Node3D)；2026-08-18扫描补登记资产主表</t>
        </is>
      </c>
    </row>
    <row r="19" ht="66" customHeight="1" s="50">
      <c r="A19" s="89" t="inlineStr">
        <is>
          <t>ENV-DUNGEON-ROOM-CORNER-POST</t>
        </is>
      </c>
      <c r="B19" s="90" t="inlineStr">
        <is>
          <t>房间转角立柱</t>
        </is>
      </c>
      <c r="C19" s="90" t="inlineStr">
        <is>
          <t>assets/art/props/dungeon_3d/prp_room_corner_post.tscn</t>
        </is>
      </c>
      <c r="D19" s="90" t="inlineStr"/>
      <c r="E19" s="90" t="inlineStr"/>
      <c r="F19" s="90" t="inlineStr">
        <is>
          <t>Godot原生场景结构Prefab；由关卡脚本按模块实例化</t>
        </is>
      </c>
      <c r="G19" s="90" t="inlineStr">
        <is>
          <t>src/world3d/DungeonRoom3D.gd</t>
        </is>
      </c>
      <c r="H19" s="90" t="inlineStr">
        <is>
          <t>开</t>
        </is>
      </c>
      <c r="I19" s="90" t="inlineStr">
        <is>
          <t>Prefab自身</t>
        </is>
      </c>
      <c r="J19" s="90" t="inlineStr">
        <is>
          <t>BoxShape3D</t>
        </is>
      </c>
      <c r="K19" s="90" t="inlineStr">
        <is>
          <t>未声明</t>
        </is>
      </c>
      <c r="L19" s="90" t="inlineStr">
        <is>
          <t>未声明</t>
        </is>
      </c>
      <c r="M19" s="90" t="inlineStr">
        <is>
          <t>场景通用组件</t>
        </is>
      </c>
      <c r="N19" s="90" t="inlineStr">
        <is>
          <t>程序占位</t>
        </is>
      </c>
      <c r="O19" s="90" t="inlineStr">
        <is>
          <t>v001</t>
        </is>
      </c>
      <c r="P19" s="91" t="inlineStr">
        <is>
          <t>根节点=PrpRoomCornerPost(Node3D)；2026-08-18扫描补登记资产主表</t>
        </is>
      </c>
    </row>
    <row r="20" ht="66" customHeight="1" s="50">
      <c r="A20" s="89" t="inlineStr">
        <is>
          <t>ENV-DUNGEON-ROOM-DOOR-LINTEL</t>
        </is>
      </c>
      <c r="B20" s="90" t="inlineStr">
        <is>
          <t>房间门楣</t>
        </is>
      </c>
      <c r="C20" s="90" t="inlineStr">
        <is>
          <t>assets/art/props/dungeon_3d/prp_room_door_lintel.tscn</t>
        </is>
      </c>
      <c r="D20" s="90" t="inlineStr"/>
      <c r="E20" s="90" t="inlineStr"/>
      <c r="F20" s="90" t="inlineStr">
        <is>
          <t>Godot原生场景结构Prefab；由关卡脚本按模块实例化</t>
        </is>
      </c>
      <c r="G20" s="90" t="inlineStr">
        <is>
          <t>src/world3d/DungeonRoom3D.gd</t>
        </is>
      </c>
      <c r="H20" s="90" t="inlineStr">
        <is>
          <t>无</t>
        </is>
      </c>
      <c r="I20" s="90" t="inlineStr">
        <is>
          <t>无</t>
        </is>
      </c>
      <c r="J20" s="90" t="inlineStr">
        <is>
          <t>无</t>
        </is>
      </c>
      <c r="K20" s="90" t="inlineStr">
        <is>
          <t>未声明</t>
        </is>
      </c>
      <c r="L20" s="90" t="inlineStr">
        <is>
          <t>未声明</t>
        </is>
      </c>
      <c r="M20" s="90" t="inlineStr">
        <is>
          <t>场景通用组件</t>
        </is>
      </c>
      <c r="N20" s="90" t="inlineStr">
        <is>
          <t>程序占位</t>
        </is>
      </c>
      <c r="O20" s="90" t="inlineStr">
        <is>
          <t>v001</t>
        </is>
      </c>
      <c r="P20" s="91" t="inlineStr">
        <is>
          <t>根节点=PrpRoomDoorLintel(Node3D)；2026-08-18扫描补登记资产主表</t>
        </is>
      </c>
    </row>
    <row r="21" ht="66" customHeight="1" s="50">
      <c r="A21" s="89" t="inlineStr">
        <is>
          <t>ENV-DUNGEON-FACILITY-WALL-DOOR-SIDE</t>
        </is>
      </c>
      <c r="B21" s="90" t="inlineStr">
        <is>
          <t>基地设施门墙侧柱</t>
        </is>
      </c>
      <c r="C21" s="90" t="inlineStr">
        <is>
          <t>assets/art/props/dungeon_3d/prp_room_facility_base_wall_door_side.tscn</t>
        </is>
      </c>
      <c r="D21" s="90" t="inlineStr"/>
      <c r="E21" s="90" t="inlineStr"/>
      <c r="F21" s="90" t="inlineStr">
        <is>
          <t>Godot原生场景结构Prefab；由关卡脚本按模块实例化</t>
        </is>
      </c>
      <c r="G21" s="90" t="inlineStr">
        <is>
          <t>src/world3d/DungeonRoom3D.gd</t>
        </is>
      </c>
      <c r="H21" s="90" t="inlineStr">
        <is>
          <t>开</t>
        </is>
      </c>
      <c r="I21" s="90" t="inlineStr">
        <is>
          <t>Prefab自身</t>
        </is>
      </c>
      <c r="J21" s="90" t="inlineStr">
        <is>
          <t>BoxShape3D</t>
        </is>
      </c>
      <c r="K21" s="90" t="inlineStr">
        <is>
          <t>未声明</t>
        </is>
      </c>
      <c r="L21" s="90" t="inlineStr">
        <is>
          <t>未声明</t>
        </is>
      </c>
      <c r="M21" s="90" t="inlineStr">
        <is>
          <t>场景通用组件</t>
        </is>
      </c>
      <c r="N21" s="90" t="inlineStr">
        <is>
          <t>程序占位</t>
        </is>
      </c>
      <c r="O21" s="90" t="inlineStr">
        <is>
          <t>v001</t>
        </is>
      </c>
      <c r="P21" s="91" t="inlineStr">
        <is>
          <t>根节点=PrpRoomFacilityBaseWallDoorSide(Node3D)；2026-08-18扫描补登记资产主表</t>
        </is>
      </c>
    </row>
    <row r="22" ht="66" customHeight="1" s="50">
      <c r="A22" s="89" t="inlineStr">
        <is>
          <t>ENV-DUNGEON-FACILITY-WALL-LINTEL</t>
        </is>
      </c>
      <c r="B22" s="90" t="inlineStr">
        <is>
          <t>基地设施墙门楣</t>
        </is>
      </c>
      <c r="C22" s="90" t="inlineStr">
        <is>
          <t>assets/art/props/dungeon_3d/prp_room_facility_base_wall_lintel.tscn</t>
        </is>
      </c>
      <c r="D22" s="90" t="inlineStr"/>
      <c r="E22" s="90" t="inlineStr"/>
      <c r="F22" s="90" t="inlineStr">
        <is>
          <t>Godot原生场景结构Prefab；由关卡脚本按模块实例化</t>
        </is>
      </c>
      <c r="G22" s="90" t="inlineStr">
        <is>
          <t>src/world3d/DungeonRoom3D.gd</t>
        </is>
      </c>
      <c r="H22" s="90" t="inlineStr">
        <is>
          <t>开</t>
        </is>
      </c>
      <c r="I22" s="90" t="inlineStr">
        <is>
          <t>Prefab自身</t>
        </is>
      </c>
      <c r="J22" s="90" t="inlineStr">
        <is>
          <t>BoxShape3D</t>
        </is>
      </c>
      <c r="K22" s="90" t="inlineStr">
        <is>
          <t>未声明</t>
        </is>
      </c>
      <c r="L22" s="90" t="inlineStr">
        <is>
          <t>未声明</t>
        </is>
      </c>
      <c r="M22" s="90" t="inlineStr">
        <is>
          <t>场景通用组件</t>
        </is>
      </c>
      <c r="N22" s="90" t="inlineStr">
        <is>
          <t>程序占位</t>
        </is>
      </c>
      <c r="O22" s="90" t="inlineStr">
        <is>
          <t>v001</t>
        </is>
      </c>
      <c r="P22" s="91" t="inlineStr">
        <is>
          <t>根节点=PrpRoomFacilityBaseWallLintel(Node3D)；2026-08-18扫描补登记资产主表</t>
        </is>
      </c>
    </row>
    <row r="23" ht="66" customHeight="1" s="50">
      <c r="A23" s="89" t="inlineStr">
        <is>
          <t>ENV-DUNGEON-FACILITY-WALL</t>
        </is>
      </c>
      <c r="B23" s="90" t="inlineStr">
        <is>
          <t>基地设施墙段</t>
        </is>
      </c>
      <c r="C23" s="90" t="inlineStr">
        <is>
          <t>assets/art/props/dungeon_3d/prp_room_facility_base_wall.tscn</t>
        </is>
      </c>
      <c r="D23" s="90" t="inlineStr"/>
      <c r="E23" s="90" t="inlineStr"/>
      <c r="F23" s="90" t="inlineStr">
        <is>
          <t>Godot原生场景结构Prefab；由关卡脚本按模块实例化</t>
        </is>
      </c>
      <c r="G23" s="90" t="inlineStr">
        <is>
          <t>src/world3d/DungeonRoom3D.gd</t>
        </is>
      </c>
      <c r="H23" s="90" t="inlineStr">
        <is>
          <t>开</t>
        </is>
      </c>
      <c r="I23" s="90" t="inlineStr">
        <is>
          <t>Prefab自身</t>
        </is>
      </c>
      <c r="J23" s="90" t="inlineStr">
        <is>
          <t>BoxShape3D</t>
        </is>
      </c>
      <c r="K23" s="90" t="inlineStr">
        <is>
          <t>未声明</t>
        </is>
      </c>
      <c r="L23" s="90" t="inlineStr">
        <is>
          <t>未声明</t>
        </is>
      </c>
      <c r="M23" s="90" t="inlineStr">
        <is>
          <t>场景通用组件</t>
        </is>
      </c>
      <c r="N23" s="90" t="inlineStr">
        <is>
          <t>程序占位</t>
        </is>
      </c>
      <c r="O23" s="90" t="inlineStr">
        <is>
          <t>v001</t>
        </is>
      </c>
      <c r="P23" s="91" t="inlineStr">
        <is>
          <t>根节点=PrpRoomFacilityBaseWall(Node3D)；2026-08-18扫描补登记资产主表</t>
        </is>
      </c>
    </row>
    <row r="24" ht="66" customHeight="1" s="50">
      <c r="A24" s="89" t="inlineStr">
        <is>
          <t>ENV-DUNGEON-ROOM-FLOOR-INSET</t>
        </is>
      </c>
      <c r="B24" s="90" t="inlineStr">
        <is>
          <t>房间地板内嵌块</t>
        </is>
      </c>
      <c r="C24" s="90" t="inlineStr">
        <is>
          <t>assets/art/props/dungeon_3d/prp_room_floor_inset.tscn</t>
        </is>
      </c>
      <c r="D24" s="90" t="inlineStr"/>
      <c r="E24" s="90" t="inlineStr"/>
      <c r="F24" s="90" t="inlineStr">
        <is>
          <t>Godot原生场景结构Prefab；由关卡脚本按模块实例化</t>
        </is>
      </c>
      <c r="G24" s="90" t="inlineStr">
        <is>
          <t>src/world3d/DungeonRoom3D.gd</t>
        </is>
      </c>
      <c r="H24" s="90" t="inlineStr">
        <is>
          <t>无</t>
        </is>
      </c>
      <c r="I24" s="90" t="inlineStr">
        <is>
          <t>无</t>
        </is>
      </c>
      <c r="J24" s="90" t="inlineStr">
        <is>
          <t>无</t>
        </is>
      </c>
      <c r="K24" s="90" t="inlineStr">
        <is>
          <t>未声明</t>
        </is>
      </c>
      <c r="L24" s="90" t="inlineStr">
        <is>
          <t>未声明</t>
        </is>
      </c>
      <c r="M24" s="90" t="inlineStr">
        <is>
          <t>场景通用组件</t>
        </is>
      </c>
      <c r="N24" s="90" t="inlineStr">
        <is>
          <t>程序占位</t>
        </is>
      </c>
      <c r="O24" s="90" t="inlineStr">
        <is>
          <t>v001</t>
        </is>
      </c>
      <c r="P24" s="91" t="inlineStr">
        <is>
          <t>根节点=PrpRoomFloorInset(Node3D)；2026-08-18扫描补登记资产主表</t>
        </is>
      </c>
    </row>
    <row r="25" ht="66" customHeight="1" s="50">
      <c r="A25" s="89" t="inlineStr">
        <is>
          <t>ENV-DUNGEON-ROOM-FLOOR-PARTITION-H</t>
        </is>
      </c>
      <c r="B25" s="90" t="inlineStr">
        <is>
          <t>房间地板水平分隔</t>
        </is>
      </c>
      <c r="C25" s="90" t="inlineStr">
        <is>
          <t>assets/art/props/dungeon_3d/prp_room_floor_partition_horizontal.tscn</t>
        </is>
      </c>
      <c r="D25" s="90" t="inlineStr"/>
      <c r="E25" s="90" t="inlineStr"/>
      <c r="F25" s="90" t="inlineStr">
        <is>
          <t>Godot原生场景结构Prefab；由关卡脚本按模块实例化</t>
        </is>
      </c>
      <c r="G25" s="90" t="inlineStr">
        <is>
          <t>src/world3d/DungeonRoom3D.gd</t>
        </is>
      </c>
      <c r="H25" s="90" t="inlineStr">
        <is>
          <t>开</t>
        </is>
      </c>
      <c r="I25" s="90" t="inlineStr">
        <is>
          <t>Prefab自身</t>
        </is>
      </c>
      <c r="J25" s="90" t="inlineStr">
        <is>
          <t>BoxShape3D</t>
        </is>
      </c>
      <c r="K25" s="90" t="inlineStr">
        <is>
          <t>未声明</t>
        </is>
      </c>
      <c r="L25" s="90" t="inlineStr">
        <is>
          <t>未声明</t>
        </is>
      </c>
      <c r="M25" s="90" t="inlineStr">
        <is>
          <t>场景通用组件</t>
        </is>
      </c>
      <c r="N25" s="90" t="inlineStr">
        <is>
          <t>程序占位</t>
        </is>
      </c>
      <c r="O25" s="90" t="inlineStr">
        <is>
          <t>v001</t>
        </is>
      </c>
      <c r="P25" s="91" t="inlineStr">
        <is>
          <t>根节点=PrpRoomFloorPartitionHorizontal(Node3D)；2026-08-18扫描补登记资产主表</t>
        </is>
      </c>
    </row>
    <row r="26" ht="66" customHeight="1" s="50">
      <c r="A26" s="89" t="inlineStr">
        <is>
          <t>ENV-DUNGEON-ROOM-FLOOR-PARTITION-V</t>
        </is>
      </c>
      <c r="B26" s="90" t="inlineStr">
        <is>
          <t>房间地板垂直分隔</t>
        </is>
      </c>
      <c r="C26" s="90" t="inlineStr">
        <is>
          <t>assets/art/props/dungeon_3d/prp_room_floor_partition_vertical.tscn</t>
        </is>
      </c>
      <c r="D26" s="90" t="inlineStr"/>
      <c r="E26" s="90" t="inlineStr"/>
      <c r="F26" s="90" t="inlineStr">
        <is>
          <t>Godot原生场景结构Prefab；由关卡脚本按模块实例化</t>
        </is>
      </c>
      <c r="G26" s="90" t="inlineStr">
        <is>
          <t>src/world3d/DungeonRoom3D.gd</t>
        </is>
      </c>
      <c r="H26" s="90" t="inlineStr">
        <is>
          <t>开</t>
        </is>
      </c>
      <c r="I26" s="90" t="inlineStr">
        <is>
          <t>Prefab自身</t>
        </is>
      </c>
      <c r="J26" s="90" t="inlineStr">
        <is>
          <t>BoxShape3D</t>
        </is>
      </c>
      <c r="K26" s="90" t="inlineStr">
        <is>
          <t>未声明</t>
        </is>
      </c>
      <c r="L26" s="90" t="inlineStr">
        <is>
          <t>未声明</t>
        </is>
      </c>
      <c r="M26" s="90" t="inlineStr">
        <is>
          <t>场景通用组件</t>
        </is>
      </c>
      <c r="N26" s="90" t="inlineStr">
        <is>
          <t>程序占位</t>
        </is>
      </c>
      <c r="O26" s="90" t="inlineStr">
        <is>
          <t>v001</t>
        </is>
      </c>
      <c r="P26" s="91" t="inlineStr">
        <is>
          <t>根节点=PrpRoomFloorPartitionVertical(Node3D)；2026-08-18扫描补登记资产主表</t>
        </is>
      </c>
    </row>
    <row r="27" ht="66" customHeight="1" s="50">
      <c r="A27" s="89" t="inlineStr">
        <is>
          <t>ENV-DUNGEON-ROOM-FLOOR-SEAM</t>
        </is>
      </c>
      <c r="B27" s="90" t="inlineStr">
        <is>
          <t>房间地板接缝条</t>
        </is>
      </c>
      <c r="C27" s="90" t="inlineStr">
        <is>
          <t>assets/art/props/dungeon_3d/prp_room_floor_seam_strip.tscn</t>
        </is>
      </c>
      <c r="D27" s="90" t="inlineStr"/>
      <c r="E27" s="90" t="inlineStr"/>
      <c r="F27" s="90" t="inlineStr">
        <is>
          <t>Godot原生场景结构Prefab；由关卡脚本按模块实例化</t>
        </is>
      </c>
      <c r="G27" s="90" t="inlineStr">
        <is>
          <t>src/world3d/DungeonRoom3D.gd</t>
        </is>
      </c>
      <c r="H27" s="90" t="inlineStr">
        <is>
          <t>无</t>
        </is>
      </c>
      <c r="I27" s="90" t="inlineStr">
        <is>
          <t>无</t>
        </is>
      </c>
      <c r="J27" s="90" t="inlineStr">
        <is>
          <t>无</t>
        </is>
      </c>
      <c r="K27" s="90" t="inlineStr">
        <is>
          <t>未声明</t>
        </is>
      </c>
      <c r="L27" s="90" t="inlineStr">
        <is>
          <t>未声明</t>
        </is>
      </c>
      <c r="M27" s="90" t="inlineStr">
        <is>
          <t>场景通用组件</t>
        </is>
      </c>
      <c r="N27" s="90" t="inlineStr">
        <is>
          <t>程序占位</t>
        </is>
      </c>
      <c r="O27" s="90" t="inlineStr">
        <is>
          <t>v001</t>
        </is>
      </c>
      <c r="P27" s="91" t="inlineStr">
        <is>
          <t>根节点=PrpRoomFloorSeamStrip(Node3D)；2026-08-18扫描补登记资产主表</t>
        </is>
      </c>
    </row>
    <row r="28" ht="66" customHeight="1" s="50">
      <c r="A28" s="89" t="inlineStr">
        <is>
          <t>ENV-DUNGEON-ROOM-FLOOR</t>
        </is>
      </c>
      <c r="B28" s="90" t="inlineStr">
        <is>
          <t>地牢房间地板</t>
        </is>
      </c>
      <c r="C28" s="90" t="inlineStr">
        <is>
          <t>assets/art/props/dungeon_3d/prp_room_floor.tscn</t>
        </is>
      </c>
      <c r="D28" s="90" t="inlineStr"/>
      <c r="E28" s="90" t="inlineStr"/>
      <c r="F28" s="90" t="inlineStr">
        <is>
          <t>Godot原生场景结构Prefab；由关卡脚本按模块实例化</t>
        </is>
      </c>
      <c r="G28" s="90" t="inlineStr">
        <is>
          <t>src/world3d/DungeonRoom3D.gd</t>
        </is>
      </c>
      <c r="H28" s="90" t="inlineStr">
        <is>
          <t>开</t>
        </is>
      </c>
      <c r="I28" s="90" t="inlineStr">
        <is>
          <t>Prefab自身</t>
        </is>
      </c>
      <c r="J28" s="90" t="inlineStr">
        <is>
          <t>BoxShape3D</t>
        </is>
      </c>
      <c r="K28" s="90" t="inlineStr">
        <is>
          <t>未声明</t>
        </is>
      </c>
      <c r="L28" s="90" t="inlineStr">
        <is>
          <t>未声明</t>
        </is>
      </c>
      <c r="M28" s="90" t="inlineStr">
        <is>
          <t>场景通用组件</t>
        </is>
      </c>
      <c r="N28" s="90" t="inlineStr">
        <is>
          <t>程序占位</t>
        </is>
      </c>
      <c r="O28" s="90" t="inlineStr">
        <is>
          <t>v001</t>
        </is>
      </c>
      <c r="P28" s="91" t="inlineStr">
        <is>
          <t>根节点=PrpRoomFloor(Node3D)；2026-08-18扫描补登记资产主表</t>
        </is>
      </c>
    </row>
    <row r="29" ht="66" customHeight="1" s="50">
      <c r="A29" s="89" t="inlineStr">
        <is>
          <t>ENV-TOWER-ROOFTOP-DESCENT-MARKER</t>
        </is>
      </c>
      <c r="B29" s="90" t="inlineStr">
        <is>
          <t>楼顶下降入口标记</t>
        </is>
      </c>
      <c r="C29" s="90" t="inlineStr">
        <is>
          <t>assets/art/props/dungeon_3d/prp_room_rooftop_descent_marker.tscn</t>
        </is>
      </c>
      <c r="D29" s="90" t="inlineStr"/>
      <c r="E29" s="90" t="inlineStr"/>
      <c r="F29" s="90" t="inlineStr">
        <is>
          <t>Godot原生场景结构Prefab；由关卡脚本按模块实例化</t>
        </is>
      </c>
      <c r="G29" s="90" t="inlineStr">
        <is>
          <t>src/world3d/TowerFloorStage3D.gd</t>
        </is>
      </c>
      <c r="H29" s="90" t="inlineStr">
        <is>
          <t>无</t>
        </is>
      </c>
      <c r="I29" s="90" t="inlineStr">
        <is>
          <t>无</t>
        </is>
      </c>
      <c r="J29" s="90" t="inlineStr">
        <is>
          <t>无</t>
        </is>
      </c>
      <c r="K29" s="90" t="inlineStr">
        <is>
          <t>未声明</t>
        </is>
      </c>
      <c r="L29" s="90" t="inlineStr">
        <is>
          <t>未声明</t>
        </is>
      </c>
      <c r="M29" s="90" t="inlineStr">
        <is>
          <t>场景通用组件</t>
        </is>
      </c>
      <c r="N29" s="90" t="inlineStr">
        <is>
          <t>程序占位</t>
        </is>
      </c>
      <c r="O29" s="90" t="inlineStr">
        <is>
          <t>v001</t>
        </is>
      </c>
      <c r="P29" s="91" t="inlineStr">
        <is>
          <t>根节点=PrpRoomRooftopDescentMarker(Node3D)；2026-08-18扫描补登记资产主表</t>
        </is>
      </c>
    </row>
    <row r="30" ht="66" customHeight="1" s="50">
      <c r="A30" s="89" t="inlineStr">
        <is>
          <t>ENV-TOWER-ROOFTOP-FACADE-BAND</t>
        </is>
      </c>
      <c r="B30" s="90" t="inlineStr">
        <is>
          <t>楼顶外立面饰带</t>
        </is>
      </c>
      <c r="C30" s="90" t="inlineStr">
        <is>
          <t>assets/art/props/dungeon_3d/prp_room_rooftop_facade_band.tscn</t>
        </is>
      </c>
      <c r="D30" s="90" t="inlineStr"/>
      <c r="E30" s="90" t="inlineStr"/>
      <c r="F30" s="90" t="inlineStr">
        <is>
          <t>Godot原生场景结构Prefab；由关卡脚本按模块实例化</t>
        </is>
      </c>
      <c r="G30" s="90" t="inlineStr">
        <is>
          <t>src/world3d/TowerFloorStage3D.gd</t>
        </is>
      </c>
      <c r="H30" s="90" t="inlineStr">
        <is>
          <t>无</t>
        </is>
      </c>
      <c r="I30" s="90" t="inlineStr">
        <is>
          <t>无</t>
        </is>
      </c>
      <c r="J30" s="90" t="inlineStr">
        <is>
          <t>无</t>
        </is>
      </c>
      <c r="K30" s="90" t="inlineStr">
        <is>
          <t>未声明</t>
        </is>
      </c>
      <c r="L30" s="90" t="inlineStr">
        <is>
          <t>未声明</t>
        </is>
      </c>
      <c r="M30" s="90" t="inlineStr">
        <is>
          <t>场景通用组件</t>
        </is>
      </c>
      <c r="N30" s="90" t="inlineStr">
        <is>
          <t>程序占位</t>
        </is>
      </c>
      <c r="O30" s="90" t="inlineStr">
        <is>
          <t>v001</t>
        </is>
      </c>
      <c r="P30" s="91" t="inlineStr">
        <is>
          <t>根节点=PrpRoomRooftopFacadeBand(Node3D)；2026-08-18扫描补登记资产主表</t>
        </is>
      </c>
    </row>
    <row r="31" ht="66" customHeight="1" s="50">
      <c r="A31" s="89" t="inlineStr">
        <is>
          <t>ENV-TOWER-ROOFTOP-FACADE</t>
        </is>
      </c>
      <c r="B31" s="90" t="inlineStr">
        <is>
          <t>楼顶外立面</t>
        </is>
      </c>
      <c r="C31" s="90" t="inlineStr">
        <is>
          <t>assets/art/props/dungeon_3d/prp_room_rooftop_facade.tscn</t>
        </is>
      </c>
      <c r="D31" s="90" t="inlineStr"/>
      <c r="E31" s="90" t="inlineStr"/>
      <c r="F31" s="90" t="inlineStr">
        <is>
          <t>Godot原生场景结构Prefab；由关卡脚本按模块实例化</t>
        </is>
      </c>
      <c r="G31" s="90" t="inlineStr">
        <is>
          <t>src/world3d/TowerFloorStage3D.gd</t>
        </is>
      </c>
      <c r="H31" s="90" t="inlineStr">
        <is>
          <t>无</t>
        </is>
      </c>
      <c r="I31" s="90" t="inlineStr">
        <is>
          <t>无</t>
        </is>
      </c>
      <c r="J31" s="90" t="inlineStr">
        <is>
          <t>无</t>
        </is>
      </c>
      <c r="K31" s="90" t="inlineStr">
        <is>
          <t>未声明</t>
        </is>
      </c>
      <c r="L31" s="90" t="inlineStr">
        <is>
          <t>未声明</t>
        </is>
      </c>
      <c r="M31" s="90" t="inlineStr">
        <is>
          <t>场景通用组件</t>
        </is>
      </c>
      <c r="N31" s="90" t="inlineStr">
        <is>
          <t>程序占位</t>
        </is>
      </c>
      <c r="O31" s="90" t="inlineStr">
        <is>
          <t>v001</t>
        </is>
      </c>
      <c r="P31" s="91" t="inlineStr">
        <is>
          <t>根节点=PrpRoomRooftopFacade(Node3D)；2026-08-18扫描补登记资产主表</t>
        </is>
      </c>
    </row>
    <row r="32" ht="66" customHeight="1" s="50">
      <c r="A32" s="89" t="inlineStr">
        <is>
          <t>ENV-TOWER-ROOFTOP-RAIL-POST</t>
        </is>
      </c>
      <c r="B32" s="90" t="inlineStr">
        <is>
          <t>楼顶栏杆立柱</t>
        </is>
      </c>
      <c r="C32" s="90" t="inlineStr">
        <is>
          <t>assets/art/props/dungeon_3d/prp_room_rooftop_rail_post.tscn</t>
        </is>
      </c>
      <c r="D32" s="90" t="inlineStr"/>
      <c r="E32" s="90" t="inlineStr"/>
      <c r="F32" s="90" t="inlineStr">
        <is>
          <t>Godot原生场景结构Prefab；由关卡脚本按模块实例化</t>
        </is>
      </c>
      <c r="G32" s="90" t="inlineStr">
        <is>
          <t>src/world3d/TowerFloorStage3D.gd</t>
        </is>
      </c>
      <c r="H32" s="90" t="inlineStr">
        <is>
          <t>无</t>
        </is>
      </c>
      <c r="I32" s="90" t="inlineStr">
        <is>
          <t>无</t>
        </is>
      </c>
      <c r="J32" s="90" t="inlineStr">
        <is>
          <t>无</t>
        </is>
      </c>
      <c r="K32" s="90" t="inlineStr">
        <is>
          <t>未声明</t>
        </is>
      </c>
      <c r="L32" s="90" t="inlineStr">
        <is>
          <t>未声明</t>
        </is>
      </c>
      <c r="M32" s="90" t="inlineStr">
        <is>
          <t>场景通用组件</t>
        </is>
      </c>
      <c r="N32" s="90" t="inlineStr">
        <is>
          <t>程序占位</t>
        </is>
      </c>
      <c r="O32" s="90" t="inlineStr">
        <is>
          <t>v001</t>
        </is>
      </c>
      <c r="P32" s="91" t="inlineStr">
        <is>
          <t>根节点=PrpRoomRooftopRailPost(Node3D)；2026-08-18扫描补登记资产主表</t>
        </is>
      </c>
    </row>
    <row r="33" ht="66" customHeight="1" s="50">
      <c r="A33" s="89" t="inlineStr">
        <is>
          <t>ENV-TOWER-ROOFTOP-RAILING-LOWER</t>
        </is>
      </c>
      <c r="B33" s="90" t="inlineStr">
        <is>
          <t>楼顶下层栏杆</t>
        </is>
      </c>
      <c r="C33" s="90" t="inlineStr">
        <is>
          <t>assets/art/props/dungeon_3d/prp_room_rooftop_railing_lower.tscn</t>
        </is>
      </c>
      <c r="D33" s="90" t="inlineStr"/>
      <c r="E33" s="90" t="inlineStr"/>
      <c r="F33" s="90" t="inlineStr">
        <is>
          <t>Godot原生场景结构Prefab；由关卡脚本按模块实例化</t>
        </is>
      </c>
      <c r="G33" s="90" t="inlineStr">
        <is>
          <t>src/world3d/TowerFloorStage3D.gd</t>
        </is>
      </c>
      <c r="H33" s="90" t="inlineStr">
        <is>
          <t>开</t>
        </is>
      </c>
      <c r="I33" s="90" t="inlineStr">
        <is>
          <t>Prefab自身</t>
        </is>
      </c>
      <c r="J33" s="90" t="inlineStr">
        <is>
          <t>BoxShape3D</t>
        </is>
      </c>
      <c r="K33" s="90" t="inlineStr">
        <is>
          <t>未声明</t>
        </is>
      </c>
      <c r="L33" s="90" t="inlineStr">
        <is>
          <t>未声明</t>
        </is>
      </c>
      <c r="M33" s="90" t="inlineStr">
        <is>
          <t>场景通用组件</t>
        </is>
      </c>
      <c r="N33" s="90" t="inlineStr">
        <is>
          <t>程序占位</t>
        </is>
      </c>
      <c r="O33" s="90" t="inlineStr">
        <is>
          <t>v001</t>
        </is>
      </c>
      <c r="P33" s="91" t="inlineStr">
        <is>
          <t>根节点=PrpRoomRooftopRailingLower(Node3D)；2026-08-18扫描补登记资产主表</t>
        </is>
      </c>
    </row>
    <row r="34" ht="66" customHeight="1" s="50">
      <c r="A34" s="89" t="inlineStr">
        <is>
          <t>ENV-TOWER-ROOFTOP-RAILING-UPPER</t>
        </is>
      </c>
      <c r="B34" s="90" t="inlineStr">
        <is>
          <t>楼顶上层栏杆</t>
        </is>
      </c>
      <c r="C34" s="90" t="inlineStr">
        <is>
          <t>assets/art/props/dungeon_3d/prp_room_rooftop_railing_upper.tscn</t>
        </is>
      </c>
      <c r="D34" s="90" t="inlineStr"/>
      <c r="E34" s="90" t="inlineStr"/>
      <c r="F34" s="90" t="inlineStr">
        <is>
          <t>Godot原生场景结构Prefab；由关卡脚本按模块实例化</t>
        </is>
      </c>
      <c r="G34" s="90" t="inlineStr">
        <is>
          <t>src/world3d/TowerFloorStage3D.gd</t>
        </is>
      </c>
      <c r="H34" s="90" t="inlineStr">
        <is>
          <t>无</t>
        </is>
      </c>
      <c r="I34" s="90" t="inlineStr">
        <is>
          <t>无</t>
        </is>
      </c>
      <c r="J34" s="90" t="inlineStr">
        <is>
          <t>无</t>
        </is>
      </c>
      <c r="K34" s="90" t="inlineStr">
        <is>
          <t>未声明</t>
        </is>
      </c>
      <c r="L34" s="90" t="inlineStr">
        <is>
          <t>未声明</t>
        </is>
      </c>
      <c r="M34" s="90" t="inlineStr">
        <is>
          <t>场景通用组件</t>
        </is>
      </c>
      <c r="N34" s="90" t="inlineStr">
        <is>
          <t>程序占位</t>
        </is>
      </c>
      <c r="O34" s="90" t="inlineStr">
        <is>
          <t>v001</t>
        </is>
      </c>
      <c r="P34" s="91" t="inlineStr">
        <is>
          <t>根节点=PrpRoomRooftopRailingUpper(Node3D)；2026-08-18扫描补登记资产主表</t>
        </is>
      </c>
    </row>
    <row r="35" ht="66" customHeight="1" s="50">
      <c r="A35" s="89" t="inlineStr">
        <is>
          <t>ENV-TOWER-ROOFTOP-STAIR-FRAME-LINTEL</t>
        </is>
      </c>
      <c r="B35" s="90" t="inlineStr">
        <is>
          <t>楼顶楼梯框架门楣</t>
        </is>
      </c>
      <c r="C35" s="90" t="inlineStr">
        <is>
          <t>assets/art/props/dungeon_3d/prp_room_rooftop_stair_frame_lintel.tscn</t>
        </is>
      </c>
      <c r="D35" s="90" t="inlineStr"/>
      <c r="E35" s="90" t="inlineStr"/>
      <c r="F35" s="90" t="inlineStr">
        <is>
          <t>Godot原生场景结构Prefab；由关卡脚本按模块实例化</t>
        </is>
      </c>
      <c r="G35" s="90" t="inlineStr">
        <is>
          <t>src/world3d/TowerFloorStage3D.gd</t>
        </is>
      </c>
      <c r="H35" s="90" t="inlineStr">
        <is>
          <t>开</t>
        </is>
      </c>
      <c r="I35" s="90" t="inlineStr">
        <is>
          <t>Prefab自身</t>
        </is>
      </c>
      <c r="J35" s="90" t="inlineStr">
        <is>
          <t>BoxShape3D</t>
        </is>
      </c>
      <c r="K35" s="90" t="inlineStr">
        <is>
          <t>未声明</t>
        </is>
      </c>
      <c r="L35" s="90" t="inlineStr">
        <is>
          <t>未声明</t>
        </is>
      </c>
      <c r="M35" s="90" t="inlineStr">
        <is>
          <t>场景通用组件</t>
        </is>
      </c>
      <c r="N35" s="90" t="inlineStr">
        <is>
          <t>程序占位</t>
        </is>
      </c>
      <c r="O35" s="90" t="inlineStr">
        <is>
          <t>v001</t>
        </is>
      </c>
      <c r="P35" s="91" t="inlineStr">
        <is>
          <t>根节点=PrpRoomRooftopStairFrameLintel(Node3D)；2026-08-18扫描补登记资产主表</t>
        </is>
      </c>
    </row>
    <row r="36" ht="66" customHeight="1" s="50">
      <c r="A36" s="89" t="inlineStr">
        <is>
          <t>ENV-TOWER-ROOFTOP-STAIR-FRAME-POST</t>
        </is>
      </c>
      <c r="B36" s="90" t="inlineStr">
        <is>
          <t>楼顶楼梯框架立柱</t>
        </is>
      </c>
      <c r="C36" s="90" t="inlineStr">
        <is>
          <t>assets/art/props/dungeon_3d/prp_room_rooftop_stair_frame_post.tscn</t>
        </is>
      </c>
      <c r="D36" s="90" t="inlineStr"/>
      <c r="E36" s="90" t="inlineStr"/>
      <c r="F36" s="90" t="inlineStr">
        <is>
          <t>Godot原生场景结构Prefab；由关卡脚本按模块实例化</t>
        </is>
      </c>
      <c r="G36" s="90" t="inlineStr">
        <is>
          <t>src/world3d/TowerFloorStage3D.gd</t>
        </is>
      </c>
      <c r="H36" s="90" t="inlineStr">
        <is>
          <t>开</t>
        </is>
      </c>
      <c r="I36" s="90" t="inlineStr">
        <is>
          <t>Prefab自身</t>
        </is>
      </c>
      <c r="J36" s="90" t="inlineStr">
        <is>
          <t>BoxShape3D</t>
        </is>
      </c>
      <c r="K36" s="90" t="inlineStr">
        <is>
          <t>未声明</t>
        </is>
      </c>
      <c r="L36" s="90" t="inlineStr">
        <is>
          <t>未声明</t>
        </is>
      </c>
      <c r="M36" s="90" t="inlineStr">
        <is>
          <t>场景通用组件</t>
        </is>
      </c>
      <c r="N36" s="90" t="inlineStr">
        <is>
          <t>程序占位</t>
        </is>
      </c>
      <c r="O36" s="90" t="inlineStr">
        <is>
          <t>v001</t>
        </is>
      </c>
      <c r="P36" s="91" t="inlineStr">
        <is>
          <t>根节点=PrpRoomRooftopStairFramePost(Node3D)；2026-08-18扫描补登记资产主表</t>
        </is>
      </c>
    </row>
    <row r="37" ht="66" customHeight="1" s="50">
      <c r="A37" s="89" t="inlineStr">
        <is>
          <t>ENV-DUNGEON-STAIR-LOBBY-ROUTE-GUIDE</t>
        </is>
      </c>
      <c r="B37" s="90" t="inlineStr">
        <is>
          <t>楼梯厅路线引导</t>
        </is>
      </c>
      <c r="C37" s="90" t="inlineStr">
        <is>
          <t>assets/art/props/dungeon_3d/prp_room_stair_lobby_route_guide.tscn</t>
        </is>
      </c>
      <c r="D37" s="90" t="inlineStr"/>
      <c r="E37" s="90" t="inlineStr"/>
      <c r="F37" s="90" t="inlineStr">
        <is>
          <t>Godot原生场景结构Prefab；由关卡脚本按模块实例化</t>
        </is>
      </c>
      <c r="G37" s="90" t="inlineStr">
        <is>
          <t>src/world3d/DungeonRoom3D.gd</t>
        </is>
      </c>
      <c r="H37" s="90" t="inlineStr">
        <is>
          <t>无</t>
        </is>
      </c>
      <c r="I37" s="90" t="inlineStr">
        <is>
          <t>无</t>
        </is>
      </c>
      <c r="J37" s="90" t="inlineStr">
        <is>
          <t>无</t>
        </is>
      </c>
      <c r="K37" s="90" t="inlineStr">
        <is>
          <t>未声明</t>
        </is>
      </c>
      <c r="L37" s="90" t="inlineStr">
        <is>
          <t>未声明</t>
        </is>
      </c>
      <c r="M37" s="90" t="inlineStr">
        <is>
          <t>场景通用组件</t>
        </is>
      </c>
      <c r="N37" s="90" t="inlineStr">
        <is>
          <t>程序占位</t>
        </is>
      </c>
      <c r="O37" s="90" t="inlineStr">
        <is>
          <t>v001</t>
        </is>
      </c>
      <c r="P37" s="91" t="inlineStr">
        <is>
          <t>根节点=PrpRoomStairLobbyRouteGuide(Node3D)；2026-08-18扫描补登记资产主表</t>
        </is>
      </c>
    </row>
    <row r="38" ht="66" customHeight="1" s="50">
      <c r="A38" s="89" t="inlineStr">
        <is>
          <t>ENV-DUNGEON-STAIR-LOBBY-THRESHOLD-GUIDE</t>
        </is>
      </c>
      <c r="B38" s="90" t="inlineStr">
        <is>
          <t>楼梯厅门槛引导</t>
        </is>
      </c>
      <c r="C38" s="90" t="inlineStr">
        <is>
          <t>assets/art/props/dungeon_3d/prp_room_stair_lobby_threshold_guide.tscn</t>
        </is>
      </c>
      <c r="D38" s="90" t="inlineStr"/>
      <c r="E38" s="90" t="inlineStr"/>
      <c r="F38" s="90" t="inlineStr">
        <is>
          <t>Godot原生场景结构Prefab；由关卡脚本按模块实例化</t>
        </is>
      </c>
      <c r="G38" s="90" t="inlineStr">
        <is>
          <t>src/world3d/DungeonRoom3D.gd</t>
        </is>
      </c>
      <c r="H38" s="90" t="inlineStr">
        <is>
          <t>无</t>
        </is>
      </c>
      <c r="I38" s="90" t="inlineStr">
        <is>
          <t>无</t>
        </is>
      </c>
      <c r="J38" s="90" t="inlineStr">
        <is>
          <t>无</t>
        </is>
      </c>
      <c r="K38" s="90" t="inlineStr">
        <is>
          <t>未声明</t>
        </is>
      </c>
      <c r="L38" s="90" t="inlineStr">
        <is>
          <t>未声明</t>
        </is>
      </c>
      <c r="M38" s="90" t="inlineStr">
        <is>
          <t>场景通用组件</t>
        </is>
      </c>
      <c r="N38" s="90" t="inlineStr">
        <is>
          <t>程序占位</t>
        </is>
      </c>
      <c r="O38" s="90" t="inlineStr">
        <is>
          <t>v001</t>
        </is>
      </c>
      <c r="P38" s="91" t="inlineStr">
        <is>
          <t>根节点=PrpRoomStairLobbyThresholdGuide(Node3D)；2026-08-18扫描补登记资产主表</t>
        </is>
      </c>
    </row>
    <row r="39" ht="66" customHeight="1" s="50">
      <c r="A39" s="89" t="inlineStr">
        <is>
          <t>ENV-DUNGEON-VERTICAL-ACCESS-MARKER</t>
        </is>
      </c>
      <c r="B39" s="90" t="inlineStr">
        <is>
          <t>垂直通行标记</t>
        </is>
      </c>
      <c r="C39" s="90" t="inlineStr">
        <is>
          <t>assets/art/props/dungeon_3d/prp_room_vertical_access_marker_label.tscn</t>
        </is>
      </c>
      <c r="D39" s="90" t="inlineStr"/>
      <c r="E39" s="90" t="inlineStr"/>
      <c r="F39" s="90" t="inlineStr">
        <is>
          <t>Godot原生场景结构Prefab；由关卡脚本按模块实例化</t>
        </is>
      </c>
      <c r="G39" s="90" t="inlineStr">
        <is>
          <t>src/world3d/DungeonRoom3D.gd</t>
        </is>
      </c>
      <c r="H39" s="90" t="inlineStr">
        <is>
          <t>无</t>
        </is>
      </c>
      <c r="I39" s="90" t="inlineStr">
        <is>
          <t>无</t>
        </is>
      </c>
      <c r="J39" s="90" t="inlineStr">
        <is>
          <t>无</t>
        </is>
      </c>
      <c r="K39" s="90" t="inlineStr">
        <is>
          <t>未声明</t>
        </is>
      </c>
      <c r="L39" s="90" t="inlineStr">
        <is>
          <t>未声明</t>
        </is>
      </c>
      <c r="M39" s="90" t="inlineStr">
        <is>
          <t>场景通用组件</t>
        </is>
      </c>
      <c r="N39" s="90" t="inlineStr">
        <is>
          <t>程序占位</t>
        </is>
      </c>
      <c r="O39" s="90" t="inlineStr">
        <is>
          <t>v001</t>
        </is>
      </c>
      <c r="P39" s="91" t="inlineStr">
        <is>
          <t>根节点=PrpRoomVerticalAccessMarkerLabel(Node3D)；2026-08-18扫描补登记资产主表</t>
        </is>
      </c>
    </row>
    <row r="40" ht="66" customHeight="1" s="50">
      <c r="A40" s="89" t="inlineStr">
        <is>
          <t>ENV-DUNGEON-ROOM-WALL-DOOR-SEGMENT</t>
        </is>
      </c>
      <c r="B40" s="90" t="inlineStr">
        <is>
          <t>房间带门墙段</t>
        </is>
      </c>
      <c r="C40" s="90" t="inlineStr">
        <is>
          <t>assets/art/props/dungeon_3d/prp_room_wall_door_segment.tscn</t>
        </is>
      </c>
      <c r="D40" s="90" t="inlineStr"/>
      <c r="E40" s="90" t="inlineStr"/>
      <c r="F40" s="90" t="inlineStr">
        <is>
          <t>Godot原生场景结构Prefab；由关卡脚本按模块实例化</t>
        </is>
      </c>
      <c r="G40" s="90" t="inlineStr">
        <is>
          <t>src/world3d/DungeonRoom3D.gd</t>
        </is>
      </c>
      <c r="H40" s="90" t="inlineStr">
        <is>
          <t>开</t>
        </is>
      </c>
      <c r="I40" s="90" t="inlineStr">
        <is>
          <t>Prefab自身</t>
        </is>
      </c>
      <c r="J40" s="90" t="inlineStr">
        <is>
          <t>BoxShape3D</t>
        </is>
      </c>
      <c r="K40" s="90" t="inlineStr">
        <is>
          <t>未声明</t>
        </is>
      </c>
      <c r="L40" s="90" t="inlineStr">
        <is>
          <t>未声明</t>
        </is>
      </c>
      <c r="M40" s="90" t="inlineStr">
        <is>
          <t>场景通用组件</t>
        </is>
      </c>
      <c r="N40" s="90" t="inlineStr">
        <is>
          <t>程序占位</t>
        </is>
      </c>
      <c r="O40" s="90" t="inlineStr">
        <is>
          <t>v001</t>
        </is>
      </c>
      <c r="P40" s="91" t="inlineStr">
        <is>
          <t>根节点=PrpRoomWallDoorSegment(Node3D)；2026-08-18扫描补登记资产主表</t>
        </is>
      </c>
    </row>
    <row r="41" ht="66" customHeight="1" s="50">
      <c r="A41" s="89" t="inlineStr">
        <is>
          <t>ENV-DUNGEON-ROOM-WALL-SEGMENT</t>
        </is>
      </c>
      <c r="B41" s="90" t="inlineStr">
        <is>
          <t>房间普通墙段</t>
        </is>
      </c>
      <c r="C41" s="90" t="inlineStr">
        <is>
          <t>assets/art/props/dungeon_3d/prp_room_wall_segment.tscn</t>
        </is>
      </c>
      <c r="D41" s="90" t="inlineStr"/>
      <c r="E41" s="90" t="inlineStr"/>
      <c r="F41" s="90" t="inlineStr">
        <is>
          <t>Godot原生场景结构Prefab；由关卡脚本按模块实例化</t>
        </is>
      </c>
      <c r="G41" s="90" t="inlineStr">
        <is>
          <t>src/world3d/DungeonRoom3D.gd</t>
        </is>
      </c>
      <c r="H41" s="90" t="inlineStr">
        <is>
          <t>开</t>
        </is>
      </c>
      <c r="I41" s="90" t="inlineStr">
        <is>
          <t>Prefab自身</t>
        </is>
      </c>
      <c r="J41" s="90" t="inlineStr">
        <is>
          <t>BoxShape3D</t>
        </is>
      </c>
      <c r="K41" s="90" t="inlineStr">
        <is>
          <t>未声明</t>
        </is>
      </c>
      <c r="L41" s="90" t="inlineStr">
        <is>
          <t>未声明</t>
        </is>
      </c>
      <c r="M41" s="90" t="inlineStr">
        <is>
          <t>场景通用组件</t>
        </is>
      </c>
      <c r="N41" s="90" t="inlineStr">
        <is>
          <t>程序占位</t>
        </is>
      </c>
      <c r="O41" s="90" t="inlineStr">
        <is>
          <t>v001</t>
        </is>
      </c>
      <c r="P41" s="91" t="inlineStr">
        <is>
          <t>根节点=PrpRoomWallSegment(Node3D)；2026-08-18扫描补登记资产主表</t>
        </is>
      </c>
    </row>
    <row r="42" ht="66" customHeight="1" s="50">
      <c r="A42" s="89" t="inlineStr">
        <is>
          <t>ENV-TOWER-FLOOR-TILE-5M</t>
        </is>
      </c>
      <c r="B42" s="90" t="inlineStr">
        <is>
          <t>塔楼5米地砖模块</t>
        </is>
      </c>
      <c r="C42" s="90" t="inlineStr">
        <is>
          <t>assets/art/props/dungeon_3d/prp_tower_floor_tile_5m.tscn</t>
        </is>
      </c>
      <c r="D42" s="90" t="inlineStr">
        <is>
          <t>assets/art/environments/tower_descent_3d/components/floor_tile_5m/env_tower_floor_tile_5m_top3d.glb</t>
        </is>
      </c>
      <c r="E42" s="90" t="inlineStr">
        <is>
          <t>assets/art/environments/tower_descent_3d/source/floor_tile_5m/env_tower_floor_tile_5m_source_v002.blend</t>
        </is>
      </c>
      <c r="F42" s="90" t="inlineStr">
        <is>
          <t>Godot原生场景结构Prefab；由关卡脚本按模块实例化</t>
        </is>
      </c>
      <c r="G42" s="90" t="inlineStr">
        <is>
          <t>src/world3d/TowerFloorStage3D.gd</t>
        </is>
      </c>
      <c r="H42" s="90" t="inlineStr">
        <is>
          <t>开</t>
        </is>
      </c>
      <c r="I42" s="90" t="inlineStr">
        <is>
          <t>TowerFloorStage3D.FloorSupport</t>
        </is>
      </c>
      <c r="J42" s="90" t="inlineStr">
        <is>
          <t>BoxShape3D 5×0.30×5m，由 FloorSupport 按槽位生成（Prefab 不再自带碰撞）</t>
        </is>
      </c>
      <c r="K42" s="90" t="inlineStr">
        <is>
          <t>GLB / 5×5×0.3005m / 共享Mesh / MultiMesh平铺</t>
        </is>
      </c>
      <c r="L42" s="90" t="inlineStr">
        <is>
          <t>centered_slab（板厚居中；可视顶面与承重面 Y=0 对齐）</t>
        </is>
      </c>
      <c r="M42" s="90" t="inlineStr">
        <is>
          <t>塔楼六个物理层楼板/335m MultiMesh网格/动态水平通道</t>
        </is>
      </c>
      <c r="N42" s="90" t="inlineStr">
        <is>
          <t>正式美术已接入</t>
        </is>
      </c>
      <c r="O42" s="90" t="inlineStr">
        <is>
          <t>v002</t>
        </is>
      </c>
      <c r="P42" s="91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5" customHeight="1" s="50">
      <c r="A43" s="89" t="inlineStr">
        <is>
          <t>ENV-TOWER-STAIRWELL-GENERIC-12M</t>
        </is>
      </c>
      <c r="B43" s="90" t="inlineStr">
        <is>
          <t>楼梯B（99→98通用）</t>
        </is>
      </c>
      <c r="C43" s="90" t="inlineStr">
        <is>
          <t>assets/art/environments/tower_descent_3d/runtime/env_tower_stairwell_generic_12m/env_tower_stairwell_generic_12m_root_top3d.tscn</t>
        </is>
      </c>
      <c r="D43" s="90" t="inlineStr">
        <is>
          <t>assets/art/environments/tower_descent_3d/components/env_tower_stairwell_generic_12m_top3d.glb</t>
        </is>
      </c>
      <c r="E43" s="90" t="inlineStr">
        <is>
          <t>assets/art/environments/tower_descent_3d/source/stairs_12m/stairwell_art_v021/env_tower_stairwell_dual_art_source_v021.blend</t>
        </is>
      </c>
      <c r="F43" s="90" t="inlineStr">
        <is>
          <t>Blocks/Stairs/Stair_B；PackedScene v002实例化3个优化网格，保持v021完整视觉与楼层接口</t>
        </is>
      </c>
      <c r="G43" s="90" t="inlineStr">
        <is>
          <t>src/world3d/TowerDescent3D.gd</t>
        </is>
      </c>
      <c r="H43" s="90" t="inlineStr">
        <is>
          <t>开</t>
        </is>
      </c>
      <c r="I43" s="90" t="inlineStr">
        <is>
          <t>TowerDescent3D运行时包装</t>
        </is>
      </c>
      <c r="J43" s="90" t="inlineStr">
        <is>
          <t>ConcavePolygonShape3D（1个Walkable + 1个EnclosureWall）</t>
        </is>
      </c>
      <c r="K43" s="90" t="inlineStr">
        <is>
          <t>15×30m占地 / 12m层差 / v021完整墙地楼梯与装饰</t>
        </is>
      </c>
      <c r="L43" s="90" t="inlineStr">
        <is>
          <t>v002；Z-up；米制；楼层合同原点</t>
        </is>
      </c>
      <c r="M43" s="90" t="inlineStr">
        <is>
          <t>塔楼跨层楼梯间</t>
        </is>
      </c>
      <c r="N43" s="90" t="inlineStr">
        <is>
          <t>正式美术已接入</t>
        </is>
      </c>
      <c r="O43" s="90" t="inlineStr">
        <is>
          <t>v002</t>
        </is>
      </c>
      <c r="P43" s="91" t="inlineStr">
        <is>
          <t>2026-09-15：v021正式美术已导出、共享色盘导入并替换临时资产；3网格运行优化，结构/流程/真实渲染验收通过；v001保留回滚。</t>
        </is>
      </c>
    </row>
    <row r="44" ht="115" customHeight="1" s="50">
      <c r="A44" s="89" t="inlineStr">
        <is>
          <t>ENV-TOWER-STAIRWELL-ROOFTOP-12M</t>
        </is>
      </c>
      <c r="B44" s="90" t="inlineStr">
        <is>
          <t>楼梯A（100→99天台）</t>
        </is>
      </c>
      <c r="C44" s="90" t="inlineStr">
        <is>
          <t>assets/art/environments/tower_descent_3d/runtime/env_tower_stairwell_rooftop_12m/env_tower_stairwell_rooftop_12m_root_top3d.tscn</t>
        </is>
      </c>
      <c r="D44" s="90" t="inlineStr">
        <is>
          <t>assets/art/environments/tower_descent_3d/components/env_tower_stairwell_rooftop_12m_top3d.glb</t>
        </is>
      </c>
      <c r="E44" s="90" t="inlineStr">
        <is>
          <t>assets/art/environments/tower_descent_3d/source/stairs_12m/stairwell_art_v021/env_tower_stairwell_dual_art_source_v021.blend</t>
        </is>
      </c>
      <c r="F44" s="90" t="inlineStr">
        <is>
          <t>Blocks/Stairs/Stair_A；PackedScene v002实例化3个优化网格，保持v021完整视觉与楼层接口</t>
        </is>
      </c>
      <c r="G44" s="90" t="inlineStr">
        <is>
          <t>src/world3d/TowerDescent3D.gd</t>
        </is>
      </c>
      <c r="H44" s="90" t="inlineStr">
        <is>
          <t>开</t>
        </is>
      </c>
      <c r="I44" s="90" t="inlineStr">
        <is>
          <t>TowerDescent3D运行时包装</t>
        </is>
      </c>
      <c r="J44" s="90" t="inlineStr">
        <is>
          <t>ConcavePolygonShape3D（1个Walkable + 1个EnclosureWall）</t>
        </is>
      </c>
      <c r="K44" s="90" t="inlineStr">
        <is>
          <t>15×30m占地 / 12m层差 / v021完整墙地楼梯与装饰</t>
        </is>
      </c>
      <c r="L44" s="90" t="inlineStr">
        <is>
          <t>v002；Z-up；米制；楼层合同原点</t>
        </is>
      </c>
      <c r="M44" s="90" t="inlineStr">
        <is>
          <t>塔楼跨层楼梯间</t>
        </is>
      </c>
      <c r="N44" s="90" t="inlineStr">
        <is>
          <t>正式美术已接入</t>
        </is>
      </c>
      <c r="O44" s="90" t="inlineStr">
        <is>
          <t>v002</t>
        </is>
      </c>
      <c r="P44" s="91" t="inlineStr">
        <is>
          <t>2026-09-15：v021正式美术已导出、共享色盘导入并替换临时资产；3网格运行优化，结构/流程/真实渲染验收通过；v001保留回滚。</t>
        </is>
      </c>
    </row>
    <row r="45" ht="66" customHeight="1" s="50">
      <c r="A45" s="89" t="inlineStr">
        <is>
          <t>ENV-TOWER-WALL-DOOR-5M</t>
        </is>
      </c>
      <c r="B45" s="90" t="inlineStr">
        <is>
          <t>塔楼5米带门墙模块</t>
        </is>
      </c>
      <c r="C45" s="90" t="inlineStr">
        <is>
          <t>assets/art/props/dungeon_3d/prp_tower_wall_door_5m.tscn</t>
        </is>
      </c>
      <c r="D45" s="90" t="inlineStr">
        <is>
          <t>assets/art/environments/tower_descent_3d/components/env_tower_wall_door_5m_top3d.glb</t>
        </is>
      </c>
      <c r="E45" s="90" t="inlineStr">
        <is>
          <t>assets/art/environments/tower_descent_3d/source/wall_height12/env_tower_wall_door_5m_source_v003.blend</t>
        </is>
      </c>
      <c r="F45" s="90" t="inlineStr">
        <is>
          <t>Godot原生场景结构Prefab；由关卡脚本按模块实例化</t>
        </is>
      </c>
      <c r="G45" s="90" t="inlineStr">
        <is>
          <t>src/world3d/DungeonRoom3D.gd</t>
        </is>
      </c>
      <c r="H45" s="90" t="inlineStr">
        <is>
          <t>开</t>
        </is>
      </c>
      <c r="I45" s="90" t="inlineStr">
        <is>
          <t>Prefab自身（3×BoxShape3D 代理）+ DungeonRoom3D</t>
        </is>
      </c>
      <c r="J45" s="90" t="inlineStr">
        <is>
          <t>3×BoxShape3D：左/右门柱 1.4×12×0.30（x=∓1.8）+ 门楣 2.2×9.5×0.30（y 底=2.5），门洞镂空可通行</t>
        </is>
      </c>
      <c r="K45" s="90" t="inlineStr">
        <is>
          <t>5×0.30×11.9m可见墙；12m逻辑碰撞；2.2×2.5m净开口</t>
        </is>
      </c>
      <c r="L45" s="90" t="inlineStr">
        <is>
          <t>bottom_center（几何 Y=0..11.9）；朝 +Z</t>
        </is>
      </c>
      <c r="M45" s="90" t="inlineStr">
        <is>
          <t>5m墙位/2.2m净宽/2.5m净高/独立门扇</t>
        </is>
      </c>
      <c r="N45" s="90" t="inlineStr">
        <is>
          <t>正式美术已接入</t>
        </is>
      </c>
      <c r="O45" s="90" t="inlineStr">
        <is>
          <t>v003</t>
        </is>
      </c>
      <c r="P45" s="91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Height="1" s="50">
      <c r="A46" s="89" t="inlineStr">
        <is>
          <t>ENV-TOWER-WALL-PARAPET-5M</t>
        </is>
      </c>
      <c r="B46" s="90" t="inlineStr">
        <is>
          <t>塔楼5米楼顶女儿墙模块</t>
        </is>
      </c>
      <c r="C46" s="90" t="inlineStr">
        <is>
          <t>assets/art/props/dungeon_3d/prp_tower_wall_parapet_5m.tscn</t>
        </is>
      </c>
      <c r="D46" s="90" t="inlineStr">
        <is>
          <t>assets/art/environments/tower_descent_3d/components/env_tower_wall_parapet_5m_top3d.glb</t>
        </is>
      </c>
      <c r="E46" s="90" t="inlineStr">
        <is>
          <t>10C_MOD_WALL_PARAPET_5M_U01（Blender 集合）；export_env_tower_5m_modules_v001.py</t>
        </is>
      </c>
      <c r="F46" s="90" t="inlineStr">
        <is>
          <t>Godot原生场景结构Prefab；由关卡脚本按模块实例化</t>
        </is>
      </c>
      <c r="G46" s="90" t="inlineStr">
        <is>
          <t>src/world3d/TowerFloorStage3D.gd</t>
        </is>
      </c>
      <c r="H46" s="90" t="inlineStr">
        <is>
          <t>开</t>
        </is>
      </c>
      <c r="I46" s="90" t="inlineStr">
        <is>
          <t>TowerFloorStage3D</t>
        </is>
      </c>
      <c r="J46" s="90" t="inlineStr">
        <is>
          <t>BoxShape3D 5×1.5×0.30，由 OuterBoundaryCollision 按槽位生成（Prefab 不再自带碰撞）</t>
        </is>
      </c>
      <c r="K46" s="90" t="inlineStr">
        <is>
          <t>GLB / 5×0.30×1.50m / 共享Mesh</t>
        </is>
      </c>
      <c r="L46" s="90" t="inlineStr">
        <is>
          <t>bottom_center（几何 Y=0..1.50）；朝 +Z</t>
        </is>
      </c>
      <c r="M46" s="90" t="inlineStr">
        <is>
          <t>335m楼顶四周边界/268段MultiMesh围栏</t>
        </is>
      </c>
      <c r="N46" s="90" t="inlineStr">
        <is>
          <t>正式美术已接入</t>
        </is>
      </c>
      <c r="O46" s="90" t="inlineStr">
        <is>
          <t>v001</t>
        </is>
      </c>
      <c r="P46" s="91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Height="1" s="50">
      <c r="A47" s="89" t="inlineStr">
        <is>
          <t>ENV-TOWER-WALL-PARAPET-DOOR-5M</t>
        </is>
      </c>
      <c r="B47" s="90" t="inlineStr">
        <is>
          <t>塔楼带门女儿墙5米</t>
        </is>
      </c>
      <c r="C47" s="90" t="inlineStr">
        <is>
          <t>assets/art/props/dungeon_3d/prp_tower_wall_parapet_door_5m.tscn</t>
        </is>
      </c>
      <c r="D47" s="90" t="inlineStr"/>
      <c r="E47" s="90" t="inlineStr"/>
      <c r="F47" s="90" t="inlineStr">
        <is>
          <t>Godot原生场景结构Prefab；由关卡脚本按模块实例化</t>
        </is>
      </c>
      <c r="G47" s="90" t="inlineStr">
        <is>
          <t>src/world3d/TowerFloorStage3D.gd</t>
        </is>
      </c>
      <c r="H47" s="90" t="inlineStr">
        <is>
          <t>开</t>
        </is>
      </c>
      <c r="I47" s="90" t="inlineStr">
        <is>
          <t>Prefab自身</t>
        </is>
      </c>
      <c r="J47" s="90" t="inlineStr">
        <is>
          <t>BoxShape3D</t>
        </is>
      </c>
      <c r="K47" s="90" t="inlineStr">
        <is>
          <t>未声明</t>
        </is>
      </c>
      <c r="L47" s="90" t="inlineStr">
        <is>
          <t>未声明</t>
        </is>
      </c>
      <c r="M47" s="90" t="inlineStr">
        <is>
          <t>场景通用组件</t>
        </is>
      </c>
      <c r="N47" s="90" t="inlineStr">
        <is>
          <t>程序占位</t>
        </is>
      </c>
      <c r="O47" s="90" t="inlineStr">
        <is>
          <t>v001</t>
        </is>
      </c>
      <c r="P47" s="91" t="inlineStr">
        <is>
          <t>根节点=PrpTowerWallParapetDoor5m(Node3D)；2026-08-18扫描补登记资产主表</t>
        </is>
      </c>
    </row>
    <row r="48" ht="66" customHeight="1" s="50">
      <c r="A48" s="92" t="inlineStr">
        <is>
          <t>ENV-TOWER-WALL-SOLID-5M</t>
        </is>
      </c>
      <c r="B48" s="93" t="inlineStr">
        <is>
          <t>塔楼5米满高实墙模块</t>
        </is>
      </c>
      <c r="C48" s="93" t="inlineStr">
        <is>
          <t>assets/art/props/dungeon_3d/prp_tower_wall_solid_5m.tscn</t>
        </is>
      </c>
      <c r="D48" s="93" t="inlineStr">
        <is>
          <t>assets/art/environments/tower_descent_3d/components/env_tower_wall_solid_5m_top3d.glb</t>
        </is>
      </c>
      <c r="E48" s="9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93" t="inlineStr">
        <is>
          <t>Godot原生场景结构Prefab；由关卡脚本按模块实例化</t>
        </is>
      </c>
      <c r="G48" s="93" t="inlineStr">
        <is>
          <t>src/world3d/DungeonRoom3D.gd</t>
        </is>
      </c>
      <c r="H48" s="93" t="inlineStr">
        <is>
          <t>开</t>
        </is>
      </c>
      <c r="I48" s="93" t="inlineStr">
        <is>
          <t>DungeonRoom3D + TowerFloorStage3D</t>
        </is>
      </c>
      <c r="J48" s="93" t="inlineStr">
        <is>
          <t>DungeonRoom3D TowerWallCollision_*_Run 0.30m 代理；视觉走 MultiMesh，Prefab 不再自带碰撞</t>
        </is>
      </c>
      <c r="K48" s="93" t="inlineStr">
        <is>
          <t>GLB / 可视包络 5×11.9×0.4675m（结构阻挡 0.30m）/ 12m逻辑碰撞 / 共享Mesh</t>
        </is>
      </c>
      <c r="L48" s="93" t="inlineStr">
        <is>
          <t>bottom_center（几何 Y=0..11.9）；朝 +Z</t>
        </is>
      </c>
      <c r="M48" s="93" t="inlineStr">
        <is>
          <t>整层外墙/65m核心/探索房内墙/5m正交走廊</t>
        </is>
      </c>
      <c r="N48" s="93" t="inlineStr">
        <is>
          <t>正式美术已接入</t>
        </is>
      </c>
      <c r="O48" s="93" t="inlineStr">
        <is>
          <t>v004</t>
        </is>
      </c>
      <c r="P48" s="9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>
      <c r="A49" s="69" t="inlineStr">
        <is>
          <t>ENV-BASE99-WALL-DOOR-5X12</t>
        </is>
      </c>
      <c r="B49" s="69" t="inlineStr">
        <is>
          <t>基地99层带门墙体5×12米</t>
        </is>
      </c>
      <c r="C49" s="69" t="inlineStr">
        <is>
          <t>assets/art/environments/base_facility_3d/runtime/env_base99_wall_door_5x12/env_base99_wall_door_5x12_root_top3d.tscn</t>
        </is>
      </c>
      <c r="D49" s="69" t="inlineStr">
        <is>
          <t>assets/art/environments/base_facility_3d/components/env_base99_wall_door_5x12/env_base99_wall_door_5x12_visual_top3d.glb</t>
        </is>
      </c>
      <c r="E49" s="69" t="inlineStr">
        <is>
          <t>assets/art/environments/base_facility_3d/source/wall_height12/env_base99_wall_door_5x12_source_v004.blend</t>
        </is>
      </c>
      <c r="F49" s="69" t="inlineStr">
        <is>
          <t>仅表现；墙体由DungeonRoom3D按5米槽位组合</t>
        </is>
      </c>
      <c r="G49" s="69" t="inlineStr">
        <is>
          <t>src/world3d/DungeonRoom3D.gd</t>
        </is>
      </c>
      <c r="H49" s="69" t="inlineStr">
        <is>
          <t>开</t>
        </is>
      </c>
      <c r="I49" s="69" t="inlineStr">
        <is>
          <t>外部脚本</t>
        </is>
      </c>
      <c r="J49" s="69" t="inlineStr">
        <is>
          <t>DungeonRoom3D BoxShape3D</t>
        </is>
      </c>
      <c r="K49" s="69" t="inlineStr">
        <is>
          <t>5×12m逻辑外廓；11.9m可见墙；2.2×2.5m门洞</t>
        </is>
      </c>
      <c r="L49" s="69" t="inlineStr">
        <is>
          <t>bottom_center；-Z</t>
        </is>
      </c>
      <c r="M49" s="69" t="inlineStr">
        <is>
          <t>99层基地</t>
        </is>
      </c>
      <c r="N49" s="69" t="inlineStr">
        <is>
          <t>正式美术已接入</t>
        </is>
      </c>
      <c r="O49" s="69" t="inlineStr">
        <is>
          <t>v004；GLB无玩法碰撞；DungeonRoom3D持有12m阻挡</t>
        </is>
      </c>
      <c r="P49" s="69" t="inlineStr">
        <is>
          <t>GLB无玩法碰撞；cast_and_receive；替换同路径GLB不改变功能。</t>
        </is>
      </c>
    </row>
    <row r="50">
      <c r="A50" s="69" t="inlineStr">
        <is>
          <t>ENV-BASE99-FLOOR-PLAIN-5M</t>
        </is>
      </c>
      <c r="B50" s="69" t="inlineStr">
        <is>
          <t>基地99层普通地板5×5米</t>
        </is>
      </c>
      <c r="C50" s="69" t="inlineStr">
        <is>
          <t>assets/art/environments/base_facility_3d/runtime/env_base99_floor_plain_5m/env_base99_floor_plain_5m_root_top3d.tscn</t>
        </is>
      </c>
      <c r="D50" s="69" t="inlineStr">
        <is>
          <t>assets/art/environments/base_facility_3d/components/env_base99_floor_plain_5m/env_base99_floor_plain_5m_visual_top3d.glb</t>
        </is>
      </c>
      <c r="E50" s="69" t="inlineStr">
        <is>
          <t>assets/art/environments/base_facility_3d/source/env_base99_modular_room/env_base99_modular_room_assets_clean_v001.blend</t>
        </is>
      </c>
      <c r="F50" s="69" t="inlineStr">
        <is>
          <t>仅表现；5米网格由DungeonRoom3D组合</t>
        </is>
      </c>
      <c r="G50" s="69" t="inlineStr">
        <is>
          <t>src/world3d/DungeonRoom3D.gd</t>
        </is>
      </c>
      <c r="H50" s="69" t="inlineStr">
        <is>
          <t>开</t>
        </is>
      </c>
      <c r="I50" s="69" t="inlineStr">
        <is>
          <t>外部脚本</t>
        </is>
      </c>
      <c r="J50" s="69" t="inlineStr">
        <is>
          <t>TowerFloorStage BoxShape3D</t>
        </is>
      </c>
      <c r="K50" s="69" t="inlineStr">
        <is>
          <t>5×5×0.30m；平面中心/结构底面原点</t>
        </is>
      </c>
      <c r="L50" s="69" t="inlineStr">
        <is>
          <t>bottom_center；-Z</t>
        </is>
      </c>
      <c r="M50" s="69" t="inlineStr">
        <is>
          <t>99层基地</t>
        </is>
      </c>
      <c r="N50" s="69" t="inlineStr">
        <is>
          <t>正式美术已接入</t>
        </is>
      </c>
      <c r="O50" s="69" t="inlineStr">
        <is>
          <t>v001</t>
        </is>
      </c>
      <c r="P50" s="69" t="inlineStr">
        <is>
          <t>GLB无玩法碰撞；cast_and_receive；替换同路径GLB不改变功能。</t>
        </is>
      </c>
    </row>
    <row r="51">
      <c r="A51" s="69" t="inlineStr">
        <is>
          <t>ENV-BASE99-FLOOR-RIVET-5M</t>
        </is>
      </c>
      <c r="B51" s="69" t="inlineStr">
        <is>
          <t>基地99层铆钉铁皮带地板5×5米</t>
        </is>
      </c>
      <c r="C51" s="69" t="inlineStr">
        <is>
          <t>assets/art/environments/base_facility_3d/runtime/env_base99_floor_rivet_5m/env_base99_floor_rivet_5m_root_top3d.tscn</t>
        </is>
      </c>
      <c r="D51" s="69" t="inlineStr">
        <is>
          <t>assets/art/environments/base_facility_3d/components/env_base99_floor_rivet_5m/env_base99_floor_rivet_5m_visual_top3d.glb</t>
        </is>
      </c>
      <c r="E51" s="69" t="inlineStr">
        <is>
          <t>assets/art/environments/base_facility_3d/source/env_base99_modular_room/env_base99_modular_room_assets_clean_v001.blend</t>
        </is>
      </c>
      <c r="F51" s="69" t="inlineStr">
        <is>
          <t>仅表现；5米网格由DungeonRoom3D组合</t>
        </is>
      </c>
      <c r="G51" s="69" t="inlineStr">
        <is>
          <t>src/world3d/DungeonRoom3D.gd</t>
        </is>
      </c>
      <c r="H51" s="69" t="inlineStr">
        <is>
          <t>开</t>
        </is>
      </c>
      <c r="I51" s="69" t="inlineStr">
        <is>
          <t>外部脚本</t>
        </is>
      </c>
      <c r="J51" s="69" t="inlineStr">
        <is>
          <t>TowerFloorStage BoxShape3D</t>
        </is>
      </c>
      <c r="K51" s="69" t="inlineStr">
        <is>
          <t>5×5×0.395m视觉外廓；0.30m结构板+0.095m装饰凸起</t>
        </is>
      </c>
      <c r="L51" s="69" t="inlineStr">
        <is>
          <t>bottom_center；-Z</t>
        </is>
      </c>
      <c r="M51" s="69" t="inlineStr">
        <is>
          <t>99层基地</t>
        </is>
      </c>
      <c r="N51" s="69" t="inlineStr">
        <is>
          <t>正式美术已接入</t>
        </is>
      </c>
      <c r="O51" s="69" t="inlineStr">
        <is>
          <t>v001</t>
        </is>
      </c>
      <c r="P51" s="69" t="inlineStr">
        <is>
          <t>GLB无玩法碰撞；cast_and_receive；替换同路径GLB不改变功能。</t>
        </is>
      </c>
    </row>
    <row r="52">
      <c r="A52" s="69" t="inlineStr">
        <is>
          <t>ENV-BASE99-WALL-WINDOW-5X12</t>
        </is>
      </c>
      <c r="B52" s="69" t="inlineStr">
        <is>
          <t>基地99层带窗墙体5×12米</t>
        </is>
      </c>
      <c r="C52" s="69" t="inlineStr">
        <is>
          <t>assets/art/environments/base_facility_3d/runtime/env_base99_wall_window_5x12/env_base99_wall_window_5x12_root_top3d.tscn</t>
        </is>
      </c>
      <c r="D52" s="69" t="inlineStr">
        <is>
          <t>assets/art/environments/base_facility_3d/components/env_base99_wall_window_5x12/env_base99_wall_window_5x12_visual_top3d.glb</t>
        </is>
      </c>
      <c r="E52" s="69" t="inlineStr">
        <is>
          <t>assets/art/environments/base_facility_3d/source/wall_height12/env_base99_wall_window_5x12_source_v002.blend</t>
        </is>
      </c>
      <c r="F52" s="69" t="inlineStr">
        <is>
          <t>100层上层围护表现；99层禁止实例化</t>
        </is>
      </c>
      <c r="G52" s="69" t="inlineStr"/>
      <c r="H52" s="69" t="inlineStr">
        <is>
          <t>开</t>
        </is>
      </c>
      <c r="I52" s="69" t="inlineStr">
        <is>
          <t>外部脚本</t>
        </is>
      </c>
      <c r="J52" s="69" t="inlineStr">
        <is>
          <t>上层围护独立结构碰撞</t>
        </is>
      </c>
      <c r="K52" s="69" t="inlineStr">
        <is>
          <t>5×12m逻辑外廓；11.9m可见墙；底边中心原点</t>
        </is>
      </c>
      <c r="L52" s="69" t="inlineStr">
        <is>
          <t>bottom_center；-Z</t>
        </is>
      </c>
      <c r="M52" s="69" t="inlineStr">
        <is>
          <t>100层基地</t>
        </is>
      </c>
      <c r="N52" s="69" t="inlineStr">
        <is>
          <t>正式美术已接入</t>
        </is>
      </c>
      <c r="O52" s="69" t="inlineStr">
        <is>
          <t>v002；GLB仅表现；上层围护持有12m阻挡</t>
        </is>
      </c>
      <c r="P52" s="69" t="inlineStr">
        <is>
          <t>GLB仅表现；cast_and_receive；99层使用数量必须为0。</t>
        </is>
      </c>
    </row>
    <row r="53">
      <c r="A53" s="69" t="inlineStr">
        <is>
          <t>ENV-BASE99-MEZZANINE-20X10-Z7</t>
        </is>
      </c>
      <c r="B53" s="69" t="inlineStr">
        <is>
          <t>基地99层7米楼中楼楼板</t>
        </is>
      </c>
      <c r="C53" s="69" t="inlineStr">
        <is>
          <t>assets/art/environments/base_facility_3d/runtime/env_base99_mezzanine_20x10_z7/env_base99_mezzanine_20x10_z7_root_top3d.tscn</t>
        </is>
      </c>
      <c r="D53" s="69" t="inlineStr">
        <is>
          <t>assets/art/environments/base_facility_3d/components/env_base99_mezzanine_20x10_z7/env_base99_mezzanine_20x10_z7_visual_top3d.glb</t>
        </is>
      </c>
      <c r="E53" s="69" t="inlineStr">
        <is>
          <t>assets/art/environments/base_facility_3d/source/env_base99_modular_room/env_base99_modular_room_assets_clean_v001.blend</t>
        </is>
      </c>
      <c r="F53" s="69" t="inlineStr">
        <is>
          <t>可编辑可行走结构；含底部摄像机净空语义</t>
        </is>
      </c>
      <c r="G53" s="69" t="inlineStr">
        <is>
          <t>src/world3d/Base99WalkableModule3D.gd</t>
        </is>
      </c>
      <c r="H53" s="69" t="inlineStr">
        <is>
          <t>开</t>
        </is>
      </c>
      <c r="I53" s="69" t="inlineStr">
        <is>
          <t>Prefab脚本</t>
        </is>
      </c>
      <c r="J53" s="69" t="inlineStr">
        <is>
          <t>简化Box楼板面 + camera_stair_slab</t>
        </is>
      </c>
      <c r="K53" s="69" t="inlineStr">
        <is>
          <t>约20.25×10.25m外廓；完成面7m；底部中心原点</t>
        </is>
      </c>
      <c r="L53" s="69" t="inlineStr">
        <is>
          <t>bottom_center；-Z</t>
        </is>
      </c>
      <c r="M53" s="69" t="inlineStr">
        <is>
          <t>99层基地</t>
        </is>
      </c>
      <c r="N53" s="69" t="inlineStr">
        <is>
          <t>正式美术已接入</t>
        </is>
      </c>
      <c r="O53" s="69" t="inlineStr">
        <is>
          <t>v001</t>
        </is>
      </c>
      <c r="P53" s="69" t="inlineStr">
        <is>
          <t>在基地布局tscn直接移动；模型、碰撞和摄像机语义随实例同步。</t>
        </is>
      </c>
    </row>
    <row r="54">
      <c r="A54" s="69" t="inlineStr">
        <is>
          <t>ENV-BASE99-STAIR-L-Z7</t>
        </is>
      </c>
      <c r="B54" s="69" t="inlineStr">
        <is>
          <t>基地99层7米L型楼梯</t>
        </is>
      </c>
      <c r="C54" s="69" t="inlineStr">
        <is>
          <t>assets/art/environments/base_facility_3d/runtime/env_base99_stair_l_z7/env_base99_stair_l_z7_root_top3d.tscn</t>
        </is>
      </c>
      <c r="D54" s="69" t="inlineStr">
        <is>
          <t>assets/art/environments/base_facility_3d/components/env_base99_stair_l_z7/env_base99_stair_l_z7_visual_top3d.glb</t>
        </is>
      </c>
      <c r="E54" s="69" t="inlineStr">
        <is>
          <t>assets/art/environments/base_facility_3d/source/env_base99_modular_room/env_base99_modular_room_assets_clean_v001.blend</t>
        </is>
      </c>
      <c r="F54" s="69" t="inlineStr">
        <is>
          <t>可编辑可行走结构；含底部摄像机净空语义</t>
        </is>
      </c>
      <c r="G54" s="69" t="inlineStr">
        <is>
          <t>src/world3d/Base99WalkableModule3D.gd</t>
        </is>
      </c>
      <c r="H54" s="69" t="inlineStr">
        <is>
          <t>开</t>
        </is>
      </c>
      <c r="I54" s="69" t="inlineStr">
        <is>
          <t>Prefab脚本</t>
        </is>
      </c>
      <c r="J54" s="69" t="inlineStr">
        <is>
          <t>两段Box斜坡+转角平台 + camera_stair_slab</t>
        </is>
      </c>
      <c r="K54" s="69" t="inlineStr">
        <is>
          <t>约9.22×10.54×7.94m外廓；一楼至7m楼板</t>
        </is>
      </c>
      <c r="L54" s="69" t="inlineStr">
        <is>
          <t>bottom_center；-Z</t>
        </is>
      </c>
      <c r="M54" s="69" t="inlineStr">
        <is>
          <t>99层基地</t>
        </is>
      </c>
      <c r="N54" s="69" t="inlineStr">
        <is>
          <t>正式美术已接入</t>
        </is>
      </c>
      <c r="O54" s="69" t="inlineStr">
        <is>
          <t>v001</t>
        </is>
      </c>
      <c r="P54" s="69" t="inlineStr">
        <is>
          <t>不使用踏步Trimesh；坡面低于角色44度上限；位置由布局tscn管理。</t>
        </is>
      </c>
    </row>
    <row r="55">
      <c r="A55" s="69" t="inlineStr">
        <is>
          <t>ENV-BASE99-STAIR-EXTERIOR-H2</t>
        </is>
      </c>
      <c r="B55" s="69" t="inlineStr">
        <is>
          <t>基地99层二楼外门2米小楼梯</t>
        </is>
      </c>
      <c r="C55" s="69" t="inlineStr">
        <is>
          <t>assets/art/environments/base_facility_3d/runtime/env_base99_stair_exterior_h2/env_base99_stair_exterior_h2_root_top3d.tscn</t>
        </is>
      </c>
      <c r="D55" s="69" t="inlineStr">
        <is>
          <t>assets/art/environments/base_facility_3d/components/env_base99_stair_exterior_h2/env_base99_stair_exterior_h2_visual_top3d.glb</t>
        </is>
      </c>
      <c r="E55" s="69" t="inlineStr">
        <is>
          <t>assets/art/environments/base_facility_3d/source/env_base99_modular_room/env_base99_modular_room_assets_clean_v001.blend</t>
        </is>
      </c>
      <c r="F55" s="69" t="inlineStr">
        <is>
          <t>可编辑可行走结构；含底部摄像机净空语义</t>
        </is>
      </c>
      <c r="G55" s="69" t="inlineStr">
        <is>
          <t>src/world3d/Base99WalkableModule3D.gd</t>
        </is>
      </c>
      <c r="H55" s="69" t="inlineStr">
        <is>
          <t>开</t>
        </is>
      </c>
      <c r="I55" s="69" t="inlineStr">
        <is>
          <t>Prefab脚本</t>
        </is>
      </c>
      <c r="J55" s="69" t="inlineStr">
        <is>
          <t>简化Box斜坡 + camera_stair_slab</t>
        </is>
      </c>
      <c r="K55" s="69" t="inlineStr">
        <is>
          <t>4.515×2.80×2.00m；7m楼板至9m外门门槛</t>
        </is>
      </c>
      <c r="L55" s="69" t="inlineStr">
        <is>
          <t>bottom_center；-Z</t>
        </is>
      </c>
      <c r="M55" s="69" t="inlineStr">
        <is>
          <t>99层基地</t>
        </is>
      </c>
      <c r="N55" s="69" t="inlineStr">
        <is>
          <t>正式美术已接入</t>
        </is>
      </c>
      <c r="O55" s="69" t="inlineStr">
        <is>
          <t>v001</t>
        </is>
      </c>
      <c r="P55" s="69" t="inlineStr">
        <is>
          <t>不使用踏步Trimesh；位置和旋转由布局tscn管理。</t>
        </is>
      </c>
    </row>
    <row r="56">
      <c r="A56" s="79" t="inlineStr">
        <is>
          <t>ENV-BASE100-UPPER-SHELL-30X30-H9</t>
        </is>
      </c>
      <c r="B56" s="79" t="inlineStr">
        <is>
          <t>基地100层上层围护与18米封顶</t>
        </is>
      </c>
      <c r="C56" s="79" t="inlineStr">
        <is>
          <t>assets/art/environments/base_facility_3d/runtime/env_base100_upper_shell_30x30_h9/env_base100_upper_shell_30x30_h9_root_top3d.tscn</t>
        </is>
      </c>
      <c r="E56" s="79" t="inlineStr">
        <is>
          <t>assets/art/environments/base_facility_3d/source/env_base99_modular_room/env_base99_modular_room_source_v001.blend</t>
        </is>
      </c>
      <c r="F56" s="79" t="inlineStr">
        <is>
          <t>可编辑组合Prefab；24块围护墙与36块封顶模块；统一挡光并投影</t>
        </is>
      </c>
      <c r="G56" s="79" t="inlineStr">
        <is>
          <t>src/world3d/Base100UpperShell3D.gd</t>
        </is>
      </c>
      <c r="H56" s="79" t="inlineStr">
        <is>
          <t>开</t>
        </is>
      </c>
      <c r="I56" s="79" t="inlineStr">
        <is>
          <t>Prefab脚本</t>
        </is>
      </c>
      <c r="J56" s="79" t="inlineStr">
        <is>
          <t>9个BoxShape3D（连续墙/东侧门洞框/屋顶）</t>
        </is>
      </c>
      <c r="K56" s="79" t="inlineStr">
        <is>
          <t>30×30×9m上层围护；墙底9m；屋顶底18m；东门洞2.2×2.5m</t>
        </is>
      </c>
      <c r="L56" s="79" t="inlineStr">
        <is>
          <t>room_center；local -Z为北；根缩放1</t>
        </is>
      </c>
      <c r="M56" s="79" t="inlineStr">
        <is>
          <t>基地100层及18米屋顶</t>
        </is>
      </c>
      <c r="N56" s="79" t="inlineStr">
        <is>
          <t>正式美术已接入</t>
        </is>
      </c>
      <c r="O56" s="79" t="inlineStr">
        <is>
          <t>v001</t>
        </is>
      </c>
      <c r="P56" s="79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Height="1" s="50">
      <c r="A57" s="69" t="inlineStr">
        <is>
          <t>ENV-BASE99-MEZZANINE-20X10-Z5</t>
        </is>
      </c>
      <c r="B57" s="69" t="inlineStr">
        <is>
          <t>基地99层5米楼中楼结构与护栏（复用V020二层地板）</t>
        </is>
      </c>
      <c r="C57" s="69" t="inlineStr">
        <is>
          <t>assets/art/environments/base_facility_3d/runtime/env_base99_mezzanine_20x10_z5/env_base99_mezzanine_20x10_z5_root_top3d.tscn</t>
        </is>
      </c>
      <c r="D57" s="69" t="inlineStr">
        <is>
          <t>assets/art/environments/base_facility_3d/components/env_base99_mezzanine_20x10_z5/env_base99_mezzanine_20x10_z5_visual_top3d.glb</t>
        </is>
      </c>
      <c r="E57" s="69" t="inlineStr">
        <is>
          <t>assets/art/environments/base_facility_3d/source/env_base99_modular_room/env_base99_modular_room_assets_clean_v006.blend（v006；资产v004）</t>
        </is>
      </c>
      <c r="F57" s="69" t="inlineStr">
        <is>
          <t>5米承重平台与连续栏杆；移除9个旧地砖/甲板网格，二层表现复用V020地板；真实投影</t>
        </is>
      </c>
      <c r="G57" s="69" t="inlineStr">
        <is>
          <t>src/world3d/Base99WalkableModule3D.gd</t>
        </is>
      </c>
      <c r="H57" s="69" t="inlineStr">
        <is>
          <t>开</t>
        </is>
      </c>
      <c r="I57" s="69" t="inlineStr">
        <is>
          <t>Prefab自身</t>
        </is>
      </c>
      <c r="J57" s="69" t="inlineStr">
        <is>
          <t>连续Box楼板+独立栏杆Box；西侧入口为L梯留空</t>
        </is>
      </c>
      <c r="K57" s="69" t="inlineStr">
        <is>
          <t>20.2475×10.2475×5.93m；台面5m；552三角面</t>
        </is>
      </c>
      <c r="L57" s="69" t="inlineStr">
        <is>
          <t>底面中心；Blender -Y / Godot -Z</t>
        </is>
      </c>
      <c r="M57" s="69" t="inlineStr">
        <is>
          <t>99层基地楼中楼</t>
        </is>
      </c>
      <c r="N57" s="69" t="inlineStr">
        <is>
          <t>正式美术已接入；优化完成</t>
        </is>
      </c>
      <c r="O57" s="69" t="inlineStr">
        <is>
          <t>已完成，未接入</t>
        </is>
      </c>
      <c r="P57" s="6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Height="1" s="50">
      <c r="A58" s="69" t="inlineStr">
        <is>
          <t>ENV-BASE99-STAIR-L-Z5</t>
        </is>
      </c>
      <c r="B58" s="69" t="inlineStr">
        <is>
          <t>基地99层5米L型楼梯</t>
        </is>
      </c>
      <c r="C58" s="69" t="inlineStr">
        <is>
          <t>assets/art/environments/base_facility_3d/runtime/env_base99_stair_l_z5/env_base99_stair_l_z5_root_top3d.tscn</t>
        </is>
      </c>
      <c r="D58" s="69" t="inlineStr">
        <is>
          <t>assets/art/environments/base_facility_3d/components/env_base99_stair_l_z5/env_base99_stair_l_z5_visual_top3d.glb</t>
        </is>
      </c>
      <c r="E58" s="69" t="inlineStr">
        <is>
          <t>assets/art/environments/base_facility_3d/source/env_base99_modular_room/env_base99_modular_room_assets_clean_v004.blend</t>
        </is>
      </c>
      <c r="F58" s="69" t="inlineStr">
        <is>
          <t>0→2.5→5米完整双跑L梯；转角扶手收口；真实投影与阻挡</t>
        </is>
      </c>
      <c r="G58" s="69" t="inlineStr">
        <is>
          <t>src/world3d/Base99WalkableModule3D.gd</t>
        </is>
      </c>
      <c r="H58" s="69" t="inlineStr">
        <is>
          <t>开</t>
        </is>
      </c>
      <c r="I58" s="69" t="inlineStr">
        <is>
          <t>Prefab自身</t>
        </is>
      </c>
      <c r="J58" s="69" t="inlineStr">
        <is>
          <t>单一StaticBody：斜坡+平台+斜坡；独立连续扶手Box</t>
        </is>
      </c>
      <c r="K58" s="69" t="inlineStr">
        <is>
          <t>9.2176×10.538×5.91015m；终点5m</t>
        </is>
      </c>
      <c r="L58" s="69" t="inlineStr">
        <is>
          <t>底面中心；Blender -Y / Godot -Z</t>
        </is>
      </c>
      <c r="M58" s="69" t="inlineStr">
        <is>
          <t>99层基地一楼至楼中楼</t>
        </is>
      </c>
      <c r="N58" s="69" t="inlineStr">
        <is>
          <t>正式美术已接入；沿用已验收V004</t>
        </is>
      </c>
      <c r="O58" s="69" t="inlineStr">
        <is>
          <t>已完成，未接入</t>
        </is>
      </c>
      <c r="P58" s="69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Height="1" s="50">
      <c r="A59" s="69" t="inlineStr">
        <is>
          <t>ENV-BASE99-STAIR-EXTERIOR-H4</t>
        </is>
      </c>
      <c r="B59" s="69" t="inlineStr">
        <is>
          <t>基地99至100层4米外门楼梯</t>
        </is>
      </c>
      <c r="C59" s="69" t="inlineStr">
        <is>
          <t>assets/art/environments/base_facility_3d/runtime/env_base99_stair_exterior_h4/env_base99_stair_exterior_h4_root_top3d.tscn</t>
        </is>
      </c>
      <c r="D59" s="69" t="inlineStr">
        <is>
          <t>assets/art/environments/base_facility_3d/components/env_base99_stair_exterior_h4/env_base99_stair_exterior_h4_visual_top3d.glb</t>
        </is>
      </c>
      <c r="E59" s="69" t="inlineStr">
        <is>
          <t>assets/art/environments/base_facility_3d/source/env_base99_modular_room/env_base99_modular_room_assets_clean_v002.blend</t>
        </is>
      </c>
      <c r="F59" s="69" t="inlineStr">
        <is>
          <t>平台5米至100层9米；两段原生楼梯组合；真实投影</t>
        </is>
      </c>
      <c r="G59" s="69" t="inlineStr">
        <is>
          <t>src/world3d/Base99WalkableModule3D.gd</t>
        </is>
      </c>
      <c r="H59" s="69" t="inlineStr">
        <is>
          <t>开</t>
        </is>
      </c>
      <c r="I59" s="69" t="inlineStr">
        <is>
          <t>Prefab自身</t>
        </is>
      </c>
      <c r="J59" s="69" t="inlineStr">
        <is>
          <t>覆盖8.515米包络的连续斜坡+双侧护栏</t>
        </is>
      </c>
      <c r="K59" s="69" t="inlineStr">
        <is>
          <t>8.515×2.8×4m；高差4m</t>
        </is>
      </c>
      <c r="L59" s="69" t="inlineStr">
        <is>
          <t>底面中心；Blender -Y / Godot -Z</t>
        </is>
      </c>
      <c r="M59" s="69" t="inlineStr">
        <is>
          <t>基地楼中楼至100层出口</t>
        </is>
      </c>
      <c r="N59" s="69" t="inlineStr">
        <is>
          <t>正式美术已接入</t>
        </is>
      </c>
      <c r="O59" s="69" t="inlineStr">
        <is>
          <t>v002</t>
        </is>
      </c>
      <c r="P59" s="69" t="inlineStr">
        <is>
          <t>不做纵向拉伸；替代H2版本</t>
        </is>
      </c>
    </row>
    <row r="60">
      <c r="A60" s="79" t="inlineStr">
        <is>
          <t>ENV-BASE99-MEZZANINE-UNDERDECK-BLOCKER</t>
        </is>
      </c>
      <c r="B60" s="79" t="inlineStr">
        <is>
          <t>基地99层楼中楼下方工业仓库横向门板</t>
        </is>
      </c>
      <c r="C60" s="79" t="inlineStr">
        <is>
          <t>assets/art/environments/base_facility_3d/runtime/env_base99_mezzanine_underdeck_blocker/env_base99_mezzanine_underdeck_blocker_root_top3d.tscn</t>
        </is>
      </c>
      <c r="D60" s="79" t="inlineStr">
        <is>
          <t>assets/art/environments/base_facility_3d/components/env_base99_mezzanine_underdeck_blocker/env_base99_mezzanine_underdeck_blocker_visual_top3d.glb</t>
        </is>
      </c>
      <c r="E60" s="79" t="inlineStr">
        <is>
          <t>assets/art/environments/base_facility_3d/source/env_base99_mezzanine_underdeck_blocker/env_base99_mezzanine_underdeck_blocker_source_v003.blend</t>
        </is>
      </c>
      <c r="F60" s="79" t="inlineStr">
        <is>
          <t>三面冷灰横向门板；0.55米内收；显式永久阻挡；真实投影</t>
        </is>
      </c>
      <c r="G60" s="79" t="inlineStr">
        <is>
          <t>src/world3d/Base99MezzanineUnderdeckBlocker3D.gd</t>
        </is>
      </c>
      <c r="H60" s="79" t="inlineStr">
        <is>
          <t>开</t>
        </is>
      </c>
      <c r="I60" s="79" t="inlineStr">
        <is>
          <t>Prefab自身</t>
        </is>
      </c>
      <c r="J60" s="79" t="inlineStr">
        <is>
          <t>南/西/东三块与模型对齐的BoxShape3D；process always</t>
        </is>
      </c>
      <c r="K60" s="79" t="inlineStr">
        <is>
          <t>19.31×9.11×4.65m视觉；碰撞顶4.95m</t>
        </is>
      </c>
      <c r="L60" s="79" t="inlineStr">
        <is>
          <t>底面中心；Blender -Y / Godot -Z</t>
        </is>
      </c>
      <c r="M60" s="79" t="inlineStr">
        <is>
          <t>99层基地楼中楼下方</t>
        </is>
      </c>
      <c r="N60" s="79" t="inlineStr">
        <is>
          <t>未在正式基地布局实例化（保留回滚）</t>
        </is>
      </c>
      <c r="O60" s="79" t="inlineStr">
        <is>
          <t>已完成，未接入</t>
        </is>
      </c>
      <c r="P60" s="79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Height="1" s="50">
      <c r="A61" s="79" t="inlineStr">
        <is>
          <t>ENV-BASE99-FLOOR-DETAILS-V017</t>
        </is>
      </c>
      <c r="B61" s="79" t="inlineStr">
        <is>
          <t>基地99层完整地板替换 V021</t>
        </is>
      </c>
      <c r="C61" s="79" t="inlineStr">
        <is>
          <t>assets/art/environments/base_facility_3d/runtime/env_base99_floor_full_replacement/env_base99_floor_full_replacement_root_top3d.tscn</t>
        </is>
      </c>
      <c r="D61" s="79" t="inlineStr">
        <is>
          <t>assets/art/environments/base_facility_3d/components/env_base99_floor_full_replacement/env_base99_floor_full_replacement_visual_top3d.glb</t>
        </is>
      </c>
      <c r="E61" s="79" t="inlineStr">
        <is>
          <t>source/art/blender/base_facility_layout/base_facility_runtime_layout_hq_v020.blend（v020）</t>
        </is>
      </c>
      <c r="F61" s="79" t="inlineStr">
        <is>
          <t>完整36块新地板表现替换旧普通/铆钉MultiMesh；FloorSupport承重规格不变。</t>
        </is>
      </c>
      <c r="G61" s="79" t="inlineStr">
        <is>
          <t>src/world3d/DungeonRoom3D.gd</t>
        </is>
      </c>
      <c r="H61" s="79" t="inlineStr">
        <is>
          <t>无</t>
        </is>
      </c>
      <c r="I61" s="79" t="inlineStr">
        <is>
          <t>TowerFloorStage3D</t>
        </is>
      </c>
      <c r="J61" s="79" t="inlineStr">
        <is>
          <t>无；仅视觉</t>
        </is>
      </c>
      <c r="K61" s="79" t="inlineStr">
        <is>
          <t>30×30m；6×6×5m；2网格；4材质表面；498,920三角面；无内置碰撞</t>
        </is>
      </c>
      <c r="L61" s="79" t="inlineStr">
        <is>
          <t>layout_origin；Blender +Y北 / Godot -Z北；根Y=0</t>
        </is>
      </c>
      <c r="M61" s="79" t="inlineStr">
        <is>
          <t>99层基地一层</t>
        </is>
      </c>
      <c r="N61" s="79" t="inlineStr">
        <is>
          <t>正式美术已接入</t>
        </is>
      </c>
      <c r="O61" s="79" t="inlineStr">
        <is>
          <t>v003</t>
        </is>
      </c>
      <c r="P61" s="79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>
      <c r="A62" s="79" t="inlineStr">
        <is>
          <t>ENV-BASE99-LOFT-FLOOR-FINISH-V017</t>
        </is>
      </c>
      <c r="B62" s="79" t="inlineStr">
        <is>
          <t>基地99层二层地板面层 V020</t>
        </is>
      </c>
      <c r="C62" s="79" t="inlineStr">
        <is>
          <t>assets/art/environments/base_facility_3d/runtime/env_base99_loft_floor_finish/env_base99_loft_floor_finish_root_top3d.tscn</t>
        </is>
      </c>
      <c r="D62" s="79" t="inlineStr">
        <is>
          <t>assets/art/environments/base_facility_3d/components/env_base99_loft_floor_finish/env_base99_loft_floor_finish_visual_top3d.glb</t>
        </is>
      </c>
      <c r="E62" s="79" t="inlineStr">
        <is>
          <t>source/art/blender/base_facility_layout/base_facility_runtime_layout_hq_v020.blend（v020）</t>
        </is>
      </c>
      <c r="F62" s="79" t="inlineStr">
        <is>
          <t>仅表现；Blender V020新增二楼地板面层保持不动，并作为V004阁楼结构唯一甲板表现。</t>
        </is>
      </c>
      <c r="G62" s="79" t="inlineStr">
        <is>
          <t>src/world3d/DungeonRoom3D.gd</t>
        </is>
      </c>
      <c r="H62" s="79" t="inlineStr">
        <is>
          <t>无</t>
        </is>
      </c>
      <c r="I62" s="79" t="inlineStr">
        <is>
          <t>无；仅视觉</t>
        </is>
      </c>
      <c r="J62" s="79" t="inlineStr">
        <is>
          <t>无；仅视觉</t>
        </is>
      </c>
      <c r="K62" s="79" t="inlineStr">
        <is>
          <t>19.6×9.6×0.108m；1网格；2材质表面；206三角面；无内置碰撞</t>
        </is>
      </c>
      <c r="L62" s="79" t="inlineStr">
        <is>
          <t>layout_origin；装配层Y=-1m，将Blender Z=6对齐Godot Y=5</t>
        </is>
      </c>
      <c r="M62" s="79" t="inlineStr">
        <is>
          <t>99层基地北侧20×10米楼中楼</t>
        </is>
      </c>
      <c r="N62" s="79" t="inlineStr">
        <is>
          <t>正式美术已接入</t>
        </is>
      </c>
      <c r="O62" s="79" t="inlineStr">
        <is>
          <t>v002</t>
        </is>
      </c>
      <c r="P62" s="79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>
      <c r="A63" s="79" t="inlineStr">
        <is>
          <t>ENV-BASE99-FLOOR-VISUAL-LAYOUT-V017</t>
        </is>
      </c>
      <c r="B63" s="79" t="inlineStr">
        <is>
          <t>基地99层完整地板表现装配 V021</t>
        </is>
      </c>
      <c r="C63" s="79" t="inlineStr">
        <is>
          <t>assets/art/environments/base_facility_3d/runtime/env_base99_floor_visuals/env_base99_floor_visuals_root_top3d.tscn</t>
        </is>
      </c>
      <c r="E63" s="79" t="inlineStr">
        <is>
          <t>source/art/blender/base_facility_layout/base_facility_runtime_layout_hq_v020.blend（v020）</t>
        </is>
      </c>
      <c r="F63" s="79" t="inlineStr">
        <is>
          <t>完整一层新地板、V020二层面层、V004阁楼/楼梯与V021非门墙面内容的运行时装配；由基地美术布局直接实例化。</t>
        </is>
      </c>
      <c r="G63" s="79" t="inlineStr">
        <is>
          <t>src/world3d/DungeonRoom3D.gd</t>
        </is>
      </c>
      <c r="H63" s="79" t="inlineStr">
        <is>
          <t>无</t>
        </is>
      </c>
      <c r="I63" s="79" t="inlineStr">
        <is>
          <t>既有TowerFloorStage3D与楼中楼Prefab</t>
        </is>
      </c>
      <c r="J63" s="79" t="inlineStr">
        <is>
          <t>无；仅视觉布局装配</t>
        </is>
      </c>
      <c r="K63" s="79" t="inlineStr">
        <is>
          <t>一层30×30m；二层20×10m；无内置碰撞</t>
        </is>
      </c>
      <c r="L63" s="79" t="inlineStr">
        <is>
          <t>layout_origin；二层面层Y=-1m；V021墙面内容保持Blender烘焙坐标</t>
        </is>
      </c>
      <c r="M63" s="79" t="inlineStr">
        <is>
          <t>99层基地美术布局</t>
        </is>
      </c>
      <c r="N63" s="79" t="inlineStr">
        <is>
          <t>正式美术已接入</t>
        </is>
      </c>
      <c r="O63" s="79" t="inlineStr">
        <is>
          <t>v003</t>
        </is>
      </c>
      <c r="P63" s="79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>
      <c r="A64" s="79" t="inlineStr">
        <is>
          <t>ENV-BASE99-WALL-CONTENTS-V021</t>
        </is>
      </c>
      <c r="B64" s="79" t="inlineStr">
        <is>
          <t>基地99层非门墙面内容资产包</t>
        </is>
      </c>
      <c r="C64" s="79" t="inlineStr">
        <is>
          <t>assets/art/environments/base_facility_3d/runtime/env_base99_wall_contents/env_base99_wall_contents_root_top3d.tscn</t>
        </is>
      </c>
      <c r="D64" s="79" t="inlineStr">
        <is>
          <t>assets/art/environments/base_facility_3d/components/env_base99_wall_contents（18个GLB）</t>
        </is>
      </c>
      <c r="E64" s="79" t="inlineStr">
        <is>
          <t>source/art/blender/base_facility_layout/v021/base_facility_runtime_layout_hq_v021_wall_contents.blend（v021；derived from base_facility_runtime_layout_hq_v017.blend v017）</t>
        </is>
      </c>
      <c r="F64" s="79" t="inlineStr">
        <is>
          <t>仅表现；18个非门墙面内容包，根节点保持原点并复用Blender烘焙摆放；排除门、门框、结构墙、墙板和挡板。</t>
        </is>
      </c>
      <c r="G64" s="79" t="inlineStr">
        <is>
          <t>无</t>
        </is>
      </c>
      <c r="H64" s="79" t="inlineStr">
        <is>
          <t>无</t>
        </is>
      </c>
      <c r="I64" s="79" t="inlineStr">
        <is>
          <t>无；visual_only_no_collision</t>
        </is>
      </c>
      <c r="J64" s="79" t="inlineStr">
        <is>
          <t>无；visual_only_no_collision</t>
        </is>
      </c>
      <c r="K64" s="79" t="inlineStr">
        <is>
          <t>18运行时网格；86,538三角面；向下表面已删除并抽稀</t>
        </is>
      </c>
      <c r="L64" s="79" t="inlineStr">
        <is>
          <t>layout_origin；Blender +Y北 / Godot -Z北</t>
        </is>
      </c>
      <c r="M64" s="79" t="inlineStr">
        <is>
          <t>99层基地墙面内容</t>
        </is>
      </c>
      <c r="N64" s="79" t="inlineStr">
        <is>
          <t>正式美术已接入；优化完成</t>
        </is>
      </c>
    </row>
    <row r="65">
      <c r="A65" s="79" t="inlineStr">
        <is>
          <t>ENV-BASE99-REMAINING-FACILITIES-V021</t>
        </is>
      </c>
      <c r="B65" s="79" t="inlineStr">
        <is>
          <t>基地99层剩余非门非墙独立设施资产包</t>
        </is>
      </c>
      <c r="C65" s="79" t="inlineStr">
        <is>
          <t>assets/art/environments/base_facility_3d/runtime/env_base99_remaining_facilities/env_base99_remaining_facilities_root_top3d.tscn</t>
        </is>
      </c>
      <c r="D65" s="79" t="inlineStr">
        <is>
          <t>assets/art/environments/base_facility_3d/components/env_base99_remaining_facilities（45个GLB）</t>
        </is>
      </c>
      <c r="E65" s="79" t="inlineStr">
        <is>
          <t>source/art/blender/base_facility_layout/v021/base_facility_runtime_layout_hq_v021_remaining_facilities.blend（v021；derived from base_facility_runtime_layout_hq_v017.blend v017）</t>
        </is>
      </c>
      <c r="F65" s="79" t="inlineStr">
        <is>
          <t>仓储、阁楼家具、独立设备与环境支持；排除门、门禁随属件、结构墙、墙面内容、地板、阁楼和楼梯。Blender烘焙摆放保持不变。</t>
        </is>
      </c>
      <c r="G65" s="79" t="inlineStr">
        <is>
          <t>无</t>
        </is>
      </c>
      <c r="H65" s="79" t="inlineStr">
        <is>
          <t>开</t>
        </is>
      </c>
      <c r="I65" s="79" t="inlineStr">
        <is>
          <t>每包独立Prefab</t>
        </is>
      </c>
      <c r="J65" s="79" t="inlineStr">
        <is>
          <t>34包逐源物件BoxShape3D；11包仅视觉</t>
        </is>
      </c>
      <c r="K65" s="79" t="inlineStr">
        <is>
          <t>45运行时网格；84,274三角面；向下表面删除21,604；45/45公共色盘导入契约</t>
        </is>
      </c>
      <c r="L65" s="79" t="inlineStr">
        <is>
          <t>layout_origin；Blender +Y北 / Godot -Z北</t>
        </is>
      </c>
      <c r="M65" s="79" t="inlineStr">
        <is>
          <t>99层基地剩余设施</t>
        </is>
      </c>
      <c r="N65" s="79" t="inlineStr">
        <is>
          <t>正式美术已接入；优化完成</t>
        </is>
      </c>
    </row>
    <row r="66">
      <c r="A66" s="79" t="inlineStr">
        <is>
          <t>ENV-TOWER-STAIR-FLOOR-LOWER</t>
        </is>
      </c>
      <c r="B66" s="79" t="inlineStr">
        <is>
          <t>楼梯间下层楼板</t>
        </is>
      </c>
      <c r="E66" s="79" t="inlineStr">
        <is>
          <t>source/art/whitebox/tower_zones/v015/blender/whitebox_tower_stairs_v015.blend</t>
        </is>
      </c>
      <c r="F66" s="79" t="inlineStr">
        <is>
          <t>3Dgame-design白盒可拖放组件</t>
        </is>
      </c>
      <c r="H66" s="79" t="inlineStr">
        <is>
          <t>无</t>
        </is>
      </c>
      <c r="I66" s="79" t="inlineStr">
        <is>
          <t>3Dgame-design</t>
        </is>
      </c>
      <c r="J66" s="79" t="inlineStr">
        <is>
          <t>无；白盒编辑</t>
        </is>
      </c>
      <c r="K66" s="69" t="inlineStr">
        <is>
          <t>每间下层18块5×5×0.3m固定地砖，完成面+0.1m</t>
        </is>
      </c>
      <c r="L66" s="69" t="inlineStr">
        <is>
          <t>组件中心；Blender Z-up</t>
        </is>
      </c>
      <c r="M66" s="69" t="inlineStr">
        <is>
          <t>楼梯区专用</t>
        </is>
      </c>
      <c r="N66" s="69" t="inlineStr">
        <is>
          <t>白盒组件</t>
        </is>
      </c>
      <c r="O66" s="69" t="inlineStr">
        <is>
          <t>v001</t>
        </is>
      </c>
      <c r="P66" s="69" t="inlineStr">
        <is>
          <t>v015原位拼装，详细尺寸和实例位置见组件JSON；禁止缩放。</t>
        </is>
      </c>
    </row>
    <row r="67" ht="70" customHeight="1" s="50">
      <c r="A67" s="79" t="inlineStr">
        <is>
          <t>ENV-TOWER-STAIR-FLOOR-MID</t>
        </is>
      </c>
      <c r="B67" s="79" t="inlineStr">
        <is>
          <t>楼梯间中层楼板</t>
        </is>
      </c>
      <c r="E67" s="79" t="inlineStr">
        <is>
          <t>source/art/whitebox/tower_zones/v015/blender/whitebox_tower_stairs_v015.blend</t>
        </is>
      </c>
      <c r="F67" s="79" t="inlineStr">
        <is>
          <t>3Dgame-design白盒可拖放组件</t>
        </is>
      </c>
      <c r="H67" s="79" t="inlineStr">
        <is>
          <t>无</t>
        </is>
      </c>
      <c r="I67" s="79" t="inlineStr">
        <is>
          <t>3Dgame-design</t>
        </is>
      </c>
      <c r="J67" s="79" t="inlineStr">
        <is>
          <t>无；白盒编辑</t>
        </is>
      </c>
      <c r="K67" s="69" t="inlineStr">
        <is>
          <t>每间中层6块固定拼接件，沿原平台边界收边</t>
        </is>
      </c>
      <c r="L67" s="69" t="inlineStr">
        <is>
          <t>组件中心；Blender Z-up</t>
        </is>
      </c>
      <c r="M67" s="69" t="inlineStr">
        <is>
          <t>楼梯区专用</t>
        </is>
      </c>
      <c r="N67" s="69" t="inlineStr">
        <is>
          <t>白盒组件</t>
        </is>
      </c>
      <c r="O67" s="69" t="inlineStr">
        <is>
          <t>v001</t>
        </is>
      </c>
      <c r="P67" s="69" t="inlineStr">
        <is>
          <t>v015原位拼装，详细尺寸和实例位置见组件JSON；禁止缩放。</t>
        </is>
      </c>
    </row>
    <row r="68" ht="70" customHeight="1" s="50">
      <c r="A68" s="79" t="inlineStr">
        <is>
          <t>ENV-TOWER-STAIR-FLOOR-UPPER</t>
        </is>
      </c>
      <c r="B68" s="79" t="inlineStr">
        <is>
          <t>楼梯间上层楼板</t>
        </is>
      </c>
      <c r="E68" s="79" t="inlineStr">
        <is>
          <t>source/art/whitebox/tower_zones/v015/blender/whitebox_tower_stairs_v015.blend</t>
        </is>
      </c>
      <c r="F68" s="79" t="inlineStr">
        <is>
          <t>3Dgame-design白盒可拖放组件</t>
        </is>
      </c>
      <c r="H68" s="79" t="inlineStr">
        <is>
          <t>无</t>
        </is>
      </c>
      <c r="I68" s="79" t="inlineStr">
        <is>
          <t>3Dgame-design</t>
        </is>
      </c>
      <c r="J68" s="79" t="inlineStr">
        <is>
          <t>无；白盒编辑</t>
        </is>
      </c>
      <c r="K68" s="69" t="inlineStr">
        <is>
          <t>每间上层6块固定拼接件，另有2块门口连接板</t>
        </is>
      </c>
      <c r="L68" s="69" t="inlineStr">
        <is>
          <t>组件中心；Blender Z-up</t>
        </is>
      </c>
      <c r="M68" s="69" t="inlineStr">
        <is>
          <t>楼梯区专用</t>
        </is>
      </c>
      <c r="N68" s="69" t="inlineStr">
        <is>
          <t>白盒组件</t>
        </is>
      </c>
      <c r="O68" s="69" t="inlineStr">
        <is>
          <t>v001</t>
        </is>
      </c>
      <c r="P68" s="69" t="inlineStr">
        <is>
          <t>v015原位拼装，详细尺寸和实例位置见组件JSON；禁止缩放。</t>
        </is>
      </c>
    </row>
    <row r="69" ht="70" customHeight="1" s="50">
      <c r="A69" s="79" t="inlineStr">
        <is>
          <t>ENV-TOWER-STAIR-FLIGHT-ADJUSTABLE</t>
        </is>
      </c>
      <c r="B69" s="79" t="inlineStr">
        <is>
          <t>楼梯间可调直梯母组件</t>
        </is>
      </c>
      <c r="E69" s="79" t="inlineStr">
        <is>
          <t>source/art/whitebox/tower_zones/v015/blender/whitebox_tower_stairs_v015.blend</t>
        </is>
      </c>
      <c r="F69" s="79" t="inlineStr">
        <is>
          <t>3Dgame-design白盒可拖放组件</t>
        </is>
      </c>
      <c r="H69" s="79" t="inlineStr">
        <is>
          <t>无</t>
        </is>
      </c>
      <c r="I69" s="79" t="inlineStr">
        <is>
          <t>3Dgame-design</t>
        </is>
      </c>
      <c r="J69" s="79" t="inlineStr">
        <is>
          <t>无；白盒编辑</t>
        </is>
      </c>
      <c r="K69" s="69" t="inlineStr">
        <is>
          <t>单母组件；每跑6m高/15m水平长度/21.8014°；20级；另一跑180°；高度/角度可调</t>
        </is>
      </c>
      <c r="L69" s="69" t="inlineStr">
        <is>
          <t>组件中心；Blender Z-up</t>
        </is>
      </c>
      <c r="M69" s="69" t="inlineStr">
        <is>
          <t>楼梯区专用</t>
        </is>
      </c>
      <c r="N69" s="69" t="inlineStr">
        <is>
          <t>白盒组件</t>
        </is>
      </c>
      <c r="O69" s="69" t="inlineStr">
        <is>
          <t>v002</t>
        </is>
      </c>
      <c r="P69" s="69" t="inlineStr">
        <is>
          <t>v015原位拼装，详细尺寸和实例位置见组件JSON；禁止缩放。</t>
        </is>
      </c>
    </row>
    <row r="70" ht="70" customHeight="1" s="50">
      <c r="A70" s="79" t="inlineStr">
        <is>
          <t>ENV-TOWER-CORNER-COLUMN-05M</t>
        </is>
      </c>
      <c r="B70" s="79" t="inlineStr">
        <is>
          <t>塔楼通用拐角柱</t>
        </is>
      </c>
      <c r="E70" s="79" t="inlineStr">
        <is>
          <t>tools/3Dgame-design/src/main.js</t>
        </is>
      </c>
      <c r="F70" s="79" t="inlineStr">
        <is>
          <t>3Dgame-design白盒可拖放组件</t>
        </is>
      </c>
      <c r="H70" s="79" t="inlineStr">
        <is>
          <t>无</t>
        </is>
      </c>
      <c r="I70" s="79" t="inlineStr">
        <is>
          <t>3Dgame-design</t>
        </is>
      </c>
      <c r="J70" s="79" t="inlineStr">
        <is>
          <t>无；白盒编辑</t>
        </is>
      </c>
      <c r="K70" s="79" t="inlineStr">
        <is>
          <t>0.5×0.5×12.9m</t>
        </is>
      </c>
      <c r="L70" s="79" t="inlineStr">
        <is>
          <t>组件中心；Blender Z-up</t>
        </is>
      </c>
      <c r="M70" s="79" t="inlineStr">
        <is>
          <t>全区块通用</t>
        </is>
      </c>
      <c r="N70" s="79" t="inlineStr">
        <is>
          <t>白盒组件</t>
        </is>
      </c>
      <c r="O70" s="79" t="inlineStr">
        <is>
          <t>v001</t>
        </is>
      </c>
      <c r="P70" s="79" t="inlineStr">
        <is>
          <t>3Dgame-design通用组件；未重新导入Godot。</t>
        </is>
      </c>
    </row>
    <row r="71">
      <c r="A71" s="95" t="inlineStr">
        <is>
          <t>ENV-BATTLE-L01-ROOM-MAIN-01-HUB</t>
        </is>
      </c>
      <c r="B71" s="95" t="inlineStr">
        <is>
          <t>局内关卡01 主路内容房01 hub 30×25m 白模</t>
        </is>
      </c>
      <c r="C71" s="95" t="inlineStr">
        <is>
          <t>未制作</t>
        </is>
      </c>
      <c r="D71" s="95" t="inlineStr">
        <is>
          <t>未制作</t>
        </is>
      </c>
      <c r="E71" s="95" t="inlineStr">
        <is>
          <t>source/art/whitebox/tower_zones/battle_level01/v003/blender/局内关卡01_白模_主路内容房_01_hub_30x25m_v003.blend</t>
        </is>
      </c>
      <c r="F71" s="95" t="inlineStr">
        <is>
          <t>战局01白模v003；墙体按固定5m槽位拼装，带门墙完整占用5m槽并保留左右柱与门楣。</t>
        </is>
      </c>
      <c r="G71" s="95" t="inlineStr">
        <is>
          <t>未接入</t>
        </is>
      </c>
      <c r="H71" s="95" t="inlineStr">
        <is>
          <t>无</t>
        </is>
      </c>
      <c r="I71" s="95" t="inlineStr">
        <is>
          <t>无</t>
        </is>
      </c>
      <c r="J71" s="95" t="inlineStr">
        <is>
          <t>无</t>
        </is>
      </c>
      <c r="K71" s="95" t="inlineStr">
        <is>
          <t>30×25×11.9m</t>
        </is>
      </c>
      <c r="L71" s="95" t="inlineStr">
        <is>
          <t>房间局部坐标：X/Y居中；底面Z=0；Godot -Z</t>
        </is>
      </c>
      <c r="M71" s="95" t="inlineStr">
        <is>
          <t>局内关卡01 / Battle</t>
        </is>
      </c>
      <c r="N71" s="95" t="inlineStr">
        <is>
          <t>白模源已完成；QA PASS</t>
        </is>
      </c>
      <c r="O71" s="95" t="inlineStr">
        <is>
          <t>v003</t>
        </is>
      </c>
      <c r="P7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Height="1" s="50">
      <c r="A72" s="95" t="inlineStr">
        <is>
          <t>ENV-BATTLE-L01-ROOM-MAIN-02</t>
        </is>
      </c>
      <c r="B72" s="95" t="inlineStr">
        <is>
          <t>局内关卡01 主路内容房02 数据机房 30×25m</t>
        </is>
      </c>
      <c r="C72" s="95" t="inlineStr">
        <is>
          <t>未制作</t>
        </is>
      </c>
      <c r="D72" s="95" t="inlineStr">
        <is>
          <t>未制作</t>
        </is>
      </c>
      <c r="E72" s="95" t="inlineStr">
        <is>
          <t>assets/art/environments/tower_zones/battle/source/room_instances/main_room_02/v003/env_battle_l01_main_02_data_room_layout_source_v003.blend</t>
        </is>
      </c>
      <c r="F72" s="95" t="inlineStr">
        <is>
          <t>基于v002白盒的参考图机房包装；82个独立资产包，墙/地砖/机柜/终端/跨设施支持分别归类。</t>
        </is>
      </c>
      <c r="G72" s="95" t="inlineStr">
        <is>
          <t>未接入</t>
        </is>
      </c>
      <c r="H72" s="95" t="inlineStr">
        <is>
          <t>无</t>
        </is>
      </c>
      <c r="I72" s="95" t="inlineStr">
        <is>
          <t>无</t>
        </is>
      </c>
      <c r="J72" s="95" t="inlineStr">
        <is>
          <t>无</t>
        </is>
      </c>
      <c r="K72" s="95" t="inlineStr">
        <is>
          <t>30×25×11.9m</t>
        </is>
      </c>
      <c r="L72" s="95" t="inlineStr">
        <is>
          <t>房间局部坐标：X/Y居中；底面Z=0；Godot -Z</t>
        </is>
      </c>
      <c r="M72" s="95" t="inlineStr">
        <is>
          <t>局内关卡01 / Battle</t>
        </is>
      </c>
      <c r="N72" s="95" t="inlineStr">
        <is>
          <t>Blender美术源已完成；源文件已规范迁移；未接入Godot</t>
        </is>
      </c>
      <c r="O72" s="95" t="inlineStr">
        <is>
          <t>v003</t>
        </is>
      </c>
      <c r="P72" s="9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Height="1" s="50">
      <c r="A73" s="95" t="inlineStr">
        <is>
          <t>ENV-BATTLE-L01-ROOM-MAIN-03</t>
        </is>
      </c>
      <c r="B73" s="95" t="inlineStr">
        <is>
          <t>局内关卡01 主路内容房03 30×25m 白模</t>
        </is>
      </c>
      <c r="C73" s="95" t="inlineStr">
        <is>
          <t>未制作</t>
        </is>
      </c>
      <c r="D73" s="95" t="inlineStr">
        <is>
          <t>未制作</t>
        </is>
      </c>
      <c r="E73" s="95" t="inlineStr">
        <is>
          <t>source/art/whitebox/tower_zones/battle_level01/v003/blender/局内关卡01_白模_主路内容房_03_30x25m_v003.blend</t>
        </is>
      </c>
      <c r="F73" s="95" t="inlineStr">
        <is>
          <t>战局01白模v003；墙体按固定5m槽位拼装，带门墙完整占用5m槽并保留左右柱与门楣。</t>
        </is>
      </c>
      <c r="G73" s="95" t="inlineStr">
        <is>
          <t>未接入</t>
        </is>
      </c>
      <c r="H73" s="95" t="inlineStr">
        <is>
          <t>无</t>
        </is>
      </c>
      <c r="I73" s="95" t="inlineStr">
        <is>
          <t>无</t>
        </is>
      </c>
      <c r="J73" s="95" t="inlineStr">
        <is>
          <t>无</t>
        </is>
      </c>
      <c r="K73" s="95" t="inlineStr">
        <is>
          <t>30×25×11.9m</t>
        </is>
      </c>
      <c r="L73" s="95" t="inlineStr">
        <is>
          <t>房间局部坐标：X/Y居中；底面Z=0；Godot -Z</t>
        </is>
      </c>
      <c r="M73" s="95" t="inlineStr">
        <is>
          <t>局内关卡01 / Battle</t>
        </is>
      </c>
      <c r="N73" s="95" t="inlineStr">
        <is>
          <t>白模源已完成；QA PASS</t>
        </is>
      </c>
      <c r="O73" s="95" t="inlineStr">
        <is>
          <t>v003</t>
        </is>
      </c>
      <c r="P7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Height="1" s="50">
      <c r="A74" s="95" t="inlineStr">
        <is>
          <t>ENV-BATTLE-L01-ROOM-MAIN-04</t>
        </is>
      </c>
      <c r="B74" s="95" t="inlineStr">
        <is>
          <t>局内关卡01 主路内容房04 30×25m 白模</t>
        </is>
      </c>
      <c r="C74" s="95" t="inlineStr">
        <is>
          <t>未制作</t>
        </is>
      </c>
      <c r="D74" s="95" t="inlineStr">
        <is>
          <t>未制作</t>
        </is>
      </c>
      <c r="E74" s="95" t="inlineStr">
        <is>
          <t>source/art/whitebox/tower_zones/battle_level01/v003/blender/局内关卡01_白模_主路内容房_04_30x25m_v003.blend</t>
        </is>
      </c>
      <c r="F74" s="95" t="inlineStr">
        <is>
          <t>战局01白模v003；墙体按固定5m槽位拼装，带门墙完整占用5m槽并保留左右柱与门楣。</t>
        </is>
      </c>
      <c r="G74" s="95" t="inlineStr">
        <is>
          <t>未接入</t>
        </is>
      </c>
      <c r="H74" s="95" t="inlineStr">
        <is>
          <t>无</t>
        </is>
      </c>
      <c r="I74" s="95" t="inlineStr">
        <is>
          <t>无</t>
        </is>
      </c>
      <c r="J74" s="95" t="inlineStr">
        <is>
          <t>无</t>
        </is>
      </c>
      <c r="K74" s="95" t="inlineStr">
        <is>
          <t>30×25×11.9m</t>
        </is>
      </c>
      <c r="L74" s="95" t="inlineStr">
        <is>
          <t>房间局部坐标：X/Y居中；底面Z=0；Godot -Z</t>
        </is>
      </c>
      <c r="M74" s="95" t="inlineStr">
        <is>
          <t>局内关卡01 / Battle</t>
        </is>
      </c>
      <c r="N74" s="95" t="inlineStr">
        <is>
          <t>白模源已完成；QA PASS</t>
        </is>
      </c>
      <c r="O74" s="95" t="inlineStr">
        <is>
          <t>v003</t>
        </is>
      </c>
      <c r="P7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Height="1" s="50">
      <c r="A75" s="95" t="inlineStr">
        <is>
          <t>ENV-BATTLE-L01-ROOM-MAIN-05</t>
        </is>
      </c>
      <c r="B75" s="95" t="inlineStr">
        <is>
          <t>局内关卡01 主路内容房05 30×40m 白模</t>
        </is>
      </c>
      <c r="C75" s="95" t="inlineStr">
        <is>
          <t>未制作</t>
        </is>
      </c>
      <c r="D75" s="95" t="inlineStr">
        <is>
          <t>未制作</t>
        </is>
      </c>
      <c r="E75" s="95" t="inlineStr">
        <is>
          <t>source/art/whitebox/tower_zones/battle_level01/v003/blender/局内关卡01_白模_主路内容房_05_30x40m_v003.blend</t>
        </is>
      </c>
      <c r="F75" s="95" t="inlineStr">
        <is>
          <t>战局01白模v003；墙体按固定5m槽位拼装，带门墙完整占用5m槽并保留左右柱与门楣。</t>
        </is>
      </c>
      <c r="G75" s="95" t="inlineStr">
        <is>
          <t>未接入</t>
        </is>
      </c>
      <c r="H75" s="95" t="inlineStr">
        <is>
          <t>无</t>
        </is>
      </c>
      <c r="I75" s="95" t="inlineStr">
        <is>
          <t>无</t>
        </is>
      </c>
      <c r="J75" s="95" t="inlineStr">
        <is>
          <t>无</t>
        </is>
      </c>
      <c r="K75" s="95" t="inlineStr">
        <is>
          <t>30×40×11.9m</t>
        </is>
      </c>
      <c r="L75" s="95" t="inlineStr">
        <is>
          <t>房间局部坐标：X/Y居中；底面Z=0；Godot -Z</t>
        </is>
      </c>
      <c r="M75" s="95" t="inlineStr">
        <is>
          <t>局内关卡01 / Battle</t>
        </is>
      </c>
      <c r="N75" s="95" t="inlineStr">
        <is>
          <t>白模源已完成；QA PASS</t>
        </is>
      </c>
      <c r="O75" s="95" t="inlineStr">
        <is>
          <t>v003</t>
        </is>
      </c>
      <c r="P75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Height="1" s="50">
      <c r="A76" s="95" t="inlineStr">
        <is>
          <t>ENV-BATTLE-L01-ROOM-MAIN-06</t>
        </is>
      </c>
      <c r="B76" s="95" t="inlineStr">
        <is>
          <t>局内关卡01 主路内容房06 30×25m 白模</t>
        </is>
      </c>
      <c r="C76" s="95" t="inlineStr">
        <is>
          <t>未制作</t>
        </is>
      </c>
      <c r="D76" s="95" t="inlineStr">
        <is>
          <t>未制作</t>
        </is>
      </c>
      <c r="E76" s="95" t="inlineStr">
        <is>
          <t>source/art/whitebox/tower_zones/battle_level01/v003/blender/局内关卡01_白模_主路内容房_06_30x25m_v003.blend</t>
        </is>
      </c>
      <c r="F76" s="95" t="inlineStr">
        <is>
          <t>战局01白模v003；墙体按固定5m槽位拼装，带门墙完整占用5m槽并保留左右柱与门楣。</t>
        </is>
      </c>
      <c r="G76" s="95" t="inlineStr">
        <is>
          <t>未接入</t>
        </is>
      </c>
      <c r="H76" s="95" t="inlineStr">
        <is>
          <t>无</t>
        </is>
      </c>
      <c r="I76" s="95" t="inlineStr">
        <is>
          <t>无</t>
        </is>
      </c>
      <c r="J76" s="95" t="inlineStr">
        <is>
          <t>无</t>
        </is>
      </c>
      <c r="K76" s="95" t="inlineStr">
        <is>
          <t>30×25×11.9m</t>
        </is>
      </c>
      <c r="L76" s="95" t="inlineStr">
        <is>
          <t>房间局部坐标：X/Y居中；底面Z=0；Godot -Z</t>
        </is>
      </c>
      <c r="M76" s="95" t="inlineStr">
        <is>
          <t>局内关卡01 / Battle</t>
        </is>
      </c>
      <c r="N76" s="95" t="inlineStr">
        <is>
          <t>白模源已完成；QA PASS</t>
        </is>
      </c>
      <c r="O76" s="95" t="inlineStr">
        <is>
          <t>v003</t>
        </is>
      </c>
      <c r="P76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Height="1" s="50">
      <c r="A77" s="95" t="inlineStr">
        <is>
          <t>ENV-BATTLE-L01-ROOM-MAIN-07</t>
        </is>
      </c>
      <c r="B77" s="95" t="inlineStr">
        <is>
          <t>局内关卡01 主路内容房07 30×25m 白模</t>
        </is>
      </c>
      <c r="C77" s="95" t="inlineStr">
        <is>
          <t>未制作</t>
        </is>
      </c>
      <c r="D77" s="95" t="inlineStr">
        <is>
          <t>未制作</t>
        </is>
      </c>
      <c r="E77" s="95" t="inlineStr">
        <is>
          <t>source/art/whitebox/tower_zones/battle_level01/v003/blender/局内关卡01_白模_主路内容房_07_30x25m_v003.blend</t>
        </is>
      </c>
      <c r="F77" s="95" t="inlineStr">
        <is>
          <t>战局01白模v003；墙体按固定5m槽位拼装，带门墙完整占用5m槽并保留左右柱与门楣。</t>
        </is>
      </c>
      <c r="G77" s="95" t="inlineStr">
        <is>
          <t>未接入</t>
        </is>
      </c>
      <c r="H77" s="95" t="inlineStr">
        <is>
          <t>无</t>
        </is>
      </c>
      <c r="I77" s="95" t="inlineStr">
        <is>
          <t>无</t>
        </is>
      </c>
      <c r="J77" s="95" t="inlineStr">
        <is>
          <t>无</t>
        </is>
      </c>
      <c r="K77" s="95" t="inlineStr">
        <is>
          <t>30×25×11.9m</t>
        </is>
      </c>
      <c r="L77" s="95" t="inlineStr">
        <is>
          <t>房间局部坐标：X/Y居中；底面Z=0；Godot -Z</t>
        </is>
      </c>
      <c r="M77" s="95" t="inlineStr">
        <is>
          <t>局内关卡01 / Battle</t>
        </is>
      </c>
      <c r="N77" s="95" t="inlineStr">
        <is>
          <t>白模源已完成；QA PASS</t>
        </is>
      </c>
      <c r="O77" s="95" t="inlineStr">
        <is>
          <t>v003</t>
        </is>
      </c>
      <c r="P7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Height="1" s="50">
      <c r="A78" s="95" t="inlineStr">
        <is>
          <t>ENV-BATTLE-L01-ROOM-MAIN-08</t>
        </is>
      </c>
      <c r="B78" s="95" t="inlineStr">
        <is>
          <t>局内关卡01 主路内容房08 35×30m 白模</t>
        </is>
      </c>
      <c r="C78" s="95" t="inlineStr">
        <is>
          <t>未制作</t>
        </is>
      </c>
      <c r="D78" s="95" t="inlineStr">
        <is>
          <t>未制作</t>
        </is>
      </c>
      <c r="E78" s="95" t="inlineStr">
        <is>
          <t>source/art/whitebox/tower_zones/battle_level01/v003/blender/局内关卡01_白模_主路内容房_08_35x30m_v003.blend</t>
        </is>
      </c>
      <c r="F78" s="95" t="inlineStr">
        <is>
          <t>战局01白模v003；墙体按固定5m槽位拼装，带门墙完整占用5m槽并保留左右柱与门楣。</t>
        </is>
      </c>
      <c r="G78" s="95" t="inlineStr">
        <is>
          <t>未接入</t>
        </is>
      </c>
      <c r="H78" s="95" t="inlineStr">
        <is>
          <t>无</t>
        </is>
      </c>
      <c r="I78" s="95" t="inlineStr">
        <is>
          <t>无</t>
        </is>
      </c>
      <c r="J78" s="95" t="inlineStr">
        <is>
          <t>无</t>
        </is>
      </c>
      <c r="K78" s="95" t="inlineStr">
        <is>
          <t>35×30×11.9m</t>
        </is>
      </c>
      <c r="L78" s="95" t="inlineStr">
        <is>
          <t>房间局部坐标：X/Y居中；底面Z=0；Godot -Z</t>
        </is>
      </c>
      <c r="M78" s="95" t="inlineStr">
        <is>
          <t>局内关卡01 / Battle</t>
        </is>
      </c>
      <c r="N78" s="95" t="inlineStr">
        <is>
          <t>白模源已完成；QA PASS</t>
        </is>
      </c>
      <c r="O78" s="95" t="inlineStr">
        <is>
          <t>v003</t>
        </is>
      </c>
      <c r="P7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Height="1" s="50">
      <c r="A79" s="95" t="inlineStr">
        <is>
          <t>ENV-BATTLE-L01-ROOM-MAIN-09</t>
        </is>
      </c>
      <c r="B79" s="95" t="inlineStr">
        <is>
          <t>局内关卡01 主路内容房09 40×25m 白模</t>
        </is>
      </c>
      <c r="C79" s="95" t="inlineStr">
        <is>
          <t>未制作</t>
        </is>
      </c>
      <c r="D79" s="95" t="inlineStr">
        <is>
          <t>未制作</t>
        </is>
      </c>
      <c r="E79" s="95" t="inlineStr">
        <is>
          <t>source/art/whitebox/tower_zones/battle_level01/v003/blender/局内关卡01_白模_主路内容房_09_40x25m_v003.blend</t>
        </is>
      </c>
      <c r="F79" s="95" t="inlineStr">
        <is>
          <t>战局01白模v003；墙体按固定5m槽位拼装，带门墙完整占用5m槽并保留左右柱与门楣。</t>
        </is>
      </c>
      <c r="G79" s="95" t="inlineStr">
        <is>
          <t>未接入</t>
        </is>
      </c>
      <c r="H79" s="95" t="inlineStr">
        <is>
          <t>无</t>
        </is>
      </c>
      <c r="I79" s="95" t="inlineStr">
        <is>
          <t>无</t>
        </is>
      </c>
      <c r="J79" s="95" t="inlineStr">
        <is>
          <t>无</t>
        </is>
      </c>
      <c r="K79" s="95" t="inlineStr">
        <is>
          <t>40×25×11.9m</t>
        </is>
      </c>
      <c r="L79" s="95" t="inlineStr">
        <is>
          <t>房间局部坐标：X/Y居中；底面Z=0；Godot -Z</t>
        </is>
      </c>
      <c r="M79" s="95" t="inlineStr">
        <is>
          <t>局内关卡01 / Battle</t>
        </is>
      </c>
      <c r="N79" s="95" t="inlineStr">
        <is>
          <t>白模源已完成；QA PASS</t>
        </is>
      </c>
      <c r="O79" s="95" t="inlineStr">
        <is>
          <t>v003</t>
        </is>
      </c>
      <c r="P79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Height="1" s="50">
      <c r="A80" s="95" t="inlineStr">
        <is>
          <t>ENV-BATTLE-L01-ROOM-MAIN-10</t>
        </is>
      </c>
      <c r="B80" s="95" t="inlineStr">
        <is>
          <t>局内关卡01 主路内容房10 30×25m 白模</t>
        </is>
      </c>
      <c r="C80" s="95" t="inlineStr">
        <is>
          <t>未制作</t>
        </is>
      </c>
      <c r="D80" s="95" t="inlineStr">
        <is>
          <t>未制作</t>
        </is>
      </c>
      <c r="E80" s="95" t="inlineStr">
        <is>
          <t>source/art/whitebox/tower_zones/battle_level01/v003/blender/局内关卡01_白模_主路内容房_10_30x25m_v003.blend</t>
        </is>
      </c>
      <c r="F80" s="95" t="inlineStr">
        <is>
          <t>战局01白模v003；墙体按固定5m槽位拼装，带门墙完整占用5m槽并保留左右柱与门楣。</t>
        </is>
      </c>
      <c r="G80" s="95" t="inlineStr">
        <is>
          <t>未接入</t>
        </is>
      </c>
      <c r="H80" s="95" t="inlineStr">
        <is>
          <t>无</t>
        </is>
      </c>
      <c r="I80" s="95" t="inlineStr">
        <is>
          <t>无</t>
        </is>
      </c>
      <c r="J80" s="95" t="inlineStr">
        <is>
          <t>无</t>
        </is>
      </c>
      <c r="K80" s="95" t="inlineStr">
        <is>
          <t>30×25×11.9m</t>
        </is>
      </c>
      <c r="L80" s="95" t="inlineStr">
        <is>
          <t>房间局部坐标：X/Y居中；底面Z=0；Godot -Z</t>
        </is>
      </c>
      <c r="M80" s="95" t="inlineStr">
        <is>
          <t>局内关卡01 / Battle</t>
        </is>
      </c>
      <c r="N80" s="95" t="inlineStr">
        <is>
          <t>白模源已完成；QA PASS</t>
        </is>
      </c>
      <c r="O80" s="95" t="inlineStr">
        <is>
          <t>v003</t>
        </is>
      </c>
      <c r="P80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Height="1" s="50">
      <c r="A81" s="95" t="inlineStr">
        <is>
          <t>ENV-BATTLE-L01-ROOM-BRANCH-01</t>
        </is>
      </c>
      <c r="B81" s="95" t="inlineStr">
        <is>
          <t>局内关卡01 支路内容房01 30×25m 白模</t>
        </is>
      </c>
      <c r="C81" s="95" t="inlineStr">
        <is>
          <t>未制作</t>
        </is>
      </c>
      <c r="D81" s="95" t="inlineStr">
        <is>
          <t>未制作</t>
        </is>
      </c>
      <c r="E81" s="95" t="inlineStr">
        <is>
          <t>source/art/whitebox/tower_zones/battle_level01/v003/blender/局内关卡01_白模_支路内容房_01_30x25m_v003.blend</t>
        </is>
      </c>
      <c r="F81" s="95" t="inlineStr">
        <is>
          <t>战局01白模v003；墙体按固定5m槽位拼装，带门墙完整占用5m槽并保留左右柱与门楣。</t>
        </is>
      </c>
      <c r="G81" s="95" t="inlineStr">
        <is>
          <t>未接入</t>
        </is>
      </c>
      <c r="H81" s="95" t="inlineStr">
        <is>
          <t>无</t>
        </is>
      </c>
      <c r="I81" s="95" t="inlineStr">
        <is>
          <t>无</t>
        </is>
      </c>
      <c r="J81" s="95" t="inlineStr">
        <is>
          <t>无</t>
        </is>
      </c>
      <c r="K81" s="95" t="inlineStr">
        <is>
          <t>30×25×11.9m</t>
        </is>
      </c>
      <c r="L81" s="95" t="inlineStr">
        <is>
          <t>房间局部坐标：X/Y居中；底面Z=0；Godot -Z</t>
        </is>
      </c>
      <c r="M81" s="95" t="inlineStr">
        <is>
          <t>局内关卡01 / Battle</t>
        </is>
      </c>
      <c r="N81" s="95" t="inlineStr">
        <is>
          <t>白模源已完成；QA PASS</t>
        </is>
      </c>
      <c r="O81" s="95" t="inlineStr">
        <is>
          <t>v003</t>
        </is>
      </c>
      <c r="P8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Height="1" s="50">
      <c r="A82" s="95" t="inlineStr">
        <is>
          <t>ENV-BATTLE-L01-ROOM-BRANCH-02</t>
        </is>
      </c>
      <c r="B82" s="95" t="inlineStr">
        <is>
          <t>局内关卡01 支路内容房02 30×25m 白模</t>
        </is>
      </c>
      <c r="C82" s="95" t="inlineStr">
        <is>
          <t>未制作</t>
        </is>
      </c>
      <c r="D82" s="95" t="inlineStr">
        <is>
          <t>未制作</t>
        </is>
      </c>
      <c r="E82" s="95" t="inlineStr">
        <is>
          <t>source/art/whitebox/tower_zones/battle_level01/v003/blender/局内关卡01_白模_支路内容房_02_30x25m_v003.blend</t>
        </is>
      </c>
      <c r="F82" s="95" t="inlineStr">
        <is>
          <t>战局01白模v003；墙体按固定5m槽位拼装，带门墙完整占用5m槽并保留左右柱与门楣。</t>
        </is>
      </c>
      <c r="G82" s="95" t="inlineStr">
        <is>
          <t>未接入</t>
        </is>
      </c>
      <c r="H82" s="95" t="inlineStr">
        <is>
          <t>无</t>
        </is>
      </c>
      <c r="I82" s="95" t="inlineStr">
        <is>
          <t>无</t>
        </is>
      </c>
      <c r="J82" s="95" t="inlineStr">
        <is>
          <t>无</t>
        </is>
      </c>
      <c r="K82" s="95" t="inlineStr">
        <is>
          <t>30×25×11.9m</t>
        </is>
      </c>
      <c r="L82" s="95" t="inlineStr">
        <is>
          <t>房间局部坐标：X/Y居中；底面Z=0；Godot -Z</t>
        </is>
      </c>
      <c r="M82" s="95" t="inlineStr">
        <is>
          <t>局内关卡01 / Battle</t>
        </is>
      </c>
      <c r="N82" s="95" t="inlineStr">
        <is>
          <t>白模源已完成；QA PASS</t>
        </is>
      </c>
      <c r="O82" s="95" t="inlineStr">
        <is>
          <t>v003</t>
        </is>
      </c>
      <c r="P82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Height="1" s="50">
      <c r="A83" s="95" t="inlineStr">
        <is>
          <t>ENV-BATTLE-L01-ROOM-BRANCH-03</t>
        </is>
      </c>
      <c r="B83" s="95" t="inlineStr">
        <is>
          <t>局内关卡01 支路内容房03 40×35m 白模</t>
        </is>
      </c>
      <c r="C83" s="95" t="inlineStr">
        <is>
          <t>未制作</t>
        </is>
      </c>
      <c r="D83" s="95" t="inlineStr">
        <is>
          <t>未制作</t>
        </is>
      </c>
      <c r="E83" s="95" t="inlineStr">
        <is>
          <t>source/art/whitebox/tower_zones/battle_level01/v003/blender/局内关卡01_白模_支路内容房_03_40x35m_v003.blend</t>
        </is>
      </c>
      <c r="F83" s="95" t="inlineStr">
        <is>
          <t>战局01白模v003；墙体按固定5m槽位拼装，带门墙完整占用5m槽并保留左右柱与门楣。</t>
        </is>
      </c>
      <c r="G83" s="95" t="inlineStr">
        <is>
          <t>未接入</t>
        </is>
      </c>
      <c r="H83" s="95" t="inlineStr">
        <is>
          <t>无</t>
        </is>
      </c>
      <c r="I83" s="95" t="inlineStr">
        <is>
          <t>无</t>
        </is>
      </c>
      <c r="J83" s="95" t="inlineStr">
        <is>
          <t>无</t>
        </is>
      </c>
      <c r="K83" s="95" t="inlineStr">
        <is>
          <t>40×35×11.9m</t>
        </is>
      </c>
      <c r="L83" s="95" t="inlineStr">
        <is>
          <t>房间局部坐标：X/Y居中；底面Z=0；Godot -Z</t>
        </is>
      </c>
      <c r="M83" s="95" t="inlineStr">
        <is>
          <t>局内关卡01 / Battle</t>
        </is>
      </c>
      <c r="N83" s="95" t="inlineStr">
        <is>
          <t>白模源已完成；QA PASS</t>
        </is>
      </c>
      <c r="O83" s="95" t="inlineStr">
        <is>
          <t>v003</t>
        </is>
      </c>
      <c r="P8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Height="1" s="50">
      <c r="A84" s="95" t="inlineStr">
        <is>
          <t>ENV-BATTLE-L01-ROOM-BRANCH-04</t>
        </is>
      </c>
      <c r="B84" s="95" t="inlineStr">
        <is>
          <t>局内关卡01 支路内容房04 30×25m 白模</t>
        </is>
      </c>
      <c r="C84" s="95" t="inlineStr">
        <is>
          <t>未制作</t>
        </is>
      </c>
      <c r="D84" s="95" t="inlineStr">
        <is>
          <t>未制作</t>
        </is>
      </c>
      <c r="E84" s="95" t="inlineStr">
        <is>
          <t>source/art/whitebox/tower_zones/battle_level01/v003/blender/局内关卡01_白模_支路内容房_04_30x25m_v003.blend</t>
        </is>
      </c>
      <c r="F84" s="95" t="inlineStr">
        <is>
          <t>战局01白模v003；墙体按固定5m槽位拼装，带门墙完整占用5m槽并保留左右柱与门楣。</t>
        </is>
      </c>
      <c r="G84" s="95" t="inlineStr">
        <is>
          <t>未接入</t>
        </is>
      </c>
      <c r="H84" s="95" t="inlineStr">
        <is>
          <t>无</t>
        </is>
      </c>
      <c r="I84" s="95" t="inlineStr">
        <is>
          <t>无</t>
        </is>
      </c>
      <c r="J84" s="95" t="inlineStr">
        <is>
          <t>无</t>
        </is>
      </c>
      <c r="K84" s="95" t="inlineStr">
        <is>
          <t>30×25×11.9m</t>
        </is>
      </c>
      <c r="L84" s="95" t="inlineStr">
        <is>
          <t>房间局部坐标：X/Y居中；底面Z=0；Godot -Z</t>
        </is>
      </c>
      <c r="M84" s="95" t="inlineStr">
        <is>
          <t>局内关卡01 / Battle</t>
        </is>
      </c>
      <c r="N84" s="95" t="inlineStr">
        <is>
          <t>白模源已完成；QA PASS</t>
        </is>
      </c>
      <c r="O84" s="95" t="inlineStr">
        <is>
          <t>v003</t>
        </is>
      </c>
      <c r="P8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Height="1" s="50">
      <c r="A85" s="95" t="inlineStr">
        <is>
          <t>ENV-BATTLE-L01-SAFE-ENTRY</t>
        </is>
      </c>
      <c r="B85" s="95" t="inlineStr">
        <is>
          <t>局内关卡01 入口安全房 15×15m 正式美术（单一方位；运行时按门向整房旋转）</t>
        </is>
      </c>
      <c r="C85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95" t="inlineStr">
        <is>
          <t>assets/art/environments/tower_zones/battle/components/entry_safe_room/*/*_visual_top3d.glb（17 包）</t>
        </is>
      </c>
      <c r="E85" s="95" t="inlineStr">
        <is>
          <t>assets/art/environments/tower_zones/battle/source/room_instances/entry_safe_room/v007/env_battle_l01_safe_entry_layout_source_v007.blend</t>
        </is>
      </c>
      <c r="F85" s="95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95" t="inlineStr">
        <is>
          <t>src/world3d/DungeonRoom3D.gd（_build_safe_room_shell / _build_safe_room_packages）</t>
        </is>
      </c>
      <c r="H85" s="95" t="inlineStr">
        <is>
          <t>开</t>
        </is>
      </c>
      <c r="I85" s="95" t="inlineStr">
        <is>
          <t>通用组件 v004（PackedScene 自带，collision_owner=self） + TowerFloorStage3D（楼板承重）</t>
        </is>
      </c>
      <c r="J85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95" t="inlineStr">
        <is>
          <t>15×15×11.9m（可行走面 z=0.30；墙中线 ±7.35，墙内脸 7.2 / 外脸 7.5，墙厚 0.30；网格 5.0m，地砖模块 4.94m 见方 + 0.06m 勾缝）</t>
        </is>
      </c>
      <c r="L85" s="95" t="inlineStr">
        <is>
          <t>房间局部坐标：X/Y 居中、底面 Z=0；Godot -Z；整房按本层门向旋转 0/90/180/270°</t>
        </is>
      </c>
      <c r="M85" s="95" t="inlineStr">
        <is>
          <t>局内关卡01 / Battle（已接入）</t>
        </is>
      </c>
      <c r="N85" s="95" t="inlineStr">
        <is>
          <t>正式美术已接入；源文件已规范迁移</t>
        </is>
      </c>
      <c r="O85" s="95" t="inlineStr">
        <is>
          <t>v007</t>
        </is>
      </c>
      <c r="P85" s="9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Height="1" s="50">
      <c r="A86" s="95" t="inlineStr">
        <is>
          <t>ENV-BATTLE-L01-SAFE-EXIT</t>
        </is>
      </c>
      <c r="B86" s="95" t="inlineStr">
        <is>
          <t>局内关卡01 出口安全房 15×15m 正式美术（与入口安全房同源 v007，共用同一套资产）</t>
        </is>
      </c>
      <c r="C86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95" t="inlineStr">
        <is>
          <t>assets/art/environments/tower_zones/battle/components/entry_safe_room/*/*_visual_top3d.glb（17 包）</t>
        </is>
      </c>
      <c r="E86" s="95" t="inlineStr">
        <is>
          <t>assets/art/environments/tower_zones/battle/source/room_instances/entry_safe_room/v007/env_battle_l01_safe_entry_layout_source_v007.blend</t>
        </is>
      </c>
      <c r="F86" s="95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95" t="inlineStr">
        <is>
          <t>src/world3d/DungeonRoom3D.gd（_build_safe_room_shell / _build_safe_room_packages）</t>
        </is>
      </c>
      <c r="H86" s="95" t="inlineStr">
        <is>
          <t>开</t>
        </is>
      </c>
      <c r="I86" s="95" t="inlineStr">
        <is>
          <t>通用组件 v004（PackedScene 自带，collision_owner=self） + TowerFloorStage3D（楼板承重）</t>
        </is>
      </c>
      <c r="J86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95" t="inlineStr">
        <is>
          <t>15×15×11.9m（可行走面 z=0.30；墙中线 ±7.35，墙内脸 7.2 / 外脸 7.5，墙厚 0.30；网格 5.0m，地砖模块 4.94m 见方 + 0.06m 勾缝）</t>
        </is>
      </c>
      <c r="L86" s="95" t="inlineStr">
        <is>
          <t>房间局部坐标：X/Y 居中、底面 Z=0；Godot -Z；整房按本层门向旋转 0/90/180/270°</t>
        </is>
      </c>
      <c r="M86" s="95" t="inlineStr">
        <is>
          <t>局内关卡01 / Battle（已接入）</t>
        </is>
      </c>
      <c r="N86" s="95" t="inlineStr">
        <is>
          <t>正式美术已接入；源文件已规范迁移</t>
        </is>
      </c>
      <c r="O86" s="95" t="inlineStr">
        <is>
          <t>v007</t>
        </is>
      </c>
      <c r="P86" s="9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Height="1" s="50">
      <c r="A87" s="95" t="inlineStr">
        <is>
          <t>ENV-BATTLE-L01-BOSS-ARENA</t>
        </is>
      </c>
      <c r="B87" s="95" t="inlineStr">
        <is>
          <t>局内关卡01 Boss竞技场 190×90m 白模</t>
        </is>
      </c>
      <c r="C87" s="95" t="inlineStr">
        <is>
          <t>未制作</t>
        </is>
      </c>
      <c r="D87" s="95" t="inlineStr">
        <is>
          <t>未制作</t>
        </is>
      </c>
      <c r="E87" s="95" t="inlineStr">
        <is>
          <t>source/art/whitebox/tower_zones/battle_level01/v003/blender/局内关卡01_白模_Boss竞技场_190x90m_v003.blend</t>
        </is>
      </c>
      <c r="F87" s="95" t="inlineStr">
        <is>
          <t>战局01白模v003；墙体按固定5m槽位拼装，带门墙完整占用5m槽并保留左右柱与门楣。</t>
        </is>
      </c>
      <c r="G87" s="95" t="inlineStr">
        <is>
          <t>未接入</t>
        </is>
      </c>
      <c r="H87" s="95" t="inlineStr">
        <is>
          <t>无</t>
        </is>
      </c>
      <c r="I87" s="95" t="inlineStr">
        <is>
          <t>无</t>
        </is>
      </c>
      <c r="J87" s="95" t="inlineStr">
        <is>
          <t>无</t>
        </is>
      </c>
      <c r="K87" s="95" t="inlineStr">
        <is>
          <t>190×90×11.9m</t>
        </is>
      </c>
      <c r="L87" s="95" t="inlineStr">
        <is>
          <t>房间局部坐标：X/Y居中；底面Z=0；Godot -Z</t>
        </is>
      </c>
      <c r="M87" s="95" t="inlineStr">
        <is>
          <t>局内关卡01 / Battle</t>
        </is>
      </c>
      <c r="N87" s="95" t="inlineStr">
        <is>
          <t>白模源已完成；QA PASS</t>
        </is>
      </c>
      <c r="O87" s="95" t="inlineStr">
        <is>
          <t>v003</t>
        </is>
      </c>
      <c r="P8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Height="1" s="50">
      <c r="A88" s="95" t="inlineStr">
        <is>
          <t>ENV-BATTLE-L01-CORRIDOR-FLOOR-5M</t>
        </is>
      </c>
      <c r="B88" s="95" t="inlineStr">
        <is>
          <t>局内关卡01 走廊通用地砖 5×5×0.30m 白模</t>
        </is>
      </c>
      <c r="C88" s="95" t="inlineStr">
        <is>
          <t>未制作</t>
        </is>
      </c>
      <c r="D88" s="95" t="inlineStr">
        <is>
          <t>未制作</t>
        </is>
      </c>
      <c r="E88" s="95" t="inlineStr">
        <is>
          <t>source/art/whitebox/tower_zones/battle_level01/v003/blender/局内关卡01_白模_走廊地砖_5x5x0.3m_v003.blend</t>
        </is>
      </c>
      <c r="F88" s="95" t="inlineStr">
        <is>
          <t>战局01白模v003；墙体按固定5m槽位拼装，带门墙完整占用5m槽并保留左右柱与门楣。</t>
        </is>
      </c>
      <c r="G88" s="95" t="inlineStr">
        <is>
          <t>未接入</t>
        </is>
      </c>
      <c r="H88" s="95" t="inlineStr">
        <is>
          <t>无</t>
        </is>
      </c>
      <c r="I88" s="95" t="inlineStr">
        <is>
          <t>无</t>
        </is>
      </c>
      <c r="J88" s="95" t="inlineStr">
        <is>
          <t>无</t>
        </is>
      </c>
      <c r="K88" s="95" t="inlineStr">
        <is>
          <t>5×5×0.30m</t>
        </is>
      </c>
      <c r="L88" s="95" t="inlineStr">
        <is>
          <t>房间局部坐标：X/Y居中；底面Z=0；Godot -Z</t>
        </is>
      </c>
      <c r="M88" s="95" t="inlineStr">
        <is>
          <t>局内关卡01 / Battle</t>
        </is>
      </c>
      <c r="N88" s="95" t="inlineStr">
        <is>
          <t>白模源已完成；QA PASS</t>
        </is>
      </c>
      <c r="O88" s="95" t="inlineStr">
        <is>
          <t>v003</t>
        </is>
      </c>
      <c r="P8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Height="1" s="50">
      <c r="A89" s="95" t="inlineStr">
        <is>
          <t>ENV-BATTLE-L01-COMMON-COMPONENT-LIBRARY</t>
        </is>
      </c>
      <c r="B89" s="95" t="inlineStr">
        <is>
          <t>战局区块 通用组件库</t>
        </is>
      </c>
      <c r="C89" s="95" t="inlineStr">
        <is>
          <t>未制作</t>
        </is>
      </c>
      <c r="D89" s="95" t="inlineStr">
        <is>
          <t>未制作</t>
        </is>
      </c>
      <c r="E89" s="95" t="inlineStr">
        <is>
          <t>assets/art/environments/tower_zones/battle/source/common_components/v006/env_battle_common_components_source_v006.blend</t>
        </is>
      </c>
      <c r="F89" s="95" t="inlineStr">
        <is>
          <t>按指定编号精简为23个独立包、9类：服务器机柜保留正常/损坏各1，标准墙仅1个5×0.3×11.9m，地板仅保留前2个，统一朝本地+Y。</t>
        </is>
      </c>
      <c r="G89" s="95" t="inlineStr">
        <is>
          <t>未接入</t>
        </is>
      </c>
      <c r="H89" s="95" t="inlineStr">
        <is>
          <t>无</t>
        </is>
      </c>
      <c r="I89" s="95" t="inlineStr">
        <is>
          <t>无</t>
        </is>
      </c>
      <c r="J89" s="95" t="inlineStr">
        <is>
          <t>无</t>
        </is>
      </c>
      <c r="K89" s="95" t="inlineStr">
        <is>
          <t>按组件清单</t>
        </is>
      </c>
      <c r="L89" s="95" t="inlineStr">
        <is>
          <t>单包局部坐标：X/Y居中；底面Z=0；Godot -Z</t>
        </is>
      </c>
      <c r="M89" s="95" t="inlineStr">
        <is>
          <t>局内关卡01 / Battle</t>
        </is>
      </c>
      <c r="N89" s="95" t="inlineStr">
        <is>
          <t>Blender通用组件源已完成；源文件已规范迁移；未直接接入Godot</t>
        </is>
      </c>
      <c r="O89" s="95" t="inlineStr">
        <is>
          <t>v006</t>
        </is>
      </c>
      <c r="P89" s="9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Height="1" s="50">
      <c r="A90" s="95" t="inlineStr">
        <is>
          <t>ENV-BATTLE-L01-CORRIDOR-WALL-5M</t>
        </is>
      </c>
      <c r="B90" s="95" t="inlineStr">
        <is>
          <t>局内关卡01 走廊通用墙壁 5×0.30×11.9m 白模</t>
        </is>
      </c>
      <c r="C90" s="95" t="inlineStr">
        <is>
          <t>未制作</t>
        </is>
      </c>
      <c r="D90" s="95" t="inlineStr">
        <is>
          <t>未制作</t>
        </is>
      </c>
      <c r="E90" s="95" t="inlineStr">
        <is>
          <t>source/art/whitebox/tower_zones/battle_level01/v003/blender/局内关卡01_白模_走廊墙壁_5x0.3x11.9m_v003.blend</t>
        </is>
      </c>
      <c r="F90" s="95" t="inlineStr">
        <is>
          <t>走廊通用实墙白模模块；按5m网格重复拼接。</t>
        </is>
      </c>
      <c r="G90" s="95" t="inlineStr">
        <is>
          <t>未接入</t>
        </is>
      </c>
      <c r="H90" s="95" t="inlineStr">
        <is>
          <t>无</t>
        </is>
      </c>
      <c r="I90" s="95" t="inlineStr">
        <is>
          <t>无</t>
        </is>
      </c>
      <c r="J90" s="95" t="inlineStr">
        <is>
          <t>无</t>
        </is>
      </c>
      <c r="K90" s="95" t="inlineStr">
        <is>
          <t>5×0.30×11.9m</t>
        </is>
      </c>
      <c r="L90" s="95" t="inlineStr">
        <is>
          <t>底面中心；Godot -Z</t>
        </is>
      </c>
      <c r="M90" s="95" t="inlineStr">
        <is>
          <t>局内关卡01 / Battle</t>
        </is>
      </c>
      <c r="N90" s="95" t="inlineStr">
        <is>
          <t>白模源已完成；QA PASS</t>
        </is>
      </c>
      <c r="O90" s="95" t="inlineStr">
        <is>
          <t>v003</t>
        </is>
      </c>
      <c r="P90" s="95" t="inlineStr">
        <is>
          <t>2026-09-16：普通墙改为5m标准件；带门墙完整占用5m槽。Scale=1，无超过5m墙件；未导出GLB或接入Godot。</t>
        </is>
      </c>
    </row>
    <row r="91">
      <c r="A91" s="95" t="inlineStr">
        <is>
          <t>ENV-BATTLE-COMMON-FLOOR-TILE-R01-C01</t>
        </is>
      </c>
      <c r="B91" s="95" t="inlineStr">
        <is>
          <t>战局通用地砖 R01_C01 4.94×4.94×0.056m（含砖面美术，外廓 0.083m）</t>
        </is>
      </c>
      <c r="C91" s="95" t="inlineStr">
        <is>
          <t>assets/art/environments/tower_zones/battle/runtime/common_components/floor_tile_5m/floor_tile_r01_c01_root_top3d.tscn</t>
        </is>
      </c>
      <c r="D91" s="95" t="inlineStr">
        <is>
          <t>assets/art/environments/tower_zones/battle/components/common_components/floor_tile_5m/floor_tile_r01_c01_visual_top3d.glb</t>
        </is>
      </c>
      <c r="E91" s="95" t="inlineStr">
        <is>
          <t>assets/art/environments/tower_zones/battle/source/common_components/v006/env_battle_common_components_source_v006.blend（集合 floor_tile_r01_c01_通用包）</t>
        </is>
      </c>
      <c r="F91" s="95" t="inlineStr">
        <is>
          <t>战局01通用组件库 09_地板组件；视觉薄壳地砖 + 自带砖面美术，逐实例化可替换单元（范式B：自包含 prefab + 自带碰撞）</t>
        </is>
      </c>
      <c r="G91" s="95" t="inlineStr">
        <is>
          <t>无</t>
        </is>
      </c>
      <c r="H91" s="95" t="inlineStr">
        <is>
          <t>开</t>
        </is>
      </c>
      <c r="I91" s="95" t="inlineStr">
        <is>
          <t>本组件（PackedScene 自带）</t>
        </is>
      </c>
      <c r="J91" s="95" t="inlineStr">
        <is>
          <t>BoxShape3D 4.94×0.056×4.94，与结构网格齐平（装饰不改变体积）</t>
        </is>
      </c>
      <c r="K91" s="95" t="inlineStr">
        <is>
          <t>4.94×4.94×0.056m 结构；含装饰外廓 4.94×4.94×0.083m</t>
        </is>
      </c>
      <c r="L91" s="95" t="inlineStr">
        <is>
          <t>底面中心（Godot 底面 Y=0、XZ 居中）；朝 -Z</t>
        </is>
      </c>
      <c r="M91" s="95" t="inlineStr">
        <is>
          <t>局内关卡01 / Battle（安全房 v007 已接入）</t>
        </is>
      </c>
      <c r="N91" s="95" t="inlineStr">
        <is>
          <t>组件已完成；已接入；源文件已规范迁移至v006（未重导）</t>
        </is>
      </c>
      <c r="O91" s="95" t="inlineStr">
        <is>
          <t>v006</t>
        </is>
      </c>
      <c r="P91" s="9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Height="1" s="50">
      <c r="A92" s="95" t="inlineStr">
        <is>
          <t>ENV-BATTLE-COMMON-FLOOR-TILE-R01-C02</t>
        </is>
      </c>
      <c r="B92" s="95" t="inlineStr">
        <is>
          <t>战局通用地砖 R01_C02 4.94×4.94×0.081m（含砖面美术，外廓 0.0852m）</t>
        </is>
      </c>
      <c r="C92" s="95" t="inlineStr">
        <is>
          <t>assets/art/environments/tower_zones/battle/runtime/common_components/floor_tile_5m/floor_tile_r01_c02_root_top3d.tscn</t>
        </is>
      </c>
      <c r="D92" s="95" t="inlineStr">
        <is>
          <t>assets/art/environments/tower_zones/battle/components/common_components/floor_tile_5m/floor_tile_r01_c02_visual_top3d.glb</t>
        </is>
      </c>
      <c r="E92" s="95" t="inlineStr">
        <is>
          <t>assets/art/environments/tower_zones/battle/source/common_components/v006/env_battle_common_components_source_v006.blend（集合 floor_tile_r01_c02_通用包）</t>
        </is>
      </c>
      <c r="F92" s="95" t="inlineStr">
        <is>
          <t>战局01通用组件库 09_地板组件；视觉薄壳地砖 + 自带砖面美术（带检修盖版），逐实例化可替换单元（范式B：自包含 prefab + 自带碰撞）</t>
        </is>
      </c>
      <c r="G92" s="95" t="inlineStr">
        <is>
          <t>无</t>
        </is>
      </c>
      <c r="H92" s="95" t="inlineStr">
        <is>
          <t>开</t>
        </is>
      </c>
      <c r="I92" s="95" t="inlineStr">
        <is>
          <t>本组件（PackedScene 自带）</t>
        </is>
      </c>
      <c r="J92" s="95" t="inlineStr">
        <is>
          <t>BoxShape3D 4.94×0.081×4.94，与结构网格齐平（装饰不改变体积）</t>
        </is>
      </c>
      <c r="K92" s="95" t="inlineStr">
        <is>
          <t>4.94×4.94×0.081m 结构；含装饰外廓 4.94×4.94×0.0852m</t>
        </is>
      </c>
      <c r="L92" s="95" t="inlineStr">
        <is>
          <t>底面中心（Godot 底面 Y=0、XZ 居中）；朝 -Z</t>
        </is>
      </c>
      <c r="M92" s="95" t="inlineStr">
        <is>
          <t>局内关卡01 / Battle（安全房 v007 已接入）</t>
        </is>
      </c>
      <c r="N92" s="95" t="inlineStr">
        <is>
          <t>组件已完成；已接入；源文件已规范迁移至v006（未重导）</t>
        </is>
      </c>
      <c r="O92" s="95" t="inlineStr">
        <is>
          <t>v006</t>
        </is>
      </c>
      <c r="P92" s="9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Height="1" s="50">
      <c r="A93" s="95" t="inlineStr">
        <is>
          <t>ENV-BATTLE-COMMON-WALL-STANDARD-5M</t>
        </is>
      </c>
      <c r="B93" s="95" t="inlineStr">
        <is>
          <t>战局通用标准墙 5×0.30×11.9m（含槽位装甲，外廓 0.303m）</t>
        </is>
      </c>
      <c r="C93" s="95" t="inlineStr">
        <is>
          <t>assets/art/environments/tower_zones/battle/runtime/common_components/wall_standard_5m/wall_standard_5m_root_top3d.tscn</t>
        </is>
      </c>
      <c r="D93" s="95" t="inlineStr">
        <is>
          <t>assets/art/environments/tower_zones/battle/components/common_components/wall_standard_5m/wall_standard_5m_visual_top3d.glb</t>
        </is>
      </c>
      <c r="E93" s="95" t="inlineStr">
        <is>
          <t>assets/art/environments/tower_zones/battle/source/common_components/v006/env_battle_common_components_source_v006.blend（集合 wall_standard_5m_通用包）</t>
        </is>
      </c>
      <c r="F93" s="95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95" t="inlineStr">
        <is>
          <t>无</t>
        </is>
      </c>
      <c r="H93" s="95" t="inlineStr">
        <is>
          <t>开</t>
        </is>
      </c>
      <c r="I93" s="95" t="inlineStr">
        <is>
          <t>本组件（PackedScene 自带）</t>
        </is>
      </c>
      <c r="J93" s="95" t="inlineStr">
        <is>
          <t>BoxShape3D 5.0×11.9×0.30，中心 y=5.95，底面中心原点（与 v003 一致，装饰不改变体积）</t>
        </is>
      </c>
      <c r="K93" s="95" t="inlineStr">
        <is>
          <t>5.0×0.30×11.9m 结构；含装饰外廓 5.0×0.303×11.9m</t>
        </is>
      </c>
      <c r="L93" s="95" t="inlineStr">
        <is>
          <t>底面中心（Godot 底面 Y=0、XZ 居中）；朝 -Z</t>
        </is>
      </c>
      <c r="M93" s="95" t="inlineStr">
        <is>
          <t>局内关卡01 / Battle（安全房 v007 已接入）</t>
        </is>
      </c>
      <c r="N93" s="95" t="inlineStr">
        <is>
          <t>组件已完成；已接入；源文件已规范迁移至v006（未重导）</t>
        </is>
      </c>
      <c r="O93" s="95" t="inlineStr">
        <is>
          <t>v006</t>
        </is>
      </c>
      <c r="P93" s="9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Height="1" s="50">
      <c r="A94" s="95" t="inlineStr">
        <is>
          <t>ENV-BATTLE-COMMON-WALL-DOOR-5M</t>
        </is>
      </c>
      <c r="B94" s="95" t="inlineStr">
        <is>
          <t>战局通用门墙 5×0.30×11.9m（门洞 2.2×2.5，含装甲门禁，外廓 0.365m）</t>
        </is>
      </c>
      <c r="C94" s="95" t="inlineStr">
        <is>
          <t>assets/art/environments/tower_zones/battle/runtime/common_components/wall_door_5m/wall_door_5m_root_top3d.tscn</t>
        </is>
      </c>
      <c r="D94" s="95" t="inlineStr">
        <is>
          <t>assets/art/environments/tower_zones/battle/components/common_components/wall_door_5m/wall_door_5m_visual_top3d.glb</t>
        </is>
      </c>
      <c r="E94" s="95" t="inlineStr">
        <is>
          <t>assets/art/environments/tower_zones/battle/source/common_components/v006/env_battle_common_components_source_v006.blend（集合 wall_door_5m_通用包）</t>
        </is>
      </c>
      <c r="F94" s="95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95" t="inlineStr">
        <is>
          <t>无</t>
        </is>
      </c>
      <c r="H94" s="95" t="inlineStr">
        <is>
          <t>开</t>
        </is>
      </c>
      <c r="I94" s="95" t="inlineStr">
        <is>
          <t>本组件（PackedScene 自带）</t>
        </is>
      </c>
      <c r="J94" s="95" t="inlineStr">
        <is>
          <t>3×BoxShape3D：左/右门垛 1.4×11.9×0.30（x=∓1.8）+ 门楣 2.2×9.4×0.30（y 底=2.5），门洞处不产生碰撞（与 v003 一致）</t>
        </is>
      </c>
      <c r="K94" s="95" t="inlineStr">
        <is>
          <t>5.0×0.30×11.9m 结构（净门洞 2.2×2.5m）；含装饰外廓 5.0×0.365×11.9m</t>
        </is>
      </c>
      <c r="L94" s="95" t="inlineStr">
        <is>
          <t>底面中心（Godot 底面 Y=0、XZ 居中）；朝 -Z</t>
        </is>
      </c>
      <c r="M94" s="95" t="inlineStr">
        <is>
          <t>局内关卡01 / Battle（安全房 v007 已接入）</t>
        </is>
      </c>
      <c r="N94" s="95" t="inlineStr">
        <is>
          <t>组件已完成；已接入；源文件已规范迁移至v006（未重导）</t>
        </is>
      </c>
      <c r="O94" s="95" t="inlineStr">
        <is>
          <t>v006</t>
        </is>
      </c>
      <c r="P94" s="9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Height="1" s="50">
      <c r="A95" s="95" t="inlineStr">
        <is>
          <t>ENV-BATTLE-COMMON-DOOR-5M</t>
        </is>
      </c>
      <c r="B95" s="95" t="inlineStr">
        <is>
          <t>战局通用门扇 2.2×0.18×2.5m</t>
        </is>
      </c>
      <c r="C95" s="95" t="inlineStr">
        <is>
          <t>assets/art/environments/tower_zones/battle/runtime/common_components/door_5m/door_5m_root_top3d.tscn</t>
        </is>
      </c>
      <c r="D95" s="95" t="inlineStr">
        <is>
          <t>assets/art/environments/tower_zones/battle/components/common_components/door_5m/door_5m_visual_top3d.glb</t>
        </is>
      </c>
      <c r="E95" s="95" t="inlineStr">
        <is>
          <t>assets/art/environments/tower_zones/battle/source/common_components/v006/env_battle_common_components_source_v006.blend（集合 door_5m_通用包）</t>
        </is>
      </c>
      <c r="F95" s="95" t="inlineStr">
        <is>
          <t>战局01通用组件库 10_门组件；门扇本体，底边中心原点、开门为垂直升起（范式B：自包含 prefab + 自带碰撞）</t>
        </is>
      </c>
      <c r="G95" s="95" t="inlineStr">
        <is>
          <t>无</t>
        </is>
      </c>
      <c r="H95" s="95" t="inlineStr">
        <is>
          <t>开</t>
        </is>
      </c>
      <c r="I95" s="95" t="inlineStr">
        <is>
          <t>本组件（PackedScene 自带）</t>
        </is>
      </c>
      <c r="J95" s="95" t="inlineStr">
        <is>
          <t>BoxShape3D 2.2×2.5×0.18，中心 y=1.25，底边中心原点</t>
        </is>
      </c>
      <c r="K95" s="95" t="inlineStr">
        <is>
          <t>2.2×0.18×2.5m</t>
        </is>
      </c>
      <c r="L95" s="95" t="inlineStr">
        <is>
          <t>底边中心（Godot 底面 Y=0、XZ 居中）；朝 -Z</t>
        </is>
      </c>
      <c r="M95" s="95" t="inlineStr">
        <is>
          <t>局内关卡01 / Battle（安全房 v007 已接入）</t>
        </is>
      </c>
      <c r="N95" s="95" t="inlineStr">
        <is>
          <t>组件已完成；已接入；源文件已规范迁移至v006（未重导）</t>
        </is>
      </c>
      <c r="O95" s="95" t="inlineStr">
        <is>
          <t>v006</t>
        </is>
      </c>
      <c r="P95" s="9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Height="1" s="50">
      <c r="A96" s="69" t="inlineStr">
        <is>
          <t>ENV-ROOFTOP-REFERENCE-COMPONENT-LIBRARY</t>
        </is>
      </c>
      <c r="B96" s="69" t="inlineStr">
        <is>
          <t>天台区块 参考组件库</t>
        </is>
      </c>
      <c r="C96" s="69" t="inlineStr"/>
      <c r="D96" s="69" t="inlineStr"/>
      <c r="E96" s="69" t="inlineStr">
        <is>
          <t>assets/art/environments/tower_zones/rooftop/source/reference_components/v002/天台区块_参考组件库_v002.blend</t>
        </is>
      </c>
      <c r="F96" s="69" t="inlineStr">
        <is>
          <t>44独立包；新增7个挂藤墙体变体，门口具有真实石材厚度与内凹门扇。</t>
        </is>
      </c>
      <c r="G96" s="69" t="inlineStr"/>
      <c r="H96" s="69" t="inlineStr">
        <is>
          <t>未创建</t>
        </is>
      </c>
      <c r="I96" s="69" t="inlineStr">
        <is>
          <t>未来由Godot包装持有</t>
        </is>
      </c>
      <c r="J96" s="69" t="inlineStr">
        <is>
          <t>未创建</t>
        </is>
      </c>
      <c r="K96" s="69" t="inlineStr">
        <is>
          <t>外墙5×0.30×11.9m；逻辑12m</t>
        </is>
      </c>
      <c r="L96" s="69" t="inlineStr">
        <is>
          <t>XY居中、底面Z=0；正面-Y</t>
        </is>
      </c>
      <c r="M96" s="69" t="inlineStr">
        <is>
          <t>Rooftop / 100F；组件库，非正式布局替换</t>
        </is>
      </c>
      <c r="N96" s="69" t="inlineStr">
        <is>
          <t>Blender源已完成</t>
        </is>
      </c>
      <c r="O96" s="69" t="inlineStr">
        <is>
          <t>v002</t>
        </is>
      </c>
      <c r="P96" s="69" t="inlineStr">
        <is>
          <t>2026-09-17：36包锁区签名保持；门柱1.10m/门楣1.16m；4材质；126322面UV通过；未接入Godot。SHA256=ca091c6dec5ac3dc0c63b4e3b28a84934d78d685656388c882087c1a9b9b966e</t>
        </is>
      </c>
    </row>
    <row r="97" ht="84" customHeight="1" s="50">
      <c r="A97" s="69" t="inlineStr">
        <is>
          <t>ENV-ROOFTOP-REF-FLOOR-FULL</t>
        </is>
      </c>
      <c r="B97" s="69" t="inlineStr">
        <is>
          <t>完整地砖</t>
        </is>
      </c>
      <c r="C97" s="69" t="inlineStr"/>
      <c r="D97" s="69" t="inlineStr"/>
      <c r="E97" s="69" t="inlineStr">
        <is>
          <t>assets/art/environments/tower_zones/rooftop/source/reference_components/v002/天台区块_参考组件库_v002.blend#完整地砖_资产包</t>
        </is>
      </c>
      <c r="F97" s="69" t="inlineStr">
        <is>
          <t>独立资产包；01_地面系统</t>
        </is>
      </c>
      <c r="G97" s="69" t="inlineStr"/>
      <c r="H97" s="69" t="inlineStr">
        <is>
          <t>未创建</t>
        </is>
      </c>
      <c r="I97" s="69" t="inlineStr">
        <is>
          <t>独立包运行包装</t>
        </is>
      </c>
      <c r="J97" s="69" t="inlineStr">
        <is>
          <t>未创建</t>
        </is>
      </c>
      <c r="K97" s="69" t="inlineStr">
        <is>
          <t>5.000×5.000×0.300 m</t>
        </is>
      </c>
      <c r="L97" s="69" t="inlineStr">
        <is>
          <t>XY中心/底面0；-Y</t>
        </is>
      </c>
      <c r="M97" s="69" t="inlineStr">
        <is>
          <t>天台参考组件库 / floor_full</t>
        </is>
      </c>
      <c r="N97" s="69" t="inlineStr">
        <is>
          <t>Blender源已完成</t>
        </is>
      </c>
      <c r="O97" s="69" t="inlineStr">
        <is>
          <t>v002</t>
        </is>
      </c>
      <c r="P97" s="69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</t>
        </is>
      </c>
    </row>
    <row r="98" ht="84" customHeight="1" s="50">
      <c r="A98" s="69" t="inlineStr">
        <is>
          <t>ENV-ROOFTOP-REF-FLOOR-HALF</t>
        </is>
      </c>
      <c r="B98" s="69" t="inlineStr">
        <is>
          <t>半块地砖</t>
        </is>
      </c>
      <c r="C98" s="69" t="inlineStr"/>
      <c r="D98" s="69" t="inlineStr"/>
      <c r="E98" s="69" t="inlineStr">
        <is>
          <t>assets/art/environments/tower_zones/rooftop/source/reference_components/v002/天台区块_参考组件库_v002.blend#半块地砖_资产包</t>
        </is>
      </c>
      <c r="F98" s="69" t="inlineStr">
        <is>
          <t>独立资产包；01_地面系统</t>
        </is>
      </c>
      <c r="G98" s="69" t="inlineStr"/>
      <c r="H98" s="69" t="inlineStr">
        <is>
          <t>未创建</t>
        </is>
      </c>
      <c r="I98" s="69" t="inlineStr">
        <is>
          <t>独立包运行包装</t>
        </is>
      </c>
      <c r="J98" s="69" t="inlineStr">
        <is>
          <t>未创建</t>
        </is>
      </c>
      <c r="K98" s="69" t="inlineStr">
        <is>
          <t>2.500×5.000×0.300 m</t>
        </is>
      </c>
      <c r="L98" s="69" t="inlineStr">
        <is>
          <t>XY中心/底面0；-Y</t>
        </is>
      </c>
      <c r="M98" s="69" t="inlineStr">
        <is>
          <t>天台参考组件库 / floor_half</t>
        </is>
      </c>
      <c r="N98" s="69" t="inlineStr">
        <is>
          <t>Blender源已完成</t>
        </is>
      </c>
      <c r="O98" s="69" t="inlineStr">
        <is>
          <t>v002</t>
        </is>
      </c>
      <c r="P98" s="69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Height="1" s="50">
      <c r="A99" s="69" t="inlineStr">
        <is>
          <t>ENV-ROOFTOP-REF-FLOOR-CORNER</t>
        </is>
      </c>
      <c r="B99" s="69" t="inlineStr">
        <is>
          <t>角块地砖</t>
        </is>
      </c>
      <c r="C99" s="69" t="inlineStr"/>
      <c r="D99" s="69" t="inlineStr"/>
      <c r="E99" s="69" t="inlineStr">
        <is>
          <t>assets/art/environments/tower_zones/rooftop/source/reference_components/v002/天台区块_参考组件库_v002.blend#角块地砖_资产包</t>
        </is>
      </c>
      <c r="F99" s="69" t="inlineStr">
        <is>
          <t>独立资产包；01_地面系统</t>
        </is>
      </c>
      <c r="G99" s="69" t="inlineStr"/>
      <c r="H99" s="69" t="inlineStr">
        <is>
          <t>未创建</t>
        </is>
      </c>
      <c r="I99" s="69" t="inlineStr">
        <is>
          <t>独立包运行包装</t>
        </is>
      </c>
      <c r="J99" s="69" t="inlineStr">
        <is>
          <t>未创建</t>
        </is>
      </c>
      <c r="K99" s="69" t="inlineStr">
        <is>
          <t>2.500×2.500×0.300 m</t>
        </is>
      </c>
      <c r="L99" s="69" t="inlineStr">
        <is>
          <t>XY中心/底面0；-Y</t>
        </is>
      </c>
      <c r="M99" s="69" t="inlineStr">
        <is>
          <t>天台参考组件库 / floor_corner</t>
        </is>
      </c>
      <c r="N99" s="69" t="inlineStr">
        <is>
          <t>Blender源已完成</t>
        </is>
      </c>
      <c r="O99" s="69" t="inlineStr">
        <is>
          <t>v002</t>
        </is>
      </c>
      <c r="P99" s="69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Height="1" s="50">
      <c r="A100" s="69" t="inlineStr">
        <is>
          <t>ENV-ROOFTOP-REF-FLOOR-EDGE</t>
        </is>
      </c>
      <c r="B100" s="69" t="inlineStr">
        <is>
          <t>边缘地砖</t>
        </is>
      </c>
      <c r="C100" s="69" t="inlineStr"/>
      <c r="D100" s="69" t="inlineStr"/>
      <c r="E100" s="69" t="inlineStr">
        <is>
          <t>assets/art/environments/tower_zones/rooftop/source/reference_components/v002/天台区块_参考组件库_v002.blend#边缘地砖_资产包</t>
        </is>
      </c>
      <c r="F100" s="69" t="inlineStr">
        <is>
          <t>独立资产包；01_地面系统</t>
        </is>
      </c>
      <c r="G100" s="69" t="inlineStr"/>
      <c r="H100" s="69" t="inlineStr">
        <is>
          <t>未创建</t>
        </is>
      </c>
      <c r="I100" s="69" t="inlineStr">
        <is>
          <t>独立包运行包装</t>
        </is>
      </c>
      <c r="J100" s="69" t="inlineStr">
        <is>
          <t>未创建</t>
        </is>
      </c>
      <c r="K100" s="69" t="inlineStr">
        <is>
          <t>5.000×5.000×0.300 m</t>
        </is>
      </c>
      <c r="L100" s="69" t="inlineStr">
        <is>
          <t>XY中心/底面0；-Y</t>
        </is>
      </c>
      <c r="M100" s="69" t="inlineStr">
        <is>
          <t>天台参考组件库 / floor_edge</t>
        </is>
      </c>
      <c r="N100" s="69" t="inlineStr">
        <is>
          <t>Blender源已完成</t>
        </is>
      </c>
      <c r="O100" s="69" t="inlineStr">
        <is>
          <t>v002</t>
        </is>
      </c>
      <c r="P100" s="69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Height="1" s="50">
      <c r="A101" s="69" t="inlineStr">
        <is>
          <t>ENV-ROOFTOP-REF-FLOOR-INNER</t>
        </is>
      </c>
      <c r="B101" s="69" t="inlineStr">
        <is>
          <t>内角地砖</t>
        </is>
      </c>
      <c r="C101" s="69" t="inlineStr"/>
      <c r="D101" s="69" t="inlineStr"/>
      <c r="E101" s="69" t="inlineStr">
        <is>
          <t>assets/art/environments/tower_zones/rooftop/source/reference_components/v002/天台区块_参考组件库_v002.blend#内角地砖_资产包</t>
        </is>
      </c>
      <c r="F101" s="69" t="inlineStr">
        <is>
          <t>独立资产包；01_地面系统</t>
        </is>
      </c>
      <c r="G101" s="69" t="inlineStr"/>
      <c r="H101" s="69" t="inlineStr">
        <is>
          <t>未创建</t>
        </is>
      </c>
      <c r="I101" s="69" t="inlineStr">
        <is>
          <t>独立包运行包装</t>
        </is>
      </c>
      <c r="J101" s="69" t="inlineStr">
        <is>
          <t>未创建</t>
        </is>
      </c>
      <c r="K101" s="69" t="inlineStr">
        <is>
          <t>5.000×5.000×0.300 m</t>
        </is>
      </c>
      <c r="L101" s="69" t="inlineStr">
        <is>
          <t>XY中心/底面0；-Y</t>
        </is>
      </c>
      <c r="M101" s="69" t="inlineStr">
        <is>
          <t>天台参考组件库 / floor_inner</t>
        </is>
      </c>
      <c r="N101" s="69" t="inlineStr">
        <is>
          <t>Blender源已完成</t>
        </is>
      </c>
      <c r="O101" s="69" t="inlineStr">
        <is>
          <t>v002</t>
        </is>
      </c>
      <c r="P101" s="69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Height="1" s="50">
      <c r="A102" s="69" t="inlineStr">
        <is>
          <t>ENV-ROOFTOP-REF-PARAPET</t>
        </is>
      </c>
      <c r="B102" s="69" t="inlineStr">
        <is>
          <t>女儿墙直段</t>
        </is>
      </c>
      <c r="C102" s="69" t="inlineStr"/>
      <c r="D102" s="69" t="inlineStr"/>
      <c r="E102" s="69" t="inlineStr">
        <is>
          <t>assets/art/environments/tower_zones/rooftop/source/reference_components/v002/天台区块_参考组件库_v002.blend#女儿墙直段_资产包</t>
        </is>
      </c>
      <c r="F102" s="69" t="inlineStr">
        <is>
          <t>独立资产包；02_女儿墙</t>
        </is>
      </c>
      <c r="G102" s="69" t="inlineStr"/>
      <c r="H102" s="69" t="inlineStr">
        <is>
          <t>未创建</t>
        </is>
      </c>
      <c r="I102" s="69" t="inlineStr">
        <is>
          <t>独立包运行包装</t>
        </is>
      </c>
      <c r="J102" s="69" t="inlineStr">
        <is>
          <t>未创建</t>
        </is>
      </c>
      <c r="K102" s="69" t="inlineStr">
        <is>
          <t>5.000×0.500×1.800 m</t>
        </is>
      </c>
      <c r="L102" s="69" t="inlineStr">
        <is>
          <t>XY中心/底面0；-Y</t>
        </is>
      </c>
      <c r="M102" s="69" t="inlineStr">
        <is>
          <t>天台参考组件库 / parapet</t>
        </is>
      </c>
      <c r="N102" s="69" t="inlineStr">
        <is>
          <t>Blender源已完成</t>
        </is>
      </c>
      <c r="O102" s="69" t="inlineStr">
        <is>
          <t>v002</t>
        </is>
      </c>
      <c r="P102" s="69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</t>
        </is>
      </c>
    </row>
    <row r="103" ht="84" customHeight="1" s="50">
      <c r="A103" s="69" t="inlineStr">
        <is>
          <t>ENV-ROOFTOP-REF-PARAPET-IVY</t>
        </is>
      </c>
      <c r="B103" s="69" t="inlineStr">
        <is>
          <t>女儿墙挂藤</t>
        </is>
      </c>
      <c r="C103" s="69" t="inlineStr"/>
      <c r="D103" s="69" t="inlineStr"/>
      <c r="E103" s="69" t="inlineStr">
        <is>
          <t>assets/art/environments/tower_zones/rooftop/source/reference_components/v002/天台区块_参考组件库_v002.blend#女儿墙挂藤_资产包</t>
        </is>
      </c>
      <c r="F103" s="69" t="inlineStr">
        <is>
          <t>独立资产包；02_女儿墙</t>
        </is>
      </c>
      <c r="G103" s="69" t="inlineStr"/>
      <c r="H103" s="69" t="inlineStr">
        <is>
          <t>未创建</t>
        </is>
      </c>
      <c r="I103" s="69" t="inlineStr">
        <is>
          <t>独立包运行包装</t>
        </is>
      </c>
      <c r="J103" s="69" t="inlineStr">
        <is>
          <t>未创建</t>
        </is>
      </c>
      <c r="K103" s="69" t="inlineStr">
        <is>
          <t>5.004×0.814×2.009 m</t>
        </is>
      </c>
      <c r="L103" s="69" t="inlineStr">
        <is>
          <t>XY中心/底面0；-Y</t>
        </is>
      </c>
      <c r="M103" s="69" t="inlineStr">
        <is>
          <t>天台参考组件库 / parapet_ivy</t>
        </is>
      </c>
      <c r="N103" s="69" t="inlineStr">
        <is>
          <t>Blender源已完成</t>
        </is>
      </c>
      <c r="O103" s="69" t="inlineStr">
        <is>
          <t>v002</t>
        </is>
      </c>
      <c r="P103" s="69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Height="1" s="50">
      <c r="A104" s="69" t="inlineStr">
        <is>
          <t>ENV-ROOFTOP-REF-PARAPET-OUTER</t>
        </is>
      </c>
      <c r="B104" s="69" t="inlineStr">
        <is>
          <t>女儿墙外角</t>
        </is>
      </c>
      <c r="C104" s="69" t="inlineStr"/>
      <c r="D104" s="69" t="inlineStr"/>
      <c r="E104" s="69" t="inlineStr">
        <is>
          <t>assets/art/environments/tower_zones/rooftop/source/reference_components/v002/天台区块_参考组件库_v002.blend#女儿墙外角_资产包</t>
        </is>
      </c>
      <c r="F104" s="69" t="inlineStr">
        <is>
          <t>独立资产包；02_女儿墙</t>
        </is>
      </c>
      <c r="G104" s="69" t="inlineStr"/>
      <c r="H104" s="69" t="inlineStr">
        <is>
          <t>未创建</t>
        </is>
      </c>
      <c r="I104" s="69" t="inlineStr">
        <is>
          <t>独立包运行包装</t>
        </is>
      </c>
      <c r="J104" s="69" t="inlineStr">
        <is>
          <t>未创建</t>
        </is>
      </c>
      <c r="K104" s="69" t="inlineStr">
        <is>
          <t>2.500×2.500×1.800 m</t>
        </is>
      </c>
      <c r="L104" s="69" t="inlineStr">
        <is>
          <t>XY中心/底面0；-Y</t>
        </is>
      </c>
      <c r="M104" s="69" t="inlineStr">
        <is>
          <t>天台参考组件库 / parapet_outer</t>
        </is>
      </c>
      <c r="N104" s="69" t="inlineStr">
        <is>
          <t>Blender源已完成</t>
        </is>
      </c>
      <c r="O104" s="69" t="inlineStr">
        <is>
          <t>v002</t>
        </is>
      </c>
      <c r="P104" s="69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</t>
        </is>
      </c>
    </row>
    <row r="105" ht="84" customHeight="1" s="50">
      <c r="A105" s="69" t="inlineStr">
        <is>
          <t>ENV-ROOFTOP-REF-PARAPET-INNER</t>
        </is>
      </c>
      <c r="B105" s="69" t="inlineStr">
        <is>
          <t>女儿墙内角</t>
        </is>
      </c>
      <c r="C105" s="69" t="inlineStr"/>
      <c r="D105" s="69" t="inlineStr"/>
      <c r="E105" s="69" t="inlineStr">
        <is>
          <t>assets/art/environments/tower_zones/rooftop/source/reference_components/v002/天台区块_参考组件库_v002.blend#女儿墙内角_资产包</t>
        </is>
      </c>
      <c r="F105" s="69" t="inlineStr">
        <is>
          <t>独立资产包；02_女儿墙</t>
        </is>
      </c>
      <c r="G105" s="69" t="inlineStr"/>
      <c r="H105" s="69" t="inlineStr">
        <is>
          <t>未创建</t>
        </is>
      </c>
      <c r="I105" s="69" t="inlineStr">
        <is>
          <t>独立包运行包装</t>
        </is>
      </c>
      <c r="J105" s="69" t="inlineStr">
        <is>
          <t>未创建</t>
        </is>
      </c>
      <c r="K105" s="69" t="inlineStr">
        <is>
          <t>2.500×2.500×1.800 m</t>
        </is>
      </c>
      <c r="L105" s="69" t="inlineStr">
        <is>
          <t>XY中心/底面0；-Y</t>
        </is>
      </c>
      <c r="M105" s="69" t="inlineStr">
        <is>
          <t>天台参考组件库 / parapet_inner</t>
        </is>
      </c>
      <c r="N105" s="69" t="inlineStr">
        <is>
          <t>Blender源已完成</t>
        </is>
      </c>
      <c r="O105" s="69" t="inlineStr">
        <is>
          <t>v002</t>
        </is>
      </c>
      <c r="P105" s="69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Height="1" s="50">
      <c r="A106" s="69" t="inlineStr">
        <is>
          <t>ENV-ROOFTOP-REF-ROOM-WALL</t>
        </is>
      </c>
      <c r="B106" s="69" t="inlineStr">
        <is>
          <t>房间标准墙</t>
        </is>
      </c>
      <c r="C106" s="69" t="inlineStr"/>
      <c r="D106" s="69" t="inlineStr"/>
      <c r="E106" s="69" t="inlineStr">
        <is>
          <t>assets/art/environments/tower_zones/rooftop/source/reference_components/v002/天台区块_参考组件库_v002.blend#房间标准墙_资产包</t>
        </is>
      </c>
      <c r="F106" s="69" t="inlineStr">
        <is>
          <t>独立资产包；03_房间墙体</t>
        </is>
      </c>
      <c r="G106" s="69" t="inlineStr"/>
      <c r="H106" s="69" t="inlineStr">
        <is>
          <t>未创建</t>
        </is>
      </c>
      <c r="I106" s="69" t="inlineStr">
        <is>
          <t>独立包运行包装</t>
        </is>
      </c>
      <c r="J106" s="69" t="inlineStr">
        <is>
          <t>未创建</t>
        </is>
      </c>
      <c r="K106" s="69" t="inlineStr">
        <is>
          <t>5.000×0.300×11.900 m</t>
        </is>
      </c>
      <c r="L106" s="69" t="inlineStr">
        <is>
          <t>XY中心/底面0；-Y</t>
        </is>
      </c>
      <c r="M106" s="69" t="inlineStr">
        <is>
          <t>天台参考组件库 / room_wall</t>
        </is>
      </c>
      <c r="N106" s="69" t="inlineStr">
        <is>
          <t>Blender源已完成</t>
        </is>
      </c>
      <c r="O106" s="69" t="inlineStr">
        <is>
          <t>v002</t>
        </is>
      </c>
      <c r="P106" s="69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</t>
        </is>
      </c>
    </row>
    <row r="107" ht="84" customHeight="1" s="50">
      <c r="A107" s="69" t="inlineStr">
        <is>
          <t>ENV-ROOFTOP-REF-ROOM-WINDOW</t>
        </is>
      </c>
      <c r="B107" s="69" t="inlineStr">
        <is>
          <t>房间窗墙</t>
        </is>
      </c>
      <c r="C107" s="69" t="inlineStr"/>
      <c r="D107" s="69" t="inlineStr"/>
      <c r="E107" s="69" t="inlineStr">
        <is>
          <t>assets/art/environments/tower_zones/rooftop/source/reference_components/v002/天台区块_参考组件库_v002.blend#房间窗墙_资产包</t>
        </is>
      </c>
      <c r="F107" s="69" t="inlineStr">
        <is>
          <t>独立资产包；03_房间墙体</t>
        </is>
      </c>
      <c r="G107" s="69" t="inlineStr"/>
      <c r="H107" s="69" t="inlineStr">
        <is>
          <t>未创建</t>
        </is>
      </c>
      <c r="I107" s="69" t="inlineStr">
        <is>
          <t>独立包运行包装</t>
        </is>
      </c>
      <c r="J107" s="69" t="inlineStr">
        <is>
          <t>未创建</t>
        </is>
      </c>
      <c r="K107" s="69" t="inlineStr">
        <is>
          <t>5.000×0.300×11.900 m</t>
        </is>
      </c>
      <c r="L107" s="69" t="inlineStr">
        <is>
          <t>XY中心/底面0；-Y</t>
        </is>
      </c>
      <c r="M107" s="69" t="inlineStr">
        <is>
          <t>天台参考组件库 / room_window</t>
        </is>
      </c>
      <c r="N107" s="69" t="inlineStr">
        <is>
          <t>Blender源已完成</t>
        </is>
      </c>
      <c r="O107" s="69" t="inlineStr">
        <is>
          <t>v002</t>
        </is>
      </c>
      <c r="P107" s="69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</t>
        </is>
      </c>
    </row>
    <row r="108" ht="84" customHeight="1" s="50">
      <c r="A108" s="69" t="inlineStr">
        <is>
          <t>ENV-ROOFTOP-REF-ROOM-DOORWALL</t>
        </is>
      </c>
      <c r="B108" s="69" t="inlineStr">
        <is>
          <t>房间门洞墙</t>
        </is>
      </c>
      <c r="C108" s="69" t="inlineStr"/>
      <c r="D108" s="69" t="inlineStr"/>
      <c r="E108" s="69" t="inlineStr">
        <is>
          <t>assets/art/environments/tower_zones/rooftop/source/reference_components/v002/天台区块_参考组件库_v002.blend#房间门洞墙_资产包</t>
        </is>
      </c>
      <c r="F108" s="69" t="inlineStr">
        <is>
          <t>独立资产包；03_房间墙体</t>
        </is>
      </c>
      <c r="G108" s="69" t="inlineStr"/>
      <c r="H108" s="69" t="inlineStr">
        <is>
          <t>未创建</t>
        </is>
      </c>
      <c r="I108" s="69" t="inlineStr">
        <is>
          <t>独立包运行包装</t>
        </is>
      </c>
      <c r="J108" s="69" t="inlineStr">
        <is>
          <t>未创建</t>
        </is>
      </c>
      <c r="K108" s="69" t="inlineStr">
        <is>
          <t>5.000×0.300×11.900 m</t>
        </is>
      </c>
      <c r="L108" s="69" t="inlineStr">
        <is>
          <t>XY中心/底面0；-Y</t>
        </is>
      </c>
      <c r="M108" s="69" t="inlineStr">
        <is>
          <t>天台参考组件库 / room_doorwall</t>
        </is>
      </c>
      <c r="N108" s="69" t="inlineStr">
        <is>
          <t>Blender源已完成</t>
        </is>
      </c>
      <c r="O108" s="69" t="inlineStr">
        <is>
          <t>v002</t>
        </is>
      </c>
      <c r="P108" s="69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</t>
        </is>
      </c>
    </row>
    <row r="109" ht="84" customHeight="1" s="50">
      <c r="A109" s="69" t="inlineStr">
        <is>
          <t>ENV-ROOFTOP-REF-ROOF-FULL</t>
        </is>
      </c>
      <c r="B109" s="69" t="inlineStr">
        <is>
          <t>房顶完整板</t>
        </is>
      </c>
      <c r="C109" s="69" t="inlineStr"/>
      <c r="D109" s="69" t="inlineStr"/>
      <c r="E109" s="69" t="inlineStr">
        <is>
          <t>assets/art/environments/tower_zones/rooftop/source/reference_components/v002/天台区块_参考组件库_v002.blend#房顶完整板_资产包</t>
        </is>
      </c>
      <c r="F109" s="69" t="inlineStr">
        <is>
          <t>独立资产包；04_房顶模块</t>
        </is>
      </c>
      <c r="G109" s="69" t="inlineStr"/>
      <c r="H109" s="69" t="inlineStr">
        <is>
          <t>未创建</t>
        </is>
      </c>
      <c r="I109" s="69" t="inlineStr">
        <is>
          <t>独立包运行包装</t>
        </is>
      </c>
      <c r="J109" s="69" t="inlineStr">
        <is>
          <t>未创建</t>
        </is>
      </c>
      <c r="K109" s="69" t="inlineStr">
        <is>
          <t>5.000×5.000×0.300 m</t>
        </is>
      </c>
      <c r="L109" s="69" t="inlineStr">
        <is>
          <t>XY中心/底面0；-Y</t>
        </is>
      </c>
      <c r="M109" s="69" t="inlineStr">
        <is>
          <t>天台参考组件库 / roof_full</t>
        </is>
      </c>
      <c r="N109" s="69" t="inlineStr">
        <is>
          <t>Blender源已完成</t>
        </is>
      </c>
      <c r="O109" s="69" t="inlineStr">
        <is>
          <t>v002</t>
        </is>
      </c>
      <c r="P109" s="69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</t>
        </is>
      </c>
    </row>
    <row r="110" ht="84" customHeight="1" s="50">
      <c r="A110" s="69" t="inlineStr">
        <is>
          <t>ENV-ROOFTOP-REF-ROOF-EDGE</t>
        </is>
      </c>
      <c r="B110" s="69" t="inlineStr">
        <is>
          <t>房顶边缘板</t>
        </is>
      </c>
      <c r="C110" s="69" t="inlineStr"/>
      <c r="D110" s="69" t="inlineStr"/>
      <c r="E110" s="69" t="inlineStr">
        <is>
          <t>assets/art/environments/tower_zones/rooftop/source/reference_components/v002/天台区块_参考组件库_v002.blend#房顶边缘板_资产包</t>
        </is>
      </c>
      <c r="F110" s="69" t="inlineStr">
        <is>
          <t>独立资产包；04_房顶模块</t>
        </is>
      </c>
      <c r="G110" s="69" t="inlineStr"/>
      <c r="H110" s="69" t="inlineStr">
        <is>
          <t>未创建</t>
        </is>
      </c>
      <c r="I110" s="69" t="inlineStr">
        <is>
          <t>独立包运行包装</t>
        </is>
      </c>
      <c r="J110" s="69" t="inlineStr">
        <is>
          <t>未创建</t>
        </is>
      </c>
      <c r="K110" s="69" t="inlineStr">
        <is>
          <t>5.000×5.000×0.300 m</t>
        </is>
      </c>
      <c r="L110" s="69" t="inlineStr">
        <is>
          <t>XY中心/底面0；-Y</t>
        </is>
      </c>
      <c r="M110" s="69" t="inlineStr">
        <is>
          <t>天台参考组件库 / roof_edge</t>
        </is>
      </c>
      <c r="N110" s="69" t="inlineStr">
        <is>
          <t>Blender源已完成</t>
        </is>
      </c>
      <c r="O110" s="69" t="inlineStr">
        <is>
          <t>v002</t>
        </is>
      </c>
      <c r="P110" s="69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</t>
        </is>
      </c>
    </row>
    <row r="111" ht="84" customHeight="1" s="50">
      <c r="A111" s="69" t="inlineStr">
        <is>
          <t>ENV-ROOFTOP-REF-ROOF-CORNER</t>
        </is>
      </c>
      <c r="B111" s="69" t="inlineStr">
        <is>
          <t>房顶角板</t>
        </is>
      </c>
      <c r="C111" s="69" t="inlineStr"/>
      <c r="D111" s="69" t="inlineStr"/>
      <c r="E111" s="69" t="inlineStr">
        <is>
          <t>assets/art/environments/tower_zones/rooftop/source/reference_components/v002/天台区块_参考组件库_v002.blend#房顶角板_资产包</t>
        </is>
      </c>
      <c r="F111" s="69" t="inlineStr">
        <is>
          <t>独立资产包；04_房顶模块</t>
        </is>
      </c>
      <c r="G111" s="69" t="inlineStr"/>
      <c r="H111" s="69" t="inlineStr">
        <is>
          <t>未创建</t>
        </is>
      </c>
      <c r="I111" s="69" t="inlineStr">
        <is>
          <t>独立包运行包装</t>
        </is>
      </c>
      <c r="J111" s="69" t="inlineStr">
        <is>
          <t>未创建</t>
        </is>
      </c>
      <c r="K111" s="69" t="inlineStr">
        <is>
          <t>5.000×5.000×0.300 m</t>
        </is>
      </c>
      <c r="L111" s="69" t="inlineStr">
        <is>
          <t>XY中心/底面0；-Y</t>
        </is>
      </c>
      <c r="M111" s="69" t="inlineStr">
        <is>
          <t>天台参考组件库 / roof_corner</t>
        </is>
      </c>
      <c r="N111" s="69" t="inlineStr">
        <is>
          <t>Blender源已完成</t>
        </is>
      </c>
      <c r="O111" s="69" t="inlineStr">
        <is>
          <t>v002</t>
        </is>
      </c>
      <c r="P111" s="69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</t>
        </is>
      </c>
    </row>
    <row r="112" ht="84" customHeight="1" s="50">
      <c r="A112" s="69" t="inlineStr">
        <is>
          <t>ENV-ROOFTOP-REF-HVAC-LARGE</t>
        </is>
      </c>
      <c r="B112" s="69" t="inlineStr">
        <is>
          <t>大型空调机组</t>
        </is>
      </c>
      <c r="C112" s="69" t="inlineStr"/>
      <c r="D112" s="69" t="inlineStr"/>
      <c r="E112" s="69" t="inlineStr">
        <is>
          <t>assets/art/environments/tower_zones/rooftop/source/reference_components/v002/天台区块_参考组件库_v002.blend#大型空调机组_资产包</t>
        </is>
      </c>
      <c r="F112" s="69" t="inlineStr">
        <is>
          <t>独立资产包；05_空调与设备</t>
        </is>
      </c>
      <c r="G112" s="69" t="inlineStr"/>
      <c r="H112" s="69" t="inlineStr">
        <is>
          <t>未创建</t>
        </is>
      </c>
      <c r="I112" s="69" t="inlineStr">
        <is>
          <t>独立包运行包装</t>
        </is>
      </c>
      <c r="J112" s="69" t="inlineStr">
        <is>
          <t>未创建</t>
        </is>
      </c>
      <c r="K112" s="69" t="inlineStr">
        <is>
          <t>4.700×2.565×2.420 m</t>
        </is>
      </c>
      <c r="L112" s="69" t="inlineStr">
        <is>
          <t>XY中心/底面0；-Y</t>
        </is>
      </c>
      <c r="M112" s="69" t="inlineStr">
        <is>
          <t>天台参考组件库 / hvac_large</t>
        </is>
      </c>
      <c r="N112" s="69" t="inlineStr">
        <is>
          <t>Blender源已完成</t>
        </is>
      </c>
      <c r="O112" s="69" t="inlineStr">
        <is>
          <t>v002</t>
        </is>
      </c>
      <c r="P112" s="69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Height="1" s="50">
      <c r="A113" s="69" t="inlineStr">
        <is>
          <t>ENV-ROOFTOP-REF-HVAC-SMALL</t>
        </is>
      </c>
      <c r="B113" s="69" t="inlineStr">
        <is>
          <t>小型空调机组</t>
        </is>
      </c>
      <c r="C113" s="69" t="inlineStr"/>
      <c r="D113" s="69" t="inlineStr"/>
      <c r="E113" s="69" t="inlineStr">
        <is>
          <t>assets/art/environments/tower_zones/rooftop/source/reference_components/v002/天台区块_参考组件库_v002.blend#小型空调机组_资产包</t>
        </is>
      </c>
      <c r="F113" s="69" t="inlineStr">
        <is>
          <t>独立资产包；05_空调与设备</t>
        </is>
      </c>
      <c r="G113" s="69" t="inlineStr"/>
      <c r="H113" s="69" t="inlineStr">
        <is>
          <t>未创建</t>
        </is>
      </c>
      <c r="I113" s="69" t="inlineStr">
        <is>
          <t>独立包运行包装</t>
        </is>
      </c>
      <c r="J113" s="69" t="inlineStr">
        <is>
          <t>未创建</t>
        </is>
      </c>
      <c r="K113" s="69" t="inlineStr">
        <is>
          <t>2.500×2.365×1.870 m</t>
        </is>
      </c>
      <c r="L113" s="69" t="inlineStr">
        <is>
          <t>XY中心/底面0；-Y</t>
        </is>
      </c>
      <c r="M113" s="69" t="inlineStr">
        <is>
          <t>天台参考组件库 / hvac_small</t>
        </is>
      </c>
      <c r="N113" s="69" t="inlineStr">
        <is>
          <t>Blender源已完成</t>
        </is>
      </c>
      <c r="O113" s="69" t="inlineStr">
        <is>
          <t>v002</t>
        </is>
      </c>
      <c r="P113" s="69" t="inlineStr">
        <is>
          <t>父库=ENV-ROOFTOP-REFERENCE-COMPONENT-LIBRARY；manifest=assets/art/environments/tower_zones/rooftop/source/reference_components/v002/component_packages_v002/05/hvac_small/asset_manifest.json；外墙植物包络不进入阻挡；未导入Godot。</t>
        </is>
      </c>
    </row>
    <row r="114" ht="84" customHeight="1" s="50">
      <c r="A114" s="69" t="inlineStr">
        <is>
          <t>ENV-ROOFTOP-REF-HVAC-FAN</t>
        </is>
      </c>
      <c r="B114" s="69" t="inlineStr">
        <is>
          <t>顶置通风扇</t>
        </is>
      </c>
      <c r="C114" s="69" t="inlineStr"/>
      <c r="D114" s="69" t="inlineStr"/>
      <c r="E114" s="69" t="inlineStr">
        <is>
          <t>assets/art/environments/tower_zones/rooftop/source/reference_components/v002/天台区块_参考组件库_v002.blend#顶置通风扇_资产包</t>
        </is>
      </c>
      <c r="F114" s="69" t="inlineStr">
        <is>
          <t>独立资产包；05_空调与设备</t>
        </is>
      </c>
      <c r="G114" s="69" t="inlineStr"/>
      <c r="H114" s="69" t="inlineStr">
        <is>
          <t>未创建</t>
        </is>
      </c>
      <c r="I114" s="69" t="inlineStr">
        <is>
          <t>独立包运行包装</t>
        </is>
      </c>
      <c r="J114" s="69" t="inlineStr">
        <is>
          <t>未创建</t>
        </is>
      </c>
      <c r="K114" s="69" t="inlineStr">
        <is>
          <t>2.200×2.275×0.720 m</t>
        </is>
      </c>
      <c r="L114" s="69" t="inlineStr">
        <is>
          <t>XY中心/底面0；-Y</t>
        </is>
      </c>
      <c r="M114" s="69" t="inlineStr">
        <is>
          <t>天台参考组件库 / hvac_fan</t>
        </is>
      </c>
      <c r="N114" s="69" t="inlineStr">
        <is>
          <t>Blender源已完成</t>
        </is>
      </c>
      <c r="O114" s="69" t="inlineStr">
        <is>
          <t>v002</t>
        </is>
      </c>
      <c r="P114" s="69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Height="1" s="50">
      <c r="A115" s="69" t="inlineStr">
        <is>
          <t>ENV-ROOFTOP-REF-HVAC-VENT</t>
        </is>
      </c>
      <c r="B115" s="69" t="inlineStr">
        <is>
          <t>小通风口</t>
        </is>
      </c>
      <c r="C115" s="69" t="inlineStr"/>
      <c r="D115" s="69" t="inlineStr"/>
      <c r="E115" s="69" t="inlineStr">
        <is>
          <t>assets/art/environments/tower_zones/rooftop/source/reference_components/v002/天台区块_参考组件库_v002.blend#小通风口_资产包</t>
        </is>
      </c>
      <c r="F115" s="69" t="inlineStr">
        <is>
          <t>独立资产包；05_空调与设备</t>
        </is>
      </c>
      <c r="G115" s="69" t="inlineStr"/>
      <c r="H115" s="69" t="inlineStr">
        <is>
          <t>未创建</t>
        </is>
      </c>
      <c r="I115" s="69" t="inlineStr">
        <is>
          <t>独立包运行包装</t>
        </is>
      </c>
      <c r="J115" s="69" t="inlineStr">
        <is>
          <t>未创建</t>
        </is>
      </c>
      <c r="K115" s="69" t="inlineStr">
        <is>
          <t>1.400×1.165×0.850 m</t>
        </is>
      </c>
      <c r="L115" s="69" t="inlineStr">
        <is>
          <t>XY中心/底面0；-Y</t>
        </is>
      </c>
      <c r="M115" s="69" t="inlineStr">
        <is>
          <t>天台参考组件库 / hvac_vent</t>
        </is>
      </c>
      <c r="N115" s="69" t="inlineStr">
        <is>
          <t>Blender源已完成</t>
        </is>
      </c>
      <c r="O115" s="69" t="inlineStr">
        <is>
          <t>v002</t>
        </is>
      </c>
      <c r="P115" s="69" t="inlineStr">
        <is>
          <t>父库=ENV-ROOFTOP-REFERENCE-COMPONENT-LIBRARY；manifest=assets/art/environments/tower_zones/rooftop/source/reference_components/v002/component_packages_v002/05/hvac_vent/asset_manifest.json；外墙植物包络不进入阻挡；未导入Godot。</t>
        </is>
      </c>
    </row>
    <row r="116" ht="84" customHeight="1" s="50">
      <c r="A116" s="69" t="inlineStr">
        <is>
          <t>ENV-ROOFTOP-REF-HVAC-CABINET</t>
        </is>
      </c>
      <c r="B116" s="69" t="inlineStr">
        <is>
          <t>机电箱</t>
        </is>
      </c>
      <c r="C116" s="69" t="inlineStr"/>
      <c r="D116" s="69" t="inlineStr"/>
      <c r="E116" s="69" t="inlineStr">
        <is>
          <t>assets/art/environments/tower_zones/rooftop/source/reference_components/v002/天台区块_参考组件库_v002.blend#机电箱_资产包</t>
        </is>
      </c>
      <c r="F116" s="69" t="inlineStr">
        <is>
          <t>独立资产包；05_空调与设备</t>
        </is>
      </c>
      <c r="G116" s="69" t="inlineStr"/>
      <c r="H116" s="69" t="inlineStr">
        <is>
          <t>未创建</t>
        </is>
      </c>
      <c r="I116" s="69" t="inlineStr">
        <is>
          <t>独立包运行包装</t>
        </is>
      </c>
      <c r="J116" s="69" t="inlineStr">
        <is>
          <t>未创建</t>
        </is>
      </c>
      <c r="K116" s="69" t="inlineStr">
        <is>
          <t>2.400×1.160×2.100 m</t>
        </is>
      </c>
      <c r="L116" s="69" t="inlineStr">
        <is>
          <t>XY中心/底面0；-Y</t>
        </is>
      </c>
      <c r="M116" s="69" t="inlineStr">
        <is>
          <t>天台参考组件库 / hvac_cabinet</t>
        </is>
      </c>
      <c r="N116" s="69" t="inlineStr">
        <is>
          <t>Blender源已完成</t>
        </is>
      </c>
      <c r="O116" s="69" t="inlineStr">
        <is>
          <t>v002</t>
        </is>
      </c>
      <c r="P116" s="69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Height="1" s="50">
      <c r="A117" s="69" t="inlineStr">
        <is>
          <t>ENV-ROOFTOP-REF-HVAC-ELECTRIC</t>
        </is>
      </c>
      <c r="B117" s="69" t="inlineStr">
        <is>
          <t>配电箱</t>
        </is>
      </c>
      <c r="C117" s="69" t="inlineStr"/>
      <c r="D117" s="69" t="inlineStr"/>
      <c r="E117" s="69" t="inlineStr">
        <is>
          <t>assets/art/environments/tower_zones/rooftop/source/reference_components/v002/天台区块_参考组件库_v002.blend#配电箱_资产包</t>
        </is>
      </c>
      <c r="F117" s="69" t="inlineStr">
        <is>
          <t>独立资产包；05_空调与设备</t>
        </is>
      </c>
      <c r="G117" s="69" t="inlineStr"/>
      <c r="H117" s="69" t="inlineStr">
        <is>
          <t>未创建</t>
        </is>
      </c>
      <c r="I117" s="69" t="inlineStr">
        <is>
          <t>独立包运行包装</t>
        </is>
      </c>
      <c r="J117" s="69" t="inlineStr">
        <is>
          <t>未创建</t>
        </is>
      </c>
      <c r="K117" s="69" t="inlineStr">
        <is>
          <t>1.500×0.910×2.400 m</t>
        </is>
      </c>
      <c r="L117" s="69" t="inlineStr">
        <is>
          <t>XY中心/底面0；-Y</t>
        </is>
      </c>
      <c r="M117" s="69" t="inlineStr">
        <is>
          <t>天台参考组件库 / hvac_electric</t>
        </is>
      </c>
      <c r="N117" s="69" t="inlineStr">
        <is>
          <t>Blender源已完成</t>
        </is>
      </c>
      <c r="O117" s="69" t="inlineStr">
        <is>
          <t>v002</t>
        </is>
      </c>
      <c r="P117" s="69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Height="1" s="50">
      <c r="A118" s="69" t="inlineStr">
        <is>
          <t>ENV-ROOFTOP-REF-PIPE-STRAIGHT</t>
        </is>
      </c>
      <c r="B118" s="69" t="inlineStr">
        <is>
          <t>直管段</t>
        </is>
      </c>
      <c r="C118" s="69" t="inlineStr"/>
      <c r="D118" s="69" t="inlineStr"/>
      <c r="E118" s="69" t="inlineStr">
        <is>
          <t>assets/art/environments/tower_zones/rooftop/source/reference_components/v002/天台区块_参考组件库_v002.blend#直管段_资产包</t>
        </is>
      </c>
      <c r="F118" s="69" t="inlineStr">
        <is>
          <t>独立资产包；06_管线系统</t>
        </is>
      </c>
      <c r="G118" s="69" t="inlineStr"/>
      <c r="H118" s="69" t="inlineStr">
        <is>
          <t>未创建</t>
        </is>
      </c>
      <c r="I118" s="69" t="inlineStr">
        <is>
          <t>独立包运行包装</t>
        </is>
      </c>
      <c r="J118" s="69" t="inlineStr">
        <is>
          <t>未创建</t>
        </is>
      </c>
      <c r="K118" s="69" t="inlineStr">
        <is>
          <t>2.640×0.410×0.410 m</t>
        </is>
      </c>
      <c r="L118" s="69" t="inlineStr">
        <is>
          <t>XY中心/底面0；-Y</t>
        </is>
      </c>
      <c r="M118" s="69" t="inlineStr">
        <is>
          <t>天台参考组件库 / pipe_straight</t>
        </is>
      </c>
      <c r="N118" s="69" t="inlineStr">
        <is>
          <t>Blender源已完成</t>
        </is>
      </c>
      <c r="O118" s="69" t="inlineStr">
        <is>
          <t>v002</t>
        </is>
      </c>
      <c r="P118" s="69" t="inlineStr">
        <is>
          <t>父库=ENV-ROOFTOP-REFERENCE-COMPONENT-LIBRARY；manifest=assets/art/environments/tower_zones/rooftop/source/reference_components/v002/component_packages_v002/06/pipe_straight/asset_manifest.json；外墙植物包络不进入阻挡；未导入Godot。</t>
        </is>
      </c>
    </row>
    <row r="119" ht="84" customHeight="1" s="50">
      <c r="A119" s="69" t="inlineStr">
        <is>
          <t>ENV-ROOFTOP-REF-PIPE-ELBOW</t>
        </is>
      </c>
      <c r="B119" s="69" t="inlineStr">
        <is>
          <t>转角弯管</t>
        </is>
      </c>
      <c r="C119" s="69" t="inlineStr"/>
      <c r="D119" s="69" t="inlineStr"/>
      <c r="E119" s="69" t="inlineStr">
        <is>
          <t>assets/art/environments/tower_zones/rooftop/source/reference_components/v002/天台区块_参考组件库_v002.blend#转角弯管_资产包</t>
        </is>
      </c>
      <c r="F119" s="69" t="inlineStr">
        <is>
          <t>独立资产包；06_管线系统</t>
        </is>
      </c>
      <c r="G119" s="69" t="inlineStr"/>
      <c r="H119" s="69" t="inlineStr">
        <is>
          <t>未创建</t>
        </is>
      </c>
      <c r="I119" s="69" t="inlineStr">
        <is>
          <t>独立包运行包装</t>
        </is>
      </c>
      <c r="J119" s="69" t="inlineStr">
        <is>
          <t>未创建</t>
        </is>
      </c>
      <c r="K119" s="69" t="inlineStr">
        <is>
          <t>1.575×0.410×1.275 m</t>
        </is>
      </c>
      <c r="L119" s="69" t="inlineStr">
        <is>
          <t>XY中心/底面0；-Y</t>
        </is>
      </c>
      <c r="M119" s="69" t="inlineStr">
        <is>
          <t>天台参考组件库 / pipe_elbow</t>
        </is>
      </c>
      <c r="N119" s="69" t="inlineStr">
        <is>
          <t>Blender源已完成</t>
        </is>
      </c>
      <c r="O119" s="69" t="inlineStr">
        <is>
          <t>v002</t>
        </is>
      </c>
      <c r="P119" s="69" t="inlineStr">
        <is>
          <t>父库=ENV-ROOFTOP-REFERENCE-COMPONENT-LIBRARY；manifest=assets/art/environments/tower_zones/rooftop/source/reference_components/v002/component_packages_v002/06/pipe_elbow/asset_manifest.json；外墙植物包络不进入阻挡；未导入Godot。</t>
        </is>
      </c>
    </row>
    <row r="120" ht="84" customHeight="1" s="50">
      <c r="A120" s="69" t="inlineStr">
        <is>
          <t>ENV-ROOFTOP-REF-PIPE-TEE</t>
        </is>
      </c>
      <c r="B120" s="69" t="inlineStr">
        <is>
          <t>三通管</t>
        </is>
      </c>
      <c r="C120" s="69" t="inlineStr"/>
      <c r="D120" s="69" t="inlineStr"/>
      <c r="E120" s="69" t="inlineStr">
        <is>
          <t>assets/art/environments/tower_zones/rooftop/source/reference_components/v002/天台区块_参考组件库_v002.blend#三通管_资产包</t>
        </is>
      </c>
      <c r="F120" s="69" t="inlineStr">
        <is>
          <t>独立资产包；06_管线系统</t>
        </is>
      </c>
      <c r="G120" s="69" t="inlineStr"/>
      <c r="H120" s="69" t="inlineStr">
        <is>
          <t>未创建</t>
        </is>
      </c>
      <c r="I120" s="69" t="inlineStr">
        <is>
          <t>独立包运行包装</t>
        </is>
      </c>
      <c r="J120" s="69" t="inlineStr">
        <is>
          <t>未创建</t>
        </is>
      </c>
      <c r="K120" s="69" t="inlineStr">
        <is>
          <t>2.640×0.410×1.355 m</t>
        </is>
      </c>
      <c r="L120" s="69" t="inlineStr">
        <is>
          <t>XY中心/底面0；-Y</t>
        </is>
      </c>
      <c r="M120" s="69" t="inlineStr">
        <is>
          <t>天台参考组件库 / pipe_tee</t>
        </is>
      </c>
      <c r="N120" s="69" t="inlineStr">
        <is>
          <t>Blender源已完成</t>
        </is>
      </c>
      <c r="O120" s="69" t="inlineStr">
        <is>
          <t>v002</t>
        </is>
      </c>
      <c r="P120" s="69" t="inlineStr">
        <is>
          <t>父库=ENV-ROOFTOP-REFERENCE-COMPONENT-LIBRARY；manifest=assets/art/environments/tower_zones/rooftop/source/reference_components/v002/component_packages_v002/06/pipe_tee/asset_manifest.json；外墙植物包络不进入阻挡；未导入Godot。</t>
        </is>
      </c>
    </row>
    <row r="121" ht="84" customHeight="1" s="50">
      <c r="A121" s="69" t="inlineStr">
        <is>
          <t>ENV-ROOFTOP-REF-PIPE-RISER</t>
        </is>
      </c>
      <c r="B121" s="69" t="inlineStr">
        <is>
          <t>立管下水管</t>
        </is>
      </c>
      <c r="C121" s="69" t="inlineStr"/>
      <c r="D121" s="69" t="inlineStr"/>
      <c r="E121" s="69" t="inlineStr">
        <is>
          <t>assets/art/environments/tower_zones/rooftop/source/reference_components/v002/天台区块_参考组件库_v002.blend#立管下水管_资产包</t>
        </is>
      </c>
      <c r="F121" s="69" t="inlineStr">
        <is>
          <t>独立资产包；06_管线系统</t>
        </is>
      </c>
      <c r="G121" s="69" t="inlineStr"/>
      <c r="H121" s="69" t="inlineStr">
        <is>
          <t>未创建</t>
        </is>
      </c>
      <c r="I121" s="69" t="inlineStr">
        <is>
          <t>独立包运行包装</t>
        </is>
      </c>
      <c r="J121" s="69" t="inlineStr">
        <is>
          <t>未创建</t>
        </is>
      </c>
      <c r="K121" s="69" t="inlineStr">
        <is>
          <t>0.795×0.485×4.945 m</t>
        </is>
      </c>
      <c r="L121" s="69" t="inlineStr">
        <is>
          <t>XY中心/底面0；-Y</t>
        </is>
      </c>
      <c r="M121" s="69" t="inlineStr">
        <is>
          <t>天台参考组件库 / pipe_riser</t>
        </is>
      </c>
      <c r="N121" s="69" t="inlineStr">
        <is>
          <t>Blender源已完成</t>
        </is>
      </c>
      <c r="O121" s="69" t="inlineStr">
        <is>
          <t>v002</t>
        </is>
      </c>
      <c r="P121" s="69" t="inlineStr">
        <is>
          <t>父库=ENV-ROOFTOP-REFERENCE-COMPONENT-LIBRARY；manifest=assets/art/environments/tower_zones/rooftop/source/reference_components/v002/component_packages_v002/06/pipe_riser/asset_manifest.json；外墙植物包络不进入阻挡；未导入Godot。</t>
        </is>
      </c>
    </row>
    <row r="122" ht="84" customHeight="1" s="50">
      <c r="A122" s="69" t="inlineStr">
        <is>
          <t>ENV-ROOFTOP-REF-PIPE-BRACKET</t>
        </is>
      </c>
      <c r="B122" s="69" t="inlineStr">
        <is>
          <t>管道支架</t>
        </is>
      </c>
      <c r="C122" s="69" t="inlineStr"/>
      <c r="D122" s="69" t="inlineStr"/>
      <c r="E122" s="69" t="inlineStr">
        <is>
          <t>assets/art/environments/tower_zones/rooftop/source/reference_components/v002/天台区块_参考组件库_v002.blend#管道支架_资产包</t>
        </is>
      </c>
      <c r="F122" s="69" t="inlineStr">
        <is>
          <t>独立资产包；06_管线系统</t>
        </is>
      </c>
      <c r="G122" s="69" t="inlineStr"/>
      <c r="H122" s="69" t="inlineStr">
        <is>
          <t>未创建</t>
        </is>
      </c>
      <c r="I122" s="69" t="inlineStr">
        <is>
          <t>独立包运行包装</t>
        </is>
      </c>
      <c r="J122" s="69" t="inlineStr">
        <is>
          <t>未创建</t>
        </is>
      </c>
      <c r="K122" s="69" t="inlineStr">
        <is>
          <t>0.480×0.876×3.640 m</t>
        </is>
      </c>
      <c r="L122" s="69" t="inlineStr">
        <is>
          <t>XY中心/底面0；-Y</t>
        </is>
      </c>
      <c r="M122" s="69" t="inlineStr">
        <is>
          <t>天台参考组件库 / pipe_bracket</t>
        </is>
      </c>
      <c r="N122" s="69" t="inlineStr">
        <is>
          <t>Blender源已完成</t>
        </is>
      </c>
      <c r="O122" s="69" t="inlineStr">
        <is>
          <t>v002</t>
        </is>
      </c>
      <c r="P122" s="69" t="inlineStr">
        <is>
          <t>父库=ENV-ROOFTOP-REFERENCE-COMPONENT-LIBRARY；manifest=assets/art/environments/tower_zones/rooftop/source/reference_components/v002/component_packages_v002/06/pipe_bracket/asset_manifest.json；外墙植物包络不进入阻挡；未导入Godot。</t>
        </is>
      </c>
    </row>
    <row r="123" ht="84" customHeight="1" s="50">
      <c r="A123" s="69" t="inlineStr">
        <is>
          <t>ENV-ROOFTOP-REF-DOOR-LAMP</t>
        </is>
      </c>
      <c r="B123" s="69" t="inlineStr">
        <is>
          <t>门与暖灯</t>
        </is>
      </c>
      <c r="C123" s="69" t="inlineStr"/>
      <c r="D123" s="69" t="inlineStr"/>
      <c r="E123" s="69" t="inlineStr">
        <is>
          <t>assets/art/environments/tower_zones/rooftop/source/reference_components/v002/天台区块_参考组件库_v002.blend#门与暖灯_资产包</t>
        </is>
      </c>
      <c r="F123" s="69" t="inlineStr">
        <is>
          <t>厚门柱1.10m、门楣1.16m、门槛1.55m；门扇内凹；独立输出。</t>
        </is>
      </c>
      <c r="G123" s="69" t="inlineStr"/>
      <c r="H123" s="69" t="inlineStr">
        <is>
          <t>未创建</t>
        </is>
      </c>
      <c r="I123" s="69" t="inlineStr">
        <is>
          <t>独立包运行包装</t>
        </is>
      </c>
      <c r="J123" s="69" t="inlineStr">
        <is>
          <t>未创建</t>
        </is>
      </c>
      <c r="K123" s="69" t="inlineStr">
        <is>
          <t>4.900×1.555×7.570 m</t>
        </is>
      </c>
      <c r="L123" s="69" t="inlineStr">
        <is>
          <t>XY中心/底面0；-Y</t>
        </is>
      </c>
      <c r="M123" s="69" t="inlineStr">
        <is>
          <t>天台参考组件库 / door_lamp</t>
        </is>
      </c>
      <c r="N123" s="69" t="inlineStr">
        <is>
          <t>Blender源已完成</t>
        </is>
      </c>
      <c r="O123" s="69" t="inlineStr">
        <is>
          <t>v002</t>
        </is>
      </c>
      <c r="P123" s="69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Height="1" s="50">
      <c r="A124" s="69" t="inlineStr">
        <is>
          <t>ENV-ROOFTOP-REF-CANOPY</t>
        </is>
      </c>
      <c r="B124" s="69" t="inlineStr">
        <is>
          <t>支撑雨棚</t>
        </is>
      </c>
      <c r="C124" s="69" t="inlineStr"/>
      <c r="D124" s="69" t="inlineStr"/>
      <c r="E124" s="69" t="inlineStr">
        <is>
          <t>assets/art/environments/tower_zones/rooftop/source/reference_components/v002/天台区块_参考组件库_v002.blend#支撑雨棚_资产包</t>
        </is>
      </c>
      <c r="F124" s="69" t="inlineStr">
        <is>
          <t>独立资产包；07_门与雨棚</t>
        </is>
      </c>
      <c r="G124" s="69" t="inlineStr"/>
      <c r="H124" s="69" t="inlineStr">
        <is>
          <t>未创建</t>
        </is>
      </c>
      <c r="I124" s="69" t="inlineStr">
        <is>
          <t>独立包运行包装</t>
        </is>
      </c>
      <c r="J124" s="69" t="inlineStr">
        <is>
          <t>未创建</t>
        </is>
      </c>
      <c r="K124" s="69" t="inlineStr">
        <is>
          <t>5.000×2.800×2.186 m</t>
        </is>
      </c>
      <c r="L124" s="69" t="inlineStr">
        <is>
          <t>XY中心/底面0；-Y</t>
        </is>
      </c>
      <c r="M124" s="69" t="inlineStr">
        <is>
          <t>天台参考组件库 / canopy</t>
        </is>
      </c>
      <c r="N124" s="69" t="inlineStr">
        <is>
          <t>Blender源已完成</t>
        </is>
      </c>
      <c r="O124" s="69" t="inlineStr">
        <is>
          <t>v002</t>
        </is>
      </c>
      <c r="P124" s="69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Height="1" s="50">
      <c r="A125" s="69" t="inlineStr">
        <is>
          <t>ENV-ROOFTOP-REF-IVY</t>
        </is>
      </c>
      <c r="B125" s="69" t="inlineStr">
        <is>
          <t>墙面攀爬藤蔓</t>
        </is>
      </c>
      <c r="C125" s="69" t="inlineStr"/>
      <c r="D125" s="69" t="inlineStr"/>
      <c r="E125" s="69" t="inlineStr">
        <is>
          <t>assets/art/environments/tower_zones/rooftop/source/reference_components/v002/天台区块_参考组件库_v002.blend#墙面攀爬藤蔓_资产包</t>
        </is>
      </c>
      <c r="F125" s="69" t="inlineStr">
        <is>
          <t>独立资产包；08_固定绿化</t>
        </is>
      </c>
      <c r="G125" s="69" t="inlineStr"/>
      <c r="H125" s="69" t="inlineStr">
        <is>
          <t>未创建</t>
        </is>
      </c>
      <c r="I125" s="69" t="inlineStr">
        <is>
          <t>独立包运行包装</t>
        </is>
      </c>
      <c r="J125" s="69" t="inlineStr">
        <is>
          <t>未创建</t>
        </is>
      </c>
      <c r="K125" s="69" t="inlineStr">
        <is>
          <t>4.256×0.819×3.802 m</t>
        </is>
      </c>
      <c r="L125" s="69" t="inlineStr">
        <is>
          <t>XY中心/底面0；-Y</t>
        </is>
      </c>
      <c r="M125" s="69" t="inlineStr">
        <is>
          <t>天台参考组件库 / ivy</t>
        </is>
      </c>
      <c r="N125" s="69" t="inlineStr">
        <is>
          <t>Blender源已完成</t>
        </is>
      </c>
      <c r="O125" s="69" t="inlineStr">
        <is>
          <t>v002</t>
        </is>
      </c>
      <c r="P125" s="69" t="inlineStr">
        <is>
          <t>父库=ENV-ROOFTOP-REFERENCE-COMPONENT-LIBRARY；manifest=assets/art/environments/tower_zones/rooftop/source/reference_components/v002/component_packages_v002/08/ivy/asset_manifest.json；外墙植物包络不进入阻挡；未导入Godot。</t>
        </is>
      </c>
    </row>
    <row r="126" ht="84" customHeight="1" s="50">
      <c r="A126" s="69" t="inlineStr">
        <is>
          <t>ENV-ROOFTOP-REF-FLOWERBOX</t>
        </is>
      </c>
      <c r="B126" s="69" t="inlineStr">
        <is>
          <t>长条花箱</t>
        </is>
      </c>
      <c r="C126" s="69" t="inlineStr"/>
      <c r="D126" s="69" t="inlineStr"/>
      <c r="E126" s="69" t="inlineStr">
        <is>
          <t>assets/art/environments/tower_zones/rooftop/source/reference_components/v002/天台区块_参考组件库_v002.blend#长条花箱_资产包</t>
        </is>
      </c>
      <c r="F126" s="69" t="inlineStr">
        <is>
          <t>独立资产包；08_固定绿化</t>
        </is>
      </c>
      <c r="G126" s="69" t="inlineStr"/>
      <c r="H126" s="69" t="inlineStr">
        <is>
          <t>未创建</t>
        </is>
      </c>
      <c r="I126" s="69" t="inlineStr">
        <is>
          <t>独立包运行包装</t>
        </is>
      </c>
      <c r="J126" s="69" t="inlineStr">
        <is>
          <t>未创建</t>
        </is>
      </c>
      <c r="K126" s="69" t="inlineStr">
        <is>
          <t>4.500×1.185×2.134 m</t>
        </is>
      </c>
      <c r="L126" s="69" t="inlineStr">
        <is>
          <t>XY中心/底面0；-Y</t>
        </is>
      </c>
      <c r="M126" s="69" t="inlineStr">
        <is>
          <t>天台参考组件库 / flowerbox</t>
        </is>
      </c>
      <c r="N126" s="69" t="inlineStr">
        <is>
          <t>Blender源已完成</t>
        </is>
      </c>
      <c r="O126" s="69" t="inlineStr">
        <is>
          <t>v002</t>
        </is>
      </c>
      <c r="P126" s="69" t="inlineStr">
        <is>
          <t>父库=ENV-ROOFTOP-REFERENCE-COMPONENT-LIBRARY；manifest=assets/art/environments/tower_zones/rooftop/source/reference_components/v002/component_packages_v002/08/flowerbox/asset_manifest.json；外墙植物包络不进入阻挡；未导入Godot。</t>
        </is>
      </c>
    </row>
    <row r="127" ht="84" customHeight="1" s="50">
      <c r="A127" s="69" t="inlineStr">
        <is>
          <t>ENV-ROOFTOP-REF-PLANT-LARGE</t>
        </is>
      </c>
      <c r="B127" s="69" t="inlineStr">
        <is>
          <t>大盆栽</t>
        </is>
      </c>
      <c r="C127" s="69" t="inlineStr"/>
      <c r="D127" s="69" t="inlineStr"/>
      <c r="E127" s="69" t="inlineStr">
        <is>
          <t>assets/art/environments/tower_zones/rooftop/source/reference_components/v002/天台区块_参考组件库_v002.blend#大盆栽_资产包</t>
        </is>
      </c>
      <c r="F127" s="69" t="inlineStr">
        <is>
          <t>独立资产包；08_固定绿化</t>
        </is>
      </c>
      <c r="G127" s="69" t="inlineStr"/>
      <c r="H127" s="69" t="inlineStr">
        <is>
          <t>未创建</t>
        </is>
      </c>
      <c r="I127" s="69" t="inlineStr">
        <is>
          <t>独立包运行包装</t>
        </is>
      </c>
      <c r="J127" s="69" t="inlineStr">
        <is>
          <t>未创建</t>
        </is>
      </c>
      <c r="K127" s="69" t="inlineStr">
        <is>
          <t>1.547×1.745×2.772 m</t>
        </is>
      </c>
      <c r="L127" s="69" t="inlineStr">
        <is>
          <t>XY中心/底面0；-Y</t>
        </is>
      </c>
      <c r="M127" s="69" t="inlineStr">
        <is>
          <t>天台参考组件库 / plant_large</t>
        </is>
      </c>
      <c r="N127" s="69" t="inlineStr">
        <is>
          <t>Blender源已完成</t>
        </is>
      </c>
      <c r="O127" s="69" t="inlineStr">
        <is>
          <t>v002</t>
        </is>
      </c>
      <c r="P127" s="69" t="inlineStr">
        <is>
          <t>父库=ENV-ROOFTOP-REFERENCE-COMPONENT-LIBRARY；manifest=assets/art/environments/tower_zones/rooftop/source/reference_components/v002/component_packages_v002/08/plant_large/asset_manifest.json；外墙植物包络不进入阻挡；未导入Godot。</t>
        </is>
      </c>
    </row>
    <row r="128" ht="84" customHeight="1" s="50">
      <c r="A128" s="69" t="inlineStr">
        <is>
          <t>ENV-ROOFTOP-REF-PLANT-SMALL</t>
        </is>
      </c>
      <c r="B128" s="69" t="inlineStr">
        <is>
          <t>小盆栽</t>
        </is>
      </c>
      <c r="C128" s="69" t="inlineStr"/>
      <c r="D128" s="69" t="inlineStr"/>
      <c r="E128" s="69" t="inlineStr">
        <is>
          <t>assets/art/environments/tower_zones/rooftop/source/reference_components/v002/天台区块_参考组件库_v002.blend#小盆栽_资产包</t>
        </is>
      </c>
      <c r="F128" s="69" t="inlineStr">
        <is>
          <t>独立资产包；08_固定绿化</t>
        </is>
      </c>
      <c r="G128" s="69" t="inlineStr"/>
      <c r="H128" s="69" t="inlineStr">
        <is>
          <t>未创建</t>
        </is>
      </c>
      <c r="I128" s="69" t="inlineStr">
        <is>
          <t>独立包运行包装</t>
        </is>
      </c>
      <c r="J128" s="69" t="inlineStr">
        <is>
          <t>未创建</t>
        </is>
      </c>
      <c r="K128" s="69" t="inlineStr">
        <is>
          <t>1.096×1.095×1.482 m</t>
        </is>
      </c>
      <c r="L128" s="69" t="inlineStr">
        <is>
          <t>XY中心/底面0；-Y</t>
        </is>
      </c>
      <c r="M128" s="69" t="inlineStr">
        <is>
          <t>天台参考组件库 / plant_small</t>
        </is>
      </c>
      <c r="N128" s="69" t="inlineStr">
        <is>
          <t>Blender源已完成</t>
        </is>
      </c>
      <c r="O128" s="69" t="inlineStr">
        <is>
          <t>v002</t>
        </is>
      </c>
      <c r="P128" s="69" t="inlineStr">
        <is>
          <t>父库=ENV-ROOFTOP-REFERENCE-COMPONENT-LIBRARY；manifest=assets/art/environments/tower_zones/rooftop/source/reference_components/v002/component_packages_v002/08/plant_small/asset_manifest.json；外墙植物包络不进入阻挡；未导入Godot。</t>
        </is>
      </c>
    </row>
    <row r="129" ht="84" customHeight="1" s="50">
      <c r="A129" s="69" t="inlineStr">
        <is>
          <t>ENV-ROOFTOP-REF-DETAIL-MAT</t>
        </is>
      </c>
      <c r="B129" s="69" t="inlineStr">
        <is>
          <t>编织门垫</t>
        </is>
      </c>
      <c r="C129" s="69" t="inlineStr"/>
      <c r="D129" s="69" t="inlineStr"/>
      <c r="E129" s="69" t="inlineStr">
        <is>
          <t>assets/art/environments/tower_zones/rooftop/source/reference_components/v002/天台区块_参考组件库_v002.blend#编织门垫_资产包</t>
        </is>
      </c>
      <c r="F129" s="69" t="inlineStr">
        <is>
          <t>独立资产包；09_细节附件</t>
        </is>
      </c>
      <c r="G129" s="69" t="inlineStr"/>
      <c r="H129" s="69" t="inlineStr">
        <is>
          <t>未创建</t>
        </is>
      </c>
      <c r="I129" s="69" t="inlineStr">
        <is>
          <t>独立包运行包装</t>
        </is>
      </c>
      <c r="J129" s="69" t="inlineStr">
        <is>
          <t>未创建</t>
        </is>
      </c>
      <c r="K129" s="69" t="inlineStr">
        <is>
          <t>3.000×1.650×0.100 m</t>
        </is>
      </c>
      <c r="L129" s="69" t="inlineStr">
        <is>
          <t>XY中心/底面0；-Y</t>
        </is>
      </c>
      <c r="M129" s="69" t="inlineStr">
        <is>
          <t>天台参考组件库 / detail_mat</t>
        </is>
      </c>
      <c r="N129" s="69" t="inlineStr">
        <is>
          <t>Blender源已完成</t>
        </is>
      </c>
      <c r="O129" s="69" t="inlineStr">
        <is>
          <t>v002</t>
        </is>
      </c>
      <c r="P129" s="69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Height="1" s="50">
      <c r="A130" s="69" t="inlineStr">
        <is>
          <t>ENV-ROOFTOP-REF-DETAIL-DRAIN</t>
        </is>
      </c>
      <c r="B130" s="69" t="inlineStr">
        <is>
          <t>排水格栅</t>
        </is>
      </c>
      <c r="C130" s="69" t="inlineStr"/>
      <c r="D130" s="69" t="inlineStr"/>
      <c r="E130" s="69" t="inlineStr">
        <is>
          <t>assets/art/environments/tower_zones/rooftop/source/reference_components/v002/天台区块_参考组件库_v002.blend#排水格栅_资产包</t>
        </is>
      </c>
      <c r="F130" s="69" t="inlineStr">
        <is>
          <t>独立资产包；09_细节附件</t>
        </is>
      </c>
      <c r="G130" s="69" t="inlineStr"/>
      <c r="H130" s="69" t="inlineStr">
        <is>
          <t>未创建</t>
        </is>
      </c>
      <c r="I130" s="69" t="inlineStr">
        <is>
          <t>独立包运行包装</t>
        </is>
      </c>
      <c r="J130" s="69" t="inlineStr">
        <is>
          <t>未创建</t>
        </is>
      </c>
      <c r="K130" s="69" t="inlineStr">
        <is>
          <t>1.200×1.200×0.200 m</t>
        </is>
      </c>
      <c r="L130" s="69" t="inlineStr">
        <is>
          <t>XY中心/底面0；-Y</t>
        </is>
      </c>
      <c r="M130" s="69" t="inlineStr">
        <is>
          <t>天台参考组件库 / detail_drain</t>
        </is>
      </c>
      <c r="N130" s="69" t="inlineStr">
        <is>
          <t>Blender源已完成</t>
        </is>
      </c>
      <c r="O130" s="69" t="inlineStr">
        <is>
          <t>v002</t>
        </is>
      </c>
      <c r="P130" s="69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Height="1" s="50">
      <c r="A131" s="69" t="inlineStr">
        <is>
          <t>ENV-ROOFTOP-REF-DETAIL-VENT</t>
        </is>
      </c>
      <c r="B131" s="69" t="inlineStr">
        <is>
          <t>墙面通风箱</t>
        </is>
      </c>
      <c r="C131" s="69" t="inlineStr"/>
      <c r="D131" s="69" t="inlineStr"/>
      <c r="E131" s="69" t="inlineStr">
        <is>
          <t>assets/art/environments/tower_zones/rooftop/source/reference_components/v002/天台区块_参考组件库_v002.blend#墙面通风箱_资产包</t>
        </is>
      </c>
      <c r="F131" s="69" t="inlineStr">
        <is>
          <t>独立资产包；09_细节附件</t>
        </is>
      </c>
      <c r="G131" s="69" t="inlineStr"/>
      <c r="H131" s="69" t="inlineStr">
        <is>
          <t>未创建</t>
        </is>
      </c>
      <c r="I131" s="69" t="inlineStr">
        <is>
          <t>独立包运行包装</t>
        </is>
      </c>
      <c r="J131" s="69" t="inlineStr">
        <is>
          <t>未创建</t>
        </is>
      </c>
      <c r="K131" s="69" t="inlineStr">
        <is>
          <t>1.800×0.890×1.440 m</t>
        </is>
      </c>
      <c r="L131" s="69" t="inlineStr">
        <is>
          <t>XY中心/底面0；-Y</t>
        </is>
      </c>
      <c r="M131" s="69" t="inlineStr">
        <is>
          <t>天台参考组件库 / detail_vent</t>
        </is>
      </c>
      <c r="N131" s="69" t="inlineStr">
        <is>
          <t>Blender源已完成</t>
        </is>
      </c>
      <c r="O131" s="69" t="inlineStr">
        <is>
          <t>v002</t>
        </is>
      </c>
      <c r="P131" s="69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Height="1" s="50">
      <c r="A132" s="69" t="inlineStr">
        <is>
          <t>ENV-ROOFTOP-REF-FACADE-SOLID</t>
        </is>
      </c>
      <c r="B132" s="69" t="inlineStr">
        <is>
          <t>标准外墙实墙</t>
        </is>
      </c>
      <c r="C132" s="69" t="inlineStr"/>
      <c r="D132" s="69" t="inlineStr"/>
      <c r="E132" s="69" t="inlineStr">
        <is>
          <t>assets/art/environments/tower_zones/rooftop/source/reference_components/v002/天台区块_参考组件库_v002.blend#标准外墙实墙_资产包</t>
        </is>
      </c>
      <c r="F132" s="69" t="inlineStr">
        <is>
          <t>独立资产包；10_外墙系统</t>
        </is>
      </c>
      <c r="G132" s="69" t="inlineStr"/>
      <c r="H132" s="69" t="inlineStr">
        <is>
          <t>未创建</t>
        </is>
      </c>
      <c r="I132" s="69" t="inlineStr">
        <is>
          <t>独立包运行包装</t>
        </is>
      </c>
      <c r="J132" s="69" t="inlineStr">
        <is>
          <t>未创建</t>
        </is>
      </c>
      <c r="K132" s="69" t="inlineStr">
        <is>
          <t>5.000×0.300×11.900 m</t>
        </is>
      </c>
      <c r="L132" s="69" t="inlineStr">
        <is>
          <t>XY中心/底面0；-Y</t>
        </is>
      </c>
      <c r="M132" s="69" t="inlineStr">
        <is>
          <t>天台参考组件库 / facade_solid</t>
        </is>
      </c>
      <c r="N132" s="69" t="inlineStr">
        <is>
          <t>Blender源已完成</t>
        </is>
      </c>
      <c r="O132" s="69" t="inlineStr">
        <is>
          <t>v002</t>
        </is>
      </c>
      <c r="P132" s="69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</t>
        </is>
      </c>
    </row>
    <row r="133" ht="84" customHeight="1" s="50">
      <c r="A133" s="69" t="inlineStr">
        <is>
          <t>ENV-ROOFTOP-REF-FACADE-WINDOW</t>
        </is>
      </c>
      <c r="B133" s="69" t="inlineStr">
        <is>
          <t>标准外墙窗墙</t>
        </is>
      </c>
      <c r="C133" s="69" t="inlineStr"/>
      <c r="D133" s="69" t="inlineStr"/>
      <c r="E133" s="69" t="inlineStr">
        <is>
          <t>assets/art/environments/tower_zones/rooftop/source/reference_components/v002/天台区块_参考组件库_v002.blend#标准外墙窗墙_资产包</t>
        </is>
      </c>
      <c r="F133" s="69" t="inlineStr">
        <is>
          <t>独立资产包；10_外墙系统</t>
        </is>
      </c>
      <c r="G133" s="69" t="inlineStr"/>
      <c r="H133" s="69" t="inlineStr">
        <is>
          <t>未创建</t>
        </is>
      </c>
      <c r="I133" s="69" t="inlineStr">
        <is>
          <t>独立包运行包装</t>
        </is>
      </c>
      <c r="J133" s="69" t="inlineStr">
        <is>
          <t>未创建</t>
        </is>
      </c>
      <c r="K133" s="69" t="inlineStr">
        <is>
          <t>5.000×0.300×11.900 m</t>
        </is>
      </c>
      <c r="L133" s="69" t="inlineStr">
        <is>
          <t>XY中心/底面0；-Y</t>
        </is>
      </c>
      <c r="M133" s="69" t="inlineStr">
        <is>
          <t>天台参考组件库 / facade_window</t>
        </is>
      </c>
      <c r="N133" s="69" t="inlineStr">
        <is>
          <t>Blender源已完成</t>
        </is>
      </c>
      <c r="O133" s="69" t="inlineStr">
        <is>
          <t>v002</t>
        </is>
      </c>
      <c r="P133" s="69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</t>
        </is>
      </c>
    </row>
    <row r="134" ht="84" customHeight="1" s="50">
      <c r="A134" s="69" t="inlineStr">
        <is>
          <t>ENV-ROOFTOP-REF-PARAPET-OUTER-IVY</t>
        </is>
      </c>
      <c r="B134" s="69" t="inlineStr">
        <is>
          <t>女儿墙外角挂藤</t>
        </is>
      </c>
      <c r="C134" s="69" t="inlineStr"/>
      <c r="D134" s="69" t="inlineStr"/>
      <c r="E134" s="69" t="inlineStr">
        <is>
          <t>assets/art/environments/tower_zones/rooftop/source/reference_components/v002/天台区块_参考组件库_v002.blend#女儿墙外角挂藤_资产包</t>
        </is>
      </c>
      <c r="F134" s="69" t="inlineStr">
        <is>
          <t>独立挂藤墙体变体</t>
        </is>
      </c>
      <c r="G134" s="69" t="inlineStr"/>
      <c r="H134" s="69" t="inlineStr">
        <is>
          <t>未创建</t>
        </is>
      </c>
      <c r="I134" s="69" t="inlineStr">
        <is>
          <t>未来由Godot包装持有</t>
        </is>
      </c>
      <c r="J134" s="69" t="inlineStr">
        <is>
          <t>未创建</t>
        </is>
      </c>
      <c r="K134" s="69" t="inlineStr">
        <is>
          <t>2.917×3.015×1.997 m</t>
        </is>
      </c>
      <c r="L134" s="69" t="inlineStr">
        <is>
          <t>XY中心/底面0；-Y</t>
        </is>
      </c>
      <c r="M134" s="69" t="inlineStr">
        <is>
          <t>天台参考组件库 / parapet_outer_ivy</t>
        </is>
      </c>
      <c r="N134" s="69" t="inlineStr">
        <is>
          <t>Blender源已完成</t>
        </is>
      </c>
      <c r="O134" s="69" t="inlineStr">
        <is>
          <t>v002</t>
        </is>
      </c>
      <c r="P134" s="69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100" customHeight="1" s="50">
      <c r="A135" s="69" t="inlineStr">
        <is>
          <t>ENV-ROOFTOP-REF-PARAPET-INNER-IVY</t>
        </is>
      </c>
      <c r="B135" s="69" t="inlineStr">
        <is>
          <t>女儿墙内角挂藤</t>
        </is>
      </c>
      <c r="C135" s="69" t="inlineStr"/>
      <c r="D135" s="69" t="inlineStr"/>
      <c r="E135" s="69" t="inlineStr">
        <is>
          <t>assets/art/environments/tower_zones/rooftop/source/reference_components/v002/天台区块_参考组件库_v002.blend#女儿墙内角挂藤_资产包</t>
        </is>
      </c>
      <c r="F135" s="69" t="inlineStr">
        <is>
          <t>独立挂藤墙体变体</t>
        </is>
      </c>
      <c r="G135" s="69" t="inlineStr"/>
      <c r="H135" s="69" t="inlineStr">
        <is>
          <t>未创建</t>
        </is>
      </c>
      <c r="I135" s="69" t="inlineStr">
        <is>
          <t>未来由Godot包装持有</t>
        </is>
      </c>
      <c r="J135" s="69" t="inlineStr">
        <is>
          <t>未创建</t>
        </is>
      </c>
      <c r="K135" s="69" t="inlineStr">
        <is>
          <t>2.956×2.908×2.006 m</t>
        </is>
      </c>
      <c r="L135" s="69" t="inlineStr">
        <is>
          <t>XY中心/底面0；-Y</t>
        </is>
      </c>
      <c r="M135" s="69" t="inlineStr">
        <is>
          <t>天台参考组件库 / parapet_inner_ivy</t>
        </is>
      </c>
      <c r="N135" s="69" t="inlineStr">
        <is>
          <t>Blender源已完成</t>
        </is>
      </c>
      <c r="O135" s="69" t="inlineStr">
        <is>
          <t>v002</t>
        </is>
      </c>
      <c r="P135" s="69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100" customHeight="1" s="50">
      <c r="A136" s="69" t="inlineStr">
        <is>
          <t>ENV-ROOFTOP-REF-ROOM-WALL-IVY</t>
        </is>
      </c>
      <c r="B136" s="69" t="inlineStr">
        <is>
          <t>房间实墙挂藤</t>
        </is>
      </c>
      <c r="C136" s="69" t="inlineStr"/>
      <c r="D136" s="69" t="inlineStr"/>
      <c r="E136" s="69" t="inlineStr">
        <is>
          <t>assets/art/environments/tower_zones/rooftop/source/reference_components/v002/天台区块_参考组件库_v002.blend#房间实墙挂藤_资产包</t>
        </is>
      </c>
      <c r="F136" s="69" t="inlineStr">
        <is>
          <t>独立挂藤墙体变体</t>
        </is>
      </c>
      <c r="G136" s="69" t="inlineStr"/>
      <c r="H136" s="69" t="inlineStr">
        <is>
          <t>未创建</t>
        </is>
      </c>
      <c r="I136" s="69" t="inlineStr">
        <is>
          <t>未来由Godot包装持有</t>
        </is>
      </c>
      <c r="J136" s="69" t="inlineStr">
        <is>
          <t>未创建</t>
        </is>
      </c>
      <c r="K136" s="69" t="inlineStr">
        <is>
          <t>5.141×0.820×12.013 m</t>
        </is>
      </c>
      <c r="L136" s="69" t="inlineStr">
        <is>
          <t>XY中心/底面0；-Y</t>
        </is>
      </c>
      <c r="M136" s="69" t="inlineStr">
        <is>
          <t>天台参考组件库 / room_wall_ivy</t>
        </is>
      </c>
      <c r="N136" s="69" t="inlineStr">
        <is>
          <t>Blender源已完成</t>
        </is>
      </c>
      <c r="O136" s="69" t="inlineStr">
        <is>
          <t>v002</t>
        </is>
      </c>
      <c r="P136" s="69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</t>
        </is>
      </c>
    </row>
    <row r="137" ht="100" customHeight="1" s="50">
      <c r="A137" s="69" t="inlineStr">
        <is>
          <t>ENV-ROOFTOP-REF-ROOM-WINDOW-IVY</t>
        </is>
      </c>
      <c r="B137" s="69" t="inlineStr">
        <is>
          <t>房间窗墙挂藤</t>
        </is>
      </c>
      <c r="C137" s="69" t="inlineStr"/>
      <c r="D137" s="69" t="inlineStr"/>
      <c r="E137" s="69" t="inlineStr">
        <is>
          <t>assets/art/environments/tower_zones/rooftop/source/reference_components/v002/天台区块_参考组件库_v002.blend#房间窗墙挂藤_资产包</t>
        </is>
      </c>
      <c r="F137" s="69" t="inlineStr">
        <is>
          <t>独立挂藤墙体变体</t>
        </is>
      </c>
      <c r="G137" s="69" t="inlineStr"/>
      <c r="H137" s="69" t="inlineStr">
        <is>
          <t>未创建</t>
        </is>
      </c>
      <c r="I137" s="69" t="inlineStr">
        <is>
          <t>未来由Godot包装持有</t>
        </is>
      </c>
      <c r="J137" s="69" t="inlineStr">
        <is>
          <t>未创建</t>
        </is>
      </c>
      <c r="K137" s="69" t="inlineStr">
        <is>
          <t>5.000×0.770×12.018 m</t>
        </is>
      </c>
      <c r="L137" s="69" t="inlineStr">
        <is>
          <t>XY中心/底面0；-Y</t>
        </is>
      </c>
      <c r="M137" s="69" t="inlineStr">
        <is>
          <t>天台参考组件库 / room_window_ivy</t>
        </is>
      </c>
      <c r="N137" s="69" t="inlineStr">
        <is>
          <t>Blender源已完成</t>
        </is>
      </c>
      <c r="O137" s="69" t="inlineStr">
        <is>
          <t>v002</t>
        </is>
      </c>
      <c r="P137" s="69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</t>
        </is>
      </c>
    </row>
    <row r="138" ht="100" customHeight="1" s="50">
      <c r="A138" s="69" t="inlineStr">
        <is>
          <t>ENV-ROOFTOP-REF-ROOM-DOORWALL-IVY</t>
        </is>
      </c>
      <c r="B138" s="69" t="inlineStr">
        <is>
          <t>房间门洞墙挂藤</t>
        </is>
      </c>
      <c r="C138" s="69" t="inlineStr"/>
      <c r="D138" s="69" t="inlineStr"/>
      <c r="E138" s="69" t="inlineStr">
        <is>
          <t>assets/art/environments/tower_zones/rooftop/source/reference_components/v002/天台区块_参考组件库_v002.blend#房间门洞墙挂藤_资产包</t>
        </is>
      </c>
      <c r="F138" s="69" t="inlineStr">
        <is>
          <t>独立挂藤墙体变体</t>
        </is>
      </c>
      <c r="G138" s="69" t="inlineStr"/>
      <c r="H138" s="69" t="inlineStr">
        <is>
          <t>未创建</t>
        </is>
      </c>
      <c r="I138" s="69" t="inlineStr">
        <is>
          <t>未来由Godot包装持有</t>
        </is>
      </c>
      <c r="J138" s="69" t="inlineStr">
        <is>
          <t>未创建</t>
        </is>
      </c>
      <c r="K138" s="69" t="inlineStr">
        <is>
          <t>5.214×0.811×12.012 m</t>
        </is>
      </c>
      <c r="L138" s="69" t="inlineStr">
        <is>
          <t>XY中心/底面0；-Y</t>
        </is>
      </c>
      <c r="M138" s="69" t="inlineStr">
        <is>
          <t>天台参考组件库 / room_doorwall_ivy</t>
        </is>
      </c>
      <c r="N138" s="69" t="inlineStr">
        <is>
          <t>Blender源已完成</t>
        </is>
      </c>
      <c r="O138" s="69" t="inlineStr">
        <is>
          <t>v002</t>
        </is>
      </c>
      <c r="P138" s="69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</t>
        </is>
      </c>
    </row>
    <row r="139" ht="100" customHeight="1" s="50">
      <c r="A139" s="69" t="inlineStr">
        <is>
          <t>ENV-ROOFTOP-REF-FACADE-SOLID-IVY</t>
        </is>
      </c>
      <c r="B139" s="69" t="inlineStr">
        <is>
          <t>标准外墙实墙挂藤</t>
        </is>
      </c>
      <c r="C139" s="69" t="inlineStr"/>
      <c r="D139" s="69" t="inlineStr"/>
      <c r="E139" s="69" t="inlineStr">
        <is>
          <t>assets/art/environments/tower_zones/rooftop/source/reference_components/v002/天台区块_参考组件库_v002.blend#标准外墙实墙挂藤_资产包</t>
        </is>
      </c>
      <c r="F139" s="69" t="inlineStr">
        <is>
          <t>独立挂藤墙体变体</t>
        </is>
      </c>
      <c r="G139" s="69" t="inlineStr"/>
      <c r="H139" s="69" t="inlineStr">
        <is>
          <t>未创建</t>
        </is>
      </c>
      <c r="I139" s="69" t="inlineStr">
        <is>
          <t>未来由Godot包装持有</t>
        </is>
      </c>
      <c r="J139" s="69" t="inlineStr">
        <is>
          <t>未创建</t>
        </is>
      </c>
      <c r="K139" s="69" t="inlineStr">
        <is>
          <t>5.000×0.807×12.007 m</t>
        </is>
      </c>
      <c r="L139" s="69" t="inlineStr">
        <is>
          <t>XY中心/底面0；-Y</t>
        </is>
      </c>
      <c r="M139" s="69" t="inlineStr">
        <is>
          <t>天台参考组件库 / facade_solid_ivy</t>
        </is>
      </c>
      <c r="N139" s="69" t="inlineStr">
        <is>
          <t>Blender源已完成</t>
        </is>
      </c>
      <c r="O139" s="69" t="inlineStr">
        <is>
          <t>v002</t>
        </is>
      </c>
      <c r="P139" s="69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100" customHeight="1" s="50">
      <c r="A140" s="69" t="inlineStr">
        <is>
          <t>ENV-ROOFTOP-REF-FACADE-WINDOW-IVY</t>
        </is>
      </c>
      <c r="B140" s="69" t="inlineStr">
        <is>
          <t>标准外墙窗墙挂藤</t>
        </is>
      </c>
      <c r="C140" s="69" t="inlineStr"/>
      <c r="D140" s="69" t="inlineStr"/>
      <c r="E140" s="69" t="inlineStr">
        <is>
          <t>assets/art/environments/tower_zones/rooftop/source/reference_components/v002/天台区块_参考组件库_v002.blend#标准外墙窗墙挂藤_资产包</t>
        </is>
      </c>
      <c r="F140" s="69" t="inlineStr">
        <is>
          <t>独立挂藤墙体变体</t>
        </is>
      </c>
      <c r="G140" s="69" t="inlineStr"/>
      <c r="H140" s="69" t="inlineStr">
        <is>
          <t>未创建</t>
        </is>
      </c>
      <c r="I140" s="69" t="inlineStr">
        <is>
          <t>未来由Godot包装持有</t>
        </is>
      </c>
      <c r="J140" s="69" t="inlineStr">
        <is>
          <t>未创建</t>
        </is>
      </c>
      <c r="K140" s="69" t="inlineStr">
        <is>
          <t>5.067×0.802×12.015 m</t>
        </is>
      </c>
      <c r="L140" s="69" t="inlineStr">
        <is>
          <t>XY中心/底面0；-Y</t>
        </is>
      </c>
      <c r="M140" s="69" t="inlineStr">
        <is>
          <t>天台参考组件库 / facade_window_ivy</t>
        </is>
      </c>
      <c r="N140" s="69" t="inlineStr">
        <is>
          <t>Blender源已完成</t>
        </is>
      </c>
      <c r="O140" s="69" t="inlineStr">
        <is>
          <t>v002</t>
        </is>
      </c>
      <c r="P140" s="69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100" customHeight="1" s="50"/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设施组件 3D Prefab</t>
        </is>
      </c>
    </row>
    <row r="2" ht="34" customHeight="1" s="50">
      <c r="A2" s="82" t="inlineStr">
        <is>
          <t>门扇、终端、工作台、储物与服务设施；设施模型统一引用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PRP-BASE-FACILITY-3D</t>
        </is>
      </c>
      <c r="B5" s="87" t="inlineStr">
        <is>
          <t>基地设施3D通用模块</t>
        </is>
      </c>
      <c r="C5" s="87" t="inlineStr">
        <is>
          <t>assets/art/props/base_world_3d/prp_base_facility_root_top3d_v001.tscn</t>
        </is>
      </c>
      <c r="D5" s="87" t="inlineStr"/>
      <c r="E5" s="87" t="inlineStr"/>
      <c r="F5" s="87" t="inlineStr">
        <is>
          <t>设施或交互Prefab；保留自身脚本、碰撞和状态接口</t>
        </is>
      </c>
      <c r="G5" s="87" t="inlineStr">
        <is>
          <t>src/base3d/BaseFacility3D.gd</t>
        </is>
      </c>
      <c r="H5" s="87" t="inlineStr">
        <is>
          <t>开</t>
        </is>
      </c>
      <c r="I5" s="87" t="inlineStr">
        <is>
          <t>Prefab自身</t>
        </is>
      </c>
      <c r="J5" s="87" t="inlineStr">
        <is>
          <t>BoxShape3D</t>
        </is>
      </c>
      <c r="K5" s="87" t="inlineStr">
        <is>
          <t>PackedScene/材质变体/名称与实时摘要共用Label3D</t>
        </is>
      </c>
      <c r="L5" s="87" t="inlineStr">
        <is>
          <t>未声明</t>
        </is>
      </c>
      <c r="M5" s="87" t="inlineStr">
        <is>
          <t>8类基地设施/统一状态牌</t>
        </is>
      </c>
      <c r="N5" s="87" t="inlineStr">
        <is>
          <t>原型已接入</t>
        </is>
      </c>
      <c r="O5" s="87" t="inlineStr">
        <is>
          <t>v001</t>
        </is>
      </c>
      <c r="P5" s="88" t="inlineStr">
        <is>
          <t>根节点=BaseFacility3D(Area3D)</t>
        </is>
      </c>
    </row>
    <row r="6" ht="66" customHeight="1" s="50">
      <c r="A6" s="89" t="inlineStr">
        <is>
          <t>PRP-BASE-VENDING-MACHINE-3D</t>
        </is>
      </c>
      <c r="B6" s="90" t="inlineStr">
        <is>
          <t>基地科幻自动贩卖机</t>
        </is>
      </c>
      <c r="C6" s="90" t="inlineStr">
        <is>
          <t>assets/art/props/base_world_3d/prp_base_vending_machine_root_top3d_v001.tscn</t>
        </is>
      </c>
      <c r="D6" s="90" t="inlineStr"/>
      <c r="E6" s="90" t="inlineStr">
        <is>
          <t>assets/art/props/base_world_3d/source/vending_machine/prp_base_vending_machine_source_v001.blend</t>
        </is>
      </c>
      <c r="F6" s="90" t="inlineStr">
        <is>
          <t>设施或交互Prefab；保留自身脚本、碰撞和状态接口</t>
        </is>
      </c>
      <c r="G6" s="90" t="inlineStr">
        <is>
          <t>src/base3d/BaseFacility3D.gd</t>
        </is>
      </c>
      <c r="H6" s="90" t="inlineStr">
        <is>
          <t>开</t>
        </is>
      </c>
      <c r="I6" s="90" t="inlineStr">
        <is>
          <t>Prefab自身</t>
        </is>
      </c>
      <c r="J6" s="90" t="inlineStr">
        <is>
          <t>BoxShape3D</t>
        </is>
      </c>
      <c r="K6" s="90" t="inlineStr">
        <is>
          <t>4材质；主体/自发光分离；独立GLB/PackedScene</t>
        </is>
      </c>
      <c r="L6" s="90" t="inlineStr">
        <is>
          <t>未声明</t>
        </is>
      </c>
      <c r="M6" s="90" t="inlineStr">
        <is>
          <t>BaseWorld3D/TowerDescent99F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Height="1" s="50">
      <c r="A7" s="89" t="inlineStr">
        <is>
          <t>PRP-DUNGEON-GATE-3D</t>
        </is>
      </c>
      <c r="B7" s="90" t="inlineStr">
        <is>
          <t>地下城入口3D模块</t>
        </is>
      </c>
      <c r="C7" s="90" t="inlineStr">
        <is>
          <t>assets/art/props/base_world_3d/prp_dungeon_gate_root_top3d_v001.tscn</t>
        </is>
      </c>
      <c r="D7" s="90" t="inlineStr"/>
      <c r="E7" s="90" t="inlineStr"/>
      <c r="F7" s="90" t="inlineStr">
        <is>
          <t>设施或交互Prefab；保留自身脚本、碰撞和状态接口</t>
        </is>
      </c>
      <c r="G7" s="90" t="inlineStr">
        <is>
          <t>src/base3d/DungeonEntrance3D.gd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BoxShape3D</t>
        </is>
      </c>
      <c r="K7" s="90" t="inlineStr">
        <is>
          <t>PackedScene/材质变体</t>
        </is>
      </c>
      <c r="L7" s="90" t="inlineStr">
        <is>
          <t>未声明</t>
        </is>
      </c>
      <c r="M7" s="90" t="inlineStr">
        <is>
          <t>4个地下城入口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根节点=DungeonEntrance3D(Area3D)</t>
        </is>
      </c>
    </row>
    <row r="8" ht="66" customHeight="1" s="50">
      <c r="A8" s="89" t="inlineStr">
        <is>
          <t>PRP-BASE-LOCKER-STATION-3D</t>
        </is>
      </c>
      <c r="B8" s="90" t="inlineStr">
        <is>
          <t>赛博储物站</t>
        </is>
      </c>
      <c r="C8" s="90" t="inlineStr">
        <is>
          <t>assets/art/props/base_world_3d/runtime/locker_station/prp_base_locker_station_root_top3d_v001.tscn</t>
        </is>
      </c>
      <c r="D8" s="90" t="inlineStr">
        <is>
          <t>assets/art/props/base_world_3d/components/locker_station/prp_base_locker_station_visual_top3d_v004.glb</t>
        </is>
      </c>
      <c r="E8" s="90" t="inlineStr">
        <is>
          <t>assets/art/props/base_world_3d/source/locker_station/prp_base_locker_station_source_v004.blend</t>
        </is>
      </c>
      <c r="F8" s="90" t="inlineStr">
        <is>
          <t>设施或交互Prefab；保留自身脚本、碰撞和状态接口</t>
        </is>
      </c>
      <c r="G8" s="90" t="inlineStr">
        <is>
          <t>src/base3d/BaseFacility3D.gd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BoxShape3D</t>
        </is>
      </c>
      <c r="K8" s="90" t="inlineStr">
        <is>
          <t>4材质；主体/自发光分离；独立GLB/PackedScene</t>
        </is>
      </c>
      <c r="L8" s="90" t="inlineStr">
        <is>
          <t>-Z</t>
        </is>
      </c>
      <c r="M8" s="90" t="inlineStr">
        <is>
          <t>基地99层/保险柜设施</t>
        </is>
      </c>
      <c r="N8" s="90" t="inlineStr">
        <is>
          <t>正式美术已接入</t>
        </is>
      </c>
      <c r="O8" s="90" t="inlineStr">
        <is>
          <t>v004</t>
        </is>
      </c>
      <c r="P8" s="91" t="inlineStr">
        <is>
          <t>根节点=赛博储物站(Area3D)</t>
        </is>
      </c>
    </row>
    <row r="9" ht="66" customHeight="1" s="50">
      <c r="A9" s="89" t="inlineStr">
        <is>
          <t>PRP-BASE-BRIEFING</t>
        </is>
      </c>
      <c r="B9" s="90" t="inlineStr">
        <is>
          <t>远征情报终端 / 战术情报指挥桌</t>
        </is>
      </c>
      <c r="C9" s="90" t="inlineStr">
        <is>
          <t>assets/art/props/base_world_3d/runtime/mission_operations/prp_base_mission_operations_root_top3d_v001.tscn</t>
        </is>
      </c>
      <c r="D9" s="90" t="inlineStr">
        <is>
          <t>assets/art/props/base_world_3d/components/mission_operations/prp_base_mission_operations_visual_top3d_v005.glb</t>
        </is>
      </c>
      <c r="E9" s="90" t="inlineStr">
        <is>
          <t>assets/art/props/base_world_3d/source/mission_operations/prp_base_mission_operations_source_v003.blend</t>
        </is>
      </c>
      <c r="F9" s="90" t="inlineStr">
        <is>
          <t>设施或交互Prefab；保留自身脚本、碰撞和状态接口</t>
        </is>
      </c>
      <c r="G9" s="90" t="inlineStr">
        <is>
          <t>src/base3d/BaseFacility3D.gd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BoxShape3D</t>
        </is>
      </c>
      <c r="K9" s="90" t="inlineStr">
        <is>
          <t>4材质；主体/自发光分离；独立GLB/PackedScene</t>
        </is>
      </c>
      <c r="L9" s="90" t="inlineStr">
        <is>
          <t>-Z</t>
        </is>
      </c>
      <c r="M9" s="90" t="inlineStr">
        <is>
          <t>BaseWorld3D/TowerDescent99F</t>
        </is>
      </c>
      <c r="N9" s="90" t="inlineStr">
        <is>
          <t>正式美术已接入</t>
        </is>
      </c>
      <c r="O9" s="90" t="inlineStr">
        <is>
          <t>v003</t>
        </is>
      </c>
      <c r="P9" s="91" t="inlineStr">
        <is>
          <t>根节点=远征情报终端(Area3D)</t>
        </is>
      </c>
    </row>
    <row r="10" ht="66" customHeight="1" s="50">
      <c r="A10" s="89" t="inlineStr">
        <is>
          <t>PRP-BASE-RETRO-TV-STATION-3D</t>
        </is>
      </c>
      <c r="B10" s="90" t="inlineStr">
        <is>
          <t>复古游戏电视站</t>
        </is>
      </c>
      <c r="C10" s="90" t="inlineStr">
        <is>
          <t>assets/art/props/base_world_3d/runtime/retro_tv_station/prp_base_retro_tv_station_root_top3d_v001.tscn</t>
        </is>
      </c>
      <c r="D10" s="90" t="inlineStr">
        <is>
          <t>assets/art/props/base_world_3d/components/retro_tv_station/prp_base_retro_tv_station_visual_top3d_v004.glb</t>
        </is>
      </c>
      <c r="E10" s="90" t="inlineStr">
        <is>
          <t>assets/art/props/base_world_3d/source/retro_tv_station/prp_base_retro_tv_station_source_v004.blend</t>
        </is>
      </c>
      <c r="F10" s="90" t="inlineStr">
        <is>
          <t>设施或交互Prefab；保留自身脚本、碰撞和状态接口</t>
        </is>
      </c>
      <c r="G10" s="90" t="inlineStr">
        <is>
          <t>src/base3d/BaseFacility3D.gd</t>
        </is>
      </c>
      <c r="H10" s="90" t="inlineStr">
        <is>
          <t>开</t>
        </is>
      </c>
      <c r="I10" s="90" t="inlineStr">
        <is>
          <t>Prefab自身</t>
        </is>
      </c>
      <c r="J10" s="90" t="inlineStr">
        <is>
          <t>BoxShape3D</t>
        </is>
      </c>
      <c r="K10" s="90" t="inlineStr">
        <is>
          <t>4材质；主体/自发光分离；独立GLB/PackedScene</t>
        </is>
      </c>
      <c r="L10" s="90" t="inlineStr">
        <is>
          <t>-Z</t>
        </is>
      </c>
      <c r="M10" s="90" t="inlineStr">
        <is>
          <t>基地99层/命运卡收藏室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根节点=复古游戏电视站(Area3D)</t>
        </is>
      </c>
    </row>
    <row r="11" ht="66" customHeight="1" s="50">
      <c r="A11" s="89" t="inlineStr">
        <is>
          <t>PRP-BASE-VENDING-MACHINE-3D</t>
        </is>
      </c>
      <c r="B11" s="90" t="inlineStr">
        <is>
          <t>基地科幻自动贩卖机</t>
        </is>
      </c>
      <c r="C11" s="90" t="inlineStr">
        <is>
          <t>assets/art/props/base_world_3d/runtime/vending_machine/prp_base_vending_machine_root_top3d_v002.tscn</t>
        </is>
      </c>
      <c r="D11" s="90" t="inlineStr">
        <is>
          <t>assets/art/props/base_world_3d/components/vending_machine/prp_base_vending_machine_visual_top3d_v003.glb</t>
        </is>
      </c>
      <c r="E11" s="90" t="inlineStr">
        <is>
          <t>assets/art/props/base_world_3d/source/vending_machine/prp_base_vending_machine_source_v001.blend</t>
        </is>
      </c>
      <c r="F11" s="90" t="inlineStr">
        <is>
          <t>设施或交互Prefab；保留自身脚本、碰撞和状态接口</t>
        </is>
      </c>
      <c r="G11" s="90" t="inlineStr">
        <is>
          <t>src/base3d/BaseFacility3D.gd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4材质；主体/自发光分离；独立GLB/PackedScene</t>
        </is>
      </c>
      <c r="L11" s="90" t="inlineStr">
        <is>
          <t>-Z</t>
        </is>
      </c>
      <c r="M11" s="90" t="inlineStr">
        <is>
          <t>BaseWorld3D/TowerDescent99F</t>
        </is>
      </c>
      <c r="N11" s="90" t="inlineStr">
        <is>
          <t>正式美术已接入</t>
        </is>
      </c>
      <c r="O11" s="90" t="inlineStr">
        <is>
          <t>v002</t>
        </is>
      </c>
      <c r="P11" s="91" t="inlineStr">
        <is>
          <t>根节点=自动贩卖机(Area3D)</t>
        </is>
      </c>
    </row>
    <row r="12" ht="66" customHeight="1" s="50">
      <c r="A12" s="89" t="inlineStr">
        <is>
          <t>PRP-BASE-WORKSHOP</t>
        </is>
      </c>
      <c r="B12" s="90" t="inlineStr">
        <is>
          <t>枪械工坊 / 赛博维修工作台</t>
        </is>
      </c>
      <c r="C12" s="90" t="inlineStr">
        <is>
          <t>assets/art/props/base_world_3d/runtime/weapon_workshop/prp_base_weapon_workshop_root_top3d_v001.tscn</t>
        </is>
      </c>
      <c r="D12" s="90" t="inlineStr">
        <is>
          <t>assets/art/props/base_world_3d/components/weapon_workshop/prp_base_weapon_workshop_visual_top3d_v005.glb</t>
        </is>
      </c>
      <c r="E12" s="90" t="inlineStr">
        <is>
          <t>assets/art/props/base_world_3d/source/weapon_workshop/prp_base_weapon_workshop_source_v003.blend</t>
        </is>
      </c>
      <c r="F12" s="90" t="inlineStr">
        <is>
          <t>设施或交互Prefab；保留自身脚本、碰撞和状态接口</t>
        </is>
      </c>
      <c r="G12" s="90" t="inlineStr">
        <is>
          <t>src/base3d/BaseFacility3D.gd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4材质；主体/自发光分离；独立GLB/PackedScene</t>
        </is>
      </c>
      <c r="L12" s="90" t="inlineStr">
        <is>
          <t>-Z</t>
        </is>
      </c>
      <c r="M12" s="90" t="inlineStr">
        <is>
          <t>BaseWorld3D/TowerDescent99F</t>
        </is>
      </c>
      <c r="N12" s="90" t="inlineStr">
        <is>
          <t>正式美术已接入</t>
        </is>
      </c>
      <c r="O12" s="90" t="inlineStr">
        <is>
          <t>v003</t>
        </is>
      </c>
      <c r="P12" s="91" t="inlineStr">
        <is>
          <t>根节点=枪械工坊(Area3D)</t>
        </is>
      </c>
    </row>
    <row r="13" ht="66" customHeight="1" s="50">
      <c r="A13" s="89" t="inlineStr">
        <is>
          <t>PRP-BASE-FACILITY-LIGHT-GRID-3D</t>
        </is>
      </c>
      <c r="B13" s="90" t="inlineStr">
        <is>
          <t>基地设施灯光网格</t>
        </is>
      </c>
      <c r="C13" s="90" t="inlineStr">
        <is>
          <t>assets/art/props/dungeon_3d/prp_base_facility_light_grid_root_top3d_v001.tscn</t>
        </is>
      </c>
      <c r="D13" s="90" t="inlineStr"/>
      <c r="E13" s="90" t="inlineStr"/>
      <c r="F13" s="90" t="inlineStr">
        <is>
          <t>设施或交互Prefab；保留自身脚本、碰撞和状态接口</t>
        </is>
      </c>
      <c r="G13" s="90" t="inlineStr"/>
      <c r="H13" s="90" t="inlineStr">
        <is>
          <t>无</t>
        </is>
      </c>
      <c r="I13" s="90" t="inlineStr">
        <is>
          <t>无</t>
        </is>
      </c>
      <c r="J13" s="90" t="inlineStr">
        <is>
          <t>无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设施组件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根节点=BaseFacilityLightGrid(Node3D)；子Prefab=1；2026-08-18扫描补登记资产主表</t>
        </is>
      </c>
    </row>
    <row r="14" ht="66" customHeight="1" s="50">
      <c r="A14" s="89" t="inlineStr">
        <is>
          <t>PRP-EXTRACTION-BEACON-3D</t>
        </is>
      </c>
      <c r="B14" s="90" t="inlineStr">
        <is>
          <t>撤离信标3D模块</t>
        </is>
      </c>
      <c r="C14" s="90" t="inlineStr">
        <is>
          <t>assets/art/props/dungeon_3d/prp_extraction_beacon_root_top3d_v001.tscn</t>
        </is>
      </c>
      <c r="D14" s="90" t="inlineStr"/>
      <c r="E14" s="90" t="inlineStr"/>
      <c r="F14" s="90" t="inlineStr">
        <is>
          <t>设施或交互Prefab；保留自身脚本、碰撞和状态接口</t>
        </is>
      </c>
      <c r="G14" s="90" t="inlineStr">
        <is>
          <t>src/world3d/ExtractionBeacon3D.gd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脚本生成</t>
        </is>
      </c>
      <c r="K14" s="90" t="inlineStr">
        <is>
          <t>PackedScene/程序组件</t>
        </is>
      </c>
      <c r="L14" s="90" t="inlineStr">
        <is>
          <t>未声明</t>
        </is>
      </c>
      <c r="M14" s="90" t="inlineStr">
        <is>
          <t>四主题撤离房</t>
        </is>
      </c>
      <c r="N14" s="90" t="inlineStr">
        <is>
          <t>原型已接入</t>
        </is>
      </c>
      <c r="O14" s="90" t="inlineStr">
        <is>
          <t>v001</t>
        </is>
      </c>
      <c r="P14" s="91" t="inlineStr">
        <is>
          <t>根节点=ExtractionBeacon3D(Area3D)</t>
        </is>
      </c>
    </row>
    <row r="15" ht="66" customHeight="1" s="50">
      <c r="A15" s="89" t="inlineStr">
        <is>
          <t>PRP-ROOM-LIGHT-SWITCH-3D</t>
        </is>
      </c>
      <c r="B15" s="90" t="inlineStr">
        <is>
          <t>房间中央灯墙面开关3D</t>
        </is>
      </c>
      <c r="C15" s="90" t="inlineStr">
        <is>
          <t>assets/art/props/dungeon_3d/prp_room_light_switch_root_top3d_v001.tscn</t>
        </is>
      </c>
      <c r="D15" s="90" t="inlineStr"/>
      <c r="E15" s="90" t="inlineStr"/>
      <c r="F15" s="90" t="inlineStr">
        <is>
          <t>设施或交互Prefab；保留自身脚本、碰撞和状态接口</t>
        </is>
      </c>
      <c r="G15" s="90" t="inlineStr">
        <is>
          <t>src/world3d/RoomLightSwitch3D.gd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脚本生成</t>
        </is>
      </c>
      <c r="K15" s="90" t="inlineStr">
        <is>
          <t>PackedScene/Area3D</t>
        </is>
      </c>
      <c r="L15" s="90" t="inlineStr">
        <is>
          <t>未声明</t>
        </is>
      </c>
      <c r="M15" s="90" t="inlineStr">
        <is>
          <t>随机关卡房间/四主题复用</t>
        </is>
      </c>
      <c r="N15" s="90" t="inlineStr">
        <is>
          <t>原型已接入</t>
        </is>
      </c>
      <c r="O15" s="90" t="inlineStr">
        <is>
          <t>v001</t>
        </is>
      </c>
      <c r="P15" s="91" t="inlineStr">
        <is>
          <t>根节点=RoomLightSwitch3D(Area3D)</t>
        </is>
      </c>
    </row>
    <row r="16" ht="66" customHeight="1" s="50">
      <c r="A16" s="89" t="inlineStr">
        <is>
          <t>PRP-SEARCH-CONTAINER-3D</t>
        </is>
      </c>
      <c r="B16" s="90" t="inlineStr">
        <is>
          <t>可搜索容器3D通用模块</t>
        </is>
      </c>
      <c r="C16" s="90" t="inlineStr">
        <is>
          <t>assets/art/props/dungeon_3d/prp_search_container_root_top3d_v001.tscn</t>
        </is>
      </c>
      <c r="D16" s="90" t="inlineStr"/>
      <c r="E16" s="90" t="inlineStr"/>
      <c r="F16" s="90" t="inlineStr">
        <is>
          <t>设施或交互Prefab；保留自身脚本、碰撞和状态接口</t>
        </is>
      </c>
      <c r="G16" s="90" t="inlineStr">
        <is>
          <t>src/world3d/RoomFurniture3D.gd</t>
        </is>
      </c>
      <c r="H16" s="90" t="inlineStr">
        <is>
          <t>开</t>
        </is>
      </c>
      <c r="I16" s="90" t="inlineStr">
        <is>
          <t>Prefab自身</t>
        </is>
      </c>
      <c r="J16" s="90" t="inlineStr">
        <is>
          <t>脚本生成</t>
        </is>
      </c>
      <c r="K16" s="90" t="inlineStr">
        <is>
          <t>PackedScene/搜索状态</t>
        </is>
      </c>
      <c r="L16" s="90" t="inlineStr">
        <is>
          <t>未声明</t>
        </is>
      </c>
      <c r="M16" s="90" t="inlineStr">
        <is>
          <t>搜索房/仓储/事件</t>
        </is>
      </c>
      <c r="N16" s="90" t="inlineStr">
        <is>
          <t>原型已接入</t>
        </is>
      </c>
      <c r="O16" s="90" t="inlineStr">
        <is>
          <t>v001</t>
        </is>
      </c>
      <c r="P16" s="91" t="inlineStr">
        <is>
          <t>根节点=SearchContainer3D(Area3D)</t>
        </is>
      </c>
    </row>
    <row r="17" ht="66" customHeight="1" s="50">
      <c r="A17" s="89" t="inlineStr">
        <is>
          <t>PRP-SERVICE-STATION-3D</t>
        </is>
      </c>
      <c r="B17" s="90" t="inlineStr">
        <is>
          <t>废土服务终端3D模块</t>
        </is>
      </c>
      <c r="C17" s="90" t="inlineStr">
        <is>
          <t>assets/art/props/dungeon_3d/prp_service_station_root_top3d_v001.tscn</t>
        </is>
      </c>
      <c r="D17" s="90" t="inlineStr"/>
      <c r="E17" s="90" t="inlineStr"/>
      <c r="F17" s="90" t="inlineStr">
        <is>
          <t>设施或交互Prefab；保留自身脚本、碰撞和状态接口</t>
        </is>
      </c>
      <c r="G17" s="90" t="inlineStr">
        <is>
          <t>src/world3d/ServiceStation3D.gd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脚本生成</t>
        </is>
      </c>
      <c r="K17" s="90" t="inlineStr">
        <is>
          <t>PackedScene/程序组件</t>
        </is>
      </c>
      <c r="L17" s="90" t="inlineStr">
        <is>
          <t>未声明</t>
        </is>
      </c>
      <c r="M17" s="90" t="inlineStr">
        <is>
          <t>商店/升级/事件/重置</t>
        </is>
      </c>
      <c r="N17" s="90" t="inlineStr">
        <is>
          <t>原型已接入</t>
        </is>
      </c>
      <c r="O17" s="90" t="inlineStr">
        <is>
          <t>v001</t>
        </is>
      </c>
      <c r="P17" s="91" t="inlineStr">
        <is>
          <t>根节点=ServiceStation3D(Area3D)</t>
        </is>
      </c>
    </row>
    <row r="18" ht="66" customHeight="1" s="50">
      <c r="A18" s="92" t="inlineStr">
        <is>
          <t>PRP-WASTELAND-LIGHT-3D</t>
        </is>
      </c>
      <c r="B18" s="93" t="inlineStr">
        <is>
          <t>废土灯具3D通用模块（街灯/顶灯）</t>
        </is>
      </c>
      <c r="C18" s="93" t="inlineStr">
        <is>
          <t>assets/art/props/dungeon_3d/prp_wasteland_light_root_top3d_v001.tscn</t>
        </is>
      </c>
      <c r="D18" s="93" t="inlineStr"/>
      <c r="E18" s="93" t="inlineStr"/>
      <c r="F18" s="93" t="inlineStr">
        <is>
          <t>设施或交互Prefab；保留自身脚本、碰撞和状态接口</t>
        </is>
      </c>
      <c r="G18" s="93" t="inlineStr">
        <is>
          <t>src/world3d/WastelandLight3D.gd</t>
        </is>
      </c>
      <c r="H18" s="93" t="inlineStr">
        <is>
          <t>无</t>
        </is>
      </c>
      <c r="I18" s="93" t="inlineStr">
        <is>
          <t>无</t>
        </is>
      </c>
      <c r="J18" s="93" t="inlineStr">
        <is>
          <t>无</t>
        </is>
      </c>
      <c r="K18" s="93" t="inlineStr">
        <is>
          <t>PackedScene/OmniLight3D</t>
        </is>
      </c>
      <c r="L18" s="93" t="inlineStr">
        <is>
          <t>未声明</t>
        </is>
      </c>
      <c r="M18" s="93" t="inlineStr">
        <is>
          <t>关卡/靶场/房间中央照明</t>
        </is>
      </c>
      <c r="N18" s="93" t="inlineStr">
        <is>
          <t>原型已接入</t>
        </is>
      </c>
      <c r="O18" s="93" t="inlineStr">
        <is>
          <t>v001</t>
        </is>
      </c>
      <c r="P18" s="94" t="inlineStr">
        <is>
          <t>根节点=WastelandLight3D(Node3D)</t>
        </is>
      </c>
    </row>
    <row r="19">
      <c r="A19" s="69" t="inlineStr">
        <is>
          <t>ENV-BASE99-DOOR-LIFT-22X25</t>
        </is>
      </c>
      <c r="B19" s="69" t="inlineStr">
        <is>
          <t>基地99层2.2×2.5米滑升门扇</t>
        </is>
      </c>
      <c r="C19" s="69" t="inlineStr">
        <is>
          <t>assets/art/environments/base_facility_3d/runtime/env_base99_door_lift_2p2x2p5/env_base99_door_lift_2p2x2p5_root_top3d.tscn</t>
        </is>
      </c>
      <c r="D19" s="69" t="inlineStr">
        <is>
          <t>assets/art/environments/base_facility_3d/components/env_base99_door_lift_2p2x2p5/env_base99_door_lift_2p2x2p5_visual_top3d.glb</t>
        </is>
      </c>
      <c r="E19" s="69" t="inlineStr">
        <is>
          <t>assets/art/environments/base_facility_3d/source/env_base99_modular_room/env_base99_modular_room_assets_clean_v001.blend</t>
        </is>
      </c>
      <c r="F19" s="69" t="inlineStr">
        <is>
          <t>滑升门视觉；门功能沿用RoomDoor3D</t>
        </is>
      </c>
      <c r="G19" s="69" t="inlineStr">
        <is>
          <t>src/world3d/RoomDoor3D.gd</t>
        </is>
      </c>
      <c r="H19" s="69" t="inlineStr">
        <is>
          <t>开</t>
        </is>
      </c>
      <c r="I19" s="69" t="inlineStr">
        <is>
          <t>外部脚本</t>
        </is>
      </c>
      <c r="J19" s="69" t="inlineStr">
        <is>
          <t>RoomDoor3D BoxShape3D</t>
        </is>
      </c>
      <c r="K19" s="69" t="inlineStr">
        <is>
          <t>2.2×0.325×2.5m；底边中心原点</t>
        </is>
      </c>
      <c r="L19" s="69" t="inlineStr">
        <is>
          <t>bottom_center；-Z</t>
        </is>
      </c>
      <c r="M19" s="69" t="inlineStr">
        <is>
          <t>99层基地东/西门</t>
        </is>
      </c>
      <c r="N19" s="69" t="inlineStr">
        <is>
          <t>正式美术已接入</t>
        </is>
      </c>
      <c r="O19" s="69" t="inlineStr">
        <is>
          <t>v001</t>
        </is>
      </c>
      <c r="P19" s="69" t="inlineStr">
        <is>
          <t>GLB无玩法碰撞；cast_and_receive；替换同路径GLB不改变门功能。</t>
        </is>
      </c>
    </row>
    <row r="20" ht="78" customHeight="1" s="50">
      <c r="A20" s="69" t="inlineStr">
        <is>
          <t>PRP-BASE-RECOVERY-STATION-3D</t>
        </is>
      </c>
      <c r="B20" s="69" t="inlineStr">
        <is>
          <t>基地状态恢复舱</t>
        </is>
      </c>
      <c r="C20" s="69" t="inlineStr">
        <is>
          <t>assets/art/props/base_world_3d/runtime/recovery_station/prp_base_recovery_station_root_top3d_v001.tscn</t>
        </is>
      </c>
      <c r="D20" s="69" t="inlineStr"/>
      <c r="E20" s="69" t="inlineStr"/>
      <c r="F20" s="69" t="inlineStr">
        <is>
          <t>消耗基地电量恢复HP与手电电量</t>
        </is>
      </c>
      <c r="G20" s="69" t="inlineStr">
        <is>
          <t>src/base3d/BaseFacility3D.gd; src/ui/BaseRecoveryMenu.gd; src/base/BaseEnergyService.gd</t>
        </is>
      </c>
      <c r="H20" s="69" t="inlineStr">
        <is>
          <t>开</t>
        </is>
      </c>
      <c r="I20" s="69" t="inlineStr">
        <is>
          <t>Prefab自身</t>
        </is>
      </c>
      <c r="J20" s="69" t="inlineStr">
        <is>
          <t>Area3D交互+BoxShape3D实体</t>
        </is>
      </c>
      <c r="K20" s="69" t="inlineStr">
        <is>
          <t>设施根缩放1；程序占位视觉</t>
        </is>
      </c>
      <c r="L20" s="69" t="inlineStr">
        <is>
          <t>底面中心；-Z</t>
        </is>
      </c>
      <c r="M20" s="69" t="inlineStr">
        <is>
          <t>BaseWorld3D/TowerDescent99F</t>
        </is>
      </c>
      <c r="N20" s="69" t="inlineStr">
        <is>
          <t>功能已接入/正式模型待补</t>
        </is>
      </c>
      <c r="O20" s="69" t="inlineStr">
        <is>
          <t>v001</t>
        </is>
      </c>
      <c r="P20" s="69" t="inlineStr">
        <is>
          <t>手电在基地只暂停耗电；补电仅走恢复舱或电池</t>
        </is>
      </c>
    </row>
    <row r="21" ht="78" customHeight="1" s="50">
      <c r="A21" s="69" t="inlineStr">
        <is>
          <t>PRP-BASE-AVATAR-WARDROBE-001</t>
        </is>
      </c>
      <c r="B21" s="69" t="inlineStr">
        <is>
          <t>基地角色衣柜</t>
        </is>
      </c>
      <c r="C21" s="69" t="inlineStr">
        <is>
          <t>assets/art/props/base_world_3d/runtime/avatar_wardrobe/prp_base_avatar_wardrobe_root_top3d_v001.tscn</t>
        </is>
      </c>
      <c r="D21" s="69" t="inlineStr">
        <is>
          <t>assets/art/props/base_world_3d/components/locker_station/prp_base_locker_station_visual_top3d_v004.glb</t>
        </is>
      </c>
      <c r="E21" s="69" t="inlineStr">
        <is>
          <t>assets/art/props/base_world_3d/source/locker_station/prp_base_locker_station_source_v004.blend</t>
        </is>
      </c>
      <c r="F21" s="69" t="inlineStr">
        <is>
          <t>激活衣柜UI并预览/保存角色外观</t>
        </is>
      </c>
      <c r="G21" s="69" t="inlineStr">
        <is>
          <t>src/base3d/wardrobe/WardrobeFacility3D.gd; src/ui/wardrobe/WardrobeMenu3D.gd</t>
        </is>
      </c>
      <c r="H21" s="69" t="inlineStr">
        <is>
          <t>开</t>
        </is>
      </c>
      <c r="I21" s="69" t="inlineStr">
        <is>
          <t>Prefab自身</t>
        </is>
      </c>
      <c r="J21" s="69" t="inlineStr">
        <is>
          <t>Area3D交互+BoxShape3D实体；复用储物站视觉</t>
        </is>
      </c>
      <c r="K21" s="69" t="inlineStr">
        <is>
          <t>5×3.9×1.63m碰撞；根缩放1</t>
        </is>
      </c>
      <c r="L21" s="69" t="inlineStr">
        <is>
          <t>底面中心；-Z</t>
        </is>
      </c>
      <c r="M21" s="69" t="inlineStr">
        <is>
          <t>BaseWorld3D/TowerDescent99F</t>
        </is>
      </c>
      <c r="N21" s="69" t="inlineStr">
        <is>
          <t>功能已接入/复用模型</t>
        </is>
      </c>
      <c r="O21" s="69" t="inlineStr">
        <is>
          <t>v001</t>
        </is>
      </c>
      <c r="P21" s="69" t="inlineStr">
        <is>
          <t>6类方形物品格；每类≥3款；只改表现，不改碰撞与功能</t>
        </is>
      </c>
    </row>
    <row r="22">
      <c r="A22" s="79" t="inlineStr">
        <is>
          <t>PRP-BASE99-EAST-SUPPLY-24H-STATION-FACILITY-3D</t>
        </is>
      </c>
      <c r="B22" s="79" t="inlineStr">
        <is>
          <t>99F SUPPLY24H自动补给机（自动贩卖机）</t>
        </is>
      </c>
      <c r="C22" s="79" t="inlineStr">
        <is>
          <t>assets/art/environments/base_facility_3d/runtime/env_base99_remaining_facilities/east_supply_24h_station/east_supply_24h_station_facility_top3d.tscn</t>
        </is>
      </c>
      <c r="D22" s="79" t="inlineStr">
        <is>
          <t>assets/art/environments/base_facility_3d/components/env_base99_remaining_facilities/east_supply_24h_station/east_supply_24h_station_visual_top3d.glb</t>
        </is>
      </c>
      <c r="E22" s="79" t="inlineStr">
        <is>
          <t>source/art/blender/base_facility_layout/v021/base_facility_runtime_layout_hq_v021_remaining_facilities.blend</t>
        </is>
      </c>
      <c r="F22" s="79" t="inlineStr">
        <is>
          <t>BaseFacility3D 99F玩法包装；facility_id=base_vending；打开res://scenes/BaseVendingMenu.tscn；保持源资产世界位置与碰撞</t>
        </is>
      </c>
      <c r="G22" s="79" t="inlineStr">
        <is>
          <t>src/base3d/BaseFacility3D.gd</t>
        </is>
      </c>
      <c r="H22" s="79" t="inlineStr">
        <is>
          <t>开</t>
        </is>
      </c>
      <c r="I22" s="79" t="inlineStr">
        <is>
          <t>SourcePackage/StaticCollision</t>
        </is>
      </c>
      <c r="J22" s="79" t="inlineStr">
        <is>
          <t>源包逐物件BoxShape3D + 外扩0.8m锁定Area</t>
        </is>
      </c>
      <c r="K22" s="79" t="inlineStr">
        <is>
          <t>交互盒 4.720001×6.05×4.7m；模型包围盒+0.8m</t>
        </is>
      </c>
      <c r="L22" s="79" t="inlineStr">
        <is>
          <t>中心原点；SourcePackage反向偏移保留烘焙坐标</t>
        </is>
      </c>
      <c r="M22" s="79" t="inlineStr">
        <is>
          <t>TowerDescent99F / base_vending</t>
        </is>
      </c>
      <c r="N22" s="79" t="inlineStr">
        <is>
          <t>正式美术已接入</t>
        </is>
      </c>
      <c r="O22" s="79" t="inlineStr">
        <is>
          <t>v001</t>
        </is>
      </c>
      <c r="P22" s="79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>
      <c r="A23" s="79" t="inlineStr">
        <is>
          <t>PRP-BASE99-NARROW-BATTERY-CABINET-FACILITY-3D</t>
        </is>
      </c>
      <c r="B23" s="79" t="inlineStr">
        <is>
          <t>99F 窄型电池柜（保险柜）</t>
        </is>
      </c>
      <c r="C23" s="79" t="inlineStr">
        <is>
          <t>assets/art/environments/base_facility_3d/runtime/env_base99_remaining_facilities/narrow_battery_cabinet/narrow_battery_cabinet_facility_top3d.tscn</t>
        </is>
      </c>
      <c r="D23" s="79" t="inlineStr">
        <is>
          <t>assets/art/environments/base_facility_3d/components/env_base99_remaining_facilities/narrow_battery_cabinet/narrow_battery_cabinet_visual_top3d.glb</t>
        </is>
      </c>
      <c r="E23" s="79" t="inlineStr">
        <is>
          <t>source/art/blender/base_facility_layout/v021/base_facility_runtime_layout_hq_v021_remaining_facilities.blend</t>
        </is>
      </c>
      <c r="F23" s="79" t="inlineStr">
        <is>
          <t>BaseFacility3D 99F玩法包装；facility_id=vault；打开res://scenes/VaultMenu.tscn；保持源资产世界位置与碰撞</t>
        </is>
      </c>
      <c r="G23" s="79" t="inlineStr">
        <is>
          <t>src/base3d/BaseFacility3D.gd</t>
        </is>
      </c>
      <c r="H23" s="79" t="inlineStr">
        <is>
          <t>开</t>
        </is>
      </c>
      <c r="I23" s="79" t="inlineStr">
        <is>
          <t>SourcePackage/StaticCollision</t>
        </is>
      </c>
      <c r="J23" s="79" t="inlineStr">
        <is>
          <t>源包逐物件BoxShape3D + 外扩0.8m锁定Area</t>
        </is>
      </c>
      <c r="K23" s="79" t="inlineStr">
        <is>
          <t>交互盒 3.18×4.82×2.39m；模型包围盒+0.8m</t>
        </is>
      </c>
      <c r="L23" s="79" t="inlineStr">
        <is>
          <t>中心原点；SourcePackage反向偏移保留烘焙坐标</t>
        </is>
      </c>
      <c r="M23" s="79" t="inlineStr">
        <is>
          <t>TowerDescent99F / vault</t>
        </is>
      </c>
      <c r="N23" s="79" t="inlineStr">
        <is>
          <t>正式美术已接入</t>
        </is>
      </c>
      <c r="O23" s="79" t="inlineStr">
        <is>
          <t>v001</t>
        </is>
      </c>
      <c r="P23" s="79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>
      <c r="A24" s="79" t="inlineStr">
        <is>
          <t>PRP-BASE99-WEAPON-WORKSHOP-STATION-FACILITY-3D</t>
        </is>
      </c>
      <c r="B24" s="79" t="inlineStr">
        <is>
          <t>99F 武器工作台（怪物档案室）</t>
        </is>
      </c>
      <c r="C24" s="79" t="inlineStr">
        <is>
          <t>assets/art/environments/base_facility_3d/runtime/env_base99_remaining_facilities/weapon_workshop_station/weapon_workshop_station_facility_top3d.tscn</t>
        </is>
      </c>
      <c r="D24" s="79" t="inlineStr">
        <is>
          <t>assets/art/environments/base_facility_3d/components/env_base99_remaining_facilities/weapon_workshop_station/weapon_workshop_station_visual_top3d.glb</t>
        </is>
      </c>
      <c r="E24" s="79" t="inlineStr">
        <is>
          <t>source/art/blender/base_facility_layout/source/base_facility_runtime_layout_hq_v022.blend</t>
        </is>
      </c>
      <c r="F24" s="79" t="inlineStr">
        <is>
          <t>BaseFacility3D 99F玩法包装；facility_id=monster_archive；打开res://scenes/MonsterArchiveMenu.tscn；保持源资产世界位置与碰撞</t>
        </is>
      </c>
      <c r="G24" s="79" t="inlineStr">
        <is>
          <t>src/base3d/BaseFacility3D.gd</t>
        </is>
      </c>
      <c r="H24" s="79" t="inlineStr">
        <is>
          <t>开</t>
        </is>
      </c>
      <c r="I24" s="79" t="inlineStr">
        <is>
          <t>SourcePackage/StaticCollision</t>
        </is>
      </c>
      <c r="J24" s="79" t="inlineStr">
        <is>
          <t>源包逐物件BoxShape3D + 外扩0.8m锁定Area</t>
        </is>
      </c>
      <c r="K24" s="79" t="inlineStr">
        <is>
          <t>交互盒 3.523101×5.31×7.35m；模型包围盒+0.8m</t>
        </is>
      </c>
      <c r="L24" s="79" t="inlineStr">
        <is>
          <t>中心原点；SourcePackage反向偏移保留烘焙坐标</t>
        </is>
      </c>
      <c r="M24" s="79" t="inlineStr">
        <is>
          <t>TowerDescent99F / monster_archive</t>
        </is>
      </c>
      <c r="N24" s="79" t="inlineStr">
        <is>
          <t>正式美术已接入</t>
        </is>
      </c>
      <c r="O24" s="79" t="inlineStr">
        <is>
          <t>v001</t>
        </is>
      </c>
      <c r="P24" s="79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>
      <c r="A25" s="79" t="inlineStr">
        <is>
          <t>PRP-BASE99-LOFT-COMPUTER-WORKSTATION-FACILITY-3D</t>
        </is>
      </c>
      <c r="B25" s="79" t="inlineStr">
        <is>
          <t>99F 双屏电脑工位（命运卡收藏室）</t>
        </is>
      </c>
      <c r="C25" s="79" t="inlineStr">
        <is>
          <t>assets/art/environments/base_facility_3d/runtime/env_base99_remaining_facilities/loft_computer_workstation/loft_computer_workstation_facility_top3d.tscn</t>
        </is>
      </c>
      <c r="D25" s="79" t="inlineStr">
        <is>
          <t>assets/art/environments/base_facility_3d/components/env_base99_remaining_facilities/loft_computer_workstation/loft_computer_workstation_visual_top3d.glb</t>
        </is>
      </c>
      <c r="E25" s="79" t="inlineStr">
        <is>
          <t>source/art/blender/base_facility_layout/source/base_facility_runtime_layout_hq_v021.blend</t>
        </is>
      </c>
      <c r="F25" s="79" t="inlineStr">
        <is>
          <t>BaseFacility3D 99F玩法包装；facility_id=fate_collection；打开res://scenes/FateCardCollectionMenu.tscn；保持源资产世界位置与碰撞</t>
        </is>
      </c>
      <c r="G25" s="79" t="inlineStr">
        <is>
          <t>src/base3d/BaseFacility3D.gd</t>
        </is>
      </c>
      <c r="H25" s="79" t="inlineStr">
        <is>
          <t>开</t>
        </is>
      </c>
      <c r="I25" s="79" t="inlineStr">
        <is>
          <t>SourcePackage/StaticCollision</t>
        </is>
      </c>
      <c r="J25" s="79" t="inlineStr">
        <is>
          <t>源包逐物件BoxShape3D + 外扩0.8m锁定Area</t>
        </is>
      </c>
      <c r="K25" s="79" t="inlineStr">
        <is>
          <t>交互盒 9.134999×4.64×3.005m；模型包围盒+0.8m</t>
        </is>
      </c>
      <c r="L25" s="79" t="inlineStr">
        <is>
          <t>中心原点；SourcePackage反向偏移保留烘焙坐标</t>
        </is>
      </c>
      <c r="M25" s="79" t="inlineStr">
        <is>
          <t>TowerDescent99F / fate_collection</t>
        </is>
      </c>
      <c r="N25" s="79" t="inlineStr">
        <is>
          <t>正式美术已接入</t>
        </is>
      </c>
      <c r="O25" s="79" t="inlineStr">
        <is>
          <t>v001</t>
        </is>
      </c>
      <c r="P25" s="79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>
      <c r="A26" s="79" t="inlineStr">
        <is>
          <t>PRP-BASE99-MEDICAL-CABINET-FACILITY-3D</t>
        </is>
      </c>
      <c r="B26" s="79" t="inlineStr">
        <is>
          <t>99F MEDICAL医疗柜（状态恢复舱）</t>
        </is>
      </c>
      <c r="C26" s="79" t="inlineStr">
        <is>
          <t>assets/art/environments/base_facility_3d/runtime/env_base99_remaining_facilities/medical_cabinet/medical_cabinet_facility_top3d.tscn</t>
        </is>
      </c>
      <c r="D26" s="79" t="inlineStr">
        <is>
          <t>assets/art/environments/base_facility_3d/components/env_base99_remaining_facilities/medical_cabinet/medical_cabinet_visual_top3d.glb</t>
        </is>
      </c>
      <c r="E26" s="79" t="inlineStr">
        <is>
          <t>source/art/blender/base_facility_layout/v021/base_facility_runtime_layout_hq_v021_remaining_facilities.blend</t>
        </is>
      </c>
      <c r="F26" s="79" t="inlineStr">
        <is>
          <t>BaseFacility3D 99F玩法包装；facility_id=base_recovery；打开res://scenes/BaseRecoveryMenu.tscn；保持源资产世界位置与碰撞</t>
        </is>
      </c>
      <c r="G26" s="79" t="inlineStr">
        <is>
          <t>src/base3d/BaseFacility3D.gd</t>
        </is>
      </c>
      <c r="H26" s="79" t="inlineStr">
        <is>
          <t>开</t>
        </is>
      </c>
      <c r="I26" s="79" t="inlineStr">
        <is>
          <t>SourcePackage/StaticCollision</t>
        </is>
      </c>
      <c r="J26" s="79" t="inlineStr">
        <is>
          <t>源包逐物件BoxShape3D + 外扩0.8m锁定Area</t>
        </is>
      </c>
      <c r="K26" s="79" t="inlineStr">
        <is>
          <t>交互盒 3.18×4.93×2.39m；模型包围盒+0.8m</t>
        </is>
      </c>
      <c r="L26" s="79" t="inlineStr">
        <is>
          <t>中心原点；SourcePackage反向偏移保留烘焙坐标</t>
        </is>
      </c>
      <c r="M26" s="79" t="inlineStr">
        <is>
          <t>TowerDescent99F / base_recovery</t>
        </is>
      </c>
      <c r="N26" s="79" t="inlineStr">
        <is>
          <t>正式美术已接入</t>
        </is>
      </c>
      <c r="O26" s="79" t="inlineStr">
        <is>
          <t>v001</t>
        </is>
      </c>
      <c r="P26" s="79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>
      <c r="A27" s="79" t="inlineStr">
        <is>
          <t>PRP-BASE99-LOFT-LOUNGE-SOFA-FACILITY-3D</t>
        </is>
      </c>
      <c r="B27" s="79" t="inlineStr">
        <is>
          <t>99F 墨绿三人沙发（角色衣柜）</t>
        </is>
      </c>
      <c r="C27" s="79" t="inlineStr">
        <is>
          <t>assets/art/environments/base_facility_3d/runtime/env_base99_remaining_facilities/loft_lounge_sofa/loft_lounge_sofa_facility_top3d.tscn</t>
        </is>
      </c>
      <c r="D27" s="79" t="inlineStr">
        <is>
          <t>assets/art/environments/base_facility_3d/components/env_base99_remaining_facilities/loft_lounge_sofa/loft_lounge_sofa_visual_top3d.glb</t>
        </is>
      </c>
      <c r="E27" s="79" t="inlineStr">
        <is>
          <t>source/art/blender/base_facility_layout/source/base_facility_runtime_layout_hq_v021.blend</t>
        </is>
      </c>
      <c r="F27" s="79" t="inlineStr">
        <is>
          <t>BaseFacility3D 99F玩法包装；facility_id=avatar_wardrobe；打开res://scenes/ui/WardrobeMenu3D.tscn；保持源资产世界位置与碰撞</t>
        </is>
      </c>
      <c r="G27" s="79" t="inlineStr">
        <is>
          <t>src/base3d/BaseFacility3D.gd</t>
        </is>
      </c>
      <c r="H27" s="79" t="inlineStr">
        <is>
          <t>开</t>
        </is>
      </c>
      <c r="I27" s="79" t="inlineStr">
        <is>
          <t>SourcePackage/StaticCollision</t>
        </is>
      </c>
      <c r="J27" s="79" t="inlineStr">
        <is>
          <t>源包逐物件BoxShape3D + 外扩0.8m锁定Area</t>
        </is>
      </c>
      <c r="K27" s="79" t="inlineStr">
        <is>
          <t>交互盒 6.42×3.431646×3.481379m；模型包围盒+0.8m</t>
        </is>
      </c>
      <c r="L27" s="79" t="inlineStr">
        <is>
          <t>中心原点；SourcePackage反向偏移保留烘焙坐标</t>
        </is>
      </c>
      <c r="M27" s="79" t="inlineStr">
        <is>
          <t>TowerDescent99F / avatar_wardrobe</t>
        </is>
      </c>
      <c r="N27" s="79" t="inlineStr">
        <is>
          <t>正式美术已接入</t>
        </is>
      </c>
      <c r="O27" s="79" t="inlineStr">
        <is>
          <t>v001</t>
        </is>
      </c>
      <c r="P27" s="79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96" t="inlineStr">
        <is>
          <t>ShellStorm2 · 其他 3D Prefab</t>
        </is>
      </c>
    </row>
    <row r="2" ht="34" customHeight="1" s="50">
      <c r="A2" s="82" t="inlineStr">
        <is>
          <t>无法归入以上分类的独立3D Prefab；本次扫描 0 个独立Prefab。</t>
        </is>
      </c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style="50" min="1" max="1"/>
    <col width="13" customWidth="1" style="50" min="2" max="2"/>
    <col width="24" customWidth="1" style="50" min="3" max="3"/>
    <col width="28" customWidth="1" style="50" min="4" max="4"/>
    <col width="70" customWidth="1" style="50" min="5" max="5"/>
    <col width="48" customWidth="1" style="50" min="6" max="6"/>
    <col width="12" customWidth="1" style="50" min="7" max="7"/>
  </cols>
  <sheetData>
    <row r="1">
      <c r="A1" s="51" t="inlineStr">
        <is>
          <t>关卡场景账本变更日志</t>
        </is>
      </c>
    </row>
    <row r="2"/>
    <row r="3">
      <c r="A3" s="52" t="inlineStr">
        <is>
          <t>只记录本账本的域内变更；跨域与全局变更记录在主账本《版本记录》</t>
        </is>
      </c>
    </row>
    <row r="5">
      <c r="A5" s="66" t="inlineStr">
        <is>
          <t>台账版本</t>
        </is>
      </c>
      <c r="B5" s="66" t="inlineStr">
        <is>
          <t>日期</t>
        </is>
      </c>
      <c r="C5" s="66" t="inlineStr">
        <is>
          <t>变更类型</t>
        </is>
      </c>
      <c r="D5" s="66" t="inlineStr">
        <is>
          <t>范围</t>
        </is>
      </c>
      <c r="E5" s="66" t="inlineStr">
        <is>
          <t>说明</t>
        </is>
      </c>
      <c r="F5" s="66" t="inlineStr">
        <is>
          <t>兼容性</t>
        </is>
      </c>
      <c r="G5" s="66" t="inlineStr">
        <is>
          <t>负责人</t>
        </is>
      </c>
    </row>
    <row r="6" ht="46" customHeight="1" s="50">
      <c r="A6" s="60" t="inlineStr">
        <is>
          <t>v0.1.0</t>
        </is>
      </c>
      <c r="B6" s="60" t="inlineStr">
        <is>
          <t>2026-09-18</t>
        </is>
      </c>
      <c r="C6" s="60" t="inlineStr">
        <is>
          <t>分账本建立</t>
        </is>
      </c>
      <c r="D6" s="60" t="inlineStr">
        <is>
          <t>关卡场景</t>
        </is>
      </c>
      <c r="E6" s="60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60" t="inlineStr">
        <is>
          <t>资产条目、AssetID、路径与哈希全部不变；只换文件。旧引用可用 scripts/ledger_registry.py 解析。</t>
        </is>
      </c>
      <c r="G6" s="60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2026-09-18T15:37:56Z</dcterms:created>
  <dcterms:modified xmlns:dcterms="http://purl.org/dc/terms/" xmlns:xsi="http://www.w3.org/2001/XMLSchema-instance" xsi:type="dcterms:W3CDTF">2026-09-19T12:33:36Z</dcterms:modified>
</cp:coreProperties>
</file>