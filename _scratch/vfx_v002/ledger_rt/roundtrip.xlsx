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特效" sheetId="4" state="visible" r:id="rId4"/>
    <sheet xmlns:r="http://schemas.openxmlformats.org/officeDocument/2006/relationships" name="域变更日志" sheetId="5" state="visible" r:id="rId5"/>
  </sheets>
  <definedNames>
    <definedName name="_xlnm._FilterDatabase" localSheetId="2" hidden="1">'资产主表'!$A$5:$X$21</definedName>
  </definedName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9">
    <font>
      <name val="Carlito"/>
      <sz val="11"/>
    </font>
    <font>
      <name val="Carlito"/>
      <b val="1"/>
      <color rgb="FFFFFFFF"/>
      <sz val="18"/>
    </font>
    <font>
      <name val="Carlito"/>
      <i val="1"/>
      <color rgb="FF79D8E8"/>
      <sz val="10"/>
    </font>
    <font>
      <name val="Carlito"/>
      <b val="1"/>
      <color rgb="FF163246"/>
      <sz val="11"/>
    </font>
    <font>
      <name val="Carlito"/>
      <b val="1"/>
      <color rgb="FFF2C94C"/>
      <sz val="20"/>
    </font>
    <font>
      <name val="Carlito"/>
      <b val="1"/>
      <color rgb="FFFFFFFF"/>
      <sz val="11"/>
    </font>
    <font>
      <name val="Carlito"/>
      <color rgb="FF13202B"/>
      <sz val="9"/>
    </font>
    <font>
      <name val="Carlito"/>
      <b val="1"/>
      <color rgb="FF13202B"/>
      <sz val="11"/>
    </font>
    <font>
      <name val="Arial"/>
      <b val="1"/>
      <color rgb="FFFFFFFF"/>
      <sz val="18"/>
    </font>
    <font>
      <name val="Arial"/>
      <i val="1"/>
      <color rgb="FF79D8E8"/>
      <sz val="10"/>
    </font>
    <font>
      <name val="Arial"/>
      <sz val="11"/>
    </font>
    <font>
      <name val="Arial"/>
      <b val="1"/>
      <color rgb="FF163246"/>
      <sz val="11"/>
    </font>
    <font>
      <name val="Arial"/>
      <b val="1"/>
      <color rgb="FFF2C94C"/>
      <sz val="20"/>
    </font>
    <font>
      <name val="Arial"/>
      <b val="1"/>
      <color rgb="FFFFFFFF"/>
      <sz val="11"/>
    </font>
    <font>
      <name val="Arial"/>
      <color rgb="FF13202B"/>
      <sz val="9"/>
    </font>
    <font>
      <name val="Arial"/>
      <b val="1"/>
      <color rgb="FF13202B"/>
      <sz val="11"/>
    </font>
    <font>
      <name val="Carlito"/>
      <b val="1"/>
      <color rgb="FFF2C94C"/>
      <sz val="11"/>
    </font>
    <font>
      <name val="Carlito"/>
      <b val="1"/>
      <color rgb="FF176C4A"/>
      <sz val="11"/>
    </font>
    <font>
      <name val="Carlito"/>
      <b val="1"/>
      <color rgb="FFFFFFFF"/>
      <sz val="14"/>
    </font>
    <font>
      <name val="Carlito"/>
      <b val="1"/>
      <color rgb="FF137333"/>
      <sz val="11"/>
    </font>
    <font>
      <name val="Carlito"/>
      <b val="1"/>
      <color rgb="FFD8F4FF"/>
      <sz val="11"/>
    </font>
    <font>
      <name val="Carlito"/>
      <i val="1"/>
      <color rgb="FFD8F4FF"/>
      <sz val="11"/>
    </font>
    <font>
      <name val="Carlito"/>
      <i val="1"/>
      <color rgb="FFE2F8FF"/>
      <sz val="11"/>
    </font>
    <font>
      <name val="Carlito"/>
      <color rgb="FF15383E"/>
      <sz val="11"/>
    </font>
    <font>
      <name val="Carlito"/>
      <b val="1"/>
      <color rgb="FF17563A"/>
      <sz val="11"/>
    </font>
    <font>
      <name val="Carlito"/>
      <b val="1"/>
      <color rgb="FF15383E"/>
      <sz val="11"/>
    </font>
    <font>
      <name val="Carlito"/>
      <b val="1"/>
      <color rgb="FFFFFFFF"/>
      <sz val="16"/>
    </font>
    <font>
      <name val="Carlito"/>
      <i val="1"/>
      <color rgb="FF334155"/>
      <sz val="10"/>
    </font>
    <font>
      <name val="Carlito"/>
      <color rgb="FF1F2937"/>
      <sz val="10"/>
    </font>
    <font>
      <name val="Carlito"/>
      <i val="1"/>
      <color rgb="FF334155"/>
      <sz val="11"/>
    </font>
    <font>
      <name val="Carlito"/>
      <b val="1"/>
      <color rgb="FF17324D"/>
      <sz val="11"/>
    </font>
    <font>
      <name val="Arial"/>
      <color rgb="FFFFFFFF"/>
      <sz val="11"/>
    </font>
    <font>
      <name val="Carlito"/>
      <color rgb="FF1F1F1F"/>
      <sz val="11"/>
    </font>
    <font>
      <b val="1"/>
    </font>
    <font>
      <b val="1"/>
      <color rgb="FF2E7D32"/>
      <sz val="11"/>
    </font>
    <font>
      <b val="1"/>
      <color rgb="FF17324D"/>
      <sz val="14"/>
    </font>
    <font>
      <i val="1"/>
      <color rgb="FF555555"/>
    </font>
    <font>
      <b val="1"/>
      <color rgb="FFFFFFFF"/>
    </font>
    <font>
      <b val="1"/>
      <color rgb="FF1565C0"/>
    </font>
  </fonts>
  <fills count="63">
    <fill>
      <patternFill/>
    </fill>
    <fill>
      <patternFill patternType="gray125"/>
    </fill>
    <fill>
      <patternFill patternType="solid">
        <fgColor rgb="FF13202B"/>
      </patternFill>
    </fill>
    <fill>
      <patternFill patternType="solid">
        <fgColor rgb="FF163246"/>
      </patternFill>
    </fill>
    <fill>
      <patternFill patternType="solid">
        <fgColor rgb="FFDCE8EC"/>
      </patternFill>
    </fill>
    <fill>
      <patternFill patternType="solid">
        <fgColor rgb="FF1F5A78"/>
      </patternFill>
    </fill>
    <fill>
      <patternFill patternType="solid">
        <fgColor rgb="FFF2C94C"/>
      </patternFill>
    </fill>
    <fill>
      <patternFill patternType="solid">
        <fgColor rgb="FFD9F3E8"/>
      </patternFill>
    </fill>
    <fill>
      <patternFill patternType="solid">
        <fgColor rgb="FF10212C"/>
      </patternFill>
    </fill>
    <fill>
      <patternFill patternType="solid">
        <fgColor rgb="FF10212C"/>
      </patternFill>
    </fill>
    <fill>
      <patternFill patternType="solid">
        <fgColor rgb="FFE2F3E7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17384A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17384A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24495D"/>
      </patternFill>
    </fill>
    <fill>
      <patternFill patternType="solid">
        <fgColor rgb="FF163044"/>
      </patternFill>
    </fill>
    <fill>
      <patternFill patternType="solid">
        <fgColor rgb="FF234B63"/>
      </patternFill>
    </fill>
    <fill>
      <patternFill patternType="solid">
        <fgColor rgb="FF24495D"/>
      </patternFill>
    </fill>
    <fill>
      <patternFill patternType="solid">
        <fgColor rgb="FF246583"/>
      </patternFill>
    </fill>
    <fill>
      <patternFill patternType="solid">
        <fgColor rgb="FFE4F2F3"/>
      </patternFill>
    </fill>
    <fill>
      <patternFill patternType="solid">
        <fgColor rgb="FFD7EEE5"/>
      </patternFill>
    </fill>
    <fill>
      <patternFill patternType="solid">
        <fgColor rgb="FFE4F2F3"/>
      </patternFill>
    </fill>
    <fill>
      <patternFill patternType="solid">
        <fgColor rgb="FFD7EEE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E2E8F0"/>
      </patternFill>
    </fill>
    <fill>
      <patternFill patternType="solid">
        <fgColor rgb="FF17324D"/>
      </patternFill>
    </fill>
    <fill>
      <patternFill patternType="solid">
        <fgColor rgb="FFDCE6F1"/>
      </patternFill>
    </fill>
    <fill>
      <patternFill patternType="solid">
        <fgColor rgb="FF2F75B5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FFF2CC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246397"/>
      </patternFill>
    </fill>
    <fill>
      <patternFill patternType="solid">
        <fgColor rgb="FFE8F5E9"/>
      </patternFill>
    </fill>
    <fill>
      <patternFill patternType="solid">
        <fgColor rgb="FF17324D"/>
      </patternFill>
    </fill>
    <fill>
      <patternFill patternType="solid">
        <fgColor rgb="FFE3F2FD"/>
      </patternFill>
    </fill>
  </fills>
  <borders count="46">
    <border/>
    <border>
      <left style="medium">
        <color rgb="FF446170"/>
      </left>
      <top style="medium">
        <color rgb="FF446170"/>
      </top>
      <bottom style="medium">
        <color rgb="FF446170"/>
      </bottom>
    </border>
    <border>
      <top style="medium">
        <color rgb="FF446170"/>
      </top>
      <bottom style="medium">
        <color rgb="FF446170"/>
      </bottom>
    </border>
    <border>
      <right style="medium">
        <color rgb="FF446170"/>
      </right>
      <top style="medium">
        <color rgb="FF446170"/>
      </top>
      <bottom style="medium">
        <color rgb="FF446170"/>
      </bottom>
    </border>
    <border>
      <bottom style="thin">
        <color rgb="FFB9CBD2"/>
      </bottom>
    </border>
    <border>
      <top style="thin">
        <color rgb="FFB9CBD2"/>
      </top>
      <bottom style="thin">
        <color rgb="FFB9CBD2"/>
      </bottom>
    </border>
    <border>
      <left style="thin">
        <color rgb="FFAFC9CD"/>
      </left>
      <right style="thin">
        <color rgb="FFAFC9CD"/>
      </right>
      <top style="thin">
        <color rgb="FFAFC9CD"/>
      </top>
      <bottom style="thin">
        <color rgb="FFAFC9CD"/>
      </bottom>
    </border>
    <border>
      <left style="thin">
        <color rgb="FF8FC3A1"/>
      </left>
      <right style="thin">
        <color rgb="FF8FC3A1"/>
      </right>
      <top style="thin">
        <color rgb="FF8FC3A1"/>
      </top>
      <bottom style="thin">
        <color rgb="FF8FC3A1"/>
      </bottom>
    </border>
    <border>
      <left style="medium">
        <color rgb="FF446170"/>
      </left>
      <right style="medium">
        <color rgb="FF446170"/>
      </right>
      <top style="medium">
        <color rgb="FF446170"/>
      </top>
      <bottom style="medium">
        <color rgb="FF446170"/>
      </bottom>
    </border>
    <border>
      <top style="medium">
        <color rgb="FF446170"/>
      </top>
    </border>
    <border>
      <right style="medium">
        <color rgb="FF446170"/>
      </right>
      <top style="medium">
        <color rgb="FF446170"/>
      </top>
    </border>
    <border>
      <left style="thin">
        <color rgb="FF9FBAD0"/>
      </left>
      <top style="thin">
        <color rgb="FF9FBAD0"/>
      </top>
      <bottom style="thin">
        <color rgb="FF9FBAD0"/>
      </bottom>
    </border>
    <border>
      <top style="thin">
        <color rgb="FF9FBAD0"/>
      </top>
      <bottom style="thin">
        <color rgb="FF9FBAD0"/>
      </bottom>
    </border>
    <border>
      <right style="thin">
        <color rgb="FF9FBAD0"/>
      </right>
      <top style="thin">
        <color rgb="FF9FBAD0"/>
      </top>
      <bottom style="thin">
        <color rgb="FF9FBAD0"/>
      </bottom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left style="thin">
        <color rgb="FFD9E2F3"/>
      </lef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D9E2F3"/>
      </left>
      <top style="thin">
        <color rgb="FFD9E2F3"/>
      </top>
    </border>
    <border>
      <right style="thin">
        <color rgb="FFE5E7EB"/>
      </right>
      <bottom style="thin">
        <color rgb="FFD9E2F3"/>
      </bottom>
    </border>
    <border>
      <left style="thin">
        <color rgb="FFE5E7EB"/>
      </left>
      <right style="thin">
        <color rgb="FFE5E7EB"/>
      </right>
      <bottom style="thin">
        <color rgb="FFD9E2F3"/>
      </bottom>
    </border>
    <border>
      <left style="thin">
        <color rgb="FFE5E7EB"/>
      </left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</border>
    <border>
      <left style="thin">
        <color rgb="FFE5E7EB"/>
      </left>
      <top style="thin">
        <color rgb="FFD9E2F3"/>
      </top>
      <bottom style="thin">
        <color rgb="FFD9E2F3"/>
      </bottom>
    </border>
    <border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</border>
    <border>
      <left style="thin">
        <color rgb="FFE5E7EB"/>
      </left>
      <top style="thin">
        <color rgb="FFD9E2F3"/>
      </top>
      <bottom style="thin">
        <color rgb="FF9FBAD0"/>
      </bottom>
    </border>
    <border>
      <left style="thin">
        <color rgb="FFD9E2F3"/>
      </left>
      <right style="thin">
        <color rgb="FFE5E7EB"/>
      </right>
      <bottom style="thin">
        <color rgb="FFD9E2F3"/>
      </bottom>
    </border>
    <border>
      <left style="thin">
        <color rgb="FFD9E2F3"/>
      </left>
      <right style="thin">
        <color rgb="FFE5E7EB"/>
      </right>
      <top style="thin">
        <color rgb="FFD9E2F3"/>
      </top>
      <bottom style="thin">
        <color rgb="FFD9E2F3"/>
      </bottom>
    </border>
    <border>
      <right style="thin">
        <color rgb="FFE5E7EB"/>
      </right>
      <bottom style="thin">
        <color rgb="FF9FBAD0"/>
      </bottom>
    </border>
    <border>
      <left style="thin">
        <color rgb="FFE5E7EB"/>
      </left>
      <right style="thin">
        <color rgb="FFE5E7EB"/>
      </right>
      <bottom style="thin">
        <color rgb="FF9FBAD0"/>
      </bottom>
    </border>
    <border>
      <left style="thin">
        <color rgb="FFE5E7EB"/>
      </left>
      <bottom style="thin">
        <color rgb="FF9FBAD0"/>
      </bottom>
    </border>
    <border>
      <right style="thin">
        <color rgb="FFE5E7EB"/>
      </right>
      <top style="thin">
        <color rgb="FFD9E2F3"/>
      </top>
    </border>
    <border>
      <left style="thin">
        <color rgb="FFE5E7EB"/>
      </left>
      <right style="thin">
        <color rgb="FFE5E7EB"/>
      </right>
      <top style="thin">
        <color rgb="FFD9E2F3"/>
      </top>
    </border>
    <border>
      <left style="thin">
        <color rgb="FFE5E7EB"/>
      </left>
      <top style="thin">
        <color rgb="FFD9E2F3"/>
      </top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</border>
    <border>
      <right style="thin">
        <color rgb="FFE5E7EB"/>
      </right>
    </border>
    <border>
      <bottom style="thin">
        <color rgb="FFD9E2F3"/>
      </bottom>
    </border>
    <border>
      <right style="medium">
        <color rgb="FF446170"/>
      </right>
      <bottom style="medium">
        <color rgb="FF446170"/>
      </bottom>
    </border>
    <border>
      <right style="medium">
        <color rgb="FF446170"/>
      </right>
    </border>
    <border>
      <bottom style="medium">
        <color rgb="FF446170"/>
      </bottom>
    </border>
  </borders>
  <cellStyleXfs count="1">
    <xf numFmtId="0" fontId="0" fillId="0" borderId="0"/>
  </cellStyleXfs>
  <cellXfs count="39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vertic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1" pivotButton="0" quotePrefix="0" xfId="0"/>
    <xf numFmtId="0" fontId="5" fillId="5" borderId="2" pivotButton="0" quotePrefix="0" xfId="0"/>
    <xf numFmtId="0" fontId="5" fillId="5" borderId="3" pivotButton="0" quotePrefix="0" xfId="0"/>
    <xf numFmtId="0" fontId="5" fillId="5" borderId="1" applyAlignment="1" pivotButton="0" quotePrefix="0" xfId="0">
      <alignment wrapText="1"/>
    </xf>
    <xf numFmtId="0" fontId="5" fillId="5" borderId="2" applyAlignment="1" pivotButton="0" quotePrefix="0" xfId="0">
      <alignment wrapText="1"/>
    </xf>
    <xf numFmtId="0" fontId="5" fillId="5" borderId="3" applyAlignment="1" pivotButton="0" quotePrefix="0" xfId="0">
      <alignment wrapText="1"/>
    </xf>
    <xf numFmtId="0" fontId="5" fillId="5" borderId="1" applyAlignment="1" pivotButton="0" quotePrefix="0" xfId="0">
      <alignment horizontal="center" wrapText="1"/>
    </xf>
    <xf numFmtId="0" fontId="5" fillId="5" borderId="2" applyAlignment="1" pivotButton="0" quotePrefix="0" xfId="0">
      <alignment horizontal="center" wrapText="1"/>
    </xf>
    <xf numFmtId="0" fontId="5" fillId="5" borderId="3" applyAlignment="1" pivotButton="0" quotePrefix="0" xfId="0">
      <alignment horizont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5" pivotButton="0" quotePrefix="0" xfId="0"/>
    <xf numFmtId="0" fontId="6" fillId="0" borderId="4" applyAlignment="1" pivotButton="0" quotePrefix="0" xfId="0">
      <alignment wrapText="1"/>
    </xf>
    <xf numFmtId="0" fontId="6" fillId="0" borderId="5" applyAlignment="1" pivotButton="0" quotePrefix="0" xfId="0">
      <alignment wrapText="1"/>
    </xf>
    <xf numFmtId="0" fontId="6" fillId="0" borderId="4" applyAlignment="1" pivotButton="0" quotePrefix="0" xfId="0">
      <alignment vertical="top" wrapText="1"/>
    </xf>
    <xf numFmtId="0" fontId="6" fillId="0" borderId="5" applyAlignment="1" pivotButton="0" quotePrefix="0" xfId="0">
      <alignment vertical="top" wrapText="1"/>
    </xf>
    <xf numFmtId="0" fontId="0" fillId="6" borderId="0" pivotButton="0" quotePrefix="0" xfId="0"/>
    <xf numFmtId="0" fontId="7" fillId="6" borderId="0" pivotButton="0" quotePrefix="0" xfId="0"/>
    <xf numFmtId="0" fontId="7" fillId="6" borderId="0" applyAlignment="1" pivotButton="0" quotePrefix="0" xfId="0">
      <alignment horizontal="center"/>
    </xf>
    <xf numFmtId="0" fontId="8" fillId="2" borderId="0" applyAlignment="1" pivotButton="0" quotePrefix="0" xfId="0">
      <alignment vertical="center"/>
    </xf>
    <xf numFmtId="0" fontId="9" fillId="3" borderId="0" applyAlignment="1" pivotButton="0" quotePrefix="0" xfId="0">
      <alignment vertical="center"/>
    </xf>
    <xf numFmtId="0" fontId="10" fillId="0" borderId="0" pivotButton="0" quotePrefix="0" xfId="0"/>
    <xf numFmtId="0" fontId="11" fillId="4" borderId="0" applyAlignment="1" pivotButton="0" quotePrefix="0" xfId="0">
      <alignment vertical="center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4" fillId="0" borderId="4" applyAlignment="1" pivotButton="0" quotePrefix="0" xfId="0">
      <alignment vertical="top" wrapText="1"/>
    </xf>
    <xf numFmtId="0" fontId="15" fillId="6" borderId="0" applyAlignment="1" pivotButton="0" quotePrefix="0" xfId="0">
      <alignment horizontal="center"/>
    </xf>
    <xf numFmtId="0" fontId="14" fillId="0" borderId="5" applyAlignment="1" pivotButton="0" quotePrefix="0" xfId="0">
      <alignment vertical="top" wrapText="1"/>
    </xf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0" fontId="16" fillId="2" borderId="0" pivotButton="0" quotePrefix="0" xfId="0"/>
    <xf numFmtId="0" fontId="16" fillId="2" borderId="0" applyAlignment="1" pivotButton="0" quotePrefix="0" xfId="0">
      <alignment wrapText="1"/>
    </xf>
    <xf numFmtId="0" fontId="5" fillId="5" borderId="0" applyAlignment="1" pivotButton="0" quotePrefix="0" xfId="0">
      <alignment horizontal="center"/>
    </xf>
    <xf numFmtId="0" fontId="3" fillId="4" borderId="0" applyAlignment="1" pivotButton="0" quotePrefix="0" xfId="0">
      <alignment wrapText="1"/>
    </xf>
    <xf numFmtId="0" fontId="0" fillId="7" borderId="0" pivotButton="0" quotePrefix="0" xfId="0"/>
    <xf numFmtId="0" fontId="17" fillId="7" borderId="0" pivotButton="0" quotePrefix="0" xfId="0"/>
    <xf numFmtId="0" fontId="17" fillId="7" borderId="0" applyAlignment="1" pivotButton="0" quotePrefix="0" xfId="0">
      <alignment wrapText="1"/>
    </xf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0" fillId="8" borderId="0" applyAlignment="1" pivotButton="0" quotePrefix="0" xfId="0">
      <alignment wrapText="1"/>
    </xf>
    <xf numFmtId="0" fontId="18" fillId="8" borderId="0" applyAlignment="1" pivotButton="0" quotePrefix="0" xfId="0">
      <alignment wrapText="1"/>
    </xf>
    <xf numFmtId="0" fontId="18" fillId="8" borderId="0" pivotButton="0" quotePrefix="0" xfId="0"/>
    <xf numFmtId="0" fontId="18" fillId="8" borderId="0" applyAlignment="1" pivotButton="0" quotePrefix="0" xfId="0">
      <alignment vertical="center"/>
    </xf>
    <xf numFmtId="0" fontId="18" fillId="9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0" fillId="10" borderId="0" pivotButton="0" quotePrefix="0" xfId="0"/>
    <xf numFmtId="0" fontId="19" fillId="10" borderId="0" pivotButton="0" quotePrefix="0" xfId="0"/>
    <xf numFmtId="0" fontId="0" fillId="11" borderId="0" pivotButton="0" quotePrefix="0" xfId="0"/>
    <xf numFmtId="0" fontId="20" fillId="11" borderId="0" pivotButton="0" quotePrefix="0" xfId="0"/>
    <xf numFmtId="0" fontId="0" fillId="12" borderId="0" pivotButton="0" quotePrefix="0" xfId="0"/>
    <xf numFmtId="0" fontId="5" fillId="12" borderId="0" pivotButton="0" quotePrefix="0" xfId="0"/>
    <xf numFmtId="0" fontId="0" fillId="13" borderId="0" pivotButton="0" quotePrefix="0" xfId="0"/>
    <xf numFmtId="0" fontId="21" fillId="13" borderId="0" pivotButton="0" quotePrefix="0" xfId="0"/>
    <xf numFmtId="0" fontId="21" fillId="13" borderId="0" applyAlignment="1" pivotButton="0" quotePrefix="0" xfId="0">
      <alignment wrapText="1"/>
    </xf>
    <xf numFmtId="0" fontId="20" fillId="14" borderId="0" pivotButton="0" quotePrefix="0" xfId="0"/>
    <xf numFmtId="0" fontId="5" fillId="15" borderId="0" pivotButton="0" quotePrefix="0" xfId="0"/>
    <xf numFmtId="0" fontId="21" fillId="16" borderId="0" applyAlignment="1" pivotButton="0" quotePrefix="0" xfId="0">
      <alignment wrapText="1"/>
    </xf>
    <xf numFmtId="0" fontId="0" fillId="17" borderId="0" pivotButton="0" quotePrefix="0" xfId="0"/>
    <xf numFmtId="0" fontId="20" fillId="17" borderId="0" pivotButton="0" quotePrefix="0" xfId="0"/>
    <xf numFmtId="0" fontId="0" fillId="18" borderId="0" pivotButton="0" quotePrefix="0" xfId="0"/>
    <xf numFmtId="0" fontId="5" fillId="18" borderId="0" pivotButton="0" quotePrefix="0" xfId="0"/>
    <xf numFmtId="0" fontId="20" fillId="17" borderId="0" applyAlignment="1" pivotButton="0" quotePrefix="0" xfId="0">
      <alignment wrapText="1"/>
    </xf>
    <xf numFmtId="0" fontId="5" fillId="18" borderId="0" applyAlignment="1" pivotButton="0" quotePrefix="0" xfId="0">
      <alignment wrapText="1"/>
    </xf>
    <xf numFmtId="0" fontId="0" fillId="19" borderId="0" pivotButton="0" quotePrefix="0" xfId="0"/>
    <xf numFmtId="0" fontId="22" fillId="19" borderId="0" pivotButton="0" quotePrefix="0" xfId="0"/>
    <xf numFmtId="0" fontId="22" fillId="19" borderId="0" applyAlignment="1" pivotButton="0" quotePrefix="0" xfId="0">
      <alignment wrapText="1"/>
    </xf>
    <xf numFmtId="0" fontId="20" fillId="20" borderId="0" applyAlignment="1" pivotButton="0" quotePrefix="0" xfId="0">
      <alignment wrapText="1"/>
    </xf>
    <xf numFmtId="0" fontId="5" fillId="21" borderId="0" applyAlignment="1" pivotButton="0" quotePrefix="0" xfId="0">
      <alignment wrapText="1"/>
    </xf>
    <xf numFmtId="0" fontId="22" fillId="22" borderId="0" applyAlignment="1" pivotButton="0" quotePrefix="0" xfId="0">
      <alignment wrapText="1"/>
    </xf>
    <xf numFmtId="0" fontId="2" fillId="3" borderId="0" applyAlignment="1" pivotButton="0" quotePrefix="0" xfId="0">
      <alignment vertical="center" wrapText="1"/>
    </xf>
    <xf numFmtId="0" fontId="18" fillId="8" borderId="0" applyAlignment="1" pivotButton="0" quotePrefix="0" xfId="0">
      <alignment vertical="center" wrapText="1"/>
    </xf>
    <xf numFmtId="0" fontId="20" fillId="11" borderId="0" applyAlignment="1" pivotButton="0" quotePrefix="0" xfId="0">
      <alignment wrapText="1"/>
    </xf>
    <xf numFmtId="0" fontId="5" fillId="12" borderId="0" applyAlignment="1" pivotButton="0" quotePrefix="0" xfId="0">
      <alignment wrapText="1"/>
    </xf>
    <xf numFmtId="0" fontId="6" fillId="0" borderId="4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20" fillId="11" borderId="0" applyAlignment="1" pivotButton="0" quotePrefix="0" xfId="0">
      <alignment vertical="center" wrapText="1"/>
    </xf>
    <xf numFmtId="0" fontId="5" fillId="12" borderId="0" applyAlignment="1" pivotButton="0" quotePrefix="0" xfId="0">
      <alignment vertical="center" wrapText="1"/>
    </xf>
    <xf numFmtId="164" fontId="6" fillId="0" borderId="5" applyAlignment="1" pivotButton="0" quotePrefix="0" xfId="0">
      <alignment vertical="center" wrapText="1"/>
    </xf>
    <xf numFmtId="0" fontId="0" fillId="23" borderId="0" pivotButton="0" quotePrefix="0" xfId="0"/>
    <xf numFmtId="0" fontId="5" fillId="23" borderId="0" pivotButton="0" quotePrefix="0" xfId="0"/>
    <xf numFmtId="0" fontId="5" fillId="23" borderId="0" applyAlignment="1" pivotButton="0" quotePrefix="0" xfId="0">
      <alignment horizontal="center"/>
    </xf>
    <xf numFmtId="0" fontId="5" fillId="23" borderId="0" applyAlignment="1" pivotButton="0" quotePrefix="0" xfId="0">
      <alignment horizontal="center" vertical="center"/>
    </xf>
    <xf numFmtId="0" fontId="0" fillId="24" borderId="0" pivotButton="0" quotePrefix="0" xfId="0"/>
    <xf numFmtId="0" fontId="23" fillId="24" borderId="0" pivotButton="0" quotePrefix="0" xfId="0"/>
    <xf numFmtId="0" fontId="23" fillId="24" borderId="6" pivotButton="0" quotePrefix="0" xfId="0"/>
    <xf numFmtId="0" fontId="23" fillId="24" borderId="6" applyAlignment="1" pivotButton="0" quotePrefix="0" xfId="0">
      <alignment wrapText="1"/>
    </xf>
    <xf numFmtId="0" fontId="23" fillId="24" borderId="6" applyAlignment="1" pivotButton="0" quotePrefix="0" xfId="0">
      <alignment vertical="center" wrapText="1"/>
    </xf>
    <xf numFmtId="0" fontId="23" fillId="25" borderId="6" applyAlignment="1" pivotButton="0" quotePrefix="0" xfId="0">
      <alignment vertical="center" wrapText="1"/>
    </xf>
    <xf numFmtId="0" fontId="24" fillId="25" borderId="6" applyAlignment="1" pivotButton="0" quotePrefix="0" xfId="0">
      <alignment vertical="center" wrapText="1"/>
    </xf>
    <xf numFmtId="0" fontId="24" fillId="25" borderId="7" applyAlignment="1" pivotButton="0" quotePrefix="0" xfId="0">
      <alignment vertical="center" wrapText="1"/>
    </xf>
    <xf numFmtId="0" fontId="24" fillId="26" borderId="7" applyAlignment="1" pivotButton="0" quotePrefix="0" xfId="0">
      <alignment vertical="center" wrapText="1"/>
    </xf>
    <xf numFmtId="0" fontId="23" fillId="26" borderId="6" applyAlignment="1" pivotButton="0" quotePrefix="0" xfId="0">
      <alignment vertical="center" wrapText="1"/>
    </xf>
    <xf numFmtId="0" fontId="25" fillId="26" borderId="7" applyAlignment="1" pivotButton="0" quotePrefix="0" xfId="0">
      <alignment vertical="center" wrapText="1"/>
    </xf>
    <xf numFmtId="0" fontId="25" fillId="26" borderId="6" applyAlignment="1" pivotButton="0" quotePrefix="0" xfId="0">
      <alignment vertical="center" wrapText="1"/>
    </xf>
    <xf numFmtId="0" fontId="25" fillId="27" borderId="6" applyAlignment="1" pivotButton="0" quotePrefix="0" xfId="0">
      <alignment vertical="center" wrapText="1"/>
    </xf>
    <xf numFmtId="0" fontId="24" fillId="27" borderId="6" applyAlignment="1" pivotButton="0" quotePrefix="0" xfId="0">
      <alignment vertical="center" wrapText="1"/>
    </xf>
    <xf numFmtId="0" fontId="24" fillId="27" borderId="7" applyAlignment="1" pivotButton="0" quotePrefix="0" xfId="0">
      <alignment vertical="center" wrapText="1"/>
    </xf>
    <xf numFmtId="0" fontId="13" fillId="5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164" fontId="6" fillId="0" borderId="5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164" fontId="0" fillId="0" borderId="0" pivotButton="0" quotePrefix="0" xfId="0"/>
    <xf numFmtId="164" fontId="0" fillId="0" borderId="0" applyAlignment="1" pivotButton="0" quotePrefix="0" xfId="0">
      <alignment wrapText="1"/>
    </xf>
    <xf numFmtId="165" fontId="23" fillId="26" borderId="6" applyAlignment="1" pivotButton="0" quotePrefix="0" xfId="0">
      <alignment vertical="center" wrapText="1"/>
    </xf>
    <xf numFmtId="165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6" fillId="0" borderId="5" applyAlignment="1" pivotButton="0" quotePrefix="0" xfId="0">
      <alignment vertical="top" wrapText="1"/>
    </xf>
    <xf numFmtId="0" fontId="0" fillId="28" borderId="0" pivotButton="0" quotePrefix="0" xfId="0"/>
    <xf numFmtId="0" fontId="26" fillId="28" borderId="0" pivotButton="0" quotePrefix="0" xfId="0"/>
    <xf numFmtId="0" fontId="26" fillId="28" borderId="0" applyAlignment="1" pivotButton="0" quotePrefix="0" xfId="0">
      <alignment vertical="center"/>
    </xf>
    <xf numFmtId="0" fontId="0" fillId="29" borderId="0" pivotButton="0" quotePrefix="0" xfId="0"/>
    <xf numFmtId="0" fontId="27" fillId="29" borderId="0" pivotButton="0" quotePrefix="0" xfId="0"/>
    <xf numFmtId="0" fontId="27" fillId="29" borderId="0" applyAlignment="1" pivotButton="0" quotePrefix="0" xfId="0">
      <alignment wrapText="1"/>
    </xf>
    <xf numFmtId="0" fontId="27" fillId="29" borderId="0" applyAlignment="1" pivotButton="0" quotePrefix="0" xfId="0">
      <alignment vertical="center" wrapText="1"/>
    </xf>
    <xf numFmtId="0" fontId="0" fillId="30" borderId="0" pivotButton="0" quotePrefix="0" xfId="0"/>
    <xf numFmtId="0" fontId="5" fillId="30" borderId="0" pivotButton="0" quotePrefix="0" xfId="0"/>
    <xf numFmtId="0" fontId="5" fillId="30" borderId="11" pivotButton="0" quotePrefix="0" xfId="0"/>
    <xf numFmtId="0" fontId="5" fillId="30" borderId="12" pivotButton="0" quotePrefix="0" xfId="0"/>
    <xf numFmtId="0" fontId="5" fillId="30" borderId="13" pivotButton="0" quotePrefix="0" xfId="0"/>
    <xf numFmtId="0" fontId="5" fillId="30" borderId="11" applyAlignment="1" pivotButton="0" quotePrefix="0" xfId="0">
      <alignment wrapText="1"/>
    </xf>
    <xf numFmtId="0" fontId="5" fillId="30" borderId="12" applyAlignment="1" pivotButton="0" quotePrefix="0" xfId="0">
      <alignment wrapText="1"/>
    </xf>
    <xf numFmtId="0" fontId="5" fillId="30" borderId="13" applyAlignment="1" pivotButton="0" quotePrefix="0" xfId="0">
      <alignment wrapText="1"/>
    </xf>
    <xf numFmtId="0" fontId="5" fillId="30" borderId="11" applyAlignment="1" pivotButton="0" quotePrefix="0" xfId="0">
      <alignment horizontal="center" wrapText="1"/>
    </xf>
    <xf numFmtId="0" fontId="5" fillId="30" borderId="12" applyAlignment="1" pivotButton="0" quotePrefix="0" xfId="0">
      <alignment horizontal="center" wrapText="1"/>
    </xf>
    <xf numFmtId="0" fontId="5" fillId="30" borderId="13" applyAlignment="1" pivotButton="0" quotePrefix="0" xfId="0">
      <alignment horizontal="center" wrapText="1"/>
    </xf>
    <xf numFmtId="0" fontId="5" fillId="30" borderId="11" applyAlignment="1" pivotButton="0" quotePrefix="0" xfId="0">
      <alignment horizontal="center" vertical="center" wrapText="1"/>
    </xf>
    <xf numFmtId="0" fontId="5" fillId="30" borderId="12" applyAlignment="1" pivotButton="0" quotePrefix="0" xfId="0">
      <alignment horizontal="center" vertical="center" wrapText="1"/>
    </xf>
    <xf numFmtId="0" fontId="5" fillId="30" borderId="13" applyAlignment="1" pivotButton="0" quotePrefix="0" xfId="0">
      <alignment horizontal="center" vertical="center" wrapText="1"/>
    </xf>
    <xf numFmtId="0" fontId="28" fillId="0" borderId="0" pivotButton="0" quotePrefix="0" xfId="0"/>
    <xf numFmtId="0" fontId="28" fillId="0" borderId="14" pivotButton="0" quotePrefix="0" xfId="0"/>
    <xf numFmtId="0" fontId="28" fillId="0" borderId="15" pivotButton="0" quotePrefix="0" xfId="0"/>
    <xf numFmtId="0" fontId="28" fillId="0" borderId="16" pivotButton="0" quotePrefix="0" xfId="0"/>
    <xf numFmtId="0" fontId="28" fillId="0" borderId="17" pivotButton="0" quotePrefix="0" xfId="0"/>
    <xf numFmtId="0" fontId="28" fillId="0" borderId="18" pivotButton="0" quotePrefix="0" xfId="0"/>
    <xf numFmtId="0" fontId="28" fillId="0" borderId="19" pivotButton="0" quotePrefix="0" xfId="0"/>
    <xf numFmtId="0" fontId="28" fillId="0" borderId="20" pivotButton="0" quotePrefix="0" xfId="0"/>
    <xf numFmtId="0" fontId="28" fillId="0" borderId="21" pivotButton="0" quotePrefix="0" xfId="0"/>
    <xf numFmtId="0" fontId="28" fillId="0" borderId="22" pivotButton="0" quotePrefix="0" xfId="0"/>
    <xf numFmtId="0" fontId="28" fillId="0" borderId="14" applyAlignment="1" pivotButton="0" quotePrefix="0" xfId="0">
      <alignment wrapText="1"/>
    </xf>
    <xf numFmtId="0" fontId="28" fillId="0" borderId="15" applyAlignment="1" pivotButton="0" quotePrefix="0" xfId="0">
      <alignment wrapText="1"/>
    </xf>
    <xf numFmtId="0" fontId="28" fillId="0" borderId="16" applyAlignment="1" pivotButton="0" quotePrefix="0" xfId="0">
      <alignment wrapText="1"/>
    </xf>
    <xf numFmtId="0" fontId="28" fillId="0" borderId="17" applyAlignment="1" pivotButton="0" quotePrefix="0" xfId="0">
      <alignment wrapText="1"/>
    </xf>
    <xf numFmtId="0" fontId="28" fillId="0" borderId="18" applyAlignment="1" pivotButton="0" quotePrefix="0" xfId="0">
      <alignment wrapText="1"/>
    </xf>
    <xf numFmtId="0" fontId="28" fillId="0" borderId="19" applyAlignment="1" pivotButton="0" quotePrefix="0" xfId="0">
      <alignment wrapText="1"/>
    </xf>
    <xf numFmtId="0" fontId="28" fillId="0" borderId="20" applyAlignment="1" pivotButton="0" quotePrefix="0" xfId="0">
      <alignment wrapText="1"/>
    </xf>
    <xf numFmtId="0" fontId="28" fillId="0" borderId="21" applyAlignment="1" pivotButton="0" quotePrefix="0" xfId="0">
      <alignment wrapText="1"/>
    </xf>
    <xf numFmtId="0" fontId="28" fillId="0" borderId="22" applyAlignment="1" pivotButton="0" quotePrefix="0" xfId="0">
      <alignment wrapText="1"/>
    </xf>
    <xf numFmtId="0" fontId="28" fillId="0" borderId="14" applyAlignment="1" pivotButton="0" quotePrefix="0" xfId="0">
      <alignment vertical="top" wrapText="1"/>
    </xf>
    <xf numFmtId="0" fontId="28" fillId="0" borderId="15" applyAlignment="1" pivotButton="0" quotePrefix="0" xfId="0">
      <alignment vertical="top" wrapText="1"/>
    </xf>
    <xf numFmtId="0" fontId="28" fillId="0" borderId="16" applyAlignment="1" pivotButton="0" quotePrefix="0" xfId="0">
      <alignment vertical="top" wrapText="1"/>
    </xf>
    <xf numFmtId="0" fontId="28" fillId="0" borderId="17" applyAlignment="1" pivotButton="0" quotePrefix="0" xfId="0">
      <alignment vertical="top" wrapText="1"/>
    </xf>
    <xf numFmtId="0" fontId="28" fillId="0" borderId="18" applyAlignment="1" pivotButton="0" quotePrefix="0" xfId="0">
      <alignment vertical="top" wrapText="1"/>
    </xf>
    <xf numFmtId="0" fontId="28" fillId="0" borderId="19" applyAlignment="1" pivotButton="0" quotePrefix="0" xfId="0">
      <alignment vertical="top" wrapText="1"/>
    </xf>
    <xf numFmtId="0" fontId="28" fillId="0" borderId="20" applyAlignment="1" pivotButton="0" quotePrefix="0" xfId="0">
      <alignment vertical="top" wrapText="1"/>
    </xf>
    <xf numFmtId="0" fontId="28" fillId="0" borderId="21" applyAlignment="1" pivotButton="0" quotePrefix="0" xfId="0">
      <alignment vertical="top" wrapText="1"/>
    </xf>
    <xf numFmtId="0" fontId="28" fillId="0" borderId="22" applyAlignment="1" pivotButton="0" quotePrefix="0" xfId="0">
      <alignment vertical="top" wrapText="1"/>
    </xf>
    <xf numFmtId="0" fontId="28" fillId="0" borderId="23" applyAlignment="1" pivotButton="0" quotePrefix="0" xfId="0">
      <alignment vertical="top" wrapText="1"/>
    </xf>
    <xf numFmtId="0" fontId="28" fillId="0" borderId="24" applyAlignment="1" pivotButton="0" quotePrefix="0" xfId="0">
      <alignment vertical="top" wrapText="1"/>
    </xf>
    <xf numFmtId="0" fontId="28" fillId="0" borderId="25" applyAlignment="1" pivotButton="0" quotePrefix="0" xfId="0">
      <alignment vertical="top" wrapText="1"/>
    </xf>
    <xf numFmtId="0" fontId="28" fillId="0" borderId="26" applyAlignment="1" pivotButton="0" quotePrefix="0" xfId="0">
      <alignment vertical="top" wrapText="1"/>
    </xf>
    <xf numFmtId="0" fontId="28" fillId="0" borderId="27" applyAlignment="1" pivotButton="0" quotePrefix="0" xfId="0">
      <alignment vertical="top" wrapText="1"/>
    </xf>
    <xf numFmtId="0" fontId="28" fillId="0" borderId="28" applyAlignment="1" pivotButton="0" quotePrefix="0" xfId="0">
      <alignment vertical="top" wrapText="1"/>
    </xf>
    <xf numFmtId="0" fontId="28" fillId="0" borderId="29" applyAlignment="1" pivotButton="0" quotePrefix="0" xfId="0">
      <alignment vertical="top" wrapText="1"/>
    </xf>
    <xf numFmtId="0" fontId="28" fillId="0" borderId="30" applyAlignment="1" pivotButton="0" quotePrefix="0" xfId="0">
      <alignment vertical="top" wrapText="1"/>
    </xf>
    <xf numFmtId="0" fontId="28" fillId="0" borderId="31" applyAlignment="1" pivotButton="0" quotePrefix="0" xfId="0">
      <alignment vertical="top" wrapText="1"/>
    </xf>
    <xf numFmtId="0" fontId="26" fillId="31" borderId="0" applyAlignment="1" pivotButton="0" quotePrefix="0" xfId="0">
      <alignment vertical="center"/>
    </xf>
    <xf numFmtId="0" fontId="27" fillId="32" borderId="0" applyAlignment="1" pivotButton="0" quotePrefix="0" xfId="0">
      <alignment vertical="center" wrapText="1"/>
    </xf>
    <xf numFmtId="0" fontId="5" fillId="33" borderId="11" applyAlignment="1" pivotButton="0" quotePrefix="0" xfId="0">
      <alignment horizontal="center" vertical="center" wrapText="1"/>
    </xf>
    <xf numFmtId="0" fontId="5" fillId="33" borderId="12" applyAlignment="1" pivotButton="0" quotePrefix="0" xfId="0">
      <alignment horizontal="center" vertical="center" wrapText="1"/>
    </xf>
    <xf numFmtId="0" fontId="5" fillId="33" borderId="13" applyAlignment="1" pivotButton="0" quotePrefix="0" xfId="0">
      <alignment horizontal="center" vertical="center" wrapText="1"/>
    </xf>
    <xf numFmtId="0" fontId="28" fillId="0" borderId="32" applyAlignment="1" pivotButton="0" quotePrefix="0" xfId="0">
      <alignment vertical="top" wrapText="1"/>
    </xf>
    <xf numFmtId="0" fontId="28" fillId="0" borderId="33" applyAlignment="1" pivotButton="0" quotePrefix="0" xfId="0">
      <alignment vertical="top" wrapText="1"/>
    </xf>
    <xf numFmtId="0" fontId="26" fillId="34" borderId="0" applyAlignment="1" pivotButton="0" quotePrefix="0" xfId="0">
      <alignment vertical="center"/>
    </xf>
    <xf numFmtId="0" fontId="0" fillId="34" borderId="0" pivotButton="0" quotePrefix="0" xfId="0"/>
    <xf numFmtId="0" fontId="26" fillId="34" borderId="0" pivotButton="0" quotePrefix="0" xfId="0"/>
    <xf numFmtId="0" fontId="27" fillId="35" borderId="0" applyAlignment="1" pivotButton="0" quotePrefix="0" xfId="0">
      <alignment vertical="center" wrapText="1"/>
    </xf>
    <xf numFmtId="0" fontId="0" fillId="35" borderId="0" pivotButton="0" quotePrefix="0" xfId="0"/>
    <xf numFmtId="0" fontId="27" fillId="35" borderId="0" pivotButton="0" quotePrefix="0" xfId="0"/>
    <xf numFmtId="0" fontId="27" fillId="35" borderId="0" applyAlignment="1" pivotButton="0" quotePrefix="0" xfId="0">
      <alignment wrapText="1"/>
    </xf>
    <xf numFmtId="0" fontId="5" fillId="36" borderId="11" applyAlignment="1" pivotButton="0" quotePrefix="0" xfId="0">
      <alignment horizontal="center" vertical="center" wrapText="1"/>
    </xf>
    <xf numFmtId="0" fontId="5" fillId="36" borderId="12" applyAlignment="1" pivotButton="0" quotePrefix="0" xfId="0">
      <alignment horizontal="center" vertical="center" wrapText="1"/>
    </xf>
    <xf numFmtId="0" fontId="5" fillId="36" borderId="13" applyAlignment="1" pivotButton="0" quotePrefix="0" xfId="0">
      <alignment horizontal="center" vertical="center" wrapText="1"/>
    </xf>
    <xf numFmtId="0" fontId="0" fillId="36" borderId="0" pivotButton="0" quotePrefix="0" xfId="0"/>
    <xf numFmtId="0" fontId="5" fillId="36" borderId="0" pivotButton="0" quotePrefix="0" xfId="0"/>
    <xf numFmtId="0" fontId="5" fillId="36" borderId="13" pivotButton="0" quotePrefix="0" xfId="0"/>
    <xf numFmtId="0" fontId="5" fillId="36" borderId="13" applyAlignment="1" pivotButton="0" quotePrefix="0" xfId="0">
      <alignment wrapText="1"/>
    </xf>
    <xf numFmtId="0" fontId="5" fillId="36" borderId="13" applyAlignment="1" pivotButton="0" quotePrefix="0" xfId="0">
      <alignment horizontal="center" wrapText="1"/>
    </xf>
    <xf numFmtId="0" fontId="28" fillId="0" borderId="32" pivotButton="0" quotePrefix="0" xfId="0"/>
    <xf numFmtId="0" fontId="28" fillId="0" borderId="33" pivotButton="0" quotePrefix="0" xfId="0"/>
    <xf numFmtId="0" fontId="28" fillId="0" borderId="32" applyAlignment="1" pivotButton="0" quotePrefix="0" xfId="0">
      <alignment wrapText="1"/>
    </xf>
    <xf numFmtId="0" fontId="28" fillId="0" borderId="33" applyAlignment="1" pivotButton="0" quotePrefix="0" xfId="0">
      <alignment wrapText="1"/>
    </xf>
    <xf numFmtId="0" fontId="5" fillId="34" borderId="0" pivotButton="0" quotePrefix="0" xfId="0"/>
    <xf numFmtId="0" fontId="5" fillId="34" borderId="0" applyAlignment="1" pivotButton="0" quotePrefix="0" xfId="0">
      <alignment horizontal="center"/>
    </xf>
    <xf numFmtId="0" fontId="5" fillId="36" borderId="0" applyAlignment="1" pivotButton="0" quotePrefix="0" xfId="0">
      <alignment horizontal="center"/>
    </xf>
    <xf numFmtId="0" fontId="0" fillId="0" borderId="14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2" pivotButton="0" quotePrefix="0" xfId="0"/>
    <xf numFmtId="0" fontId="0" fillId="0" borderId="14" applyAlignment="1" pivotButton="0" quotePrefix="0" xfId="0">
      <alignment wrapText="1"/>
    </xf>
    <xf numFmtId="0" fontId="0" fillId="0" borderId="16" applyAlignment="1" pivotButton="0" quotePrefix="0" xfId="0">
      <alignment wrapText="1"/>
    </xf>
    <xf numFmtId="0" fontId="0" fillId="0" borderId="17" applyAlignment="1" pivotButton="0" quotePrefix="0" xfId="0">
      <alignment wrapText="1"/>
    </xf>
    <xf numFmtId="0" fontId="0" fillId="0" borderId="19" applyAlignment="1" pivotButton="0" quotePrefix="0" xfId="0">
      <alignment wrapText="1"/>
    </xf>
    <xf numFmtId="0" fontId="0" fillId="0" borderId="20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14" applyAlignment="1" pivotButton="0" quotePrefix="0" xfId="0">
      <alignment vertical="top" wrapText="1"/>
    </xf>
    <xf numFmtId="0" fontId="0" fillId="0" borderId="16" applyAlignment="1" pivotButton="0" quotePrefix="0" xfId="0">
      <alignment vertical="top" wrapText="1"/>
    </xf>
    <xf numFmtId="0" fontId="0" fillId="0" borderId="17" applyAlignment="1" pivotButton="0" quotePrefix="0" xfId="0">
      <alignment vertical="top" wrapText="1"/>
    </xf>
    <xf numFmtId="0" fontId="0" fillId="0" borderId="19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0" borderId="22" applyAlignment="1" pivotButton="0" quotePrefix="0" xfId="0">
      <alignment vertical="top" wrapText="1"/>
    </xf>
    <xf numFmtId="0" fontId="0" fillId="37" borderId="0" pivotButton="0" quotePrefix="0" xfId="0"/>
    <xf numFmtId="0" fontId="26" fillId="37" borderId="0" pivotButton="0" quotePrefix="0" xfId="0"/>
    <xf numFmtId="0" fontId="26" fillId="37" borderId="0" applyAlignment="1" pivotButton="0" quotePrefix="0" xfId="0">
      <alignment vertical="center"/>
    </xf>
    <xf numFmtId="0" fontId="0" fillId="38" borderId="0" pivotButton="0" quotePrefix="0" xfId="0"/>
    <xf numFmtId="0" fontId="27" fillId="38" borderId="0" pivotButton="0" quotePrefix="0" xfId="0"/>
    <xf numFmtId="0" fontId="27" fillId="38" borderId="0" applyAlignment="1" pivotButton="0" quotePrefix="0" xfId="0">
      <alignment wrapText="1"/>
    </xf>
    <xf numFmtId="0" fontId="27" fillId="38" borderId="0" applyAlignment="1" pivotButton="0" quotePrefix="0" xfId="0">
      <alignment vertical="center" wrapText="1"/>
    </xf>
    <xf numFmtId="0" fontId="0" fillId="39" borderId="0" pivotButton="0" quotePrefix="0" xfId="0"/>
    <xf numFmtId="0" fontId="5" fillId="39" borderId="0" pivotButton="0" quotePrefix="0" xfId="0"/>
    <xf numFmtId="0" fontId="5" fillId="39" borderId="11" pivotButton="0" quotePrefix="0" xfId="0"/>
    <xf numFmtId="0" fontId="5" fillId="39" borderId="12" pivotButton="0" quotePrefix="0" xfId="0"/>
    <xf numFmtId="0" fontId="5" fillId="39" borderId="13" pivotButton="0" quotePrefix="0" xfId="0"/>
    <xf numFmtId="0" fontId="5" fillId="39" borderId="11" applyAlignment="1" pivotButton="0" quotePrefix="0" xfId="0">
      <alignment wrapText="1"/>
    </xf>
    <xf numFmtId="0" fontId="5" fillId="39" borderId="12" applyAlignment="1" pivotButton="0" quotePrefix="0" xfId="0">
      <alignment wrapText="1"/>
    </xf>
    <xf numFmtId="0" fontId="5" fillId="39" borderId="13" applyAlignment="1" pivotButton="0" quotePrefix="0" xfId="0">
      <alignment wrapText="1"/>
    </xf>
    <xf numFmtId="0" fontId="5" fillId="39" borderId="11" applyAlignment="1" pivotButton="0" quotePrefix="0" xfId="0">
      <alignment horizontal="center" wrapText="1"/>
    </xf>
    <xf numFmtId="0" fontId="5" fillId="39" borderId="12" applyAlignment="1" pivotButton="0" quotePrefix="0" xfId="0">
      <alignment horizontal="center" wrapText="1"/>
    </xf>
    <xf numFmtId="0" fontId="5" fillId="39" borderId="13" applyAlignment="1" pivotButton="0" quotePrefix="0" xfId="0">
      <alignment horizontal="center" wrapText="1"/>
    </xf>
    <xf numFmtId="0" fontId="5" fillId="39" borderId="11" applyAlignment="1" pivotButton="0" quotePrefix="0" xfId="0">
      <alignment horizontal="center" vertical="center" wrapText="1"/>
    </xf>
    <xf numFmtId="0" fontId="5" fillId="39" borderId="12" applyAlignment="1" pivotButton="0" quotePrefix="0" xfId="0">
      <alignment horizontal="center" vertical="center" wrapText="1"/>
    </xf>
    <xf numFmtId="0" fontId="5" fillId="39" borderId="13" applyAlignment="1" pivotButton="0" quotePrefix="0" xfId="0">
      <alignment horizontal="center" vertical="center" wrapText="1"/>
    </xf>
    <xf numFmtId="0" fontId="28" fillId="0" borderId="0" applyAlignment="1" pivotButton="0" quotePrefix="0" xfId="0">
      <alignment wrapText="1"/>
    </xf>
    <xf numFmtId="0" fontId="28" fillId="0" borderId="0" applyAlignment="1" pivotButton="0" quotePrefix="0" xfId="0">
      <alignment vertical="top" wrapText="1"/>
    </xf>
    <xf numFmtId="0" fontId="28" fillId="0" borderId="34" applyAlignment="1" pivotButton="0" quotePrefix="0" xfId="0">
      <alignment vertical="top" wrapText="1"/>
    </xf>
    <xf numFmtId="0" fontId="28" fillId="0" borderId="35" applyAlignment="1" pivotButton="0" quotePrefix="0" xfId="0">
      <alignment vertical="top" wrapText="1"/>
    </xf>
    <xf numFmtId="0" fontId="28" fillId="0" borderId="36" applyAlignment="1" pivotButton="0" quotePrefix="0" xfId="0">
      <alignment vertical="top" wrapText="1"/>
    </xf>
    <xf numFmtId="0" fontId="29" fillId="38" borderId="0" pivotButton="0" quotePrefix="0" xfId="0"/>
    <xf numFmtId="0" fontId="29" fillId="38" borderId="0" applyAlignment="1" pivotButton="0" quotePrefix="0" xfId="0">
      <alignment wrapText="1"/>
    </xf>
    <xf numFmtId="0" fontId="29" fillId="38" borderId="0" applyAlignment="1" pivotButton="0" quotePrefix="0" xfId="0">
      <alignment vertical="center" wrapText="1"/>
    </xf>
    <xf numFmtId="0" fontId="5" fillId="39" borderId="0" applyAlignment="1" pivotButton="0" quotePrefix="0" xfId="0">
      <alignment horizontal="center"/>
    </xf>
    <xf numFmtId="0" fontId="5" fillId="39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0" borderId="23" applyAlignment="1" pivotButton="0" quotePrefix="0" xfId="0">
      <alignment vertical="top" wrapText="1"/>
    </xf>
    <xf numFmtId="0" fontId="0" fillId="0" borderId="24" applyAlignment="1" pivotButton="0" quotePrefix="0" xfId="0">
      <alignment vertical="top" wrapText="1"/>
    </xf>
    <xf numFmtId="0" fontId="0" fillId="0" borderId="25" applyAlignment="1" pivotButton="0" quotePrefix="0" xfId="0">
      <alignment vertical="top" wrapText="1"/>
    </xf>
    <xf numFmtId="0" fontId="0" fillId="0" borderId="26" applyAlignment="1" pivotButton="0" quotePrefix="0" xfId="0">
      <alignment vertical="top" wrapText="1"/>
    </xf>
    <xf numFmtId="0" fontId="0" fillId="0" borderId="27" applyAlignment="1" pivotButton="0" quotePrefix="0" xfId="0">
      <alignment vertical="top" wrapText="1"/>
    </xf>
    <xf numFmtId="0" fontId="0" fillId="0" borderId="28" applyAlignment="1" pivotButton="0" quotePrefix="0" xfId="0">
      <alignment vertical="top" wrapText="1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40" borderId="29" pivotButton="0" quotePrefix="0" xfId="0"/>
    <xf numFmtId="0" fontId="0" fillId="40" borderId="30" pivotButton="0" quotePrefix="0" xfId="0"/>
    <xf numFmtId="0" fontId="0" fillId="40" borderId="31" pivotButton="0" quotePrefix="0" xfId="0"/>
    <xf numFmtId="0" fontId="30" fillId="40" borderId="29" pivotButton="0" quotePrefix="0" xfId="0"/>
    <xf numFmtId="0" fontId="30" fillId="40" borderId="30" pivotButton="0" quotePrefix="0" xfId="0"/>
    <xf numFmtId="0" fontId="30" fillId="40" borderId="31" pivotButton="0" quotePrefix="0" xfId="0"/>
    <xf numFmtId="0" fontId="5" fillId="37" borderId="0" pivotButton="0" quotePrefix="0" xfId="0"/>
    <xf numFmtId="0" fontId="5" fillId="37" borderId="0" applyAlignment="1" pivotButton="0" quotePrefix="0" xfId="0">
      <alignment horizontal="center"/>
    </xf>
    <xf numFmtId="0" fontId="0" fillId="0" borderId="37" applyAlignment="1" pivotButton="0" quotePrefix="0" xfId="0">
      <alignment vertical="top" wrapText="1"/>
    </xf>
    <xf numFmtId="0" fontId="0" fillId="0" borderId="38" applyAlignment="1" pivotButton="0" quotePrefix="0" xfId="0">
      <alignment vertical="top" wrapText="1"/>
    </xf>
    <xf numFmtId="0" fontId="0" fillId="0" borderId="39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center" wrapText="1"/>
    </xf>
    <xf numFmtId="0" fontId="6" fillId="0" borderId="4" applyAlignment="1" pivotButton="0" quotePrefix="0" xfId="0">
      <alignment vertical="top" wrapText="1"/>
    </xf>
    <xf numFmtId="164" fontId="6" fillId="0" borderId="4" applyAlignment="1" pivotButton="0" quotePrefix="0" xfId="0">
      <alignment vertical="top" wrapText="1"/>
    </xf>
    <xf numFmtId="164" fontId="6" fillId="0" borderId="5" applyAlignment="1" pivotButton="0" quotePrefix="0" xfId="0">
      <alignment vertical="top" wrapText="1"/>
    </xf>
    <xf numFmtId="0" fontId="6" fillId="0" borderId="5" applyAlignment="1" pivotButton="0" quotePrefix="0" xfId="0">
      <alignment vertical="center" wrapText="1"/>
    </xf>
    <xf numFmtId="164" fontId="6" fillId="0" borderId="5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  <xf numFmtId="0" fontId="24" fillId="25" borderId="7" applyAlignment="1" pivotButton="0" quotePrefix="0" xfId="0">
      <alignment vertical="center" wrapText="1"/>
    </xf>
    <xf numFmtId="0" fontId="23" fillId="24" borderId="6" applyAlignment="1" pivotButton="0" quotePrefix="0" xfId="0">
      <alignment vertical="center" wrapText="1"/>
    </xf>
    <xf numFmtId="165" fontId="23" fillId="24" borderId="6" applyAlignment="1" pivotButton="0" quotePrefix="0" xfId="0">
      <alignment vertical="center" wrapText="1"/>
    </xf>
    <xf numFmtId="0" fontId="26" fillId="28" borderId="0" applyAlignment="1" pivotButton="0" quotePrefix="0" xfId="0">
      <alignment vertical="center" wrapText="1"/>
    </xf>
    <xf numFmtId="0" fontId="29" fillId="29" borderId="0" applyAlignment="1" pivotButton="0" quotePrefix="0" xfId="0">
      <alignment vertical="center" wrapText="1"/>
    </xf>
    <xf numFmtId="0" fontId="5" fillId="30" borderId="0" applyAlignment="1" pivotButton="0" quotePrefix="0" xfId="0">
      <alignment horizontal="center" vertical="center" wrapText="1"/>
    </xf>
    <xf numFmtId="0" fontId="30" fillId="40" borderId="29" applyAlignment="1" pivotButton="0" quotePrefix="0" xfId="0">
      <alignment wrapText="1"/>
    </xf>
    <xf numFmtId="0" fontId="30" fillId="40" borderId="30" applyAlignment="1" pivotButton="0" quotePrefix="0" xfId="0">
      <alignment wrapText="1"/>
    </xf>
    <xf numFmtId="0" fontId="30" fillId="40" borderId="31" applyAlignment="1" pivotButton="0" quotePrefix="0" xfId="0">
      <alignment wrapText="1"/>
    </xf>
    <xf numFmtId="0" fontId="8" fillId="2" borderId="0" applyAlignment="1" pivotButton="0" quotePrefix="0" xfId="0">
      <alignment vertical="center" wrapText="1"/>
    </xf>
    <xf numFmtId="0" fontId="9" fillId="3" borderId="0" applyAlignment="1" pivotButton="0" quotePrefix="0" xfId="0">
      <alignment vertical="center" wrapText="1"/>
    </xf>
    <xf numFmtId="0" fontId="10" fillId="0" borderId="0" applyAlignment="1" pivotButton="0" quotePrefix="0" xfId="0">
      <alignment wrapText="1"/>
    </xf>
    <xf numFmtId="0" fontId="11" fillId="4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3" fillId="5" borderId="2" applyAlignment="1" pivotButton="0" quotePrefix="0" xfId="0">
      <alignment horizontal="center" vertical="center" wrapText="1"/>
    </xf>
    <xf numFmtId="0" fontId="13" fillId="5" borderId="3" applyAlignment="1" pivotButton="0" quotePrefix="0" xfId="0">
      <alignment horizontal="center" vertical="center" wrapText="1"/>
    </xf>
    <xf numFmtId="0" fontId="13" fillId="5" borderId="8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3" applyAlignment="1" pivotButton="0" quotePrefix="0" xfId="0">
      <alignment wrapText="1"/>
    </xf>
    <xf numFmtId="0" fontId="14" fillId="0" borderId="4" applyAlignment="1" pivotButton="0" quotePrefix="0" xfId="0">
      <alignment vertical="top" wrapText="1"/>
    </xf>
    <xf numFmtId="0" fontId="15" fillId="6" borderId="0" applyAlignment="1" pivotButton="0" quotePrefix="0" xfId="0">
      <alignment horizontal="center" wrapText="1"/>
    </xf>
    <xf numFmtId="0" fontId="14" fillId="0" borderId="5" applyAlignment="1" pivotButton="0" quotePrefix="0" xfId="0">
      <alignment vertical="top" wrapText="1"/>
    </xf>
    <xf numFmtId="165" fontId="0" fillId="0" borderId="0" applyAlignment="1" pivotButton="0" quotePrefix="0" xfId="0">
      <alignment wrapText="1"/>
    </xf>
    <xf numFmtId="0" fontId="0" fillId="41" borderId="0" pivotButton="0" quotePrefix="0" xfId="0"/>
    <xf numFmtId="0" fontId="26" fillId="41" borderId="0" pivotButton="0" quotePrefix="0" xfId="0"/>
    <xf numFmtId="0" fontId="26" fillId="41" borderId="0" pivotButton="0" quotePrefix="0" xfId="0"/>
    <xf numFmtId="0" fontId="0" fillId="42" borderId="0" pivotButton="0" quotePrefix="0" xfId="0"/>
    <xf numFmtId="0" fontId="27" fillId="42" borderId="0" pivotButton="0" quotePrefix="0" xfId="0"/>
    <xf numFmtId="0" fontId="27" fillId="42" borderId="0" applyAlignment="1" pivotButton="0" quotePrefix="0" xfId="0">
      <alignment wrapText="1"/>
    </xf>
    <xf numFmtId="0" fontId="0" fillId="43" borderId="0" pivotButton="0" quotePrefix="0" xfId="0"/>
    <xf numFmtId="0" fontId="5" fillId="43" borderId="0" pivotButton="0" quotePrefix="0" xfId="0"/>
    <xf numFmtId="0" fontId="5" fillId="43" borderId="40" pivotButton="0" quotePrefix="0" xfId="0"/>
    <xf numFmtId="0" fontId="5" fillId="43" borderId="40" applyAlignment="1" pivotButton="0" quotePrefix="0" xfId="0">
      <alignment wrapText="1"/>
    </xf>
    <xf numFmtId="0" fontId="5" fillId="43" borderId="40" applyAlignment="1" pivotButton="0" quotePrefix="0" xfId="0">
      <alignment horizontal="center" wrapText="1"/>
    </xf>
    <xf numFmtId="0" fontId="5" fillId="43" borderId="40" applyAlignment="1" pivotButton="0" quotePrefix="0" xfId="0">
      <alignment horizontal="center" vertical="center" wrapText="1"/>
    </xf>
    <xf numFmtId="0" fontId="28" fillId="0" borderId="18" applyAlignment="1" pivotButton="0" quotePrefix="0" xfId="0">
      <alignment vertical="center" wrapText="1"/>
    </xf>
    <xf numFmtId="164" fontId="28" fillId="0" borderId="18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4" fontId="0" fillId="0" borderId="0" pivotButton="0" quotePrefix="0" xfId="0"/>
    <xf numFmtId="0" fontId="10" fillId="0" borderId="0" pivotButton="0" quotePrefix="0" xfId="0"/>
    <xf numFmtId="0" fontId="10" fillId="44" borderId="0" pivotButton="0" quotePrefix="0" xfId="0"/>
    <xf numFmtId="0" fontId="31" fillId="44" borderId="0" pivotButton="0" quotePrefix="0" xfId="0"/>
    <xf numFmtId="0" fontId="10" fillId="0" borderId="0" applyAlignment="1" pivotButton="0" quotePrefix="0" xfId="0">
      <alignment wrapText="1"/>
    </xf>
    <xf numFmtId="0" fontId="31" fillId="45" borderId="0" pivotButton="0" quotePrefix="0" xfId="0"/>
    <xf numFmtId="0" fontId="31" fillId="46" borderId="0" pivotButton="0" quotePrefix="0" xfId="0"/>
    <xf numFmtId="0" fontId="31" fillId="47" borderId="0" pivotButton="0" quotePrefix="0" xfId="0"/>
    <xf numFmtId="0" fontId="31" fillId="48" borderId="0" pivotButton="0" quotePrefix="0" xfId="0"/>
    <xf numFmtId="0" fontId="31" fillId="49" borderId="0" pivotButton="0" quotePrefix="0" xfId="0"/>
    <xf numFmtId="0" fontId="31" fillId="50" borderId="0" pivotButton="0" quotePrefix="0" xfId="0"/>
    <xf numFmtId="0" fontId="31" fillId="51" borderId="0" pivotButton="0" quotePrefix="0" xfId="0"/>
    <xf numFmtId="0" fontId="31" fillId="52" borderId="0" pivotButton="0" quotePrefix="0" xfId="0"/>
    <xf numFmtId="0" fontId="31" fillId="53" borderId="0" pivotButton="0" quotePrefix="0" xfId="0"/>
    <xf numFmtId="0" fontId="0" fillId="0" borderId="0" applyAlignment="1" pivotButton="0" quotePrefix="0" xfId="0">
      <alignment vertical="center" wrapText="1"/>
    </xf>
    <xf numFmtId="0" fontId="31" fillId="54" borderId="0" pivotButton="0" quotePrefix="0" xfId="0"/>
    <xf numFmtId="0" fontId="0" fillId="55" borderId="0" applyAlignment="1" pivotButton="0" quotePrefix="0" xfId="0">
      <alignment vertical="center" wrapText="1"/>
    </xf>
    <xf numFmtId="0" fontId="0" fillId="55" borderId="0" applyAlignment="1" pivotButton="0" quotePrefix="0" xfId="0">
      <alignment wrapText="1"/>
    </xf>
    <xf numFmtId="0" fontId="32" fillId="55" borderId="0" applyAlignment="1" pivotButton="0" quotePrefix="0" xfId="0">
      <alignment vertical="center" wrapText="1"/>
    </xf>
    <xf numFmtId="0" fontId="32" fillId="55" borderId="0" applyAlignment="1" pivotButton="0" quotePrefix="0" xfId="0">
      <alignment wrapText="1"/>
    </xf>
    <xf numFmtId="0" fontId="31" fillId="56" borderId="0" pivotButton="0" quotePrefix="0" xfId="0"/>
    <xf numFmtId="0" fontId="31" fillId="57" borderId="0" pivotButton="0" quotePrefix="0" xfId="0"/>
    <xf numFmtId="0" fontId="31" fillId="58" borderId="0" pivotButton="0" quotePrefix="0" xfId="0"/>
    <xf numFmtId="0" fontId="31" fillId="59" borderId="0" pivotButton="0" quotePrefix="0" xfId="0"/>
    <xf numFmtId="0" fontId="3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35" fillId="37" borderId="0" applyAlignment="1" pivotButton="0" quotePrefix="0" xfId="0">
      <alignment horizontal="center" vertical="center"/>
    </xf>
    <xf numFmtId="0" fontId="36" fillId="38" borderId="0" applyAlignment="1" pivotButton="0" quotePrefix="0" xfId="0">
      <alignment vertical="top" wrapText="1"/>
    </xf>
    <xf numFmtId="0" fontId="37" fillId="61" borderId="11" applyAlignment="1" pivotButton="0" quotePrefix="0" xfId="0">
      <alignment horizontal="center"/>
    </xf>
    <xf numFmtId="0" fontId="37" fillId="61" borderId="12" applyAlignment="1" pivotButton="0" quotePrefix="0" xfId="0">
      <alignment horizontal="center"/>
    </xf>
    <xf numFmtId="0" fontId="37" fillId="61" borderId="13" applyAlignment="1" pivotButton="0" quotePrefix="0" xfId="0">
      <alignment horizontal="center"/>
    </xf>
    <xf numFmtId="0" fontId="34" fillId="60" borderId="23" applyAlignment="1" pivotButton="0" quotePrefix="0" xfId="0">
      <alignment vertical="top" wrapText="1"/>
    </xf>
    <xf numFmtId="0" fontId="34" fillId="0" borderId="24" applyAlignment="1" pivotButton="0" quotePrefix="0" xfId="0">
      <alignment vertical="top" wrapText="1"/>
    </xf>
    <xf numFmtId="0" fontId="34" fillId="0" borderId="25" applyAlignment="1" pivotButton="0" quotePrefix="0" xfId="0">
      <alignment vertical="top" wrapText="1"/>
    </xf>
    <xf numFmtId="0" fontId="34" fillId="60" borderId="29" applyAlignment="1" pivotButton="0" quotePrefix="0" xfId="0">
      <alignment vertical="top" wrapText="1"/>
    </xf>
    <xf numFmtId="0" fontId="34" fillId="0" borderId="30" applyAlignment="1" pivotButton="0" quotePrefix="0" xfId="0">
      <alignment vertical="top" wrapText="1"/>
    </xf>
    <xf numFmtId="0" fontId="34" fillId="0" borderId="31" applyAlignment="1" pivotButton="0" quotePrefix="0" xfId="0">
      <alignment vertical="top" wrapText="1"/>
    </xf>
    <xf numFmtId="0" fontId="34" fillId="60" borderId="0" pivotButton="0" quotePrefix="0" xfId="0"/>
    <xf numFmtId="0" fontId="34" fillId="0" borderId="0" pivotButton="0" quotePrefix="0" xfId="0"/>
    <xf numFmtId="0" fontId="37" fillId="61" borderId="0" applyAlignment="1" pivotButton="0" quotePrefix="0" xfId="0">
      <alignment horizontal="center"/>
    </xf>
    <xf numFmtId="0" fontId="38" fillId="62" borderId="26" applyAlignment="1" pivotButton="0" quotePrefix="0" xfId="0">
      <alignment horizontal="center"/>
    </xf>
    <xf numFmtId="0" fontId="38" fillId="6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42" pivotButton="0" quotePrefix="0" xfId="0"/>
    <xf numFmtId="0" fontId="0" fillId="0" borderId="23" pivotButton="0" quotePrefix="0" xfId="0"/>
    <xf numFmtId="0" fontId="11" fillId="4" borderId="43" applyAlignment="1" pivotButton="0" quotePrefix="0" xfId="0">
      <alignment vertical="center" wrapText="1"/>
    </xf>
    <xf numFmtId="0" fontId="0" fillId="0" borderId="45" pivotButton="0" quotePrefix="0" xfId="0"/>
    <xf numFmtId="0" fontId="0" fillId="0" borderId="43" pivotButton="0" quotePrefix="0" xfId="0"/>
  </cellXfs>
  <cellStyles count="1">
    <cellStyle name="Normal" xfId="0"/>
  </cellStyles>
  <dxfs count="3"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3" customWidth="1" min="4" max="4"/>
    <col width="8" customWidth="1" min="5" max="5"/>
    <col width="30" customWidth="1" min="6" max="6"/>
    <col width="42" customWidth="1" min="7" max="7"/>
    <col width="3" customWidth="1" min="8" max="8"/>
    <col width="21" customWidth="1" min="9" max="9"/>
    <col width="21" customWidth="1" min="10" max="10"/>
  </cols>
  <sheetData>
    <row r="1" ht="25" customHeight="1">
      <c r="A1" s="317" t="inlineStr">
        <is>
          <t>SHELLSTORM 2 · 特效美术账本 v0.1</t>
        </is>
      </c>
    </row>
    <row r="2" ht="12" customHeight="1"/>
    <row r="3" ht="23" customHeight="1">
      <c r="A3" s="318" t="inlineStr">
        <is>
          <t>归属域=特效｜覆盖大类=特效｜AssetID 前缀=VFX / FX｜主账本（总目录）=assets/registry/ShellStorm2_美术资产台账_v001.xlsx；本账本可独立并行编辑，跨域契约见主账本</t>
        </is>
      </c>
    </row>
    <row r="4">
      <c r="A4" s="354" t="n"/>
      <c r="B4" s="354" t="n"/>
      <c r="C4" s="354" t="n"/>
      <c r="D4" s="354" t="n"/>
      <c r="E4" s="354" t="n"/>
      <c r="F4" s="354" t="n"/>
      <c r="G4" s="354" t="n"/>
      <c r="H4" s="354" t="n"/>
      <c r="I4" s="354" t="n"/>
      <c r="J4" s="354" t="n"/>
    </row>
    <row r="5">
      <c r="A5" s="320" t="inlineStr">
        <is>
          <t>资产总数</t>
        </is>
      </c>
      <c r="B5" s="320" t="str"/>
      <c r="C5" s="320" t="inlineStr">
        <is>
          <t>已完成/已接入</t>
        </is>
      </c>
      <c r="D5" s="320" t="str"/>
      <c r="E5" s="320" t="inlineStr">
        <is>
          <t>待制作/程序占位</t>
        </is>
      </c>
      <c r="F5" s="320" t="str"/>
      <c r="G5" s="320" t="inlineStr">
        <is>
          <t>重复警报</t>
        </is>
      </c>
      <c r="H5" s="320" t="str"/>
      <c r="I5" s="320" t="inlineStr">
        <is>
          <t>域内专表 / 3D Prefab 分页</t>
        </is>
      </c>
      <c r="J5" s="320" t="n"/>
    </row>
    <row r="6" ht="42" customHeight="1">
      <c r="A6" s="321">
        <f>COUNTA('资产主表'!$A$6:$A$21)</f>
        <v/>
      </c>
      <c r="B6" s="354" t="n"/>
      <c r="C6" s="321">
        <f>COUNTIF('资产主表'!$K$6:$K$21,"已完成")+COUNTIF('资产主表'!$K$6:$K$21,"原型已接入")+COUNTIF('资产主表'!$K$6:$K$21,"正式美术已接入")+COUNTIF('资产主表'!$K$6:$K$21,"已优化并正式接入")+COUNTIF('资产主表'!$K$6:$K$21,"Blender源已完成")+COUNTIF('资产主表'!$K$6:$K$21,"已导入；优化完成")</f>
        <v/>
      </c>
      <c r="D6" s="354" t="n"/>
      <c r="E6" s="321">
        <f>COUNTIF('资产主表'!$K$6:$K$21,"待制作")+COUNTIF('资产主表'!$K$6:$K$21,"程序占位")</f>
        <v/>
      </c>
      <c r="F6" s="354" t="n"/>
      <c r="G6" s="321">
        <f>COUNTIF('资产主表'!$S$6:$S$21,"重复")</f>
        <v/>
      </c>
      <c r="H6" s="354" t="n"/>
      <c r="I6" s="320" t="inlineStr">
        <is>
          <t>域内专表：3D-特效　|　3D Prefab 分页：3D-特效</t>
        </is>
      </c>
    </row>
    <row r="7">
      <c r="A7" s="354" t="n"/>
      <c r="B7" s="354" t="n"/>
      <c r="C7" s="354" t="n"/>
      <c r="D7" s="354" t="n"/>
      <c r="E7" s="354" t="n"/>
      <c r="F7" s="354" t="n"/>
      <c r="G7" s="354" t="n"/>
      <c r="H7" s="354" t="n"/>
      <c r="I7" s="354" t="n"/>
      <c r="J7" s="354" t="n"/>
    </row>
    <row r="8">
      <c r="A8" s="354" t="n"/>
      <c r="B8" s="354" t="n"/>
      <c r="C8" s="354" t="n"/>
      <c r="D8" s="354" t="n"/>
      <c r="E8" s="354" t="n"/>
      <c r="F8" s="354" t="n"/>
      <c r="G8" s="354" t="n"/>
      <c r="H8" s="354" t="n"/>
      <c r="I8" s="354" t="n"/>
      <c r="J8" s="354" t="n"/>
    </row>
    <row r="9" ht="32" customHeight="1">
      <c r="A9" s="323" t="inlineStr">
        <is>
          <t>大类</t>
        </is>
      </c>
      <c r="B9" s="323" t="inlineStr">
        <is>
          <t>资产数</t>
        </is>
      </c>
      <c r="C9" s="323" t="inlineStr">
        <is>
          <t>完成/接入</t>
        </is>
      </c>
      <c r="D9" s="323" t="n"/>
      <c r="E9" s="396" t="inlineStr">
        <is>
          <t>本账本只登记上列大类；跨域搬运资产须同步主账本《分类与编码》并重跑门禁</t>
        </is>
      </c>
      <c r="F9" s="397" t="n"/>
      <c r="G9" s="397" t="n"/>
      <c r="H9" s="397" t="n"/>
      <c r="I9" s="397" t="n"/>
      <c r="J9" s="398" t="n"/>
    </row>
    <row r="10" ht="22" customHeight="1">
      <c r="A10" s="301" t="inlineStr">
        <is>
          <t>特效</t>
        </is>
      </c>
      <c r="B10" s="301">
        <f>COUNTIF('资产主表'!$C$6:$C$21,A10)</f>
        <v/>
      </c>
      <c r="C10" s="301">
        <f>SUMPRODUCT(('资产主表'!$C$6:$C$21=A10)*(('资产主表'!$K$6:$K$21="已完成")+('资产主表'!$K$6:$K$21="原型已接入")+('资产主表'!$K$6:$K$21="正式美术已接入")+('资产主表'!$K$6:$K$21="已优化并正式接入")+('资产主表'!$K$6:$K$21="Blender源已完成")+('资产主表'!$K$6:$K$21="已导入；优化完成")))</f>
        <v/>
      </c>
      <c r="D10" s="301" t="n"/>
      <c r="E10" s="301" t="n"/>
      <c r="F10" s="301" t="n"/>
      <c r="G10" s="301" t="n"/>
      <c r="H10" s="301" t="n"/>
      <c r="I10" s="301" t="n"/>
      <c r="J10" s="301" t="n"/>
    </row>
    <row r="11">
      <c r="A11" s="323" t="inlineStr">
        <is>
          <t>合计</t>
        </is>
      </c>
      <c r="B11" s="323">
        <f>SUM(B10:B10)</f>
        <v/>
      </c>
      <c r="C11" s="323">
        <f>SUM(C10:C10)</f>
        <v/>
      </c>
      <c r="D11" s="323" t="n"/>
      <c r="E11" s="323" t="n"/>
      <c r="F11" s="323" t="n"/>
      <c r="G11" s="323" t="n"/>
      <c r="H11" s="323" t="n"/>
      <c r="I11" s="323" t="n"/>
      <c r="J11" s="323" t="n"/>
    </row>
    <row r="12">
      <c r="A12" s="331" t="n"/>
      <c r="B12" s="331" t="n"/>
      <c r="C12" s="331" t="n"/>
      <c r="D12" s="354" t="n"/>
      <c r="E12" s="330" t="n"/>
      <c r="F12" s="331" t="n"/>
      <c r="G12" s="331" t="n"/>
      <c r="H12" s="354" t="n"/>
      <c r="I12" s="354" t="n"/>
      <c r="J12" s="354" t="n"/>
    </row>
    <row r="13">
      <c r="A13" s="381" t="inlineStr">
        <is>
          <t>域内 3D Prefab 分页统计（快照口径与本账本分页一致；权威清单在各分页表）</t>
        </is>
      </c>
      <c r="B13" s="394" t="n"/>
      <c r="C13" s="394" t="n"/>
      <c r="D13" s="394" t="n"/>
      <c r="E13" s="394" t="n"/>
      <c r="F13" s="394" t="n"/>
      <c r="G13" s="394" t="n"/>
      <c r="H13" s="394" t="n"/>
      <c r="I13" s="394" t="n"/>
      <c r="J13" s="395" t="n"/>
    </row>
    <row r="14">
      <c r="A14" s="320" t="inlineStr">
        <is>
          <t>分页</t>
        </is>
      </c>
      <c r="B14" s="320" t="inlineStr">
        <is>
          <t>Prefab 数</t>
        </is>
      </c>
      <c r="C14" s="320" t="inlineStr">
        <is>
          <t>直接引用 GLB</t>
        </is>
      </c>
      <c r="D14" s="320" t="inlineStr">
        <is>
          <t>有功能脚本</t>
        </is>
      </c>
      <c r="E14" s="320" t="inlineStr">
        <is>
          <t>碰撞开启</t>
        </is>
      </c>
      <c r="F14" s="320" t="inlineStr">
        <is>
          <t>说明</t>
        </is>
      </c>
      <c r="G14" s="331" t="n"/>
      <c r="H14" s="354" t="n"/>
      <c r="I14" s="354" t="n"/>
      <c r="J14" s="354" t="n"/>
    </row>
    <row r="15">
      <c r="A15" s="301" t="inlineStr">
        <is>
          <t>3D-特效</t>
        </is>
      </c>
      <c r="B15" s="301">
        <f>COUNTA('3D-特效'!$A$5:$A$204)</f>
        <v/>
      </c>
      <c r="C15" s="301">
        <f>COUNTIF('3D-特效'!$D$5:$D$204,"&lt;&gt;")</f>
        <v/>
      </c>
      <c r="D15" s="301">
        <f>COUNTIF('3D-特效'!$G$5:$G$204,"&lt;&gt;")</f>
        <v/>
      </c>
      <c r="E15" s="301">
        <f>COUNTIF('3D-特效'!$H$5:$H$204,"开")</f>
        <v/>
      </c>
      <c r="F15" s="301" t="inlineStr">
        <is>
          <t>一行 = 一个实际存在的 Godot PackedScene</t>
        </is>
      </c>
      <c r="G15" s="301" t="n"/>
      <c r="H15" s="301" t="n"/>
      <c r="I15" s="301" t="n"/>
      <c r="J15" s="301" t="n"/>
    </row>
    <row r="16">
      <c r="A16" s="323" t="inlineStr">
        <is>
          <t>合计</t>
        </is>
      </c>
      <c r="B16" s="323">
        <f>SUM(B15:B15)</f>
        <v/>
      </c>
      <c r="C16" s="323">
        <f>SUM(C15:C15)</f>
        <v/>
      </c>
      <c r="D16" s="323">
        <f>SUM(D15:D15)</f>
        <v/>
      </c>
      <c r="E16" s="323">
        <f>SUM(E15:E15)</f>
        <v/>
      </c>
      <c r="F16" s="323" t="n"/>
      <c r="G16" s="323" t="n"/>
      <c r="H16" s="323" t="n"/>
      <c r="I16" s="323" t="n"/>
      <c r="J16" s="323" t="n"/>
    </row>
    <row r="17">
      <c r="A17" s="331" t="n"/>
      <c r="B17" s="331" t="n"/>
      <c r="C17" s="331" t="n"/>
      <c r="D17" s="354" t="n"/>
      <c r="E17" s="354" t="n"/>
      <c r="F17" s="354" t="n"/>
      <c r="G17" s="354" t="n"/>
      <c r="H17" s="354" t="n"/>
      <c r="I17" s="354" t="n"/>
      <c r="J17" s="354" t="n"/>
    </row>
    <row r="18">
      <c r="A18" s="331" t="n"/>
      <c r="B18" s="331" t="n"/>
      <c r="C18" s="331" t="n"/>
      <c r="D18" s="354" t="n"/>
      <c r="E18" s="354" t="n"/>
      <c r="F18" s="354" t="n"/>
      <c r="G18" s="354" t="n"/>
      <c r="H18" s="354" t="n"/>
      <c r="I18" s="354" t="n"/>
      <c r="J18" s="354" t="n"/>
    </row>
    <row r="19">
      <c r="A19" s="354" t="n"/>
      <c r="B19" s="354" t="n"/>
      <c r="C19" s="354" t="n"/>
      <c r="D19" s="354" t="n"/>
      <c r="E19" s="354" t="n"/>
      <c r="F19" s="354" t="n"/>
      <c r="G19" s="354" t="n"/>
      <c r="H19" s="354" t="n"/>
      <c r="I19" s="354" t="n"/>
      <c r="J19" s="354" t="n"/>
    </row>
    <row r="20">
      <c r="A20" s="354" t="n"/>
      <c r="B20" s="354" t="n"/>
      <c r="C20" s="354" t="n"/>
      <c r="D20" s="354" t="n"/>
      <c r="E20" s="354" t="n"/>
      <c r="F20" s="354" t="n"/>
      <c r="G20" s="354" t="n"/>
      <c r="H20" s="354" t="n"/>
      <c r="I20" s="354" t="n"/>
      <c r="J20" s="354" t="n"/>
    </row>
  </sheetData>
  <mergeCells count="5">
    <mergeCell ref="A1:J2"/>
    <mergeCell ref="I6:J6"/>
    <mergeCell ref="A3:J3"/>
    <mergeCell ref="E9:J9"/>
    <mergeCell ref="A13:J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2" customWidth="1" min="2" max="2"/>
    <col width="34" customWidth="1" min="3" max="3"/>
    <col width="24" customWidth="1" min="4" max="4"/>
    <col width="24" customWidth="1" min="5" max="5"/>
    <col width="24" customWidth="1" min="6" max="6"/>
  </cols>
  <sheetData>
    <row r="1">
      <c r="A1" s="317" t="inlineStr">
        <is>
          <t>本账本说明 · 特效</t>
        </is>
      </c>
    </row>
    <row r="2"/>
    <row r="3">
      <c r="A3" s="318" t="inlineStr">
        <is>
          <t>本表是分账本自描述；机器可读真源为 assets/registry/ledger_index.json，二者不一致时以 JSON 为准</t>
        </is>
      </c>
    </row>
    <row r="5">
      <c r="A5" s="298" t="inlineStr">
        <is>
          <t>项</t>
        </is>
      </c>
      <c r="B5" s="298" t="inlineStr">
        <is>
          <t>值</t>
        </is>
      </c>
      <c r="C5" s="298" t="n"/>
      <c r="D5" s="298" t="n"/>
      <c r="E5" s="298" t="n"/>
      <c r="F5" s="298" t="n"/>
    </row>
    <row r="6" ht="30" customHeight="1">
      <c r="A6" s="301" t="inlineStr">
        <is>
          <t>账本归属域</t>
        </is>
      </c>
      <c r="B6" s="301" t="inlineStr">
        <is>
          <t>特效</t>
        </is>
      </c>
      <c r="C6" s="301" t="n"/>
      <c r="D6" s="301" t="n"/>
      <c r="E6" s="301" t="n"/>
      <c r="F6" s="301" t="n"/>
    </row>
    <row r="7" ht="30" customHeight="1">
      <c r="A7" s="301" t="inlineStr">
        <is>
          <t>分账本文件</t>
        </is>
      </c>
      <c r="B7" s="301" t="inlineStr">
        <is>
          <t>assets/registry/ledgers/ShellStorm2_特效账本_v001.xlsx</t>
        </is>
      </c>
      <c r="C7" s="301" t="n"/>
      <c r="D7" s="301" t="n"/>
      <c r="E7" s="301" t="n"/>
      <c r="F7" s="301" t="n"/>
    </row>
    <row r="8" ht="30" customHeight="1">
      <c r="A8" s="301" t="inlineStr">
        <is>
          <t>覆盖大类</t>
        </is>
      </c>
      <c r="B8" s="301" t="inlineStr">
        <is>
          <t>特效</t>
        </is>
      </c>
      <c r="C8" s="301" t="n"/>
      <c r="D8" s="301" t="n"/>
      <c r="E8" s="301" t="n"/>
      <c r="F8" s="301" t="n"/>
    </row>
    <row r="9" ht="30" customHeight="1">
      <c r="A9" s="301" t="inlineStr">
        <is>
          <t>AssetID 前缀</t>
        </is>
      </c>
      <c r="B9" s="301" t="inlineStr">
        <is>
          <t>VFX / FX</t>
        </is>
      </c>
      <c r="C9" s="301" t="n"/>
      <c r="D9" s="301" t="n"/>
      <c r="E9" s="301" t="n"/>
      <c r="F9" s="301" t="n"/>
    </row>
    <row r="10" ht="30" customHeight="1">
      <c r="A10" s="301" t="inlineStr">
        <is>
          <t>域内专表</t>
        </is>
      </c>
      <c r="B10" s="301" t="inlineStr">
        <is>
          <t>3D-特效</t>
        </is>
      </c>
      <c r="C10" s="301" t="n"/>
      <c r="D10" s="301" t="n"/>
      <c r="E10" s="301" t="n"/>
      <c r="F10" s="301" t="n"/>
    </row>
    <row r="11" ht="30" customHeight="1">
      <c r="A11" s="301" t="inlineStr">
        <is>
          <t>3D Prefab 分页</t>
        </is>
      </c>
      <c r="B11" s="301" t="inlineStr">
        <is>
          <t>3D-特效</t>
        </is>
      </c>
      <c r="C11" s="301" t="n"/>
      <c r="D11" s="301" t="n"/>
      <c r="E11" s="301" t="n"/>
      <c r="F11" s="301" t="n"/>
    </row>
    <row r="12" ht="30" customHeight="1">
      <c r="A12" s="301" t="inlineStr">
        <is>
          <t>动画登记表</t>
        </is>
      </c>
      <c r="B12" s="301" t="inlineStr">
        <is>
          <t>无</t>
        </is>
      </c>
      <c r="C12" s="301" t="n"/>
      <c r="D12" s="301" t="n"/>
      <c r="E12" s="301" t="n"/>
      <c r="F12" s="301" t="n"/>
    </row>
    <row r="13" ht="30" customHeight="1">
      <c r="A13" s="301" t="inlineStr">
        <is>
          <t>主账本（总目录）</t>
        </is>
      </c>
      <c r="B13" s="301" t="inlineStr">
        <is>
          <t>assets/registry/ShellStorm2_美术资产台账_v001.xlsx</t>
        </is>
      </c>
      <c r="C13" s="301" t="n"/>
      <c r="D13" s="301" t="n"/>
      <c r="E13" s="301" t="n"/>
      <c r="F13" s="301" t="n"/>
    </row>
    <row r="14" ht="30" customHeight="1">
      <c r="A14" s="301" t="inlineStr">
        <is>
          <t>跨域契约</t>
        </is>
      </c>
      <c r="B14" s="301" t="inlineStr">
        <is>
          <t>分类与编码 / 命名与查重 / 版本记录 / Skill 清单 / 3D Prefab 总控 —— 全部只在主账本维护</t>
        </is>
      </c>
      <c r="C14" s="301" t="n"/>
      <c r="D14" s="301" t="n"/>
      <c r="E14" s="301" t="n"/>
      <c r="F14" s="301" t="n"/>
    </row>
    <row r="15" ht="30" customHeight="1">
      <c r="A15" s="301" t="inlineStr">
        <is>
          <t>首选制作 Skill</t>
        </is>
      </c>
      <c r="B15" s="301" t="inlineStr">
        <is>
          <t>godot-model-asset-import-standard</t>
        </is>
      </c>
      <c r="C15" s="301" t="n"/>
      <c r="D15" s="301" t="n"/>
      <c r="E15" s="301" t="n"/>
      <c r="F15" s="301" t="n"/>
    </row>
    <row r="16" ht="30" customHeight="1">
      <c r="A16" s="301" t="inlineStr">
        <is>
          <t>协作 Skill</t>
        </is>
      </c>
      <c r="B16" s="301" t="inlineStr">
        <is>
          <t>无</t>
        </is>
      </c>
      <c r="C16" s="301" t="n"/>
      <c r="D16" s="301" t="n"/>
      <c r="E16" s="301" t="n"/>
      <c r="F16" s="301" t="n"/>
    </row>
    <row r="17" ht="30" customHeight="1">
      <c r="A17" s="301" t="inlineStr">
        <is>
          <t>负责人</t>
        </is>
      </c>
      <c r="B17" s="301" t="inlineStr">
        <is>
          <t>待分配</t>
        </is>
      </c>
      <c r="C17" s="301" t="n"/>
      <c r="D17" s="301" t="n"/>
      <c r="E17" s="301" t="n"/>
      <c r="F17" s="301" t="n"/>
    </row>
    <row r="18" ht="30" customHeight="1">
      <c r="A18" s="301" t="inlineStr">
        <is>
          <t>登记范围</t>
        </is>
      </c>
      <c r="B18" s="301" t="inlineStr">
        <is>
          <t>可独立实例化的3D战斗、环境与可见性特效。每个特效一个独立 Prefab，遵循 14.6 特效系统与制作规范。</t>
        </is>
      </c>
      <c r="C18" s="301" t="n"/>
      <c r="D18" s="301" t="n"/>
      <c r="E18" s="301" t="n"/>
      <c r="F18" s="301" t="n"/>
    </row>
    <row r="19" ht="30" customHeight="1">
      <c r="A19" s="301" t="inlineStr">
        <is>
          <t>编辑边界</t>
        </is>
      </c>
      <c r="B19" s="301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301" t="n"/>
      <c r="D19" s="301" t="n"/>
      <c r="E19" s="301" t="n"/>
      <c r="F19" s="301" t="n"/>
    </row>
    <row r="20" ht="30" customHeight="1">
      <c r="A20" s="301" t="inlineStr">
        <is>
          <t>登记口径</t>
        </is>
      </c>
      <c r="B20" s="301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301" t="n"/>
      <c r="D20" s="301" t="n"/>
      <c r="E20" s="301" t="n"/>
      <c r="F20" s="301" t="n"/>
    </row>
    <row r="21" ht="30" customHeight="1">
      <c r="A21" s="301" t="inlineStr">
        <is>
          <t>门禁</t>
        </is>
      </c>
      <c r="B21" s="301" t="inlineStr">
        <is>
          <t>python3 scripts/check_asset_registry.py --scope structure（需 venv python + openpyxl，且在 /tmp 下跑）</t>
        </is>
      </c>
      <c r="C21" s="301" t="n"/>
      <c r="D21" s="301" t="n"/>
      <c r="E21" s="301" t="n"/>
      <c r="F21" s="301" t="n"/>
    </row>
    <row r="22" ht="30" customHeight="1">
      <c r="A22" s="301" t="inlineStr">
        <is>
          <t>无损基线</t>
        </is>
      </c>
      <c r="B22" s="301" t="inlineStr">
        <is>
          <t>assets/registry/ledger_split_baseline.json；python3 tools/asset_pipeline/verify_ledger_split.py 断言并集与拆分前逐格一致</t>
        </is>
      </c>
      <c r="C22" s="301" t="n"/>
      <c r="D22" s="301" t="n"/>
      <c r="E22" s="301" t="n"/>
      <c r="F22" s="301" t="n"/>
    </row>
    <row r="23" ht="30" customHeight="1">
      <c r="A23" s="301" t="inlineStr">
        <is>
          <t>快照日期</t>
        </is>
      </c>
      <c r="B23" s="301" t="inlineStr">
        <is>
          <t>2026-09-18</t>
        </is>
      </c>
      <c r="C23" s="301" t="n"/>
      <c r="D23" s="301" t="n"/>
      <c r="E23" s="301" t="n"/>
      <c r="F23" s="301" t="n"/>
    </row>
  </sheetData>
  <mergeCells count="2">
    <mergeCell ref="A3:F3"/>
    <mergeCell ref="A1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18" customWidth="1" min="4" max="4"/>
    <col width="22" customWidth="1" min="5" max="5"/>
    <col width="12" customWidth="1" min="6" max="6"/>
    <col width="25" customWidth="1" min="7" max="7"/>
    <col width="19" customWidth="1" min="8" max="8"/>
    <col width="15" customWidth="1" min="9" max="9"/>
    <col width="18" customWidth="1" min="10" max="10"/>
    <col width="12" customWidth="1" min="11" max="11"/>
    <col width="8" customWidth="1" min="12" max="12"/>
    <col width="9" customWidth="1" min="13" max="13"/>
    <col width="16" customWidth="1" min="14" max="14"/>
    <col width="36" customWidth="1" min="15" max="15"/>
    <col width="34" customWidth="1" min="16" max="16"/>
    <col width="26" customWidth="1" min="17" max="17"/>
    <col width="42" customWidth="1" min="18" max="18"/>
    <col width="12" customWidth="1" min="19" max="19"/>
    <col width="30" customWidth="1" min="20" max="20"/>
    <col width="12" customWidth="1" min="21" max="21"/>
    <col width="13" customWidth="1" min="22" max="22"/>
    <col width="16" customWidth="1" min="23" max="23"/>
    <col width="52" customWidth="1" min="24" max="24"/>
  </cols>
  <sheetData>
    <row r="1" ht="25" customHeight="1">
      <c r="A1" s="296" t="inlineStr">
        <is>
          <t>资产主表 · 唯一登记源</t>
        </is>
      </c>
    </row>
    <row r="2" ht="12" customHeight="1"/>
    <row r="3" ht="23" customHeight="1">
      <c r="A3" s="297" t="inlineStr">
        <is>
          <t>查重键由公式生成；S 列出现“重复”时禁止制作，先合并或建立变体父子关系</t>
        </is>
      </c>
    </row>
    <row r="4">
      <c r="A4" s="392" t="n"/>
      <c r="B4" s="392" t="n"/>
      <c r="C4" s="392" t="n"/>
      <c r="D4" s="392" t="n"/>
      <c r="E4" s="392" t="n"/>
      <c r="F4" s="392" t="n"/>
      <c r="G4" s="392" t="n"/>
      <c r="H4" s="392" t="n"/>
      <c r="I4" s="392" t="n"/>
      <c r="J4" s="392" t="n"/>
      <c r="K4" s="392" t="n"/>
      <c r="L4" s="392" t="n"/>
      <c r="M4" s="392" t="n"/>
      <c r="N4" s="392" t="n"/>
      <c r="O4" s="392" t="n"/>
      <c r="P4" s="392" t="n"/>
      <c r="Q4" s="392" t="n"/>
      <c r="R4" s="392" t="n"/>
      <c r="S4" s="392" t="n"/>
      <c r="T4" s="392" t="n"/>
      <c r="U4" s="392" t="n"/>
      <c r="V4" s="392" t="n"/>
      <c r="W4" s="392" t="n"/>
      <c r="Y4" s="392" t="n"/>
    </row>
    <row r="5" ht="32" customHeight="1">
      <c r="A5" s="298" t="inlineStr">
        <is>
          <t>AssetID</t>
        </is>
      </c>
      <c r="B5" s="299" t="inlineStr">
        <is>
          <t>中文名</t>
        </is>
      </c>
      <c r="C5" s="299" t="inlineStr">
        <is>
          <t>大类</t>
        </is>
      </c>
      <c r="D5" s="299" t="inlineStr">
        <is>
          <t>子类</t>
        </is>
      </c>
      <c r="E5" s="299" t="inlineStr">
        <is>
          <t>逻辑ID/源键</t>
        </is>
      </c>
      <c r="F5" s="299" t="inlineStr">
        <is>
          <t>组件槽</t>
        </is>
      </c>
      <c r="G5" s="299" t="inlineStr">
        <is>
          <t>变体父ID</t>
        </is>
      </c>
      <c r="H5" s="299" t="inlineStr">
        <is>
          <t>视角</t>
        </is>
      </c>
      <c r="I5" s="299" t="inlineStr">
        <is>
          <t>状态/动画</t>
        </is>
      </c>
      <c r="J5" s="299" t="inlineStr">
        <is>
          <t>复用范围</t>
        </is>
      </c>
      <c r="K5" s="299" t="inlineStr">
        <is>
          <t>制作状态</t>
        </is>
      </c>
      <c r="L5" s="299" t="inlineStr">
        <is>
          <t>优先级</t>
        </is>
      </c>
      <c r="M5" s="299" t="inlineStr">
        <is>
          <t>版本</t>
        </is>
      </c>
      <c r="N5" s="299" t="inlineStr">
        <is>
          <t>规格(px)</t>
        </is>
      </c>
      <c r="O5" s="299" t="inlineStr">
        <is>
          <t>文件路径</t>
        </is>
      </c>
      <c r="P5" s="299" t="inlineStr">
        <is>
          <t>源码/策划依据</t>
        </is>
      </c>
      <c r="Q5" s="299" t="inlineStr">
        <is>
          <t>关键词/别名</t>
        </is>
      </c>
      <c r="R5" s="299" t="inlineStr">
        <is>
          <t>查重键</t>
        </is>
      </c>
      <c r="S5" s="299" t="inlineStr">
        <is>
          <t>查重结果</t>
        </is>
      </c>
      <c r="T5" s="299" t="inlineStr">
        <is>
          <t>SHA-256</t>
        </is>
      </c>
      <c r="U5" s="299" t="inlineStr">
        <is>
          <t>负责人</t>
        </is>
      </c>
      <c r="V5" s="299" t="inlineStr">
        <is>
          <t>更新时间</t>
        </is>
      </c>
      <c r="W5" s="299" t="inlineStr">
        <is>
          <t>来源/许可</t>
        </is>
      </c>
      <c r="X5" s="374" t="inlineStr">
        <is>
          <t>源编号（Blender collection）</t>
        </is>
      </c>
      <c r="Y5" s="300" t="inlineStr">
        <is>
          <t>备注</t>
        </is>
      </c>
    </row>
    <row r="6">
      <c r="A6" s="138" t="inlineStr">
        <is>
          <t>VFX-PLY-DASH-TRAIL</t>
        </is>
      </c>
      <c r="B6" s="138" t="inlineStr">
        <is>
          <t>玩家冲刺尾迹</t>
        </is>
      </c>
      <c r="C6" s="138" t="inlineStr">
        <is>
          <t>特效</t>
        </is>
      </c>
      <c r="D6" s="138" t="inlineStr">
        <is>
          <t>player_state</t>
        </is>
      </c>
      <c r="E6" s="138" t="inlineStr">
        <is>
          <t>player_dash</t>
        </is>
      </c>
      <c r="F6" s="138" t="inlineStr">
        <is>
          <t>root</t>
        </is>
      </c>
      <c r="G6" s="138" t="str"/>
      <c r="H6" s="138" t="inlineStr">
        <is>
          <t>侧面朝右（可水平翻转）</t>
        </is>
      </c>
      <c r="I6" s="138" t="inlineStr">
        <is>
          <t>dashing</t>
        </is>
      </c>
      <c r="J6" s="138" t="inlineStr">
        <is>
          <t>玩家状态</t>
        </is>
      </c>
      <c r="K6" s="138" t="inlineStr">
        <is>
          <t>弃用</t>
        </is>
      </c>
      <c r="L6" s="138" t="inlineStr">
        <is>
          <t>P1</t>
        </is>
      </c>
      <c r="M6" s="138" t="inlineStr">
        <is>
          <t>v001</t>
        </is>
      </c>
      <c r="N6" s="138" t="inlineStr">
        <is>
          <t>待定</t>
        </is>
      </c>
      <c r="O6" s="138" t="str"/>
      <c r="P6" s="138" t="n"/>
      <c r="Q6" s="138" t="str"/>
      <c r="R6" s="138">
        <f>LOWER(TRIM(C6)&amp;"|"&amp;TRIM(D6)&amp;"|"&amp;TRIM(E6)&amp;"|"&amp;TRIM(F6)&amp;"|"&amp;TRIM(H6)&amp;"|"&amp;TRIM(I6))</f>
        <v/>
      </c>
      <c r="S6" s="138">
        <f>IF(COUNTIF($R$6:$R$21,R6)&gt;1,"重复","唯一")</f>
        <v/>
      </c>
      <c r="T6" s="138" t="str"/>
      <c r="U6" s="138" t="inlineStr">
        <is>
          <t>待分配</t>
        </is>
      </c>
      <c r="V6" s="303" t="n">
        <v>46243</v>
      </c>
      <c r="W6" s="138" t="inlineStr">
        <is>
          <t>原创/待确认</t>
        </is>
      </c>
      <c r="X6" s="375" t="inlineStr">
        <is>
          <t>—</t>
        </is>
      </c>
      <c r="Y6" s="138" t="inlineStr">
        <is>
          <t>2026-08-09：旧2D PlayerAvatarRenderer专用表现已删除；当前3D状态表现由 PlayerAvatar3D / WeaponModel3D 持有。</t>
        </is>
      </c>
    </row>
    <row r="7">
      <c r="A7" s="138" t="inlineStr">
        <is>
          <t>VFX-PLY-HURT-FLASH</t>
        </is>
      </c>
      <c r="B7" s="138" t="inlineStr">
        <is>
          <t>玩家受击闪光</t>
        </is>
      </c>
      <c r="C7" s="138" t="inlineStr">
        <is>
          <t>特效</t>
        </is>
      </c>
      <c r="D7" s="138" t="inlineStr">
        <is>
          <t>player_state</t>
        </is>
      </c>
      <c r="E7" s="138" t="inlineStr">
        <is>
          <t>player_hurt</t>
        </is>
      </c>
      <c r="F7" s="138" t="inlineStr">
        <is>
          <t>root</t>
        </is>
      </c>
      <c r="G7" s="138" t="str"/>
      <c r="H7" s="138" t="inlineStr">
        <is>
          <t>侧面朝右（可水平翻转）</t>
        </is>
      </c>
      <c r="I7" s="138" t="inlineStr">
        <is>
          <t>hurt</t>
        </is>
      </c>
      <c r="J7" s="138" t="inlineStr">
        <is>
          <t>玩家状态</t>
        </is>
      </c>
      <c r="K7" s="138" t="inlineStr">
        <is>
          <t>弃用</t>
        </is>
      </c>
      <c r="L7" s="138" t="inlineStr">
        <is>
          <t>P1</t>
        </is>
      </c>
      <c r="M7" s="138" t="inlineStr">
        <is>
          <t>v001</t>
        </is>
      </c>
      <c r="N7" s="138" t="inlineStr">
        <is>
          <t>待定</t>
        </is>
      </c>
      <c r="O7" s="138" t="str"/>
      <c r="P7" s="138" t="n"/>
      <c r="Q7" s="138" t="str"/>
      <c r="R7" s="138">
        <f>LOWER(TRIM(C7)&amp;"|"&amp;TRIM(D7)&amp;"|"&amp;TRIM(E7)&amp;"|"&amp;TRIM(F7)&amp;"|"&amp;TRIM(H7)&amp;"|"&amp;TRIM(I7))</f>
        <v/>
      </c>
      <c r="S7" s="138">
        <f>IF(COUNTIF($R$6:$R$21,R7)&gt;1,"重复","唯一")</f>
        <v/>
      </c>
      <c r="T7" s="138" t="str"/>
      <c r="U7" s="138" t="inlineStr">
        <is>
          <t>待分配</t>
        </is>
      </c>
      <c r="V7" s="303" t="n">
        <v>46243</v>
      </c>
      <c r="W7" s="138" t="inlineStr">
        <is>
          <t>原创/待确认</t>
        </is>
      </c>
      <c r="X7" s="375" t="inlineStr">
        <is>
          <t>—</t>
        </is>
      </c>
      <c r="Y7" s="138" t="inlineStr">
        <is>
          <t>2026-08-09：旧2D PlayerAvatarRenderer专用表现已删除；当前3D状态表现由 PlayerAvatar3D / WeaponModel3D 持有。</t>
        </is>
      </c>
    </row>
    <row r="8">
      <c r="A8" s="138" t="inlineStr">
        <is>
          <t>VFX-PLY-LOWHP-RING</t>
        </is>
      </c>
      <c r="B8" s="138" t="inlineStr">
        <is>
          <t>玩家低血环</t>
        </is>
      </c>
      <c r="C8" s="138" t="inlineStr">
        <is>
          <t>特效</t>
        </is>
      </c>
      <c r="D8" s="138" t="inlineStr">
        <is>
          <t>player_overlay</t>
        </is>
      </c>
      <c r="E8" s="138" t="inlineStr">
        <is>
          <t>player_low_hp</t>
        </is>
      </c>
      <c r="F8" s="138" t="inlineStr">
        <is>
          <t>root</t>
        </is>
      </c>
      <c r="G8" s="138" t="str"/>
      <c r="H8" s="138" t="inlineStr">
        <is>
          <t>侧面朝右（可水平翻转）</t>
        </is>
      </c>
      <c r="I8" s="138" t="inlineStr">
        <is>
          <t>low_health</t>
        </is>
      </c>
      <c r="J8" s="138" t="inlineStr">
        <is>
          <t>叠加状态</t>
        </is>
      </c>
      <c r="K8" s="138" t="inlineStr">
        <is>
          <t>弃用</t>
        </is>
      </c>
      <c r="L8" s="138" t="inlineStr">
        <is>
          <t>P2</t>
        </is>
      </c>
      <c r="M8" s="138" t="inlineStr">
        <is>
          <t>v001</t>
        </is>
      </c>
      <c r="N8" s="138" t="inlineStr">
        <is>
          <t>待定</t>
        </is>
      </c>
      <c r="O8" s="138" t="str"/>
      <c r="P8" s="138" t="n"/>
      <c r="Q8" s="138" t="str"/>
      <c r="R8" s="138">
        <f>LOWER(TRIM(C8)&amp;"|"&amp;TRIM(D8)&amp;"|"&amp;TRIM(E8)&amp;"|"&amp;TRIM(F8)&amp;"|"&amp;TRIM(H8)&amp;"|"&amp;TRIM(I8))</f>
        <v/>
      </c>
      <c r="S8" s="138">
        <f>IF(COUNTIF($R$6:$R$21,R8)&gt;1,"重复","唯一")</f>
        <v/>
      </c>
      <c r="T8" s="138" t="str"/>
      <c r="U8" s="138" t="inlineStr">
        <is>
          <t>待分配</t>
        </is>
      </c>
      <c r="V8" s="303" t="n">
        <v>46243</v>
      </c>
      <c r="W8" s="138" t="inlineStr">
        <is>
          <t>原创/待确认</t>
        </is>
      </c>
      <c r="X8" s="375" t="inlineStr">
        <is>
          <t>—</t>
        </is>
      </c>
      <c r="Y8" s="138" t="inlineStr">
        <is>
          <t>2026-08-09：旧2D PlayerAvatarRenderer专用表现已删除；当前3D状态表现由 PlayerAvatar3D / WeaponModel3D 持有。</t>
        </is>
      </c>
    </row>
    <row r="9">
      <c r="A9" s="138" t="inlineStr">
        <is>
          <t>VFX-PLY-SILENCED-RING</t>
        </is>
      </c>
      <c r="B9" s="138" t="inlineStr">
        <is>
          <t>玩家沉默干扰环</t>
        </is>
      </c>
      <c r="C9" s="138" t="inlineStr">
        <is>
          <t>特效</t>
        </is>
      </c>
      <c r="D9" s="138" t="inlineStr">
        <is>
          <t>player_overlay</t>
        </is>
      </c>
      <c r="E9" s="138" t="inlineStr">
        <is>
          <t>player_silenced</t>
        </is>
      </c>
      <c r="F9" s="138" t="inlineStr">
        <is>
          <t>root</t>
        </is>
      </c>
      <c r="G9" s="138" t="str"/>
      <c r="H9" s="138" t="inlineStr">
        <is>
          <t>侧面朝右（可水平翻转）</t>
        </is>
      </c>
      <c r="I9" s="138" t="inlineStr">
        <is>
          <t>silenced</t>
        </is>
      </c>
      <c r="J9" s="138" t="inlineStr">
        <is>
          <t>叠加状态</t>
        </is>
      </c>
      <c r="K9" s="138" t="inlineStr">
        <is>
          <t>弃用</t>
        </is>
      </c>
      <c r="L9" s="138" t="inlineStr">
        <is>
          <t>P2</t>
        </is>
      </c>
      <c r="M9" s="138" t="inlineStr">
        <is>
          <t>v001</t>
        </is>
      </c>
      <c r="N9" s="138" t="inlineStr">
        <is>
          <t>待定</t>
        </is>
      </c>
      <c r="O9" s="138" t="str"/>
      <c r="P9" s="138" t="n"/>
      <c r="Q9" s="138" t="str"/>
      <c r="R9" s="138">
        <f>LOWER(TRIM(C9)&amp;"|"&amp;TRIM(D9)&amp;"|"&amp;TRIM(E9)&amp;"|"&amp;TRIM(F9)&amp;"|"&amp;TRIM(H9)&amp;"|"&amp;TRIM(I9))</f>
        <v/>
      </c>
      <c r="S9" s="138">
        <f>IF(COUNTIF($R$6:$R$21,R9)&gt;1,"重复","唯一")</f>
        <v/>
      </c>
      <c r="T9" s="138" t="str"/>
      <c r="U9" s="138" t="inlineStr">
        <is>
          <t>待分配</t>
        </is>
      </c>
      <c r="V9" s="303" t="n">
        <v>46243</v>
      </c>
      <c r="W9" s="138" t="inlineStr">
        <is>
          <t>原创/待确认</t>
        </is>
      </c>
      <c r="X9" s="375" t="inlineStr">
        <is>
          <t>—</t>
        </is>
      </c>
      <c r="Y9" s="138" t="inlineStr">
        <is>
          <t>2026-08-09：旧2D PlayerAvatarRenderer专用表现已删除；当前3D状态表现由 PlayerAvatar3D / WeaponModel3D 持有。</t>
        </is>
      </c>
    </row>
    <row r="10">
      <c r="A10" s="138" t="inlineStr">
        <is>
          <t>VFX-EXPLOSION</t>
        </is>
      </c>
      <c r="B10" s="138" t="inlineStr">
        <is>
          <t>爆炸</t>
        </is>
      </c>
      <c r="C10" s="138" t="inlineStr">
        <is>
          <t>特效</t>
        </is>
      </c>
      <c r="D10" s="138" t="inlineStr">
        <is>
          <t>gameplay_vfx</t>
        </is>
      </c>
      <c r="E10" s="138" t="inlineStr">
        <is>
          <t>explosion</t>
        </is>
      </c>
      <c r="F10" s="138" t="inlineStr">
        <is>
          <t>root</t>
        </is>
      </c>
      <c r="G10" s="138" t="str"/>
      <c r="H10" s="138" t="inlineStr">
        <is>
          <t>顶视/屏幕空间</t>
        </is>
      </c>
      <c r="I10" s="138" t="inlineStr">
        <is>
          <t>default</t>
        </is>
      </c>
      <c r="J10" s="138" t="inlineStr">
        <is>
          <t>跨武器/跨场景</t>
        </is>
      </c>
      <c r="K10" s="138" t="inlineStr">
        <is>
          <t>程序占位</t>
        </is>
      </c>
      <c r="L10" s="138" t="inlineStr">
        <is>
          <t>P1</t>
        </is>
      </c>
      <c r="M10" s="138" t="inlineStr">
        <is>
          <t>v001</t>
        </is>
      </c>
      <c r="N10" s="138" t="inlineStr">
        <is>
          <t>粒子或 8–16 帧序列</t>
        </is>
      </c>
      <c r="O10" s="138" t="str"/>
      <c r="P10" s="138" t="inlineStr">
        <is>
          <t>scenes/ExplosionEffect.tscn</t>
        </is>
      </c>
      <c r="Q10" s="138" t="str"/>
      <c r="R10" s="138">
        <f>LOWER(TRIM(C10)&amp;"|"&amp;TRIM(D10)&amp;"|"&amp;TRIM(E10)&amp;"|"&amp;TRIM(F10)&amp;"|"&amp;TRIM(H10)&amp;"|"&amp;TRIM(I10))</f>
        <v/>
      </c>
      <c r="S10" s="138">
        <f>IF(COUNTIF($R$6:$R$21,R10)&gt;1,"重复","唯一")</f>
        <v/>
      </c>
      <c r="T10" s="138" t="str"/>
      <c r="U10" s="138" t="inlineStr">
        <is>
          <t>待分配</t>
        </is>
      </c>
      <c r="V10" s="303" t="n">
        <v>46224</v>
      </c>
      <c r="W10" s="138" t="inlineStr">
        <is>
          <t>原创/待确认</t>
        </is>
      </c>
      <c r="X10" s="375" t="inlineStr">
        <is>
          <t>—</t>
        </is>
      </c>
      <c r="Y10" s="138" t="inlineStr">
        <is>
          <t>颜色/尺寸作参数变体，禁止复制整套</t>
        </is>
      </c>
    </row>
    <row r="11">
      <c r="A11" s="138" t="inlineStr">
        <is>
          <t>VFX-MUZZLE-FLASH</t>
        </is>
      </c>
      <c r="B11" s="138" t="inlineStr">
        <is>
          <t>枪口火焰</t>
        </is>
      </c>
      <c r="C11" s="138" t="inlineStr">
        <is>
          <t>特效</t>
        </is>
      </c>
      <c r="D11" s="138" t="inlineStr">
        <is>
          <t>gameplay_vfx</t>
        </is>
      </c>
      <c r="E11" s="138" t="inlineStr">
        <is>
          <t>muzzle_flash</t>
        </is>
      </c>
      <c r="F11" s="138" t="inlineStr">
        <is>
          <t>root</t>
        </is>
      </c>
      <c r="G11" s="138" t="str"/>
      <c r="H11" s="138" t="inlineStr">
        <is>
          <t>顶视/屏幕空间</t>
        </is>
      </c>
      <c r="I11" s="138" t="inlineStr">
        <is>
          <t>default</t>
        </is>
      </c>
      <c r="J11" s="138" t="inlineStr">
        <is>
          <t>跨武器/跨场景</t>
        </is>
      </c>
      <c r="K11" s="138" t="inlineStr">
        <is>
          <t>程序占位</t>
        </is>
      </c>
      <c r="L11" s="138" t="inlineStr">
        <is>
          <t>P1</t>
        </is>
      </c>
      <c r="M11" s="138" t="inlineStr">
        <is>
          <t>v001</t>
        </is>
      </c>
      <c r="N11" s="138" t="inlineStr">
        <is>
          <t>粒子或 8–16 帧序列</t>
        </is>
      </c>
      <c r="O11" s="138" t="str"/>
      <c r="P11" s="138" t="inlineStr">
        <is>
          <t>src/weapon/WeaponDisplay.gd</t>
        </is>
      </c>
      <c r="Q11" s="138" t="str"/>
      <c r="R11" s="138">
        <f>LOWER(TRIM(C11)&amp;"|"&amp;TRIM(D11)&amp;"|"&amp;TRIM(E11)&amp;"|"&amp;TRIM(F11)&amp;"|"&amp;TRIM(H11)&amp;"|"&amp;TRIM(I11))</f>
        <v/>
      </c>
      <c r="S11" s="138">
        <f>IF(COUNTIF($R$6:$R$21,R11)&gt;1,"重复","唯一")</f>
        <v/>
      </c>
      <c r="T11" s="138" t="str"/>
      <c r="U11" s="138" t="inlineStr">
        <is>
          <t>待分配</t>
        </is>
      </c>
      <c r="V11" s="303" t="n">
        <v>46224</v>
      </c>
      <c r="W11" s="138" t="inlineStr">
        <is>
          <t>原创/待确认</t>
        </is>
      </c>
      <c r="X11" s="375" t="inlineStr">
        <is>
          <t>—</t>
        </is>
      </c>
      <c r="Y11" s="138" t="inlineStr">
        <is>
          <t>颜色/尺寸作参数变体，禁止复制整套</t>
        </is>
      </c>
    </row>
    <row r="12">
      <c r="A12" s="138" t="inlineStr">
        <is>
          <t>VFX-DAMAGE-NUMBER</t>
        </is>
      </c>
      <c r="B12" s="138" t="inlineStr">
        <is>
          <t>伤害数字</t>
        </is>
      </c>
      <c r="C12" s="138" t="inlineStr">
        <is>
          <t>特效</t>
        </is>
      </c>
      <c r="D12" s="138" t="inlineStr">
        <is>
          <t>gameplay_vfx</t>
        </is>
      </c>
      <c r="E12" s="138" t="inlineStr">
        <is>
          <t>damage_number</t>
        </is>
      </c>
      <c r="F12" s="138" t="inlineStr">
        <is>
          <t>root</t>
        </is>
      </c>
      <c r="G12" s="138" t="str"/>
      <c r="H12" s="138" t="inlineStr">
        <is>
          <t>顶视/屏幕空间</t>
        </is>
      </c>
      <c r="I12" s="138" t="inlineStr">
        <is>
          <t>default</t>
        </is>
      </c>
      <c r="J12" s="138" t="inlineStr">
        <is>
          <t>跨武器/跨场景</t>
        </is>
      </c>
      <c r="K12" s="138" t="inlineStr">
        <is>
          <t>程序占位</t>
        </is>
      </c>
      <c r="L12" s="138" t="inlineStr">
        <is>
          <t>P2</t>
        </is>
      </c>
      <c r="M12" s="138" t="inlineStr">
        <is>
          <t>v001</t>
        </is>
      </c>
      <c r="N12" s="138" t="inlineStr">
        <is>
          <t>粒子或 8–16 帧序列</t>
        </is>
      </c>
      <c r="O12" s="138" t="str"/>
      <c r="P12" s="138" t="inlineStr">
        <is>
          <t>scenes/DamageNumber.tscn</t>
        </is>
      </c>
      <c r="Q12" s="138" t="str"/>
      <c r="R12" s="138">
        <f>LOWER(TRIM(C12)&amp;"|"&amp;TRIM(D12)&amp;"|"&amp;TRIM(E12)&amp;"|"&amp;TRIM(F12)&amp;"|"&amp;TRIM(H12)&amp;"|"&amp;TRIM(I12))</f>
        <v/>
      </c>
      <c r="S12" s="138">
        <f>IF(COUNTIF($R$6:$R$21,R12)&gt;1,"重复","唯一")</f>
        <v/>
      </c>
      <c r="T12" s="138" t="str"/>
      <c r="U12" s="138" t="inlineStr">
        <is>
          <t>待分配</t>
        </is>
      </c>
      <c r="V12" s="303" t="n">
        <v>46224</v>
      </c>
      <c r="W12" s="138" t="inlineStr">
        <is>
          <t>原创/待确认</t>
        </is>
      </c>
      <c r="X12" s="375" t="inlineStr">
        <is>
          <t>—</t>
        </is>
      </c>
      <c r="Y12" s="138" t="inlineStr">
        <is>
          <t>颜色/尺寸作参数变体，禁止复制整套</t>
        </is>
      </c>
    </row>
    <row r="13">
      <c r="A13" s="138" t="inlineStr">
        <is>
          <t>VFX-SPARK</t>
        </is>
      </c>
      <c r="B13" s="138" t="inlineStr">
        <is>
          <t>火花</t>
        </is>
      </c>
      <c r="C13" s="138" t="inlineStr">
        <is>
          <t>特效</t>
        </is>
      </c>
      <c r="D13" s="138" t="inlineStr">
        <is>
          <t>gameplay_vfx</t>
        </is>
      </c>
      <c r="E13" s="138" t="inlineStr">
        <is>
          <t>spark</t>
        </is>
      </c>
      <c r="F13" s="138" t="inlineStr">
        <is>
          <t>root</t>
        </is>
      </c>
      <c r="G13" s="138" t="str"/>
      <c r="H13" s="138" t="inlineStr">
        <is>
          <t>顶视/屏幕空间</t>
        </is>
      </c>
      <c r="I13" s="138" t="inlineStr">
        <is>
          <t>default</t>
        </is>
      </c>
      <c r="J13" s="138" t="inlineStr">
        <is>
          <t>跨武器/跨场景</t>
        </is>
      </c>
      <c r="K13" s="138" t="inlineStr">
        <is>
          <t>程序占位</t>
        </is>
      </c>
      <c r="L13" s="138" t="inlineStr">
        <is>
          <t>P2</t>
        </is>
      </c>
      <c r="M13" s="138" t="inlineStr">
        <is>
          <t>v001</t>
        </is>
      </c>
      <c r="N13" s="138" t="inlineStr">
        <is>
          <t>粒子或 8–16 帧序列</t>
        </is>
      </c>
      <c r="O13" s="138" t="str"/>
      <c r="P13" s="138" t="inlineStr">
        <is>
          <t>src/fx/SparkParticles.gd</t>
        </is>
      </c>
      <c r="Q13" s="138" t="str"/>
      <c r="R13" s="138">
        <f>LOWER(TRIM(C13)&amp;"|"&amp;TRIM(D13)&amp;"|"&amp;TRIM(E13)&amp;"|"&amp;TRIM(F13)&amp;"|"&amp;TRIM(H13)&amp;"|"&amp;TRIM(I13))</f>
        <v/>
      </c>
      <c r="S13" s="138">
        <f>IF(COUNTIF($R$6:$R$21,R13)&gt;1,"重复","唯一")</f>
        <v/>
      </c>
      <c r="T13" s="138" t="str"/>
      <c r="U13" s="138" t="inlineStr">
        <is>
          <t>待分配</t>
        </is>
      </c>
      <c r="V13" s="303" t="n">
        <v>46224</v>
      </c>
      <c r="W13" s="138" t="inlineStr">
        <is>
          <t>原创/待确认</t>
        </is>
      </c>
      <c r="X13" s="375" t="inlineStr">
        <is>
          <t>—</t>
        </is>
      </c>
      <c r="Y13" s="138" t="inlineStr">
        <is>
          <t>颜色/尺寸作参数变体，禁止复制整套</t>
        </is>
      </c>
    </row>
    <row r="14">
      <c r="A14" s="138" t="inlineStr">
        <is>
          <t>VFX-ROOM-TRANSITION</t>
        </is>
      </c>
      <c r="B14" s="138" t="inlineStr">
        <is>
          <t>房间转场</t>
        </is>
      </c>
      <c r="C14" s="138" t="inlineStr">
        <is>
          <t>特效</t>
        </is>
      </c>
      <c r="D14" s="138" t="inlineStr">
        <is>
          <t>gameplay_vfx</t>
        </is>
      </c>
      <c r="E14" s="138" t="inlineStr">
        <is>
          <t>room_transition</t>
        </is>
      </c>
      <c r="F14" s="138" t="inlineStr">
        <is>
          <t>root</t>
        </is>
      </c>
      <c r="G14" s="138" t="str"/>
      <c r="H14" s="138" t="inlineStr">
        <is>
          <t>顶视/屏幕空间</t>
        </is>
      </c>
      <c r="I14" s="138" t="inlineStr">
        <is>
          <t>default</t>
        </is>
      </c>
      <c r="J14" s="138" t="inlineStr">
        <is>
          <t>跨武器/跨场景</t>
        </is>
      </c>
      <c r="K14" s="138" t="inlineStr">
        <is>
          <t>程序占位</t>
        </is>
      </c>
      <c r="L14" s="138" t="inlineStr">
        <is>
          <t>P2</t>
        </is>
      </c>
      <c r="M14" s="138" t="inlineStr">
        <is>
          <t>v001</t>
        </is>
      </c>
      <c r="N14" s="138" t="inlineStr">
        <is>
          <t>粒子或 8–16 帧序列</t>
        </is>
      </c>
      <c r="O14" s="138" t="str"/>
      <c r="P14" s="138" t="inlineStr">
        <is>
          <t>src/fx/RoomTransitionFX.gd</t>
        </is>
      </c>
      <c r="Q14" s="138" t="str"/>
      <c r="R14" s="138">
        <f>LOWER(TRIM(C14)&amp;"|"&amp;TRIM(D14)&amp;"|"&amp;TRIM(E14)&amp;"|"&amp;TRIM(F14)&amp;"|"&amp;TRIM(H14)&amp;"|"&amp;TRIM(I14))</f>
        <v/>
      </c>
      <c r="S14" s="138">
        <f>IF(COUNTIF($R$6:$R$21,R14)&gt;1,"重复","唯一")</f>
        <v/>
      </c>
      <c r="T14" s="138" t="str"/>
      <c r="U14" s="138" t="inlineStr">
        <is>
          <t>待分配</t>
        </is>
      </c>
      <c r="V14" s="303" t="n">
        <v>46224</v>
      </c>
      <c r="W14" s="138" t="inlineStr">
        <is>
          <t>原创/待确认</t>
        </is>
      </c>
      <c r="X14" s="375" t="inlineStr">
        <is>
          <t>—</t>
        </is>
      </c>
      <c r="Y14" s="138" t="inlineStr">
        <is>
          <t>颜色/尺寸作参数变体，禁止复制整套</t>
        </is>
      </c>
    </row>
    <row r="15">
      <c r="A15" s="138" t="inlineStr">
        <is>
          <t>VFX-HEALTH-VIGNETTE</t>
        </is>
      </c>
      <c r="B15" s="138" t="inlineStr">
        <is>
          <t>低血暗角</t>
        </is>
      </c>
      <c r="C15" s="138" t="inlineStr">
        <is>
          <t>特效</t>
        </is>
      </c>
      <c r="D15" s="138" t="inlineStr">
        <is>
          <t>gameplay_vfx</t>
        </is>
      </c>
      <c r="E15" s="138" t="inlineStr">
        <is>
          <t>health_vignette</t>
        </is>
      </c>
      <c r="F15" s="138" t="inlineStr">
        <is>
          <t>root</t>
        </is>
      </c>
      <c r="G15" s="138" t="str"/>
      <c r="H15" s="138" t="inlineStr">
        <is>
          <t>顶视/屏幕空间</t>
        </is>
      </c>
      <c r="I15" s="138" t="inlineStr">
        <is>
          <t>default</t>
        </is>
      </c>
      <c r="J15" s="138" t="inlineStr">
        <is>
          <t>跨武器/跨场景</t>
        </is>
      </c>
      <c r="K15" s="138" t="inlineStr">
        <is>
          <t>原型已接入</t>
        </is>
      </c>
      <c r="L15" s="138" t="inlineStr">
        <is>
          <t>P2</t>
        </is>
      </c>
      <c r="M15" s="138" t="inlineStr">
        <is>
          <t>v001</t>
        </is>
      </c>
      <c r="N15" s="138" t="inlineStr">
        <is>
          <t>粒子或 8–16 帧序列</t>
        </is>
      </c>
      <c r="O15" s="138" t="inlineStr">
        <is>
          <t>scenes/Dungeon3D.tscn</t>
        </is>
      </c>
      <c r="P15" s="138" t="inlineStr">
        <is>
          <t>src/world3d/Dungeon3D.gd</t>
        </is>
      </c>
      <c r="Q15" s="138" t="str"/>
      <c r="R15" s="138">
        <f>LOWER(TRIM(C15)&amp;"|"&amp;TRIM(D15)&amp;"|"&amp;TRIM(E15)&amp;"|"&amp;TRIM(F15)&amp;"|"&amp;TRIM(H15)&amp;"|"&amp;TRIM(I15))</f>
        <v/>
      </c>
      <c r="S15" s="138">
        <f>IF(COUNTIF($R$6:$R$21,R15)&gt;1,"重复","唯一")</f>
        <v/>
      </c>
      <c r="T15" s="138" t="inlineStr">
        <is>
          <t>86fa546a86758f57eb7b5c8fae0aeadb30e62b29e08c1b40d7fb685ac36a4b53</t>
        </is>
      </c>
      <c r="U15" s="138" t="inlineStr">
        <is>
          <t>待分配</t>
        </is>
      </c>
      <c r="V15" s="303" t="n">
        <v>46264</v>
      </c>
      <c r="W15" s="138" t="inlineStr">
        <is>
          <t>原创/待确认</t>
        </is>
      </c>
      <c r="X15" s="375" t="inlineStr">
        <is>
          <t>—</t>
        </is>
      </c>
      <c r="Y15" s="138" t="inlineStr">
        <is>
          <t>复用低血暗角身份；3D HUD低血时提高边缘强度，不复制第二套逻辑ID
2026-08-30 AST-02：补齐单一生产路径SHA；验收：verify_3d_vision_input_flow；SHA 4e61089a3bcd。</t>
        </is>
      </c>
    </row>
    <row r="16">
      <c r="A16" s="138" t="inlineStr">
        <is>
          <t>VFX-VISIBILITY-LIGHT</t>
        </is>
      </c>
      <c r="B16" s="138" t="inlineStr">
        <is>
          <t>视野光锥</t>
        </is>
      </c>
      <c r="C16" s="138" t="inlineStr">
        <is>
          <t>特效</t>
        </is>
      </c>
      <c r="D16" s="138" t="inlineStr">
        <is>
          <t>gameplay_vfx</t>
        </is>
      </c>
      <c r="E16" s="138" t="inlineStr">
        <is>
          <t>visibility_light</t>
        </is>
      </c>
      <c r="F16" s="138" t="inlineStr">
        <is>
          <t>root</t>
        </is>
      </c>
      <c r="G16" s="138" t="str"/>
      <c r="H16" s="138" t="inlineStr">
        <is>
          <t>顶视/屏幕空间</t>
        </is>
      </c>
      <c r="I16" s="138" t="inlineStr">
        <is>
          <t>default</t>
        </is>
      </c>
      <c r="J16" s="138" t="inlineStr">
        <is>
          <t>跨武器/跨场景</t>
        </is>
      </c>
      <c r="K16" s="138" t="inlineStr">
        <is>
          <t>程序占位</t>
        </is>
      </c>
      <c r="L16" s="138" t="inlineStr">
        <is>
          <t>P2</t>
        </is>
      </c>
      <c r="M16" s="138" t="inlineStr">
        <is>
          <t>v001</t>
        </is>
      </c>
      <c r="N16" s="138" t="inlineStr">
        <is>
          <t>粒子或 8–16 帧序列</t>
        </is>
      </c>
      <c r="O16" s="138" t="str"/>
      <c r="P16" s="138" t="inlineStr">
        <is>
          <t>src/fx/VisibilityLight2D.gd</t>
        </is>
      </c>
      <c r="Q16" s="138" t="str"/>
      <c r="R16" s="138">
        <f>LOWER(TRIM(C16)&amp;"|"&amp;TRIM(D16)&amp;"|"&amp;TRIM(E16)&amp;"|"&amp;TRIM(F16)&amp;"|"&amp;TRIM(H16)&amp;"|"&amp;TRIM(I16))</f>
        <v/>
      </c>
      <c r="S16" s="138">
        <f>IF(COUNTIF($R$6:$R$21,R16)&gt;1,"重复","唯一")</f>
        <v/>
      </c>
      <c r="T16" s="138" t="str"/>
      <c r="U16" s="138" t="inlineStr">
        <is>
          <t>待分配</t>
        </is>
      </c>
      <c r="V16" s="303" t="n">
        <v>46225</v>
      </c>
      <c r="W16" s="138" t="inlineStr">
        <is>
          <t>原创/待确认</t>
        </is>
      </c>
      <c r="X16" s="375" t="inlineStr">
        <is>
          <t>—</t>
        </is>
      </c>
      <c r="Y16" s="138" t="inlineStr">
        <is>
          <t>2D视野表现根；3D真实判定与地面网格登记为 VFX-VISIBILITY-FIELD-3D，禁止用灯光替代</t>
        </is>
      </c>
    </row>
    <row r="17">
      <c r="A17" s="138" t="inlineStr">
        <is>
          <t>VFX-EXTRACTION-BEACON</t>
        </is>
      </c>
      <c r="B17" s="138" t="inlineStr">
        <is>
          <t>撤离信标效果</t>
        </is>
      </c>
      <c r="C17" s="138" t="inlineStr">
        <is>
          <t>特效</t>
        </is>
      </c>
      <c r="D17" s="138" t="inlineStr">
        <is>
          <t>gameplay_vfx</t>
        </is>
      </c>
      <c r="E17" s="138" t="inlineStr">
        <is>
          <t>extraction_beacon</t>
        </is>
      </c>
      <c r="F17" s="138" t="inlineStr">
        <is>
          <t>root</t>
        </is>
      </c>
      <c r="G17" s="138" t="str"/>
      <c r="H17" s="138" t="inlineStr">
        <is>
          <t>顶视/屏幕空间</t>
        </is>
      </c>
      <c r="I17" s="138" t="inlineStr">
        <is>
          <t>default</t>
        </is>
      </c>
      <c r="J17" s="138" t="inlineStr">
        <is>
          <t>跨武器/跨场景</t>
        </is>
      </c>
      <c r="K17" s="138" t="inlineStr">
        <is>
          <t>程序占位</t>
        </is>
      </c>
      <c r="L17" s="138" t="inlineStr">
        <is>
          <t>P2</t>
        </is>
      </c>
      <c r="M17" s="138" t="inlineStr">
        <is>
          <t>v001</t>
        </is>
      </c>
      <c r="N17" s="138" t="inlineStr">
        <is>
          <t>粒子或 8–16 帧序列</t>
        </is>
      </c>
      <c r="O17" s="138" t="str"/>
      <c r="P17" s="138" t="inlineStr">
        <is>
          <t>src/map/ExtractionDirector.gd</t>
        </is>
      </c>
      <c r="Q17" s="138" t="str"/>
      <c r="R17" s="138">
        <f>LOWER(TRIM(C17)&amp;"|"&amp;TRIM(D17)&amp;"|"&amp;TRIM(E17)&amp;"|"&amp;TRIM(F17)&amp;"|"&amp;TRIM(H17)&amp;"|"&amp;TRIM(I17))</f>
        <v/>
      </c>
      <c r="S17" s="138">
        <f>IF(COUNTIF($R$6:$R$21,R17)&gt;1,"重复","唯一")</f>
        <v/>
      </c>
      <c r="T17" s="138" t="str"/>
      <c r="U17" s="138" t="inlineStr">
        <is>
          <t>待分配</t>
        </is>
      </c>
      <c r="V17" s="303" t="n">
        <v>46224</v>
      </c>
      <c r="W17" s="138" t="inlineStr">
        <is>
          <t>原创/待确认</t>
        </is>
      </c>
      <c r="X17" s="375" t="inlineStr">
        <is>
          <t>—</t>
        </is>
      </c>
      <c r="Y17" s="138" t="inlineStr">
        <is>
          <t>颜色/尺寸作参数变体，禁止复制整套</t>
        </is>
      </c>
    </row>
    <row r="18">
      <c r="A18" s="392" t="inlineStr">
        <is>
          <t>VFX-HAZARD-FIELD-3D</t>
        </is>
      </c>
      <c r="B18" s="392" t="inlineStr">
        <is>
          <t>房间危险场3D特效</t>
        </is>
      </c>
      <c r="C18" s="392" t="inlineStr">
        <is>
          <t>特效</t>
        </is>
      </c>
      <c r="D18" s="392" t="inlineStr">
        <is>
          <t>environment</t>
        </is>
      </c>
      <c r="E18" s="392" t="inlineStr">
        <is>
          <t>hazard_field</t>
        </is>
      </c>
      <c r="F18" s="392" t="inlineStr">
        <is>
          <t>root_3d</t>
        </is>
      </c>
      <c r="G18" s="392" t="inlineStr">
        <is>
          <t>ENV-DUNGEON-RUNTIME-3D</t>
        </is>
      </c>
      <c r="H18" s="392" t="inlineStr">
        <is>
          <t>俯视3D</t>
        </is>
      </c>
      <c r="I18" s="392" t="inlineStr">
        <is>
          <t>active</t>
        </is>
      </c>
      <c r="J18" s="392" t="inlineStr">
        <is>
          <t>陷阱房</t>
        </is>
      </c>
      <c r="K18" s="392" t="inlineStr">
        <is>
          <t>原型已接入</t>
        </is>
      </c>
      <c r="L18" s="392" t="inlineStr">
        <is>
          <t>P0</t>
        </is>
      </c>
      <c r="M18" s="392" t="inlineStr">
        <is>
          <t>v001</t>
        </is>
      </c>
      <c r="N18" s="392" t="inlineStr">
        <is>
          <t>PackedScene/程序环形特效</t>
        </is>
      </c>
      <c r="O18" s="392" t="inlineStr">
        <is>
          <t>assets/art/vfx/environment_3d/vfx_hazard_field_root_top3d.tscn</t>
        </is>
      </c>
      <c r="P18" s="392" t="inlineStr">
        <is>
          <t>src/world3d/HazardField3D.gd</t>
        </is>
      </c>
      <c r="Q18" s="392" t="inlineStr">
        <is>
          <t>危险区;陷阱;范围伤害;3D</t>
        </is>
      </c>
      <c r="R18" s="392">
        <f>LOWER(TRIM(C18)&amp;"|"&amp;TRIM(D18)&amp;"|"&amp;TRIM(E18)&amp;"|"&amp;TRIM(F18)&amp;"|"&amp;TRIM(H18)&amp;"|"&amp;TRIM(I18))</f>
        <v/>
      </c>
      <c r="S18" s="392">
        <f>IF(COUNTIF($R$6:$R$21,R18)&gt;1,"重复","唯一")</f>
        <v/>
      </c>
      <c r="T18" s="392" t="inlineStr">
        <is>
          <t>9457d360dc6529e42502980b94188d13f76da5efb581b261cfb9b8adbd0f5ff6</t>
        </is>
      </c>
      <c r="U18" s="392" t="inlineStr">
        <is>
          <t>Codex</t>
        </is>
      </c>
      <c r="V18" s="348" t="n">
        <v>46224</v>
      </c>
      <c r="W18" s="392" t="inlineStr">
        <is>
          <t>原创程序特效</t>
        </is>
      </c>
      <c r="X18" s="375" t="inlineStr">
        <is>
          <t>—</t>
        </is>
      </c>
      <c r="Y18" s="392" t="inlineStr">
        <is>
          <t>颜色、半径与伤害可按主题配置</t>
        </is>
      </c>
    </row>
    <row r="19">
      <c r="A19" s="392" t="inlineStr">
        <is>
          <t>VFX-COMBAT-KIT-3D</t>
        </is>
      </c>
      <c r="B19" s="392" t="inlineStr">
        <is>
          <t>战斗反馈3D通用特效套件</t>
        </is>
      </c>
      <c r="C19" s="392" t="inlineStr">
        <is>
          <t>特效</t>
        </is>
      </c>
      <c r="D19" s="392" t="inlineStr">
        <is>
          <t>combat</t>
        </is>
      </c>
      <c r="E19" s="392" t="inlineStr">
        <is>
          <t>combat_feedback</t>
        </is>
      </c>
      <c r="F19" s="392" t="inlineStr">
        <is>
          <t>root_3d</t>
        </is>
      </c>
      <c r="G19" s="392" t="n"/>
      <c r="H19" s="392" t="inlineStr">
        <is>
          <t>俯视3D</t>
        </is>
      </c>
      <c r="I19" s="392" t="inlineStr">
        <is>
          <t>muzzle_impact_damage_explosion_slash_melee_impact</t>
        </is>
      </c>
      <c r="J19" s="392" t="inlineStr">
        <is>
          <t>枪械/近战/敌人/关卡</t>
        </is>
      </c>
      <c r="K19" s="392" t="inlineStr">
        <is>
          <t>原型已接入</t>
        </is>
      </c>
      <c r="L19" s="392" t="inlineStr">
        <is>
          <t>P0</t>
        </is>
      </c>
      <c r="M19" s="392" t="inlineStr">
        <is>
          <t>v001</t>
        </is>
      </c>
      <c r="N19" s="392" t="inlineStr">
        <is>
          <t>PackedScene/参数化特效</t>
        </is>
      </c>
      <c r="O19" s="392" t="inlineStr">
        <is>
          <t>assets/art/vfx/combat_3d/vfx_combat_kit_root_top3d.tscn</t>
        </is>
      </c>
      <c r="P19" s="392" t="inlineStr">
        <is>
          <t>src/combat3d/CombatEffect3D.gd; src/combat3d/CombatEffectPool3D.gd; src/player3d/melee/PlayerMeleeCombat3D.gd</t>
        </is>
      </c>
      <c r="Q19" s="392" t="inlineStr">
        <is>
          <t>枪口;命中;伤害;爆炸;挥砍;近战冲击;slash;melee_impact;3D</t>
        </is>
      </c>
      <c r="R19" s="392">
        <f>LOWER(TRIM(C19)&amp;"|"&amp;TRIM(D19)&amp;"|"&amp;TRIM(E19)&amp;"|"&amp;TRIM(F19)&amp;"|"&amp;TRIM(H19)&amp;"|"&amp;TRIM(I19))</f>
        <v/>
      </c>
      <c r="S19" s="392">
        <f>IF(COUNTIF($R$6:$R$21,R19)&gt;1,"重复","唯一")</f>
        <v/>
      </c>
      <c r="T19" s="392" t="inlineStr">
        <is>
          <t>59cd5409b33ff9fae9c541b357699249d8f0574bc21add6fec2d1fdfd89a098e</t>
        </is>
      </c>
      <c r="U19" s="392" t="inlineStr">
        <is>
          <t>Codex</t>
        </is>
      </c>
      <c r="V19" s="348" t="n">
        <v>46224</v>
      </c>
      <c r="W19" s="392" t="inlineStr">
        <is>
          <t>原创程序特效</t>
        </is>
      </c>
      <c r="X19" s="375" t="inlineStr">
        <is>
          <t>—</t>
        </is>
      </c>
      <c r="Y19" s="392" t="inlineStr">
        <is>
          <t>effect kind、颜色、尺寸、方向与连段参数化；新增slash/melee_impact无碰撞池化种类，复用同一战斗VFX根；近战专项验证一段一弧光、逐目标爆点。</t>
        </is>
      </c>
    </row>
    <row r="20">
      <c r="A20" s="392" t="inlineStr">
        <is>
          <t>VFX-VISIBILITY-FIELD-3D</t>
        </is>
      </c>
      <c r="B20" s="392" t="inlineStr">
        <is>
          <t>柔边真实单位视野场3D</t>
        </is>
      </c>
      <c r="C20" s="392" t="inlineStr">
        <is>
          <t>特效</t>
        </is>
      </c>
      <c r="D20" s="392" t="inlineStr">
        <is>
          <t>gameplay_vfx</t>
        </is>
      </c>
      <c r="E20" s="392" t="inlineStr">
        <is>
          <t>visibility_field</t>
        </is>
      </c>
      <c r="F20" s="392" t="inlineStr">
        <is>
          <t>field_mesh_3d</t>
        </is>
      </c>
      <c r="G20" s="392" t="inlineStr">
        <is>
          <t>VFX-VISIBILITY-LIGHT</t>
        </is>
      </c>
      <c r="H20" s="392" t="inlineStr">
        <is>
          <t>俯视3D</t>
        </is>
      </c>
      <c r="I20" s="392" t="inlineStr">
        <is>
          <t>default</t>
        </is>
      </c>
      <c r="J20" s="392" t="inlineStr">
        <is>
          <t>3D行动区/靶场/基地</t>
        </is>
      </c>
      <c r="K20" s="392" t="inlineStr">
        <is>
          <t>原型已接入</t>
        </is>
      </c>
      <c r="L20" s="392" t="inlineStr">
        <is>
          <t>P0</t>
        </is>
      </c>
      <c r="M20" s="392" t="inlineStr">
        <is>
          <t>v001</t>
        </is>
      </c>
      <c r="N20" s="392" t="inlineStr">
        <is>
          <t>360°逻辑射线 + ImmediateMesh 49+28表现射线</t>
        </is>
      </c>
      <c r="O20" s="392" t="inlineStr">
        <is>
          <t>src/player3d/PlayerVision3D.gd</t>
        </is>
      </c>
      <c r="P20" s="392" t="inlineStr">
        <is>
          <t>scenes/Player3D.tscn</t>
        </is>
      </c>
      <c r="Q20" s="392" t="inlineStr">
        <is>
          <t>360度逻辑视野;96度目光表现;柔边;墙体遮挡;无描边;非灯光判定</t>
        </is>
      </c>
      <c r="R20" s="392">
        <f>LOWER(TRIM(C20)&amp;"|"&amp;TRIM(D20)&amp;"|"&amp;TRIM(E20)&amp;"|"&amp;TRIM(F20)&amp;"|"&amp;TRIM(H20)&amp;"|"&amp;TRIM(I20))</f>
        <v/>
      </c>
      <c r="S20" s="392">
        <f>IF(COUNTIF($R$6:$R$21,R20)&gt;1,"重复","唯一")</f>
        <v/>
      </c>
      <c r="T20" s="392" t="inlineStr">
        <is>
          <t>128dc5eab4c8b523961178714d4ed65bbefd86297641e6ba2cb0b7cf8b91f7f0</t>
        </is>
      </c>
      <c r="U20" s="392" t="inlineStr">
        <is>
          <t>Codex</t>
        </is>
      </c>
      <c r="V20" s="392" t="n">
        <v>46264</v>
      </c>
      <c r="W20" s="392" t="inlineStr">
        <is>
          <t>原创程序几何</t>
        </is>
      </c>
      <c r="X20" s="375" t="inlineStr">
        <is>
          <t>—</t>
        </is>
      </c>
      <c r="Y20" s="392" t="inlineStr">
        <is>
          <t>目标显隐使用21m内360°逐目标物理遮挡；身后无遮挡目标保持可见，任意方向的墙/关闭门/实体家具均可遮挡。地面表现保留96°/21m + 2.4m、49+28固定射线、柔边无描边和地板深度豁免；真实照明仍拆为 VFX-PLAYER-FLASHLIGHT-3D。
2026-08-30 AST-02：合法内容更新；文件为Git已跟踪且修改时间不早于原台账日期；验收：verify_3d_vision_input_flow；SHA f2b2eaf61798→3405769a7da2。</t>
        </is>
      </c>
    </row>
    <row r="21">
      <c r="A21" s="392" t="inlineStr">
        <is>
          <t>VFX-PLAYER-FLASHLIGHT-3D</t>
        </is>
      </c>
      <c r="B21" s="392" t="inlineStr">
        <is>
          <t>玩家真实探照灯组件3D</t>
        </is>
      </c>
      <c r="C21" s="392" t="inlineStr">
        <is>
          <t>特效</t>
        </is>
      </c>
      <c r="D21" s="392" t="inlineStr">
        <is>
          <t>gameplay_vfx</t>
        </is>
      </c>
      <c r="E21" s="392" t="inlineStr">
        <is>
          <t>player_flashlight</t>
        </is>
      </c>
      <c r="F21" s="392" t="inlineStr">
        <is>
          <t>light_rig_3d</t>
        </is>
      </c>
      <c r="G21" s="392" t="inlineStr">
        <is>
          <t>VFX-VISIBILITY-FIELD-3D</t>
        </is>
      </c>
      <c r="H21" s="392" t="inlineStr">
        <is>
          <t>俯视3D</t>
        </is>
      </c>
      <c r="I21" s="392" t="inlineStr">
        <is>
          <t>default</t>
        </is>
      </c>
      <c r="J21" s="392" t="inlineStr">
        <is>
          <t>3D行动区/靶场/基地</t>
        </is>
      </c>
      <c r="K21" s="392" t="inlineStr">
        <is>
          <t>原型已接入</t>
        </is>
      </c>
      <c r="L21" s="392" t="inlineStr">
        <is>
          <t>P0</t>
        </is>
      </c>
      <c r="M21" s="392" t="inlineStr">
        <is>
          <t>v001</t>
        </is>
      </c>
      <c r="N21" s="392" t="inlineStr">
        <is>
          <t>PackedScene/2 SpotLight3D+1 OmniLight3D</t>
        </is>
      </c>
      <c r="O21" s="392" t="inlineStr">
        <is>
          <t>assets/art/vfx/visibility_3d/vfx_player_flashlight_root_top3d.tscn</t>
        </is>
      </c>
      <c r="P21" s="392" t="inlineStr">
        <is>
          <t>src/player3d/PlayerFlashlight3D.gd</t>
        </is>
      </c>
      <c r="Q21" s="392" t="inlineStr">
        <is>
          <t>真实探照灯;玩家灯光;前向聚光;角色补光;可调灯光</t>
        </is>
      </c>
      <c r="R21" s="392">
        <f>LOWER(TRIM(C21)&amp;"|"&amp;TRIM(D21)&amp;"|"&amp;TRIM(E21)&amp;"|"&amp;TRIM(F21)&amp;"|"&amp;TRIM(H21)&amp;"|"&amp;TRIM(I21))</f>
        <v/>
      </c>
      <c r="S21" s="392">
        <f>IF(COUNTIF($R$6:$R$21,R21)&gt;1,"重复","唯一")</f>
        <v/>
      </c>
      <c r="T21" s="392" t="inlineStr">
        <is>
          <t>66d910c4fbcfd63176427c8012d3b6dbb11c4e0999587b34a3a66d6202920017</t>
        </is>
      </c>
      <c r="U21" s="392" t="inlineStr">
        <is>
          <t>Codex</t>
        </is>
      </c>
      <c r="V21" s="348" t="n">
        <v>46225</v>
      </c>
      <c r="W21" s="348" t="inlineStr">
        <is>
          <t>原创程序几何</t>
        </is>
      </c>
      <c r="X21" s="375" t="inlineStr">
        <is>
          <t>—</t>
        </is>
      </c>
      <c r="Y21" s="392" t="inlineStr">
        <is>
          <t>v0.1：ForwardBeam仅照环境layer1，shadow_caster_mask也仅包含layer1，明确排除玩家、穿戴物与手持枪layer2；AvatarFrontFill无阴影。玩家网格保留cast_shadow=ON，由太阳和室内灯产生外部投影；准星禁用投影。曝光预算固定为主聚光7.2、环境溢光0.7、角色柔光2.8，并通过真实渲染验收。
2026-08-03：主聚光保持能量7.2/范围25m/角度66°与环境层隔离；Compatibility阴影采样固定 bias=0.18、normal_bias=1.6、blur=1.2，消除远处斜角墙面横纹，不改变玩家自身不投影契约；已通过近25m真GPU画面验收。</t>
        </is>
      </c>
    </row>
    <row r="79" ht="155" customHeight="1"/>
    <row r="113" ht="155" customHeight="1"/>
    <row r="120" ht="155" customHeight="1"/>
    <row r="123" ht="155" customHeight="1"/>
    <row r="124" ht="34" customHeight="1"/>
    <row r="125" ht="34" customHeight="1"/>
    <row r="126" ht="34" customHeight="1"/>
    <row r="127" ht="34" customHeight="1"/>
    <row r="128" ht="155" customHeight="1"/>
    <row r="129" ht="34" customHeight="1"/>
    <row r="130" ht="34" customHeight="1"/>
    <row r="131" ht="34" customHeight="1"/>
    <row r="132" ht="34" customHeight="1"/>
    <row r="133" ht="34" customHeight="1"/>
    <row r="134" ht="34" customHeight="1"/>
    <row r="135" ht="34" customHeight="1"/>
    <row r="136" ht="34" customHeight="1"/>
    <row r="137" ht="34" customHeight="1"/>
    <row r="138" ht="34" customHeight="1"/>
    <row r="139" ht="34" customHeight="1"/>
    <row r="143" ht="155" customHeight="1"/>
    <row r="146" ht="44" customHeight="1"/>
    <row r="147" ht="44" customHeight="1"/>
    <row r="148" ht="44" customHeight="1"/>
    <row r="149" ht="44" customHeight="1"/>
    <row r="150" ht="44" customHeight="1"/>
    <row r="151" ht="44" customHeight="1"/>
    <row r="152" ht="44" customHeight="1"/>
    <row r="153" ht="44" customHeight="1"/>
    <row r="154" ht="44" customHeight="1"/>
    <row r="155" ht="44" customHeight="1"/>
    <row r="156" ht="132" customHeight="1"/>
    <row r="157" ht="118" customHeight="1"/>
    <row r="158" ht="118" customHeight="1"/>
    <row r="159" ht="118" customHeight="1"/>
    <row r="160" ht="118" customHeight="1"/>
    <row r="161" ht="132" customHeight="1"/>
    <row r="162" ht="132" customHeight="1"/>
    <row r="163" ht="155" customHeight="1"/>
    <row r="164" ht="132" customHeight="1"/>
    <row r="165" ht="132" customHeight="1"/>
    <row r="166" ht="132" customHeight="1"/>
    <row r="167" ht="155" customHeight="1"/>
    <row r="168" ht="220" customHeight="1"/>
    <row r="169" ht="220" customHeight="1"/>
    <row r="172" ht="42" customHeight="1"/>
    <row r="173" ht="42" customHeight="1"/>
    <row r="174" ht="44" customHeight="1"/>
    <row r="175" ht="44" customHeight="1"/>
    <row r="176" ht="44" customHeight="1"/>
    <row r="177" ht="44" customHeight="1"/>
    <row r="178" ht="44" customHeight="1"/>
    <row r="179" ht="44" customHeight="1"/>
    <row r="180" ht="44" customHeight="1"/>
    <row r="181" ht="44" customHeight="1"/>
    <row r="182" ht="44" customHeight="1"/>
    <row r="183" ht="44" customHeight="1"/>
    <row r="184" ht="44" customHeight="1"/>
    <row r="185" ht="44" customHeight="1"/>
    <row r="186" ht="44" customHeight="1"/>
    <row r="187" ht="44" customHeight="1"/>
    <row r="188" ht="44" customHeight="1"/>
    <row r="189" ht="44" customHeight="1"/>
    <row r="190" ht="44" customHeight="1"/>
    <row r="191" ht="44" customHeight="1"/>
    <row r="192" ht="44" customHeight="1"/>
    <row r="193" ht="44" customHeight="1"/>
    <row r="194" ht="44" customHeight="1"/>
    <row r="195" ht="44" customHeight="1"/>
    <row r="196" ht="44" customHeight="1"/>
    <row r="197" ht="44" customHeight="1"/>
    <row r="198" ht="44" customHeight="1"/>
    <row r="199" ht="44" customHeight="1"/>
    <row r="200" ht="44" customHeight="1"/>
    <row r="201" ht="44" customHeight="1"/>
    <row r="202" ht="44" customHeight="1"/>
    <row r="203" ht="44" customHeight="1"/>
    <row r="204" ht="44" customHeight="1"/>
    <row r="240" ht="255" customHeight="1"/>
    <row r="281" ht="66" customHeight="1"/>
    <row r="282" ht="66" customHeight="1"/>
    <row r="283" ht="66" customHeight="1"/>
    <row r="284" ht="66" customHeight="1"/>
    <row r="285" ht="66" customHeight="1"/>
    <row r="286" ht="66" customHeight="1"/>
    <row r="287" ht="56" customHeight="1"/>
    <row r="301" ht="132" customHeight="1"/>
    <row r="302" ht="54" customHeight="1"/>
    <row r="303" ht="54" customHeight="1"/>
    <row r="304" ht="54" customHeight="1"/>
    <row r="305" ht="54" customHeight="1"/>
    <row r="306" ht="54" customHeight="1"/>
    <row r="307" ht="54" customHeight="1"/>
    <row r="308" ht="54" customHeight="1"/>
    <row r="309" ht="54" customHeight="1"/>
    <row r="310" ht="54" customHeight="1"/>
    <row r="311" ht="72" customHeight="1"/>
    <row r="312" ht="54" customHeight="1"/>
    <row r="313" ht="54" customHeight="1"/>
    <row r="314" ht="54" customHeight="1"/>
    <row r="315" ht="54" customHeight="1"/>
    <row r="316" ht="54" customHeight="1"/>
    <row r="317" ht="54" customHeight="1"/>
    <row r="318" ht="54" customHeight="1"/>
    <row r="319" ht="54" customHeight="1"/>
    <row r="320" ht="54" customHeight="1"/>
    <row r="321" ht="54" customHeight="1"/>
    <row r="322" ht="54" customHeight="1"/>
    <row r="323" ht="54" customHeight="1"/>
    <row r="324" ht="54" customHeight="1"/>
    <row r="325" ht="54" customHeight="1"/>
    <row r="326" ht="54" customHeight="1"/>
    <row r="327" ht="54" customHeight="1"/>
    <row r="328" ht="54" customHeight="1"/>
    <row r="329" ht="54" customHeight="1"/>
    <row r="330" ht="54" customHeight="1"/>
    <row r="331" ht="54" customHeight="1"/>
    <row r="332" ht="54" customHeight="1"/>
    <row r="333" ht="54" customHeight="1"/>
    <row r="334" ht="54" customHeight="1"/>
    <row r="335" ht="54" customHeight="1"/>
    <row r="336" ht="54" customHeight="1"/>
    <row r="337" ht="54" customHeight="1"/>
    <row r="338" ht="54" customHeight="1"/>
    <row r="339" ht="54" customHeight="1"/>
    <row r="340" ht="54" customHeight="1"/>
    <row r="341" ht="54" customHeight="1"/>
    <row r="342" ht="54" customHeight="1"/>
    <row r="343" ht="54" customHeight="1"/>
    <row r="344" ht="54" customHeight="1"/>
    <row r="345" ht="54" customHeight="1"/>
    <row r="346" ht="54" customHeight="1"/>
    <row r="347" ht="54" customHeight="1"/>
    <row r="348" ht="54" customHeight="1"/>
    <row r="349" ht="54" customHeight="1"/>
    <row r="350" ht="54" customHeight="1"/>
    <row r="351" ht="54" customHeight="1"/>
    <row r="352" ht="54" customHeight="1"/>
    <row r="353" ht="54" customHeight="1"/>
    <row r="354" ht="54" customHeight="1"/>
    <row r="355" ht="54" customHeight="1"/>
    <row r="356" ht="54" customHeight="1"/>
    <row r="357" ht="54" customHeight="1"/>
    <row r="358" ht="54" customHeight="1"/>
    <row r="359" ht="72" customHeight="1"/>
    <row r="360" ht="54" customHeight="1"/>
    <row r="361" ht="54" customHeight="1"/>
    <row r="362" ht="54" customHeight="1"/>
    <row r="363" ht="54" customHeight="1"/>
    <row r="364" ht="54" customHeight="1"/>
    <row r="365" ht="54" customHeight="1"/>
    <row r="366" ht="54" customHeight="1"/>
    <row r="367" ht="54" customHeight="1"/>
    <row r="368" ht="72" customHeight="1"/>
    <row r="369" ht="54" customHeight="1"/>
    <row r="370" ht="54" customHeight="1"/>
    <row r="371" ht="54" customHeight="1"/>
    <row r="372" ht="54" customHeight="1"/>
    <row r="373" ht="54" customHeight="1"/>
    <row r="374" ht="54" customHeight="1"/>
    <row r="375" ht="54" customHeight="1"/>
    <row r="376" ht="54" customHeight="1"/>
    <row r="377" ht="54" customHeight="1"/>
    <row r="378" ht="54" customHeight="1"/>
    <row r="379" ht="54" customHeight="1"/>
    <row r="380" ht="54" customHeight="1"/>
    <row r="381" ht="54" customHeight="1"/>
    <row r="382" ht="54" customHeight="1"/>
    <row r="383" ht="54" customHeight="1"/>
    <row r="384" ht="54" customHeight="1"/>
    <row r="385" ht="54" customHeight="1"/>
    <row r="386" ht="54" customHeight="1"/>
    <row r="387" ht="54" customHeight="1"/>
    <row r="388" ht="54" customHeight="1"/>
    <row r="389" ht="54" customHeight="1"/>
    <row r="390" ht="54" customHeight="1"/>
    <row r="391" ht="54" customHeight="1"/>
    <row r="392" ht="54" customHeight="1"/>
    <row r="393" ht="54" customHeight="1"/>
    <row r="394" ht="54" customHeight="1"/>
    <row r="395" ht="54" customHeight="1"/>
    <row r="396" ht="54" customHeight="1"/>
    <row r="397" ht="54" customHeight="1"/>
    <row r="398" ht="54" customHeight="1"/>
    <row r="399" ht="54" customHeight="1"/>
    <row r="400" ht="54" customHeight="1"/>
    <row r="401" ht="54" customHeight="1"/>
    <row r="402" ht="54" customHeight="1"/>
    <row r="403" ht="54" customHeight="1"/>
    <row r="404" ht="54" customHeight="1"/>
    <row r="405" ht="54" customHeight="1"/>
    <row r="406" ht="54" customHeight="1"/>
    <row r="407" ht="54" customHeight="1"/>
    <row r="408" ht="54" customHeight="1"/>
    <row r="409" ht="54" customHeight="1"/>
    <row r="410" ht="54" customHeight="1"/>
    <row r="411" ht="54" customHeight="1"/>
    <row r="412" ht="54" customHeight="1"/>
    <row r="413" ht="76" customHeight="1"/>
    <row r="414" ht="72" customHeight="1"/>
    <row r="415" ht="72" customHeight="1"/>
    <row r="416" ht="72" customHeight="1"/>
    <row r="424" ht="85" customHeight="1"/>
    <row r="425" ht="85" customHeight="1"/>
    <row r="426" ht="85" customHeight="1"/>
    <row r="427" ht="85" customHeight="1"/>
    <row r="429" ht="120" customHeight="1"/>
  </sheetData>
  <autoFilter ref="A5:X21"/>
  <mergeCells count="2">
    <mergeCell ref="A1:X2"/>
    <mergeCell ref="A3:X3"/>
  </mergeCells>
  <conditionalFormatting sqref="S6:S21">
    <cfRule type="containsText" priority="1" operator="containsText" dxfId="0" text="重复"/>
  </conditionalFormatting>
  <conditionalFormatting sqref="K6:K21">
    <cfRule type="containsText" priority="2" operator="containsText" dxfId="1" text="已完成"/>
    <cfRule type="containsText" priority="3" operator="containsText" dxfId="2" text="待制作"/>
  </conditionalFormatting>
  <dataValidations count="3">
    <dataValidation sqref="C6:C21" showDropDown="0" showInputMessage="0" showErrorMessage="0" allowBlank="1" type="list">
      <formula1>"角色,敌人,武器,道具,场景,场景道具,基地资产包,UI,特效,音频"</formula1>
    </dataValidation>
    <dataValidation sqref="K6:K21" showDropDown="0" showInputMessage="0" showErrorMessage="0" allowBlank="1" type="list">
      <formula1>"待制作,程序占位,已完成,原型已接入,弃用,旧资产已从正式基地移除,正式美术已接入,已优化并正式接入,Blender源已完成,已导入；优化完成,已从运行场景移除,白盒组件"</formula1>
    </dataValidation>
    <dataValidation sqref="L6:L21" showDropDown="0" showInputMessage="0" showErrorMessage="0" allowBlank="1" type="list">
      <formula1>"P0,P1,P2,P3"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4" customWidth="1" min="3" max="3"/>
    <col width="42" customWidth="1" min="4" max="4"/>
    <col width="38" customWidth="1" min="5" max="5"/>
    <col width="27" customWidth="1" min="6" max="6"/>
    <col width="36" customWidth="1" min="7" max="7"/>
    <col width="10" customWidth="1" min="8" max="8"/>
    <col width="12" customWidth="1" min="9" max="9"/>
    <col width="18" customWidth="1" min="10" max="10"/>
    <col width="26" customWidth="1" min="11" max="11"/>
    <col width="24" customWidth="1" min="12" max="12"/>
    <col width="24" customWidth="1" min="13" max="13"/>
    <col width="22" customWidth="1" min="14" max="14"/>
    <col width="10" customWidth="1" min="15" max="15"/>
    <col width="44" customWidth="1" min="16" max="16"/>
  </cols>
  <sheetData>
    <row r="1" ht="30" customHeight="1">
      <c r="A1" s="376" t="inlineStr">
        <is>
          <t>ShellStorm2 · 特效 3D Prefab</t>
        </is>
      </c>
    </row>
    <row r="2" ht="34" customHeight="1">
      <c r="A2" s="377" t="inlineStr">
        <is>
          <t>特效按独立 Prefab 原则：每个特效一个独立 .tscn；Prefab 是特效唯一出口；账本和调用代码读 Prefab。本 sheet 共 10 条，按 5 大类分组，每条 VFX 有内部编号 FX&lt;大类&gt;-&lt;序号&gt;。状态：✅ 完成（Prefab + 脚本 + 接入齐）/ 🟡 待落地（已登记 AssetID，文件未创建）/ 🟠 老形态（迁移完成后删除）。规范见 docs/v0.1/14.6_特效系统与制作规范.md。【2026-09-11 进度】FX01 战斗反馈 5 条 + FX02 受击飘字 2 条 共 7 条完成；FX03/04 已实装但命名待对齐。</t>
        </is>
      </c>
    </row>
    <row r="4" ht="30" customHeight="1">
      <c r="A4" s="378" t="inlineStr">
        <is>
          <t>编号</t>
        </is>
      </c>
      <c r="B4" s="379" t="inlineStr">
        <is>
          <t>AssetID</t>
        </is>
      </c>
      <c r="C4" s="379" t="inlineStr">
        <is>
          <t>中文名</t>
        </is>
      </c>
      <c r="D4" s="379" t="inlineStr">
        <is>
          <t>Prefab路径</t>
        </is>
      </c>
      <c r="E4" s="379" t="inlineStr">
        <is>
          <t>GLB模型路径</t>
        </is>
      </c>
      <c r="F4" s="379" t="inlineStr">
        <is>
          <t>Blender源文件</t>
        </is>
      </c>
      <c r="G4" s="379" t="inlineStr">
        <is>
          <t>功能说明</t>
        </is>
      </c>
      <c r="H4" s="379" t="inlineStr">
        <is>
          <t>功能脚本路径</t>
        </is>
      </c>
      <c r="I4" s="379" t="inlineStr">
        <is>
          <t>碰撞开关</t>
        </is>
      </c>
      <c r="J4" s="379" t="inlineStr">
        <is>
          <t>碰撞归属</t>
        </is>
      </c>
      <c r="K4" s="379" t="inlineStr">
        <is>
          <t>碰撞方式</t>
        </is>
      </c>
      <c r="L4" s="379" t="inlineStr">
        <is>
          <t>标准尺寸</t>
        </is>
      </c>
      <c r="M4" s="379" t="inlineStr">
        <is>
          <t>原点与朝向</t>
        </is>
      </c>
      <c r="N4" s="379" t="inlineStr">
        <is>
          <t>使用位置</t>
        </is>
      </c>
      <c r="O4" s="379" t="inlineStr">
        <is>
          <t>制作状态</t>
        </is>
      </c>
      <c r="P4" s="380" t="inlineStr">
        <is>
          <t>版本</t>
        </is>
      </c>
      <c r="Q4" s="389" t="inlineStr">
        <is>
          <t>备注</t>
        </is>
      </c>
    </row>
    <row r="5" ht="66" customHeight="1">
      <c r="A5" s="381" t="inlineStr">
        <is>
          <t>▼ 00 特效套件（老形态）</t>
        </is>
      </c>
      <c r="B5" s="382" t="n"/>
      <c r="C5" s="382" t="n"/>
      <c r="D5" s="382" t="n"/>
      <c r="E5" s="382" t="n"/>
      <c r="F5" s="382" t="n"/>
      <c r="G5" s="382" t="n"/>
      <c r="H5" s="382" t="n"/>
      <c r="I5" s="382" t="n"/>
      <c r="J5" s="382" t="n"/>
      <c r="K5" s="382" t="n"/>
      <c r="L5" s="382" t="n"/>
      <c r="M5" s="382" t="n"/>
      <c r="N5" s="382" t="n"/>
      <c r="O5" s="382" t="n"/>
      <c r="P5" s="383" t="n"/>
      <c r="Q5" s="388" t="n"/>
    </row>
    <row r="6" ht="66" customHeight="1">
      <c r="A6" s="390" t="inlineStr">
        <is>
          <t>FX00-01</t>
        </is>
      </c>
      <c r="B6" s="192" t="inlineStr">
        <is>
          <t>VFX-COMBAT-KIT-3D</t>
        </is>
      </c>
      <c r="C6" s="192" t="inlineStr">
        <is>
          <t>战斗反馈3D通用特效套件</t>
        </is>
      </c>
      <c r="D6" s="192" t="inlineStr">
        <is>
          <t>assets/art/vfx/combat_3d/vfx_combat_kit_root_top3d.tscn</t>
        </is>
      </c>
      <c r="E6" s="192" t="n"/>
      <c r="F6" s="192" t="n"/>
      <c r="G6" s="192" t="inlineStr">
        <is>
          <t>一个 Prefab + match effect_kind 7 套代码分支，覆盖 7 种战斗反馈视觉。违反 14.6 独立 Prefab 原则 §1；下方 7 个战斗反馈/受击飘字条目为拆分目标。旧调用方继续运行至 2026-Q4 迁移完成。</t>
        </is>
      </c>
      <c r="H6" s="192" t="inlineStr">
        <is>
          <t>src/combat3d/CombatEffect3D.gd</t>
        </is>
      </c>
      <c r="I6" s="192" t="inlineStr">
        <is>
          <t>无</t>
        </is>
      </c>
      <c r="J6" s="192" t="inlineStr">
        <is>
          <t>无</t>
        </is>
      </c>
      <c r="K6" s="192" t="inlineStr">
        <is>
          <t>无</t>
        </is>
      </c>
      <c r="L6" s="192" t="inlineStr">
        <is>
          <t>PackedScene/参数化特效</t>
        </is>
      </c>
      <c r="M6" s="192" t="inlineStr">
        <is>
          <t>未声明</t>
        </is>
      </c>
      <c r="N6" s="192" t="inlineStr">
        <is>
          <t>枪械/近战/敌人/关卡</t>
        </is>
      </c>
      <c r="O6" s="192" t="inlineStr">
        <is>
          <t>老 · 待拆分</t>
        </is>
      </c>
      <c r="P6" s="193" t="inlineStr">
        <is>
          <t>v001</t>
        </is>
      </c>
      <c r="Q6" t="inlineStr">
        <is>
          <t>老形态·保留为过渡；待 14.6 §6 迁移完成后删除</t>
        </is>
      </c>
    </row>
    <row r="7" ht="66" customHeight="1">
      <c r="A7" s="384" t="inlineStr">
        <is>
          <t>▼ 01 战斗反馈</t>
        </is>
      </c>
      <c r="B7" s="385" t="n"/>
      <c r="C7" s="385" t="n"/>
      <c r="D7" s="385" t="n"/>
      <c r="E7" s="385" t="n"/>
      <c r="F7" s="385" t="n"/>
      <c r="G7" s="385" t="n"/>
      <c r="H7" s="385" t="n"/>
      <c r="I7" s="385" t="n"/>
      <c r="J7" s="385" t="n"/>
      <c r="K7" s="385" t="n"/>
      <c r="L7" s="385" t="n"/>
      <c r="M7" s="385" t="n"/>
      <c r="N7" s="385" t="n"/>
      <c r="O7" s="385" t="n"/>
      <c r="P7" s="386" t="n"/>
      <c r="Q7" s="388" t="n"/>
    </row>
    <row r="8">
      <c r="A8" s="391" t="inlineStr">
        <is>
          <t>FX01-01</t>
        </is>
      </c>
      <c r="B8" t="inlineStr">
        <is>
          <t>VFX-MUZZLE-FLASH-3D</t>
        </is>
      </c>
      <c r="C8" t="inlineStr">
        <is>
          <t>枪口火光特效</t>
        </is>
      </c>
      <c r="D8" t="inlineStr">
        <is>
          <t>assets/art/vfx/combat_3d/vfx_muzzle_flash_root_top3d.tscn</t>
        </is>
      </c>
      <c r="G8" t="inlineStr">
        <is>
          <t>枪械/投射物开火时的瞬时火光；SphereMesh 闪核 + TorusMesh 环；参数 effect_color（火焰色）/ effect_size（火光强度）。</t>
        </is>
      </c>
      <c r="H8" t="inlineStr">
        <is>
          <t>src/vfx/VfxMuzzleFlash3D.gd</t>
        </is>
      </c>
      <c r="I8" t="inlineStr">
        <is>
          <t>无</t>
        </is>
      </c>
      <c r="J8" t="inlineStr">
        <is>
          <t>无</t>
        </is>
      </c>
      <c r="K8" t="inlineStr">
        <is>
          <t>无</t>
        </is>
      </c>
      <c r="L8" t="inlineStr">
        <is>
          <t>约 0.18m 半径；lifetime 0.12s</t>
        </is>
      </c>
      <c r="M8" t="inlineStr">
        <is>
          <t>原点=根节点中心；朝向=local -Z 正面</t>
        </is>
      </c>
      <c r="N8" t="inlineStr">
        <is>
          <t>枪械开火（远程 7 枪）</t>
        </is>
      </c>
      <c r="O8" t="inlineStr">
        <is>
          <t>完成</t>
        </is>
      </c>
      <c r="P8" t="inlineStr">
        <is>
          <t>v001</t>
        </is>
      </c>
      <c r="Q8" t="inlineStr">
        <is>
          <t>已实装；Prefab=assets/art/vfx/combat_3d/vfx_muzzle_flash_root_top3d_v001.tscn + 脚本=src/vfx/VfxMuzzleFlash3D.gd；根节点=VfxMuzzleFlash3D(Node3D)；FX编号 FX01-01；调用方：PlayerMeleeCombat3D/Enemy3D 经 VfxPool3D 路由</t>
        </is>
      </c>
    </row>
    <row r="9">
      <c r="A9" s="391" t="inlineStr">
        <is>
          <t>FX01-02</t>
        </is>
      </c>
      <c r="B9" s="388" t="inlineStr">
        <is>
          <t>VFX-IMPACT-3D</t>
        </is>
      </c>
      <c r="C9" s="388" t="inlineStr">
        <is>
          <t>通用命中特效</t>
        </is>
      </c>
      <c r="D9" s="388" t="inlineStr">
        <is>
          <t>assets/art/vfx/combat_3d/vfx_impact_root_top3d.tscn</t>
        </is>
      </c>
      <c r="E9" s="388" t="n"/>
      <c r="F9" s="388" t="n"/>
      <c r="G9" s="388" t="inlineStr">
        <is>
          <t>子弹/投射物命中目标时的爆点；SphereMesh 核心 + TorusMesh 环；参数 effect_color（命中火花色）/ effect_size（爆点半径）。</t>
        </is>
      </c>
      <c r="H9" s="388" t="inlineStr">
        <is>
          <t>src/vfx/VfxImpact3D.gd</t>
        </is>
      </c>
      <c r="I9" s="388" t="inlineStr">
        <is>
          <t>无</t>
        </is>
      </c>
      <c r="J9" s="388" t="inlineStr">
        <is>
          <t>无</t>
        </is>
      </c>
      <c r="K9" s="388" t="inlineStr">
        <is>
          <t>无</t>
        </is>
      </c>
      <c r="L9" s="388" t="inlineStr">
        <is>
          <t>约 0.16m 核心；lifetime 0.24s</t>
        </is>
      </c>
      <c r="M9" s="388" t="inlineStr">
        <is>
          <t>原点=根节点中心；朝向=local -Z 正面</t>
        </is>
      </c>
      <c r="N9" s="388" t="inlineStr">
        <is>
          <t>子弹/投射物命中通用</t>
        </is>
      </c>
      <c r="O9" s="388" t="inlineStr">
        <is>
          <t>完成</t>
        </is>
      </c>
      <c r="P9" s="388" t="inlineStr">
        <is>
          <t>v001</t>
        </is>
      </c>
      <c r="Q9" t="inlineStr">
        <is>
          <t>已实装；Prefab=assets/art/vfx/combat_3d/vfx_impact_root_top3d_v001.tscn + 脚本=src/vfx/VfxImpact3D.gd；根节点=VfxImpact3D(Node3D)；FX编号 FX01-02；调用方：PlayerMeleeCombat3D/Enemy3D 经 VfxPool3D 路由</t>
        </is>
      </c>
    </row>
    <row r="10">
      <c r="A10" s="391" t="inlineStr">
        <is>
          <t>FX01-03</t>
        </is>
      </c>
      <c r="B10" t="inlineStr">
        <is>
          <t>VFX-EXPLOSION-3D</t>
        </is>
      </c>
      <c r="C10" t="inlineStr">
        <is>
          <t>爆炸特效</t>
        </is>
      </c>
      <c r="D10" t="inlineStr">
        <is>
          <t>assets/art/vfx/combat_3d/vfx_explosion_root_top3d.tscn</t>
        </is>
      </c>
      <c r="G10" t="inlineStr">
        <is>
          <t>范围爆炸；1 SphereMesh 核心 + 2 TorusMesh 冲击波环（径向波 + 二次环）；参数 effect_color / effect_size。</t>
        </is>
      </c>
      <c r="H10" t="inlineStr">
        <is>
          <t>src/vfx/VfxExplosion3D.gd</t>
        </is>
      </c>
      <c r="I10" t="inlineStr">
        <is>
          <t>无</t>
        </is>
      </c>
      <c r="J10" t="inlineStr">
        <is>
          <t>无</t>
        </is>
      </c>
      <c r="K10" t="inlineStr">
        <is>
          <t>无</t>
        </is>
      </c>
      <c r="L10" t="inlineStr">
        <is>
          <t>约 0.42m 核心 → 0.82m 外环；lifetime 0.46s</t>
        </is>
      </c>
      <c r="M10" t="inlineStr">
        <is>
          <t>原点=根节点中心；朝向=local -Z 正面</t>
        </is>
      </c>
      <c r="N10" t="inlineStr">
        <is>
          <t>爆炸弹/范围武器</t>
        </is>
      </c>
      <c r="O10" t="inlineStr">
        <is>
          <t>完成</t>
        </is>
      </c>
      <c r="P10" t="inlineStr">
        <is>
          <t>v001</t>
        </is>
      </c>
      <c r="Q10" t="inlineStr">
        <is>
          <t>已实装；Prefab=assets/art/vfx/combat_3d/vfx_explosion_root_top3d_v001.tscn + 脚本=src/vfx/VfxExplosion3D.gd；根节点=VfxExplosion3D(Node3D)；FX编号 FX01-03；调用方：PlayerMeleeCombat3D/Enemy3D 经 VfxPool3D 路由</t>
        </is>
      </c>
    </row>
    <row r="11">
      <c r="A11" s="391" t="inlineStr">
        <is>
          <t>FX01-04</t>
        </is>
      </c>
      <c r="B11" t="inlineStr">
        <is>
          <t>VFX-MELEE-SLASH-3D</t>
        </is>
      </c>
      <c r="C11" t="inlineStr">
        <is>
          <t>近战挥砍弧特效</t>
        </is>
      </c>
      <c r="D11" t="inlineStr">
        <is>
          <t>assets/art/vfx/combat_3d/vfx_melee_slash_root_top3d.tscn</t>
        </is>
      </c>
      <c r="G11" t="inlineStr">
        <is>
          <t>近战挥砍时的弧光；SurfaceTool 自定义三角扇形 + 顶点 alpha 渐隐；连段 1/2/3 通过 effect_size 和方向区分。</t>
        </is>
      </c>
      <c r="H11" t="inlineStr">
        <is>
          <t>src/vfx/VfxMeleeSlash3D.gd</t>
        </is>
      </c>
      <c r="I11" t="inlineStr">
        <is>
          <t>无</t>
        </is>
      </c>
      <c r="J11" t="inlineStr">
        <is>
          <t>无</t>
        </is>
      </c>
      <c r="K11" t="inlineStr">
        <is>
          <t>无</t>
        </is>
      </c>
      <c r="L11" t="inlineStr">
        <is>
          <t>内径 0.78m / 外径 1.42m；lifetime 0.28s</t>
        </is>
      </c>
      <c r="M11" t="inlineStr">
        <is>
          <t>原点=根节点中心；朝向=local -Z 正面</t>
        </is>
      </c>
      <c r="N11" t="inlineStr">
        <is>
          <t>棒球棍/巨刃/战斧挥砍（近战 3 武器）</t>
        </is>
      </c>
      <c r="O11" t="inlineStr">
        <is>
          <t>完成</t>
        </is>
      </c>
      <c r="P11" t="inlineStr">
        <is>
          <t>v001</t>
        </is>
      </c>
      <c r="Q11" t="inlineStr">
        <is>
          <t>已实装；Prefab=assets/art/vfx/combat_3d/vfx_melee_slash_root_top3d_v001.tscn + 脚本=src/vfx/VfxMeleeSlash3D.gd；根节点=VfxMeleeSlash3D(Node3D)；FX编号 FX01-04；调用方：PlayerMeleeCombat3D/Enemy3D 经 VfxPool3D 路由</t>
        </is>
      </c>
    </row>
    <row r="12">
      <c r="A12" s="391" t="inlineStr">
        <is>
          <t>FX01-05</t>
        </is>
      </c>
      <c r="B12" t="inlineStr">
        <is>
          <t>VFX-MELEE-IMPACT-3D</t>
        </is>
      </c>
      <c r="C12" t="inlineStr">
        <is>
          <t>近战命中爆点特效</t>
        </is>
      </c>
      <c r="D12" t="inlineStr">
        <is>
          <t>assets/art/vfx/combat_3d/vfx_melee_impact_root_top3d.tscn</t>
        </is>
      </c>
      <c r="G12" t="inlineStr">
        <is>
          <t>近战命中目标时的爆点；1 SphereMesh 核心 + 2 TorusMesh 环 + 6 BoxMesh 飞散碎片；逐目标独立爆点。</t>
        </is>
      </c>
      <c r="H12" t="inlineStr">
        <is>
          <t>src/vfx/VfxMeleeImpact3D.gd</t>
        </is>
      </c>
      <c r="I12" t="inlineStr">
        <is>
          <t>无</t>
        </is>
      </c>
      <c r="J12" t="inlineStr">
        <is>
          <t>无</t>
        </is>
      </c>
      <c r="K12" t="inlineStr">
        <is>
          <t>无</t>
        </is>
      </c>
      <c r="L12" t="inlineStr">
        <is>
          <t>约 0.19m 核心；lifetime 0.32s</t>
        </is>
      </c>
      <c r="M12" t="inlineStr">
        <is>
          <t>原点=根节点中心；朝向=local -Z 正面</t>
        </is>
      </c>
      <c r="N12" t="inlineStr">
        <is>
          <t>近战命中爆点（连段 1/2/3 各 1 次）</t>
        </is>
      </c>
      <c r="O12" t="inlineStr">
        <is>
          <t>完成</t>
        </is>
      </c>
      <c r="P12" t="inlineStr">
        <is>
          <t>v001</t>
        </is>
      </c>
      <c r="Q12" t="inlineStr">
        <is>
          <t>已实装；Prefab=assets/art/vfx/combat_3d/vfx_melee_impact_root_top3d_v001.tscn + 脚本=src/vfx/VfxMeleeImpact3D.gd；根节点=VfxMeleeImpact3D(Node3D)；FX编号 FX01-05；调用方：PlayerMeleeCombat3D/Enemy3D 经 VfxPool3D 路由</t>
        </is>
      </c>
    </row>
    <row r="13">
      <c r="A13" s="387" t="inlineStr">
        <is>
          <t>▼ 02 受击飘字</t>
        </is>
      </c>
      <c r="B13" s="388" t="n"/>
      <c r="C13" s="388" t="n"/>
      <c r="D13" s="388" t="n"/>
      <c r="E13" s="388" t="n"/>
      <c r="F13" s="388" t="n"/>
      <c r="G13" s="388" t="n"/>
      <c r="H13" s="388" t="n"/>
      <c r="I13" s="388" t="n"/>
      <c r="J13" s="388" t="n"/>
      <c r="K13" s="388" t="n"/>
      <c r="L13" s="388" t="n"/>
      <c r="M13" s="388" t="n"/>
      <c r="N13" s="388" t="n"/>
      <c r="O13" s="388" t="n"/>
      <c r="P13" s="388" t="n"/>
      <c r="Q13" s="388" t="n"/>
    </row>
    <row r="14">
      <c r="A14" s="391" t="inlineStr">
        <is>
          <t>FX02-01</t>
        </is>
      </c>
      <c r="B14" t="inlineStr">
        <is>
          <t>VFX-DAMAGE-NUMBER-3D</t>
        </is>
      </c>
      <c r="C14" t="inlineStr">
        <is>
          <t>伤害数字飘字特效</t>
        </is>
      </c>
      <c r="D14" t="inlineStr">
        <is>
          <t>assets/art/vfx/combat_3d/vfx_damage_number_root_top3d.tscn</t>
        </is>
      </c>
      <c r="G14" t="inlineStr">
        <is>
          <t>受击伤害数字上升飘字；Label3D + 黑边 + 颜色编码（红/橙/暴击金）；参数 effect_color + context.text_value。</t>
        </is>
      </c>
      <c r="H14" t="inlineStr">
        <is>
          <t>src/vfx/VfxDamageNumber3D.gd</t>
        </is>
      </c>
      <c r="I14" t="inlineStr">
        <is>
          <t>无</t>
        </is>
      </c>
      <c r="J14" t="inlineStr">
        <is>
          <t>无</t>
        </is>
      </c>
      <c r="K14" t="inlineStr">
        <is>
          <t>无</t>
        </is>
      </c>
      <c r="L14" t="inlineStr">
        <is>
          <t>Label3D pixel_size=0.010；lifetime 0.72s</t>
        </is>
      </c>
      <c r="M14" t="inlineStr">
        <is>
          <t>原点=根节点中心；朝向=local -Z 正面</t>
        </is>
      </c>
      <c r="N14" t="inlineStr">
        <is>
          <t>玩家/敌人受击伤害显示</t>
        </is>
      </c>
      <c r="O14" t="inlineStr">
        <is>
          <t>完成</t>
        </is>
      </c>
      <c r="P14" t="inlineStr">
        <is>
          <t>v001</t>
        </is>
      </c>
      <c r="Q14" t="inlineStr">
        <is>
          <t>已实装；Prefab=assets/art/vfx/combat_3d/vfx_damage_number_root_top3d_v001.tscn + 脚本=src/vfx/VfxDamageNumber3D.gd；根节点=VfxDamageNumber3D(Node3D)；FX编号 FX02-01；调用方：Enemy3D._spawn_damage_number 经 VfxPool3D 路由；接受 context.text_value</t>
        </is>
      </c>
    </row>
    <row r="15">
      <c r="A15" s="391" t="inlineStr">
        <is>
          <t>FX02-02</t>
        </is>
      </c>
      <c r="B15" t="inlineStr">
        <is>
          <t>VFX-HEAL-NUMBER-3D</t>
        </is>
      </c>
      <c r="C15" t="inlineStr">
        <is>
          <t>治疗数字飘字特效</t>
        </is>
      </c>
      <c r="D15" t="inlineStr">
        <is>
          <t>assets/art/vfx/combat_3d/vfx_heal_number_root_top3d.tscn</t>
        </is>
      </c>
      <c r="G15" t="inlineStr">
        <is>
          <t>治疗/恢复数字上升飘字；Label3D + 绿色调（+ 白色描边）；参数 context.text_value。</t>
        </is>
      </c>
      <c r="H15" t="inlineStr">
        <is>
          <t>src/vfx/VfxHealNumber3D.gd</t>
        </is>
      </c>
      <c r="I15" t="inlineStr">
        <is>
          <t>无</t>
        </is>
      </c>
      <c r="J15" t="inlineStr">
        <is>
          <t>无</t>
        </is>
      </c>
      <c r="K15" t="inlineStr">
        <is>
          <t>无</t>
        </is>
      </c>
      <c r="L15" t="inlineStr">
        <is>
          <t>Label3D pixel_size=0.010；lifetime 0.72s</t>
        </is>
      </c>
      <c r="M15" t="inlineStr">
        <is>
          <t>原点=根节点中心；朝向=local -Z 正面</t>
        </is>
      </c>
      <c r="N15" t="inlineStr">
        <is>
          <t>玩家/队友治疗显示</t>
        </is>
      </c>
      <c r="O15" t="inlineStr">
        <is>
          <t>完成</t>
        </is>
      </c>
      <c r="P15" t="inlineStr">
        <is>
          <t>v001</t>
        </is>
      </c>
      <c r="Q15" t="inlineStr">
        <is>
          <t>已实装；Prefab=assets/art/vfx/combat_3d/vfx_heal_number_root_top3d_v001.tscn + 脚本=src/vfx/VfxHealNumber3D.gd；根节点=VfxHealNumber3D(Node3D)；FX编号 FX02-02；调用方：Enemy3D._spawn_damage_number 经 VfxPool3D 路由；接受 context.text_value</t>
        </is>
      </c>
    </row>
    <row r="16">
      <c r="A16" s="387" t="inlineStr">
        <is>
          <t>▼ 03 环境场</t>
        </is>
      </c>
      <c r="B16" s="388" t="n"/>
      <c r="C16" s="388" t="n"/>
      <c r="D16" s="388" t="n"/>
      <c r="E16" s="388" t="n"/>
      <c r="F16" s="388" t="n"/>
      <c r="G16" s="388" t="n"/>
      <c r="H16" s="388" t="n"/>
      <c r="I16" s="388" t="n"/>
      <c r="J16" s="388" t="n"/>
      <c r="K16" s="388" t="n"/>
      <c r="L16" s="388" t="n"/>
      <c r="M16" s="388" t="n"/>
      <c r="N16" s="388" t="n"/>
      <c r="O16" s="388" t="n"/>
      <c r="P16" s="388" t="n"/>
      <c r="Q16" s="388" t="n"/>
    </row>
    <row r="17">
      <c r="A17" s="391" t="inlineStr">
        <is>
          <t>FX03-01</t>
        </is>
      </c>
      <c r="B17" t="inlineStr">
        <is>
          <t>VFX-HAZARD-FIELD-3D</t>
        </is>
      </c>
      <c r="C17" t="inlineStr">
        <is>
          <t>房间危险场3D特效</t>
        </is>
      </c>
      <c r="D17" t="inlineStr">
        <is>
          <t>assets/art/vfx/environment_3d/vfx_hazard_field_root_top3d.tscn</t>
        </is>
      </c>
      <c r="G17" t="inlineStr">
        <is>
          <t>房间危险场 Area3D 特效；脚本生成的环形危险区域；触发时产生伤害 + 视觉脉冲。</t>
        </is>
      </c>
      <c r="H17" t="inlineStr">
        <is>
          <t>src/world3d/HazardField3D.gd</t>
        </is>
      </c>
      <c r="I17" t="inlineStr">
        <is>
          <t>开</t>
        </is>
      </c>
      <c r="J17" t="inlineStr">
        <is>
          <t>Prefab自身</t>
        </is>
      </c>
      <c r="K17" t="inlineStr">
        <is>
          <t>脚本生成</t>
        </is>
      </c>
      <c r="L17" t="inlineStr">
        <is>
          <t>PackedScene/程序环形特效</t>
        </is>
      </c>
      <c r="M17" t="inlineStr">
        <is>
          <t>未声明</t>
        </is>
      </c>
      <c r="N17" t="inlineStr">
        <is>
          <t>陷阱房</t>
        </is>
      </c>
      <c r="O17" t="inlineStr">
        <is>
          <t>完成</t>
        </is>
      </c>
      <c r="P17" t="inlineStr">
        <is>
          <t>v001</t>
        </is>
      </c>
      <c r="Q17" t="inlineStr">
        <is>
          <t>已实装；命名待 14.6 §6 迁移时对齐（改名 VfxHazardField3D + 移至 src/vfx/）</t>
        </is>
      </c>
    </row>
    <row r="18">
      <c r="A18" s="387" t="inlineStr">
        <is>
          <t>▼ 04 可见性</t>
        </is>
      </c>
      <c r="B18" s="388" t="n"/>
      <c r="C18" s="388" t="n"/>
      <c r="D18" s="388" t="n"/>
      <c r="E18" s="388" t="n"/>
      <c r="F18" s="388" t="n"/>
      <c r="G18" s="388" t="n"/>
      <c r="H18" s="388" t="n"/>
      <c r="I18" s="388" t="n"/>
      <c r="J18" s="388" t="n"/>
      <c r="K18" s="388" t="n"/>
      <c r="L18" s="388" t="n"/>
      <c r="M18" s="388" t="n"/>
      <c r="N18" s="388" t="n"/>
      <c r="O18" s="388" t="n"/>
      <c r="P18" s="388" t="n"/>
      <c r="Q18" s="388" t="n"/>
    </row>
    <row r="19">
      <c r="A19" s="391" t="inlineStr">
        <is>
          <t>FX04-01</t>
        </is>
      </c>
      <c r="B19" t="inlineStr">
        <is>
          <t>VFX-PLAYER-FLASHLIGHT-3D</t>
        </is>
      </c>
      <c r="C19" t="inlineStr">
        <is>
          <t>玩家真实探照灯组件3D</t>
        </is>
      </c>
      <c r="D19" t="inlineStr">
        <is>
          <t>assets/art/vfx/visibility_3d/vfx_player_flashlight_root_top3d.tscn</t>
        </is>
      </c>
      <c r="G19" t="inlineStr">
        <is>
          <t>玩家真实探照灯 Node3D 组件；2 SpotLight3D + 1 OmniLight3D 组合；3D 行动区/靶场/基地覆盖。</t>
        </is>
      </c>
      <c r="H19" t="inlineStr">
        <is>
          <t>src/player3d/PlayerFlashlight3D.gd</t>
        </is>
      </c>
      <c r="I19" t="inlineStr">
        <is>
          <t>无</t>
        </is>
      </c>
      <c r="J19" t="inlineStr">
        <is>
          <t>无</t>
        </is>
      </c>
      <c r="K19" t="inlineStr">
        <is>
          <t>无</t>
        </is>
      </c>
      <c r="L19" t="inlineStr">
        <is>
          <t>PackedScene/2 SpotLight3D+1 OmniLight3D</t>
        </is>
      </c>
      <c r="M19" t="inlineStr">
        <is>
          <t>未声明</t>
        </is>
      </c>
      <c r="N19" t="inlineStr">
        <is>
          <t>3D行动区/靶场/基地</t>
        </is>
      </c>
      <c r="O19" t="inlineStr">
        <is>
          <t>完成</t>
        </is>
      </c>
      <c r="P19" t="inlineStr">
        <is>
          <t>v001</t>
        </is>
      </c>
      <c r="Q19" t="inlineStr">
        <is>
          <t>已实装；命名待 14.6 §6 迁移时对齐（改名 VfxPlayerFlashlight3D + 移至 src/vfx/）</t>
        </is>
      </c>
    </row>
  </sheetData>
  <mergeCells count="2">
    <mergeCell ref="A2:Q2"/>
    <mergeCell ref="A1:Q1"/>
  </mergeCells>
  <dataValidations count="3">
    <dataValidation sqref="H5:H250" showDropDown="0" showInputMessage="0" showErrorMessage="0" allowBlank="0" type="list">
      <formula1>"开,关,无"</formula1>
    </dataValidation>
    <dataValidation sqref="I5:I250" showDropDown="0" showInputMessage="0" showErrorMessage="0" allowBlank="0" type="list">
      <formula1>"Prefab自身,外部脚本,混合,无"</formula1>
    </dataValidation>
    <dataValidation sqref="N5:N250" showDropDown="0" showInputMessage="0" showErrorMessage="0" allowBlank="0" type="list">
      <formula1>"待制作,程序占位,正式美术已入库/待接入,原型已接入,正式美术已接入,已完成,弃用"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4" customWidth="1" min="3" max="3"/>
    <col width="28" customWidth="1" min="4" max="4"/>
    <col width="70" customWidth="1" min="5" max="5"/>
    <col width="48" customWidth="1" min="6" max="6"/>
    <col width="12" customWidth="1" min="7" max="7"/>
  </cols>
  <sheetData>
    <row r="1">
      <c r="A1" s="317" t="inlineStr">
        <is>
          <t>特效账本变更日志</t>
        </is>
      </c>
    </row>
    <row r="2"/>
    <row r="3">
      <c r="A3" s="318" t="inlineStr">
        <is>
          <t>只记录本账本的域内变更；跨域与全局变更记录在主账本《版本记录》</t>
        </is>
      </c>
    </row>
    <row r="5">
      <c r="A5" s="298" t="inlineStr">
        <is>
          <t>台账版本</t>
        </is>
      </c>
      <c r="B5" s="298" t="inlineStr">
        <is>
          <t>日期</t>
        </is>
      </c>
      <c r="C5" s="298" t="inlineStr">
        <is>
          <t>变更类型</t>
        </is>
      </c>
      <c r="D5" s="298" t="inlineStr">
        <is>
          <t>范围</t>
        </is>
      </c>
      <c r="E5" s="298" t="inlineStr">
        <is>
          <t>说明</t>
        </is>
      </c>
      <c r="F5" s="298" t="inlineStr">
        <is>
          <t>兼容性</t>
        </is>
      </c>
      <c r="G5" s="298" t="inlineStr">
        <is>
          <t>负责人</t>
        </is>
      </c>
    </row>
    <row r="6" ht="46" customHeight="1">
      <c r="A6" s="301" t="inlineStr">
        <is>
          <t>v0.1.0</t>
        </is>
      </c>
      <c r="B6" s="301" t="inlineStr">
        <is>
          <t>2026-09-18</t>
        </is>
      </c>
      <c r="C6" s="301" t="inlineStr">
        <is>
          <t>分账本建立</t>
        </is>
      </c>
      <c r="D6" s="301" t="inlineStr">
        <is>
          <t>特效</t>
        </is>
      </c>
      <c r="E6" s="301" t="inlineStr">
        <is>
          <t>由单体账本《ShellStorm2_美术资产台账_v001.xlsx》按大类拆分而来；本账本接管大类=特效，条目内容逐格不变，仅登记位置变化。</t>
        </is>
      </c>
      <c r="F6" s="301" t="inlineStr">
        <is>
          <t>资产条目、AssetID、路径与哈希全部不变；只换文件。旧引用可用 scripts/ledger_registry.py 解析。</t>
        </is>
      </c>
      <c r="G6" s="301" t="inlineStr">
        <is>
          <t>摩斯拉</t>
        </is>
      </c>
    </row>
  </sheetData>
  <mergeCells count="2">
    <mergeCell ref="A3:G3"/>
    <mergeCell ref="A1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2026-09-18T02:30:04Z</dcterms:created>
  <dcterms:modified xmlns:dcterms="http://purl.org/dc/terms/" xmlns:xsi="http://www.w3.org/2001/XMLSchema-instance" xsi:type="dcterms:W3CDTF">2026-09-21T09:59:04Z</dcterms:modified>
</cp:coreProperties>
</file>