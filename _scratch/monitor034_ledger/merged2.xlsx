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worksheets/sheet9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总览" sheetId="1" state="visible" r:id="rId1"/>
    <sheet name="武器" sheetId="2" state="visible" r:id="rId2"/>
    <sheet name="命运卡" sheetId="3" state="visible" r:id="rId3"/>
    <sheet name="怪物与Boss" sheetId="4" state="visible" r:id="rId4"/>
    <sheet name="精英怪" sheetId="5" state="visible" r:id="rId5"/>
    <sheet name="掉落物品" sheetId="6" state="visible" r:id="rId6"/>
    <sheet name="字段字典" sheetId="7" state="visible" r:id="rId7"/>
    <sheet name="基地商店" sheetId="8" state="visible" r:id="rId8"/>
    <sheet name="Boss002技能设计" sheetId="9" r:id="rId11"/>
  </sheets>
  <definedNames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0.000"/>
    <numFmt numFmtId="167" formatCode="0.0"/>
  </numFmts>
  <fonts count="36">
    <font>
      <name val="Carlito"/>
      <sz val="11"/>
    </font>
    <font>
      <name val="Carlito"/>
      <b val="1"/>
      <color rgb="FFFFFFFF"/>
      <sz val="18"/>
    </font>
    <font>
      <name val="Carlito"/>
      <color rgb="FF243B53"/>
      <sz val="10"/>
    </font>
    <font>
      <name val="Carlito"/>
      <b val="1"/>
      <color rgb="FFFFFFFF"/>
      <sz val="11"/>
    </font>
    <font>
      <name val="Carlito"/>
      <color rgb="FF243B53"/>
      <sz val="9"/>
    </font>
    <font>
      <name val="Carlito"/>
      <b val="1"/>
      <color rgb="FF2E7D32"/>
      <sz val="9"/>
    </font>
    <font>
      <name val="Carlito"/>
      <b val="1"/>
      <color rgb="FFEF6C00"/>
      <sz val="9"/>
    </font>
    <font>
      <name val="Carlito"/>
      <b val="1"/>
      <color rgb="FF1565C0"/>
      <sz val="9"/>
    </font>
    <font>
      <name val="Carlito"/>
      <color rgb="FF1565C0"/>
      <sz val="9"/>
    </font>
    <font>
      <name val="Carlito"/>
      <b val="1"/>
      <color rgb="FFFFFFFF"/>
      <sz val="20"/>
    </font>
    <font>
      <name val="Carlito"/>
      <color rgb="FF243B53"/>
      <sz val="11"/>
    </font>
    <font>
      <name val="Carlito"/>
      <b val="1"/>
      <color rgb="FFFFFFFF"/>
      <sz val="14"/>
    </font>
    <font>
      <name val="Carlito"/>
      <b val="1"/>
      <color rgb="FFEF6C00"/>
      <sz val="11"/>
    </font>
    <font>
      <name val="Carlito"/>
      <b val="1"/>
      <color rgb="FF2E7D32"/>
      <sz val="11"/>
    </font>
    <font>
      <name val="Carlito"/>
      <b val="1"/>
      <color rgb="FF1565C0"/>
      <sz val="11"/>
    </font>
    <font>
      <name val="Carlito"/>
      <b val="1"/>
      <color rgb="FF243B53"/>
      <sz val="9"/>
    </font>
    <font>
      <name val="Carlito"/>
      <color rgb="FF1565C0"/>
      <sz val="11"/>
    </font>
    <font>
      <name val="Carlito"/>
      <b val="1"/>
      <color rgb="FF155E75"/>
      <sz val="11"/>
    </font>
    <font>
      <name val="Carlito"/>
      <b val="1"/>
      <color rgb="FF102A43"/>
      <sz val="11"/>
    </font>
    <font>
      <name val="Carlito"/>
      <b val="1"/>
      <color rgb="FFE8F8FA"/>
      <sz val="11"/>
    </font>
    <font>
      <name val="Carlito"/>
      <color rgb="FF12333A"/>
      <sz val="11"/>
    </font>
    <font>
      <name val="Carlito"/>
      <b val="1"/>
      <color rgb="FF155A32"/>
      <sz val="11"/>
    </font>
    <font>
      <name val="Carlito"/>
      <b val="1"/>
      <color rgb="FFFFFFFF"/>
      <sz val="16"/>
    </font>
    <font>
      <name val="Carlito"/>
      <i val="1"/>
      <color rgb="FF31545B"/>
      <sz val="11"/>
    </font>
    <font>
      <name val="Calibri"/>
      <color rgb="FF243B53"/>
      <sz val="11"/>
    </font>
    <font>
      <name val="Calibri"/>
      <color rgb="FF1565C0"/>
      <sz val="11"/>
    </font>
    <font>
      <name val="Calibri"/>
      <color rgb="FF155A32"/>
      <sz val="11"/>
    </font>
    <font>
      <name val="Calibri"/>
      <color rgb="FF12333A"/>
      <sz val="11"/>
    </font>
    <font>
      <sz val="11"/>
      <name val="Carlito"/>
    </font>
    <font>
      <sz val="11"/>
      <color rgb="FF172232"/>
      <name val="Microsoft YaHei"/>
    </font>
    <font>
      <b/>
      <sz val="16"/>
      <color rgb="FF172232"/>
      <name val="Microsoft YaHei"/>
    </font>
    <font>
      <b/>
      <sz val="11"/>
      <color rgb="FFFFFFFF"/>
      <name val="Microsoft YaHei"/>
    </font>
    <font>
      <sz val="11"/>
      <name val="Carlito"/>
    </font>
    <font>
      <sz val="11"/>
      <color rgb="FF172232"/>
      <name val="Microsoft YaHei"/>
    </font>
    <font>
      <b/>
      <sz val="16"/>
      <color rgb="FF172232"/>
      <name val="Microsoft YaHei"/>
    </font>
    <font>
      <b/>
      <sz val="11"/>
      <color rgb="FFFFFFFF"/>
      <name val="Microsoft YaHei"/>
    </font>
  </fonts>
  <fills count="26">
    <fill>
      <patternFill/>
    </fill>
    <fill>
      <patternFill patternType="gray125"/>
    </fill>
    <fill>
      <patternFill patternType="solid">
        <fgColor rgb="FF102A43"/>
      </patternFill>
    </fill>
    <fill>
      <patternFill patternType="solid">
        <fgColor rgb="FFEAF4F7"/>
      </patternFill>
    </fill>
    <fill>
      <patternFill patternType="solid">
        <fgColor rgb="FF155E75"/>
      </patternFill>
    </fill>
    <fill>
      <patternFill patternType="solid">
        <fgColor rgb="FFFFF4E5"/>
      </patternFill>
    </fill>
    <fill>
      <patternFill patternType="solid">
        <fgColor rgb="FF155E75"/>
      </patternFill>
    </fill>
    <fill>
      <patternFill patternType="solid">
        <fgColor rgb="FF155E75"/>
      </patternFill>
    </fill>
    <fill>
      <patternFill patternType="solid">
        <fgColor rgb="FF102A43"/>
      </patternFill>
    </fill>
    <fill>
      <patternFill patternType="solid">
        <fgColor rgb="FFEAF4F7"/>
      </patternFill>
    </fill>
    <fill>
      <patternFill patternType="solid">
        <fgColor rgb="FF155E75"/>
      </patternFill>
    </fill>
    <fill>
      <patternFill patternType="solid">
        <fgColor rgb="FFF7F1FA"/>
      </patternFill>
    </fill>
    <fill>
      <patternFill patternType="solid">
        <fgColor rgb="FFF2F8F5"/>
      </patternFill>
    </fill>
    <fill>
      <patternFill patternType="solid">
        <fgColor rgb="FFFFF8E8"/>
      </patternFill>
    </fill>
    <fill>
      <patternFill patternType="solid">
        <fgColor rgb="FF113946"/>
      </patternFill>
    </fill>
    <fill>
      <patternFill patternType="solid">
        <fgColor rgb="FFEAF4F4"/>
      </patternFill>
    </fill>
    <fill>
      <patternFill patternType="solid">
        <fgColor rgb="FFDDF4E4"/>
      </patternFill>
    </fill>
    <fill>
      <patternFill patternType="solid">
        <fgColor rgb="FF0C6670"/>
      </patternFill>
    </fill>
    <fill>
      <patternFill patternType="none"/>
    </fill>
    <fill>
      <patternFill patternType="gray125"/>
    </fill>
    <fill>
      <patternFill patternType="solid">
        <fgColor rgb="FF23324A"/>
      </patternFill>
    </fill>
    <fill>
      <patternFill patternType="solid">
        <fgColor rgb="FFF1F4F8"/>
      </patternFill>
    </fill>
    <fill>
      <patternFill patternType="none"/>
    </fill>
    <fill>
      <patternFill patternType="gray125"/>
    </fill>
    <fill>
      <patternFill patternType="solid">
        <fgColor rgb="FF23324A"/>
      </patternFill>
    </fill>
    <fill>
      <patternFill patternType="solid">
        <fgColor rgb="FFF1F4F8"/>
      </patternFill>
    </fill>
  </fills>
  <borders count="21">
    <border/>
    <border>
      <left style="thin">
        <color rgb="FFC9D8E3"/>
      </left>
      <right style="thin">
        <color rgb="FFC9D8E3"/>
      </right>
      <top style="thin">
        <color rgb="FFC9D8E3"/>
      </top>
      <bottom style="thin">
        <color rgb="FFC9D8E3"/>
      </bottom>
    </border>
    <border>
      <left style="thin">
        <color rgb="FFD8E3EA"/>
      </left>
      <right style="thin">
        <color rgb="FFD8E3EA"/>
      </right>
      <top style="thin">
        <color rgb="FFD8E3EA"/>
      </top>
      <bottom style="thin">
        <color rgb="FFD8E3EA"/>
      </bottom>
    </border>
    <border>
      <right style="thin">
        <color rgb="FFDCE6EC"/>
      </right>
      <bottom style="thin">
        <color rgb="FFDCE6EC"/>
      </bottom>
    </border>
    <border>
      <left style="thin">
        <color rgb="FFDCE6EC"/>
      </left>
      <right style="thin">
        <color rgb="FFDCE6EC"/>
      </right>
      <bottom style="thin">
        <color rgb="FFDCE6EC"/>
      </bottom>
    </border>
    <border>
      <left style="thin">
        <color rgb="FFDCE6EC"/>
      </left>
      <bottom style="thin">
        <color rgb="FFDCE6EC"/>
      </bottom>
    </border>
    <border>
      <right style="thin">
        <color rgb="FFDCE6EC"/>
      </right>
      <top style="thin">
        <color rgb="FFDCE6EC"/>
      </top>
      <bottom style="thin">
        <color rgb="FFDCE6EC"/>
      </bottom>
    </border>
    <border>
      <left style="thin">
        <color rgb="FFDCE6EC"/>
      </left>
      <right style="thin">
        <color rgb="FFDCE6EC"/>
      </right>
      <top style="thin">
        <color rgb="FFDCE6EC"/>
      </top>
      <bottom style="thin">
        <color rgb="FFDCE6EC"/>
      </bottom>
    </border>
    <border>
      <left style="thin">
        <color rgb="FFDCE6EC"/>
      </left>
      <top style="thin">
        <color rgb="FFDCE6EC"/>
      </top>
      <bottom style="thin">
        <color rgb="FFDCE6EC"/>
      </bottom>
    </border>
    <border>
      <right style="thin">
        <color rgb="FFDCE6EC"/>
      </right>
      <top style="thin">
        <color rgb="FFDCE6EC"/>
      </top>
    </border>
    <border>
      <left style="thin">
        <color rgb="FFDCE6EC"/>
      </left>
      <right style="thin">
        <color rgb="FFDCE6EC"/>
      </right>
      <top style="thin">
        <color rgb="FFDCE6EC"/>
      </top>
    </border>
    <border>
      <left style="thin">
        <color rgb="FFDCE6EC"/>
      </left>
      <top style="thin">
        <color rgb="FFDCE6EC"/>
      </top>
    </border>
    <border>
      <left style="thin">
        <color rgb="FF406773"/>
      </left>
      <right style="thin">
        <color rgb="FF406773"/>
      </right>
      <top style="thin">
        <color rgb="FF406773"/>
      </top>
      <bottom style="thin">
        <color rgb="FF406773"/>
      </bottom>
    </border>
    <border>
      <left style="thin">
        <color rgb="FFB7D1D4"/>
      </left>
      <right style="thin">
        <color rgb="FFB7D1D4"/>
      </right>
      <top style="thin">
        <color rgb="FFB7D1D4"/>
      </top>
      <bottom style="thin">
        <color rgb="FFB7D1D4"/>
      </bottom>
    </border>
    <border>
      <left style="thin">
        <color rgb="FF8FC3A1"/>
      </left>
      <right style="thin">
        <color rgb="FF8FC3A1"/>
      </right>
      <top style="thin">
        <color rgb="FF8FC3A1"/>
      </top>
      <bottom style="thin">
        <color rgb="FF8FC3A1"/>
      </bottom>
    </border>
    <border>
      <top style="thin">
        <color rgb="FFB7D1D4"/>
      </top>
    </border>
    <border>
      <right style="thin">
        <color rgb="FFB7D1D4"/>
      </right>
      <top style="thin">
        <color rgb="FFB7D1D4"/>
      </top>
    </border>
    <border>
      <top style="thin">
        <color rgb="FFB7D1D4"/>
      </top>
      <bottom style="thin">
        <color rgb="FFB7D1D4"/>
      </bottom>
    </border>
    <border>
      <right style="thin">
        <color rgb="FFB7D1D4"/>
      </right>
      <top style="thin">
        <color rgb="FFB7D1D4"/>
      </top>
      <bottom style="thin">
        <color rgb="FFB7D1D4"/>
      </bottom>
    </border>
    <border/>
    <border/>
  </borders>
  <cellStyleXfs count="1">
    <xf numFmtId="0" fontId="0" fillId="0" borderId="0"/>
  </cellStyleXfs>
  <cellXfs count="20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2" borderId="0" pivotButton="0" quotePrefix="0" xfId="0"/>
    <xf numFmtId="0" fontId="9" fillId="2" borderId="0" applyAlignment="1" pivotButton="0" quotePrefix="0" xfId="0">
      <alignment vertical="center"/>
    </xf>
    <xf numFmtId="0" fontId="10" fillId="3" borderId="0" pivotButton="0" quotePrefix="0" xfId="0"/>
    <xf numFmtId="0" fontId="10" fillId="3" borderId="0" applyAlignment="1" pivotButton="0" quotePrefix="0" xfId="0">
      <alignment wrapText="1"/>
    </xf>
    <xf numFmtId="0" fontId="10" fillId="0" borderId="0" pivotButton="0" quotePrefix="0" xfId="0"/>
    <xf numFmtId="0" fontId="10" fillId="0" borderId="1" pivotButton="0" quotePrefix="0" xfId="0"/>
    <xf numFmtId="0" fontId="10" fillId="0" borderId="1" applyAlignment="1" pivotButton="0" quotePrefix="0" xfId="0">
      <alignment wrapText="1"/>
    </xf>
    <xf numFmtId="0" fontId="10" fillId="0" borderId="1" applyAlignment="1" pivotButton="0" quotePrefix="0" xfId="0">
      <alignment vertical="top" wrapText="1"/>
    </xf>
    <xf numFmtId="0" fontId="11" fillId="2" borderId="0" pivotButton="0" quotePrefix="0" xfId="0"/>
    <xf numFmtId="0" fontId="0" fillId="5" borderId="0" pivotButton="0" quotePrefix="0" xfId="0"/>
    <xf numFmtId="0" fontId="12" fillId="5" borderId="0" pivotButton="0" quotePrefix="0" xfId="0"/>
    <xf numFmtId="0" fontId="12" fillId="5" borderId="0" applyAlignment="1" pivotButton="0" quotePrefix="0" xfId="0">
      <alignment wrapText="1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0" fillId="6" borderId="0" pivotButton="0" quotePrefix="0" xfId="0"/>
    <xf numFmtId="0" fontId="3" fillId="6" borderId="0" pivotButton="0" quotePrefix="0" xfId="0"/>
    <xf numFmtId="0" fontId="3" fillId="6" borderId="1" pivotButton="0" quotePrefix="0" xfId="0"/>
    <xf numFmtId="0" fontId="3" fillId="6" borderId="1" applyAlignment="1" pivotButton="0" quotePrefix="0" xfId="0">
      <alignment wrapText="1"/>
    </xf>
    <xf numFmtId="0" fontId="3" fillId="6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2" applyAlignment="1" pivotButton="0" quotePrefix="0" xfId="0">
      <alignment wrapText="1"/>
    </xf>
    <xf numFmtId="0" fontId="4" fillId="0" borderId="2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15" fillId="0" borderId="2" applyAlignment="1" pivotButton="0" quotePrefix="0" xfId="0">
      <alignment vertical="top" wrapText="1"/>
    </xf>
    <xf numFmtId="0" fontId="0" fillId="7" borderId="0" pivotButton="0" quotePrefix="0" xfId="0"/>
    <xf numFmtId="0" fontId="3" fillId="7" borderId="0" pivotButton="0" quotePrefix="0" xfId="0"/>
    <xf numFmtId="0" fontId="3" fillId="7" borderId="1" pivotButton="0" quotePrefix="0" xfId="0"/>
    <xf numFmtId="0" fontId="3" fillId="7" borderId="1" applyAlignment="1" pivotButton="0" quotePrefix="0" xfId="0">
      <alignment wrapText="1"/>
    </xf>
    <xf numFmtId="0" fontId="3" fillId="7" borderId="1" applyAlignment="1" pivotButton="0" quotePrefix="0" xfId="0">
      <alignment horizontal="center" wrapText="1"/>
    </xf>
    <xf numFmtId="0" fontId="16" fillId="0" borderId="0" pivotButton="0" quotePrefix="0" xfId="0"/>
    <xf numFmtId="0" fontId="0" fillId="0" borderId="0" applyAlignment="1" pivotButton="0" quotePrefix="0" xfId="0">
      <alignment wrapText="1"/>
    </xf>
    <xf numFmtId="0" fontId="16" fillId="0" borderId="0" applyAlignment="1" pivotButton="0" quotePrefix="0" xfId="0">
      <alignment wrapText="1"/>
    </xf>
    <xf numFmtId="0" fontId="0" fillId="8" borderId="0" pivotButton="0" quotePrefix="0" xfId="0"/>
    <xf numFmtId="0" fontId="3" fillId="8" borderId="0" pivotButton="0" quotePrefix="0" xfId="0"/>
    <xf numFmtId="0" fontId="0" fillId="9" borderId="0" pivotButton="0" quotePrefix="0" xfId="0"/>
    <xf numFmtId="0" fontId="10" fillId="9" borderId="0" pivotButton="0" quotePrefix="0" xfId="0"/>
    <xf numFmtId="0" fontId="10" fillId="9" borderId="0" applyAlignment="1" pivotButton="0" quotePrefix="0" xfId="0">
      <alignment wrapText="1"/>
    </xf>
    <xf numFmtId="0" fontId="0" fillId="10" borderId="0" pivotButton="0" quotePrefix="0" xfId="0"/>
    <xf numFmtId="0" fontId="3" fillId="10" borderId="0" pivotButton="0" quotePrefix="0" xfId="0"/>
    <xf numFmtId="0" fontId="3" fillId="10" borderId="1" pivotButton="0" quotePrefix="0" xfId="0"/>
    <xf numFmtId="0" fontId="3" fillId="10" borderId="1" applyAlignment="1" pivotButton="0" quotePrefix="0" xfId="0">
      <alignment wrapText="1"/>
    </xf>
    <xf numFmtId="0" fontId="3" fillId="10" borderId="1" applyAlignment="1" pivotButton="0" quotePrefix="0" xfId="0">
      <alignment horizontal="center" wrapText="1"/>
    </xf>
    <xf numFmtId="0" fontId="3" fillId="10" borderId="1" applyAlignment="1" pivotButton="0" quotePrefix="0" xfId="0">
      <alignment horizontal="center" vertical="center" wrapText="1"/>
    </xf>
    <xf numFmtId="0" fontId="10" fillId="0" borderId="3" pivotButton="0" quotePrefix="0" xfId="0"/>
    <xf numFmtId="0" fontId="10" fillId="0" borderId="4" pivotButton="0" quotePrefix="0" xfId="0"/>
    <xf numFmtId="0" fontId="10" fillId="0" borderId="5" pivotButton="0" quotePrefix="0" xfId="0"/>
    <xf numFmtId="0" fontId="10" fillId="0" borderId="6" pivotButton="0" quotePrefix="0" xfId="0"/>
    <xf numFmtId="0" fontId="10" fillId="0" borderId="7" pivotButton="0" quotePrefix="0" xfId="0"/>
    <xf numFmtId="0" fontId="10" fillId="0" borderId="8" pivotButton="0" quotePrefix="0" xfId="0"/>
    <xf numFmtId="0" fontId="10" fillId="0" borderId="9" pivotButton="0" quotePrefix="0" xfId="0"/>
    <xf numFmtId="0" fontId="10" fillId="0" borderId="10" pivotButton="0" quotePrefix="0" xfId="0"/>
    <xf numFmtId="0" fontId="10" fillId="0" borderId="11" pivotButton="0" quotePrefix="0" xfId="0"/>
    <xf numFmtId="0" fontId="10" fillId="0" borderId="3" applyAlignment="1" pivotButton="0" quotePrefix="0" xfId="0">
      <alignment wrapText="1"/>
    </xf>
    <xf numFmtId="0" fontId="10" fillId="0" borderId="4" applyAlignment="1" pivotButton="0" quotePrefix="0" xfId="0">
      <alignment wrapText="1"/>
    </xf>
    <xf numFmtId="0" fontId="10" fillId="0" borderId="5" applyAlignment="1" pivotButton="0" quotePrefix="0" xfId="0">
      <alignment wrapText="1"/>
    </xf>
    <xf numFmtId="0" fontId="10" fillId="0" borderId="6" applyAlignment="1" pivotButton="0" quotePrefix="0" xfId="0">
      <alignment wrapText="1"/>
    </xf>
    <xf numFmtId="0" fontId="10" fillId="0" borderId="7" applyAlignment="1" pivotButton="0" quotePrefix="0" xfId="0">
      <alignment wrapText="1"/>
    </xf>
    <xf numFmtId="0" fontId="10" fillId="0" borderId="8" applyAlignment="1" pivotButton="0" quotePrefix="0" xfId="0">
      <alignment wrapText="1"/>
    </xf>
    <xf numFmtId="0" fontId="10" fillId="0" borderId="9" applyAlignment="1" pivotButton="0" quotePrefix="0" xfId="0">
      <alignment wrapText="1"/>
    </xf>
    <xf numFmtId="0" fontId="10" fillId="0" borderId="10" applyAlignment="1" pivotButton="0" quotePrefix="0" xfId="0">
      <alignment wrapText="1"/>
    </xf>
    <xf numFmtId="0" fontId="10" fillId="0" borderId="11" applyAlignment="1" pivotButton="0" quotePrefix="0" xfId="0">
      <alignment wrapText="1"/>
    </xf>
    <xf numFmtId="0" fontId="10" fillId="0" borderId="3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0" fillId="0" borderId="5" applyAlignment="1" pivotButton="0" quotePrefix="0" xfId="0">
      <alignment vertical="top" wrapText="1"/>
    </xf>
    <xf numFmtId="0" fontId="10" fillId="0" borderId="6" applyAlignment="1" pivotButton="0" quotePrefix="0" xfId="0">
      <alignment vertical="top" wrapText="1"/>
    </xf>
    <xf numFmtId="0" fontId="10" fillId="0" borderId="7" applyAlignment="1" pivotButton="0" quotePrefix="0" xfId="0">
      <alignment vertical="top" wrapText="1"/>
    </xf>
    <xf numFmtId="0" fontId="10" fillId="0" borderId="8" applyAlignment="1" pivotButton="0" quotePrefix="0" xfId="0">
      <alignment vertical="top" wrapText="1"/>
    </xf>
    <xf numFmtId="0" fontId="10" fillId="0" borderId="9" applyAlignment="1" pivotButton="0" quotePrefix="0" xfId="0">
      <alignment vertical="top" wrapText="1"/>
    </xf>
    <xf numFmtId="0" fontId="10" fillId="0" borderId="10" applyAlignment="1" pivotButton="0" quotePrefix="0" xfId="0">
      <alignment vertical="top" wrapText="1"/>
    </xf>
    <xf numFmtId="0" fontId="10" fillId="0" borderId="11" applyAlignment="1" pivotButton="0" quotePrefix="0" xfId="0">
      <alignment vertical="top" wrapText="1"/>
    </xf>
    <xf numFmtId="9" fontId="10" fillId="0" borderId="4" applyAlignment="1" pivotButton="0" quotePrefix="0" xfId="0">
      <alignment vertical="top" wrapText="1"/>
    </xf>
    <xf numFmtId="9" fontId="10" fillId="0" borderId="7" applyAlignment="1" pivotButton="0" quotePrefix="0" xfId="0">
      <alignment vertical="top" wrapText="1"/>
    </xf>
    <xf numFmtId="9" fontId="10" fillId="0" borderId="10" applyAlignment="1" pivotButton="0" quotePrefix="0" xfId="0">
      <alignment vertical="top" wrapText="1"/>
    </xf>
    <xf numFmtId="9" fontId="10" fillId="0" borderId="4" applyAlignment="1" pivotButton="0" quotePrefix="0" xfId="0">
      <alignment horizontal="center" vertical="top" wrapText="1"/>
    </xf>
    <xf numFmtId="9" fontId="10" fillId="0" borderId="7" applyAlignment="1" pivotButton="0" quotePrefix="0" xfId="0">
      <alignment horizontal="center" vertical="top" wrapText="1"/>
    </xf>
    <xf numFmtId="9" fontId="10" fillId="0" borderId="10" applyAlignment="1" pivotButton="0" quotePrefix="0" xfId="0">
      <alignment horizontal="center" vertical="top" wrapText="1"/>
    </xf>
    <xf numFmtId="0" fontId="10" fillId="0" borderId="4" applyAlignment="1" pivotButton="0" quotePrefix="0" xfId="0">
      <alignment horizontal="center" vertical="top" wrapText="1"/>
    </xf>
    <xf numFmtId="0" fontId="10" fillId="0" borderId="7" applyAlignment="1" pivotButton="0" quotePrefix="0" xfId="0">
      <alignment horizontal="center" vertical="top" wrapText="1"/>
    </xf>
    <xf numFmtId="0" fontId="10" fillId="0" borderId="10" applyAlignment="1" pivotButton="0" quotePrefix="0" xfId="0">
      <alignment horizontal="center" vertical="top" wrapText="1"/>
    </xf>
    <xf numFmtId="0" fontId="17" fillId="0" borderId="3" applyAlignment="1" pivotButton="0" quotePrefix="0" xfId="0">
      <alignment vertical="top" wrapText="1"/>
    </xf>
    <xf numFmtId="0" fontId="17" fillId="0" borderId="6" applyAlignment="1" pivotButton="0" quotePrefix="0" xfId="0">
      <alignment vertical="top" wrapText="1"/>
    </xf>
    <xf numFmtId="0" fontId="17" fillId="0" borderId="9" applyAlignment="1" pivotButton="0" quotePrefix="0" xfId="0">
      <alignment vertical="top" wrapText="1"/>
    </xf>
    <xf numFmtId="0" fontId="18" fillId="0" borderId="4" applyAlignment="1" pivotButton="0" quotePrefix="0" xfId="0">
      <alignment vertical="top" wrapText="1"/>
    </xf>
    <xf numFmtId="0" fontId="18" fillId="0" borderId="7" applyAlignment="1" pivotButton="0" quotePrefix="0" xfId="0">
      <alignment vertical="top" wrapText="1"/>
    </xf>
    <xf numFmtId="0" fontId="18" fillId="0" borderId="10" applyAlignment="1" pivotButton="0" quotePrefix="0" xfId="0">
      <alignment vertical="top" wrapText="1"/>
    </xf>
    <xf numFmtId="0" fontId="14" fillId="0" borderId="4" applyAlignment="1" pivotButton="0" quotePrefix="0" xfId="0">
      <alignment vertical="top" wrapText="1"/>
    </xf>
    <xf numFmtId="0" fontId="14" fillId="0" borderId="7" applyAlignment="1" pivotButton="0" quotePrefix="0" xfId="0">
      <alignment vertical="top" wrapText="1"/>
    </xf>
    <xf numFmtId="0" fontId="14" fillId="0" borderId="10" applyAlignment="1" pivotButton="0" quotePrefix="0" xfId="0">
      <alignment vertical="top" wrapText="1"/>
    </xf>
    <xf numFmtId="0" fontId="10" fillId="11" borderId="4" applyAlignment="1" pivotButton="0" quotePrefix="0" xfId="0">
      <alignment vertical="top" wrapText="1"/>
    </xf>
    <xf numFmtId="0" fontId="10" fillId="11" borderId="7" applyAlignment="1" pivotButton="0" quotePrefix="0" xfId="0">
      <alignment vertical="top" wrapText="1"/>
    </xf>
    <xf numFmtId="0" fontId="10" fillId="11" borderId="10" applyAlignment="1" pivotButton="0" quotePrefix="0" xfId="0">
      <alignment vertical="top" wrapText="1"/>
    </xf>
    <xf numFmtId="0" fontId="10" fillId="12" borderId="4" applyAlignment="1" pivotButton="0" quotePrefix="0" xfId="0">
      <alignment vertical="top" wrapText="1"/>
    </xf>
    <xf numFmtId="0" fontId="10" fillId="12" borderId="7" applyAlignment="1" pivotButton="0" quotePrefix="0" xfId="0">
      <alignment vertical="top" wrapText="1"/>
    </xf>
    <xf numFmtId="0" fontId="10" fillId="12" borderId="10" applyAlignment="1" pivotButton="0" quotePrefix="0" xfId="0">
      <alignment vertical="top" wrapText="1"/>
    </xf>
    <xf numFmtId="0" fontId="10" fillId="13" borderId="4" applyAlignment="1" pivotButton="0" quotePrefix="0" xfId="0">
      <alignment vertical="top" wrapText="1"/>
    </xf>
    <xf numFmtId="0" fontId="10" fillId="13" borderId="5" applyAlignment="1" pivotButton="0" quotePrefix="0" xfId="0">
      <alignment vertical="top" wrapText="1"/>
    </xf>
    <xf numFmtId="0" fontId="10" fillId="13" borderId="7" applyAlignment="1" pivotButton="0" quotePrefix="0" xfId="0">
      <alignment vertical="top" wrapText="1"/>
    </xf>
    <xf numFmtId="0" fontId="10" fillId="13" borderId="8" applyAlignment="1" pivotButton="0" quotePrefix="0" xfId="0">
      <alignment vertical="top" wrapText="1"/>
    </xf>
    <xf numFmtId="0" fontId="10" fillId="13" borderId="10" applyAlignment="1" pivotButton="0" quotePrefix="0" xfId="0">
      <alignment vertical="top" wrapText="1"/>
    </xf>
    <xf numFmtId="0" fontId="10" fillId="13" borderId="11" applyAlignment="1" pivotButton="0" quotePrefix="0" xfId="0">
      <alignment vertical="top" wrapText="1"/>
    </xf>
    <xf numFmtId="0" fontId="14" fillId="0" borderId="5" applyAlignment="1" pivotButton="0" quotePrefix="0" xfId="0">
      <alignment vertical="top" wrapText="1"/>
    </xf>
    <xf numFmtId="0" fontId="14" fillId="0" borderId="8" applyAlignment="1" pivotButton="0" quotePrefix="0" xfId="0">
      <alignment vertical="top" wrapText="1"/>
    </xf>
    <xf numFmtId="0" fontId="14" fillId="0" borderId="11" applyAlignment="1" pivotButton="0" quotePrefix="0" xfId="0">
      <alignment vertical="top" wrapText="1"/>
    </xf>
    <xf numFmtId="0" fontId="0" fillId="14" borderId="0" pivotButton="0" quotePrefix="0" xfId="0"/>
    <xf numFmtId="0" fontId="19" fillId="14" borderId="0" pivotButton="0" quotePrefix="0" xfId="0"/>
    <xf numFmtId="0" fontId="19" fillId="14" borderId="12" pivotButton="0" quotePrefix="0" xfId="0"/>
    <xf numFmtId="0" fontId="19" fillId="14" borderId="12" applyAlignment="1" pivotButton="0" quotePrefix="0" xfId="0">
      <alignment wrapText="1"/>
    </xf>
    <xf numFmtId="0" fontId="19" fillId="14" borderId="12" applyAlignment="1" pivotButton="0" quotePrefix="0" xfId="0">
      <alignment horizontal="center" wrapText="1"/>
    </xf>
    <xf numFmtId="0" fontId="19" fillId="14" borderId="1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15" borderId="0" pivotButton="0" quotePrefix="0" xfId="0"/>
    <xf numFmtId="0" fontId="0" fillId="15" borderId="0" pivotButton="0" quotePrefix="0" xfId="0"/>
    <xf numFmtId="0" fontId="20" fillId="15" borderId="0" pivotButton="0" quotePrefix="0" xfId="0"/>
    <xf numFmtId="0" fontId="20" fillId="15" borderId="0" pivotButton="0" quotePrefix="0" xfId="0"/>
    <xf numFmtId="0" fontId="20" fillId="15" borderId="13" pivotButton="0" quotePrefix="0" xfId="0"/>
    <xf numFmtId="0" fontId="20" fillId="15" borderId="13" pivotButton="0" quotePrefix="0" xfId="0"/>
    <xf numFmtId="0" fontId="20" fillId="15" borderId="13" applyAlignment="1" pivotButton="0" quotePrefix="0" xfId="0">
      <alignment wrapText="1"/>
    </xf>
    <xf numFmtId="0" fontId="20" fillId="15" borderId="13" applyAlignment="1" pivotButton="0" quotePrefix="0" xfId="0">
      <alignment wrapText="1"/>
    </xf>
    <xf numFmtId="0" fontId="20" fillId="15" borderId="13" applyAlignment="1" pivotButton="0" quotePrefix="0" xfId="0">
      <alignment vertical="center" wrapText="1"/>
    </xf>
    <xf numFmtId="0" fontId="20" fillId="15" borderId="13" applyAlignment="1" pivotButton="0" quotePrefix="0" xfId="0">
      <alignment vertical="center" wrapText="1"/>
    </xf>
    <xf numFmtId="0" fontId="20" fillId="16" borderId="13" applyAlignment="1" pivotButton="0" quotePrefix="0" xfId="0">
      <alignment vertical="center" wrapText="1"/>
    </xf>
    <xf numFmtId="0" fontId="20" fillId="16" borderId="13" applyAlignment="1" pivotButton="0" quotePrefix="0" xfId="0">
      <alignment vertical="center" wrapText="1"/>
    </xf>
    <xf numFmtId="0" fontId="21" fillId="16" borderId="13" applyAlignment="1" pivotButton="0" quotePrefix="0" xfId="0">
      <alignment vertical="center" wrapText="1"/>
    </xf>
    <xf numFmtId="0" fontId="21" fillId="16" borderId="13" applyAlignment="1" pivotButton="0" quotePrefix="0" xfId="0">
      <alignment vertical="center" wrapText="1"/>
    </xf>
    <xf numFmtId="0" fontId="21" fillId="16" borderId="14" applyAlignment="1" pivotButton="0" quotePrefix="0" xfId="0">
      <alignment vertical="center" wrapText="1"/>
    </xf>
    <xf numFmtId="0" fontId="21" fillId="16" borderId="14" applyAlignment="1" pivotButton="0" quotePrefix="0" xfId="0">
      <alignment vertical="center" wrapText="1"/>
    </xf>
    <xf numFmtId="1" fontId="20" fillId="15" borderId="13" applyAlignment="1" pivotButton="0" quotePrefix="0" xfId="0">
      <alignment vertical="center" wrapText="1"/>
    </xf>
    <xf numFmtId="1" fontId="21" fillId="16" borderId="14" applyAlignment="1" pivotButton="0" quotePrefix="0" xfId="0">
      <alignment vertical="center" wrapText="1"/>
    </xf>
    <xf numFmtId="0" fontId="0" fillId="17" borderId="0" pivotButton="0" quotePrefix="0" xfId="0"/>
    <xf numFmtId="0" fontId="22" fillId="17" borderId="0" pivotButton="0" quotePrefix="0" xfId="0"/>
    <xf numFmtId="0" fontId="22" fillId="17" borderId="0" applyAlignment="1" pivotButton="0" quotePrefix="0" xfId="0">
      <alignment horizontal="left"/>
    </xf>
    <xf numFmtId="0" fontId="22" fillId="17" borderId="0" applyAlignment="1" pivotButton="0" quotePrefix="0" xfId="0">
      <alignment horizontal="left" vertical="center"/>
    </xf>
    <xf numFmtId="0" fontId="23" fillId="15" borderId="0" pivotButton="0" quotePrefix="0" xfId="0"/>
    <xf numFmtId="0" fontId="23" fillId="15" borderId="13" pivotButton="0" quotePrefix="0" xfId="0"/>
    <xf numFmtId="0" fontId="23" fillId="15" borderId="13" applyAlignment="1" pivotButton="0" quotePrefix="0" xfId="0">
      <alignment wrapText="1"/>
    </xf>
    <xf numFmtId="0" fontId="23" fillId="15" borderId="13" applyAlignment="1" pivotButton="0" quotePrefix="0" xfId="0">
      <alignment vertical="center" wrapText="1"/>
    </xf>
    <xf numFmtId="1" fontId="20" fillId="15" borderId="13" applyAlignment="1" pivotButton="0" quotePrefix="0" xfId="0">
      <alignment vertical="center" wrapText="1"/>
    </xf>
    <xf numFmtId="1" fontId="21" fillId="16" borderId="14" applyAlignment="1" pivotButton="0" quotePrefix="0" xfId="0">
      <alignment vertical="center" wrapText="1"/>
    </xf>
    <xf numFmtId="9" fontId="10" fillId="0" borderId="4" applyAlignment="1" pivotButton="0" quotePrefix="0" xfId="0">
      <alignment horizontal="center" vertical="top" wrapText="1"/>
    </xf>
    <xf numFmtId="9" fontId="10" fillId="0" borderId="7" applyAlignment="1" pivotButton="0" quotePrefix="0" xfId="0">
      <alignment horizontal="center" vertical="top" wrapText="1"/>
    </xf>
    <xf numFmtId="9" fontId="10" fillId="0" borderId="10" applyAlignment="1" pivotButton="0" quotePrefix="0" xfId="0">
      <alignment horizontal="center" vertical="top" wrapText="1"/>
    </xf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24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28" fillId="18" borderId="19" xfId="0"/>
    <xf numFmtId="0" fontId="29" fillId="18" borderId="19" xfId="0" applyNumberFormat="1" applyFont="1" applyFill="1" applyBorder="1"/>
    <xf numFmtId="0" fontId="29" fillId="18" borderId="19" xfId="0" applyNumberFormat="1" applyFont="1" applyFill="1" applyBorder="1" applyAlignment="1">
      <alignment vertical="center"/>
    </xf>
    <xf numFmtId="0" fontId="29" fillId="18" borderId="19" xfId="0" applyNumberFormat="1" applyFont="1" applyFill="1" applyBorder="1" applyAlignment="1">
      <alignment vertical="center" wrapText="1"/>
    </xf>
    <xf numFmtId="0" fontId="30" fillId="18" borderId="19" xfId="0" applyNumberFormat="1" applyFont="1" applyFill="1" applyBorder="1" applyAlignment="1">
      <alignment vertical="center" wrapText="1"/>
    </xf>
    <xf numFmtId="0" fontId="29" fillId="20" borderId="19" xfId="0" applyNumberFormat="1" applyFont="1" applyFill="1" applyBorder="1" applyAlignment="1">
      <alignment vertical="center" wrapText="1"/>
    </xf>
    <xf numFmtId="0" fontId="31" fillId="20" borderId="19" xfId="0" applyNumberFormat="1" applyFont="1" applyFill="1" applyBorder="1" applyAlignment="1">
      <alignment vertical="center" wrapText="1"/>
    </xf>
    <xf numFmtId="0" fontId="29" fillId="21" borderId="19" xfId="0" applyNumberFormat="1" applyFont="1" applyFill="1" applyBorder="1" applyAlignment="1">
      <alignment vertical="center" wrapText="1"/>
    </xf>
    <xf numFmtId="164" fontId="29" fillId="21" borderId="19" xfId="0" applyNumberFormat="1" applyFont="1" applyFill="1" applyBorder="1" applyAlignment="1">
      <alignment vertical="center" wrapText="1"/>
    </xf>
    <xf numFmtId="165" fontId="29" fillId="21" borderId="19" xfId="0" applyNumberFormat="1" applyFont="1" applyFill="1" applyBorder="1" applyAlignment="1">
      <alignment vertical="center" wrapText="1"/>
    </xf>
    <xf numFmtId="0" fontId="32" fillId="22" borderId="20" xfId="0"/>
    <xf numFmtId="0" fontId="33" fillId="22" borderId="20" xfId="0" applyNumberFormat="1" applyFont="1" applyFill="1" applyBorder="1"/>
    <xf numFmtId="0" fontId="33" fillId="22" borderId="20" xfId="0" applyNumberFormat="1" applyFont="1" applyFill="1" applyBorder="1" applyAlignment="1">
      <alignment vertical="center"/>
    </xf>
    <xf numFmtId="0" fontId="33" fillId="22" borderId="20" xfId="0" applyNumberFormat="1" applyFont="1" applyFill="1" applyBorder="1" applyAlignment="1">
      <alignment vertical="center" wrapText="1"/>
    </xf>
    <xf numFmtId="0" fontId="34" fillId="22" borderId="20" xfId="0" applyNumberFormat="1" applyFont="1" applyFill="1" applyBorder="1" applyAlignment="1">
      <alignment vertical="center" wrapText="1"/>
    </xf>
    <xf numFmtId="0" fontId="33" fillId="24" borderId="20" xfId="0" applyNumberFormat="1" applyFont="1" applyFill="1" applyBorder="1" applyAlignment="1">
      <alignment vertical="center" wrapText="1"/>
    </xf>
    <xf numFmtId="0" fontId="35" fillId="24" borderId="20" xfId="0" applyNumberFormat="1" applyFont="1" applyFill="1" applyBorder="1" applyAlignment="1">
      <alignment vertical="center" wrapText="1"/>
    </xf>
    <xf numFmtId="0" fontId="33" fillId="25" borderId="20" xfId="0" applyNumberFormat="1" applyFont="1" applyFill="1" applyBorder="1" applyAlignment="1">
      <alignment vertical="center" wrapText="1"/>
    </xf>
    <xf numFmtId="166" fontId="33" fillId="25" borderId="20" xfId="0" applyNumberFormat="1" applyFont="1" applyFill="1" applyBorder="1" applyAlignment="1">
      <alignment vertical="center" wrapText="1"/>
    </xf>
    <xf numFmtId="167" fontId="33" fillId="25" borderId="20" xfId="0" applyNumberFormat="1" applyFont="1" applyFill="1" applyBorder="1" applyAlignment="1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Relationship Id="rId11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18" customWidth="1" style="135" min="1" max="1"/>
    <col width="14" customWidth="1" style="135" min="2" max="2"/>
    <col width="12" customWidth="1" style="135" min="3" max="3"/>
    <col width="14" customWidth="1" style="135" min="4" max="4"/>
    <col width="14" customWidth="1" style="135" min="5" max="5"/>
    <col width="24" customWidth="1" style="135" min="6" max="6"/>
    <col width="46" customWidth="1" style="135" min="7" max="7"/>
    <col width="44" customWidth="1" style="135" min="8" max="8"/>
  </cols>
  <sheetData>
    <row r="1" ht="36" customHeight="1" s="135">
      <c r="A1" s="23" t="inlineStr">
        <is>
          <t>ShellStorm2 游戏内容数据库 v0.1</t>
        </is>
      </c>
    </row>
    <row r="2" ht="30" customHeight="1" s="135">
      <c r="A2" s="173" t="inlineStr">
        <is>
          <t>设计、内容与实现状态的中央索引｜最后校对：2026-08-27｜正式入口：TowerDescent3D.tscn</t>
        </is>
      </c>
    </row>
    <row r="3" ht="30" customHeight="1" s="135">
      <c r="A3" s="25" t="inlineStr">
        <is>
          <t>绿色字体=已实装；蓝色字体=用户设计；橙色字体=Codex补充。条目存在不等于全部表现与数值已通过最终QA。</t>
        </is>
      </c>
    </row>
    <row r="5" ht="34" customHeight="1" s="135">
      <c r="A5" s="12" t="inlineStr">
        <is>
          <t>工作表</t>
        </is>
      </c>
      <c r="B5" s="12" t="inlineStr">
        <is>
          <t>当前条目</t>
        </is>
      </c>
      <c r="C5" s="12" t="inlineStr">
        <is>
          <t>已实装</t>
        </is>
      </c>
      <c r="D5" s="12" t="inlineStr">
        <is>
          <t>用户设计</t>
        </is>
      </c>
      <c r="E5" s="12" t="inlineStr">
        <is>
          <t>Codex补充</t>
        </is>
      </c>
      <c r="F5" s="12" t="inlineStr">
        <is>
          <t>对应系统</t>
        </is>
      </c>
      <c r="G5" s="12" t="inlineStr">
        <is>
          <t>主要用途</t>
        </is>
      </c>
      <c r="H5" s="12" t="inlineStr">
        <is>
          <t>维护提示</t>
        </is>
      </c>
    </row>
    <row r="6" ht="46" customHeight="1" s="135">
      <c r="A6" s="29" t="inlineStr">
        <is>
          <t>武器</t>
        </is>
      </c>
      <c r="B6" s="29" t="n">
        <v>24</v>
      </c>
      <c r="C6" s="34" t="n">
        <v>24</v>
      </c>
      <c r="D6" s="35" t="n">
        <v>0</v>
      </c>
      <c r="E6" s="36" t="n">
        <v>0</v>
      </c>
      <c r="F6" s="29" t="inlineStr">
        <is>
          <t>系统2/5</t>
        </is>
      </c>
      <c r="G6" s="29" t="inlineStr">
        <is>
          <t>7远程枪身、3近战、8子弹、6配件、数值、价格和产出</t>
        </is>
      </c>
      <c r="H6" s="29" t="inlineStr">
        <is>
          <t>WeaponInstance统一承载远近战；六公共枪械配件位置固定、兼容子集禁用、单拆/整枪随行；棒球棍为基地初级近战</t>
        </is>
      </c>
    </row>
    <row r="7" ht="46" customHeight="1" s="135">
      <c r="A7" s="29" t="inlineStr">
        <is>
          <t>命运卡</t>
        </is>
      </c>
      <c r="B7" s="29" t="n">
        <v>78</v>
      </c>
      <c r="C7" s="34" t="n">
        <v>48</v>
      </c>
      <c r="D7" s="35" t="n">
        <v>30</v>
      </c>
      <c r="E7" s="36" t="n">
        <v>0</v>
      </c>
      <c r="F7" s="29" t="inlineStr">
        <is>
          <t>系统2/6</t>
        </is>
      </c>
      <c r="G7" s="29" t="inlineStr">
        <is>
          <t>78张塔罗命运：22大+56小阿尔卡那；正/逆位功能、概率和翻牌UI设计</t>
        </is>
      </c>
      <c r="H7" s="29" t="inlineStr">
        <is>
          <t>目标分布36星星/21月亮/21太阳。48张现有卡已完成塔罗命名、正逆位效果快照和代码翻牌；30张新增卡执行器待施工</t>
        </is>
      </c>
    </row>
    <row r="8" ht="46" customHeight="1" s="135">
      <c r="A8" s="29" t="inlineStr">
        <is>
          <t>怪物与Boss</t>
        </is>
      </c>
      <c r="B8" s="29">
        <f>COUNTA('怪物与Boss'!$A$5:$A$204)</f>
        <v/>
      </c>
      <c r="C8" s="34">
        <f>COUNTIF('怪物与Boss'!$L$5:$L$204,"[已实装]")</f>
        <v/>
      </c>
      <c r="D8" s="35">
        <f>COUNTIF('怪物与Boss'!$L$5:$L$204,"[用户设计]")</f>
        <v/>
      </c>
      <c r="E8" s="36">
        <f>COUNTIF('怪物与Boss'!$L$5:$L$204,"[Codex补充]")</f>
        <v/>
      </c>
      <c r="F8" s="29" t="inlineStr">
        <is>
          <t>系统3/4</t>
        </is>
      </c>
      <c r="G8" s="29" t="inlineStr">
        <is>
          <t>正式3D敌人基线、技能与刷新</t>
        </is>
      </c>
      <c r="H8" s="29" t="inlineStr">
        <is>
          <t>不要混入旧2D生命基线</t>
        </is>
      </c>
    </row>
    <row r="9" ht="46" customHeight="1" s="135">
      <c r="A9" s="29" t="inlineStr">
        <is>
          <t>精英怪</t>
        </is>
      </c>
      <c r="B9" s="29" t="n">
        <v>12</v>
      </c>
      <c r="C9" s="34" t="n">
        <v>1</v>
      </c>
      <c r="D9" s="35" t="n">
        <v>11</v>
      </c>
      <c r="E9" s="36" t="n">
        <v>0</v>
      </c>
      <c r="F9" s="29" t="inlineStr">
        <is>
          <t>系统4/7</t>
        </is>
      </c>
      <c r="G9" s="29" t="inlineStr">
        <is>
          <t>12只唯一精英定义；当前正式内容1/12</t>
        </is>
      </c>
      <c r="H9" s="29" t="inlineStr">
        <is>
          <t>首只背枪的裂口爬虫已投放98—96F并完成残血逃脱、击杀玩家归因、12级成长、副枪频率、夺械转译和悬赏兑现；其余11只design_only</t>
        </is>
      </c>
    </row>
    <row r="10" ht="46" customHeight="1" s="135">
      <c r="A10" s="29" t="inlineStr">
        <is>
          <t>掉落物品</t>
        </is>
      </c>
      <c r="B10" s="29" t="n">
        <v>45</v>
      </c>
      <c r="C10" s="34" t="n">
        <v>38</v>
      </c>
      <c r="D10" s="35" t="n">
        <v>7</v>
      </c>
      <c r="E10" s="36" t="n">
        <v>0</v>
      </c>
      <c r="F10" s="29" t="inlineStr">
        <is>
          <t>系统2/3/5/7</t>
        </is>
      </c>
      <c r="G10" s="29" t="inlineStr">
        <is>
          <t>物品、价格、稀有度和掉落池</t>
        </is>
      </c>
      <c r="H10" s="29" t="inlineStr">
        <is>
          <t>武器成品保留实例构筑；新增基地初级棒球棍；3种背包装备提供2/4/8扩展格；电池与贩卖机ID已对齐</t>
        </is>
      </c>
    </row>
    <row r="12">
      <c r="A12" s="30" t="inlineStr">
        <is>
          <t>七大系统与文档定位</t>
        </is>
      </c>
    </row>
    <row r="13" ht="34" customHeight="1" s="135">
      <c r="A13" s="12" t="inlineStr">
        <is>
          <t>编号</t>
        </is>
      </c>
      <c r="B13" s="12" t="inlineStr">
        <is>
          <t>核心系统</t>
        </is>
      </c>
      <c r="C13" s="12" t="inlineStr">
        <is>
          <t>主内容表</t>
        </is>
      </c>
      <c r="D13" s="12" t="inlineStr">
        <is>
          <t>设计状态</t>
        </is>
      </c>
      <c r="E13" s="12" t="inlineStr">
        <is>
          <t>实现状态</t>
        </is>
      </c>
      <c r="F13" s="12" t="inlineStr">
        <is>
          <t>P0焦点</t>
        </is>
      </c>
      <c r="G13" s="12" t="inlineStr">
        <is>
          <t>主施工文档</t>
        </is>
      </c>
      <c r="H13" s="12" t="inlineStr">
        <is>
          <t>备注</t>
        </is>
      </c>
    </row>
    <row r="14" ht="48" customHeight="1" s="135">
      <c r="A14" s="29" t="n">
        <v>1</v>
      </c>
      <c r="B14" s="29" t="inlineStr">
        <is>
          <t>玩家状态机与操作</t>
        </is>
      </c>
      <c r="C14" s="29" t="inlineStr">
        <is>
          <t>—</t>
        </is>
      </c>
      <c r="D14" s="29" t="inlineStr">
        <is>
          <t>已冻结</t>
        </is>
      </c>
      <c r="E14" s="29" t="inlineStr">
        <is>
          <t>正式3D较完整</t>
        </is>
      </c>
      <c r="F14" s="29" t="inlineStr">
        <is>
          <t>交互仲裁/状态诊断</t>
        </is>
      </c>
      <c r="G14" s="29" t="inlineStr">
        <is>
          <t>03_技术施工_玩家与操作.md</t>
        </is>
      </c>
      <c r="H14" s="29" t="inlineStr">
        <is>
          <t>视觉根与玩法根分离</t>
        </is>
      </c>
    </row>
    <row r="15" ht="48" customHeight="1" s="135">
      <c r="A15" s="29" t="n">
        <v>2</v>
      </c>
      <c r="B15" s="29" t="inlineStr">
        <is>
          <t>战斗/武器/子弹/命运卡</t>
        </is>
      </c>
      <c r="C15" s="29" t="inlineStr">
        <is>
          <t>武器/命运卡</t>
        </is>
      </c>
      <c r="D15" s="29" t="inlineStr">
        <is>
          <t>已冻结</t>
        </is>
      </c>
      <c r="E15" s="29" t="inlineStr">
        <is>
          <t>正式3D核心闭环已验收（含3近战/统一配件槽）</t>
        </is>
      </c>
      <c r="F15" s="29" t="inlineStr">
        <is>
          <t>最终近战武器美术/配件专属模型/逐卡表现QA</t>
        </is>
      </c>
      <c r="G15" s="29" t="inlineStr">
        <is>
          <t>04_技术施工_战斗与局内成长.md</t>
        </is>
      </c>
      <c r="H15" s="29" t="inlineStr">
        <is>
          <t>构筑随具体武器实例；7远程+3近战；六公共配件位置固定，枪型开放兼容子集</t>
        </is>
      </c>
    </row>
    <row r="16" ht="48" customHeight="1" s="135">
      <c r="A16" s="29" t="n">
        <v>3</v>
      </c>
      <c r="B16" s="29" t="inlineStr">
        <is>
          <t>关卡生成与爬楼</t>
        </is>
      </c>
      <c r="C16" s="29" t="inlineStr">
        <is>
          <t>怪物/掉落</t>
        </is>
      </c>
      <c r="D16" s="29" t="inlineStr">
        <is>
          <t>Boss路线新设定已冻结</t>
        </is>
      </c>
      <c r="E16" s="29" t="inlineStr">
        <is>
          <t>当前生成可用</t>
        </is>
      </c>
      <c r="F16" s="29" t="inlineStr">
        <is>
          <t>专钥匙/专门门/Boss后电梯</t>
        </is>
      </c>
      <c r="G16" s="29" t="inlineStr">
        <is>
          <t>05_技术施工_关卡生成与爬楼.md</t>
        </is>
      </c>
      <c r="H16" s="29" t="inlineStr">
        <is>
          <t>整层一次冻结</t>
        </is>
      </c>
    </row>
    <row r="17" ht="48" customHeight="1" s="135">
      <c r="A17" s="29" t="n">
        <v>4</v>
      </c>
      <c r="B17" s="29" t="inlineStr">
        <is>
          <t>怪物/精英/Boss</t>
        </is>
      </c>
      <c r="C17" s="29" t="inlineStr">
        <is>
          <t>怪物/精英怪</t>
        </is>
      </c>
      <c r="D17" s="29" t="inlineStr">
        <is>
          <t>12精英已冻结</t>
        </is>
      </c>
      <c r="E17" s="29" t="inlineStr">
        <is>
          <t>唯一系统完成；正式精英内容1/12</t>
        </is>
      </c>
      <c r="F17" s="29" t="inlineStr">
        <is>
          <t>剩余11只独立内容与投放</t>
        </is>
      </c>
      <c r="G17" s="29" t="inlineStr">
        <is>
          <t>06_技术施工_怪物精英与Boss.md</t>
        </is>
      </c>
      <c r="H17" s="29" t="inlineStr">
        <is>
          <t>定义/档案/表现已解耦；未完成精英不进入随机池</t>
        </is>
      </c>
    </row>
    <row r="18" ht="48" customHeight="1" s="135">
      <c r="A18" s="29" t="n">
        <v>5</v>
      </c>
      <c r="B18" s="29" t="inlineStr">
        <is>
          <t>基地设施</t>
        </is>
      </c>
      <c r="C18" s="29" t="inlineStr">
        <is>
          <t>多表引用</t>
        </is>
      </c>
      <c r="D18" s="29" t="inlineStr">
        <is>
          <t>已冻结</t>
        </is>
      </c>
      <c r="E18" s="29" t="inlineStr">
        <is>
          <t>八设施可用</t>
        </is>
      </c>
      <c r="F18" s="29" t="inlineStr">
        <is>
          <t>精英档案/设施服务化</t>
        </is>
      </c>
      <c r="G18" s="29" t="inlineStr">
        <is>
          <t>07_技术施工_基地设施.md</t>
        </is>
      </c>
      <c r="H18" s="29" t="inlineStr">
        <is>
          <t>UI不直接写存档</t>
        </is>
      </c>
    </row>
    <row r="19" ht="48" customHeight="1" s="135">
      <c r="A19" s="29" t="n">
        <v>6</v>
      </c>
      <c r="B19" s="29" t="inlineStr">
        <is>
          <t>剧情触发</t>
        </is>
      </c>
      <c r="C19" s="29" t="inlineStr">
        <is>
          <t>后续剧情表</t>
        </is>
      </c>
      <c r="D19" s="29" t="inlineStr">
        <is>
          <t>系统边界已冻结</t>
        </is>
      </c>
      <c r="E19" s="29" t="inlineStr">
        <is>
          <t>基础NPC/事件</t>
        </is>
      </c>
      <c r="F19" s="29" t="inlineStr">
        <is>
          <t>独立触发服务</t>
        </is>
      </c>
      <c r="G19" s="29" t="inlineStr">
        <is>
          <t>08_技术施工_剧情触发.md</t>
        </is>
      </c>
      <c r="H19" s="29" t="inlineStr">
        <is>
          <t>不擅自补写主线</t>
        </is>
      </c>
    </row>
    <row r="20" ht="48" customHeight="1" s="135">
      <c r="A20" s="29" t="n">
        <v>7</v>
      </c>
      <c r="B20" s="29" t="inlineStr">
        <is>
          <t>存档/结算/复活</t>
        </is>
      </c>
      <c r="C20" s="29" t="inlineStr">
        <is>
          <t>精英/掉落</t>
        </is>
      </c>
      <c r="D20" s="29" t="inlineStr">
        <is>
          <t>边界已冻结</t>
        </is>
      </c>
      <c r="E20" s="29" t="inlineStr">
        <is>
          <t>基地/结算与武器实例迁移可用</t>
        </is>
      </c>
      <c r="F20" s="29" t="inlineStr">
        <is>
          <t>结算幂等/复活策略</t>
        </is>
      </c>
      <c r="G20" s="29" t="inlineStr">
        <is>
          <t>09_技术施工_存档结算与复活.md</t>
        </is>
      </c>
      <c r="H20" s="29" t="inlineStr">
        <is>
          <t>复活政策尚未冻结</t>
        </is>
      </c>
    </row>
    <row r="22">
      <c r="A22" s="33" t="inlineStr">
        <is>
          <t>发布前检查：稳定ID唯一｜78张卡名唯一｜22大+56小｜36/21/21作用域｜正/逆各50%｜逆位整卡倒置｜旧存档不重投｜实现状态真实</t>
        </is>
      </c>
    </row>
  </sheetData>
  <mergeCells count="5">
    <mergeCell ref="A12:H12"/>
    <mergeCell ref="A3:H3"/>
    <mergeCell ref="A2:H2"/>
    <mergeCell ref="A1:H1"/>
    <mergeCell ref="A22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0" workbookViewId="0">
      <selection activeCell="A1" sqref="A1"/>
    </sheetView>
  </sheetViews>
  <sheetFormatPr baseColWidth="8" defaultRowHeight="15"/>
  <cols>
    <col width="24" customWidth="1" style="135" min="1" max="1"/>
    <col width="10" customWidth="1" style="135" min="2" max="2"/>
    <col width="18" customWidth="1" style="135" min="3" max="3"/>
    <col width="10" customWidth="1" style="135" min="4" max="4"/>
    <col width="10" customWidth="1" style="135" min="5" max="5"/>
    <col width="10" customWidth="1" style="135" min="6" max="6"/>
    <col width="34" customWidth="1" style="135" min="7" max="7"/>
    <col width="32" customWidth="1" style="135" min="8" max="8"/>
    <col width="26" customWidth="1" style="135" min="9" max="9"/>
    <col width="52" customWidth="1" style="135" min="10" max="10"/>
    <col width="14" customWidth="1" style="135" min="11" max="11"/>
    <col width="28" customWidth="1" style="135" min="12" max="12"/>
    <col width="34" customWidth="1" style="135" min="13" max="13"/>
    <col width="40" customWidth="1" style="135" min="14" max="14"/>
    <col width="13" customWidth="1" style="135" min="15" max="15"/>
    <col width="39" customWidth="1" style="135" min="16" max="16"/>
    <col width="30" customWidth="1" style="135" min="17" max="17"/>
    <col width="42" customWidth="1" style="135" min="18" max="18"/>
    <col width="42" customWidth="1" style="135" min="19" max="19"/>
    <col width="24" customWidth="1" style="135" min="20" max="20"/>
    <col width="14" customWidth="1" style="135" min="21" max="21"/>
    <col width="14" customWidth="1" style="135" min="22" max="22"/>
    <col width="14" customWidth="1" style="135" min="23" max="23"/>
    <col width="14" customWidth="1" style="135" min="24" max="24"/>
    <col width="14" customWidth="1" style="135" min="25" max="25"/>
  </cols>
  <sheetData>
    <row r="1" ht="32" customHeight="1" s="135">
      <c r="A1" s="3" t="inlineStr">
        <is>
          <t>ShellStorm2 游戏内容数据库｜武器</t>
        </is>
      </c>
    </row>
    <row r="2" ht="30" customHeight="1" s="135">
      <c r="A2" s="174" t="inlineStr">
        <is>
          <t>正式注册：7远程枪身、2大型近战武器、8子弹、6配件。独立WeaponInstance与普通武器8命运槽已实装；近战四态/三段/命中闭环已验收，逐条最终美术与专属音频继续QA。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内容ID</t>
        </is>
      </c>
      <c r="B4" s="176" t="inlineStr">
        <is>
          <t>类别</t>
        </is>
      </c>
      <c r="C4" s="176" t="inlineStr">
        <is>
          <t>名称</t>
        </is>
      </c>
      <c r="D4" s="176" t="inlineStr">
        <is>
          <t>蓝图Tier</t>
        </is>
      </c>
      <c r="E4" s="176" t="inlineStr">
        <is>
          <t>稀有度</t>
        </is>
      </c>
      <c r="F4" s="176" t="inlineStr">
        <is>
          <t>价格</t>
        </is>
      </c>
      <c r="G4" s="176" t="inlineStr">
        <is>
          <t>核心数值</t>
        </is>
      </c>
      <c r="H4" s="176" t="inlineStr">
        <is>
          <t>功能</t>
        </is>
      </c>
      <c r="I4" s="176" t="inlineStr">
        <is>
          <t>特殊效果/标签</t>
        </is>
      </c>
      <c r="J4" s="176" t="inlineStr">
        <is>
          <t>产出与掉落</t>
        </is>
      </c>
      <c r="K4" s="176" t="inlineStr">
        <is>
          <t>状态来源</t>
        </is>
      </c>
      <c r="L4" s="176" t="inlineStr">
        <is>
          <t>实现状态</t>
        </is>
      </c>
      <c r="M4" s="176" t="inlineStr">
        <is>
          <t>事实源</t>
        </is>
      </c>
      <c r="N4" s="176" t="inlineStr">
        <is>
          <t>备注</t>
        </is>
      </c>
      <c r="O4" s="48" t="inlineStr">
        <is>
          <t>基础命运槽</t>
        </is>
      </c>
      <c r="P4" s="48" t="inlineStr">
        <is>
          <t>实例/装配规则</t>
        </is>
      </c>
      <c r="Q4" s="48" t="inlineStr">
        <is>
          <t>新设计实现状态</t>
        </is>
      </c>
      <c r="R4" s="48" t="inlineStr">
        <is>
          <t>功能UI提示</t>
        </is>
      </c>
      <c r="S4" s="48" t="inlineStr">
        <is>
          <t>武器/战斗表现</t>
        </is>
      </c>
      <c r="T4" s="48" t="inlineStr">
        <is>
          <t>表现实现状态</t>
        </is>
      </c>
      <c r="U4" s="134" t="inlineStr">
        <is>
          <t>基地购买价</t>
        </is>
      </c>
      <c r="V4" s="134" t="inlineStr">
        <is>
          <t>基地出售价</t>
        </is>
      </c>
      <c r="W4" s="134" t="inlineStr">
        <is>
          <t>基地商店上架</t>
        </is>
      </c>
      <c r="X4" s="134" t="inlineStr">
        <is>
          <t>基地库存规则</t>
        </is>
      </c>
      <c r="Y4" s="134" t="inlineStr">
        <is>
          <t>基地货架顺序</t>
        </is>
      </c>
    </row>
    <row r="5" ht="54" customHeight="1" s="135">
      <c r="A5" s="177" t="inlineStr">
        <is>
          <t>attach_big_mag</t>
        </is>
      </c>
      <c r="B5" s="177" t="inlineStr">
        <is>
          <t>配件</t>
        </is>
      </c>
      <c r="C5" s="177" t="inlineStr">
        <is>
          <t>肉质弹匣</t>
        </is>
      </c>
      <c r="D5" s="177" t="n">
        <v>1</v>
      </c>
      <c r="E5" s="177" t="inlineStr">
        <is>
          <t>uncommon</t>
        </is>
      </c>
      <c r="F5" s="177" t="n">
        <v>80</v>
      </c>
      <c r="G5" s="177" t="inlineStr">
        <is>
          <t>magazine_size=15</t>
        </is>
      </c>
      <c r="H5" s="177" t="inlineStr">
        <is>
          <t>装配后提供magazine_size=15；修饰方向：heal、capacity</t>
        </is>
      </c>
      <c r="I5" s="177" t="inlineStr">
        <is>
          <t>标签：magazine、heal、capacity</t>
        </is>
      </c>
      <c r="J5" s="177" t="inlineStr">
        <is>
          <t>combat_floor_1×2.5；combat_floor_2×3；loot_abyss×2；loot_floor_3_4×2；loot_floor_5×2.5；scavenge_floor_3×2；scavenge_floor_4×2.5；scavenge_floor_5×2</t>
        </is>
      </c>
      <c r="K5" s="180" t="inlineStr">
        <is>
          <t>[已实装]</t>
        </is>
      </c>
      <c r="L5" s="177" t="inlineStr">
        <is>
          <t>正式注册；具体行为与表现仍需逐项QA</t>
        </is>
      </c>
      <c r="M5" s="177" t="inlineStr">
        <is>
          <t>src/base/BlueprintRegistry.gd；src/base/ItemRegistry.gd</t>
        </is>
      </c>
      <c r="N5" s="177" t="str"/>
      <c r="O5" s="46" t="n"/>
      <c r="P5" s="45" t="inlineStr">
        <is>
          <t>可拆卸、可替换、可交易；不占命运槽；安装结果写入目标weapon_instance_id</t>
        </is>
      </c>
      <c r="Q5" s="47" t="inlineStr">
        <is>
          <t>[已实装] 可换装、不占命运槽，并随目标WeaponInstance完整保存/恢复</t>
        </is>
      </c>
      <c r="R5" s="45" t="inlineStr">
        <is>
          <t>弹匣槽显示容量/换弹差值与治疗触发说明；安装前后对比，注明可拆卸、不占命运槽</t>
        </is>
      </c>
      <c r="S5" s="45" t="inlineStr">
        <is>
          <t>更大弹匣实体与换弹动作同步；治疗触发时弹匣图标和绿色脉冲同时出现</t>
        </is>
      </c>
      <c r="T5" s="47" t="inlineStr">
        <is>
          <t>[部分完成] 实例尾号、槽位、已装配件与命运刻印已可视；逐条专属VFX/音频仍待QA</t>
        </is>
      </c>
      <c r="U5" s="162">
        <f>IF(F5&gt;0,F5,0)</f>
        <v/>
      </c>
      <c r="V5" s="162">
        <f>IF(F5&gt;0,ROUND(F5*0.5,0),0)</f>
        <v/>
      </c>
      <c r="W5" s="145" t="b">
        <v>0</v>
      </c>
      <c r="X5" s="145" t="inlineStr">
        <is>
          <t>not_listed</t>
        </is>
      </c>
      <c r="Y5" s="162" t="n">
        <v>0</v>
      </c>
    </row>
    <row r="6" ht="54" customHeight="1" s="135">
      <c r="A6" s="177" t="inlineStr">
        <is>
          <t>attach_copy_sticker</t>
        </is>
      </c>
      <c r="B6" s="177" t="inlineStr">
        <is>
          <t>配件</t>
        </is>
      </c>
      <c r="C6" s="177" t="inlineStr">
        <is>
          <t>复制贴纸</t>
        </is>
      </c>
      <c r="D6" s="177" t="n">
        <v>2</v>
      </c>
      <c r="E6" s="177" t="inlineStr">
        <is>
          <t>epic</t>
        </is>
      </c>
      <c r="F6" s="177" t="n">
        <v>200</v>
      </c>
      <c r="G6" s="177" t="inlineStr">
        <is>
          <t>copy_chance=0.25</t>
        </is>
      </c>
      <c r="H6" s="177" t="inlineStr">
        <is>
          <t>装配后提供copy_chance=0.25；修饰方向：copy、duplicate</t>
        </is>
      </c>
      <c r="I6" s="177" t="inlineStr">
        <is>
          <t>标签：mutator、copy、duplicate</t>
        </is>
      </c>
      <c r="J6" s="177" t="inlineStr">
        <is>
          <t>boss_floor_1×3；boss_floor_2×4；combat_floor_3×1；combat_floor_4×1.5；combat_floor_5×2；loot_abyss×2；scavenge_floor_4×2；scavenge_floor_5×3</t>
        </is>
      </c>
      <c r="K6" s="180" t="inlineStr">
        <is>
          <t>[已实装]</t>
        </is>
      </c>
      <c r="L6" s="177" t="inlineStr">
        <is>
          <t>正式注册；具体行为与表现仍需逐项QA</t>
        </is>
      </c>
      <c r="M6" s="177" t="inlineStr">
        <is>
          <t>src/base/BlueprintRegistry.gd；src/base/ItemRegistry.gd</t>
        </is>
      </c>
      <c r="N6" s="177" t="str"/>
      <c r="O6" s="46" t="n"/>
      <c r="P6" s="45" t="inlineStr">
        <is>
          <t>可拆卸、可替换、可交易；不占命运槽；安装结果写入目标weapon_instance_id</t>
        </is>
      </c>
      <c r="Q6" s="47" t="inlineStr">
        <is>
          <t>[已实装] 可换装、不占命运槽，并随目标WeaponInstance完整保存/恢复</t>
        </is>
      </c>
      <c r="R6" s="45" t="inlineStr">
        <is>
          <t>外接槽显示复制概率、可复制对象和触发条件；触发链显示来源与限制</t>
        </is>
      </c>
      <c r="S6" s="45" t="inlineStr">
        <is>
          <t>枪身出现实体贴纸；触发复制时产生对象残影、专属图标脉冲和短音效</t>
        </is>
      </c>
      <c r="T6" s="47" t="inlineStr">
        <is>
          <t>[部分完成] 实例尾号、槽位、已装配件与命运刻印已可视；逐条专属VFX/音频仍待QA</t>
        </is>
      </c>
      <c r="U6" s="162">
        <f>IF(F6&gt;0,F6,0)</f>
        <v/>
      </c>
      <c r="V6" s="162">
        <f>IF(F6&gt;0,ROUND(F6*0.5,0),0)</f>
        <v/>
      </c>
      <c r="W6" s="145" t="b">
        <v>0</v>
      </c>
      <c r="X6" s="145" t="inlineStr">
        <is>
          <t>not_listed</t>
        </is>
      </c>
      <c r="Y6" s="162" t="n">
        <v>0</v>
      </c>
    </row>
    <row r="7" ht="54" customHeight="1" s="135">
      <c r="A7" s="177" t="inlineStr">
        <is>
          <t>attach_fan</t>
        </is>
      </c>
      <c r="B7" s="177" t="inlineStr">
        <is>
          <t>配件</t>
        </is>
      </c>
      <c r="C7" s="177" t="inlineStr">
        <is>
          <t>小风扇</t>
        </is>
      </c>
      <c r="D7" s="177" t="n">
        <v>2</v>
      </c>
      <c r="E7" s="177" t="inlineStr">
        <is>
          <t>epic</t>
        </is>
      </c>
      <c r="F7" s="177" t="n">
        <v>150</v>
      </c>
      <c r="G7" s="177" t="inlineStr">
        <is>
          <t>pull_strength=0.5</t>
        </is>
      </c>
      <c r="H7" s="177" t="inlineStr">
        <is>
          <t>装配后提供pull_strength=0.5；修饰方向：pull、wind</t>
        </is>
      </c>
      <c r="I7" s="177" t="inlineStr">
        <is>
          <t>标签：external、pull、wind</t>
        </is>
      </c>
      <c r="J7" s="177" t="inlineStr">
        <is>
          <t>boss_floor_1×3；combat_floor_3×1.5；combat_floor_4×2；combat_floor_5×2.5；loot_abyss×2.5；loot_floor_5×2；scavenge_floor_4×2；scavenge_floor_5×2.5</t>
        </is>
      </c>
      <c r="K7" s="180" t="inlineStr">
        <is>
          <t>[已实装]</t>
        </is>
      </c>
      <c r="L7" s="177" t="inlineStr">
        <is>
          <t>正式注册；具体行为与表现仍需逐项QA</t>
        </is>
      </c>
      <c r="M7" s="177" t="inlineStr">
        <is>
          <t>src/base/BlueprintRegistry.gd；src/base/ItemRegistry.gd</t>
        </is>
      </c>
      <c r="N7" s="177" t="str"/>
      <c r="O7" s="46" t="n"/>
      <c r="P7" s="45" t="inlineStr">
        <is>
          <t>可拆卸、可替换、可交易；不占命运槽；安装结果写入目标weapon_instance_id</t>
        </is>
      </c>
      <c r="Q7" s="47" t="inlineStr">
        <is>
          <t>[已实装] 可换装、不占命运槽，并随目标WeaponInstance完整保存/恢复</t>
        </is>
      </c>
      <c r="R7" s="45" t="inlineStr">
        <is>
          <t>外接槽显示拉力强度、作用对象和范围；战斗HUD保留吸附行为图标</t>
        </is>
      </c>
      <c r="S7" s="45" t="inlineStr">
        <is>
          <t>小风扇叶片持续转动；受力对象显示朝向流线，触发点播放吸附短音</t>
        </is>
      </c>
      <c r="T7" s="47" t="inlineStr">
        <is>
          <t>[部分完成] 实例尾号、槽位、已装配件与命运刻印已可视；逐条专属VFX/音频仍待QA</t>
        </is>
      </c>
      <c r="U7" s="162">
        <f>IF(F7&gt;0,F7,0)</f>
        <v/>
      </c>
      <c r="V7" s="162">
        <f>IF(F7&gt;0,ROUND(F7*0.5,0),0)</f>
        <v/>
      </c>
      <c r="W7" s="145" t="b">
        <v>0</v>
      </c>
      <c r="X7" s="145" t="inlineStr">
        <is>
          <t>not_listed</t>
        </is>
      </c>
      <c r="Y7" s="162" t="n">
        <v>0</v>
      </c>
    </row>
    <row r="8" ht="54" customHeight="1" s="135">
      <c r="A8" s="177" t="inlineStr">
        <is>
          <t>attach_rubber_stock</t>
        </is>
      </c>
      <c r="B8" s="177" t="inlineStr">
        <is>
          <t>配件</t>
        </is>
      </c>
      <c r="C8" s="177" t="inlineStr">
        <is>
          <t>橡皮枪托</t>
        </is>
      </c>
      <c r="D8" s="177" t="n">
        <v>0</v>
      </c>
      <c r="E8" s="177" t="inlineStr">
        <is>
          <t>common</t>
        </is>
      </c>
      <c r="F8" s="177" t="n">
        <v>45</v>
      </c>
      <c r="G8" s="177" t="inlineStr">
        <is>
          <t>spread=-0.04</t>
        </is>
      </c>
      <c r="H8" s="177" t="inlineStr">
        <is>
          <t>装配后提供spread=-0.04；修饰方向：bounce</t>
        </is>
      </c>
      <c r="I8" s="177" t="inlineStr">
        <is>
          <t>标签：stock、bounce</t>
        </is>
      </c>
      <c r="J8" s="177" t="inlineStr">
        <is>
          <t>combat_floor_1×2.5；combat_floor_2×2；loot_abyss×1.5；loot_floor_1_2×3；loot_floor_3_4×2.5；loot_floor_5×2；scavenge_floor_1×3；scavenge_floor_2×2.5；scavenge_floor_3×2；scavenge_floor_4×1.5；spawn_starter×3</t>
        </is>
      </c>
      <c r="K8" s="180" t="inlineStr">
        <is>
          <t>[已实装]</t>
        </is>
      </c>
      <c r="L8" s="177" t="inlineStr">
        <is>
          <t>正式注册；具体行为与表现仍需逐项QA</t>
        </is>
      </c>
      <c r="M8" s="177" t="inlineStr">
        <is>
          <t>src/base/BlueprintRegistry.gd；src/base/ItemRegistry.gd</t>
        </is>
      </c>
      <c r="N8" s="177" t="str"/>
      <c r="O8" s="46" t="n"/>
      <c r="P8" s="45" t="inlineStr">
        <is>
          <t>可拆卸、可替换、可交易；不占命运槽；安装结果写入目标weapon_instance_id</t>
        </is>
      </c>
      <c r="Q8" s="47" t="inlineStr">
        <is>
          <t>[已实装] 可换装、不占命运槽，并随目标WeaponInstance完整保存/恢复</t>
        </is>
      </c>
      <c r="R8" s="45" t="inlineStr">
        <is>
          <t>枪托槽显示扩散变化和弹跳行为；提供准星散布前后对比</t>
        </is>
      </c>
      <c r="S8" s="45" t="inlineStr">
        <is>
          <t>橡胶枪托实体挂接；后坐/准星收束可见，弹跳命中显示方向折线</t>
        </is>
      </c>
      <c r="T8" s="47" t="inlineStr">
        <is>
          <t>[部分完成] 实例尾号、槽位、已装配件与命运刻印已可视；逐条专属VFX/音频仍待QA</t>
        </is>
      </c>
      <c r="U8" s="162">
        <f>IF(F8&gt;0,F8,0)</f>
        <v/>
      </c>
      <c r="V8" s="162">
        <f>IF(F8&gt;0,ROUND(F8*0.5,0),0)</f>
        <v/>
      </c>
      <c r="W8" s="145" t="b">
        <v>0</v>
      </c>
      <c r="X8" s="145" t="inlineStr">
        <is>
          <t>not_listed</t>
        </is>
      </c>
      <c r="Y8" s="162" t="n">
        <v>0</v>
      </c>
    </row>
    <row r="9" ht="54" customHeight="1" s="135">
      <c r="A9" s="177" t="inlineStr">
        <is>
          <t>attach_scope</t>
        </is>
      </c>
      <c r="B9" s="177" t="inlineStr">
        <is>
          <t>配件</t>
        </is>
      </c>
      <c r="C9" s="177" t="inlineStr">
        <is>
          <t>放大镜瞄具</t>
        </is>
      </c>
      <c r="D9" s="177" t="n">
        <v>1</v>
      </c>
      <c r="E9" s="177" t="inlineStr">
        <is>
          <t>rare</t>
        </is>
      </c>
      <c r="F9" s="177" t="n">
        <v>100</v>
      </c>
      <c r="G9" s="177" t="inlineStr">
        <is>
          <t>damage=5；spread=-0.05</t>
        </is>
      </c>
      <c r="H9" s="177" t="inlineStr">
        <is>
          <t>装配后提供damage=5；spread=-0.05；修饰方向：crit、accuracy</t>
        </is>
      </c>
      <c r="I9" s="177" t="inlineStr">
        <is>
          <t>标签：scope、crit、accuracy</t>
        </is>
      </c>
      <c r="J9" s="177" t="inlineStr">
        <is>
          <t>combat_floor_2×1.5；combat_floor_3×2.5；loot_abyss×3；loot_floor_3_4×2；loot_floor_5×2.5；scavenge_floor_3×2；scavenge_floor_4×2.5；scavenge_floor_5×3</t>
        </is>
      </c>
      <c r="K9" s="180" t="inlineStr">
        <is>
          <t>[已实装]</t>
        </is>
      </c>
      <c r="L9" s="177" t="inlineStr">
        <is>
          <t>正式注册；具体行为与表现仍需逐项QA</t>
        </is>
      </c>
      <c r="M9" s="177" t="inlineStr">
        <is>
          <t>src/base/BlueprintRegistry.gd；src/base/ItemRegistry.gd</t>
        </is>
      </c>
      <c r="N9" s="177" t="str"/>
      <c r="O9" s="46" t="n"/>
      <c r="P9" s="45" t="inlineStr">
        <is>
          <t>可拆卸、可替换、可交易；不占命运槽；安装结果写入目标weapon_instance_id</t>
        </is>
      </c>
      <c r="Q9" s="47" t="inlineStr">
        <is>
          <t>[已实装] 可换装、不占命运槽，并随目标WeaponInstance完整保存/恢复</t>
        </is>
      </c>
      <c r="R9" s="45" t="inlineStr">
        <is>
          <t>瞄具槽显示伤害、扩散/暴击来源和瞄准差值；注明兼容枪型</t>
        </is>
      </c>
      <c r="S9" s="45" t="inlineStr">
        <is>
          <t>实际瞄具模型、瞄准姿态与准星同步变化；暴击命中使用高亮反馈</t>
        </is>
      </c>
      <c r="T9" s="47" t="inlineStr">
        <is>
          <t>[部分完成] 实例尾号、槽位、已装配件与命运刻印已可视；逐条专属VFX/音频仍待QA</t>
        </is>
      </c>
      <c r="U9" s="162">
        <f>IF(F9&gt;0,F9,0)</f>
        <v/>
      </c>
      <c r="V9" s="162">
        <f>IF(F9&gt;0,ROUND(F9*0.5,0),0)</f>
        <v/>
      </c>
      <c r="W9" s="145" t="b">
        <v>0</v>
      </c>
      <c r="X9" s="145" t="inlineStr">
        <is>
          <t>not_listed</t>
        </is>
      </c>
      <c r="Y9" s="162" t="n">
        <v>0</v>
      </c>
    </row>
    <row r="10" ht="54" customHeight="1" s="135">
      <c r="A10" s="177" t="inlineStr">
        <is>
          <t>attach_triple_muzzle</t>
        </is>
      </c>
      <c r="B10" s="177" t="inlineStr">
        <is>
          <t>配件</t>
        </is>
      </c>
      <c r="C10" s="177" t="inlineStr">
        <is>
          <t>三叉枪口</t>
        </is>
      </c>
      <c r="D10" s="177" t="n">
        <v>0</v>
      </c>
      <c r="E10" s="177" t="inlineStr">
        <is>
          <t>uncommon</t>
        </is>
      </c>
      <c r="F10" s="177" t="n">
        <v>70</v>
      </c>
      <c r="G10" s="177" t="inlineStr">
        <is>
          <t>bullet_count=2；spread=0.08</t>
        </is>
      </c>
      <c r="H10" s="177" t="inlineStr">
        <is>
          <t>装配后提供bullet_count=2；spread=0.08；修饰方向：multi_shot</t>
        </is>
      </c>
      <c r="I10" s="177" t="inlineStr">
        <is>
          <t>标签：muzzle、multi_shot</t>
        </is>
      </c>
      <c r="J10" s="177" t="inlineStr">
        <is>
          <t>combat_floor_1×2；combat_floor_2×1.5；loot_abyss×1；loot_floor_1_2×2.5；loot_floor_3_4×2；loot_floor_5×1.5；scavenge_floor_1×2.5；scavenge_floor_2×2；scavenge_floor_3×1.5；scavenge_floor_4×1；spawn_starter×2.5</t>
        </is>
      </c>
      <c r="K10" s="180" t="inlineStr">
        <is>
          <t>[已实装]</t>
        </is>
      </c>
      <c r="L10" s="177" t="inlineStr">
        <is>
          <t>正式注册；具体行为与表现仍需逐项QA</t>
        </is>
      </c>
      <c r="M10" s="177" t="inlineStr">
        <is>
          <t>src/base/BlueprintRegistry.gd；src/base/ItemRegistry.gd</t>
        </is>
      </c>
      <c r="N10" s="177" t="str"/>
      <c r="O10" s="46" t="n"/>
      <c r="P10" s="45" t="inlineStr">
        <is>
          <t>可拆卸、可替换、可交易；不占命运槽；安装结果写入目标weapon_instance_id</t>
        </is>
      </c>
      <c r="Q10" s="47" t="inlineStr">
        <is>
          <t>[已实装] 可换装、不占命运槽，并随目标WeaponInstance完整保存/恢复</t>
        </is>
      </c>
      <c r="R10" s="45" t="inlineStr">
        <is>
          <t>枪口槽显示弹丸数与扩散差值，并预览弹道扇形</t>
        </is>
      </c>
      <c r="S10" s="45" t="inlineStr">
        <is>
          <t>三叉枪口实体；开火时多枪口火焰、多弹道和声层同步</t>
        </is>
      </c>
      <c r="T10" s="47" t="inlineStr">
        <is>
          <t>[部分完成] 实例尾号、槽位、已装配件与命运刻印已可视；逐条专属VFX/音频仍待QA</t>
        </is>
      </c>
      <c r="U10" s="162">
        <f>IF(F10&gt;0,F10,0)</f>
        <v/>
      </c>
      <c r="V10" s="162">
        <f>IF(F10&gt;0,ROUND(F10*0.5,0),0)</f>
        <v/>
      </c>
      <c r="W10" s="145" t="b">
        <v>0</v>
      </c>
      <c r="X10" s="145" t="inlineStr">
        <is>
          <t>not_listed</t>
        </is>
      </c>
      <c r="Y10" s="162" t="n">
        <v>0</v>
      </c>
    </row>
    <row r="11" ht="54" customHeight="1" s="135">
      <c r="A11" s="177" t="inlineStr">
        <is>
          <t>mod_bullet_balloon</t>
        </is>
      </c>
      <c r="B11" s="177" t="inlineStr">
        <is>
          <t>子弹</t>
        </is>
      </c>
      <c r="C11" s="177" t="inlineStr">
        <is>
          <t>气球弹模块</t>
        </is>
      </c>
      <c r="D11" s="177" t="n">
        <v>1</v>
      </c>
      <c r="E11" s="177" t="inlineStr">
        <is>
          <t>rare</t>
        </is>
      </c>
      <c r="F11" s="177" t="n">
        <v>90</v>
      </c>
      <c r="G11" s="177" t="inlineStr">
        <is>
          <t>bullet_damage=18；bullet_speed=0.5</t>
        </is>
      </c>
      <c r="H11" s="177" t="inlineStr">
        <is>
          <t>提供bullet_damage=18；bullet_speed=0.5；弹道/命中行为：balloon、slow、big</t>
        </is>
      </c>
      <c r="I11" s="177" t="inlineStr">
        <is>
          <t>标签：bullet、balloon、slow、big</t>
        </is>
      </c>
      <c r="J11" s="177" t="inlineStr">
        <is>
          <t>combat_floor_3×1；combat_floor_4×1.5；loot_abyss×2；loot_floor_3_4×1.5；loot_floor_5×2；scavenge_floor_3×1.5；scavenge_floor_4×2；scavenge_floor_5×2</t>
        </is>
      </c>
      <c r="K11" s="180" t="inlineStr">
        <is>
          <t>[已实装]</t>
        </is>
      </c>
      <c r="L11" s="177" t="inlineStr">
        <is>
          <t>正式注册；具体行为与表现仍需逐项QA</t>
        </is>
      </c>
      <c r="M11" s="177" t="inlineStr">
        <is>
          <t>src/base/BlueprintRegistry.gd；src/base/ItemRegistry.gd</t>
        </is>
      </c>
      <c r="N11" s="177" t="str"/>
      <c r="O11" s="46" t="n"/>
      <c r="P11" s="45" t="inlineStr">
        <is>
          <t>可更换子弹模块；不占命运槽；弹道配置写入目标weapon_instance_id</t>
        </is>
      </c>
      <c r="Q11" s="47" t="inlineStr">
        <is>
          <t>[已实装] 可换装、不占命运槽，并随目标WeaponInstance完整保存/恢复</t>
        </is>
      </c>
      <c r="R11" s="45" t="inlineStr">
        <is>
          <t>子弹页显示体积、伤害、速度差值和大型弹体标签</t>
        </is>
      </c>
      <c r="S11" s="45" t="inlineStr">
        <is>
          <t>膨胀弹体、较重尾迹与命中体积一致，不能只改伤害数值</t>
        </is>
      </c>
      <c r="T11" s="47" t="inlineStr">
        <is>
          <t>[部分完成] 实例尾号、槽位、已装配件与命运刻印已可视；逐条专属VFX/音频仍待QA</t>
        </is>
      </c>
      <c r="U11" s="162">
        <f>IF(F11&gt;0,F11,0)</f>
        <v/>
      </c>
      <c r="V11" s="162">
        <f>IF(F11&gt;0,ROUND(F11*0.5,0),0)</f>
        <v/>
      </c>
      <c r="W11" s="145" t="b">
        <v>0</v>
      </c>
      <c r="X11" s="145" t="inlineStr">
        <is>
          <t>not_listed</t>
        </is>
      </c>
      <c r="Y11" s="162" t="n">
        <v>0</v>
      </c>
    </row>
    <row r="12" ht="54" customHeight="1" s="135">
      <c r="A12" s="177" t="inlineStr">
        <is>
          <t>mod_bullet_blackhole</t>
        </is>
      </c>
      <c r="B12" s="177" t="inlineStr">
        <is>
          <t>子弹</t>
        </is>
      </c>
      <c r="C12" s="177" t="inlineStr">
        <is>
          <t>黑洞弹模块</t>
        </is>
      </c>
      <c r="D12" s="177" t="n">
        <v>2</v>
      </c>
      <c r="E12" s="177" t="inlineStr">
        <is>
          <t>epic</t>
        </is>
      </c>
      <c r="F12" s="177" t="n">
        <v>180</v>
      </c>
      <c r="G12" s="177" t="inlineStr">
        <is>
          <t>bullet_damage=12；bullet_speed=0.6</t>
        </is>
      </c>
      <c r="H12" s="177" t="inlineStr">
        <is>
          <t>提供bullet_damage=12；bullet_speed=0.6；弹道/命中行为：blackhole、pull</t>
        </is>
      </c>
      <c r="I12" s="177" t="inlineStr">
        <is>
          <t>标签：bullet、blackhole、pull</t>
        </is>
      </c>
      <c r="J12" s="177" t="inlineStr">
        <is>
          <t>boss_floor_1×3；boss_floor_2×4；combat_floor_4×2；combat_floor_5×3；loot_abyss×2.5；scavenge_floor_4×2.5；scavenge_floor_5×4</t>
        </is>
      </c>
      <c r="K12" s="180" t="inlineStr">
        <is>
          <t>[已实装]</t>
        </is>
      </c>
      <c r="L12" s="177" t="inlineStr">
        <is>
          <t>正式注册；具体行为与表现仍需逐项QA</t>
        </is>
      </c>
      <c r="M12" s="177" t="inlineStr">
        <is>
          <t>src/base/BlueprintRegistry.gd；src/base/ItemRegistry.gd</t>
        </is>
      </c>
      <c r="N12" s="177" t="str"/>
      <c r="O12" s="46" t="n"/>
      <c r="P12" s="45" t="inlineStr">
        <is>
          <t>可更换子弹模块；不占命运槽；弹道配置写入目标weapon_instance_id</t>
        </is>
      </c>
      <c r="Q12" s="47" t="inlineStr">
        <is>
          <t>[已实装] 可换装、不占命运槽，并随目标WeaponInstance完整保存/恢复</t>
        </is>
      </c>
      <c r="R12" s="45" t="inlineStr">
        <is>
          <t>显示伤害、速度、牵引范围/强度和受影响对象</t>
        </is>
      </c>
      <c r="S12" s="45" t="inlineStr">
        <is>
          <t>黑洞核心、吸入流线和范围边界清晰；命中/结束有收束反馈</t>
        </is>
      </c>
      <c r="T12" s="47" t="inlineStr">
        <is>
          <t>[部分完成] 实例尾号、槽位、已装配件与命运刻印已可视；逐条专属VFX/音频仍待QA</t>
        </is>
      </c>
      <c r="U12" s="162">
        <f>IF(F12&gt;0,F12,0)</f>
        <v/>
      </c>
      <c r="V12" s="162">
        <f>IF(F12&gt;0,ROUND(F12*0.5,0),0)</f>
        <v/>
      </c>
      <c r="W12" s="145" t="b">
        <v>0</v>
      </c>
      <c r="X12" s="145" t="inlineStr">
        <is>
          <t>not_listed</t>
        </is>
      </c>
      <c r="Y12" s="162" t="n">
        <v>0</v>
      </c>
    </row>
    <row r="13" ht="54" customHeight="1" s="135">
      <c r="A13" s="177" t="inlineStr">
        <is>
          <t>mod_bullet_bounce</t>
        </is>
      </c>
      <c r="B13" s="177" t="inlineStr">
        <is>
          <t>子弹</t>
        </is>
      </c>
      <c r="C13" s="177" t="inlineStr">
        <is>
          <t>回旋镖弹模块</t>
        </is>
      </c>
      <c r="D13" s="177" t="n">
        <v>0</v>
      </c>
      <c r="E13" s="177" t="inlineStr">
        <is>
          <t>uncommon</t>
        </is>
      </c>
      <c r="F13" s="177" t="n">
        <v>60</v>
      </c>
      <c r="G13" s="177" t="inlineStr">
        <is>
          <t>bullet_damage=7；bullet_speed=1.1</t>
        </is>
      </c>
      <c r="H13" s="177" t="inlineStr">
        <is>
          <t>提供bullet_damage=7；bullet_speed=1.1；弹道/命中行为：bounce、ricochet</t>
        </is>
      </c>
      <c r="I13" s="177" t="inlineStr">
        <is>
          <t>标签：bullet、bounce、ricochet</t>
        </is>
      </c>
      <c r="J13" s="177" t="inlineStr">
        <is>
          <t>combat_floor_1×1.5；combat_floor_2×2；loot_abyss×2；loot_floor_1_2×1.5；loot_floor_3_4×2；loot_floor_5×2.5；scavenge_floor_1×1.5；scavenge_floor_2×2；spawn_starter×1.5</t>
        </is>
      </c>
      <c r="K13" s="180" t="inlineStr">
        <is>
          <t>[已实装]</t>
        </is>
      </c>
      <c r="L13" s="177" t="inlineStr">
        <is>
          <t>正式注册；具体行为与表现仍需逐项QA</t>
        </is>
      </c>
      <c r="M13" s="177" t="inlineStr">
        <is>
          <t>src/base/BlueprintRegistry.gd；src/base/ItemRegistry.gd</t>
        </is>
      </c>
      <c r="N13" s="177" t="str"/>
      <c r="O13" s="46" t="n"/>
      <c r="P13" s="45" t="inlineStr">
        <is>
          <t>可更换子弹模块；不占命运槽；弹道配置写入目标weapon_instance_id</t>
        </is>
      </c>
      <c r="Q13" s="47" t="inlineStr">
        <is>
          <t>[已实装] 可换装、不占命运槽，并随目标WeaponInstance完整保存/恢复</t>
        </is>
      </c>
      <c r="R13" s="45" t="inlineStr">
        <is>
          <t>显示弹跳次数、可反弹表面和剩余次数</t>
        </is>
      </c>
      <c r="S13" s="45" t="inlineStr">
        <is>
          <t>反弹点有折线闪光与计数递减，飞行方向变化清楚可读</t>
        </is>
      </c>
      <c r="T13" s="47" t="inlineStr">
        <is>
          <t>[部分完成] 实例尾号、槽位、已装配件与命运刻印已可视；逐条专属VFX/音频仍待QA</t>
        </is>
      </c>
      <c r="U13" s="162">
        <f>IF(F13&gt;0,F13,0)</f>
        <v/>
      </c>
      <c r="V13" s="162">
        <f>IF(F13&gt;0,ROUND(F13*0.5,0),0)</f>
        <v/>
      </c>
      <c r="W13" s="145" t="b">
        <v>0</v>
      </c>
      <c r="X13" s="145" t="inlineStr">
        <is>
          <t>not_listed</t>
        </is>
      </c>
      <c r="Y13" s="162" t="n">
        <v>0</v>
      </c>
    </row>
    <row r="14" ht="54" customHeight="1" s="135">
      <c r="A14" s="177" t="inlineStr">
        <is>
          <t>mod_bullet_explosive</t>
        </is>
      </c>
      <c r="B14" s="177" t="inlineStr">
        <is>
          <t>子弹</t>
        </is>
      </c>
      <c r="C14" s="177" t="inlineStr">
        <is>
          <t>爆炸弹模块</t>
        </is>
      </c>
      <c r="D14" s="177" t="n">
        <v>1</v>
      </c>
      <c r="E14" s="177" t="inlineStr">
        <is>
          <t>rare</t>
        </is>
      </c>
      <c r="F14" s="177" t="n">
        <v>100</v>
      </c>
      <c r="G14" s="177" t="inlineStr">
        <is>
          <t>bullet_damage=28；bullet_speed=0.75</t>
        </is>
      </c>
      <c r="H14" s="177" t="inlineStr">
        <is>
          <t>提供bullet_damage=28；bullet_speed=0.75；弹道/命中行为：explosive、area</t>
        </is>
      </c>
      <c r="I14" s="177" t="inlineStr">
        <is>
          <t>标签：bullet、explosive、area</t>
        </is>
      </c>
      <c r="J14" s="177" t="inlineStr">
        <is>
          <t>combat_floor_3×1；loot_abyss×2.5；loot_floor_3_4×1.5；loot_floor_5×2；scavenge_floor_3×1.5；scavenge_floor_4×2；scavenge_floor_5×2.5</t>
        </is>
      </c>
      <c r="K14" s="180" t="inlineStr">
        <is>
          <t>[已实装]</t>
        </is>
      </c>
      <c r="L14" s="177" t="inlineStr">
        <is>
          <t>正式注册；具体行为与表现仍需逐项QA</t>
        </is>
      </c>
      <c r="M14" s="177" t="inlineStr">
        <is>
          <t>src/base/BlueprintRegistry.gd；src/base/ItemRegistry.gd</t>
        </is>
      </c>
      <c r="N14" s="177" t="str"/>
      <c r="O14" s="46" t="n"/>
      <c r="P14" s="45" t="inlineStr">
        <is>
          <t>可更换子弹模块；不占命运槽；弹道配置写入目标weapon_instance_id</t>
        </is>
      </c>
      <c r="Q14" s="47" t="inlineStr">
        <is>
          <t>[已实装] 可换装、不占命运槽，并随目标WeaponInstance完整保存/恢复</t>
        </is>
      </c>
      <c r="R14" s="45" t="inlineStr">
        <is>
          <t>显示爆炸伤害、半径和触发时机；地面预览危险圈</t>
        </is>
      </c>
      <c r="S14" s="45" t="inlineStr">
        <is>
          <t>弹体、尾迹、爆炸半径与伤害时点同步，低特效下保留轮廓圈</t>
        </is>
      </c>
      <c r="T14" s="47" t="inlineStr">
        <is>
          <t>[部分完成] 实例尾号、槽位、已装配件与命运刻印已可视；逐条专属VFX/音频仍待QA</t>
        </is>
      </c>
      <c r="U14" s="162">
        <f>IF(F14&gt;0,F14,0)</f>
        <v/>
      </c>
      <c r="V14" s="162">
        <f>IF(F14&gt;0,ROUND(F14*0.5,0),0)</f>
        <v/>
      </c>
      <c r="W14" s="145" t="b">
        <v>0</v>
      </c>
      <c r="X14" s="145" t="inlineStr">
        <is>
          <t>not_listed</t>
        </is>
      </c>
      <c r="Y14" s="162" t="n">
        <v>0</v>
      </c>
    </row>
    <row r="15" ht="54" customHeight="1" s="135">
      <c r="A15" s="177" t="inlineStr">
        <is>
          <t>mod_bullet_homing</t>
        </is>
      </c>
      <c r="B15" s="177" t="inlineStr">
        <is>
          <t>子弹</t>
        </is>
      </c>
      <c r="C15" s="177" t="inlineStr">
        <is>
          <t>蜂卵弹模块</t>
        </is>
      </c>
      <c r="D15" s="177" t="n">
        <v>2</v>
      </c>
      <c r="E15" s="177" t="inlineStr">
        <is>
          <t>epic</t>
        </is>
      </c>
      <c r="F15" s="177" t="n">
        <v>150</v>
      </c>
      <c r="G15" s="177" t="inlineStr">
        <is>
          <t>bullet_damage=10；bullet_speed=0.9</t>
        </is>
      </c>
      <c r="H15" s="177" t="inlineStr">
        <is>
          <t>提供bullet_damage=10；bullet_speed=0.9；弹道/命中行为：homing、summon</t>
        </is>
      </c>
      <c r="I15" s="177" t="inlineStr">
        <is>
          <t>标签：bullet、homing、summon</t>
        </is>
      </c>
      <c r="J15" s="177" t="inlineStr">
        <is>
          <t>boss_floor_1×4；combat_floor_4×1.5；combat_floor_5×2.5；loot_abyss×3；loot_floor_5×2；scavenge_floor_4×2；scavenge_floor_5×3</t>
        </is>
      </c>
      <c r="K15" s="180" t="inlineStr">
        <is>
          <t>[已实装]</t>
        </is>
      </c>
      <c r="L15" s="177" t="inlineStr">
        <is>
          <t>正式注册；具体行为与表现仍需逐项QA</t>
        </is>
      </c>
      <c r="M15" s="177" t="inlineStr">
        <is>
          <t>src/base/BlueprintRegistry.gd；src/base/ItemRegistry.gd</t>
        </is>
      </c>
      <c r="N15" s="177" t="str"/>
      <c r="O15" s="46" t="n"/>
      <c r="P15" s="45" t="inlineStr">
        <is>
          <t>可更换子弹模块；不占命运槽；弹道配置写入目标weapon_instance_id</t>
        </is>
      </c>
      <c r="Q15" s="47" t="inlineStr">
        <is>
          <t>[已实装] 可换装、不占命运槽，并随目标WeaponInstance完整保存/恢复</t>
        </is>
      </c>
      <c r="R15" s="45" t="inlineStr">
        <is>
          <t>显示追踪强度、锁定条件和当前目标标记</t>
        </is>
      </c>
      <c r="S15" s="45" t="inlineStr">
        <is>
          <t>锁定框、弯曲尾迹和转向动作一致；目标丢失有解除提示</t>
        </is>
      </c>
      <c r="T15" s="47" t="inlineStr">
        <is>
          <t>[部分完成] 实例尾号、槽位、已装配件与命运刻印已可视；逐条专属VFX/音频仍待QA</t>
        </is>
      </c>
      <c r="U15" s="162">
        <f>IF(F15&gt;0,F15,0)</f>
        <v/>
      </c>
      <c r="V15" s="162">
        <f>IF(F15&gt;0,ROUND(F15*0.5,0),0)</f>
        <v/>
      </c>
      <c r="W15" s="145" t="b">
        <v>0</v>
      </c>
      <c r="X15" s="145" t="inlineStr">
        <is>
          <t>not_listed</t>
        </is>
      </c>
      <c r="Y15" s="162" t="n">
        <v>0</v>
      </c>
    </row>
    <row r="16" ht="54" customHeight="1" s="135">
      <c r="A16" s="177" t="inlineStr">
        <is>
          <t>mod_bullet_piercing</t>
        </is>
      </c>
      <c r="B16" s="177" t="inlineStr">
        <is>
          <t>子弹</t>
        </is>
      </c>
      <c r="C16" s="177" t="inlineStr">
        <is>
          <t>穿甲弹模块</t>
        </is>
      </c>
      <c r="D16" s="177" t="n">
        <v>1</v>
      </c>
      <c r="E16" s="177" t="inlineStr">
        <is>
          <t>rare</t>
        </is>
      </c>
      <c r="F16" s="177" t="n">
        <v>80</v>
      </c>
      <c r="G16" s="177" t="inlineStr">
        <is>
          <t>bullet_damage=14；bullet_speed=1.4</t>
        </is>
      </c>
      <c r="H16" s="177" t="inlineStr">
        <is>
          <t>提供bullet_damage=14；bullet_speed=1.4；弹道/命中行为：piercing、armor</t>
        </is>
      </c>
      <c r="I16" s="177" t="inlineStr">
        <is>
          <t>标签：bullet、piercing、armor</t>
        </is>
      </c>
      <c r="J16" s="177" t="inlineStr">
        <is>
          <t>combat_floor_3×1.5；loot_abyss×3；loot_floor_3_4×2；loot_floor_5×2.5；scavenge_floor_3×2；scavenge_floor_4×2.5；scavenge_floor_5×3</t>
        </is>
      </c>
      <c r="K16" s="180" t="inlineStr">
        <is>
          <t>[已实装]</t>
        </is>
      </c>
      <c r="L16" s="177" t="inlineStr">
        <is>
          <t>正式注册；具体行为与表现仍需逐项QA</t>
        </is>
      </c>
      <c r="M16" s="177" t="inlineStr">
        <is>
          <t>src/base/BlueprintRegistry.gd；src/base/ItemRegistry.gd</t>
        </is>
      </c>
      <c r="N16" s="177" t="str"/>
      <c r="O16" s="46" t="n"/>
      <c r="P16" s="45" t="inlineStr">
        <is>
          <t>可更换子弹模块；不占命运槽；弹道配置写入目标weapon_instance_id</t>
        </is>
      </c>
      <c r="Q16" s="47" t="inlineStr">
        <is>
          <t>[已实装] 可换装、不占命运槽，并随目标WeaponInstance完整保存/恢复</t>
        </is>
      </c>
      <c r="R16" s="45" t="inlineStr">
        <is>
          <t>显示穿透等级、可穿对象和命中衰减规则</t>
        </is>
      </c>
      <c r="S16" s="45" t="inlineStr">
        <is>
          <t>穿透命中显示连续贯穿线与剩余层数，不在首个目标处假性消失</t>
        </is>
      </c>
      <c r="T16" s="47" t="inlineStr">
        <is>
          <t>[部分完成] 实例尾号、槽位、已装配件与命运刻印已可视；逐条专属VFX/音频仍待QA</t>
        </is>
      </c>
      <c r="U16" s="162">
        <f>IF(F16&gt;0,F16,0)</f>
        <v/>
      </c>
      <c r="V16" s="162">
        <f>IF(F16&gt;0,ROUND(F16*0.5,0),0)</f>
        <v/>
      </c>
      <c r="W16" s="145" t="b">
        <v>0</v>
      </c>
      <c r="X16" s="145" t="inlineStr">
        <is>
          <t>not_listed</t>
        </is>
      </c>
      <c r="Y16" s="162" t="n">
        <v>0</v>
      </c>
    </row>
    <row r="17" ht="54" customHeight="1" s="135">
      <c r="A17" s="177" t="inlineStr">
        <is>
          <t>mod_bullet_standard</t>
        </is>
      </c>
      <c r="B17" s="177" t="inlineStr">
        <is>
          <t>子弹</t>
        </is>
      </c>
      <c r="C17" s="177" t="inlineStr">
        <is>
          <t>标准子弹模块</t>
        </is>
      </c>
      <c r="D17" s="177" t="n">
        <v>0</v>
      </c>
      <c r="E17" s="177" t="inlineStr">
        <is>
          <t>common</t>
        </is>
      </c>
      <c r="F17" s="177" t="n">
        <v>30</v>
      </c>
      <c r="G17" s="177" t="inlineStr">
        <is>
          <t>bullet_damage=8；bullet_speed=1</t>
        </is>
      </c>
      <c r="H17" s="177" t="inlineStr">
        <is>
          <t>提供bullet_damage=8；bullet_speed=1；弹道/命中行为：kinetic、standard</t>
        </is>
      </c>
      <c r="I17" s="177" t="inlineStr">
        <is>
          <t>标签：bullet、kinetic、standard</t>
        </is>
      </c>
      <c r="J17" s="177" t="inlineStr">
        <is>
          <t>combat_floor_1×3；combat_floor_2×2.5；loot_abyss×1.5；loot_floor_1_2×3；loot_floor_3_4×2.5；loot_floor_5×2；scavenge_floor_1×3；scavenge_floor_2×2.5；spawn_starter×3</t>
        </is>
      </c>
      <c r="K17" s="180" t="inlineStr">
        <is>
          <t>[已实装]</t>
        </is>
      </c>
      <c r="L17" s="177" t="inlineStr">
        <is>
          <t>正式注册；具体行为与表现仍需逐项QA</t>
        </is>
      </c>
      <c r="M17" s="177" t="inlineStr">
        <is>
          <t>src/base/BlueprintRegistry.gd；src/base/ItemRegistry.gd</t>
        </is>
      </c>
      <c r="N17" s="177" t="str"/>
      <c r="O17" s="46" t="n"/>
      <c r="P17" s="45" t="inlineStr">
        <is>
          <t>可更换子弹模块；不占命运槽；弹道配置写入目标weapon_instance_id</t>
        </is>
      </c>
      <c r="Q17" s="47" t="inlineStr">
        <is>
          <t>[已实装] 可换装、不占命运槽，并随目标WeaponInstance完整保存/恢复</t>
        </is>
      </c>
      <c r="R17" s="45" t="inlineStr">
        <is>
          <t>显示为基准弹药，并作为其他模块的属性/行为对比基线</t>
        </is>
      </c>
      <c r="S17" s="45" t="inlineStr">
        <is>
          <t>使用清晰中性弹体、尾迹和命中；不附加误导性的元素效果</t>
        </is>
      </c>
      <c r="T17" s="47" t="inlineStr">
        <is>
          <t>[部分完成] 实例尾号、槽位、已装配件与命运刻印已可视；逐条专属VFX/音频仍待QA</t>
        </is>
      </c>
      <c r="U17" s="162">
        <f>IF(F17&gt;0,F17,0)</f>
        <v/>
      </c>
      <c r="V17" s="162">
        <f>IF(F17&gt;0,ROUND(F17*0.5,0),0)</f>
        <v/>
      </c>
      <c r="W17" s="145" t="b">
        <v>0</v>
      </c>
      <c r="X17" s="145" t="inlineStr">
        <is>
          <t>not_listed</t>
        </is>
      </c>
      <c r="Y17" s="162" t="n">
        <v>0</v>
      </c>
    </row>
    <row r="18" ht="54" customHeight="1" s="135">
      <c r="A18" s="177" t="inlineStr">
        <is>
          <t>mod_bullet_sticky</t>
        </is>
      </c>
      <c r="B18" s="177" t="inlineStr">
        <is>
          <t>子弹</t>
        </is>
      </c>
      <c r="C18" s="177" t="inlineStr">
        <is>
          <t>黏黏弹模块</t>
        </is>
      </c>
      <c r="D18" s="177" t="n">
        <v>0</v>
      </c>
      <c r="E18" s="177" t="inlineStr">
        <is>
          <t>uncommon</t>
        </is>
      </c>
      <c r="F18" s="177" t="n">
        <v>50</v>
      </c>
      <c r="G18" s="177" t="inlineStr">
        <is>
          <t>bullet_damage=6；bullet_speed=0.8</t>
        </is>
      </c>
      <c r="H18" s="177" t="inlineStr">
        <is>
          <t>提供bullet_damage=6；bullet_speed=0.8；弹道/命中行为：sticky、dot</t>
        </is>
      </c>
      <c r="I18" s="177" t="inlineStr">
        <is>
          <t>标签：bullet、sticky、dot</t>
        </is>
      </c>
      <c r="J18" s="177" t="inlineStr">
        <is>
          <t>combat_floor_1×2；combat_floor_2×2.5；loot_abyss×1.5；loot_floor_1_2×2；loot_floor_3_4×2.5；loot_floor_5×2；scavenge_floor_1×2；scavenge_floor_2×2.5；spawn_starter×2</t>
        </is>
      </c>
      <c r="K18" s="180" t="inlineStr">
        <is>
          <t>[已实装]</t>
        </is>
      </c>
      <c r="L18" s="177" t="inlineStr">
        <is>
          <t>正式注册；具体行为与表现仍需逐项QA</t>
        </is>
      </c>
      <c r="M18" s="177" t="inlineStr">
        <is>
          <t>src/base/BlueprintRegistry.gd；src/base/ItemRegistry.gd</t>
        </is>
      </c>
      <c r="N18" s="177" t="str"/>
      <c r="O18" s="46" t="n"/>
      <c r="P18" s="45" t="inlineStr">
        <is>
          <t>可更换子弹模块；不占命运槽；弹道配置写入目标weapon_instance_id</t>
        </is>
      </c>
      <c r="Q18" s="47" t="inlineStr">
        <is>
          <t>[已实装] 可换装、不占命运槽，并随目标WeaponInstance完整保存/恢复</t>
        </is>
      </c>
      <c r="R18" s="45" t="inlineStr">
        <is>
          <t>显示黏附对象、持续/引爆条件与每秒效果</t>
        </is>
      </c>
      <c r="S18" s="45" t="inlineStr">
        <is>
          <t>命中后弹体留在表面并显示倒计时/状态，结束时反馈与结算同步</t>
        </is>
      </c>
      <c r="T18" s="47" t="inlineStr">
        <is>
          <t>[部分完成] 实例尾号、槽位、已装配件与命运刻印已可视；逐条专属VFX/音频仍待QA</t>
        </is>
      </c>
      <c r="U18" s="162">
        <f>IF(F18&gt;0,F18,0)</f>
        <v/>
      </c>
      <c r="V18" s="162">
        <f>IF(F18&gt;0,ROUND(F18*0.5,0),0)</f>
        <v/>
      </c>
      <c r="W18" s="145" t="b">
        <v>0</v>
      </c>
      <c r="X18" s="145" t="inlineStr">
        <is>
          <t>not_listed</t>
        </is>
      </c>
      <c r="Y18" s="162" t="n">
        <v>0</v>
      </c>
    </row>
    <row r="19" ht="54" customHeight="1" s="135">
      <c r="A19" s="177" t="inlineStr">
        <is>
          <t>bp_charge</t>
        </is>
      </c>
      <c r="B19" s="177" t="inlineStr">
        <is>
          <t>枪身</t>
        </is>
      </c>
      <c r="C19" s="177" t="inlineStr">
        <is>
          <t>蓄力萝卜炮</t>
        </is>
      </c>
      <c r="D19" s="177" t="n">
        <v>3</v>
      </c>
      <c r="E19" s="177" t="inlineStr">
        <is>
          <t>epic</t>
        </is>
      </c>
      <c r="F19" s="177" t="n">
        <v>350</v>
      </c>
      <c r="G19" s="177" t="inlineStr">
        <is>
          <t>bullet_count=1；charge_time=1.2；damage=30；fire_rate=1.5；magazine_size=4；reload_time=3；spread=0.05</t>
        </is>
      </c>
      <c r="H19" s="177" t="inlineStr">
        <is>
          <t>蓄力时间越长伤害越高，超蓄力后弹体变大并附带穿透。左键装备为当前主武器。</t>
        </is>
      </c>
      <c r="I19" s="177" t="inlineStr">
        <is>
          <t>标签：charge、蓄力、high_damage</t>
        </is>
      </c>
      <c r="J19" s="177" t="inlineStr">
        <is>
          <t>成品：boss_floor_2×4；combat_floor_4×0.5；combat_floor_5×1；elite_floor_2×3；loot_abyss×2；loot_floor_5×0.8；scavenge_floor_4×0.4；scavenge_floor_5×1
蓝图：boss_floor_2×4；combat_floor_4×0.5；combat_floor_5×1；loot_abyss×2；scavenge_floor_5×0.5</t>
        </is>
      </c>
      <c r="K19" s="180" t="inlineStr">
        <is>
          <t>[已实装]</t>
        </is>
      </c>
      <c r="L19" s="177" t="inlineStr">
        <is>
          <t>正式注册；具体行为与表现仍需逐项QA</t>
        </is>
      </c>
      <c r="M19" s="177" t="inlineStr">
        <is>
          <t>src/base/BlueprintRegistry.gd；src/base/ItemRegistry.gd</t>
        </is>
      </c>
      <c r="N19" s="177" t="inlineStr">
        <is>
          <t>装配ID=bp_charge；成品物品ID=weapon_charge；蓝图物品ID=bp_charge</t>
        </is>
      </c>
      <c r="O19" s="46" t="n">
        <v>8</v>
      </c>
      <c r="P19" s="45" t="inlineStr">
        <is>
          <t>成品生成永久weapon_instance_id；命运槽、子弹模块与配件随实例在装备/背包/地面/商店/保险/存档间移动</t>
        </is>
      </c>
      <c r="Q19" s="47" t="inlineStr">
        <is>
          <t>[已实装] 唯一实例ID、8槽基线、完整构筑/弹药/命运记录随枪转移与存档</t>
        </is>
      </c>
      <c r="R19" s="45" t="inlineStr">
        <is>
          <t>HUD和详情显示蓄力阶段、当前倍率、超蓄力风险、弹量和换弹</t>
        </is>
      </c>
      <c r="S19" s="45" t="inlineStr">
        <is>
          <t>枪身能量逐级充盈、音高与震动递增；释放弹体大小和穿透随阶段变化</t>
        </is>
      </c>
      <c r="T19" s="47" t="inlineStr">
        <is>
          <t>[部分完成] 实例尾号、槽位、已装配件与命运刻印已可视；逐条专属VFX/音频仍待QA</t>
        </is>
      </c>
      <c r="U19" s="162">
        <f>IF(F19&gt;0,F19,0)</f>
        <v/>
      </c>
      <c r="V19" s="162">
        <f>IF(F19&gt;0,ROUND(F19*0.5,0),0)</f>
        <v/>
      </c>
      <c r="W19" s="145" t="b">
        <v>0</v>
      </c>
      <c r="X19" s="145" t="inlineStr">
        <is>
          <t>not_listed</t>
        </is>
      </c>
      <c r="Y19" s="162" t="n">
        <v>0</v>
      </c>
    </row>
    <row r="20" ht="54" customHeight="1" s="135">
      <c r="A20" s="177" t="inlineStr">
        <is>
          <t>bp_launcher</t>
        </is>
      </c>
      <c r="B20" s="177" t="inlineStr">
        <is>
          <t>枪身</t>
        </is>
      </c>
      <c r="C20" s="177" t="inlineStr">
        <is>
          <t>反胃榴弹筒</t>
        </is>
      </c>
      <c r="D20" s="177" t="n">
        <v>2</v>
      </c>
      <c r="E20" s="177" t="inlineStr">
        <is>
          <t>rare</t>
        </is>
      </c>
      <c r="F20" s="177" t="n">
        <v>250</v>
      </c>
      <c r="G20" s="177" t="inlineStr">
        <is>
          <t>bullet_count=1；damage=38；fire_rate=0.8；magazine_size=3；reload_time=4；spread=0.1</t>
        </is>
      </c>
      <c r="H20" s="177" t="inlineStr">
        <is>
          <t>发射爆炸弹，抛物线弹道，大范围AOE。左键装备为当前主武器。</t>
        </is>
      </c>
      <c r="I20" s="177" t="inlineStr">
        <is>
          <t>标签：launcher、explosive、slow</t>
        </is>
      </c>
      <c r="J20" s="177" t="inlineStr">
        <is>
          <t>成品：boss_floor_1×2.5；boss_floor_2×4；combat_floor_3×0.8；combat_floor_4×0.5；combat_floor_5×1；elite_floor_2×3；loot_abyss×2.5；loot_floor_3_4×1；loot_floor_5×1.5；scavenge_floor_3×0.5；scavenge_floor_4×1；scavenge_floor_5×2
蓝图：boss_floor_1×3；boss_floor_2×4；combat_floor_3×0.5；combat_floor_4×0.3；loot_abyss×2.5；scavenge_floor_5×1</t>
        </is>
      </c>
      <c r="K20" s="180" t="inlineStr">
        <is>
          <t>[已实装]</t>
        </is>
      </c>
      <c r="L20" s="177" t="inlineStr">
        <is>
          <t>正式注册；具体行为与表现仍需逐项QA</t>
        </is>
      </c>
      <c r="M20" s="177" t="inlineStr">
        <is>
          <t>src/base/BlueprintRegistry.gd；src/base/ItemRegistry.gd</t>
        </is>
      </c>
      <c r="N20" s="177" t="inlineStr">
        <is>
          <t>装配ID=bp_launcher；成品物品ID=weapon_launcher；蓝图物品ID=bp_launcher</t>
        </is>
      </c>
      <c r="O20" s="46" t="n">
        <v>8</v>
      </c>
      <c r="P20" s="45" t="inlineStr">
        <is>
          <t>成品生成永久weapon_instance_id；命运槽、子弹模块与配件随实例在装备/背包/地面/商店/保险/存档间移动</t>
        </is>
      </c>
      <c r="Q20" s="47" t="inlineStr">
        <is>
          <t>[已实装] 唯一实例ID、8槽基线、完整构筑/弹药/命运记录随枪转移与存档</t>
        </is>
      </c>
      <c r="R20" s="45" t="inlineStr">
        <is>
          <t>显示抛物线、爆炸半径、弹量与安全距离；瞄准时给落点预览</t>
        </is>
      </c>
      <c r="S20" s="45" t="inlineStr">
        <is>
          <t>发射器抬升动作、弧线弹道、落点圈和爆炸反馈一致</t>
        </is>
      </c>
      <c r="T20" s="47" t="inlineStr">
        <is>
          <t>[部分完成] 实例尾号、槽位、已装配件与命运刻印已可视；逐条专属VFX/音频仍待QA</t>
        </is>
      </c>
      <c r="U20" s="162">
        <f>IF(F20&gt;0,F20,0)</f>
        <v/>
      </c>
      <c r="V20" s="162">
        <f>IF(F20&gt;0,ROUND(F20*0.5,0),0)</f>
        <v/>
      </c>
      <c r="W20" s="145" t="b">
        <v>0</v>
      </c>
      <c r="X20" s="145" t="inlineStr">
        <is>
          <t>not_listed</t>
        </is>
      </c>
      <c r="Y20" s="162" t="n">
        <v>0</v>
      </c>
    </row>
    <row r="21" ht="54" customHeight="1" s="135">
      <c r="A21" s="177" t="inlineStr">
        <is>
          <t>bp_machinegun</t>
        </is>
      </c>
      <c r="B21" s="177" t="inlineStr">
        <is>
          <t>枪身</t>
        </is>
      </c>
      <c r="C21" s="177" t="inlineStr">
        <is>
          <t>蜂窝机枪</t>
        </is>
      </c>
      <c r="D21" s="177" t="n">
        <v>1</v>
      </c>
      <c r="E21" s="177" t="inlineStr">
        <is>
          <t>uncommon</t>
        </is>
      </c>
      <c r="F21" s="177" t="n">
        <v>180</v>
      </c>
      <c r="G21" s="177" t="inlineStr">
        <is>
          <t>bullet_count=1；damage=15；fire_rate=12；magazine_size=60；reload_time=2.8；spread=0.15</t>
        </is>
      </c>
      <c r="H21" s="177" t="inlineStr">
        <is>
          <t>高射速压制武器，适合清群怪。左键装备为当前主武器。</t>
        </is>
      </c>
      <c r="I21" s="177" t="inlineStr">
        <is>
          <t>标签：auto、high_rate、spray</t>
        </is>
      </c>
      <c r="J21" s="177" t="inlineStr">
        <is>
          <t>成品：combat_floor_1×0.8；combat_floor_2×1.2；combat_floor_3×1.5；elite_floor_1×1.5；elite_floor_2×2.5；loot_abyss×2.5；loot_floor_1_2×1；loot_floor_3_4×1.5；loot_floor_5×2；scavenge_floor_1×0.5；scavenge_floor_2×1；scavenge_floor_3×1.2；scavenge_floor_4×1.5；scavenge_floor_5×2.5
蓝图：combat_floor_1×0.8；combat_floor_2×0.5；loot_abyss×2.5；loot_floor_3_4×1.5；loot_floor_5×2；scavenge_floor_3×1.5；scavenge_floor_4×2；scavenge_floor_5×2.5</t>
        </is>
      </c>
      <c r="K21" s="180" t="inlineStr">
        <is>
          <t>[已实装]</t>
        </is>
      </c>
      <c r="L21" s="177" t="inlineStr">
        <is>
          <t>正式注册；具体行为与表现仍需逐项QA</t>
        </is>
      </c>
      <c r="M21" s="177" t="inlineStr">
        <is>
          <t>src/base/BlueprintRegistry.gd；src/base/ItemRegistry.gd</t>
        </is>
      </c>
      <c r="N21" s="177" t="inlineStr">
        <is>
          <t>装配ID=bp_machinegun；成品物品ID=weapon_machinegun；蓝图物品ID=bp_machinegun</t>
        </is>
      </c>
      <c r="O21" s="46" t="n">
        <v>8</v>
      </c>
      <c r="P21" s="45" t="inlineStr">
        <is>
          <t>成品生成永久weapon_instance_id；命运槽、子弹模块与配件随实例在装备/背包/地面/商店/保险/存档间移动</t>
        </is>
      </c>
      <c r="Q21" s="47" t="inlineStr">
        <is>
          <t>[已实装] 唯一实例ID、8槽基线、完整构筑/弹药/命运记录随枪转移与存档</t>
        </is>
      </c>
      <c r="R21" s="45" t="inlineStr">
        <is>
          <t>显示高射速、弹量、扩散与持续射击节奏；低弹药警告明显</t>
        </is>
      </c>
      <c r="S21" s="45" t="inlineStr">
        <is>
          <t>连续枪口焰、机械循环和后坐累积可读，不能用单发动画冒充连射</t>
        </is>
      </c>
      <c r="T21" s="47" t="inlineStr">
        <is>
          <t>[部分完成] 实例尾号、槽位、已装配件与命运刻印已可视；逐条专属VFX/音频仍待QA</t>
        </is>
      </c>
      <c r="U21" s="162">
        <f>IF(F21&gt;0,F21,0)</f>
        <v/>
      </c>
      <c r="V21" s="162">
        <f>IF(F21&gt;0,ROUND(F21*0.5,0),0)</f>
        <v/>
      </c>
      <c r="W21" s="145" t="b">
        <v>0</v>
      </c>
      <c r="X21" s="145" t="inlineStr">
        <is>
          <t>not_listed</t>
        </is>
      </c>
      <c r="Y21" s="162" t="n">
        <v>0</v>
      </c>
    </row>
    <row r="22" ht="54" customHeight="1" s="135">
      <c r="A22" s="177" t="inlineStr">
        <is>
          <t>bp_pistol</t>
        </is>
      </c>
      <c r="B22" s="177" t="inlineStr">
        <is>
          <t>枪身</t>
        </is>
      </c>
      <c r="C22" s="177" t="inlineStr">
        <is>
          <t>豌豆手枪</t>
        </is>
      </c>
      <c r="D22" s="177" t="n">
        <v>0</v>
      </c>
      <c r="E22" s="177" t="inlineStr">
        <is>
          <t>common</t>
        </is>
      </c>
      <c r="F22" s="177" t="n">
        <v>70</v>
      </c>
      <c r="G22" s="177" t="inlineStr">
        <is>
          <t>bullet_count=1；damage=18；fire_rate=3.5；magazine_size=12；reload_time=1.5；spread=0.03</t>
        </is>
      </c>
      <c r="H22" s="177" t="inlineStr">
        <is>
          <t>可靠的基础半自动武器。左键装备为当前主武器。</t>
        </is>
      </c>
      <c r="I22" s="177" t="inlineStr">
        <is>
          <t>标签：pistol、semi_auto、sidearm</t>
        </is>
      </c>
      <c r="J22" s="177" t="inlineStr">
        <is>
          <t>成品：combat_floor_1×0.5；combat_floor_2×0.8；loot_floor_1_2×0.8；scavenge_floor_1×0.8；scavenge_floor_2×1.4
蓝图：combat_floor_1×1.5；combat_floor_2×1；loot_abyss×1.5；loot_common×1；loot_floor_1_2×3；loot_floor_3_4×2.5；loot_floor_5×2；scavenge_floor_1×2.5；scavenge_floor_2×1.8；spawn_starter×4</t>
        </is>
      </c>
      <c r="K22" s="180" t="inlineStr">
        <is>
          <t>[已实装]</t>
        </is>
      </c>
      <c r="L22" s="177" t="inlineStr">
        <is>
          <t>正式注册；具体行为与表现仍需逐项QA</t>
        </is>
      </c>
      <c r="M22" s="177" t="inlineStr">
        <is>
          <t>src/base/BlueprintRegistry.gd；src/base/ItemRegistry.gd</t>
        </is>
      </c>
      <c r="N22" s="177" t="inlineStr">
        <is>
          <t>装配ID=bp_pistol；成品物品ID=weapon_pistol；蓝图物品ID=bp_pistol</t>
        </is>
      </c>
      <c r="O22" s="46" t="n">
        <v>8</v>
      </c>
      <c r="P22" s="45" t="inlineStr">
        <is>
          <t>生成永久weapon_instance_id；六个公共配件位置固定，枪型仅开放兼容子集；单拆配件，整枪移动时完整装配树随实例转移</t>
        </is>
      </c>
      <c r="Q22" s="47" t="inlineStr">
        <is>
          <t>[已实装并验收] WeaponInstance schema v2、主副武器独立配件、兼容禁用、替换回滚与旧快照迁移</t>
        </is>
      </c>
      <c r="R22" s="45" t="inlineStr">
        <is>
          <t>显示半自动节奏、伤害、弹量与精准度，作为轻型基准枪比较</t>
        </is>
      </c>
      <c r="S22" s="45" t="inlineStr">
        <is>
          <t>每次点击有清晰单发后坐、枪口焰与复位，轮廓轻巧</t>
        </is>
      </c>
      <c r="T22" s="47" t="inlineStr">
        <is>
          <t>[部分完成] 实例尾号、槽位、已装配件与命运刻印已可视；逐条专属VFX/音频仍待QA</t>
        </is>
      </c>
      <c r="U22" s="163">
        <f>IF(F22&gt;0,F22,0)</f>
        <v/>
      </c>
      <c r="V22" s="163">
        <f>IF(F22&gt;0,ROUND(F22*0.5,0),0)</f>
        <v/>
      </c>
      <c r="W22" s="151" t="b">
        <v>1</v>
      </c>
      <c r="X22" s="151" t="inlineStr">
        <is>
          <t>unlimited</t>
        </is>
      </c>
      <c r="Y22" s="163" t="n">
        <v>2</v>
      </c>
    </row>
    <row r="23" ht="54" customHeight="1" s="135">
      <c r="A23" s="177" t="inlineStr">
        <is>
          <t>bp_rifle</t>
        </is>
      </c>
      <c r="B23" s="177" t="inlineStr">
        <is>
          <t>枪身</t>
        </is>
      </c>
      <c r="C23" s="177" t="inlineStr">
        <is>
          <t>步枪</t>
        </is>
      </c>
      <c r="D23" s="177" t="n">
        <v>1</v>
      </c>
      <c r="E23" s="177" t="inlineStr">
        <is>
          <t>rare</t>
        </is>
      </c>
      <c r="F23" s="177" t="n">
        <v>150</v>
      </c>
      <c r="G23" s="177" t="inlineStr">
        <is>
          <t>bullet_count=1；damage=22；fire_rate=6；magazine_size=30；reload_time=2.2；spread=0.07</t>
        </is>
      </c>
      <c r="H23" s="177" t="inlineStr">
        <is>
          <t>稳定连发的中距离武器。左键装备为当前主武器。</t>
        </is>
      </c>
      <c r="I23" s="177" t="inlineStr">
        <is>
          <t>标签：rifle、automatic、assault</t>
        </is>
      </c>
      <c r="J23" s="177" t="inlineStr">
        <is>
          <t>成品：boss_floor_1×2；boss_floor_2×3；combat_floor_1×0.5；combat_floor_2×1；combat_floor_3×1.5；elite_floor_1×1.5；elite_floor_2×2；loot_abyss×2.5；loot_floor_1_2×0.3；loot_floor_3_4×1.5；loot_floor_5×2；scavenge_floor_3×1；scavenge_floor_4×1.5；scavenge_floor_5×2
蓝图：boss_floor_1×3；combat_floor_1×1.5；combat_floor_2×1；combat_floor_3×0.8；loot_abyss×3；loot_common×1；loot_floor_3_4×2；loot_floor_5×2.5；scavenge_floor_3×1.5；scavenge_floor_4×2；spawn_starter×2</t>
        </is>
      </c>
      <c r="K23" s="180" t="inlineStr">
        <is>
          <t>[已实装]</t>
        </is>
      </c>
      <c r="L23" s="177" t="inlineStr">
        <is>
          <t>正式注册；具体行为与表现仍需逐项QA</t>
        </is>
      </c>
      <c r="M23" s="177" t="inlineStr">
        <is>
          <t>src/base/BlueprintRegistry.gd；src/base/ItemRegistry.gd</t>
        </is>
      </c>
      <c r="N23" s="177" t="inlineStr">
        <is>
          <t>装配ID=bp_rifle；成品物品ID=weapon_rifle；蓝图物品ID=bp_rifle</t>
        </is>
      </c>
      <c r="O23" s="46" t="n">
        <v>8</v>
      </c>
      <c r="P23" s="45" t="inlineStr">
        <is>
          <t>生成永久weapon_instance_id；六个公共配件位置固定，枪型仅开放兼容子集；单拆配件，整枪移动时完整装配树随实例转移</t>
        </is>
      </c>
      <c r="Q23" s="47" t="inlineStr">
        <is>
          <t>[已实装并验收] WeaponInstance schema v2、主副武器独立配件、兼容禁用、替换回滚与旧快照迁移</t>
        </is>
      </c>
      <c r="R23" s="45" t="inlineStr">
        <is>
          <t>显示中距离连发、伤害、射速、弹量和扩散的平衡定位</t>
        </is>
      </c>
      <c r="S23" s="45" t="inlineStr">
        <is>
          <t>连发节奏、枪身动作和中等后坐一致，弹道辨识稳定</t>
        </is>
      </c>
      <c r="T23" s="47" t="inlineStr">
        <is>
          <t>[部分完成] 实例尾号、槽位、已装配件与命运刻印已可视；逐条专属VFX/音频仍待QA</t>
        </is>
      </c>
      <c r="U23" s="163">
        <f>IF(F23&gt;0,F23,0)</f>
        <v/>
      </c>
      <c r="V23" s="163">
        <f>IF(F23&gt;0,ROUND(F23*0.5,0),0)</f>
        <v/>
      </c>
      <c r="W23" s="151" t="b">
        <v>1</v>
      </c>
      <c r="X23" s="151" t="inlineStr">
        <is>
          <t>unlimited</t>
        </is>
      </c>
      <c r="Y23" s="163" t="n">
        <v>4</v>
      </c>
    </row>
    <row r="24" ht="54" customHeight="1" s="135">
      <c r="A24" s="177" t="inlineStr">
        <is>
          <t>bp_shotgun</t>
        </is>
      </c>
      <c r="B24" s="177" t="inlineStr">
        <is>
          <t>枪身</t>
        </is>
      </c>
      <c r="C24" s="177" t="inlineStr">
        <is>
          <t>散射喷壶</t>
        </is>
      </c>
      <c r="D24" s="177" t="n">
        <v>0</v>
      </c>
      <c r="E24" s="177" t="inlineStr">
        <is>
          <t>uncommon</t>
        </is>
      </c>
      <c r="F24" s="177" t="n">
        <v>110</v>
      </c>
      <c r="G24" s="177" t="inlineStr">
        <is>
          <t>bullet_count=5；damage=12；fire_rate=1.2；magazine_size=6；reload_time=3；spread=0.35</t>
        </is>
      </c>
      <c r="H24" s="177" t="inlineStr">
        <is>
          <t>近距离多弹丸散射武器。左键装备为当前主武器。</t>
        </is>
      </c>
      <c r="I24" s="177" t="inlineStr">
        <is>
          <t>标签：shotgun、close_range、burst</t>
        </is>
      </c>
      <c r="J24" s="177" t="inlineStr">
        <is>
          <t>成品：combat_floor_1×0.8；combat_floor_2×1.2；loot_floor_1_2×1；scavenge_floor_1×1.4；scavenge_floor_2×2；spawn_starter×3
蓝图：combat_floor_1×1；combat_floor_2×0.5；loot_abyss×1；loot_common×1；loot_floor_1_2×2.5；loot_floor_3_4×2；loot_floor_5×1.5；scavenge_floor_1×2；scavenge_floor_2×1.5；spawn_starter×3.5</t>
        </is>
      </c>
      <c r="K24" s="180" t="inlineStr">
        <is>
          <t>[已实装]</t>
        </is>
      </c>
      <c r="L24" s="177" t="inlineStr">
        <is>
          <t>正式注册；具体行为与表现仍需逐项QA</t>
        </is>
      </c>
      <c r="M24" s="177" t="inlineStr">
        <is>
          <t>src/base/BlueprintRegistry.gd；src/base/ItemRegistry.gd</t>
        </is>
      </c>
      <c r="N24" s="177" t="inlineStr">
        <is>
          <t>装配ID=bp_shotgun；成品物品ID=weapon_shotgun；蓝图物品ID=bp_shotgun</t>
        </is>
      </c>
      <c r="O24" s="46" t="n">
        <v>8</v>
      </c>
      <c r="P24" s="45" t="inlineStr">
        <is>
          <t>生成永久weapon_instance_id；六个公共配件位置固定，枪型仅开放兼容子集；单拆配件，整枪移动时完整装配树随实例转移</t>
        </is>
      </c>
      <c r="Q24" s="47" t="inlineStr">
        <is>
          <t>[已实装并验收] WeaponInstance schema v2、主副武器独立配件、兼容禁用、替换回滚与旧快照迁移</t>
        </is>
      </c>
      <c r="R24" s="45" t="inlineStr">
        <is>
          <t>显示每发弹丸数、散布锥、近距收益、弹量与换弹</t>
        </is>
      </c>
      <c r="S24" s="45" t="inlineStr">
        <is>
          <t>多弹丸扇形、强后坐和近距命中层次同步；命中数量可读</t>
        </is>
      </c>
      <c r="T24" s="47" t="inlineStr">
        <is>
          <t>[部分完成] 实例尾号、槽位、已装配件与命运刻印已可视；逐条专属VFX/音频仍待QA</t>
        </is>
      </c>
      <c r="U24" s="163">
        <f>IF(F24&gt;0,F24,0)</f>
        <v/>
      </c>
      <c r="V24" s="163">
        <f>IF(F24&gt;0,ROUND(F24*0.5,0),0)</f>
        <v/>
      </c>
      <c r="W24" s="151" t="b">
        <v>1</v>
      </c>
      <c r="X24" s="151" t="inlineStr">
        <is>
          <t>unlimited</t>
        </is>
      </c>
      <c r="Y24" s="163" t="n">
        <v>3</v>
      </c>
    </row>
    <row r="25" ht="54" customHeight="1" s="135">
      <c r="A25" s="177" t="inlineStr">
        <is>
          <t>bp_sniper</t>
        </is>
      </c>
      <c r="B25" s="177" t="inlineStr">
        <is>
          <t>枪身</t>
        </is>
      </c>
      <c r="C25" s="177" t="inlineStr">
        <is>
          <t>弹弓狙击</t>
        </is>
      </c>
      <c r="D25" s="177" t="n">
        <v>2</v>
      </c>
      <c r="E25" s="177" t="inlineStr">
        <is>
          <t>rare</t>
        </is>
      </c>
      <c r="F25" s="177" t="n">
        <v>220</v>
      </c>
      <c r="G25" s="177" t="inlineStr">
        <is>
          <t>bullet_count=1；damage=55；fire_rate=1；magazine_size=5；reload_time=3.5；spread=0.01</t>
        </is>
      </c>
      <c r="H25" s="177" t="inlineStr">
        <is>
          <t>低射速高伤害，穿透力强，适合精准打击。左键装备为当前主武器。</t>
        </is>
      </c>
      <c r="I25" s="177" t="inlineStr">
        <is>
          <t>标签：sniper、precision、high_damage</t>
        </is>
      </c>
      <c r="J25" s="177" t="inlineStr">
        <is>
          <t>成品：boss_floor_1×2；boss_floor_2×4；combat_floor_2×0.3；combat_floor_3×0.8；elite_floor_1×1.5；elite_floor_2×2；loot_abyss×2.5；loot_floor_3_4×0.5；loot_floor_5×1.5；scavenge_floor_3×0.5；scavenge_floor_4×1；scavenge_floor_5×2
蓝图：boss_floor_1×4；boss_floor_2×5；combat_floor_3×1.5；combat_floor_4×2；combat_floor_5×2.5；loot_abyss×3；loot_common×0.5；loot_floor_5×2；scavenge_floor_5×1.5；spawn_starter×1</t>
        </is>
      </c>
      <c r="K25" s="180" t="inlineStr">
        <is>
          <t>[已实装]</t>
        </is>
      </c>
      <c r="L25" s="177" t="inlineStr">
        <is>
          <t>正式注册；具体行为与表现仍需逐项QA</t>
        </is>
      </c>
      <c r="M25" s="177" t="inlineStr">
        <is>
          <t>src/base/BlueprintRegistry.gd；src/base/ItemRegistry.gd</t>
        </is>
      </c>
      <c r="N25" s="177" t="inlineStr">
        <is>
          <t>装配ID=bp_sniper；成品物品ID=weapon_sniper；蓝图物品ID=bp_sniper</t>
        </is>
      </c>
      <c r="O25" s="46" t="n">
        <v>8</v>
      </c>
      <c r="P25" s="45" t="inlineStr">
        <is>
          <t>成品生成永久weapon_instance_id；命运槽、子弹模块与配件随实例在装备/背包/地面/商店/保险/存档间移动</t>
        </is>
      </c>
      <c r="Q25" s="47" t="inlineStr">
        <is>
          <t>[已实装] 唯一实例ID、8槽基线、完整构筑/弹药/命运记录随枪转移与存档</t>
        </is>
      </c>
      <c r="R25" s="45" t="inlineStr">
        <is>
          <t>显示高伤害、低射速、精准/穿透与瞄准状态；提供远距比较</t>
        </is>
      </c>
      <c r="S25" s="45" t="inlineStr">
        <is>
          <t>长枪轮廓、瞄准准星、强单发反馈和贯穿线一致，射击时点明确</t>
        </is>
      </c>
      <c r="T25" s="47" t="inlineStr">
        <is>
          <t>[部分完成] 实例尾号、槽位、已装配件与命运刻印已可视；逐条专属VFX/音频仍待QA</t>
        </is>
      </c>
      <c r="U25" s="162">
        <f>IF(F25&gt;0,F25,0)</f>
        <v/>
      </c>
      <c r="V25" s="162">
        <f>IF(F25&gt;0,ROUND(F25*0.5,0),0)</f>
        <v/>
      </c>
      <c r="W25" s="145" t="b">
        <v>0</v>
      </c>
      <c r="X25" s="145" t="inlineStr">
        <is>
          <t>not_listed</t>
        </is>
      </c>
      <c r="Y25" s="162" t="n">
        <v>0</v>
      </c>
    </row>
    <row r="26">
      <c r="A26" t="inlineStr">
        <is>
          <t>bp_greatblade</t>
        </is>
      </c>
      <c r="B26" t="inlineStr">
        <is>
          <t>近战武器</t>
        </is>
      </c>
      <c r="C26" t="inlineStr">
        <is>
          <t>巨型工业断刃</t>
        </is>
      </c>
      <c r="D26" t="n">
        <v>0</v>
      </c>
      <c r="E26" t="inlineStr">
        <is>
          <t>uncommon</t>
        </is>
      </c>
      <c r="F26" t="n">
        <v>165</v>
      </c>
      <c r="G26" t="inlineStr">
        <is>
          <t>damage=34；reach=2.65m；arc=115°；knockback=5.4；combo=3</t>
        </is>
      </c>
      <c r="H26" t="inlineStr">
        <is>
          <t>左横斩→右回斩→过顶重劈；每段前摇/命中/后摇；无弹药与换弹</t>
        </is>
      </c>
      <c r="I26" t="inlineStr">
        <is>
          <t>标签：melee、heavy_melee、greatblade、wide_arc；第三段1.48×伤害/1.55×击退</t>
        </is>
      </c>
      <c r="J26" t="inlineStr">
        <is>
          <t>成品：spawn_starter×1.2；loot_floor_1_2×0.75；loot_floor_3_4×1.2；scavenge_floor_1×0.65；scavenge_floor_2×1.1；combat_floor_1×0.5；combat_floor_2×0.9</t>
        </is>
      </c>
      <c r="K26" t="inlineStr">
        <is>
          <t>[已实装]</t>
        </is>
      </c>
      <c r="L26" t="inlineStr">
        <is>
          <t>正式注册；近战专项验收通过</t>
        </is>
      </c>
      <c r="M26" t="inlineStr">
        <is>
          <t>src/base/BlueprintRegistry.gd；src/base/ItemRegistry.gd；src/player3d/melee/PlayerMeleeCombat3D.gd</t>
        </is>
      </c>
      <c r="N26" t="inlineStr">
        <is>
          <t>装配ID=bp_greatblade；成品物品ID=weapon_greatblade；程序原型总长2.42m</t>
        </is>
      </c>
      <c r="O26" t="n">
        <v>8</v>
      </c>
      <c r="P26" t="inlineStr">
        <is>
          <t>生成永久weapon_instance_id；无子弹槽；命运/主副槽/背负/地面/背包/保险/存档随实例移动</t>
        </is>
      </c>
      <c r="Q26" t="inlineStr">
        <is>
          <t>[已实装并验收] 四态动作机、三段缓存、扇区/墙体/去重、伤害/击退/中断与反馈闭环</t>
        </is>
      </c>
      <c r="R26" t="inlineStr">
        <is>
          <t>HUD显示近战·三段；动作快照显示阶段、进度、攻击ID；挥空有弧光/切风声，命中有爆点/冲击声</t>
        </is>
      </c>
      <c r="S26" t="inlineStr">
        <is>
          <t>双手重型持握；青色能量断刃；三段弧光方向可辨，第三段尺寸与冲击最强</t>
        </is>
      </c>
      <c r="T26" t="inlineStr">
        <is>
          <t>[核心已验收] 程序模型/三段动作/参数化VFX/专属音频完成；最终模型与低特效模式待替换/复验</t>
        </is>
      </c>
      <c r="W26" t="n">
        <v>0</v>
      </c>
      <c r="X26" t="inlineStr">
        <is>
          <t>not_listed</t>
        </is>
      </c>
      <c r="Y26" t="n">
        <v>0</v>
      </c>
    </row>
    <row r="27">
      <c r="A27" t="inlineStr">
        <is>
          <t>bp_waraxe</t>
        </is>
      </c>
      <c r="B27" t="inlineStr">
        <is>
          <t>近战武器</t>
        </is>
      </c>
      <c r="C27" t="inlineStr">
        <is>
          <t>攻城裂甲斧</t>
        </is>
      </c>
      <c r="D27" t="n">
        <v>1</v>
      </c>
      <c r="E27" t="inlineStr">
        <is>
          <t>rare</t>
        </is>
      </c>
      <c r="F27" t="n">
        <v>240</v>
      </c>
      <c r="G27" t="inlineStr">
        <is>
          <t>damage=46；reach=2.85m；arc=100°；knockback=7.2；combo=3</t>
        </is>
      </c>
      <c r="H27" t="inlineStr">
        <is>
          <t>上挑斩→交叉斩→砸地裂斩；高伤高击退；无弹药与换弹</t>
        </is>
      </c>
      <c r="I27" t="inlineStr">
        <is>
          <t>标签：melee、heavy_melee、waraxe、high_knockback；第三段1.62×伤害/1.70×击退</t>
        </is>
      </c>
      <c r="J27" t="inlineStr">
        <is>
          <t>成品：loot_floor_1_2×0.18；loot_floor_3_4×0.95；loot_floor_5×1.45；loot_abyss×1.8；scavenge_floor_3×0.8；combat_floor_3×0.72；elite_floor_1×1.2；elite_floor_2×1.8</t>
        </is>
      </c>
      <c r="K27" t="inlineStr">
        <is>
          <t>[已实装]</t>
        </is>
      </c>
      <c r="L27" t="inlineStr">
        <is>
          <t>正式注册；近战专项验收通过</t>
        </is>
      </c>
      <c r="M27" t="inlineStr">
        <is>
          <t>src/base/BlueprintRegistry.gd；src/base/ItemRegistry.gd；src/player3d/melee/PlayerMeleeCombat3D.gd</t>
        </is>
      </c>
      <c r="N27" t="inlineStr">
        <is>
          <t>装配ID=bp_waraxe；成品物品ID=weapon_waraxe；程序原型总长2.62m</t>
        </is>
      </c>
      <c r="O27" t="n">
        <v>8</v>
      </c>
      <c r="P27" t="inlineStr">
        <is>
          <t>生成永久weapon_instance_id；无子弹槽；命运/主副槽/背负/地面/背包/保险/存档随实例移动</t>
        </is>
      </c>
      <c r="Q27" t="inlineStr">
        <is>
          <t>[已实装并验收] 四态动作机、三段缓存、扇区/墙体/去重、伤害/击退/中断与反馈闭环</t>
        </is>
      </c>
      <c r="R27" t="inlineStr">
        <is>
          <t>HUD显示近战·三段；动作快照显示阶段、进度、攻击ID；挥空有弧光/切风声，命中有爆点/冲击声</t>
        </is>
      </c>
      <c r="S27" t="inlineStr">
        <is>
          <t>双手长柄持握；橙色冲击核心；第三段最大过顶弧光，音高更低、冲击更重</t>
        </is>
      </c>
      <c r="T27" t="inlineStr">
        <is>
          <t>[核心已验收] 程序模型/三段动作/参数化VFX/专属音频完成；最终模型与低特效模式待替换/复验</t>
        </is>
      </c>
      <c r="W27" t="n">
        <v>0</v>
      </c>
      <c r="X27" t="inlineStr">
        <is>
          <t>not_listed</t>
        </is>
      </c>
      <c r="Y27" t="n">
        <v>0</v>
      </c>
    </row>
    <row r="28">
      <c r="A28" t="inlineStr">
        <is>
          <t>bp_baseball_bat</t>
        </is>
      </c>
      <c r="B28" t="inlineStr">
        <is>
          <t>近战武器</t>
        </is>
      </c>
      <c r="C28" t="inlineStr">
        <is>
          <t>废土棒球棍</t>
        </is>
      </c>
      <c r="D28" t="n">
        <v>0</v>
      </c>
      <c r="E28" t="inlineStr">
        <is>
          <t>common</t>
        </is>
      </c>
      <c r="F28" t="n">
        <v>45</v>
      </c>
      <c r="G28" t="inlineStr">
        <is>
          <t>damage=20；reach=2.05m；arc=105°；knockback=3.2；combo=3</t>
        </is>
      </c>
      <c r="H28" t="inlineStr">
        <is>
          <t>左横扫→右回扫→蓄力重挥；初级快速近战；无弹药与换弹</t>
        </is>
      </c>
      <c r="I28" t="inlineStr">
        <is>
          <t>标签：melee、light_melee、baseball_bat、starter_melee；第三段1.28×伤害/1.35×击退</t>
        </is>
      </c>
      <c r="J28" t="inlineStr">
        <is>
          <t>成品：spawn_starter×2.2；loot_floor_1_2×1.6；scavenge_floor_1×1.8；scavenge_floor_2×1.2；combat_floor_1×1.0；基地贩卖机无限库存</t>
        </is>
      </c>
      <c r="K28" t="inlineStr">
        <is>
          <t>[已实装]</t>
        </is>
      </c>
      <c r="L28" t="inlineStr">
        <is>
          <t>正式注册；基地贩卖、近战专项与配件系统专项验收通过</t>
        </is>
      </c>
      <c r="M28" t="inlineStr">
        <is>
          <t>src/base/BlueprintRegistry.gd；src/base/ItemRegistry.gd；src/player3d/melee/PlayerMeleeCombat3D.gd；tests/verification/verify_weapon_attachment_inventory_flow.gd</t>
        </is>
      </c>
      <c r="N28" t="inlineStr">
        <is>
          <t>装配ID=bp_baseball_bat；成品物品ID=weapon_baseball_bat；程序原型总长1.48m</t>
        </is>
      </c>
      <c r="O28" t="n">
        <v>8</v>
      </c>
      <c r="P28" t="inlineStr">
        <is>
          <t>生成永久weapon_instance_id；无子弹/普通枪械配件槽；命运/主副槽/背负/地面/背包/保险/存档随实例移动</t>
        </is>
      </c>
      <c r="Q28" t="inlineStr">
        <is>
          <t>[已实装并验收] 复用ready/windup/active/recovery四态、三段缓存、扇区/遮挡/去重、伤害/击退/中断与反馈闭环</t>
        </is>
      </c>
      <c r="R28" t="inlineStr">
        <is>
          <t>HUD显示近战·三段；第三段反馈增强；基地货架明确初级定位</t>
        </is>
      </c>
      <c r="S28" t="inlineStr">
        <is>
          <t>双手挥击；木质粗大轮廓、金属加固环；沿local -Z延伸，背负/手持轮廓清晰</t>
        </is>
      </c>
      <c r="T28" t="inlineStr">
        <is>
          <t>[核心已验收] 程序模型/三段动作/VFX/音频完成；最终模型待替换</t>
        </is>
      </c>
      <c r="U28" t="n">
        <v>45</v>
      </c>
      <c r="V28" t="n">
        <v>23</v>
      </c>
      <c r="W28" t="n">
        <v>1</v>
      </c>
      <c r="X28" t="inlineStr">
        <is>
          <t>unlimited</t>
        </is>
      </c>
      <c r="Y28" t="n">
        <v>1</v>
      </c>
    </row>
  </sheetData>
  <mergeCells count="3">
    <mergeCell ref="A1:T1"/>
    <mergeCell ref="A3:T3"/>
    <mergeCell ref="A2:T2"/>
  </mergeCells>
  <dataValidations count="2">
    <dataValidation sqref="K5:K25" showDropDown="0" showInputMessage="0" showErrorMessage="0" allowBlank="0" type="list">
      <formula1>"[已实装],[用户设计],[Codex补充]"</formula1>
    </dataValidation>
    <dataValidation sqref="O19:O25" showDropDown="0" showInputMessage="0" showErrorMessage="0" allowBlank="0" type="whole" operator="between">
      <formula1>0</formula1>
      <formula2>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82"/>
  <sheetViews>
    <sheetView showGridLines="0" workbookViewId="0">
      <selection activeCell="A1" sqref="A1"/>
    </sheetView>
  </sheetViews>
  <sheetFormatPr baseColWidth="8" defaultRowHeight="15"/>
  <cols>
    <col width="22" customWidth="1" style="135" min="1" max="1"/>
    <col width="15" customWidth="1" style="135" min="2" max="2"/>
    <col width="9" customWidth="1" style="135" min="3" max="3"/>
    <col width="9" customWidth="1" style="135" min="4" max="4"/>
    <col width="20" customWidth="1" style="135" min="5" max="5"/>
    <col width="34" customWidth="1" style="135" min="6" max="6"/>
    <col width="28" customWidth="1" style="135" min="7" max="7"/>
    <col width="16" customWidth="1" style="135" min="8" max="8"/>
    <col width="18" customWidth="1" style="135" min="9" max="9"/>
    <col width="34" customWidth="1" style="135" min="10" max="10"/>
    <col width="24" customWidth="1" style="135" min="11" max="11"/>
    <col width="15" customWidth="1" style="135" min="12" max="12"/>
    <col width="26" customWidth="1" style="135" min="13" max="13"/>
    <col width="34" customWidth="1" style="135" min="14" max="14"/>
    <col width="30" customWidth="1" style="135" min="15" max="15"/>
    <col width="13" customWidth="1" style="135" min="16" max="16"/>
    <col width="28" customWidth="1" style="135" min="17" max="17"/>
    <col width="28" customWidth="1" style="135" min="18" max="18"/>
    <col width="34" customWidth="1" style="135" min="19" max="19"/>
    <col width="38" customWidth="1" style="135" min="20" max="20"/>
    <col width="28" customWidth="1" style="135" min="21" max="21"/>
    <col width="16" customWidth="1" style="135" min="22" max="22"/>
    <col width="11" customWidth="1" style="135" min="23" max="23"/>
    <col width="12" customWidth="1" style="135" min="24" max="24"/>
    <col width="13" customWidth="1" style="135" min="25" max="25"/>
    <col width="11" customWidth="1" style="135" min="26" max="26"/>
    <col width="11" customWidth="1" style="135" min="27" max="27"/>
    <col width="34" customWidth="1" style="135" min="28" max="28"/>
    <col width="36" customWidth="1" style="135" min="29" max="29"/>
    <col width="34" customWidth="1" style="135" min="30" max="30"/>
    <col width="36" customWidth="1" style="135" min="31" max="31"/>
    <col width="42" customWidth="1" style="135" min="32" max="32"/>
    <col width="30" customWidth="1" style="135" min="33" max="33"/>
  </cols>
  <sheetData>
    <row r="1" ht="28" customHeight="1" s="135">
      <c r="A1" s="59" t="inlineStr">
        <is>
          <t>ShellStorm2 游戏内容数据库｜命运塔罗</t>
        </is>
      </c>
    </row>
    <row r="2" ht="34" customHeight="1" s="135">
      <c r="A2" s="62" t="inlineStr">
        <is>
          <t>78张完整牌组：48张现有卡已接入塔罗名称、正/逆位效果快照、50%/50%方位与代码翻牌；新增30张须完成独立玩法执行器后再进入正式池。</t>
        </is>
      </c>
    </row>
    <row r="3" ht="34" customHeight="1" s="135">
      <c r="A3" s="62" t="inlineStr">
        <is>
          <t>每张卡先抽身份，再以50%/50%独立抽正位或逆位；同名、同稳定ID、同收藏条目。逆位只倒置图案/框体，名称、说明、数值和目标文字始终正向。</t>
        </is>
      </c>
    </row>
    <row r="4" ht="42" customHeight="1" s="135">
      <c r="A4" s="68" t="inlineStr">
        <is>
          <t>稳定卡ID</t>
        </is>
      </c>
      <c r="B4" s="68" t="inlineStr">
        <is>
          <t>塔罗名称</t>
        </is>
      </c>
      <c r="C4" s="68" t="inlineStr">
        <is>
          <t>类型</t>
        </is>
      </c>
      <c r="D4" s="68" t="inlineStr">
        <is>
          <t>品质</t>
        </is>
      </c>
      <c r="E4" s="68" t="inlineStr">
        <is>
          <t>正位短说明</t>
        </is>
      </c>
      <c r="F4" s="68" t="inlineStr">
        <is>
          <t>正位完整功能</t>
        </is>
      </c>
      <c r="G4" s="68" t="inlineStr">
        <is>
          <t>背景介绍</t>
        </is>
      </c>
      <c r="H4" s="68" t="inlineStr">
        <is>
          <t>背景来源</t>
        </is>
      </c>
      <c r="I4" s="68" t="inlineStr">
        <is>
          <t>目标规则</t>
        </is>
      </c>
      <c r="J4" s="68" t="inlineStr">
        <is>
          <t>当前/正位效果参数</t>
        </is>
      </c>
      <c r="K4" s="68" t="inlineStr">
        <is>
          <t>获得方式</t>
        </is>
      </c>
      <c r="L4" s="68" t="inlineStr">
        <is>
          <t>状态来源</t>
        </is>
      </c>
      <c r="M4" s="68" t="inlineStr">
        <is>
          <t>实现状态</t>
        </is>
      </c>
      <c r="N4" s="68" t="inlineStr">
        <is>
          <t>事实源</t>
        </is>
      </c>
      <c r="O4" s="68" t="inlineStr">
        <is>
          <t>备注</t>
        </is>
      </c>
      <c r="P4" s="68" t="inlineStr">
        <is>
          <t>作用域</t>
        </is>
      </c>
      <c r="Q4" s="68" t="inlineStr">
        <is>
          <t>槽位/所有者规则</t>
        </is>
      </c>
      <c r="R4" s="68" t="inlineStr">
        <is>
          <t>塔罗实现状态</t>
        </is>
      </c>
      <c r="S4" s="68" t="inlineStr">
        <is>
          <t>选择/槽位UI提示</t>
        </is>
      </c>
      <c r="T4" s="68" t="inlineStr">
        <is>
          <t>触发/战斗/世界表现</t>
        </is>
      </c>
      <c r="U4" s="68" t="inlineStr">
        <is>
          <t>表现实现状态</t>
        </is>
      </c>
      <c r="V4" s="68" t="inlineStr">
        <is>
          <t>旧名/迁移别名</t>
        </is>
      </c>
      <c r="W4" s="68" t="inlineStr">
        <is>
          <t>塔罗编号</t>
        </is>
      </c>
      <c r="X4" s="68" t="inlineStr">
        <is>
          <t>阿尔卡那</t>
        </is>
      </c>
      <c r="Y4" s="68" t="inlineStr">
        <is>
          <t>花色</t>
        </is>
      </c>
      <c r="Z4" s="68" t="inlineStr">
        <is>
          <t>正位概率</t>
        </is>
      </c>
      <c r="AA4" s="68" t="inlineStr">
        <is>
          <t>逆位概率</t>
        </is>
      </c>
      <c r="AB4" s="68" t="inlineStr">
        <is>
          <t>正位功能说明</t>
        </is>
      </c>
      <c r="AC4" s="68" t="inlineStr">
        <is>
          <t>正位效果参数</t>
        </is>
      </c>
      <c r="AD4" s="68" t="inlineStr">
        <is>
          <t>逆位功能说明</t>
        </is>
      </c>
      <c r="AE4" s="68" t="inlineStr">
        <is>
          <t>逆位效果参数</t>
        </is>
      </c>
      <c r="AF4" s="68" t="inlineStr">
        <is>
          <t>翻转/UI表现</t>
        </is>
      </c>
      <c r="AG4" s="68" t="inlineStr">
        <is>
          <t>塔罗设计状态</t>
        </is>
      </c>
    </row>
    <row r="5" ht="52" customHeight="1" s="135">
      <c r="A5" s="105" t="inlineStr">
        <is>
          <t>fate_mark_enemy</t>
        </is>
      </c>
      <c r="B5" s="108" t="inlineStr">
        <is>
          <t>愚者</t>
        </is>
      </c>
      <c r="C5" s="88" t="inlineStr">
        <is>
          <t>规则</t>
        </is>
      </c>
      <c r="D5" s="88" t="inlineStr">
        <is>
          <t>传说</t>
        </is>
      </c>
      <c r="E5" s="88" t="inlineStr">
        <is>
          <t>击杀第10个敌人获得随机命卡</t>
        </is>
      </c>
      <c r="F5" s="88" t="inlineStr">
        <is>
          <t>每击杀 10 个敌人，有 50% 概率获得一张随机命运卡片</t>
        </is>
      </c>
      <c r="G5" s="88" t="inlineStr">
        <is>
          <t>第十个倒下者会留下短暂印记，偶尔把一张新的规则卡交给胜者。</t>
        </is>
      </c>
      <c r="H5" s="88" t="inlineStr">
        <is>
          <t>[Codex补充]</t>
        </is>
      </c>
      <c r="I5" s="88" t="n"/>
      <c r="J5" s="88" t="inlineStr">
        <is>
          <t>action=GRANT_RANDOM_CARD；grant_probability=0.5；kill_threshold=10</t>
        </is>
      </c>
      <c r="K5" s="88" t="inlineStr">
        <is>
          <t>玩家卡池；也可由地图阈值事件触发</t>
        </is>
      </c>
      <c r="L5" s="88" t="inlineStr">
        <is>
          <t>[已实装]</t>
        </is>
      </c>
      <c r="M5" s="88" t="inlineStr">
        <is>
          <t>[部分实装] 塔罗名称、正/逆位效果快照与通用执行已接入；复杂逆位专属行为继续逐卡QA</t>
        </is>
      </c>
      <c r="N5" s="88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5" s="88" t="inlineStr">
        <is>
          <t>迁移前名称：命运标记；稳定ID不变，旧存档迁移为正位，不重投方位</t>
        </is>
      </c>
      <c r="P5" s="111" t="inlineStr">
        <is>
          <t>CHARACTER</t>
        </is>
      </c>
      <c r="Q5" s="88" t="inlineStr">
        <is>
          <t>不占武器槽；写入角色局内规则状态</t>
        </is>
      </c>
      <c r="R5" s="88" t="inlineStr">
        <is>
          <t>[已实装] 塔罗名称、50/50方位、正逆位同ID、代码翻牌、整卡倒置、逆位描述替换与方位持久化已接入</t>
        </is>
      </c>
      <c r="S5" s="88" t="inlineStr">
        <is>
          <t>☾ 月亮命运｜愚者｜翻牌后显示正位/逆位、目标、槽位与对应功能</t>
        </is>
      </c>
      <c r="T5" s="88" t="inlineStr">
        <is>
          <t>卡背绕Y轴翻面；逆位整张正面卡牌（含边框、图案、文字与布局）收束180°，并显示逆位效果描述；目标头顶出现可读标记；达成条件时角色HUD进度完成，枪械外观不变</t>
        </is>
      </c>
      <c r="U5" s="88" t="inlineStr">
        <is>
          <t>[部分实装] 通用卡背/翻牌/逆位倒置已验收；逐卡逆位专属VFX与音效继续QA</t>
        </is>
      </c>
      <c r="V5" s="88" t="inlineStr">
        <is>
          <t>命运标记</t>
        </is>
      </c>
      <c r="W5" s="102" t="inlineStr">
        <is>
          <t>0</t>
        </is>
      </c>
      <c r="X5" s="102" t="inlineStr">
        <is>
          <t>MAJOR</t>
        </is>
      </c>
      <c r="Y5" s="102" t="inlineStr">
        <is>
          <t>MAJOR</t>
        </is>
      </c>
      <c r="Z5" s="164" t="n">
        <v>0.5</v>
      </c>
      <c r="AA5" s="164" t="n">
        <v>0.5</v>
      </c>
      <c r="AB5" s="117" t="inlineStr">
        <is>
          <t>每击杀 10 个敌人，有 50% 概率获得一张随机命运卡片</t>
        </is>
      </c>
      <c r="AC5" s="117" t="inlineStr">
        <is>
          <t>action=GRANT_RANDOM_CARD；grant_probability=0.5；kill_threshold=10</t>
        </is>
      </c>
      <c r="AD5" s="114" t="inlineStr">
        <is>
          <t>每10击杀必得随机命运，但失去30魂</t>
        </is>
      </c>
      <c r="AE5" s="114" t="inlineStr">
        <is>
          <t>action=GRANT_RANDOM_CARD; kill_threshold=10; grant_probability=1; currency_cost=30</t>
        </is>
      </c>
      <c r="AF5" s="120" t="inlineStr">
        <is>
          <t>0.00s卡背→0.24s薄边换面→0.42s收束；逆位图案/框体180°，卡名、天体、方位标签和说明文字0°；0.62s后可点</t>
        </is>
      </c>
      <c r="AG5" s="121" t="inlineStr">
        <is>
          <t>[设计完成/数据已入表/运行时待施工]</t>
        </is>
      </c>
    </row>
    <row r="6" ht="52" customHeight="1" s="135">
      <c r="A6" s="106" t="inlineStr">
        <is>
          <t>fate_gun_on_gun</t>
        </is>
      </c>
      <c r="B6" s="109" t="inlineStr">
        <is>
          <t>魔术师</t>
        </is>
      </c>
      <c r="C6" s="91" t="inlineStr">
        <is>
          <t>组合</t>
        </is>
      </c>
      <c r="D6" s="91" t="inlineStr">
        <is>
          <t>传说</t>
        </is>
      </c>
      <c r="E6" s="91" t="inlineStr">
        <is>
          <t>副枪跟随主枪一起开火</t>
        </is>
      </c>
      <c r="F6" s="91" t="inlineStr">
        <is>
          <t>选择一个枪身，将其挂到当前枪身上，副枪跟随射击</t>
        </is>
      </c>
      <c r="G6" s="91" t="inlineStr">
        <is>
          <t>当一个扳机不够时，就让第二把枪把第一把枪的节奏当成命令。</t>
        </is>
      </c>
      <c r="H6" s="91" t="inlineStr">
        <is>
          <t>[Codex补充]</t>
        </is>
      </c>
      <c r="I6" s="91" t="n"/>
      <c r="J6" s="91" t="inlineStr">
        <is>
          <t>action=ATTACH_GUN_TO_GUN；damage_scale=0.5；fire_rate_scale=0.6；follow_probability=1</t>
        </is>
      </c>
      <c r="K6" s="91" t="inlineStr">
        <is>
          <t>门后命运/三选一/工作台共用卡池</t>
        </is>
      </c>
      <c r="L6" s="91" t="inlineStr">
        <is>
          <t>[已实装]</t>
        </is>
      </c>
      <c r="M6" s="91" t="inlineStr">
        <is>
          <t>[部分实装] 塔罗名称、正/逆位效果快照与通用执行已接入；复杂逆位专属行为继续逐卡QA</t>
        </is>
      </c>
      <c r="N6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6" s="91" t="inlineStr">
        <is>
          <t>迁移前名称：枪上加枪；稳定ID不变，旧存档迁移为正位，不重投方位</t>
        </is>
      </c>
      <c r="P6" s="112" t="inlineStr">
        <is>
          <t>WEAPON</t>
        </is>
      </c>
      <c r="Q6" s="91" t="inlineStr">
        <is>
          <t>占目标枪械下一个永久命运槽；按序追加、不可拆卸/替换/回退</t>
        </is>
      </c>
      <c r="R6" s="91" t="inlineStr">
        <is>
          <t>[已实装] 塔罗名称、50/50方位、正逆位同ID、代码翻牌、整卡倒置、逆位描述替换与方位持久化已接入</t>
        </is>
      </c>
      <c r="S6" s="91" t="inlineStr">
        <is>
          <t>★ 星星命运｜魔术师｜翻牌后显示正位/逆位、目标、槽位与对应功能</t>
        </is>
      </c>
      <c r="T6" s="91" t="inlineStr">
        <is>
          <t>卡背绕Y轴翻面；逆位整张正面卡牌（含边框、图案、文字与布局）收束180°，并显示逆位效果描述；主枪上出现副枪实体/能量轮廓；同步或派生开火用不同声层区分</t>
        </is>
      </c>
      <c r="U6" s="91" t="inlineStr">
        <is>
          <t>[部分实装] 通用卡背/翻牌/逆位倒置已验收；逐卡逆位专属VFX与音效继续QA</t>
        </is>
      </c>
      <c r="V6" s="91" t="inlineStr">
        <is>
          <t>枪上加枪</t>
        </is>
      </c>
      <c r="W6" s="103" t="inlineStr">
        <is>
          <t>I</t>
        </is>
      </c>
      <c r="X6" s="103" t="inlineStr">
        <is>
          <t>MAJOR</t>
        </is>
      </c>
      <c r="Y6" s="103" t="inlineStr">
        <is>
          <t>MAJOR</t>
        </is>
      </c>
      <c r="Z6" s="165" t="n">
        <v>0.5</v>
      </c>
      <c r="AA6" s="165" t="n">
        <v>0.5</v>
      </c>
      <c r="AB6" s="118" t="inlineStr">
        <is>
          <t>选择一个枪身，将其挂到当前枪身上，副枪跟随射击</t>
        </is>
      </c>
      <c r="AC6" s="118" t="inlineStr">
        <is>
          <t>action=ATTACH_GUN_TO_GUN；damage_scale=0.5；fire_rate_scale=0.6；follow_probability=1</t>
        </is>
      </c>
      <c r="AD6" s="115" t="inlineStr">
        <is>
          <t>主副枪交替开火，单发更强但主枪变慢</t>
        </is>
      </c>
      <c r="AE6" s="115" t="inlineStr">
        <is>
          <t>action=ATTACH_GUN_TO_GUN; alternate_fire=true; damage_scale=0.85; main_fire_rate_scale=0.85</t>
        </is>
      </c>
      <c r="AF6" s="122" t="inlineStr">
        <is>
          <t>0.00s卡背→0.24s薄边换面→0.42s收束；逆位图案/框体180°，卡名、天体、方位标签和说明文字0°；0.62s后可点</t>
        </is>
      </c>
      <c r="AG6" s="123" t="inlineStr">
        <is>
          <t>[设计完成/数据已入表/运行时待施工]</t>
        </is>
      </c>
    </row>
    <row r="7" ht="52" customHeight="1" s="135">
      <c r="A7" s="106" t="inlineStr">
        <is>
          <t>fate_moon_vitality</t>
        </is>
      </c>
      <c r="B7" s="109" t="inlineStr">
        <is>
          <t>女祭司</t>
        </is>
      </c>
      <c r="C7" s="91" t="inlineStr">
        <is>
          <t>强化</t>
        </is>
      </c>
      <c r="D7" s="91" t="inlineStr">
        <is>
          <t>稀有</t>
        </is>
      </c>
      <c r="E7" s="91" t="inlineStr">
        <is>
          <t>生命上限+20</t>
        </is>
      </c>
      <c r="F7" s="91" t="inlineStr">
        <is>
          <t>最大生命提升20，并立刻恢复20生命</t>
        </is>
      </c>
      <c r="G7" s="91" t="inlineStr">
        <is>
          <t>月光让受损躯体重新生长，把本局的生存空间向上推高。</t>
        </is>
      </c>
      <c r="H7" s="91" t="inlineStr">
        <is>
          <t>[用户设计]</t>
        </is>
      </c>
      <c r="I7" s="91" t="n"/>
      <c r="J7" s="91" t="inlineStr">
        <is>
          <t>action=APPLY_SCOPED_MODIFIER；modifier=max_hp；amount=20</t>
        </is>
      </c>
      <c r="K7" s="91" t="inlineStr">
        <is>
          <t>门后命运/三选一/工作台共用正式卡池</t>
        </is>
      </c>
      <c r="L7" s="91" t="inlineStr">
        <is>
          <t>[已实装]</t>
        </is>
      </c>
      <c r="M7" s="91" t="inlineStr">
        <is>
          <t>[部分实装] 塔罗名称、正/逆位效果快照与通用执行已接入；复杂逆位专属行为继续逐卡QA</t>
        </is>
      </c>
      <c r="N7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" s="91" t="inlineStr">
        <is>
          <t>迁移前名称：月相增生；稳定ID不变，旧存档迁移为正位，不重投方位</t>
        </is>
      </c>
      <c r="P7" s="112" t="inlineStr">
        <is>
          <t>CHARACTER</t>
        </is>
      </c>
      <c r="Q7" s="91" t="inlineStr">
        <is>
          <t>不占武器槽；写入角色局内规则状态</t>
        </is>
      </c>
      <c r="R7" s="91" t="inlineStr">
        <is>
          <t>[已实装] 塔罗名称、50/50方位、正逆位同ID、代码翻牌、整卡倒置、逆位描述替换与方位持久化已接入</t>
        </is>
      </c>
      <c r="S7" s="91" t="inlineStr">
        <is>
          <t>☾ 月亮命运｜女祭司｜翻牌后显示正位/逆位、目标、槽位与对应功能</t>
        </is>
      </c>
      <c r="T7" s="91" t="inlineStr">
        <is>
          <t>卡背绕Y轴翻面；逆位整张正面卡牌（含边框、图案、文字与布局）收束180°，并显示逆位效果描述；角色生命上限与当前生命同步增加，红色生命条立即扩容</t>
        </is>
      </c>
      <c r="U7" s="91" t="inlineStr">
        <is>
          <t>[部分实装] 通用卡背/翻牌/逆位倒置已验收；逐卡逆位专属VFX与音效继续QA</t>
        </is>
      </c>
      <c r="V7" s="91" t="inlineStr">
        <is>
          <t>月相增生</t>
        </is>
      </c>
      <c r="W7" s="103" t="inlineStr">
        <is>
          <t>II</t>
        </is>
      </c>
      <c r="X7" s="103" t="inlineStr">
        <is>
          <t>MAJOR</t>
        </is>
      </c>
      <c r="Y7" s="103" t="inlineStr">
        <is>
          <t>MAJOR</t>
        </is>
      </c>
      <c r="Z7" s="165" t="n">
        <v>0.5</v>
      </c>
      <c r="AA7" s="165" t="n">
        <v>0.5</v>
      </c>
      <c r="AB7" s="118" t="inlineStr">
        <is>
          <t>最大生命提升20，并立刻恢复20生命</t>
        </is>
      </c>
      <c r="AC7" s="118" t="inlineStr">
        <is>
          <t>action=APPLY_SCOPED_MODIFIER；modifier=max_hp；amount=20</t>
        </is>
      </c>
      <c r="AD7" s="115" t="inlineStr">
        <is>
          <t>生命上限-10，立即恢复50生命</t>
        </is>
      </c>
      <c r="AE7" s="115" t="inlineStr">
        <is>
          <t>action=APPLY_SCOPED_MODIFIER; modifier=max_hp_trade; max_hp_delta=-10; heal=50</t>
        </is>
      </c>
      <c r="AF7" s="122" t="inlineStr">
        <is>
          <t>0.00s卡背→0.24s薄边换面→0.42s收束；逆位图案/框体180°，卡名、天体、方位标签和说明文字0°；0.62s后可点</t>
        </is>
      </c>
      <c r="AG7" s="123" t="inlineStr">
        <is>
          <t>[设计完成/数据已入表/运行时待施工]</t>
        </is>
      </c>
    </row>
    <row r="8" ht="52" customHeight="1" s="135">
      <c r="A8" s="106" t="inlineStr">
        <is>
          <t>fate_sun_extra_loot</t>
        </is>
      </c>
      <c r="B8" s="109" t="inlineStr">
        <is>
          <t>皇后</t>
        </is>
      </c>
      <c r="C8" s="91" t="inlineStr">
        <is>
          <t>规则</t>
        </is>
      </c>
      <c r="D8" s="91" t="inlineStr">
        <is>
          <t>史诗</t>
        </is>
      </c>
      <c r="E8" s="91" t="inlineStr">
        <is>
          <t>下箱追加2抽，保留最佳</t>
        </is>
      </c>
      <c r="F8" s="91" t="inlineStr">
        <is>
          <t>下一个容器追加2次候选抽取并保留最高品质结果，地面仍只掉落1件</t>
        </is>
      </c>
      <c r="G8" s="91" t="inlineStr">
        <is>
          <t>太阳延长了这一日的收成，但只让猎人带走其中最值得的一件。</t>
        </is>
      </c>
      <c r="H8" s="91" t="inlineStr">
        <is>
          <t>[用户设计]</t>
        </is>
      </c>
      <c r="I8" s="91" t="n"/>
      <c r="J8" s="91" t="inlineStr">
        <is>
          <t>action=APPLY_SCOPED_MODIFIER；modifier=next_chest_extra；count=2</t>
        </is>
      </c>
      <c r="K8" s="91" t="inlineStr">
        <is>
          <t>门后命运/三选一/工作台共用正式卡池</t>
        </is>
      </c>
      <c r="L8" s="91" t="inlineStr">
        <is>
          <t>[已实装]</t>
        </is>
      </c>
      <c r="M8" s="91" t="inlineStr">
        <is>
          <t>[部分实装] 塔罗名称、正/逆位效果快照与通用执行已接入；复杂逆位专属行为继续逐卡QA</t>
        </is>
      </c>
      <c r="N8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8" s="91" t="inlineStr">
        <is>
          <t>迁移前名称：丰收日；稳定ID不变，旧存档迁移为正位，不重投方位</t>
        </is>
      </c>
      <c r="P8" s="112" t="inlineStr">
        <is>
          <t>WORLD</t>
        </is>
      </c>
      <c r="Q8" s="91" t="inlineStr">
        <is>
          <t>不占武器槽；写入行动/房间/掉落/撤离规则状态</t>
        </is>
      </c>
      <c r="R8" s="91" t="inlineStr">
        <is>
          <t>[已实装] 塔罗名称、50/50方位、正逆位同ID、代码翻牌、整卡倒置、逆位描述替换与方位持久化已接入</t>
        </is>
      </c>
      <c r="S8" s="91" t="inlineStr">
        <is>
          <t>☀ 太阳命运｜皇后｜翻牌后显示正位/逆位、目标、槽位与对应功能</t>
        </is>
      </c>
      <c r="T8" s="91" t="inlineStr">
        <is>
          <t>开箱时追加2次候选扫描，界面闪过候选后只生成1个最高品质地面实体并清空计数</t>
        </is>
      </c>
      <c r="U8" s="91" t="inlineStr">
        <is>
          <t>[部分实装] 通用卡背/翻牌/逆位倒置已验收；逐卡逆位专属VFX与音效继续QA</t>
        </is>
      </c>
      <c r="V8" s="91" t="inlineStr">
        <is>
          <t>丰收日</t>
        </is>
      </c>
      <c r="W8" s="103" t="inlineStr">
        <is>
          <t>III</t>
        </is>
      </c>
      <c r="X8" s="103" t="inlineStr">
        <is>
          <t>MAJOR</t>
        </is>
      </c>
      <c r="Y8" s="103" t="inlineStr">
        <is>
          <t>MAJOR</t>
        </is>
      </c>
      <c r="Z8" s="165" t="n">
        <v>0.5</v>
      </c>
      <c r="AA8" s="165" t="n">
        <v>0.5</v>
      </c>
      <c r="AB8" s="118" t="inlineStr">
        <is>
          <t>下一个容器追加2次候选抽取并保留最高品质结果，地面仍只掉落1件</t>
        </is>
      </c>
      <c r="AC8" s="118" t="inlineStr">
        <is>
          <t>action=APPLY_SCOPED_MODIFIER；modifier=next_chest_extra；count=2</t>
        </is>
      </c>
      <c r="AD8" s="115" t="inlineStr">
        <is>
          <t>下一容器追加4次候选抽取并保留最佳，品质上限为稀有，地面仍只掉落1件</t>
        </is>
      </c>
      <c r="AE8" s="115" t="inlineStr">
        <is>
          <t>action=APPLY_SCOPED_MODIFIER; modifier=next_chest_extra_capped; count=4; rarity_cap=RARE</t>
        </is>
      </c>
      <c r="AF8" s="122" t="inlineStr">
        <is>
          <t>0.00s卡背→0.24s薄边换面→0.42s收束；逆位图案/框体180°，卡名、天体、方位标签和说明文字0°；0.62s后可点</t>
        </is>
      </c>
      <c r="AG8" s="123" t="inlineStr">
        <is>
          <t>[设计完成/数据已入表/运行时待施工]</t>
        </is>
      </c>
    </row>
    <row r="9" ht="52" customHeight="1" s="135">
      <c r="A9" s="106" t="inlineStr">
        <is>
          <t>fate_sun_reinforce</t>
        </is>
      </c>
      <c r="B9" s="109" t="inlineStr">
        <is>
          <t>皇帝</t>
        </is>
      </c>
      <c r="C9" s="91" t="inlineStr">
        <is>
          <t>规则</t>
        </is>
      </c>
      <c r="D9" s="91" t="inlineStr">
        <is>
          <t>史诗</t>
        </is>
      </c>
      <c r="E9" s="91" t="inlineStr">
        <is>
          <t>下房敌人+3</t>
        </is>
      </c>
      <c r="F9" s="91" t="inlineStr">
        <is>
          <t>下一个敌对房间额外出现3名敌人</t>
        </is>
      </c>
      <c r="G9" s="91" t="inlineStr">
        <is>
          <t>日冕暴露了行动路线，下一间敌对区域会提前集结增援。</t>
        </is>
      </c>
      <c r="H9" s="91" t="inlineStr">
        <is>
          <t>[用户设计]</t>
        </is>
      </c>
      <c r="I9" s="91" t="n"/>
      <c r="J9" s="91" t="inlineStr">
        <is>
          <t>action=APPLY_SCOPED_MODIFIER；modifier=next_room_enemy_count；count=3</t>
        </is>
      </c>
      <c r="K9" s="91" t="inlineStr">
        <is>
          <t>门后命运/三选一/工作台共用正式卡池</t>
        </is>
      </c>
      <c r="L9" s="91" t="inlineStr">
        <is>
          <t>[已实装]</t>
        </is>
      </c>
      <c r="M9" s="91" t="inlineStr">
        <is>
          <t>[部分实装] 塔罗名称、正/逆位效果快照与通用执行已接入；复杂逆位专属行为继续逐卡QA</t>
        </is>
      </c>
      <c r="N9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9" s="91" t="inlineStr">
        <is>
          <t>迁移前名称：日冕增援；稳定ID不变，旧存档迁移为正位，不重投方位</t>
        </is>
      </c>
      <c r="P9" s="112" t="inlineStr">
        <is>
          <t>WORLD</t>
        </is>
      </c>
      <c r="Q9" s="91" t="inlineStr">
        <is>
          <t>不占武器槽；写入行动/房间/掉落/撤离规则状态</t>
        </is>
      </c>
      <c r="R9" s="91" t="inlineStr">
        <is>
          <t>[已实装] 塔罗名称、50/50方位、正逆位同ID、代码翻牌、整卡倒置、逆位描述替换与方位持久化已接入</t>
        </is>
      </c>
      <c r="S9" s="91" t="inlineStr">
        <is>
          <t>☀ 太阳命运｜皇帝｜翻牌后显示正位/逆位、目标、槽位与对应功能</t>
        </is>
      </c>
      <c r="T9" s="91" t="inlineStr">
        <is>
          <t>卡背绕Y轴翻面；逆位整张正面卡牌（含边框、图案、文字与布局）收束180°，并显示逆位效果描述；下一敌对房间生成表追加3名敌人后消费状态</t>
        </is>
      </c>
      <c r="U9" s="91" t="inlineStr">
        <is>
          <t>[部分实装] 通用卡背/翻牌/逆位倒置已验收；逐卡逆位专属VFX与音效继续QA</t>
        </is>
      </c>
      <c r="V9" s="91" t="inlineStr">
        <is>
          <t>日冕增援</t>
        </is>
      </c>
      <c r="W9" s="103" t="inlineStr">
        <is>
          <t>IV</t>
        </is>
      </c>
      <c r="X9" s="103" t="inlineStr">
        <is>
          <t>MAJOR</t>
        </is>
      </c>
      <c r="Y9" s="103" t="inlineStr">
        <is>
          <t>MAJOR</t>
        </is>
      </c>
      <c r="Z9" s="165" t="n">
        <v>0.5</v>
      </c>
      <c r="AA9" s="165" t="n">
        <v>0.5</v>
      </c>
      <c r="AB9" s="118" t="inlineStr">
        <is>
          <t>下一个敌对房间额外出现3名敌人</t>
        </is>
      </c>
      <c r="AC9" s="118" t="inlineStr">
        <is>
          <t>action=APPLY_SCOPED_MODIFIER；modifier=next_room_enemy_count；count=3</t>
        </is>
      </c>
      <c r="AD9" s="115" t="inlineStr">
        <is>
          <t>下一敌对房增加1精英，清理后+50魂</t>
        </is>
      </c>
      <c r="AE9" s="115" t="inlineStr">
        <is>
          <t>action=APPLY_SCOPED_MODIFIER; modifier=next_room_elite_reward; elite_count=1; currency_reward=50</t>
        </is>
      </c>
      <c r="AF9" s="122" t="inlineStr">
        <is>
          <t>0.00s卡背→0.24s薄边换面→0.42s收束；逆位图案/框体180°，卡名、天体、方位标签和说明文字0°；0.62s后可点</t>
        </is>
      </c>
      <c r="AG9" s="123" t="inlineStr">
        <is>
          <t>[设计完成/数据已入表/运行时待施工]</t>
        </is>
      </c>
    </row>
    <row r="10" ht="52" customHeight="1" s="135">
      <c r="A10" s="106" t="inlineStr">
        <is>
          <t>fate_sun_key</t>
        </is>
      </c>
      <c r="B10" s="109" t="inlineStr">
        <is>
          <t>教皇</t>
        </is>
      </c>
      <c r="C10" s="91" t="inlineStr">
        <is>
          <t>强化</t>
        </is>
      </c>
      <c r="D10" s="91" t="inlineStr">
        <is>
          <t>稀有</t>
        </is>
      </c>
      <c r="E10" s="91" t="inlineStr">
        <is>
          <t>获得房间钥匙</t>
        </is>
      </c>
      <c r="F10" s="91" t="inlineStr">
        <is>
          <t>立即获得1把普通房间钥匙</t>
        </is>
      </c>
      <c r="G10" s="91" t="inlineStr">
        <is>
          <t>灼热印记在掌心凝成一把只属于本次行动的房间钥匙。</t>
        </is>
      </c>
      <c r="H10" s="91" t="inlineStr">
        <is>
          <t>[用户设计]</t>
        </is>
      </c>
      <c r="I10" s="91" t="n"/>
      <c r="J10" s="91" t="inlineStr">
        <is>
          <t>action=APPLY_SCOPED_MODIFIER；modifier=grant_room_key；count=1</t>
        </is>
      </c>
      <c r="K10" s="91" t="inlineStr">
        <is>
          <t>门后命运/三选一/工作台共用正式卡池</t>
        </is>
      </c>
      <c r="L10" s="91" t="inlineStr">
        <is>
          <t>[已实装]</t>
        </is>
      </c>
      <c r="M10" s="91" t="inlineStr">
        <is>
          <t>[部分实装] 塔罗名称、正/逆位效果快照与通用执行已接入；复杂逆位专属行为继续逐卡QA</t>
        </is>
      </c>
      <c r="N10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0" s="91" t="inlineStr">
        <is>
          <t>迁移前名称：太阳钥印；稳定ID不变，旧存档迁移为正位，不重投方位</t>
        </is>
      </c>
      <c r="P10" s="112" t="inlineStr">
        <is>
          <t>WORLD</t>
        </is>
      </c>
      <c r="Q10" s="91" t="inlineStr">
        <is>
          <t>不占武器槽；写入行动/房间/掉落/撤离规则状态</t>
        </is>
      </c>
      <c r="R10" s="91" t="inlineStr">
        <is>
          <t>[已实装] 塔罗名称、50/50方位、正逆位同ID、代码翻牌、整卡倒置、逆位描述替换与方位持久化已接入</t>
        </is>
      </c>
      <c r="S10" s="91" t="inlineStr">
        <is>
          <t>☀ 太阳命运｜教皇｜翻牌后显示正位/逆位、目标、槽位与对应功能</t>
        </is>
      </c>
      <c r="T10" s="91" t="inlineStr">
        <is>
          <t>卡背绕Y轴翻面；逆位整张正面卡牌（含边框、图案、文字与布局）收束180°，并显示逆位效果描述；普通房间钥匙计数立即+1，HUD同步刷新</t>
        </is>
      </c>
      <c r="U10" s="91" t="inlineStr">
        <is>
          <t>[部分实装] 通用卡背/翻牌/逆位倒置已验收；逐卡逆位专属VFX与音效继续QA</t>
        </is>
      </c>
      <c r="V10" s="91" t="inlineStr">
        <is>
          <t>太阳钥印</t>
        </is>
      </c>
      <c r="W10" s="103" t="inlineStr">
        <is>
          <t>V</t>
        </is>
      </c>
      <c r="X10" s="103" t="inlineStr">
        <is>
          <t>MAJOR</t>
        </is>
      </c>
      <c r="Y10" s="103" t="inlineStr">
        <is>
          <t>MAJOR</t>
        </is>
      </c>
      <c r="Z10" s="165" t="n">
        <v>0.5</v>
      </c>
      <c r="AA10" s="165" t="n">
        <v>0.5</v>
      </c>
      <c r="AB10" s="118" t="inlineStr">
        <is>
          <t>立即获得1把普通房间钥匙</t>
        </is>
      </c>
      <c r="AC10" s="118" t="inlineStr">
        <is>
          <t>action=APPLY_SCOPED_MODIFIER；modifier=grant_room_key；count=1</t>
        </is>
      </c>
      <c r="AD10" s="115" t="inlineStr">
        <is>
          <t>获得2把临时钥匙，离开当层失效</t>
        </is>
      </c>
      <c r="AE10" s="115" t="inlineStr">
        <is>
          <t>action=APPLY_SCOPED_MODIFIER; modifier=grant_temporary_keys; count=2; expires=FLOOR_EXIT</t>
        </is>
      </c>
      <c r="AF10" s="122" t="inlineStr">
        <is>
          <t>0.00s卡背→0.24s薄边换面→0.42s收束；逆位图案/框体180°，卡名、天体、方位标签和说明文字0°；0.62s后可点</t>
        </is>
      </c>
      <c r="AG10" s="123" t="inlineStr">
        <is>
          <t>[设计完成/数据已入表/运行时待施工]</t>
        </is>
      </c>
    </row>
    <row r="11" ht="52" customHeight="1" s="135">
      <c r="A11" s="106" t="inlineStr">
        <is>
          <t>fate_moon_power</t>
        </is>
      </c>
      <c r="B11" s="109" t="inlineStr">
        <is>
          <t>恋人</t>
        </is>
      </c>
      <c r="C11" s="91" t="inlineStr">
        <is>
          <t>强化</t>
        </is>
      </c>
      <c r="D11" s="91" t="inlineStr">
        <is>
          <t>史诗</t>
        </is>
      </c>
      <c r="E11" s="91" t="inlineStr">
        <is>
          <t>枪伤+12%</t>
        </is>
      </c>
      <c r="F11" s="91" t="inlineStr">
        <is>
          <t>本局角色造成的枪械伤害提升12%</t>
        </is>
      </c>
      <c r="G11" s="91" t="inlineStr">
        <is>
          <t>月刃不改写枪械本体，却让持有者的每次射击更有力量。</t>
        </is>
      </c>
      <c r="H11" s="91" t="inlineStr">
        <is>
          <t>[用户设计]</t>
        </is>
      </c>
      <c r="I11" s="91" t="n"/>
      <c r="J11" s="91" t="inlineStr">
        <is>
          <t>action=APPLY_SCOPED_MODIFIER；modifier=weapon_damage；multiplier=1.12</t>
        </is>
      </c>
      <c r="K11" s="91" t="inlineStr">
        <is>
          <t>门后命运/三选一/工作台共用正式卡池</t>
        </is>
      </c>
      <c r="L11" s="91" t="inlineStr">
        <is>
          <t>[已实装]</t>
        </is>
      </c>
      <c r="M11" s="91" t="inlineStr">
        <is>
          <t>[部分实装] 塔罗名称、正/逆位效果快照与通用执行已接入；复杂逆位专属行为继续逐卡QA</t>
        </is>
      </c>
      <c r="N11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1" s="91" t="inlineStr">
        <is>
          <t>迁移前名称：月刃共鸣；稳定ID不变，旧存档迁移为正位，不重投方位</t>
        </is>
      </c>
      <c r="P11" s="112" t="inlineStr">
        <is>
          <t>CHARACTER</t>
        </is>
      </c>
      <c r="Q11" s="91" t="inlineStr">
        <is>
          <t>不占武器槽；写入角色局内规则状态</t>
        </is>
      </c>
      <c r="R11" s="91" t="inlineStr">
        <is>
          <t>[已实装] 塔罗名称、50/50方位、正逆位同ID、代码翻牌、整卡倒置、逆位描述替换与方位持久化已接入</t>
        </is>
      </c>
      <c r="S11" s="91" t="inlineStr">
        <is>
          <t>☾ 月亮命运｜恋人｜翻牌后显示正位/逆位、目标、槽位与对应功能</t>
        </is>
      </c>
      <c r="T11" s="91" t="inlineStr">
        <is>
          <t>卡背绕Y轴翻面；逆位整张正面卡牌（含边框、图案、文字与布局）收束180°，并显示逆位效果描述；角色伤害乘区生效；换枪后加成仍随角色，不随枪转移</t>
        </is>
      </c>
      <c r="U11" s="91" t="inlineStr">
        <is>
          <t>[部分实装] 通用卡背/翻牌/逆位倒置已验收；逐卡逆位专属VFX与音效继续QA</t>
        </is>
      </c>
      <c r="V11" s="91" t="inlineStr">
        <is>
          <t>月刃共鸣</t>
        </is>
      </c>
      <c r="W11" s="103" t="inlineStr">
        <is>
          <t>VI</t>
        </is>
      </c>
      <c r="X11" s="103" t="inlineStr">
        <is>
          <t>MAJOR</t>
        </is>
      </c>
      <c r="Y11" s="103" t="inlineStr">
        <is>
          <t>MAJOR</t>
        </is>
      </c>
      <c r="Z11" s="165" t="n">
        <v>0.5</v>
      </c>
      <c r="AA11" s="165" t="n">
        <v>0.5</v>
      </c>
      <c r="AB11" s="118" t="inlineStr">
        <is>
          <t>本局角色造成的枪械伤害提升12%</t>
        </is>
      </c>
      <c r="AC11" s="118" t="inlineStr">
        <is>
          <t>action=APPLY_SCOPED_MODIFIER；modifier=weapon_damage；multiplier=1.12</t>
        </is>
      </c>
      <c r="AD11" s="115" t="inlineStr">
        <is>
          <t>枪伤-8%，暴击率+15%</t>
        </is>
      </c>
      <c r="AE11" s="115" t="inlineStr">
        <is>
          <t>action=APPLY_SCOPED_MODIFIER; modifier=weapon_damage_crit_trade; damage_multiplier=0.92; crit_chance_add=0.15</t>
        </is>
      </c>
      <c r="AF11" s="122" t="inlineStr">
        <is>
          <t>0.00s卡背→0.24s薄边换面→0.42s收束；逆位图案/框体180°，卡名、天体、方位标签和说明文字0°；0.62s后可点</t>
        </is>
      </c>
      <c r="AG11" s="123" t="inlineStr">
        <is>
          <t>[设计完成/数据已入表/运行时待施工]</t>
        </is>
      </c>
    </row>
    <row r="12" ht="52" customHeight="1" s="135">
      <c r="A12" s="106" t="inlineStr">
        <is>
          <t>fate_bullet_carry_gun</t>
        </is>
      </c>
      <c r="B12" s="109" t="inlineStr">
        <is>
          <t>战车</t>
        </is>
      </c>
      <c r="C12" s="91" t="inlineStr">
        <is>
          <t>组合</t>
        </is>
      </c>
      <c r="D12" s="91" t="inlineStr">
        <is>
          <t>史诗</t>
        </is>
      </c>
      <c r="E12" s="91" t="inlineStr">
        <is>
          <t>子弹飞出去时自动开枪</t>
        </is>
      </c>
      <c r="F12" s="91" t="inlineStr">
        <is>
          <t>选择一个子弹和一个枪身，该子弹将携带枪身并自动射击</t>
        </is>
      </c>
      <c r="G12" s="91" t="inlineStr">
        <is>
          <t>有人把整把枪绑在弹头上，荒唐的结构在命运规则下反而可以边飞边射。</t>
        </is>
      </c>
      <c r="H12" s="91" t="inlineStr">
        <is>
          <t>[Codex补充]</t>
        </is>
      </c>
      <c r="I12" s="91" t="n"/>
      <c r="J12" s="91" t="inlineStr">
        <is>
          <t>action=ATTACH_GUN_TO_BULLET；damage_scale=0.45；fire_rate_scale=0.6；max_attached_gun=1</t>
        </is>
      </c>
      <c r="K12" s="91" t="inlineStr">
        <is>
          <t>门后命运/三选一/工作台共用卡池</t>
        </is>
      </c>
      <c r="L12" s="91" t="inlineStr">
        <is>
          <t>[已实装]</t>
        </is>
      </c>
      <c r="M12" s="91" t="inlineStr">
        <is>
          <t>[部分实装] 塔罗名称、正/逆位效果快照与通用执行已接入；复杂逆位专属行为继续逐卡QA</t>
        </is>
      </c>
      <c r="N1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2" s="91" t="inlineStr">
        <is>
          <t>迁移前名称：子弹背枪；稳定ID不变，旧存档迁移为正位，不重投方位</t>
        </is>
      </c>
      <c r="P12" s="112" t="inlineStr">
        <is>
          <t>WEAPON</t>
        </is>
      </c>
      <c r="Q12" s="91" t="inlineStr">
        <is>
          <t>占目标枪械下一个永久命运槽；按序追加、不可拆卸/替换/回退</t>
        </is>
      </c>
      <c r="R12" s="91" t="inlineStr">
        <is>
          <t>[已实装] 塔罗名称、50/50方位、正逆位同ID、代码翻牌、整卡倒置、逆位描述替换与方位持久化已接入</t>
        </is>
      </c>
      <c r="S12" s="91" t="inlineStr">
        <is>
          <t>★ 星星命运｜战车｜翻牌后显示正位/逆位、目标、槽位与对应功能</t>
        </is>
      </c>
      <c r="T12" s="91" t="inlineStr">
        <is>
          <t>卡背绕Y轴翻面；逆位整张正面卡牌（含边框、图案、文字与布局）收束180°，并显示逆位效果描述；投射物上可见微型枪械或等价轮廓；派生开火有独立枪口焰且来源可追溯</t>
        </is>
      </c>
      <c r="U12" s="91" t="inlineStr">
        <is>
          <t>[部分实装] 通用卡背/翻牌/逆位倒置已验收；逐卡逆位专属VFX与音效继续QA</t>
        </is>
      </c>
      <c r="V12" s="91" t="inlineStr">
        <is>
          <t>子弹背枪</t>
        </is>
      </c>
      <c r="W12" s="103" t="inlineStr">
        <is>
          <t>VII</t>
        </is>
      </c>
      <c r="X12" s="103" t="inlineStr">
        <is>
          <t>MAJOR</t>
        </is>
      </c>
      <c r="Y12" s="103" t="inlineStr">
        <is>
          <t>MAJOR</t>
        </is>
      </c>
      <c r="Z12" s="165" t="n">
        <v>0.5</v>
      </c>
      <c r="AA12" s="165" t="n">
        <v>0.5</v>
      </c>
      <c r="AB12" s="118" t="inlineStr">
        <is>
          <t>选择一个子弹和一个枪身，该子弹将携带枪身并自动射击</t>
        </is>
      </c>
      <c r="AC12" s="118" t="inlineStr">
        <is>
          <t>action=ATTACH_GUN_TO_BULLET；damage_scale=0.45；fire_rate_scale=0.6；max_attached_gun=1</t>
        </is>
      </c>
      <c r="AD12" s="115" t="inlineStr">
        <is>
          <t>携枪子弹只在命中时开一次高伤射击</t>
        </is>
      </c>
      <c r="AE12" s="115" t="inlineStr">
        <is>
          <t>action=ATTACH_GUN_TO_BULLET; trigger=ON_HIT; shots=1; damage_scale=0.75</t>
        </is>
      </c>
      <c r="AF12" s="122" t="inlineStr">
        <is>
          <t>0.00s卡背→0.24s薄边换面→0.42s收束；逆位图案/框体180°，卡名、天体、方位标签和说明文字0°；0.62s后可点</t>
        </is>
      </c>
      <c r="AG12" s="123" t="inlineStr">
        <is>
          <t>[设计完成/数据已入表/运行时待施工]</t>
        </is>
      </c>
    </row>
    <row r="13" ht="52" customHeight="1" s="135">
      <c r="A13" s="106" t="inlineStr">
        <is>
          <t>fate_armor_pierce</t>
        </is>
      </c>
      <c r="B13" s="109" t="inlineStr">
        <is>
          <t>力量</t>
        </is>
      </c>
      <c r="C13" s="91" t="inlineStr">
        <is>
          <t>强化</t>
        </is>
      </c>
      <c r="D13" s="91" t="inlineStr">
        <is>
          <t>稀有</t>
        </is>
      </c>
      <c r="E13" s="91" t="inlineStr">
        <is>
          <t>伤害提升 50%，无视护盾</t>
        </is>
      </c>
      <c r="F13" s="91" t="inlineStr">
        <is>
          <t>选择一个节点，伤害提升 50%，无视护盾减伤效果</t>
        </is>
      </c>
      <c r="G13" s="91" t="inlineStr">
        <is>
          <t>废弃军械库留下的硬芯工艺，专门教子弹绕过壳甲最自信的角度。</t>
        </is>
      </c>
      <c r="H13" s="91" t="inlineStr">
        <is>
          <t>[Codex补充]</t>
        </is>
      </c>
      <c r="I13" s="91" t="n"/>
      <c r="J13" s="91" t="inlineStr">
        <is>
          <t>action=ADD_DAMAGE；damage_scale=1.5；pierce_shield=true</t>
        </is>
      </c>
      <c r="K13" s="91" t="inlineStr">
        <is>
          <t>门后命运/三选一/工作台共用卡池</t>
        </is>
      </c>
      <c r="L13" s="91" t="inlineStr">
        <is>
          <t>[已实装]</t>
        </is>
      </c>
      <c r="M13" s="91" t="inlineStr">
        <is>
          <t>[部分实装] 塔罗名称、正/逆位效果快照与通用执行已接入；复杂逆位专属行为继续逐卡QA</t>
        </is>
      </c>
      <c r="N13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3" s="91" t="inlineStr">
        <is>
          <t>迁移前名称：穿甲强化；稳定ID不变，旧存档迁移为正位，不重投方位</t>
        </is>
      </c>
      <c r="P13" s="112" t="inlineStr">
        <is>
          <t>WEAPON</t>
        </is>
      </c>
      <c r="Q13" s="91" t="inlineStr">
        <is>
          <t>占目标枪械下一个永久命运槽；按序追加、不可拆卸/替换/回退</t>
        </is>
      </c>
      <c r="R13" s="91" t="inlineStr">
        <is>
          <t>[已实装] 塔罗名称、50/50方位、正逆位同ID、代码翻牌、整卡倒置、逆位描述替换与方位持久化已接入</t>
        </is>
      </c>
      <c r="S13" s="91" t="inlineStr">
        <is>
          <t>★ 星星命运｜力量｜翻牌后显示正位/逆位、目标、槽位与对应功能</t>
        </is>
      </c>
      <c r="T13" s="91" t="inlineStr">
        <is>
          <t>卡背绕Y轴翻面；逆位整张正面卡牌（含边框、图案、文字与布局）收束180°，并显示逆位效果描述；弹体使用贯穿线；护甲命中出现破盾裂纹与剩余穿透提示</t>
        </is>
      </c>
      <c r="U13" s="91" t="inlineStr">
        <is>
          <t>[部分实装] 通用卡背/翻牌/逆位倒置已验收；逐卡逆位专属VFX与音效继续QA</t>
        </is>
      </c>
      <c r="V13" s="91" t="inlineStr">
        <is>
          <t>穿甲强化</t>
        </is>
      </c>
      <c r="W13" s="103" t="inlineStr">
        <is>
          <t>VIII</t>
        </is>
      </c>
      <c r="X13" s="103" t="inlineStr">
        <is>
          <t>MAJOR</t>
        </is>
      </c>
      <c r="Y13" s="103" t="inlineStr">
        <is>
          <t>MAJOR</t>
        </is>
      </c>
      <c r="Z13" s="165" t="n">
        <v>0.5</v>
      </c>
      <c r="AA13" s="165" t="n">
        <v>0.5</v>
      </c>
      <c r="AB13" s="118" t="inlineStr">
        <is>
          <t>选择一个节点，伤害提升 50%，无视护盾减伤效果</t>
        </is>
      </c>
      <c r="AC13" s="118" t="inlineStr">
        <is>
          <t>action=ADD_DAMAGE；damage_scale=1.5；pierce_shield=true</t>
        </is>
      </c>
      <c r="AD13" s="115" t="inlineStr">
        <is>
          <t>伤害+15%，不穿盾但对护盾×2</t>
        </is>
      </c>
      <c r="AE13" s="115" t="inlineStr">
        <is>
          <t>action=ADD_DAMAGE; damage_scale=1.15; pierce_shield=false; shield_damage_scale=2</t>
        </is>
      </c>
      <c r="AF13" s="122" t="inlineStr">
        <is>
          <t>0.00s卡背→0.24s薄边换面→0.42s收束；逆位图案/框体180°，卡名、天体、方位标签和说明文字0°；0.62s后可点</t>
        </is>
      </c>
      <c r="AG13" s="123" t="inlineStr">
        <is>
          <t>[设计完成/数据已入表/运行时待施工]</t>
        </is>
      </c>
    </row>
    <row r="14" ht="52" customHeight="1" s="135">
      <c r="A14" s="106" t="inlineStr">
        <is>
          <t>fate_moon_stride</t>
        </is>
      </c>
      <c r="B14" s="109" t="inlineStr">
        <is>
          <t>隐者</t>
        </is>
      </c>
      <c r="C14" s="91" t="inlineStr">
        <is>
          <t>强化</t>
        </is>
      </c>
      <c r="D14" s="91" t="inlineStr">
        <is>
          <t>稀有</t>
        </is>
      </c>
      <c r="E14" s="91" t="inlineStr">
        <is>
          <t>移速+12%</t>
        </is>
      </c>
      <c r="F14" s="91" t="inlineStr">
        <is>
          <t>本局角色移动速度提升12%</t>
        </is>
      </c>
      <c r="G14" s="91" t="inlineStr">
        <is>
          <t>月影贴着脚步移动，让角色更快穿过火力空隙。</t>
        </is>
      </c>
      <c r="H14" s="91" t="inlineStr">
        <is>
          <t>[用户设计]</t>
        </is>
      </c>
      <c r="I14" s="91" t="n"/>
      <c r="J14" s="91" t="inlineStr">
        <is>
          <t>action=APPLY_SCOPED_MODIFIER；modifier=move_speed；multiplier=1.12</t>
        </is>
      </c>
      <c r="K14" s="91" t="inlineStr">
        <is>
          <t>门后命运/三选一/工作台共用正式卡池</t>
        </is>
      </c>
      <c r="L14" s="91" t="inlineStr">
        <is>
          <t>[已实装]</t>
        </is>
      </c>
      <c r="M14" s="91" t="inlineStr">
        <is>
          <t>[部分实装] 塔罗名称、正/逆位效果快照与通用执行已接入；复杂逆位专属行为继续逐卡QA</t>
        </is>
      </c>
      <c r="N14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4" s="91" t="inlineStr">
        <is>
          <t>迁移前名称：月影疾行；稳定ID不变，旧存档迁移为正位，不重投方位</t>
        </is>
      </c>
      <c r="P14" s="112" t="inlineStr">
        <is>
          <t>CHARACTER</t>
        </is>
      </c>
      <c r="Q14" s="91" t="inlineStr">
        <is>
          <t>不占武器槽；写入角色局内规则状态</t>
        </is>
      </c>
      <c r="R14" s="91" t="inlineStr">
        <is>
          <t>[已实装] 塔罗名称、50/50方位、正逆位同ID、代码翻牌、整卡倒置、逆位描述替换与方位持久化已接入</t>
        </is>
      </c>
      <c r="S14" s="91" t="inlineStr">
        <is>
          <t>☾ 月亮命运｜隐者｜翻牌后显示正位/逆位、目标、槽位与对应功能</t>
        </is>
      </c>
      <c r="T14" s="91" t="inlineStr">
        <is>
          <t>卡背绕Y轴翻面；逆位整张正面卡牌（含边框、图案、文字与布局）收束180°，并显示逆位效果描述；角色实际移动速度提高，月亮命运常驻栏可追溯</t>
        </is>
      </c>
      <c r="U14" s="91" t="inlineStr">
        <is>
          <t>[部分实装] 通用卡背/翻牌/逆位倒置已验收；逐卡逆位专属VFX与音效继续QA</t>
        </is>
      </c>
      <c r="V14" s="91" t="inlineStr">
        <is>
          <t>月影疾行</t>
        </is>
      </c>
      <c r="W14" s="103" t="inlineStr">
        <is>
          <t>IX</t>
        </is>
      </c>
      <c r="X14" s="103" t="inlineStr">
        <is>
          <t>MAJOR</t>
        </is>
      </c>
      <c r="Y14" s="103" t="inlineStr">
        <is>
          <t>MAJOR</t>
        </is>
      </c>
      <c r="Z14" s="165" t="n">
        <v>0.5</v>
      </c>
      <c r="AA14" s="165" t="n">
        <v>0.5</v>
      </c>
      <c r="AB14" s="118" t="inlineStr">
        <is>
          <t>本局角色移动速度提升12%</t>
        </is>
      </c>
      <c r="AC14" s="118" t="inlineStr">
        <is>
          <t>action=APPLY_SCOPED_MODIFIER；modifier=move_speed；multiplier=1.12</t>
        </is>
      </c>
      <c r="AD14" s="115" t="inlineStr">
        <is>
          <t>移速-8%，冲刺无敌+0.12秒</t>
        </is>
      </c>
      <c r="AE14" s="115" t="inlineStr">
        <is>
          <t>action=APPLY_SCOPED_MODIFIER; modifier=stride_invulnerability_trade; move_multiplier=0.92; invulnerability_add=0.12</t>
        </is>
      </c>
      <c r="AF14" s="122" t="inlineStr">
        <is>
          <t>0.00s卡背→0.24s薄边换面→0.42s收束；逆位图案/框体180°，卡名、天体、方位标签和说明文字0°；0.62s后可点</t>
        </is>
      </c>
      <c r="AG14" s="123" t="inlineStr">
        <is>
          <t>[设计完成/数据已入表/运行时待施工]</t>
        </is>
      </c>
    </row>
    <row r="15" ht="52" customHeight="1" s="135">
      <c r="A15" s="106" t="inlineStr">
        <is>
          <t>fate_every_seventh</t>
        </is>
      </c>
      <c r="B15" s="109" t="inlineStr">
        <is>
          <t>命运之轮</t>
        </is>
      </c>
      <c r="C15" s="91" t="inlineStr">
        <is>
          <t>规则</t>
        </is>
      </c>
      <c r="D15" s="91" t="inlineStr">
        <is>
          <t>稀有</t>
        </is>
      </c>
      <c r="E15" s="91" t="inlineStr">
        <is>
          <t>第7发子弹触发额外效果</t>
        </is>
      </c>
      <c r="F15" s="91" t="inlineStr">
        <is>
          <t>选择一个枪身，第 7 发子弹伤害翻倍并引发小爆炸</t>
        </is>
      </c>
      <c r="G15" s="91" t="inlineStr">
        <is>
          <t>塔内旧式计数器只承认第七次脉冲，并把那一发标记为异常。</t>
        </is>
      </c>
      <c r="H15" s="91" t="inlineStr">
        <is>
          <t>[Codex补充]</t>
        </is>
      </c>
      <c r="I15" s="91" t="inlineStr">
        <is>
          <t>select=GUNBODY</t>
        </is>
      </c>
      <c r="J15" s="91" t="inlineStr">
        <is>
          <t>action=EVERY_NTH_FIRE；bonus_effect=small_explosion；damage_multiplier=2；nth=7</t>
        </is>
      </c>
      <c r="K15" s="91" t="inlineStr">
        <is>
          <t>门后命运/三选一/工作台共用卡池</t>
        </is>
      </c>
      <c r="L15" s="91" t="inlineStr">
        <is>
          <t>[已实装]</t>
        </is>
      </c>
      <c r="M15" s="91" t="inlineStr">
        <is>
          <t>[部分实装] 塔罗名称、正/逆位效果快照与通用执行已接入；复杂逆位专属行为继续逐卡QA</t>
        </is>
      </c>
      <c r="N15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5" s="91" t="inlineStr">
        <is>
          <t>迁移前名称：每第七发；稳定ID不变，旧存档迁移为正位，不重投方位</t>
        </is>
      </c>
      <c r="P15" s="112" t="inlineStr">
        <is>
          <t>WEAPON</t>
        </is>
      </c>
      <c r="Q15" s="91" t="inlineStr">
        <is>
          <t>占目标枪械下一个永久命运槽；按序追加、不可拆卸/替换/回退</t>
        </is>
      </c>
      <c r="R15" s="91" t="inlineStr">
        <is>
          <t>[已实装] 塔罗名称、50/50方位、正逆位同ID、代码翻牌、整卡倒置、逆位描述替换与方位持久化已接入</t>
        </is>
      </c>
      <c r="S15" s="91" t="inlineStr">
        <is>
          <t>★ 星星命运｜命运之轮｜翻牌后显示正位/逆位、目标、槽位与对应功能</t>
        </is>
      </c>
      <c r="T15" s="91" t="inlineStr">
        <is>
          <t>卡背绕Y轴翻面；逆位整张正面卡牌（含边框、图案、文字与布局）收束180°，并显示逆位效果描述；第7发枪身、弹体和枪口焰同时高亮，命中使用专属反馈</t>
        </is>
      </c>
      <c r="U15" s="91" t="inlineStr">
        <is>
          <t>[部分实装] 通用卡背/翻牌/逆位倒置已验收；逐卡逆位专属VFX与音效继续QA</t>
        </is>
      </c>
      <c r="V15" s="91" t="inlineStr">
        <is>
          <t>每第七发</t>
        </is>
      </c>
      <c r="W15" s="103" t="inlineStr">
        <is>
          <t>X</t>
        </is>
      </c>
      <c r="X15" s="103" t="inlineStr">
        <is>
          <t>MAJOR</t>
        </is>
      </c>
      <c r="Y15" s="103" t="inlineStr">
        <is>
          <t>MAJOR</t>
        </is>
      </c>
      <c r="Z15" s="165" t="n">
        <v>0.5</v>
      </c>
      <c r="AA15" s="165" t="n">
        <v>0.5</v>
      </c>
      <c r="AB15" s="118" t="inlineStr">
        <is>
          <t>选择一个枪身，第 7 发子弹伤害翻倍并引发小爆炸</t>
        </is>
      </c>
      <c r="AC15" s="118" t="inlineStr">
        <is>
          <t>action=EVERY_NTH_FIRE；bonus_effect=small_explosion；damage_multiplier=2；nth=7</t>
        </is>
      </c>
      <c r="AD15" s="115" t="inlineStr">
        <is>
          <t>每次换弹后第1发×2.5，弹匣-20%</t>
        </is>
      </c>
      <c r="AE15" s="115" t="inlineStr">
        <is>
          <t>action=EVERY_RELOAD_FIRST; damage_multiplier=2.5; magazine_multiplier=0.8</t>
        </is>
      </c>
      <c r="AF15" s="122" t="inlineStr">
        <is>
          <t>0.00s卡背→0.24s薄边换面→0.42s收束；逆位图案/框体180°，卡名、天体、方位标签和说明文字0°；0.62s后可点</t>
        </is>
      </c>
      <c r="AG15" s="123" t="inlineStr">
        <is>
          <t>[设计完成/数据已入表/运行时待施工]</t>
        </is>
      </c>
    </row>
    <row r="16" ht="52" customHeight="1" s="135">
      <c r="A16" s="106" t="inlineStr">
        <is>
          <t>fate_sun_trial</t>
        </is>
      </c>
      <c r="B16" s="109" t="inlineStr">
        <is>
          <t>正义</t>
        </is>
      </c>
      <c r="C16" s="91" t="inlineStr">
        <is>
          <t>诅咒</t>
        </is>
      </c>
      <c r="D16" s="91" t="inlineStr">
        <is>
          <t>传说</t>
        </is>
      </c>
      <c r="E16" s="91" t="inlineStr">
        <is>
          <t>强敌双倍魂</t>
        </is>
      </c>
      <c r="F16" s="91" t="inlineStr">
        <is>
          <t>下一个敌对房间敌人伤害+25%，其魂掉落×2</t>
        </is>
      </c>
      <c r="G16" s="91" t="inlineStr">
        <is>
          <t>烈日要求用更危险的一战证明资格，并用双倍魂回报胜者。</t>
        </is>
      </c>
      <c r="H16" s="91" t="inlineStr">
        <is>
          <t>[用户设计]</t>
        </is>
      </c>
      <c r="I16" s="91" t="n"/>
      <c r="J16" s="91" t="inlineStr">
        <is>
          <t>action=APPLY_SCOPED_MODIFIER；modifier=next_room_trial；damage_multiplier=1.25；currency_multiplier=2</t>
        </is>
      </c>
      <c r="K16" s="91" t="inlineStr">
        <is>
          <t>门后命运/三选一/工作台共用正式卡池</t>
        </is>
      </c>
      <c r="L16" s="91" t="inlineStr">
        <is>
          <t>[已实装]</t>
        </is>
      </c>
      <c r="M16" s="91" t="inlineStr">
        <is>
          <t>[部分实装] 塔罗名称、正/逆位效果快照与通用执行已接入；复杂逆位专属行为继续逐卡QA</t>
        </is>
      </c>
      <c r="N16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6" s="91" t="inlineStr">
        <is>
          <t>迁移前名称：烈日试炼；稳定ID不变，旧存档迁移为正位，不重投方位</t>
        </is>
      </c>
      <c r="P16" s="112" t="inlineStr">
        <is>
          <t>WORLD</t>
        </is>
      </c>
      <c r="Q16" s="91" t="inlineStr">
        <is>
          <t>不占武器槽；写入行动/房间/掉落/撤离规则状态</t>
        </is>
      </c>
      <c r="R16" s="91" t="inlineStr">
        <is>
          <t>[已实装] 塔罗名称、50/50方位、正逆位同ID、代码翻牌、整卡倒置、逆位描述替换与方位持久化已接入</t>
        </is>
      </c>
      <c r="S16" s="91" t="inlineStr">
        <is>
          <t>☀ 太阳命运｜正义｜翻牌后显示正位/逆位、目标、槽位与对应功能</t>
        </is>
      </c>
      <c r="T16" s="91" t="inlineStr">
        <is>
          <t>卡背绕Y轴翻面；逆位整张正面卡牌（含边框、图案、文字与布局）收束180°，并显示逆位效果描述；下一敌对房敌伤乘1.25、魂乘2；风险与收益同时消费</t>
        </is>
      </c>
      <c r="U16" s="91" t="inlineStr">
        <is>
          <t>[部分实装] 通用卡背/翻牌/逆位倒置已验收；逐卡逆位专属VFX与音效继续QA</t>
        </is>
      </c>
      <c r="V16" s="91" t="inlineStr">
        <is>
          <t>烈日试炼</t>
        </is>
      </c>
      <c r="W16" s="103" t="inlineStr">
        <is>
          <t>XI</t>
        </is>
      </c>
      <c r="X16" s="103" t="inlineStr">
        <is>
          <t>MAJOR</t>
        </is>
      </c>
      <c r="Y16" s="103" t="inlineStr">
        <is>
          <t>MAJOR</t>
        </is>
      </c>
      <c r="Z16" s="165" t="n">
        <v>0.5</v>
      </c>
      <c r="AA16" s="165" t="n">
        <v>0.5</v>
      </c>
      <c r="AB16" s="118" t="inlineStr">
        <is>
          <t>下一个敌对房间敌人伤害+25%，其魂掉落×2</t>
        </is>
      </c>
      <c r="AC16" s="118" t="inlineStr">
        <is>
          <t>action=APPLY_SCOPED_MODIFIER；modifier=next_room_trial；damage_multiplier=1.25；currency_multiplier=2</t>
        </is>
      </c>
      <c r="AD16" s="115" t="inlineStr">
        <is>
          <t>下房敌伤-20%、魂×0.5</t>
        </is>
      </c>
      <c r="AE16" s="115" t="inlineStr">
        <is>
          <t>action=APPLY_SCOPED_MODIFIER; modifier=next_room_safe_trial; damage_multiplier=0.8; currency_multiplier=0.5</t>
        </is>
      </c>
      <c r="AF16" s="122" t="inlineStr">
        <is>
          <t>0.00s卡背→0.24s薄边换面→0.42s收束；逆位图案/框体180°，卡名、天体、方位标签和说明文字0°；0.62s后可点</t>
        </is>
      </c>
      <c r="AG16" s="123" t="inlineStr">
        <is>
          <t>[设计完成/数据已入表/运行时待施工]</t>
        </is>
      </c>
    </row>
    <row r="17" ht="52" customHeight="1" s="135">
      <c r="A17" s="106" t="inlineStr">
        <is>
          <t>fate_moon_guard</t>
        </is>
      </c>
      <c r="B17" s="109" t="inlineStr">
        <is>
          <t>倒吊人</t>
        </is>
      </c>
      <c r="C17" s="91" t="inlineStr">
        <is>
          <t>强化</t>
        </is>
      </c>
      <c r="D17" s="91" t="inlineStr">
        <is>
          <t>史诗</t>
        </is>
      </c>
      <c r="E17" s="91" t="inlineStr">
        <is>
          <t>受伤-12%</t>
        </is>
      </c>
      <c r="F17" s="91" t="inlineStr">
        <is>
          <t>本局角色受到的伤害降低12%</t>
        </is>
      </c>
      <c r="G17" s="91" t="inlineStr">
        <is>
          <t>银色月壳在冲击抵达前分走一部分力量。</t>
        </is>
      </c>
      <c r="H17" s="91" t="inlineStr">
        <is>
          <t>[用户设计]</t>
        </is>
      </c>
      <c r="I17" s="91" t="n"/>
      <c r="J17" s="91" t="inlineStr">
        <is>
          <t>action=APPLY_SCOPED_MODIFIER；modifier=damage_taken；multiplier=0.88</t>
        </is>
      </c>
      <c r="K17" s="91" t="inlineStr">
        <is>
          <t>门后命运/三选一/工作台共用正式卡池</t>
        </is>
      </c>
      <c r="L17" s="91" t="inlineStr">
        <is>
          <t>[已实装]</t>
        </is>
      </c>
      <c r="M17" s="91" t="inlineStr">
        <is>
          <t>[部分实装] 塔罗名称、正/逆位效果快照与通用执行已接入；复杂逆位专属行为继续逐卡QA</t>
        </is>
      </c>
      <c r="N17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7" s="91" t="inlineStr">
        <is>
          <t>迁移前名称：银月护体；稳定ID不变，旧存档迁移为正位，不重投方位</t>
        </is>
      </c>
      <c r="P17" s="112" t="inlineStr">
        <is>
          <t>CHARACTER</t>
        </is>
      </c>
      <c r="Q17" s="91" t="inlineStr">
        <is>
          <t>不占武器槽；写入角色局内规则状态</t>
        </is>
      </c>
      <c r="R17" s="91" t="inlineStr">
        <is>
          <t>[已实装] 塔罗名称、50/50方位、正逆位同ID、代码翻牌、整卡倒置、逆位描述替换与方位持久化已接入</t>
        </is>
      </c>
      <c r="S17" s="91" t="inlineStr">
        <is>
          <t>☾ 月亮命运｜倒吊人｜翻牌后显示正位/逆位、目标、槽位与对应功能</t>
        </is>
      </c>
      <c r="T17" s="91" t="inlineStr">
        <is>
          <t>卡背绕Y轴翻面；逆位整张正面卡牌（含边框、图案、文字与布局）收束180°，并显示逆位效果描述；受击结算乘以0.88，角色状态常驻可见</t>
        </is>
      </c>
      <c r="U17" s="91" t="inlineStr">
        <is>
          <t>[部分实装] 通用卡背/翻牌/逆位倒置已验收；逐卡逆位专属VFX与音效继续QA</t>
        </is>
      </c>
      <c r="V17" s="91" t="inlineStr">
        <is>
          <t>银月护体</t>
        </is>
      </c>
      <c r="W17" s="103" t="inlineStr">
        <is>
          <t>XII</t>
        </is>
      </c>
      <c r="X17" s="103" t="inlineStr">
        <is>
          <t>MAJOR</t>
        </is>
      </c>
      <c r="Y17" s="103" t="inlineStr">
        <is>
          <t>MAJOR</t>
        </is>
      </c>
      <c r="Z17" s="165" t="n">
        <v>0.5</v>
      </c>
      <c r="AA17" s="165" t="n">
        <v>0.5</v>
      </c>
      <c r="AB17" s="118" t="inlineStr">
        <is>
          <t>本局角色受到的伤害降低12%</t>
        </is>
      </c>
      <c r="AC17" s="118" t="inlineStr">
        <is>
          <t>action=APPLY_SCOPED_MODIFIER；modifier=damage_taken；multiplier=0.88</t>
        </is>
      </c>
      <c r="AD17" s="115" t="inlineStr">
        <is>
          <t>受伤+8%，反射15%实际伤害</t>
        </is>
      </c>
      <c r="AE17" s="115" t="inlineStr">
        <is>
          <t>action=APPLY_SCOPED_MODIFIER; modifier=damage_reflect_trade; damage_taken_multiplier=1.08; reflect_ratio=0.15</t>
        </is>
      </c>
      <c r="AF17" s="122" t="inlineStr">
        <is>
          <t>0.00s卡背→0.24s薄边换面→0.42s收束；逆位图案/框体180°，卡名、天体、方位标签和说明文字0°；0.62s后可点</t>
        </is>
      </c>
      <c r="AG17" s="123" t="inlineStr">
        <is>
          <t>[设计完成/数据已入表/运行时待施工]</t>
        </is>
      </c>
    </row>
    <row r="18" ht="52" customHeight="1" s="135">
      <c r="A18" s="106" t="inlineStr">
        <is>
          <t>fate_gluttony</t>
        </is>
      </c>
      <c r="B18" s="109" t="inlineStr">
        <is>
          <t>死神</t>
        </is>
      </c>
      <c r="C18" s="91" t="inlineStr">
        <is>
          <t>诅咒</t>
        </is>
      </c>
      <c r="D18" s="91" t="inlineStr">
        <is>
          <t>禁忌</t>
        </is>
      </c>
      <c r="E18" s="91" t="inlineStr">
        <is>
          <t>每次命中子弹变大，伤害变高</t>
        </is>
      </c>
      <c r="F18" s="91" t="inlineStr">
        <is>
          <t>选择一个子弹，每次命中敌人后子弹伤害和体积增加 15%，最大可叠加 5 次</t>
        </is>
      </c>
      <c r="G18" s="91" t="inlineStr">
        <is>
          <t>每次命中都让弹体吞下一部分猎物，直到体积与力量达到极限。</t>
        </is>
      </c>
      <c r="H18" s="91" t="inlineStr">
        <is>
          <t>[Codex补充]</t>
        </is>
      </c>
      <c r="I18" s="91" t="inlineStr">
        <is>
          <t>select=BULLET</t>
        </is>
      </c>
      <c r="J18" s="91" t="inlineStr">
        <is>
          <t>action=SIZE_GROWTH；damage_per_hit=0.15；max_stacks=5；scale_per_hit=0.12</t>
        </is>
      </c>
      <c r="K18" s="91" t="inlineStr">
        <is>
          <t>门后命运/三选一/工作台共用卡池</t>
        </is>
      </c>
      <c r="L18" s="91" t="inlineStr">
        <is>
          <t>[已实装]</t>
        </is>
      </c>
      <c r="M18" s="91" t="inlineStr">
        <is>
          <t>[部分实装] 塔罗名称、正/逆位效果快照与通用执行已接入；复杂逆位专属行为继续逐卡QA</t>
        </is>
      </c>
      <c r="N18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8" s="91" t="inlineStr">
        <is>
          <t>迁移前名称：火力暴食；稳定ID不变，旧存档迁移为正位，不重投方位</t>
        </is>
      </c>
      <c r="P18" s="112" t="inlineStr">
        <is>
          <t>WEAPON</t>
        </is>
      </c>
      <c r="Q18" s="91" t="inlineStr">
        <is>
          <t>占目标枪械下一个永久命运槽；按序追加、不可拆卸/替换/回退</t>
        </is>
      </c>
      <c r="R18" s="91" t="inlineStr">
        <is>
          <t>[已实装] 塔罗名称、50/50方位、正逆位同ID、代码翻牌、整卡倒置、逆位描述替换与方位持久化已接入</t>
        </is>
      </c>
      <c r="S18" s="91" t="inlineStr">
        <is>
          <t>★ 星星命运｜死神｜翻牌后显示正位/逆位、目标、槽位与对应功能</t>
        </is>
      </c>
      <c r="T18" s="91" t="inlineStr">
        <is>
          <t>卡背绕Y轴翻面；逆位整张正面卡牌（含边框、图案、文字与布局）收束180°，并显示逆位效果描述；弹体或节点随层数渐进增大；HUD层数与尺寸变化同步，满层明显收束</t>
        </is>
      </c>
      <c r="U18" s="91" t="inlineStr">
        <is>
          <t>[部分实装] 通用卡背/翻牌/逆位倒置已验收；逐卡逆位专属VFX与音效继续QA</t>
        </is>
      </c>
      <c r="V18" s="91" t="inlineStr">
        <is>
          <t>火力暴食</t>
        </is>
      </c>
      <c r="W18" s="103" t="inlineStr">
        <is>
          <t>XIII</t>
        </is>
      </c>
      <c r="X18" s="103" t="inlineStr">
        <is>
          <t>MAJOR</t>
        </is>
      </c>
      <c r="Y18" s="103" t="inlineStr">
        <is>
          <t>MAJOR</t>
        </is>
      </c>
      <c r="Z18" s="165" t="n">
        <v>0.5</v>
      </c>
      <c r="AA18" s="165" t="n">
        <v>0.5</v>
      </c>
      <c r="AB18" s="118" t="inlineStr">
        <is>
          <t>选择一个子弹，每次命中敌人后子弹伤害和体积增加 15%，最大可叠加 5 次</t>
        </is>
      </c>
      <c r="AC18" s="118" t="inlineStr">
        <is>
          <t>action=SIZE_GROWTH；damage_per_hit=0.15；max_stacks=5；scale_per_hit=0.12</t>
        </is>
      </c>
      <c r="AD18" s="115" t="inlineStr">
        <is>
          <t>未命中时成长，下次命中消耗全部层数</t>
        </is>
      </c>
      <c r="AE18" s="115" t="inlineStr">
        <is>
          <t>action=SIZE_GROWTH_ON_MISS; damage_per_stack=0.15; scale_per_stack=0.12; max_stacks=5; consume_on_hit=true</t>
        </is>
      </c>
      <c r="AF18" s="122" t="inlineStr">
        <is>
          <t>0.00s卡背→0.24s薄边换面→0.42s收束；逆位图案/框体180°，卡名、天体、方位标签和说明文字0°；0.62s后可点</t>
        </is>
      </c>
      <c r="AG18" s="123" t="inlineStr">
        <is>
          <t>[设计完成/数据已入表/运行时待施工]</t>
        </is>
      </c>
    </row>
    <row r="19" ht="52" customHeight="1" s="135">
      <c r="A19" s="106" t="inlineStr">
        <is>
          <t>fate_sun_scorch</t>
        </is>
      </c>
      <c r="B19" s="109" t="inlineStr">
        <is>
          <t>节制</t>
        </is>
      </c>
      <c r="C19" s="91" t="inlineStr">
        <is>
          <t>规则</t>
        </is>
      </c>
      <c r="D19" s="91" t="inlineStr">
        <is>
          <t>史诗</t>
        </is>
      </c>
      <c r="E19" s="91" t="inlineStr">
        <is>
          <t>下房敌血-20%</t>
        </is>
      </c>
      <c r="F19" s="91" t="inlineStr">
        <is>
          <t>下一个敌对房间的敌人最大生命降低20%</t>
        </is>
      </c>
      <c r="G19" s="91" t="inlineStr">
        <is>
          <t>天火先扫过下一战区，让尚未现身的敌群带着灼伤入场。</t>
        </is>
      </c>
      <c r="H19" s="91" t="inlineStr">
        <is>
          <t>[用户设计]</t>
        </is>
      </c>
      <c r="I19" s="91" t="n"/>
      <c r="J19" s="91" t="inlineStr">
        <is>
          <t>action=APPLY_SCOPED_MODIFIER；modifier=next_room_enemy_hp；multiplier=0.8</t>
        </is>
      </c>
      <c r="K19" s="91" t="inlineStr">
        <is>
          <t>门后命运/三选一/工作台共用正式卡池</t>
        </is>
      </c>
      <c r="L19" s="91" t="inlineStr">
        <is>
          <t>[已实装]</t>
        </is>
      </c>
      <c r="M19" s="91" t="inlineStr">
        <is>
          <t>[部分实装] 塔罗名称、正/逆位效果快照与通用执行已接入；复杂逆位专属行为继续逐卡QA</t>
        </is>
      </c>
      <c r="N19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9" s="91" t="inlineStr">
        <is>
          <t>迁移前名称：天火灼地；稳定ID不变，旧存档迁移为正位，不重投方位</t>
        </is>
      </c>
      <c r="P19" s="112" t="inlineStr">
        <is>
          <t>WORLD</t>
        </is>
      </c>
      <c r="Q19" s="91" t="inlineStr">
        <is>
          <t>不占武器槽；写入行动/房间/掉落/撤离规则状态</t>
        </is>
      </c>
      <c r="R19" s="91" t="inlineStr">
        <is>
          <t>[已实装] 塔罗名称、50/50方位、正逆位同ID、代码翻牌、整卡倒置、逆位描述替换与方位持久化已接入</t>
        </is>
      </c>
      <c r="S19" s="91" t="inlineStr">
        <is>
          <t>☀ 太阳命运｜节制｜翻牌后显示正位/逆位、目标、槽位与对应功能</t>
        </is>
      </c>
      <c r="T19" s="91" t="inlineStr">
        <is>
          <t>卡背绕Y轴翻面；逆位整张正面卡牌（含边框、图案、文字与布局）收束180°，并显示逆位效果描述；下一敌对房所有波次按0.8最大生命生成，随后清除待用状态</t>
        </is>
      </c>
      <c r="U19" s="91" t="inlineStr">
        <is>
          <t>[部分实装] 通用卡背/翻牌/逆位倒置已验收；逐卡逆位专属VFX与音效继续QA</t>
        </is>
      </c>
      <c r="V19" s="91" t="inlineStr">
        <is>
          <t>天火灼地</t>
        </is>
      </c>
      <c r="W19" s="103" t="inlineStr">
        <is>
          <t>XIV</t>
        </is>
      </c>
      <c r="X19" s="103" t="inlineStr">
        <is>
          <t>MAJOR</t>
        </is>
      </c>
      <c r="Y19" s="103" t="inlineStr">
        <is>
          <t>MAJOR</t>
        </is>
      </c>
      <c r="Z19" s="165" t="n">
        <v>0.5</v>
      </c>
      <c r="AA19" s="165" t="n">
        <v>0.5</v>
      </c>
      <c r="AB19" s="118" t="inlineStr">
        <is>
          <t>下一个敌对房间的敌人最大生命降低20%</t>
        </is>
      </c>
      <c r="AC19" s="118" t="inlineStr">
        <is>
          <t>action=APPLY_SCOPED_MODIFIER；modifier=next_room_enemy_hp；multiplier=0.8</t>
        </is>
      </c>
      <c r="AD19" s="115" t="inlineStr">
        <is>
          <t>下房敌血+20%，敌伤-20%</t>
        </is>
      </c>
      <c r="AE19" s="115" t="inlineStr">
        <is>
          <t>action=APPLY_SCOPED_MODIFIER; modifier=next_room_endurance; hp_multiplier=1.2; damage_multiplier=0.8</t>
        </is>
      </c>
      <c r="AF19" s="122" t="inlineStr">
        <is>
          <t>0.00s卡背→0.24s薄边换面→0.42s收束；逆位图案/框体180°，卡名、天体、方位标签和说明文字0°；0.62s后可点</t>
        </is>
      </c>
      <c r="AG19" s="123" t="inlineStr">
        <is>
          <t>[设计完成/数据已入表/运行时待施工]</t>
        </is>
      </c>
    </row>
    <row r="20" ht="52" customHeight="1" s="135">
      <c r="A20" s="106" t="inlineStr">
        <is>
          <t>fate_out_of_control</t>
        </is>
      </c>
      <c r="B20" s="109" t="inlineStr">
        <is>
          <t>恶魔</t>
        </is>
      </c>
      <c r="C20" s="91" t="inlineStr">
        <is>
          <t>诅咒</t>
        </is>
      </c>
      <c r="D20" s="91" t="inlineStr">
        <is>
          <t>禁忌</t>
        </is>
      </c>
      <c r="E20" s="91" t="inlineStr">
        <is>
          <t>子弹上的枪随机乱射</t>
        </is>
      </c>
      <c r="F20" s="91" t="inlineStr">
        <is>
          <t>选择一个子弹，携带的枪会随机乱射，射击方向完全随机，伤害提升 30%</t>
        </is>
      </c>
      <c r="G20" s="91" t="inlineStr">
        <is>
          <t>失控的附属枪不再等待瞄准，用更高伤害换取完全不可预测的方向。</t>
        </is>
      </c>
      <c r="H20" s="91" t="inlineStr">
        <is>
          <t>[Codex补充]</t>
        </is>
      </c>
      <c r="I20" s="91" t="inlineStr">
        <is>
          <t>require_gun=true；select=BULLET</t>
        </is>
      </c>
      <c r="J20" s="91" t="inlineStr">
        <is>
          <t>action=OUT_OF_CONTROL；damage_scale=1.3；fire_rate_scale=2；spread_angle=360</t>
        </is>
      </c>
      <c r="K20" s="91" t="inlineStr">
        <is>
          <t>门后命运/三选一/工作台共用卡池</t>
        </is>
      </c>
      <c r="L20" s="91" t="inlineStr">
        <is>
          <t>[已实装]</t>
        </is>
      </c>
      <c r="M20" s="91" t="inlineStr">
        <is>
          <t>[部分实装] 塔罗名称、正/逆位效果快照与通用执行已接入；复杂逆位专属行为继续逐卡QA</t>
        </is>
      </c>
      <c r="N2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0" s="91" t="inlineStr">
        <is>
          <t>迁移前名称：管不住了；稳定ID不变，旧存档迁移为正位，不重投方位</t>
        </is>
      </c>
      <c r="P20" s="112" t="inlineStr">
        <is>
          <t>WEAPON</t>
        </is>
      </c>
      <c r="Q20" s="91" t="inlineStr">
        <is>
          <t>占目标枪械下一个永久命运槽；按序追加、不可拆卸/替换/回退</t>
        </is>
      </c>
      <c r="R20" s="91" t="inlineStr">
        <is>
          <t>[已实装] 塔罗名称、50/50方位、正逆位同ID、代码翻牌、整卡倒置、逆位描述替换与方位持久化已接入</t>
        </is>
      </c>
      <c r="S20" s="91" t="inlineStr">
        <is>
          <t>★ 星星命运｜恶魔｜翻牌后显示正位/逆位、目标、槽位与对应功能</t>
        </is>
      </c>
      <c r="T20" s="91" t="inlineStr">
        <is>
          <t>卡背绕Y轴翻面；逆位整张正面卡牌（含边框、图案、文字与布局）收束180°，并显示逆位效果描述；枪身警示脉冲、异常后坐/弹道与危险音色对应真实失控规则</t>
        </is>
      </c>
      <c r="U20" s="91" t="inlineStr">
        <is>
          <t>[部分实装] 通用卡背/翻牌/逆位倒置已验收；逐卡逆位专属VFX与音效继续QA</t>
        </is>
      </c>
      <c r="V20" s="91" t="inlineStr">
        <is>
          <t>管不住了</t>
        </is>
      </c>
      <c r="W20" s="103" t="inlineStr">
        <is>
          <t>XV</t>
        </is>
      </c>
      <c r="X20" s="103" t="inlineStr">
        <is>
          <t>MAJOR</t>
        </is>
      </c>
      <c r="Y20" s="103" t="inlineStr">
        <is>
          <t>MAJOR</t>
        </is>
      </c>
      <c r="Z20" s="165" t="n">
        <v>0.5</v>
      </c>
      <c r="AA20" s="165" t="n">
        <v>0.5</v>
      </c>
      <c r="AB20" s="118" t="inlineStr">
        <is>
          <t>选择一个子弹，携带的枪会随机乱射，射击方向完全随机，伤害提升 30%</t>
        </is>
      </c>
      <c r="AC20" s="118" t="inlineStr">
        <is>
          <t>action=OUT_OF_CONTROL；damage_scale=1.3；fire_rate_scale=2；spread_angle=360</t>
        </is>
      </c>
      <c r="AD20" s="115" t="inlineStr">
        <is>
          <t>乱射收束为90°锥形，射速更高但后坐增大</t>
        </is>
      </c>
      <c r="AE20" s="115" t="inlineStr">
        <is>
          <t>action=OUT_OF_CONTROL; spread_angle=90; fire_rate_scale=2.5; damage_scale=1.15; recoil_scale=1.5</t>
        </is>
      </c>
      <c r="AF20" s="122" t="inlineStr">
        <is>
          <t>0.00s卡背→0.24s薄边换面→0.42s收束；逆位图案/框体180°，卡名、天体、方位标签和说明文字0°；0.62s后可点</t>
        </is>
      </c>
      <c r="AG20" s="123" t="inlineStr">
        <is>
          <t>[设计完成/数据已入表/运行时待施工]</t>
        </is>
      </c>
    </row>
    <row r="21" ht="52" customHeight="1" s="135">
      <c r="A21" s="106" t="inlineStr">
        <is>
          <t>fate_explode_reload</t>
        </is>
      </c>
      <c r="B21" s="109" t="inlineStr">
        <is>
          <t>高塔</t>
        </is>
      </c>
      <c r="C21" s="91" t="inlineStr">
        <is>
          <t>诅咒</t>
        </is>
      </c>
      <c r="D21" s="91" t="inlineStr">
        <is>
          <t>禁忌</t>
        </is>
      </c>
      <c r="E21" s="91" t="inlineStr">
        <is>
          <t>换弹时对周围造成爆炸伤害</t>
        </is>
      </c>
      <c r="F21" s="91" t="inlineStr">
        <is>
          <t>选择一个枪身，换弹时对周围 150 范围内的敌人造成 80% 伤害的爆炸，但换弹时间增加 0.5 秒</t>
        </is>
      </c>
      <c r="G21" s="91" t="inlineStr">
        <is>
          <t>被排出的热量在换弹瞬间释放，保护了空窗，也延长了空窗。</t>
        </is>
      </c>
      <c r="H21" s="91" t="inlineStr">
        <is>
          <t>[Codex补充]</t>
        </is>
      </c>
      <c r="I21" s="91" t="inlineStr">
        <is>
          <t>select=GUNBODY</t>
        </is>
      </c>
      <c r="J21" s="91" t="inlineStr">
        <is>
          <t>action=EXPLODE_ON_RELOAD；explosion_damage=0.8；explosion_radius=150；reload_penalty=0.5</t>
        </is>
      </c>
      <c r="K21" s="91" t="inlineStr">
        <is>
          <t>门后命运/三选一/工作台共用卡池</t>
        </is>
      </c>
      <c r="L21" s="91" t="inlineStr">
        <is>
          <t>[已实装]</t>
        </is>
      </c>
      <c r="M21" s="91" t="inlineStr">
        <is>
          <t>[部分实装] 塔罗名称、正/逆位效果快照与通用执行已接入；复杂逆位专属行为继续逐卡QA</t>
        </is>
      </c>
      <c r="N21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1" s="91" t="inlineStr">
        <is>
          <t>迁移前名称：换弹爆炸；稳定ID不变，旧存档迁移为正位，不重投方位</t>
        </is>
      </c>
      <c r="P21" s="112" t="inlineStr">
        <is>
          <t>WEAPON</t>
        </is>
      </c>
      <c r="Q21" s="91" t="inlineStr">
        <is>
          <t>占目标枪械下一个永久命运槽；按序追加、不可拆卸/替换/回退</t>
        </is>
      </c>
      <c r="R21" s="91" t="inlineStr">
        <is>
          <t>[已实装] 塔罗名称、50/50方位、正逆位同ID、代码翻牌、整卡倒置、逆位描述替换与方位持久化已接入</t>
        </is>
      </c>
      <c r="S21" s="91" t="inlineStr">
        <is>
          <t>★ 星星命运｜高塔｜翻牌后显示正位/逆位、目标、槽位与对应功能</t>
        </is>
      </c>
      <c r="T21" s="91" t="inlineStr">
        <is>
          <t>卡背绕Y轴翻面；逆位整张正面卡牌（含边框、图案、文字与布局）收束180°，并显示逆位效果描述；换弹开始显示范围圈与充能，结算时爆炸VFX/音效和伤害时点一致</t>
        </is>
      </c>
      <c r="U21" s="91" t="inlineStr">
        <is>
          <t>[部分实装] 通用卡背/翻牌/逆位倒置已验收；逐卡逆位专属VFX与音效继续QA</t>
        </is>
      </c>
      <c r="V21" s="91" t="inlineStr">
        <is>
          <t>换弹爆炸</t>
        </is>
      </c>
      <c r="W21" s="103" t="inlineStr">
        <is>
          <t>XVI</t>
        </is>
      </c>
      <c r="X21" s="103" t="inlineStr">
        <is>
          <t>MAJOR</t>
        </is>
      </c>
      <c r="Y21" s="103" t="inlineStr">
        <is>
          <t>MAJOR</t>
        </is>
      </c>
      <c r="Z21" s="165" t="n">
        <v>0.5</v>
      </c>
      <c r="AA21" s="165" t="n">
        <v>0.5</v>
      </c>
      <c r="AB21" s="118" t="inlineStr">
        <is>
          <t>选择一个枪身，换弹时对周围 150 范围内的敌人造成 80% 伤害的爆炸，但换弹时间增加 0.5 秒</t>
        </is>
      </c>
      <c r="AC21" s="118" t="inlineStr">
        <is>
          <t>action=EXPLODE_ON_RELOAD；explosion_damage=0.8；explosion_radius=150；reload_penalty=0.5</t>
        </is>
      </c>
      <c r="AD21" s="115" t="inlineStr">
        <is>
          <t>换弹产生低伤吸引爆炸，换弹+0.2秒</t>
        </is>
      </c>
      <c r="AE21" s="115" t="inlineStr">
        <is>
          <t>action=IMPLODE_ON_RELOAD; explosion_damage=0.5; radius=180; pull_strength=1; reload_penalty=0.2</t>
        </is>
      </c>
      <c r="AF21" s="122" t="inlineStr">
        <is>
          <t>0.00s卡背→0.24s薄边换面→0.42s收束；逆位图案/框体180°，卡名、天体、方位标签和说明文字0°；0.62s后可点</t>
        </is>
      </c>
      <c r="AG21" s="123" t="inlineStr">
        <is>
          <t>[设计完成/数据已入表/运行时待施工]</t>
        </is>
      </c>
    </row>
    <row r="22" ht="52" customHeight="1" s="135">
      <c r="A22" s="106" t="inlineStr">
        <is>
          <t>fate_living_bullet</t>
        </is>
      </c>
      <c r="B22" s="109" t="inlineStr">
        <is>
          <t>星星</t>
        </is>
      </c>
      <c r="C22" s="91" t="inlineStr">
        <is>
          <t>变种</t>
        </is>
      </c>
      <c r="D22" s="91" t="inlineStr">
        <is>
          <t>稀有</t>
        </is>
      </c>
      <c r="E22" s="91" t="inlineStr">
        <is>
          <t>子弹会追踪最近的敌人</t>
        </is>
      </c>
      <c r="F22" s="91" t="inlineStr">
        <is>
          <t>选择一个子弹，使其变成追踪弹，自动飞向最近的敌人</t>
        </is>
      </c>
      <c r="G22" s="91" t="inlineStr">
        <is>
          <t>弹体长出了辨认敌意的本能，它不再服从直线，只服从最近的猎物。</t>
        </is>
      </c>
      <c r="H22" s="91" t="inlineStr">
        <is>
          <t>[Codex补充]</t>
        </is>
      </c>
      <c r="I22" s="91" t="inlineStr">
        <is>
          <t>select=BULLET</t>
        </is>
      </c>
      <c r="J22" s="91" t="inlineStr">
        <is>
          <t>action=MUTATE_TO_HOMING；homing_strength=0.6；turn_rate=3</t>
        </is>
      </c>
      <c r="K22" s="91" t="inlineStr">
        <is>
          <t>门后命运/三选一/工作台共用卡池</t>
        </is>
      </c>
      <c r="L22" s="91" t="inlineStr">
        <is>
          <t>[已实装]</t>
        </is>
      </c>
      <c r="M22" s="91" t="inlineStr">
        <is>
          <t>[部分实装] 塔罗名称、正/逆位效果快照与通用执行已接入；复杂逆位专属行为继续逐卡QA</t>
        </is>
      </c>
      <c r="N2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2" s="91" t="inlineStr">
        <is>
          <t>迁移前名称：活过来；稳定ID不变，旧存档迁移为正位，不重投方位</t>
        </is>
      </c>
      <c r="P22" s="112" t="inlineStr">
        <is>
          <t>WEAPON</t>
        </is>
      </c>
      <c r="Q22" s="91" t="inlineStr">
        <is>
          <t>占目标枪械下一个永久命运槽；按序追加、不可拆卸/替换/回退</t>
        </is>
      </c>
      <c r="R22" s="91" t="inlineStr">
        <is>
          <t>[已实装] 塔罗名称、50/50方位、正逆位同ID、代码翻牌、整卡倒置、逆位描述替换与方位持久化已接入</t>
        </is>
      </c>
      <c r="S22" s="91" t="inlineStr">
        <is>
          <t>★ 星星命运｜星星｜翻牌后显示正位/逆位、目标、槽位与对应功能</t>
        </is>
      </c>
      <c r="T22" s="91" t="inlineStr">
        <is>
          <t>卡背绕Y轴翻面；逆位整张正面卡牌（含边框、图案、文字与布局）收束180°，并显示逆位效果描述；弹体获得生命化轮廓与转向动作，尾迹表现主动寻敌而非普通追踪</t>
        </is>
      </c>
      <c r="U22" s="91" t="inlineStr">
        <is>
          <t>[部分实装] 通用卡背/翻牌/逆位倒置已验收；逐卡逆位专属VFX与音效继续QA</t>
        </is>
      </c>
      <c r="V22" s="91" t="inlineStr">
        <is>
          <t>活过来</t>
        </is>
      </c>
      <c r="W22" s="103" t="inlineStr">
        <is>
          <t>XVII</t>
        </is>
      </c>
      <c r="X22" s="103" t="inlineStr">
        <is>
          <t>MAJOR</t>
        </is>
      </c>
      <c r="Y22" s="103" t="inlineStr">
        <is>
          <t>MAJOR</t>
        </is>
      </c>
      <c r="Z22" s="165" t="n">
        <v>0.5</v>
      </c>
      <c r="AA22" s="165" t="n">
        <v>0.5</v>
      </c>
      <c r="AB22" s="118" t="inlineStr">
        <is>
          <t>选择一个子弹，使其变成追踪弹，自动飞向最近的敌人</t>
        </is>
      </c>
      <c r="AC22" s="118" t="inlineStr">
        <is>
          <t>action=MUTATE_TO_HOMING；homing_strength=0.6；turn_rate=3</t>
        </is>
      </c>
      <c r="AD22" s="115" t="inlineStr">
        <is>
          <t>子弹追踪最远可见敌人，伤害+25%</t>
        </is>
      </c>
      <c r="AE22" s="115" t="inlineStr">
        <is>
          <t>action=MUTATE_TO_HOMING; target_policy=FARTHEST_VISIBLE; homing_strength=0.35; damage_scale=1.25</t>
        </is>
      </c>
      <c r="AF22" s="122" t="inlineStr">
        <is>
          <t>0.00s卡背→0.24s薄边换面→0.42s收束；逆位图案/框体180°，卡名、天体、方位标签和说明文字0°；0.62s后可点</t>
        </is>
      </c>
      <c r="AG22" s="123" t="inlineStr">
        <is>
          <t>[设计完成/数据已入表/运行时待施工]</t>
        </is>
      </c>
    </row>
    <row r="23" ht="52" customHeight="1" s="135">
      <c r="A23" s="106" t="inlineStr">
        <is>
          <t>fate_moon_first_hit</t>
        </is>
      </c>
      <c r="B23" s="109" t="inlineStr">
        <is>
          <t>月亮</t>
        </is>
      </c>
      <c r="C23" s="91" t="inlineStr">
        <is>
          <t>规则</t>
        </is>
      </c>
      <c r="D23" s="91" t="inlineStr">
        <is>
          <t>传说</t>
        </is>
      </c>
      <c r="E23" s="91" t="inlineStr">
        <is>
          <t>首次受伤减半</t>
        </is>
      </c>
      <c r="F23" s="91" t="inlineStr">
        <is>
          <t>每个房间第一次受到的伤害降低50%</t>
        </is>
      </c>
      <c r="G23" s="91" t="inlineStr">
        <is>
          <t>静夜只替进入者挡下第一记冲击，随后屏障沉寂。</t>
        </is>
      </c>
      <c r="H23" s="91" t="inlineStr">
        <is>
          <t>[用户设计]</t>
        </is>
      </c>
      <c r="I23" s="91" t="n"/>
      <c r="J23" s="91" t="inlineStr">
        <is>
          <t>action=APPLY_SCOPED_MODIFIER；modifier=first_hit_guard；multiplier=0.5</t>
        </is>
      </c>
      <c r="K23" s="91" t="inlineStr">
        <is>
          <t>门后命运/三选一/工作台共用正式卡池</t>
        </is>
      </c>
      <c r="L23" s="91" t="inlineStr">
        <is>
          <t>[已实装]</t>
        </is>
      </c>
      <c r="M23" s="91" t="inlineStr">
        <is>
          <t>[部分实装] 塔罗名称、正/逆位效果快照与通用执行已接入；复杂逆位专属行为继续逐卡QA</t>
        </is>
      </c>
      <c r="N23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3" s="91" t="inlineStr">
        <is>
          <t>迁移前名称：静夜屏障；稳定ID不变，旧存档迁移为正位，不重投方位</t>
        </is>
      </c>
      <c r="P23" s="112" t="inlineStr">
        <is>
          <t>CHARACTER</t>
        </is>
      </c>
      <c r="Q23" s="91" t="inlineStr">
        <is>
          <t>不占武器槽；写入角色局内规则状态</t>
        </is>
      </c>
      <c r="R23" s="91" t="inlineStr">
        <is>
          <t>[已实装] 塔罗名称、50/50方位、正逆位同ID、代码翻牌、整卡倒置、逆位描述替换与方位持久化已接入</t>
        </is>
      </c>
      <c r="S23" s="91" t="inlineStr">
        <is>
          <t>☾ 月亮命运｜月亮｜翻牌后显示正位/逆位、目标、槽位与对应功能</t>
        </is>
      </c>
      <c r="T23" s="91" t="inlineStr">
        <is>
          <t>卡背绕Y轴翻面；逆位整张正面卡牌（含边框、图案、文字与布局）收束180°，并显示逆位效果描述；首次进入房间重置屏障；第一次受伤后立即消耗</t>
        </is>
      </c>
      <c r="U23" s="91" t="inlineStr">
        <is>
          <t>[部分实装] 通用卡背/翻牌/逆位倒置已验收；逐卡逆位专属VFX与音效继续QA</t>
        </is>
      </c>
      <c r="V23" s="91" t="inlineStr">
        <is>
          <t>静夜屏障</t>
        </is>
      </c>
      <c r="W23" s="103" t="inlineStr">
        <is>
          <t>XVIII</t>
        </is>
      </c>
      <c r="X23" s="103" t="inlineStr">
        <is>
          <t>MAJOR</t>
        </is>
      </c>
      <c r="Y23" s="103" t="inlineStr">
        <is>
          <t>MAJOR</t>
        </is>
      </c>
      <c r="Z23" s="165" t="n">
        <v>0.5</v>
      </c>
      <c r="AA23" s="165" t="n">
        <v>0.5</v>
      </c>
      <c r="AB23" s="118" t="inlineStr">
        <is>
          <t>每个房间第一次受到的伤害降低50%</t>
        </is>
      </c>
      <c r="AC23" s="118" t="inlineStr">
        <is>
          <t>action=APPLY_SCOPED_MODIFIER；modifier=first_hit_guard；multiplier=0.5</t>
        </is>
      </c>
      <c r="AD23" s="115" t="inlineStr">
        <is>
          <t>首次受伤不减免，随后3次受伤-20%</t>
        </is>
      </c>
      <c r="AE23" s="115" t="inlineStr">
        <is>
          <t>action=APPLY_SCOPED_MODIFIER; modifier=delayed_guard; first_hit_multiplier=1; next_hits=3; next_hit_multiplier=0.8</t>
        </is>
      </c>
      <c r="AF23" s="122" t="inlineStr">
        <is>
          <t>0.00s卡背→0.24s薄边换面→0.42s收束；逆位图案/框体180°，卡名、天体、方位标签和说明文字0°；0.62s后可点</t>
        </is>
      </c>
      <c r="AG23" s="123" t="inlineStr">
        <is>
          <t>[设计完成/数据已入表/运行时待施工]</t>
        </is>
      </c>
    </row>
    <row r="24" ht="52" customHeight="1" s="135">
      <c r="A24" s="106" t="inlineStr">
        <is>
          <t>fate_sun_currency</t>
        </is>
      </c>
      <c r="B24" s="109" t="inlineStr">
        <is>
          <t>太阳</t>
        </is>
      </c>
      <c r="C24" s="91" t="inlineStr">
        <is>
          <t>强化</t>
        </is>
      </c>
      <c r="D24" s="91" t="inlineStr">
        <is>
          <t>史诗</t>
        </is>
      </c>
      <c r="E24" s="91" t="inlineStr">
        <is>
          <t>魂获取+30%</t>
        </is>
      </c>
      <c r="F24" s="91" t="inlineStr">
        <is>
          <t>本局之后获得的魂数量提升30%</t>
        </is>
      </c>
      <c r="G24" s="91" t="inlineStr">
        <is>
          <t>太阳把敌人遗留的魂染成金色，让之后的收获更丰厚。</t>
        </is>
      </c>
      <c r="H24" s="91" t="inlineStr">
        <is>
          <t>[用户设计]</t>
        </is>
      </c>
      <c r="I24" s="91" t="n"/>
      <c r="J24" s="91" t="inlineStr">
        <is>
          <t>action=APPLY_SCOPED_MODIFIER；modifier=currency_gain；multiplier=1.3</t>
        </is>
      </c>
      <c r="K24" s="91" t="inlineStr">
        <is>
          <t>门后命运/三选一/工作台共用正式卡池</t>
        </is>
      </c>
      <c r="L24" s="91" t="inlineStr">
        <is>
          <t>[已实装]</t>
        </is>
      </c>
      <c r="M24" s="91" t="inlineStr">
        <is>
          <t>[部分实装] 塔罗名称、正/逆位效果快照与通用执行已接入；复杂逆位专属行为继续逐卡QA</t>
        </is>
      </c>
      <c r="N24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4" s="91" t="inlineStr">
        <is>
          <t>迁移前名称：黄金潮汐；稳定ID不变，旧存档迁移为正位，不重投方位</t>
        </is>
      </c>
      <c r="P24" s="112" t="inlineStr">
        <is>
          <t>WORLD</t>
        </is>
      </c>
      <c r="Q24" s="91" t="inlineStr">
        <is>
          <t>不占武器槽；写入行动/房间/掉落/撤离规则状态</t>
        </is>
      </c>
      <c r="R24" s="91" t="inlineStr">
        <is>
          <t>[已实装] 塔罗名称、50/50方位、正逆位同ID、代码翻牌、整卡倒置、逆位描述替换与方位持久化已接入</t>
        </is>
      </c>
      <c r="S24" s="91" t="inlineStr">
        <is>
          <t>☀ 太阳命运｜太阳｜翻牌后显示正位/逆位、目标、槽位与对应功能</t>
        </is>
      </c>
      <c r="T24" s="91" t="inlineStr">
        <is>
          <t>卡背绕Y轴翻面；逆位整张正面卡牌（含边框、图案、文字与布局）收束180°，并显示逆位效果描述；之后敌人魂掉落乘以1.3；太阳命运常驻栏显示来源</t>
        </is>
      </c>
      <c r="U24" s="91" t="inlineStr">
        <is>
          <t>[部分实装] 通用卡背/翻牌/逆位倒置已验收；逐卡逆位专属VFX与音效继续QA</t>
        </is>
      </c>
      <c r="V24" s="91" t="inlineStr">
        <is>
          <t>黄金潮汐</t>
        </is>
      </c>
      <c r="W24" s="103" t="inlineStr">
        <is>
          <t>XIX</t>
        </is>
      </c>
      <c r="X24" s="103" t="inlineStr">
        <is>
          <t>MAJOR</t>
        </is>
      </c>
      <c r="Y24" s="103" t="inlineStr">
        <is>
          <t>MAJOR</t>
        </is>
      </c>
      <c r="Z24" s="165" t="n">
        <v>0.5</v>
      </c>
      <c r="AA24" s="165" t="n">
        <v>0.5</v>
      </c>
      <c r="AB24" s="118" t="inlineStr">
        <is>
          <t>本局之后获得的魂数量提升30%</t>
        </is>
      </c>
      <c r="AC24" s="118" t="inlineStr">
        <is>
          <t>action=APPLY_SCOPED_MODIFIER；modifier=currency_gain；multiplier=1.3</t>
        </is>
      </c>
      <c r="AD24" s="115" t="inlineStr">
        <is>
          <t>魂获取-15%，每第3件掉落品质+1</t>
        </is>
      </c>
      <c r="AE24" s="115" t="inlineStr">
        <is>
          <t>action=APPLY_SCOPED_MODIFIER; modifier=currency_quality_trade; currency_multiplier=0.85; every_nth_drop=3; rarity_tiers=1</t>
        </is>
      </c>
      <c r="AF24" s="122" t="inlineStr">
        <is>
          <t>0.00s卡背→0.24s薄边换面→0.42s收束；逆位图案/框体180°，卡名、天体、方位标签和说明文字0°；0.62s后可点</t>
        </is>
      </c>
      <c r="AG24" s="123" t="inlineStr">
        <is>
          <t>[设计完成/数据已入表/运行时待施工]</t>
        </is>
      </c>
    </row>
    <row r="25" ht="52" customHeight="1" s="135">
      <c r="A25" s="106" t="inlineStr">
        <is>
          <t>fate_moon_last_stand</t>
        </is>
      </c>
      <c r="B25" s="109" t="inlineStr">
        <is>
          <t>审判</t>
        </is>
      </c>
      <c r="C25" s="91" t="inlineStr">
        <is>
          <t>规则</t>
        </is>
      </c>
      <c r="D25" s="91" t="inlineStr">
        <is>
          <t>传说</t>
        </is>
      </c>
      <c r="E25" s="91" t="inlineStr">
        <is>
          <t>致命伤保留1血</t>
        </is>
      </c>
      <c r="F25" s="91" t="inlineStr">
        <is>
          <t>致命伤改为保留1生命；每张牌提供1次</t>
        </is>
      </c>
      <c r="G25" s="91" t="inlineStr">
        <is>
          <t>残月不会阻止伤害，只在生命归零前留下最后一道弧光。</t>
        </is>
      </c>
      <c r="H25" s="91" t="inlineStr">
        <is>
          <t>[用户设计]</t>
        </is>
      </c>
      <c r="I25" s="91" t="n"/>
      <c r="J25" s="91" t="inlineStr">
        <is>
          <t>action=APPLY_SCOPED_MODIFIER；modifier=last_stand；charges=1</t>
        </is>
      </c>
      <c r="K25" s="91" t="inlineStr">
        <is>
          <t>门后命运/三选一/工作台共用正式卡池</t>
        </is>
      </c>
      <c r="L25" s="91" t="inlineStr">
        <is>
          <t>[已实装]</t>
        </is>
      </c>
      <c r="M25" s="91" t="inlineStr">
        <is>
          <t>[部分实装] 塔罗名称、正/逆位效果快照与通用执行已接入；复杂逆位专属行为继续逐卡QA</t>
        </is>
      </c>
      <c r="N25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5" s="91" t="inlineStr">
        <is>
          <t>迁移前名称：残月不灭；稳定ID不变，旧存档迁移为正位，不重投方位</t>
        </is>
      </c>
      <c r="P25" s="112" t="inlineStr">
        <is>
          <t>CHARACTER</t>
        </is>
      </c>
      <c r="Q25" s="91" t="inlineStr">
        <is>
          <t>不占武器槽；写入角色局内规则状态</t>
        </is>
      </c>
      <c r="R25" s="91" t="inlineStr">
        <is>
          <t>[已实装] 塔罗名称、50/50方位、正逆位同ID、代码翻牌、整卡倒置、逆位描述替换与方位持久化已接入</t>
        </is>
      </c>
      <c r="S25" s="91" t="inlineStr">
        <is>
          <t>☾ 月亮命运｜审判｜翻牌后显示正位/逆位、目标、槽位与对应功能</t>
        </is>
      </c>
      <c r="T25" s="91" t="inlineStr">
        <is>
          <t>卡背绕Y轴翻面；逆位整张正面卡牌（含边框、图案、文字与布局）收束180°，并显示逆位效果描述；致命伤结算保留1血并消费1次；剩余次数保存在角色状态</t>
        </is>
      </c>
      <c r="U25" s="91" t="inlineStr">
        <is>
          <t>[部分实装] 通用卡背/翻牌/逆位倒置已验收；逐卡逆位专属VFX与音效继续QA</t>
        </is>
      </c>
      <c r="V25" s="91" t="inlineStr">
        <is>
          <t>残月不灭</t>
        </is>
      </c>
      <c r="W25" s="103" t="inlineStr">
        <is>
          <t>XX</t>
        </is>
      </c>
      <c r="X25" s="103" t="inlineStr">
        <is>
          <t>MAJOR</t>
        </is>
      </c>
      <c r="Y25" s="103" t="inlineStr">
        <is>
          <t>MAJOR</t>
        </is>
      </c>
      <c r="Z25" s="165" t="n">
        <v>0.5</v>
      </c>
      <c r="AA25" s="165" t="n">
        <v>0.5</v>
      </c>
      <c r="AB25" s="118" t="inlineStr">
        <is>
          <t>致命伤改为保留1生命；每张牌提供1次</t>
        </is>
      </c>
      <c r="AC25" s="118" t="inlineStr">
        <is>
          <t>action=APPLY_SCOPED_MODIFIER；modifier=last_stand；charges=1</t>
        </is>
      </c>
      <c r="AD25" s="115" t="inlineStr">
        <is>
          <t>致命时消耗50魂并恢复25%生命，每张1次</t>
        </is>
      </c>
      <c r="AE25" s="115" t="inlineStr">
        <is>
          <t>action=APPLY_SCOPED_MODIFIER; modifier=paid_last_stand; currency_cost=50; restore_ratio=0.25; charges=1</t>
        </is>
      </c>
      <c r="AF25" s="122" t="inlineStr">
        <is>
          <t>0.00s卡背→0.24s薄边换面→0.42s收束；逆位图案/框体180°，卡名、天体、方位标签和说明文字0°；0.62s后可点</t>
        </is>
      </c>
      <c r="AG25" s="123" t="inlineStr">
        <is>
          <t>[设计完成/数据已入表/运行时待施工]</t>
        </is>
      </c>
    </row>
    <row r="26" ht="52" customHeight="1" s="135">
      <c r="A26" s="106" t="inlineStr">
        <is>
          <t>fate_sun_extraction</t>
        </is>
      </c>
      <c r="B26" s="109" t="inlineStr">
        <is>
          <t>世界</t>
        </is>
      </c>
      <c r="C26" s="91" t="inlineStr">
        <is>
          <t>规则</t>
        </is>
      </c>
      <c r="D26" s="91" t="inlineStr">
        <is>
          <t>传说</t>
        </is>
      </c>
      <c r="E26" s="91" t="inlineStr">
        <is>
          <t>撤离时间-20%</t>
        </is>
      </c>
      <c r="F26" s="91" t="inlineStr">
        <is>
          <t>本局所有撤离同步时间缩短20%</t>
        </is>
      </c>
      <c r="G26" s="91" t="inlineStr">
        <is>
          <t>日落前留下的短暂通道压缩了所有撤离信标的同步过程。</t>
        </is>
      </c>
      <c r="H26" s="91" t="inlineStr">
        <is>
          <t>[用户设计]</t>
        </is>
      </c>
      <c r="I26" s="91" t="n"/>
      <c r="J26" s="91" t="inlineStr">
        <is>
          <t>action=APPLY_SCOPED_MODIFIER；modifier=extraction_time；multiplier=0.8</t>
        </is>
      </c>
      <c r="K26" s="91" t="inlineStr">
        <is>
          <t>门后命运/三选一/工作台共用正式卡池</t>
        </is>
      </c>
      <c r="L26" s="91" t="inlineStr">
        <is>
          <t>[已实装]</t>
        </is>
      </c>
      <c r="M26" s="91" t="inlineStr">
        <is>
          <t>[部分实装] 塔罗名称、正/逆位效果快照与通用执行已接入；复杂逆位专属行为继续逐卡QA</t>
        </is>
      </c>
      <c r="N26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6" s="91" t="inlineStr">
        <is>
          <t>迁移前名称：日落捷径；稳定ID不变，旧存档迁移为正位，不重投方位</t>
        </is>
      </c>
      <c r="P26" s="112" t="inlineStr">
        <is>
          <t>WORLD</t>
        </is>
      </c>
      <c r="Q26" s="91" t="inlineStr">
        <is>
          <t>不占武器槽；写入行动/房间/掉落/撤离规则状态</t>
        </is>
      </c>
      <c r="R26" s="91" t="inlineStr">
        <is>
          <t>[已实装] 塔罗名称、50/50方位、正逆位同ID、代码翻牌、整卡倒置、逆位描述替换与方位持久化已接入</t>
        </is>
      </c>
      <c r="S26" s="91" t="inlineStr">
        <is>
          <t>☀ 太阳命运｜世界｜翻牌后显示正位/逆位、目标、槽位与对应功能</t>
        </is>
      </c>
      <c r="T26" s="91" t="inlineStr">
        <is>
          <t>卡背绕Y轴翻面；逆位整张正面卡牌（含边框、图案、文字与布局）收束180°，并显示逆位效果描述；现有与后续撤离信标时长乘0.8，撤离HUD使用新时长</t>
        </is>
      </c>
      <c r="U26" s="91" t="inlineStr">
        <is>
          <t>[部分实装] 通用卡背/翻牌/逆位倒置已验收；逐卡逆位专属VFX与音效继续QA</t>
        </is>
      </c>
      <c r="V26" s="91" t="inlineStr">
        <is>
          <t>日落捷径</t>
        </is>
      </c>
      <c r="W26" s="103" t="inlineStr">
        <is>
          <t>XXI</t>
        </is>
      </c>
      <c r="X26" s="103" t="inlineStr">
        <is>
          <t>MAJOR</t>
        </is>
      </c>
      <c r="Y26" s="103" t="inlineStr">
        <is>
          <t>MAJOR</t>
        </is>
      </c>
      <c r="Z26" s="165" t="n">
        <v>0.5</v>
      </c>
      <c r="AA26" s="165" t="n">
        <v>0.5</v>
      </c>
      <c r="AB26" s="118" t="inlineStr">
        <is>
          <t>本局所有撤离同步时间缩短20%</t>
        </is>
      </c>
      <c r="AC26" s="118" t="inlineStr">
        <is>
          <t>action=APPLY_SCOPED_MODIFIER；modifier=extraction_time；multiplier=0.8</t>
        </is>
      </c>
      <c r="AD26" s="115" t="inlineStr">
        <is>
          <t>撤离时间+30%，同步区内敌人移速-50%</t>
        </is>
      </c>
      <c r="AE26" s="115" t="inlineStr">
        <is>
          <t>action=APPLY_SCOPED_MODIFIER; modifier=slow_extraction; time_multiplier=1.3; enemy_speed_multiplier=0.5</t>
        </is>
      </c>
      <c r="AF26" s="122" t="inlineStr">
        <is>
          <t>0.00s卡背→0.24s薄边换面→0.42s收束；逆位图案/框体180°，卡名、天体、方位标签和说明文字0°；0.62s后可点</t>
        </is>
      </c>
      <c r="AG26" s="123" t="inlineStr">
        <is>
          <t>[设计完成/数据已入表/运行时待施工]</t>
        </is>
      </c>
    </row>
    <row r="27" ht="52" customHeight="1" s="135">
      <c r="A27" s="106" t="inlineStr">
        <is>
          <t>fate_scale_node</t>
        </is>
      </c>
      <c r="B27" s="109" t="inlineStr">
        <is>
          <t>权杖·王牌</t>
        </is>
      </c>
      <c r="C27" s="91" t="inlineStr">
        <is>
          <t>强化</t>
        </is>
      </c>
      <c r="D27" s="91" t="inlineStr">
        <is>
          <t>普通</t>
        </is>
      </c>
      <c r="E27" s="91" t="inlineStr">
        <is>
          <t>体型与碰撞范围增加</t>
        </is>
      </c>
      <c r="F27" s="91" t="inlineStr">
        <is>
          <t>选择一个节点，体型与碰撞范围增加，伤害提升 30%，速度降低 20%</t>
        </is>
      </c>
      <c r="G27" s="91" t="inlineStr">
        <is>
          <t>塔内的尺度并不可信；一枚被命运放大的零件，会用迟缓交换压倒性的体积。</t>
        </is>
      </c>
      <c r="H27" s="91" t="inlineStr">
        <is>
          <t>[Codex补充]</t>
        </is>
      </c>
      <c r="I27" s="91" t="n"/>
      <c r="J27" s="91" t="inlineStr">
        <is>
          <t>action=SCALE_NODE；damage_scale=1.3；scale=1.4；speed_scale=0.8</t>
        </is>
      </c>
      <c r="K27" s="91" t="inlineStr">
        <is>
          <t>门后命运/三选一/工作台共用卡池</t>
        </is>
      </c>
      <c r="L27" s="91" t="inlineStr">
        <is>
          <t>[已实装]</t>
        </is>
      </c>
      <c r="M27" s="91" t="inlineStr">
        <is>
          <t>[部分实装] 塔罗名称、正/逆位效果快照与通用执行已接入；复杂逆位专属行为继续逐卡QA</t>
        </is>
      </c>
      <c r="N27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7" s="91" t="inlineStr">
        <is>
          <t>迁移前名称：变大了；稳定ID不变，旧存档迁移为正位，不重投方位</t>
        </is>
      </c>
      <c r="P27" s="112" t="inlineStr">
        <is>
          <t>WEAPON</t>
        </is>
      </c>
      <c r="Q27" s="91" t="inlineStr">
        <is>
          <t>占目标枪械下一个永久命运槽；按序追加、不可拆卸/替换/回退</t>
        </is>
      </c>
      <c r="R27" s="91" t="inlineStr">
        <is>
          <t>[已实装] 塔罗名称、50/50方位、正逆位同ID、代码翻牌、整卡倒置、逆位描述替换与方位持久化已接入</t>
        </is>
      </c>
      <c r="S27" s="91" t="inlineStr">
        <is>
          <t>★ 星星命运｜权杖·王牌｜翻牌后显示正位/逆位、目标、槽位与对应功能</t>
        </is>
      </c>
      <c r="T27" s="91" t="inlineStr">
        <is>
          <t>卡背绕Y轴翻面；逆位整张正面卡牌（含边框、图案、文字与布局）收束180°，并显示逆位效果描述；被放大的枪体/挂件/弹体同步改变轮廓、动作重量和尾迹，命中体积与规则一致</t>
        </is>
      </c>
      <c r="U27" s="91" t="inlineStr">
        <is>
          <t>[部分实装] 通用卡背/翻牌/逆位倒置已验收；逐卡逆位专属VFX与音效继续QA</t>
        </is>
      </c>
      <c r="V27" s="91" t="inlineStr">
        <is>
          <t>变大了</t>
        </is>
      </c>
      <c r="W27" s="103" t="inlineStr">
        <is>
          <t>ACE</t>
        </is>
      </c>
      <c r="X27" s="103" t="inlineStr">
        <is>
          <t>MINOR</t>
        </is>
      </c>
      <c r="Y27" s="103" t="inlineStr">
        <is>
          <t>WANDS</t>
        </is>
      </c>
      <c r="Z27" s="165" t="n">
        <v>0.5</v>
      </c>
      <c r="AA27" s="165" t="n">
        <v>0.5</v>
      </c>
      <c r="AB27" s="118" t="inlineStr">
        <is>
          <t>选择一个节点，体型与碰撞范围增加，伤害提升 30%，速度降低 20%</t>
        </is>
      </c>
      <c r="AC27" s="118" t="inlineStr">
        <is>
          <t>action=SCALE_NODE；damage_scale=1.3；scale=1.4；speed_scale=0.8</t>
        </is>
      </c>
      <c r="AD27" s="115" t="inlineStr">
        <is>
          <t>体积×0.75、伤害-20%、速度+25%</t>
        </is>
      </c>
      <c r="AE27" s="115" t="inlineStr">
        <is>
          <t>action=SCALE_NODE; scale=0.75; damage_scale=0.8; speed_scale=1.25</t>
        </is>
      </c>
      <c r="AF27" s="122" t="inlineStr">
        <is>
          <t>0.00s卡背→0.24s薄边换面→0.42s收束；逆位图案/框体180°，卡名、天体、方位标签和说明文字0°；0.62s后可点</t>
        </is>
      </c>
      <c r="AG27" s="123" t="inlineStr">
        <is>
          <t>[设计完成/数据已入表/运行时待施工]</t>
        </is>
      </c>
    </row>
    <row r="28" ht="52" customHeight="1" s="135">
      <c r="A28" s="106" t="inlineStr">
        <is>
          <t>fate_overclock</t>
        </is>
      </c>
      <c r="B28" s="109" t="inlineStr">
        <is>
          <t>权杖·二</t>
        </is>
      </c>
      <c r="C28" s="91" t="inlineStr">
        <is>
          <t>强化</t>
        </is>
      </c>
      <c r="D28" s="91" t="inlineStr">
        <is>
          <t>稀有</t>
        </is>
      </c>
      <c r="E28" s="91" t="inlineStr">
        <is>
          <t>射速提升 80%</t>
        </is>
      </c>
      <c r="F28" s="91" t="inlineStr">
        <is>
          <t>选择一个枪身，射速提升 80%，但每次射击后累计受击伤害倍率（overheat_penalty=1.5：射击越多，受伤越痛）</t>
        </is>
      </c>
      <c r="G28" s="91" t="inlineStr">
        <is>
          <t>把供能旋钮拧过红线的人通常只记得火力，却忘了过热会把每次受击放大。</t>
        </is>
      </c>
      <c r="H28" s="91" t="inlineStr">
        <is>
          <t>[Codex补充]</t>
        </is>
      </c>
      <c r="I28" s="91" t="n"/>
      <c r="J28" s="91" t="inlineStr">
        <is>
          <t>action=MULTIPLY_FIRE_RATE；fire_rate_scale=1.8；overheat_penalty=1.5</t>
        </is>
      </c>
      <c r="K28" s="91" t="inlineStr">
        <is>
          <t>门后命运/三选一/工作台共用卡池</t>
        </is>
      </c>
      <c r="L28" s="91" t="inlineStr">
        <is>
          <t>[已实装]</t>
        </is>
      </c>
      <c r="M28" s="91" t="inlineStr">
        <is>
          <t>[部分实装] 塔罗名称、正/逆位效果快照与通用执行已接入；复杂逆位专属行为继续逐卡QA</t>
        </is>
      </c>
      <c r="N28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8" s="91" t="inlineStr">
        <is>
          <t>迁移前名称：超频；稳定ID不变，旧存档迁移为正位，不重投方位</t>
        </is>
      </c>
      <c r="P28" s="112" t="inlineStr">
        <is>
          <t>WEAPON</t>
        </is>
      </c>
      <c r="Q28" s="91" t="inlineStr">
        <is>
          <t>占目标枪械下一个永久命运槽；按序追加、不可拆卸/替换/回退</t>
        </is>
      </c>
      <c r="R28" s="91" t="inlineStr">
        <is>
          <t>[已实装] 塔罗名称、50/50方位、正逆位同ID、代码翻牌、整卡倒置、逆位描述替换与方位持久化已接入</t>
        </is>
      </c>
      <c r="S28" s="91" t="inlineStr">
        <is>
          <t>★ 星星命运｜权杖·二｜翻牌后显示正位/逆位、目标、槽位与对应功能</t>
        </is>
      </c>
      <c r="T28" s="91" t="inlineStr">
        <is>
          <t>卡背绕Y轴翻面；逆位整张正面卡牌（含边框、图案、文字与布局）收束180°，并显示逆位效果描述；枪管热色、机械循环、枪口节奏和过热反馈同步，不能只让数值变快</t>
        </is>
      </c>
      <c r="U28" s="91" t="inlineStr">
        <is>
          <t>[部分实装] 通用卡背/翻牌/逆位倒置已验收；逐卡逆位专属VFX与音效继续QA</t>
        </is>
      </c>
      <c r="V28" s="91" t="inlineStr">
        <is>
          <t>超频</t>
        </is>
      </c>
      <c r="W28" s="103" t="inlineStr">
        <is>
          <t>2</t>
        </is>
      </c>
      <c r="X28" s="103" t="inlineStr">
        <is>
          <t>MINOR</t>
        </is>
      </c>
      <c r="Y28" s="103" t="inlineStr">
        <is>
          <t>WANDS</t>
        </is>
      </c>
      <c r="Z28" s="165" t="n">
        <v>0.5</v>
      </c>
      <c r="AA28" s="165" t="n">
        <v>0.5</v>
      </c>
      <c r="AB28" s="118" t="inlineStr">
        <is>
          <t>选择一个枪身，射速提升 80%，但每次射击后累计受击伤害倍率（overheat_penalty=1.5：射击越多，受伤越痛）</t>
        </is>
      </c>
      <c r="AC28" s="118" t="inlineStr">
        <is>
          <t>action=MULTIPLY_FIRE_RATE；fire_rate_scale=1.8；overheat_penalty=1.5</t>
        </is>
      </c>
      <c r="AD28" s="115" t="inlineStr">
        <is>
          <t>射速-25%，单发伤害+55%</t>
        </is>
      </c>
      <c r="AE28" s="115" t="inlineStr">
        <is>
          <t>action=MULTIPLY_FIRE_RATE; fire_rate_scale=0.75; damage_scale=1.55</t>
        </is>
      </c>
      <c r="AF28" s="122" t="inlineStr">
        <is>
          <t>0.00s卡背→0.24s薄边换面→0.42s收束；逆位图案/框体180°，卡名、天体、方位标签和说明文字0°；0.62s后可点</t>
        </is>
      </c>
      <c r="AG28" s="123" t="inlineStr">
        <is>
          <t>[设计完成/数据已入表/运行时待施工]</t>
        </is>
      </c>
    </row>
    <row r="29" ht="52" customHeight="1" s="135">
      <c r="A29" s="106" t="inlineStr">
        <is>
          <t>fate_attachment_parasite</t>
        </is>
      </c>
      <c r="B29" s="109" t="inlineStr">
        <is>
          <t>权杖·三</t>
        </is>
      </c>
      <c r="C29" s="91" t="inlineStr">
        <is>
          <t>组合</t>
        </is>
      </c>
      <c r="D29" s="91" t="inlineStr">
        <is>
          <t>史诗</t>
        </is>
      </c>
      <c r="E29" s="91" t="inlineStr">
        <is>
          <t>配件附在子弹上，命中时触发效果</t>
        </is>
      </c>
      <c r="F29" s="91" t="inlineStr">
        <is>
          <t>选择一个配件使其寄生到子弹上，命中时触发配件效果</t>
        </is>
      </c>
      <c r="G29" s="91" t="inlineStr">
        <is>
          <t>活化配件会抓住弹体，把原本静止的功能带到每一次命中现场。</t>
        </is>
      </c>
      <c r="H29" s="91" t="inlineStr">
        <is>
          <t>[Codex补充]</t>
        </is>
      </c>
      <c r="I29" s="91" t="inlineStr">
        <is>
          <t>select=BULLET</t>
        </is>
      </c>
      <c r="J29" s="91" t="inlineStr">
        <is>
          <t>action=ATTACH_TO_MOUNT；target_slot=MUZZLE；trigger_on_hit=true</t>
        </is>
      </c>
      <c r="K29" s="91" t="inlineStr">
        <is>
          <t>门后命运/三选一/工作台共用卡池</t>
        </is>
      </c>
      <c r="L29" s="91" t="inlineStr">
        <is>
          <t>[已实装]</t>
        </is>
      </c>
      <c r="M29" s="91" t="inlineStr">
        <is>
          <t>[部分实装] 塔罗名称、正/逆位效果快照与通用执行已接入；复杂逆位专属行为继续逐卡QA</t>
        </is>
      </c>
      <c r="N2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9" s="91" t="inlineStr">
        <is>
          <t>迁移前名称：配件寄生；稳定ID不变，旧存档迁移为正位，不重投方位</t>
        </is>
      </c>
      <c r="P29" s="112" t="inlineStr">
        <is>
          <t>WEAPON</t>
        </is>
      </c>
      <c r="Q29" s="91" t="inlineStr">
        <is>
          <t>占目标枪械下一个永久命运槽；按序追加、不可拆卸/替换/回退</t>
        </is>
      </c>
      <c r="R29" s="91" t="inlineStr">
        <is>
          <t>[已实装] 塔罗名称、50/50方位、正逆位同ID、代码翻牌、整卡倒置、逆位描述替换与方位持久化已接入</t>
        </is>
      </c>
      <c r="S29" s="91" t="inlineStr">
        <is>
          <t>★ 星星命运｜权杖·三｜翻牌后显示正位/逆位、目标、槽位与对应功能</t>
        </is>
      </c>
      <c r="T29" s="91" t="inlineStr">
        <is>
          <t>卡背绕Y轴翻面；逆位整张正面卡牌（含边框、图案、文字与布局）收束180°，并显示逆位效果描述；寄生部位有有机脉冲；命中触发时局部亮起并在目标处播放专属反馈</t>
        </is>
      </c>
      <c r="U29" s="91" t="inlineStr">
        <is>
          <t>[部分实装] 通用卡背/翻牌/逆位倒置已验收；逐卡逆位专属VFX与音效继续QA</t>
        </is>
      </c>
      <c r="V29" s="91" t="inlineStr">
        <is>
          <t>配件寄生</t>
        </is>
      </c>
      <c r="W29" s="103" t="inlineStr">
        <is>
          <t>3</t>
        </is>
      </c>
      <c r="X29" s="103" t="inlineStr">
        <is>
          <t>MINOR</t>
        </is>
      </c>
      <c r="Y29" s="103" t="inlineStr">
        <is>
          <t>WANDS</t>
        </is>
      </c>
      <c r="Z29" s="165" t="n">
        <v>0.5</v>
      </c>
      <c r="AA29" s="165" t="n">
        <v>0.5</v>
      </c>
      <c r="AB29" s="118" t="inlineStr">
        <is>
          <t>选择一个配件使其寄生到子弹上，命中时触发配件效果</t>
        </is>
      </c>
      <c r="AC29" s="118" t="inlineStr">
        <is>
          <t>action=ATTACH_TO_MOUNT；target_slot=MUZZLE；trigger_on_hit=true</t>
        </is>
      </c>
      <c r="AD29" s="115" t="inlineStr">
        <is>
          <t>配件效果改在换弹完成时触发，3秒冷却</t>
        </is>
      </c>
      <c r="AE29" s="115" t="inlineStr">
        <is>
          <t>action=ATTACH_TO_MOUNT; trigger=RELOAD_COMPLETE; cooldown=3</t>
        </is>
      </c>
      <c r="AF29" s="122" t="inlineStr">
        <is>
          <t>0.00s卡背→0.24s薄边换面→0.42s收束；逆位图案/框体180°，卡名、天体、方位标签和说明文字0°；0.62s后可点</t>
        </is>
      </c>
      <c r="AG29" s="123" t="inlineStr">
        <is>
          <t>[设计完成/数据已入表/运行时待施工]</t>
        </is>
      </c>
    </row>
    <row r="30" ht="52" customHeight="1" s="135">
      <c r="A30" s="106" t="inlineStr">
        <is>
          <t>fate_turret_on_land</t>
        </is>
      </c>
      <c r="B30" s="109" t="inlineStr">
        <is>
          <t>权杖·四</t>
        </is>
      </c>
      <c r="C30" s="91" t="inlineStr">
        <is>
          <t>变种</t>
        </is>
      </c>
      <c r="D30" s="91" t="inlineStr">
        <is>
          <t>史诗</t>
        </is>
      </c>
      <c r="E30" s="91" t="inlineStr">
        <is>
          <t>子弹落地后自动炮击</t>
        </is>
      </c>
      <c r="F30" s="91" t="inlineStr">
        <is>
          <t>选择一个子弹，子弹落地后生成一座自动炮台，持续射击附近的敌人</t>
        </is>
      </c>
      <c r="G30" s="91" t="inlineStr">
        <is>
          <t>未命中的子弹拒绝浪费自己，它在落地点扎根并继续履行射击职责。</t>
        </is>
      </c>
      <c r="H30" s="91" t="inlineStr">
        <is>
          <t>[Codex补充]</t>
        </is>
      </c>
      <c r="I30" s="91" t="inlineStr">
        <is>
          <t>select=BULLET</t>
        </is>
      </c>
      <c r="J30" s="91" t="inlineStr">
        <is>
          <t>action=MUTATE_TO_TURRET_ON_LAND；turret_damage=0.3；turret_duration=8；turret_fire_rate=2</t>
        </is>
      </c>
      <c r="K30" s="91" t="inlineStr">
        <is>
          <t>门后命运/三选一/工作台共用卡池</t>
        </is>
      </c>
      <c r="L30" s="91" t="inlineStr">
        <is>
          <t>[已实装]</t>
        </is>
      </c>
      <c r="M30" s="91" t="inlineStr">
        <is>
          <t>[部分实装] 塔罗名称、正/逆位效果快照与通用执行已接入；复杂逆位专属行为继续逐卡QA</t>
        </is>
      </c>
      <c r="N3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0" s="91" t="inlineStr">
        <is>
          <t>迁移前名称：落地炮台；稳定ID不变，旧存档迁移为正位，不重投方位</t>
        </is>
      </c>
      <c r="P30" s="112" t="inlineStr">
        <is>
          <t>WEAPON</t>
        </is>
      </c>
      <c r="Q30" s="91" t="inlineStr">
        <is>
          <t>占目标枪械下一个永久命运槽；按序追加、不可拆卸/替换/回退</t>
        </is>
      </c>
      <c r="R30" s="91" t="inlineStr">
        <is>
          <t>[已实装] 塔罗名称、50/50方位、正逆位同ID、代码翻牌、整卡倒置、逆位描述替换与方位持久化已接入</t>
        </is>
      </c>
      <c r="S30" s="91" t="inlineStr">
        <is>
          <t>★ 星星命运｜权杖·四｜翻牌后显示正位/逆位、目标、槽位与对应功能</t>
        </is>
      </c>
      <c r="T30" s="91" t="inlineStr">
        <is>
          <t>卡背绕Y轴翻面；逆位整张正面卡牌（含边框、图案、文字与布局）收束180°，并显示逆位效果描述；弹体落地变为可辨炮塔，生成、攻击、结束三阶段均有反馈</t>
        </is>
      </c>
      <c r="U30" s="91" t="inlineStr">
        <is>
          <t>[部分实装] 通用卡背/翻牌/逆位倒置已验收；逐卡逆位专属VFX与音效继续QA</t>
        </is>
      </c>
      <c r="V30" s="91" t="inlineStr">
        <is>
          <t>落地炮台</t>
        </is>
      </c>
      <c r="W30" s="103" t="inlineStr">
        <is>
          <t>4</t>
        </is>
      </c>
      <c r="X30" s="103" t="inlineStr">
        <is>
          <t>MINOR</t>
        </is>
      </c>
      <c r="Y30" s="103" t="inlineStr">
        <is>
          <t>WANDS</t>
        </is>
      </c>
      <c r="Z30" s="165" t="n">
        <v>0.5</v>
      </c>
      <c r="AA30" s="165" t="n">
        <v>0.5</v>
      </c>
      <c r="AB30" s="118" t="inlineStr">
        <is>
          <t>选择一个子弹，子弹落地后生成一座自动炮台，持续射击附近的敌人</t>
        </is>
      </c>
      <c r="AC30" s="118" t="inlineStr">
        <is>
          <t>action=MUTATE_TO_TURRET_ON_LAND；turret_damage=0.3；turret_duration=8；turret_fire_rate=2</t>
        </is>
      </c>
      <c r="AD30" s="115" t="inlineStr">
        <is>
          <t>落地生成4秒追随玩家的移动炮台</t>
        </is>
      </c>
      <c r="AE30" s="115" t="inlineStr">
        <is>
          <t>action=MUTATE_TO_FOLLOW_TURRET; duration=4; turret_damage=0.3; follow_player=true</t>
        </is>
      </c>
      <c r="AF30" s="122" t="inlineStr">
        <is>
          <t>0.00s卡背→0.24s薄边换面→0.42s收束；逆位图案/框体180°，卡名、天体、方位标签和说明文字0°；0.62s后可点</t>
        </is>
      </c>
      <c r="AG30" s="123" t="inlineStr">
        <is>
          <t>[设计完成/数据已入表/运行时待施工]</t>
        </is>
      </c>
    </row>
    <row r="31" ht="52" customHeight="1" s="135">
      <c r="A31" s="106" t="inlineStr">
        <is>
          <t>fate_home_on_land</t>
        </is>
      </c>
      <c r="B31" s="109" t="inlineStr">
        <is>
          <t>权杖·五</t>
        </is>
      </c>
      <c r="C31" s="91" t="inlineStr">
        <is>
          <t>变种</t>
        </is>
      </c>
      <c r="D31" s="91" t="inlineStr">
        <is>
          <t>稀有</t>
        </is>
      </c>
      <c r="E31" s="91" t="inlineStr">
        <is>
          <t>子弹飞出去后返回玩家</t>
        </is>
      </c>
      <c r="F31" s="91" t="inlineStr">
        <is>
          <t>选择一个子弹，子弹飞出后返回玩家方向，返回途中继续造成 60% 伤害，持续 5 秒</t>
        </is>
      </c>
      <c r="G31" s="91" t="inlineStr">
        <is>
          <t>被塔拒绝的弹体沿旧轨迹回返，在归途上仍然记得谁是敌人。</t>
        </is>
      </c>
      <c r="H31" s="91" t="inlineStr">
        <is>
          <t>[Codex补充]</t>
        </is>
      </c>
      <c r="I31" s="91" t="inlineStr">
        <is>
          <t>select=BULLET</t>
        </is>
      </c>
      <c r="J31" s="91" t="inlineStr">
        <is>
          <t>action=MUTATE_TO_HOME_ON_LAND；home_lifetime=5；return_damage_multiplier=0.6</t>
        </is>
      </c>
      <c r="K31" s="91" t="inlineStr">
        <is>
          <t>门后命运/三选一/工作台共用卡池</t>
        </is>
      </c>
      <c r="L31" s="91" t="inlineStr">
        <is>
          <t>[已实装]</t>
        </is>
      </c>
      <c r="M31" s="91" t="inlineStr">
        <is>
          <t>[部分实装] 塔罗名称、正/逆位效果快照与通用执行已接入；复杂逆位专属行为继续逐卡QA</t>
        </is>
      </c>
      <c r="N31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1" s="91" t="inlineStr">
        <is>
          <t>迁移前名称：回家看看；稳定ID不变，旧存档迁移为正位，不重投方位</t>
        </is>
      </c>
      <c r="P31" s="112" t="inlineStr">
        <is>
          <t>WEAPON</t>
        </is>
      </c>
      <c r="Q31" s="91" t="inlineStr">
        <is>
          <t>占目标枪械下一个永久命运槽；按序追加、不可拆卸/替换/回退</t>
        </is>
      </c>
      <c r="R31" s="91" t="inlineStr">
        <is>
          <t>[已实装] 塔罗名称、50/50方位、正逆位同ID、代码翻牌、整卡倒置、逆位描述替换与方位持久化已接入</t>
        </is>
      </c>
      <c r="S31" s="91" t="inlineStr">
        <is>
          <t>★ 星星命运｜权杖·五｜翻牌后显示正位/逆位、目标、槽位与对应功能</t>
        </is>
      </c>
      <c r="T31" s="91" t="inlineStr">
        <is>
          <t>卡背绕Y轴翻面；逆位整张正面卡牌（含边框、图案、文字与布局）收束180°，并显示逆位效果描述；落地时生成返航弧线与目标标记，回收/消失时给出明确收束</t>
        </is>
      </c>
      <c r="U31" s="91" t="inlineStr">
        <is>
          <t>[部分实装] 通用卡背/翻牌/逆位倒置已验收；逐卡逆位专属VFX与音效继续QA</t>
        </is>
      </c>
      <c r="V31" s="91" t="inlineStr">
        <is>
          <t>回家看看</t>
        </is>
      </c>
      <c r="W31" s="103" t="inlineStr">
        <is>
          <t>5</t>
        </is>
      </c>
      <c r="X31" s="103" t="inlineStr">
        <is>
          <t>MINOR</t>
        </is>
      </c>
      <c r="Y31" s="103" t="inlineStr">
        <is>
          <t>WANDS</t>
        </is>
      </c>
      <c r="Z31" s="165" t="n">
        <v>0.5</v>
      </c>
      <c r="AA31" s="165" t="n">
        <v>0.5</v>
      </c>
      <c r="AB31" s="118" t="inlineStr">
        <is>
          <t>选择一个子弹，子弹飞出后返回玩家方向，返回途中继续造成 60% 伤害，持续 5 秒</t>
        </is>
      </c>
      <c r="AC31" s="118" t="inlineStr">
        <is>
          <t>action=MUTATE_TO_HOME_ON_LAND；home_lifetime=5；return_damage_multiplier=0.6</t>
        </is>
      </c>
      <c r="AD31" s="115" t="inlineStr">
        <is>
          <t>去程伤害-30%，回程伤害+120%</t>
        </is>
      </c>
      <c r="AE31" s="115" t="inlineStr">
        <is>
          <t>action=MUTATE_TO_HOME_ON_LAND; outbound_damage_scale=0.7; return_damage_multiplier=2.2; lifetime=4</t>
        </is>
      </c>
      <c r="AF31" s="122" t="inlineStr">
        <is>
          <t>0.00s卡背→0.24s薄边换面→0.42s收束；逆位图案/框体180°，卡名、天体、方位标签和说明文字0°；0.62s后可点</t>
        </is>
      </c>
      <c r="AG31" s="123" t="inlineStr">
        <is>
          <t>[设计完成/数据已入表/运行时待施工]</t>
        </is>
      </c>
    </row>
    <row r="32" ht="52" customHeight="1" s="135">
      <c r="A32" s="106" t="inlineStr">
        <is>
          <t>fate_bullet_return</t>
        </is>
      </c>
      <c r="B32" s="109" t="inlineStr">
        <is>
          <t>权杖·六</t>
        </is>
      </c>
      <c r="C32" s="91" t="inlineStr">
        <is>
          <t>变种</t>
        </is>
      </c>
      <c r="D32" s="91" t="inlineStr">
        <is>
          <t>稀有</t>
        </is>
      </c>
      <c r="E32" s="91" t="inlineStr">
        <is>
          <t>子弹命中后折返并再命中一次</t>
        </is>
      </c>
      <c r="F32" s="91" t="inlineStr">
        <is>
          <t>选择一个子弹，命中目标后折返回玩家方向，再次尝试命中敌人</t>
        </is>
      </c>
      <c r="G32" s="91" t="inlineStr">
        <is>
          <t>命中不是终点；弹体借撞击改写方向，寻找第二次穿越战场的机会。</t>
        </is>
      </c>
      <c r="H32" s="91" t="inlineStr">
        <is>
          <t>[Codex补充]</t>
        </is>
      </c>
      <c r="I32" s="91" t="inlineStr">
        <is>
          <t>select=BULLET</t>
        </is>
      </c>
      <c r="J32" s="91" t="inlineStr">
        <is>
          <t>action=MUTATE_TO_BOUNCE；bounce_count=1；damage_scale_on_bounce=0.7</t>
        </is>
      </c>
      <c r="K32" s="91" t="inlineStr">
        <is>
          <t>门后命运/三选一/工作台共用卡池</t>
        </is>
      </c>
      <c r="L32" s="91" t="inlineStr">
        <is>
          <t>[已实装]</t>
        </is>
      </c>
      <c r="M32" s="91" t="inlineStr">
        <is>
          <t>[部分实装] 塔罗名称、正/逆位效果快照与通用执行已接入；复杂逆位专属行为继续逐卡QA</t>
        </is>
      </c>
      <c r="N3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2" s="91" t="inlineStr">
        <is>
          <t>迁移前名称：子弹折返；稳定ID不变，旧存档迁移为正位，不重投方位</t>
        </is>
      </c>
      <c r="P32" s="112" t="inlineStr">
        <is>
          <t>WEAPON</t>
        </is>
      </c>
      <c r="Q32" s="91" t="inlineStr">
        <is>
          <t>占目标枪械下一个永久命运槽；按序追加、不可拆卸/替换/回退</t>
        </is>
      </c>
      <c r="R32" s="91" t="inlineStr">
        <is>
          <t>[已实装] 塔罗名称、50/50方位、正逆位同ID、代码翻牌、整卡倒置、逆位描述替换与方位持久化已接入</t>
        </is>
      </c>
      <c r="S32" s="91" t="inlineStr">
        <is>
          <t>★ 星星命运｜权杖·六｜翻牌后显示正位/逆位、目标、槽位与对应功能</t>
        </is>
      </c>
      <c r="T32" s="91" t="inlineStr">
        <is>
          <t>卡背绕Y轴翻面；逆位整张正面卡牌（含边框、图案、文字与布局）收束180°，并显示逆位效果描述；命中后尾迹反色并沿清晰弧线返回，回到枪/玩家时有回收音</t>
        </is>
      </c>
      <c r="U32" s="91" t="inlineStr">
        <is>
          <t>[部分实装] 通用卡背/翻牌/逆位倒置已验收；逐卡逆位专属VFX与音效继续QA</t>
        </is>
      </c>
      <c r="V32" s="91" t="inlineStr">
        <is>
          <t>子弹折返</t>
        </is>
      </c>
      <c r="W32" s="103" t="inlineStr">
        <is>
          <t>6</t>
        </is>
      </c>
      <c r="X32" s="103" t="inlineStr">
        <is>
          <t>MINOR</t>
        </is>
      </c>
      <c r="Y32" s="103" t="inlineStr">
        <is>
          <t>WANDS</t>
        </is>
      </c>
      <c r="Z32" s="165" t="n">
        <v>0.5</v>
      </c>
      <c r="AA32" s="165" t="n">
        <v>0.5</v>
      </c>
      <c r="AB32" s="118" t="inlineStr">
        <is>
          <t>选择一个子弹，命中目标后折返回玩家方向，再次尝试命中敌人</t>
        </is>
      </c>
      <c r="AC32" s="118" t="inlineStr">
        <is>
          <t>action=MUTATE_TO_BOUNCE；bounce_count=1；damage_scale_on_bounce=0.7</t>
        </is>
      </c>
      <c r="AD32" s="115" t="inlineStr">
        <is>
          <t>命中后返回枪械并回填1发弹药，不造回程伤害</t>
        </is>
      </c>
      <c r="AE32" s="115" t="inlineStr">
        <is>
          <t>action=RETURN_AND_REFUND; ammo_refund=1; return_damage_scale=0</t>
        </is>
      </c>
      <c r="AF32" s="122" t="inlineStr">
        <is>
          <t>0.00s卡背→0.24s薄边换面→0.42s收束；逆位图案/框体180°，卡名、天体、方位标签和说明文字0°；0.62s后可点</t>
        </is>
      </c>
      <c r="AG32" s="123" t="inlineStr">
        <is>
          <t>[设计完成/数据已入表/运行时待施工]</t>
        </is>
      </c>
    </row>
    <row r="33" ht="52" customHeight="1" s="135">
      <c r="A33" s="106" t="inlineStr">
        <is>
          <t>fate_chain_lightning</t>
        </is>
      </c>
      <c r="B33" s="109" t="inlineStr">
        <is>
          <t>权杖·七</t>
        </is>
      </c>
      <c r="C33" s="91" t="inlineStr">
        <is>
          <t>变种</t>
        </is>
      </c>
      <c r="D33" s="91" t="inlineStr">
        <is>
          <t>史诗</t>
        </is>
      </c>
      <c r="E33" s="91" t="inlineStr">
        <is>
          <t>命中后在敌人间跳跃，最多3次</t>
        </is>
      </c>
      <c r="F33" s="91" t="inlineStr">
        <is>
          <t>选择一个子弹，命中后在敌人间跳跃，每次跳跃伤害递减 30%</t>
        </is>
      </c>
      <c r="G33" s="91" t="inlineStr">
        <is>
          <t>导电孢子把一次命中扩散成短暂电网，越远的跳跃越难保持力量。</t>
        </is>
      </c>
      <c r="H33" s="91" t="inlineStr">
        <is>
          <t>[Codex补充]</t>
        </is>
      </c>
      <c r="I33" s="91" t="inlineStr">
        <is>
          <t>select=BULLET</t>
        </is>
      </c>
      <c r="J33" s="91" t="inlineStr">
        <is>
          <t>action=MUTATE_TO_CHAIN；chain_count=3；chain_damage_scale=0.7；chain_range=150</t>
        </is>
      </c>
      <c r="K33" s="91" t="inlineStr">
        <is>
          <t>门后命运/三选一/工作台共用卡池</t>
        </is>
      </c>
      <c r="L33" s="91" t="inlineStr">
        <is>
          <t>[已实装]</t>
        </is>
      </c>
      <c r="M33" s="91" t="inlineStr">
        <is>
          <t>[部分实装] 塔罗名称、正/逆位效果快照与通用执行已接入；复杂逆位专属行为继续逐卡QA</t>
        </is>
      </c>
      <c r="N33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3" s="91" t="inlineStr">
        <is>
          <t>迁移前名称：连锁闪电；稳定ID不变，旧存档迁移为正位，不重投方位</t>
        </is>
      </c>
      <c r="P33" s="112" t="inlineStr">
        <is>
          <t>WEAPON</t>
        </is>
      </c>
      <c r="Q33" s="91" t="inlineStr">
        <is>
          <t>占目标枪械下一个永久命运槽；按序追加、不可拆卸/替换/回退</t>
        </is>
      </c>
      <c r="R33" s="91" t="inlineStr">
        <is>
          <t>[已实装] 塔罗名称、50/50方位、正逆位同ID、代码翻牌、整卡倒置、逆位描述替换与方位持久化已接入</t>
        </is>
      </c>
      <c r="S33" s="91" t="inlineStr">
        <is>
          <t>★ 星星命运｜权杖·七｜翻牌后显示正位/逆位、目标、槽位与对应功能</t>
        </is>
      </c>
      <c r="T33" s="91" t="inlineStr">
        <is>
          <t>卡背绕Y轴翻面；逆位整张正面卡牌（含边框、图案、文字与布局）收束180°，并显示逆位效果描述；敌人间产生按顺序跳转的电弧；每次跳转与实际结算同步</t>
        </is>
      </c>
      <c r="U33" s="91" t="inlineStr">
        <is>
          <t>[部分实装] 通用卡背/翻牌/逆位倒置已验收；逐卡逆位专属VFX与音效继续QA</t>
        </is>
      </c>
      <c r="V33" s="91" t="inlineStr">
        <is>
          <t>连锁闪电</t>
        </is>
      </c>
      <c r="W33" s="103" t="inlineStr">
        <is>
          <t>7</t>
        </is>
      </c>
      <c r="X33" s="103" t="inlineStr">
        <is>
          <t>MINOR</t>
        </is>
      </c>
      <c r="Y33" s="103" t="inlineStr">
        <is>
          <t>WANDS</t>
        </is>
      </c>
      <c r="Z33" s="165" t="n">
        <v>0.5</v>
      </c>
      <c r="AA33" s="165" t="n">
        <v>0.5</v>
      </c>
      <c r="AB33" s="118" t="inlineStr">
        <is>
          <t>选择一个子弹，命中后在敌人间跳跃，每次跳跃伤害递减 30%</t>
        </is>
      </c>
      <c r="AC33" s="118" t="inlineStr">
        <is>
          <t>action=MUTATE_TO_CHAIN；chain_count=3；chain_damage_scale=0.7；chain_range=150</t>
        </is>
      </c>
      <c r="AD33" s="115" t="inlineStr">
        <is>
          <t>最多连锁5次，范围缩小且每跳伤50%</t>
        </is>
      </c>
      <c r="AE33" s="115" t="inlineStr">
        <is>
          <t>action=MUTATE_TO_CHAIN; chain_count=5; chain_range=100; chain_damage_scale=0.5</t>
        </is>
      </c>
      <c r="AF33" s="122" t="inlineStr">
        <is>
          <t>0.00s卡背→0.24s薄边换面→0.42s收束；逆位图案/框体180°，卡名、天体、方位标签和说明文字0°；0.62s后可点</t>
        </is>
      </c>
      <c r="AG33" s="123" t="inlineStr">
        <is>
          <t>[设计完成/数据已入表/运行时待施工]</t>
        </is>
      </c>
    </row>
    <row r="34" ht="52" customHeight="1" s="135">
      <c r="A34" s="106" t="inlineStr">
        <is>
          <t>fate_bounce_bullet</t>
        </is>
      </c>
      <c r="B34" s="109" t="inlineStr">
        <is>
          <t>权杖·八</t>
        </is>
      </c>
      <c r="C34" s="91" t="inlineStr">
        <is>
          <t>变种</t>
        </is>
      </c>
      <c r="D34" s="91" t="inlineStr">
        <is>
          <t>普通</t>
        </is>
      </c>
      <c r="E34" s="91" t="inlineStr">
        <is>
          <t>子弹在边界间弹跳3次</t>
        </is>
      </c>
      <c r="F34" s="91" t="inlineStr">
        <is>
          <t>选择一个子弹，使其在墙壁和障碍物间弹跳，最多弹跳3次</t>
        </is>
      </c>
      <c r="G34" s="91" t="inlineStr">
        <is>
          <t>柔性外壳把墙面变成新的枪口，让封闭房间成为弹道的一部分。</t>
        </is>
      </c>
      <c r="H34" s="91" t="inlineStr">
        <is>
          <t>[Codex补充]</t>
        </is>
      </c>
      <c r="I34" s="91" t="inlineStr">
        <is>
          <t>select=BULLET</t>
        </is>
      </c>
      <c r="J34" s="91" t="inlineStr">
        <is>
          <t>action=MUTATE_TO_BOUNCE；bounce_count=3；bounce_walls=true；damage_scale=0.85</t>
        </is>
      </c>
      <c r="K34" s="91" t="inlineStr">
        <is>
          <t>门后命运/三选一/工作台共用卡池</t>
        </is>
      </c>
      <c r="L34" s="91" t="inlineStr">
        <is>
          <t>[已实装]</t>
        </is>
      </c>
      <c r="M34" s="91" t="inlineStr">
        <is>
          <t>[部分实装] 塔罗名称、正/逆位效果快照与通用执行已接入；复杂逆位专属行为继续逐卡QA</t>
        </is>
      </c>
      <c r="N34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4" s="91" t="inlineStr">
        <is>
          <t>迁移前名称：弹跳弹；稳定ID不变，旧存档迁移为正位，不重投方位</t>
        </is>
      </c>
      <c r="P34" s="112" t="inlineStr">
        <is>
          <t>WEAPON</t>
        </is>
      </c>
      <c r="Q34" s="91" t="inlineStr">
        <is>
          <t>占目标枪械下一个永久命运槽；按序追加、不可拆卸/替换/回退</t>
        </is>
      </c>
      <c r="R34" s="91" t="inlineStr">
        <is>
          <t>[已实装] 塔罗名称、50/50方位、正逆位同ID、代码翻牌、整卡倒置、逆位描述替换与方位持久化已接入</t>
        </is>
      </c>
      <c r="S34" s="91" t="inlineStr">
        <is>
          <t>★ 星星命运｜权杖·八｜翻牌后显示正位/逆位、目标、槽位与对应功能</t>
        </is>
      </c>
      <c r="T34" s="91" t="inlineStr">
        <is>
          <t>卡背绕Y轴翻面；逆位整张正面卡牌（含边框、图案、文字与布局）收束180°，并显示逆位效果描述；每次反弹有折线闪光、方向变化和剩余计数，不以普通命中VFX混淆</t>
        </is>
      </c>
      <c r="U34" s="91" t="inlineStr">
        <is>
          <t>[部分实装] 通用卡背/翻牌/逆位倒置已验收；逐卡逆位专属VFX与音效继续QA</t>
        </is>
      </c>
      <c r="V34" s="91" t="inlineStr">
        <is>
          <t>弹跳弹</t>
        </is>
      </c>
      <c r="W34" s="103" t="inlineStr">
        <is>
          <t>8</t>
        </is>
      </c>
      <c r="X34" s="103" t="inlineStr">
        <is>
          <t>MINOR</t>
        </is>
      </c>
      <c r="Y34" s="103" t="inlineStr">
        <is>
          <t>WANDS</t>
        </is>
      </c>
      <c r="Z34" s="165" t="n">
        <v>0.5</v>
      </c>
      <c r="AA34" s="165" t="n">
        <v>0.5</v>
      </c>
      <c r="AB34" s="118" t="inlineStr">
        <is>
          <t>选择一个子弹，使其在墙壁和障碍物间弹跳，最多弹跳3次</t>
        </is>
      </c>
      <c r="AC34" s="118" t="inlineStr">
        <is>
          <t>action=MUTATE_TO_BOUNCE；bounce_count=3；bounce_walls=true；damage_scale=0.85</t>
        </is>
      </c>
      <c r="AD34" s="115" t="inlineStr">
        <is>
          <t>只弹跳1次，反弹后伤害+35%</t>
        </is>
      </c>
      <c r="AE34" s="115" t="inlineStr">
        <is>
          <t>action=MUTATE_TO_BOUNCE; bounce_count=1; damage_scale_on_bounce=1.35</t>
        </is>
      </c>
      <c r="AF34" s="122" t="inlineStr">
        <is>
          <t>0.00s卡背→0.24s薄边换面→0.42s收束；逆位图案/框体180°，卡名、天体、方位标签和说明文字0°；0.62s后可点</t>
        </is>
      </c>
      <c r="AG34" s="123" t="inlineStr">
        <is>
          <t>[设计完成/数据已入表/运行时待施工]</t>
        </is>
      </c>
    </row>
    <row r="35" ht="52" customHeight="1" s="135">
      <c r="A35" s="106" t="inlineStr">
        <is>
          <t>fate_barrage_copy</t>
        </is>
      </c>
      <c r="B35" s="109" t="inlineStr">
        <is>
          <t>权杖·九</t>
        </is>
      </c>
      <c r="C35" s="91" t="inlineStr">
        <is>
          <t>复制</t>
        </is>
      </c>
      <c r="D35" s="91" t="inlineStr">
        <is>
          <t>稀有</t>
        </is>
      </c>
      <c r="E35" s="91" t="inlineStr">
        <is>
          <t>每次射击分两波发射</t>
        </is>
      </c>
      <c r="F35" s="91" t="inlineStr">
        <is>
          <t>选择一个枪身，每次射击分两波发射，第二波子弹延迟 0.1 秒</t>
        </is>
      </c>
      <c r="G35" s="91" t="inlineStr">
        <is>
          <t>复制机构把一次扣扳机拆成两阵回声，第二阵总在敌人以为结束时抵达。</t>
        </is>
      </c>
      <c r="H35" s="91" t="inlineStr">
        <is>
          <t>[Codex补充]</t>
        </is>
      </c>
      <c r="I35" s="91" t="inlineStr">
        <is>
          <t>select=GUNBODY</t>
        </is>
      </c>
      <c r="J35" s="91" t="inlineStr">
        <is>
          <t>action=COPY_NODE；copy_fire_delay=0.1；second_wave_damage_scale=0.6</t>
        </is>
      </c>
      <c r="K35" s="91" t="inlineStr">
        <is>
          <t>门后命运/三选一/工作台共用卡池</t>
        </is>
      </c>
      <c r="L35" s="91" t="inlineStr">
        <is>
          <t>[已实装]</t>
        </is>
      </c>
      <c r="M35" s="91" t="inlineStr">
        <is>
          <t>[部分实装] 塔罗名称、正/逆位效果快照与通用执行已接入；复杂逆位专属行为继续逐卡QA</t>
        </is>
      </c>
      <c r="N35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5" s="91" t="inlineStr">
        <is>
          <t>迁移前名称：弹幕模式；稳定ID不变，旧存档迁移为正位，不重投方位</t>
        </is>
      </c>
      <c r="P35" s="112" t="inlineStr">
        <is>
          <t>WEAPON</t>
        </is>
      </c>
      <c r="Q35" s="91" t="inlineStr">
        <is>
          <t>占目标枪械下一个永久命运槽；按序追加、不可拆卸/替换/回退</t>
        </is>
      </c>
      <c r="R35" s="91" t="inlineStr">
        <is>
          <t>[已实装] 塔罗名称、50/50方位、正逆位同ID、代码翻牌、整卡倒置、逆位描述替换与方位持久化已接入</t>
        </is>
      </c>
      <c r="S35" s="91" t="inlineStr">
        <is>
          <t>★ 星星命运｜权杖·九｜翻牌后显示正位/逆位、目标、槽位与对应功能</t>
        </is>
      </c>
      <c r="T35" s="91" t="inlineStr">
        <is>
          <t>卡背绕Y轴翻面；逆位整张正面卡牌（含边框、图案、文字与布局）收束180°，并显示逆位效果描述；第一波后保留轨迹残影，延迟到点生成第二波并用次级声层区分</t>
        </is>
      </c>
      <c r="U35" s="91" t="inlineStr">
        <is>
          <t>[部分实装] 通用卡背/翻牌/逆位倒置已验收；逐卡逆位专属VFX与音效继续QA</t>
        </is>
      </c>
      <c r="V35" s="91" t="inlineStr">
        <is>
          <t>弹幕模式</t>
        </is>
      </c>
      <c r="W35" s="103" t="inlineStr">
        <is>
          <t>9</t>
        </is>
      </c>
      <c r="X35" s="103" t="inlineStr">
        <is>
          <t>MINOR</t>
        </is>
      </c>
      <c r="Y35" s="103" t="inlineStr">
        <is>
          <t>WANDS</t>
        </is>
      </c>
      <c r="Z35" s="165" t="n">
        <v>0.5</v>
      </c>
      <c r="AA35" s="165" t="n">
        <v>0.5</v>
      </c>
      <c r="AB35" s="118" t="inlineStr">
        <is>
          <t>选择一个枪身，每次射击分两波发射，第二波子弹延迟 0.1 秒</t>
        </is>
      </c>
      <c r="AC35" s="118" t="inlineStr">
        <is>
          <t>action=COPY_NODE；copy_fire_delay=0.1；second_wave_damage_scale=0.6</t>
        </is>
      </c>
      <c r="AD35" s="115" t="inlineStr">
        <is>
          <t>同时向前/后各发一波，后方波80%伤害</t>
        </is>
      </c>
      <c r="AE35" s="115" t="inlineStr">
        <is>
          <t>action=COPY_NODE; pattern=FRONT_BACK; rear_wave_damage_scale=0.8</t>
        </is>
      </c>
      <c r="AF35" s="122" t="inlineStr">
        <is>
          <t>0.00s卡背→0.24s薄边换面→0.42s收束；逆位图案/框体180°，卡名、天体、方位标签和说明文字0°；0.62s后可点</t>
        </is>
      </c>
      <c r="AG35" s="123" t="inlineStr">
        <is>
          <t>[设计完成/数据已入表/运行时待施工]</t>
        </is>
      </c>
    </row>
    <row r="36" ht="52" customHeight="1" s="135">
      <c r="A36" s="106" t="inlineStr">
        <is>
          <t>fate_fuse_fire</t>
        </is>
      </c>
      <c r="B36" s="109" t="inlineStr">
        <is>
          <t>权杖·十</t>
        </is>
      </c>
      <c r="C36" s="91" t="inlineStr">
        <is>
          <t>融合</t>
        </is>
      </c>
      <c r="D36" s="91" t="inlineStr">
        <is>
          <t>稀有</t>
        </is>
      </c>
      <c r="E36" s="91" t="inlineStr">
        <is>
          <t>命中附加火焰DOT</t>
        </is>
      </c>
      <c r="F36" s="91" t="inlineStr">
        <is>
          <t>选择一个子弹，融合火焰属性，命中后在目标身上附加火焰持续伤害（每秒8%伤害，持续3秒）</t>
        </is>
      </c>
      <c r="G36" s="91" t="inlineStr">
        <is>
          <t>余烬寄生在弹头内，命中后才真正苏醒，持续啃食目标。</t>
        </is>
      </c>
      <c r="H36" s="91" t="inlineStr">
        <is>
          <t>[Codex补充]</t>
        </is>
      </c>
      <c r="I36" s="91" t="inlineStr">
        <is>
          <t>select=BULLET</t>
        </is>
      </c>
      <c r="J36" s="91" t="inlineStr">
        <is>
          <t>action=FUSE_DAMAGE；damage_type=fire；dot_damage_per_sec=0.08；dot_duration=3</t>
        </is>
      </c>
      <c r="K36" s="91" t="inlineStr">
        <is>
          <t>门后命运/三选一/工作台共用卡池</t>
        </is>
      </c>
      <c r="L36" s="91" t="inlineStr">
        <is>
          <t>[已实装]</t>
        </is>
      </c>
      <c r="M36" s="91" t="inlineStr">
        <is>
          <t>[部分实装] 塔罗名称、正/逆位效果快照与通用执行已接入；复杂逆位专属行为继续逐卡QA</t>
        </is>
      </c>
      <c r="N36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6" s="91" t="inlineStr">
        <is>
          <t>迁移前名称：火焰子弹；稳定ID不变，旧存档迁移为正位，不重投方位</t>
        </is>
      </c>
      <c r="P36" s="112" t="inlineStr">
        <is>
          <t>WEAPON</t>
        </is>
      </c>
      <c r="Q36" s="91" t="inlineStr">
        <is>
          <t>占目标枪械下一个永久命运槽；按序追加、不可拆卸/替换/回退</t>
        </is>
      </c>
      <c r="R36" s="91" t="inlineStr">
        <is>
          <t>[已实装] 塔罗名称、50/50方位、正逆位同ID、代码翻牌、整卡倒置、逆位描述替换与方位持久化已接入</t>
        </is>
      </c>
      <c r="S36" s="91" t="inlineStr">
        <is>
          <t>★ 星星命运｜权杖·十｜翻牌后显示正位/逆位、目标、槽位与对应功能</t>
        </is>
      </c>
      <c r="T36" s="91" t="inlineStr">
        <is>
          <t>卡背绕Y轴翻面；逆位整张正面卡牌（含边框、图案、文字与布局）收束180°，并显示逆位效果描述；弹体火焰尾迹、目标燃烧状态图标和每跳伤害反馈同步</t>
        </is>
      </c>
      <c r="U36" s="91" t="inlineStr">
        <is>
          <t>[部分实装] 通用卡背/翻牌/逆位倒置已验收；逐卡逆位专属VFX与音效继续QA</t>
        </is>
      </c>
      <c r="V36" s="91" t="inlineStr">
        <is>
          <t>火焰子弹</t>
        </is>
      </c>
      <c r="W36" s="103" t="inlineStr">
        <is>
          <t>10</t>
        </is>
      </c>
      <c r="X36" s="103" t="inlineStr">
        <is>
          <t>MINOR</t>
        </is>
      </c>
      <c r="Y36" s="103" t="inlineStr">
        <is>
          <t>WANDS</t>
        </is>
      </c>
      <c r="Z36" s="165" t="n">
        <v>0.5</v>
      </c>
      <c r="AA36" s="165" t="n">
        <v>0.5</v>
      </c>
      <c r="AB36" s="118" t="inlineStr">
        <is>
          <t>选择一个子弹，融合火焰属性，命中后在目标身上附加火焰持续伤害（每秒8%伤害，持续3秒）</t>
        </is>
      </c>
      <c r="AC36" s="118" t="inlineStr">
        <is>
          <t>action=FUSE_DAMAGE；damage_type=fire；dot_damage_per_sec=0.08；dot_duration=3</t>
        </is>
      </c>
      <c r="AD36" s="115" t="inlineStr">
        <is>
          <t>每秒4%火伤，持续6秒，可刷新</t>
        </is>
      </c>
      <c r="AE36" s="115" t="inlineStr">
        <is>
          <t>action=FUSE_DAMAGE; damage_type=fire; dot_damage_per_sec=0.04; dot_duration=6; refresh=true</t>
        </is>
      </c>
      <c r="AF36" s="122" t="inlineStr">
        <is>
          <t>0.00s卡背→0.24s薄边换面→0.42s收束；逆位图案/框体180°，卡名、天体、方位标签和说明文字0°；0.62s后可点</t>
        </is>
      </c>
      <c r="AG36" s="123" t="inlineStr">
        <is>
          <t>[设计完成/数据已入表/运行时待施工]</t>
        </is>
      </c>
    </row>
    <row r="37" ht="52" customHeight="1" s="135">
      <c r="A37" s="106" t="inlineStr">
        <is>
          <t>fate_fuse_frost</t>
        </is>
      </c>
      <c r="B37" s="109" t="inlineStr">
        <is>
          <t>权杖·侍从</t>
        </is>
      </c>
      <c r="C37" s="91" t="inlineStr">
        <is>
          <t>融合</t>
        </is>
      </c>
      <c r="D37" s="91" t="inlineStr">
        <is>
          <t>稀有</t>
        </is>
      </c>
      <c r="E37" s="91" t="inlineStr">
        <is>
          <t>命中后冰冻目标0.5秒</t>
        </is>
      </c>
      <c r="F37" s="91" t="inlineStr">
        <is>
          <t>选择一个子弹，融合冰霜属性，命中后冰冻目标 0.5 秒（精英怪减半）</t>
        </is>
      </c>
      <c r="G37" s="91" t="inlineStr">
        <is>
          <t>低温胶囊在撞击时碎裂，短暂冻结动作，也让精英更快挣脱。</t>
        </is>
      </c>
      <c r="H37" s="91" t="inlineStr">
        <is>
          <t>[Codex补充]</t>
        </is>
      </c>
      <c r="I37" s="91" t="inlineStr">
        <is>
          <t>select=BULLET</t>
        </is>
      </c>
      <c r="J37" s="91" t="inlineStr">
        <is>
          <t>action=FUSE_DAMAGE；damage_type=ice；freeze_duration=0.5；freeze_duration_elite=0.25</t>
        </is>
      </c>
      <c r="K37" s="91" t="inlineStr">
        <is>
          <t>门后命运/三选一/工作台共用卡池</t>
        </is>
      </c>
      <c r="L37" s="91" t="inlineStr">
        <is>
          <t>[已实装]</t>
        </is>
      </c>
      <c r="M37" s="91" t="inlineStr">
        <is>
          <t>[部分实装] 塔罗名称、正/逆位效果快照与通用执行已接入；复杂逆位专属行为继续逐卡QA</t>
        </is>
      </c>
      <c r="N37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7" s="91" t="inlineStr">
        <is>
          <t>迁移前名称：冰霜子弹；稳定ID不变，旧存档迁移为正位，不重投方位</t>
        </is>
      </c>
      <c r="P37" s="112" t="inlineStr">
        <is>
          <t>WEAPON</t>
        </is>
      </c>
      <c r="Q37" s="91" t="inlineStr">
        <is>
          <t>占目标枪械下一个永久命运槽；按序追加、不可拆卸/替换/回退</t>
        </is>
      </c>
      <c r="R37" s="91" t="inlineStr">
        <is>
          <t>[已实装] 塔罗名称、50/50方位、正逆位同ID、代码翻牌、整卡倒置、逆位描述替换与方位持久化已接入</t>
        </is>
      </c>
      <c r="S37" s="91" t="inlineStr">
        <is>
          <t>★ 星星命运｜权杖·侍从｜翻牌后显示正位/逆位、目标、槽位与对应功能</t>
        </is>
      </c>
      <c r="T37" s="91" t="inlineStr">
        <is>
          <t>卡背绕Y轴翻面；逆位整张正面卡牌（含边框、图案、文字与布局）收束180°，并显示逆位效果描述；冰晶尾迹、目标覆霜与冻结破碎反馈清楚，免疫时显示免疫原因</t>
        </is>
      </c>
      <c r="U37" s="91" t="inlineStr">
        <is>
          <t>[部分实装] 通用卡背/翻牌/逆位倒置已验收；逐卡逆位专属VFX与音效继续QA</t>
        </is>
      </c>
      <c r="V37" s="91" t="inlineStr">
        <is>
          <t>冰霜子弹</t>
        </is>
      </c>
      <c r="W37" s="103" t="inlineStr">
        <is>
          <t>PAGE</t>
        </is>
      </c>
      <c r="X37" s="103" t="inlineStr">
        <is>
          <t>MINOR</t>
        </is>
      </c>
      <c r="Y37" s="103" t="inlineStr">
        <is>
          <t>WANDS</t>
        </is>
      </c>
      <c r="Z37" s="165" t="n">
        <v>0.5</v>
      </c>
      <c r="AA37" s="165" t="n">
        <v>0.5</v>
      </c>
      <c r="AB37" s="118" t="inlineStr">
        <is>
          <t>选择一个子弹，融合冰霜属性，命中后冰冻目标 0.5 秒（精英怪减半）</t>
        </is>
      </c>
      <c r="AC37" s="118" t="inlineStr">
        <is>
          <t>action=FUSE_DAMAGE；damage_type=ice；freeze_duration=0.5；freeze_duration_elite=0.25</t>
        </is>
      </c>
      <c r="AD37" s="115" t="inlineStr">
        <is>
          <t>不冻结，减速35%持续3秒</t>
        </is>
      </c>
      <c r="AE37" s="115" t="inlineStr">
        <is>
          <t>action=FUSE_DAMAGE; damage_type=ice; slow_multiplier=0.65; duration=3</t>
        </is>
      </c>
      <c r="AF37" s="122" t="inlineStr">
        <is>
          <t>0.00s卡背→0.24s薄边换面→0.42s收束；逆位图案/框体180°，卡名、天体、方位标签和说明文字0°；0.62s后可点</t>
        </is>
      </c>
      <c r="AG37" s="123" t="inlineStr">
        <is>
          <t>[设计完成/数据已入表/运行时待施工]</t>
        </is>
      </c>
    </row>
    <row r="38" ht="52" customHeight="1" s="135">
      <c r="A38" s="106" t="inlineStr">
        <is>
          <t>fate_fuse_poison</t>
        </is>
      </c>
      <c r="B38" s="109" t="inlineStr">
        <is>
          <t>权杖·骑士</t>
        </is>
      </c>
      <c r="C38" s="91" t="inlineStr">
        <is>
          <t>融合</t>
        </is>
      </c>
      <c r="D38" s="91" t="inlineStr">
        <is>
          <t>史诗</t>
        </is>
      </c>
      <c r="E38" s="91" t="inlineStr">
        <is>
          <t>命中附加毒素，最多叠加5层</t>
        </is>
      </c>
      <c r="F38" s="91" t="inlineStr">
        <is>
          <t>选择一个子弹，融合毒素属性，命中后附加毒素，每层每秒造成 5% 伤害，最多叠加 5 层</t>
        </is>
      </c>
      <c r="G38" s="91" t="inlineStr">
        <is>
          <t>孢子毒层层积累，单发并不致命，重复命中才让猎物失去退路。</t>
        </is>
      </c>
      <c r="H38" s="91" t="inlineStr">
        <is>
          <t>[Codex补充]</t>
        </is>
      </c>
      <c r="I38" s="91" t="inlineStr">
        <is>
          <t>select=BULLET</t>
        </is>
      </c>
      <c r="J38" s="91" t="inlineStr">
        <is>
          <t>action=FUSE_DAMAGE；damage_type=poison；dot_damage_per_stack=0.05；dot_tick_rate=1；max_stacks=5</t>
        </is>
      </c>
      <c r="K38" s="91" t="inlineStr">
        <is>
          <t>门后命运/三选一/工作台共用卡池</t>
        </is>
      </c>
      <c r="L38" s="91" t="inlineStr">
        <is>
          <t>[已实装]</t>
        </is>
      </c>
      <c r="M38" s="91" t="inlineStr">
        <is>
          <t>[部分实装] 塔罗名称、正/逆位效果快照与通用执行已接入；复杂逆位专属行为继续逐卡QA</t>
        </is>
      </c>
      <c r="N38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8" s="91" t="inlineStr">
        <is>
          <t>迁移前名称：剧毒子弹；稳定ID不变，旧存档迁移为正位，不重投方位</t>
        </is>
      </c>
      <c r="P38" s="112" t="inlineStr">
        <is>
          <t>WEAPON</t>
        </is>
      </c>
      <c r="Q38" s="91" t="inlineStr">
        <is>
          <t>占目标枪械下一个永久命运槽；按序追加、不可拆卸/替换/回退</t>
        </is>
      </c>
      <c r="R38" s="91" t="inlineStr">
        <is>
          <t>[已实装] 塔罗名称、50/50方位、正逆位同ID、代码翻牌、整卡倒置、逆位描述替换与方位持久化已接入</t>
        </is>
      </c>
      <c r="S38" s="91" t="inlineStr">
        <is>
          <t>★ 星星命运｜权杖·骑士｜翻牌后显示正位/逆位、目标、槽位与对应功能</t>
        </is>
      </c>
      <c r="T38" s="91" t="inlineStr">
        <is>
          <t>卡背绕Y轴翻面；逆位整张正面卡牌（含边框、图案、文字与布局）收束180°，并显示逆位效果描述；毒雾尾迹、目标层数图标和持续伤害节奏同步，达到上限有强调</t>
        </is>
      </c>
      <c r="U38" s="91" t="inlineStr">
        <is>
          <t>[部分实装] 通用卡背/翻牌/逆位倒置已验收；逐卡逆位专属VFX与音效继续QA</t>
        </is>
      </c>
      <c r="V38" s="91" t="inlineStr">
        <is>
          <t>剧毒子弹</t>
        </is>
      </c>
      <c r="W38" s="103" t="inlineStr">
        <is>
          <t>KNIGHT</t>
        </is>
      </c>
      <c r="X38" s="103" t="inlineStr">
        <is>
          <t>MINOR</t>
        </is>
      </c>
      <c r="Y38" s="103" t="inlineStr">
        <is>
          <t>WANDS</t>
        </is>
      </c>
      <c r="Z38" s="165" t="n">
        <v>0.5</v>
      </c>
      <c r="AA38" s="165" t="n">
        <v>0.5</v>
      </c>
      <c r="AB38" s="118" t="inlineStr">
        <is>
          <t>选择一个子弹，融合毒素属性，命中后附加毒素，每层每秒造成 5% 伤害，最多叠加 5 层</t>
        </is>
      </c>
      <c r="AC38" s="118" t="inlineStr">
        <is>
          <t>action=FUSE_DAMAGE；damage_type=poison；dot_damage_per_stack=0.05；dot_tick_rate=1；max_stacks=5</t>
        </is>
      </c>
      <c r="AD38" s="115" t="inlineStr">
        <is>
          <t>毒素不叠层，3秒后一次爆发35%武器伤害</t>
        </is>
      </c>
      <c r="AE38" s="115" t="inlineStr">
        <is>
          <t>action=FUSE_DAMAGE; damage_type=poison_burst; delay=3; damage_scale=0.35; max_stacks=1</t>
        </is>
      </c>
      <c r="AF38" s="122" t="inlineStr">
        <is>
          <t>0.00s卡背→0.24s薄边换面→0.42s收束；逆位图案/框体180°，卡名、天体、方位标签和说明文字0°；0.62s后可点</t>
        </is>
      </c>
      <c r="AG38" s="123" t="inlineStr">
        <is>
          <t>[设计完成/数据已入表/运行时待施工]</t>
        </is>
      </c>
    </row>
    <row r="39" ht="52" customHeight="1" s="135">
      <c r="A39" s="106" t="inlineStr">
        <is>
          <t>fate_crit_kill</t>
        </is>
      </c>
      <c r="B39" s="109" t="inlineStr">
        <is>
          <t>权杖·王后</t>
        </is>
      </c>
      <c r="C39" s="91" t="inlineStr">
        <is>
          <t>规则</t>
        </is>
      </c>
      <c r="D39" s="91" t="inlineStr">
        <is>
          <t>稀有</t>
        </is>
      </c>
      <c r="E39" s="91" t="inlineStr">
        <is>
          <t>击杀后下次射击必定暴击</t>
        </is>
      </c>
      <c r="F39" s="91" t="inlineStr">
        <is>
          <t>选择一个枪身，击杀敌人后下一次射击必暴击，暴击伤害 × 2.5</t>
        </is>
      </c>
      <c r="G39" s="91" t="inlineStr">
        <is>
          <t>一次击杀会在枪机里留下短暂确信，使下一发必然寻找最脆弱的位置。</t>
        </is>
      </c>
      <c r="H39" s="91" t="inlineStr">
        <is>
          <t>[Codex补充]</t>
        </is>
      </c>
      <c r="I39" s="91" t="inlineStr">
        <is>
          <t>select=GUNBODY</t>
        </is>
      </c>
      <c r="J39" s="91" t="inlineStr">
        <is>
          <t>action=CRIT_ON_KILL；crit_damage_multiplier=2.5；stacks=1</t>
        </is>
      </c>
      <c r="K39" s="91" t="inlineStr">
        <is>
          <t>门后命运/三选一/工作台共用卡池</t>
        </is>
      </c>
      <c r="L39" s="91" t="inlineStr">
        <is>
          <t>[已实装]</t>
        </is>
      </c>
      <c r="M39" s="91" t="inlineStr">
        <is>
          <t>[部分实装] 塔罗名称、正/逆位效果快照与通用执行已接入；复杂逆位专属行为继续逐卡QA</t>
        </is>
      </c>
      <c r="N3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9" s="91" t="inlineStr">
        <is>
          <t>迁移前名称：致命一击；稳定ID不变，旧存档迁移为正位，不重投方位</t>
        </is>
      </c>
      <c r="P39" s="112" t="inlineStr">
        <is>
          <t>WEAPON</t>
        </is>
      </c>
      <c r="Q39" s="91" t="inlineStr">
        <is>
          <t>占目标枪械下一个永久命运槽；按序追加、不可拆卸/替换/回退</t>
        </is>
      </c>
      <c r="R39" s="91" t="inlineStr">
        <is>
          <t>[已实装] 塔罗名称、50/50方位、正逆位同ID、代码翻牌、整卡倒置、逆位描述替换与方位持久化已接入</t>
        </is>
      </c>
      <c r="S39" s="91" t="inlineStr">
        <is>
          <t>★ 星星命运｜权杖·王后｜翻牌后显示正位/逆位、目标、槽位与对应功能</t>
        </is>
      </c>
      <c r="T39" s="91" t="inlineStr">
        <is>
          <t>卡背绕Y轴翻面；逆位整张正面卡牌（含边框、图案、文字与布局）收束180°，并显示逆位效果描述；暴击击杀出现区别于普通暴击的印记，奖励生效时HUD来源图标亮起</t>
        </is>
      </c>
      <c r="U39" s="91" t="inlineStr">
        <is>
          <t>[部分实装] 通用卡背/翻牌/逆位倒置已验收；逐卡逆位专属VFX与音效继续QA</t>
        </is>
      </c>
      <c r="V39" s="91" t="inlineStr">
        <is>
          <t>致命一击</t>
        </is>
      </c>
      <c r="W39" s="103" t="inlineStr">
        <is>
          <t>QUEEN</t>
        </is>
      </c>
      <c r="X39" s="103" t="inlineStr">
        <is>
          <t>MINOR</t>
        </is>
      </c>
      <c r="Y39" s="103" t="inlineStr">
        <is>
          <t>WANDS</t>
        </is>
      </c>
      <c r="Z39" s="165" t="n">
        <v>0.5</v>
      </c>
      <c r="AA39" s="165" t="n">
        <v>0.5</v>
      </c>
      <c r="AB39" s="118" t="inlineStr">
        <is>
          <t>选择一个枪身，击杀敌人后下一次射击必暴击，暴击伤害 × 2.5</t>
        </is>
      </c>
      <c r="AC39" s="118" t="inlineStr">
        <is>
          <t>action=CRIT_ON_KILL；crit_damage_multiplier=2.5；stacks=1</t>
        </is>
      </c>
      <c r="AD39" s="115" t="inlineStr">
        <is>
          <t>暴击击杀后下3发伤害+30%，不保证暴击</t>
        </is>
      </c>
      <c r="AE39" s="115" t="inlineStr">
        <is>
          <t>action=BUFF_ON_CRIT_KILL; shots=3; damage_multiplier=1.3</t>
        </is>
      </c>
      <c r="AF39" s="122" t="inlineStr">
        <is>
          <t>0.00s卡背→0.24s薄边换面→0.42s收束；逆位图案/框体180°，卡名、天体、方位标签和说明文字0°；0.62s后可点</t>
        </is>
      </c>
      <c r="AG39" s="123" t="inlineStr">
        <is>
          <t>[设计完成/数据已入表/运行时待施工]</t>
        </is>
      </c>
    </row>
    <row r="40" ht="52" customHeight="1" s="135">
      <c r="A40" s="106" t="inlineStr">
        <is>
          <t>fate_huge_scale</t>
        </is>
      </c>
      <c r="B40" s="109" t="inlineStr">
        <is>
          <t>权杖·国王</t>
        </is>
      </c>
      <c r="C40" s="91" t="inlineStr">
        <is>
          <t>视觉</t>
        </is>
      </c>
      <c r="D40" s="91" t="inlineStr">
        <is>
          <t>普通</t>
        </is>
      </c>
      <c r="E40" s="91" t="inlineStr">
        <is>
          <t>节点整体放大 2 倍</t>
        </is>
      </c>
      <c r="F40" s="91" t="inlineStr">
        <is>
          <t>选择一个节点，该节点及其所有子节点放大 2 倍，伤害提升 50%，速度降低 40%</t>
        </is>
      </c>
      <c r="G40" s="91" t="inlineStr">
        <is>
          <t>命运把整棵装配树一同放大，力量随之增长，惯性也变得无法忽略。</t>
        </is>
      </c>
      <c r="H40" s="91" t="inlineStr">
        <is>
          <t>[Codex补充]</t>
        </is>
      </c>
      <c r="I40" s="91" t="n"/>
      <c r="J40" s="91" t="inlineStr">
        <is>
          <t>action=SCALE_UP；damage_scale=1.5；scale=2；speed_scale=0.6</t>
        </is>
      </c>
      <c r="K40" s="91" t="inlineStr">
        <is>
          <t>门后命运/三选一/工作台共用卡池</t>
        </is>
      </c>
      <c r="L40" s="91" t="inlineStr">
        <is>
          <t>[已实装]</t>
        </is>
      </c>
      <c r="M40" s="91" t="inlineStr">
        <is>
          <t>[部分实装] 塔罗名称、正/逆位效果快照与通用执行已接入；复杂逆位专属行为继续逐卡QA</t>
        </is>
      </c>
      <c r="N4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40" s="91" t="inlineStr">
        <is>
          <t>迁移前名称：巨大化；稳定ID不变，旧存档迁移为正位，不重投方位</t>
        </is>
      </c>
      <c r="P40" s="112" t="inlineStr">
        <is>
          <t>WEAPON</t>
        </is>
      </c>
      <c r="Q40" s="91" t="inlineStr">
        <is>
          <t>占目标枪械下一个永久命运槽；按序追加、不可拆卸/替换/回退</t>
        </is>
      </c>
      <c r="R40" s="91" t="inlineStr">
        <is>
          <t>[已实装] 塔罗名称、50/50方位、正逆位同ID、代码翻牌、整卡倒置、逆位描述替换与方位持久化已接入</t>
        </is>
      </c>
      <c r="S40" s="91" t="inlineStr">
        <is>
          <t>★ 星星命运｜权杖·国王｜翻牌后显示正位/逆位、目标、槽位与对应功能</t>
        </is>
      </c>
      <c r="T40" s="91" t="inlineStr">
        <is>
          <t>卡背绕Y轴翻面；逆位整张正面卡牌（含边框、图案、文字与布局）收束180°，并显示逆位效果描述；目标获得夸张但不遮挡视野的体积变化；碰撞与命中轮廓保持一致</t>
        </is>
      </c>
      <c r="U40" s="91" t="inlineStr">
        <is>
          <t>[部分实装] 通用卡背/翻牌/逆位倒置已验收；逐卡逆位专属VFX与音效继续QA</t>
        </is>
      </c>
      <c r="V40" s="91" t="inlineStr">
        <is>
          <t>巨大化</t>
        </is>
      </c>
      <c r="W40" s="103" t="inlineStr">
        <is>
          <t>KING</t>
        </is>
      </c>
      <c r="X40" s="103" t="inlineStr">
        <is>
          <t>MINOR</t>
        </is>
      </c>
      <c r="Y40" s="103" t="inlineStr">
        <is>
          <t>WANDS</t>
        </is>
      </c>
      <c r="Z40" s="165" t="n">
        <v>0.5</v>
      </c>
      <c r="AA40" s="165" t="n">
        <v>0.5</v>
      </c>
      <c r="AB40" s="118" t="inlineStr">
        <is>
          <t>选择一个节点，该节点及其所有子节点放大 2 倍，伤害提升 50%，速度降低 40%</t>
        </is>
      </c>
      <c r="AC40" s="118" t="inlineStr">
        <is>
          <t>action=SCALE_UP；damage_scale=1.5；scale=2；speed_scale=0.6</t>
        </is>
      </c>
      <c r="AD40" s="115" t="inlineStr">
        <is>
          <t>节点×0.65、伤害-20%、速度+60%</t>
        </is>
      </c>
      <c r="AE40" s="115" t="inlineStr">
        <is>
          <t>action=SCALE_UP; scale=0.65; damage_scale=0.8; speed_scale=1.6</t>
        </is>
      </c>
      <c r="AF40" s="122" t="inlineStr">
        <is>
          <t>0.00s卡背→0.24s薄边换面→0.42s收束；逆位图案/框体180°，卡名、天体、方位标签和说明文字0°；0.62s后可点</t>
        </is>
      </c>
      <c r="AG40" s="123" t="inlineStr">
        <is>
          <t>[设计完成/数据已入表/运行时待施工]</t>
        </is>
      </c>
    </row>
    <row r="41" ht="52" customHeight="1" s="135">
      <c r="A41" s="106" t="inlineStr">
        <is>
          <t>fate_sword_ace</t>
        </is>
      </c>
      <c r="B41" s="109" t="inlineStr">
        <is>
          <t>宝剑·王牌</t>
        </is>
      </c>
      <c r="C41" s="91" t="inlineStr">
        <is>
          <t>强化</t>
        </is>
      </c>
      <c r="D41" s="91" t="inlineStr">
        <is>
          <t>稀有</t>
        </is>
      </c>
      <c r="E41" s="91" t="inlineStr">
        <is>
          <t>弹速+35%、伤害-10%</t>
        </is>
      </c>
      <c r="F41" s="91" t="inlineStr">
        <is>
          <t>弹速+35%、伤害-10%</t>
        </is>
      </c>
      <c r="G41" s="91" t="inlineStr">
        <is>
          <t>新增塔罗牌“宝剑·王牌”，正位与逆位是同一主题的两种解读。</t>
        </is>
      </c>
      <c r="H41" s="91" t="inlineStr">
        <is>
          <t>[用户设计+Codex规划]</t>
        </is>
      </c>
      <c r="I41" s="91" t="inlineStr">
        <is>
          <t>select=GUNBODY_OR_BULLET</t>
        </is>
      </c>
      <c r="J41" s="91" t="inlineStr">
        <is>
          <t>action=PROJECTILE_SPEED_TRADE; speed_multiplier=1.35; damage_multiplier=0.9</t>
        </is>
      </c>
      <c r="K41" s="91" t="inlineStr">
        <is>
          <t>塔罗命运三选一/工作台/局前预选目标卡池</t>
        </is>
      </c>
      <c r="L41" s="91" t="inlineStr">
        <is>
          <t>[用户设计]</t>
        </is>
      </c>
      <c r="M41" s="91" t="inlineStr">
        <is>
          <t>[未施工] 名称、正/逆位与效果参数已完成数据设计</t>
        </is>
      </c>
      <c r="N41" s="91" t="inlineStr">
        <is>
          <t>docs/v0.1/14_技术施工_命运塔罗牌组.md；docs/v0.1/data/ShellStorm2_游戏内容数据库_v010.xlsx</t>
        </is>
      </c>
      <c r="O41" s="91" t="inlineStr">
        <is>
          <t>新增塔罗卡；正式卡池和执行器待施工</t>
        </is>
      </c>
      <c r="P41" s="112" t="inlineStr">
        <is>
          <t>WEAPON</t>
        </is>
      </c>
      <c r="Q41" s="91" t="inlineStr">
        <is>
          <t>占目标枪械下一个永久命运槽；正/逆位都占1槽</t>
        </is>
      </c>
      <c r="R41" s="91" t="inlineStr">
        <is>
          <t>[设计完成/待施工] 正逆位、翻牌和塔罗命名未接入运行时</t>
        </is>
      </c>
      <c r="S41" s="91" t="inlineStr">
        <is>
          <t>★ 星星命运｜宝剑·王牌｜翻牌后显示正位/逆位、目标、槽位与对应功能</t>
        </is>
      </c>
      <c r="T41" s="91" t="inlineStr">
        <is>
          <t>卡背绕Y轴翻面；逆位整张正面卡牌（含边框、图案、文字与布局）收束180°，并显示逆位效果描述；对应规则必须在HUD/场景中可读</t>
        </is>
      </c>
      <c r="U41" s="91" t="inlineStr">
        <is>
          <t>[设计完成/待施工] 旧正位表现可复用；逆位与翻转待QA</t>
        </is>
      </c>
      <c r="V41" s="91" t="n"/>
      <c r="W41" s="103" t="inlineStr">
        <is>
          <t>ACE</t>
        </is>
      </c>
      <c r="X41" s="103" t="inlineStr">
        <is>
          <t>MINOR</t>
        </is>
      </c>
      <c r="Y41" s="103" t="inlineStr">
        <is>
          <t>SWORDS</t>
        </is>
      </c>
      <c r="Z41" s="165" t="n">
        <v>0.5</v>
      </c>
      <c r="AA41" s="165" t="n">
        <v>0.5</v>
      </c>
      <c r="AB41" s="118" t="inlineStr">
        <is>
          <t>弹速+35%、伤害-10%</t>
        </is>
      </c>
      <c r="AC41" s="118" t="inlineStr">
        <is>
          <t>action=PROJECTILE_SPEED_TRADE; speed_multiplier=1.35; damage_multiplier=0.9</t>
        </is>
      </c>
      <c r="AD41" s="115" t="inlineStr">
        <is>
          <t>弹速-25%、伤害+30%</t>
        </is>
      </c>
      <c r="AE41" s="115" t="inlineStr">
        <is>
          <t>action=PROJECTILE_SPEED_TRADE; speed_multiplier=0.75; damage_multiplier=1.3</t>
        </is>
      </c>
      <c r="AF41" s="122" t="inlineStr">
        <is>
          <t>0.00s卡背→0.24s薄边换面→0.42s收束；逆位图案/框体180°，卡名、天体、方位标签和说明文字0°；0.62s后可点</t>
        </is>
      </c>
      <c r="AG41" s="123" t="inlineStr">
        <is>
          <t>[设计完成/数据已入表/运行时待施工]</t>
        </is>
      </c>
    </row>
    <row r="42" ht="52" customHeight="1" s="135">
      <c r="A42" s="106" t="inlineStr">
        <is>
          <t>fate_sword_two</t>
        </is>
      </c>
      <c r="B42" s="109" t="inlineStr">
        <is>
          <t>宝剑·二</t>
        </is>
      </c>
      <c r="C42" s="91" t="inlineStr">
        <is>
          <t>变种</t>
        </is>
      </c>
      <c r="D42" s="91" t="inlineStr">
        <is>
          <t>普通</t>
        </is>
      </c>
      <c r="E42" s="91" t="inlineStr">
        <is>
          <t>连射交替向左/右分叉，各造85%伤害</t>
        </is>
      </c>
      <c r="F42" s="91" t="inlineStr">
        <is>
          <t>连射交替向左/右分叉，各造85%伤害</t>
        </is>
      </c>
      <c r="G42" s="91" t="inlineStr">
        <is>
          <t>新增塔罗牌“宝剑·二”，正位与逆位是同一主题的两种解读。</t>
        </is>
      </c>
      <c r="H42" s="91" t="inlineStr">
        <is>
          <t>[用户设计+Codex规划]</t>
        </is>
      </c>
      <c r="I42" s="91" t="inlineStr">
        <is>
          <t>select=GUNBODY_OR_BULLET</t>
        </is>
      </c>
      <c r="J42" s="91" t="inlineStr">
        <is>
          <t>action=ALTERNATING_FORK; damage_scale=0.85</t>
        </is>
      </c>
      <c r="K42" s="91" t="inlineStr">
        <is>
          <t>塔罗命运三选一/工作台/局前预选目标卡池</t>
        </is>
      </c>
      <c r="L42" s="91" t="inlineStr">
        <is>
          <t>[用户设计]</t>
        </is>
      </c>
      <c r="M42" s="91" t="inlineStr">
        <is>
          <t>[未施工] 名称、正/逆位与效果参数已完成数据设计</t>
        </is>
      </c>
      <c r="N42" s="91" t="inlineStr">
        <is>
          <t>docs/v0.1/14_技术施工_命运塔罗牌组.md；docs/v0.1/data/ShellStorm2_游戏内容数据库_v010.xlsx</t>
        </is>
      </c>
      <c r="O42" s="91" t="inlineStr">
        <is>
          <t>新增塔罗卡；正式卡池和执行器待施工</t>
        </is>
      </c>
      <c r="P42" s="112" t="inlineStr">
        <is>
          <t>WEAPON</t>
        </is>
      </c>
      <c r="Q42" s="91" t="inlineStr">
        <is>
          <t>占目标枪械下一个永久命运槽；正/逆位都占1槽</t>
        </is>
      </c>
      <c r="R42" s="91" t="inlineStr">
        <is>
          <t>[设计完成/待施工] 正逆位、翻牌和塔罗命名未接入运行时</t>
        </is>
      </c>
      <c r="S42" s="91" t="inlineStr">
        <is>
          <t>★ 星星命运｜宝剑·二｜翻牌后显示正位/逆位、目标、槽位与对应功能</t>
        </is>
      </c>
      <c r="T42" s="91" t="inlineStr">
        <is>
          <t>卡背绕Y轴翻面；逆位整张正面卡牌（含边框、图案、文字与布局）收束180°，并显示逆位效果描述；对应规则必须在HUD/场景中可读</t>
        </is>
      </c>
      <c r="U42" s="91" t="inlineStr">
        <is>
          <t>[设计完成/待施工] 旧正位表现可复用；逆位与翻转待QA</t>
        </is>
      </c>
      <c r="V42" s="91" t="n"/>
      <c r="W42" s="103" t="inlineStr">
        <is>
          <t>2</t>
        </is>
      </c>
      <c r="X42" s="103" t="inlineStr">
        <is>
          <t>MINOR</t>
        </is>
      </c>
      <c r="Y42" s="103" t="inlineStr">
        <is>
          <t>SWORDS</t>
        </is>
      </c>
      <c r="Z42" s="165" t="n">
        <v>0.5</v>
      </c>
      <c r="AA42" s="165" t="n">
        <v>0.5</v>
      </c>
      <c r="AB42" s="118" t="inlineStr">
        <is>
          <t>连射交替向左/右分叉，各造85%伤害</t>
        </is>
      </c>
      <c r="AC42" s="118" t="inlineStr">
        <is>
          <t>action=ALTERNATING_FORK; damage_scale=0.85</t>
        </is>
      </c>
      <c r="AD42" s="115" t="inlineStr">
        <is>
          <t>双弹在6m后汇聚，汇聚命中×1.15</t>
        </is>
      </c>
      <c r="AE42" s="115" t="inlineStr">
        <is>
          <t>action=CONVERGING_PAIR; convergence_distance=6; convergence_damage=1.15</t>
        </is>
      </c>
      <c r="AF42" s="122" t="inlineStr">
        <is>
          <t>0.00s卡背→0.24s薄边换面→0.42s收束；逆位图案/框体180°，卡名、天体、方位标签和说明文字0°；0.62s后可点</t>
        </is>
      </c>
      <c r="AG42" s="123" t="inlineStr">
        <is>
          <t>[设计完成/数据已入表/运行时待施工]</t>
        </is>
      </c>
    </row>
    <row r="43" ht="52" customHeight="1" s="135">
      <c r="A43" s="106" t="inlineStr">
        <is>
          <t>fate_sword_three</t>
        </is>
      </c>
      <c r="B43" s="109" t="inlineStr">
        <is>
          <t>宝剑·三</t>
        </is>
      </c>
      <c r="C43" s="91" t="inlineStr">
        <is>
          <t>强化</t>
        </is>
      </c>
      <c r="D43" s="91" t="inlineStr">
        <is>
          <t>稀有</t>
        </is>
      </c>
      <c r="E43" s="91" t="inlineStr">
        <is>
          <t>暴击率+12%、暴伤-20%</t>
        </is>
      </c>
      <c r="F43" s="91" t="inlineStr">
        <is>
          <t>暴击率+12%、暴伤-20%</t>
        </is>
      </c>
      <c r="G43" s="91" t="inlineStr">
        <is>
          <t>新增塔罗牌“宝剑·三”，正位与逆位是同一主题的两种解读。</t>
        </is>
      </c>
      <c r="H43" s="91" t="inlineStr">
        <is>
          <t>[用户设计+Codex规划]</t>
        </is>
      </c>
      <c r="I43" s="91" t="inlineStr">
        <is>
          <t>select=GUNBODY_OR_BULLET</t>
        </is>
      </c>
      <c r="J43" s="91" t="inlineStr">
        <is>
          <t>action=CRIT_TRADE; crit_chance_add=0.12; crit_damage_add=-0.2</t>
        </is>
      </c>
      <c r="K43" s="91" t="inlineStr">
        <is>
          <t>塔罗命运三选一/工作台/局前预选目标卡池</t>
        </is>
      </c>
      <c r="L43" s="91" t="inlineStr">
        <is>
          <t>[用户设计]</t>
        </is>
      </c>
      <c r="M43" s="91" t="inlineStr">
        <is>
          <t>[未施工] 名称、正/逆位与效果参数已完成数据设计</t>
        </is>
      </c>
      <c r="N43" s="91" t="inlineStr">
        <is>
          <t>docs/v0.1/14_技术施工_命运塔罗牌组.md；docs/v0.1/data/ShellStorm2_游戏内容数据库_v010.xlsx</t>
        </is>
      </c>
      <c r="O43" s="91" t="inlineStr">
        <is>
          <t>新增塔罗卡；正式卡池和执行器待施工</t>
        </is>
      </c>
      <c r="P43" s="112" t="inlineStr">
        <is>
          <t>WEAPON</t>
        </is>
      </c>
      <c r="Q43" s="91" t="inlineStr">
        <is>
          <t>占目标枪械下一个永久命运槽；正/逆位都占1槽</t>
        </is>
      </c>
      <c r="R43" s="91" t="inlineStr">
        <is>
          <t>[设计完成/待施工] 正逆位、翻牌和塔罗命名未接入运行时</t>
        </is>
      </c>
      <c r="S43" s="91" t="inlineStr">
        <is>
          <t>★ 星星命运｜宝剑·三｜翻牌后显示正位/逆位、目标、槽位与对应功能</t>
        </is>
      </c>
      <c r="T43" s="91" t="inlineStr">
        <is>
          <t>卡背绕Y轴翻面；逆位整张正面卡牌（含边框、图案、文字与布局）收束180°，并显示逆位效果描述；对应规则必须在HUD/场景中可读</t>
        </is>
      </c>
      <c r="U43" s="91" t="inlineStr">
        <is>
          <t>[设计完成/待施工] 旧正位表现可复用；逆位与翻转待QA</t>
        </is>
      </c>
      <c r="V43" s="91" t="n"/>
      <c r="W43" s="103" t="inlineStr">
        <is>
          <t>3</t>
        </is>
      </c>
      <c r="X43" s="103" t="inlineStr">
        <is>
          <t>MINOR</t>
        </is>
      </c>
      <c r="Y43" s="103" t="inlineStr">
        <is>
          <t>SWORDS</t>
        </is>
      </c>
      <c r="Z43" s="165" t="n">
        <v>0.5</v>
      </c>
      <c r="AA43" s="165" t="n">
        <v>0.5</v>
      </c>
      <c r="AB43" s="118" t="inlineStr">
        <is>
          <t>暴击率+12%、暴伤-20%</t>
        </is>
      </c>
      <c r="AC43" s="118" t="inlineStr">
        <is>
          <t>action=CRIT_TRADE; crit_chance_add=0.12; crit_damage_add=-0.2</t>
        </is>
      </c>
      <c r="AD43" s="115" t="inlineStr">
        <is>
          <t>暴击率-8%、暴伤+70%</t>
        </is>
      </c>
      <c r="AE43" s="115" t="inlineStr">
        <is>
          <t>action=CRIT_TRADE; crit_chance_add=-0.08; crit_damage_add=0.7</t>
        </is>
      </c>
      <c r="AF43" s="122" t="inlineStr">
        <is>
          <t>0.00s卡背→0.24s薄边换面→0.42s收束；逆位图案/框体180°，卡名、天体、方位标签和说明文字0°；0.62s后可点</t>
        </is>
      </c>
      <c r="AG43" s="123" t="inlineStr">
        <is>
          <t>[设计完成/数据已入表/运行时待施工]</t>
        </is>
      </c>
    </row>
    <row r="44" ht="52" customHeight="1" s="135">
      <c r="A44" s="106" t="inlineStr">
        <is>
          <t>fate_sword_four</t>
        </is>
      </c>
      <c r="B44" s="109" t="inlineStr">
        <is>
          <t>宝剑·四</t>
        </is>
      </c>
      <c r="C44" s="91" t="inlineStr">
        <is>
          <t>规则</t>
        </is>
      </c>
      <c r="D44" s="91" t="inlineStr">
        <is>
          <t>稀有</t>
        </is>
      </c>
      <c r="E44" s="91" t="inlineStr">
        <is>
          <t>静止1秒后扩散-40%、伤害+15%</t>
        </is>
      </c>
      <c r="F44" s="91" t="inlineStr">
        <is>
          <t>静止1秒后扩散-40%、伤害+15%</t>
        </is>
      </c>
      <c r="G44" s="91" t="inlineStr">
        <is>
          <t>新增塔罗牌“宝剑·四”，正位与逆位是同一主题的两种解读。</t>
        </is>
      </c>
      <c r="H44" s="91" t="inlineStr">
        <is>
          <t>[用户设计+Codex规划]</t>
        </is>
      </c>
      <c r="I44" s="91" t="inlineStr">
        <is>
          <t>select=GUNBODY_OR_BULLET</t>
        </is>
      </c>
      <c r="J44" s="91" t="inlineStr">
        <is>
          <t>action=STATIONARY_FOCUS; delay=1; spread_multiplier=0.6; damage_multiplier=1.15</t>
        </is>
      </c>
      <c r="K44" s="91" t="inlineStr">
        <is>
          <t>塔罗命运三选一/工作台/局前预选目标卡池</t>
        </is>
      </c>
      <c r="L44" s="91" t="inlineStr">
        <is>
          <t>[用户设计]</t>
        </is>
      </c>
      <c r="M44" s="91" t="inlineStr">
        <is>
          <t>[未施工] 名称、正/逆位与效果参数已完成数据设计</t>
        </is>
      </c>
      <c r="N44" s="91" t="inlineStr">
        <is>
          <t>docs/v0.1/14_技术施工_命运塔罗牌组.md；docs/v0.1/data/ShellStorm2_游戏内容数据库_v010.xlsx</t>
        </is>
      </c>
      <c r="O44" s="91" t="inlineStr">
        <is>
          <t>新增塔罗卡；正式卡池和执行器待施工</t>
        </is>
      </c>
      <c r="P44" s="112" t="inlineStr">
        <is>
          <t>WEAPON</t>
        </is>
      </c>
      <c r="Q44" s="91" t="inlineStr">
        <is>
          <t>占目标枪械下一个永久命运槽；正/逆位都占1槽</t>
        </is>
      </c>
      <c r="R44" s="91" t="inlineStr">
        <is>
          <t>[设计完成/待施工] 正逆位、翻牌和塔罗命名未接入运行时</t>
        </is>
      </c>
      <c r="S44" s="91" t="inlineStr">
        <is>
          <t>★ 星星命运｜宝剑·四｜翻牌后显示正位/逆位、目标、槽位与对应功能</t>
        </is>
      </c>
      <c r="T44" s="91" t="inlineStr">
        <is>
          <t>卡背绕Y轴翻面；逆位整张正面卡牌（含边框、图案、文字与布局）收束180°，并显示逆位效果描述；对应规则必须在HUD/场景中可读</t>
        </is>
      </c>
      <c r="U44" s="91" t="inlineStr">
        <is>
          <t>[设计完成/待施工] 旧正位表现可复用；逆位与翻转待QA</t>
        </is>
      </c>
      <c r="V44" s="91" t="n"/>
      <c r="W44" s="103" t="inlineStr">
        <is>
          <t>4</t>
        </is>
      </c>
      <c r="X44" s="103" t="inlineStr">
        <is>
          <t>MINOR</t>
        </is>
      </c>
      <c r="Y44" s="103" t="inlineStr">
        <is>
          <t>SWORDS</t>
        </is>
      </c>
      <c r="Z44" s="165" t="n">
        <v>0.5</v>
      </c>
      <c r="AA44" s="165" t="n">
        <v>0.5</v>
      </c>
      <c r="AB44" s="118" t="inlineStr">
        <is>
          <t>静止1秒后扩散-40%、伤害+15%</t>
        </is>
      </c>
      <c r="AC44" s="118" t="inlineStr">
        <is>
          <t>action=STATIONARY_FOCUS; delay=1; spread_multiplier=0.6; damage_multiplier=1.15</t>
        </is>
      </c>
      <c r="AD44" s="115" t="inlineStr">
        <is>
          <t>移动射击扩散-20%、伤害-10%</t>
        </is>
      </c>
      <c r="AE44" s="115" t="inlineStr">
        <is>
          <t>action=MOVING_FOCUS; spread_multiplier=0.8; damage_multiplier=0.9</t>
        </is>
      </c>
      <c r="AF44" s="122" t="inlineStr">
        <is>
          <t>0.00s卡背→0.24s薄边换面→0.42s收束；逆位图案/框体180°，卡名、天体、方位标签和说明文字0°；0.62s后可点</t>
        </is>
      </c>
      <c r="AG44" s="123" t="inlineStr">
        <is>
          <t>[设计完成/数据已入表/运行时待施工]</t>
        </is>
      </c>
    </row>
    <row r="45" ht="52" customHeight="1" s="135">
      <c r="A45" s="106" t="inlineStr">
        <is>
          <t>fate_sword_five</t>
        </is>
      </c>
      <c r="B45" s="109" t="inlineStr">
        <is>
          <t>宝剑·五</t>
        </is>
      </c>
      <c r="C45" s="91" t="inlineStr">
        <is>
          <t>规则</t>
        </is>
      </c>
      <c r="D45" s="91" t="inlineStr">
        <is>
          <t>史诗</t>
        </is>
      </c>
      <c r="E45" s="91" t="inlineStr">
        <is>
          <t>击杀回填弹匣20%</t>
        </is>
      </c>
      <c r="F45" s="91" t="inlineStr">
        <is>
          <t>击杀回填弹匣20%</t>
        </is>
      </c>
      <c r="G45" s="91" t="inlineStr">
        <is>
          <t>新增塔罗牌“宝剑·五”，正位与逆位是同一主题的两种解读。</t>
        </is>
      </c>
      <c r="H45" s="91" t="inlineStr">
        <is>
          <t>[用户设计+Codex规划]</t>
        </is>
      </c>
      <c r="I45" s="91" t="inlineStr">
        <is>
          <t>select=GUNBODY_OR_BULLET</t>
        </is>
      </c>
      <c r="J45" s="91" t="inlineStr">
        <is>
          <t>action=REFUND_MAG_ON_KILL; ratio=0.2</t>
        </is>
      </c>
      <c r="K45" s="91" t="inlineStr">
        <is>
          <t>塔罗命运三选一/工作台/局前预选目标卡池</t>
        </is>
      </c>
      <c r="L45" s="91" t="inlineStr">
        <is>
          <t>[用户设计]</t>
        </is>
      </c>
      <c r="M45" s="91" t="inlineStr">
        <is>
          <t>[未施工] 名称、正/逆位与效果参数已完成数据设计</t>
        </is>
      </c>
      <c r="N45" s="91" t="inlineStr">
        <is>
          <t>docs/v0.1/14_技术施工_命运塔罗牌组.md；docs/v0.1/data/ShellStorm2_游戏内容数据库_v010.xlsx</t>
        </is>
      </c>
      <c r="O45" s="91" t="inlineStr">
        <is>
          <t>新增塔罗卡；正式卡池和执行器待施工</t>
        </is>
      </c>
      <c r="P45" s="112" t="inlineStr">
        <is>
          <t>WEAPON</t>
        </is>
      </c>
      <c r="Q45" s="91" t="inlineStr">
        <is>
          <t>占目标枪械下一个永久命运槽；正/逆位都占1槽</t>
        </is>
      </c>
      <c r="R45" s="91" t="inlineStr">
        <is>
          <t>[设计完成/待施工] 正逆位、翻牌和塔罗命名未接入运行时</t>
        </is>
      </c>
      <c r="S45" s="91" t="inlineStr">
        <is>
          <t>★ 星星命运｜宝剑·五｜翻牌后显示正位/逆位、目标、槽位与对应功能</t>
        </is>
      </c>
      <c r="T45" s="91" t="inlineStr">
        <is>
          <t>卡背绕Y轴翻面；逆位整张正面卡牌（含边框、图案、文字与布局）收束180°，并显示逆位效果描述；对应规则必须在HUD/场景中可读</t>
        </is>
      </c>
      <c r="U45" s="91" t="inlineStr">
        <is>
          <t>[设计完成/待施工] 旧正位表现可复用；逆位与翻转待QA</t>
        </is>
      </c>
      <c r="V45" s="91" t="n"/>
      <c r="W45" s="103" t="inlineStr">
        <is>
          <t>5</t>
        </is>
      </c>
      <c r="X45" s="103" t="inlineStr">
        <is>
          <t>MINOR</t>
        </is>
      </c>
      <c r="Y45" s="103" t="inlineStr">
        <is>
          <t>SWORDS</t>
        </is>
      </c>
      <c r="Z45" s="165" t="n">
        <v>0.5</v>
      </c>
      <c r="AA45" s="165" t="n">
        <v>0.5</v>
      </c>
      <c r="AB45" s="118" t="inlineStr">
        <is>
          <t>击杀回填弹匣20%</t>
        </is>
      </c>
      <c r="AC45" s="118" t="inlineStr">
        <is>
          <t>action=REFUND_MAG_ON_KILL; ratio=0.2</t>
        </is>
      </c>
      <c r="AD45" s="115" t="inlineStr">
        <is>
          <t>打空弹匣后下次换弹速度+35%</t>
        </is>
      </c>
      <c r="AE45" s="115" t="inlineStr">
        <is>
          <t>action=EMPTY_MAG_RELOAD_BUFF; reload_speed_multiplier=1.35</t>
        </is>
      </c>
      <c r="AF45" s="122" t="inlineStr">
        <is>
          <t>0.00s卡背→0.24s薄边换面→0.42s收束；逆位图案/框体180°，卡名、天体、方位标签和说明文字0°；0.62s后可点</t>
        </is>
      </c>
      <c r="AG45" s="123" t="inlineStr">
        <is>
          <t>[设计完成/数据已入表/运行时待施工]</t>
        </is>
      </c>
    </row>
    <row r="46" ht="52" customHeight="1" s="135">
      <c r="A46" s="106" t="inlineStr">
        <is>
          <t>fate_sword_six</t>
        </is>
      </c>
      <c r="B46" s="109" t="inlineStr">
        <is>
          <t>宝剑·六</t>
        </is>
      </c>
      <c r="C46" s="91" t="inlineStr">
        <is>
          <t>变种</t>
        </is>
      </c>
      <c r="D46" s="91" t="inlineStr">
        <is>
          <t>史诗</t>
        </is>
      </c>
      <c r="E46" s="91" t="inlineStr">
        <is>
          <t>穿透2个敌人，每次穿透伤害-15%</t>
        </is>
      </c>
      <c r="F46" s="91" t="inlineStr">
        <is>
          <t>穿透2个敌人，每次穿透伤害-15%</t>
        </is>
      </c>
      <c r="G46" s="91" t="inlineStr">
        <is>
          <t>新增塔罗牌“宝剑·六”，正位与逆位是同一主题的两种解读。</t>
        </is>
      </c>
      <c r="H46" s="91" t="inlineStr">
        <is>
          <t>[用户设计+Codex规划]</t>
        </is>
      </c>
      <c r="I46" s="91" t="inlineStr">
        <is>
          <t>select=GUNBODY_OR_BULLET</t>
        </is>
      </c>
      <c r="J46" s="91" t="inlineStr">
        <is>
          <t>action=PIERCE_ENEMIES; count=2; per_target_multiplier=0.85</t>
        </is>
      </c>
      <c r="K46" s="91" t="inlineStr">
        <is>
          <t>塔罗命运三选一/工作台/局前预选目标卡池</t>
        </is>
      </c>
      <c r="L46" s="91" t="inlineStr">
        <is>
          <t>[用户设计]</t>
        </is>
      </c>
      <c r="M46" s="91" t="inlineStr">
        <is>
          <t>[未施工] 名称、正/逆位与效果参数已完成数据设计</t>
        </is>
      </c>
      <c r="N46" s="91" t="inlineStr">
        <is>
          <t>docs/v0.1/14_技术施工_命运塔罗牌组.md；docs/v0.1/data/ShellStorm2_游戏内容数据库_v010.xlsx</t>
        </is>
      </c>
      <c r="O46" s="91" t="inlineStr">
        <is>
          <t>新增塔罗卡；正式卡池和执行器待施工</t>
        </is>
      </c>
      <c r="P46" s="112" t="inlineStr">
        <is>
          <t>WEAPON</t>
        </is>
      </c>
      <c r="Q46" s="91" t="inlineStr">
        <is>
          <t>占目标枪械下一个永久命运槽；正/逆位都占1槽</t>
        </is>
      </c>
      <c r="R46" s="91" t="inlineStr">
        <is>
          <t>[设计完成/待施工] 正逆位、翻牌和塔罗命名未接入运行时</t>
        </is>
      </c>
      <c r="S46" s="91" t="inlineStr">
        <is>
          <t>★ 星星命运｜宝剑·六｜翻牌后显示正位/逆位、目标、槽位与对应功能</t>
        </is>
      </c>
      <c r="T46" s="91" t="inlineStr">
        <is>
          <t>卡背绕Y轴翻面；逆位整张正面卡牌（含边框、图案、文字与布局）收束180°，并显示逆位效果描述；对应规则必须在HUD/场景中可读</t>
        </is>
      </c>
      <c r="U46" s="91" t="inlineStr">
        <is>
          <t>[设计完成/待施工] 旧正位表现可复用；逆位与翻转待QA</t>
        </is>
      </c>
      <c r="V46" s="91" t="n"/>
      <c r="W46" s="103" t="inlineStr">
        <is>
          <t>6</t>
        </is>
      </c>
      <c r="X46" s="103" t="inlineStr">
        <is>
          <t>MINOR</t>
        </is>
      </c>
      <c r="Y46" s="103" t="inlineStr">
        <is>
          <t>SWORDS</t>
        </is>
      </c>
      <c r="Z46" s="165" t="n">
        <v>0.5</v>
      </c>
      <c r="AA46" s="165" t="n">
        <v>0.5</v>
      </c>
      <c r="AB46" s="118" t="inlineStr">
        <is>
          <t>穿透2个敌人，每次穿透伤害-15%</t>
        </is>
      </c>
      <c r="AC46" s="118" t="inlineStr">
        <is>
          <t>action=PIERCE_ENEMIES; count=2; per_target_multiplier=0.85</t>
        </is>
      </c>
      <c r="AD46" s="115" t="inlineStr">
        <is>
          <t>命中第一个目标即停止并爆炸，造60%武器伤害</t>
        </is>
      </c>
      <c r="AE46" s="115" t="inlineStr">
        <is>
          <t>action=STOP_AND_EXPLODE; damage_scale=0.6</t>
        </is>
      </c>
      <c r="AF46" s="122" t="inlineStr">
        <is>
          <t>0.00s卡背→0.24s薄边换面→0.42s收束；逆位图案/框体180°，卡名、天体、方位标签和说明文字0°；0.62s后可点</t>
        </is>
      </c>
      <c r="AG46" s="123" t="inlineStr">
        <is>
          <t>[设计完成/数据已入表/运行时待施工]</t>
        </is>
      </c>
    </row>
    <row r="47" ht="52" customHeight="1" s="135">
      <c r="A47" s="106" t="inlineStr">
        <is>
          <t>fate_sword_seven</t>
        </is>
      </c>
      <c r="B47" s="109" t="inlineStr">
        <is>
          <t>宝剑·七</t>
        </is>
      </c>
      <c r="C47" s="91" t="inlineStr">
        <is>
          <t>规则</t>
        </is>
      </c>
      <c r="D47" s="91" t="inlineStr">
        <is>
          <t>史诗</t>
        </is>
      </c>
      <c r="E47" s="91" t="inlineStr">
        <is>
          <t>弱点命中标记目标，对其伤害+8%、最多3层</t>
        </is>
      </c>
      <c r="F47" s="91" t="inlineStr">
        <is>
          <t>弱点命中标记目标，对其伤害+8%、最多3层</t>
        </is>
      </c>
      <c r="G47" s="91" t="inlineStr">
        <is>
          <t>新增塔罗牌“宝剑·七”，正位与逆位是同一主题的两种解读。</t>
        </is>
      </c>
      <c r="H47" s="91" t="inlineStr">
        <is>
          <t>[用户设计+Codex规划]</t>
        </is>
      </c>
      <c r="I47" s="91" t="inlineStr">
        <is>
          <t>select=GUNBODY_OR_BULLET</t>
        </is>
      </c>
      <c r="J47" s="91" t="inlineStr">
        <is>
          <t>action=WEAKPOINT_MARK; damage_per_stack=0.08; max_stacks=3</t>
        </is>
      </c>
      <c r="K47" s="91" t="inlineStr">
        <is>
          <t>塔罗命运三选一/工作台/局前预选目标卡池</t>
        </is>
      </c>
      <c r="L47" s="91" t="inlineStr">
        <is>
          <t>[用户设计]</t>
        </is>
      </c>
      <c r="M47" s="91" t="inlineStr">
        <is>
          <t>[未施工] 名称、正/逆位与效果参数已完成数据设计</t>
        </is>
      </c>
      <c r="N47" s="91" t="inlineStr">
        <is>
          <t>docs/v0.1/14_技术施工_命运塔罗牌组.md；docs/v0.1/data/ShellStorm2_游戏内容数据库_v010.xlsx</t>
        </is>
      </c>
      <c r="O47" s="91" t="inlineStr">
        <is>
          <t>新增塔罗卡；正式卡池和执行器待施工</t>
        </is>
      </c>
      <c r="P47" s="112" t="inlineStr">
        <is>
          <t>WEAPON</t>
        </is>
      </c>
      <c r="Q47" s="91" t="inlineStr">
        <is>
          <t>占目标枪械下一个永久命运槽；正/逆位都占1槽</t>
        </is>
      </c>
      <c r="R47" s="91" t="inlineStr">
        <is>
          <t>[设计完成/待施工] 正逆位、翻牌和塔罗命名未接入运行时</t>
        </is>
      </c>
      <c r="S47" s="91" t="inlineStr">
        <is>
          <t>★ 星星命运｜宝剑·七｜翻牌后显示正位/逆位、目标、槽位与对应功能</t>
        </is>
      </c>
      <c r="T47" s="91" t="inlineStr">
        <is>
          <t>卡背绕Y轴翻面；逆位整张正面卡牌（含边框、图案、文字与布局）收束180°，并显示逆位效果描述；对应规则必须在HUD/场景中可读</t>
        </is>
      </c>
      <c r="U47" s="91" t="inlineStr">
        <is>
          <t>[设计完成/待施工] 旧正位表现可复用；逆位与翻转待QA</t>
        </is>
      </c>
      <c r="V47" s="91" t="n"/>
      <c r="W47" s="103" t="inlineStr">
        <is>
          <t>7</t>
        </is>
      </c>
      <c r="X47" s="103" t="inlineStr">
        <is>
          <t>MINOR</t>
        </is>
      </c>
      <c r="Y47" s="103" t="inlineStr">
        <is>
          <t>SWORDS</t>
        </is>
      </c>
      <c r="Z47" s="165" t="n">
        <v>0.5</v>
      </c>
      <c r="AA47" s="165" t="n">
        <v>0.5</v>
      </c>
      <c r="AB47" s="118" t="inlineStr">
        <is>
          <t>弱点命中标记目标，对其伤害+8%、最多3层</t>
        </is>
      </c>
      <c r="AC47" s="118" t="inlineStr">
        <is>
          <t>action=WEAKPOINT_MARK; damage_per_stack=0.08; max_stacks=3</t>
        </is>
      </c>
      <c r="AD47" s="115" t="inlineStr">
        <is>
          <t>普通命中积累稳定，每第5发转为追踪弹</t>
        </is>
      </c>
      <c r="AE47" s="115" t="inlineStr">
        <is>
          <t>action=BODY_HIT_HOMING; hit_threshold=5</t>
        </is>
      </c>
      <c r="AF47" s="122" t="inlineStr">
        <is>
          <t>0.00s卡背→0.24s薄边换面→0.42s收束；逆位图案/框体180°，卡名、天体、方位标签和说明文字0°；0.62s后可点</t>
        </is>
      </c>
      <c r="AG47" s="123" t="inlineStr">
        <is>
          <t>[设计完成/数据已入表/运行时待施工]</t>
        </is>
      </c>
    </row>
    <row r="48" ht="52" customHeight="1" s="135">
      <c r="A48" s="106" t="inlineStr">
        <is>
          <t>fate_sword_eight</t>
        </is>
      </c>
      <c r="B48" s="109" t="inlineStr">
        <is>
          <t>宝剑·八</t>
        </is>
      </c>
      <c r="C48" s="91" t="inlineStr">
        <is>
          <t>变种</t>
        </is>
      </c>
      <c r="D48" s="91" t="inlineStr">
        <is>
          <t>普通</t>
        </is>
      </c>
      <c r="E48" s="91" t="inlineStr">
        <is>
          <t>散射角-30%、弹速+15%</t>
        </is>
      </c>
      <c r="F48" s="91" t="inlineStr">
        <is>
          <t>散射角-30%、弹速+15%</t>
        </is>
      </c>
      <c r="G48" s="91" t="inlineStr">
        <is>
          <t>新增塔罗牌“宝剑·八”，正位与逆位是同一主题的两种解读。</t>
        </is>
      </c>
      <c r="H48" s="91" t="inlineStr">
        <is>
          <t>[用户设计+Codex规划]</t>
        </is>
      </c>
      <c r="I48" s="91" t="inlineStr">
        <is>
          <t>select=GUNBODY_OR_BULLET</t>
        </is>
      </c>
      <c r="J48" s="91" t="inlineStr">
        <is>
          <t>action=SPREAD_TRADE; spread_multiplier=0.7; speed_multiplier=1.15</t>
        </is>
      </c>
      <c r="K48" s="91" t="inlineStr">
        <is>
          <t>塔罗命运三选一/工作台/局前预选目标卡池</t>
        </is>
      </c>
      <c r="L48" s="91" t="inlineStr">
        <is>
          <t>[用户设计]</t>
        </is>
      </c>
      <c r="M48" s="91" t="inlineStr">
        <is>
          <t>[未施工] 名称、正/逆位与效果参数已完成数据设计</t>
        </is>
      </c>
      <c r="N48" s="91" t="inlineStr">
        <is>
          <t>docs/v0.1/14_技术施工_命运塔罗牌组.md；docs/v0.1/data/ShellStorm2_游戏内容数据库_v010.xlsx</t>
        </is>
      </c>
      <c r="O48" s="91" t="inlineStr">
        <is>
          <t>新增塔罗卡；正式卡池和执行器待施工</t>
        </is>
      </c>
      <c r="P48" s="112" t="inlineStr">
        <is>
          <t>WEAPON</t>
        </is>
      </c>
      <c r="Q48" s="91" t="inlineStr">
        <is>
          <t>占目标枪械下一个永久命运槽；正/逆位都占1槽</t>
        </is>
      </c>
      <c r="R48" s="91" t="inlineStr">
        <is>
          <t>[设计完成/待施工] 正逆位、翻牌和塔罗命名未接入运行时</t>
        </is>
      </c>
      <c r="S48" s="91" t="inlineStr">
        <is>
          <t>★ 星星命运｜宝剑·八｜翻牌后显示正位/逆位、目标、槽位与对应功能</t>
        </is>
      </c>
      <c r="T48" s="91" t="inlineStr">
        <is>
          <t>卡背绕Y轴翻面；逆位整张正面卡牌（含边框、图案、文字与布局）收束180°，并显示逆位效果描述；对应规则必须在HUD/场景中可读</t>
        </is>
      </c>
      <c r="U48" s="91" t="inlineStr">
        <is>
          <t>[设计完成/待施工] 旧正位表现可复用；逆位与翻转待QA</t>
        </is>
      </c>
      <c r="V48" s="91" t="n"/>
      <c r="W48" s="103" t="inlineStr">
        <is>
          <t>8</t>
        </is>
      </c>
      <c r="X48" s="103" t="inlineStr">
        <is>
          <t>MINOR</t>
        </is>
      </c>
      <c r="Y48" s="103" t="inlineStr">
        <is>
          <t>SWORDS</t>
        </is>
      </c>
      <c r="Z48" s="165" t="n">
        <v>0.5</v>
      </c>
      <c r="AA48" s="165" t="n">
        <v>0.5</v>
      </c>
      <c r="AB48" s="118" t="inlineStr">
        <is>
          <t>散射角-30%、弹速+15%</t>
        </is>
      </c>
      <c r="AC48" s="118" t="inlineStr">
        <is>
          <t>action=SPREAD_TRADE; spread_multiplier=0.7; speed_multiplier=1.15</t>
        </is>
      </c>
      <c r="AD48" s="115" t="inlineStr">
        <is>
          <t>散射角+45%、投射物+2，每发65%伤害</t>
        </is>
      </c>
      <c r="AE48" s="115" t="inlineStr">
        <is>
          <t>action=SPREAD_TRADE; spread_multiplier=1.45; projectile_add=2; damage_scale=0.65</t>
        </is>
      </c>
      <c r="AF48" s="122" t="inlineStr">
        <is>
          <t>0.00s卡背→0.24s薄边换面→0.42s收束；逆位图案/框体180°，卡名、天体、方位标签和说明文字0°；0.62s后可点</t>
        </is>
      </c>
      <c r="AG48" s="123" t="inlineStr">
        <is>
          <t>[设计完成/数据已入表/运行时待施工]</t>
        </is>
      </c>
    </row>
    <row r="49" ht="52" customHeight="1" s="135">
      <c r="A49" s="106" t="inlineStr">
        <is>
          <t>fate_sword_nine</t>
        </is>
      </c>
      <c r="B49" s="109" t="inlineStr">
        <is>
          <t>宝剑·九</t>
        </is>
      </c>
      <c r="C49" s="91" t="inlineStr">
        <is>
          <t>规则</t>
        </is>
      </c>
      <c r="D49" s="91" t="inlineStr">
        <is>
          <t>史诗</t>
        </is>
      </c>
      <c r="E49" s="91" t="inlineStr">
        <is>
          <t>换弹最后25%时段不受击，下弹匣射速+20%</t>
        </is>
      </c>
      <c r="F49" s="91" t="inlineStr">
        <is>
          <t>换弹最后25%时段不受击，下弹匣射速+20%</t>
        </is>
      </c>
      <c r="G49" s="91" t="inlineStr">
        <is>
          <t>新增塔罗牌“宝剑·九”，正位与逆位是同一主题的两种解读。</t>
        </is>
      </c>
      <c r="H49" s="91" t="inlineStr">
        <is>
          <t>[用户设计+Codex规划]</t>
        </is>
      </c>
      <c r="I49" s="91" t="inlineStr">
        <is>
          <t>select=GUNBODY_OR_BULLET</t>
        </is>
      </c>
      <c r="J49" s="91" t="inlineStr">
        <is>
          <t>action=SAFE_RELOAD_REWARD; protected_tail_ratio=0.25; fire_rate_multiplier=1.2</t>
        </is>
      </c>
      <c r="K49" s="91" t="inlineStr">
        <is>
          <t>塔罗命运三选一/工作台/局前预选目标卡池</t>
        </is>
      </c>
      <c r="L49" s="91" t="inlineStr">
        <is>
          <t>[用户设计]</t>
        </is>
      </c>
      <c r="M49" s="91" t="inlineStr">
        <is>
          <t>[未施工] 名称、正/逆位与效果参数已完成数据设计</t>
        </is>
      </c>
      <c r="N49" s="91" t="inlineStr">
        <is>
          <t>docs/v0.1/14_技术施工_命运塔罗牌组.md；docs/v0.1/data/ShellStorm2_游戏内容数据库_v010.xlsx</t>
        </is>
      </c>
      <c r="O49" s="91" t="inlineStr">
        <is>
          <t>新增塔罗卡；正式卡池和执行器待施工</t>
        </is>
      </c>
      <c r="P49" s="112" t="inlineStr">
        <is>
          <t>WEAPON</t>
        </is>
      </c>
      <c r="Q49" s="91" t="inlineStr">
        <is>
          <t>占目标枪械下一个永久命运槽；正/逆位都占1槽</t>
        </is>
      </c>
      <c r="R49" s="91" t="inlineStr">
        <is>
          <t>[设计完成/待施工] 正逆位、翻牌和塔罗命名未接入运行时</t>
        </is>
      </c>
      <c r="S49" s="91" t="inlineStr">
        <is>
          <t>★ 星星命运｜宝剑·九｜翻牌后显示正位/逆位、目标、槽位与对应功能</t>
        </is>
      </c>
      <c r="T49" s="91" t="inlineStr">
        <is>
          <t>卡背绕Y轴翻面；逆位整张正面卡牌（含边框、图案、文字与布局）收束180°，并显示逆位效果描述；对应规则必须在HUD/场景中可读</t>
        </is>
      </c>
      <c r="U49" s="91" t="inlineStr">
        <is>
          <t>[设计完成/待施工] 旧正位表现可复用；逆位与翻转待QA</t>
        </is>
      </c>
      <c r="V49" s="91" t="n"/>
      <c r="W49" s="103" t="inlineStr">
        <is>
          <t>9</t>
        </is>
      </c>
      <c r="X49" s="103" t="inlineStr">
        <is>
          <t>MINOR</t>
        </is>
      </c>
      <c r="Y49" s="103" t="inlineStr">
        <is>
          <t>SWORDS</t>
        </is>
      </c>
      <c r="Z49" s="165" t="n">
        <v>0.5</v>
      </c>
      <c r="AA49" s="165" t="n">
        <v>0.5</v>
      </c>
      <c r="AB49" s="118" t="inlineStr">
        <is>
          <t>换弹最后25%时段不受击，下弹匣射速+20%</t>
        </is>
      </c>
      <c r="AC49" s="118" t="inlineStr">
        <is>
          <t>action=SAFE_RELOAD_REWARD; protected_tail_ratio=0.25; fire_rate_multiplier=1.2</t>
        </is>
      </c>
      <c r="AD49" s="115" t="inlineStr">
        <is>
          <t>取消换弹立即获得1发50%伤害应急弹，5秒冷却</t>
        </is>
      </c>
      <c r="AE49" s="115" t="inlineStr">
        <is>
          <t>action=RELOAD_CANCEL_SHOT; damage_scale=0.5; cooldown=5</t>
        </is>
      </c>
      <c r="AF49" s="122" t="inlineStr">
        <is>
          <t>0.00s卡背→0.24s薄边换面→0.42s收束；逆位图案/框体180°，卡名、天体、方位标签和说明文字0°；0.62s后可点</t>
        </is>
      </c>
      <c r="AG49" s="123" t="inlineStr">
        <is>
          <t>[设计完成/数据已入表/运行时待施工]</t>
        </is>
      </c>
    </row>
    <row r="50" ht="52" customHeight="1" s="135">
      <c r="A50" s="106" t="inlineStr">
        <is>
          <t>fate_sword_ten</t>
        </is>
      </c>
      <c r="B50" s="109" t="inlineStr">
        <is>
          <t>宝剑·十</t>
        </is>
      </c>
      <c r="C50" s="91" t="inlineStr">
        <is>
          <t>规则</t>
        </is>
      </c>
      <c r="D50" s="91" t="inlineStr">
        <is>
          <t>传说</t>
        </is>
      </c>
      <c r="E50" s="91" t="inlineStr">
        <is>
          <t>溢出伤害化为穿透碎片攻击后方敌人</t>
        </is>
      </c>
      <c r="F50" s="91" t="inlineStr">
        <is>
          <t>溢出伤害化为穿透碎片攻击后方敌人</t>
        </is>
      </c>
      <c r="G50" s="91" t="inlineStr">
        <is>
          <t>新增塔罗牌“宝剑·十”，正位与逆位是同一主题的两种解读。</t>
        </is>
      </c>
      <c r="H50" s="91" t="inlineStr">
        <is>
          <t>[用户设计+Codex规划]</t>
        </is>
      </c>
      <c r="I50" s="91" t="inlineStr">
        <is>
          <t>select=GUNBODY_OR_BULLET</t>
        </is>
      </c>
      <c r="J50" s="91" t="inlineStr">
        <is>
          <t>action=OVERKILL_SHARD; transfer_ratio=1</t>
        </is>
      </c>
      <c r="K50" s="91" t="inlineStr">
        <is>
          <t>塔罗命运三选一/工作台/局前预选目标卡池</t>
        </is>
      </c>
      <c r="L50" s="91" t="inlineStr">
        <is>
          <t>[用户设计]</t>
        </is>
      </c>
      <c r="M50" s="91" t="inlineStr">
        <is>
          <t>[未施工] 名称、正/逆位与效果参数已完成数据设计</t>
        </is>
      </c>
      <c r="N50" s="91" t="inlineStr">
        <is>
          <t>docs/v0.1/14_技术施工_命运塔罗牌组.md；docs/v0.1/data/ShellStorm2_游戏内容数据库_v010.xlsx</t>
        </is>
      </c>
      <c r="O50" s="91" t="inlineStr">
        <is>
          <t>新增塔罗卡；正式卡池和执行器待施工</t>
        </is>
      </c>
      <c r="P50" s="112" t="inlineStr">
        <is>
          <t>WEAPON</t>
        </is>
      </c>
      <c r="Q50" s="91" t="inlineStr">
        <is>
          <t>占目标枪械下一个永久命运槽；正/逆位都占1槽</t>
        </is>
      </c>
      <c r="R50" s="91" t="inlineStr">
        <is>
          <t>[设计完成/待施工] 正逆位、翻牌和塔罗命名未接入运行时</t>
        </is>
      </c>
      <c r="S50" s="91" t="inlineStr">
        <is>
          <t>★ 星星命运｜宝剑·十｜翻牌后显示正位/逆位、目标、槽位与对应功能</t>
        </is>
      </c>
      <c r="T50" s="91" t="inlineStr">
        <is>
          <t>卡背绕Y轴翻面；逆位整张正面卡牌（含边框、图案、文字与布局）收束180°，并显示逆位效果描述；对应规则必须在HUD/场景中可读</t>
        </is>
      </c>
      <c r="U50" s="91" t="inlineStr">
        <is>
          <t>[设计完成/待施工] 旧正位表现可复用；逆位与翻转待QA</t>
        </is>
      </c>
      <c r="V50" s="91" t="n"/>
      <c r="W50" s="103" t="inlineStr">
        <is>
          <t>10</t>
        </is>
      </c>
      <c r="X50" s="103" t="inlineStr">
        <is>
          <t>MINOR</t>
        </is>
      </c>
      <c r="Y50" s="103" t="inlineStr">
        <is>
          <t>SWORDS</t>
        </is>
      </c>
      <c r="Z50" s="165" t="n">
        <v>0.5</v>
      </c>
      <c r="AA50" s="165" t="n">
        <v>0.5</v>
      </c>
      <c r="AB50" s="118" t="inlineStr">
        <is>
          <t>溢出伤害化为穿透碎片攻击后方敌人</t>
        </is>
      </c>
      <c r="AC50" s="118" t="inlineStr">
        <is>
          <t>action=OVERKILL_SHARD; transfer_ratio=1</t>
        </is>
      </c>
      <c r="AD50" s="115" t="inlineStr">
        <is>
          <t>普通敌人低于8%生命时处决，精英阈值3%</t>
        </is>
      </c>
      <c r="AE50" s="115" t="inlineStr">
        <is>
          <t>action=EXECUTE; normal_threshold=0.08; elite_threshold=0.03</t>
        </is>
      </c>
      <c r="AF50" s="122" t="inlineStr">
        <is>
          <t>0.00s卡背→0.24s薄边换面→0.42s收束；逆位图案/框体180°，卡名、天体、方位标签和说明文字0°；0.62s后可点</t>
        </is>
      </c>
      <c r="AG50" s="123" t="inlineStr">
        <is>
          <t>[设计完成/数据已入表/运行时待施工]</t>
        </is>
      </c>
    </row>
    <row r="51" ht="52" customHeight="1" s="135">
      <c r="A51" s="106" t="inlineStr">
        <is>
          <t>fate_sword_page</t>
        </is>
      </c>
      <c r="B51" s="109" t="inlineStr">
        <is>
          <t>宝剑·侍从</t>
        </is>
      </c>
      <c r="C51" s="91" t="inlineStr">
        <is>
          <t>规则</t>
        </is>
      </c>
      <c r="D51" s="91" t="inlineStr">
        <is>
          <t>稀有</t>
        </is>
      </c>
      <c r="E51" s="91" t="inlineStr">
        <is>
          <t>切换武器时后备枪回填10%弹匣</t>
        </is>
      </c>
      <c r="F51" s="91" t="inlineStr">
        <is>
          <t>切换武器时后备枪回填10%弹匣</t>
        </is>
      </c>
      <c r="G51" s="91" t="inlineStr">
        <is>
          <t>新增塔罗牌“宝剑·侍从”，正位与逆位是同一主题的两种解读。</t>
        </is>
      </c>
      <c r="H51" s="91" t="inlineStr">
        <is>
          <t>[用户设计+Codex规划]</t>
        </is>
      </c>
      <c r="I51" s="91" t="inlineStr">
        <is>
          <t>select=GUNBODY_OR_BULLET</t>
        </is>
      </c>
      <c r="J51" s="91" t="inlineStr">
        <is>
          <t>action=STOWED_MAG_REFILL; ratio=0.1</t>
        </is>
      </c>
      <c r="K51" s="91" t="inlineStr">
        <is>
          <t>塔罗命运三选一/工作台/局前预选目标卡池</t>
        </is>
      </c>
      <c r="L51" s="91" t="inlineStr">
        <is>
          <t>[用户设计]</t>
        </is>
      </c>
      <c r="M51" s="91" t="inlineStr">
        <is>
          <t>[未施工] 名称、正/逆位与效果参数已完成数据设计</t>
        </is>
      </c>
      <c r="N51" s="91" t="inlineStr">
        <is>
          <t>docs/v0.1/14_技术施工_命运塔罗牌组.md；docs/v0.1/data/ShellStorm2_游戏内容数据库_v010.xlsx</t>
        </is>
      </c>
      <c r="O51" s="91" t="inlineStr">
        <is>
          <t>新增塔罗卡；正式卡池和执行器待施工</t>
        </is>
      </c>
      <c r="P51" s="112" t="inlineStr">
        <is>
          <t>WEAPON</t>
        </is>
      </c>
      <c r="Q51" s="91" t="inlineStr">
        <is>
          <t>占目标枪械下一个永久命运槽；正/逆位都占1槽</t>
        </is>
      </c>
      <c r="R51" s="91" t="inlineStr">
        <is>
          <t>[设计完成/待施工] 正逆位、翻牌和塔罗命名未接入运行时</t>
        </is>
      </c>
      <c r="S51" s="91" t="inlineStr">
        <is>
          <t>★ 星星命运｜宝剑·侍从｜翻牌后显示正位/逆位、目标、槽位与对应功能</t>
        </is>
      </c>
      <c r="T51" s="91" t="inlineStr">
        <is>
          <t>卡背绕Y轴翻面；逆位整张正面卡牌（含边框、图案、文字与布局）收束180°，并显示逆位效果描述；对应规则必须在HUD/场景中可读</t>
        </is>
      </c>
      <c r="U51" s="91" t="inlineStr">
        <is>
          <t>[设计完成/待施工] 旧正位表现可复用；逆位与翻转待QA</t>
        </is>
      </c>
      <c r="V51" s="91" t="n"/>
      <c r="W51" s="103" t="inlineStr">
        <is>
          <t>PAGE</t>
        </is>
      </c>
      <c r="X51" s="103" t="inlineStr">
        <is>
          <t>MINOR</t>
        </is>
      </c>
      <c r="Y51" s="103" t="inlineStr">
        <is>
          <t>SWORDS</t>
        </is>
      </c>
      <c r="Z51" s="165" t="n">
        <v>0.5</v>
      </c>
      <c r="AA51" s="165" t="n">
        <v>0.5</v>
      </c>
      <c r="AB51" s="118" t="inlineStr">
        <is>
          <t>切换武器时后备枪回填10%弹匣</t>
        </is>
      </c>
      <c r="AC51" s="118" t="inlineStr">
        <is>
          <t>action=STOWED_MAG_REFILL; ratio=0.1</t>
        </is>
      </c>
      <c r="AD51" s="115" t="inlineStr">
        <is>
          <t>后备枪每8秒恢复5%备弹，切出后停止</t>
        </is>
      </c>
      <c r="AE51" s="115" t="inlineStr">
        <is>
          <t>action=STOWED_RESERVE_REGEN; interval=8; ratio=0.05</t>
        </is>
      </c>
      <c r="AF51" s="122" t="inlineStr">
        <is>
          <t>0.00s卡背→0.24s薄边换面→0.42s收束；逆位图案/框体180°，卡名、天体、方位标签和说明文字0°；0.62s后可点</t>
        </is>
      </c>
      <c r="AG51" s="123" t="inlineStr">
        <is>
          <t>[设计完成/数据已入表/运行时待施工]</t>
        </is>
      </c>
    </row>
    <row r="52" ht="52" customHeight="1" s="135">
      <c r="A52" s="106" t="inlineStr">
        <is>
          <t>fate_sword_knight</t>
        </is>
      </c>
      <c r="B52" s="109" t="inlineStr">
        <is>
          <t>宝剑·骑士</t>
        </is>
      </c>
      <c r="C52" s="91" t="inlineStr">
        <is>
          <t>规则</t>
        </is>
      </c>
      <c r="D52" s="91" t="inlineStr">
        <is>
          <t>史诗</t>
        </is>
      </c>
      <c r="E52" s="91" t="inlineStr">
        <is>
          <t>冲刺后下一发伤害+40%并穿透</t>
        </is>
      </c>
      <c r="F52" s="91" t="inlineStr">
        <is>
          <t>冲刺后下一发伤害+40%并穿透</t>
        </is>
      </c>
      <c r="G52" s="91" t="inlineStr">
        <is>
          <t>新增塔罗牌“宝剑·骑士”，正位与逆位是同一主题的两种解读。</t>
        </is>
      </c>
      <c r="H52" s="91" t="inlineStr">
        <is>
          <t>[用户设计+Codex规划]</t>
        </is>
      </c>
      <c r="I52" s="91" t="inlineStr">
        <is>
          <t>select=GUNBODY_OR_BULLET</t>
        </is>
      </c>
      <c r="J52" s="91" t="inlineStr">
        <is>
          <t>action=DASH_SHOT; damage_multiplier=1.4; pierce=true</t>
        </is>
      </c>
      <c r="K52" s="91" t="inlineStr">
        <is>
          <t>塔罗命运三选一/工作台/局前预选目标卡池</t>
        </is>
      </c>
      <c r="L52" s="91" t="inlineStr">
        <is>
          <t>[用户设计]</t>
        </is>
      </c>
      <c r="M52" s="91" t="inlineStr">
        <is>
          <t>[未施工] 名称、正/逆位与效果参数已完成数据设计</t>
        </is>
      </c>
      <c r="N52" s="91" t="inlineStr">
        <is>
          <t>docs/v0.1/14_技术施工_命运塔罗牌组.md；docs/v0.1/data/ShellStorm2_游戏内容数据库_v010.xlsx</t>
        </is>
      </c>
      <c r="O52" s="91" t="inlineStr">
        <is>
          <t>新增塔罗卡；正式卡池和执行器待施工</t>
        </is>
      </c>
      <c r="P52" s="112" t="inlineStr">
        <is>
          <t>WEAPON</t>
        </is>
      </c>
      <c r="Q52" s="91" t="inlineStr">
        <is>
          <t>占目标枪械下一个永久命运槽；正/逆位都占1槽</t>
        </is>
      </c>
      <c r="R52" s="91" t="inlineStr">
        <is>
          <t>[设计完成/待施工] 正逆位、翻牌和塔罗命名未接入运行时</t>
        </is>
      </c>
      <c r="S52" s="91" t="inlineStr">
        <is>
          <t>★ 星星命运｜宝剑·骑士｜翻牌后显示正位/逆位、目标、槽位与对应功能</t>
        </is>
      </c>
      <c r="T52" s="91" t="inlineStr">
        <is>
          <t>卡背绕Y轴翻面；逆位整张正面卡牌（含边框、图案、文字与布局）收束180°，并显示逆位效果描述；对应规则必须在HUD/场景中可读</t>
        </is>
      </c>
      <c r="U52" s="91" t="inlineStr">
        <is>
          <t>[设计完成/待施工] 旧正位表现可复用；逆位与翻转待QA</t>
        </is>
      </c>
      <c r="V52" s="91" t="n"/>
      <c r="W52" s="103" t="inlineStr">
        <is>
          <t>KNIGHT</t>
        </is>
      </c>
      <c r="X52" s="103" t="inlineStr">
        <is>
          <t>MINOR</t>
        </is>
      </c>
      <c r="Y52" s="103" t="inlineStr">
        <is>
          <t>SWORDS</t>
        </is>
      </c>
      <c r="Z52" s="165" t="n">
        <v>0.5</v>
      </c>
      <c r="AA52" s="165" t="n">
        <v>0.5</v>
      </c>
      <c r="AB52" s="118" t="inlineStr">
        <is>
          <t>冲刺后下一发伤害+40%并穿透</t>
        </is>
      </c>
      <c r="AC52" s="118" t="inlineStr">
        <is>
          <t>action=DASH_SHOT; damage_multiplier=1.4; pierce=true</t>
        </is>
      </c>
      <c r="AD52" s="115" t="inlineStr">
        <is>
          <t>冲刺中击杀使冲刺冷却-0.6秒</t>
        </is>
      </c>
      <c r="AE52" s="115" t="inlineStr">
        <is>
          <t>action=DASH_KILL_COOLDOWN; cooldown_reduction=0.6</t>
        </is>
      </c>
      <c r="AF52" s="122" t="inlineStr">
        <is>
          <t>0.00s卡背→0.24s薄边换面→0.42s收束；逆位图案/框体180°，卡名、天体、方位标签和说明文字0°；0.62s后可点</t>
        </is>
      </c>
      <c r="AG52" s="123" t="inlineStr">
        <is>
          <t>[设计完成/数据已入表/运行时待施工]</t>
        </is>
      </c>
    </row>
    <row r="53" ht="52" customHeight="1" s="135">
      <c r="A53" s="106" t="inlineStr">
        <is>
          <t>fate_sword_queen</t>
        </is>
      </c>
      <c r="B53" s="109" t="inlineStr">
        <is>
          <t>宝剑·王后</t>
        </is>
      </c>
      <c r="C53" s="91" t="inlineStr">
        <is>
          <t>变种</t>
        </is>
      </c>
      <c r="D53" s="91" t="inlineStr">
        <is>
          <t>传说</t>
        </is>
      </c>
      <c r="E53" s="91" t="inlineStr">
        <is>
          <t>弹跳后优先寻找最近敌人</t>
        </is>
      </c>
      <c r="F53" s="91" t="inlineStr">
        <is>
          <t>弹跳后优先寻找最近敌人</t>
        </is>
      </c>
      <c r="G53" s="91" t="inlineStr">
        <is>
          <t>新增塔罗牌“宝剑·王后”，正位与逆位是同一主题的两种解读。</t>
        </is>
      </c>
      <c r="H53" s="91" t="inlineStr">
        <is>
          <t>[用户设计+Codex规划]</t>
        </is>
      </c>
      <c r="I53" s="91" t="inlineStr">
        <is>
          <t>select=GUNBODY_OR_BULLET</t>
        </is>
      </c>
      <c r="J53" s="91" t="inlineStr">
        <is>
          <t>action=BOUNCE_TARGET_POLICY; policy=NEAREST</t>
        </is>
      </c>
      <c r="K53" s="91" t="inlineStr">
        <is>
          <t>塔罗命运三选一/工作台/局前预选目标卡池</t>
        </is>
      </c>
      <c r="L53" s="91" t="inlineStr">
        <is>
          <t>[用户设计]</t>
        </is>
      </c>
      <c r="M53" s="91" t="inlineStr">
        <is>
          <t>[未施工] 名称、正/逆位与效果参数已完成数据设计</t>
        </is>
      </c>
      <c r="N53" s="91" t="inlineStr">
        <is>
          <t>docs/v0.1/14_技术施工_命运塔罗牌组.md；docs/v0.1/data/ShellStorm2_游戏内容数据库_v010.xlsx</t>
        </is>
      </c>
      <c r="O53" s="91" t="inlineStr">
        <is>
          <t>新增塔罗卡；正式卡池和执行器待施工</t>
        </is>
      </c>
      <c r="P53" s="112" t="inlineStr">
        <is>
          <t>WEAPON</t>
        </is>
      </c>
      <c r="Q53" s="91" t="inlineStr">
        <is>
          <t>占目标枪械下一个永久命运槽；正/逆位都占1槽</t>
        </is>
      </c>
      <c r="R53" s="91" t="inlineStr">
        <is>
          <t>[设计完成/待施工] 正逆位、翻牌和塔罗命名未接入运行时</t>
        </is>
      </c>
      <c r="S53" s="91" t="inlineStr">
        <is>
          <t>★ 星星命运｜宝剑·王后｜翻牌后显示正位/逆位、目标、槽位与对应功能</t>
        </is>
      </c>
      <c r="T53" s="91" t="inlineStr">
        <is>
          <t>卡背绕Y轴翻面；逆位整张正面卡牌（含边框、图案、文字与布局）收束180°，并显示逆位效果描述；对应规则必须在HUD/场景中可读</t>
        </is>
      </c>
      <c r="U53" s="91" t="inlineStr">
        <is>
          <t>[设计完成/待施工] 旧正位表现可复用；逆位与翻转待QA</t>
        </is>
      </c>
      <c r="V53" s="91" t="n"/>
      <c r="W53" s="103" t="inlineStr">
        <is>
          <t>QUEEN</t>
        </is>
      </c>
      <c r="X53" s="103" t="inlineStr">
        <is>
          <t>MINOR</t>
        </is>
      </c>
      <c r="Y53" s="103" t="inlineStr">
        <is>
          <t>SWORDS</t>
        </is>
      </c>
      <c r="Z53" s="165" t="n">
        <v>0.5</v>
      </c>
      <c r="AA53" s="165" t="n">
        <v>0.5</v>
      </c>
      <c r="AB53" s="118" t="inlineStr">
        <is>
          <t>弹跳后优先寻找最近敌人</t>
        </is>
      </c>
      <c r="AC53" s="118" t="inlineStr">
        <is>
          <t>action=BOUNCE_TARGET_POLICY; policy=NEAREST</t>
        </is>
      </c>
      <c r="AD53" s="115" t="inlineStr">
        <is>
          <t>弹跳后优先寻找最远可见敌人，伤害+15%</t>
        </is>
      </c>
      <c r="AE53" s="115" t="inlineStr">
        <is>
          <t>action=BOUNCE_TARGET_POLICY; policy=FARTHEST_VISIBLE; damage_multiplier=1.15</t>
        </is>
      </c>
      <c r="AF53" s="122" t="inlineStr">
        <is>
          <t>0.00s卡背→0.24s薄边换面→0.42s收束；逆位图案/框体180°，卡名、天体、方位标签和说明文字0°；0.62s后可点</t>
        </is>
      </c>
      <c r="AG53" s="123" t="inlineStr">
        <is>
          <t>[设计完成/数据已入表/运行时待施工]</t>
        </is>
      </c>
    </row>
    <row r="54" ht="52" customHeight="1" s="135">
      <c r="A54" s="106" t="inlineStr">
        <is>
          <t>fate_sword_king</t>
        </is>
      </c>
      <c r="B54" s="109" t="inlineStr">
        <is>
          <t>宝剑·国王</t>
        </is>
      </c>
      <c r="C54" s="91" t="inlineStr">
        <is>
          <t>规则</t>
        </is>
      </c>
      <c r="D54" s="91" t="inlineStr">
        <is>
          <t>禁忌</t>
        </is>
      </c>
      <c r="E54" s="91" t="inlineStr">
        <is>
          <t>每10次命中生成1枚环绕弹，近敌时自动射出</t>
        </is>
      </c>
      <c r="F54" s="91" t="inlineStr">
        <is>
          <t>每10次命中生成1枚环绕弹，近敌时自动射出</t>
        </is>
      </c>
      <c r="G54" s="91" t="inlineStr">
        <is>
          <t>新增塔罗牌“宝剑·国王”，正位与逆位是同一主题的两种解读。</t>
        </is>
      </c>
      <c r="H54" s="91" t="inlineStr">
        <is>
          <t>[用户设计+Codex规划]</t>
        </is>
      </c>
      <c r="I54" s="91" t="inlineStr">
        <is>
          <t>select=GUNBODY_OR_BULLET</t>
        </is>
      </c>
      <c r="J54" s="91" t="inlineStr">
        <is>
          <t>action=ORBITAL_BULLET; hit_threshold=10</t>
        </is>
      </c>
      <c r="K54" s="91" t="inlineStr">
        <is>
          <t>塔罗命运三选一/工作台/局前预选目标卡池</t>
        </is>
      </c>
      <c r="L54" s="91" t="inlineStr">
        <is>
          <t>[用户设计]</t>
        </is>
      </c>
      <c r="M54" s="91" t="inlineStr">
        <is>
          <t>[未施工] 名称、正/逆位与效果参数已完成数据设计</t>
        </is>
      </c>
      <c r="N54" s="91" t="inlineStr">
        <is>
          <t>docs/v0.1/14_技术施工_命运塔罗牌组.md；docs/v0.1/data/ShellStorm2_游戏内容数据库_v010.xlsx</t>
        </is>
      </c>
      <c r="O54" s="91" t="inlineStr">
        <is>
          <t>新增塔罗卡；正式卡池和执行器待施工</t>
        </is>
      </c>
      <c r="P54" s="112" t="inlineStr">
        <is>
          <t>WEAPON</t>
        </is>
      </c>
      <c r="Q54" s="91" t="inlineStr">
        <is>
          <t>占目标枪械下一个永久命运槽；正/逆位都占1槽</t>
        </is>
      </c>
      <c r="R54" s="91" t="inlineStr">
        <is>
          <t>[设计完成/待施工] 正逆位、翻牌和塔罗命名未接入运行时</t>
        </is>
      </c>
      <c r="S54" s="91" t="inlineStr">
        <is>
          <t>★ 星星命运｜宝剑·国王｜翻牌后显示正位/逆位、目标、槽位与对应功能</t>
        </is>
      </c>
      <c r="T54" s="91" t="inlineStr">
        <is>
          <t>卡背绕Y轴翻面；逆位整张正面卡牌（含边框、图案、文字与布局）收束180°，并显示逆位效果描述；对应规则必须在HUD/场景中可读</t>
        </is>
      </c>
      <c r="U54" s="91" t="inlineStr">
        <is>
          <t>[设计完成/待施工] 旧正位表现可复用；逆位与翻转待QA</t>
        </is>
      </c>
      <c r="V54" s="91" t="n"/>
      <c r="W54" s="103" t="inlineStr">
        <is>
          <t>KING</t>
        </is>
      </c>
      <c r="X54" s="103" t="inlineStr">
        <is>
          <t>MINOR</t>
        </is>
      </c>
      <c r="Y54" s="103" t="inlineStr">
        <is>
          <t>SWORDS</t>
        </is>
      </c>
      <c r="Z54" s="165" t="n">
        <v>0.5</v>
      </c>
      <c r="AA54" s="165" t="n">
        <v>0.5</v>
      </c>
      <c r="AB54" s="118" t="inlineStr">
        <is>
          <t>每10次命中生成1枚环绕弹，近敌时自动射出</t>
        </is>
      </c>
      <c r="AC54" s="118" t="inlineStr">
        <is>
          <t>action=ORBITAL_BULLET; hit_threshold=10</t>
        </is>
      </c>
      <c r="AD54" s="115" t="inlineStr">
        <is>
          <t>每10次未命中获得1次必暴，命中会重置未命中计数</t>
        </is>
      </c>
      <c r="AE54" s="115" t="inlineStr">
        <is>
          <t>action=MISS_STREAK_CRIT; miss_threshold=10; reset_on_hit=true</t>
        </is>
      </c>
      <c r="AF54" s="122" t="inlineStr">
        <is>
          <t>0.00s卡背→0.24s薄边换面→0.42s收束；逆位图案/框体180°，卡名、天体、方位标签和说明文字0°；0.62s后可点</t>
        </is>
      </c>
      <c r="AG54" s="123" t="inlineStr">
        <is>
          <t>[设计完成/数据已入表/运行时待施工]</t>
        </is>
      </c>
    </row>
    <row r="55" ht="52" customHeight="1" s="135">
      <c r="A55" s="106" t="inlineStr">
        <is>
          <t>fate_moon_dash</t>
        </is>
      </c>
      <c r="B55" s="109" t="inlineStr">
        <is>
          <t>圣杯·王牌</t>
        </is>
      </c>
      <c r="C55" s="91" t="inlineStr">
        <is>
          <t>规则</t>
        </is>
      </c>
      <c r="D55" s="91" t="inlineStr">
        <is>
          <t>史诗</t>
        </is>
      </c>
      <c r="E55" s="91" t="inlineStr">
        <is>
          <t>冲刺冷却-20%</t>
        </is>
      </c>
      <c r="F55" s="91" t="inlineStr">
        <is>
          <t>本局冲刺冷却时间缩短20%</t>
        </is>
      </c>
      <c r="G55" s="91" t="inlineStr">
        <is>
          <t>新月缩短两次位移之间的空白，让脱险节奏更紧凑。</t>
        </is>
      </c>
      <c r="H55" s="91" t="inlineStr">
        <is>
          <t>[用户设计]</t>
        </is>
      </c>
      <c r="I55" s="91" t="n"/>
      <c r="J55" s="91" t="inlineStr">
        <is>
          <t>action=APPLY_SCOPED_MODIFIER；modifier=dash_cooldown；multiplier=0.8</t>
        </is>
      </c>
      <c r="K55" s="91" t="inlineStr">
        <is>
          <t>门后命运/三选一/工作台共用正式卡池</t>
        </is>
      </c>
      <c r="L55" s="91" t="inlineStr">
        <is>
          <t>[已实装]</t>
        </is>
      </c>
      <c r="M55" s="91" t="inlineStr">
        <is>
          <t>[部分实装] 塔罗名称、正/逆位效果快照与通用执行已接入；复杂逆位专属行为继续逐卡QA</t>
        </is>
      </c>
      <c r="N55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5" s="91" t="inlineStr">
        <is>
          <t>迁移前名称：新月回转；稳定ID不变，旧存档迁移为正位，不重投方位</t>
        </is>
      </c>
      <c r="P55" s="112" t="inlineStr">
        <is>
          <t>CHARACTER</t>
        </is>
      </c>
      <c r="Q55" s="91" t="inlineStr">
        <is>
          <t>不占武器槽；写入角色局内规则状态</t>
        </is>
      </c>
      <c r="R55" s="91" t="inlineStr">
        <is>
          <t>[已实装] 塔罗名称、50/50方位、正逆位同ID、代码翻牌、整卡倒置、逆位描述替换与方位持久化已接入</t>
        </is>
      </c>
      <c r="S55" s="91" t="inlineStr">
        <is>
          <t>☾ 月亮命运｜圣杯·王牌｜翻牌后显示正位/逆位、目标、槽位与对应功能</t>
        </is>
      </c>
      <c r="T55" s="91" t="inlineStr">
        <is>
          <t>卡背绕Y轴翻面；逆位整张正面卡牌（含边框、图案、文字与布局）收束180°，并显示逆位效果描述；冲刺冷却实际缩短，HUD冷却进度按新时长结算</t>
        </is>
      </c>
      <c r="U55" s="91" t="inlineStr">
        <is>
          <t>[部分实装] 通用卡背/翻牌/逆位倒置已验收；逐卡逆位专属VFX与音效继续QA</t>
        </is>
      </c>
      <c r="V55" s="91" t="inlineStr">
        <is>
          <t>新月回转</t>
        </is>
      </c>
      <c r="W55" s="103" t="inlineStr">
        <is>
          <t>ACE</t>
        </is>
      </c>
      <c r="X55" s="103" t="inlineStr">
        <is>
          <t>MINOR</t>
        </is>
      </c>
      <c r="Y55" s="103" t="inlineStr">
        <is>
          <t>CUPS</t>
        </is>
      </c>
      <c r="Z55" s="165" t="n">
        <v>0.5</v>
      </c>
      <c r="AA55" s="165" t="n">
        <v>0.5</v>
      </c>
      <c r="AB55" s="118" t="inlineStr">
        <is>
          <t>本局冲刺冷却时间缩短20%</t>
        </is>
      </c>
      <c r="AC55" s="118" t="inlineStr">
        <is>
          <t>action=APPLY_SCOPED_MODIFIER；modifier=dash_cooldown；multiplier=0.8</t>
        </is>
      </c>
      <c r="AD55" s="115" t="inlineStr">
        <is>
          <t>冲刺冷却+20%，距离与无敌时长+40%</t>
        </is>
      </c>
      <c r="AE55" s="115" t="inlineStr">
        <is>
          <t>action=APPLY_SCOPED_MODIFIER; modifier=dash_power_trade; cooldown_multiplier=1.2; distance_multiplier=1.4; invulnerability_multiplier=1.4</t>
        </is>
      </c>
      <c r="AF55" s="122" t="inlineStr">
        <is>
          <t>0.00s卡背→0.24s薄边换面→0.42s收束；逆位图案/框体180°，卡名、天体、方位标签和说明文字0°；0.62s后可点</t>
        </is>
      </c>
      <c r="AG55" s="123" t="inlineStr">
        <is>
          <t>[设计完成/数据已入表/运行时待施工]</t>
        </is>
      </c>
    </row>
    <row r="56" ht="52" customHeight="1" s="135">
      <c r="A56" s="106" t="inlineStr">
        <is>
          <t>fate_moon_room_heal</t>
        </is>
      </c>
      <c r="B56" s="109" t="inlineStr">
        <is>
          <t>圣杯·二</t>
        </is>
      </c>
      <c r="C56" s="91" t="inlineStr">
        <is>
          <t>规则</t>
        </is>
      </c>
      <c r="D56" s="91" t="inlineStr">
        <is>
          <t>稀有</t>
        </is>
      </c>
      <c r="E56" s="91" t="inlineStr">
        <is>
          <t>进新房回血6</t>
        </is>
      </c>
      <c r="F56" s="91" t="inlineStr">
        <is>
          <t>首次进入房间时恢复6生命</t>
        </is>
      </c>
      <c r="G56" s="91" t="inlineStr">
        <is>
          <t>每个未踏足房间都会带来一次微弱潮汐，修补角色伤势。</t>
        </is>
      </c>
      <c r="H56" s="91" t="inlineStr">
        <is>
          <t>[用户设计]</t>
        </is>
      </c>
      <c r="I56" s="91" t="n"/>
      <c r="J56" s="91" t="inlineStr">
        <is>
          <t>action=APPLY_SCOPED_MODIFIER；modifier=room_heal；amount=6</t>
        </is>
      </c>
      <c r="K56" s="91" t="inlineStr">
        <is>
          <t>门后命运/三选一/工作台共用正式卡池</t>
        </is>
      </c>
      <c r="L56" s="91" t="inlineStr">
        <is>
          <t>[已实装]</t>
        </is>
      </c>
      <c r="M56" s="91" t="inlineStr">
        <is>
          <t>[部分实装] 塔罗名称、正/逆位效果快照与通用执行已接入；复杂逆位专属行为继续逐卡QA</t>
        </is>
      </c>
      <c r="N56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6" s="91" t="inlineStr">
        <is>
          <t>迁移前名称：潮汐疗愈；稳定ID不变，旧存档迁移为正位，不重投方位</t>
        </is>
      </c>
      <c r="P56" s="112" t="inlineStr">
        <is>
          <t>CHARACTER</t>
        </is>
      </c>
      <c r="Q56" s="91" t="inlineStr">
        <is>
          <t>不占武器槽；写入角色局内规则状态</t>
        </is>
      </c>
      <c r="R56" s="91" t="inlineStr">
        <is>
          <t>[已实装] 塔罗名称、50/50方位、正逆位同ID、代码翻牌、整卡倒置、逆位描述替换与方位持久化已接入</t>
        </is>
      </c>
      <c r="S56" s="91" t="inlineStr">
        <is>
          <t>☾ 月亮命运｜圣杯·二｜翻牌后显示正位/逆位、目标、槽位与对应功能</t>
        </is>
      </c>
      <c r="T56" s="91" t="inlineStr">
        <is>
          <t>卡背绕Y轴翻面；逆位整张正面卡牌（含边框、图案、文字与布局）收束180°，并显示逆位效果描述；首次进房调用角色疗愈，红色生命条即时反馈</t>
        </is>
      </c>
      <c r="U56" s="91" t="inlineStr">
        <is>
          <t>[部分实装] 通用卡背/翻牌/逆位倒置已验收；逐卡逆位专属VFX与音效继续QA</t>
        </is>
      </c>
      <c r="V56" s="91" t="inlineStr">
        <is>
          <t>潮汐疗愈</t>
        </is>
      </c>
      <c r="W56" s="103" t="inlineStr">
        <is>
          <t>2</t>
        </is>
      </c>
      <c r="X56" s="103" t="inlineStr">
        <is>
          <t>MINOR</t>
        </is>
      </c>
      <c r="Y56" s="103" t="inlineStr">
        <is>
          <t>CUPS</t>
        </is>
      </c>
      <c r="Z56" s="165" t="n">
        <v>0.5</v>
      </c>
      <c r="AA56" s="165" t="n">
        <v>0.5</v>
      </c>
      <c r="AB56" s="118" t="inlineStr">
        <is>
          <t>首次进入房间时恢复6生命</t>
        </is>
      </c>
      <c r="AC56" s="118" t="inlineStr">
        <is>
          <t>action=APPLY_SCOPED_MODIFIER；modifier=room_heal；amount=6</t>
        </is>
      </c>
      <c r="AD56" s="115" t="inlineStr">
        <is>
          <t>进入新房失去3生命，清房后恢复12</t>
        </is>
      </c>
      <c r="AE56" s="115" t="inlineStr">
        <is>
          <t>action=APPLY_SCOPED_MODIFIER; modifier=room_heal_delayed; entry_damage=3; clear_heal=12</t>
        </is>
      </c>
      <c r="AF56" s="122" t="inlineStr">
        <is>
          <t>0.00s卡背→0.24s薄边换面→0.42s收束；逆位图案/框体180°，卡名、天体、方位标签和说明文字0°；0.62s后可点</t>
        </is>
      </c>
      <c r="AG56" s="123" t="inlineStr">
        <is>
          <t>[设计完成/数据已入表/运行时待施工]</t>
        </is>
      </c>
    </row>
    <row r="57" ht="52" customHeight="1" s="135">
      <c r="A57" s="106" t="inlineStr">
        <is>
          <t>fate_moon_elite_heal</t>
        </is>
      </c>
      <c r="B57" s="109" t="inlineStr">
        <is>
          <t>圣杯·三</t>
        </is>
      </c>
      <c r="C57" s="91" t="inlineStr">
        <is>
          <t>规则</t>
        </is>
      </c>
      <c r="D57" s="91" t="inlineStr">
        <is>
          <t>史诗</t>
        </is>
      </c>
      <c r="E57" s="91" t="inlineStr">
        <is>
          <t>杀精英回血20</t>
        </is>
      </c>
      <c r="F57" s="91" t="inlineStr">
        <is>
          <t>击杀精英或首领时恢复20生命</t>
        </is>
      </c>
      <c r="G57" s="91" t="inlineStr">
        <is>
          <t>强敌倒下时留下的回响被月光收回，转成猎人的生命。</t>
        </is>
      </c>
      <c r="H57" s="91" t="inlineStr">
        <is>
          <t>[用户设计]</t>
        </is>
      </c>
      <c r="I57" s="91" t="n"/>
      <c r="J57" s="91" t="inlineStr">
        <is>
          <t>action=APPLY_SCOPED_MODIFIER；modifier=elite_heal；amount=20</t>
        </is>
      </c>
      <c r="K57" s="91" t="inlineStr">
        <is>
          <t>门后命运/三选一/工作台共用正式卡池</t>
        </is>
      </c>
      <c r="L57" s="91" t="inlineStr">
        <is>
          <t>[已实装]</t>
        </is>
      </c>
      <c r="M57" s="91" t="inlineStr">
        <is>
          <t>[部分实装] 塔罗名称、正/逆位效果快照与通用执行已接入；复杂逆位专属行为继续逐卡QA</t>
        </is>
      </c>
      <c r="N57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7" s="91" t="inlineStr">
        <is>
          <t>迁移前名称：猎月回响；稳定ID不变，旧存档迁移为正位，不重投方位</t>
        </is>
      </c>
      <c r="P57" s="112" t="inlineStr">
        <is>
          <t>CHARACTER</t>
        </is>
      </c>
      <c r="Q57" s="91" t="inlineStr">
        <is>
          <t>不占武器槽；写入角色局内规则状态</t>
        </is>
      </c>
      <c r="R57" s="91" t="inlineStr">
        <is>
          <t>[已实装] 塔罗名称、50/50方位、正逆位同ID、代码翻牌、整卡倒置、逆位描述替换与方位持久化已接入</t>
        </is>
      </c>
      <c r="S57" s="91" t="inlineStr">
        <is>
          <t>☾ 月亮命运｜圣杯·三｜翻牌后显示正位/逆位、目标、槽位与对应功能</t>
        </is>
      </c>
      <c r="T57" s="91" t="inlineStr">
        <is>
          <t>卡背绕Y轴翻面；逆位整张正面卡牌（含边框、图案、文字与布局）收束180°，并显示逆位效果描述；精英或首领击杀事件触发恢复20生命</t>
        </is>
      </c>
      <c r="U57" s="91" t="inlineStr">
        <is>
          <t>[部分实装] 通用卡背/翻牌/逆位倒置已验收；逐卡逆位专属VFX与音效继续QA</t>
        </is>
      </c>
      <c r="V57" s="91" t="inlineStr">
        <is>
          <t>猎月回响</t>
        </is>
      </c>
      <c r="W57" s="103" t="inlineStr">
        <is>
          <t>3</t>
        </is>
      </c>
      <c r="X57" s="103" t="inlineStr">
        <is>
          <t>MINOR</t>
        </is>
      </c>
      <c r="Y57" s="103" t="inlineStr">
        <is>
          <t>CUPS</t>
        </is>
      </c>
      <c r="Z57" s="165" t="n">
        <v>0.5</v>
      </c>
      <c r="AA57" s="165" t="n">
        <v>0.5</v>
      </c>
      <c r="AB57" s="118" t="inlineStr">
        <is>
          <t>击杀精英或首领时恢复20生命</t>
        </is>
      </c>
      <c r="AC57" s="118" t="inlineStr">
        <is>
          <t>action=APPLY_SCOPED_MODIFIER；modifier=elite_heal；amount=20</t>
        </is>
      </c>
      <c r="AD57" s="115" t="inlineStr">
        <is>
          <t>精英/首领进战时获得20护盾，击杀不回血</t>
        </is>
      </c>
      <c r="AE57" s="115" t="inlineStr">
        <is>
          <t>action=APPLY_SCOPED_MODIFIER; modifier=elite_entry_shield; amount=20</t>
        </is>
      </c>
      <c r="AF57" s="122" t="inlineStr">
        <is>
          <t>0.00s卡背→0.24s薄边换面→0.42s收束；逆位图案/框体180°，卡名、天体、方位标签和说明文字0°；0.62s后可点</t>
        </is>
      </c>
      <c r="AG57" s="123" t="inlineStr">
        <is>
          <t>[设计完成/数据已入表/运行时待施工]</t>
        </is>
      </c>
    </row>
    <row r="58" ht="52" customHeight="1" s="135">
      <c r="A58" s="106" t="inlineStr">
        <is>
          <t>fate_moon_ammo</t>
        </is>
      </c>
      <c r="B58" s="109" t="inlineStr">
        <is>
          <t>圣杯·四</t>
        </is>
      </c>
      <c r="C58" s="91" t="inlineStr">
        <is>
          <t>规则</t>
        </is>
      </c>
      <c r="D58" s="91" t="inlineStr">
        <is>
          <t>稀有</t>
        </is>
      </c>
      <c r="E58" s="91" t="inlineStr">
        <is>
          <t>进新房补弹20%</t>
        </is>
      </c>
      <c r="F58" s="91" t="inlineStr">
        <is>
          <t>首次进入房间时补充弹匣容量的20%</t>
        </is>
      </c>
      <c r="G58" s="91" t="inlineStr">
        <is>
          <t>月华在房门后凝成弹药，只补充当前手中枪械的弹匣。</t>
        </is>
      </c>
      <c r="H58" s="91" t="inlineStr">
        <is>
          <t>[用户设计]</t>
        </is>
      </c>
      <c r="I58" s="91" t="n"/>
      <c r="J58" s="91" t="inlineStr">
        <is>
          <t>action=APPLY_SCOPED_MODIFIER；modifier=room_ammo；ratio=0.2</t>
        </is>
      </c>
      <c r="K58" s="91" t="inlineStr">
        <is>
          <t>门后命运/三选一/工作台共用正式卡池</t>
        </is>
      </c>
      <c r="L58" s="91" t="inlineStr">
        <is>
          <t>[已实装]</t>
        </is>
      </c>
      <c r="M58" s="91" t="inlineStr">
        <is>
          <t>[部分实装] 塔罗名称、正/逆位效果快照与通用执行已接入；复杂逆位专属行为继续逐卡QA</t>
        </is>
      </c>
      <c r="N58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8" s="91" t="inlineStr">
        <is>
          <t>迁移前名称：月华装填；稳定ID不变，旧存档迁移为正位，不重投方位</t>
        </is>
      </c>
      <c r="P58" s="112" t="inlineStr">
        <is>
          <t>CHARACTER</t>
        </is>
      </c>
      <c r="Q58" s="91" t="inlineStr">
        <is>
          <t>不占武器槽；写入角色局内规则状态</t>
        </is>
      </c>
      <c r="R58" s="91" t="inlineStr">
        <is>
          <t>[已实装] 塔罗名称、50/50方位、正逆位同ID、代码翻牌、整卡倒置、逆位描述替换与方位持久化已接入</t>
        </is>
      </c>
      <c r="S58" s="91" t="inlineStr">
        <is>
          <t>☾ 月亮命运｜圣杯·四｜翻牌后显示正位/逆位、目标、槽位与对应功能</t>
        </is>
      </c>
      <c r="T58" s="91" t="inlineStr">
        <is>
          <t>卡背绕Y轴翻面；逆位整张正面卡牌（含边框、图案、文字与布局）收束180°，并显示逆位效果描述；首次进房按当前弹匣容量补弹，弹药HUD同步更新</t>
        </is>
      </c>
      <c r="U58" s="91" t="inlineStr">
        <is>
          <t>[部分实装] 通用卡背/翻牌/逆位倒置已验收；逐卡逆位专属VFX与音效继续QA</t>
        </is>
      </c>
      <c r="V58" s="91" t="inlineStr">
        <is>
          <t>月华装填</t>
        </is>
      </c>
      <c r="W58" s="103" t="inlineStr">
        <is>
          <t>4</t>
        </is>
      </c>
      <c r="X58" s="103" t="inlineStr">
        <is>
          <t>MINOR</t>
        </is>
      </c>
      <c r="Y58" s="103" t="inlineStr">
        <is>
          <t>CUPS</t>
        </is>
      </c>
      <c r="Z58" s="165" t="n">
        <v>0.5</v>
      </c>
      <c r="AA58" s="165" t="n">
        <v>0.5</v>
      </c>
      <c r="AB58" s="118" t="inlineStr">
        <is>
          <t>首次进入房间时补充弹匣容量的20%</t>
        </is>
      </c>
      <c r="AC58" s="118" t="inlineStr">
        <is>
          <t>action=APPLY_SCOPED_MODIFIER；modifier=room_ammo；ratio=0.2</t>
        </is>
      </c>
      <c r="AD58" s="115" t="inlineStr">
        <is>
          <t>进新房后首次换弹速度+25%</t>
        </is>
      </c>
      <c r="AE58" s="115" t="inlineStr">
        <is>
          <t>action=APPLY_SCOPED_MODIFIER; modifier=room_first_reload; speed_multiplier=1.25</t>
        </is>
      </c>
      <c r="AF58" s="122" t="inlineStr">
        <is>
          <t>0.00s卡背→0.24s薄边换面→0.42s收束；逆位图案/框体180°，卡名、天体、方位标签和说明文字0°；0.62s后可点</t>
        </is>
      </c>
      <c r="AG58" s="123" t="inlineStr">
        <is>
          <t>[设计完成/数据已入表/运行时待施工]</t>
        </is>
      </c>
    </row>
    <row r="59" ht="52" customHeight="1" s="135">
      <c r="A59" s="106" t="inlineStr">
        <is>
          <t>fate_bless_dead</t>
        </is>
      </c>
      <c r="B59" s="109" t="inlineStr">
        <is>
          <t>圣杯·五</t>
        </is>
      </c>
      <c r="C59" s="91" t="inlineStr">
        <is>
          <t>规则</t>
        </is>
      </c>
      <c r="D59" s="91" t="inlineStr">
        <is>
          <t>史诗</t>
        </is>
      </c>
      <c r="E59" s="91" t="inlineStr">
        <is>
          <t>HP&lt;30%存活30秒→伤害+10%</t>
        </is>
      </c>
      <c r="F59" s="91" t="inlineStr">
        <is>
          <t>当 HP 低于 30% 时存活 30 秒，获得伤害 +10% 的祝福（可叠加）</t>
        </is>
      </c>
      <c r="G59" s="91" t="inlineStr">
        <is>
          <t>濒死却坚持存活的人会得到迟来的回报，伤痕被转化为可叠加的力量。</t>
        </is>
      </c>
      <c r="H59" s="91" t="inlineStr">
        <is>
          <t>[Codex补充]</t>
        </is>
      </c>
      <c r="I59" s="91" t="n"/>
      <c r="J59" s="91" t="inlineStr">
        <is>
          <t>action=BLESS_DEAD；damage_bonus=0.1；hp_threshold=0.3；max_stacks=3；survive_duration=30</t>
        </is>
      </c>
      <c r="K59" s="91" t="inlineStr">
        <is>
          <t>玩家卡池；也可由地图阈值事件触发</t>
        </is>
      </c>
      <c r="L59" s="91" t="inlineStr">
        <is>
          <t>[已实装]</t>
        </is>
      </c>
      <c r="M59" s="91" t="inlineStr">
        <is>
          <t>[部分实装] 塔罗名称、正/逆位效果快照与通用执行已接入；复杂逆位专属行为继续逐卡QA</t>
        </is>
      </c>
      <c r="N5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59" s="91" t="inlineStr">
        <is>
          <t>迁移前名称：亡者祝福；稳定ID不变，旧存档迁移为正位，不重投方位</t>
        </is>
      </c>
      <c r="P59" s="112" t="inlineStr">
        <is>
          <t>CHARACTER</t>
        </is>
      </c>
      <c r="Q59" s="91" t="inlineStr">
        <is>
          <t>不占武器槽；写入角色局内规则状态</t>
        </is>
      </c>
      <c r="R59" s="91" t="inlineStr">
        <is>
          <t>[已实装] 塔罗名称、50/50方位、正逆位同ID、代码翻牌、整卡倒置、逆位描述替换与方位持久化已接入</t>
        </is>
      </c>
      <c r="S59" s="91" t="inlineStr">
        <is>
          <t>☾ 月亮命运｜圣杯·五｜翻牌后显示正位/逆位、目标、槽位与对应功能</t>
        </is>
      </c>
      <c r="T59" s="91" t="inlineStr">
        <is>
          <t>卡背绕Y轴翻面；逆位整张正面卡牌（含边框、图案、文字与布局）收束180°，并显示逆位效果描述；低血量时角色HUD与轮廓触发祝福，结束/冷却明确，枪械轨道不改变</t>
        </is>
      </c>
      <c r="U59" s="91" t="inlineStr">
        <is>
          <t>[部分实装] 通用卡背/翻牌/逆位倒置已验收；逐卡逆位专属VFX与音效继续QA</t>
        </is>
      </c>
      <c r="V59" s="91" t="inlineStr">
        <is>
          <t>亡者祝福</t>
        </is>
      </c>
      <c r="W59" s="103" t="inlineStr">
        <is>
          <t>5</t>
        </is>
      </c>
      <c r="X59" s="103" t="inlineStr">
        <is>
          <t>MINOR</t>
        </is>
      </c>
      <c r="Y59" s="103" t="inlineStr">
        <is>
          <t>CUPS</t>
        </is>
      </c>
      <c r="Z59" s="165" t="n">
        <v>0.5</v>
      </c>
      <c r="AA59" s="165" t="n">
        <v>0.5</v>
      </c>
      <c r="AB59" s="118" t="inlineStr">
        <is>
          <t>当 HP 低于 30% 时存活 30 秒，获得伤害 +10% 的祝福（可叠加）</t>
        </is>
      </c>
      <c r="AC59" s="118" t="inlineStr">
        <is>
          <t>action=BLESS_DEAD；damage_bonus=0.1；hp_threshold=0.3；max_stacks=3；survive_duration=30</t>
        </is>
      </c>
      <c r="AD59" s="115" t="inlineStr">
        <is>
          <t>高于70%生命存活30秒，伤害+8%</t>
        </is>
      </c>
      <c r="AE59" s="115" t="inlineStr">
        <is>
          <t>action=APPLY_SCOPED_MODIFIER; modifier=high_hp_survival; hp_threshold=0.7; survive_duration=30; damage_bonus=0.08; max_stacks=3</t>
        </is>
      </c>
      <c r="AF59" s="122" t="inlineStr">
        <is>
          <t>0.00s卡背→0.24s薄边换面→0.42s收束；逆位图案/框体180°，卡名、天体、方位标签和说明文字0°；0.62s后可点</t>
        </is>
      </c>
      <c r="AG59" s="123" t="inlineStr">
        <is>
          <t>[设计完成/数据已入表/运行时待施工]</t>
        </is>
      </c>
    </row>
    <row r="60" ht="52" customHeight="1" s="135">
      <c r="A60" s="106" t="inlineStr">
        <is>
          <t>fate_cup_six</t>
        </is>
      </c>
      <c r="B60" s="109" t="inlineStr">
        <is>
          <t>圣杯·六</t>
        </is>
      </c>
      <c r="C60" s="91" t="inlineStr">
        <is>
          <t>规则</t>
        </is>
      </c>
      <c r="D60" s="91" t="inlineStr">
        <is>
          <t>稀有</t>
        </is>
      </c>
      <c r="E60" s="91" t="inlineStr">
        <is>
          <t>进入已清理房间恢复4生命，每房一次</t>
        </is>
      </c>
      <c r="F60" s="91" t="inlineStr">
        <is>
          <t>进入已清理房间恢复4生命，每房一次</t>
        </is>
      </c>
      <c r="G60" s="91" t="inlineStr">
        <is>
          <t>新增塔罗牌“圣杯·六”，正位与逆位是同一主题的两种解读。</t>
        </is>
      </c>
      <c r="H60" s="91" t="inlineStr">
        <is>
          <t>[用户设计+Codex规划]</t>
        </is>
      </c>
      <c r="I60" s="91" t="n"/>
      <c r="J60" s="91" t="inlineStr">
        <is>
          <t>action=APPLY_SCOPED_MODIFIER; modifier=cleared_room_heal; amount=4; once_per_room=true</t>
        </is>
      </c>
      <c r="K60" s="91" t="inlineStr">
        <is>
          <t>塔罗命运三选一/工作台/局前预选目标卡池</t>
        </is>
      </c>
      <c r="L60" s="91" t="inlineStr">
        <is>
          <t>[用户设计]</t>
        </is>
      </c>
      <c r="M60" s="91" t="inlineStr">
        <is>
          <t>[未施工] 名称、正/逆位与效果参数已完成数据设计</t>
        </is>
      </c>
      <c r="N60" s="91" t="inlineStr">
        <is>
          <t>docs/v0.1/14_技术施工_命运塔罗牌组.md；docs/v0.1/data/ShellStorm2_游戏内容数据库_v010.xlsx</t>
        </is>
      </c>
      <c r="O60" s="91" t="inlineStr">
        <is>
          <t>新增塔罗卡；正式卡池和执行器待施工</t>
        </is>
      </c>
      <c r="P60" s="112" t="inlineStr">
        <is>
          <t>CHARACTER</t>
        </is>
      </c>
      <c r="Q60" s="91" t="inlineStr">
        <is>
          <t>不占武器槽；写入角色局内规则状态</t>
        </is>
      </c>
      <c r="R60" s="91" t="inlineStr">
        <is>
          <t>[设计完成/待施工] 正逆位、翻牌和塔罗命名未接入运行时</t>
        </is>
      </c>
      <c r="S60" s="91" t="inlineStr">
        <is>
          <t>☾ 月亮命运｜圣杯·六｜翻牌后显示正位/逆位、目标、槽位与对应功能</t>
        </is>
      </c>
      <c r="T60" s="91" t="inlineStr">
        <is>
          <t>卡背绕Y轴翻面；逆位整张正面卡牌（含边框、图案、文字与布局）收束180°，并显示逆位效果描述；对应规则必须在HUD/场景中可读</t>
        </is>
      </c>
      <c r="U60" s="91" t="inlineStr">
        <is>
          <t>[设计完成/待施工] 旧正位表现可复用；逆位与翻转待QA</t>
        </is>
      </c>
      <c r="V60" s="91" t="n"/>
      <c r="W60" s="103" t="inlineStr">
        <is>
          <t>6</t>
        </is>
      </c>
      <c r="X60" s="103" t="inlineStr">
        <is>
          <t>MINOR</t>
        </is>
      </c>
      <c r="Y60" s="103" t="inlineStr">
        <is>
          <t>CUPS</t>
        </is>
      </c>
      <c r="Z60" s="165" t="n">
        <v>0.5</v>
      </c>
      <c r="AA60" s="165" t="n">
        <v>0.5</v>
      </c>
      <c r="AB60" s="118" t="inlineStr">
        <is>
          <t>进入已清理房间恢复4生命，每房一次</t>
        </is>
      </c>
      <c r="AC60" s="118" t="inlineStr">
        <is>
          <t>action=APPLY_SCOPED_MODIFIER; modifier=cleared_room_heal; amount=4; once_per_room=true</t>
        </is>
      </c>
      <c r="AD60" s="115" t="inlineStr">
        <is>
          <t>进入未清理房间获得8护盾，每房一次</t>
        </is>
      </c>
      <c r="AE60" s="115" t="inlineStr">
        <is>
          <t>action=APPLY_SCOPED_MODIFIER; modifier=hostile_room_shield; amount=8; once_per_room=true</t>
        </is>
      </c>
      <c r="AF60" s="122" t="inlineStr">
        <is>
          <t>0.00s卡背→0.24s薄边换面→0.42s收束；逆位图案/框体180°，卡名、天体、方位标签和说明文字0°；0.62s后可点</t>
        </is>
      </c>
      <c r="AG60" s="123" t="inlineStr">
        <is>
          <t>[设计完成/数据已入表/运行时待施工]</t>
        </is>
      </c>
    </row>
    <row r="61" ht="52" customHeight="1" s="135">
      <c r="A61" s="106" t="inlineStr">
        <is>
          <t>fate_cup_seven</t>
        </is>
      </c>
      <c r="B61" s="109" t="inlineStr">
        <is>
          <t>圣杯·七</t>
        </is>
      </c>
      <c r="C61" s="91" t="inlineStr">
        <is>
          <t>规则</t>
        </is>
      </c>
      <c r="D61" s="91" t="inlineStr">
        <is>
          <t>史诗</t>
        </is>
      </c>
      <c r="E61" s="91" t="inlineStr">
        <is>
          <t>受伤后移速+10%持续3秒</t>
        </is>
      </c>
      <c r="F61" s="91" t="inlineStr">
        <is>
          <t>受伤后移速+10%持续3秒</t>
        </is>
      </c>
      <c r="G61" s="91" t="inlineStr">
        <is>
          <t>新增塔罗牌“圣杯·七”，正位与逆位是同一主题的两种解读。</t>
        </is>
      </c>
      <c r="H61" s="91" t="inlineStr">
        <is>
          <t>[用户设计+Codex规划]</t>
        </is>
      </c>
      <c r="I61" s="91" t="n"/>
      <c r="J61" s="91" t="inlineStr">
        <is>
          <t>action=APPLY_SCOPED_MODIFIER; modifier=hurt_speed; multiplier=1.1; duration=3</t>
        </is>
      </c>
      <c r="K61" s="91" t="inlineStr">
        <is>
          <t>塔罗命运三选一/工作台/局前预选目标卡池</t>
        </is>
      </c>
      <c r="L61" s="91" t="inlineStr">
        <is>
          <t>[用户设计]</t>
        </is>
      </c>
      <c r="M61" s="91" t="inlineStr">
        <is>
          <t>[未施工] 名称、正/逆位与效果参数已完成数据设计</t>
        </is>
      </c>
      <c r="N61" s="91" t="inlineStr">
        <is>
          <t>docs/v0.1/14_技术施工_命运塔罗牌组.md；docs/v0.1/data/ShellStorm2_游戏内容数据库_v010.xlsx</t>
        </is>
      </c>
      <c r="O61" s="91" t="inlineStr">
        <is>
          <t>新增塔罗卡；正式卡池和执行器待施工</t>
        </is>
      </c>
      <c r="P61" s="112" t="inlineStr">
        <is>
          <t>CHARACTER</t>
        </is>
      </c>
      <c r="Q61" s="91" t="inlineStr">
        <is>
          <t>不占武器槽；写入角色局内规则状态</t>
        </is>
      </c>
      <c r="R61" s="91" t="inlineStr">
        <is>
          <t>[设计完成/待施工] 正逆位、翻牌和塔罗命名未接入运行时</t>
        </is>
      </c>
      <c r="S61" s="91" t="inlineStr">
        <is>
          <t>☾ 月亮命运｜圣杯·七｜翻牌后显示正位/逆位、目标、槽位与对应功能</t>
        </is>
      </c>
      <c r="T61" s="91" t="inlineStr">
        <is>
          <t>卡背绕Y轴翻面；逆位整张正面卡牌（含边框、图案、文字与布局）收束180°，并显示逆位效果描述；对应规则必须在HUD/场景中可读</t>
        </is>
      </c>
      <c r="U61" s="91" t="inlineStr">
        <is>
          <t>[设计完成/待施工] 旧正位表现可复用；逆位与翻转待QA</t>
        </is>
      </c>
      <c r="V61" s="91" t="n"/>
      <c r="W61" s="103" t="inlineStr">
        <is>
          <t>7</t>
        </is>
      </c>
      <c r="X61" s="103" t="inlineStr">
        <is>
          <t>MINOR</t>
        </is>
      </c>
      <c r="Y61" s="103" t="inlineStr">
        <is>
          <t>CUPS</t>
        </is>
      </c>
      <c r="Z61" s="165" t="n">
        <v>0.5</v>
      </c>
      <c r="AA61" s="165" t="n">
        <v>0.5</v>
      </c>
      <c r="AB61" s="118" t="inlineStr">
        <is>
          <t>受伤后移速+10%持续3秒</t>
        </is>
      </c>
      <c r="AC61" s="118" t="inlineStr">
        <is>
          <t>action=APPLY_SCOPED_MODIFIER; modifier=hurt_speed; multiplier=1.1; duration=3</t>
        </is>
      </c>
      <c r="AD61" s="115" t="inlineStr">
        <is>
          <t>8秒未受伤后受伤-12%，直到下次受伤</t>
        </is>
      </c>
      <c r="AE61" s="115" t="inlineStr">
        <is>
          <t>action=APPLY_SCOPED_MODIFIER; modifier=calm_guard; delay=8; damage_multiplier=0.88; consume_on_hit=true</t>
        </is>
      </c>
      <c r="AF61" s="122" t="inlineStr">
        <is>
          <t>0.00s卡背→0.24s薄边换面→0.42s收束；逆位图案/框体180°，卡名、天体、方位标签和说明文字0°；0.62s后可点</t>
        </is>
      </c>
      <c r="AG61" s="123" t="inlineStr">
        <is>
          <t>[设计完成/数据已入表/运行时待施工]</t>
        </is>
      </c>
    </row>
    <row r="62" ht="52" customHeight="1" s="135">
      <c r="A62" s="106" t="inlineStr">
        <is>
          <t>fate_cup_eight</t>
        </is>
      </c>
      <c r="B62" s="109" t="inlineStr">
        <is>
          <t>圣杯·八</t>
        </is>
      </c>
      <c r="C62" s="91" t="inlineStr">
        <is>
          <t>强化</t>
        </is>
      </c>
      <c r="D62" s="91" t="inlineStr">
        <is>
          <t>稀有</t>
        </is>
      </c>
      <c r="E62" s="91" t="inlineStr">
        <is>
          <t>生命&gt;80%时伤害+10%</t>
        </is>
      </c>
      <c r="F62" s="91" t="inlineStr">
        <is>
          <t>生命&gt;80%时伤害+10%</t>
        </is>
      </c>
      <c r="G62" s="91" t="inlineStr">
        <is>
          <t>新增塔罗牌“圣杯·八”，正位与逆位是同一主题的两种解读。</t>
        </is>
      </c>
      <c r="H62" s="91" t="inlineStr">
        <is>
          <t>[用户设计+Codex规划]</t>
        </is>
      </c>
      <c r="I62" s="91" t="n"/>
      <c r="J62" s="91" t="inlineStr">
        <is>
          <t>action=APPLY_SCOPED_MODIFIER; modifier=high_hp_damage; threshold=0.8; multiplier=1.1</t>
        </is>
      </c>
      <c r="K62" s="91" t="inlineStr">
        <is>
          <t>塔罗命运三选一/工作台/局前预选目标卡池</t>
        </is>
      </c>
      <c r="L62" s="91" t="inlineStr">
        <is>
          <t>[用户设计]</t>
        </is>
      </c>
      <c r="M62" s="91" t="inlineStr">
        <is>
          <t>[未施工] 名称、正/逆位与效果参数已完成数据设计</t>
        </is>
      </c>
      <c r="N62" s="91" t="inlineStr">
        <is>
          <t>docs/v0.1/14_技术施工_命运塔罗牌组.md；docs/v0.1/data/ShellStorm2_游戏内容数据库_v010.xlsx</t>
        </is>
      </c>
      <c r="O62" s="91" t="inlineStr">
        <is>
          <t>新增塔罗卡；正式卡池和执行器待施工</t>
        </is>
      </c>
      <c r="P62" s="112" t="inlineStr">
        <is>
          <t>CHARACTER</t>
        </is>
      </c>
      <c r="Q62" s="91" t="inlineStr">
        <is>
          <t>不占武器槽；写入角色局内规则状态</t>
        </is>
      </c>
      <c r="R62" s="91" t="inlineStr">
        <is>
          <t>[设计完成/待施工] 正逆位、翻牌和塔罗命名未接入运行时</t>
        </is>
      </c>
      <c r="S62" s="91" t="inlineStr">
        <is>
          <t>☾ 月亮命运｜圣杯·八｜翻牌后显示正位/逆位、目标、槽位与对应功能</t>
        </is>
      </c>
      <c r="T62" s="91" t="inlineStr">
        <is>
          <t>卡背绕Y轴翻面；逆位整张正面卡牌（含边框、图案、文字与布局）收束180°，并显示逆位效果描述；对应规则必须在HUD/场景中可读</t>
        </is>
      </c>
      <c r="U62" s="91" t="inlineStr">
        <is>
          <t>[设计完成/待施工] 旧正位表现可复用；逆位与翻转待QA</t>
        </is>
      </c>
      <c r="V62" s="91" t="n"/>
      <c r="W62" s="103" t="inlineStr">
        <is>
          <t>8</t>
        </is>
      </c>
      <c r="X62" s="103" t="inlineStr">
        <is>
          <t>MINOR</t>
        </is>
      </c>
      <c r="Y62" s="103" t="inlineStr">
        <is>
          <t>CUPS</t>
        </is>
      </c>
      <c r="Z62" s="165" t="n">
        <v>0.5</v>
      </c>
      <c r="AA62" s="165" t="n">
        <v>0.5</v>
      </c>
      <c r="AB62" s="118" t="inlineStr">
        <is>
          <t>生命&gt;80%时伤害+10%</t>
        </is>
      </c>
      <c r="AC62" s="118" t="inlineStr">
        <is>
          <t>action=APPLY_SCOPED_MODIFIER; modifier=high_hp_damage; threshold=0.8; multiplier=1.1</t>
        </is>
      </c>
      <c r="AD62" s="115" t="inlineStr">
        <is>
          <t>生命&lt;35%时移速+15%</t>
        </is>
      </c>
      <c r="AE62" s="115" t="inlineStr">
        <is>
          <t>action=APPLY_SCOPED_MODIFIER; modifier=low_hp_speed; threshold=0.35; multiplier=1.15</t>
        </is>
      </c>
      <c r="AF62" s="122" t="inlineStr">
        <is>
          <t>0.00s卡背→0.24s薄边换面→0.42s收束；逆位图案/框体180°，卡名、天体、方位标签和说明文字0°；0.62s后可点</t>
        </is>
      </c>
      <c r="AG62" s="123" t="inlineStr">
        <is>
          <t>[设计完成/数据已入表/运行时待施工]</t>
        </is>
      </c>
    </row>
    <row r="63" ht="52" customHeight="1" s="135">
      <c r="A63" s="106" t="inlineStr">
        <is>
          <t>fate_cup_nine</t>
        </is>
      </c>
      <c r="B63" s="109" t="inlineStr">
        <is>
          <t>圣杯·九</t>
        </is>
      </c>
      <c r="C63" s="91" t="inlineStr">
        <is>
          <t>规则</t>
        </is>
      </c>
      <c r="D63" s="91" t="inlineStr">
        <is>
          <t>史诗</t>
        </is>
      </c>
      <c r="E63" s="91" t="inlineStr">
        <is>
          <t>使用快捷物品后5秒内换弹+25%</t>
        </is>
      </c>
      <c r="F63" s="91" t="inlineStr">
        <is>
          <t>使用快捷物品后5秒内换弹+25%</t>
        </is>
      </c>
      <c r="G63" s="91" t="inlineStr">
        <is>
          <t>新增塔罗牌“圣杯·九”，正位与逆位是同一主题的两种解读。</t>
        </is>
      </c>
      <c r="H63" s="91" t="inlineStr">
        <is>
          <t>[用户设计+Codex规划]</t>
        </is>
      </c>
      <c r="I63" s="91" t="n"/>
      <c r="J63" s="91" t="inlineStr">
        <is>
          <t>action=APPLY_SCOPED_MODIFIER; modifier=item_reload_buff; duration=5; reload_speed_multiplier=1.25</t>
        </is>
      </c>
      <c r="K63" s="91" t="inlineStr">
        <is>
          <t>塔罗命运三选一/工作台/局前预选目标卡池</t>
        </is>
      </c>
      <c r="L63" s="91" t="inlineStr">
        <is>
          <t>[用户设计]</t>
        </is>
      </c>
      <c r="M63" s="91" t="inlineStr">
        <is>
          <t>[未施工] 名称、正/逆位与效果参数已完成数据设计</t>
        </is>
      </c>
      <c r="N63" s="91" t="inlineStr">
        <is>
          <t>docs/v0.1/14_技术施工_命运塔罗牌组.md；docs/v0.1/data/ShellStorm2_游戏内容数据库_v010.xlsx</t>
        </is>
      </c>
      <c r="O63" s="91" t="inlineStr">
        <is>
          <t>新增塔罗卡；正式卡池和执行器待施工</t>
        </is>
      </c>
      <c r="P63" s="112" t="inlineStr">
        <is>
          <t>CHARACTER</t>
        </is>
      </c>
      <c r="Q63" s="91" t="inlineStr">
        <is>
          <t>不占武器槽；写入角色局内规则状态</t>
        </is>
      </c>
      <c r="R63" s="91" t="inlineStr">
        <is>
          <t>[设计完成/待施工] 正逆位、翻牌和塔罗命名未接入运行时</t>
        </is>
      </c>
      <c r="S63" s="91" t="inlineStr">
        <is>
          <t>☾ 月亮命运｜圣杯·九｜翻牌后显示正位/逆位、目标、槽位与对应功能</t>
        </is>
      </c>
      <c r="T63" s="91" t="inlineStr">
        <is>
          <t>卡背绕Y轴翻面；逆位整张正面卡牌（含边框、图案、文字与布局）收束180°，并显示逆位效果描述；对应规则必须在HUD/场景中可读</t>
        </is>
      </c>
      <c r="U63" s="91" t="inlineStr">
        <is>
          <t>[设计完成/待施工] 旧正位表现可复用；逆位与翻转待QA</t>
        </is>
      </c>
      <c r="V63" s="91" t="n"/>
      <c r="W63" s="103" t="inlineStr">
        <is>
          <t>9</t>
        </is>
      </c>
      <c r="X63" s="103" t="inlineStr">
        <is>
          <t>MINOR</t>
        </is>
      </c>
      <c r="Y63" s="103" t="inlineStr">
        <is>
          <t>CUPS</t>
        </is>
      </c>
      <c r="Z63" s="165" t="n">
        <v>0.5</v>
      </c>
      <c r="AA63" s="165" t="n">
        <v>0.5</v>
      </c>
      <c r="AB63" s="118" t="inlineStr">
        <is>
          <t>使用快捷物品后5秒内换弹+25%</t>
        </is>
      </c>
      <c r="AC63" s="118" t="inlineStr">
        <is>
          <t>action=APPLY_SCOPED_MODIFIER; modifier=item_reload_buff; duration=5; reload_speed_multiplier=1.25</t>
        </is>
      </c>
      <c r="AD63" s="115" t="inlineStr">
        <is>
          <t>拾取可用物时恢复5生命，10秒冷却</t>
        </is>
      </c>
      <c r="AE63" s="115" t="inlineStr">
        <is>
          <t>action=APPLY_SCOPED_MODIFIER; modifier=usable_pickup_heal; amount=5; cooldown=10</t>
        </is>
      </c>
      <c r="AF63" s="122" t="inlineStr">
        <is>
          <t>0.00s卡背→0.24s薄边换面→0.42s收束；逆位图案/框体180°，卡名、天体、方位标签和说明文字0°；0.62s后可点</t>
        </is>
      </c>
      <c r="AG63" s="123" t="inlineStr">
        <is>
          <t>[设计完成/数据已入表/运行时待施工]</t>
        </is>
      </c>
    </row>
    <row r="64" ht="52" customHeight="1" s="135">
      <c r="A64" s="106" t="inlineStr">
        <is>
          <t>fate_cup_ten</t>
        </is>
      </c>
      <c r="B64" s="109" t="inlineStr">
        <is>
          <t>圣杯·十</t>
        </is>
      </c>
      <c r="C64" s="91" t="inlineStr">
        <is>
          <t>规则</t>
        </is>
      </c>
      <c r="D64" s="91" t="inlineStr">
        <is>
          <t>传说</t>
        </is>
      </c>
      <c r="E64" s="91" t="inlineStr">
        <is>
          <t>每种不同月亮卡使生命上限+3</t>
        </is>
      </c>
      <c r="F64" s="91" t="inlineStr">
        <is>
          <t>每种不同月亮卡使生命上限+3</t>
        </is>
      </c>
      <c r="G64" s="91" t="inlineStr">
        <is>
          <t>新增塔罗牌“圣杯·十”，正位与逆位是同一主题的两种解读。</t>
        </is>
      </c>
      <c r="H64" s="91" t="inlineStr">
        <is>
          <t>[用户设计+Codex规划]</t>
        </is>
      </c>
      <c r="I64" s="91" t="n"/>
      <c r="J64" s="91" t="inlineStr">
        <is>
          <t>action=APPLY_SCOPED_MODIFIER; modifier=moon_variety_hp; amount_per_unique=3</t>
        </is>
      </c>
      <c r="K64" s="91" t="inlineStr">
        <is>
          <t>塔罗命运三选一/工作台/局前预选目标卡池</t>
        </is>
      </c>
      <c r="L64" s="91" t="inlineStr">
        <is>
          <t>[用户设计]</t>
        </is>
      </c>
      <c r="M64" s="91" t="inlineStr">
        <is>
          <t>[未施工] 名称、正/逆位与效果参数已完成数据设计</t>
        </is>
      </c>
      <c r="N64" s="91" t="inlineStr">
        <is>
          <t>docs/v0.1/14_技术施工_命运塔罗牌组.md；docs/v0.1/data/ShellStorm2_游戏内容数据库_v010.xlsx</t>
        </is>
      </c>
      <c r="O64" s="91" t="inlineStr">
        <is>
          <t>新增塔罗卡；正式卡池和执行器待施工</t>
        </is>
      </c>
      <c r="P64" s="112" t="inlineStr">
        <is>
          <t>CHARACTER</t>
        </is>
      </c>
      <c r="Q64" s="91" t="inlineStr">
        <is>
          <t>不占武器槽；写入角色局内规则状态</t>
        </is>
      </c>
      <c r="R64" s="91" t="inlineStr">
        <is>
          <t>[设计完成/待施工] 正逆位、翻牌和塔罗命名未接入运行时</t>
        </is>
      </c>
      <c r="S64" s="91" t="inlineStr">
        <is>
          <t>☾ 月亮命运｜圣杯·十｜翻牌后显示正位/逆位、目标、槽位与对应功能</t>
        </is>
      </c>
      <c r="T64" s="91" t="inlineStr">
        <is>
          <t>卡背绕Y轴翻面；逆位整张正面卡牌（含边框、图案、文字与布局）收束180°，并显示逆位效果描述；对应规则必须在HUD/场景中可读</t>
        </is>
      </c>
      <c r="U64" s="91" t="inlineStr">
        <is>
          <t>[设计完成/待施工] 旧正位表现可复用；逆位与翻转待QA</t>
        </is>
      </c>
      <c r="V64" s="91" t="n"/>
      <c r="W64" s="103" t="inlineStr">
        <is>
          <t>10</t>
        </is>
      </c>
      <c r="X64" s="103" t="inlineStr">
        <is>
          <t>MINOR</t>
        </is>
      </c>
      <c r="Y64" s="103" t="inlineStr">
        <is>
          <t>CUPS</t>
        </is>
      </c>
      <c r="Z64" s="165" t="n">
        <v>0.5</v>
      </c>
      <c r="AA64" s="165" t="n">
        <v>0.5</v>
      </c>
      <c r="AB64" s="118" t="inlineStr">
        <is>
          <t>每种不同月亮卡使生命上限+3</t>
        </is>
      </c>
      <c r="AC64" s="118" t="inlineStr">
        <is>
          <t>action=APPLY_SCOPED_MODIFIER; modifier=moon_variety_hp; amount_per_unique=3</t>
        </is>
      </c>
      <c r="AD64" s="115" t="inlineStr">
        <is>
          <t>每张重复月亮卡使该卡数值效果+4%</t>
        </is>
      </c>
      <c r="AE64" s="115" t="inlineStr">
        <is>
          <t>action=APPLY_SCOPED_MODIFIER; modifier=moon_duplicate_power; multiplier_per_duplicate=1.04</t>
        </is>
      </c>
      <c r="AF64" s="122" t="inlineStr">
        <is>
          <t>0.00s卡背→0.24s薄边换面→0.42s收束；逆位图案/框体180°，卡名、天体、方位标签和说明文字0°；0.62s后可点</t>
        </is>
      </c>
      <c r="AG64" s="123" t="inlineStr">
        <is>
          <t>[设计完成/数据已入表/运行时待施工]</t>
        </is>
      </c>
    </row>
    <row r="65" ht="52" customHeight="1" s="135">
      <c r="A65" s="106" t="inlineStr">
        <is>
          <t>fate_cup_page</t>
        </is>
      </c>
      <c r="B65" s="109" t="inlineStr">
        <is>
          <t>圣杯·侍从</t>
        </is>
      </c>
      <c r="C65" s="91" t="inlineStr">
        <is>
          <t>强化</t>
        </is>
      </c>
      <c r="D65" s="91" t="inlineStr">
        <is>
          <t>稀有</t>
        </is>
      </c>
      <c r="E65" s="91" t="inlineStr">
        <is>
          <t>主动物品治疗/护盾效果+20%</t>
        </is>
      </c>
      <c r="F65" s="91" t="inlineStr">
        <is>
          <t>主动物品治疗/护盾效果+20%</t>
        </is>
      </c>
      <c r="G65" s="91" t="inlineStr">
        <is>
          <t>新增塔罗牌“圣杯·侍从”，正位与逆位是同一主题的两种解读。</t>
        </is>
      </c>
      <c r="H65" s="91" t="inlineStr">
        <is>
          <t>[用户设计+Codex规划]</t>
        </is>
      </c>
      <c r="I65" s="91" t="n"/>
      <c r="J65" s="91" t="inlineStr">
        <is>
          <t>action=APPLY_SCOPED_MODIFIER; modifier=usable_effect; multiplier=1.2</t>
        </is>
      </c>
      <c r="K65" s="91" t="inlineStr">
        <is>
          <t>塔罗命运三选一/工作台/局前预选目标卡池</t>
        </is>
      </c>
      <c r="L65" s="91" t="inlineStr">
        <is>
          <t>[用户设计]</t>
        </is>
      </c>
      <c r="M65" s="91" t="inlineStr">
        <is>
          <t>[未施工] 名称、正/逆位与效果参数已完成数据设计</t>
        </is>
      </c>
      <c r="N65" s="91" t="inlineStr">
        <is>
          <t>docs/v0.1/14_技术施工_命运塔罗牌组.md；docs/v0.1/data/ShellStorm2_游戏内容数据库_v010.xlsx</t>
        </is>
      </c>
      <c r="O65" s="91" t="inlineStr">
        <is>
          <t>新增塔罗卡；正式卡池和执行器待施工</t>
        </is>
      </c>
      <c r="P65" s="112" t="inlineStr">
        <is>
          <t>CHARACTER</t>
        </is>
      </c>
      <c r="Q65" s="91" t="inlineStr">
        <is>
          <t>不占武器槽；写入角色局内规则状态</t>
        </is>
      </c>
      <c r="R65" s="91" t="inlineStr">
        <is>
          <t>[设计完成/待施工] 正逆位、翻牌和塔罗命名未接入运行时</t>
        </is>
      </c>
      <c r="S65" s="91" t="inlineStr">
        <is>
          <t>☾ 月亮命运｜圣杯·侍从｜翻牌后显示正位/逆位、目标、槽位与对应功能</t>
        </is>
      </c>
      <c r="T65" s="91" t="inlineStr">
        <is>
          <t>卡背绕Y轴翻面；逆位整张正面卡牌（含边框、图案、文字与布局）收束180°，并显示逆位效果描述；对应规则必须在HUD/场景中可读</t>
        </is>
      </c>
      <c r="U65" s="91" t="inlineStr">
        <is>
          <t>[设计完成/待施工] 旧正位表现可复用；逆位与翻转待QA</t>
        </is>
      </c>
      <c r="V65" s="91" t="n"/>
      <c r="W65" s="103" t="inlineStr">
        <is>
          <t>PAGE</t>
        </is>
      </c>
      <c r="X65" s="103" t="inlineStr">
        <is>
          <t>MINOR</t>
        </is>
      </c>
      <c r="Y65" s="103" t="inlineStr">
        <is>
          <t>CUPS</t>
        </is>
      </c>
      <c r="Z65" s="165" t="n">
        <v>0.5</v>
      </c>
      <c r="AA65" s="165" t="n">
        <v>0.5</v>
      </c>
      <c r="AB65" s="118" t="inlineStr">
        <is>
          <t>主动物品治疗/护盾效果+20%</t>
        </is>
      </c>
      <c r="AC65" s="118" t="inlineStr">
        <is>
          <t>action=APPLY_SCOPED_MODIFIER; modifier=usable_effect; multiplier=1.2</t>
        </is>
      </c>
      <c r="AD65" s="115" t="inlineStr">
        <is>
          <t>使用主动物品时20%概率不消耗，但效果-10%</t>
        </is>
      </c>
      <c r="AE65" s="115" t="inlineStr">
        <is>
          <t>action=APPLY_SCOPED_MODIFIER; modifier=usable_preserve_trade; preserve_probability=0.2; effect_multiplier=0.9</t>
        </is>
      </c>
      <c r="AF65" s="122" t="inlineStr">
        <is>
          <t>0.00s卡背→0.24s薄边换面→0.42s收束；逆位图案/框体180°，卡名、天体、方位标签和说明文字0°；0.62s后可点</t>
        </is>
      </c>
      <c r="AG65" s="123" t="inlineStr">
        <is>
          <t>[设计完成/数据已入表/运行时待施工]</t>
        </is>
      </c>
    </row>
    <row r="66" ht="52" customHeight="1" s="135">
      <c r="A66" s="106" t="inlineStr">
        <is>
          <t>fate_cup_knight</t>
        </is>
      </c>
      <c r="B66" s="109" t="inlineStr">
        <is>
          <t>圣杯·骑士</t>
        </is>
      </c>
      <c r="C66" s="91" t="inlineStr">
        <is>
          <t>规则</t>
        </is>
      </c>
      <c r="D66" s="91" t="inlineStr">
        <is>
          <t>史诗</t>
        </is>
      </c>
      <c r="E66" s="91" t="inlineStr">
        <is>
          <t>冲刺穿过敌人使其受伤+15%持5秒</t>
        </is>
      </c>
      <c r="F66" s="91" t="inlineStr">
        <is>
          <t>冲刺穿过敌人使其受伤+15%持5秒</t>
        </is>
      </c>
      <c r="G66" s="91" t="inlineStr">
        <is>
          <t>新增塔罗牌“圣杯·骑士”，正位与逆位是同一主题的两种解读。</t>
        </is>
      </c>
      <c r="H66" s="91" t="inlineStr">
        <is>
          <t>[用户设计+Codex规划]</t>
        </is>
      </c>
      <c r="I66" s="91" t="n"/>
      <c r="J66" s="91" t="inlineStr">
        <is>
          <t>action=APPLY_SCOPED_MODIFIER; modifier=dash_mark; damage_taken_multiplier=1.15; duration=5</t>
        </is>
      </c>
      <c r="K66" s="91" t="inlineStr">
        <is>
          <t>塔罗命运三选一/工作台/局前预选目标卡池</t>
        </is>
      </c>
      <c r="L66" s="91" t="inlineStr">
        <is>
          <t>[用户设计]</t>
        </is>
      </c>
      <c r="M66" s="91" t="inlineStr">
        <is>
          <t>[未施工] 名称、正/逆位与效果参数已完成数据设计</t>
        </is>
      </c>
      <c r="N66" s="91" t="inlineStr">
        <is>
          <t>docs/v0.1/14_技术施工_命运塔罗牌组.md；docs/v0.1/data/ShellStorm2_游戏内容数据库_v010.xlsx</t>
        </is>
      </c>
      <c r="O66" s="91" t="inlineStr">
        <is>
          <t>新增塔罗卡；正式卡池和执行器待施工</t>
        </is>
      </c>
      <c r="P66" s="112" t="inlineStr">
        <is>
          <t>CHARACTER</t>
        </is>
      </c>
      <c r="Q66" s="91" t="inlineStr">
        <is>
          <t>不占武器槽；写入角色局内规则状态</t>
        </is>
      </c>
      <c r="R66" s="91" t="inlineStr">
        <is>
          <t>[设计完成/待施工] 正逆位、翻牌和塔罗命名未接入运行时</t>
        </is>
      </c>
      <c r="S66" s="91" t="inlineStr">
        <is>
          <t>☾ 月亮命运｜圣杯·骑士｜翻牌后显示正位/逆位、目标、槽位与对应功能</t>
        </is>
      </c>
      <c r="T66" s="91" t="inlineStr">
        <is>
          <t>卡背绕Y轴翻面；逆位整张正面卡牌（含边框、图案、文字与布局）收束180°，并显示逆位效果描述；对应规则必须在HUD/场景中可读</t>
        </is>
      </c>
      <c r="U66" s="91" t="inlineStr">
        <is>
          <t>[设计完成/待施工] 旧正位表现可复用；逆位与翻转待QA</t>
        </is>
      </c>
      <c r="V66" s="91" t="n"/>
      <c r="W66" s="103" t="inlineStr">
        <is>
          <t>KNIGHT</t>
        </is>
      </c>
      <c r="X66" s="103" t="inlineStr">
        <is>
          <t>MINOR</t>
        </is>
      </c>
      <c r="Y66" s="103" t="inlineStr">
        <is>
          <t>CUPS</t>
        </is>
      </c>
      <c r="Z66" s="165" t="n">
        <v>0.5</v>
      </c>
      <c r="AA66" s="165" t="n">
        <v>0.5</v>
      </c>
      <c r="AB66" s="118" t="inlineStr">
        <is>
          <t>冲刺穿过敌人使其受伤+15%持5秒</t>
        </is>
      </c>
      <c r="AC66" s="118" t="inlineStr">
        <is>
          <t>action=APPLY_SCOPED_MODIFIER; modifier=dash_mark; damage_taken_multiplier=1.15; duration=5</t>
        </is>
      </c>
      <c r="AD66" s="115" t="inlineStr">
        <is>
          <t>向远离最近敌人方向冲刺获得10护盾</t>
        </is>
      </c>
      <c r="AE66" s="115" t="inlineStr">
        <is>
          <t>action=APPLY_SCOPED_MODIFIER; modifier=escape_dash_shield; amount=10</t>
        </is>
      </c>
      <c r="AF66" s="122" t="inlineStr">
        <is>
          <t>0.00s卡背→0.24s薄边换面→0.42s收束；逆位图案/框体180°，卡名、天体、方位标签和说明文字0°；0.62s后可点</t>
        </is>
      </c>
      <c r="AG66" s="123" t="inlineStr">
        <is>
          <t>[设计完成/数据已入表/运行时待施工]</t>
        </is>
      </c>
    </row>
    <row r="67" ht="52" customHeight="1" s="135">
      <c r="A67" s="106" t="inlineStr">
        <is>
          <t>fate_cup_queen</t>
        </is>
      </c>
      <c r="B67" s="109" t="inlineStr">
        <is>
          <t>圣杯·王后</t>
        </is>
      </c>
      <c r="C67" s="91" t="inlineStr">
        <is>
          <t>规则</t>
        </is>
      </c>
      <c r="D67" s="91" t="inlineStr">
        <is>
          <t>传说</t>
        </is>
      </c>
      <c r="E67" s="91" t="inlineStr">
        <is>
          <t>溢出治疗转为护盾，上限15</t>
        </is>
      </c>
      <c r="F67" s="91" t="inlineStr">
        <is>
          <t>溢出治疗转为护盾，上限15</t>
        </is>
      </c>
      <c r="G67" s="91" t="inlineStr">
        <is>
          <t>新增塔罗牌“圣杯·王后”，正位与逆位是同一主题的两种解读。</t>
        </is>
      </c>
      <c r="H67" s="91" t="inlineStr">
        <is>
          <t>[用户设计+Codex规划]</t>
        </is>
      </c>
      <c r="I67" s="91" t="n"/>
      <c r="J67" s="91" t="inlineStr">
        <is>
          <t>action=APPLY_SCOPED_MODIFIER; modifier=overheal_shield; shield_cap=15</t>
        </is>
      </c>
      <c r="K67" s="91" t="inlineStr">
        <is>
          <t>塔罗命运三选一/工作台/局前预选目标卡池</t>
        </is>
      </c>
      <c r="L67" s="91" t="inlineStr">
        <is>
          <t>[用户设计]</t>
        </is>
      </c>
      <c r="M67" s="91" t="inlineStr">
        <is>
          <t>[未施工] 名称、正/逆位与效果参数已完成数据设计</t>
        </is>
      </c>
      <c r="N67" s="91" t="inlineStr">
        <is>
          <t>docs/v0.1/14_技术施工_命运塔罗牌组.md；docs/v0.1/data/ShellStorm2_游戏内容数据库_v010.xlsx</t>
        </is>
      </c>
      <c r="O67" s="91" t="inlineStr">
        <is>
          <t>新增塔罗卡；正式卡池和执行器待施工</t>
        </is>
      </c>
      <c r="P67" s="112" t="inlineStr">
        <is>
          <t>CHARACTER</t>
        </is>
      </c>
      <c r="Q67" s="91" t="inlineStr">
        <is>
          <t>不占武器槽；写入角色局内规则状态</t>
        </is>
      </c>
      <c r="R67" s="91" t="inlineStr">
        <is>
          <t>[设计完成/待施工] 正逆位、翻牌和塔罗命名未接入运行时</t>
        </is>
      </c>
      <c r="S67" s="91" t="inlineStr">
        <is>
          <t>☾ 月亮命运｜圣杯·王后｜翻牌后显示正位/逆位、目标、槽位与对应功能</t>
        </is>
      </c>
      <c r="T67" s="91" t="inlineStr">
        <is>
          <t>卡背绕Y轴翻面；逆位整张正面卡牌（含边框、图案、文字与布局）收束180°，并显示逆位效果描述；对应规则必须在HUD/场景中可读</t>
        </is>
      </c>
      <c r="U67" s="91" t="inlineStr">
        <is>
          <t>[设计完成/待施工] 旧正位表现可复用；逆位与翻转待QA</t>
        </is>
      </c>
      <c r="V67" s="91" t="n"/>
      <c r="W67" s="103" t="inlineStr">
        <is>
          <t>QUEEN</t>
        </is>
      </c>
      <c r="X67" s="103" t="inlineStr">
        <is>
          <t>MINOR</t>
        </is>
      </c>
      <c r="Y67" s="103" t="inlineStr">
        <is>
          <t>CUPS</t>
        </is>
      </c>
      <c r="Z67" s="165" t="n">
        <v>0.5</v>
      </c>
      <c r="AA67" s="165" t="n">
        <v>0.5</v>
      </c>
      <c r="AB67" s="118" t="inlineStr">
        <is>
          <t>溢出治疗转为护盾，上限15</t>
        </is>
      </c>
      <c r="AC67" s="118" t="inlineStr">
        <is>
          <t>action=APPLY_SCOPED_MODIFIER; modifier=overheal_shield; shield_cap=15</t>
        </is>
      </c>
      <c r="AD67" s="115" t="inlineStr">
        <is>
          <t>护盾破碎时恢复8生命，12秒冷却</t>
        </is>
      </c>
      <c r="AE67" s="115" t="inlineStr">
        <is>
          <t>action=APPLY_SCOPED_MODIFIER; modifier=shield_break_heal; amount=8; cooldown=12</t>
        </is>
      </c>
      <c r="AF67" s="122" t="inlineStr">
        <is>
          <t>0.00s卡背→0.24s薄边换面→0.42s收束；逆位图案/框体180°，卡名、天体、方位标签和说明文字0°；0.62s后可点</t>
        </is>
      </c>
      <c r="AG67" s="123" t="inlineStr">
        <is>
          <t>[设计完成/数据已入表/运行时待施工]</t>
        </is>
      </c>
    </row>
    <row r="68" ht="52" customHeight="1" s="135">
      <c r="A68" s="106" t="inlineStr">
        <is>
          <t>fate_cup_king</t>
        </is>
      </c>
      <c r="B68" s="109" t="inlineStr">
        <is>
          <t>圣杯·国王</t>
        </is>
      </c>
      <c r="C68" s="91" t="inlineStr">
        <is>
          <t>规则</t>
        </is>
      </c>
      <c r="D68" s="91" t="inlineStr">
        <is>
          <t>禁忌</t>
        </is>
      </c>
      <c r="E68" s="91" t="inlineStr">
        <is>
          <t>Boss房内每10秒恢复3生命</t>
        </is>
      </c>
      <c r="F68" s="91" t="inlineStr">
        <is>
          <t>Boss房内每10秒恢复3生命</t>
        </is>
      </c>
      <c r="G68" s="91" t="inlineStr">
        <is>
          <t>新增塔罗牌“圣杯·国王”，正位与逆位是同一主题的两种解读。</t>
        </is>
      </c>
      <c r="H68" s="91" t="inlineStr">
        <is>
          <t>[用户设计+Codex规划]</t>
        </is>
      </c>
      <c r="I68" s="91" t="n"/>
      <c r="J68" s="91" t="inlineStr">
        <is>
          <t>action=APPLY_SCOPED_MODIFIER; modifier=boss_room_regen; interval=10; amount=3</t>
        </is>
      </c>
      <c r="K68" s="91" t="inlineStr">
        <is>
          <t>塔罗命运三选一/工作台/局前预选目标卡池</t>
        </is>
      </c>
      <c r="L68" s="91" t="inlineStr">
        <is>
          <t>[用户设计]</t>
        </is>
      </c>
      <c r="M68" s="91" t="inlineStr">
        <is>
          <t>[未施工] 名称、正/逆位与效果参数已完成数据设计</t>
        </is>
      </c>
      <c r="N68" s="91" t="inlineStr">
        <is>
          <t>docs/v0.1/14_技术施工_命运塔罗牌组.md；docs/v0.1/data/ShellStorm2_游戏内容数据库_v010.xlsx</t>
        </is>
      </c>
      <c r="O68" s="91" t="inlineStr">
        <is>
          <t>新增塔罗卡；正式卡池和执行器待施工</t>
        </is>
      </c>
      <c r="P68" s="112" t="inlineStr">
        <is>
          <t>CHARACTER</t>
        </is>
      </c>
      <c r="Q68" s="91" t="inlineStr">
        <is>
          <t>不占武器槽；写入角色局内规则状态</t>
        </is>
      </c>
      <c r="R68" s="91" t="inlineStr">
        <is>
          <t>[设计完成/待施工] 正逆位、翻牌和塔罗命名未接入运行时</t>
        </is>
      </c>
      <c r="S68" s="91" t="inlineStr">
        <is>
          <t>☾ 月亮命运｜圣杯·国王｜翻牌后显示正位/逆位、目标、槽位与对应功能</t>
        </is>
      </c>
      <c r="T68" s="91" t="inlineStr">
        <is>
          <t>卡背绕Y轴翻面；逆位整张正面卡牌（含边框、图案、文字与布局）收束180°，并显示逆位效果描述；对应规则必须在HUD/场景中可读</t>
        </is>
      </c>
      <c r="U68" s="91" t="inlineStr">
        <is>
          <t>[设计完成/待施工] 旧正位表现可复用；逆位与翻转待QA</t>
        </is>
      </c>
      <c r="V68" s="91" t="n"/>
      <c r="W68" s="103" t="inlineStr">
        <is>
          <t>KING</t>
        </is>
      </c>
      <c r="X68" s="103" t="inlineStr">
        <is>
          <t>MINOR</t>
        </is>
      </c>
      <c r="Y68" s="103" t="inlineStr">
        <is>
          <t>CUPS</t>
        </is>
      </c>
      <c r="Z68" s="165" t="n">
        <v>0.5</v>
      </c>
      <c r="AA68" s="165" t="n">
        <v>0.5</v>
      </c>
      <c r="AB68" s="118" t="inlineStr">
        <is>
          <t>Boss房内每10秒恢复3生命</t>
        </is>
      </c>
      <c r="AC68" s="118" t="inlineStr">
        <is>
          <t>action=APPLY_SCOPED_MODIFIER; modifier=boss_room_regen; interval=10; amount=3</t>
        </is>
      </c>
      <c r="AD68" s="115" t="inlineStr">
        <is>
          <t>Boss房不自动恢复，但伤害+8%</t>
        </is>
      </c>
      <c r="AE68" s="115" t="inlineStr">
        <is>
          <t>action=APPLY_SCOPED_MODIFIER; modifier=boss_room_damage; multiplier=1.08</t>
        </is>
      </c>
      <c r="AF68" s="122" t="inlineStr">
        <is>
          <t>0.00s卡背→0.24s薄边换面→0.42s收束；逆位图案/框体180°，卡名、天体、方位标签和说明文字0°；0.62s后可点</t>
        </is>
      </c>
      <c r="AG68" s="123" t="inlineStr">
        <is>
          <t>[设计完成/数据已入表/运行时待施工]</t>
        </is>
      </c>
    </row>
    <row r="69" ht="52" customHeight="1" s="135">
      <c r="A69" s="106" t="inlineStr">
        <is>
          <t>fate_reinforce</t>
        </is>
      </c>
      <c r="B69" s="109" t="inlineStr">
        <is>
          <t>星币·王牌</t>
        </is>
      </c>
      <c r="C69" s="91" t="inlineStr">
        <is>
          <t>规则</t>
        </is>
      </c>
      <c r="D69" s="91" t="inlineStr">
        <is>
          <t>史诗</t>
        </is>
      </c>
      <c r="E69" s="91" t="inlineStr">
        <is>
          <t>连续击杀后额外刷新一波怪物</t>
        </is>
      </c>
      <c r="F69" s="91" t="inlineStr">
        <is>
          <t>连续击杀 5 个敌人后，在房间随机位置额外刷新一波怪物</t>
        </is>
      </c>
      <c r="G69" s="91" t="inlineStr">
        <is>
          <t>连续死亡会惊醒附近房间的警戒网，把原本不属于本波的敌人召来。</t>
        </is>
      </c>
      <c r="H69" s="91" t="inlineStr">
        <is>
          <t>[Codex补充]</t>
        </is>
      </c>
      <c r="I69" s="91" t="n"/>
      <c r="J69" s="91" t="inlineStr">
        <is>
          <t>action=REINFORCE_WAVE；kill_threshold=5；spawn_count=3</t>
        </is>
      </c>
      <c r="K69" s="91" t="inlineStr">
        <is>
          <t>玩家卡池；也可由地图阈值事件触发</t>
        </is>
      </c>
      <c r="L69" s="91" t="inlineStr">
        <is>
          <t>[已实装]</t>
        </is>
      </c>
      <c r="M69" s="91" t="inlineStr">
        <is>
          <t>[部分实装] 塔罗名称、正/逆位效果快照与通用执行已接入；复杂逆位专属行为继续逐卡QA</t>
        </is>
      </c>
      <c r="N6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69" s="91" t="inlineStr">
        <is>
          <t>迁移前名称：敌增援；稳定ID不变，旧存档迁移为正位，不重投方位</t>
        </is>
      </c>
      <c r="P69" s="112" t="inlineStr">
        <is>
          <t>WORLD</t>
        </is>
      </c>
      <c r="Q69" s="91" t="inlineStr">
        <is>
          <t>不占武器槽；写入行动/房间/掉落规则状态</t>
        </is>
      </c>
      <c r="R69" s="91" t="inlineStr">
        <is>
          <t>[已实装] 塔罗名称、50/50方位、正逆位同ID、代码翻牌、整卡倒置、逆位描述替换与方位持久化已接入</t>
        </is>
      </c>
      <c r="S69" s="91" t="inlineStr">
        <is>
          <t>☀ 太阳命运｜星币·王牌｜翻牌后显示正位/逆位、目标、槽位与对应功能</t>
        </is>
      </c>
      <c r="T69" s="91" t="inlineStr">
        <is>
          <t>卡背绕Y轴翻面；逆位整张正面卡牌（含边框、图案、文字与布局）收束180°，并显示逆位效果描述；地图/房间出现增援警报、入口方向和敌人波次反馈，枪身不刻印</t>
        </is>
      </c>
      <c r="U69" s="91" t="inlineStr">
        <is>
          <t>[部分实装] 通用卡背/翻牌/逆位倒置已验收；逐卡逆位专属VFX与音效继续QA</t>
        </is>
      </c>
      <c r="V69" s="91" t="inlineStr">
        <is>
          <t>敌增援</t>
        </is>
      </c>
      <c r="W69" s="103" t="inlineStr">
        <is>
          <t>ACE</t>
        </is>
      </c>
      <c r="X69" s="103" t="inlineStr">
        <is>
          <t>MINOR</t>
        </is>
      </c>
      <c r="Y69" s="103" t="inlineStr">
        <is>
          <t>PENTACLES</t>
        </is>
      </c>
      <c r="Z69" s="165" t="n">
        <v>0.5</v>
      </c>
      <c r="AA69" s="165" t="n">
        <v>0.5</v>
      </c>
      <c r="AB69" s="118" t="inlineStr">
        <is>
          <t>连续击杀 5 个敌人后，在房间随机位置额外刷新一波怪物</t>
        </is>
      </c>
      <c r="AC69" s="118" t="inlineStr">
        <is>
          <t>action=REINFORCE_WAVE；kill_threshold=5；spawn_count=3</t>
        </is>
      </c>
      <c r="AD69" s="115" t="inlineStr">
        <is>
          <t>5连杀后增援1精英，击杀额外+50魂</t>
        </is>
      </c>
      <c r="AE69" s="115" t="inlineStr">
        <is>
          <t>action=REINFORCE_ELITE; kill_threshold=5; elite_count=1; currency_reward=50</t>
        </is>
      </c>
      <c r="AF69" s="122" t="inlineStr">
        <is>
          <t>0.00s卡背→0.24s薄边换面→0.42s收束；逆位图案/框体180°，卡名、天体、方位标签和说明文字0°；0.62s后可点</t>
        </is>
      </c>
      <c r="AG69" s="123" t="inlineStr">
        <is>
          <t>[设计完成/数据已入表/运行时待施工]</t>
        </is>
      </c>
    </row>
    <row r="70" ht="52" customHeight="1" s="135">
      <c r="A70" s="106" t="inlineStr">
        <is>
          <t>fate_lucky_chest</t>
        </is>
      </c>
      <c r="B70" s="109" t="inlineStr">
        <is>
          <t>星币·二</t>
        </is>
      </c>
      <c r="C70" s="91" t="inlineStr">
        <is>
          <t>规则</t>
        </is>
      </c>
      <c r="D70" s="91" t="inlineStr">
        <is>
          <t>稀有</t>
        </is>
      </c>
      <c r="E70" s="91" t="inlineStr">
        <is>
          <t>下一箱物品品质+1</t>
        </is>
      </c>
      <c r="F70" s="91" t="inlineStr">
        <is>
          <t>下一个开启的箱子物品品质提升 1 级（白色→蓝色→紫色→金色）</t>
        </is>
      </c>
      <c r="G70" s="91" t="inlineStr">
        <is>
          <t>被标记的下一个容器会被命运重新估价，里面的东西更接近玩家需要的层级。</t>
        </is>
      </c>
      <c r="H70" s="91" t="inlineStr">
        <is>
          <t>[Codex补充]</t>
        </is>
      </c>
      <c r="I70" s="91" t="n"/>
      <c r="J70" s="91" t="inlineStr">
        <is>
          <t>action=LUCKY_CHEST；upgrade_tiers=1</t>
        </is>
      </c>
      <c r="K70" s="91" t="inlineStr">
        <is>
          <t>玩家卡池；也可由地图阈值事件触发</t>
        </is>
      </c>
      <c r="L70" s="91" t="inlineStr">
        <is>
          <t>[已实装]</t>
        </is>
      </c>
      <c r="M70" s="91" t="inlineStr">
        <is>
          <t>[部分实装] 塔罗名称、正/逆位效果快照与通用执行已接入；复杂逆位专属行为继续逐卡QA</t>
        </is>
      </c>
      <c r="N7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70" s="91" t="inlineStr">
        <is>
          <t>迁移前名称：幸运发现；稳定ID不变，旧存档迁移为正位，不重投方位</t>
        </is>
      </c>
      <c r="P70" s="112" t="inlineStr">
        <is>
          <t>WORLD</t>
        </is>
      </c>
      <c r="Q70" s="91" t="inlineStr">
        <is>
          <t>不占武器槽；写入行动/房间/掉落规则状态</t>
        </is>
      </c>
      <c r="R70" s="91" t="inlineStr">
        <is>
          <t>[已实装] 塔罗名称、50/50方位、正逆位同ID、代码翻牌、整卡倒置、逆位描述替换与方位持久化已接入</t>
        </is>
      </c>
      <c r="S70" s="91" t="inlineStr">
        <is>
          <t>☀ 太阳命运｜星币·二｜翻牌后显示正位/逆位、目标、槽位与对应功能</t>
        </is>
      </c>
      <c r="T70" s="91" t="inlineStr">
        <is>
          <t>卡背绕Y轴翻面；逆位整张正面卡牌（含边框、图案、文字与布局）收束180°，并显示逆位效果描述；地图/宝箱图标带幸运标记，实际开箱时品质升级动画后再消耗状态</t>
        </is>
      </c>
      <c r="U70" s="91" t="inlineStr">
        <is>
          <t>[部分实装] 通用卡背/翻牌/逆位倒置已验收；逐卡逆位专属VFX与音效继续QA</t>
        </is>
      </c>
      <c r="V70" s="91" t="inlineStr">
        <is>
          <t>幸运发现</t>
        </is>
      </c>
      <c r="W70" s="103" t="inlineStr">
        <is>
          <t>2</t>
        </is>
      </c>
      <c r="X70" s="103" t="inlineStr">
        <is>
          <t>MINOR</t>
        </is>
      </c>
      <c r="Y70" s="103" t="inlineStr">
        <is>
          <t>PENTACLES</t>
        </is>
      </c>
      <c r="Z70" s="165" t="n">
        <v>0.5</v>
      </c>
      <c r="AA70" s="165" t="n">
        <v>0.5</v>
      </c>
      <c r="AB70" s="118" t="inlineStr">
        <is>
          <t>下一个开启的箱子物品品质提升 1 级（白色→蓝色→紫色→金色）</t>
        </is>
      </c>
      <c r="AC70" s="118" t="inlineStr">
        <is>
          <t>action=LUCKY_CHEST；upgrade_tiers=1</t>
        </is>
      </c>
      <c r="AD70" s="115" t="inlineStr">
        <is>
          <t>下一容器品质-1，但额外+2件</t>
        </is>
      </c>
      <c r="AE70" s="115" t="inlineStr">
        <is>
          <t>action=LUCKY_CHEST_TRADE; rarity_tiers=-1; extra_count=2</t>
        </is>
      </c>
      <c r="AF70" s="122" t="inlineStr">
        <is>
          <t>0.00s卡背→0.24s薄边换面→0.42s收束；逆位图案/框体180°，卡名、天体、方位标签和说明文字0°；0.62s后可点</t>
        </is>
      </c>
      <c r="AG70" s="123" t="inlineStr">
        <is>
          <t>[设计完成/数据已入表/运行时待施工]</t>
        </is>
      </c>
    </row>
    <row r="71" ht="52" customHeight="1" s="135">
      <c r="A71" s="106" t="inlineStr">
        <is>
          <t>fate_extra_loot</t>
        </is>
      </c>
      <c r="B71" s="109" t="inlineStr">
        <is>
          <t>星币·三</t>
        </is>
      </c>
      <c r="C71" s="91" t="inlineStr">
        <is>
          <t>规则</t>
        </is>
      </c>
      <c r="D71" s="91" t="inlineStr">
        <is>
          <t>稀有</t>
        </is>
      </c>
      <c r="E71" s="91" t="inlineStr">
        <is>
          <t>下一箱追加抽取，仍落一件</t>
        </is>
      </c>
      <c r="F71" s="91" t="inlineStr">
        <is>
          <t>下一个开启的箱子增加一次候选抽取并保留更优结果，地面仍只掉落一件物品</t>
        </is>
      </c>
      <c r="G71" s="91" t="inlineStr">
        <is>
          <t>命运在下一个箱子的清单末尾多写一行，再从两份结果里只留下更好的一件。</t>
        </is>
      </c>
      <c r="H71" s="91" t="inlineStr">
        <is>
          <t>[Codex补充]</t>
        </is>
      </c>
      <c r="I71" s="91" t="n"/>
      <c r="J71" s="91" t="inlineStr">
        <is>
          <t>action=EXTRA_LOOT；extra_count=1</t>
        </is>
      </c>
      <c r="K71" s="91" t="inlineStr">
        <is>
          <t>玩家卡池；也可由地图阈值事件触发</t>
        </is>
      </c>
      <c r="L71" s="91" t="inlineStr">
        <is>
          <t>[已实装]</t>
        </is>
      </c>
      <c r="M71" s="91" t="inlineStr">
        <is>
          <t>[部分实装] 塔罗名称、正/逆位效果快照与通用执行已接入；复杂逆位专属行为继续逐卡QA</t>
        </is>
      </c>
      <c r="N71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71" s="91" t="inlineStr">
        <is>
          <t>迁移前名称：额外掉落；稳定ID不变，旧存档迁移为正位，不重投方位</t>
        </is>
      </c>
      <c r="P71" s="112" t="inlineStr">
        <is>
          <t>WORLD</t>
        </is>
      </c>
      <c r="Q71" s="91" t="inlineStr">
        <is>
          <t>不占武器槽；写入行动/房间/掉落规则状态</t>
        </is>
      </c>
      <c r="R71" s="91" t="inlineStr">
        <is>
          <t>[已实装] 塔罗名称、50/50方位、正逆位同ID、代码翻牌、整卡倒置、逆位描述替换与方位持久化已接入</t>
        </is>
      </c>
      <c r="S71" s="91" t="inlineStr">
        <is>
          <t>☀ 太阳命运｜星币·三｜翻牌后显示正位/逆位、目标、槽位与对应功能</t>
        </is>
      </c>
      <c r="T71" s="91" t="inlineStr">
        <is>
          <t>开箱时出现一次额外候选扫描和来源提示，触发后只生成1个地面实体并清空计数</t>
        </is>
      </c>
      <c r="U71" s="91" t="inlineStr">
        <is>
          <t>[部分实装] 通用卡背/翻牌/逆位倒置已验收；逐卡逆位专属VFX与音效继续QA</t>
        </is>
      </c>
      <c r="V71" s="91" t="inlineStr">
        <is>
          <t>额外掉落</t>
        </is>
      </c>
      <c r="W71" s="103" t="inlineStr">
        <is>
          <t>3</t>
        </is>
      </c>
      <c r="X71" s="103" t="inlineStr">
        <is>
          <t>MINOR</t>
        </is>
      </c>
      <c r="Y71" s="103" t="inlineStr">
        <is>
          <t>PENTACLES</t>
        </is>
      </c>
      <c r="Z71" s="165" t="n">
        <v>0.5</v>
      </c>
      <c r="AA71" s="165" t="n">
        <v>0.5</v>
      </c>
      <c r="AB71" s="118" t="inlineStr">
        <is>
          <t>下一个开启的箱子增加一次候选抽取并保留更优结果，地面仍只掉落一件物品</t>
        </is>
      </c>
      <c r="AC71" s="118" t="inlineStr">
        <is>
          <t>action=EXTRA_LOOT；extra_count=1</t>
        </is>
      </c>
      <c r="AD71" s="115" t="inlineStr">
        <is>
          <t>下一容器追加一次候选抽取，保留结果品质提高1级，地面仍只掉落1件</t>
        </is>
      </c>
      <c r="AE71" s="115" t="inlineStr">
        <is>
          <t>action=EXTRA_LOOT_TRADE; count_delta=-1; rarity_tiers=1</t>
        </is>
      </c>
      <c r="AF71" s="122" t="inlineStr">
        <is>
          <t>0.00s卡背→0.24s薄边换面→0.42s收束；逆位图案/框体180°，卡名、天体、方位标签和说明文字0°；0.62s后可点</t>
        </is>
      </c>
      <c r="AG71" s="123" t="inlineStr">
        <is>
          <t>[设计完成/数据已入表/运行时待施工]</t>
        </is>
      </c>
    </row>
    <row r="72" ht="52" customHeight="1" s="135">
      <c r="A72" s="106" t="inlineStr">
        <is>
          <t>fate_curse_map</t>
        </is>
      </c>
      <c r="B72" s="109" t="inlineStr">
        <is>
          <t>星币·四</t>
        </is>
      </c>
      <c r="C72" s="91" t="inlineStr">
        <is>
          <t>诅咒</t>
        </is>
      </c>
      <c r="D72" s="91" t="inlineStr">
        <is>
          <t>禁忌</t>
        </is>
      </c>
      <c r="E72" s="91" t="inlineStr">
        <is>
          <t>本房间敌人伤害+15%</t>
        </is>
      </c>
      <c r="F72" s="91" t="inlineStr">
        <is>
          <t>当前房间内所有敌人伤害提升 15%，击杀后诅咒消失</t>
        </is>
      </c>
      <c r="G72" s="91" t="inlineStr">
        <is>
          <t>房间用更危险的敌人交换更强的叙事压力，清理完成后诅咒随之消散。</t>
        </is>
      </c>
      <c r="H72" s="91" t="inlineStr">
        <is>
          <t>[Codex补充]</t>
        </is>
      </c>
      <c r="I72" s="91" t="n"/>
      <c r="J72" s="91" t="inlineStr">
        <is>
          <t>action=CURSE_ROOM_ENEMIES；clear_on_kill=true；damage_bonus=0.15</t>
        </is>
      </c>
      <c r="K72" s="91" t="inlineStr">
        <is>
          <t>玩家卡池；也可由地图阈值事件触发</t>
        </is>
      </c>
      <c r="L72" s="91" t="inlineStr">
        <is>
          <t>[已实装]</t>
        </is>
      </c>
      <c r="M72" s="91" t="inlineStr">
        <is>
          <t>[部分实装] 塔罗名称、正/逆位效果快照与通用执行已接入；复杂逆位专属行为继续逐卡QA</t>
        </is>
      </c>
      <c r="N7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72" s="91" t="inlineStr">
        <is>
          <t>迁移前名称：诅咒降临；稳定ID不变，旧存档迁移为正位，不重投方位</t>
        </is>
      </c>
      <c r="P72" s="112" t="inlineStr">
        <is>
          <t>WORLD</t>
        </is>
      </c>
      <c r="Q72" s="91" t="inlineStr">
        <is>
          <t>不占武器槽；写入行动/房间/掉落规则状态</t>
        </is>
      </c>
      <c r="R72" s="91" t="inlineStr">
        <is>
          <t>[已实装] 塔罗名称、50/50方位、正逆位同ID、代码翻牌、整卡倒置、逆位描述替换与方位持久化已接入</t>
        </is>
      </c>
      <c r="S72" s="91" t="inlineStr">
        <is>
          <t>☀ 太阳命运｜星币·四｜翻牌后显示正位/逆位、目标、槽位与对应功能</t>
        </is>
      </c>
      <c r="T72" s="91" t="inlineStr">
        <is>
          <t>卡背绕Y轴翻面；逆位整张正面卡牌（含边框、图案、文字与布局）收束180°，并显示逆位效果描述；小地图边框、环境异常和受影响单位图标统一使用诅咒语言，枪械不占槽</t>
        </is>
      </c>
      <c r="U72" s="91" t="inlineStr">
        <is>
          <t>[部分实装] 通用卡背/翻牌/逆位倒置已验收；逐卡逆位专属VFX与音效继续QA</t>
        </is>
      </c>
      <c r="V72" s="91" t="inlineStr">
        <is>
          <t>诅咒降临</t>
        </is>
      </c>
      <c r="W72" s="103" t="inlineStr">
        <is>
          <t>4</t>
        </is>
      </c>
      <c r="X72" s="103" t="inlineStr">
        <is>
          <t>MINOR</t>
        </is>
      </c>
      <c r="Y72" s="103" t="inlineStr">
        <is>
          <t>PENTACLES</t>
        </is>
      </c>
      <c r="Z72" s="165" t="n">
        <v>0.5</v>
      </c>
      <c r="AA72" s="165" t="n">
        <v>0.5</v>
      </c>
      <c r="AB72" s="118" t="inlineStr">
        <is>
          <t>当前房间内所有敌人伤害提升 15%，击杀后诅咒消失</t>
        </is>
      </c>
      <c r="AC72" s="118" t="inlineStr">
        <is>
          <t>action=CURSE_ROOM_ENEMIES；clear_on_kill=true；damage_bonus=0.15</t>
        </is>
      </c>
      <c r="AD72" s="115" t="inlineStr">
        <is>
          <t>当前房敌伤-10%，但魂掉落-30%</t>
        </is>
      </c>
      <c r="AE72" s="115" t="inlineStr">
        <is>
          <t>action=CURSE_ROOM_ENEMIES; damage_multiplier=0.9; currency_multiplier=0.7</t>
        </is>
      </c>
      <c r="AF72" s="122" t="inlineStr">
        <is>
          <t>0.00s卡背→0.24s薄边换面→0.42s收束；逆位图案/框体180°，卡名、天体、方位标签和说明文字0°；0.62s后可点</t>
        </is>
      </c>
      <c r="AG72" s="123" t="inlineStr">
        <is>
          <t>[设计完成/数据已入表/运行时待施工]</t>
        </is>
      </c>
    </row>
    <row r="73" ht="52" customHeight="1" s="135">
      <c r="A73" s="106" t="inlineStr">
        <is>
          <t>fate_sun_quality</t>
        </is>
      </c>
      <c r="B73" s="109" t="inlineStr">
        <is>
          <t>星币·五</t>
        </is>
      </c>
      <c r="C73" s="91" t="inlineStr">
        <is>
          <t>规则</t>
        </is>
      </c>
      <c r="D73" s="91" t="inlineStr">
        <is>
          <t>稀有</t>
        </is>
      </c>
      <c r="E73" s="91" t="inlineStr">
        <is>
          <t>下箱品质+1</t>
        </is>
      </c>
      <c r="F73" s="91" t="inlineStr">
        <is>
          <t>下一个开启容器的物品品质提升1级</t>
        </is>
      </c>
      <c r="G73" s="91" t="inlineStr">
        <is>
          <t>晨光先一步照进下个容器，把其中一件物资推向更高层级。</t>
        </is>
      </c>
      <c r="H73" s="91" t="inlineStr">
        <is>
          <t>[用户设计]</t>
        </is>
      </c>
      <c r="I73" s="91" t="n"/>
      <c r="J73" s="91" t="inlineStr">
        <is>
          <t>action=APPLY_SCOPED_MODIFIER；modifier=next_chest_quality；tiers=1</t>
        </is>
      </c>
      <c r="K73" s="91" t="inlineStr">
        <is>
          <t>门后命运/三选一/工作台共用正式卡池</t>
        </is>
      </c>
      <c r="L73" s="91" t="inlineStr">
        <is>
          <t>[已实装]</t>
        </is>
      </c>
      <c r="M73" s="91" t="inlineStr">
        <is>
          <t>[部分实装] 塔罗名称、正/逆位效果快照与通用执行已接入；复杂逆位专属行为继续逐卡QA</t>
        </is>
      </c>
      <c r="N73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3" s="91" t="inlineStr">
        <is>
          <t>迁移前名称：晨曦宝库；稳定ID不变，旧存档迁移为正位，不重投方位</t>
        </is>
      </c>
      <c r="P73" s="112" t="inlineStr">
        <is>
          <t>WORLD</t>
        </is>
      </c>
      <c r="Q73" s="91" t="inlineStr">
        <is>
          <t>不占武器槽；写入行动/房间/掉落/撤离规则状态</t>
        </is>
      </c>
      <c r="R73" s="91" t="inlineStr">
        <is>
          <t>[已实装] 塔罗名称、50/50方位、正逆位同ID、代码翻牌、整卡倒置、逆位描述替换与方位持久化已接入</t>
        </is>
      </c>
      <c r="S73" s="91" t="inlineStr">
        <is>
          <t>☀ 太阳命运｜星币·五｜翻牌后显示正位/逆位、目标、槽位与对应功能</t>
        </is>
      </c>
      <c r="T73" s="91" t="inlineStr">
        <is>
          <t>卡背绕Y轴翻面；逆位整张正面卡牌（含边框、图案、文字与布局）收束180°，并显示逆位效果描述；世界状态记录下一箱品质；开箱后消费并生成升级物资</t>
        </is>
      </c>
      <c r="U73" s="91" t="inlineStr">
        <is>
          <t>[部分实装] 通用卡背/翻牌/逆位倒置已验收；逐卡逆位专属VFX与音效继续QA</t>
        </is>
      </c>
      <c r="V73" s="91" t="inlineStr">
        <is>
          <t>晨曦宝库</t>
        </is>
      </c>
      <c r="W73" s="103" t="inlineStr">
        <is>
          <t>5</t>
        </is>
      </c>
      <c r="X73" s="103" t="inlineStr">
        <is>
          <t>MINOR</t>
        </is>
      </c>
      <c r="Y73" s="103" t="inlineStr">
        <is>
          <t>PENTACLES</t>
        </is>
      </c>
      <c r="Z73" s="165" t="n">
        <v>0.5</v>
      </c>
      <c r="AA73" s="165" t="n">
        <v>0.5</v>
      </c>
      <c r="AB73" s="118" t="inlineStr">
        <is>
          <t>下一个开启容器的物品品质提升1级</t>
        </is>
      </c>
      <c r="AC73" s="118" t="inlineStr">
        <is>
          <t>action=APPLY_SCOPED_MODIFIER；modifier=next_chest_quality；tiers=1</t>
        </is>
      </c>
      <c r="AD73" s="115" t="inlineStr">
        <is>
          <t>下一容器品质+2，但数量-1</t>
        </is>
      </c>
      <c r="AE73" s="115" t="inlineStr">
        <is>
          <t>action=APPLY_SCOPED_MODIFIER; modifier=next_chest_quality_trade; tiers=2; count_delta=-1</t>
        </is>
      </c>
      <c r="AF73" s="122" t="inlineStr">
        <is>
          <t>0.00s卡背→0.24s薄边换面→0.42s收束；逆位图案/框体180°，卡名、天体、方位标签和说明文字0°；0.62s后可点</t>
        </is>
      </c>
      <c r="AG73" s="123" t="inlineStr">
        <is>
          <t>[设计完成/数据已入表/运行时待施工]</t>
        </is>
      </c>
    </row>
    <row r="74" ht="52" customHeight="1" s="135">
      <c r="A74" s="106" t="inlineStr">
        <is>
          <t>fate_sun_reveal</t>
        </is>
      </c>
      <c r="B74" s="109" t="inlineStr">
        <is>
          <t>星币·六</t>
        </is>
      </c>
      <c r="C74" s="91" t="inlineStr">
        <is>
          <t>规则</t>
        </is>
      </c>
      <c r="D74" s="91" t="inlineStr">
        <is>
          <t>稀有</t>
        </is>
      </c>
      <c r="E74" s="91" t="inlineStr">
        <is>
          <t>揭示周围2层</t>
        </is>
      </c>
      <c r="F74" s="91" t="inlineStr">
        <is>
          <t>立即揭示当前房间周围2层相邻房间</t>
        </is>
      </c>
      <c r="G74" s="91" t="inlineStr">
        <is>
          <t>曙光沿走廊扩散，把附近两层连接关系投到地图上。</t>
        </is>
      </c>
      <c r="H74" s="91" t="inlineStr">
        <is>
          <t>[用户设计]</t>
        </is>
      </c>
      <c r="I74" s="91" t="n"/>
      <c r="J74" s="91" t="inlineStr">
        <is>
          <t>action=APPLY_SCOPED_MODIFIER；modifier=reveal_rooms；radius=2</t>
        </is>
      </c>
      <c r="K74" s="91" t="inlineStr">
        <is>
          <t>门后命运/三选一/工作台共用正式卡池</t>
        </is>
      </c>
      <c r="L74" s="91" t="inlineStr">
        <is>
          <t>[已实装]</t>
        </is>
      </c>
      <c r="M74" s="91" t="inlineStr">
        <is>
          <t>[部分实装] 塔罗名称、正/逆位效果快照与通用执行已接入；复杂逆位专属行为继续逐卡QA</t>
        </is>
      </c>
      <c r="N74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4" s="91" t="inlineStr">
        <is>
          <t>迁移前名称：曙光测绘；稳定ID不变，旧存档迁移为正位，不重投方位</t>
        </is>
      </c>
      <c r="P74" s="112" t="inlineStr">
        <is>
          <t>WORLD</t>
        </is>
      </c>
      <c r="Q74" s="91" t="inlineStr">
        <is>
          <t>不占武器槽；写入行动/房间/掉落/撤离规则状态</t>
        </is>
      </c>
      <c r="R74" s="91" t="inlineStr">
        <is>
          <t>[已实装] 塔罗名称、50/50方位、正逆位同ID、代码翻牌、整卡倒置、逆位描述替换与方位持久化已接入</t>
        </is>
      </c>
      <c r="S74" s="91" t="inlineStr">
        <is>
          <t>☀ 太阳命运｜星币·六｜翻牌后显示正位/逆位、目标、槽位与对应功能</t>
        </is>
      </c>
      <c r="T74" s="91" t="inlineStr">
        <is>
          <t>卡背绕Y轴翻面；逆位整张正面卡牌（含边框、图案、文字与布局）收束180°，并显示逆位效果描述；小地图立即揭示两层邻接房，不生成或修改枪械数据</t>
        </is>
      </c>
      <c r="U74" s="91" t="inlineStr">
        <is>
          <t>[部分实装] 通用卡背/翻牌/逆位倒置已验收；逐卡逆位专属VFX与音效继续QA</t>
        </is>
      </c>
      <c r="V74" s="91" t="inlineStr">
        <is>
          <t>曙光测绘</t>
        </is>
      </c>
      <c r="W74" s="103" t="inlineStr">
        <is>
          <t>6</t>
        </is>
      </c>
      <c r="X74" s="103" t="inlineStr">
        <is>
          <t>MINOR</t>
        </is>
      </c>
      <c r="Y74" s="103" t="inlineStr">
        <is>
          <t>PENTACLES</t>
        </is>
      </c>
      <c r="Z74" s="165" t="n">
        <v>0.5</v>
      </c>
      <c r="AA74" s="165" t="n">
        <v>0.5</v>
      </c>
      <c r="AB74" s="118" t="inlineStr">
        <is>
          <t>立即揭示当前房间周围2层相邻房间</t>
        </is>
      </c>
      <c r="AC74" s="118" t="inlineStr">
        <is>
          <t>action=APPLY_SCOPED_MODIFIER；modifier=reveal_rooms；radius=2</t>
        </is>
      </c>
      <c r="AD74" s="115" t="inlineStr">
        <is>
          <t>揭示周围4层拓扑，但隐藏房间类型</t>
        </is>
      </c>
      <c r="AE74" s="115" t="inlineStr">
        <is>
          <t>action=APPLY_SCOPED_MODIFIER; modifier=reveal_topology_only; radius=4; reveal_room_type=false</t>
        </is>
      </c>
      <c r="AF74" s="122" t="inlineStr">
        <is>
          <t>0.00s卡背→0.24s薄边换面→0.42s收束；逆位图案/框体180°，卡名、天体、方位标签和说明文字0°；0.62s后可点</t>
        </is>
      </c>
      <c r="AG74" s="123" t="inlineStr">
        <is>
          <t>[设计完成/数据已入表/运行时待施工]</t>
        </is>
      </c>
    </row>
    <row r="75" ht="52" customHeight="1" s="135">
      <c r="A75" s="106" t="inlineStr">
        <is>
          <t>fate_sun_bounty</t>
        </is>
      </c>
      <c r="B75" s="109" t="inlineStr">
        <is>
          <t>星币·七</t>
        </is>
      </c>
      <c r="C75" s="91" t="inlineStr">
        <is>
          <t>规则</t>
        </is>
      </c>
      <c r="D75" s="91" t="inlineStr">
        <is>
          <t>史诗</t>
        </is>
      </c>
      <c r="E75" s="91" t="inlineStr">
        <is>
          <t>三房各奖35魂</t>
        </is>
      </c>
      <c r="F75" s="91" t="inlineStr">
        <is>
          <t>接下来3个敌对房间肃清时各获得35魂</t>
        </is>
      </c>
      <c r="G75" s="91" t="inlineStr">
        <is>
          <t>长昼把三次肃清写进赏金契约，每完成一间就结算一次。</t>
        </is>
      </c>
      <c r="H75" s="91" t="inlineStr">
        <is>
          <t>[用户设计]</t>
        </is>
      </c>
      <c r="I75" s="91" t="n"/>
      <c r="J75" s="91" t="inlineStr">
        <is>
          <t>action=APPLY_SCOPED_MODIFIER；modifier=room_clear_bounty；rooms=3；amount=35</t>
        </is>
      </c>
      <c r="K75" s="91" t="inlineStr">
        <is>
          <t>门后命运/三选一/工作台共用正式卡池</t>
        </is>
      </c>
      <c r="L75" s="91" t="inlineStr">
        <is>
          <t>[已实装]</t>
        </is>
      </c>
      <c r="M75" s="91" t="inlineStr">
        <is>
          <t>[部分实装] 塔罗名称、正/逆位效果快照与通用执行已接入；复杂逆位专属行为继续逐卡QA</t>
        </is>
      </c>
      <c r="N75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5" s="91" t="inlineStr">
        <is>
          <t>迁移前名称：长昼赏金；稳定ID不变，旧存档迁移为正位，不重投方位</t>
        </is>
      </c>
      <c r="P75" s="112" t="inlineStr">
        <is>
          <t>WORLD</t>
        </is>
      </c>
      <c r="Q75" s="91" t="inlineStr">
        <is>
          <t>不占武器槽；写入行动/房间/掉落/撤离规则状态</t>
        </is>
      </c>
      <c r="R75" s="91" t="inlineStr">
        <is>
          <t>[已实装] 塔罗名称、50/50方位、正逆位同ID、代码翻牌、整卡倒置、逆位描述替换与方位持久化已接入</t>
        </is>
      </c>
      <c r="S75" s="91" t="inlineStr">
        <is>
          <t>☀ 太阳命运｜星币·七｜翻牌后显示正位/逆位、目标、槽位与对应功能</t>
        </is>
      </c>
      <c r="T75" s="91" t="inlineStr">
        <is>
          <t>卡背绕Y轴翻面；逆位整张正面卡牌（含边框、图案、文字与布局）收束180°，并显示逆位效果描述；敌对房首次肃清结算35魂并扣除1次，HUD货币同步</t>
        </is>
      </c>
      <c r="U75" s="91" t="inlineStr">
        <is>
          <t>[部分实装] 通用卡背/翻牌/逆位倒置已验收；逐卡逆位专属VFX与音效继续QA</t>
        </is>
      </c>
      <c r="V75" s="91" t="inlineStr">
        <is>
          <t>长昼赏金</t>
        </is>
      </c>
      <c r="W75" s="103" t="inlineStr">
        <is>
          <t>7</t>
        </is>
      </c>
      <c r="X75" s="103" t="inlineStr">
        <is>
          <t>MINOR</t>
        </is>
      </c>
      <c r="Y75" s="103" t="inlineStr">
        <is>
          <t>PENTACLES</t>
        </is>
      </c>
      <c r="Z75" s="165" t="n">
        <v>0.5</v>
      </c>
      <c r="AA75" s="165" t="n">
        <v>0.5</v>
      </c>
      <c r="AB75" s="118" t="inlineStr">
        <is>
          <t>接下来3个敌对房间肃清时各获得35魂</t>
        </is>
      </c>
      <c r="AC75" s="118" t="inlineStr">
        <is>
          <t>action=APPLY_SCOPED_MODIFIER；modifier=room_clear_bounty；rooms=3；amount=35</t>
        </is>
      </c>
      <c r="AD75" s="115" t="inlineStr">
        <is>
          <t>下1房奖120魂，再后2房不掉魂</t>
        </is>
      </c>
      <c r="AE75" s="115" t="inlineStr">
        <is>
          <t>action=APPLY_SCOPED_MODIFIER; modifier=frontloaded_bounty; first_amount=120; blocked_rooms=2</t>
        </is>
      </c>
      <c r="AF75" s="122" t="inlineStr">
        <is>
          <t>0.00s卡背→0.24s薄边换面→0.42s收束；逆位图案/框体180°，卡名、天体、方位标签和说明文字0°；0.62s后可点</t>
        </is>
      </c>
      <c r="AG75" s="123" t="inlineStr">
        <is>
          <t>[设计完成/数据已入表/运行时待施工]</t>
        </is>
      </c>
    </row>
    <row r="76" ht="52" customHeight="1" s="135">
      <c r="A76" s="106" t="inlineStr">
        <is>
          <t>fate_pentacle_eight</t>
        </is>
      </c>
      <c r="B76" s="109" t="inlineStr">
        <is>
          <t>星币·八</t>
        </is>
      </c>
      <c r="C76" s="91" t="inlineStr">
        <is>
          <t>规则</t>
        </is>
      </c>
      <c r="D76" s="91" t="inlineStr">
        <is>
          <t>史诗</t>
        </is>
      </c>
      <c r="E76" s="91" t="inlineStr">
        <is>
          <t>下2个容器各重投最低品质物1次</t>
        </is>
      </c>
      <c r="F76" s="91" t="inlineStr">
        <is>
          <t>下2个容器各重投最低品质物1次</t>
        </is>
      </c>
      <c r="G76" s="91" t="inlineStr">
        <is>
          <t>新增塔罗牌“星币·八”，正位与逆位是同一主题的两种解读。</t>
        </is>
      </c>
      <c r="H76" s="91" t="inlineStr">
        <is>
          <t>[用户设计+Codex规划]</t>
        </is>
      </c>
      <c r="I76" s="91" t="n"/>
      <c r="J76" s="91" t="inlineStr">
        <is>
          <t>action=APPLY_SCOPED_MODIFIER; modifier=reroll_lowest_item; containers=2; rerolls=1</t>
        </is>
      </c>
      <c r="K76" s="91" t="inlineStr">
        <is>
          <t>塔罗命运三选一/工作台/局前预选目标卡池</t>
        </is>
      </c>
      <c r="L76" s="91" t="inlineStr">
        <is>
          <t>[用户设计]</t>
        </is>
      </c>
      <c r="M76" s="91" t="inlineStr">
        <is>
          <t>[未施工] 名称、正/逆位与效果参数已完成数据设计</t>
        </is>
      </c>
      <c r="N76" s="91" t="inlineStr">
        <is>
          <t>docs/v0.1/14_技术施工_命运塔罗牌组.md；docs/v0.1/data/ShellStorm2_游戏内容数据库_v010.xlsx</t>
        </is>
      </c>
      <c r="O76" s="91" t="inlineStr">
        <is>
          <t>新增塔罗卡；正式卡池和执行器待施工</t>
        </is>
      </c>
      <c r="P76" s="112" t="inlineStr">
        <is>
          <t>WORLD</t>
        </is>
      </c>
      <c r="Q76" s="91" t="inlineStr">
        <is>
          <t>不占武器槽；写入行动/房间/掉落规则状态</t>
        </is>
      </c>
      <c r="R76" s="91" t="inlineStr">
        <is>
          <t>[设计完成/待施工] 正逆位、翻牌和塔罗命名未接入运行时</t>
        </is>
      </c>
      <c r="S76" s="91" t="inlineStr">
        <is>
          <t>☀ 太阳命运｜星币·八｜翻牌后显示正位/逆位、目标、槽位与对应功能</t>
        </is>
      </c>
      <c r="T76" s="91" t="inlineStr">
        <is>
          <t>卡背绕Y轴翻面；逆位整张正面卡牌（含边框、图案、文字与布局）收束180°，并显示逆位效果描述；对应规则必须在HUD/场景中可读</t>
        </is>
      </c>
      <c r="U76" s="91" t="inlineStr">
        <is>
          <t>[设计完成/待施工] 旧正位表现可复用；逆位与翻转待QA</t>
        </is>
      </c>
      <c r="V76" s="91" t="n"/>
      <c r="W76" s="103" t="inlineStr">
        <is>
          <t>8</t>
        </is>
      </c>
      <c r="X76" s="103" t="inlineStr">
        <is>
          <t>MINOR</t>
        </is>
      </c>
      <c r="Y76" s="103" t="inlineStr">
        <is>
          <t>PENTACLES</t>
        </is>
      </c>
      <c r="Z76" s="165" t="n">
        <v>0.5</v>
      </c>
      <c r="AA76" s="165" t="n">
        <v>0.5</v>
      </c>
      <c r="AB76" s="118" t="inlineStr">
        <is>
          <t>下2个容器各重投最低品质物1次</t>
        </is>
      </c>
      <c r="AC76" s="118" t="inlineStr">
        <is>
          <t>action=APPLY_SCOPED_MODIFIER; modifier=reroll_lowest_item; containers=2; rerolls=1</t>
        </is>
      </c>
      <c r="AD76" s="115" t="inlineStr">
        <is>
          <t>预览下一容器全部内容，但开启时减少1件</t>
        </is>
      </c>
      <c r="AE76" s="115" t="inlineStr">
        <is>
          <t>action=APPLY_SCOPED_MODIFIER; modifier=preview_container_trade; containers=1; count_delta=-1</t>
        </is>
      </c>
      <c r="AF76" s="122" t="inlineStr">
        <is>
          <t>0.00s卡背→0.24s薄边换面→0.42s收束；逆位图案/框体180°，卡名、天体、方位标签和说明文字0°；0.62s后可点</t>
        </is>
      </c>
      <c r="AG76" s="123" t="inlineStr">
        <is>
          <t>[设计完成/数据已入表/运行时待施工]</t>
        </is>
      </c>
    </row>
    <row r="77" ht="52" customHeight="1" s="135">
      <c r="A77" s="106" t="inlineStr">
        <is>
          <t>fate_pentacle_nine</t>
        </is>
      </c>
      <c r="B77" s="109" t="inlineStr">
        <is>
          <t>星币·九</t>
        </is>
      </c>
      <c r="C77" s="91" t="inlineStr">
        <is>
          <t>规则</t>
        </is>
      </c>
      <c r="D77" s="91" t="inlineStr">
        <is>
          <t>稀有</t>
        </is>
      </c>
      <c r="E77" s="91" t="inlineStr">
        <is>
          <t>下3个敌对房医疗品掉率+25%</t>
        </is>
      </c>
      <c r="F77" s="91" t="inlineStr">
        <is>
          <t>下3个敌对房医疗品掉率+25%</t>
        </is>
      </c>
      <c r="G77" s="91" t="inlineStr">
        <is>
          <t>新增塔罗牌“星币·九”，正位与逆位是同一主题的两种解读。</t>
        </is>
      </c>
      <c r="H77" s="91" t="inlineStr">
        <is>
          <t>[用户设计+Codex规划]</t>
        </is>
      </c>
      <c r="I77" s="91" t="n"/>
      <c r="J77" s="91" t="inlineStr">
        <is>
          <t>action=APPLY_SCOPED_MODIFIER; modifier=medical_drop_rate; rooms=3; probability_add=0.25</t>
        </is>
      </c>
      <c r="K77" s="91" t="inlineStr">
        <is>
          <t>塔罗命运三选一/工作台/局前预选目标卡池</t>
        </is>
      </c>
      <c r="L77" s="91" t="inlineStr">
        <is>
          <t>[用户设计]</t>
        </is>
      </c>
      <c r="M77" s="91" t="inlineStr">
        <is>
          <t>[未施工] 名称、正/逆位与效果参数已完成数据设计</t>
        </is>
      </c>
      <c r="N77" s="91" t="inlineStr">
        <is>
          <t>docs/v0.1/14_技术施工_命运塔罗牌组.md；docs/v0.1/data/ShellStorm2_游戏内容数据库_v010.xlsx</t>
        </is>
      </c>
      <c r="O77" s="91" t="inlineStr">
        <is>
          <t>新增塔罗卡；正式卡池和执行器待施工</t>
        </is>
      </c>
      <c r="P77" s="112" t="inlineStr">
        <is>
          <t>WORLD</t>
        </is>
      </c>
      <c r="Q77" s="91" t="inlineStr">
        <is>
          <t>不占武器槽；写入行动/房间/掉落规则状态</t>
        </is>
      </c>
      <c r="R77" s="91" t="inlineStr">
        <is>
          <t>[设计完成/待施工] 正逆位、翻牌和塔罗命名未接入运行时</t>
        </is>
      </c>
      <c r="S77" s="91" t="inlineStr">
        <is>
          <t>☀ 太阳命运｜星币·九｜翻牌后显示正位/逆位、目标、槽位与对应功能</t>
        </is>
      </c>
      <c r="T77" s="91" t="inlineStr">
        <is>
          <t>卡背绕Y轴翻面；逆位整张正面卡牌（含边框、图案、文字与布局）收束180°，并显示逆位效果描述；对应规则必须在HUD/场景中可读</t>
        </is>
      </c>
      <c r="U77" s="91" t="inlineStr">
        <is>
          <t>[设计完成/待施工] 旧正位表现可复用；逆位与翻转待QA</t>
        </is>
      </c>
      <c r="V77" s="91" t="n"/>
      <c r="W77" s="103" t="inlineStr">
        <is>
          <t>9</t>
        </is>
      </c>
      <c r="X77" s="103" t="inlineStr">
        <is>
          <t>MINOR</t>
        </is>
      </c>
      <c r="Y77" s="103" t="inlineStr">
        <is>
          <t>PENTACLES</t>
        </is>
      </c>
      <c r="Z77" s="165" t="n">
        <v>0.5</v>
      </c>
      <c r="AA77" s="165" t="n">
        <v>0.5</v>
      </c>
      <c r="AB77" s="118" t="inlineStr">
        <is>
          <t>下3个敌对房医疗品掉率+25%</t>
        </is>
      </c>
      <c r="AC77" s="118" t="inlineStr">
        <is>
          <t>action=APPLY_SCOPED_MODIFIER; modifier=medical_drop_rate; rooms=3; probability_add=0.25</t>
        </is>
      </c>
      <c r="AD77" s="115" t="inlineStr">
        <is>
          <t>下3个敌对房弹药掉率+25%</t>
        </is>
      </c>
      <c r="AE77" s="115" t="inlineStr">
        <is>
          <t>action=APPLY_SCOPED_MODIFIER; modifier=ammo_drop_rate; rooms=3; probability_add=0.25</t>
        </is>
      </c>
      <c r="AF77" s="122" t="inlineStr">
        <is>
          <t>0.00s卡背→0.24s薄边换面→0.42s收束；逆位图案/框体180°，卡名、天体、方位标签和说明文字0°；0.62s后可点</t>
        </is>
      </c>
      <c r="AG77" s="123" t="inlineStr">
        <is>
          <t>[设计完成/数据已入表/运行时待施工]</t>
        </is>
      </c>
    </row>
    <row r="78" ht="52" customHeight="1" s="135">
      <c r="A78" s="106" t="inlineStr">
        <is>
          <t>fate_pentacle_ten</t>
        </is>
      </c>
      <c r="B78" s="109" t="inlineStr">
        <is>
          <t>星币·十</t>
        </is>
      </c>
      <c r="C78" s="91" t="inlineStr">
        <is>
          <t>规则</t>
        </is>
      </c>
      <c r="D78" s="91" t="inlineStr">
        <is>
          <t>传说</t>
        </is>
      </c>
      <c r="E78" s="91" t="inlineStr">
        <is>
          <t>支路房奖励+1，并额外生成1精英</t>
        </is>
      </c>
      <c r="F78" s="91" t="inlineStr">
        <is>
          <t>支路房奖励+1，并额外生成1精英</t>
        </is>
      </c>
      <c r="G78" s="91" t="inlineStr">
        <is>
          <t>新增塔罗牌“星币·十”，正位与逆位是同一主题的两种解读。</t>
        </is>
      </c>
      <c r="H78" s="91" t="inlineStr">
        <is>
          <t>[用户设计+Codex规划]</t>
        </is>
      </c>
      <c r="I78" s="91" t="n"/>
      <c r="J78" s="91" t="inlineStr">
        <is>
          <t>action=APPLY_SCOPED_MODIFIER; modifier=branch_risk_reward; reward_add=1; elite_add=1</t>
        </is>
      </c>
      <c r="K78" s="91" t="inlineStr">
        <is>
          <t>塔罗命运三选一/工作台/局前预选目标卡池</t>
        </is>
      </c>
      <c r="L78" s="91" t="inlineStr">
        <is>
          <t>[用户设计]</t>
        </is>
      </c>
      <c r="M78" s="91" t="inlineStr">
        <is>
          <t>[未施工] 名称、正/逆位与效果参数已完成数据设计</t>
        </is>
      </c>
      <c r="N78" s="91" t="inlineStr">
        <is>
          <t>docs/v0.1/14_技术施工_命运塔罗牌组.md；docs/v0.1/data/ShellStorm2_游戏内容数据库_v010.xlsx</t>
        </is>
      </c>
      <c r="O78" s="91" t="inlineStr">
        <is>
          <t>新增塔罗卡；正式卡池和执行器待施工</t>
        </is>
      </c>
      <c r="P78" s="112" t="inlineStr">
        <is>
          <t>WORLD</t>
        </is>
      </c>
      <c r="Q78" s="91" t="inlineStr">
        <is>
          <t>不占武器槽；写入行动/房间/掉落规则状态</t>
        </is>
      </c>
      <c r="R78" s="91" t="inlineStr">
        <is>
          <t>[设计完成/待施工] 正逆位、翻牌和塔罗命名未接入运行时</t>
        </is>
      </c>
      <c r="S78" s="91" t="inlineStr">
        <is>
          <t>☀ 太阳命运｜星币·十｜翻牌后显示正位/逆位、目标、槽位与对应功能</t>
        </is>
      </c>
      <c r="T78" s="91" t="inlineStr">
        <is>
          <t>卡背绕Y轴翻面；逆位整张正面卡牌（含边框、图案、文字与布局）收束180°，并显示逆位效果描述；对应规则必须在HUD/场景中可读</t>
        </is>
      </c>
      <c r="U78" s="91" t="inlineStr">
        <is>
          <t>[设计完成/待施工] 旧正位表现可复用；逆位与翻转待QA</t>
        </is>
      </c>
      <c r="V78" s="91" t="n"/>
      <c r="W78" s="103" t="inlineStr">
        <is>
          <t>10</t>
        </is>
      </c>
      <c r="X78" s="103" t="inlineStr">
        <is>
          <t>MINOR</t>
        </is>
      </c>
      <c r="Y78" s="103" t="inlineStr">
        <is>
          <t>PENTACLES</t>
        </is>
      </c>
      <c r="Z78" s="165" t="n">
        <v>0.5</v>
      </c>
      <c r="AA78" s="165" t="n">
        <v>0.5</v>
      </c>
      <c r="AB78" s="118" t="inlineStr">
        <is>
          <t>支路房奖励+1，并额外生成1精英</t>
        </is>
      </c>
      <c r="AC78" s="118" t="inlineStr">
        <is>
          <t>action=APPLY_SCOPED_MODIFIER; modifier=branch_risk_reward; reward_add=1; elite_add=1</t>
        </is>
      </c>
      <c r="AD78" s="115" t="inlineStr">
        <is>
          <t>主路普通敌人-1，但支路奖励-1</t>
        </is>
      </c>
      <c r="AE78" s="115" t="inlineStr">
        <is>
          <t>action=APPLY_SCOPED_MODIFIER; modifier=safe_main_path; main_enemy_delta=-1; branch_reward_delta=-1</t>
        </is>
      </c>
      <c r="AF78" s="122" t="inlineStr">
        <is>
          <t>0.00s卡背→0.24s薄边换面→0.42s收束；逆位图案/框体180°，卡名、天体、方位标签和说明文字0°；0.62s后可点</t>
        </is>
      </c>
      <c r="AG78" s="123" t="inlineStr">
        <is>
          <t>[设计完成/数据已入表/运行时待施工]</t>
        </is>
      </c>
    </row>
    <row r="79" ht="52" customHeight="1" s="135">
      <c r="A79" s="106" t="inlineStr">
        <is>
          <t>fate_pentacle_page</t>
        </is>
      </c>
      <c r="B79" s="109" t="inlineStr">
        <is>
          <t>星币·侍从</t>
        </is>
      </c>
      <c r="C79" s="91" t="inlineStr">
        <is>
          <t>规则</t>
        </is>
      </c>
      <c r="D79" s="91" t="inlineStr">
        <is>
          <t>稀有</t>
        </is>
      </c>
      <c r="E79" s="91" t="inlineStr">
        <is>
          <t>揭示最近未开容器与最短路线</t>
        </is>
      </c>
      <c r="F79" s="91" t="inlineStr">
        <is>
          <t>揭示最近未开容器与最短路线</t>
        </is>
      </c>
      <c r="G79" s="91" t="inlineStr">
        <is>
          <t>新增塔罗牌“星币·侍从”，正位与逆位是同一主题的两种解读。</t>
        </is>
      </c>
      <c r="H79" s="91" t="inlineStr">
        <is>
          <t>[用户设计+Codex规划]</t>
        </is>
      </c>
      <c r="I79" s="91" t="n"/>
      <c r="J79" s="91" t="inlineStr">
        <is>
          <t>action=APPLY_SCOPED_MODIFIER; modifier=reveal_nearest_container; show_route=true</t>
        </is>
      </c>
      <c r="K79" s="91" t="inlineStr">
        <is>
          <t>塔罗命运三选一/工作台/局前预选目标卡池</t>
        </is>
      </c>
      <c r="L79" s="91" t="inlineStr">
        <is>
          <t>[用户设计]</t>
        </is>
      </c>
      <c r="M79" s="91" t="inlineStr">
        <is>
          <t>[未施工] 名称、正/逆位与效果参数已完成数据设计</t>
        </is>
      </c>
      <c r="N79" s="91" t="inlineStr">
        <is>
          <t>docs/v0.1/14_技术施工_命运塔罗牌组.md；docs/v0.1/data/ShellStorm2_游戏内容数据库_v010.xlsx</t>
        </is>
      </c>
      <c r="O79" s="91" t="inlineStr">
        <is>
          <t>新增塔罗卡；正式卡池和执行器待施工</t>
        </is>
      </c>
      <c r="P79" s="112" t="inlineStr">
        <is>
          <t>WORLD</t>
        </is>
      </c>
      <c r="Q79" s="91" t="inlineStr">
        <is>
          <t>不占武器槽；写入行动/房间/掉落规则状态</t>
        </is>
      </c>
      <c r="R79" s="91" t="inlineStr">
        <is>
          <t>[设计完成/待施工] 正逆位、翻牌和塔罗命名未接入运行时</t>
        </is>
      </c>
      <c r="S79" s="91" t="inlineStr">
        <is>
          <t>☀ 太阳命运｜星币·侍从｜翻牌后显示正位/逆位、目标、槽位与对应功能</t>
        </is>
      </c>
      <c r="T79" s="91" t="inlineStr">
        <is>
          <t>卡背绕Y轴翻面；逆位整张正面卡牌（含边框、图案、文字与布局）收束180°，并显示逆位效果描述；对应规则必须在HUD/场景中可读</t>
        </is>
      </c>
      <c r="U79" s="91" t="inlineStr">
        <is>
          <t>[设计完成/待施工] 旧正位表现可复用；逆位与翻转待QA</t>
        </is>
      </c>
      <c r="V79" s="91" t="n"/>
      <c r="W79" s="103" t="inlineStr">
        <is>
          <t>PAGE</t>
        </is>
      </c>
      <c r="X79" s="103" t="inlineStr">
        <is>
          <t>MINOR</t>
        </is>
      </c>
      <c r="Y79" s="103" t="inlineStr">
        <is>
          <t>PENTACLES</t>
        </is>
      </c>
      <c r="Z79" s="165" t="n">
        <v>0.5</v>
      </c>
      <c r="AA79" s="165" t="n">
        <v>0.5</v>
      </c>
      <c r="AB79" s="118" t="inlineStr">
        <is>
          <t>揭示最近未开容器与最短路线</t>
        </is>
      </c>
      <c r="AC79" s="118" t="inlineStr">
        <is>
          <t>action=APPLY_SCOPED_MODIFIER; modifier=reveal_nearest_container; show_route=true</t>
        </is>
      </c>
      <c r="AD79" s="115" t="inlineStr">
        <is>
          <t>揭示最近高危房，该房首波敌人-1</t>
        </is>
      </c>
      <c r="AE79" s="115" t="inlineStr">
        <is>
          <t>action=APPLY_SCOPED_MODIFIER; modifier=reveal_danger_room; first_wave_enemy_delta=-1</t>
        </is>
      </c>
      <c r="AF79" s="122" t="inlineStr">
        <is>
          <t>0.00s卡背→0.24s薄边换面→0.42s收束；逆位图案/框体180°，卡名、天体、方位标签和说明文字0°；0.62s后可点</t>
        </is>
      </c>
      <c r="AG79" s="123" t="inlineStr">
        <is>
          <t>[设计完成/数据已入表/运行时待施工]</t>
        </is>
      </c>
    </row>
    <row r="80" ht="52" customHeight="1" s="135">
      <c r="A80" s="106" t="inlineStr">
        <is>
          <t>fate_pentacle_knight</t>
        </is>
      </c>
      <c r="B80" s="109" t="inlineStr">
        <is>
          <t>星币·骑士</t>
        </is>
      </c>
      <c r="C80" s="91" t="inlineStr">
        <is>
          <t>诅咒</t>
        </is>
      </c>
      <c r="D80" s="91" t="inlineStr">
        <is>
          <t>史诗</t>
        </is>
      </c>
      <c r="E80" s="91" t="inlineStr">
        <is>
          <t>敌人移速+10%，魂获取+35%</t>
        </is>
      </c>
      <c r="F80" s="91" t="inlineStr">
        <is>
          <t>敌人移速+10%，魂获取+35%</t>
        </is>
      </c>
      <c r="G80" s="91" t="inlineStr">
        <is>
          <t>新增塔罗牌“星币·骑士”，正位与逆位是同一主题的两种解读。</t>
        </is>
      </c>
      <c r="H80" s="91" t="inlineStr">
        <is>
          <t>[用户设计+Codex规划]</t>
        </is>
      </c>
      <c r="I80" s="91" t="n"/>
      <c r="J80" s="91" t="inlineStr">
        <is>
          <t>action=APPLY_SCOPED_MODIFIER; modifier=fast_enemies_rich; enemy_speed_multiplier=1.1; currency_multiplier=1.35</t>
        </is>
      </c>
      <c r="K80" s="91" t="inlineStr">
        <is>
          <t>塔罗命运三选一/工作台/局前预选目标卡池</t>
        </is>
      </c>
      <c r="L80" s="91" t="inlineStr">
        <is>
          <t>[用户设计]</t>
        </is>
      </c>
      <c r="M80" s="91" t="inlineStr">
        <is>
          <t>[未施工] 名称、正/逆位与效果参数已完成数据设计</t>
        </is>
      </c>
      <c r="N80" s="91" t="inlineStr">
        <is>
          <t>docs/v0.1/14_技术施工_命运塔罗牌组.md；docs/v0.1/data/ShellStorm2_游戏内容数据库_v010.xlsx</t>
        </is>
      </c>
      <c r="O80" s="91" t="inlineStr">
        <is>
          <t>新增塔罗卡；正式卡池和执行器待施工</t>
        </is>
      </c>
      <c r="P80" s="112" t="inlineStr">
        <is>
          <t>WORLD</t>
        </is>
      </c>
      <c r="Q80" s="91" t="inlineStr">
        <is>
          <t>不占武器槽；写入行动/房间/掉落规则状态</t>
        </is>
      </c>
      <c r="R80" s="91" t="inlineStr">
        <is>
          <t>[设计完成/待施工] 正逆位、翻牌和塔罗命名未接入运行时</t>
        </is>
      </c>
      <c r="S80" s="91" t="inlineStr">
        <is>
          <t>☀ 太阳命运｜星币·骑士｜翻牌后显示正位/逆位、目标、槽位与对应功能</t>
        </is>
      </c>
      <c r="T80" s="91" t="inlineStr">
        <is>
          <t>卡背绕Y轴翻面；逆位整张正面卡牌（含边框、图案、文字与布局）收束180°，并显示逆位效果描述；对应规则必须在HUD/场景中可读</t>
        </is>
      </c>
      <c r="U80" s="91" t="inlineStr">
        <is>
          <t>[设计完成/待施工] 旧正位表现可复用；逆位与翻转待QA</t>
        </is>
      </c>
      <c r="V80" s="91" t="n"/>
      <c r="W80" s="103" t="inlineStr">
        <is>
          <t>KNIGHT</t>
        </is>
      </c>
      <c r="X80" s="103" t="inlineStr">
        <is>
          <t>MINOR</t>
        </is>
      </c>
      <c r="Y80" s="103" t="inlineStr">
        <is>
          <t>PENTACLES</t>
        </is>
      </c>
      <c r="Z80" s="165" t="n">
        <v>0.5</v>
      </c>
      <c r="AA80" s="165" t="n">
        <v>0.5</v>
      </c>
      <c r="AB80" s="118" t="inlineStr">
        <is>
          <t>敌人移速+10%，魂获取+35%</t>
        </is>
      </c>
      <c r="AC80" s="118" t="inlineStr">
        <is>
          <t>action=APPLY_SCOPED_MODIFIER; modifier=fast_enemies_rich; enemy_speed_multiplier=1.1; currency_multiplier=1.35</t>
        </is>
      </c>
      <c r="AD80" s="115" t="inlineStr">
        <is>
          <t>敌人移速-10%，魂获取-15%</t>
        </is>
      </c>
      <c r="AE80" s="115" t="inlineStr">
        <is>
          <t>action=APPLY_SCOPED_MODIFIER; modifier=slow_enemies_poor; enemy_speed_multiplier=0.9; currency_multiplier=0.85</t>
        </is>
      </c>
      <c r="AF80" s="122" t="inlineStr">
        <is>
          <t>0.00s卡背→0.24s薄边换面→0.42s收束；逆位图案/框体180°，卡名、天体、方位标签和说明文字0°；0.62s后可点</t>
        </is>
      </c>
      <c r="AG80" s="123" t="inlineStr">
        <is>
          <t>[设计完成/数据已入表/运行时待施工]</t>
        </is>
      </c>
    </row>
    <row r="81" ht="52" customHeight="1" s="135">
      <c r="A81" s="106" t="inlineStr">
        <is>
          <t>fate_pentacle_queen</t>
        </is>
      </c>
      <c r="B81" s="109" t="inlineStr">
        <is>
          <t>星币·王后</t>
        </is>
      </c>
      <c r="C81" s="91" t="inlineStr">
        <is>
          <t>诅咒</t>
        </is>
      </c>
      <c r="D81" s="91" t="inlineStr">
        <is>
          <t>传说</t>
        </is>
      </c>
      <c r="E81" s="91" t="inlineStr">
        <is>
          <t>Boss生命+20%，Boss奖励品质+1</t>
        </is>
      </c>
      <c r="F81" s="91" t="inlineStr">
        <is>
          <t>Boss生命+20%，Boss奖励品质+1</t>
        </is>
      </c>
      <c r="G81" s="91" t="inlineStr">
        <is>
          <t>新增塔罗牌“星币·王后”，正位与逆位是同一主题的两种解读。</t>
        </is>
      </c>
      <c r="H81" s="91" t="inlineStr">
        <is>
          <t>[用户设计+Codex规划]</t>
        </is>
      </c>
      <c r="I81" s="91" t="n"/>
      <c r="J81" s="91" t="inlineStr">
        <is>
          <t>action=APPLY_SCOPED_MODIFIER; modifier=boss_reward_trial; hp_multiplier=1.2; reward_rarity_add=1</t>
        </is>
      </c>
      <c r="K81" s="91" t="inlineStr">
        <is>
          <t>塔罗命运三选一/工作台/局前预选目标卡池</t>
        </is>
      </c>
      <c r="L81" s="91" t="inlineStr">
        <is>
          <t>[用户设计]</t>
        </is>
      </c>
      <c r="M81" s="91" t="inlineStr">
        <is>
          <t>[未施工] 名称、正/逆位与效果参数已完成数据设计</t>
        </is>
      </c>
      <c r="N81" s="91" t="inlineStr">
        <is>
          <t>docs/v0.1/14_技术施工_命运塔罗牌组.md；docs/v0.1/data/ShellStorm2_游戏内容数据库_v010.xlsx</t>
        </is>
      </c>
      <c r="O81" s="91" t="inlineStr">
        <is>
          <t>新增塔罗卡；正式卡池和执行器待施工</t>
        </is>
      </c>
      <c r="P81" s="112" t="inlineStr">
        <is>
          <t>WORLD</t>
        </is>
      </c>
      <c r="Q81" s="91" t="inlineStr">
        <is>
          <t>不占武器槽；写入行动/房间/掉落规则状态</t>
        </is>
      </c>
      <c r="R81" s="91" t="inlineStr">
        <is>
          <t>[设计完成/待施工] 正逆位、翻牌和塔罗命名未接入运行时</t>
        </is>
      </c>
      <c r="S81" s="91" t="inlineStr">
        <is>
          <t>☀ 太阳命运｜星币·王后｜翻牌后显示正位/逆位、目标、槽位与对应功能</t>
        </is>
      </c>
      <c r="T81" s="91" t="inlineStr">
        <is>
          <t>卡背绕Y轴翻面；逆位整张正面卡牌（含边框、图案、文字与布局）收束180°，并显示逆位效果描述；对应规则必须在HUD/场景中可读</t>
        </is>
      </c>
      <c r="U81" s="91" t="inlineStr">
        <is>
          <t>[设计完成/待施工] 旧正位表现可复用；逆位与翻转待QA</t>
        </is>
      </c>
      <c r="V81" s="91" t="n"/>
      <c r="W81" s="103" t="inlineStr">
        <is>
          <t>QUEEN</t>
        </is>
      </c>
      <c r="X81" s="103" t="inlineStr">
        <is>
          <t>MINOR</t>
        </is>
      </c>
      <c r="Y81" s="103" t="inlineStr">
        <is>
          <t>PENTACLES</t>
        </is>
      </c>
      <c r="Z81" s="165" t="n">
        <v>0.5</v>
      </c>
      <c r="AA81" s="165" t="n">
        <v>0.5</v>
      </c>
      <c r="AB81" s="118" t="inlineStr">
        <is>
          <t>Boss生命+20%，Boss奖励品质+1</t>
        </is>
      </c>
      <c r="AC81" s="118" t="inlineStr">
        <is>
          <t>action=APPLY_SCOPED_MODIFIER; modifier=boss_reward_trial; hp_multiplier=1.2; reward_rarity_add=1</t>
        </is>
      </c>
      <c r="AD81" s="115" t="inlineStr">
        <is>
          <t>Boss生命-15%，Boss奖励数量-1</t>
        </is>
      </c>
      <c r="AE81" s="115" t="inlineStr">
        <is>
          <t>action=APPLY_SCOPED_MODIFIER; modifier=boss_safe_trade; hp_multiplier=0.85; reward_count_delta=-1</t>
        </is>
      </c>
      <c r="AF81" s="122" t="inlineStr">
        <is>
          <t>0.00s卡背→0.24s薄边换面→0.42s收束；逆位图案/框体180°，卡名、天体、方位标签和说明文字0°；0.62s后可点</t>
        </is>
      </c>
      <c r="AG81" s="123" t="inlineStr">
        <is>
          <t>[设计完成/数据已入表/运行时待施工]</t>
        </is>
      </c>
    </row>
    <row r="82" ht="52" customHeight="1" s="135">
      <c r="A82" s="107" t="inlineStr">
        <is>
          <t>fate_pentacle_king</t>
        </is>
      </c>
      <c r="B82" s="110" t="inlineStr">
        <is>
          <t>星币·国王</t>
        </is>
      </c>
      <c r="C82" s="94" t="inlineStr">
        <is>
          <t>规则</t>
        </is>
      </c>
      <c r="D82" s="94" t="inlineStr">
        <is>
          <t>禁忌</t>
        </is>
      </c>
      <c r="E82" s="94" t="inlineStr">
        <is>
          <t>每清理5个敌对房获得1把房间钥匙</t>
        </is>
      </c>
      <c r="F82" s="94" t="inlineStr">
        <is>
          <t>每清理5个敌对房获得1把房间钥匙</t>
        </is>
      </c>
      <c r="G82" s="94" t="inlineStr">
        <is>
          <t>新增塔罗牌“星币·国王”，正位与逆位是同一主题的两种解读。</t>
        </is>
      </c>
      <c r="H82" s="94" t="inlineStr">
        <is>
          <t>[用户设计+Codex规划]</t>
        </is>
      </c>
      <c r="I82" s="94" t="n"/>
      <c r="J82" s="94" t="inlineStr">
        <is>
          <t>action=APPLY_SCOPED_MODIFIER; modifier=room_key_cycle; rooms=5; key_count=1</t>
        </is>
      </c>
      <c r="K82" s="94" t="inlineStr">
        <is>
          <t>塔罗命运三选一/工作台/局前预选目标卡池</t>
        </is>
      </c>
      <c r="L82" s="94" t="inlineStr">
        <is>
          <t>[用户设计]</t>
        </is>
      </c>
      <c r="M82" s="94" t="inlineStr">
        <is>
          <t>[未施工] 名称、正/逆位与效果参数已完成数据设计</t>
        </is>
      </c>
      <c r="N82" s="94" t="inlineStr">
        <is>
          <t>docs/v0.1/14_技术施工_命运塔罗牌组.md；docs/v0.1/data/ShellStorm2_游戏内容数据库_v010.xlsx</t>
        </is>
      </c>
      <c r="O82" s="94" t="inlineStr">
        <is>
          <t>新增塔罗卡；正式卡池和执行器待施工</t>
        </is>
      </c>
      <c r="P82" s="113" t="inlineStr">
        <is>
          <t>WORLD</t>
        </is>
      </c>
      <c r="Q82" s="94" t="inlineStr">
        <is>
          <t>不占武器槽；写入行动/房间/掉落规则状态</t>
        </is>
      </c>
      <c r="R82" s="94" t="inlineStr">
        <is>
          <t>[设计完成/待施工] 正逆位、翻牌和塔罗命名未接入运行时</t>
        </is>
      </c>
      <c r="S82" s="94" t="inlineStr">
        <is>
          <t>☀ 太阳命运｜星币·国王｜翻牌后显示正位/逆位、目标、槽位与对应功能</t>
        </is>
      </c>
      <c r="T82" s="94" t="inlineStr">
        <is>
          <t>卡背绕Y轴翻面；逆位整张正面卡牌（含边框、图案、文字与布局）收束180°，并显示逆位效果描述；对应规则必须在HUD/场景中可读</t>
        </is>
      </c>
      <c r="U82" s="94" t="inlineStr">
        <is>
          <t>[设计完成/待施工] 旧正位表现可复用；逆位与翻转待QA</t>
        </is>
      </c>
      <c r="V82" s="94" t="n"/>
      <c r="W82" s="104" t="inlineStr">
        <is>
          <t>KING</t>
        </is>
      </c>
      <c r="X82" s="104" t="inlineStr">
        <is>
          <t>MINOR</t>
        </is>
      </c>
      <c r="Y82" s="104" t="inlineStr">
        <is>
          <t>PENTACLES</t>
        </is>
      </c>
      <c r="Z82" s="166" t="n">
        <v>0.5</v>
      </c>
      <c r="AA82" s="166" t="n">
        <v>0.5</v>
      </c>
      <c r="AB82" s="119" t="inlineStr">
        <is>
          <t>每清理5个敌对房获得1把房间钥匙</t>
        </is>
      </c>
      <c r="AC82" s="119" t="inlineStr">
        <is>
          <t>action=APPLY_SCOPED_MODIFIER; modifier=room_key_cycle; rooms=5; key_count=1</t>
        </is>
      </c>
      <c r="AD82" s="116" t="inlineStr">
        <is>
          <t>立即获得1钥匙，下2个敌对房不掉魂</t>
        </is>
      </c>
      <c r="AE82" s="116" t="inlineStr">
        <is>
          <t>action=APPLY_SCOPED_MODIFIER; modifier=key_debt; key_count=1; blocked_currency_rooms=2</t>
        </is>
      </c>
      <c r="AF82" s="124" t="inlineStr">
        <is>
          <t>0.00s卡背→0.24s薄边换面→0.42s收束；逆位图案/框体180°，卡名、天体、方位标签和说明文字0°；0.62s后可点</t>
        </is>
      </c>
      <c r="AG82" s="125" t="inlineStr">
        <is>
          <t>[设计完成/数据已入表/运行时待施工]</t>
        </is>
      </c>
    </row>
  </sheetData>
  <mergeCells count="6">
    <mergeCell ref="A1:AG1"/>
    <mergeCell ref="A3:AG3"/>
    <mergeCell ref="A2:U2"/>
    <mergeCell ref="A2:AG2"/>
    <mergeCell ref="A1:U1"/>
    <mergeCell ref="A3:U3"/>
  </mergeCells>
  <dataValidations count="3">
    <dataValidation sqref="H5:H32" showDropDown="0" showInputMessage="0" showErrorMessage="0" allowBlank="0" type="list">
      <formula1>"[已实装],[用户设计],[Codex补充]"</formula1>
    </dataValidation>
    <dataValidation sqref="L5:L32" showDropDown="0" showInputMessage="0" showErrorMessage="0" allowBlank="0" type="list">
      <formula1>"[已实装],[用户设计],[Codex补充]"</formula1>
    </dataValidation>
    <dataValidation sqref="P5:P32" showDropDown="0" showInputMessage="0" showErrorMessage="0" allowBlank="0" type="list">
      <formula1>"WEAPON,CHARACTER,WORLD"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selection activeCell="A1" sqref="A1"/>
    </sheetView>
  </sheetViews>
  <sheetFormatPr baseColWidth="8" defaultRowHeight="15"/>
  <cols>
    <col width="26" customWidth="1" style="135" min="1" max="1"/>
    <col width="20" customWidth="1" style="135" min="2" max="2"/>
    <col width="18" customWidth="1" style="135" min="3" max="3"/>
    <col width="10" customWidth="1" style="135" min="4" max="4"/>
    <col width="12" customWidth="1" style="135" min="5" max="5"/>
    <col width="10" customWidth="1" style="135" min="6" max="6"/>
    <col width="14" customWidth="1" style="135" min="7" max="7"/>
    <col width="12" customWidth="1" style="135" min="8" max="8"/>
    <col width="38" customWidth="1" style="135" min="9" max="9"/>
    <col width="36" customWidth="1" style="135" min="10" max="10"/>
    <col width="30" customWidth="1" style="135" min="11" max="11"/>
    <col width="14" customWidth="1" style="135" min="12" max="12"/>
    <col width="32" customWidth="1" style="135" min="13" max="13"/>
    <col width="36" customWidth="1" style="135" min="14" max="14"/>
    <col width="42" customWidth="1" style="135" min="15" max="15"/>
  </cols>
  <sheetData>
    <row r="1" ht="32" customHeight="1" s="135">
      <c r="A1" s="3" t="inlineStr">
        <is>
          <t>ShellStorm2 游戏内容数据库｜怪物与 Boss</t>
        </is>
      </c>
    </row>
    <row r="2" ht="30" customHeight="1" s="135">
      <c r="A2" s="174" t="inlineStr">
        <is>
          <t>数值采用Enemy3D.PROFILES正式3D基线；MonsterInjector旧2D基线仅换算楼层/主题倍率，不再作为玩家可见生命值。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内容ID</t>
        </is>
      </c>
      <c r="B4" s="176" t="inlineStr">
        <is>
          <t>名称</t>
        </is>
      </c>
      <c r="C4" s="176" t="inlineStr">
        <is>
          <t>原型</t>
        </is>
      </c>
      <c r="D4" s="176" t="inlineStr">
        <is>
          <t>HP</t>
        </is>
      </c>
      <c r="E4" s="176" t="inlineStr">
        <is>
          <t>速度m/s</t>
        </is>
      </c>
      <c r="F4" s="176" t="inlineStr">
        <is>
          <t>伤害</t>
        </is>
      </c>
      <c r="G4" s="176" t="inlineStr">
        <is>
          <t>攻击范围m</t>
        </is>
      </c>
      <c r="H4" s="176" t="inlineStr">
        <is>
          <t>冷却s</t>
        </is>
      </c>
      <c r="I4" s="176" t="inlineStr">
        <is>
          <t>技能/战术</t>
        </is>
      </c>
      <c r="J4" s="176" t="inlineStr">
        <is>
          <t>刷新位置</t>
        </is>
      </c>
      <c r="K4" s="176" t="inlineStr">
        <is>
          <t>掉落/进度</t>
        </is>
      </c>
      <c r="L4" s="176" t="inlineStr">
        <is>
          <t>状态来源</t>
        </is>
      </c>
      <c r="M4" s="176" t="inlineStr">
        <is>
          <t>实现状态</t>
        </is>
      </c>
      <c r="N4" s="176" t="inlineStr">
        <is>
          <t>事实源</t>
        </is>
      </c>
      <c r="O4" s="176" t="inlineStr">
        <is>
          <t>备注</t>
        </is>
      </c>
    </row>
    <row r="5" ht="54" customHeight="1" s="135">
      <c r="A5" s="177" t="inlineStr">
        <is>
          <t>monster_ambusher</t>
        </is>
      </c>
      <c r="B5" s="177" t="inlineStr">
        <is>
          <t>地刺虫</t>
        </is>
      </c>
      <c r="C5" s="177" t="inlineStr">
        <is>
          <t>ambusher</t>
        </is>
      </c>
      <c r="D5" s="177" t="n">
        <v>50</v>
      </c>
      <c r="E5" s="177" t="n">
        <v>4.65</v>
      </c>
      <c r="F5" s="177" t="n">
        <v>18</v>
      </c>
      <c r="G5" s="177" t="n">
        <v>2.15</v>
      </c>
      <c r="H5" s="177" t="n">
        <v>1.9</v>
      </c>
      <c r="I5" s="177" t="inlineStr">
        <is>
          <t>未触发时潜伏；揭示后高速突进；低矮轮廓</t>
        </is>
      </c>
      <c r="J5" s="177" t="inlineStr">
        <is>
          <t>深度2+及主题池；COMBAT/ELITE</t>
        </is>
      </c>
      <c r="K5" s="177" t="inlineStr">
        <is>
          <t>由房间/楼层掉落表决定</t>
        </is>
      </c>
      <c r="L5" s="180" t="inlineStr">
        <is>
          <t>[已实装]</t>
        </is>
      </c>
      <c r="M5" s="177" t="inlineStr">
        <is>
          <t>正式3D基础模板</t>
        </is>
      </c>
      <c r="N5" s="177" t="inlineStr">
        <is>
          <t>src/enemy3d/Enemy3D.gd；src/map/MonsterInjector.gd</t>
        </is>
      </c>
      <c r="O5" s="177" t="inlineStr">
        <is>
          <t>正式数值以Enemy3D.PROFILES为基线；旧2D基线仅用于倍率换算</t>
        </is>
      </c>
    </row>
    <row r="6" ht="54" customHeight="1" s="135">
      <c r="A6" s="177" t="inlineStr">
        <is>
          <t>monster_boss_generic</t>
        </is>
      </c>
      <c r="B6" s="177" t="inlineStr">
        <is>
          <t>Boss（通用回退模板）</t>
        </is>
      </c>
      <c r="C6" s="177" t="inlineStr">
        <is>
          <t>boss</t>
        </is>
      </c>
      <c r="D6" s="177" t="n">
        <v>520</v>
      </c>
      <c r="E6" s="177" t="n">
        <v>1.72</v>
      </c>
      <c r="F6" s="177" t="n">
        <v>24</v>
      </c>
      <c r="G6" s="177" t="n">
        <v>9.5</v>
      </c>
      <c r="H6" s="177" t="n">
        <v>1.45</v>
      </c>
      <c r="I6" s="177" t="inlineStr">
        <is>
          <t>无独立内容ID时使用的确定性弹幕/召唤回退</t>
        </is>
      </c>
      <c r="J6" s="177" t="inlineStr">
        <is>
          <t>测试/未来未配置Boss楼层</t>
        </is>
      </c>
      <c r="K6" s="177" t="inlineStr">
        <is>
          <t>boss_floor_*</t>
        </is>
      </c>
      <c r="L6" s="180" t="inlineStr">
        <is>
          <t>[已实装]</t>
        </is>
      </c>
      <c r="M6" s="177" t="inlineStr">
        <is>
          <t>正式3D低模回退；不作为95/90/85正式内容</t>
        </is>
      </c>
      <c r="N6" s="177" t="inlineStr">
        <is>
          <t>src/enemy3d/Enemy3D.gd；src/map/MonsterInjector.gd</t>
        </is>
      </c>
      <c r="O6" s="177" t="inlineStr">
        <is>
          <t>正式Boss由BossContentCatalog替换模型和阶段技能袋</t>
        </is>
      </c>
    </row>
    <row r="7" ht="54" customHeight="1" s="135">
      <c r="A7" s="177" t="inlineStr">
        <is>
          <t>monster_exploder</t>
        </is>
      </c>
      <c r="B7" s="177" t="inlineStr">
        <is>
          <t>炸弹果</t>
        </is>
      </c>
      <c r="C7" s="177" t="inlineStr">
        <is>
          <t>exploder</t>
        </is>
      </c>
      <c r="D7" s="177" t="n">
        <v>42</v>
      </c>
      <c r="E7" s="177" t="n">
        <v>3.1</v>
      </c>
      <c r="F7" s="177" t="n">
        <v>30</v>
      </c>
      <c r="G7" s="177" t="n">
        <v>2.85</v>
      </c>
      <c r="H7" s="177" t="n">
        <v>3</v>
      </c>
      <c r="I7" s="177" t="inlineStr">
        <is>
          <t>接近目标后3m范围自爆；攻击后死亡</t>
        </is>
      </c>
      <c r="J7" s="177" t="inlineStr">
        <is>
          <t>浅层及全部战斗层；COMBAT/陷阱倾向/增援</t>
        </is>
      </c>
      <c r="K7" s="177" t="inlineStr">
        <is>
          <t>由房间/楼层掉落表决定</t>
        </is>
      </c>
      <c r="L7" s="180" t="inlineStr">
        <is>
          <t>[已实装]</t>
        </is>
      </c>
      <c r="M7" s="177" t="inlineStr">
        <is>
          <t>正式3D基础模板</t>
        </is>
      </c>
      <c r="N7" s="177" t="inlineStr">
        <is>
          <t>src/enemy3d/Enemy3D.gd；src/map/MonsterInjector.gd</t>
        </is>
      </c>
      <c r="O7" s="177" t="inlineStr">
        <is>
          <t>正式数值以Enemy3D.PROFILES为基线；旧2D基线仅用于倍率换算</t>
        </is>
      </c>
    </row>
    <row r="8" ht="54" customHeight="1" s="135">
      <c r="A8" s="177" t="inlineStr">
        <is>
          <t>monster_melee_chaser</t>
        </is>
      </c>
      <c r="B8" s="177" t="inlineStr">
        <is>
          <t>小菌猪</t>
        </is>
      </c>
      <c r="C8" s="177" t="inlineStr">
        <is>
          <t>melee_chaser</t>
        </is>
      </c>
      <c r="D8" s="177" t="n">
        <v>58</v>
      </c>
      <c r="E8" s="177" t="n">
        <v>3.7</v>
      </c>
      <c r="F8" s="177" t="n">
        <v>12</v>
      </c>
      <c r="G8" s="177" t="n">
        <v>1.9</v>
      </c>
      <c r="H8" s="177" t="n">
        <v>1.05</v>
      </c>
      <c r="I8" s="177" t="inlineStr">
        <is>
          <t>高速追击；近身突进；接触伤害</t>
        </is>
      </c>
      <c r="J8" s="177" t="inlineStr">
        <is>
          <t>浅层及全部战斗层；COMBAT/ELITE/撤离增援</t>
        </is>
      </c>
      <c r="K8" s="177" t="inlineStr">
        <is>
          <t>由房间/楼层掉落表决定</t>
        </is>
      </c>
      <c r="L8" s="180" t="inlineStr">
        <is>
          <t>[已实装]</t>
        </is>
      </c>
      <c r="M8" s="177" t="inlineStr">
        <is>
          <t>正式3D基础模板</t>
        </is>
      </c>
      <c r="N8" s="177" t="inlineStr">
        <is>
          <t>src/enemy3d/Enemy3D.gd；src/map/MonsterInjector.gd</t>
        </is>
      </c>
      <c r="O8" s="177" t="inlineStr">
        <is>
          <t>正式数值以Enemy3D.PROFILES为基线；旧2D基线仅用于倍率换算</t>
        </is>
      </c>
    </row>
    <row r="9" ht="54" customHeight="1" s="135">
      <c r="A9" s="177" t="inlineStr">
        <is>
          <t>monster_ranged_caster</t>
        </is>
      </c>
      <c r="B9" s="177" t="inlineStr">
        <is>
          <t>孢子射手</t>
        </is>
      </c>
      <c r="C9" s="177" t="inlineStr">
        <is>
          <t>ranged_caster</t>
        </is>
      </c>
      <c r="D9" s="177" t="n">
        <v>46</v>
      </c>
      <c r="E9" s="177" t="n">
        <v>2.25</v>
      </c>
      <c r="F9" s="177" t="n">
        <v>10</v>
      </c>
      <c r="G9" s="177" t="n">
        <v>8.800000000000001</v>
      </c>
      <c r="H9" s="177" t="n">
        <v>1.8</v>
      </c>
      <c r="I9" s="177" t="inlineStr">
        <is>
          <t>保持中距；三连散射弹幕；侧向走位</t>
        </is>
      </c>
      <c r="J9" s="177" t="inlineStr">
        <is>
          <t>浅层及全部战斗层；COMBAT/ELITE/撤离增援</t>
        </is>
      </c>
      <c r="K9" s="177" t="inlineStr">
        <is>
          <t>由房间/楼层掉落表决定</t>
        </is>
      </c>
      <c r="L9" s="180" t="inlineStr">
        <is>
          <t>[已实装]</t>
        </is>
      </c>
      <c r="M9" s="177" t="inlineStr">
        <is>
          <t>正式3D基础模板</t>
        </is>
      </c>
      <c r="N9" s="177" t="inlineStr">
        <is>
          <t>src/enemy3d/Enemy3D.gd；src/map/MonsterInjector.gd</t>
        </is>
      </c>
      <c r="O9" s="177" t="inlineStr">
        <is>
          <t>正式数值以Enemy3D.PROFILES为基线；旧2D基线仅用于倍率换算</t>
        </is>
      </c>
    </row>
    <row r="10" ht="54" customHeight="1" s="135">
      <c r="A10" s="177" t="inlineStr">
        <is>
          <t>monster_shielded</t>
        </is>
      </c>
      <c r="B10" s="177" t="inlineStr">
        <is>
          <t>壳甲卫兵</t>
        </is>
      </c>
      <c r="C10" s="177" t="inlineStr">
        <is>
          <t>shielded</t>
        </is>
      </c>
      <c r="D10" s="177" t="n">
        <v>112</v>
      </c>
      <c r="E10" s="177" t="n">
        <v>2</v>
      </c>
      <c r="F10" s="177" t="n">
        <v>17</v>
      </c>
      <c r="G10" s="177" t="n">
        <v>2.05</v>
      </c>
      <c r="H10" s="177" t="n">
        <v>1.55</v>
      </c>
      <c r="I10" s="177" t="inlineStr">
        <is>
          <t>正面减伤；15%正面完全格挡；穿甲可绕过护盾</t>
        </is>
      </c>
      <c r="J10" s="177" t="inlineStr">
        <is>
          <t>停止现行刷新，原点位/池由fat_zombie03接替</t>
        </is>
      </c>
      <c r="K10" s="177" t="inlineStr">
        <is>
          <t>由房间/楼层掉落表决定</t>
        </is>
      </c>
      <c r="L10" s="180" t="inlineStr">
        <is>
          <t>[已退役]</t>
        </is>
      </c>
      <c r="M10" s="177" t="inlineStr">
        <is>
          <t>弃用；旧档兼容保留</t>
        </is>
      </c>
      <c r="N10" s="177" t="inlineStr">
        <is>
          <t>src/enemy3d/Enemy3D.gd；src/map/MonsterInjector.gd</t>
        </is>
      </c>
      <c r="O10" s="177" t="inlineStr">
        <is>
          <t>2026-10-03用户裁定退役；普通怪身份由胖子僵尸03替换。原数值留作历史，未实装壳甲精英设计保留。</t>
        </is>
      </c>
    </row>
    <row r="11" ht="54" customHeight="1" s="135">
      <c r="A11" s="177" t="inlineStr">
        <is>
          <t>monster_summoner</t>
        </is>
      </c>
      <c r="B11" s="177" t="inlineStr">
        <is>
          <t>蜂巢怪</t>
        </is>
      </c>
      <c r="C11" s="177" t="inlineStr">
        <is>
          <t>summoner</t>
        </is>
      </c>
      <c r="D11" s="177" t="n">
        <v>72</v>
      </c>
      <c r="E11" s="177" t="n">
        <v>1.65</v>
      </c>
      <c r="F11" s="177" t="n">
        <v>8</v>
      </c>
      <c r="G11" s="177" t="n">
        <v>7.2</v>
      </c>
      <c r="H11" s="177" t="n">
        <v>4.8</v>
      </c>
      <c r="I11" s="177" t="inlineStr">
        <is>
          <t>周期召唤1–2只；6.5m范围治疗友军；远距游走</t>
        </is>
      </c>
      <c r="J11" s="177" t="inlineStr">
        <is>
          <t>深度2+及主题池；COMBAT/ELITE</t>
        </is>
      </c>
      <c r="K11" s="177" t="inlineStr">
        <is>
          <t>由房间/楼层掉落表决定</t>
        </is>
      </c>
      <c r="L11" s="180" t="inlineStr">
        <is>
          <t>[已实装]</t>
        </is>
      </c>
      <c r="M11" s="177" t="inlineStr">
        <is>
          <t>正式3D基础模板</t>
        </is>
      </c>
      <c r="N11" s="177" t="inlineStr">
        <is>
          <t>src/enemy3d/Enemy3D.gd；src/map/MonsterInjector.gd</t>
        </is>
      </c>
      <c r="O11" s="177" t="inlineStr">
        <is>
          <t>正式数值以Enemy3D.PROFILES为基线；旧2D基线仅用于倍率换算</t>
        </is>
      </c>
    </row>
    <row r="12">
      <c r="A12" t="inlineStr">
        <is>
          <t>boss_abyss_archivist_95</t>
        </is>
      </c>
      <c r="B12" t="inlineStr">
        <is>
          <t>深渊档案官</t>
        </is>
      </c>
      <c r="C12" t="inlineStr">
        <is>
          <t>boss</t>
        </is>
      </c>
      <c r="D12" t="n">
        <v>520</v>
      </c>
      <c r="E12" t="n">
        <v>1.72</v>
      </c>
      <c r="F12" t="n">
        <v>24</v>
      </c>
      <c r="G12" t="n">
        <v>9.5</v>
      </c>
      <c r="H12" t="n">
        <v>1.45</v>
      </c>
      <c r="I12" t="inlineStr">
        <is>
          <t>archive_fan / index_beam / archive_storm；召唤档案侍从</t>
        </is>
      </c>
      <c r="J12" t="inlineStr">
        <is>
          <t>95F不可绕过Boss竞技场</t>
        </is>
      </c>
      <c r="K12" t="inlineStr">
        <is>
          <t>boss_floor_5；专用下行权限</t>
        </is>
      </c>
      <c r="L12" t="inlineStr">
        <is>
          <t>[已实装]</t>
        </is>
      </c>
      <c r="M12" t="inlineStr">
        <is>
          <t>独立Boss内容/模型/竞技场</t>
        </is>
      </c>
      <c r="N12" t="inlineStr">
        <is>
          <t>src/enemy3d/BossContentCatalog.gd；assets/art/enemies/bosses_v01/enm_boss_archivist_95_top3d_v001.glb</t>
        </is>
      </c>
      <c r="O12" t="inlineStr">
        <is>
          <t>独立三阶段技能袋；档案竞技场8组掩体</t>
        </is>
      </c>
    </row>
    <row r="13">
      <c r="A13" t="inlineStr">
        <is>
          <t>boss_furnace_warden_90</t>
        </is>
      </c>
      <c r="B13" t="inlineStr">
        <is>
          <t>熔炉狱监</t>
        </is>
      </c>
      <c r="C13" t="inlineStr">
        <is>
          <t>boss</t>
        </is>
      </c>
      <c r="D13" t="n">
        <v>520</v>
      </c>
      <c r="E13" t="n">
        <v>1.72</v>
      </c>
      <c r="F13" t="n">
        <v>24</v>
      </c>
      <c r="G13" t="n">
        <v>9.5</v>
      </c>
      <c r="H13" t="n">
        <v>1.45</v>
      </c>
      <c r="I13" t="inlineStr">
        <is>
          <t>molten_volley / hammer_drive / furnace_burst；召唤余烬</t>
        </is>
      </c>
      <c r="J13" t="inlineStr">
        <is>
          <t>90F不可绕过Boss竞技场</t>
        </is>
      </c>
      <c r="K13" t="inlineStr">
        <is>
          <t>boss_floor_10；专用下行权限</t>
        </is>
      </c>
      <c r="L13" t="inlineStr">
        <is>
          <t>[已实装]</t>
        </is>
      </c>
      <c r="M13" t="inlineStr">
        <is>
          <t>独立Boss内容/模型/竞技场</t>
        </is>
      </c>
      <c r="N13" t="inlineStr">
        <is>
          <t>src/enemy3d/BossContentCatalog.gd；assets/art/enemies/bosses_v01/enm_boss_furnace_warden_90_top3d_v001.glb</t>
        </is>
      </c>
      <c r="O13" t="inlineStr">
        <is>
          <t>独立三阶段技能袋；熔炉竞技场6组掩体</t>
        </is>
      </c>
    </row>
    <row r="14" s="135">
      <c r="A14" t="inlineStr">
        <is>
          <t>boss_hollow_choir_85</t>
        </is>
      </c>
      <c r="B14" t="inlineStr">
        <is>
          <t>空洞合唱团</t>
        </is>
      </c>
      <c r="C14" t="inlineStr">
        <is>
          <t>boss</t>
        </is>
      </c>
      <c r="D14" t="n">
        <v>520</v>
      </c>
      <c r="E14" t="n">
        <v>1.72</v>
      </c>
      <c r="F14" t="n">
        <v>24</v>
      </c>
      <c r="G14" t="n">
        <v>9.5</v>
      </c>
      <c r="H14" t="n">
        <v>1.45</v>
      </c>
      <c r="I14" t="inlineStr">
        <is>
          <t>choir_wave / silence_chord / echo_burst；召唤回声</t>
        </is>
      </c>
      <c r="J14" t="inlineStr">
        <is>
          <t>85F不可绕过Boss竞技场</t>
        </is>
      </c>
      <c r="K14" t="inlineStr">
        <is>
          <t>boss_floor_15；专用下行权限</t>
        </is>
      </c>
      <c r="L14" t="inlineStr">
        <is>
          <t>[已实装]</t>
        </is>
      </c>
      <c r="M14" t="inlineStr">
        <is>
          <t>独立Boss内容/模型/竞技场</t>
        </is>
      </c>
      <c r="N14" t="inlineStr">
        <is>
          <t>src/enemy3d/BossContentCatalog.gd；assets/art/enemies/bosses_v01/enm_boss_hollow_choir_85_top3d_v001.glb</t>
        </is>
      </c>
      <c r="O14" t="inlineStr">
        <is>
          <t>独立三阶段技能袋；合唱竞技场5组掩体</t>
        </is>
      </c>
    </row>
    <row r="15" s="135">
      <c r="A15" t="inlineStr">
        <is>
          <t>monster_spike_shell</t>
        </is>
      </c>
      <c r="B15" t="inlineStr">
        <is>
          <t>暗影兽</t>
        </is>
      </c>
      <c r="C15" t="inlineStr">
        <is>
          <t>spike_shell</t>
        </is>
      </c>
      <c r="D15" t="inlineStr">
        <is>
          <t>待定</t>
        </is>
      </c>
      <c r="E15" t="inlineStr">
        <is>
          <t>待定</t>
        </is>
      </c>
      <c r="F15" t="inlineStr">
        <is>
          <t>待定</t>
        </is>
      </c>
      <c r="G15" t="inlineStr">
        <is>
          <t>待定</t>
        </is>
      </c>
      <c r="H15" t="inlineStr">
        <is>
          <t>待定</t>
        </is>
      </c>
      <c r="I15" t="inlineStr">
        <is>
          <t>待设计（未定形态；造型为低伏四足、背脊尖刺）</t>
        </is>
      </c>
      <c r="J15" t="inlineStr">
        <is>
          <t>待定（未接入关卡/主题池）</t>
        </is>
      </c>
      <c r="K15" t="inlineStr">
        <is>
          <t>待定</t>
        </is>
      </c>
      <c r="L15" t="inlineStr">
        <is>
          <t>[用户设计]</t>
        </is>
      </c>
      <c r="M15" t="inlineStr">
        <is>
          <t>未实现（仅登记，未接入玩法；无正式3D数值）</t>
        </is>
      </c>
      <c r="N15" t="inlineStr">
        <is>
          <t>assets/registry/ledgers/ShellStorm2_敌人账本_v001.xlsx（《资产主表》r18 = ENM-BEAST-SPIKESHELL01）</t>
        </is>
      </c>
      <c r="O15" t="inlineStr">
        <is>
          <t>2026-09-23 由业主指示登记为新怪，先不考虑调用。HP/速度/伤害/攻击范围/冷却全部待定：按《字段字典》「怪物与Boss·正式3D数值」要求，这些列必须是 Enemy3D.PROFILES 的正式 3D 基线、不得混用旧 2D 基线，而本怪尚未进入 PROFILES ⇒ 刻意留「待定」而不编造数值。补数时机：接入玩法并写入 Enemy3D.PROFILES 时一并回填。</t>
        </is>
      </c>
    </row>
    <row r="16" ht="54" customHeight="1" s="135">
      <c r="A16" s="177" t="inlineStr">
        <is>
          <t>monster_fat_zombie03</t>
        </is>
      </c>
      <c r="B16" s="177" t="inlineStr">
        <is>
          <t>胖子僵尸</t>
        </is>
      </c>
      <c r="C16" s="177" t="inlineStr">
        <is>
          <t>fat_zombie03</t>
        </is>
      </c>
      <c r="D16" s="177" t="n">
        <v>232</v>
      </c>
      <c r="E16" s="177" t="n">
        <v>0.857142857</v>
      </c>
      <c r="F16" s="177" t="n">
        <v>19</v>
      </c>
      <c r="G16" s="177" t="n">
        <v>1.55</v>
      </c>
      <c r="H16" s="177" t="n">
        <v>1.3</v>
      </c>
      <c r="I16" s="177" t="inlineStr">
        <is>
          <t>厚血慢速；张臂抱扑拍合；1.2秒前摇/1.3秒收势；轻击上半身反应</t>
        </is>
      </c>
      <c r="J16" s="177" t="inlineStr">
        <is>
          <t>远征01纵列/桥心盒；原壳甲默认随机池和锈炉/深渊主题池</t>
        </is>
      </c>
      <c r="K16" s="177" t="inlineStr">
        <is>
          <t>通用楼层掉落表；killed一次结算</t>
        </is>
      </c>
      <c r="L16" s="180" t="inlineStr">
        <is>
          <t>[已实装]</t>
        </is>
      </c>
      <c r="M16" s="177" t="inlineStr">
        <is>
          <t>正式独立怪物，12态/13动画绑定</t>
        </is>
      </c>
      <c r="N16" s="177" t="inlineStr">
        <is>
          <t>src/enemy3d/Enemy3D.gd；src/map/MonsterInjector.gd；docs/v0.1/design/胖子僵尸03运行配置.md</t>
        </is>
      </c>
      <c r="O16" s="177" t="inlineStr">
        <is>
          <t>D/E为PROFILES源基线；实际第一层生命696、追击0.60m/s、巡逻0.30m/s；内容调用ID=fat_zombie03；资产编号03；已接替壳甲卫兵投放</t>
        </is>
      </c>
    </row>
    <row r="17" ht="120" customHeight="1">
      <c xmlns="http://schemas.openxmlformats.org/spreadsheetml/2006/main" r="A17" t="str" s="177">
        <v>boss_monitor002</v>
      </c>
      <c xmlns="http://schemas.openxmlformats.org/spreadsheetml/2006/main" r="B17" t="str" s="177">
        <v>MONITOR.EXE 显示器</v>
      </c>
      <c xmlns="http://schemas.openxmlformats.org/spreadsheetml/2006/main" r="C17" t="str" s="177">
        <v>boss</v>
      </c>
      <c xmlns="http://schemas.openxmlformats.org/spreadsheetml/2006/main" r="D17" t="n" s="177">
        <v>5200</v>
      </c>
      <c xmlns="http://schemas.openxmlformats.org/spreadsheetml/2006/main" r="E17" t="n" s="177">
        <v>1.204</v>
      </c>
      <c xmlns="http://schemas.openxmlformats.org/spreadsheetml/2006/main" r="F17" t="n" s="177">
        <v>24</v>
      </c>
      <c xmlns="http://schemas.openxmlformats.org/spreadsheetml/2006/main" r="G17" t="n" s="177">
        <v>6</v>
      </c>
      <c xmlns="http://schemas.openxmlformats.org/spreadsheetml/2006/main" r="H17" t="n" s="177">
        <v>0.65</v>
      </c>
      <c xmlns="http://schemas.openxmlformats.org/spreadsheetml/2006/main" r="I17" t="str" s="177">
        <v>键盘24 / 数据线20 / 旋转砸地36 / 接地电流每0.8s12；HP66%/33%三阶段</v>
      </c>
      <c xmlns="http://schemas.openxmlformats.org/spreadsheetml/2006/main" r="J17" t="str" s="177">
        <v>远征01 f00_boss；显式内容ID调用</v>
      </c>
      <c xmlns="http://schemas.openxmlformats.org/spreadsheetml/2006/main" r="K17" t="str" s="177">
        <v>Enemy3D Boss结算与既有房间奖励</v>
      </c>
      <c xmlns="http://schemas.openxmlformats.org/spreadsheetml/2006/main" r="L17" s="180" t="str">
        <v>用户激活出场要求；技能设计r3</v>
      </c>
      <c xmlns="http://schemas.openxmlformats.org/spreadsheetml/2006/main" r="M17" t="str" s="177">
        <v>active</v>
      </c>
      <c xmlns="http://schemas.openxmlformats.org/spreadsheetml/2006/main" r="N17" t="str" s="177">
        <v>BossContentCatalog / MonitorBossCombat；Boss002技能设计分页</v>
      </c>
      <c xmlns="http://schemas.openxmlformats.org/spreadsheetml/2006/main" r="O17" s="177" t="str">
        <v>17 Blender剪辑；首次activate6.4s（非伤害技能），四技能/十二态；伤害8%韧性击晕4.8s；通电暴击可打断；独立资产ENM-BOSS-MONITOR002-3D</v>
      </c>
    </row>
  </sheetData>
  <mergeCells count="3">
    <mergeCell ref="A1:O1"/>
    <mergeCell ref="A3:O3"/>
    <mergeCell ref="A2:O2"/>
  </mergeCells>
  <dataValidations count="1">
    <dataValidation sqref="L5:L11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selection activeCell="A1" sqref="A1"/>
    </sheetView>
  </sheetViews>
  <sheetFormatPr baseColWidth="8" defaultRowHeight="15"/>
  <cols>
    <col width="28" customWidth="1" style="135" min="1" max="1"/>
    <col width="22" customWidth="1" style="135" min="2" max="2"/>
    <col width="20" customWidth="1" style="135" min="3" max="3"/>
    <col width="42" customWidth="1" style="135" min="4" max="4"/>
    <col width="38" customWidth="1" style="135" min="5" max="5"/>
    <col width="36" customWidth="1" style="135" min="6" max="6"/>
    <col width="32" customWidth="1" style="135" min="7" max="7"/>
    <col width="34" customWidth="1" style="135" min="8" max="8"/>
    <col width="32" customWidth="1" style="135" min="9" max="9"/>
    <col width="28" customWidth="1" style="135" min="10" max="10"/>
    <col width="14" customWidth="1" style="135" min="11" max="11"/>
    <col width="16" customWidth="1" style="135" min="12" max="12"/>
    <col width="30" customWidth="1" style="135" min="13" max="13"/>
    <col width="34" customWidth="1" style="135" min="14" max="14"/>
    <col width="36" customWidth="1" style="135" min="15" max="15"/>
  </cols>
  <sheetData>
    <row r="1" ht="32" customHeight="1" s="135">
      <c r="A1" s="3" t="inlineStr">
        <is>
          <t>ShellStorm2 游戏内容数据库｜12只唯一精英</t>
        </is>
      </c>
    </row>
    <row r="2" ht="30" customHeight="1" s="135">
      <c r="A2" s="174" t="inlineStr">
        <is>
          <t>名册固定12只并保持稳定ID。2026-08-27：首只背枪的裂口爬虫已完成独立资产、唯一投放和跨局成长闭环；其余11只保留设计与行为雏形但未投放。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稳定精英ID</t>
        </is>
      </c>
      <c r="B4" s="176" t="inlineStr">
        <is>
          <t>独立名字</t>
        </is>
      </c>
      <c r="C4" s="176" t="inlineStr">
        <is>
          <t>基础原型</t>
        </is>
      </c>
      <c r="D4" s="176" t="inlineStr">
        <is>
          <t>核心特殊玩法</t>
        </is>
      </c>
      <c r="E4" s="176" t="inlineStr">
        <is>
          <t>成长方向</t>
        </is>
      </c>
      <c r="F4" s="176" t="inlineStr">
        <is>
          <t>夺械转译</t>
        </is>
      </c>
      <c r="G4" s="176" t="inlineStr">
        <is>
          <t>刷新位置</t>
        </is>
      </c>
      <c r="H4" s="176" t="inlineStr">
        <is>
          <t>唯一约束</t>
        </is>
      </c>
      <c r="I4" s="176" t="inlineStr">
        <is>
          <t>档案重点</t>
        </is>
      </c>
      <c r="J4" s="176" t="inlineStr">
        <is>
          <t>奖励概念</t>
        </is>
      </c>
      <c r="K4" s="176" t="inlineStr">
        <is>
          <t>名册来源</t>
        </is>
      </c>
      <c r="L4" s="176" t="inlineStr">
        <is>
          <t>名称/玩法来源</t>
        </is>
      </c>
      <c r="M4" s="176" t="inlineStr">
        <is>
          <t>实现状态</t>
        </is>
      </c>
      <c r="N4" s="176" t="inlineStr">
        <is>
          <t>事实源</t>
        </is>
      </c>
      <c r="O4" s="176" t="inlineStr">
        <is>
          <t>备注</t>
        </is>
      </c>
    </row>
    <row r="5" ht="58" customHeight="1" s="135">
      <c r="A5" s="177" t="inlineStr">
        <is>
          <t>elite_rift_boar_armed</t>
        </is>
      </c>
      <c r="B5" s="177" t="inlineStr">
        <is>
          <t>背枪的裂口爬虫</t>
        </is>
      </c>
      <c r="C5" s="177" t="inlineStr">
        <is>
          <t>小菌猪</t>
        </is>
      </c>
      <c r="D5" s="177" t="inlineStr">
        <is>
          <t>携带被夺取枪身，突进间隙自动射击</t>
        </is>
      </c>
      <c r="E5" s="177" t="inlineStr">
        <is>
          <t>20%血量进入4.2秒可击杀撤离窗；逃脱或击杀玩家后升级，上限12级。每级生命+8%、伤害+4.5%，5/9级提高副枪追射频率</t>
        </is>
      </c>
      <c r="F5" s="177" t="inlineStr">
        <is>
          <t>枪身→副枪追射；仅保存稳定内容ID、1—3发弹数预算和受控弹丸特征，最多3件，不保存玩家实例ID</t>
        </is>
      </c>
      <c r="G5" s="177" t="inlineStr">
        <is>
          <t>每次行动按run_seed在98F/97F/96F三选一目标层；目标层ELITE房位置随地图种子随机；同局唯一</t>
        </is>
      </c>
      <c r="H5" s="178" t="inlineStr">
        <is>
          <t>同ID全局单例；预约后才可实例化</t>
        </is>
      </c>
      <c r="I5" s="177" t="inlineStr">
        <is>
          <t>跨局等级、逃脱/击杀玩家记录、夺械转译、悬赏等级、唯一预约与陈旧预约恢复</t>
        </is>
      </c>
      <c r="J5" s="177" t="inlineStr">
        <is>
          <t>精英专属掉落；悬赏1—5级额外兑现45/75/115/165/230魂</t>
        </is>
      </c>
      <c r="K5" s="179" t="inlineStr">
        <is>
          <t>[用户设计]</t>
        </is>
      </c>
      <c r="L5" s="180" t="inlineStr">
        <is>
          <t>[已实装]</t>
        </is>
      </c>
      <c r="M5" s="177" t="inlineStr">
        <is>
          <t>[已实装｜正式投放与成长闭环完成]</t>
        </is>
      </c>
      <c r="N5" s="177" t="inlineStr">
        <is>
          <t>src/enemy3d/EliteContentCatalog.gd；src/enemy3d/EliteRosterService.gd；src/enemy3d/Enemy3D.gd；src/player3d/Player3D.gd；src/world3d/Dungeon3D.gd；tests/verification/verify_first_elite_deployment_flow.gd；tests/verification/verify_first_elite_growth_flow.gd</t>
        </is>
      </c>
      <c r="O5" s="177" t="inlineStr">
        <is>
          <t>98/97/96F每局按run_seed三选一且同局唯一；精英房首个出生点。残血撤离期间血条显示“撤离中”且仍可击杀；成功逃脱或击杀玩家后跨局成长并夺取当前枪械，下次遭遇应用成长、转译能力与悬赏。</t>
        </is>
      </c>
    </row>
    <row r="6" ht="58" customHeight="1" s="135">
      <c r="A6" s="177" t="inlineStr">
        <is>
          <t>elite_spore_devourer</t>
        </is>
      </c>
      <c r="B6" s="177" t="inlineStr">
        <is>
          <t>吞弹者·孢子射手</t>
        </is>
      </c>
      <c r="C6" s="177" t="inlineStr">
        <is>
          <t>孢子射手</t>
        </is>
      </c>
      <c r="D6" s="177" t="inlineStr">
        <is>
          <t>吸收特定投射物并转为反击弹幕</t>
        </is>
      </c>
      <c r="E6" s="177" t="inlineStr">
        <is>
          <t>每次逃脱提高吸收容量和反击弹数</t>
        </is>
      </c>
      <c r="F6" s="177" t="inlineStr">
        <is>
          <t>子弹模块→敌方弹道/状态技能</t>
        </is>
      </c>
      <c r="G6" s="177" t="inlineStr">
        <is>
          <t>未投放；设计与行为雏形保留；完成独立内容和专项后再开放楼层</t>
        </is>
      </c>
      <c r="H6" s="178" t="inlineStr">
        <is>
          <t>同ID全局单例；预约后才可实例化</t>
        </is>
      </c>
      <c r="I6" s="177" t="inlineStr">
        <is>
          <t>吞弹种类、反击记录、成长等级</t>
        </is>
      </c>
      <c r="J6" s="177" t="inlineStr">
        <is>
          <t>子弹模块/悬赏资源</t>
        </is>
      </c>
      <c r="K6" s="179" t="inlineStr">
        <is>
          <t>[用户设计]</t>
        </is>
      </c>
      <c r="L6" s="180" t="inlineStr">
        <is>
          <t>[已实装]</t>
        </is>
      </c>
      <c r="M6" s="177" t="inlineStr">
        <is>
          <t>[行为雏形已实装/未投放]</t>
        </is>
      </c>
      <c r="N6" s="177" t="inlineStr">
        <is>
          <t>src/enemy3d/EliteContentCatalog.gd；src/enemy3d/EliteRosterService.gd；src/enemy3d/Enemy3D.gd</t>
        </is>
      </c>
      <c r="O6" s="177" t="inlineStr">
        <is>
          <t>稳定ID、档案字段和行为分支保留；当前deployment_status=design_only，无独立正式资产/血条/合法楼层，不进入随机池</t>
        </is>
      </c>
    </row>
    <row r="7" ht="58" customHeight="1" s="135">
      <c r="A7" s="177" t="inlineStr">
        <is>
          <t>elite_iron_carapace</t>
        </is>
      </c>
      <c r="B7" s="177" t="inlineStr">
        <is>
          <t>铁壁·壳甲统领</t>
        </is>
      </c>
      <c r="C7" s="177" t="inlineStr">
        <is>
          <t>壳甲卫兵</t>
        </is>
      </c>
      <c r="D7" s="177" t="inlineStr">
        <is>
          <t>旋转护甲面控制可攻击窗口，受击后反冲</t>
        </is>
      </c>
      <c r="E7" s="177" t="inlineStr">
        <is>
          <t>成长后增加护甲面并缩短转向间隔</t>
        </is>
      </c>
      <c r="F7" s="177" t="inlineStr">
        <is>
          <t>枪托/弹匣→格挡反击与耐久技能</t>
        </is>
      </c>
      <c r="G7" s="177" t="inlineStr">
        <is>
          <t>未投放；设计与行为雏形保留；完成独立内容和专项后再开放楼层</t>
        </is>
      </c>
      <c r="H7" s="178" t="inlineStr">
        <is>
          <t>同ID全局单例；预约后才可实例化</t>
        </is>
      </c>
      <c r="I7" s="177" t="inlineStr">
        <is>
          <t>破盾次数、反击命中、当前护甲</t>
        </is>
      </c>
      <c r="J7" s="177" t="inlineStr">
        <is>
          <t>护甲配件/高价壳片</t>
        </is>
      </c>
      <c r="K7" s="179" t="inlineStr">
        <is>
          <t>[用户设计]</t>
        </is>
      </c>
      <c r="L7" s="181" t="inlineStr">
        <is>
          <t>[Codex补充]</t>
        </is>
      </c>
      <c r="M7" s="177" t="inlineStr">
        <is>
          <t>[行为雏形已实装/未投放]</t>
        </is>
      </c>
      <c r="N7" s="177" t="inlineStr">
        <is>
          <t>src/enemy3d/EliteContentCatalog.gd；src/enemy3d/EliteRosterService.gd；src/enemy3d/Enemy3D.gd</t>
        </is>
      </c>
      <c r="O7" s="177" t="inlineStr">
        <is>
          <t>稳定ID、档案字段和行为分支保留；当前deployment_status=design_only，无独立正式资产/血条/合法楼层，不进入随机池</t>
        </is>
      </c>
    </row>
    <row r="8" ht="58" customHeight="1" s="135">
      <c r="A8" s="177" t="inlineStr">
        <is>
          <t>elite_ninth_hive_queen</t>
        </is>
      </c>
      <c r="B8" s="177" t="inlineStr">
        <is>
          <t>蜂后“第九巢”</t>
        </is>
      </c>
      <c r="C8" s="177" t="inlineStr">
        <is>
          <t>蜂巢怪</t>
        </is>
      </c>
      <c r="D8" s="177" t="inlineStr">
        <is>
          <t>建立蜂巢网络，存活节点为本体转移伤害</t>
        </is>
      </c>
      <c r="E8" s="177" t="inlineStr">
        <is>
          <t>成长后增加巢数并强化节点协同</t>
        </is>
      </c>
      <c r="F8" s="177" t="inlineStr">
        <is>
          <t>配件→召唤物共享修饰</t>
        </is>
      </c>
      <c r="G8" s="177" t="inlineStr">
        <is>
          <t>未投放；设计与行为雏形保留；完成独立内容和专项后再开放楼层</t>
        </is>
      </c>
      <c r="H8" s="178" t="inlineStr">
        <is>
          <t>同ID全局单例；预约后才可实例化</t>
        </is>
      </c>
      <c r="I8" s="177" t="inlineStr">
        <is>
          <t>存活巢数、召唤谱系、逃脱路线</t>
        </is>
      </c>
      <c r="J8" s="177" t="inlineStr">
        <is>
          <t>蜂巢核心/召唤系模块</t>
        </is>
      </c>
      <c r="K8" s="179" t="inlineStr">
        <is>
          <t>[用户设计]</t>
        </is>
      </c>
      <c r="L8" s="181" t="inlineStr">
        <is>
          <t>[Codex补充]</t>
        </is>
      </c>
      <c r="M8" s="177" t="inlineStr">
        <is>
          <t>[行为雏形已实装/未投放]</t>
        </is>
      </c>
      <c r="N8" s="177" t="inlineStr">
        <is>
          <t>src/enemy3d/EliteContentCatalog.gd；src/enemy3d/EliteRosterService.gd；src/enemy3d/Enemy3D.gd</t>
        </is>
      </c>
      <c r="O8" s="177" t="inlineStr">
        <is>
          <t>稳定ID、档案字段和行为分支保留；当前deployment_status=design_only，无独立正式资产/血条/合法楼层，不进入随机池</t>
        </is>
      </c>
    </row>
    <row r="9" ht="58" customHeight="1" s="135">
      <c r="A9" s="177" t="inlineStr">
        <is>
          <t>elite_emberfruit</t>
        </is>
      </c>
      <c r="B9" s="177" t="inlineStr">
        <is>
          <t>焦雷果·余烬</t>
        </is>
      </c>
      <c r="C9" s="177" t="inlineStr">
        <is>
          <t>炸弹果</t>
        </is>
      </c>
      <c r="D9" s="177" t="inlineStr">
        <is>
          <t>投放可再生爆雷种子，本体不会首次爆炸即死亡</t>
        </is>
      </c>
      <c r="E9" s="177" t="inlineStr">
        <is>
          <t>成长后种子可连锁并留下燃烧区</t>
        </is>
      </c>
      <c r="F9" s="177" t="inlineStr">
        <is>
          <t>爆炸子弹→地雷/燃烧区技能</t>
        </is>
      </c>
      <c r="G9" s="177" t="inlineStr">
        <is>
          <t>未投放；设计与行为雏形保留；完成独立内容和专项后再开放楼层</t>
        </is>
      </c>
      <c r="H9" s="178" t="inlineStr">
        <is>
          <t>同ID全局单例；预约后才可实例化</t>
        </is>
      </c>
      <c r="I9" s="177" t="inlineStr">
        <is>
          <t>种子批次、连锁次数、重生次数</t>
        </is>
      </c>
      <c r="J9" s="177" t="inlineStr">
        <is>
          <t>爆炸模块/余烬核</t>
        </is>
      </c>
      <c r="K9" s="179" t="inlineStr">
        <is>
          <t>[用户设计]</t>
        </is>
      </c>
      <c r="L9" s="181" t="inlineStr">
        <is>
          <t>[Codex补充]</t>
        </is>
      </c>
      <c r="M9" s="177" t="inlineStr">
        <is>
          <t>[行为雏形已实装/未投放]</t>
        </is>
      </c>
      <c r="N9" s="177" t="inlineStr">
        <is>
          <t>src/enemy3d/EliteContentCatalog.gd；src/enemy3d/EliteRosterService.gd；src/enemy3d/Enemy3D.gd</t>
        </is>
      </c>
      <c r="O9" s="177" t="inlineStr">
        <is>
          <t>稳定ID、档案字段和行为分支保留；当前deployment_status=design_only，无独立正式资产/血条/合法楼层，不进入随机池</t>
        </is>
      </c>
    </row>
    <row r="10" ht="58" customHeight="1" s="135">
      <c r="A10" s="177" t="inlineStr">
        <is>
          <t>elite_blackneedle</t>
        </is>
      </c>
      <c r="B10" s="177" t="inlineStr">
        <is>
          <t>缝行者“黑针”</t>
        </is>
      </c>
      <c r="C10" s="177" t="inlineStr">
        <is>
          <t>地刺虫</t>
        </is>
      </c>
      <c r="D10" s="177" t="inlineStr">
        <is>
          <t>沿地面标记潜行线路，从玩家盲区连续穿刺</t>
        </is>
      </c>
      <c r="E10" s="177" t="inlineStr">
        <is>
          <t>成长后假路线增多并获得第二次突袭</t>
        </is>
      </c>
      <c r="F10" s="177" t="inlineStr">
        <is>
          <t>穿甲子弹/瞄具→直线穿刺与锁定</t>
        </is>
      </c>
      <c r="G10" s="177" t="inlineStr">
        <is>
          <t>未投放；设计与行为雏形保留；完成独立内容和专项后再开放楼层</t>
        </is>
      </c>
      <c r="H10" s="178" t="inlineStr">
        <is>
          <t>同ID全局单例；预约后才可实例化</t>
        </is>
      </c>
      <c r="I10" s="177" t="inlineStr">
        <is>
          <t>潜行路线、揭示次数、命中角度</t>
        </is>
      </c>
      <c r="J10" s="177" t="inlineStr">
        <is>
          <t>穿甲模块/黑针</t>
        </is>
      </c>
      <c r="K10" s="179" t="inlineStr">
        <is>
          <t>[用户设计]</t>
        </is>
      </c>
      <c r="L10" s="181" t="inlineStr">
        <is>
          <t>[Codex补充]</t>
        </is>
      </c>
      <c r="M10" s="177" t="inlineStr">
        <is>
          <t>[行为雏形已实装/未投放]</t>
        </is>
      </c>
      <c r="N10" s="177" t="inlineStr">
        <is>
          <t>src/enemy3d/EliteContentCatalog.gd；src/enemy3d/EliteRosterService.gd；src/enemy3d/Enemy3D.gd</t>
        </is>
      </c>
      <c r="O10" s="177" t="inlineStr">
        <is>
          <t>稳定ID、档案字段和行为分支保留；当前deployment_status=design_only，无独立正式资产/血条/合法楼层，不进入随机池</t>
        </is>
      </c>
    </row>
    <row r="11" ht="58" customHeight="1" s="135">
      <c r="A11" s="177" t="inlineStr">
        <is>
          <t>elite_mirror_shell</t>
        </is>
      </c>
      <c r="B11" s="177" t="inlineStr">
        <is>
          <t>反射者·镜壳</t>
        </is>
      </c>
      <c r="C11" s="177" t="inlineStr">
        <is>
          <t>壳甲卫兵</t>
        </is>
      </c>
      <c r="D11" s="177" t="inlineStr">
        <is>
          <t>周期展开镜面扇区，反射正面投射物</t>
        </is>
      </c>
      <c r="E11" s="177" t="inlineStr">
        <is>
          <t>成长后扇区扩大但保留可读空隙</t>
        </is>
      </c>
      <c r="F11" s="177" t="inlineStr">
        <is>
          <t>弹跳子弹/瞄具→定向反射与弱点窗口</t>
        </is>
      </c>
      <c r="G11" s="177" t="inlineStr">
        <is>
          <t>未投放；设计与行为雏形保留；完成独立内容和专项后再开放楼层</t>
        </is>
      </c>
      <c r="H11" s="178" t="inlineStr">
        <is>
          <t>同ID全局单例；预约后才可实例化</t>
        </is>
      </c>
      <c r="I11" s="177" t="inlineStr">
        <is>
          <t>反射弹种、弱点击破、镜面阶段</t>
        </is>
      </c>
      <c r="J11" s="177" t="inlineStr">
        <is>
          <t>反射配件/镜壳碎片</t>
        </is>
      </c>
      <c r="K11" s="179" t="inlineStr">
        <is>
          <t>[用户设计]</t>
        </is>
      </c>
      <c r="L11" s="181" t="inlineStr">
        <is>
          <t>[Codex补充]</t>
        </is>
      </c>
      <c r="M11" s="177" t="inlineStr">
        <is>
          <t>[行为雏形已实装/未投放]</t>
        </is>
      </c>
      <c r="N11" s="177" t="inlineStr">
        <is>
          <t>src/enemy3d/EliteContentCatalog.gd；src/enemy3d/EliteRosterService.gd；src/enemy3d/Enemy3D.gd</t>
        </is>
      </c>
      <c r="O11" s="177" t="inlineStr">
        <is>
          <t>稳定ID、档案字段和行为分支保留；当前deployment_status=design_only，无独立正式资产/血条/合法楼层，不进入随机池</t>
        </is>
      </c>
    </row>
    <row r="12" ht="58" customHeight="1" s="135">
      <c r="A12" s="177" t="inlineStr">
        <is>
          <t>elite_arms_taker</t>
        </is>
      </c>
      <c r="B12" s="177" t="inlineStr">
        <is>
          <t>夺械者“收租人”</t>
        </is>
      </c>
      <c r="C12" s="177" t="inlineStr">
        <is>
          <t>小菌猪/孢子射手混合</t>
        </is>
      </c>
      <c r="D12" s="177" t="inlineStr">
        <is>
          <t>遭遇中扫描玩家主枪并切换近战/远程阶段</t>
        </is>
      </c>
      <c r="E12" s="177" t="inlineStr">
        <is>
          <t>逃脱后永久保留一次完整枪身转译</t>
        </is>
      </c>
      <c r="F12" s="177" t="inlineStr">
        <is>
          <t>枪身→阶段主技能；配件→副技能</t>
        </is>
      </c>
      <c r="G12" s="177" t="inlineStr">
        <is>
          <t>未投放；设计与行为雏形保留；完成独立内容和专项后再开放楼层</t>
        </is>
      </c>
      <c r="H12" s="178" t="inlineStr">
        <is>
          <t>同ID全局单例；预约后才可实例化</t>
        </is>
      </c>
      <c r="I12" s="177" t="inlineStr">
        <is>
          <t>夺械清单、阶段偏好、玩家克制记录</t>
        </is>
      </c>
      <c r="J12" s="177" t="inlineStr">
        <is>
          <t>被夺枪械蓝图/高额悬赏</t>
        </is>
      </c>
      <c r="K12" s="179" t="inlineStr">
        <is>
          <t>[用户设计]</t>
        </is>
      </c>
      <c r="L12" s="181" t="inlineStr">
        <is>
          <t>[Codex补充]</t>
        </is>
      </c>
      <c r="M12" s="177" t="inlineStr">
        <is>
          <t>[行为雏形已实装/未投放]</t>
        </is>
      </c>
      <c r="N12" s="177" t="inlineStr">
        <is>
          <t>src/enemy3d/EliteContentCatalog.gd；src/enemy3d/EliteRosterService.gd；src/enemy3d/Enemy3D.gd</t>
        </is>
      </c>
      <c r="O12" s="177" t="inlineStr">
        <is>
          <t>稳定ID、档案字段和行为分支保留；当前deployment_status=design_only，无独立正式资产/血条/合法楼层，不进入随机池</t>
        </is>
      </c>
    </row>
    <row r="13" ht="58" customHeight="1" s="135">
      <c r="A13" s="177" t="inlineStr">
        <is>
          <t>elite_seven_signs</t>
        </is>
      </c>
      <c r="B13" s="177" t="inlineStr">
        <is>
          <t>命运残响“七签”</t>
        </is>
      </c>
      <c r="C13" s="177" t="inlineStr">
        <is>
          <t>孢子射手</t>
        </is>
      </c>
      <c r="D13" s="177" t="inlineStr">
        <is>
          <t>每七次攻击切换一条公开命运规则</t>
        </is>
      </c>
      <c r="E13" s="177" t="inlineStr">
        <is>
          <t>成长后规则组合从一条增至两条</t>
        </is>
      </c>
      <c r="F13" s="177" t="inlineStr">
        <is>
          <t>命运卡→受预算约束的敌方规则</t>
        </is>
      </c>
      <c r="G13" s="177" t="inlineStr">
        <is>
          <t>未投放；设计与行为雏形保留；完成独立内容和专项后再开放楼层</t>
        </is>
      </c>
      <c r="H13" s="178" t="inlineStr">
        <is>
          <t>同ID全局单例；预约后才可实例化</t>
        </is>
      </c>
      <c r="I13" s="177" t="inlineStr">
        <is>
          <t>已见规则、卡片残响、七签序列</t>
        </is>
      </c>
      <c r="J13" s="177" t="inlineStr">
        <is>
          <t>命运残片/稀有卡机会</t>
        </is>
      </c>
      <c r="K13" s="179" t="inlineStr">
        <is>
          <t>[用户设计]</t>
        </is>
      </c>
      <c r="L13" s="181" t="inlineStr">
        <is>
          <t>[Codex补充]</t>
        </is>
      </c>
      <c r="M13" s="177" t="inlineStr">
        <is>
          <t>[行为雏形已实装/未投放]</t>
        </is>
      </c>
      <c r="N13" s="177" t="inlineStr">
        <is>
          <t>src/enemy3d/EliteContentCatalog.gd；src/enemy3d/EliteRosterService.gd；src/enemy3d/Enemy3D.gd</t>
        </is>
      </c>
      <c r="O13" s="177" t="inlineStr">
        <is>
          <t>稳定ID、档案字段和行为分支保留；当前deployment_status=design_only，无独立正式资产/血条/合法楼层，不进入随机池</t>
        </is>
      </c>
    </row>
    <row r="14" ht="58" customHeight="1" s="135">
      <c r="A14" s="177" t="inlineStr">
        <is>
          <t>elite_echo_brood</t>
        </is>
      </c>
      <c r="B14" s="177" t="inlineStr">
        <is>
          <t>寄生母体“回声”</t>
        </is>
      </c>
      <c r="C14" s="177" t="inlineStr">
        <is>
          <t>蜂巢怪</t>
        </is>
      </c>
      <c r="D14" s="177" t="inlineStr">
        <is>
          <t>召唤物复制玩家最近使用的一个配件行为</t>
        </is>
      </c>
      <c r="E14" s="177" t="inlineStr">
        <is>
          <t>成长后可维持两种回声但降低单体强度</t>
        </is>
      </c>
      <c r="F14" s="177" t="inlineStr">
        <is>
          <t>配件→召唤物修饰模板</t>
        </is>
      </c>
      <c r="G14" s="177" t="inlineStr">
        <is>
          <t>未投放；设计与行为雏形保留；完成独立内容和专项后再开放楼层</t>
        </is>
      </c>
      <c r="H14" s="178" t="inlineStr">
        <is>
          <t>同ID全局单例；预约后才可实例化</t>
        </is>
      </c>
      <c r="I14" s="177" t="inlineStr">
        <is>
          <t>复制配件、召唤代次、母体伤势</t>
        </is>
      </c>
      <c r="J14" s="177" t="inlineStr">
        <is>
          <t>寄生样本/配件</t>
        </is>
      </c>
      <c r="K14" s="179" t="inlineStr">
        <is>
          <t>[用户设计]</t>
        </is>
      </c>
      <c r="L14" s="181" t="inlineStr">
        <is>
          <t>[Codex补充]</t>
        </is>
      </c>
      <c r="M14" s="177" t="inlineStr">
        <is>
          <t>[行为雏形已实装/未投放]</t>
        </is>
      </c>
      <c r="N14" s="177" t="inlineStr">
        <is>
          <t>src/enemy3d/EliteContentCatalog.gd；src/enemy3d/EliteRosterService.gd；src/enemy3d/Enemy3D.gd</t>
        </is>
      </c>
      <c r="O14" s="177" t="inlineStr">
        <is>
          <t>稳定ID、档案字段和行为分支保留；当前deployment_status=design_only，无独立正式资产/血条/合法楼层，不进入随机池</t>
        </is>
      </c>
    </row>
    <row r="15" ht="58" customHeight="1" s="135">
      <c r="A15" s="177" t="inlineStr">
        <is>
          <t>elite_returning_king</t>
        </is>
      </c>
      <c r="B15" s="177" t="inlineStr">
        <is>
          <t>逃亡王“折返者”</t>
        </is>
      </c>
      <c r="C15" s="177" t="inlineStr">
        <is>
          <t>地刺虫</t>
        </is>
      </c>
      <c r="D15" s="177" t="inlineStr">
        <is>
          <t>低生命触发一次公开撤退路线，阻止其离开可获额外奖励</t>
        </is>
      </c>
      <c r="E15" s="177" t="inlineStr">
        <is>
          <t>每次成功逃脱增加新折返段和伏击次数</t>
        </is>
      </c>
      <c r="F15" s="177" t="inlineStr">
        <is>
          <t>回旋/返航子弹→折返突袭技能</t>
        </is>
      </c>
      <c r="G15" s="177" t="inlineStr">
        <is>
          <t>未投放；设计与行为雏形保留；完成独立内容和专项后再开放楼层</t>
        </is>
      </c>
      <c r="H15" s="178" t="inlineStr">
        <is>
          <t>同ID全局单例；预约后才可实例化</t>
        </is>
      </c>
      <c r="I15" s="177" t="inlineStr">
        <is>
          <t>逃脱次数、追击失败、路线记忆</t>
        </is>
      </c>
      <c r="J15" s="177" t="inlineStr">
        <is>
          <t>逃亡悬赏/返航模块</t>
        </is>
      </c>
      <c r="K15" s="179" t="inlineStr">
        <is>
          <t>[用户设计]</t>
        </is>
      </c>
      <c r="L15" s="181" t="inlineStr">
        <is>
          <t>[Codex补充]</t>
        </is>
      </c>
      <c r="M15" s="177" t="inlineStr">
        <is>
          <t>[行为雏形已实装/未投放]</t>
        </is>
      </c>
      <c r="N15" s="177" t="inlineStr">
        <is>
          <t>src/enemy3d/EliteContentCatalog.gd；src/enemy3d/EliteRosterService.gd；src/enemy3d/Enemy3D.gd</t>
        </is>
      </c>
      <c r="O15" s="177" t="inlineStr">
        <is>
          <t>稳定ID、档案字段和行为分支保留；当前deployment_status=design_only，无独立正式资产/血条/合法楼层，不进入随机池</t>
        </is>
      </c>
    </row>
    <row r="16" ht="58" customHeight="1" s="135">
      <c r="A16" s="177" t="inlineStr">
        <is>
          <t>elite_nameless_crown</t>
        </is>
      </c>
      <c r="B16" s="177" t="inlineStr">
        <is>
          <t>准首领“无名王冠”</t>
        </is>
      </c>
      <c r="C16" s="177" t="inlineStr">
        <is>
          <t>Boss轻量模板</t>
        </is>
      </c>
      <c r="D16" s="177" t="inlineStr">
        <is>
          <t>根据玩家已遭遇精英数量轮换三种战术冠位</t>
        </is>
      </c>
      <c r="E16" s="177" t="inlineStr">
        <is>
          <t>成长受整个精英档案推进，接近区域Boss</t>
        </is>
      </c>
      <c r="F16" s="177" t="inlineStr">
        <is>
          <t>完整装配快照→三阶段技能组</t>
        </is>
      </c>
      <c r="G16" s="177" t="inlineStr">
        <is>
          <t>未投放；设计与行为雏形保留；完成独立内容和专项后再开放楼层</t>
        </is>
      </c>
      <c r="H16" s="178" t="inlineStr">
        <is>
          <t>同ID全局单例；预约后才可实例化</t>
        </is>
      </c>
      <c r="I16" s="177" t="inlineStr">
        <is>
          <t>冠位阶段、遭遇名册、夺取装配</t>
        </is>
      </c>
      <c r="J16" s="177" t="inlineStr">
        <is>
          <t>王冠核心/阶段级奖励</t>
        </is>
      </c>
      <c r="K16" s="179" t="inlineStr">
        <is>
          <t>[用户设计]</t>
        </is>
      </c>
      <c r="L16" s="181" t="inlineStr">
        <is>
          <t>[Codex补充]</t>
        </is>
      </c>
      <c r="M16" s="177" t="inlineStr">
        <is>
          <t>[行为雏形已实装/未投放]</t>
        </is>
      </c>
      <c r="N16" s="177" t="inlineStr">
        <is>
          <t>src/enemy3d/EliteContentCatalog.gd；src/enemy3d/EliteRosterService.gd；src/enemy3d/Enemy3D.gd</t>
        </is>
      </c>
      <c r="O16" s="177" t="inlineStr">
        <is>
          <t>稳定ID、档案字段和行为分支保留；当前deployment_status=design_only，无独立正式资产/血条/合法楼层，不进入随机池</t>
        </is>
      </c>
    </row>
  </sheetData>
  <mergeCells count="3">
    <mergeCell ref="A1:O1"/>
    <mergeCell ref="A3:O3"/>
    <mergeCell ref="A2:O2"/>
  </mergeCells>
  <dataValidations count="2">
    <dataValidation sqref="K5:K16" showDropDown="0" showInputMessage="0" showErrorMessage="0" allowBlank="0" type="list">
      <formula1>"[已实装],[用户设计],[Codex补充]"</formula1>
    </dataValidation>
    <dataValidation sqref="L5:L16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selection activeCell="A1" sqref="A1"/>
    </sheetView>
  </sheetViews>
  <sheetFormatPr baseColWidth="8" defaultRowHeight="15"/>
  <cols>
    <col width="28" customWidth="1" style="135" min="1" max="1"/>
    <col width="24" customWidth="1" style="135" min="2" max="2"/>
    <col width="14" customWidth="1" style="135" min="3" max="3"/>
    <col width="18" customWidth="1" style="135" min="4" max="4"/>
    <col width="12" customWidth="1" style="135" min="5" max="5"/>
    <col width="10" customWidth="1" style="135" min="6" max="6"/>
    <col width="10" customWidth="1" style="135" min="7" max="7"/>
    <col width="28" customWidth="1" style="135" min="8" max="8"/>
    <col width="48" customWidth="1" style="135" min="9" max="9"/>
    <col width="58" customWidth="1" style="135" min="10" max="10"/>
    <col width="12" customWidth="1" style="135" min="11" max="11"/>
    <col width="14" customWidth="1" style="135" min="12" max="12"/>
    <col width="30" customWidth="1" style="135" min="13" max="13"/>
    <col width="32" customWidth="1" style="135" min="14" max="14"/>
    <col width="40" customWidth="1" style="135" min="15" max="15"/>
    <col width="14" customWidth="1" style="135" min="16" max="16"/>
    <col width="14" customWidth="1" style="135" min="17" max="17"/>
    <col width="14" customWidth="1" style="135" min="18" max="18"/>
    <col width="14" customWidth="1" style="135" min="19" max="19"/>
    <col width="14" customWidth="1" style="135" min="20" max="20"/>
  </cols>
  <sheetData>
    <row r="1" ht="32" customHeight="1" s="135">
      <c r="A1" s="3" t="inlineStr">
        <is>
          <t>ShellStorm2 游戏内容数据库｜掉落物品</t>
        </is>
      </c>
    </row>
    <row r="2" ht="31.5" customHeight="1" s="135">
      <c r="A2" s="174" t="inlineStr">
        <is>
          <t>导入ItemRegistry当前44条正式记录与1条设计契约条目（Boss下行专用钥匙），共45条；大型电池、电芯包和三档手电模块均使用正式运行ID。价格0不自动代表免费，进度物不进入普通商店。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物品ID</t>
        </is>
      </c>
      <c r="B4" s="176" t="inlineStr">
        <is>
          <t>名称</t>
        </is>
      </c>
      <c r="C4" s="176" t="inlineStr">
        <is>
          <t>种类</t>
        </is>
      </c>
      <c r="D4" s="176" t="inlineStr">
        <is>
          <t>子类</t>
        </is>
      </c>
      <c r="E4" s="176" t="inlineStr">
        <is>
          <t>稀有度</t>
        </is>
      </c>
      <c r="F4" s="176" t="inlineStr">
        <is>
          <t>价格</t>
        </is>
      </c>
      <c r="G4" s="176" t="inlineStr">
        <is>
          <t>堆叠</t>
        </is>
      </c>
      <c r="H4" s="176" t="inlineStr">
        <is>
          <t>使用动作</t>
        </is>
      </c>
      <c r="I4" s="176" t="inlineStr">
        <is>
          <t>功能描述</t>
        </is>
      </c>
      <c r="J4" s="176" t="inlineStr">
        <is>
          <t>产出位置/权重</t>
        </is>
      </c>
      <c r="K4" s="176" t="inlineStr">
        <is>
          <t>商人Tier</t>
        </is>
      </c>
      <c r="L4" s="176" t="inlineStr">
        <is>
          <t>状态来源</t>
        </is>
      </c>
      <c r="M4" s="176" t="inlineStr">
        <is>
          <t>实现状态</t>
        </is>
      </c>
      <c r="N4" s="176" t="inlineStr">
        <is>
          <t>事实源</t>
        </is>
      </c>
      <c r="O4" s="176" t="inlineStr">
        <is>
          <t>备注</t>
        </is>
      </c>
      <c r="P4" s="134" t="inlineStr">
        <is>
          <t>基地购买价</t>
        </is>
      </c>
      <c r="Q4" s="134" t="inlineStr">
        <is>
          <t>基地出售价</t>
        </is>
      </c>
      <c r="R4" s="134" t="inlineStr">
        <is>
          <t>基地商店上架</t>
        </is>
      </c>
      <c r="S4" s="134" t="inlineStr">
        <is>
          <t>基地库存规则</t>
        </is>
      </c>
      <c r="T4" s="134" t="inlineStr">
        <is>
          <t>基地货架顺序</t>
        </is>
      </c>
    </row>
    <row r="5" ht="54" customHeight="1" s="135">
      <c r="A5" s="177" t="inlineStr">
        <is>
          <t>attach_big_mag</t>
        </is>
      </c>
      <c r="B5" s="177" t="inlineStr">
        <is>
          <t>肉质弹匣</t>
        </is>
      </c>
      <c r="C5" s="177" t="inlineStr">
        <is>
          <t>attachment</t>
        </is>
      </c>
      <c r="D5" s="177" t="inlineStr">
        <is>
          <t>magazine</t>
        </is>
      </c>
      <c r="E5" s="177" t="inlineStr">
        <is>
          <t>uncommon</t>
        </is>
      </c>
      <c r="F5" s="177" t="n">
        <v>80</v>
      </c>
      <c r="G5" s="177" t="n">
        <v>5</v>
      </c>
      <c r="H5" s="177" t="str"/>
      <c r="I5" s="177" t="str"/>
      <c r="J5" s="177" t="inlineStr">
        <is>
          <t>combat_floor_1×2.5；combat_floor_2×3；loot_abyss×2；loot_floor_3_4×2；loot_floor_5×2.5；scavenge_floor_3×2；scavenge_floor_4×2.5；scavenge_floor_5×2</t>
        </is>
      </c>
      <c r="K5" s="177" t="n">
        <v>1</v>
      </c>
      <c r="L5" s="180" t="inlineStr">
        <is>
          <t>[已实装]</t>
        </is>
      </c>
      <c r="M5" s="177" t="inlineStr">
        <is>
          <t>已注册；具体掉落概率按同池权重计算</t>
        </is>
      </c>
      <c r="N5" s="177" t="inlineStr">
        <is>
          <t>src/base/ItemRegistry.gd</t>
        </is>
      </c>
      <c r="O5" s="177" t="inlineStr">
        <is>
          <t>tags=attachment、magazine、heal</t>
        </is>
      </c>
      <c r="P5" s="162">
        <f>IF(F5&gt;0,F5,0)</f>
        <v/>
      </c>
      <c r="Q5" s="162">
        <f>IF(F5&gt;0,ROUND(F5*0.5,0),0)</f>
        <v/>
      </c>
      <c r="R5" s="145" t="b">
        <v>0</v>
      </c>
      <c r="S5" s="145" t="inlineStr">
        <is>
          <t>not_listed</t>
        </is>
      </c>
      <c r="T5" s="162" t="n">
        <v>0</v>
      </c>
    </row>
    <row r="6" ht="54" customHeight="1" s="135">
      <c r="A6" s="177" t="inlineStr">
        <is>
          <t>attach_copy_sticker</t>
        </is>
      </c>
      <c r="B6" s="177" t="inlineStr">
        <is>
          <t>复制贴纸</t>
        </is>
      </c>
      <c r="C6" s="177" t="inlineStr">
        <is>
          <t>attachment</t>
        </is>
      </c>
      <c r="D6" s="177" t="inlineStr">
        <is>
          <t>mutator</t>
        </is>
      </c>
      <c r="E6" s="177" t="inlineStr">
        <is>
          <t>epic</t>
        </is>
      </c>
      <c r="F6" s="177" t="n">
        <v>200</v>
      </c>
      <c r="G6" s="177" t="n">
        <v>3</v>
      </c>
      <c r="H6" s="177" t="str"/>
      <c r="I6" s="177" t="str"/>
      <c r="J6" s="177" t="inlineStr">
        <is>
          <t>boss_floor_1×3；boss_floor_2×4；combat_floor_3×1；combat_floor_4×1.5；combat_floor_5×2；loot_abyss×2；scavenge_floor_4×2；scavenge_floor_5×3</t>
        </is>
      </c>
      <c r="K6" s="177" t="n">
        <v>3</v>
      </c>
      <c r="L6" s="180" t="inlineStr">
        <is>
          <t>[已实装]</t>
        </is>
      </c>
      <c r="M6" s="177" t="inlineStr">
        <is>
          <t>已注册；具体掉落概率按同池权重计算</t>
        </is>
      </c>
      <c r="N6" s="177" t="inlineStr">
        <is>
          <t>src/base/ItemRegistry.gd</t>
        </is>
      </c>
      <c r="O6" s="177" t="inlineStr">
        <is>
          <t>tags=attachment、mutator、copy</t>
        </is>
      </c>
      <c r="P6" s="162">
        <f>IF(F6&gt;0,F6,0)</f>
        <v/>
      </c>
      <c r="Q6" s="162">
        <f>IF(F6&gt;0,ROUND(F6*0.5,0),0)</f>
        <v/>
      </c>
      <c r="R6" s="145" t="b">
        <v>0</v>
      </c>
      <c r="S6" s="145" t="inlineStr">
        <is>
          <t>not_listed</t>
        </is>
      </c>
      <c r="T6" s="162" t="n">
        <v>0</v>
      </c>
    </row>
    <row r="7" ht="54" customHeight="1" s="135">
      <c r="A7" s="177" t="inlineStr">
        <is>
          <t>attach_fan</t>
        </is>
      </c>
      <c r="B7" s="177" t="inlineStr">
        <is>
          <t>小风扇</t>
        </is>
      </c>
      <c r="C7" s="177" t="inlineStr">
        <is>
          <t>attachment</t>
        </is>
      </c>
      <c r="D7" s="177" t="inlineStr">
        <is>
          <t>external</t>
        </is>
      </c>
      <c r="E7" s="177" t="inlineStr">
        <is>
          <t>epic</t>
        </is>
      </c>
      <c r="F7" s="177" t="n">
        <v>150</v>
      </c>
      <c r="G7" s="177" t="n">
        <v>3</v>
      </c>
      <c r="H7" s="177" t="str"/>
      <c r="I7" s="177" t="str"/>
      <c r="J7" s="177" t="inlineStr">
        <is>
          <t>boss_floor_1×3；combat_floor_3×1.5；combat_floor_4×2；combat_floor_5×2.5；loot_abyss×2.5；loot_floor_5×2；scavenge_floor_4×2；scavenge_floor_5×2.5</t>
        </is>
      </c>
      <c r="K7" s="177" t="n">
        <v>3</v>
      </c>
      <c r="L7" s="180" t="inlineStr">
        <is>
          <t>[已实装]</t>
        </is>
      </c>
      <c r="M7" s="177" t="inlineStr">
        <is>
          <t>已注册；具体掉落概率按同池权重计算</t>
        </is>
      </c>
      <c r="N7" s="177" t="inlineStr">
        <is>
          <t>src/base/ItemRegistry.gd</t>
        </is>
      </c>
      <c r="O7" s="177" t="inlineStr">
        <is>
          <t>tags=attachment、external、pull</t>
        </is>
      </c>
      <c r="P7" s="162">
        <f>IF(F7&gt;0,F7,0)</f>
        <v/>
      </c>
      <c r="Q7" s="162">
        <f>IF(F7&gt;0,ROUND(F7*0.5,0),0)</f>
        <v/>
      </c>
      <c r="R7" s="145" t="b">
        <v>0</v>
      </c>
      <c r="S7" s="145" t="inlineStr">
        <is>
          <t>not_listed</t>
        </is>
      </c>
      <c r="T7" s="162" t="n">
        <v>0</v>
      </c>
    </row>
    <row r="8" ht="54" customHeight="1" s="135">
      <c r="A8" s="177" t="inlineStr">
        <is>
          <t>attach_rubber_stock</t>
        </is>
      </c>
      <c r="B8" s="177" t="inlineStr">
        <is>
          <t>橡皮枪托</t>
        </is>
      </c>
      <c r="C8" s="177" t="inlineStr">
        <is>
          <t>attachment</t>
        </is>
      </c>
      <c r="D8" s="177" t="inlineStr">
        <is>
          <t>stock</t>
        </is>
      </c>
      <c r="E8" s="177" t="inlineStr">
        <is>
          <t>common</t>
        </is>
      </c>
      <c r="F8" s="177" t="n">
        <v>45</v>
      </c>
      <c r="G8" s="177" t="n">
        <v>5</v>
      </c>
      <c r="H8" s="177" t="str"/>
      <c r="I8" s="177" t="str"/>
      <c r="J8" s="177" t="inlineStr">
        <is>
          <t>combat_floor_1×2.5；combat_floor_2×2；loot_abyss×1.5；loot_floor_1_2×3；loot_floor_3_4×2.5；loot_floor_5×2；scavenge_floor_1×3；scavenge_floor_2×2.5；scavenge_floor_3×2；scavenge_floor_4×1.5；spawn_starter×3</t>
        </is>
      </c>
      <c r="K8" s="177" t="n">
        <v>0</v>
      </c>
      <c r="L8" s="180" t="inlineStr">
        <is>
          <t>[已实装]</t>
        </is>
      </c>
      <c r="M8" s="177" t="inlineStr">
        <is>
          <t>已注册；具体掉落概率按同池权重计算</t>
        </is>
      </c>
      <c r="N8" s="177" t="inlineStr">
        <is>
          <t>src/base/ItemRegistry.gd</t>
        </is>
      </c>
      <c r="O8" s="177" t="inlineStr">
        <is>
          <t>tags=attachment、stock、bounce</t>
        </is>
      </c>
      <c r="P8" s="162">
        <f>IF(F8&gt;0,F8,0)</f>
        <v/>
      </c>
      <c r="Q8" s="162">
        <f>IF(F8&gt;0,ROUND(F8*0.5,0),0)</f>
        <v/>
      </c>
      <c r="R8" s="145" t="b">
        <v>0</v>
      </c>
      <c r="S8" s="145" t="inlineStr">
        <is>
          <t>not_listed</t>
        </is>
      </c>
      <c r="T8" s="162" t="n">
        <v>0</v>
      </c>
    </row>
    <row r="9" ht="54" customHeight="1" s="135">
      <c r="A9" s="177" t="inlineStr">
        <is>
          <t>attach_scope</t>
        </is>
      </c>
      <c r="B9" s="177" t="inlineStr">
        <is>
          <t>放大镜瞄具</t>
        </is>
      </c>
      <c r="C9" s="177" t="inlineStr">
        <is>
          <t>attachment</t>
        </is>
      </c>
      <c r="D9" s="177" t="inlineStr">
        <is>
          <t>scope</t>
        </is>
      </c>
      <c r="E9" s="177" t="inlineStr">
        <is>
          <t>rare</t>
        </is>
      </c>
      <c r="F9" s="177" t="n">
        <v>100</v>
      </c>
      <c r="G9" s="177" t="n">
        <v>5</v>
      </c>
      <c r="H9" s="177" t="str"/>
      <c r="I9" s="177" t="str"/>
      <c r="J9" s="177" t="inlineStr">
        <is>
          <t>combat_floor_2×1.5；combat_floor_3×2.5；loot_abyss×3；loot_floor_3_4×2；loot_floor_5×2.5；scavenge_floor_3×2；scavenge_floor_4×2.5；scavenge_floor_5×3</t>
        </is>
      </c>
      <c r="K9" s="177" t="n">
        <v>2</v>
      </c>
      <c r="L9" s="180" t="inlineStr">
        <is>
          <t>[已实装]</t>
        </is>
      </c>
      <c r="M9" s="177" t="inlineStr">
        <is>
          <t>已注册；具体掉落概率按同池权重计算</t>
        </is>
      </c>
      <c r="N9" s="177" t="inlineStr">
        <is>
          <t>src/base/ItemRegistry.gd</t>
        </is>
      </c>
      <c r="O9" s="177" t="inlineStr">
        <is>
          <t>tags=attachment、scope、crit</t>
        </is>
      </c>
      <c r="P9" s="162">
        <f>IF(F9&gt;0,F9,0)</f>
        <v/>
      </c>
      <c r="Q9" s="162">
        <f>IF(F9&gt;0,ROUND(F9*0.5,0),0)</f>
        <v/>
      </c>
      <c r="R9" s="145" t="b">
        <v>0</v>
      </c>
      <c r="S9" s="145" t="inlineStr">
        <is>
          <t>not_listed</t>
        </is>
      </c>
      <c r="T9" s="162" t="n">
        <v>0</v>
      </c>
    </row>
    <row r="10" ht="54" customHeight="1" s="135">
      <c r="A10" s="177" t="inlineStr">
        <is>
          <t>attach_triple_muzzle</t>
        </is>
      </c>
      <c r="B10" s="177" t="inlineStr">
        <is>
          <t>三叉枪口</t>
        </is>
      </c>
      <c r="C10" s="177" t="inlineStr">
        <is>
          <t>attachment</t>
        </is>
      </c>
      <c r="D10" s="177" t="inlineStr">
        <is>
          <t>muzzle</t>
        </is>
      </c>
      <c r="E10" s="177" t="inlineStr">
        <is>
          <t>uncommon</t>
        </is>
      </c>
      <c r="F10" s="177" t="n">
        <v>70</v>
      </c>
      <c r="G10" s="177" t="n">
        <v>5</v>
      </c>
      <c r="H10" s="177" t="str"/>
      <c r="I10" s="177" t="str"/>
      <c r="J10" s="177" t="inlineStr">
        <is>
          <t>combat_floor_1×2；combat_floor_2×1.5；loot_abyss×1；loot_floor_1_2×2.5；loot_floor_3_4×2；loot_floor_5×1.5；scavenge_floor_1×2.5；scavenge_floor_2×2；scavenge_floor_3×1.5；scavenge_floor_4×1；spawn_starter×2.5</t>
        </is>
      </c>
      <c r="K10" s="177" t="n">
        <v>1</v>
      </c>
      <c r="L10" s="180" t="inlineStr">
        <is>
          <t>[已实装]</t>
        </is>
      </c>
      <c r="M10" s="177" t="inlineStr">
        <is>
          <t>已注册；具体掉落概率按同池权重计算</t>
        </is>
      </c>
      <c r="N10" s="177" t="inlineStr">
        <is>
          <t>src/base/ItemRegistry.gd</t>
        </is>
      </c>
      <c r="O10" s="177" t="inlineStr">
        <is>
          <t>tags=attachment、muzzle、multi_shot</t>
        </is>
      </c>
      <c r="P10" s="162">
        <f>IF(F10&gt;0,F10,0)</f>
        <v/>
      </c>
      <c r="Q10" s="162">
        <f>IF(F10&gt;0,ROUND(F10*0.5,0),0)</f>
        <v/>
      </c>
      <c r="R10" s="145" t="b">
        <v>0</v>
      </c>
      <c r="S10" s="145" t="inlineStr">
        <is>
          <t>not_listed</t>
        </is>
      </c>
      <c r="T10" s="162" t="n">
        <v>0</v>
      </c>
    </row>
    <row r="11" ht="54" customHeight="1" s="135">
      <c r="A11" s="177" t="inlineStr">
        <is>
          <t>bp_charge</t>
        </is>
      </c>
      <c r="B11" s="177" t="inlineStr">
        <is>
          <t>蓄力萝卜炮蓝图碎片</t>
        </is>
      </c>
      <c r="C11" s="177" t="inlineStr">
        <is>
          <t>blueprint</t>
        </is>
      </c>
      <c r="D11" s="177" t="inlineStr">
        <is>
          <t>gun_body</t>
        </is>
      </c>
      <c r="E11" s="177" t="inlineStr">
        <is>
          <t>epic</t>
        </is>
      </c>
      <c r="F11" s="177" t="n">
        <v>200</v>
      </c>
      <c r="G11" s="177" t="n">
        <v>99</v>
      </c>
      <c r="H11" s="177" t="inlineStr">
        <is>
          <t>unlock_blueprint</t>
        </is>
      </c>
      <c r="I11" s="177" t="inlineStr">
        <is>
          <t>使用后解锁蓄力萝卜炮蓝图，并获得 80 资源点</t>
        </is>
      </c>
      <c r="J11" s="177" t="inlineStr">
        <is>
          <t>boss_floor_2×4；combat_floor_4×0.5；combat_floor_5×1；loot_abyss×2；scavenge_floor_5×0.5</t>
        </is>
      </c>
      <c r="K11" s="177" t="n">
        <v>3</v>
      </c>
      <c r="L11" s="180" t="inlineStr">
        <is>
          <t>[已实装]</t>
        </is>
      </c>
      <c r="M11" s="177" t="inlineStr">
        <is>
          <t>已注册；具体掉落概率按同池权重计算</t>
        </is>
      </c>
      <c r="N11" s="177" t="inlineStr">
        <is>
          <t>src/base/ItemRegistry.gd</t>
        </is>
      </c>
      <c r="O11" s="177" t="inlineStr">
        <is>
          <t>tags=blueprint、gun_body、charge</t>
        </is>
      </c>
      <c r="P11" s="162">
        <f>IF(F11&gt;0,F11,0)</f>
        <v/>
      </c>
      <c r="Q11" s="162">
        <f>IF(F11&gt;0,ROUND(F11*0.5,0),0)</f>
        <v/>
      </c>
      <c r="R11" s="145" t="b">
        <v>0</v>
      </c>
      <c r="S11" s="145" t="inlineStr">
        <is>
          <t>not_listed</t>
        </is>
      </c>
      <c r="T11" s="162" t="n">
        <v>0</v>
      </c>
    </row>
    <row r="12" ht="54" customHeight="1" s="135">
      <c r="A12" s="177" t="inlineStr">
        <is>
          <t>bp_launcher</t>
        </is>
      </c>
      <c r="B12" s="177" t="inlineStr">
        <is>
          <t>反胃榴弹筒蓝图碎片</t>
        </is>
      </c>
      <c r="C12" s="177" t="inlineStr">
        <is>
          <t>blueprint</t>
        </is>
      </c>
      <c r="D12" s="177" t="inlineStr">
        <is>
          <t>gun_body</t>
        </is>
      </c>
      <c r="E12" s="177" t="inlineStr">
        <is>
          <t>rare</t>
        </is>
      </c>
      <c r="F12" s="177" t="n">
        <v>130</v>
      </c>
      <c r="G12" s="177" t="n">
        <v>99</v>
      </c>
      <c r="H12" s="177" t="inlineStr">
        <is>
          <t>unlock_blueprint</t>
        </is>
      </c>
      <c r="I12" s="177" t="inlineStr">
        <is>
          <t>使用后解锁反胃榴弹筒蓝图，并获得 55 资源点</t>
        </is>
      </c>
      <c r="J12" s="177" t="inlineStr">
        <is>
          <t>boss_floor_1×3；boss_floor_2×4；combat_floor_3×0.5；combat_floor_4×0.3；loot_abyss×2.5；scavenge_floor_5×1</t>
        </is>
      </c>
      <c r="K12" s="177" t="n">
        <v>2</v>
      </c>
      <c r="L12" s="180" t="inlineStr">
        <is>
          <t>[已实装]</t>
        </is>
      </c>
      <c r="M12" s="177" t="inlineStr">
        <is>
          <t>已注册；具体掉落概率按同池权重计算</t>
        </is>
      </c>
      <c r="N12" s="177" t="inlineStr">
        <is>
          <t>src/base/ItemRegistry.gd</t>
        </is>
      </c>
      <c r="O12" s="177" t="inlineStr">
        <is>
          <t>tags=blueprint、gun_body、launcher</t>
        </is>
      </c>
      <c r="P12" s="162">
        <f>IF(F12&gt;0,F12,0)</f>
        <v/>
      </c>
      <c r="Q12" s="162">
        <f>IF(F12&gt;0,ROUND(F12*0.5,0),0)</f>
        <v/>
      </c>
      <c r="R12" s="145" t="b">
        <v>0</v>
      </c>
      <c r="S12" s="145" t="inlineStr">
        <is>
          <t>not_listed</t>
        </is>
      </c>
      <c r="T12" s="162" t="n">
        <v>0</v>
      </c>
    </row>
    <row r="13" ht="54" customHeight="1" s="135">
      <c r="A13" s="177" t="inlineStr">
        <is>
          <t>bp_machinegun</t>
        </is>
      </c>
      <c r="B13" s="177" t="inlineStr">
        <is>
          <t>蜂窝机枪蓝图碎片</t>
        </is>
      </c>
      <c r="C13" s="177" t="inlineStr">
        <is>
          <t>blueprint</t>
        </is>
      </c>
      <c r="D13" s="177" t="inlineStr">
        <is>
          <t>gun_body</t>
        </is>
      </c>
      <c r="E13" s="177" t="inlineStr">
        <is>
          <t>uncommon</t>
        </is>
      </c>
      <c r="F13" s="177" t="n">
        <v>90</v>
      </c>
      <c r="G13" s="177" t="n">
        <v>99</v>
      </c>
      <c r="H13" s="177" t="inlineStr">
        <is>
          <t>unlock_blueprint</t>
        </is>
      </c>
      <c r="I13" s="177" t="inlineStr">
        <is>
          <t>使用后解锁蜂窝机枪蓝图，并获得 40 资源点</t>
        </is>
      </c>
      <c r="J13" s="177" t="inlineStr">
        <is>
          <t>combat_floor_1×0.8；combat_floor_2×0.5；loot_abyss×2.5；loot_floor_3_4×1.5；loot_floor_5×2；scavenge_floor_3×1.5；scavenge_floor_4×2；scavenge_floor_5×2.5</t>
        </is>
      </c>
      <c r="K13" s="177" t="n">
        <v>1</v>
      </c>
      <c r="L13" s="180" t="inlineStr">
        <is>
          <t>[已实装]</t>
        </is>
      </c>
      <c r="M13" s="177" t="inlineStr">
        <is>
          <t>已注册；具体掉落概率按同池权重计算</t>
        </is>
      </c>
      <c r="N13" s="177" t="inlineStr">
        <is>
          <t>src/base/ItemRegistry.gd</t>
        </is>
      </c>
      <c r="O13" s="177" t="inlineStr">
        <is>
          <t>tags=blueprint、gun_body、auto</t>
        </is>
      </c>
      <c r="P13" s="162">
        <f>IF(F13&gt;0,F13,0)</f>
        <v/>
      </c>
      <c r="Q13" s="162">
        <f>IF(F13&gt;0,ROUND(F13*0.5,0),0)</f>
        <v/>
      </c>
      <c r="R13" s="145" t="b">
        <v>0</v>
      </c>
      <c r="S13" s="145" t="inlineStr">
        <is>
          <t>not_listed</t>
        </is>
      </c>
      <c r="T13" s="162" t="n">
        <v>0</v>
      </c>
    </row>
    <row r="14" ht="54" customHeight="1" s="135">
      <c r="A14" s="177" t="inlineStr">
        <is>
          <t>bp_pistol</t>
        </is>
      </c>
      <c r="B14" s="177" t="inlineStr">
        <is>
          <t>豌豆手枪蓝图碎片</t>
        </is>
      </c>
      <c r="C14" s="177" t="inlineStr">
        <is>
          <t>blueprint</t>
        </is>
      </c>
      <c r="D14" s="177" t="inlineStr">
        <is>
          <t>gun_body</t>
        </is>
      </c>
      <c r="E14" s="177" t="inlineStr">
        <is>
          <t>common</t>
        </is>
      </c>
      <c r="F14" s="177" t="n">
        <v>50</v>
      </c>
      <c r="G14" s="177" t="n">
        <v>99</v>
      </c>
      <c r="H14" s="177" t="inlineStr">
        <is>
          <t>unlock_blueprint</t>
        </is>
      </c>
      <c r="I14" s="177" t="inlineStr">
        <is>
          <t>使用后解锁豌豆手枪蓝图，并获得 20 资源点</t>
        </is>
      </c>
      <c r="J14" s="177" t="inlineStr">
        <is>
          <t>combat_floor_1×1.5；combat_floor_2×1；loot_abyss×1.5；loot_common×1；loot_floor_1_2×3；loot_floor_3_4×2.5；loot_floor_5×2；scavenge_floor_1×2.5；scavenge_floor_2×1.8；spawn_starter×4</t>
        </is>
      </c>
      <c r="K14" s="177" t="n">
        <v>0</v>
      </c>
      <c r="L14" s="180" t="inlineStr">
        <is>
          <t>[已实装]</t>
        </is>
      </c>
      <c r="M14" s="177" t="inlineStr">
        <is>
          <t>已注册；具体掉落概率按同池权重计算</t>
        </is>
      </c>
      <c r="N14" s="177" t="inlineStr">
        <is>
          <t>src/base/ItemRegistry.gd</t>
        </is>
      </c>
      <c r="O14" s="177" t="inlineStr">
        <is>
          <t>tags=blueprint、gun_body</t>
        </is>
      </c>
      <c r="P14" s="162">
        <f>IF(F14&gt;0,F14,0)</f>
        <v/>
      </c>
      <c r="Q14" s="162">
        <f>IF(F14&gt;0,ROUND(F14*0.5,0),0)</f>
        <v/>
      </c>
      <c r="R14" s="145" t="b">
        <v>0</v>
      </c>
      <c r="S14" s="145" t="inlineStr">
        <is>
          <t>not_listed</t>
        </is>
      </c>
      <c r="T14" s="162" t="n">
        <v>0</v>
      </c>
    </row>
    <row r="15" ht="54" customHeight="1" s="135">
      <c r="A15" s="177" t="inlineStr">
        <is>
          <t>bp_rifle</t>
        </is>
      </c>
      <c r="B15" s="177" t="inlineStr">
        <is>
          <t>步枪蓝图碎片</t>
        </is>
      </c>
      <c r="C15" s="177" t="inlineStr">
        <is>
          <t>blueprint</t>
        </is>
      </c>
      <c r="D15" s="177" t="inlineStr">
        <is>
          <t>gun_body</t>
        </is>
      </c>
      <c r="E15" s="177" t="inlineStr">
        <is>
          <t>uncommon</t>
        </is>
      </c>
      <c r="F15" s="177" t="n">
        <v>80</v>
      </c>
      <c r="G15" s="177" t="n">
        <v>99</v>
      </c>
      <c r="H15" s="177" t="inlineStr">
        <is>
          <t>unlock_blueprint</t>
        </is>
      </c>
      <c r="I15" s="177" t="inlineStr">
        <is>
          <t>使用后解锁步枪蓝图，并获得 35 资源点</t>
        </is>
      </c>
      <c r="J15" s="177" t="inlineStr">
        <is>
          <t>boss_floor_1×3；combat_floor_1×1.5；combat_floor_2×1；combat_floor_3×0.8；loot_abyss×3；loot_common×1；loot_floor_3_4×2；loot_floor_5×2.5；scavenge_floor_3×1.5；scavenge_floor_4×2；spawn_starter×2</t>
        </is>
      </c>
      <c r="K15" s="177" t="n">
        <v>1</v>
      </c>
      <c r="L15" s="180" t="inlineStr">
        <is>
          <t>[已实装]</t>
        </is>
      </c>
      <c r="M15" s="177" t="inlineStr">
        <is>
          <t>已注册；具体掉落概率按同池权重计算</t>
        </is>
      </c>
      <c r="N15" s="177" t="inlineStr">
        <is>
          <t>src/base/ItemRegistry.gd</t>
        </is>
      </c>
      <c r="O15" s="177" t="inlineStr">
        <is>
          <t>tags=blueprint、gun_body、rifle</t>
        </is>
      </c>
      <c r="P15" s="162">
        <f>IF(F15&gt;0,F15,0)</f>
        <v/>
      </c>
      <c r="Q15" s="162">
        <f>IF(F15&gt;0,ROUND(F15*0.5,0),0)</f>
        <v/>
      </c>
      <c r="R15" s="145" t="b">
        <v>0</v>
      </c>
      <c r="S15" s="145" t="inlineStr">
        <is>
          <t>not_listed</t>
        </is>
      </c>
      <c r="T15" s="162" t="n">
        <v>0</v>
      </c>
    </row>
    <row r="16" ht="54" customHeight="1" s="135">
      <c r="A16" s="177" t="inlineStr">
        <is>
          <t>bp_shotgun</t>
        </is>
      </c>
      <c r="B16" s="177" t="inlineStr">
        <is>
          <t>散射喷壶蓝图碎片</t>
        </is>
      </c>
      <c r="C16" s="177" t="inlineStr">
        <is>
          <t>blueprint</t>
        </is>
      </c>
      <c r="D16" s="177" t="inlineStr">
        <is>
          <t>gun_body</t>
        </is>
      </c>
      <c r="E16" s="177" t="inlineStr">
        <is>
          <t>common</t>
        </is>
      </c>
      <c r="F16" s="177" t="n">
        <v>60</v>
      </c>
      <c r="G16" s="177" t="n">
        <v>99</v>
      </c>
      <c r="H16" s="177" t="inlineStr">
        <is>
          <t>unlock_blueprint</t>
        </is>
      </c>
      <c r="I16" s="177" t="inlineStr">
        <is>
          <t>使用后解锁散射喷壶蓝图，并获得 25 资源点</t>
        </is>
      </c>
      <c r="J16" s="177" t="inlineStr">
        <is>
          <t>combat_floor_1×1；combat_floor_2×0.5；loot_abyss×1；loot_common×1；loot_floor_1_2×2.5；loot_floor_3_4×2；loot_floor_5×1.5；scavenge_floor_1×2；scavenge_floor_2×1.5；spawn_starter×3.5</t>
        </is>
      </c>
      <c r="K16" s="177" t="n">
        <v>0</v>
      </c>
      <c r="L16" s="180" t="inlineStr">
        <is>
          <t>[已实装]</t>
        </is>
      </c>
      <c r="M16" s="177" t="inlineStr">
        <is>
          <t>已注册；具体掉落概率按同池权重计算</t>
        </is>
      </c>
      <c r="N16" s="177" t="inlineStr">
        <is>
          <t>src/base/ItemRegistry.gd</t>
        </is>
      </c>
      <c r="O16" s="177" t="inlineStr">
        <is>
          <t>tags=blueprint、gun_body、shotgun</t>
        </is>
      </c>
      <c r="P16" s="162">
        <f>IF(F16&gt;0,F16,0)</f>
        <v/>
      </c>
      <c r="Q16" s="162">
        <f>IF(F16&gt;0,ROUND(F16*0.5,0),0)</f>
        <v/>
      </c>
      <c r="R16" s="145" t="b">
        <v>0</v>
      </c>
      <c r="S16" s="145" t="inlineStr">
        <is>
          <t>not_listed</t>
        </is>
      </c>
      <c r="T16" s="162" t="n">
        <v>0</v>
      </c>
    </row>
    <row r="17" ht="54" customHeight="1" s="135">
      <c r="A17" s="177" t="inlineStr">
        <is>
          <t>bp_sniper</t>
        </is>
      </c>
      <c r="B17" s="177" t="inlineStr">
        <is>
          <t>弹弓狙击蓝图碎片</t>
        </is>
      </c>
      <c r="C17" s="177" t="inlineStr">
        <is>
          <t>blueprint</t>
        </is>
      </c>
      <c r="D17" s="177" t="inlineStr">
        <is>
          <t>gun_body</t>
        </is>
      </c>
      <c r="E17" s="177" t="inlineStr">
        <is>
          <t>rare</t>
        </is>
      </c>
      <c r="F17" s="177" t="n">
        <v>120</v>
      </c>
      <c r="G17" s="177" t="n">
        <v>99</v>
      </c>
      <c r="H17" s="177" t="inlineStr">
        <is>
          <t>unlock_blueprint</t>
        </is>
      </c>
      <c r="I17" s="177" t="inlineStr">
        <is>
          <t>使用后解锁弹弓狙击蓝图，并获得 50 资源点</t>
        </is>
      </c>
      <c r="J17" s="177" t="inlineStr">
        <is>
          <t>boss_floor_1×4；boss_floor_2×5；combat_floor_3×1.5；combat_floor_4×2；combat_floor_5×2.5；loot_abyss×3；loot_common×0.5；loot_floor_5×2；scavenge_floor_5×1.5；spawn_starter×1</t>
        </is>
      </c>
      <c r="K17" s="177" t="n">
        <v>2</v>
      </c>
      <c r="L17" s="180" t="inlineStr">
        <is>
          <t>[已实装]</t>
        </is>
      </c>
      <c r="M17" s="177" t="inlineStr">
        <is>
          <t>已注册；具体掉落概率按同池权重计算</t>
        </is>
      </c>
      <c r="N17" s="177" t="inlineStr">
        <is>
          <t>src/base/ItemRegistry.gd</t>
        </is>
      </c>
      <c r="O17" s="177" t="inlineStr">
        <is>
          <t>tags=blueprint、gun_body、sniper</t>
        </is>
      </c>
      <c r="P17" s="162">
        <f>IF(F17&gt;0,F17,0)</f>
        <v/>
      </c>
      <c r="Q17" s="162">
        <f>IF(F17&gt;0,ROUND(F17*0.5,0),0)</f>
        <v/>
      </c>
      <c r="R17" s="145" t="b">
        <v>0</v>
      </c>
      <c r="S17" s="145" t="inlineStr">
        <is>
          <t>not_listed</t>
        </is>
      </c>
      <c r="T17" s="162" t="n">
        <v>0</v>
      </c>
    </row>
    <row r="18" ht="54" customHeight="1" s="135">
      <c r="A18" s="177" t="inlineStr">
        <is>
          <t>item_ammo_pack</t>
        </is>
      </c>
      <c r="B18" s="177" t="inlineStr">
        <is>
          <t>通用弹药</t>
        </is>
      </c>
      <c r="C18" s="177" t="inlineStr">
        <is>
          <t>consumable</t>
        </is>
      </c>
      <c r="D18" s="177" t="str"/>
      <c r="E18" s="177" t="inlineStr">
        <is>
          <t>common</t>
        </is>
      </c>
      <c r="F18" s="177" t="n">
        <v>30</v>
      </c>
      <c r="G18" s="177" t="n">
        <v>999</v>
      </c>
      <c r="H18" s="177" t="inlineStr">
        <is>
          <t>refill_ammo</t>
        </is>
      </c>
      <c r="I18" s="177" t="inlineStr">
        <is>
          <t>额外弹药补给</t>
        </is>
      </c>
      <c r="J18" s="177" t="inlineStr">
        <is>
          <t>combat_floor_1×2；combat_floor_2×2.5；combat_floor_3×2；combat_floor_4×2.5；combat_floor_5×2；loot_common×1.5；loot_floor_1_2×2.5；spawn_starter×2</t>
        </is>
      </c>
      <c r="K18" s="177" t="str"/>
      <c r="L18" s="180" t="inlineStr">
        <is>
          <t>[已实装]</t>
        </is>
      </c>
      <c r="M18" s="177" t="inlineStr">
        <is>
          <t>已注册；具体掉落概率按同池权重计算</t>
        </is>
      </c>
      <c r="N18" s="177" t="inlineStr">
        <is>
          <t>src/base/ItemRegistry.gd</t>
        </is>
      </c>
      <c r="O18" s="177" t="inlineStr">
        <is>
          <t>tags=consumable、ammo</t>
        </is>
      </c>
      <c r="P18" s="162">
        <f>IF(F18&gt;0,F18,0)</f>
        <v/>
      </c>
      <c r="Q18" s="162">
        <f>IF(F18&gt;0,ROUND(F18*0.5,0),0)</f>
        <v/>
      </c>
      <c r="R18" s="145" t="b">
        <v>0</v>
      </c>
      <c r="S18" s="145" t="inlineStr">
        <is>
          <t>not_listed</t>
        </is>
      </c>
      <c r="T18" s="162" t="n">
        <v>0</v>
      </c>
    </row>
    <row r="19" ht="54" customHeight="1" s="135">
      <c r="A19" s="177" t="inlineStr">
        <is>
          <t>item_beacon</t>
        </is>
      </c>
      <c r="B19" s="177" t="inlineStr">
        <is>
          <t>撤离信标</t>
        </is>
      </c>
      <c r="C19" s="177" t="inlineStr">
        <is>
          <t>consumable</t>
        </is>
      </c>
      <c r="D19" s="177" t="str"/>
      <c r="E19" s="177" t="inlineStr">
        <is>
          <t>rare</t>
        </is>
      </c>
      <c r="F19" s="177" t="n">
        <v>150</v>
      </c>
      <c r="G19" s="177" t="n">
        <v>3</v>
      </c>
      <c r="H19" s="177" t="inlineStr">
        <is>
          <t>summon_beacon_extraction</t>
        </is>
      </c>
      <c r="I19" s="177" t="inlineStr">
        <is>
          <t>消耗此道具召唤紧急撤离点。读条期间会刷出追击怪物。</t>
        </is>
      </c>
      <c r="J19" s="177" t="inlineStr">
        <is>
          <t>boss_floor_1×3；boss_floor_2×4；combat_floor_4×0.8；combat_floor_5×1.2；elite_floor_1×1.5；elite_floor_2×1.5；loot_abyss×2.5；loot_floor_1_2×1；loot_floor_3_4×1.5；loot_floor_5×2；scavenge_floor_1×0.8；scavenge_floor_2×1；scavenge_floor_3×1.2；scavenge_floor_4×1.5；scavenge_floor_5×1.8</t>
        </is>
      </c>
      <c r="K19" s="177" t="n">
        <v>2</v>
      </c>
      <c r="L19" s="180" t="inlineStr">
        <is>
          <t>[已实装]</t>
        </is>
      </c>
      <c r="M19" s="177" t="inlineStr">
        <is>
          <t>已注册；具体掉落概率按同池权重计算</t>
        </is>
      </c>
      <c r="N19" s="177" t="inlineStr">
        <is>
          <t>src/base/ItemRegistry.gd</t>
        </is>
      </c>
      <c r="O19" s="177" t="inlineStr">
        <is>
          <t>tags=extraction、consumable、beacon</t>
        </is>
      </c>
      <c r="P19" s="162">
        <f>IF(F19&gt;0,F19,0)</f>
        <v/>
      </c>
      <c r="Q19" s="162">
        <f>IF(F19&gt;0,ROUND(F19*0.5,0),0)</f>
        <v/>
      </c>
      <c r="R19" s="145" t="b">
        <v>0</v>
      </c>
      <c r="S19" s="145" t="inlineStr">
        <is>
          <t>not_listed</t>
        </is>
      </c>
      <c r="T19" s="162" t="n">
        <v>0</v>
      </c>
    </row>
    <row r="20" ht="54" customHeight="1" s="135">
      <c r="A20" s="177" t="inlineStr">
        <is>
          <t>item_health_potion</t>
        </is>
      </c>
      <c r="B20" s="177" t="inlineStr">
        <is>
          <t>治疗药水</t>
        </is>
      </c>
      <c r="C20" s="177" t="inlineStr">
        <is>
          <t>consumable</t>
        </is>
      </c>
      <c r="D20" s="177" t="str"/>
      <c r="E20" s="177" t="inlineStr">
        <is>
          <t>common</t>
        </is>
      </c>
      <c r="F20" s="177" t="n">
        <v>40</v>
      </c>
      <c r="G20" s="177" t="n">
        <v>5</v>
      </c>
      <c r="H20" s="177" t="inlineStr">
        <is>
          <t>heal</t>
        </is>
      </c>
      <c r="I20" s="177" t="inlineStr">
        <is>
          <t>恢复 30 点生命值</t>
        </is>
      </c>
      <c r="J20" s="177" t="inlineStr">
        <is>
          <t>combat_floor_1×1.5；combat_floor_2×2；combat_floor_3×1；loot_common×2；loot_floor_1_2×2；loot_floor_3_4×1.5；spawn_starter×2</t>
        </is>
      </c>
      <c r="K20" s="177" t="str"/>
      <c r="L20" s="180" t="inlineStr">
        <is>
          <t>[已实装]</t>
        </is>
      </c>
      <c r="M20" s="177" t="inlineStr">
        <is>
          <t>已注册；具体掉落概率按同池权重计算</t>
        </is>
      </c>
      <c r="N20" s="177" t="inlineStr">
        <is>
          <t>src/base/ItemRegistry.gd</t>
        </is>
      </c>
      <c r="O20" s="177" t="inlineStr">
        <is>
          <t>tags=consumable、healing</t>
        </is>
      </c>
      <c r="P20" s="163" t="n">
        <v>40</v>
      </c>
      <c r="Q20" s="163" t="n">
        <v>20</v>
      </c>
      <c r="R20" s="151" t="n">
        <v>1</v>
      </c>
      <c r="S20" s="151" t="inlineStr">
        <is>
          <t>unlimited</t>
        </is>
      </c>
      <c r="T20" s="163" t="n">
        <v>6</v>
      </c>
    </row>
    <row r="21" ht="54" customHeight="1" s="135">
      <c r="A21" s="177" t="inlineStr">
        <is>
          <t>item_room_key</t>
        </is>
      </c>
      <c r="B21" s="177" t="inlineStr">
        <is>
          <t>房间钥匙</t>
        </is>
      </c>
      <c r="C21" s="177" t="inlineStr">
        <is>
          <t>key</t>
        </is>
      </c>
      <c r="D21" s="177" t="str"/>
      <c r="E21" s="177" t="inlineStr">
        <is>
          <t>common</t>
        </is>
      </c>
      <c r="F21" s="177" t="n">
        <v>40</v>
      </c>
      <c r="G21" s="177" t="n">
        <v>9</v>
      </c>
      <c r="H21" s="177" t="str"/>
      <c r="I21" s="177" t="inlineStr">
        <is>
          <t>普通房间钥匙；不进入基地购买货架，可按单把20魂出售。Boss与任务钥匙不使用此价格。</t>
        </is>
      </c>
      <c r="J21" s="177" t="inlineStr">
        <is>
          <t>combat_floor_1×1.2；elite_floor_1×1；elite_floor_2×1；loot_common×1；loot_floor_1_2×1.8；scavenge_floor_1×2.4；scavenge_floor_2×2</t>
        </is>
      </c>
      <c r="K21" s="177" t="str"/>
      <c r="L21" s="180" t="inlineStr">
        <is>
          <t>[已实装]</t>
        </is>
      </c>
      <c r="M21" s="177" t="inlineStr">
        <is>
          <t>已注册；具体掉落概率按同池权重计算</t>
        </is>
      </c>
      <c r="N21" s="177" t="inlineStr">
        <is>
          <t>src/base/ItemRegistry.gd</t>
        </is>
      </c>
      <c r="O21" s="177" t="inlineStr">
        <is>
          <t>tags=key、progression</t>
        </is>
      </c>
      <c r="P21" s="162" t="n">
        <v>40</v>
      </c>
      <c r="Q21" s="162" t="n">
        <v>20</v>
      </c>
      <c r="R21" s="145" t="b">
        <v>0</v>
      </c>
      <c r="S21" s="145" t="inlineStr">
        <is>
          <t>not_listed</t>
        </is>
      </c>
      <c r="T21" s="162" t="n">
        <v>0</v>
      </c>
    </row>
    <row r="22" ht="54" customHeight="1" s="135">
      <c r="A22" s="177" t="inlineStr">
        <is>
          <t>mod_bullet_balloon</t>
        </is>
      </c>
      <c r="B22" s="177" t="inlineStr">
        <is>
          <t>气球弹模块</t>
        </is>
      </c>
      <c r="C22" s="177" t="inlineStr">
        <is>
          <t>module</t>
        </is>
      </c>
      <c r="D22" s="177" t="inlineStr">
        <is>
          <t>bullet</t>
        </is>
      </c>
      <c r="E22" s="177" t="inlineStr">
        <is>
          <t>rare</t>
        </is>
      </c>
      <c r="F22" s="177" t="n">
        <v>90</v>
      </c>
      <c r="G22" s="177" t="n">
        <v>10</v>
      </c>
      <c r="H22" s="177" t="str"/>
      <c r="I22" s="177" t="str"/>
      <c r="J22" s="177" t="inlineStr">
        <is>
          <t>combat_floor_3×1；combat_floor_4×1.5；loot_abyss×2；loot_floor_3_4×1.5；loot_floor_5×2；scavenge_floor_3×1.5；scavenge_floor_4×2；scavenge_floor_5×2</t>
        </is>
      </c>
      <c r="K22" s="177" t="n">
        <v>2</v>
      </c>
      <c r="L22" s="180" t="inlineStr">
        <is>
          <t>[已实装]</t>
        </is>
      </c>
      <c r="M22" s="177" t="inlineStr">
        <is>
          <t>已注册；具体掉落概率按同池权重计算</t>
        </is>
      </c>
      <c r="N22" s="177" t="inlineStr">
        <is>
          <t>src/base/ItemRegistry.gd</t>
        </is>
      </c>
      <c r="O22" s="177" t="inlineStr">
        <is>
          <t>tags=module、bullet、balloon、slow</t>
        </is>
      </c>
      <c r="P22" s="162">
        <f>IF(F22&gt;0,F22,0)</f>
        <v/>
      </c>
      <c r="Q22" s="162">
        <f>IF(F22&gt;0,ROUND(F22*0.5,0),0)</f>
        <v/>
      </c>
      <c r="R22" s="145" t="b">
        <v>0</v>
      </c>
      <c r="S22" s="145" t="inlineStr">
        <is>
          <t>not_listed</t>
        </is>
      </c>
      <c r="T22" s="162" t="n">
        <v>0</v>
      </c>
    </row>
    <row r="23" ht="54" customHeight="1" s="135">
      <c r="A23" s="177" t="inlineStr">
        <is>
          <t>mod_bullet_blackhole</t>
        </is>
      </c>
      <c r="B23" s="177" t="inlineStr">
        <is>
          <t>黑洞弹模块</t>
        </is>
      </c>
      <c r="C23" s="177" t="inlineStr">
        <is>
          <t>module</t>
        </is>
      </c>
      <c r="D23" s="177" t="inlineStr">
        <is>
          <t>bullet</t>
        </is>
      </c>
      <c r="E23" s="177" t="inlineStr">
        <is>
          <t>epic</t>
        </is>
      </c>
      <c r="F23" s="177" t="n">
        <v>180</v>
      </c>
      <c r="G23" s="177" t="n">
        <v>10</v>
      </c>
      <c r="H23" s="177" t="str"/>
      <c r="I23" s="177" t="str"/>
      <c r="J23" s="177" t="inlineStr">
        <is>
          <t>boss_floor_1×3；boss_floor_2×4；combat_floor_4×2；combat_floor_5×3；loot_abyss×2.5；scavenge_floor_4×2.5；scavenge_floor_5×4</t>
        </is>
      </c>
      <c r="K23" s="177" t="n">
        <v>3</v>
      </c>
      <c r="L23" s="180" t="inlineStr">
        <is>
          <t>[已实装]</t>
        </is>
      </c>
      <c r="M23" s="177" t="inlineStr">
        <is>
          <t>已注册；具体掉落概率按同池权重计算</t>
        </is>
      </c>
      <c r="N23" s="177" t="inlineStr">
        <is>
          <t>src/base/ItemRegistry.gd</t>
        </is>
      </c>
      <c r="O23" s="177" t="inlineStr">
        <is>
          <t>tags=module、bullet、blackhole、pull</t>
        </is>
      </c>
      <c r="P23" s="162">
        <f>IF(F23&gt;0,F23,0)</f>
        <v/>
      </c>
      <c r="Q23" s="162">
        <f>IF(F23&gt;0,ROUND(F23*0.5,0),0)</f>
        <v/>
      </c>
      <c r="R23" s="145" t="b">
        <v>0</v>
      </c>
      <c r="S23" s="145" t="inlineStr">
        <is>
          <t>not_listed</t>
        </is>
      </c>
      <c r="T23" s="162" t="n">
        <v>0</v>
      </c>
    </row>
    <row r="24" ht="54" customHeight="1" s="135">
      <c r="A24" s="177" t="inlineStr">
        <is>
          <t>mod_bullet_bounce</t>
        </is>
      </c>
      <c r="B24" s="177" t="inlineStr">
        <is>
          <t>回旋镖弹模块</t>
        </is>
      </c>
      <c r="C24" s="177" t="inlineStr">
        <is>
          <t>module</t>
        </is>
      </c>
      <c r="D24" s="177" t="inlineStr">
        <is>
          <t>bullet</t>
        </is>
      </c>
      <c r="E24" s="177" t="inlineStr">
        <is>
          <t>uncommon</t>
        </is>
      </c>
      <c r="F24" s="177" t="n">
        <v>60</v>
      </c>
      <c r="G24" s="177" t="n">
        <v>10</v>
      </c>
      <c r="H24" s="177" t="str"/>
      <c r="I24" s="177" t="str"/>
      <c r="J24" s="177" t="inlineStr">
        <is>
          <t>combat_floor_1×1.5；combat_floor_2×2；loot_abyss×2；loot_floor_1_2×1.5；loot_floor_3_4×2；loot_floor_5×2.5；scavenge_floor_1×1.5；scavenge_floor_2×2；spawn_starter×1.5</t>
        </is>
      </c>
      <c r="K24" s="177" t="n">
        <v>1</v>
      </c>
      <c r="L24" s="180" t="inlineStr">
        <is>
          <t>[已实装]</t>
        </is>
      </c>
      <c r="M24" s="177" t="inlineStr">
        <is>
          <t>已注册；具体掉落概率按同池权重计算</t>
        </is>
      </c>
      <c r="N24" s="177" t="inlineStr">
        <is>
          <t>src/base/ItemRegistry.gd</t>
        </is>
      </c>
      <c r="O24" s="177" t="inlineStr">
        <is>
          <t>tags=module、bullet、bounce</t>
        </is>
      </c>
      <c r="P24" s="162">
        <f>IF(F24&gt;0,F24,0)</f>
        <v/>
      </c>
      <c r="Q24" s="162">
        <f>IF(F24&gt;0,ROUND(F24*0.5,0),0)</f>
        <v/>
      </c>
      <c r="R24" s="145" t="b">
        <v>0</v>
      </c>
      <c r="S24" s="145" t="inlineStr">
        <is>
          <t>not_listed</t>
        </is>
      </c>
      <c r="T24" s="162" t="n">
        <v>0</v>
      </c>
    </row>
    <row r="25" ht="54" customHeight="1" s="135">
      <c r="A25" s="177" t="inlineStr">
        <is>
          <t>mod_bullet_explosive</t>
        </is>
      </c>
      <c r="B25" s="177" t="inlineStr">
        <is>
          <t>爆炸弹模块</t>
        </is>
      </c>
      <c r="C25" s="177" t="inlineStr">
        <is>
          <t>module</t>
        </is>
      </c>
      <c r="D25" s="177" t="inlineStr">
        <is>
          <t>bullet</t>
        </is>
      </c>
      <c r="E25" s="177" t="inlineStr">
        <is>
          <t>rare</t>
        </is>
      </c>
      <c r="F25" s="177" t="n">
        <v>100</v>
      </c>
      <c r="G25" s="177" t="n">
        <v>10</v>
      </c>
      <c r="H25" s="177" t="str"/>
      <c r="I25" s="177" t="str"/>
      <c r="J25" s="177" t="inlineStr">
        <is>
          <t>combat_floor_3×1；loot_abyss×2.5；loot_floor_3_4×1.5；loot_floor_5×2；scavenge_floor_3×1.5；scavenge_floor_4×2；scavenge_floor_5×2.5</t>
        </is>
      </c>
      <c r="K25" s="177" t="n">
        <v>2</v>
      </c>
      <c r="L25" s="180" t="inlineStr">
        <is>
          <t>[已实装]</t>
        </is>
      </c>
      <c r="M25" s="177" t="inlineStr">
        <is>
          <t>已注册；具体掉落概率按同池权重计算</t>
        </is>
      </c>
      <c r="N25" s="177" t="inlineStr">
        <is>
          <t>src/base/ItemRegistry.gd</t>
        </is>
      </c>
      <c r="O25" s="177" t="inlineStr">
        <is>
          <t>tags=module、bullet、explosive</t>
        </is>
      </c>
      <c r="P25" s="162">
        <f>IF(F25&gt;0,F25,0)</f>
        <v/>
      </c>
      <c r="Q25" s="162">
        <f>IF(F25&gt;0,ROUND(F25*0.5,0),0)</f>
        <v/>
      </c>
      <c r="R25" s="145" t="b">
        <v>0</v>
      </c>
      <c r="S25" s="145" t="inlineStr">
        <is>
          <t>not_listed</t>
        </is>
      </c>
      <c r="T25" s="162" t="n">
        <v>0</v>
      </c>
    </row>
    <row r="26" ht="54" customHeight="1" s="135">
      <c r="A26" s="177" t="inlineStr">
        <is>
          <t>mod_bullet_homing</t>
        </is>
      </c>
      <c r="B26" s="177" t="inlineStr">
        <is>
          <t>蜂卵弹模块</t>
        </is>
      </c>
      <c r="C26" s="177" t="inlineStr">
        <is>
          <t>module</t>
        </is>
      </c>
      <c r="D26" s="177" t="inlineStr">
        <is>
          <t>bullet</t>
        </is>
      </c>
      <c r="E26" s="177" t="inlineStr">
        <is>
          <t>epic</t>
        </is>
      </c>
      <c r="F26" s="177" t="n">
        <v>150</v>
      </c>
      <c r="G26" s="177" t="n">
        <v>10</v>
      </c>
      <c r="H26" s="177" t="str"/>
      <c r="I26" s="177" t="str"/>
      <c r="J26" s="177" t="inlineStr">
        <is>
          <t>boss_floor_1×4；combat_floor_4×1.5；combat_floor_5×2.5；loot_abyss×3；loot_floor_5×2；scavenge_floor_4×2；scavenge_floor_5×3</t>
        </is>
      </c>
      <c r="K26" s="177" t="n">
        <v>3</v>
      </c>
      <c r="L26" s="180" t="inlineStr">
        <is>
          <t>[已实装]</t>
        </is>
      </c>
      <c r="M26" s="177" t="inlineStr">
        <is>
          <t>已注册；具体掉落概率按同池权重计算</t>
        </is>
      </c>
      <c r="N26" s="177" t="inlineStr">
        <is>
          <t>src/base/ItemRegistry.gd</t>
        </is>
      </c>
      <c r="O26" s="177" t="inlineStr">
        <is>
          <t>tags=module、bullet、homing、summon</t>
        </is>
      </c>
      <c r="P26" s="162">
        <f>IF(F26&gt;0,F26,0)</f>
        <v/>
      </c>
      <c r="Q26" s="162">
        <f>IF(F26&gt;0,ROUND(F26*0.5,0),0)</f>
        <v/>
      </c>
      <c r="R26" s="145" t="b">
        <v>0</v>
      </c>
      <c r="S26" s="145" t="inlineStr">
        <is>
          <t>not_listed</t>
        </is>
      </c>
      <c r="T26" s="162" t="n">
        <v>0</v>
      </c>
    </row>
    <row r="27" ht="54" customHeight="1" s="135">
      <c r="A27" s="177" t="inlineStr">
        <is>
          <t>mod_bullet_piercing</t>
        </is>
      </c>
      <c r="B27" s="177" t="inlineStr">
        <is>
          <t>穿甲弹模块</t>
        </is>
      </c>
      <c r="C27" s="177" t="inlineStr">
        <is>
          <t>module</t>
        </is>
      </c>
      <c r="D27" s="177" t="inlineStr">
        <is>
          <t>bullet</t>
        </is>
      </c>
      <c r="E27" s="177" t="inlineStr">
        <is>
          <t>rare</t>
        </is>
      </c>
      <c r="F27" s="177" t="n">
        <v>80</v>
      </c>
      <c r="G27" s="177" t="n">
        <v>10</v>
      </c>
      <c r="H27" s="177" t="str"/>
      <c r="I27" s="177" t="str"/>
      <c r="J27" s="177" t="inlineStr">
        <is>
          <t>combat_floor_3×1.5；loot_abyss×3；loot_floor_3_4×2；loot_floor_5×2.5；scavenge_floor_3×2；scavenge_floor_4×2.5；scavenge_floor_5×3</t>
        </is>
      </c>
      <c r="K27" s="177" t="n">
        <v>2</v>
      </c>
      <c r="L27" s="180" t="inlineStr">
        <is>
          <t>[已实装]</t>
        </is>
      </c>
      <c r="M27" s="177" t="inlineStr">
        <is>
          <t>已注册；具体掉落概率按同池权重计算</t>
        </is>
      </c>
      <c r="N27" s="177" t="inlineStr">
        <is>
          <t>src/base/ItemRegistry.gd</t>
        </is>
      </c>
      <c r="O27" s="177" t="inlineStr">
        <is>
          <t>tags=module、bullet、piercing</t>
        </is>
      </c>
      <c r="P27" s="162">
        <f>IF(F27&gt;0,F27,0)</f>
        <v/>
      </c>
      <c r="Q27" s="162">
        <f>IF(F27&gt;0,ROUND(F27*0.5,0),0)</f>
        <v/>
      </c>
      <c r="R27" s="145" t="b">
        <v>0</v>
      </c>
      <c r="S27" s="145" t="inlineStr">
        <is>
          <t>not_listed</t>
        </is>
      </c>
      <c r="T27" s="162" t="n">
        <v>0</v>
      </c>
    </row>
    <row r="28" ht="54" customHeight="1" s="135">
      <c r="A28" s="177" t="inlineStr">
        <is>
          <t>mod_bullet_standard</t>
        </is>
      </c>
      <c r="B28" s="177" t="inlineStr">
        <is>
          <t>标准子弹模块</t>
        </is>
      </c>
      <c r="C28" s="177" t="inlineStr">
        <is>
          <t>module</t>
        </is>
      </c>
      <c r="D28" s="177" t="inlineStr">
        <is>
          <t>bullet</t>
        </is>
      </c>
      <c r="E28" s="177" t="inlineStr">
        <is>
          <t>common</t>
        </is>
      </c>
      <c r="F28" s="177" t="n">
        <v>30</v>
      </c>
      <c r="G28" s="177" t="n">
        <v>10</v>
      </c>
      <c r="H28" s="177" t="str"/>
      <c r="I28" s="177" t="str"/>
      <c r="J28" s="177" t="inlineStr">
        <is>
          <t>combat_floor_1×3；combat_floor_2×2.5；loot_abyss×1.5；loot_floor_1_2×3；loot_floor_3_4×2.5；loot_floor_5×2；scavenge_floor_1×3；scavenge_floor_2×2.5；spawn_starter×3</t>
        </is>
      </c>
      <c r="K28" s="177" t="n">
        <v>0</v>
      </c>
      <c r="L28" s="180" t="inlineStr">
        <is>
          <t>[已实装]</t>
        </is>
      </c>
      <c r="M28" s="177" t="inlineStr">
        <is>
          <t>已注册；具体掉落概率按同池权重计算</t>
        </is>
      </c>
      <c r="N28" s="177" t="inlineStr">
        <is>
          <t>src/base/ItemRegistry.gd</t>
        </is>
      </c>
      <c r="O28" s="177" t="inlineStr">
        <is>
          <t>tags=module、bullet</t>
        </is>
      </c>
      <c r="P28" s="162">
        <f>IF(F28&gt;0,F28,0)</f>
        <v/>
      </c>
      <c r="Q28" s="162">
        <f>IF(F28&gt;0,ROUND(F28*0.5,0),0)</f>
        <v/>
      </c>
      <c r="R28" s="145" t="b">
        <v>0</v>
      </c>
      <c r="S28" s="145" t="inlineStr">
        <is>
          <t>not_listed</t>
        </is>
      </c>
      <c r="T28" s="162" t="n">
        <v>0</v>
      </c>
    </row>
    <row r="29" ht="54" customHeight="1" s="135">
      <c r="A29" s="177" t="inlineStr">
        <is>
          <t>mod_bullet_sticky</t>
        </is>
      </c>
      <c r="B29" s="177" t="inlineStr">
        <is>
          <t>黏黏弹模块</t>
        </is>
      </c>
      <c r="C29" s="177" t="inlineStr">
        <is>
          <t>module</t>
        </is>
      </c>
      <c r="D29" s="177" t="inlineStr">
        <is>
          <t>bullet</t>
        </is>
      </c>
      <c r="E29" s="177" t="inlineStr">
        <is>
          <t>uncommon</t>
        </is>
      </c>
      <c r="F29" s="177" t="n">
        <v>50</v>
      </c>
      <c r="G29" s="177" t="n">
        <v>10</v>
      </c>
      <c r="H29" s="177" t="str"/>
      <c r="I29" s="177" t="str"/>
      <c r="J29" s="177" t="inlineStr">
        <is>
          <t>combat_floor_1×2；combat_floor_2×2.5；loot_abyss×1.5；loot_floor_1_2×2；loot_floor_3_4×2.5；loot_floor_5×2；scavenge_floor_1×2；scavenge_floor_2×2.5；spawn_starter×2</t>
        </is>
      </c>
      <c r="K29" s="177" t="n">
        <v>1</v>
      </c>
      <c r="L29" s="180" t="inlineStr">
        <is>
          <t>[已实装]</t>
        </is>
      </c>
      <c r="M29" s="177" t="inlineStr">
        <is>
          <t>已注册；具体掉落概率按同池权重计算</t>
        </is>
      </c>
      <c r="N29" s="177" t="inlineStr">
        <is>
          <t>src/base/ItemRegistry.gd</t>
        </is>
      </c>
      <c r="O29" s="177" t="inlineStr">
        <is>
          <t>tags=module、bullet、sticky</t>
        </is>
      </c>
      <c r="P29" s="162">
        <f>IF(F29&gt;0,F29,0)</f>
        <v/>
      </c>
      <c r="Q29" s="162">
        <f>IF(F29&gt;0,ROUND(F29*0.5,0),0)</f>
        <v/>
      </c>
      <c r="R29" s="145" t="b">
        <v>0</v>
      </c>
      <c r="S29" s="145" t="inlineStr">
        <is>
          <t>not_listed</t>
        </is>
      </c>
      <c r="T29" s="162" t="n">
        <v>0</v>
      </c>
    </row>
    <row r="30" ht="54" customHeight="1" s="135">
      <c r="A30" s="177" t="inlineStr">
        <is>
          <t>weapon_charge</t>
        </is>
      </c>
      <c r="B30" s="177" t="inlineStr">
        <is>
          <t>蓄力萝卜炮</t>
        </is>
      </c>
      <c r="C30" s="177" t="inlineStr">
        <is>
          <t>weapon</t>
        </is>
      </c>
      <c r="D30" s="177" t="inlineStr">
        <is>
          <t>gun_body</t>
        </is>
      </c>
      <c r="E30" s="177" t="inlineStr">
        <is>
          <t>epic</t>
        </is>
      </c>
      <c r="F30" s="177" t="n">
        <v>350</v>
      </c>
      <c r="G30" s="177" t="n">
        <v>1</v>
      </c>
      <c r="H30" s="177" t="str"/>
      <c r="I30" s="177" t="inlineStr">
        <is>
          <t>蓄力时间越长伤害越高，超蓄力后弹体变大并附带穿透。左键装备为当前主武器。</t>
        </is>
      </c>
      <c r="J30" s="177" t="inlineStr">
        <is>
          <t>boss_floor_2×4；combat_floor_4×0.5；combat_floor_5×1；elite_floor_2×3；loot_abyss×2；loot_floor_5×0.8；scavenge_floor_4×0.4；scavenge_floor_5×1</t>
        </is>
      </c>
      <c r="K30" s="177" t="str"/>
      <c r="L30" s="180" t="inlineStr">
        <is>
          <t>[已实装]</t>
        </is>
      </c>
      <c r="M30" s="177" t="inlineStr">
        <is>
          <t>基础成品已注册；独立WeaponInstance与随枪构筑未实装</t>
        </is>
      </c>
      <c r="N30" s="177" t="inlineStr">
        <is>
          <t>src/base/ItemRegistry.gd</t>
        </is>
      </c>
      <c r="O30" s="177" t="inlineStr">
        <is>
          <t>新设计：stack_max=1；生成永久weapon_instance_id，并保存命运槽、子弹模块与配件快照</t>
        </is>
      </c>
      <c r="P30" s="162">
        <f>IF(F30&gt;0,F30,0)</f>
        <v/>
      </c>
      <c r="Q30" s="162">
        <f>IF(F30&gt;0,ROUND(F30*0.5,0),0)</f>
        <v/>
      </c>
      <c r="R30" s="145" t="b">
        <v>0</v>
      </c>
      <c r="S30" s="145" t="inlineStr">
        <is>
          <t>not_listed</t>
        </is>
      </c>
      <c r="T30" s="162" t="n">
        <v>0</v>
      </c>
    </row>
    <row r="31" ht="54" customHeight="1" s="135">
      <c r="A31" s="177" t="inlineStr">
        <is>
          <t>weapon_launcher</t>
        </is>
      </c>
      <c r="B31" s="177" t="inlineStr">
        <is>
          <t>反胃榴弹筒</t>
        </is>
      </c>
      <c r="C31" s="177" t="inlineStr">
        <is>
          <t>weapon</t>
        </is>
      </c>
      <c r="D31" s="177" t="inlineStr">
        <is>
          <t>gun_body</t>
        </is>
      </c>
      <c r="E31" s="177" t="inlineStr">
        <is>
          <t>rare</t>
        </is>
      </c>
      <c r="F31" s="177" t="n">
        <v>250</v>
      </c>
      <c r="G31" s="177" t="n">
        <v>1</v>
      </c>
      <c r="H31" s="177" t="str"/>
      <c r="I31" s="177" t="inlineStr">
        <is>
          <t>发射爆炸弹，抛物线弹道，大范围AOE。左键装备为当前主武器。</t>
        </is>
      </c>
      <c r="J31" s="177" t="inlineStr">
        <is>
          <t>boss_floor_1×2.5；boss_floor_2×4；combat_floor_3×0.8；combat_floor_4×0.5；combat_floor_5×1；elite_floor_2×3；loot_abyss×2.5；loot_floor_3_4×1；loot_floor_5×1.5；scavenge_floor_3×0.5；scavenge_floor_4×1；scavenge_floor_5×2</t>
        </is>
      </c>
      <c r="K31" s="177" t="str"/>
      <c r="L31" s="180" t="inlineStr">
        <is>
          <t>[已实装]</t>
        </is>
      </c>
      <c r="M31" s="177" t="inlineStr">
        <is>
          <t>基础成品已注册；独立WeaponInstance与随枪构筑未实装</t>
        </is>
      </c>
      <c r="N31" s="177" t="inlineStr">
        <is>
          <t>src/base/ItemRegistry.gd</t>
        </is>
      </c>
      <c r="O31" s="177" t="inlineStr">
        <is>
          <t>新设计：stack_max=1；生成永久weapon_instance_id，并保存命运槽、子弹模块与配件快照</t>
        </is>
      </c>
      <c r="P31" s="162">
        <f>IF(F31&gt;0,F31,0)</f>
        <v/>
      </c>
      <c r="Q31" s="162">
        <f>IF(F31&gt;0,ROUND(F31*0.5,0),0)</f>
        <v/>
      </c>
      <c r="R31" s="145" t="b">
        <v>0</v>
      </c>
      <c r="S31" s="145" t="inlineStr">
        <is>
          <t>not_listed</t>
        </is>
      </c>
      <c r="T31" s="162" t="n">
        <v>0</v>
      </c>
    </row>
    <row r="32" ht="54" customHeight="1" s="135">
      <c r="A32" s="177" t="inlineStr">
        <is>
          <t>weapon_machinegun</t>
        </is>
      </c>
      <c r="B32" s="177" t="inlineStr">
        <is>
          <t>蜂窝机枪</t>
        </is>
      </c>
      <c r="C32" s="177" t="inlineStr">
        <is>
          <t>weapon</t>
        </is>
      </c>
      <c r="D32" s="177" t="inlineStr">
        <is>
          <t>gun_body</t>
        </is>
      </c>
      <c r="E32" s="177" t="inlineStr">
        <is>
          <t>uncommon</t>
        </is>
      </c>
      <c r="F32" s="177" t="n">
        <v>180</v>
      </c>
      <c r="G32" s="177" t="n">
        <v>1</v>
      </c>
      <c r="H32" s="177" t="str"/>
      <c r="I32" s="177" t="inlineStr">
        <is>
          <t>高射速压制武器，适合清群怪。左键装备为当前主武器。</t>
        </is>
      </c>
      <c r="J32" s="177" t="inlineStr">
        <is>
          <t>combat_floor_1×0.8；combat_floor_2×1.2；combat_floor_3×1.5；elite_floor_1×1.5；elite_floor_2×2.5；loot_abyss×2.5；loot_floor_1_2×1；loot_floor_3_4×1.5；loot_floor_5×2；scavenge_floor_1×0.5；scavenge_floor_2×1；scavenge_floor_3×1.2；scavenge_floor_4×1.5；scavenge_floor_5×2.5</t>
        </is>
      </c>
      <c r="K32" s="177" t="str"/>
      <c r="L32" s="180" t="inlineStr">
        <is>
          <t>[已实装]</t>
        </is>
      </c>
      <c r="M32" s="177" t="inlineStr">
        <is>
          <t>基础成品已注册；独立WeaponInstance与随枪构筑未实装</t>
        </is>
      </c>
      <c r="N32" s="177" t="inlineStr">
        <is>
          <t>src/base/ItemRegistry.gd</t>
        </is>
      </c>
      <c r="O32" s="177" t="inlineStr">
        <is>
          <t>新设计：stack_max=1；生成永久weapon_instance_id，并保存命运槽、子弹模块与配件快照</t>
        </is>
      </c>
      <c r="P32" s="162">
        <f>IF(F32&gt;0,F32,0)</f>
        <v/>
      </c>
      <c r="Q32" s="162">
        <f>IF(F32&gt;0,ROUND(F32*0.5,0),0)</f>
        <v/>
      </c>
      <c r="R32" s="145" t="b">
        <v>0</v>
      </c>
      <c r="S32" s="145" t="inlineStr">
        <is>
          <t>not_listed</t>
        </is>
      </c>
      <c r="T32" s="162" t="n">
        <v>0</v>
      </c>
    </row>
    <row r="33" ht="54" customHeight="1" s="135">
      <c r="A33" s="177" t="inlineStr">
        <is>
          <t>weapon_pistol</t>
        </is>
      </c>
      <c r="B33" s="177" t="inlineStr">
        <is>
          <t>豌豆手枪</t>
        </is>
      </c>
      <c r="C33" s="177" t="inlineStr">
        <is>
          <t>weapon</t>
        </is>
      </c>
      <c r="D33" s="177" t="inlineStr">
        <is>
          <t>gun_body</t>
        </is>
      </c>
      <c r="E33" s="177" t="inlineStr">
        <is>
          <t>common</t>
        </is>
      </c>
      <c r="F33" s="177" t="n">
        <v>70</v>
      </c>
      <c r="G33" s="177" t="n">
        <v>1</v>
      </c>
      <c r="H33" s="177" t="str"/>
      <c r="I33" s="177" t="inlineStr">
        <is>
          <t>可靠的基础半自动武器。左键装备为当前主武器。</t>
        </is>
      </c>
      <c r="J33" s="177" t="inlineStr">
        <is>
          <t>combat_floor_1×0.5；combat_floor_2×0.8；loot_floor_1_2×0.8；scavenge_floor_1×0.8；scavenge_floor_2×1.4</t>
        </is>
      </c>
      <c r="K33" s="177" t="str"/>
      <c r="L33" s="180" t="inlineStr">
        <is>
          <t>[已实装]</t>
        </is>
      </c>
      <c r="M33" s="177" t="inlineStr">
        <is>
          <t>基础成品已注册；独立WeaponInstance与随枪构筑未实装</t>
        </is>
      </c>
      <c r="N33" s="177" t="inlineStr">
        <is>
          <t>src/base/ItemRegistry.gd</t>
        </is>
      </c>
      <c r="O33" s="177" t="inlineStr">
        <is>
          <t>新设计：stack_max=1；生成永久weapon_instance_id，并保存命运槽、子弹模块与配件快照</t>
        </is>
      </c>
      <c r="P33" s="163" t="n">
        <v>70</v>
      </c>
      <c r="Q33" s="163" t="n">
        <v>35</v>
      </c>
      <c r="R33" s="151" t="n">
        <v>1</v>
      </c>
      <c r="S33" s="151" t="inlineStr">
        <is>
          <t>unlimited</t>
        </is>
      </c>
      <c r="T33" s="163" t="n">
        <v>2</v>
      </c>
    </row>
    <row r="34" ht="54" customHeight="1" s="135">
      <c r="A34" s="177" t="inlineStr">
        <is>
          <t>weapon_rifle</t>
        </is>
      </c>
      <c r="B34" s="177" t="inlineStr">
        <is>
          <t>步枪</t>
        </is>
      </c>
      <c r="C34" s="177" t="inlineStr">
        <is>
          <t>weapon</t>
        </is>
      </c>
      <c r="D34" s="177" t="inlineStr">
        <is>
          <t>gun_body</t>
        </is>
      </c>
      <c r="E34" s="177" t="inlineStr">
        <is>
          <t>rare</t>
        </is>
      </c>
      <c r="F34" s="177" t="n">
        <v>150</v>
      </c>
      <c r="G34" s="177" t="n">
        <v>1</v>
      </c>
      <c r="H34" s="177" t="str"/>
      <c r="I34" s="177" t="inlineStr">
        <is>
          <t>稳定连发的中距离武器。左键装备为当前主武器。</t>
        </is>
      </c>
      <c r="J34" s="177" t="inlineStr">
        <is>
          <t>boss_floor_1×2；boss_floor_2×3；combat_floor_1×0.5；combat_floor_2×1；combat_floor_3×1.5；elite_floor_1×1.5；elite_floor_2×2；loot_abyss×2.5；loot_floor_1_2×0.3；loot_floor_3_4×1.5；loot_floor_5×2；scavenge_floor_3×1；scavenge_floor_4×1.5；scavenge_floor_5×2</t>
        </is>
      </c>
      <c r="K34" s="177" t="str"/>
      <c r="L34" s="180" t="inlineStr">
        <is>
          <t>[已实装]</t>
        </is>
      </c>
      <c r="M34" s="177" t="inlineStr">
        <is>
          <t>基础成品已注册；独立WeaponInstance与随枪构筑未实装</t>
        </is>
      </c>
      <c r="N34" s="177" t="inlineStr">
        <is>
          <t>src/base/ItemRegistry.gd</t>
        </is>
      </c>
      <c r="O34" s="177" t="inlineStr">
        <is>
          <t>新设计：stack_max=1；生成永久weapon_instance_id，并保存命运槽、子弹模块与配件快照</t>
        </is>
      </c>
      <c r="P34" s="163" t="n">
        <v>150</v>
      </c>
      <c r="Q34" s="163" t="n">
        <v>75</v>
      </c>
      <c r="R34" s="151" t="n">
        <v>1</v>
      </c>
      <c r="S34" s="151" t="inlineStr">
        <is>
          <t>unlimited</t>
        </is>
      </c>
      <c r="T34" s="163" t="n">
        <v>4</v>
      </c>
    </row>
    <row r="35" ht="54" customHeight="1" s="135">
      <c r="A35" s="177" t="inlineStr">
        <is>
          <t>weapon_shotgun</t>
        </is>
      </c>
      <c r="B35" s="177" t="inlineStr">
        <is>
          <t>散射喷壶</t>
        </is>
      </c>
      <c r="C35" s="177" t="inlineStr">
        <is>
          <t>weapon</t>
        </is>
      </c>
      <c r="D35" s="177" t="inlineStr">
        <is>
          <t>gun_body</t>
        </is>
      </c>
      <c r="E35" s="177" t="inlineStr">
        <is>
          <t>uncommon</t>
        </is>
      </c>
      <c r="F35" s="177" t="n">
        <v>110</v>
      </c>
      <c r="G35" s="177" t="n">
        <v>1</v>
      </c>
      <c r="H35" s="177" t="str"/>
      <c r="I35" s="177" t="inlineStr">
        <is>
          <t>近距离多弹丸散射武器。左键装备为当前主武器。</t>
        </is>
      </c>
      <c r="J35" s="177" t="inlineStr">
        <is>
          <t>combat_floor_1×0.8；combat_floor_2×1.2；loot_floor_1_2×1；scavenge_floor_1×1.4；scavenge_floor_2×2；spawn_starter×3</t>
        </is>
      </c>
      <c r="K35" s="177" t="str"/>
      <c r="L35" s="180" t="inlineStr">
        <is>
          <t>[已实装]</t>
        </is>
      </c>
      <c r="M35" s="177" t="inlineStr">
        <is>
          <t>基础成品已注册；独立WeaponInstance与随枪构筑未实装</t>
        </is>
      </c>
      <c r="N35" s="177" t="inlineStr">
        <is>
          <t>src/base/ItemRegistry.gd</t>
        </is>
      </c>
      <c r="O35" s="177" t="inlineStr">
        <is>
          <t>新设计：stack_max=1；生成永久weapon_instance_id，并保存命运槽、子弹模块与配件快照</t>
        </is>
      </c>
      <c r="P35" s="163" t="n">
        <v>110</v>
      </c>
      <c r="Q35" s="163" t="n">
        <v>55</v>
      </c>
      <c r="R35" s="151" t="n">
        <v>1</v>
      </c>
      <c r="S35" s="151" t="inlineStr">
        <is>
          <t>unlimited</t>
        </is>
      </c>
      <c r="T35" s="163" t="n">
        <v>3</v>
      </c>
    </row>
    <row r="36" ht="54" customHeight="1" s="135">
      <c r="A36" s="177" t="inlineStr">
        <is>
          <t>weapon_sniper</t>
        </is>
      </c>
      <c r="B36" s="177" t="inlineStr">
        <is>
          <t>弹弓狙击</t>
        </is>
      </c>
      <c r="C36" s="177" t="inlineStr">
        <is>
          <t>weapon</t>
        </is>
      </c>
      <c r="D36" s="177" t="inlineStr">
        <is>
          <t>gun_body</t>
        </is>
      </c>
      <c r="E36" s="177" t="inlineStr">
        <is>
          <t>rare</t>
        </is>
      </c>
      <c r="F36" s="177" t="n">
        <v>220</v>
      </c>
      <c r="G36" s="177" t="n">
        <v>1</v>
      </c>
      <c r="H36" s="177" t="str"/>
      <c r="I36" s="177" t="inlineStr">
        <is>
          <t>低射速高伤害，穿透力强，适合精准打击。左键装备为当前主武器。</t>
        </is>
      </c>
      <c r="J36" s="177" t="inlineStr">
        <is>
          <t>boss_floor_1×2；boss_floor_2×4；combat_floor_2×0.3；combat_floor_3×0.8；elite_floor_1×1.5；elite_floor_2×2；loot_abyss×2.5；loot_floor_3_4×0.5；loot_floor_5×1.5；scavenge_floor_3×0.5；scavenge_floor_4×1；scavenge_floor_5×2</t>
        </is>
      </c>
      <c r="K36" s="177" t="str"/>
      <c r="L36" s="180" t="inlineStr">
        <is>
          <t>[已实装]</t>
        </is>
      </c>
      <c r="M36" s="177" t="inlineStr">
        <is>
          <t>基础成品已注册；独立WeaponInstance与随枪构筑未实装</t>
        </is>
      </c>
      <c r="N36" s="177" t="inlineStr">
        <is>
          <t>src/base/ItemRegistry.gd</t>
        </is>
      </c>
      <c r="O36" s="177" t="inlineStr">
        <is>
          <t>新设计：stack_max=1；生成永久weapon_instance_id，并保存命运槽、子弹模块与配件快照</t>
        </is>
      </c>
      <c r="P36" s="162">
        <f>IF(F36&gt;0,F36,0)</f>
        <v/>
      </c>
      <c r="Q36" s="162">
        <f>IF(F36&gt;0,ROUND(F36*0.5,0),0)</f>
        <v/>
      </c>
      <c r="R36" s="145" t="b">
        <v>0</v>
      </c>
      <c r="S36" s="145" t="inlineStr">
        <is>
          <t>not_listed</t>
        </is>
      </c>
      <c r="T36" s="162" t="n">
        <v>0</v>
      </c>
    </row>
    <row r="37" ht="54" customHeight="1" s="135">
      <c r="A37" s="177" t="inlineStr">
        <is>
          <t>item_boss_descent_key</t>
        </is>
      </c>
      <c r="B37" s="177" t="inlineStr">
        <is>
          <t>Boss下行专用钥匙</t>
        </is>
      </c>
      <c r="C37" s="177" t="inlineStr">
        <is>
          <t>key</t>
        </is>
      </c>
      <c r="D37" s="177" t="inlineStr">
        <is>
          <t>boss_progression</t>
        </is>
      </c>
      <c r="E37" s="177" t="inlineStr">
        <is>
          <t>special</t>
        </is>
      </c>
      <c r="F37" s="177" t="n">
        <v>0</v>
      </c>
      <c r="G37" s="177" t="n">
        <v>1</v>
      </c>
      <c r="H37" s="177" t="inlineStr">
        <is>
          <t>open_boss_descent_gate</t>
        </is>
      </c>
      <c r="I37" s="177" t="inlineStr">
        <is>
          <t>击败Boss后获得，只能开启本阶段唯一Boss下行门；不进入普通商店、普通掉落或撤离带出。</t>
        </is>
      </c>
      <c r="J37" s="177" t="inlineStr">
        <is>
          <t>Boss击败结算（唯一签发）</t>
        </is>
      </c>
      <c r="K37" s="177" t="inlineStr">
        <is>
          <t>不可出售</t>
        </is>
      </c>
      <c r="L37" s="179" t="inlineStr">
        <is>
          <t>[用户设计]</t>
        </is>
      </c>
      <c r="M37" s="177" t="inlineStr">
        <is>
          <t>设计冻结；未实装</t>
        </is>
      </c>
      <c r="N37" s="177" t="inlineStr">
        <is>
          <t>游戏设计文档 §8；技术施工_关卡生成与爬楼</t>
        </is>
      </c>
      <c r="O37" s="177" t="inlineStr">
        <is>
          <t>必须记录来源阶段ID；不能与item_room_key互换</t>
        </is>
      </c>
      <c r="P37" s="162">
        <f>IF(F37&gt;0,F37,0)</f>
        <v/>
      </c>
      <c r="Q37" s="162">
        <f>IF(F37&gt;0,ROUND(F37*0.5,0),0)</f>
        <v/>
      </c>
      <c r="R37" s="145" t="b">
        <v>0</v>
      </c>
      <c r="S37" s="145" t="inlineStr">
        <is>
          <t>not_listed</t>
        </is>
      </c>
      <c r="T37" s="162" t="n">
        <v>0</v>
      </c>
    </row>
    <row r="38">
      <c r="A38" t="inlineStr">
        <is>
          <t>equipment_backpack_2</t>
        </is>
      </c>
      <c r="B38" t="inlineStr">
        <is>
          <t>轻型腰包</t>
        </is>
      </c>
      <c r="C38" t="inlineStr">
        <is>
          <t>equipment</t>
        </is>
      </c>
      <c r="D38" t="inlineStr">
        <is>
          <t>backpack</t>
        </is>
      </c>
      <c r="E38" t="inlineStr">
        <is>
          <t>common</t>
        </is>
      </c>
      <c r="F38" t="n">
        <v>55</v>
      </c>
      <c r="G38" t="n">
        <v>1</v>
      </c>
      <c r="H38" t="inlineStr">
        <is>
          <t>equip_backpack（左键/拖拽）</t>
        </is>
      </c>
      <c r="I38" t="inlineStr">
        <is>
          <t>装备后增加2个物品格；卸下或换包时容量不足部分落到当前房间</t>
        </is>
      </c>
      <c r="J38" t="inlineStr">
        <is>
          <t>combat_floor_1×0.28；combat_floor_2×0.2；loot_common×0.22；loot_floor_1_2×0.5；scavenge_floor_1×1.2；scavenge_floor_2×0.9</t>
        </is>
      </c>
      <c r="K38" t="n">
        <v>1</v>
      </c>
      <c r="L38" t="inlineStr">
        <is>
          <t>[已实装]</t>
        </is>
      </c>
      <c r="M38" t="inlineStr">
        <is>
          <t>正式3D已验证：物品/装备槽/动态容量/背部Mesh/溢出落地</t>
        </is>
      </c>
      <c r="N38" t="inlineStr">
        <is>
          <t>src/base/ItemRegistry.gd；src/game/InventoryModule.gd；src/world3d/Dungeon3D.gd；src/player3d/Player3D.gd</t>
        </is>
      </c>
      <c r="O38" t="inlineStr">
        <is>
          <t>tags=equipment, backpack, capacity；基础12+2；浅层搜索/普通怪偏重</t>
        </is>
      </c>
      <c r="P38" s="163" t="n">
        <v>55</v>
      </c>
      <c r="Q38" s="163" t="n">
        <v>28</v>
      </c>
      <c r="R38" s="151" t="n">
        <v>1</v>
      </c>
      <c r="S38" s="151" t="inlineStr">
        <is>
          <t>unlimited</t>
        </is>
      </c>
      <c r="T38" s="163" t="n">
        <v>5</v>
      </c>
    </row>
    <row r="39">
      <c r="A39" t="inlineStr">
        <is>
          <t>equipment_backpack_4</t>
        </is>
      </c>
      <c r="B39" t="inlineStr">
        <is>
          <t>战术背包</t>
        </is>
      </c>
      <c r="C39" t="inlineStr">
        <is>
          <t>equipment</t>
        </is>
      </c>
      <c r="D39" t="inlineStr">
        <is>
          <t>backpack</t>
        </is>
      </c>
      <c r="E39" t="inlineStr">
        <is>
          <t>uncommon</t>
        </is>
      </c>
      <c r="F39" t="n">
        <v>120</v>
      </c>
      <c r="G39" t="n">
        <v>1</v>
      </c>
      <c r="H39" t="inlineStr">
        <is>
          <t>equip_backpack（左键/拖拽）</t>
        </is>
      </c>
      <c r="I39" t="inlineStr">
        <is>
          <t>装备后增加4个物品格；卸下或换包时容量不足部分落到当前房间</t>
        </is>
      </c>
      <c r="J39" t="inlineStr">
        <is>
          <t>combat_floor_3×0.22；elite_floor_1×0.85；elite_floor_2×0.55；loot_floor_1_2×0.16；loot_floor_3_4×0.65；scavenge_floor_2×0.35；scavenge_floor_3×1；scavenge_floor_4×0.8</t>
        </is>
      </c>
      <c r="K39" t="n">
        <v>2</v>
      </c>
      <c r="L39" t="inlineStr">
        <is>
          <t>[已实装]</t>
        </is>
      </c>
      <c r="M39" t="inlineStr">
        <is>
          <t>正式3D已验证：物品/装备槽/动态容量/背部Mesh/溢出落地</t>
        </is>
      </c>
      <c r="N39" t="inlineStr">
        <is>
          <t>src/base/ItemRegistry.gd；src/game/InventoryModule.gd；src/world3d/Dungeon3D.gd；src/player3d/Player3D.gd</t>
        </is>
      </c>
      <c r="O39" t="inlineStr">
        <is>
          <t>tags=equipment, backpack, capacity；基础12+4；中层搜索/精英偏重</t>
        </is>
      </c>
      <c r="P39" s="162">
        <f>IF(F39&gt;0,F39,0)</f>
        <v/>
      </c>
      <c r="Q39" s="162">
        <f>IF(F39&gt;0,ROUND(F39*0.5,0),0)</f>
        <v/>
      </c>
      <c r="R39" s="145" t="b">
        <v>0</v>
      </c>
      <c r="S39" s="145" t="inlineStr">
        <is>
          <t>not_listed</t>
        </is>
      </c>
      <c r="T39" s="162" t="n">
        <v>0</v>
      </c>
    </row>
    <row r="40">
      <c r="A40" t="inlineStr">
        <is>
          <t>equipment_backpack_8</t>
        </is>
      </c>
      <c r="B40" t="inlineStr">
        <is>
          <t>远征背包</t>
        </is>
      </c>
      <c r="C40" t="inlineStr">
        <is>
          <t>equipment</t>
        </is>
      </c>
      <c r="D40" t="inlineStr">
        <is>
          <t>backpack</t>
        </is>
      </c>
      <c r="E40" t="inlineStr">
        <is>
          <t>rare</t>
        </is>
      </c>
      <c r="F40" t="n">
        <v>260</v>
      </c>
      <c r="G40" t="n">
        <v>1</v>
      </c>
      <c r="H40" t="inlineStr">
        <is>
          <t>equip_backpack（左键/拖拽）</t>
        </is>
      </c>
      <c r="I40" t="inlineStr">
        <is>
          <t>装备后增加8个物品格；卸下或换包时容量不足部分落到当前房间</t>
        </is>
      </c>
      <c r="J40" t="inlineStr">
        <is>
          <t>boss_floor_1×1.25；boss_floor_2×1.8；elite_floor_2×0.75；loot_abyss×0.85；loot_floor_5×0.55；scavenge_floor_4×0.25；scavenge_floor_5×0.9</t>
        </is>
      </c>
      <c r="K40" t="n">
        <v>3</v>
      </c>
      <c r="L40" t="inlineStr">
        <is>
          <t>[已实装]</t>
        </is>
      </c>
      <c r="M40" t="inlineStr">
        <is>
          <t>正式3D已验证：物品/装备槽/动态容量/背部Mesh/溢出落地</t>
        </is>
      </c>
      <c r="N40" t="inlineStr">
        <is>
          <t>src/base/ItemRegistry.gd；src/game/InventoryModule.gd；src/world3d/Dungeon3D.gd；src/player3d/Player3D.gd</t>
        </is>
      </c>
      <c r="O40" t="inlineStr">
        <is>
          <t>tags=equipment, backpack, capacity；基础12+8；深层搜索/精英/Boss偏重</t>
        </is>
      </c>
      <c r="P40" s="162">
        <f>IF(F40&gt;0,F40,0)</f>
        <v/>
      </c>
      <c r="Q40" s="162">
        <f>IF(F40&gt;0,ROUND(F40*0.5,0),0)</f>
        <v/>
      </c>
      <c r="R40" s="145" t="b">
        <v>0</v>
      </c>
      <c r="S40" s="145" t="inlineStr">
        <is>
          <t>not_listed</t>
        </is>
      </c>
      <c r="T40" s="162" t="n">
        <v>0</v>
      </c>
    </row>
    <row r="41">
      <c r="A41" s="167" t="inlineStr">
        <is>
          <t>item_battery_s</t>
        </is>
      </c>
      <c r="B41" s="167" t="inlineStr">
        <is>
          <t>小型电池</t>
        </is>
      </c>
      <c r="C41" s="167" t="inlineStr">
        <is>
          <t>consumable</t>
        </is>
      </c>
      <c r="D41" s="167" t="inlineStr">
        <is>
          <t>battery</t>
        </is>
      </c>
      <c r="E41" s="167" t="inlineStr">
        <is>
          <t>common</t>
        </is>
      </c>
      <c r="F41" s="167" t="n">
        <v>25</v>
      </c>
      <c r="G41" s="167" t="n">
        <v>5</v>
      </c>
      <c r="H41" s="167" t="inlineStr">
        <is>
          <t>restore_flashlight_charge</t>
        </is>
      </c>
      <c r="I41" s="167" t="inlineStr">
        <is>
          <t>恢复手电筒25%电量；满电时不消耗</t>
        </is>
      </c>
      <c r="J41" s="167" t="inlineStr">
        <is>
          <t>loot_common×2；loot_floor_1_2×2.5；spawn_starter×2；combat_floor_1-5×1.5；base_vending unlimited</t>
        </is>
      </c>
      <c r="K41" s="167" t="n">
        <v>1</v>
      </c>
      <c r="L41" s="168" t="inlineStr">
        <is>
          <t>[已实装]</t>
        </is>
      </c>
      <c r="M41" s="167" t="inlineStr">
        <is>
          <t>电量恢复、满电不消耗、基地外开关不重置及贩卖机接入已验收</t>
        </is>
      </c>
      <c r="N41" s="167" t="inlineStr">
        <is>
          <t>src/base/ItemRegistry.gd；src/player3d/PlayerFlashlight3D.gd；tests/verification/verify_3d_flashlight_charge_flow.gd</t>
        </is>
      </c>
      <c r="O41" s="167" t="inlineStr">
        <is>
          <t>tags=consumable、flashlight、battery</t>
        </is>
      </c>
      <c r="P41" s="169" t="n">
        <v>25</v>
      </c>
      <c r="Q41" s="169" t="n">
        <v>12</v>
      </c>
      <c r="R41" s="169" t="n">
        <v>1</v>
      </c>
      <c r="S41" s="169" t="inlineStr">
        <is>
          <t>unlimited</t>
        </is>
      </c>
      <c r="T41" s="169" t="n">
        <v>7</v>
      </c>
    </row>
    <row r="42" ht="57" customHeight="1" s="135">
      <c r="A42" s="167" t="inlineStr">
        <is>
          <t>item_battery_l</t>
        </is>
      </c>
      <c r="B42" s="167" t="inlineStr">
        <is>
          <t>大型电池</t>
        </is>
      </c>
      <c r="C42" s="167" t="inlineStr">
        <is>
          <t>consumable</t>
        </is>
      </c>
      <c r="D42" s="167" t="inlineStr">
        <is>
          <t>battery</t>
        </is>
      </c>
      <c r="E42" s="167" t="inlineStr">
        <is>
          <t>uncommon</t>
        </is>
      </c>
      <c r="F42" s="167" t="n">
        <v>60</v>
      </c>
      <c r="G42" s="167" t="n">
        <v>5</v>
      </c>
      <c r="H42" s="167" t="inlineStr">
        <is>
          <t>restore_flashlight_charge</t>
        </is>
      </c>
      <c r="I42" s="167" t="inlineStr">
        <is>
          <t>恢复手电筒75%电量。中深层掉落或精英包。</t>
        </is>
      </c>
      <c r="J42" s="167" t="inlineStr">
        <is>
          <t>loot_floor_3_4×1.2；scavenge_floor_3×1；scavenge_floor_4×1；scavenge_floor_5×1；elite_floor_1×0.8；elite_floor_2×0.8；boss_floor_1×1.5</t>
        </is>
      </c>
      <c r="K42" s="167" t="n">
        <v>0</v>
      </c>
      <c r="L42" s="168" t="inlineStr">
        <is>
          <t>[已实装]</t>
        </is>
      </c>
      <c r="M42" s="167" t="inlineStr">
        <is>
          <t>已注册；75%恢复、堆叠与运行掉落已接入</t>
        </is>
      </c>
      <c r="N42" s="167" t="inlineStr">
        <is>
          <t>src/base/ItemRegistry.gd；src/game/ItemUseHandler.gd；tests/verification/verify_3d_flashlight_charge_flow.gd</t>
        </is>
      </c>
      <c r="O42" s="167" t="inlineStr">
        <is>
          <t>tags=consumable、flashlight、battery；正式ID=item_battery_l</t>
        </is>
      </c>
      <c r="P42" s="170">
        <f>IF(F42&gt;0,F42,0)</f>
        <v/>
      </c>
      <c r="Q42" s="170">
        <f>IF(F42&gt;0,ROUND(F42*0.5,0),0)</f>
        <v/>
      </c>
      <c r="R42" s="170" t="b">
        <v>0</v>
      </c>
      <c r="S42" s="170" t="inlineStr">
        <is>
          <t>not_listed</t>
        </is>
      </c>
      <c r="T42" s="170" t="n">
        <v>0</v>
      </c>
    </row>
    <row r="43" ht="57" customHeight="1" s="135">
      <c r="A43" s="167" t="inlineStr">
        <is>
          <t>item_cell_pack</t>
        </is>
      </c>
      <c r="B43" s="167" t="inlineStr">
        <is>
          <t>电芯包</t>
        </is>
      </c>
      <c r="C43" s="167" t="inlineStr">
        <is>
          <t>consumable</t>
        </is>
      </c>
      <c r="D43" s="167" t="inlineStr">
        <is>
          <t>battery</t>
        </is>
      </c>
      <c r="E43" s="167" t="inlineStr">
        <is>
          <t>rare</t>
        </is>
      </c>
      <c r="F43" s="167" t="n">
        <v>120</v>
      </c>
      <c r="G43" s="167" t="n">
        <v>3</v>
      </c>
      <c r="H43" s="167" t="inlineStr">
        <is>
          <t>restore_flashlight_charge</t>
        </is>
      </c>
      <c r="I43" s="167" t="inlineStr">
        <is>
          <t>完全充满手电筒。稀有掉落。</t>
        </is>
      </c>
      <c r="J43" s="167" t="inlineStr">
        <is>
          <t>loot_floor_5×0.6；loot_abyss×1；boss_floor_2×1.5</t>
        </is>
      </c>
      <c r="K43" s="167" t="n">
        <v>0</v>
      </c>
      <c r="L43" s="168" t="inlineStr">
        <is>
          <t>[已实装]</t>
        </is>
      </c>
      <c r="M43" s="167" t="inlineStr">
        <is>
          <t>已注册；100%恢复、堆叠与运行掉落已接入</t>
        </is>
      </c>
      <c r="N43" s="167" t="inlineStr">
        <is>
          <t>src/base/ItemRegistry.gd；src/game/ItemUseHandler.gd；tests/verification/verify_3d_flashlight_charge_flow.gd</t>
        </is>
      </c>
      <c r="O43" s="167" t="inlineStr">
        <is>
          <t>tags=consumable、flashlight、battery；正式ID=item_cell_pack</t>
        </is>
      </c>
      <c r="P43" s="170">
        <f>IF(F43&gt;0,F43,0)</f>
        <v/>
      </c>
      <c r="Q43" s="170">
        <f>IF(F43&gt;0,ROUND(F43*0.5,0),0)</f>
        <v/>
      </c>
      <c r="R43" s="170" t="b">
        <v>0</v>
      </c>
      <c r="S43" s="170" t="inlineStr">
        <is>
          <t>not_listed</t>
        </is>
      </c>
      <c r="T43" s="170" t="n">
        <v>0</v>
      </c>
    </row>
    <row r="44" ht="57" customHeight="1" s="135">
      <c r="A44" s="167" t="inlineStr">
        <is>
          <t>item_flashlight_basic</t>
        </is>
      </c>
      <c r="B44" s="167" t="inlineStr">
        <is>
          <t>基础模块</t>
        </is>
      </c>
      <c r="C44" s="167" t="inlineStr">
        <is>
          <t>module</t>
        </is>
      </c>
      <c r="D44" s="167" t="inlineStr">
        <is>
          <t>flashlight_module</t>
        </is>
      </c>
      <c r="E44" s="167" t="inlineStr">
        <is>
          <t>common</t>
        </is>
      </c>
      <c r="F44" s="167" t="n">
        <v>0</v>
      </c>
      <c r="G44" s="167" t="n">
        <v>1</v>
      </c>
      <c r="H44" s="167" t="inlineStr">
        <is>
          <t>equip_flashlight_module</t>
        </is>
      </c>
      <c r="I44" s="167" t="inlineStr">
        <is>
          <t>默认手电筒模块。耗电1.00×，揭示1.00×。</t>
        </is>
      </c>
      <c r="J44" s="167" t="inlineStr">
        <is>
          <t>默认装备，未列入普通掉落</t>
        </is>
      </c>
      <c r="K44" s="167" t="n"/>
      <c r="L44" s="168" t="inlineStr">
        <is>
          <t>[已实装]</t>
        </is>
      </c>
      <c r="M44" s="167" t="inlineStr">
        <is>
          <t>已注册；默认模块已接入运行与存档</t>
        </is>
      </c>
      <c r="N44" s="167" t="inlineStr">
        <is>
          <t>src/base/ItemRegistry.gd；src/player3d/PlayerFlashlight3D.gd；src/base/BaseManager.gd</t>
        </is>
      </c>
      <c r="O44" s="167" t="inlineStr">
        <is>
          <t>module_id=basic；tags=module、flashlight_module、basic</t>
        </is>
      </c>
      <c r="P44" s="170">
        <f>IF(F44&gt;0,F44,0)</f>
        <v/>
      </c>
      <c r="Q44" s="170">
        <f>IF(F44&gt;0,ROUND(F44*0.5,0),0)</f>
        <v/>
      </c>
      <c r="R44" s="170" t="b">
        <v>0</v>
      </c>
      <c r="S44" s="170" t="inlineStr">
        <is>
          <t>not_listed</t>
        </is>
      </c>
      <c r="T44" s="170" t="n">
        <v>0</v>
      </c>
    </row>
    <row r="45" ht="57" customHeight="1" s="135">
      <c r="A45" s="167" t="inlineStr">
        <is>
          <t>item_flashlight_advanced</t>
        </is>
      </c>
      <c r="B45" s="167" t="inlineStr">
        <is>
          <t>加强模块</t>
        </is>
      </c>
      <c r="C45" s="167" t="inlineStr">
        <is>
          <t>module</t>
        </is>
      </c>
      <c r="D45" s="167" t="inlineStr">
        <is>
          <t>flashlight_module</t>
        </is>
      </c>
      <c r="E45" s="167" t="inlineStr">
        <is>
          <t>uncommon</t>
        </is>
      </c>
      <c r="F45" s="167" t="n">
        <v>0</v>
      </c>
      <c r="G45" s="167" t="n">
        <v>1</v>
      </c>
      <c r="H45" s="167" t="inlineStr">
        <is>
          <t>equip_flashlight_module</t>
        </is>
      </c>
      <c r="I45" s="167" t="inlineStr">
        <is>
          <t>耗电0.7143×，揭示1.20×。蓝图解锁后工坊可选。</t>
        </is>
      </c>
      <c r="J45" s="167" t="inlineStr">
        <is>
          <t>blueprint_attachment_unlock×1</t>
        </is>
      </c>
      <c r="K45" s="167" t="n"/>
      <c r="L45" s="168" t="inlineStr">
        <is>
          <t>[已实装]</t>
        </is>
      </c>
      <c r="M45" s="167" t="inlineStr">
        <is>
          <t>已注册；Tier 1解锁、工坊切换与存档恢复已接入</t>
        </is>
      </c>
      <c r="N45" s="167" t="inlineStr">
        <is>
          <t>src/base/ItemRegistry.gd；src/player3d/PlayerFlashlight3D.gd；src/base/BaseManager.gd；tests/verification/verify_3d_flashlight_charge_flow.gd</t>
        </is>
      </c>
      <c r="O45" s="167" t="inlineStr">
        <is>
          <t>module_id=advanced；blueprint_unlock_tier=1</t>
        </is>
      </c>
      <c r="P45" s="169">
        <f>IF(F45&gt;0,F45,0)</f>
        <v/>
      </c>
      <c r="Q45" s="169">
        <f>IF(F45&gt;0,ROUND(F45*0.5,0),0)</f>
        <v/>
      </c>
      <c r="R45" s="169" t="b">
        <v>1</v>
      </c>
      <c r="S45" s="169" t="inlineStr">
        <is>
          <t>limited</t>
        </is>
      </c>
      <c r="T45" s="169" t="n">
        <v>7</v>
      </c>
    </row>
    <row r="46" ht="57" customHeight="1" s="135">
      <c r="A46" s="167" t="inlineStr">
        <is>
          <t>item_flashlight_efficient</t>
        </is>
      </c>
      <c r="B46" s="167" t="inlineStr">
        <is>
          <t>节能模块</t>
        </is>
      </c>
      <c r="C46" s="167" t="inlineStr">
        <is>
          <t>module</t>
        </is>
      </c>
      <c r="D46" s="167" t="inlineStr">
        <is>
          <t>flashlight_module</t>
        </is>
      </c>
      <c r="E46" s="167" t="inlineStr">
        <is>
          <t>rare</t>
        </is>
      </c>
      <c r="F46" s="167" t="n">
        <v>0</v>
      </c>
      <c r="G46" s="167" t="n">
        <v>1</v>
      </c>
      <c r="H46" s="167" t="inlineStr">
        <is>
          <t>equip_flashlight_module</t>
        </is>
      </c>
      <c r="I46" s="167" t="inlineStr">
        <is>
          <t>耗电0.50×，范围/揭示0.85×。带回99F安装后永久解锁。</t>
        </is>
      </c>
      <c r="J46" s="167" t="inlineStr">
        <is>
          <t>elite_floor_1×0.6；elite_floor_2×0.8；boss_floor_2×1</t>
        </is>
      </c>
      <c r="K46" s="167" t="n"/>
      <c r="L46" s="168" t="inlineStr">
        <is>
          <t>[已实装]</t>
        </is>
      </c>
      <c r="M46" s="167" t="inlineStr">
        <is>
          <t>已注册；掉落、带回解锁、工坊切换与存档已接入</t>
        </is>
      </c>
      <c r="N46" s="167" t="inlineStr">
        <is>
          <t>src/base/ItemRegistry.gd；src/player3d/PlayerFlashlight3D.gd；src/base/BaseManager.gd；tests/verification/verify_3d_flashlight_charge_flow.gd</t>
        </is>
      </c>
      <c r="O46" s="167" t="inlineStr">
        <is>
          <t>module_id=efficient；tags=module、flashlight_module、efficient</t>
        </is>
      </c>
      <c r="P46" s="170">
        <f>IF(F46&gt;0,F46,0)</f>
        <v/>
      </c>
      <c r="Q46" s="170">
        <f>IF(F46&gt;0,ROUND(F46*0.5,0),0)</f>
        <v/>
      </c>
      <c r="R46" s="170" t="b">
        <v>0</v>
      </c>
      <c r="S46" s="170" t="inlineStr">
        <is>
          <t>not_listed</t>
        </is>
      </c>
      <c r="T46" s="170" t="n">
        <v>0</v>
      </c>
    </row>
    <row r="47">
      <c r="A47" t="inlineStr">
        <is>
          <t>weapon_greatblade</t>
        </is>
      </c>
      <c r="B47" t="inlineStr">
        <is>
          <t>巨型工业断刃</t>
        </is>
      </c>
      <c r="C47" t="inlineStr">
        <is>
          <t>weapon</t>
        </is>
      </c>
      <c r="D47" t="inlineStr">
        <is>
          <t>melee_weapon</t>
        </is>
      </c>
      <c r="E47" t="inlineStr">
        <is>
          <t>uncommon</t>
        </is>
      </c>
      <c r="F47" t="n">
        <v>165</v>
      </c>
      <c r="G47" t="n">
        <v>1</v>
      </c>
      <c r="I47" t="inlineStr">
        <is>
          <t>宽扇区三段重型挥砍；第三段过顶重劈强化伤害与击退；无弹药/换弹。</t>
        </is>
      </c>
      <c r="J47" t="inlineStr">
        <is>
          <t>spawn_starter×1.2；loot_floor_1_2×0.75；loot_floor_3_4×1.2；scavenge_floor_1×0.65；scavenge_floor_2×1.1；combat_floor_1×0.5；combat_floor_2×0.9</t>
        </is>
      </c>
      <c r="K47" t="n">
        <v>0</v>
      </c>
      <c r="L47" t="inlineStr">
        <is>
          <t>[已实装]</t>
        </is>
      </c>
      <c r="M47" t="inlineStr">
        <is>
          <t>正式注册；完整WeaponInstance与近战专项已验收</t>
        </is>
      </c>
      <c r="N47" t="inlineStr">
        <is>
          <t>src/base/ItemRegistry.gd；src/base/BlueprintRegistry.gd</t>
        </is>
      </c>
      <c r="O47" t="inlineStr">
        <is>
          <t>tags=weapon, melee, heavy_melee, greatblade；stack_max=1；assembly_id=bp_greatblade</t>
        </is>
      </c>
      <c r="P47" t="n">
        <v>165</v>
      </c>
      <c r="Q47" t="n">
        <v>83</v>
      </c>
      <c r="R47" t="n">
        <v>0</v>
      </c>
      <c r="S47" t="inlineStr">
        <is>
          <t>not_listed</t>
        </is>
      </c>
      <c r="T47" t="n">
        <v>0</v>
      </c>
    </row>
    <row r="48">
      <c r="A48" t="inlineStr">
        <is>
          <t>weapon_waraxe</t>
        </is>
      </c>
      <c r="B48" t="inlineStr">
        <is>
          <t>攻城裂甲斧</t>
        </is>
      </c>
      <c r="C48" t="inlineStr">
        <is>
          <t>weapon</t>
        </is>
      </c>
      <c r="D48" t="inlineStr">
        <is>
          <t>melee_weapon</t>
        </is>
      </c>
      <c r="E48" t="inlineStr">
        <is>
          <t>rare</t>
        </is>
      </c>
      <c r="F48" t="n">
        <v>240</v>
      </c>
      <c r="G48" t="n">
        <v>1</v>
      </c>
      <c r="I48" t="inlineStr">
        <is>
          <t>高伤高击退三段攻城斧；第三段砸地前后摇较长；无弹药/换弹。</t>
        </is>
      </c>
      <c r="J48" t="inlineStr">
        <is>
          <t>loot_floor_1_2×0.18；loot_floor_3_4×0.95；loot_floor_5×1.45；loot_abyss×1.8；scavenge_floor_3×0.8；combat_floor_3×0.72；elite_floor_1×1.2；elite_floor_2×1.8</t>
        </is>
      </c>
      <c r="K48" t="n">
        <v>1</v>
      </c>
      <c r="L48" t="inlineStr">
        <is>
          <t>[已实装]</t>
        </is>
      </c>
      <c r="M48" t="inlineStr">
        <is>
          <t>正式注册；完整WeaponInstance与近战专项已验收</t>
        </is>
      </c>
      <c r="N48" t="inlineStr">
        <is>
          <t>src/base/ItemRegistry.gd；src/base/BlueprintRegistry.gd</t>
        </is>
      </c>
      <c r="O48" t="inlineStr">
        <is>
          <t>tags=weapon, melee, heavy_melee, waraxe；stack_max=1；assembly_id=bp_waraxe</t>
        </is>
      </c>
      <c r="P48" t="n">
        <v>240</v>
      </c>
      <c r="Q48" t="n">
        <v>120</v>
      </c>
      <c r="R48" t="n">
        <v>0</v>
      </c>
      <c r="S48" t="inlineStr">
        <is>
          <t>not_listed</t>
        </is>
      </c>
      <c r="T48" t="n">
        <v>0</v>
      </c>
    </row>
    <row r="49">
      <c r="A49" t="inlineStr">
        <is>
          <t>weapon_baseball_bat</t>
        </is>
      </c>
      <c r="B49" t="inlineStr">
        <is>
          <t>废土棒球棍</t>
        </is>
      </c>
      <c r="C49" t="inlineStr">
        <is>
          <t>weapon</t>
        </is>
      </c>
      <c r="D49" t="inlineStr">
        <is>
          <t>melee_weapon</t>
        </is>
      </c>
      <c r="E49" t="inlineStr">
        <is>
          <t>common</t>
        </is>
      </c>
      <c r="F49" t="n">
        <v>45</v>
      </c>
      <c r="G49" t="n">
        <v>1</v>
      </c>
      <c r="I49" t="inlineStr">
        <is>
          <t>基地贩卖机初级近战；三段快速挥击，第三段强化伤害与击退</t>
        </is>
      </c>
      <c r="J49" t="inlineStr">
        <is>
          <t>spawn_starter×2.2；loot_floor_1_2×1.6；scavenge_floor_1×1.8；scavenge_floor_2×1.2；combat_floor_1×1.0；base_vending unlimited</t>
        </is>
      </c>
      <c r="K49" t="n">
        <v>0</v>
      </c>
      <c r="L49" t="inlineStr">
        <is>
          <t>[已实装]</t>
        </is>
      </c>
      <c r="M49" t="inlineStr">
        <is>
          <t>正式注册；基地贩卖/WeaponInstance/三段状态机/模型/反馈已验收</t>
        </is>
      </c>
      <c r="N49" t="inlineStr">
        <is>
          <t>src/base/ItemRegistry.gd；src/base/BlueprintRegistry.gd；tests/verification/verify_weapon_attachment_inventory_flow.gd</t>
        </is>
      </c>
      <c r="O49" t="inlineStr">
        <is>
          <t>tags=weapon、melee、light_melee、baseball_bat；无枪械公共配件槽</t>
        </is>
      </c>
      <c r="P49" t="n">
        <v>45</v>
      </c>
      <c r="Q49" t="n">
        <v>23</v>
      </c>
      <c r="R49" t="n">
        <v>1</v>
      </c>
      <c r="S49" t="inlineStr">
        <is>
          <t>unlimited</t>
        </is>
      </c>
      <c r="T49" t="n">
        <v>1</v>
      </c>
    </row>
  </sheetData>
  <mergeCells count="3">
    <mergeCell ref="A1:O1"/>
    <mergeCell ref="A3:O3"/>
    <mergeCell ref="A2:O2"/>
  </mergeCells>
  <dataValidations count="1">
    <dataValidation sqref="L5:L37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0" workbookViewId="0">
      <selection activeCell="A1" sqref="A1"/>
    </sheetView>
  </sheetViews>
  <sheetFormatPr baseColWidth="8" defaultRowHeight="15"/>
  <cols>
    <col width="18" customWidth="1" style="135" min="1" max="1"/>
    <col width="24" customWidth="1" style="135" min="2" max="2"/>
    <col width="48" customWidth="1" style="135" min="3" max="3"/>
    <col width="18" customWidth="1" style="135" min="4" max="4"/>
    <col width="10" customWidth="1" style="135" min="5" max="5"/>
    <col width="20" customWidth="1" style="135" min="6" max="6"/>
    <col width="42" customWidth="1" style="135" min="7" max="7"/>
    <col width="16" customWidth="1" style="135" min="8" max="8"/>
  </cols>
  <sheetData>
    <row r="1" ht="32" customHeight="1" s="135">
      <c r="A1" s="3" t="inlineStr">
        <is>
          <t>ShellStorm2 游戏内容数据库｜字段字典</t>
        </is>
      </c>
    </row>
    <row r="2" ht="30" customHeight="1" s="135">
      <c r="A2" s="174" t="inlineStr">
        <is>
          <t>字段字典内容调整至人的共同契约。新增命运塔罗的阿尔卡那、花色、正/逆位概率、参数快照与翻牌字段。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工作表</t>
        </is>
      </c>
      <c r="B4" s="176" t="inlineStr">
        <is>
          <t>字段</t>
        </is>
      </c>
      <c r="C4" s="176" t="inlineStr">
        <is>
          <t>定义</t>
        </is>
      </c>
      <c r="D4" s="176" t="inlineStr">
        <is>
          <t>数据类型</t>
        </is>
      </c>
      <c r="E4" s="176" t="inlineStr">
        <is>
          <t>必填</t>
        </is>
      </c>
      <c r="F4" s="176" t="inlineStr">
        <is>
          <t>所有者</t>
        </is>
      </c>
      <c r="G4" s="176" t="inlineStr">
        <is>
          <t>验证规则</t>
        </is>
      </c>
      <c r="H4" s="176" t="inlineStr">
        <is>
          <t>来源</t>
        </is>
      </c>
    </row>
    <row r="5" ht="54" customHeight="1" s="135">
      <c r="A5" s="177" t="inlineStr">
        <is>
          <t>全表</t>
        </is>
      </c>
      <c r="B5" s="177" t="inlineStr">
        <is>
          <t>稳定ID</t>
        </is>
      </c>
      <c r="C5" s="177" t="inlineStr">
        <is>
          <t>跨版本稳定的内容定义主键</t>
        </is>
      </c>
      <c r="D5" s="177" t="inlineStr">
        <is>
          <t>string</t>
        </is>
      </c>
      <c r="E5" s="177" t="inlineStr">
        <is>
          <t>是</t>
        </is>
      </c>
      <c r="F5" s="177" t="inlineStr">
        <is>
          <t>内容系统</t>
        </is>
      </c>
      <c r="G5" s="177" t="inlineStr">
        <is>
          <t>小写蛇形；全局/表内唯一</t>
        </is>
      </c>
      <c r="H5" s="181" t="inlineStr">
        <is>
          <t>[Codex补充]</t>
        </is>
      </c>
    </row>
    <row r="6" ht="54" customHeight="1" s="135">
      <c r="A6" s="177" t="inlineStr">
        <is>
          <t>全表</t>
        </is>
      </c>
      <c r="B6" s="177" t="inlineStr">
        <is>
          <t>状态来源</t>
        </is>
      </c>
      <c r="C6" s="177" t="inlineStr">
        <is>
          <t>区分已实装、用户设计、Codex补充</t>
        </is>
      </c>
      <c r="D6" s="177" t="inlineStr">
        <is>
          <t>enum</t>
        </is>
      </c>
      <c r="E6" s="177" t="inlineStr">
        <is>
          <t>是</t>
        </is>
      </c>
      <c r="F6" s="177" t="inlineStr">
        <is>
          <t>文档治理</t>
        </is>
      </c>
      <c r="G6" s="177" t="inlineStr">
        <is>
          <t>三种固定值</t>
        </is>
      </c>
      <c r="H6" s="179" t="inlineStr">
        <is>
          <t>[用户设计]</t>
        </is>
      </c>
    </row>
    <row r="7" ht="54" customHeight="1" s="135">
      <c r="A7" s="177" t="inlineStr">
        <is>
          <t>全表</t>
        </is>
      </c>
      <c r="B7" s="177" t="inlineStr">
        <is>
          <t>实现状态</t>
        </is>
      </c>
      <c r="C7" s="177" t="inlineStr">
        <is>
          <t>说明正式3D、兼容原型、未实现或待QA</t>
        </is>
      </c>
      <c r="D7" s="177" t="inlineStr">
        <is>
          <t>string</t>
        </is>
      </c>
      <c r="E7" s="177" t="inlineStr">
        <is>
          <t>是</t>
        </is>
      </c>
      <c r="F7" s="177" t="inlineStr">
        <is>
          <t>对应系统</t>
        </is>
      </c>
      <c r="G7" s="177" t="inlineStr">
        <is>
          <t>不得只写完成/未完成</t>
        </is>
      </c>
      <c r="H7" s="181" t="inlineStr">
        <is>
          <t>[Codex补充]</t>
        </is>
      </c>
    </row>
    <row r="8" ht="54" customHeight="1" s="135">
      <c r="A8" s="177" t="inlineStr">
        <is>
          <t>全表</t>
        </is>
      </c>
      <c r="B8" s="177" t="inlineStr">
        <is>
          <t>事实源</t>
        </is>
      </c>
      <c r="C8" s="177" t="inlineStr">
        <is>
          <t>代码、场景、设计或数据库来源</t>
        </is>
      </c>
      <c r="D8" s="177" t="inlineStr">
        <is>
          <t>string</t>
        </is>
      </c>
      <c r="E8" s="177" t="inlineStr">
        <is>
          <t>是</t>
        </is>
      </c>
      <c r="F8" s="177" t="inlineStr">
        <is>
          <t>对应系统</t>
        </is>
      </c>
      <c r="G8" s="177" t="inlineStr">
        <is>
          <t>至少一个可定位来源</t>
        </is>
      </c>
      <c r="H8" s="181" t="inlineStr">
        <is>
          <t>[Codex补充]</t>
        </is>
      </c>
    </row>
    <row r="9" ht="54" customHeight="1" s="135">
      <c r="A9" s="177" t="inlineStr">
        <is>
          <t>武器</t>
        </is>
      </c>
      <c r="B9" s="177" t="inlineStr">
        <is>
          <t>蓝图Tier</t>
        </is>
      </c>
      <c r="C9" s="177" t="inlineStr">
        <is>
          <t>基地蓝图许可层级</t>
        </is>
      </c>
      <c r="D9" s="177" t="inlineStr">
        <is>
          <t>integer</t>
        </is>
      </c>
      <c r="E9" s="177" t="inlineStr">
        <is>
          <t>是</t>
        </is>
      </c>
      <c r="F9" s="177" t="inlineStr">
        <is>
          <t>战斗/基地</t>
        </is>
      </c>
      <c r="G9" s="177" t="inlineStr">
        <is>
          <t>0–99；当前0–3</t>
        </is>
      </c>
      <c r="H9" s="180" t="inlineStr">
        <is>
          <t>[已实装]</t>
        </is>
      </c>
    </row>
    <row r="10" ht="54" customHeight="1" s="135">
      <c r="A10" s="177" t="inlineStr">
        <is>
          <t>武器</t>
        </is>
      </c>
      <c r="B10" s="177" t="inlineStr">
        <is>
          <t>核心数值</t>
        </is>
      </c>
      <c r="C10" s="177" t="inlineStr">
        <is>
          <t>枪身/子弹/配件自身提供的基础参数</t>
        </is>
      </c>
      <c r="D10" s="177" t="inlineStr">
        <is>
          <t>key=value</t>
        </is>
      </c>
      <c r="E10" s="177" t="inlineStr">
        <is>
          <t>是</t>
        </is>
      </c>
      <c r="F10" s="177" t="inlineStr">
        <is>
          <t>战斗</t>
        </is>
      </c>
      <c r="G10" s="177" t="inlineStr">
        <is>
          <t>不写最终合成结果</t>
        </is>
      </c>
      <c r="H10" s="180" t="inlineStr">
        <is>
          <t>[已实装]</t>
        </is>
      </c>
    </row>
    <row r="11" ht="54" customHeight="1" s="135">
      <c r="A11" s="177" t="inlineStr">
        <is>
          <t>武器</t>
        </is>
      </c>
      <c r="B11" s="177" t="inlineStr">
        <is>
          <t>产出与掉落</t>
        </is>
      </c>
      <c r="C11" s="177" t="inlineStr">
        <is>
          <t>ItemRegistry掉落池键和相对权重</t>
        </is>
      </c>
      <c r="D11" s="177" t="inlineStr">
        <is>
          <t>list</t>
        </is>
      </c>
      <c r="E11" s="177" t="inlineStr">
        <is>
          <t>是</t>
        </is>
      </c>
      <c r="F11" s="177" t="inlineStr">
        <is>
          <t>掉落</t>
        </is>
      </c>
      <c r="G11" s="177" t="inlineStr">
        <is>
          <t>权重不是百分比</t>
        </is>
      </c>
      <c r="H11" s="180" t="inlineStr">
        <is>
          <t>[已实装]</t>
        </is>
      </c>
    </row>
    <row r="12" ht="54" customHeight="1" s="135">
      <c r="A12" s="177" t="inlineStr">
        <is>
          <t>命运卡</t>
        </is>
      </c>
      <c r="B12" s="177" t="inlineStr">
        <is>
          <t>背景来源</t>
        </is>
      </c>
      <c r="C12" s="177" t="inlineStr">
        <is>
          <t>区分功能来源与新增背景文案来源</t>
        </is>
      </c>
      <c r="D12" s="177" t="inlineStr">
        <is>
          <t>enum</t>
        </is>
      </c>
      <c r="E12" s="177" t="inlineStr">
        <is>
          <t>是</t>
        </is>
      </c>
      <c r="F12" s="177" t="inlineStr">
        <is>
          <t>叙事内容</t>
        </is>
      </c>
      <c r="G12" s="177" t="inlineStr">
        <is>
          <t>使用三色固定值</t>
        </is>
      </c>
      <c r="H12" s="181" t="inlineStr">
        <is>
          <t>[Codex补充]</t>
        </is>
      </c>
    </row>
    <row r="13" ht="54" customHeight="1" s="135">
      <c r="A13" s="177" t="inlineStr">
        <is>
          <t>命运卡</t>
        </is>
      </c>
      <c r="B13" s="177" t="inlineStr">
        <is>
          <t>目标规则</t>
        </is>
      </c>
      <c r="C13" s="177" t="inlineStr">
        <is>
          <t>卡片可以选择的装配节点</t>
        </is>
      </c>
      <c r="D13" s="177" t="inlineStr">
        <is>
          <t>list/dict</t>
        </is>
      </c>
      <c r="E13" s="177" t="inlineStr">
        <is>
          <t>是</t>
        </is>
      </c>
      <c r="F13" s="177" t="inlineStr">
        <is>
          <t>战斗</t>
        </is>
      </c>
      <c r="G13" s="177" t="inlineStr">
        <is>
          <t>空值表示执行器自动选择/环境规则</t>
        </is>
      </c>
      <c r="H13" s="180" t="inlineStr">
        <is>
          <t>[已实装]</t>
        </is>
      </c>
    </row>
    <row r="14" ht="54" customHeight="1" s="135">
      <c r="A14" s="177" t="inlineStr">
        <is>
          <t>命运卡</t>
        </is>
      </c>
      <c r="B14" s="177" t="inlineStr">
        <is>
          <t>效果参数</t>
        </is>
      </c>
      <c r="C14" s="177" t="inlineStr">
        <is>
          <t>EffectAction和全部执行参数</t>
        </is>
      </c>
      <c r="D14" s="177" t="inlineStr">
        <is>
          <t>key=value</t>
        </is>
      </c>
      <c r="E14" s="177" t="inlineStr">
        <is>
          <t>是</t>
        </is>
      </c>
      <c r="F14" s="177" t="inlineStr">
        <is>
          <t>战斗</t>
        </is>
      </c>
      <c r="G14" s="177" t="inlineStr">
        <is>
          <t>动作名必须可读</t>
        </is>
      </c>
      <c r="H14" s="180" t="inlineStr">
        <is>
          <t>[已实装]</t>
        </is>
      </c>
    </row>
    <row r="15" ht="54" customHeight="1" s="135">
      <c r="A15" s="177" t="inlineStr">
        <is>
          <t>怪物与Boss</t>
        </is>
      </c>
      <c r="B15" s="177" t="inlineStr">
        <is>
          <t>正式3D数值</t>
        </is>
      </c>
      <c r="C15" s="177" t="inlineStr">
        <is>
          <t>Enemy3D Profile基线</t>
        </is>
      </c>
      <c r="D15" s="177" t="inlineStr">
        <is>
          <t>number</t>
        </is>
      </c>
      <c r="E15" s="177" t="inlineStr">
        <is>
          <t>是</t>
        </is>
      </c>
      <c r="F15" s="177" t="inlineStr">
        <is>
          <t>怪物</t>
        </is>
      </c>
      <c r="G15" s="177" t="inlineStr">
        <is>
          <t>不得混用旧2D基线</t>
        </is>
      </c>
      <c r="H15" s="180" t="inlineStr">
        <is>
          <t>[已实装]</t>
        </is>
      </c>
    </row>
    <row r="16" ht="54" customHeight="1" s="135">
      <c r="A16" s="177" t="inlineStr">
        <is>
          <t>怪物与Boss</t>
        </is>
      </c>
      <c r="B16" s="177" t="inlineStr">
        <is>
          <t>刷新位置</t>
        </is>
      </c>
      <c r="C16" s="177" t="inlineStr">
        <is>
          <t>楼层深度、房间类型、主题池</t>
        </is>
      </c>
      <c r="D16" s="177" t="inlineStr">
        <is>
          <t>string</t>
        </is>
      </c>
      <c r="E16" s="177" t="inlineStr">
        <is>
          <t>是</t>
        </is>
      </c>
      <c r="F16" s="177" t="inlineStr">
        <is>
          <t>关卡/怪物</t>
        </is>
      </c>
      <c r="G16" s="177" t="inlineStr">
        <is>
          <t>不能只写随机</t>
        </is>
      </c>
      <c r="H16" s="181" t="inlineStr">
        <is>
          <t>[Codex补充]</t>
        </is>
      </c>
    </row>
    <row r="17" ht="54" customHeight="1" s="135">
      <c r="A17" s="177" t="inlineStr">
        <is>
          <t>精英怪</t>
        </is>
      </c>
      <c r="B17" s="177" t="inlineStr">
        <is>
          <t>名册来源</t>
        </is>
      </c>
      <c r="C17" s="177" t="inlineStr">
        <is>
          <t>12只固定唯一名册由用户设计冻结</t>
        </is>
      </c>
      <c r="D17" s="177" t="inlineStr">
        <is>
          <t>enum</t>
        </is>
      </c>
      <c r="E17" s="177" t="inlineStr">
        <is>
          <t>是</t>
        </is>
      </c>
      <c r="F17" s="177" t="inlineStr">
        <is>
          <t>精英名册</t>
        </is>
      </c>
      <c r="G17" s="177" t="inlineStr">
        <is>
          <t>12行均为用户设计</t>
        </is>
      </c>
      <c r="H17" s="179" t="inlineStr">
        <is>
          <t>[用户设计]</t>
        </is>
      </c>
    </row>
    <row r="18" ht="54" customHeight="1" s="135">
      <c r="A18" s="177" t="inlineStr">
        <is>
          <t>精英怪</t>
        </is>
      </c>
      <c r="B18" s="177" t="inlineStr">
        <is>
          <t>名称/玩法来源</t>
        </is>
      </c>
      <c r="C18" s="177" t="inlineStr">
        <is>
          <t>已有原型或Codex补齐的具体内容</t>
        </is>
      </c>
      <c r="D18" s="177" t="inlineStr">
        <is>
          <t>enum</t>
        </is>
      </c>
      <c r="E18" s="177" t="inlineStr">
        <is>
          <t>是</t>
        </is>
      </c>
      <c r="F18" s="177" t="inlineStr">
        <is>
          <t>内容设计</t>
        </is>
      </c>
      <c r="G18" s="177" t="inlineStr">
        <is>
          <t>与名册来源分开</t>
        </is>
      </c>
      <c r="H18" s="181" t="inlineStr">
        <is>
          <t>[Codex补充]</t>
        </is>
      </c>
    </row>
    <row r="19" ht="54" customHeight="1" s="135">
      <c r="A19" s="177" t="inlineStr">
        <is>
          <t>精英怪</t>
        </is>
      </c>
      <c r="B19" s="177" t="inlineStr">
        <is>
          <t>唯一约束</t>
        </is>
      </c>
      <c r="C19" s="177" t="inlineStr">
        <is>
          <t>同ID同一时间最多一个预约/实例</t>
        </is>
      </c>
      <c r="D19" s="177" t="inlineStr">
        <is>
          <t>string</t>
        </is>
      </c>
      <c r="E19" s="177" t="inlineStr">
        <is>
          <t>是</t>
        </is>
      </c>
      <c r="F19" s="177" t="inlineStr">
        <is>
          <t>精英名册</t>
        </is>
      </c>
      <c r="G19" s="177" t="inlineStr">
        <is>
          <t>全局服务执行</t>
        </is>
      </c>
      <c r="H19" s="179" t="inlineStr">
        <is>
          <t>[用户设计]</t>
        </is>
      </c>
    </row>
    <row r="20" ht="54" customHeight="1" s="135">
      <c r="A20" s="177" t="inlineStr">
        <is>
          <t>精英怪</t>
        </is>
      </c>
      <c r="B20" s="177" t="inlineStr">
        <is>
          <t>夺械转译</t>
        </is>
      </c>
      <c r="C20" s="177" t="inlineStr">
        <is>
          <t>玩家模块转为敌方技能的预算规则</t>
        </is>
      </c>
      <c r="D20" s="177" t="inlineStr">
        <is>
          <t>string</t>
        </is>
      </c>
      <c r="E20" s="177" t="inlineStr">
        <is>
          <t>是</t>
        </is>
      </c>
      <c r="F20" s="177" t="inlineStr">
        <is>
          <t>精英/战斗</t>
        </is>
      </c>
      <c r="G20" s="177" t="inlineStr">
        <is>
          <t>保存稳定内容ID</t>
        </is>
      </c>
      <c r="H20" s="179" t="inlineStr">
        <is>
          <t>[用户设计]</t>
        </is>
      </c>
    </row>
    <row r="21" ht="54" customHeight="1" s="135">
      <c r="A21" s="177" t="inlineStr">
        <is>
          <t>掉落物品</t>
        </is>
      </c>
      <c r="B21" s="177" t="inlineStr">
        <is>
          <t>价格</t>
        </is>
      </c>
      <c r="C21" s="177" t="inlineStr">
        <is>
          <t>出售/购买基础价值；0可能表示不可出售</t>
        </is>
      </c>
      <c r="D21" s="177" t="inlineStr">
        <is>
          <t>number</t>
        </is>
      </c>
      <c r="E21" s="177" t="inlineStr">
        <is>
          <t>是</t>
        </is>
      </c>
      <c r="F21" s="177" t="inlineStr">
        <is>
          <t>经济</t>
        </is>
      </c>
      <c r="G21" s="177" t="inlineStr">
        <is>
          <t>&gt;=0；结合商人层级</t>
        </is>
      </c>
      <c r="H21" s="180" t="inlineStr">
        <is>
          <t>[已实装]</t>
        </is>
      </c>
    </row>
    <row r="22" ht="54" customHeight="1" s="135">
      <c r="A22" s="177" t="inlineStr">
        <is>
          <t>掉落物品</t>
        </is>
      </c>
      <c r="B22" s="177" t="inlineStr">
        <is>
          <t>产出位置</t>
        </is>
      </c>
      <c r="C22" s="177" t="inlineStr">
        <is>
          <t>房间、怪物、Boss、搜索或系统签发</t>
        </is>
      </c>
      <c r="D22" s="177" t="inlineStr">
        <is>
          <t>string</t>
        </is>
      </c>
      <c r="E22" s="177" t="inlineStr">
        <is>
          <t>是</t>
        </is>
      </c>
      <c r="F22" s="177" t="inlineStr">
        <is>
          <t>掉落/关卡</t>
        </is>
      </c>
      <c r="G22" s="177" t="inlineStr">
        <is>
          <t>进度物不可进普通池</t>
        </is>
      </c>
      <c r="H22" s="181" t="inlineStr">
        <is>
          <t>[Codex补充]</t>
        </is>
      </c>
    </row>
    <row r="23" ht="44" customHeight="1" s="135">
      <c r="A23" s="45" t="inlineStr">
        <is>
          <t>武器实例</t>
        </is>
      </c>
      <c r="B23" s="45" t="inlineStr">
        <is>
          <t>weapon_instance_id</t>
        </is>
      </c>
      <c r="C23" s="45" t="inlineStr">
        <is>
          <t>永久绑定一把具体枪械的唯一物品主键</t>
        </is>
      </c>
      <c r="D23" s="45" t="inlineStr">
        <is>
          <t>string</t>
        </is>
      </c>
      <c r="E23" s="45" t="inlineStr">
        <is>
          <t>是</t>
        </is>
      </c>
      <c r="F23" s="45" t="inlineStr">
        <is>
          <t>战斗/存档</t>
        </is>
      </c>
      <c r="G23" s="45" t="inlineStr">
        <is>
          <t>全局唯一；跨装备、背包、地面、交易、保险与存档不变</t>
        </is>
      </c>
      <c r="H23" s="47" t="inlineStr">
        <is>
          <t>[用户设计]</t>
        </is>
      </c>
    </row>
    <row r="24" ht="44" customHeight="1" s="135">
      <c r="A24" s="45" t="inlineStr">
        <is>
          <t>武器实例</t>
        </is>
      </c>
      <c r="B24" s="45" t="inlineStr">
        <is>
          <t>weapon_content_id</t>
        </is>
      </c>
      <c r="C24" s="45" t="inlineStr">
        <is>
          <t>该实例引用的枪型内容定义ID</t>
        </is>
      </c>
      <c r="D24" s="45" t="inlineStr">
        <is>
          <t>string</t>
        </is>
      </c>
      <c r="E24" s="45" t="inlineStr">
        <is>
          <t>是</t>
        </is>
      </c>
      <c r="F24" s="45" t="inlineStr">
        <is>
          <t>内容/战斗</t>
        </is>
      </c>
      <c r="G24" s="45" t="inlineStr">
        <is>
          <t>必须引用武器成品定义；不能代替实例ID</t>
        </is>
      </c>
      <c r="H24" s="47" t="inlineStr">
        <is>
          <t>[用户设计]</t>
        </is>
      </c>
    </row>
    <row r="25" ht="44" customHeight="1" s="135">
      <c r="A25" s="45" t="inlineStr">
        <is>
          <t>武器实例</t>
        </is>
      </c>
      <c r="B25" s="45" t="inlineStr">
        <is>
          <t>fate_slot_capacity</t>
        </is>
      </c>
      <c r="C25" s="45" t="inlineStr">
        <is>
          <t>该枪可容纳的永久命运升级数量</t>
        </is>
      </c>
      <c r="D25" s="45" t="inlineStr">
        <is>
          <t>integer</t>
        </is>
      </c>
      <c r="E25" s="45" t="inlineStr">
        <is>
          <t>是</t>
        </is>
      </c>
      <c r="F25" s="45" t="inlineStr">
        <is>
          <t>战斗</t>
        </is>
      </c>
      <c r="G25" s="45" t="inlineStr">
        <is>
          <t>普通枪基础8；类型/稀有度可数据覆盖；0–99</t>
        </is>
      </c>
      <c r="H25" s="47" t="inlineStr">
        <is>
          <t>[用户设计]</t>
        </is>
      </c>
    </row>
    <row r="26" ht="44" customHeight="1" s="135">
      <c r="A26" s="45" t="inlineStr">
        <is>
          <t>武器实例</t>
        </is>
      </c>
      <c r="B26" s="45" t="inlineStr">
        <is>
          <t>fate_upgrades[]</t>
        </is>
      </c>
      <c r="C26" s="45" t="inlineStr">
        <is>
          <t>按应用顺序保存的不可逆武器命运升级记录</t>
        </is>
      </c>
      <c r="D26" s="45" t="inlineStr">
        <is>
          <t>array</t>
        </is>
      </c>
      <c r="E26" s="45" t="inlineStr">
        <is>
          <t>是</t>
        </is>
      </c>
      <c r="F26" s="45" t="inlineStr">
        <is>
          <t>战斗/存档</t>
        </is>
      </c>
      <c r="G26" s="45" t="inlineStr">
        <is>
          <t>slot_index从1连续；不可删除、替换、排序或跨枪转移</t>
        </is>
      </c>
      <c r="H26" s="47" t="inlineStr">
        <is>
          <t>[用户设计]</t>
        </is>
      </c>
    </row>
    <row r="27" ht="44" customHeight="1" s="135">
      <c r="A27" s="45" t="inlineStr">
        <is>
          <t>武器实例</t>
        </is>
      </c>
      <c r="B27" s="45" t="inlineStr">
        <is>
          <t>attachment_slots{}</t>
        </is>
      </c>
      <c r="C27" s="45" t="inlineStr">
        <is>
          <t>可拆卸配件与子弹模块槽位快照</t>
        </is>
      </c>
      <c r="D27" s="45" t="inlineStr">
        <is>
          <t>dict</t>
        </is>
      </c>
      <c r="E27" s="45" t="inlineStr">
        <is>
          <t>是</t>
        </is>
      </c>
      <c r="F27" s="45" t="inlineStr">
        <is>
          <t>战斗/背包</t>
        </is>
      </c>
      <c r="G27" s="45" t="inlineStr">
        <is>
          <t>不占命运槽；卸装与交换必须事务化</t>
        </is>
      </c>
      <c r="H27" s="47" t="inlineStr">
        <is>
          <t>[用户设计]</t>
        </is>
      </c>
    </row>
    <row r="28" ht="44" customHeight="1" s="135">
      <c r="A28" s="45" t="inlineStr">
        <is>
          <t>命运卡</t>
        </is>
      </c>
      <c r="B28" s="45" t="inlineStr">
        <is>
          <t>作用域</t>
        </is>
      </c>
      <c r="C28" s="45" t="inlineStr">
        <is>
          <t>卡片规则所有者：WEAPON/CHARACTER/WORLD</t>
        </is>
      </c>
      <c r="D28" s="45" t="inlineStr">
        <is>
          <t>enum</t>
        </is>
      </c>
      <c r="E28" s="45" t="inlineStr">
        <is>
          <t>是</t>
        </is>
      </c>
      <c r="F28" s="45" t="inlineStr">
        <is>
          <t>战斗/角色/关卡</t>
        </is>
      </c>
      <c r="G28" s="45" t="inlineStr">
        <is>
          <t>三选一；WEAPON写枪械实例，另两类不占武器槽</t>
        </is>
      </c>
      <c r="H28" s="47" t="inlineStr">
        <is>
          <t>[用户设计]</t>
        </is>
      </c>
    </row>
    <row r="29" ht="44" customHeight="1" s="135">
      <c r="A29" s="45" t="inlineStr">
        <is>
          <t>命运卡</t>
        </is>
      </c>
      <c r="B29" s="45" t="inlineStr">
        <is>
          <t>武器槽规则</t>
        </is>
      </c>
      <c r="C29" s="45" t="inlineStr">
        <is>
          <t>说明是否占槽及失败时的消耗/回滚策略</t>
        </is>
      </c>
      <c r="D29" s="45" t="inlineStr">
        <is>
          <t>string</t>
        </is>
      </c>
      <c r="E29" s="45" t="inlineStr">
        <is>
          <t>是</t>
        </is>
      </c>
      <c r="F29" s="45" t="inlineStr">
        <is>
          <t>战斗</t>
        </is>
      </c>
      <c r="G29" s="45" t="inlineStr">
        <is>
          <t>WEAPON占下一个永久槽；满槽失败不消耗；其他作用域不占槽</t>
        </is>
      </c>
      <c r="H29" s="47" t="inlineStr">
        <is>
          <t>[用户设计]</t>
        </is>
      </c>
    </row>
    <row r="30" ht="44" customHeight="1" s="135">
      <c r="A30" s="45" t="inlineStr">
        <is>
          <t>武器/命运卡</t>
        </is>
      </c>
      <c r="B30" s="45" t="inlineStr">
        <is>
          <t>ui_summary</t>
        </is>
      </c>
      <c r="C30" s="45" t="inlineStr">
        <is>
          <t>列表、卡面与武器表现页的一句话可执行规则</t>
        </is>
      </c>
      <c r="D30" s="45" t="inlineStr">
        <is>
          <t>string</t>
        </is>
      </c>
      <c r="E30" s="45" t="inlineStr">
        <is>
          <t>是</t>
        </is>
      </c>
      <c r="F30" s="45" t="inlineStr">
        <is>
          <t>UI/内容</t>
        </is>
      </c>
      <c r="G30" s="45" t="inlineStr">
        <is>
          <t>必须与作用域、目标与实际效果一致</t>
        </is>
      </c>
      <c r="H30" s="47" t="inlineStr">
        <is>
          <t>[用户设计]</t>
        </is>
      </c>
    </row>
    <row r="31" ht="44" customHeight="1" s="135">
      <c r="A31" s="45" t="inlineStr">
        <is>
          <t>武器/命运卡</t>
        </is>
      </c>
      <c r="B31" s="45" t="inlineStr">
        <is>
          <t>ui_target_preview</t>
        </is>
      </c>
      <c r="C31" s="45" t="inlineStr">
        <is>
          <t>应用前的目标、槽位、数值与行为差值</t>
        </is>
      </c>
      <c r="D31" s="45" t="inlineStr">
        <is>
          <t>string/dict</t>
        </is>
      </c>
      <c r="E31" s="45" t="inlineStr">
        <is>
          <t>是</t>
        </is>
      </c>
      <c r="F31" s="45" t="inlineStr">
        <is>
          <t>UI/战斗</t>
        </is>
      </c>
      <c r="G31" s="45" t="inlineStr">
        <is>
          <t>WEAPON必须含实例ID尾号与下一槽；其他作用域含所有者</t>
        </is>
      </c>
      <c r="H31" s="47" t="inlineStr">
        <is>
          <t>[用户设计]</t>
        </is>
      </c>
    </row>
    <row r="32" ht="44" customHeight="1" s="135">
      <c r="A32" s="45" t="inlineStr">
        <is>
          <t>武器/命运卡</t>
        </is>
      </c>
      <c r="B32" s="45" t="inlineStr">
        <is>
          <t>ui_success_feedback</t>
        </is>
      </c>
      <c r="C32" s="45" t="inlineStr">
        <is>
          <t>事务成功后的槽位、字段高亮与短提示</t>
        </is>
      </c>
      <c r="D32" s="45" t="inlineStr">
        <is>
          <t>string/dict</t>
        </is>
      </c>
      <c r="E32" s="45" t="inlineStr">
        <is>
          <t>是</t>
        </is>
      </c>
      <c r="F32" s="45" t="inlineStr">
        <is>
          <t>UI</t>
        </is>
      </c>
      <c r="G32" s="45" t="inlineStr">
        <is>
          <t>只能在领域事务提交后播放</t>
        </is>
      </c>
      <c r="H32" s="47" t="inlineStr">
        <is>
          <t>[用户设计]</t>
        </is>
      </c>
    </row>
    <row r="33" ht="44" customHeight="1" s="135">
      <c r="A33" s="45" t="inlineStr">
        <is>
          <t>武器/命运卡</t>
        </is>
      </c>
      <c r="B33" s="45" t="inlineStr">
        <is>
          <t>ui_failure_feedback</t>
        </is>
      </c>
      <c r="C33" s="45" t="inlineStr">
        <is>
          <t>按失败原因返回的可修正文案</t>
        </is>
      </c>
      <c r="D33" s="45" t="inlineStr">
        <is>
          <t>dict</t>
        </is>
      </c>
      <c r="E33" s="45" t="inlineStr">
        <is>
          <t>是</t>
        </is>
      </c>
      <c r="F33" s="45" t="inlineStr">
        <is>
          <t>UI/领域</t>
        </is>
      </c>
      <c r="G33" s="45" t="inlineStr">
        <is>
          <t>满槽、不兼容、目标丢失、背包满、冲突不可共用通用失败</t>
        </is>
      </c>
      <c r="H33" s="47" t="inlineStr">
        <is>
          <t>[用户设计]</t>
        </is>
      </c>
    </row>
    <row r="34" ht="44" customHeight="1" s="135">
      <c r="A34" s="45" t="inlineStr">
        <is>
          <t>武器/命运卡</t>
        </is>
      </c>
      <c r="B34" s="45" t="inlineStr">
        <is>
          <t>weapon_visual_tags[]</t>
        </is>
      </c>
      <c r="C34" s="45" t="inlineStr">
        <is>
          <t>枪身、挂件、刻痕、能量线路和动作表现标签</t>
        </is>
      </c>
      <c r="D34" s="45" t="inlineStr">
        <is>
          <t>array</t>
        </is>
      </c>
      <c r="E34" s="45" t="inlineStr">
        <is>
          <t>按需</t>
        </is>
      </c>
      <c r="F34" s="45" t="inlineStr">
        <is>
          <t>美术/战斗</t>
        </is>
      </c>
      <c r="G34" s="45" t="inlineStr">
        <is>
          <t>永久命运与可拆配件使用不同视觉语言</t>
        </is>
      </c>
      <c r="H34" s="47" t="inlineStr">
        <is>
          <t>[用户设计]</t>
        </is>
      </c>
    </row>
    <row r="35" ht="44" customHeight="1" s="135">
      <c r="A35" s="45" t="inlineStr">
        <is>
          <t>武器/命运卡</t>
        </is>
      </c>
      <c r="B35" s="45" t="inlineStr">
        <is>
          <t>projectile_visual_tags[]</t>
        </is>
      </c>
      <c r="C35" s="45" t="inlineStr">
        <is>
          <t>弹体、尾迹和飞行轨迹表现标签</t>
        </is>
      </c>
      <c r="D35" s="45" t="inlineStr">
        <is>
          <t>array</t>
        </is>
      </c>
      <c r="E35" s="45" t="inlineStr">
        <is>
          <t>按需</t>
        </is>
      </c>
      <c r="F35" s="45" t="inlineStr">
        <is>
          <t>美术/战斗</t>
        </is>
      </c>
      <c r="G35" s="45" t="inlineStr">
        <is>
          <t>与真实弹道和触发行为一致</t>
        </is>
      </c>
      <c r="H35" s="47" t="inlineStr">
        <is>
          <t>[用户设计]</t>
        </is>
      </c>
    </row>
    <row r="36" ht="44" customHeight="1" s="135">
      <c r="A36" s="45" t="inlineStr">
        <is>
          <t>武器/命运卡</t>
        </is>
      </c>
      <c r="B36" s="45" t="inlineStr">
        <is>
          <t>impact_visual_tags[]</t>
        </is>
      </c>
      <c r="C36" s="45" t="inlineStr">
        <is>
          <t>命中、爆炸、状态、连锁和世界反馈标签</t>
        </is>
      </c>
      <c r="D36" s="45" t="inlineStr">
        <is>
          <t>array</t>
        </is>
      </c>
      <c r="E36" s="45" t="inlineStr">
        <is>
          <t>按需</t>
        </is>
      </c>
      <c r="F36" s="45" t="inlineStr">
        <is>
          <t>美术/战斗</t>
        </is>
      </c>
      <c r="G36" s="45" t="inlineStr">
        <is>
          <t>结算时点与视觉时点一致</t>
        </is>
      </c>
      <c r="H36" s="47" t="inlineStr">
        <is>
          <t>[用户设计]</t>
        </is>
      </c>
    </row>
    <row r="37" ht="44" customHeight="1" s="135">
      <c r="A37" s="45" t="inlineStr">
        <is>
          <t>武器/命运卡</t>
        </is>
      </c>
      <c r="B37" s="45" t="inlineStr">
        <is>
          <t>audio_cue_id</t>
        </is>
      </c>
      <c r="C37" s="45" t="inlineStr">
        <is>
          <t>安装、应用、触发或失败音频提示</t>
        </is>
      </c>
      <c r="D37" s="45" t="inlineStr">
        <is>
          <t>string</t>
        </is>
      </c>
      <c r="E37" s="45" t="inlineStr">
        <is>
          <t>按需</t>
        </is>
      </c>
      <c r="F37" s="45" t="inlineStr">
        <is>
          <t>音频/UI</t>
        </is>
      </c>
      <c r="G37" s="45" t="inlineStr">
        <is>
          <t>高频触发需限流，不能造成音频刷屏</t>
        </is>
      </c>
      <c r="H37" s="47" t="inlineStr">
        <is>
          <t>[用户设计]</t>
        </is>
      </c>
    </row>
    <row r="38" ht="44" customHeight="1" s="135">
      <c r="A38" s="45" t="inlineStr">
        <is>
          <t>武器/命运卡</t>
        </is>
      </c>
      <c r="B38" s="45" t="inlineStr">
        <is>
          <t>presentation_status</t>
        </is>
      </c>
      <c r="C38" s="45" t="inlineStr">
        <is>
          <t>逐条UI与可感知表现完成状态</t>
        </is>
      </c>
      <c r="D38" s="45" t="inlineStr">
        <is>
          <t>enum</t>
        </is>
      </c>
      <c r="E38" s="45" t="inlineStr">
        <is>
          <t>是</t>
        </is>
      </c>
      <c r="F38" s="45" t="inlineStr">
        <is>
          <t>制作管理</t>
        </is>
      </c>
      <c r="G38" s="45" t="inlineStr">
        <is>
          <t>未设计/已设计未实装/已实装待QA/已验收</t>
        </is>
      </c>
      <c r="H38" s="47" t="inlineStr">
        <is>
          <t>[用户设计]</t>
        </is>
      </c>
    </row>
    <row r="39" ht="38" customHeight="1" s="135">
      <c r="A39" s="105" t="inlineStr">
        <is>
          <t>命运卡</t>
        </is>
      </c>
      <c r="B39" s="108" t="inlineStr">
        <is>
          <t>tarot_number</t>
        </is>
      </c>
      <c r="C39" s="88" t="inlineStr">
        <is>
          <t>0–XXI或ACE/2–10/PAGE/KNIGHT/QUEEN/KING</t>
        </is>
      </c>
      <c r="D39" s="88" t="inlineStr">
        <is>
          <t>string</t>
        </is>
      </c>
      <c r="E39" s="88" t="inlineStr">
        <is>
          <t>是</t>
        </is>
      </c>
      <c r="F39" s="88" t="inlineStr">
        <is>
          <t>内容/收藏</t>
        </is>
      </c>
      <c r="G39" s="88" t="inlineStr">
        <is>
          <t>78张牌内唯一编号与花色组合</t>
        </is>
      </c>
      <c r="H39" s="126" t="inlineStr">
        <is>
          <t>[用户设计]</t>
        </is>
      </c>
    </row>
    <row r="40" ht="38" customHeight="1" s="135">
      <c r="A40" s="106" t="inlineStr">
        <is>
          <t>命运卡</t>
        </is>
      </c>
      <c r="B40" s="109" t="inlineStr">
        <is>
          <t>arcana</t>
        </is>
      </c>
      <c r="C40" s="91" t="inlineStr">
        <is>
          <t>大阿尔卡那或小阿尔卡那</t>
        </is>
      </c>
      <c r="D40" s="91" t="inlineStr">
        <is>
          <t>enum</t>
        </is>
      </c>
      <c r="E40" s="91" t="inlineStr">
        <is>
          <t>是</t>
        </is>
      </c>
      <c r="F40" s="91" t="inlineStr">
        <is>
          <t>内容</t>
        </is>
      </c>
      <c r="G40" s="91" t="inlineStr">
        <is>
          <t>MAJOR/MINOR；总数22/56</t>
        </is>
      </c>
      <c r="H40" s="127" t="inlineStr">
        <is>
          <t>[用户设计]</t>
        </is>
      </c>
    </row>
    <row r="41" ht="38" customHeight="1" s="135">
      <c r="A41" s="106" t="inlineStr">
        <is>
          <t>命运卡</t>
        </is>
      </c>
      <c r="B41" s="109" t="inlineStr">
        <is>
          <t>suit</t>
        </is>
      </c>
      <c r="C41" s="91" t="inlineStr">
        <is>
          <t>花色或大阿尔卡那组</t>
        </is>
      </c>
      <c r="D41" s="91" t="inlineStr">
        <is>
          <t>enum</t>
        </is>
      </c>
      <c r="E41" s="91" t="inlineStr">
        <is>
          <t>是</t>
        </is>
      </c>
      <c r="F41" s="91" t="inlineStr">
        <is>
          <t>内容</t>
        </is>
      </c>
      <c r="G41" s="91" t="inlineStr">
        <is>
          <t>MAJOR/WANDS/SWORDS/CUPS/PENTACLES</t>
        </is>
      </c>
      <c r="H41" s="127" t="inlineStr">
        <is>
          <t>[用户设计]</t>
        </is>
      </c>
    </row>
    <row r="42" ht="38" customHeight="1" s="135">
      <c r="A42" s="106" t="inlineStr">
        <is>
          <t>命运卡</t>
        </is>
      </c>
      <c r="B42" s="109" t="inlineStr">
        <is>
          <t>upright_probability</t>
        </is>
      </c>
      <c r="C42" s="91" t="inlineStr">
        <is>
          <t>本次出场为正位的概率</t>
        </is>
      </c>
      <c r="D42" s="91" t="inlineStr">
        <is>
          <t>number</t>
        </is>
      </c>
      <c r="E42" s="91" t="inlineStr">
        <is>
          <t>是</t>
        </is>
      </c>
      <c r="F42" s="91" t="inlineStr">
        <is>
          <t>抽卡</t>
        </is>
      </c>
      <c r="G42" s="91" t="inlineStr">
        <is>
          <t>固定0.50；不因卡类/稀有度改写</t>
        </is>
      </c>
      <c r="H42" s="127" t="inlineStr">
        <is>
          <t>[用户设计]</t>
        </is>
      </c>
    </row>
    <row r="43" ht="38" customHeight="1" s="135">
      <c r="A43" s="106" t="inlineStr">
        <is>
          <t>命运卡</t>
        </is>
      </c>
      <c r="B43" s="109" t="inlineStr">
        <is>
          <t>reversed_probability</t>
        </is>
      </c>
      <c r="C43" s="91" t="inlineStr">
        <is>
          <t>本次出场为逆位的概率</t>
        </is>
      </c>
      <c r="D43" s="91" t="inlineStr">
        <is>
          <t>number</t>
        </is>
      </c>
      <c r="E43" s="91" t="inlineStr">
        <is>
          <t>是</t>
        </is>
      </c>
      <c r="F43" s="91" t="inlineStr">
        <is>
          <t>抽卡</t>
        </is>
      </c>
      <c r="G43" s="91" t="inlineStr">
        <is>
          <t>固定0.50；与正位和为1</t>
        </is>
      </c>
      <c r="H43" s="127" t="inlineStr">
        <is>
          <t>[用户设计]</t>
        </is>
      </c>
    </row>
    <row r="44" ht="38" customHeight="1" s="135">
      <c r="A44" s="106" t="inlineStr">
        <is>
          <t>命运卡</t>
        </is>
      </c>
      <c r="B44" s="109" t="inlineStr">
        <is>
          <t>upright_effect</t>
        </is>
      </c>
      <c r="C44" s="91" t="inlineStr">
        <is>
          <t>正位执行器动作和参数</t>
        </is>
      </c>
      <c r="D44" s="91" t="inlineStr">
        <is>
          <t>key-value</t>
        </is>
      </c>
      <c r="E44" s="91" t="inlineStr">
        <is>
          <t>是</t>
        </is>
      </c>
      <c r="F44" s="91" t="inlineStr">
        <is>
          <t>战斗/角色/世界</t>
        </is>
      </c>
      <c r="G44" s="91" t="inlineStr">
        <is>
          <t>参数必须可回放并与说明一致</t>
        </is>
      </c>
      <c r="H44" s="127" t="inlineStr">
        <is>
          <t>[用户设计]</t>
        </is>
      </c>
    </row>
    <row r="45" ht="38" customHeight="1" s="135">
      <c r="A45" s="106" t="inlineStr">
        <is>
          <t>命运卡</t>
        </is>
      </c>
      <c r="B45" s="109" t="inlineStr">
        <is>
          <t>reversed_effect</t>
        </is>
      </c>
      <c r="C45" s="91" t="inlineStr">
        <is>
          <t>逆位执行器动作和参数</t>
        </is>
      </c>
      <c r="D45" s="91" t="inlineStr">
        <is>
          <t>key-value</t>
        </is>
      </c>
      <c r="E45" s="91" t="inlineStr">
        <is>
          <t>是</t>
        </is>
      </c>
      <c r="F45" s="91" t="inlineStr">
        <is>
          <t>战斗/角色/世界</t>
        </is>
      </c>
      <c r="G45" s="91" t="inlineStr">
        <is>
          <t>不得只把正数全部变负；必须是可选策略</t>
        </is>
      </c>
      <c r="H45" s="127" t="inlineStr">
        <is>
          <t>[用户设计]</t>
        </is>
      </c>
    </row>
    <row r="46" ht="38" customHeight="1" s="135">
      <c r="A46" s="106" t="inlineStr">
        <is>
          <t>命运出场</t>
        </is>
      </c>
      <c r="B46" s="109" t="inlineStr">
        <is>
          <t>orientation</t>
        </is>
      </c>
      <c r="C46" s="91" t="inlineStr">
        <is>
          <t>本次卡牌已决定方位</t>
        </is>
      </c>
      <c r="D46" s="91" t="inlineStr">
        <is>
          <t>enum</t>
        </is>
      </c>
      <c r="E46" s="91" t="inlineStr">
        <is>
          <t>是</t>
        </is>
      </c>
      <c r="F46" s="91" t="inlineStr">
        <is>
          <t>抽卡/存档</t>
        </is>
      </c>
      <c r="G46" s="91" t="inlineStr">
        <is>
          <t>UPRIGHT/REVERSED；不回写卡牌定义</t>
        </is>
      </c>
      <c r="H46" s="127" t="inlineStr">
        <is>
          <t>[用户设计]</t>
        </is>
      </c>
    </row>
    <row r="47" ht="38" customHeight="1" s="135">
      <c r="A47" s="106" t="inlineStr">
        <is>
          <t>命运出场</t>
        </is>
      </c>
      <c r="B47" s="109" t="inlineStr">
        <is>
          <t>orientation_roll</t>
        </is>
      </c>
      <c r="C47" s="91" t="inlineStr">
        <is>
          <t>可重放的方位随机结果</t>
        </is>
      </c>
      <c r="D47" s="91" t="inlineStr">
        <is>
          <t>number</t>
        </is>
      </c>
      <c r="E47" s="91" t="inlineStr">
        <is>
          <t>是</t>
        </is>
      </c>
      <c r="F47" s="91" t="inlineStr">
        <is>
          <t>抽卡/存档</t>
        </is>
      </c>
      <c r="G47" s="91" t="inlineStr">
        <is>
          <t>0≤roll&lt;1；同一offer重进不重投</t>
        </is>
      </c>
      <c r="H47" s="127" t="inlineStr">
        <is>
          <t>[Codex补充]</t>
        </is>
      </c>
    </row>
    <row r="48" ht="38" customHeight="1" s="135">
      <c r="A48" s="106" t="inlineStr">
        <is>
          <t>命运出场</t>
        </is>
      </c>
      <c r="B48" s="109" t="inlineStr">
        <is>
          <t>orientation_rule_version</t>
        </is>
      </c>
      <c r="C48" s="91" t="inlineStr">
        <is>
          <t>方位抽取与平衡规则版本</t>
        </is>
      </c>
      <c r="D48" s="91" t="inlineStr">
        <is>
          <t>integer</t>
        </is>
      </c>
      <c r="E48" s="91" t="inlineStr">
        <is>
          <t>是</t>
        </is>
      </c>
      <c r="F48" s="91" t="inlineStr">
        <is>
          <t>抽卡/存档</t>
        </is>
      </c>
      <c r="G48" s="91" t="inlineStr">
        <is>
          <t>&gt;=1；用于旧存档与回放迁移</t>
        </is>
      </c>
      <c r="H48" s="127" t="inlineStr">
        <is>
          <t>[Codex补充]</t>
        </is>
      </c>
    </row>
    <row r="49" ht="38" customHeight="1" s="135">
      <c r="A49" s="106" t="inlineStr">
        <is>
          <t>命运卡</t>
        </is>
      </c>
      <c r="B49" s="109" t="inlineStr">
        <is>
          <t>legacy_alias</t>
        </is>
      </c>
      <c r="C49" s="91" t="inlineStr">
        <is>
          <t>塔罗迁移前的旧显示名</t>
        </is>
      </c>
      <c r="D49" s="91" t="inlineStr">
        <is>
          <t>string</t>
        </is>
      </c>
      <c r="E49" s="91" t="inlineStr">
        <is>
          <t>否</t>
        </is>
      </c>
      <c r="F49" s="91" t="inlineStr">
        <is>
          <t>存档/调试</t>
        </is>
      </c>
      <c r="G49" s="91" t="inlineStr">
        <is>
          <t>仅用于迁移、检索和旧档案对照</t>
        </is>
      </c>
      <c r="H49" s="127" t="inlineStr">
        <is>
          <t>[Codex补充]</t>
        </is>
      </c>
    </row>
    <row r="50" ht="38" customHeight="1" s="135">
      <c r="A50" s="107" t="inlineStr">
        <is>
          <t>命运卡UI</t>
        </is>
      </c>
      <c r="B50" s="110" t="inlineStr">
        <is>
          <t>flip_visual_contract</t>
        </is>
      </c>
      <c r="C50" s="94" t="inlineStr">
        <is>
          <t>卡背、翻面、逆位整卡倒置与描述替换时序</t>
        </is>
      </c>
      <c r="D50" s="94" t="inlineStr">
        <is>
          <t>string/dict</t>
        </is>
      </c>
      <c r="E50" s="94" t="inlineStr">
        <is>
          <t>是</t>
        </is>
      </c>
      <c r="F50" s="94" t="inlineStr">
        <is>
          <t>UI/可访问性</t>
        </is>
      </c>
      <c r="G50" s="94" t="inlineStr">
        <is>
          <t>逆位只转图案/框体180°；文字0°；减少动效可用</t>
        </is>
      </c>
      <c r="H50" s="128" t="inlineStr">
        <is>
          <t>[用户设计]</t>
        </is>
      </c>
    </row>
    <row r="51">
      <c r="A51" s="145" t="inlineStr">
        <is>
          <t>物品/武器</t>
        </is>
      </c>
      <c r="B51" s="145" t="inlineStr">
        <is>
          <t>base_buy_price</t>
        </is>
      </c>
      <c r="C51" s="145" t="inlineStr">
        <is>
          <t>基地购买价</t>
        </is>
      </c>
      <c r="D51" s="145" t="inlineStr">
        <is>
          <t>int</t>
        </is>
      </c>
      <c r="E51" s="145" t="inlineStr">
        <is>
          <t>否</t>
        </is>
      </c>
      <c r="F51" s="145" t="inlineStr">
        <is>
          <t>0</t>
        </is>
      </c>
      <c r="G51" s="145" t="inlineStr">
        <is>
          <t>自动贩卖机购买所需 extraction_points；0 表示不可购买</t>
        </is>
      </c>
      <c r="H51" s="145" t="inlineStr">
        <is>
          <t>掉落物品/武器</t>
        </is>
      </c>
    </row>
    <row r="52">
      <c r="A52" s="145" t="inlineStr">
        <is>
          <t>物品/武器</t>
        </is>
      </c>
      <c r="B52" s="145" t="inlineStr">
        <is>
          <t>base_sell_price</t>
        </is>
      </c>
      <c r="C52" s="145" t="inlineStr">
        <is>
          <t>基地出售价</t>
        </is>
      </c>
      <c r="D52" s="145" t="inlineStr">
        <is>
          <t>int</t>
        </is>
      </c>
      <c r="E52" s="145" t="inlineStr">
        <is>
          <t>否</t>
        </is>
      </c>
      <c r="F52" s="145" t="inlineStr">
        <is>
          <t>0</t>
        </is>
      </c>
      <c r="G52" s="145" t="inlineStr">
        <is>
          <t>自动贩卖机收购物品给予的 extraction_points；成交时以数据库为准</t>
        </is>
      </c>
      <c r="H52" s="145" t="inlineStr">
        <is>
          <t>掉落物品/武器</t>
        </is>
      </c>
    </row>
    <row r="53">
      <c r="A53" s="145" t="inlineStr">
        <is>
          <t>物品/武器</t>
        </is>
      </c>
      <c r="B53" s="145" t="inlineStr">
        <is>
          <t>base_shop_enabled</t>
        </is>
      </c>
      <c r="C53" s="145" t="inlineStr">
        <is>
          <t>基地商店上架</t>
        </is>
      </c>
      <c r="D53" s="145" t="inlineStr">
        <is>
          <t>bool</t>
        </is>
      </c>
      <c r="E53" s="145" t="inlineStr">
        <is>
          <t>否</t>
        </is>
      </c>
      <c r="F53" s="145" t="inlineStr">
        <is>
          <t>false</t>
        </is>
      </c>
      <c r="G53" s="145" t="inlineStr">
        <is>
          <t>仅 true 且价格合法的条目进入基地货架</t>
        </is>
      </c>
      <c r="H53" s="145" t="inlineStr">
        <is>
          <t>掉落物品/武器</t>
        </is>
      </c>
    </row>
    <row r="54">
      <c r="A54" s="145" t="inlineStr">
        <is>
          <t>物品/武器</t>
        </is>
      </c>
      <c r="B54" s="145" t="inlineStr">
        <is>
          <t>base_stock_rule</t>
        </is>
      </c>
      <c r="C54" s="145" t="inlineStr">
        <is>
          <t>基地库存规则</t>
        </is>
      </c>
      <c r="D54" s="145" t="inlineStr">
        <is>
          <t>string</t>
        </is>
      </c>
      <c r="E54" s="145" t="inlineStr">
        <is>
          <t>否</t>
        </is>
      </c>
      <c r="F54" s="145" t="inlineStr">
        <is>
          <t>not_listed</t>
        </is>
      </c>
      <c r="G54" s="145" t="inlineStr">
        <is>
          <t>unlimited=无限；not_listed=不上架；为后续限购预留</t>
        </is>
      </c>
      <c r="H54" s="145" t="inlineStr">
        <is>
          <t>掉落物品/武器</t>
        </is>
      </c>
    </row>
    <row r="55">
      <c r="A55" s="145" t="inlineStr">
        <is>
          <t>物品/武器</t>
        </is>
      </c>
      <c r="B55" s="145" t="inlineStr">
        <is>
          <t>base_shelf_order</t>
        </is>
      </c>
      <c r="C55" s="145" t="inlineStr">
        <is>
          <t>基地货架顺序</t>
        </is>
      </c>
      <c r="D55" s="145" t="inlineStr">
        <is>
          <t>int</t>
        </is>
      </c>
      <c r="E55" s="145" t="inlineStr">
        <is>
          <t>否</t>
        </is>
      </c>
      <c r="F55" s="145" t="inlineStr">
        <is>
          <t>0</t>
        </is>
      </c>
      <c r="G55" s="145" t="inlineStr">
        <is>
          <t>大于0的稳定展示顺序；不可用名称或数组下标作主键</t>
        </is>
      </c>
      <c r="H55" s="145" t="inlineStr">
        <is>
          <t>掉落物品/武器</t>
        </is>
      </c>
    </row>
    <row r="56">
      <c r="A56" t="inlineStr">
        <is>
          <t>武器</t>
        </is>
      </c>
      <c r="B56" t="inlineStr">
        <is>
          <t>武器类别</t>
        </is>
      </c>
      <c r="C56" t="inlineStr">
        <is>
          <t>区分ranged与melee；决定主攻击解释、弹药与动作入口</t>
        </is>
      </c>
      <c r="D56" t="inlineStr">
        <is>
          <t>enum</t>
        </is>
      </c>
      <c r="E56" t="inlineStr">
        <is>
          <t>是</t>
        </is>
      </c>
      <c r="F56" t="inlineStr">
        <is>
          <t>战斗</t>
        </is>
      </c>
      <c r="G56" t="inlineStr">
        <is>
          <t>ranged / melee；近战不得自动挂子弹</t>
        </is>
      </c>
      <c r="H56" t="inlineStr">
        <is>
          <t>[已实装]</t>
        </is>
      </c>
    </row>
    <row r="57">
      <c r="A57" t="inlineStr">
        <is>
          <t>武器</t>
        </is>
      </c>
      <c r="B57" t="inlineStr">
        <is>
          <t>近战连段参数</t>
        </is>
      </c>
      <c r="C57" t="inlineStr">
        <is>
          <t>combo_count及每段damage_scale/windup/active/recovery/knockback_scale</t>
        </is>
      </c>
      <c r="D57" t="inlineStr">
        <is>
          <t>key=value</t>
        </is>
      </c>
      <c r="E57" t="inlineStr">
        <is>
          <t>近战必填</t>
        </is>
      </c>
      <c r="F57" t="inlineStr">
        <is>
          <t>战斗/玩家动作</t>
        </is>
      </c>
      <c r="G57" t="inlineStr">
        <is>
          <t>当前固定3段；时长&gt;0；active是唯一命中窗口</t>
        </is>
      </c>
      <c r="H57" t="inlineStr">
        <is>
          <t>[已实装]</t>
        </is>
      </c>
    </row>
    <row r="58">
      <c r="A58" t="inlineStr">
        <is>
          <t>武器</t>
        </is>
      </c>
      <c r="B58" t="inlineStr">
        <is>
          <t>近战命中参数</t>
        </is>
      </c>
      <c r="C58" t="inlineStr">
        <is>
          <t>reach、arc_degrees、knockback及遮挡/去重契约</t>
        </is>
      </c>
      <c r="D58" t="inlineStr">
        <is>
          <t>key=value</t>
        </is>
      </c>
      <c r="E58" t="inlineStr">
        <is>
          <t>近战必填</t>
        </is>
      </c>
      <c r="F58" t="inlineStr">
        <is>
          <t>战斗</t>
        </is>
      </c>
      <c r="G58" t="inlineStr">
        <is>
          <t>reach&gt;0；0&lt;arc≤180；墙体射线；攻击实例内目标唯一</t>
        </is>
      </c>
      <c r="H58" t="inlineStr">
        <is>
          <t>[已实装]</t>
        </is>
      </c>
    </row>
    <row r="59">
      <c r="A59" t="inlineStr">
        <is>
          <t>武器</t>
        </is>
      </c>
      <c r="B59" t="inlineStr">
        <is>
          <t>近战反馈参数</t>
        </is>
      </c>
      <c r="C59" t="inlineStr">
        <is>
          <t>swing_vfx、impact_vfx、swing_sfx、impact_sfx及连段/武器参数</t>
        </is>
      </c>
      <c r="D59" t="inlineStr">
        <is>
          <t>asset reference</t>
        </is>
      </c>
      <c r="E59" t="inlineStr">
        <is>
          <t>近战必填</t>
        </is>
      </c>
      <c r="F59" t="inlineStr">
        <is>
          <t>战斗表现</t>
        </is>
      </c>
      <c r="G59" t="inlineStr">
        <is>
          <t>复用VFX-COMBAT-KIT-3D；音频引用AUD-SFX-MELEE-SWING/IMPACT；第三段反馈最强</t>
        </is>
      </c>
      <c r="H59" t="inlineStr">
        <is>
          <t>[已实装]</t>
        </is>
      </c>
    </row>
    <row r="60">
      <c r="A60" t="inlineStr">
        <is>
          <t>武器</t>
        </is>
      </c>
      <c r="B60" t="inlineStr">
        <is>
          <t>反馈去重契约</t>
        </is>
      </c>
      <c r="C60" t="inlineStr">
        <is>
          <t>每段一条挥砍弧光/一次挥砍音；逐目标冲击VFX；每攻击最多一次冲击主音</t>
        </is>
      </c>
      <c r="D60" t="inlineStr">
        <is>
          <t>runtime contract</t>
        </is>
      </c>
      <c r="E60" t="inlineStr">
        <is>
          <t>近战必填</t>
        </is>
      </c>
      <c r="F60" t="inlineStr">
        <is>
          <t>战斗/音频</t>
        </is>
      </c>
      <c r="G60" t="inlineStr">
        <is>
          <t>挥空不得触发impact；多目标不得重复主冲击音；目标受击/暴击层保留</t>
        </is>
      </c>
      <c r="H60" t="inlineStr">
        <is>
          <t>[已实装]</t>
        </is>
      </c>
    </row>
    <row r="61">
      <c r="A61" t="inlineStr">
        <is>
          <t>武器</t>
        </is>
      </c>
      <c r="B61" t="inlineStr">
        <is>
          <t>attachment_layout</t>
        </is>
      </c>
      <c r="C61" t="inlineStr">
        <is>
          <t>六个公共枪械配件位置及支持/已安装状态</t>
        </is>
      </c>
      <c r="D61" t="inlineStr">
        <is>
          <t>array&lt;dict&gt;</t>
        </is>
      </c>
      <c r="E61" t="inlineStr">
        <is>
          <t>枪械必填</t>
        </is>
      </c>
      <c r="F61" t="inlineStr">
        <is>
          <t>装备栏/装配树</t>
        </is>
      </c>
      <c r="G61" t="inlineStr">
        <is>
          <t>固定顺序scope/muzzle/magazine/stock/tactical/mutator；不支持槽仍显示但禁用</t>
        </is>
      </c>
      <c r="H61" t="inlineStr">
        <is>
          <t>[已实装]</t>
        </is>
      </c>
    </row>
    <row r="62">
      <c r="A62" t="inlineStr">
        <is>
          <t>武器</t>
        </is>
      </c>
      <c r="B62" t="inlineStr">
        <is>
          <t>attachment_ownership_contract</t>
        </is>
      </c>
      <c r="C62" t="inlineStr">
        <is>
          <t>配件单拆与整枪所有权事务</t>
        </is>
      </c>
      <c r="D62" t="inlineStr">
        <is>
          <t>runtime contract</t>
        </is>
      </c>
      <c r="E62" t="inlineStr">
        <is>
          <t>枪械必填</t>
        </is>
      </c>
      <c r="F62" t="inlineStr">
        <is>
          <t>背包/主副武器/存档</t>
        </is>
      </c>
      <c r="G62" t="inlineStr">
        <is>
          <t>单配件可装拆/替换并回滚；整枪移动、切换、掉落、保险和存档时assembly_snapshot整体随枪</t>
        </is>
      </c>
      <c r="H62" t="inlineStr">
        <is>
          <t>[已实装并验收]</t>
        </is>
      </c>
    </row>
  </sheetData>
  <mergeCells count="3">
    <mergeCell ref="A3:H3"/>
    <mergeCell ref="A2:H2"/>
    <mergeCell ref="A1:H1"/>
  </mergeCells>
  <dataValidations count="1">
    <dataValidation sqref="H5:H22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22" customWidth="1" style="135" min="1" max="1"/>
    <col width="16" customWidth="1" style="135" min="2" max="2"/>
    <col width="24" customWidth="1" style="135" min="3" max="3"/>
    <col width="12" customWidth="1" style="135" min="4" max="4"/>
    <col width="16" customWidth="1" style="135" min="5" max="5"/>
    <col width="16" customWidth="1" style="135" min="6" max="6"/>
    <col width="20" customWidth="1" style="135" min="7" max="7"/>
    <col width="12" customWidth="1" style="135" min="8" max="8"/>
    <col width="12" customWidth="1" style="135" min="9" max="9"/>
    <col width="12" customWidth="1" style="135" min="10" max="10"/>
    <col width="12" customWidth="1" style="135" min="11" max="11"/>
    <col width="14" customWidth="1" style="135" min="12" max="12"/>
    <col width="34" customWidth="1" style="135" min="13" max="13"/>
    <col width="10" customWidth="1" style="135" min="14" max="14"/>
    <col width="22" customWidth="1" style="135" min="15" max="15"/>
    <col width="22" customWidth="1" style="135" min="16" max="16"/>
    <col width="22" customWidth="1" style="135" min="17" max="17"/>
    <col width="22" customWidth="1" style="135" min="18" max="18"/>
  </cols>
  <sheetData>
    <row r="1" ht="26" customHeight="1" s="135">
      <c r="A1" s="157" t="inlineStr">
        <is>
          <t>基地自动贩卖机｜固定货物清单 v0.1</t>
        </is>
      </c>
    </row>
    <row r="2" ht="31.5" customHeight="1" s="135">
      <c r="A2" s="161" t="inlineStr">
        <is>
          <t>价格、上架与库存公式回查《掉落物品》；ItemRegistry运行时定义必须与本表验收一致。正式99F购买进入当前I键背包并生成独立实例；独立主基地使用待装载集合，不写成保险柜。</t>
        </is>
      </c>
      <c r="B2" s="171" t="n"/>
      <c r="C2" s="171" t="n"/>
      <c r="D2" s="171" t="n"/>
      <c r="E2" s="171" t="n"/>
      <c r="F2" s="171" t="n"/>
      <c r="G2" s="171" t="n"/>
      <c r="H2" s="171" t="n"/>
      <c r="I2" s="171" t="n"/>
      <c r="J2" s="171" t="n"/>
      <c r="K2" s="171" t="n"/>
      <c r="L2" s="171" t="n"/>
      <c r="M2" s="171" t="n"/>
      <c r="N2" s="171" t="n"/>
      <c r="O2" s="171" t="n"/>
      <c r="P2" s="171" t="n"/>
      <c r="Q2" s="171" t="n"/>
      <c r="R2" s="172" t="n"/>
    </row>
    <row r="4" ht="34" customHeight="1" s="135">
      <c r="A4" s="134" t="inlineStr">
        <is>
          <t>货架ID</t>
        </is>
      </c>
      <c r="B4" s="134" t="inlineStr">
        <is>
          <t>facility_id</t>
        </is>
      </c>
      <c r="C4" s="134" t="inlineStr">
        <is>
          <t>物品ID</t>
        </is>
      </c>
      <c r="D4" s="134" t="inlineStr">
        <is>
          <t>来源表</t>
        </is>
      </c>
      <c r="E4" s="134" t="inlineStr">
        <is>
          <t>名称</t>
        </is>
      </c>
      <c r="F4" s="134" t="inlineStr">
        <is>
          <t>类型</t>
        </is>
      </c>
      <c r="G4" s="134" t="inlineStr">
        <is>
          <t>货币</t>
        </is>
      </c>
      <c r="H4" s="134" t="inlineStr">
        <is>
          <t>购买价</t>
        </is>
      </c>
      <c r="I4" s="134" t="inlineStr">
        <is>
          <t>出售价</t>
        </is>
      </c>
      <c r="J4" s="134" t="inlineStr">
        <is>
          <t>库存规则</t>
        </is>
      </c>
      <c r="K4" s="134" t="inlineStr">
        <is>
          <t>顺序</t>
        </is>
      </c>
      <c r="L4" s="134" t="inlineStr">
        <is>
          <t>购买去向</t>
        </is>
      </c>
      <c r="M4" s="134" t="inlineStr">
        <is>
          <t>实例规则</t>
        </is>
      </c>
      <c r="N4" s="134" t="inlineStr">
        <is>
          <t>上架</t>
        </is>
      </c>
      <c r="O4" s="134" t="inlineStr">
        <is>
          <t>状态来源</t>
        </is>
      </c>
      <c r="P4" s="134" t="inlineStr">
        <is>
          <t>实现状态</t>
        </is>
      </c>
      <c r="Q4" s="134" t="inlineStr">
        <is>
          <t>事实源</t>
        </is>
      </c>
      <c r="R4" s="134" t="inlineStr">
        <is>
          <t>备注</t>
        </is>
      </c>
    </row>
    <row r="5" ht="34" customHeight="1" s="135">
      <c r="A5" s="145" t="inlineStr">
        <is>
          <t>base_stock_baseball_bat</t>
        </is>
      </c>
      <c r="B5" s="145" t="inlineStr">
        <is>
          <t>base_vending</t>
        </is>
      </c>
      <c r="C5" s="145" t="inlineStr">
        <is>
          <t>weapon_baseball_bat</t>
        </is>
      </c>
      <c r="D5" s="145" t="inlineStr">
        <is>
          <t>掉落物品</t>
        </is>
      </c>
      <c r="E5" s="145" t="inlineStr">
        <is>
          <t>废土棒球棍</t>
        </is>
      </c>
      <c r="F5" s="145" t="inlineStr">
        <is>
          <t>weapon</t>
        </is>
      </c>
      <c r="G5" s="145" t="inlineStr">
        <is>
          <t>extraction_points</t>
        </is>
      </c>
      <c r="H5" s="162" t="n">
        <v>45</v>
      </c>
      <c r="I5" s="162" t="n">
        <v>23</v>
      </c>
      <c r="J5" s="145" t="inlineStr">
        <is>
          <t>unlimited</t>
        </is>
      </c>
      <c r="K5" s="162" t="n">
        <v>1</v>
      </c>
      <c r="L5" s="145" t="inlineStr">
        <is>
          <t>当前I键背包</t>
        </is>
      </c>
      <c r="M5" s="145" t="inlineStr">
        <is>
          <t>生成 item_instance_id + weapon_instance_id；初级近战；无枪械配件槽</t>
        </is>
      </c>
      <c r="N5" s="145">
        <f>XLOOKUP(C5,'掉落物品'!$A$5:$A$46,'掉落物品'!$R$5:$R$46,FALSE)</f>
        <v/>
      </c>
      <c r="O5" s="145" t="inlineStr">
        <is>
          <t>用户设计+Codex补充</t>
        </is>
      </c>
      <c r="P5" s="145" t="inlineStr">
        <is>
          <t>已接入</t>
        </is>
      </c>
      <c r="Q5" s="145" t="inlineStr">
        <is>
          <t>ItemRegistry/BaseShopService</t>
        </is>
      </c>
      <c r="R5" s="145" t="inlineStr">
        <is>
          <t>基础手枪</t>
        </is>
      </c>
    </row>
    <row r="6" ht="34" customHeight="1" s="135">
      <c r="A6" s="145" t="inlineStr">
        <is>
          <t>base_stock_pistol</t>
        </is>
      </c>
      <c r="B6" s="145" t="inlineStr">
        <is>
          <t>base_vending</t>
        </is>
      </c>
      <c r="C6" s="145" t="inlineStr">
        <is>
          <t>weapon_pistol</t>
        </is>
      </c>
      <c r="D6" s="145" t="inlineStr">
        <is>
          <t>掉落物品</t>
        </is>
      </c>
      <c r="E6" s="145" t="inlineStr">
        <is>
          <t>豌豆手枪</t>
        </is>
      </c>
      <c r="F6" s="145" t="inlineStr">
        <is>
          <t>weapon</t>
        </is>
      </c>
      <c r="G6" s="145" t="inlineStr">
        <is>
          <t>extraction_points</t>
        </is>
      </c>
      <c r="H6" s="162" t="n">
        <v>70</v>
      </c>
      <c r="I6" s="162" t="n">
        <v>35</v>
      </c>
      <c r="J6" s="145" t="inlineStr">
        <is>
          <t>unlimited</t>
        </is>
      </c>
      <c r="K6" s="162" t="n">
        <v>2</v>
      </c>
      <c r="L6" s="145" t="inlineStr">
        <is>
          <t>当前I键背包</t>
        </is>
      </c>
      <c r="M6" s="145" t="inlineStr">
        <is>
          <t>生成 item_instance_id + weapon_instance_id；六公共配件槽随枪</t>
        </is>
      </c>
      <c r="N6" s="145">
        <f>XLOOKUP(C6,'掉落物品'!$A$5:$A$46,'掉落物品'!$R$5:$R$46,FALSE)</f>
        <v/>
      </c>
      <c r="O6" s="145" t="inlineStr">
        <is>
          <t>用户设计+Codex补充</t>
        </is>
      </c>
      <c r="P6" s="145" t="inlineStr">
        <is>
          <t>已接入</t>
        </is>
      </c>
      <c r="Q6" s="145" t="inlineStr">
        <is>
          <t>ItemRegistry/BaseShopService</t>
        </is>
      </c>
      <c r="R6" s="145" t="inlineStr">
        <is>
          <t>基础霰弹枪</t>
        </is>
      </c>
    </row>
    <row r="7" ht="34" customHeight="1" s="135">
      <c r="A7" s="145" t="inlineStr">
        <is>
          <t>base_stock_shotgun</t>
        </is>
      </c>
      <c r="B7" s="145" t="inlineStr">
        <is>
          <t>base_vending</t>
        </is>
      </c>
      <c r="C7" s="145" t="inlineStr">
        <is>
          <t>weapon_shotgun</t>
        </is>
      </c>
      <c r="D7" s="145" t="inlineStr">
        <is>
          <t>掉落物品</t>
        </is>
      </c>
      <c r="E7" s="145" t="inlineStr">
        <is>
          <t>散射喷壶</t>
        </is>
      </c>
      <c r="F7" s="145" t="inlineStr">
        <is>
          <t>weapon</t>
        </is>
      </c>
      <c r="G7" s="145" t="inlineStr">
        <is>
          <t>extraction_points</t>
        </is>
      </c>
      <c r="H7" s="162" t="n">
        <v>110</v>
      </c>
      <c r="I7" s="162" t="n">
        <v>55</v>
      </c>
      <c r="J7" s="145" t="inlineStr">
        <is>
          <t>unlimited</t>
        </is>
      </c>
      <c r="K7" s="162" t="n">
        <v>3</v>
      </c>
      <c r="L7" s="145" t="inlineStr">
        <is>
          <t>当前I键背包</t>
        </is>
      </c>
      <c r="M7" s="145" t="inlineStr">
        <is>
          <t>生成 item_instance_id + weapon_instance_id；六公共配件槽随枪</t>
        </is>
      </c>
      <c r="N7" s="145">
        <f>XLOOKUP(C7,'掉落物品'!$A$5:$A$46,'掉落物品'!$R$5:$R$46,FALSE)</f>
        <v/>
      </c>
      <c r="O7" s="145" t="inlineStr">
        <is>
          <t>用户设计+Codex补充</t>
        </is>
      </c>
      <c r="P7" s="145" t="inlineStr">
        <is>
          <t>已接入</t>
        </is>
      </c>
      <c r="Q7" s="145" t="inlineStr">
        <is>
          <t>ItemRegistry/BaseShopService</t>
        </is>
      </c>
      <c r="R7" s="145" t="inlineStr">
        <is>
          <t>基础步枪</t>
        </is>
      </c>
    </row>
    <row r="8" ht="34" customHeight="1" s="135">
      <c r="A8" s="145" t="inlineStr">
        <is>
          <t>base_stock_rifle</t>
        </is>
      </c>
      <c r="B8" s="145" t="inlineStr">
        <is>
          <t>base_vending</t>
        </is>
      </c>
      <c r="C8" s="145" t="inlineStr">
        <is>
          <t>weapon_rifle</t>
        </is>
      </c>
      <c r="D8" s="145" t="inlineStr">
        <is>
          <t>掉落物品</t>
        </is>
      </c>
      <c r="E8" s="145" t="inlineStr">
        <is>
          <t>步枪</t>
        </is>
      </c>
      <c r="F8" s="145" t="inlineStr">
        <is>
          <t>weapon</t>
        </is>
      </c>
      <c r="G8" s="145" t="inlineStr">
        <is>
          <t>extraction_points</t>
        </is>
      </c>
      <c r="H8" s="162" t="n">
        <v>150</v>
      </c>
      <c r="I8" s="162" t="n">
        <v>75</v>
      </c>
      <c r="J8" s="145" t="inlineStr">
        <is>
          <t>unlimited</t>
        </is>
      </c>
      <c r="K8" s="162" t="n">
        <v>4</v>
      </c>
      <c r="L8" s="145" t="inlineStr">
        <is>
          <t>当前I键背包</t>
        </is>
      </c>
      <c r="M8" s="145" t="inlineStr">
        <is>
          <t>生成 item_instance_id + weapon_instance_id；六公共配件槽随枪</t>
        </is>
      </c>
      <c r="N8" s="145">
        <f>XLOOKUP(C8,'掉落物品'!$A$5:$A$46,'掉落物品'!$R$5:$R$46,FALSE)</f>
        <v/>
      </c>
      <c r="O8" s="145" t="inlineStr">
        <is>
          <t>用户设计+Codex补充</t>
        </is>
      </c>
      <c r="P8" s="145" t="inlineStr">
        <is>
          <t>已接入</t>
        </is>
      </c>
      <c r="Q8" s="145" t="inlineStr">
        <is>
          <t>ItemRegistry/BaseShopService</t>
        </is>
      </c>
      <c r="R8" s="145" t="inlineStr">
        <is>
          <t>+2格初级背包</t>
        </is>
      </c>
    </row>
    <row r="9" ht="34" customHeight="1" s="135">
      <c r="A9" s="145" t="inlineStr">
        <is>
          <t>base_stock_backpack_2</t>
        </is>
      </c>
      <c r="B9" s="145" t="inlineStr">
        <is>
          <t>base_vending</t>
        </is>
      </c>
      <c r="C9" s="145" t="inlineStr">
        <is>
          <t>equipment_backpack_2</t>
        </is>
      </c>
      <c r="D9" s="145" t="inlineStr">
        <is>
          <t>掉落物品</t>
        </is>
      </c>
      <c r="E9" s="145" t="inlineStr">
        <is>
          <t>轻型腰包</t>
        </is>
      </c>
      <c r="F9" s="145" t="inlineStr">
        <is>
          <t>equipment</t>
        </is>
      </c>
      <c r="G9" s="145" t="inlineStr">
        <is>
          <t>extraction_points</t>
        </is>
      </c>
      <c r="H9" s="162" t="n">
        <v>55</v>
      </c>
      <c r="I9" s="162" t="n">
        <v>28</v>
      </c>
      <c r="J9" s="145" t="inlineStr">
        <is>
          <t>unlimited</t>
        </is>
      </c>
      <c r="K9" s="162" t="n">
        <v>5</v>
      </c>
      <c r="L9" s="145" t="inlineStr">
        <is>
          <t>当前I键背包</t>
        </is>
      </c>
      <c r="M9" s="145" t="inlineStr">
        <is>
          <t>生成 item_instance_id</t>
        </is>
      </c>
      <c r="N9" s="145">
        <f>XLOOKUP(C9,'掉落物品'!$A$5:$A$46,'掉落物品'!$R$5:$R$46,FALSE)</f>
        <v/>
      </c>
      <c r="O9" s="145" t="inlineStr">
        <is>
          <t>用户设计+Codex补充</t>
        </is>
      </c>
      <c r="P9" s="145" t="inlineStr">
        <is>
          <t>已接入</t>
        </is>
      </c>
      <c r="Q9" s="145" t="inlineStr">
        <is>
          <t>ItemRegistry/BaseShopService</t>
        </is>
      </c>
      <c r="R9" s="145" t="inlineStr">
        <is>
          <t>基础治疗药水</t>
        </is>
      </c>
    </row>
    <row r="10">
      <c r="A10" s="167" t="inlineStr">
        <is>
          <t>base_stock_health_potion</t>
        </is>
      </c>
      <c r="B10" s="167" t="inlineStr">
        <is>
          <t>base_vending</t>
        </is>
      </c>
      <c r="C10" s="167" t="inlineStr">
        <is>
          <t>item_health_potion</t>
        </is>
      </c>
      <c r="D10" s="167" t="inlineStr">
        <is>
          <t>掉落物品</t>
        </is>
      </c>
      <c r="E10" s="167" t="inlineStr">
        <is>
          <t>治疗药水</t>
        </is>
      </c>
      <c r="F10" s="167" t="inlineStr">
        <is>
          <t>consumable</t>
        </is>
      </c>
      <c r="G10" s="167" t="inlineStr">
        <is>
          <t>extraction_points</t>
        </is>
      </c>
      <c r="H10" s="169" t="n">
        <v>40</v>
      </c>
      <c r="I10" s="169" t="n">
        <v>20</v>
      </c>
      <c r="J10" s="167" t="inlineStr">
        <is>
          <t>unlimited</t>
        </is>
      </c>
      <c r="K10" s="167" t="n">
        <v>6</v>
      </c>
      <c r="L10" s="167" t="inlineStr">
        <is>
          <t>当前I键背包</t>
        </is>
      </c>
      <c r="M10" s="167" t="inlineStr">
        <is>
          <t>按stack_max=5堆叠</t>
        </is>
      </c>
      <c r="N10" s="169">
        <f>XLOOKUP(C10,'掉落物品'!$A$5:$A$46,'掉落物品'!$R$5:$R$46,FALSE)</f>
        <v/>
      </c>
      <c r="O10" s="167" t="inlineStr">
        <is>
          <t>用户设计+Codex补充</t>
        </is>
      </c>
      <c r="P10" s="167" t="inlineStr">
        <is>
          <t>设计完成；未实装</t>
        </is>
      </c>
      <c r="Q10" s="167" t="inlineStr">
        <is>
          <t>ItemRegistry/BaseShopService</t>
        </is>
      </c>
      <c r="R10" s="167" t="inlineStr">
        <is>
          <t>基础小型电池（手电筒电量 25%）</t>
        </is>
      </c>
    </row>
    <row r="11">
      <c r="A11" t="inlineStr">
        <is>
          <t>base_stock_battery_s</t>
        </is>
      </c>
      <c r="B11" t="inlineStr">
        <is>
          <t>base_vending</t>
        </is>
      </c>
      <c r="C11" t="inlineStr">
        <is>
          <t>item_battery_s</t>
        </is>
      </c>
      <c r="D11" t="inlineStr">
        <is>
          <t>掉落物品</t>
        </is>
      </c>
      <c r="E11" t="inlineStr">
        <is>
          <t>小型电池</t>
        </is>
      </c>
      <c r="F11" t="inlineStr">
        <is>
          <t>consumable</t>
        </is>
      </c>
      <c r="G11" t="inlineStr">
        <is>
          <t>extraction_points</t>
        </is>
      </c>
      <c r="H11" t="n">
        <v>25</v>
      </c>
      <c r="I11" t="n">
        <v>12</v>
      </c>
      <c r="J11" t="inlineStr">
        <is>
          <t>unlimited</t>
        </is>
      </c>
      <c r="K11" t="n">
        <v>7</v>
      </c>
      <c r="L11" t="inlineStr">
        <is>
          <t>当前I键背包</t>
        </is>
      </c>
      <c r="M11" t="inlineStr">
        <is>
          <t>按stack_max=5堆叠；恢复25%电量</t>
        </is>
      </c>
    </row>
  </sheetData>
  <mergeCells count="2">
    <mergeCell ref="A2:R2"/>
    <mergeCell ref="A1:R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FormatPr defaultRowHeight="15"/>
  <cols>
    <col min="1" max="1" width="32" hidden="0" customWidth="1"/>
    <col min="2" max="2" width="32" hidden="0" customWidth="1"/>
    <col min="3" max="3" width="32" hidden="0" customWidth="1"/>
    <col min="4" max="4" width="14" hidden="0" customWidth="1"/>
    <col min="5" max="5" width="18" hidden="0" customWidth="1"/>
    <col min="6" max="6" width="21" hidden="0" customWidth="1"/>
    <col min="7" max="7" width="42" hidden="0" customWidth="1"/>
    <col min="8" max="8" width="42" hidden="0" customWidth="1"/>
  </cols>
  <sheetData>
    <row r="1" ht="26" customHeight="1">
      <c r="A1" s="195"/>
      <c r="B1" s="195"/>
      <c r="C1" s="195"/>
      <c r="D1" s="195"/>
      <c r="E1" s="195"/>
      <c r="F1" s="195"/>
      <c r="G1" s="195"/>
      <c r="H1" s="195"/>
    </row>
    <row r="2" ht="26" customHeight="1">
      <c r="A2" s="196" t="str">
        <v>Boss002 显示器技能设计</v>
      </c>
      <c r="B2" s="195"/>
      <c r="C2" s="195"/>
      <c r="D2" s="195"/>
      <c r="E2" s="195"/>
      <c r="F2" s="195"/>
      <c r="G2" s="195"/>
      <c r="H2" s="195"/>
    </row>
    <row r="3" ht="26" customHeight="1">
      <c r="A3" s="195"/>
      <c r="B3" s="195"/>
      <c r="C3" s="195"/>
      <c r="D3" s="195"/>
      <c r="E3" s="195"/>
      <c r="F3" s="195"/>
      <c r="G3" s="195"/>
      <c r="H3" s="195"/>
    </row>
    <row r="4" ht="26" customHeight="1">
      <c r="A4" s="195" t="str">
        <v>内容ID</v>
      </c>
      <c r="B4" s="195" t="str">
        <v>boss_monitor002</v>
      </c>
      <c r="C4" s="195"/>
      <c r="D4" s="195"/>
      <c r="E4" s="195"/>
      <c r="F4" s="195" t="str">
        <v>生命</v>
      </c>
      <c r="G4" s="195" t="n">
        <v>5200</v>
      </c>
      <c r="H4" s="195"/>
    </row>
    <row r="5" ht="26" customHeight="1">
      <c r="A5" s="195" t="str">
        <v>AssetID</v>
      </c>
      <c r="B5" s="195" t="str">
        <v>ENM-BOSS-MONITOR002-3D</v>
      </c>
      <c r="C5" s="195"/>
      <c r="D5" s="195"/>
      <c r="E5" s="195"/>
      <c r="F5" s="195" t="str">
        <v>移动m/s</v>
      </c>
      <c r="G5" s="195" t="n">
        <v>1.204</v>
      </c>
      <c r="H5" s="195"/>
    </row>
    <row r="6" ht="26" customHeight="1">
      <c r="A6" s="195"/>
      <c r="B6" s="195"/>
      <c r="C6" s="195"/>
      <c r="D6" s="195"/>
      <c r="E6" s="195"/>
      <c r="F6" s="195"/>
      <c r="G6" s="195"/>
      <c r="H6" s="195"/>
    </row>
    <row r="7" ht="26" customHeight="1">
      <c r="A7" s="195"/>
      <c r="B7" s="195"/>
      <c r="C7" s="195"/>
      <c r="D7" s="195"/>
      <c r="E7" s="195"/>
      <c r="F7" s="195"/>
      <c r="G7" s="195"/>
      <c r="H7" s="195"/>
    </row>
    <row r="8" ht="26" customHeight="1">
      <c r="A8" s="198" t="str">
        <v>技能ID</v>
      </c>
      <c r="B8" s="198" t="str">
        <v>名称</v>
      </c>
      <c r="C8" s="198" t="str">
        <v>动作</v>
      </c>
      <c r="D8" s="198" t="str">
        <v>前摇秒</v>
      </c>
      <c r="E8" s="198" t="str">
        <v>生效秒</v>
      </c>
      <c r="F8" s="198" t="str">
        <v>总时长秒</v>
      </c>
      <c r="G8" s="198" t="str">
        <v>范围与伤害</v>
      </c>
      <c r="H8" s="198" t="str">
        <v>打断与特效</v>
      </c>
    </row>
    <row r="9" ht="64" customHeight="1">
      <c r="A9" s="199" t="str">
        <v>monitor_keyboard</v>
      </c>
      <c r="B9" s="199" t="str">
        <v>键盘拍地</v>
      </c>
      <c r="C9" s="199" t="str">
        <v>melee_keyboard</v>
      </c>
      <c r="D9" s="200" t="n">
        <v>1.066667</v>
      </c>
      <c r="E9" s="200" t="n">
        <v>1.066667</v>
      </c>
      <c r="F9" s="201" t="n">
        <v>1.8</v>
      </c>
      <c r="G9" s="199" t="str">
        <v>前方3.2m，半径1.65m；24</v>
      </c>
      <c r="H9" s="199" t="str">
        <v>单次命中；蓝/玫红；黄闪1帧</v>
      </c>
    </row>
    <row r="10" ht="64" customHeight="1">
      <c r="A10" s="199" t="str">
        <v>monitor_cable</v>
      </c>
      <c r="B10" s="199" t="str">
        <v>数据线甩击</v>
      </c>
      <c r="C10" s="199" t="str">
        <v>melee_cable</v>
      </c>
      <c r="D10" s="200" t="n">
        <v>0.8</v>
      </c>
      <c r="E10" s="200" t="str">
        <v>0.8–0.967</v>
      </c>
      <c r="F10" s="201" t="n">
        <v>2</v>
      </c>
      <c r="G10" s="199" t="str">
        <v>160°弧，半径6m；20</v>
      </c>
      <c r="H10" s="199" t="str">
        <v>螺旋前摇；平滑弧带；每目标1次</v>
      </c>
    </row>
    <row r="11" ht="64" customHeight="1">
      <c r="A11" s="199" t="str">
        <v>monitor_spin_slam</v>
      </c>
      <c r="B11" s="199" t="str">
        <v>旋转砸地</v>
      </c>
      <c r="C11" s="199" t="str">
        <v>heavy_spin_slam</v>
      </c>
      <c r="D11" s="200" t="n">
        <v>2.133333</v>
      </c>
      <c r="E11" s="200" t="n">
        <v>2.133333</v>
      </c>
      <c r="F11" s="201" t="n">
        <v>3.2</v>
      </c>
      <c r="G11" s="199" t="str">
        <v>前方1.4m，半径5.2m；36</v>
      </c>
      <c r="H11" s="199" t="str">
        <v>3圈屏幕旋转；后仰停顿；黄闪1帧</v>
      </c>
    </row>
    <row r="12" ht="64" customHeight="1">
      <c r="A12" s="199" t="str">
        <v>monitor_ground_current</v>
      </c>
      <c r="B12" s="199" t="str">
        <v>接地电流</v>
      </c>
      <c r="C12" s="199" t="str">
        <v>special四段</v>
      </c>
      <c r="D12" s="199" t="n">
        <v>1.8</v>
      </c>
      <c r="E12" s="199" t="str">
        <v>每0.8秒脉冲</v>
      </c>
      <c r="F12" s="199" t="str">
        <v>5.1 / 5.9 / 6.7</v>
      </c>
      <c r="G12" s="199" t="str">
        <v>线尖接地点半径7m；每次12</v>
      </c>
      <c r="H12" s="199" t="str">
        <v>通电2.4/3.2/4s；暴击可打断；冷却10s</v>
      </c>
    </row>
    <row r="13" ht="26" customHeight="1">
      <c r="A13" s="195"/>
      <c r="B13" s="195"/>
      <c r="C13" s="195"/>
      <c r="D13" s="195"/>
      <c r="E13" s="195"/>
      <c r="F13" s="195"/>
      <c r="G13" s="195"/>
      <c r="H13" s="195"/>
    </row>
    <row r="14" ht="26" customHeight="1">
      <c r="A14" s="195"/>
      <c r="B14" s="195"/>
      <c r="C14" s="195"/>
      <c r="D14" s="195"/>
      <c r="E14" s="195"/>
      <c r="F14" s="195"/>
      <c r="G14" s="195"/>
      <c r="H14" s="195"/>
    </row>
    <row r="15" ht="26" customHeight="1">
      <c r="A15" s="198" t="str">
        <v>阶段</v>
      </c>
      <c r="B15" s="198" t="str">
        <v>HP阈值</v>
      </c>
      <c r="C15" s="198" t="str">
        <v>技能序列</v>
      </c>
      <c r="D15" s="198"/>
      <c r="E15" s="198"/>
      <c r="F15" s="198"/>
      <c r="G15" s="198"/>
      <c r="H15" s="198"/>
    </row>
    <row r="16" ht="26" customHeight="1">
      <c r="A16" s="195" t="n">
        <v>1</v>
      </c>
      <c r="B16" s="195" t="str">
        <v>&gt;66%</v>
      </c>
      <c r="C16" s="195" t="str">
        <v>键盘、数据线、键盘、重击</v>
      </c>
      <c r="D16" s="195"/>
      <c r="E16" s="195"/>
      <c r="F16" s="195"/>
      <c r="G16" s="195"/>
      <c r="H16" s="195"/>
    </row>
    <row r="17" ht="26" customHeight="1">
      <c r="A17" s="195" t="n">
        <v>2</v>
      </c>
      <c r="B17" s="195" t="str">
        <v>≤66%</v>
      </c>
      <c r="C17" s="195" t="str">
        <v>数据线、插线、键盘、重击</v>
      </c>
      <c r="D17" s="195"/>
      <c r="E17" s="195"/>
      <c r="F17" s="195"/>
      <c r="G17" s="195"/>
      <c r="H17" s="195"/>
    </row>
    <row r="18" ht="26" customHeight="1">
      <c r="A18" s="195" t="n">
        <v>3</v>
      </c>
      <c r="B18" s="195" t="str">
        <v>≤33%</v>
      </c>
      <c r="C18" s="195" t="str">
        <v>重击、插线、数据线、重击、插线</v>
      </c>
      <c r="D18" s="195"/>
      <c r="E18" s="195"/>
      <c r="F18" s="195"/>
      <c r="G18" s="195"/>
      <c r="H18" s="195"/>
    </row>
    <row r="19" ht="26" customHeight="1">
      <c r="A19" s="195"/>
      <c r="B19" s="195"/>
      <c r="C19" s="195"/>
      <c r="D19" s="195"/>
      <c r="E19" s="195"/>
      <c r="F19" s="195"/>
      <c r="G19" s="195"/>
      <c r="H19" s="195"/>
    </row>
    <row r="20" ht="26" customHeight="1">
      <c r="A20" s="198" t="str">
        <v>状态ID</v>
      </c>
      <c r="B20" s="198" t="str">
        <v>表现动作</v>
      </c>
      <c r="C20" s="198"/>
      <c r="D20" s="198"/>
      <c r="E20" s="198"/>
      <c r="F20" s="198"/>
      <c r="G20" s="198" t="str">
        <v>规则</v>
      </c>
      <c r="H20" s="198"/>
    </row>
    <row r="21" ht="26" customHeight="1">
      <c r="A21" s="195" t="str">
        <v>dormant</v>
      </c>
      <c xmlns="http://schemas.openxmlformats.org/spreadsheetml/2006/main" r="B21" s="195" t="str">
        <v>未激活：activate第0帧；已出场：idle</v>
      </c>
      <c r="C21" s="195"/>
      <c r="D21" s="195"/>
      <c r="E21" s="195"/>
      <c r="F21" s="195"/>
      <c r="G21" s="195" t="str">
        <v>Enemy3D状态与真实进度单向采样</v>
      </c>
      <c r="H21" s="195"/>
    </row>
    <row r="22" ht="26" customHeight="1">
      <c r="A22" s="195" t="str">
        <v>idle</v>
      </c>
      <c r="B22" s="195" t="str">
        <v>idle</v>
      </c>
      <c r="C22" s="195"/>
      <c r="D22" s="195"/>
      <c r="E22" s="195"/>
      <c r="F22" s="195"/>
      <c r="G22" s="195" t="str">
        <v>Enemy3D状态与真实进度单向采样</v>
      </c>
      <c r="H22" s="195"/>
    </row>
    <row r="23" ht="26" customHeight="1">
      <c r="A23" s="195" t="str">
        <v>patrol</v>
      </c>
      <c r="B23" s="195" t="str">
        <v>move</v>
      </c>
      <c r="C23" s="195"/>
      <c r="D23" s="195"/>
      <c r="E23" s="195"/>
      <c r="F23" s="195"/>
      <c r="G23" s="195" t="str">
        <v>Enemy3D状态与真实进度单向采样</v>
      </c>
      <c r="H23" s="195"/>
    </row>
    <row r="24" ht="26" customHeight="1">
      <c r="A24" s="195" t="str">
        <v>alert</v>
      </c>
      <c xmlns="http://schemas.openxmlformats.org/spreadsheetml/2006/main" r="B24" s="195" t="str">
        <v>首次activate6.4s；之后idle</v>
      </c>
      <c r="C24" s="195"/>
      <c r="D24" s="195"/>
      <c r="E24" s="195"/>
      <c r="F24" s="195"/>
      <c r="G24" s="195" t="str">
        <v>Enemy3D状态与真实进度单向采样</v>
      </c>
      <c r="H24" s="195"/>
    </row>
    <row r="25" ht="26" customHeight="1">
      <c r="A25" s="195" t="str">
        <v>chase</v>
      </c>
      <c r="B25" s="195" t="str">
        <v>move / turn_left/right</v>
      </c>
      <c r="C25" s="195"/>
      <c r="D25" s="195"/>
      <c r="E25" s="195"/>
      <c r="F25" s="195"/>
      <c r="G25" s="195" t="str">
        <v>Enemy3D状态与真实进度单向采样</v>
      </c>
      <c r="H25" s="195"/>
    </row>
    <row r="26" ht="26" customHeight="1">
      <c r="A26" s="195" t="str">
        <v>search</v>
      </c>
      <c r="B26" s="195" t="str">
        <v>move</v>
      </c>
      <c r="C26" s="195"/>
      <c r="D26" s="195"/>
      <c r="E26" s="195"/>
      <c r="F26" s="195"/>
      <c r="G26" s="195" t="str">
        <v>Enemy3D状态与真实进度单向采样</v>
      </c>
      <c r="H26" s="195"/>
    </row>
    <row r="27" ht="26" customHeight="1">
      <c r="A27" s="195" t="str">
        <v>return</v>
      </c>
      <c r="B27" s="195" t="str">
        <v>move</v>
      </c>
      <c r="C27" s="195"/>
      <c r="D27" s="195"/>
      <c r="E27" s="195"/>
      <c r="F27" s="195"/>
      <c r="G27" s="195" t="str">
        <v>Enemy3D状态与真实进度单向采样</v>
      </c>
      <c r="H27" s="195"/>
    </row>
    <row r="28" ht="26" customHeight="1">
      <c r="A28" s="195" t="str">
        <v>telegraph</v>
      </c>
      <c r="B28" s="195" t="str">
        <v>技能剪辑前摇</v>
      </c>
      <c r="C28" s="195"/>
      <c r="D28" s="195"/>
      <c r="E28" s="195"/>
      <c r="F28" s="195"/>
      <c r="G28" s="195" t="str">
        <v>Enemy3D状态与真实进度单向采样</v>
      </c>
      <c r="H28" s="195"/>
    </row>
    <row r="29" ht="26" customHeight="1">
      <c r="A29" s="195" t="str">
        <v>attack</v>
      </c>
      <c r="B29" s="195" t="str">
        <v>技能剪辑生效段 / special_channel</v>
      </c>
      <c r="C29" s="195"/>
      <c r="D29" s="195"/>
      <c r="E29" s="195"/>
      <c r="F29" s="195"/>
      <c r="G29" s="195" t="str">
        <v>Enemy3D状态与真实进度单向采样</v>
      </c>
      <c r="H29" s="195"/>
    </row>
    <row r="30" ht="26" customHeight="1">
      <c r="A30" s="195" t="str">
        <v>recovery</v>
      </c>
      <c r="B30" s="195" t="str">
        <v>技能剪辑恢复段 / special_recover</v>
      </c>
      <c r="C30" s="195"/>
      <c r="D30" s="195"/>
      <c r="E30" s="195"/>
      <c r="F30" s="195"/>
      <c r="G30" s="195" t="str">
        <v>Enemy3D状态与真实进度单向采样</v>
      </c>
      <c r="H30" s="195"/>
    </row>
    <row r="31" ht="26" customHeight="1">
      <c r="A31" s="195" t="str">
        <v>stagger</v>
      </c>
      <c r="B31" s="195" t="str">
        <v>hurt / stun_enter→stun_loop→stun_exit</v>
      </c>
      <c r="C31" s="195"/>
      <c r="D31" s="195"/>
      <c r="E31" s="195"/>
      <c r="F31" s="195"/>
      <c r="G31" s="195" t="str">
        <v>韧性8%：坐下1.4s、坐地2.4s、起身1s</v>
      </c>
      <c r="H31" s="195"/>
    </row>
    <row r="32" ht="26" customHeight="1">
      <c r="A32" s="195" t="str">
        <v>dead</v>
      </c>
      <c r="B32" s="195" t="str">
        <v>dead</v>
      </c>
      <c r="C32" s="195"/>
      <c r="D32" s="195"/>
      <c r="E32" s="195"/>
      <c r="F32" s="195"/>
      <c r="G32" s="195" t="str">
        <v>死亡2s后回收；根不压扁</v>
      </c>
      <c r="H32" s="195"/>
    </row>
    <row r="33" ht="26" customHeight="1">
      <c r="A33" s="195"/>
      <c r="B33" s="195"/>
      <c r="C33" s="195"/>
      <c r="D33" s="195"/>
      <c r="E33" s="195"/>
      <c r="F33" s="195"/>
      <c r="G33" s="195"/>
      <c r="H33" s="195"/>
    </row>
    <row r="34" ht="40" customHeight="1">
      <c r="A34" s="195" t="str">
        <v>规则</v>
      </c>
      <c xmlns="http://schemas.openxmlformats.org/spreadsheetml/2006/main" r="B34" s="195" t="str">
        <v>首轮出场进度/完成标记随实例保存；休眠暂停，重进续播；旧档默认已出场。危险技能仍取消。</v>
      </c>
      <c r="C34" s="195"/>
      <c r="D34" s="195"/>
      <c r="E34" s="195"/>
      <c r="F34" s="195"/>
      <c r="G34" s="195"/>
      <c r="H34" s="195"/>
    </row>
    <row r="35" ht="26" customHeight="1">
      <c r="A35" s="195"/>
      <c r="B35" s="195"/>
      <c r="C35" s="195"/>
      <c r="D35" s="195"/>
      <c r="E35" s="195"/>
      <c r="F35" s="195"/>
      <c r="G35" s="195"/>
      <c r="H35" s="195"/>
    </row>
    <row r="36" ht="40" customHeight="1">
      <c r="A36" s="195" t="str">
        <v>设计主源</v>
      </c>
      <c xmlns="http://schemas.openxmlformats.org/spreadsheetml/2006/main" r="B36" s="195" t="str">
        <v>docs/v0.1/design/Boss002显示器技能设计.md（r3）；动画设计r28</v>
      </c>
      <c r="C36" s="195"/>
      <c r="D36" s="195"/>
      <c r="E36" s="195"/>
      <c r="F36" s="195"/>
      <c r="G36" s="195"/>
      <c r="H36" s="195"/>
    </row>
    <row r="37" ht="40" customHeight="1">
      <c r="A37" s="195" t="str">
        <v>实现源</v>
      </c>
      <c r="B37" s="195" t="str">
        <v>src/enemy3d/MonitorBossCombat.gd</v>
      </c>
      <c r="C37" s="195"/>
      <c r="D37" s="195"/>
      <c r="E37" s="195"/>
      <c r="F37" s="195"/>
      <c r="G37" s="195"/>
      <c r="H37" s="195"/>
    </row>
  </sheetData>
  <mergeCells>
    <mergeCell ref="A2:H2"/>
    <mergeCell ref="C15:H15"/>
    <mergeCell ref="C16:H16"/>
    <mergeCell ref="C17:H17"/>
    <mergeCell ref="C18:H18"/>
    <mergeCell ref="B20:F20"/>
    <mergeCell ref="G20:H20"/>
    <mergeCell ref="B21:F21"/>
    <mergeCell ref="G21:H21"/>
    <mergeCell ref="B22:F22"/>
    <mergeCell ref="G22:H22"/>
    <mergeCell ref="B23:F23"/>
    <mergeCell ref="G23:H23"/>
    <mergeCell ref="B24:F24"/>
    <mergeCell ref="G24:H24"/>
    <mergeCell ref="B25:F25"/>
    <mergeCell ref="G25:H25"/>
    <mergeCell ref="B26:F26"/>
    <mergeCell ref="G26:H26"/>
    <mergeCell ref="B27:F27"/>
    <mergeCell ref="G27:H27"/>
    <mergeCell ref="B28:F28"/>
    <mergeCell ref="G28:H28"/>
    <mergeCell ref="B29:F29"/>
    <mergeCell ref="G29:H29"/>
    <mergeCell ref="B30:F30"/>
    <mergeCell ref="G30:H30"/>
    <mergeCell ref="B31:F31"/>
    <mergeCell ref="G31:H31"/>
    <mergeCell ref="B32:F32"/>
    <mergeCell ref="G32:H32"/>
    <mergeCell ref="B34:H34"/>
    <mergeCell ref="B36:H36"/>
    <mergeCell ref="B37:H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2026-09-23T08:13:46Z</dcterms:created>
  <dcterms:modified xmlns:dcterms="http://purl.org/dc/terms/" xmlns:xsi="http://www.w3.org/2001/XMLSchema-instance" xsi:type="dcterms:W3CDTF">2026-10-03T15:38:01Z</dcterms:modified>
</cp:coreProperties>
</file>