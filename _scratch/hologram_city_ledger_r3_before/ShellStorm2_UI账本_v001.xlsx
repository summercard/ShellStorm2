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账本说明" sheetId="2" state="visible" r:id="rId2"/>
    <sheet xmlns:r="http://schemas.openxmlformats.org/officeDocument/2006/relationships" name="资产主表" sheetId="3" state="visible" r:id="rId3"/>
    <sheet xmlns:r="http://schemas.openxmlformats.org/officeDocument/2006/relationships" name="域变更日志" sheetId="4" state="visible" r:id="rId4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yyyy\-mm\-dd"/>
  </numFmts>
  <fonts count="25">
    <font>
      <name val="Linux Libertine G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sz val="11"/>
    </font>
    <font>
      <name val="Arial"/>
      <charset val="1"/>
      <family val="0"/>
      <b val="1"/>
      <color rgb="FFFFFFFF"/>
      <sz val="18"/>
    </font>
    <font>
      <name val="Linux Libertine G"/>
      <family val="2"/>
      <b val="1"/>
      <color rgb="FFFFFFFF"/>
      <sz val="18"/>
    </font>
    <font>
      <name val="Linux Libertine G"/>
      <family val="2"/>
      <i val="1"/>
      <color rgb="FF79D8E8"/>
      <sz val="10"/>
    </font>
    <font>
      <name val="Arial"/>
      <charset val="1"/>
      <family val="0"/>
      <i val="1"/>
      <color rgb="FF79D8E8"/>
      <sz val="10"/>
    </font>
    <font>
      <name val="Linux Libertine G"/>
      <family val="2"/>
      <sz val="11"/>
    </font>
    <font>
      <name val="Linux Libertine G"/>
      <family val="2"/>
      <b val="1"/>
      <color rgb="FF163246"/>
      <sz val="11"/>
    </font>
    <font>
      <name val="Arial"/>
      <charset val="1"/>
      <family val="0"/>
      <b val="1"/>
      <color rgb="FF163246"/>
      <sz val="11"/>
    </font>
    <font>
      <name val="Arial"/>
      <charset val="1"/>
      <family val="0"/>
      <b val="1"/>
      <color rgb="FFF2C94C"/>
      <sz val="20"/>
    </font>
    <font>
      <name val="Linux Libertine G"/>
      <family val="2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Calibri"/>
      <charset val="1"/>
      <family val="0"/>
      <color rgb="FF13202B"/>
      <sz val="9"/>
    </font>
    <font>
      <name val="Linux Libertine G"/>
      <family val="2"/>
      <color rgb="FF13202B"/>
      <sz val="9"/>
    </font>
    <font>
      <name val="Linux Libertine G"/>
      <family val="2"/>
      <b val="1"/>
      <color rgb="FF13202B"/>
      <sz val="11"/>
    </font>
    <font>
      <name val="Calibri"/>
      <charset val="1"/>
      <family val="0"/>
      <b val="1"/>
      <color rgb="FFFFFFFF"/>
      <sz val="18"/>
    </font>
    <font>
      <name val="Calibri"/>
      <charset val="1"/>
      <family val="0"/>
      <i val="1"/>
      <color rgb="FF79D8E8"/>
      <sz val="10"/>
    </font>
    <font>
      <name val="Calibri"/>
      <charset val="1"/>
      <family val="0"/>
      <b val="1"/>
      <color rgb="FFFFFFFF"/>
      <sz val="11"/>
    </font>
    <font>
      <name val="Linux Libertine G"/>
      <family val="2"/>
      <b val="1"/>
      <sz val="11"/>
    </font>
    <font>
      <name val="Cambria"/>
      <charset val="1"/>
      <family val="0"/>
      <b val="1"/>
      <sz val="11"/>
    </font>
    <font>
      <name val="Linux Libertine G"/>
      <family val="2"/>
      <b val="1"/>
      <color rgb="FF17563A"/>
      <sz val="11"/>
    </font>
    <font>
      <name val="Linux Libertine G"/>
      <family val="2"/>
      <color rgb="FF15383E"/>
      <sz val="11"/>
    </font>
  </fonts>
  <fills count="9">
    <fill>
      <patternFill/>
    </fill>
    <fill>
      <patternFill patternType="gray125"/>
    </fill>
    <fill>
      <patternFill patternType="solid">
        <fgColor rgb="FF13202B"/>
        <bgColor rgb="FF163246"/>
      </patternFill>
    </fill>
    <fill>
      <patternFill patternType="solid">
        <fgColor rgb="FF163246"/>
        <bgColor rgb="FF15383E"/>
      </patternFill>
    </fill>
    <fill>
      <patternFill patternType="solid">
        <fgColor rgb="FFDCE8EC"/>
        <bgColor rgb="FFD7EEE5"/>
      </patternFill>
    </fill>
    <fill>
      <patternFill patternType="solid">
        <fgColor rgb="FF1F5A78"/>
        <bgColor rgb="FF156082"/>
      </patternFill>
    </fill>
    <fill>
      <patternFill patternType="solid">
        <fgColor rgb="FFF2C94C"/>
        <bgColor rgb="FFFF9900"/>
      </patternFill>
    </fill>
    <fill>
      <patternFill patternType="solid">
        <fgColor rgb="FFD7EEE5"/>
        <bgColor rgb="FFD9F3E8"/>
      </patternFill>
    </fill>
    <fill>
      <patternFill patternType="solid">
        <fgColor rgb="FFE4F2F3"/>
        <bgColor rgb="FFD9F3E8"/>
      </patternFill>
    </fill>
  </fills>
  <borders count="11">
    <border>
      <left/>
      <right/>
      <top/>
      <bottom/>
      <diagonal/>
    </border>
    <border>
      <left style="medium">
        <color rgb="FF446170"/>
      </left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/>
      <bottom style="medium">
        <color rgb="FF446170"/>
      </bottom>
      <diagonal/>
    </border>
    <border>
      <left/>
      <right/>
      <top/>
      <bottom style="thin">
        <color rgb="FFB9CBD2"/>
      </bottom>
      <diagonal/>
    </border>
    <border>
      <left/>
      <right/>
      <top style="thin">
        <color rgb="FFB9CBD2"/>
      </top>
      <bottom style="thin">
        <color rgb="FFB9CBD2"/>
      </bottom>
      <diagonal/>
    </border>
    <border>
      <left/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 style="medium">
        <color rgb="FF446170"/>
      </top>
      <bottom style="medium">
        <color rgb="FF446170"/>
      </bottom>
      <diagonal/>
    </border>
    <border>
      <left style="thin">
        <color rgb="FF8FC3A1"/>
      </left>
      <right style="thin">
        <color rgb="FF8FC3A1"/>
      </right>
      <top style="thin">
        <color rgb="FF8FC3A1"/>
      </top>
      <bottom style="thin">
        <color rgb="FF8FC3A1"/>
      </bottom>
      <diagonal/>
    </border>
    <border>
      <left style="thin">
        <color rgb="FFAFC9CD"/>
      </left>
      <right style="thin">
        <color rgb="FFAFC9CD"/>
      </right>
      <top style="thin">
        <color rgb="FFAFC9CD"/>
      </top>
      <bottom style="thin">
        <color rgb="FFAFC9CD"/>
      </bottom>
      <diagonal/>
    </border>
    <border>
      <left/>
      <right style="medium">
        <color rgb="FF446170"/>
      </right>
      <top/>
      <bottom/>
      <diagonal/>
    </border>
    <border>
      <left/>
      <right/>
      <top/>
      <bottom style="medium">
        <color rgb="FF44617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9"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0" fillId="4" borderId="0" applyAlignment="1" pivotButton="0" quotePrefix="0" xfId="20">
      <alignment horizontal="general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15" fillId="0" borderId="3" applyAlignment="1" pivotButton="0" quotePrefix="0" xfId="20">
      <alignment horizontal="general" vertical="top" wrapText="1"/>
    </xf>
    <xf numFmtId="0" fontId="16" fillId="0" borderId="3" applyAlignment="1" pivotButton="0" quotePrefix="0" xfId="20">
      <alignment horizontal="general" vertical="top" wrapText="1"/>
    </xf>
    <xf numFmtId="0" fontId="16" fillId="0" borderId="4" applyAlignment="1" pivotButton="0" quotePrefix="0" xfId="20">
      <alignment horizontal="general" vertical="top" wrapText="1"/>
    </xf>
    <xf numFmtId="0" fontId="17" fillId="6" borderId="0" applyAlignment="1" pivotButton="0" quotePrefix="0" xfId="20">
      <alignment horizontal="center" vertical="bottom" wrapText="1"/>
    </xf>
    <xf numFmtId="0" fontId="6" fillId="2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20" fillId="5" borderId="1" applyAlignment="1" pivotButton="0" quotePrefix="0" xfId="20">
      <alignment horizontal="center" vertical="center" wrapText="1"/>
    </xf>
    <xf numFmtId="0" fontId="13" fillId="5" borderId="5" applyAlignment="1" pivotButton="0" quotePrefix="0" xfId="20">
      <alignment horizontal="center" vertical="center" wrapText="1"/>
    </xf>
    <xf numFmtId="0" fontId="20" fillId="5" borderId="5" applyAlignment="1" pivotButton="0" quotePrefix="0" xfId="20">
      <alignment horizontal="center" vertical="center" wrapText="1"/>
    </xf>
    <xf numFmtId="0" fontId="21" fillId="0" borderId="0" applyAlignment="1" pivotButton="0" quotePrefix="0" xfId="20">
      <alignment horizontal="center" vertical="center"/>
    </xf>
    <xf numFmtId="0" fontId="13" fillId="5" borderId="6" applyAlignment="1" pivotButton="0" quotePrefix="0" xfId="20">
      <alignment horizontal="center" vertical="center" wrapText="1"/>
    </xf>
    <xf numFmtId="0" fontId="15" fillId="0" borderId="4" applyAlignment="1" pivotButton="0" quotePrefix="0" xfId="20">
      <alignment horizontal="general" vertical="center" wrapText="1"/>
    </xf>
    <xf numFmtId="0" fontId="16" fillId="0" borderId="4" applyAlignment="1" pivotButton="0" quotePrefix="0" xfId="20">
      <alignment horizontal="general" vertical="center" wrapText="1"/>
    </xf>
    <xf numFmtId="164" fontId="15" fillId="0" borderId="4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center" vertical="bottom"/>
    </xf>
    <xf numFmtId="0" fontId="15" fillId="0" borderId="4" applyAlignment="1" pivotButton="0" quotePrefix="0" xfId="20">
      <alignment horizontal="general" vertical="top" wrapText="1"/>
    </xf>
    <xf numFmtId="164" fontId="15" fillId="0" borderId="4" applyAlignment="1" pivotButton="0" quotePrefix="0" xfId="20">
      <alignment horizontal="general" vertical="top" wrapText="1"/>
    </xf>
    <xf numFmtId="164" fontId="9" fillId="0" borderId="0" applyAlignment="1" pivotButton="0" quotePrefix="0" xfId="20">
      <alignment horizontal="general" vertical="bottom" wrapText="1"/>
    </xf>
    <xf numFmtId="0" fontId="23" fillId="7" borderId="7" applyAlignment="1" pivotButton="0" quotePrefix="0" xfId="20">
      <alignment horizontal="general" vertical="center" wrapText="1"/>
    </xf>
    <xf numFmtId="0" fontId="24" fillId="8" borderId="8" applyAlignment="1" pivotButton="0" quotePrefix="0" xfId="2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0" fillId="0" borderId="10" pivotButton="0" quotePrefix="0" xfId="0"/>
    <xf numFmtId="0" fontId="0" fillId="0" borderId="2" pivotButton="0" quotePrefix="0" xfId="0"/>
    <xf numFmtId="0" fontId="15" fillId="0" borderId="3" applyAlignment="1" pivotButton="0" quotePrefix="0" xfId="20">
      <alignment horizontal="general" vertical="top" wrapText="1"/>
    </xf>
    <xf numFmtId="0" fontId="16" fillId="0" borderId="3" applyAlignment="1" pivotButton="0" quotePrefix="0" xfId="20">
      <alignment horizontal="general" vertical="top" wrapText="1"/>
    </xf>
    <xf numFmtId="0" fontId="16" fillId="0" borderId="4" applyAlignment="1" pivotButton="0" quotePrefix="0" xfId="20">
      <alignment horizontal="general" vertical="top" wrapText="1"/>
    </xf>
    <xf numFmtId="0" fontId="17" fillId="6" borderId="0" applyAlignment="1" pivotButton="0" quotePrefix="0" xfId="20">
      <alignment horizontal="center" vertical="bottom" wrapText="1"/>
    </xf>
    <xf numFmtId="0" fontId="6" fillId="2" borderId="0" applyAlignment="1" pivotButton="0" quotePrefix="0" xfId="20">
      <alignment horizontal="general" vertical="center" wrapText="1"/>
    </xf>
    <xf numFmtId="0" fontId="20" fillId="5" borderId="1" applyAlignment="1" pivotButton="0" quotePrefix="0" xfId="20">
      <alignment horizontal="center" vertical="center" wrapText="1"/>
    </xf>
    <xf numFmtId="0" fontId="13" fillId="5" borderId="5" applyAlignment="1" pivotButton="0" quotePrefix="0" xfId="20">
      <alignment horizontal="center" vertical="center" wrapText="1"/>
    </xf>
    <xf numFmtId="0" fontId="20" fillId="5" borderId="5" applyAlignment="1" pivotButton="0" quotePrefix="0" xfId="20">
      <alignment horizontal="center" vertical="center" wrapText="1"/>
    </xf>
    <xf numFmtId="0" fontId="21" fillId="0" borderId="0" applyAlignment="1" pivotButton="0" quotePrefix="0" xfId="20">
      <alignment horizontal="center" vertical="center"/>
    </xf>
    <xf numFmtId="0" fontId="13" fillId="5" borderId="6" applyAlignment="1" pivotButton="0" quotePrefix="0" xfId="20">
      <alignment horizontal="center" vertical="center" wrapText="1"/>
    </xf>
    <xf numFmtId="0" fontId="15" fillId="0" borderId="4" applyAlignment="1" pivotButton="0" quotePrefix="0" xfId="20">
      <alignment horizontal="general" vertical="center" wrapText="1"/>
    </xf>
    <xf numFmtId="0" fontId="16" fillId="0" borderId="4" applyAlignment="1" pivotButton="0" quotePrefix="0" xfId="20">
      <alignment horizontal="general" vertical="center" wrapText="1"/>
    </xf>
    <xf numFmtId="164" fontId="15" fillId="0" borderId="4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center" vertical="bottom"/>
    </xf>
    <xf numFmtId="0" fontId="15" fillId="0" borderId="4" applyAlignment="1" pivotButton="0" quotePrefix="0" xfId="20">
      <alignment horizontal="general" vertical="top" wrapText="1"/>
    </xf>
    <xf numFmtId="164" fontId="15" fillId="0" borderId="4" applyAlignment="1" pivotButton="0" quotePrefix="0" xfId="20">
      <alignment horizontal="general" vertical="top" wrapText="1"/>
    </xf>
    <xf numFmtId="164" fontId="9" fillId="0" borderId="0" applyAlignment="1" pivotButton="0" quotePrefix="0" xfId="20">
      <alignment horizontal="general" vertical="bottom" wrapText="1"/>
    </xf>
    <xf numFmtId="0" fontId="23" fillId="7" borderId="7" applyAlignment="1" pivotButton="0" quotePrefix="0" xfId="20">
      <alignment horizontal="general" vertical="center" wrapText="1"/>
    </xf>
    <xf numFmtId="0" fontId="24" fillId="8" borderId="8" applyAlignment="1" pivotButton="0" quotePrefix="0" xfId="2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6">
    <dxf>
      <fill>
        <patternFill patternType="solid">
          <fgColor rgb="FF1F5A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3202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F3E8"/>
          <bgColor rgb="FF000000"/>
        </patternFill>
      </fill>
    </dxf>
    <dxf>
      <fill>
        <patternFill patternType="solid">
          <fgColor rgb="FF176C4A"/>
          <bgColor rgb="FF000000"/>
        </patternFill>
      </fill>
    </dxf>
    <dxf>
      <font>
        <b val="1"/>
        <color rgb="FFA61B1B"/>
      </font>
      <fill>
        <patternFill>
          <bgColor rgb="FFFFD6D6"/>
        </patternFill>
      </fill>
    </dxf>
    <dxf>
      <font>
        <color rgb="FF176C4A"/>
      </font>
      <fill>
        <patternFill>
          <bgColor rgb="FFD9F3E8"/>
        </patternFill>
      </fill>
    </dxf>
    <dxf>
      <font>
        <color rgb="FF8A4B08"/>
      </font>
      <fill>
        <patternFill>
          <bgColor rgb="FFFFF0D6"/>
        </patternFill>
      </fill>
    </dxf>
    <dxf>
      <font>
        <color rgb="FF000000"/>
      </font>
      <border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>
        <left/>
        <right/>
        <top style="double">
          <color theme="4"/>
        </top>
        <bottom/>
        <diagonal/>
      </border>
    </dxf>
  </dxfs>
  <tableStyles count="1" defaultTableStyle="TableStyleMedium9" defaultPivotStyle="PivotStyleLight16">
    <tableStyle name="TableStyleMedium2" count="7">
      <tableStyleElement type="wholeTable" dxfId="9"/>
      <tableStyleElement type="firstColumnStripe" dxfId="10"/>
      <tableStyleElement type="firstRowStripe" dxfId="11"/>
      <tableStyleElement type="lastColumn" dxfId="12"/>
      <tableStyleElement type="firstColumn" dxfId="13"/>
      <tableStyleElement type="headerRow" dxfId="14"/>
      <tableStyleElement type="totalRow" dxfId="15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61B1B"/>
      <rgbColor rgb="FF008000"/>
      <rgbColor rgb="FF000080"/>
      <rgbColor rgb="FF808000"/>
      <rgbColor rgb="FF800080"/>
      <rgbColor rgb="FF176C4A"/>
      <rgbColor rgb="FFB9CBD2"/>
      <rgbColor rgb="FF808080"/>
      <rgbColor rgb="FF79D8E8"/>
      <rgbColor rgb="FF993366"/>
      <rgbColor rgb="FFFFF0D6"/>
      <rgbColor rgb="FFD9F3E8"/>
      <rgbColor rgb="FF660066"/>
      <rgbColor rgb="FFFF8080"/>
      <rgbColor rgb="FF0066CC"/>
      <rgbColor rgb="FFDCE8EC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E4F2F3"/>
      <rgbColor rgb="FFD7EEE5"/>
      <rgbColor rgb="FFFFFF99"/>
      <rgbColor rgb="FFAFC9CD"/>
      <rgbColor rgb="FFFF99CC"/>
      <rgbColor rgb="FFCC99FF"/>
      <rgbColor rgb="FFFFD6D6"/>
      <rgbColor rgb="FF3366FF"/>
      <rgbColor rgb="FF46B1E1"/>
      <rgbColor rgb="FF99CC00"/>
      <rgbColor rgb="FFF2C94C"/>
      <rgbColor rgb="FFFF9900"/>
      <rgbColor rgb="FFFF6600"/>
      <rgbColor rgb="FF446170"/>
      <rgbColor rgb="FF8FC3A1"/>
      <rgbColor rgb="FF163246"/>
      <rgbColor rgb="FF339966"/>
      <rgbColor rgb="FF13202B"/>
      <rgbColor rgb="FF17563A"/>
      <rgbColor rgb="FF8A4B08"/>
      <rgbColor rgb="FF993366"/>
      <rgbColor rgb="FF1F5A78"/>
      <rgbColor rgb="FF15383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AssetMasterTable" displayName="AssetMasterTable" ref="A5:X115" headerRowCount="1" totalsRowCount="0" totalsRowShown="0">
  <tableColumns count="24">
    <tableColumn id="1" name="AssetID"/>
    <tableColumn id="2" name="中文名"/>
    <tableColumn id="3" name="大类"/>
    <tableColumn id="4" name="子类"/>
    <tableColumn id="5" name="逻辑ID/源键"/>
    <tableColumn id="6" name="组件槽"/>
    <tableColumn id="7" name="变体父ID"/>
    <tableColumn id="8" name="视角"/>
    <tableColumn id="9" name="状态/动画"/>
    <tableColumn id="10" name="复用范围"/>
    <tableColumn id="11" name="制作状态"/>
    <tableColumn id="12" name="优先级"/>
    <tableColumn id="13" name="版本"/>
    <tableColumn id="14" name="规格(px)"/>
    <tableColumn id="15" name="文件路径"/>
    <tableColumn id="16" name="源码/策划依据"/>
    <tableColumn id="17" name="关键词/别名"/>
    <tableColumn id="18" name="查重键"/>
    <tableColumn id="19" name="查重结果"/>
    <tableColumn id="20" name="SHA-256"/>
    <tableColumn id="21" name="负责人"/>
    <tableColumn id="22" name="更新时间"/>
    <tableColumn id="23" name="来源/许可"/>
    <tableColumn id="24" name="源编号（Blender collection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1.48" customWidth="1" style="29" min="1" max="1"/>
    <col width="16.71" customWidth="1" style="29" min="2" max="3"/>
    <col width="3.58" customWidth="1" style="29" min="4" max="4"/>
    <col width="9.550000000000001" customWidth="1" style="29" min="5" max="5"/>
    <col width="35.81" customWidth="1" style="29" min="6" max="6"/>
    <col width="50.13" customWidth="1" style="29" min="7" max="7"/>
    <col width="3.58" customWidth="1" style="29" min="8" max="8"/>
    <col width="25.07" customWidth="1" style="29" min="9" max="10"/>
  </cols>
  <sheetData>
    <row r="1" ht="24.75" customHeight="1" s="30">
      <c r="A1" s="31" t="inlineStr">
        <is>
          <t>SHELLSTORM 2 · UI资产账本 v0.1</t>
        </is>
      </c>
    </row>
    <row r="2" ht="12" customHeight="1" s="30"/>
    <row r="3" ht="22.5" customHeight="1" s="30">
      <c r="A3" s="32" t="inlineStr">
        <is>
          <t>归属域=UI｜覆盖大类=UI｜AssetID 前缀=UI｜主账本（总目录）=assets/registry/ShellStorm2_美术资产台账_v001.xlsx；本账本可独立并行编辑，跨域契约见主账本</t>
        </is>
      </c>
    </row>
    <row r="4" ht="15" customHeight="1" s="30">
      <c r="A4" s="33" t="n"/>
      <c r="B4" s="33" t="n"/>
      <c r="C4" s="33" t="n"/>
      <c r="D4" s="33" t="n"/>
      <c r="E4" s="33" t="n"/>
      <c r="F4" s="33" t="n"/>
      <c r="G4" s="33" t="n"/>
      <c r="H4" s="33" t="n"/>
      <c r="I4" s="33" t="n"/>
      <c r="J4" s="33" t="n"/>
    </row>
    <row r="5" ht="27.6" customHeight="1" s="30">
      <c r="A5" s="34" t="inlineStr">
        <is>
          <t>资产总数</t>
        </is>
      </c>
      <c r="B5" s="34" t="n"/>
      <c r="C5" s="34" t="inlineStr">
        <is>
          <t>已完成/已接入</t>
        </is>
      </c>
      <c r="D5" s="34" t="n"/>
      <c r="E5" s="34" t="inlineStr">
        <is>
          <t>待制作/程序占位</t>
        </is>
      </c>
      <c r="F5" s="34" t="n"/>
      <c r="G5" s="34" t="inlineStr">
        <is>
          <t>重复警报</t>
        </is>
      </c>
      <c r="H5" s="34" t="n"/>
      <c r="I5" s="34" t="inlineStr">
        <is>
          <t>域内专表 / 3D Prefab 分页</t>
        </is>
      </c>
      <c r="J5" s="34" t="n"/>
    </row>
    <row r="6" ht="42" customHeight="1" s="30">
      <c r="A6" s="35">
        <f>COUNTA('资产主表'!$A$6:$A$21)</f>
        <v/>
      </c>
      <c r="B6" s="33" t="n"/>
      <c r="C6" s="35">
        <f>COUNTIF('资产主表'!$K$6:$K$21,"已完成")+COUNTIF('资产主表'!$K$6:$K$21,"原型已接入")+COUNTIF('资产主表'!$K$6:$K$21,"正式美术已接入")+COUNTIF('资产主表'!$K$6:$K$21,"已优化并正式接入")+COUNTIF('资产主表'!$K$6:$K$21,"Blender源已完成")+COUNTIF('资产主表'!$K$6:$K$21,"已导入；优化完成")+COUNTIF('资产主表'!$K$6:$K$21,"白模源已完成；QA PASS")</f>
        <v/>
      </c>
      <c r="D6" s="33" t="n"/>
      <c r="E6" s="35">
        <f>COUNTIF('资产主表'!$K$6:$K$21,"待制作")+COUNTIF('资产主表'!$K$6:$K$21,"程序占位")</f>
        <v/>
      </c>
      <c r="F6" s="33" t="n"/>
      <c r="G6" s="35">
        <f>COUNTIF('资产主表'!$S$6:$S$21,"重复")</f>
        <v/>
      </c>
      <c r="H6" s="33" t="n"/>
      <c r="I6" s="34" t="inlineStr">
        <is>
          <t>域内专表：无　|　3D Prefab 分页：无</t>
        </is>
      </c>
    </row>
    <row r="7" ht="15" customHeight="1" s="30">
      <c r="A7" s="33" t="n"/>
      <c r="B7" s="33" t="n"/>
      <c r="C7" s="33" t="n"/>
      <c r="D7" s="33" t="n"/>
      <c r="E7" s="33" t="n"/>
      <c r="F7" s="33" t="n"/>
      <c r="G7" s="33" t="n"/>
      <c r="H7" s="33" t="n"/>
      <c r="I7" s="33" t="n"/>
      <c r="J7" s="33" t="n"/>
    </row>
    <row r="8" ht="15" customHeight="1" s="30">
      <c r="A8" s="33" t="n"/>
      <c r="B8" s="33" t="n"/>
      <c r="C8" s="33" t="n"/>
      <c r="D8" s="33" t="n"/>
      <c r="E8" s="33" t="n"/>
      <c r="F8" s="33" t="n"/>
      <c r="G8" s="33" t="n"/>
      <c r="H8" s="33" t="n"/>
      <c r="I8" s="33" t="n"/>
      <c r="J8" s="33" t="n"/>
    </row>
    <row r="9" ht="31.5" customHeight="1" s="30">
      <c r="A9" s="36" t="inlineStr">
        <is>
          <t>大类</t>
        </is>
      </c>
      <c r="B9" s="36" t="inlineStr">
        <is>
          <t>资产数</t>
        </is>
      </c>
      <c r="C9" s="36" t="inlineStr">
        <is>
          <t>完成/接入</t>
        </is>
      </c>
      <c r="D9" s="36" t="n"/>
      <c r="E9" s="37" t="inlineStr">
        <is>
          <t>本账本只登记上列大类；跨域搬运资产须同步主账本《分类与编码》并重跑门禁</t>
        </is>
      </c>
      <c r="F9" s="38" t="n"/>
      <c r="G9" s="38" t="n"/>
      <c r="H9" s="38" t="n"/>
      <c r="I9" s="38" t="n"/>
      <c r="J9" s="39" t="n"/>
    </row>
    <row r="10" ht="21.75" customHeight="1" s="30">
      <c r="A10" s="40" t="inlineStr">
        <is>
          <t>UI</t>
        </is>
      </c>
      <c r="B10" s="40">
        <f>COUNTIF('资产主表'!$C$6:$C$21,A10)</f>
        <v/>
      </c>
      <c r="C10" s="40">
        <f>SUMPRODUCT(('资产主表'!$C$6:$C$21=A10)*(('资产主表'!$K$6:$K$21="已完成")+('资产主表'!$K$6:$K$21="原型已接入")+('资产主表'!$K$6:$K$21="正式美术已接入")+('资产主表'!$K$6:$K$21="已优化并正式接入")+('资产主表'!$K$6:$K$21="Blender源已完成")+('资产主表'!$K$6:$K$21="已导入；优化完成")+('资产主表'!$K$6:$K$21="白模源已完成；QA PASS")))</f>
        <v/>
      </c>
      <c r="D10" s="40" t="n"/>
      <c r="E10" s="40" t="n"/>
      <c r="F10" s="40" t="n"/>
      <c r="G10" s="40" t="n"/>
      <c r="H10" s="40" t="n"/>
      <c r="I10" s="40" t="n"/>
      <c r="J10" s="40" t="n"/>
    </row>
    <row r="11" ht="21.75" customHeight="1" s="30">
      <c r="A11" s="41" t="inlineStr">
        <is>
          <t>合计</t>
        </is>
      </c>
      <c r="B11" s="40">
        <f>COUNTIF('资产主表'!$C$6:$C$21,A11)</f>
        <v/>
      </c>
      <c r="C11" s="40">
        <f>SUMPRODUCT(('资产主表'!$C$6:$C$21=A11)*(('资产主表'!$K$6:$K$21="已完成")+('资产主表'!$K$6:$K$21="原型已接入")+('资产主表'!$K$6:$K$21="正式美术已接入")+('资产主表'!$K$6:$K$21="已优化并正式接入")+('资产主表'!$K$6:$K$21="Blender源已完成")+('资产主表'!$K$6:$K$21="已导入；优化完成")+('资产主表'!$K$6:$K$21="白模源已完成；QA PASS")))</f>
        <v/>
      </c>
      <c r="D11" s="40" t="n"/>
      <c r="E11" s="40" t="n"/>
      <c r="F11" s="40" t="n"/>
      <c r="G11" s="40" t="n"/>
      <c r="H11" s="40" t="n"/>
      <c r="I11" s="40" t="n"/>
      <c r="J11" s="40" t="n"/>
    </row>
    <row r="12" ht="15" customHeight="1" s="30">
      <c r="A12" s="36" t="n"/>
      <c r="B12" s="36" t="n"/>
      <c r="C12" s="36" t="n"/>
      <c r="D12" s="36" t="n"/>
      <c r="E12" s="36" t="n"/>
      <c r="F12" s="36" t="n"/>
      <c r="G12" s="36" t="n"/>
      <c r="H12" s="36" t="n"/>
      <c r="I12" s="36" t="n"/>
      <c r="J12" s="36" t="n"/>
    </row>
    <row r="13" ht="15" customHeight="1" s="30">
      <c r="A13" s="42" t="n"/>
      <c r="B13" s="42" t="n"/>
      <c r="C13" s="42" t="n"/>
      <c r="D13" s="33" t="n"/>
      <c r="E13" s="43" t="n"/>
      <c r="F13" s="42" t="n"/>
      <c r="G13" s="42" t="n"/>
      <c r="H13" s="33" t="n"/>
      <c r="I13" s="33" t="n"/>
      <c r="J13" s="33" t="n"/>
    </row>
    <row r="14" ht="15" customHeight="1" s="30">
      <c r="A14" s="42" t="n"/>
      <c r="B14" s="42" t="n"/>
      <c r="C14" s="42" t="n"/>
      <c r="D14" s="33" t="n"/>
      <c r="E14" s="43" t="n"/>
      <c r="F14" s="42" t="n"/>
      <c r="G14" s="42" t="n"/>
      <c r="H14" s="33" t="n"/>
      <c r="I14" s="33" t="n"/>
      <c r="J14" s="33" t="n"/>
    </row>
    <row r="15" ht="15" customHeight="1" s="30">
      <c r="A15" s="42" t="n"/>
      <c r="B15" s="42" t="n"/>
      <c r="C15" s="42" t="n"/>
      <c r="D15" s="33" t="n"/>
      <c r="E15" s="33" t="n"/>
      <c r="F15" s="33" t="n"/>
      <c r="G15" s="33" t="n"/>
      <c r="H15" s="33" t="n"/>
      <c r="I15" s="33" t="n"/>
      <c r="J15" s="33" t="n"/>
    </row>
    <row r="16" ht="15" customHeight="1" s="30">
      <c r="A16" s="42" t="n"/>
      <c r="B16" s="42" t="n"/>
      <c r="C16" s="42" t="n"/>
      <c r="D16" s="33" t="n"/>
      <c r="E16" s="33" t="n"/>
      <c r="F16" s="33" t="n"/>
      <c r="G16" s="33" t="n"/>
      <c r="H16" s="33" t="n"/>
      <c r="I16" s="33" t="n"/>
      <c r="J16" s="33" t="n"/>
    </row>
    <row r="17" ht="15" customHeight="1" s="30">
      <c r="A17" s="42" t="n"/>
      <c r="B17" s="42" t="n"/>
      <c r="C17" s="42" t="n"/>
      <c r="D17" s="33" t="n"/>
      <c r="E17" s="33" t="n"/>
      <c r="F17" s="33" t="n"/>
      <c r="G17" s="33" t="n"/>
      <c r="H17" s="33" t="n"/>
      <c r="I17" s="33" t="n"/>
      <c r="J17" s="33" t="n"/>
    </row>
    <row r="18" ht="15" customHeight="1" s="30">
      <c r="A18" s="42" t="n"/>
      <c r="B18" s="42" t="n"/>
      <c r="C18" s="42" t="n"/>
      <c r="D18" s="33" t="n"/>
      <c r="E18" s="33" t="n"/>
      <c r="F18" s="33" t="n"/>
      <c r="G18" s="33" t="n"/>
      <c r="H18" s="33" t="n"/>
      <c r="I18" s="33" t="n"/>
      <c r="J18" s="33" t="n"/>
    </row>
    <row r="19" ht="15" customHeight="1" s="30">
      <c r="A19" s="33" t="n"/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</row>
    <row r="20" ht="15" customHeight="1" s="30">
      <c r="A20" s="33" t="n"/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</row>
  </sheetData>
  <mergeCells count="4">
    <mergeCell ref="E9:J9"/>
    <mergeCell ref="A3:J3"/>
    <mergeCell ref="A1:J2"/>
    <mergeCell ref="I6:J6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6.26" customWidth="1" style="29" min="1" max="1"/>
    <col width="74" customWidth="1" style="29" min="2" max="2"/>
    <col width="40.58" customWidth="1" style="29" min="3" max="3"/>
    <col width="28.65" customWidth="1" style="29" min="4" max="6"/>
  </cols>
  <sheetData>
    <row r="1" ht="15" customHeight="1" s="30">
      <c r="A1" s="44" t="inlineStr">
        <is>
          <t>本账本说明 · UI</t>
        </is>
      </c>
    </row>
    <row r="2" ht="15" customHeight="1" s="30"/>
    <row r="3" ht="15" customHeight="1" s="30">
      <c r="A3" s="32" t="inlineStr">
        <is>
          <t>本表是分账本自描述；机器可读真源为 assets/registry/ledger_index.json，二者不一致时以 JSON 为准</t>
        </is>
      </c>
    </row>
    <row r="5" ht="15" customHeight="1" s="30">
      <c r="A5" s="36" t="inlineStr">
        <is>
          <t>项</t>
        </is>
      </c>
      <c r="B5" s="36" t="inlineStr">
        <is>
          <t>值</t>
        </is>
      </c>
      <c r="C5" s="36" t="n"/>
      <c r="D5" s="36" t="n"/>
      <c r="E5" s="36" t="n"/>
      <c r="F5" s="36" t="n"/>
    </row>
    <row r="6" ht="30" customHeight="1" s="30">
      <c r="A6" s="41" t="inlineStr">
        <is>
          <t>账本归属域</t>
        </is>
      </c>
      <c r="B6" s="40" t="inlineStr">
        <is>
          <t>UI</t>
        </is>
      </c>
      <c r="C6" s="40" t="n"/>
      <c r="D6" s="40" t="n"/>
      <c r="E6" s="40" t="n"/>
      <c r="F6" s="40" t="n"/>
    </row>
    <row r="7" ht="30" customHeight="1" s="30">
      <c r="A7" s="41" t="inlineStr">
        <is>
          <t>分账本文件</t>
        </is>
      </c>
      <c r="B7" s="40" t="inlineStr">
        <is>
          <t>assets/registry/ledgers/ShellStorm2_UI账本_v001.xlsx</t>
        </is>
      </c>
      <c r="C7" s="40" t="n"/>
      <c r="D7" s="40" t="n"/>
      <c r="E7" s="40" t="n"/>
      <c r="F7" s="40" t="n"/>
    </row>
    <row r="8" ht="30" customHeight="1" s="30">
      <c r="A8" s="41" t="inlineStr">
        <is>
          <t>覆盖大类</t>
        </is>
      </c>
      <c r="B8" s="40" t="inlineStr">
        <is>
          <t>UI</t>
        </is>
      </c>
      <c r="C8" s="40" t="n"/>
      <c r="D8" s="40" t="n"/>
      <c r="E8" s="40" t="n"/>
      <c r="F8" s="40" t="n"/>
    </row>
    <row r="9" ht="30" customHeight="1" s="30">
      <c r="A9" s="40" t="inlineStr">
        <is>
          <t>AssetID 前缀</t>
        </is>
      </c>
      <c r="B9" s="40" t="inlineStr">
        <is>
          <t>UI</t>
        </is>
      </c>
      <c r="C9" s="40" t="n"/>
      <c r="D9" s="40" t="n"/>
      <c r="E9" s="40" t="n"/>
      <c r="F9" s="40" t="n"/>
    </row>
    <row r="10" ht="30" customHeight="1" s="30">
      <c r="A10" s="41" t="inlineStr">
        <is>
          <t>域内专表</t>
        </is>
      </c>
      <c r="B10" s="41" t="inlineStr">
        <is>
          <t>无</t>
        </is>
      </c>
      <c r="C10" s="40" t="n"/>
      <c r="D10" s="40" t="n"/>
      <c r="E10" s="40" t="n"/>
      <c r="F10" s="40" t="n"/>
    </row>
    <row r="11" ht="30" customHeight="1" s="30">
      <c r="A11" s="40" t="inlineStr">
        <is>
          <t>3D Prefab 分页</t>
        </is>
      </c>
      <c r="B11" s="41" t="inlineStr">
        <is>
          <t>无</t>
        </is>
      </c>
      <c r="C11" s="40" t="n"/>
      <c r="D11" s="40" t="n"/>
      <c r="E11" s="40" t="n"/>
      <c r="F11" s="40" t="n"/>
    </row>
    <row r="12" ht="30" customHeight="1" s="30">
      <c r="A12" s="41" t="inlineStr">
        <is>
          <t>动画登记表</t>
        </is>
      </c>
      <c r="B12" s="41" t="inlineStr">
        <is>
          <t>无</t>
        </is>
      </c>
      <c r="C12" s="40" t="n"/>
      <c r="D12" s="40" t="n"/>
      <c r="E12" s="40" t="n"/>
      <c r="F12" s="40" t="n"/>
    </row>
    <row r="13" ht="30" customHeight="1" s="30">
      <c r="A13" s="41" t="inlineStr">
        <is>
          <t>主账本（总目录）</t>
        </is>
      </c>
      <c r="B13" s="40" t="inlineStr">
        <is>
          <t>assets/registry/ShellStorm2_美术资产台账_v001.xlsx</t>
        </is>
      </c>
      <c r="C13" s="40" t="n"/>
      <c r="D13" s="40" t="n"/>
      <c r="E13" s="40" t="n"/>
      <c r="F13" s="40" t="n"/>
    </row>
    <row r="14" ht="30" customHeight="1" s="30">
      <c r="A14" s="41" t="inlineStr">
        <is>
          <t>跨域契约</t>
        </is>
      </c>
      <c r="B14" s="41" t="inlineStr">
        <is>
          <t>分类与编码 / 命名与查重 / 版本记录 / Skill 清单 / 3D Prefab 总控 —— 全部只在主账本维护</t>
        </is>
      </c>
      <c r="C14" s="40" t="n"/>
      <c r="D14" s="40" t="n"/>
      <c r="E14" s="40" t="n"/>
      <c r="F14" s="40" t="n"/>
    </row>
    <row r="15" ht="30" customHeight="1" s="30">
      <c r="A15" s="41" t="inlineStr">
        <is>
          <t>首选制作 Skill</t>
        </is>
      </c>
      <c r="B15" s="40" t="inlineStr">
        <is>
          <t>ui-asset-pipeline</t>
        </is>
      </c>
      <c r="C15" s="40" t="n"/>
      <c r="D15" s="40" t="n"/>
      <c r="E15" s="40" t="n"/>
      <c r="F15" s="40" t="n"/>
    </row>
    <row r="16" ht="30" customHeight="1" s="30">
      <c r="A16" s="41" t="inlineStr">
        <is>
          <t>协作 Skill</t>
        </is>
      </c>
      <c r="B16" s="41" t="inlineStr">
        <is>
          <t>无</t>
        </is>
      </c>
      <c r="C16" s="40" t="n"/>
      <c r="D16" s="40" t="n"/>
      <c r="E16" s="40" t="n"/>
      <c r="F16" s="40" t="n"/>
    </row>
    <row r="17" ht="30" customHeight="1" s="30">
      <c r="A17" s="41" t="inlineStr">
        <is>
          <t>负责人</t>
        </is>
      </c>
      <c r="B17" s="41" t="inlineStr">
        <is>
          <t>待分配</t>
        </is>
      </c>
      <c r="C17" s="40" t="n"/>
      <c r="D17" s="40" t="n"/>
      <c r="E17" s="40" t="n"/>
      <c r="F17" s="40" t="n"/>
    </row>
    <row r="18" ht="30" customHeight="1" s="30">
      <c r="A18" s="41" t="inlineStr">
        <is>
          <t>登记范围</t>
        </is>
      </c>
      <c r="B18" s="40" t="inlineStr">
        <is>
          <t>HUD、页面、面板、图标、弹窗、手柄焦点与跨分辨率界面表现；UI 只消费领域命令/查询，不持有玩法或存档规则。</t>
        </is>
      </c>
      <c r="C18" s="40" t="n"/>
      <c r="D18" s="40" t="n"/>
      <c r="E18" s="40" t="n"/>
      <c r="F18" s="40" t="n"/>
    </row>
    <row r="19" ht="30" customHeight="1" s="30">
      <c r="A19" s="41" t="inlineStr">
        <is>
          <t>编辑边界</t>
        </is>
      </c>
      <c r="B19" s="41" t="inlineStr">
        <is>
          <t>只在本账本内增删改资产行。把资产从一个域搬到另一个域，属于跨域变更：必须同时改主账本《分类与编码》与 ledger_index.json，并重跑门禁。</t>
        </is>
      </c>
      <c r="C19" s="40" t="n"/>
      <c r="D19" s="40" t="n"/>
      <c r="E19" s="40" t="n"/>
      <c r="F19" s="40" t="n"/>
    </row>
    <row r="20" ht="30" customHeight="1" s="30">
      <c r="A20" s="41" t="inlineStr">
        <is>
          <t>登记口径</t>
        </is>
      </c>
      <c r="B20" s="41" t="inlineStr">
        <is>
          <t>资产条目以《资产主表》一行为准；一行只能有一个大类，且必须落在本账本声明的大类内。Prefab 详情按分页登记到对应的 3D-* 表，一行 = 一个实际存在的 Godot PackedScene。</t>
        </is>
      </c>
      <c r="C20" s="40" t="n"/>
      <c r="D20" s="40" t="n"/>
      <c r="E20" s="40" t="n"/>
      <c r="F20" s="40" t="n"/>
    </row>
    <row r="21" ht="30" customHeight="1" s="30">
      <c r="A21" s="41" t="inlineStr">
        <is>
          <t>门禁</t>
        </is>
      </c>
      <c r="B21" s="40" t="inlineStr">
        <is>
          <t>python3 scripts/check_media_asset_domains.py；python3 scripts/check_asset_registry.py --scope structure</t>
        </is>
      </c>
      <c r="C21" s="40" t="n"/>
      <c r="D21" s="40" t="n"/>
      <c r="E21" s="40" t="n"/>
      <c r="F21" s="40" t="n"/>
    </row>
    <row r="22" ht="30" customHeight="1" s="30">
      <c r="A22" s="41" t="inlineStr">
        <is>
          <t>无损基线</t>
        </is>
      </c>
      <c r="B22" s="40" t="inlineStr">
        <is>
          <t>assets/registry/ledger_split_baseline.json + assets/registry/media_domain_split_manifest.json；门禁断言 AssetID/路径/哈希/状态不丢失</t>
        </is>
      </c>
      <c r="C22" s="40" t="n"/>
      <c r="D22" s="40" t="n"/>
      <c r="E22" s="40" t="n"/>
      <c r="F22" s="40" t="n"/>
    </row>
    <row r="23" ht="30" customHeight="1" s="30">
      <c r="A23" s="41" t="inlineStr">
        <is>
          <t>快照日期</t>
        </is>
      </c>
      <c r="B23" s="40" t="inlineStr">
        <is>
          <t>2026-09-23</t>
        </is>
      </c>
      <c r="C23" s="40" t="n"/>
      <c r="D23" s="40" t="n"/>
      <c r="E23" s="40" t="n"/>
      <c r="F23" s="40" t="n"/>
    </row>
  </sheetData>
  <mergeCells count="2">
    <mergeCell ref="A3:F3"/>
    <mergeCell ref="A1:F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Y7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9.84" customWidth="1" style="29" min="1" max="1"/>
    <col width="21.48" customWidth="1" style="29" min="2" max="2"/>
    <col width="11.94" customWidth="1" style="29" min="3" max="3"/>
    <col width="21.48" customWidth="1" style="29" min="4" max="4"/>
    <col width="26.26" customWidth="1" style="29" min="5" max="5"/>
    <col width="14.33" customWidth="1" style="29" min="6" max="6"/>
    <col width="29.84" customWidth="1" style="29" min="7" max="7"/>
    <col width="22.68" customWidth="1" style="29" min="8" max="8"/>
    <col width="17.9" customWidth="1" style="29" min="9" max="9"/>
    <col width="21.48" customWidth="1" style="29" min="10" max="10"/>
    <col width="14.33" customWidth="1" style="29" min="11" max="11"/>
    <col width="9.550000000000001" customWidth="1" style="29" min="12" max="12"/>
    <col width="10.74" customWidth="1" style="29" min="13" max="13"/>
    <col width="19.1" customWidth="1" style="29" min="14" max="14"/>
    <col width="42.97" customWidth="1" style="29" min="15" max="15"/>
    <col width="40.58" customWidth="1" style="29" min="16" max="16"/>
    <col width="31.03" customWidth="1" style="29" min="17" max="17"/>
    <col width="50.13" customWidth="1" style="29" min="18" max="18"/>
    <col width="14.33" customWidth="1" style="29" min="19" max="19"/>
    <col width="35.81" customWidth="1" style="29" min="20" max="20"/>
    <col width="14.33" customWidth="1" style="29" min="21" max="21"/>
    <col width="15.51" customWidth="1" style="29" min="22" max="22"/>
    <col width="19.1" customWidth="1" style="29" min="23" max="23"/>
    <col width="62.06" customWidth="1" style="29" min="24" max="24"/>
  </cols>
  <sheetData>
    <row r="1" ht="24.75" customHeight="1" s="30">
      <c r="A1" s="44" t="inlineStr">
        <is>
          <t>资产主表 · 唯一登记源</t>
        </is>
      </c>
    </row>
    <row r="2" ht="12" customHeight="1" s="30"/>
    <row r="3" ht="22.5" customHeight="1" s="30">
      <c r="A3" s="32" t="inlineStr">
        <is>
          <t>查重键由公式生成；S 列出现“重复”时禁止制作，先合并或建立变体父子关系</t>
        </is>
      </c>
    </row>
    <row r="4" ht="15" customHeight="1" s="30">
      <c r="A4" s="33" t="n"/>
      <c r="B4" s="33" t="n"/>
      <c r="C4" s="33" t="n"/>
      <c r="D4" s="33" t="n"/>
      <c r="E4" s="33" t="n"/>
      <c r="F4" s="33" t="n"/>
      <c r="G4" s="33" t="n"/>
      <c r="H4" s="33" t="n"/>
      <c r="I4" s="33" t="n"/>
      <c r="J4" s="33" t="n"/>
      <c r="K4" s="33" t="n"/>
      <c r="L4" s="33" t="n"/>
      <c r="M4" s="33" t="n"/>
      <c r="N4" s="33" t="n"/>
      <c r="O4" s="33" t="n"/>
      <c r="P4" s="33" t="n"/>
      <c r="Q4" s="33" t="n"/>
      <c r="R4" s="33" t="n"/>
      <c r="S4" s="33" t="n"/>
      <c r="T4" s="33" t="n"/>
      <c r="U4" s="33" t="n"/>
      <c r="V4" s="33" t="n"/>
      <c r="W4" s="33" t="n"/>
      <c r="Y4" s="33" t="n"/>
    </row>
    <row r="5" ht="31.5" customHeight="1" s="30">
      <c r="A5" s="45" t="inlineStr">
        <is>
          <t>AssetID</t>
        </is>
      </c>
      <c r="B5" s="46" t="inlineStr">
        <is>
          <t>中文名</t>
        </is>
      </c>
      <c r="C5" s="46" t="inlineStr">
        <is>
          <t>大类</t>
        </is>
      </c>
      <c r="D5" s="46" t="inlineStr">
        <is>
          <t>子类</t>
        </is>
      </c>
      <c r="E5" s="46" t="inlineStr">
        <is>
          <t>逻辑ID/源键</t>
        </is>
      </c>
      <c r="F5" s="46" t="inlineStr">
        <is>
          <t>组件槽</t>
        </is>
      </c>
      <c r="G5" s="46" t="inlineStr">
        <is>
          <t>变体父ID</t>
        </is>
      </c>
      <c r="H5" s="46" t="inlineStr">
        <is>
          <t>视角</t>
        </is>
      </c>
      <c r="I5" s="46" t="inlineStr">
        <is>
          <t>状态/动画</t>
        </is>
      </c>
      <c r="J5" s="46" t="inlineStr">
        <is>
          <t>复用范围</t>
        </is>
      </c>
      <c r="K5" s="46" t="inlineStr">
        <is>
          <t>制作状态</t>
        </is>
      </c>
      <c r="L5" s="46" t="inlineStr">
        <is>
          <t>优先级</t>
        </is>
      </c>
      <c r="M5" s="46" t="inlineStr">
        <is>
          <t>版本</t>
        </is>
      </c>
      <c r="N5" s="46" t="inlineStr">
        <is>
          <t>规格(px)</t>
        </is>
      </c>
      <c r="O5" s="46" t="inlineStr">
        <is>
          <t>文件路径</t>
        </is>
      </c>
      <c r="P5" s="46" t="inlineStr">
        <is>
          <t>源码/策划依据</t>
        </is>
      </c>
      <c r="Q5" s="46" t="inlineStr">
        <is>
          <t>关键词/别名</t>
        </is>
      </c>
      <c r="R5" s="46" t="inlineStr">
        <is>
          <t>查重键</t>
        </is>
      </c>
      <c r="S5" s="46" t="inlineStr">
        <is>
          <t>查重结果</t>
        </is>
      </c>
      <c r="T5" s="47" t="inlineStr">
        <is>
          <t>SHA-256</t>
        </is>
      </c>
      <c r="U5" s="46" t="inlineStr">
        <is>
          <t>负责人</t>
        </is>
      </c>
      <c r="V5" s="46" t="inlineStr">
        <is>
          <t>更新时间</t>
        </is>
      </c>
      <c r="W5" s="46" t="inlineStr">
        <is>
          <t>来源/许可</t>
        </is>
      </c>
      <c r="X5" s="48" t="inlineStr">
        <is>
          <t>源编号（Blender collection）</t>
        </is>
      </c>
      <c r="Y5" s="49" t="inlineStr">
        <is>
          <t>备注</t>
        </is>
      </c>
    </row>
    <row r="6" ht="310.4" customHeight="1" s="30">
      <c r="A6" s="50" t="inlineStr">
        <is>
          <t>UI-SCREEN-HUD</t>
        </is>
      </c>
      <c r="B6" s="51" t="inlineStr">
        <is>
          <t>战斗 HUD</t>
        </is>
      </c>
      <c r="C6" s="50" t="inlineStr">
        <is>
          <t>UI</t>
        </is>
      </c>
      <c r="D6" s="50" t="inlineStr">
        <is>
          <t>screen</t>
        </is>
      </c>
      <c r="E6" s="50" t="inlineStr">
        <is>
          <t>hud</t>
        </is>
      </c>
      <c r="F6" s="50" t="inlineStr">
        <is>
          <t>root</t>
        </is>
      </c>
      <c r="G6" s="50" t="n"/>
      <c r="H6" s="51" t="inlineStr">
        <is>
          <t>屏幕空间</t>
        </is>
      </c>
      <c r="I6" s="50" t="inlineStr">
        <is>
          <t>default</t>
        </is>
      </c>
      <c r="J6" s="51" t="inlineStr">
        <is>
          <t>跨分辨率</t>
        </is>
      </c>
      <c r="K6" s="51" t="inlineStr">
        <is>
          <t>原型已接入</t>
        </is>
      </c>
      <c r="L6" s="50" t="inlineStr">
        <is>
          <t>P0</t>
        </is>
      </c>
      <c r="M6" s="50" t="inlineStr">
        <is>
          <t>v002</t>
        </is>
      </c>
      <c r="N6" s="50" t="inlineStr">
        <is>
          <t>1280×720 基准；九宫格/矢量优先</t>
        </is>
      </c>
      <c r="O6" s="50" t="inlineStr">
        <is>
          <t>scenes/Dungeon3D.tscn</t>
        </is>
      </c>
      <c r="P6" s="50" t="inlineStr">
        <is>
          <t>src/ui/GameUIManager.gd</t>
        </is>
      </c>
      <c r="Q6" s="50" t="n"/>
      <c r="R6" s="50">
        <f>LOWER(TRIM(C6)&amp;"|"&amp;TRIM(D6)&amp;"|"&amp;TRIM(E6)&amp;"|"&amp;TRIM(F6)&amp;"|"&amp;TRIM(H6)&amp;"|"&amp;TRIM(I6))</f>
        <v/>
      </c>
      <c r="S6" s="51">
        <f>IF(COUNTIF($R$6:$R$21,R6)&gt;1,"重复","唯一")</f>
        <v/>
      </c>
      <c r="T6" s="50" t="inlineStr">
        <is>
          <t>87bf0961b7cc4e440181adc14af71a230053139d69cbf82fa35b2aed3616932a</t>
        </is>
      </c>
      <c r="U6" s="51" t="inlineStr">
        <is>
          <t>待分配</t>
        </is>
      </c>
      <c r="V6" s="52" t="n">
        <v>46264</v>
      </c>
      <c r="W6" s="51" t="inlineStr">
        <is>
          <t>原创/待确认</t>
        </is>
      </c>
      <c r="X6" s="53" t="inlineStr">
        <is>
          <t>—</t>
        </is>
      </c>
      <c r="Y6" s="50" t="inlineStr">
        <is>
          <t>v0.1：主游戏HUD升级为深色半透明青色全息面板，危险/撤离信息使用琥珀与绿色分层；小地图以20Hz实时更新当前楼层，显示玩家位置与朝向、扫描扇区、脉冲环、透视网格、已发现房间/连线和楼层纵向索引。
2026-08-30 AST-02：登记路径规范化 &lt;空&gt; → scenes/Dungeon3D.tscn；多实现/源码依据保留在P列。
2026-08-30 AST-02：补齐单一生产路径SHA；验收：verify_hud_presenter_3d；verify_3d_performance_budget；SHA 4e61089a3bcd。</t>
        </is>
      </c>
    </row>
    <row r="7" ht="32.8" customHeight="1" s="30">
      <c r="A7" s="54" t="inlineStr">
        <is>
          <t>UI-SCREEN-MERCHANT</t>
        </is>
      </c>
      <c r="B7" s="42" t="inlineStr">
        <is>
          <t>商人</t>
        </is>
      </c>
      <c r="C7" s="54" t="inlineStr">
        <is>
          <t>UI</t>
        </is>
      </c>
      <c r="D7" s="54" t="inlineStr">
        <is>
          <t>screen</t>
        </is>
      </c>
      <c r="E7" s="54" t="inlineStr">
        <is>
          <t>merchant</t>
        </is>
      </c>
      <c r="F7" s="54" t="inlineStr">
        <is>
          <t>root</t>
        </is>
      </c>
      <c r="G7" s="54" t="n"/>
      <c r="H7" s="42" t="inlineStr">
        <is>
          <t>屏幕空间</t>
        </is>
      </c>
      <c r="I7" s="54" t="inlineStr">
        <is>
          <t>default</t>
        </is>
      </c>
      <c r="J7" s="42" t="inlineStr">
        <is>
          <t>跨分辨率</t>
        </is>
      </c>
      <c r="K7" s="42" t="inlineStr">
        <is>
          <t>程序占位</t>
        </is>
      </c>
      <c r="L7" s="54" t="inlineStr">
        <is>
          <t>P2</t>
        </is>
      </c>
      <c r="M7" s="54" t="inlineStr">
        <is>
          <t>v001</t>
        </is>
      </c>
      <c r="N7" s="54" t="inlineStr">
        <is>
          <t>1280×720 基准；九宫格/矢量优先</t>
        </is>
      </c>
      <c r="O7" s="54" t="n"/>
      <c r="P7" s="54" t="inlineStr">
        <is>
          <t>src/ui/MerchantUI.gd</t>
        </is>
      </c>
      <c r="Q7" s="54" t="n"/>
      <c r="R7" s="54">
        <f>LOWER(TRIM(C7)&amp;"|"&amp;TRIM(D7)&amp;"|"&amp;TRIM(E7)&amp;"|"&amp;TRIM(F7)&amp;"|"&amp;TRIM(H7)&amp;"|"&amp;TRIM(I7))</f>
        <v/>
      </c>
      <c r="S7" s="42">
        <f>IF(COUNTIF($R$6:$R$21,R7)&gt;1,"重复","唯一")</f>
        <v/>
      </c>
      <c r="T7" s="54" t="n"/>
      <c r="U7" s="42" t="inlineStr">
        <is>
          <t>待分配</t>
        </is>
      </c>
      <c r="V7" s="55" t="n">
        <v>46224</v>
      </c>
      <c r="W7" s="42" t="inlineStr">
        <is>
          <t>原创/待确认</t>
        </is>
      </c>
      <c r="X7" s="53" t="inlineStr">
        <is>
          <t>—</t>
        </is>
      </c>
      <c r="Y7" s="42" t="inlineStr">
        <is>
          <t>先建组件库，再做页面，避免每页重复画按钮/面板</t>
        </is>
      </c>
    </row>
    <row r="8" ht="32.8" customHeight="1" s="30">
      <c r="A8" s="54" t="inlineStr">
        <is>
          <t>UI-SCREEN-WORKSHOP</t>
        </is>
      </c>
      <c r="B8" s="42" t="inlineStr">
        <is>
          <t>枪械工坊</t>
        </is>
      </c>
      <c r="C8" s="54" t="inlineStr">
        <is>
          <t>UI</t>
        </is>
      </c>
      <c r="D8" s="54" t="inlineStr">
        <is>
          <t>screen</t>
        </is>
      </c>
      <c r="E8" s="54" t="inlineStr">
        <is>
          <t>workshop</t>
        </is>
      </c>
      <c r="F8" s="54" t="inlineStr">
        <is>
          <t>root</t>
        </is>
      </c>
      <c r="G8" s="54" t="n"/>
      <c r="H8" s="42" t="inlineStr">
        <is>
          <t>屏幕空间</t>
        </is>
      </c>
      <c r="I8" s="54" t="inlineStr">
        <is>
          <t>default</t>
        </is>
      </c>
      <c r="J8" s="42" t="inlineStr">
        <is>
          <t>跨分辨率</t>
        </is>
      </c>
      <c r="K8" s="42" t="inlineStr">
        <is>
          <t>程序占位</t>
        </is>
      </c>
      <c r="L8" s="54" t="inlineStr">
        <is>
          <t>P2</t>
        </is>
      </c>
      <c r="M8" s="54" t="inlineStr">
        <is>
          <t>v001</t>
        </is>
      </c>
      <c r="N8" s="54" t="inlineStr">
        <is>
          <t>1280×720 基准；九宫格/矢量优先</t>
        </is>
      </c>
      <c r="O8" s="54" t="n"/>
      <c r="P8" s="54" t="inlineStr">
        <is>
          <t>src/ui/WorkshopMenu.gd</t>
        </is>
      </c>
      <c r="Q8" s="54" t="n"/>
      <c r="R8" s="54">
        <f>LOWER(TRIM(C8)&amp;"|"&amp;TRIM(D8)&amp;"|"&amp;TRIM(E8)&amp;"|"&amp;TRIM(F8)&amp;"|"&amp;TRIM(H8)&amp;"|"&amp;TRIM(I8))</f>
        <v/>
      </c>
      <c r="S8" s="42">
        <f>IF(COUNTIF($R$6:$R$21,R8)&gt;1,"重复","唯一")</f>
        <v/>
      </c>
      <c r="T8" s="54" t="n"/>
      <c r="U8" s="42" t="inlineStr">
        <is>
          <t>待分配</t>
        </is>
      </c>
      <c r="V8" s="55" t="n">
        <v>46224</v>
      </c>
      <c r="W8" s="42" t="inlineStr">
        <is>
          <t>原创/待确认</t>
        </is>
      </c>
      <c r="X8" s="53" t="inlineStr">
        <is>
          <t>—</t>
        </is>
      </c>
      <c r="Y8" s="42" t="inlineStr">
        <is>
          <t>先建组件库，再做页面，避免每页重复画按钮/面板</t>
        </is>
      </c>
    </row>
    <row r="9" ht="32.8" customHeight="1" s="30">
      <c r="A9" s="54" t="inlineStr">
        <is>
          <t>UI-SCREEN-WORKBENCH</t>
        </is>
      </c>
      <c r="B9" s="42" t="inlineStr">
        <is>
          <t>工作台</t>
        </is>
      </c>
      <c r="C9" s="54" t="inlineStr">
        <is>
          <t>UI</t>
        </is>
      </c>
      <c r="D9" s="54" t="inlineStr">
        <is>
          <t>screen</t>
        </is>
      </c>
      <c r="E9" s="54" t="inlineStr">
        <is>
          <t>workbench</t>
        </is>
      </c>
      <c r="F9" s="54" t="inlineStr">
        <is>
          <t>root</t>
        </is>
      </c>
      <c r="G9" s="54" t="n"/>
      <c r="H9" s="42" t="inlineStr">
        <is>
          <t>屏幕空间</t>
        </is>
      </c>
      <c r="I9" s="54" t="inlineStr">
        <is>
          <t>default</t>
        </is>
      </c>
      <c r="J9" s="42" t="inlineStr">
        <is>
          <t>跨分辨率</t>
        </is>
      </c>
      <c r="K9" s="42" t="inlineStr">
        <is>
          <t>程序占位</t>
        </is>
      </c>
      <c r="L9" s="54" t="inlineStr">
        <is>
          <t>P2</t>
        </is>
      </c>
      <c r="M9" s="54" t="inlineStr">
        <is>
          <t>v001</t>
        </is>
      </c>
      <c r="N9" s="54" t="inlineStr">
        <is>
          <t>1280×720 基准；九宫格/矢量优先</t>
        </is>
      </c>
      <c r="O9" s="54" t="n"/>
      <c r="P9" s="54" t="inlineStr">
        <is>
          <t>src/ui/WorkbenchPanel.gd</t>
        </is>
      </c>
      <c r="Q9" s="54" t="n"/>
      <c r="R9" s="54">
        <f>LOWER(TRIM(C9)&amp;"|"&amp;TRIM(D9)&amp;"|"&amp;TRIM(E9)&amp;"|"&amp;TRIM(F9)&amp;"|"&amp;TRIM(H9)&amp;"|"&amp;TRIM(I9))</f>
        <v/>
      </c>
      <c r="S9" s="42">
        <f>IF(COUNTIF($R$6:$R$21,R9)&gt;1,"重复","唯一")</f>
        <v/>
      </c>
      <c r="T9" s="54" t="n"/>
      <c r="U9" s="42" t="inlineStr">
        <is>
          <t>待分配</t>
        </is>
      </c>
      <c r="V9" s="55" t="n">
        <v>46224</v>
      </c>
      <c r="W9" s="42" t="inlineStr">
        <is>
          <t>原创/待确认</t>
        </is>
      </c>
      <c r="X9" s="53" t="inlineStr">
        <is>
          <t>—</t>
        </is>
      </c>
      <c r="Y9" s="42" t="inlineStr">
        <is>
          <t>先建组件库，再做页面，避免每页重复画按钮/面板</t>
        </is>
      </c>
    </row>
    <row r="10" ht="32.8" customHeight="1" s="30">
      <c r="A10" s="54" t="inlineStr">
        <is>
          <t>UI-SCREEN-WEAPON-TREE</t>
        </is>
      </c>
      <c r="B10" s="42" t="inlineStr">
        <is>
          <t>武器装配树</t>
        </is>
      </c>
      <c r="C10" s="54" t="inlineStr">
        <is>
          <t>UI</t>
        </is>
      </c>
      <c r="D10" s="54" t="inlineStr">
        <is>
          <t>screen</t>
        </is>
      </c>
      <c r="E10" s="54" t="inlineStr">
        <is>
          <t>weapon_tree</t>
        </is>
      </c>
      <c r="F10" s="54" t="inlineStr">
        <is>
          <t>root</t>
        </is>
      </c>
      <c r="G10" s="54" t="n"/>
      <c r="H10" s="42" t="inlineStr">
        <is>
          <t>屏幕空间</t>
        </is>
      </c>
      <c r="I10" s="54" t="inlineStr">
        <is>
          <t>default</t>
        </is>
      </c>
      <c r="J10" s="42" t="inlineStr">
        <is>
          <t>跨分辨率</t>
        </is>
      </c>
      <c r="K10" s="42" t="inlineStr">
        <is>
          <t>程序占位</t>
        </is>
      </c>
      <c r="L10" s="54" t="inlineStr">
        <is>
          <t>P2</t>
        </is>
      </c>
      <c r="M10" s="54" t="inlineStr">
        <is>
          <t>v001</t>
        </is>
      </c>
      <c r="N10" s="54" t="inlineStr">
        <is>
          <t>1280×720 基准；九宫格/矢量优先</t>
        </is>
      </c>
      <c r="O10" s="54" t="n"/>
      <c r="P10" s="54" t="inlineStr">
        <is>
          <t>src/ui/WeaponAssemblyTreePanel.gd</t>
        </is>
      </c>
      <c r="Q10" s="54" t="n"/>
      <c r="R10" s="54">
        <f>LOWER(TRIM(C10)&amp;"|"&amp;TRIM(D10)&amp;"|"&amp;TRIM(E10)&amp;"|"&amp;TRIM(F10)&amp;"|"&amp;TRIM(H10)&amp;"|"&amp;TRIM(I10))</f>
        <v/>
      </c>
      <c r="S10" s="42">
        <f>IF(COUNTIF($R$6:$R$21,R10)&gt;1,"重复","唯一")</f>
        <v/>
      </c>
      <c r="T10" s="54" t="n"/>
      <c r="U10" s="42" t="inlineStr">
        <is>
          <t>待分配</t>
        </is>
      </c>
      <c r="V10" s="55" t="n">
        <v>46224</v>
      </c>
      <c r="W10" s="42" t="inlineStr">
        <is>
          <t>原创/待确认</t>
        </is>
      </c>
      <c r="X10" s="53" t="inlineStr">
        <is>
          <t>—</t>
        </is>
      </c>
      <c r="Y10" s="42" t="inlineStr">
        <is>
          <t>先建组件库，再做页面，避免每页重复画按钮/面板</t>
        </is>
      </c>
    </row>
    <row r="11" ht="32.8" customHeight="1" s="30">
      <c r="A11" s="54" t="inlineStr">
        <is>
          <t>UI-SCREEN-FATE-SELECT</t>
        </is>
      </c>
      <c r="B11" s="42" t="inlineStr">
        <is>
          <t>命运卡选择</t>
        </is>
      </c>
      <c r="C11" s="54" t="inlineStr">
        <is>
          <t>UI</t>
        </is>
      </c>
      <c r="D11" s="54" t="inlineStr">
        <is>
          <t>screen</t>
        </is>
      </c>
      <c r="E11" s="54" t="inlineStr">
        <is>
          <t>fate_select</t>
        </is>
      </c>
      <c r="F11" s="54" t="inlineStr">
        <is>
          <t>root</t>
        </is>
      </c>
      <c r="G11" s="54" t="n"/>
      <c r="H11" s="42" t="inlineStr">
        <is>
          <t>屏幕空间</t>
        </is>
      </c>
      <c r="I11" s="54" t="inlineStr">
        <is>
          <t>default</t>
        </is>
      </c>
      <c r="J11" s="42" t="inlineStr">
        <is>
          <t>跨分辨率</t>
        </is>
      </c>
      <c r="K11" s="42" t="inlineStr">
        <is>
          <t>程序占位</t>
        </is>
      </c>
      <c r="L11" s="54" t="inlineStr">
        <is>
          <t>P2</t>
        </is>
      </c>
      <c r="M11" s="54" t="inlineStr">
        <is>
          <t>v001</t>
        </is>
      </c>
      <c r="N11" s="54" t="inlineStr">
        <is>
          <t>1280×720 基准；九宫格/矢量优先</t>
        </is>
      </c>
      <c r="O11" s="54" t="n"/>
      <c r="P11" s="54" t="inlineStr">
        <is>
          <t>src/ui/FateCardUIController.gd</t>
        </is>
      </c>
      <c r="Q11" s="54" t="n"/>
      <c r="R11" s="54">
        <f>LOWER(TRIM(C11)&amp;"|"&amp;TRIM(D11)&amp;"|"&amp;TRIM(E11)&amp;"|"&amp;TRIM(F11)&amp;"|"&amp;TRIM(H11)&amp;"|"&amp;TRIM(I11))</f>
        <v/>
      </c>
      <c r="S11" s="42">
        <f>IF(COUNTIF($R$6:$R$21,R11)&gt;1,"重复","唯一")</f>
        <v/>
      </c>
      <c r="T11" s="54" t="n"/>
      <c r="U11" s="42" t="inlineStr">
        <is>
          <t>待分配</t>
        </is>
      </c>
      <c r="V11" s="55" t="n">
        <v>46224</v>
      </c>
      <c r="W11" s="42" t="inlineStr">
        <is>
          <t>原创/待确认</t>
        </is>
      </c>
      <c r="X11" s="53" t="inlineStr">
        <is>
          <t>—</t>
        </is>
      </c>
      <c r="Y11" s="42" t="inlineStr">
        <is>
          <t>先建组件库，再做页面，避免每页重复画按钮/面板</t>
        </is>
      </c>
    </row>
    <row r="12" ht="32.8" customHeight="1" s="30">
      <c r="A12" s="54" t="inlineStr">
        <is>
          <t>UI-SCREEN-FATE-COLLECTION</t>
        </is>
      </c>
      <c r="B12" s="42" t="inlineStr">
        <is>
          <t>命运卡收藏</t>
        </is>
      </c>
      <c r="C12" s="54" t="inlineStr">
        <is>
          <t>UI</t>
        </is>
      </c>
      <c r="D12" s="54" t="inlineStr">
        <is>
          <t>screen</t>
        </is>
      </c>
      <c r="E12" s="54" t="inlineStr">
        <is>
          <t>fate_collection</t>
        </is>
      </c>
      <c r="F12" s="54" t="inlineStr">
        <is>
          <t>root</t>
        </is>
      </c>
      <c r="G12" s="54" t="n"/>
      <c r="H12" s="42" t="inlineStr">
        <is>
          <t>屏幕空间</t>
        </is>
      </c>
      <c r="I12" s="54" t="inlineStr">
        <is>
          <t>default</t>
        </is>
      </c>
      <c r="J12" s="42" t="inlineStr">
        <is>
          <t>跨分辨率</t>
        </is>
      </c>
      <c r="K12" s="42" t="inlineStr">
        <is>
          <t>程序占位</t>
        </is>
      </c>
      <c r="L12" s="54" t="inlineStr">
        <is>
          <t>P2</t>
        </is>
      </c>
      <c r="M12" s="54" t="inlineStr">
        <is>
          <t>v001</t>
        </is>
      </c>
      <c r="N12" s="54" t="inlineStr">
        <is>
          <t>1280×720 基准；九宫格/矢量优先</t>
        </is>
      </c>
      <c r="O12" s="54" t="n"/>
      <c r="P12" s="54" t="inlineStr">
        <is>
          <t>src/ui/FateCardCollectionMenu.gd</t>
        </is>
      </c>
      <c r="Q12" s="54" t="n"/>
      <c r="R12" s="54">
        <f>LOWER(TRIM(C12)&amp;"|"&amp;TRIM(D12)&amp;"|"&amp;TRIM(E12)&amp;"|"&amp;TRIM(F12)&amp;"|"&amp;TRIM(H12)&amp;"|"&amp;TRIM(I12))</f>
        <v/>
      </c>
      <c r="S12" s="42">
        <f>IF(COUNTIF($R$6:$R$21,R12)&gt;1,"重复","唯一")</f>
        <v/>
      </c>
      <c r="T12" s="54" t="n"/>
      <c r="U12" s="42" t="inlineStr">
        <is>
          <t>待分配</t>
        </is>
      </c>
      <c r="V12" s="55" t="n">
        <v>46224</v>
      </c>
      <c r="W12" s="42" t="inlineStr">
        <is>
          <t>原创/待确认</t>
        </is>
      </c>
      <c r="X12" s="53" t="inlineStr">
        <is>
          <t>—</t>
        </is>
      </c>
      <c r="Y12" s="42" t="inlineStr">
        <is>
          <t>先建组件库，再做页面，避免每页重复画按钮/面板</t>
        </is>
      </c>
    </row>
    <row r="13" ht="32.8" customHeight="1" s="30">
      <c r="A13" s="54" t="inlineStr">
        <is>
          <t>UI-SCREEN-LEVEL-SELECT</t>
        </is>
      </c>
      <c r="B13" s="42" t="inlineStr">
        <is>
          <t>远征全息城市选关</t>
        </is>
      </c>
      <c r="C13" s="54" t="inlineStr">
        <is>
          <t>UI</t>
        </is>
      </c>
      <c r="D13" s="54" t="inlineStr">
        <is>
          <t>screen</t>
        </is>
      </c>
      <c r="E13" s="54" t="inlineStr">
        <is>
          <t>level_select</t>
        </is>
      </c>
      <c r="F13" s="54" t="inlineStr">
        <is>
          <t>root</t>
        </is>
      </c>
      <c r="G13" s="54" t="n"/>
      <c r="H13" s="42" t="inlineStr">
        <is>
          <t>世界空间3D近景</t>
        </is>
      </c>
      <c r="I13" s="54" t="inlineStr">
        <is>
          <t>主楼先起/双入口错峰/波浪扫描/方块粒子/倒序收起</t>
        </is>
      </c>
      <c r="J13" s="42" t="inlineStr">
        <is>
          <t>99F中央全息平台</t>
        </is>
      </c>
      <c r="K13" s="42" t="inlineStr">
        <is>
          <t>原型已接入</t>
        </is>
      </c>
      <c r="L13" s="54" t="inlineStr">
        <is>
          <t>P0</t>
        </is>
      </c>
      <c r="M13" s="54" t="inlineStr">
        <is>
          <t>v002</t>
        </is>
      </c>
      <c r="N13" s="54" t="inlineStr">
        <is>
          <t>平台上方2.25m×1.71m城市；径向密度衰减；GPU逐块升降；2座楼顶入口</t>
        </is>
      </c>
      <c r="O13" s="54" t="inlineStr">
        <is>
          <t>assets/art/ui/expedition_city/hologram_city.tscn</t>
        </is>
      </c>
      <c r="P13" s="54" t="inlineStr">
        <is>
          <t>scenes/RogueMapSelectMenu.gd; src/ui/HologramCity3D.gd; docs/v0.1/design/远征全息城市交互设计.md</t>
        </is>
      </c>
      <c r="Q13" s="54" t="inlineStr">
        <is>
          <t>远征情报室;全息城市;镜头拉近;远征01;测试99;3D选关</t>
        </is>
      </c>
      <c r="R13" s="54">
        <f>LOWER(TRIM(C13)&amp;"|"&amp;TRIM(D13)&amp;"|"&amp;TRIM(E13)&amp;"|"&amp;TRIM(F13)&amp;"|"&amp;TRIM(H13)&amp;"|"&amp;TRIM(I13))</f>
        <v/>
      </c>
      <c r="S13" s="42">
        <f>IF(COUNTIF($R$6:$R$21,R13)&gt;1,"重复","唯一")</f>
        <v/>
      </c>
      <c r="T13" s="54" t="inlineStr">
        <is>
          <t>bcecf005d4052b9f701ae6c88fc659aeaf796dcb519f3ac8cdfe9e37d9d8357f</t>
        </is>
      </c>
      <c r="U13" s="42" t="inlineStr">
        <is>
          <t>Codex</t>
        </is>
      </c>
      <c r="V13" s="55" t="n">
        <v>46294</v>
      </c>
      <c r="W13" s="42" t="inlineStr">
        <is>
          <t>项目原创程序几何；用户提供风格参考</t>
        </is>
      </c>
      <c r="X13" s="53" t="inlineStr">
        <is>
          <t>—</t>
        </is>
      </c>
      <c r="Y13" s="42" t="inlineStr">
        <is>
          <t>2026-09-29：按用户参考制作Box城市；近景后压暗；主楼优先/入口错峰/方块过渡；同场景世界空间入口。真实渲染/点击/键盘/手柄/返程通过，参考图像素级一致性未签署。</t>
        </is>
      </c>
    </row>
    <row r="14" ht="32.8" customHeight="1" s="30">
      <c r="A14" s="54" t="inlineStr">
        <is>
          <t>UI-SCREEN-VAULT</t>
        </is>
      </c>
      <c r="B14" s="42" t="inlineStr">
        <is>
          <t>保险柜</t>
        </is>
      </c>
      <c r="C14" s="54" t="inlineStr">
        <is>
          <t>UI</t>
        </is>
      </c>
      <c r="D14" s="54" t="inlineStr">
        <is>
          <t>screen</t>
        </is>
      </c>
      <c r="E14" s="54" t="inlineStr">
        <is>
          <t>vault</t>
        </is>
      </c>
      <c r="F14" s="54" t="inlineStr">
        <is>
          <t>root</t>
        </is>
      </c>
      <c r="G14" s="54" t="n"/>
      <c r="H14" s="42" t="inlineStr">
        <is>
          <t>屏幕空间</t>
        </is>
      </c>
      <c r="I14" s="54" t="inlineStr">
        <is>
          <t>default</t>
        </is>
      </c>
      <c r="J14" s="42" t="inlineStr">
        <is>
          <t>跨分辨率</t>
        </is>
      </c>
      <c r="K14" s="42" t="inlineStr">
        <is>
          <t>程序占位</t>
        </is>
      </c>
      <c r="L14" s="54" t="inlineStr">
        <is>
          <t>P2</t>
        </is>
      </c>
      <c r="M14" s="54" t="inlineStr">
        <is>
          <t>v001</t>
        </is>
      </c>
      <c r="N14" s="54" t="inlineStr">
        <is>
          <t>1280×720 基准；九宫格/矢量优先</t>
        </is>
      </c>
      <c r="O14" s="54" t="n"/>
      <c r="P14" s="54" t="inlineStr">
        <is>
          <t>src/ui/VaultMenu.gd</t>
        </is>
      </c>
      <c r="Q14" s="54" t="n"/>
      <c r="R14" s="54">
        <f>LOWER(TRIM(C14)&amp;"|"&amp;TRIM(D14)&amp;"|"&amp;TRIM(E14)&amp;"|"&amp;TRIM(F14)&amp;"|"&amp;TRIM(H14)&amp;"|"&amp;TRIM(I14))</f>
        <v/>
      </c>
      <c r="S14" s="42">
        <f>IF(COUNTIF($R$6:$R$21,R14)&gt;1,"重复","唯一")</f>
        <v/>
      </c>
      <c r="T14" s="54" t="n"/>
      <c r="U14" s="42" t="inlineStr">
        <is>
          <t>待分配</t>
        </is>
      </c>
      <c r="V14" s="55" t="n">
        <v>46224</v>
      </c>
      <c r="W14" s="42" t="inlineStr">
        <is>
          <t>原创/待确认</t>
        </is>
      </c>
      <c r="X14" s="53" t="inlineStr">
        <is>
          <t>—</t>
        </is>
      </c>
      <c r="Y14" s="42" t="inlineStr">
        <is>
          <t>先建组件库，再做页面，避免每页重复画按钮/面板</t>
        </is>
      </c>
    </row>
    <row r="15" ht="32.8" customHeight="1" s="30">
      <c r="A15" s="54" t="inlineStr">
        <is>
          <t>UI-SCREEN-MONSTER-ARCHIVE</t>
        </is>
      </c>
      <c r="B15" s="42" t="inlineStr">
        <is>
          <t>怪物档案</t>
        </is>
      </c>
      <c r="C15" s="54" t="inlineStr">
        <is>
          <t>UI</t>
        </is>
      </c>
      <c r="D15" s="54" t="inlineStr">
        <is>
          <t>screen</t>
        </is>
      </c>
      <c r="E15" s="54" t="inlineStr">
        <is>
          <t>monster_archive</t>
        </is>
      </c>
      <c r="F15" s="54" t="inlineStr">
        <is>
          <t>root</t>
        </is>
      </c>
      <c r="G15" s="54" t="n"/>
      <c r="H15" s="42" t="inlineStr">
        <is>
          <t>屏幕空间</t>
        </is>
      </c>
      <c r="I15" s="54" t="inlineStr">
        <is>
          <t>default</t>
        </is>
      </c>
      <c r="J15" s="42" t="inlineStr">
        <is>
          <t>跨分辨率</t>
        </is>
      </c>
      <c r="K15" s="42" t="inlineStr">
        <is>
          <t>程序占位</t>
        </is>
      </c>
      <c r="L15" s="54" t="inlineStr">
        <is>
          <t>P2</t>
        </is>
      </c>
      <c r="M15" s="54" t="inlineStr">
        <is>
          <t>v001</t>
        </is>
      </c>
      <c r="N15" s="54" t="inlineStr">
        <is>
          <t>1280×720 基准；九宫格/矢量优先</t>
        </is>
      </c>
      <c r="O15" s="54" t="n"/>
      <c r="P15" s="54" t="inlineStr">
        <is>
          <t>src/ui/MonsterArchiveMenu.gd</t>
        </is>
      </c>
      <c r="Q15" s="54" t="n"/>
      <c r="R15" s="54">
        <f>LOWER(TRIM(C15)&amp;"|"&amp;TRIM(D15)&amp;"|"&amp;TRIM(E15)&amp;"|"&amp;TRIM(F15)&amp;"|"&amp;TRIM(H15)&amp;"|"&amp;TRIM(I15))</f>
        <v/>
      </c>
      <c r="S15" s="42">
        <f>IF(COUNTIF($R$6:$R$21,R15)&gt;1,"重复","唯一")</f>
        <v/>
      </c>
      <c r="T15" s="54" t="n"/>
      <c r="U15" s="42" t="inlineStr">
        <is>
          <t>待分配</t>
        </is>
      </c>
      <c r="V15" s="55" t="n">
        <v>46224</v>
      </c>
      <c r="W15" s="42" t="inlineStr">
        <is>
          <t>原创/待确认</t>
        </is>
      </c>
      <c r="X15" s="53" t="inlineStr">
        <is>
          <t>—</t>
        </is>
      </c>
      <c r="Y15" s="42" t="inlineStr">
        <is>
          <t>先建组件库，再做页面，避免每页重复画按钮/面板</t>
        </is>
      </c>
    </row>
    <row r="16" ht="32.8" customHeight="1" s="30">
      <c r="A16" s="54" t="inlineStr">
        <is>
          <t>UI-SCREEN-BASE-MENU</t>
        </is>
      </c>
      <c r="B16" s="42" t="inlineStr">
        <is>
          <t>基地菜单</t>
        </is>
      </c>
      <c r="C16" s="54" t="inlineStr">
        <is>
          <t>UI</t>
        </is>
      </c>
      <c r="D16" s="54" t="inlineStr">
        <is>
          <t>screen</t>
        </is>
      </c>
      <c r="E16" s="54" t="inlineStr">
        <is>
          <t>base_menu</t>
        </is>
      </c>
      <c r="F16" s="54" t="inlineStr">
        <is>
          <t>root</t>
        </is>
      </c>
      <c r="G16" s="54" t="n"/>
      <c r="H16" s="42" t="inlineStr">
        <is>
          <t>屏幕空间</t>
        </is>
      </c>
      <c r="I16" s="54" t="inlineStr">
        <is>
          <t>default</t>
        </is>
      </c>
      <c r="J16" s="42" t="inlineStr">
        <is>
          <t>跨分辨率</t>
        </is>
      </c>
      <c r="K16" s="42" t="inlineStr">
        <is>
          <t>程序占位</t>
        </is>
      </c>
      <c r="L16" s="54" t="inlineStr">
        <is>
          <t>P2</t>
        </is>
      </c>
      <c r="M16" s="54" t="inlineStr">
        <is>
          <t>v001</t>
        </is>
      </c>
      <c r="N16" s="54" t="inlineStr">
        <is>
          <t>1280×720 基准；九宫格/矢量优先</t>
        </is>
      </c>
      <c r="O16" s="54" t="n"/>
      <c r="P16" s="54" t="inlineStr">
        <is>
          <t>src/ui/BaseMenu.gd</t>
        </is>
      </c>
      <c r="Q16" s="54" t="n"/>
      <c r="R16" s="54">
        <f>LOWER(TRIM(C16)&amp;"|"&amp;TRIM(D16)&amp;"|"&amp;TRIM(E16)&amp;"|"&amp;TRIM(F16)&amp;"|"&amp;TRIM(H16)&amp;"|"&amp;TRIM(I16))</f>
        <v/>
      </c>
      <c r="S16" s="42">
        <f>IF(COUNTIF($R$6:$R$21,R16)&gt;1,"重复","唯一")</f>
        <v/>
      </c>
      <c r="T16" s="54" t="n"/>
      <c r="U16" s="42" t="inlineStr">
        <is>
          <t>待分配</t>
        </is>
      </c>
      <c r="V16" s="55" t="n">
        <v>46224</v>
      </c>
      <c r="W16" s="42" t="inlineStr">
        <is>
          <t>原创/待确认</t>
        </is>
      </c>
      <c r="X16" s="53" t="inlineStr">
        <is>
          <t>—</t>
        </is>
      </c>
      <c r="Y16" s="42" t="inlineStr">
        <is>
          <t>先建组件库，再做页面，避免每页重复画按钮/面板</t>
        </is>
      </c>
    </row>
    <row r="17" ht="32.8" customHeight="1" s="30">
      <c r="A17" s="54" t="inlineStr">
        <is>
          <t>UI-SCREEN-MOBILE-CONTROLS</t>
        </is>
      </c>
      <c r="B17" s="42" t="inlineStr">
        <is>
          <t>移动端控制</t>
        </is>
      </c>
      <c r="C17" s="54" t="inlineStr">
        <is>
          <t>UI</t>
        </is>
      </c>
      <c r="D17" s="54" t="inlineStr">
        <is>
          <t>screen</t>
        </is>
      </c>
      <c r="E17" s="54" t="inlineStr">
        <is>
          <t>mobile_controls</t>
        </is>
      </c>
      <c r="F17" s="54" t="inlineStr">
        <is>
          <t>root</t>
        </is>
      </c>
      <c r="G17" s="54" t="n"/>
      <c r="H17" s="42" t="inlineStr">
        <is>
          <t>屏幕空间</t>
        </is>
      </c>
      <c r="I17" s="54" t="inlineStr">
        <is>
          <t>default</t>
        </is>
      </c>
      <c r="J17" s="42" t="inlineStr">
        <is>
          <t>跨分辨率</t>
        </is>
      </c>
      <c r="K17" s="42" t="inlineStr">
        <is>
          <t>程序占位</t>
        </is>
      </c>
      <c r="L17" s="54" t="inlineStr">
        <is>
          <t>P2</t>
        </is>
      </c>
      <c r="M17" s="54" t="inlineStr">
        <is>
          <t>v001</t>
        </is>
      </c>
      <c r="N17" s="54" t="inlineStr">
        <is>
          <t>1280×720 基准；九宫格/矢量优先</t>
        </is>
      </c>
      <c r="O17" s="54" t="n"/>
      <c r="P17" s="54" t="inlineStr">
        <is>
          <t>src/ui/MobileControls.gd</t>
        </is>
      </c>
      <c r="Q17" s="54" t="n"/>
      <c r="R17" s="54">
        <f>LOWER(TRIM(C17)&amp;"|"&amp;TRIM(D17)&amp;"|"&amp;TRIM(E17)&amp;"|"&amp;TRIM(F17)&amp;"|"&amp;TRIM(H17)&amp;"|"&amp;TRIM(I17))</f>
        <v/>
      </c>
      <c r="S17" s="42">
        <f>IF(COUNTIF($R$6:$R$21,R17)&gt;1,"重复","唯一")</f>
        <v/>
      </c>
      <c r="T17" s="54" t="n"/>
      <c r="U17" s="42" t="inlineStr">
        <is>
          <t>待分配</t>
        </is>
      </c>
      <c r="V17" s="55" t="n">
        <v>46224</v>
      </c>
      <c r="W17" s="42" t="inlineStr">
        <is>
          <t>原创/待确认</t>
        </is>
      </c>
      <c r="X17" s="53" t="inlineStr">
        <is>
          <t>—</t>
        </is>
      </c>
      <c r="Y17" s="42" t="inlineStr">
        <is>
          <t>先建组件库，再做页面，避免每页重复画按钮/面板</t>
        </is>
      </c>
    </row>
    <row r="18" ht="292.5" customHeight="1" s="30">
      <c r="A18" s="54" t="inlineStr">
        <is>
          <t>UI-SCREEN-INVENTORY-3D</t>
        </is>
      </c>
      <c r="B18" s="54" t="inlineStr">
        <is>
          <t>3D背包与保险界面</t>
        </is>
      </c>
      <c r="C18" s="54" t="inlineStr">
        <is>
          <t>UI</t>
        </is>
      </c>
      <c r="D18" s="54" t="inlineStr">
        <is>
          <t>screen</t>
        </is>
      </c>
      <c r="E18" s="54" t="inlineStr">
        <is>
          <t>inventory</t>
        </is>
      </c>
      <c r="F18" s="54" t="inlineStr">
        <is>
          <t>root_3d</t>
        </is>
      </c>
      <c r="G18" s="54" t="inlineStr">
        <is>
          <t>UI-SCREEN-INVENTORY</t>
        </is>
      </c>
      <c r="H18" s="42" t="inlineStr">
        <is>
          <t>屏幕空间</t>
        </is>
      </c>
      <c r="I18" s="54" t="inlineStr">
        <is>
          <t>default</t>
        </is>
      </c>
      <c r="J18" s="54" t="inlineStr">
        <is>
          <t>3D行动区</t>
        </is>
      </c>
      <c r="K18" s="42" t="inlineStr">
        <is>
          <t>原型已接入</t>
        </is>
      </c>
      <c r="L18" s="54" t="inlineStr">
        <is>
          <t>P0</t>
        </is>
      </c>
      <c r="M18" s="54" t="inlineStr">
        <is>
          <t>v002</t>
        </is>
      </c>
      <c r="N18" s="42" t="inlineStr">
        <is>
          <t>全屏Control/12+2槽/96×96投影</t>
        </is>
      </c>
      <c r="O18" s="54" t="inlineStr">
        <is>
          <t>src/ui/InventoryUI.gd</t>
        </is>
      </c>
      <c r="P18" s="54" t="inlineStr">
        <is>
          <t>scenes/Dungeon3D.tscn</t>
        </is>
      </c>
      <c r="Q18" s="42" t="inlineStr">
        <is>
          <t>背包;保险;I键;Tab;模态输入锁;3D道具投影;实际点击装备</t>
        </is>
      </c>
      <c r="R18" s="54">
        <f>LOWER(TRIM(C18)&amp;"|"&amp;TRIM(D18)&amp;"|"&amp;TRIM(E18)&amp;"|"&amp;TRIM(F18)&amp;"|"&amp;TRIM(H18)&amp;"|"&amp;TRIM(I18))</f>
        <v/>
      </c>
      <c r="S18" s="42">
        <f>IF(COUNTIF($R$6:$R$21,R18)&gt;1,"重复","唯一")</f>
        <v/>
      </c>
      <c r="T18" s="54" t="inlineStr">
        <is>
          <t>bab8a57d3f4ad87eeb33f92a5bc409aa7b1e93ca981078fb02d77a8abaa2ba65</t>
        </is>
      </c>
      <c r="U18" s="54" t="inlineStr">
        <is>
          <t>Codex</t>
        </is>
      </c>
      <c r="V18" s="54" t="n">
        <v>46264</v>
      </c>
      <c r="W18" s="42" t="inlineStr">
        <is>
          <t>原创程序UI</t>
        </is>
      </c>
      <c r="X18" s="53" t="inlineStr">
        <is>
          <t>—</t>
        </is>
      </c>
      <c r="Y18" s="42" t="inlineStr">
        <is>
          <t>复用背包根身份的3D子变体；I/Tab；打开时锁输入；道具共用 ItemModelFactory3D；实际 ItemSlot 信号完成换枪 ｜ 2026-08-07：左角色装备/右包裹网格；主副武器、背包装备、快捷物、物品与保险格统一正方形图标；深蓝黑+霓虹青+生命红语言。
2026-08-30 AST-02：合法内容更新；文件为Git已跟踪且修改时间不早于原台账日期；验收：verify_3d_inventory_weapon_flow；SHA ccd8f7d7f3c9→e2c3f432a561。</t>
        </is>
      </c>
    </row>
    <row r="19" ht="159.7" customHeight="1" s="30">
      <c r="A19" s="54" t="inlineStr">
        <is>
          <t>UI-SCREEN-PAUSE-3D</t>
        </is>
      </c>
      <c r="B19" s="54" t="inlineStr">
        <is>
          <t>3D共用暂停界面</t>
        </is>
      </c>
      <c r="C19" s="54" t="inlineStr">
        <is>
          <t>UI</t>
        </is>
      </c>
      <c r="D19" s="54" t="inlineStr">
        <is>
          <t>screen</t>
        </is>
      </c>
      <c r="E19" s="54" t="inlineStr">
        <is>
          <t>pause</t>
        </is>
      </c>
      <c r="F19" s="54" t="inlineStr">
        <is>
          <t>root_3d</t>
        </is>
      </c>
      <c r="G19" s="54" t="n"/>
      <c r="H19" s="42" t="inlineStr">
        <is>
          <t>屏幕空间</t>
        </is>
      </c>
      <c r="I19" s="54" t="inlineStr">
        <is>
          <t>default</t>
        </is>
      </c>
      <c r="J19" s="42" t="inlineStr">
        <is>
          <t>地下城/基地/靶场</t>
        </is>
      </c>
      <c r="K19" s="42" t="inlineStr">
        <is>
          <t>已完成</t>
        </is>
      </c>
      <c r="L19" s="54" t="inlineStr">
        <is>
          <t>P0</t>
        </is>
      </c>
      <c r="M19" s="54" t="inlineStr">
        <is>
          <t>v001</t>
        </is>
      </c>
      <c r="N19" s="54" t="inlineStr">
        <is>
          <t>PackedScene/全屏Control</t>
        </is>
      </c>
      <c r="O19" s="54" t="inlineStr">
        <is>
          <t>assets/art/ui/pause_3d/ui_pause_overlay_screen.tscn</t>
        </is>
      </c>
      <c r="P19" s="54" t="inlineStr">
        <is>
          <t>src/ui/PauseMenu3D.gd</t>
        </is>
      </c>
      <c r="Q19" s="42" t="inlineStr">
        <is>
          <t>暂停;Esc;继续;全局模态;3D HUD</t>
        </is>
      </c>
      <c r="R19" s="54">
        <f>LOWER(TRIM(C19)&amp;"|"&amp;TRIM(D19)&amp;"|"&amp;TRIM(E19)&amp;"|"&amp;TRIM(F19)&amp;"|"&amp;TRIM(H19)&amp;"|"&amp;TRIM(I19))</f>
        <v/>
      </c>
      <c r="S19" s="42">
        <f>IF(COUNTIF($R$6:$R$21,R19)&gt;1,"重复","唯一")</f>
        <v/>
      </c>
      <c r="T19" s="54" t="inlineStr">
        <is>
          <t>1562501df74afdbe5d57847632cc1d52a1453da9b1d5a9f40eed41cec942a57b</t>
        </is>
      </c>
      <c r="U19" s="54" t="inlineStr">
        <is>
          <t>Codex</t>
        </is>
      </c>
      <c r="V19" s="54" t="n">
        <v>46264</v>
      </c>
      <c r="W19" s="42" t="inlineStr">
        <is>
          <t>原创程序UI</t>
        </is>
      </c>
      <c r="X19" s="53" t="inlineStr">
        <is>
          <t>—</t>
        </is>
      </c>
      <c r="Y19" s="42" t="inlineStr">
        <is>
          <t>三张3D地图共用；Esc先关闭最上层模态，再进入真实暂停
2026-08-30 AST-02：合法内容更新；文件为Git已跟踪且修改时间不早于原台账日期；验收：verify_pause_game_save_reset_flow；SHA 8fed542ebf6b→47f097938d22。</t>
        </is>
      </c>
    </row>
    <row r="20" ht="126.85" customHeight="1" s="30">
      <c r="A20" s="54" t="inlineStr">
        <is>
          <t>UI-ICON-ITEM-MODEL-3D</t>
        </is>
      </c>
      <c r="B20" s="42" t="inlineStr">
        <is>
          <t>背包道具3D模型投影组件</t>
        </is>
      </c>
      <c r="C20" s="54" t="inlineStr">
        <is>
          <t>UI</t>
        </is>
      </c>
      <c r="D20" s="54" t="inlineStr">
        <is>
          <t>icon</t>
        </is>
      </c>
      <c r="E20" s="54" t="inlineStr">
        <is>
          <t>item_model_icon</t>
        </is>
      </c>
      <c r="F20" s="54" t="inlineStr">
        <is>
          <t>root_3d</t>
        </is>
      </c>
      <c r="G20" s="54" t="inlineStr">
        <is>
          <t>UI-SCREEN-INVENTORY-3D</t>
        </is>
      </c>
      <c r="H20" s="42" t="inlineStr">
        <is>
          <t>屏幕空间/3D投影</t>
        </is>
      </c>
      <c r="I20" s="54" t="inlineStr">
        <is>
          <t>default</t>
        </is>
      </c>
      <c r="J20" s="42" t="inlineStr">
        <is>
          <t>背包/保险格/道具预览</t>
        </is>
      </c>
      <c r="K20" s="42" t="inlineStr">
        <is>
          <t>原型已接入</t>
        </is>
      </c>
      <c r="L20" s="54" t="inlineStr">
        <is>
          <t>P0</t>
        </is>
      </c>
      <c r="M20" s="54" t="inlineStr">
        <is>
          <t>v001</t>
        </is>
      </c>
      <c r="N20" s="54" t="inlineStr">
        <is>
          <t>96×96 SubViewport/UPDATE_ONCE</t>
        </is>
      </c>
      <c r="O20" s="54" t="inlineStr">
        <is>
          <t>assets/art/ui/inventory_3d/ui_item_model_icon_root.tscn</t>
        </is>
      </c>
      <c r="P20" s="54" t="inlineStr">
        <is>
          <t>src/ui/ItemModelIcon3D.gd</t>
        </is>
      </c>
      <c r="Q20" s="54" t="inlineStr">
        <is>
          <t>3D道具图标;模型投影;背包图标;共享世界模型;单次渲染</t>
        </is>
      </c>
      <c r="R20" s="54">
        <f>LOWER(TRIM(C20)&amp;"|"&amp;TRIM(D20)&amp;"|"&amp;TRIM(E20)&amp;"|"&amp;TRIM(F20)&amp;"|"&amp;TRIM(H20)&amp;"|"&amp;TRIM(I20))</f>
        <v/>
      </c>
      <c r="S20" s="42">
        <f>IF(COUNTIF($R$6:$R$21,R20)&gt;1,"重复","唯一")</f>
        <v/>
      </c>
      <c r="T20" s="54" t="inlineStr">
        <is>
          <t>97c10f3884107c1263f3de1f8bc1ce84bb568ecd80418b62bdb023c55cdab9fe</t>
        </is>
      </c>
      <c r="U20" s="54" t="inlineStr">
        <is>
          <t>Codex</t>
        </is>
      </c>
      <c r="V20" s="55" t="n">
        <v>46225</v>
      </c>
      <c r="W20" s="42" t="inlineStr">
        <is>
          <t>原创程序UI</t>
        </is>
      </c>
      <c r="X20" s="53" t="inlineStr">
        <is>
          <t>—</t>
        </is>
      </c>
      <c r="Y20" s="42" t="inlineStr">
        <is>
          <t>与地面拾取共用 ItemModelFactory3D；96×96 内部视口缩放至56px槽位；只渲染一次；验收图：assets/art/ui/inventory_3d/ui_inventory_item_model_preview_v001.png</t>
        </is>
      </c>
    </row>
    <row r="21" ht="355.2" customHeight="1" s="30">
      <c r="A21" s="54" t="inlineStr">
        <is>
          <t>UI-SCREEN-BASE-VENDING</t>
        </is>
      </c>
      <c r="B21" s="42" t="inlineStr">
        <is>
          <t>基地自动贩卖机商店界面</t>
        </is>
      </c>
      <c r="C21" s="54" t="inlineStr">
        <is>
          <t>UI</t>
        </is>
      </c>
      <c r="D21" s="54" t="inlineStr">
        <is>
          <t>base_facility</t>
        </is>
      </c>
      <c r="E21" s="54" t="inlineStr">
        <is>
          <t>base_vending_shop</t>
        </is>
      </c>
      <c r="F21" s="54" t="inlineStr">
        <is>
          <t>screen</t>
        </is>
      </c>
      <c r="G21" s="54" t="inlineStr">
        <is>
          <t>UI-SCREEN-MERCHANT</t>
        </is>
      </c>
      <c r="H21" s="54" t="inlineStr">
        <is>
          <t>Screen</t>
        </is>
      </c>
      <c r="I21" s="54" t="inlineStr">
        <is>
          <t>default</t>
        </is>
      </c>
      <c r="J21" s="42" t="inlineStr">
        <is>
          <t>基地自动贩卖机</t>
        </is>
      </c>
      <c r="K21" s="42" t="inlineStr">
        <is>
          <t>原型已接入</t>
        </is>
      </c>
      <c r="L21" s="54" t="inlineStr">
        <is>
          <t>P0</t>
        </is>
      </c>
      <c r="M21" s="54" t="inlineStr">
        <is>
          <t>v002</t>
        </is>
      </c>
      <c r="N21" s="54" t="inlineStr">
        <is>
          <t>1280×720自适应</t>
        </is>
      </c>
      <c r="O21" s="54" t="inlineStr">
        <is>
          <t>scenes/BaseVendingMenu.tscn</t>
        </is>
      </c>
      <c r="P21" s="42" t="inlineStr">
        <is>
          <t>用户设计+docs/v0.1/07_技术施工_基地设施.md</t>
        </is>
      </c>
      <c r="Q21" s="42" t="inlineStr">
        <is>
          <t>基地商店; 购买; 出售; 3D物品图标</t>
        </is>
      </c>
      <c r="R21" s="54">
        <f>LOWER(TRIM(C21)&amp;"|"&amp;TRIM(D21)&amp;"|"&amp;TRIM(E21)&amp;"|"&amp;TRIM(F21)&amp;"|"&amp;TRIM(H21)&amp;"|"&amp;TRIM(I21))</f>
        <v/>
      </c>
      <c r="S21" s="42">
        <f>IF(COUNTIF($R$6:$R$21,R21)&gt;1,"重复","唯一")</f>
        <v/>
      </c>
      <c r="T21" s="54" t="inlineStr">
        <is>
          <t>064d8c1f92cfa6e1724bab0980520481cd8de44b384e498456e1d1be806a4c7d</t>
        </is>
      </c>
      <c r="U21" s="54" t="inlineStr">
        <is>
          <t>Codex</t>
        </is>
      </c>
      <c r="V21" s="54" t="n">
        <v>46264</v>
      </c>
      <c r="W21" s="42" t="inlineStr">
        <is>
          <t>程序控件/原创</t>
        </is>
      </c>
      <c r="X21" s="53" t="inlineStr">
        <is>
          <t>—</t>
        </is>
      </c>
      <c r="Y21" s="42" t="inlineStr">
        <is>
          <t>左右买卖双栏；复用ItemModelIcon3D；资源与容量常驻；Esc退出 ｜ 2026-08-07：购买/出售改为3列商品卡网格，正方形ItemModelIcon3D，与I键背包同源；统一主HUD配色和按钮状态。
2026-08-30 AST-02：登记路径规范化 scenes/BaseVendingMenu.tscn; src/ui/BaseVendingMenu.gd → scenes/BaseVendingMenu.tscn；多实现/源码依据保留在P列。
2026-08-30 AST-02：补齐单一生产路径SHA；验收：verify_base_shop_save_flow；SHA 064d8c1f92cf。</t>
        </is>
      </c>
    </row>
    <row r="22" ht="15" customHeight="1" s="30">
      <c r="A22" s="54" t="n"/>
      <c r="B22" s="54" t="n"/>
      <c r="C22" s="54" t="n"/>
      <c r="D22" s="54" t="n"/>
      <c r="E22" s="54" t="n"/>
      <c r="F22" s="54" t="n"/>
      <c r="G22" s="54" t="n"/>
      <c r="H22" s="54" t="n"/>
      <c r="I22" s="54" t="n"/>
      <c r="J22" s="54" t="n"/>
      <c r="K22" s="42" t="n"/>
      <c r="L22" s="54" t="n"/>
      <c r="M22" s="54" t="n"/>
      <c r="N22" s="54" t="n"/>
      <c r="O22" s="54" t="n"/>
      <c r="P22" s="54" t="n"/>
      <c r="Q22" s="54" t="n"/>
      <c r="R22" s="54" t="n"/>
      <c r="S22" s="42" t="n"/>
      <c r="T22" s="54" t="n"/>
      <c r="U22" s="54" t="n"/>
      <c r="V22" s="55" t="n"/>
      <c r="W22" s="54" t="n"/>
      <c r="X22" s="53" t="n"/>
      <c r="Y22" s="54" t="n"/>
    </row>
    <row r="23" ht="15" customHeight="1" s="30">
      <c r="A23" s="54" t="n"/>
      <c r="B23" s="54" t="n"/>
      <c r="C23" s="42" t="n"/>
      <c r="D23" s="54" t="n"/>
      <c r="E23" s="54" t="n"/>
      <c r="F23" s="54" t="n"/>
      <c r="G23" s="54" t="n"/>
      <c r="H23" s="54" t="n"/>
      <c r="I23" s="54" t="n"/>
      <c r="J23" s="54" t="n"/>
      <c r="K23" s="42" t="n"/>
      <c r="L23" s="54" t="n"/>
      <c r="M23" s="54" t="n"/>
      <c r="N23" s="54" t="n"/>
      <c r="O23" s="54" t="n"/>
      <c r="P23" s="54" t="n"/>
      <c r="Q23" s="54" t="n"/>
      <c r="R23" s="54" t="n"/>
      <c r="S23" s="42" t="n"/>
      <c r="T23" s="54" t="n"/>
      <c r="U23" s="54" t="n"/>
      <c r="V23" s="55" t="n"/>
      <c r="W23" s="54" t="n"/>
      <c r="X23" s="53" t="n"/>
      <c r="Y23" s="54" t="n"/>
    </row>
    <row r="24" ht="15" customHeight="1" s="30">
      <c r="A24" s="54" t="n"/>
      <c r="B24" s="54" t="n"/>
      <c r="C24" s="42" t="n"/>
      <c r="D24" s="54" t="n"/>
      <c r="E24" s="54" t="n"/>
      <c r="F24" s="54" t="n"/>
      <c r="G24" s="54" t="n"/>
      <c r="H24" s="54" t="n"/>
      <c r="I24" s="54" t="n"/>
      <c r="J24" s="54" t="n"/>
      <c r="K24" s="42" t="n"/>
      <c r="L24" s="54" t="n"/>
      <c r="M24" s="54" t="n"/>
      <c r="N24" s="54" t="n"/>
      <c r="O24" s="54" t="n"/>
      <c r="P24" s="54" t="n"/>
      <c r="Q24" s="54" t="n"/>
      <c r="R24" s="54" t="n"/>
      <c r="S24" s="42" t="n"/>
      <c r="T24" s="54" t="n"/>
      <c r="U24" s="54" t="n"/>
      <c r="V24" s="55" t="n"/>
      <c r="W24" s="54" t="n"/>
      <c r="X24" s="53" t="n"/>
      <c r="Y24" s="54" t="n"/>
    </row>
    <row r="25" ht="15" customHeight="1" s="30">
      <c r="A25" s="54" t="n"/>
      <c r="B25" s="54" t="n"/>
      <c r="C25" s="42" t="n"/>
      <c r="D25" s="54" t="n"/>
      <c r="E25" s="54" t="n"/>
      <c r="F25" s="54" t="n"/>
      <c r="G25" s="54" t="n"/>
      <c r="H25" s="54" t="n"/>
      <c r="I25" s="54" t="n"/>
      <c r="J25" s="54" t="n"/>
      <c r="K25" s="42" t="n"/>
      <c r="L25" s="54" t="n"/>
      <c r="M25" s="54" t="n"/>
      <c r="N25" s="54" t="n"/>
      <c r="O25" s="54" t="n"/>
      <c r="P25" s="54" t="n"/>
      <c r="Q25" s="54" t="n"/>
      <c r="R25" s="54" t="n"/>
      <c r="S25" s="42" t="n"/>
      <c r="T25" s="54" t="n"/>
      <c r="U25" s="54" t="n"/>
      <c r="V25" s="55" t="n"/>
      <c r="W25" s="54" t="n"/>
      <c r="X25" s="53" t="n"/>
      <c r="Y25" s="54" t="n"/>
    </row>
    <row r="26" ht="15" customHeight="1" s="30">
      <c r="A26" s="54" t="n"/>
      <c r="B26" s="54" t="n"/>
      <c r="C26" s="42" t="n"/>
      <c r="D26" s="54" t="n"/>
      <c r="E26" s="54" t="n"/>
      <c r="F26" s="54" t="n"/>
      <c r="G26" s="54" t="n"/>
      <c r="H26" s="54" t="n"/>
      <c r="I26" s="54" t="n"/>
      <c r="J26" s="54" t="n"/>
      <c r="K26" s="42" t="n"/>
      <c r="L26" s="54" t="n"/>
      <c r="M26" s="54" t="n"/>
      <c r="N26" s="54" t="n"/>
      <c r="O26" s="54" t="n"/>
      <c r="P26" s="54" t="n"/>
      <c r="Q26" s="54" t="n"/>
      <c r="R26" s="54" t="n"/>
      <c r="S26" s="42" t="n"/>
      <c r="T26" s="54" t="n"/>
      <c r="U26" s="54" t="n"/>
      <c r="V26" s="55" t="n"/>
      <c r="W26" s="54" t="n"/>
      <c r="X26" s="53" t="n"/>
      <c r="Y26" s="54" t="n"/>
    </row>
    <row r="27" ht="15" customHeight="1" s="30">
      <c r="A27" s="54" t="n"/>
      <c r="B27" s="54" t="n"/>
      <c r="C27" s="42" t="n"/>
      <c r="D27" s="54" t="n"/>
      <c r="E27" s="54" t="n"/>
      <c r="F27" s="54" t="n"/>
      <c r="G27" s="54" t="n"/>
      <c r="H27" s="54" t="n"/>
      <c r="I27" s="54" t="n"/>
      <c r="J27" s="54" t="n"/>
      <c r="K27" s="42" t="n"/>
      <c r="L27" s="54" t="n"/>
      <c r="M27" s="54" t="n"/>
      <c r="N27" s="54" t="n"/>
      <c r="O27" s="54" t="n"/>
      <c r="P27" s="54" t="n"/>
      <c r="Q27" s="54" t="n"/>
      <c r="R27" s="54" t="n"/>
      <c r="S27" s="42" t="n"/>
      <c r="T27" s="54" t="n"/>
      <c r="U27" s="54" t="n"/>
      <c r="V27" s="55" t="n"/>
      <c r="W27" s="54" t="n"/>
      <c r="X27" s="53" t="n"/>
      <c r="Y27" s="54" t="n"/>
    </row>
    <row r="28" ht="15" customHeight="1" s="30">
      <c r="A28" s="54" t="n"/>
      <c r="B28" s="54" t="n"/>
      <c r="C28" s="42" t="n"/>
      <c r="D28" s="54" t="n"/>
      <c r="E28" s="54" t="n"/>
      <c r="F28" s="54" t="n"/>
      <c r="G28" s="54" t="n"/>
      <c r="H28" s="54" t="n"/>
      <c r="I28" s="54" t="n"/>
      <c r="J28" s="54" t="n"/>
      <c r="K28" s="42" t="n"/>
      <c r="L28" s="54" t="n"/>
      <c r="M28" s="54" t="n"/>
      <c r="N28" s="54" t="n"/>
      <c r="O28" s="54" t="n"/>
      <c r="P28" s="54" t="n"/>
      <c r="Q28" s="54" t="n"/>
      <c r="R28" s="54" t="n"/>
      <c r="S28" s="42" t="n"/>
      <c r="T28" s="54" t="n"/>
      <c r="U28" s="54" t="n"/>
      <c r="V28" s="55" t="n"/>
      <c r="W28" s="54" t="n"/>
      <c r="X28" s="53" t="n"/>
      <c r="Y28" s="54" t="n"/>
    </row>
    <row r="29" ht="15" customHeight="1" s="30">
      <c r="A29" s="54" t="n"/>
      <c r="B29" s="54" t="n"/>
      <c r="C29" s="42" t="n"/>
      <c r="D29" s="54" t="n"/>
      <c r="E29" s="54" t="n"/>
      <c r="F29" s="54" t="n"/>
      <c r="G29" s="54" t="n"/>
      <c r="H29" s="54" t="n"/>
      <c r="I29" s="54" t="n"/>
      <c r="J29" s="54" t="n"/>
      <c r="K29" s="42" t="n"/>
      <c r="L29" s="54" t="n"/>
      <c r="M29" s="54" t="n"/>
      <c r="N29" s="54" t="n"/>
      <c r="O29" s="54" t="n"/>
      <c r="P29" s="54" t="n"/>
      <c r="Q29" s="54" t="n"/>
      <c r="R29" s="54" t="n"/>
      <c r="S29" s="42" t="n"/>
      <c r="T29" s="54" t="n"/>
      <c r="U29" s="54" t="n"/>
      <c r="V29" s="55" t="n"/>
      <c r="W29" s="54" t="n"/>
      <c r="X29" s="53" t="n"/>
      <c r="Y29" s="54" t="n"/>
    </row>
    <row r="30" ht="15" customHeight="1" s="30">
      <c r="A30" s="54" t="n"/>
      <c r="B30" s="54" t="n"/>
      <c r="C30" s="42" t="n"/>
      <c r="D30" s="54" t="n"/>
      <c r="E30" s="54" t="n"/>
      <c r="F30" s="54" t="n"/>
      <c r="G30" s="54" t="n"/>
      <c r="H30" s="54" t="n"/>
      <c r="I30" s="54" t="n"/>
      <c r="J30" s="54" t="n"/>
      <c r="K30" s="42" t="n"/>
      <c r="L30" s="54" t="n"/>
      <c r="M30" s="54" t="n"/>
      <c r="N30" s="54" t="n"/>
      <c r="O30" s="54" t="n"/>
      <c r="P30" s="54" t="n"/>
      <c r="Q30" s="54" t="n"/>
      <c r="R30" s="54" t="n"/>
      <c r="S30" s="42" t="n"/>
      <c r="T30" s="54" t="n"/>
      <c r="U30" s="54" t="n"/>
      <c r="V30" s="55" t="n"/>
      <c r="W30" s="54" t="n"/>
      <c r="X30" s="53" t="n"/>
      <c r="Y30" s="54" t="n"/>
    </row>
    <row r="31" ht="15" customHeight="1" s="30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3" t="n"/>
      <c r="Q31" s="33" t="n"/>
      <c r="R31" s="33" t="n"/>
      <c r="S31" s="33" t="n"/>
      <c r="T31" s="33" t="n"/>
      <c r="U31" s="33" t="n"/>
      <c r="V31" s="33" t="n"/>
      <c r="W31" s="33" t="n"/>
      <c r="X31" s="53" t="n"/>
      <c r="Y31" s="33" t="n"/>
    </row>
    <row r="32" ht="15" customHeight="1" s="30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3" t="n"/>
      <c r="Q32" s="33" t="n"/>
      <c r="R32" s="33" t="n"/>
      <c r="S32" s="33" t="n"/>
      <c r="T32" s="33" t="n"/>
      <c r="U32" s="33" t="n"/>
      <c r="V32" s="33" t="n"/>
      <c r="W32" s="33" t="n"/>
      <c r="X32" s="53" t="n"/>
      <c r="Y32" s="33" t="n"/>
    </row>
    <row r="33" ht="15" customHeight="1" s="30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3" t="n"/>
      <c r="Q33" s="33" t="n"/>
      <c r="R33" s="33" t="n"/>
      <c r="S33" s="33" t="n"/>
      <c r="T33" s="33" t="n"/>
      <c r="U33" s="33" t="n"/>
      <c r="V33" s="56" t="n"/>
      <c r="W33" s="33" t="n"/>
      <c r="X33" s="53" t="n"/>
      <c r="Y33" s="33" t="n"/>
    </row>
    <row r="34" ht="15" customHeight="1" s="30">
      <c r="A34" s="57" t="n"/>
      <c r="B34" s="58" t="n"/>
      <c r="C34" s="58" t="n"/>
      <c r="D34" s="58" t="n"/>
      <c r="E34" s="58" t="n"/>
      <c r="F34" s="58" t="n"/>
      <c r="G34" s="58" t="n"/>
      <c r="H34" s="58" t="n"/>
      <c r="I34" s="58" t="n"/>
      <c r="J34" s="58" t="n"/>
      <c r="K34" s="58" t="n"/>
      <c r="L34" s="58" t="n"/>
      <c r="M34" s="58" t="n"/>
      <c r="N34" s="58" t="n"/>
      <c r="O34" s="58" t="n"/>
      <c r="P34" s="58" t="n"/>
      <c r="Q34" s="58" t="n"/>
      <c r="R34" s="58" t="n"/>
      <c r="S34" s="58" t="n"/>
      <c r="T34" s="58" t="n"/>
      <c r="U34" s="58" t="n"/>
      <c r="V34" s="58" t="n"/>
      <c r="W34" s="58" t="n"/>
      <c r="X34" s="53" t="n"/>
      <c r="Y34" s="58" t="n"/>
    </row>
    <row r="35" ht="15" customHeight="1" s="30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3" t="n"/>
      <c r="Q35" s="33" t="n"/>
      <c r="R35" s="33" t="n"/>
      <c r="S35" s="33" t="n"/>
      <c r="T35" s="33" t="n"/>
      <c r="U35" s="33" t="n"/>
      <c r="V35" s="56" t="n"/>
      <c r="W35" s="33" t="n"/>
      <c r="X35" s="53" t="n"/>
      <c r="Y35" s="33" t="n"/>
    </row>
    <row r="36" ht="15" customHeight="1" s="30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3" t="n"/>
      <c r="Q36" s="33" t="n"/>
      <c r="R36" s="33" t="n"/>
      <c r="S36" s="33" t="n"/>
      <c r="T36" s="33" t="n"/>
      <c r="U36" s="33" t="n"/>
      <c r="V36" s="56" t="n"/>
      <c r="W36" s="33" t="n"/>
      <c r="X36" s="53" t="n"/>
      <c r="Y36" s="33" t="n"/>
    </row>
    <row r="37" ht="15" customHeight="1" s="30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3" t="n"/>
      <c r="Q37" s="33" t="n"/>
      <c r="R37" s="33" t="n"/>
      <c r="S37" s="33" t="n"/>
      <c r="T37" s="33" t="n"/>
      <c r="U37" s="33" t="n"/>
      <c r="V37" s="56" t="n"/>
      <c r="W37" s="33" t="n"/>
      <c r="X37" s="53" t="n"/>
      <c r="Y37" s="33" t="n"/>
    </row>
    <row r="38" ht="15" customHeight="1" s="30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3" t="n"/>
      <c r="Q38" s="33" t="n"/>
      <c r="R38" s="33" t="n"/>
      <c r="S38" s="33" t="n"/>
      <c r="T38" s="33" t="n"/>
      <c r="U38" s="33" t="n"/>
      <c r="V38" s="56" t="n"/>
      <c r="W38" s="33" t="n"/>
      <c r="X38" s="53" t="n"/>
      <c r="Y38" s="33" t="n"/>
    </row>
    <row r="39" ht="15" customHeight="1" s="30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3" t="n"/>
      <c r="Q39" s="33" t="n"/>
      <c r="R39" s="33" t="n"/>
      <c r="S39" s="33" t="n"/>
      <c r="T39" s="33" t="n"/>
      <c r="U39" s="33" t="n"/>
      <c r="V39" s="56" t="n"/>
      <c r="W39" s="33" t="n"/>
      <c r="X39" s="53" t="n"/>
      <c r="Y39" s="33" t="n"/>
    </row>
    <row r="40" ht="15" customHeight="1" s="30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3" t="n"/>
      <c r="Q40" s="33" t="n"/>
      <c r="R40" s="33" t="n"/>
      <c r="S40" s="33" t="n"/>
      <c r="T40" s="33" t="n"/>
      <c r="U40" s="33" t="n"/>
      <c r="V40" s="56" t="n"/>
      <c r="W40" s="33" t="n"/>
      <c r="X40" s="53" t="n"/>
      <c r="Y40" s="33" t="n"/>
    </row>
    <row r="41" ht="15" customHeight="1" s="30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33" t="n"/>
      <c r="U41" s="33" t="n"/>
      <c r="V41" s="56" t="n"/>
      <c r="W41" s="33" t="n"/>
      <c r="X41" s="53" t="n"/>
      <c r="Y41" s="33" t="n"/>
    </row>
    <row r="42" ht="15" customHeight="1" s="30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3" t="n"/>
      <c r="Q42" s="33" t="n"/>
      <c r="R42" s="33" t="n"/>
      <c r="S42" s="33" t="n"/>
      <c r="T42" s="33" t="n"/>
      <c r="U42" s="33" t="n"/>
      <c r="V42" s="56" t="n"/>
      <c r="W42" s="33" t="n"/>
      <c r="X42" s="53" t="n"/>
      <c r="Y42" s="33" t="n"/>
    </row>
    <row r="43" ht="15" customHeight="1" s="30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3" t="n"/>
      <c r="Q43" s="33" t="n"/>
      <c r="R43" s="33" t="n"/>
      <c r="S43" s="33" t="n"/>
      <c r="T43" s="33" t="n"/>
      <c r="U43" s="33" t="n"/>
      <c r="V43" s="56" t="n"/>
      <c r="W43" s="33" t="n"/>
      <c r="X43" s="53" t="n"/>
      <c r="Y43" s="33" t="n"/>
    </row>
    <row r="44" ht="15" customHeight="1" s="30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3" t="n"/>
      <c r="Q44" s="33" t="n"/>
      <c r="R44" s="33" t="n"/>
      <c r="S44" s="33" t="n"/>
      <c r="T44" s="33" t="n"/>
      <c r="U44" s="33" t="n"/>
      <c r="V44" s="56" t="n"/>
      <c r="W44" s="33" t="n"/>
      <c r="X44" s="53" t="n"/>
      <c r="Y44" s="33" t="n"/>
    </row>
    <row r="45" ht="15" customHeight="1" s="30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3" t="n"/>
      <c r="Q45" s="33" t="n"/>
      <c r="R45" s="33" t="n"/>
      <c r="S45" s="33" t="n"/>
      <c r="T45" s="33" t="n"/>
      <c r="U45" s="33" t="n"/>
      <c r="V45" s="56" t="n"/>
      <c r="W45" s="33" t="n"/>
      <c r="X45" s="53" t="n"/>
      <c r="Y45" s="33" t="n"/>
    </row>
    <row r="46" ht="15" customHeight="1" s="30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3" t="n"/>
      <c r="Q46" s="33" t="n"/>
      <c r="R46" s="33" t="n"/>
      <c r="S46" s="33" t="n"/>
      <c r="T46" s="33" t="n"/>
      <c r="U46" s="33" t="n"/>
      <c r="V46" s="56" t="n"/>
      <c r="W46" s="33" t="n"/>
      <c r="X46" s="53" t="n"/>
      <c r="Y46" s="33" t="n"/>
    </row>
    <row r="47" ht="15" customHeight="1" s="30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3" t="n"/>
      <c r="Q47" s="33" t="n"/>
      <c r="R47" s="33" t="n"/>
      <c r="S47" s="33" t="n"/>
      <c r="T47" s="33" t="n"/>
      <c r="U47" s="33" t="n"/>
      <c r="V47" s="56" t="n"/>
      <c r="W47" s="33" t="n"/>
      <c r="X47" s="53" t="n"/>
      <c r="Y47" s="33" t="n"/>
    </row>
    <row r="48" ht="15" customHeight="1" s="30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3" t="n"/>
      <c r="Q48" s="33" t="n"/>
      <c r="R48" s="33" t="n"/>
      <c r="S48" s="33" t="n"/>
      <c r="T48" s="33" t="n"/>
      <c r="U48" s="33" t="n"/>
      <c r="V48" s="56" t="n"/>
      <c r="W48" s="33" t="n"/>
      <c r="X48" s="53" t="n"/>
      <c r="Y48" s="33" t="n"/>
    </row>
    <row r="49" ht="15" customHeight="1" s="30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3" t="n"/>
      <c r="Q49" s="33" t="n"/>
      <c r="R49" s="33" t="n"/>
      <c r="S49" s="33" t="n"/>
      <c r="T49" s="33" t="n"/>
      <c r="U49" s="33" t="n"/>
      <c r="V49" s="56" t="n"/>
      <c r="W49" s="33" t="n"/>
      <c r="X49" s="53" t="n"/>
      <c r="Y49" s="33" t="n"/>
    </row>
    <row r="50" ht="15" customHeight="1" s="3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3" t="n"/>
      <c r="Q50" s="33" t="n"/>
      <c r="R50" s="33" t="n"/>
      <c r="S50" s="33" t="n"/>
      <c r="T50" s="33" t="n"/>
      <c r="U50" s="33" t="n"/>
      <c r="V50" s="56" t="n"/>
      <c r="W50" s="33" t="n"/>
      <c r="X50" s="53" t="n"/>
      <c r="Y50" s="33" t="n"/>
    </row>
    <row r="51" ht="15" customHeight="1" s="30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3" t="n"/>
      <c r="Q51" s="33" t="n"/>
      <c r="R51" s="33" t="n"/>
      <c r="S51" s="33" t="n"/>
      <c r="T51" s="33" t="n"/>
      <c r="U51" s="33" t="n"/>
      <c r="V51" s="56" t="n"/>
      <c r="W51" s="33" t="n"/>
      <c r="X51" s="53" t="n"/>
      <c r="Y51" s="33" t="n"/>
    </row>
    <row r="52" ht="15" customHeight="1" s="30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3" t="n"/>
      <c r="Q52" s="33" t="n"/>
      <c r="R52" s="33" t="n"/>
      <c r="S52" s="33" t="n"/>
      <c r="T52" s="33" t="n"/>
      <c r="U52" s="33" t="n"/>
      <c r="V52" s="56" t="n"/>
      <c r="W52" s="33" t="n"/>
      <c r="X52" s="53" t="n"/>
      <c r="Y52" s="33" t="n"/>
    </row>
    <row r="53" ht="15" customHeight="1" s="30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3" t="n"/>
      <c r="Q53" s="33" t="n"/>
      <c r="R53" s="33" t="n"/>
      <c r="S53" s="33" t="n"/>
      <c r="T53" s="33" t="n"/>
      <c r="U53" s="33" t="n"/>
      <c r="V53" s="56" t="n"/>
      <c r="W53" s="33" t="n"/>
      <c r="X53" s="53" t="n"/>
      <c r="Y53" s="33" t="n"/>
    </row>
    <row r="54" ht="15" customHeight="1" s="30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3" t="n"/>
      <c r="Q54" s="33" t="n"/>
      <c r="R54" s="33" t="n"/>
      <c r="S54" s="33" t="n"/>
      <c r="T54" s="33" t="n"/>
      <c r="U54" s="33" t="n"/>
      <c r="V54" s="56" t="n"/>
      <c r="W54" s="33" t="n"/>
      <c r="X54" s="53" t="n"/>
      <c r="Y54" s="33" t="n"/>
    </row>
    <row r="55" ht="15" customHeight="1" s="30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3" t="n"/>
      <c r="Q55" s="33" t="n"/>
      <c r="R55" s="33" t="n"/>
      <c r="S55" s="33" t="n"/>
      <c r="T55" s="33" t="n"/>
      <c r="U55" s="33" t="n"/>
      <c r="V55" s="56" t="n"/>
      <c r="W55" s="33" t="n"/>
      <c r="X55" s="53" t="n"/>
      <c r="Y55" s="33" t="n"/>
    </row>
    <row r="56" ht="15" customHeight="1" s="30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3" t="n"/>
      <c r="Q56" s="33" t="n"/>
      <c r="R56" s="33" t="n"/>
      <c r="S56" s="33" t="n"/>
      <c r="T56" s="33" t="n"/>
      <c r="U56" s="33" t="n"/>
      <c r="V56" s="56" t="n"/>
      <c r="W56" s="33" t="n"/>
      <c r="X56" s="53" t="n"/>
      <c r="Y56" s="33" t="n"/>
    </row>
    <row r="57" ht="15" customHeight="1" s="30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3" t="n"/>
      <c r="Q57" s="33" t="n"/>
      <c r="R57" s="33" t="n"/>
      <c r="S57" s="33" t="n"/>
      <c r="T57" s="33" t="n"/>
      <c r="U57" s="33" t="n"/>
      <c r="V57" s="56" t="n"/>
      <c r="W57" s="33" t="n"/>
      <c r="X57" s="53" t="n"/>
      <c r="Y57" s="33" t="n"/>
    </row>
    <row r="58" ht="15" customHeight="1" s="30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3" t="n"/>
      <c r="Q58" s="33" t="n"/>
      <c r="R58" s="33" t="n"/>
      <c r="S58" s="33" t="n"/>
      <c r="T58" s="33" t="n"/>
      <c r="U58" s="33" t="n"/>
      <c r="V58" s="56" t="n"/>
      <c r="W58" s="33" t="n"/>
      <c r="X58" s="53" t="n"/>
      <c r="Y58" s="33" t="n"/>
    </row>
    <row r="59" ht="15" customHeight="1" s="30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3" t="n"/>
      <c r="Q59" s="33" t="n"/>
      <c r="R59" s="33" t="n"/>
      <c r="S59" s="33" t="n"/>
      <c r="T59" s="33" t="n"/>
      <c r="U59" s="33" t="n"/>
      <c r="V59" s="56" t="n"/>
      <c r="W59" s="33" t="n"/>
      <c r="X59" s="53" t="n"/>
      <c r="Y59" s="33" t="n"/>
    </row>
    <row r="60" ht="15" customHeight="1" s="30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3" t="n"/>
      <c r="Q60" s="33" t="n"/>
      <c r="R60" s="33" t="n"/>
      <c r="S60" s="33" t="n"/>
      <c r="T60" s="33" t="n"/>
      <c r="U60" s="33" t="n"/>
      <c r="V60" s="56" t="n"/>
      <c r="W60" s="33" t="n"/>
      <c r="X60" s="53" t="n"/>
      <c r="Y60" s="33" t="n"/>
    </row>
    <row r="61" ht="15" customHeight="1" s="30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3" t="n"/>
      <c r="Q61" s="33" t="n"/>
      <c r="R61" s="33" t="n"/>
      <c r="S61" s="33" t="n"/>
      <c r="T61" s="33" t="n"/>
      <c r="U61" s="33" t="n"/>
      <c r="V61" s="56" t="n"/>
      <c r="W61" s="33" t="n"/>
      <c r="X61" s="53" t="n"/>
      <c r="Y61" s="33" t="n"/>
    </row>
    <row r="62" ht="15" customHeight="1" s="30">
      <c r="A62" s="33" t="n"/>
      <c r="B62" s="33" t="n"/>
      <c r="C62" s="33" t="n"/>
      <c r="D62" s="33" t="n"/>
      <c r="E62" s="33" t="n"/>
      <c r="F62" s="33" t="n"/>
      <c r="G62" s="33" t="n"/>
      <c r="H62" s="33" t="n"/>
      <c r="I62" s="33" t="n"/>
      <c r="J62" s="33" t="n"/>
      <c r="K62" s="33" t="n"/>
      <c r="L62" s="33" t="n"/>
      <c r="M62" s="33" t="n"/>
      <c r="N62" s="33" t="n"/>
      <c r="O62" s="33" t="n"/>
      <c r="P62" s="33" t="n"/>
      <c r="Q62" s="33" t="n"/>
      <c r="R62" s="33" t="n"/>
      <c r="S62" s="33" t="n"/>
      <c r="T62" s="33" t="n"/>
      <c r="U62" s="33" t="n"/>
      <c r="V62" s="56" t="n"/>
      <c r="W62" s="33" t="n"/>
      <c r="X62" s="53" t="n"/>
      <c r="Y62" s="33" t="n"/>
    </row>
    <row r="63" ht="15" customHeight="1" s="30">
      <c r="A63" s="33" t="n"/>
      <c r="B63" s="33" t="n"/>
      <c r="C63" s="33" t="n"/>
      <c r="D63" s="33" t="n"/>
      <c r="E63" s="33" t="n"/>
      <c r="F63" s="33" t="n"/>
      <c r="G63" s="33" t="n"/>
      <c r="H63" s="33" t="n"/>
      <c r="I63" s="33" t="n"/>
      <c r="J63" s="33" t="n"/>
      <c r="K63" s="33" t="n"/>
      <c r="L63" s="33" t="n"/>
      <c r="M63" s="33" t="n"/>
      <c r="N63" s="33" t="n"/>
      <c r="O63" s="33" t="n"/>
      <c r="P63" s="33" t="n"/>
      <c r="Q63" s="33" t="n"/>
      <c r="R63" s="33" t="n"/>
      <c r="S63" s="33" t="n"/>
      <c r="T63" s="33" t="n"/>
      <c r="U63" s="33" t="n"/>
      <c r="V63" s="56" t="n"/>
      <c r="W63" s="33" t="n"/>
      <c r="X63" s="53" t="n"/>
      <c r="Y63" s="33" t="n"/>
    </row>
    <row r="64" ht="15" customHeight="1" s="30">
      <c r="A64" s="33" t="n"/>
      <c r="B64" s="33" t="n"/>
      <c r="C64" s="33" t="n"/>
      <c r="D64" s="33" t="n"/>
      <c r="E64" s="33" t="n"/>
      <c r="F64" s="33" t="n"/>
      <c r="G64" s="33" t="n"/>
      <c r="H64" s="33" t="n"/>
      <c r="I64" s="33" t="n"/>
      <c r="J64" s="33" t="n"/>
      <c r="K64" s="33" t="n"/>
      <c r="L64" s="33" t="n"/>
      <c r="M64" s="33" t="n"/>
      <c r="N64" s="33" t="n"/>
      <c r="O64" s="33" t="n"/>
      <c r="P64" s="33" t="n"/>
      <c r="Q64" s="33" t="n"/>
      <c r="R64" s="33" t="n"/>
      <c r="S64" s="33" t="n"/>
      <c r="T64" s="33" t="n"/>
      <c r="U64" s="33" t="n"/>
      <c r="V64" s="56" t="n"/>
      <c r="W64" s="33" t="n"/>
      <c r="X64" s="53" t="n"/>
      <c r="Y64" s="33" t="n"/>
    </row>
    <row r="65" ht="15" customHeight="1" s="30">
      <c r="A65" s="33" t="n"/>
      <c r="B65" s="33" t="n"/>
      <c r="C65" s="33" t="n"/>
      <c r="D65" s="33" t="n"/>
      <c r="E65" s="33" t="n"/>
      <c r="F65" s="33" t="n"/>
      <c r="G65" s="33" t="n"/>
      <c r="H65" s="33" t="n"/>
      <c r="I65" s="33" t="n"/>
      <c r="J65" s="33" t="n"/>
      <c r="K65" s="33" t="n"/>
      <c r="L65" s="33" t="n"/>
      <c r="M65" s="33" t="n"/>
      <c r="N65" s="33" t="n"/>
      <c r="O65" s="33" t="n"/>
      <c r="P65" s="33" t="n"/>
      <c r="Q65" s="33" t="n"/>
      <c r="R65" s="33" t="n"/>
      <c r="S65" s="33" t="n"/>
      <c r="T65" s="33" t="n"/>
      <c r="U65" s="33" t="n"/>
      <c r="V65" s="56" t="n"/>
      <c r="W65" s="33" t="n"/>
      <c r="X65" s="53" t="n"/>
      <c r="Y65" s="33" t="n"/>
    </row>
    <row r="66" ht="15" customHeight="1" s="30">
      <c r="A66" s="33" t="n"/>
      <c r="B66" s="33" t="n"/>
      <c r="C66" s="33" t="n"/>
      <c r="D66" s="33" t="n"/>
      <c r="E66" s="33" t="n"/>
      <c r="F66" s="33" t="n"/>
      <c r="G66" s="33" t="n"/>
      <c r="H66" s="33" t="n"/>
      <c r="I66" s="33" t="n"/>
      <c r="J66" s="33" t="n"/>
      <c r="K66" s="33" t="n"/>
      <c r="L66" s="33" t="n"/>
      <c r="M66" s="33" t="n"/>
      <c r="N66" s="33" t="n"/>
      <c r="O66" s="33" t="n"/>
      <c r="P66" s="33" t="n"/>
      <c r="Q66" s="33" t="n"/>
      <c r="R66" s="33" t="n"/>
      <c r="S66" s="33" t="n"/>
      <c r="T66" s="33" t="n"/>
      <c r="U66" s="33" t="n"/>
      <c r="V66" s="33" t="n"/>
      <c r="W66" s="33" t="n"/>
      <c r="X66" s="53" t="n"/>
      <c r="Y66" s="33" t="n"/>
    </row>
    <row r="67" ht="15" customHeight="1" s="30">
      <c r="A67" s="33" t="n"/>
      <c r="B67" s="33" t="n"/>
      <c r="C67" s="33" t="n"/>
      <c r="D67" s="33" t="n"/>
      <c r="E67" s="33" t="n"/>
      <c r="F67" s="33" t="n"/>
      <c r="G67" s="33" t="n"/>
      <c r="H67" s="33" t="n"/>
      <c r="I67" s="33" t="n"/>
      <c r="J67" s="33" t="n"/>
      <c r="K67" s="33" t="n"/>
      <c r="L67" s="33" t="n"/>
      <c r="M67" s="33" t="n"/>
      <c r="N67" s="33" t="n"/>
      <c r="O67" s="33" t="n"/>
      <c r="P67" s="33" t="n"/>
      <c r="Q67" s="33" t="n"/>
      <c r="R67" s="33" t="n"/>
      <c r="S67" s="33" t="n"/>
      <c r="T67" s="33" t="n"/>
      <c r="U67" s="33" t="n"/>
      <c r="V67" s="33" t="n"/>
      <c r="W67" s="33" t="n"/>
      <c r="X67" s="53" t="n"/>
      <c r="Y67" s="33" t="n"/>
    </row>
    <row r="68" ht="15" customHeight="1" s="30">
      <c r="A68" s="33" t="n"/>
      <c r="B68" s="33" t="n"/>
      <c r="C68" s="33" t="n"/>
      <c r="D68" s="33" t="n"/>
      <c r="E68" s="33" t="n"/>
      <c r="F68" s="33" t="n"/>
      <c r="G68" s="33" t="n"/>
      <c r="H68" s="33" t="n"/>
      <c r="I68" s="33" t="n"/>
      <c r="J68" s="33" t="n"/>
      <c r="K68" s="33" t="n"/>
      <c r="L68" s="33" t="n"/>
      <c r="M68" s="33" t="n"/>
      <c r="N68" s="33" t="n"/>
      <c r="O68" s="33" t="n"/>
      <c r="P68" s="33" t="n"/>
      <c r="Q68" s="33" t="n"/>
      <c r="R68" s="33" t="n"/>
      <c r="S68" s="33" t="n"/>
      <c r="T68" s="33" t="n"/>
      <c r="U68" s="33" t="n"/>
      <c r="V68" s="33" t="n"/>
      <c r="W68" s="33" t="n"/>
      <c r="X68" s="53" t="n"/>
      <c r="Y68" s="33" t="n"/>
    </row>
    <row r="69" ht="15" customHeight="1" s="30">
      <c r="A69" s="33" t="n"/>
      <c r="B69" s="33" t="n"/>
      <c r="C69" s="33" t="n"/>
      <c r="D69" s="33" t="n"/>
      <c r="E69" s="33" t="n"/>
      <c r="F69" s="33" t="n"/>
      <c r="G69" s="33" t="n"/>
      <c r="H69" s="33" t="n"/>
      <c r="I69" s="33" t="n"/>
      <c r="J69" s="33" t="n"/>
      <c r="K69" s="33" t="n"/>
      <c r="L69" s="33" t="n"/>
      <c r="M69" s="33" t="n"/>
      <c r="N69" s="33" t="n"/>
      <c r="O69" s="33" t="n"/>
      <c r="P69" s="33" t="n"/>
      <c r="Q69" s="33" t="n"/>
      <c r="R69" s="33" t="n"/>
      <c r="S69" s="33" t="n"/>
      <c r="T69" s="33" t="n"/>
      <c r="U69" s="33" t="n"/>
      <c r="V69" s="33" t="n"/>
      <c r="W69" s="33" t="n"/>
      <c r="X69" s="53" t="n"/>
      <c r="Y69" s="33" t="n"/>
    </row>
    <row r="70" ht="15" customHeight="1" s="30">
      <c r="A70" s="33" t="n"/>
      <c r="B70" s="33" t="n"/>
      <c r="C70" s="33" t="n"/>
      <c r="D70" s="33" t="n"/>
      <c r="E70" s="33" t="n"/>
      <c r="F70" s="33" t="n"/>
      <c r="G70" s="33" t="n"/>
      <c r="H70" s="33" t="n"/>
      <c r="I70" s="33" t="n"/>
      <c r="J70" s="33" t="n"/>
      <c r="K70" s="33" t="n"/>
      <c r="L70" s="33" t="n"/>
      <c r="M70" s="33" t="n"/>
      <c r="N70" s="33" t="n"/>
      <c r="O70" s="33" t="n"/>
      <c r="P70" s="33" t="n"/>
      <c r="Q70" s="33" t="n"/>
      <c r="R70" s="33" t="n"/>
      <c r="S70" s="33" t="n"/>
      <c r="T70" s="33" t="n"/>
      <c r="U70" s="33" t="n"/>
      <c r="V70" s="33" t="n"/>
      <c r="W70" s="33" t="n"/>
      <c r="X70" s="53" t="n"/>
      <c r="Y70" s="33" t="n"/>
    </row>
    <row r="71" ht="15" customHeight="1" s="30">
      <c r="X71" s="53" t="n"/>
    </row>
    <row r="72" ht="15" customHeight="1" s="30">
      <c r="X72" s="53" t="n"/>
    </row>
    <row r="73" ht="15" customHeight="1" s="30">
      <c r="X73" s="53" t="n"/>
    </row>
    <row r="74" ht="15" customHeight="1" s="30">
      <c r="X74" s="53" t="n"/>
    </row>
    <row r="75" ht="15" customHeight="1" s="30">
      <c r="X75" s="53" t="n"/>
    </row>
    <row r="76" ht="15" customHeight="1" s="30">
      <c r="X76" s="53" t="n"/>
    </row>
    <row r="77" ht="15" customHeight="1" s="30">
      <c r="X77" s="53" t="n"/>
    </row>
    <row r="78" ht="15" customHeight="1" s="30">
      <c r="X78" s="53" t="n"/>
    </row>
    <row r="79" ht="154.5" customHeight="1" s="30"/>
    <row r="113" ht="154.5" customHeight="1" s="30"/>
    <row r="120" ht="154.5" customHeight="1" s="30"/>
    <row r="123" ht="154.5" customHeight="1" s="30"/>
    <row r="124" ht="33.75" customHeight="1" s="30"/>
    <row r="125" ht="33.75" customHeight="1" s="30"/>
    <row r="126" ht="33.75" customHeight="1" s="30"/>
    <row r="127" ht="33.75" customHeight="1" s="30"/>
    <row r="128" ht="154.5" customHeight="1" s="30"/>
    <row r="129" ht="33.75" customHeight="1" s="30"/>
    <row r="130" ht="33.75" customHeight="1" s="30"/>
    <row r="131" ht="33.75" customHeight="1" s="30"/>
    <row r="132" ht="33.75" customHeight="1" s="30"/>
    <row r="133" ht="33.75" customHeight="1" s="30"/>
    <row r="134" ht="33.75" customHeight="1" s="30"/>
    <row r="135" ht="33.75" customHeight="1" s="30"/>
    <row r="136" ht="33.75" customHeight="1" s="30"/>
    <row r="137" ht="33.75" customHeight="1" s="30"/>
    <row r="138" ht="33.75" customHeight="1" s="30"/>
    <row r="139" ht="33.75" customHeight="1" s="30"/>
    <row r="143" ht="154.5" customHeight="1" s="30"/>
    <row r="146" ht="43.5" customHeight="1" s="30"/>
    <row r="147" ht="43.5" customHeight="1" s="30"/>
    <row r="148" ht="43.5" customHeight="1" s="30"/>
    <row r="149" ht="43.5" customHeight="1" s="30"/>
    <row r="150" ht="43.5" customHeight="1" s="30"/>
    <row r="151" ht="43.5" customHeight="1" s="30"/>
    <row r="152" ht="43.5" customHeight="1" s="30"/>
    <row r="153" ht="43.5" customHeight="1" s="30"/>
    <row r="154" ht="43.5" customHeight="1" s="30"/>
    <row r="155" ht="43.5" customHeight="1" s="30"/>
    <row r="156" ht="132" customHeight="1" s="30"/>
    <row r="157" ht="117.75" customHeight="1" s="30"/>
    <row r="158" ht="117.75" customHeight="1" s="30"/>
    <row r="159" ht="117.75" customHeight="1" s="30"/>
    <row r="160" ht="117.75" customHeight="1" s="30"/>
    <row r="161" ht="132" customHeight="1" s="30"/>
    <row r="162" ht="132" customHeight="1" s="30"/>
    <row r="163" ht="154.5" customHeight="1" s="30"/>
    <row r="164" ht="132" customHeight="1" s="30"/>
    <row r="165" ht="132" customHeight="1" s="30"/>
    <row r="166" ht="132" customHeight="1" s="30"/>
    <row r="167" ht="154.5" customHeight="1" s="30"/>
    <row r="168" ht="219.75" customHeight="1" s="30"/>
    <row r="169" ht="219.75" customHeight="1" s="30"/>
    <row r="172" ht="42" customHeight="1" s="30"/>
    <row r="173" ht="42" customHeight="1" s="30"/>
    <row r="174" ht="43.5" customHeight="1" s="30"/>
    <row r="175" ht="43.5" customHeight="1" s="30"/>
    <row r="176" ht="43.5" customHeight="1" s="30"/>
    <row r="177" ht="43.5" customHeight="1" s="30"/>
    <row r="178" ht="43.5" customHeight="1" s="30"/>
    <row r="179" ht="43.5" customHeight="1" s="30"/>
    <row r="180" ht="43.5" customHeight="1" s="30"/>
    <row r="181" ht="43.5" customHeight="1" s="30"/>
    <row r="182" ht="43.5" customHeight="1" s="30"/>
    <row r="183" ht="43.5" customHeight="1" s="30"/>
    <row r="184" ht="43.5" customHeight="1" s="30"/>
    <row r="185" ht="43.5" customHeight="1" s="30"/>
    <row r="186" ht="43.5" customHeight="1" s="30"/>
    <row r="187" ht="43.5" customHeight="1" s="30"/>
    <row r="188" ht="43.5" customHeight="1" s="30"/>
    <row r="189" ht="43.5" customHeight="1" s="30"/>
    <row r="190" ht="43.5" customHeight="1" s="30"/>
    <row r="191" ht="43.5" customHeight="1" s="30"/>
    <row r="192" ht="43.5" customHeight="1" s="30"/>
    <row r="193" ht="43.5" customHeight="1" s="30"/>
    <row r="194" ht="43.5" customHeight="1" s="30"/>
    <row r="195" ht="43.5" customHeight="1" s="30"/>
    <row r="196" ht="43.5" customHeight="1" s="30"/>
    <row r="197" ht="43.5" customHeight="1" s="30"/>
    <row r="198" ht="43.5" customHeight="1" s="30"/>
    <row r="199" ht="43.5" customHeight="1" s="30"/>
    <row r="200" ht="43.5" customHeight="1" s="30"/>
    <row r="201" ht="43.5" customHeight="1" s="30"/>
    <row r="202" ht="43.5" customHeight="1" s="30"/>
    <row r="203" ht="43.5" customHeight="1" s="30"/>
    <row r="204" ht="43.5" customHeight="1" s="30"/>
    <row r="240" ht="255" customHeight="1" s="30"/>
    <row r="281" ht="66" customHeight="1" s="30"/>
    <row r="282" ht="66" customHeight="1" s="30"/>
    <row r="283" ht="66" customHeight="1" s="30"/>
    <row r="284" ht="66" customHeight="1" s="30"/>
    <row r="285" ht="66" customHeight="1" s="30"/>
    <row r="286" ht="66" customHeight="1" s="30"/>
    <row r="287" ht="55.5" customHeight="1" s="30"/>
    <row r="301" ht="132" customHeight="1" s="30"/>
    <row r="302" ht="54" customHeight="1" s="30"/>
    <row r="303" ht="54" customHeight="1" s="30"/>
    <row r="304" ht="54" customHeight="1" s="30"/>
    <row r="305" ht="54" customHeight="1" s="30"/>
    <row r="306" ht="54" customHeight="1" s="30"/>
    <row r="307" ht="54" customHeight="1" s="30"/>
    <row r="308" ht="54" customHeight="1" s="30"/>
    <row r="309" ht="54" customHeight="1" s="30"/>
    <row r="310" ht="54" customHeight="1" s="30"/>
    <row r="311" ht="72" customHeight="1" s="30"/>
    <row r="312" ht="54" customHeight="1" s="30"/>
    <row r="313" ht="54" customHeight="1" s="30"/>
    <row r="314" ht="54" customHeight="1" s="30"/>
    <row r="315" ht="54" customHeight="1" s="30"/>
    <row r="316" ht="54" customHeight="1" s="30"/>
    <row r="317" ht="54" customHeight="1" s="30"/>
    <row r="318" ht="54" customHeight="1" s="30"/>
    <row r="319" ht="54" customHeight="1" s="30"/>
    <row r="320" ht="54" customHeight="1" s="30"/>
    <row r="321" ht="54" customHeight="1" s="30"/>
    <row r="322" ht="54" customHeight="1" s="30"/>
    <row r="323" ht="54" customHeight="1" s="30"/>
    <row r="324" ht="54" customHeight="1" s="30"/>
    <row r="325" ht="54" customHeight="1" s="30"/>
    <row r="326" ht="54" customHeight="1" s="30"/>
    <row r="327" ht="54" customHeight="1" s="30"/>
    <row r="328" ht="54" customHeight="1" s="30"/>
    <row r="329" ht="54" customHeight="1" s="30"/>
    <row r="330" ht="54" customHeight="1" s="30"/>
    <row r="331" ht="54" customHeight="1" s="30"/>
    <row r="332" ht="54" customHeight="1" s="30"/>
    <row r="333" ht="54" customHeight="1" s="30"/>
    <row r="334" ht="54" customHeight="1" s="30"/>
    <row r="335" ht="54" customHeight="1" s="30"/>
    <row r="336" ht="54" customHeight="1" s="30"/>
    <row r="337" ht="54" customHeight="1" s="30"/>
    <row r="338" ht="54" customHeight="1" s="30"/>
    <row r="339" ht="54" customHeight="1" s="30"/>
    <row r="340" ht="54" customHeight="1" s="30"/>
    <row r="341" ht="54" customHeight="1" s="30"/>
    <row r="342" ht="54" customHeight="1" s="30"/>
    <row r="343" ht="54" customHeight="1" s="30"/>
    <row r="344" ht="54" customHeight="1" s="30"/>
    <row r="345" ht="54" customHeight="1" s="30"/>
    <row r="346" ht="54" customHeight="1" s="30"/>
    <row r="347" ht="54" customHeight="1" s="30"/>
    <row r="348" ht="54" customHeight="1" s="30"/>
    <row r="349" ht="54" customHeight="1" s="30"/>
    <row r="350" ht="54" customHeight="1" s="30"/>
    <row r="351" ht="54" customHeight="1" s="30"/>
    <row r="352" ht="54" customHeight="1" s="30"/>
    <row r="353" ht="54" customHeight="1" s="30"/>
    <row r="354" ht="54" customHeight="1" s="30"/>
    <row r="355" ht="54" customHeight="1" s="30"/>
    <row r="356" ht="54" customHeight="1" s="30"/>
    <row r="357" ht="54" customHeight="1" s="30"/>
    <row r="358" ht="54" customHeight="1" s="30"/>
    <row r="359" ht="72" customHeight="1" s="30"/>
    <row r="360" ht="54" customHeight="1" s="30"/>
    <row r="361" ht="54" customHeight="1" s="30"/>
    <row r="362" ht="54" customHeight="1" s="30"/>
    <row r="363" ht="54" customHeight="1" s="30"/>
    <row r="364" ht="54" customHeight="1" s="30"/>
    <row r="365" ht="54" customHeight="1" s="30"/>
    <row r="366" ht="54" customHeight="1" s="30"/>
    <row r="367" ht="54" customHeight="1" s="30"/>
    <row r="368" ht="72" customHeight="1" s="30"/>
    <row r="369" ht="54" customHeight="1" s="30"/>
    <row r="370" ht="54" customHeight="1" s="30"/>
    <row r="371" ht="54" customHeight="1" s="30"/>
    <row r="372" ht="54" customHeight="1" s="30"/>
    <row r="373" ht="54" customHeight="1" s="30"/>
    <row r="374" ht="54" customHeight="1" s="30"/>
    <row r="375" ht="54" customHeight="1" s="30"/>
    <row r="376" ht="54" customHeight="1" s="30"/>
    <row r="377" ht="54" customHeight="1" s="30"/>
    <row r="378" ht="54" customHeight="1" s="30"/>
    <row r="379" ht="54" customHeight="1" s="30"/>
    <row r="380" ht="54" customHeight="1" s="30"/>
    <row r="381" ht="54" customHeight="1" s="30"/>
    <row r="382" ht="54" customHeight="1" s="30"/>
    <row r="383" ht="54" customHeight="1" s="30"/>
    <row r="384" ht="54" customHeight="1" s="30"/>
    <row r="385" ht="54" customHeight="1" s="30"/>
    <row r="386" ht="54" customHeight="1" s="30"/>
    <row r="387" ht="54" customHeight="1" s="30"/>
    <row r="388" ht="54" customHeight="1" s="30"/>
    <row r="389" ht="54" customHeight="1" s="30"/>
    <row r="390" ht="54" customHeight="1" s="30"/>
    <row r="391" ht="54" customHeight="1" s="30"/>
    <row r="392" ht="54" customHeight="1" s="30"/>
    <row r="393" ht="54" customHeight="1" s="30"/>
    <row r="394" ht="54" customHeight="1" s="30"/>
    <row r="395" ht="54" customHeight="1" s="30"/>
    <row r="396" ht="54" customHeight="1" s="30"/>
    <row r="397" ht="54" customHeight="1" s="30"/>
    <row r="398" ht="54" customHeight="1" s="30"/>
    <row r="399" ht="54" customHeight="1" s="30"/>
    <row r="400" ht="54" customHeight="1" s="30"/>
    <row r="401" ht="54" customHeight="1" s="30"/>
    <row r="402" ht="54" customHeight="1" s="30"/>
    <row r="403" ht="54" customHeight="1" s="30"/>
    <row r="404" ht="54" customHeight="1" s="30"/>
    <row r="405" ht="54" customHeight="1" s="30"/>
    <row r="406" ht="54" customHeight="1" s="30"/>
    <row r="407" ht="54" customHeight="1" s="30"/>
    <row r="408" ht="54" customHeight="1" s="30"/>
    <row r="409" ht="54" customHeight="1" s="30"/>
    <row r="410" ht="54" customHeight="1" s="30"/>
    <row r="411" ht="54" customHeight="1" s="30"/>
    <row r="412" ht="54" customHeight="1" s="30"/>
    <row r="413" ht="75.75" customHeight="1" s="30"/>
    <row r="414" ht="72" customHeight="1" s="30"/>
    <row r="415" ht="72" customHeight="1" s="30"/>
    <row r="416" ht="72" customHeight="1" s="30"/>
    <row r="424" ht="84.75" customHeight="1" s="30"/>
    <row r="425" ht="84.75" customHeight="1" s="30"/>
    <row r="426" ht="84.75" customHeight="1" s="30"/>
    <row r="427" ht="84.75" customHeight="1" s="30"/>
    <row r="429" ht="120" customHeight="1" s="30"/>
  </sheetData>
  <mergeCells count="2">
    <mergeCell ref="A1:X2"/>
    <mergeCell ref="A3:X3"/>
  </mergeCells>
  <conditionalFormatting sqref="S6:S79">
    <cfRule type="containsText" rank="0" priority="2" equalAverage="0" operator="containsText" aboveAverage="0" dxfId="6" text="重复" percent="0" bottom="0">
      <formula>NOT(ISERROR(SEARCH("重复",S6)))</formula>
    </cfRule>
  </conditionalFormatting>
  <conditionalFormatting sqref="K6:K79">
    <cfRule type="containsText" rank="0" priority="3" equalAverage="0" operator="containsText" aboveAverage="0" dxfId="7" text="已完成" percent="0" bottom="0">
      <formula>NOT(ISERROR(SEARCH("已完成",K6)))</formula>
    </cfRule>
    <cfRule type="containsText" rank="0" priority="4" equalAverage="0" operator="containsText" aboveAverage="0" dxfId="8" text="待制作" percent="0" bottom="0">
      <formula>NOT(ISERROR(SEARCH("待制作",K6)))</formula>
    </cfRule>
  </conditionalFormatting>
  <dataValidations count="4">
    <dataValidation sqref="C23:C79" showDropDown="0" showInputMessage="0" showErrorMessage="0" allowBlank="1" type="list" errorStyle="stop" operator="between">
      <formula1>"角色,敌人,武器,道具,场景,场景道具,基地资产包,UI,特效,音频"</formula1>
      <formula2>0</formula2>
    </dataValidation>
    <dataValidation sqref="K6:K79" showDropDown="0" showInputMessage="0" showErrorMessage="0" allowBlank="1" type="list" errorStyle="stop" operator="between">
      <formula1>"待制作,程序占位,已完成,原型已接入,弃用,旧资产已从正式基地移除,正式美术已接入,已优化并正式接入,Blender源已完成,已导入；优化完成,已从运行场景移除,白盒组件"</formula1>
      <formula2>0</formula2>
    </dataValidation>
    <dataValidation sqref="L6:L79" showDropDown="0" showInputMessage="0" showErrorMessage="0" allowBlank="1" type="list" errorStyle="stop" operator="between">
      <formula1>"P0,P1,P2,P3"</formula1>
      <formula2>0</formula2>
    </dataValidation>
    <dataValidation sqref="C6:C22" showDropDown="0" showInputMessage="0" showErrorMessage="0" allowBlank="0" type="list" errorStyle="stop" operator="between">
      <formula1>"UI"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16.71" customWidth="1" style="29" min="1" max="1"/>
    <col width="15.51" customWidth="1" style="29" min="2" max="2"/>
    <col width="28.65" customWidth="1" style="29" min="3" max="3"/>
    <col width="33.42" customWidth="1" style="29" min="4" max="4"/>
    <col width="83.55" customWidth="1" style="29" min="5" max="5"/>
    <col width="57.29" customWidth="1" style="29" min="6" max="6"/>
    <col width="14.33" customWidth="1" style="29" min="7" max="7"/>
  </cols>
  <sheetData>
    <row r="1" ht="15" customHeight="1" s="30">
      <c r="A1" s="31" t="inlineStr">
        <is>
          <t>UI账本变更日志</t>
        </is>
      </c>
    </row>
    <row r="2" ht="15" customHeight="1" s="30"/>
    <row r="3" ht="15" customHeight="1" s="30">
      <c r="A3" s="32" t="inlineStr">
        <is>
          <t>只记录本账本的域内变更；跨域与全局变更记录在主账本《版本记录》</t>
        </is>
      </c>
    </row>
    <row r="5" ht="15" customHeight="1" s="30">
      <c r="A5" s="36" t="inlineStr">
        <is>
          <t>台账版本</t>
        </is>
      </c>
      <c r="B5" s="36" t="inlineStr">
        <is>
          <t>日期</t>
        </is>
      </c>
      <c r="C5" s="36" t="inlineStr">
        <is>
          <t>变更类型</t>
        </is>
      </c>
      <c r="D5" s="36" t="inlineStr">
        <is>
          <t>范围</t>
        </is>
      </c>
      <c r="E5" s="36" t="inlineStr">
        <is>
          <t>说明</t>
        </is>
      </c>
      <c r="F5" s="36" t="inlineStr">
        <is>
          <t>兼容性</t>
        </is>
      </c>
      <c r="G5" s="36" t="inlineStr">
        <is>
          <t>负责人</t>
        </is>
      </c>
    </row>
    <row r="6" ht="45.75" customHeight="1" s="30">
      <c r="A6" s="40" t="inlineStr">
        <is>
          <t>v0.2.0</t>
        </is>
      </c>
      <c r="B6" s="40" t="inlineStr">
        <is>
          <t>2026-09-23</t>
        </is>
      </c>
      <c r="C6" s="40" t="inlineStr">
        <is>
          <t>P2 独立域拆分</t>
        </is>
      </c>
      <c r="D6" s="40" t="inlineStr">
        <is>
          <t>UI</t>
        </is>
      </c>
      <c r="E6" s="41" t="inlineStr">
        <is>
          <t>由表现资源账本拆出 17 条UI资产；本账本接管大类=UI，匹配独立 Skill 与验收流程。</t>
        </is>
      </c>
      <c r="F6" s="40" t="inlineStr">
        <is>
          <t>AssetID、路径、SHA-256、制作状态与授权信息不变；仅账本归属和大类名称迁移。</t>
        </is>
      </c>
      <c r="G6" s="40" t="inlineStr">
        <is>
          <t>Codex</t>
        </is>
      </c>
    </row>
    <row r="7">
      <c r="A7" s="40" t="inlineStr">
        <is>
          <t>v0.2.1</t>
        </is>
      </c>
      <c r="B7" s="40" t="inlineStr">
        <is>
          <t>2026-09-29</t>
        </is>
      </c>
      <c r="C7" s="40" t="inlineStr">
        <is>
          <t>选关表现替换</t>
        </is>
      </c>
      <c r="D7" s="40" t="inlineStr">
        <is>
          <t>UI-SCREEN-LEVEL-SELECT</t>
        </is>
      </c>
      <c r="E7" s="41" t="inlineStr">
        <is>
          <t>原弹窗改为平台锚定全息城市及专属镜头</t>
        </is>
      </c>
      <c r="F7" s="40" t="inlineStr">
        <is>
          <t>ID与出发携带物契约保持</t>
        </is>
      </c>
      <c r="G7" s="40" t="inlineStr">
        <is>
          <t>Codex</t>
        </is>
      </c>
    </row>
  </sheetData>
  <mergeCells count="2">
    <mergeCell ref="A3:G3"/>
    <mergeCell ref="A1:G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zh-CN</dc:language>
  <dcterms:created xmlns:dcterms="http://purl.org/dc/terms/" xmlns:xsi="http://www.w3.org/2001/XMLSchema-instance" xsi:type="dcterms:W3CDTF">2026-09-23T07:44:54Z</dcterms:created>
  <dcterms:modified xmlns:dcterms="http://purl.org/dc/terms/" xmlns:xsi="http://www.w3.org/2001/XMLSchema-instance" xsi:type="dcterms:W3CDTF">2026-09-29T00:52:50Z</dcterms:modified>
  <cp:revision>0</cp:revision>
</cp:coreProperties>
</file>