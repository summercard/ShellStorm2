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武器" sheetId="4" state="visible" r:id="rId4"/>
    <sheet xmlns:r="http://schemas.openxmlformats.org/officeDocument/2006/relationships" name="域变更日志" sheetId="5" state="visible" r:id="rId5"/>
  </sheets>
  <definedNames>
    <definedName name="_xlnm._FilterDatabase" localSheetId="2" hidden="1">'资产主表'!$A$5:$X$41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9">
    <font>
      <name val="Carlito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name val="Carlito"/>
      <b val="1"/>
      <color rgb="FF163246"/>
      <sz val="11"/>
    </font>
    <font>
      <name val="Carlito"/>
      <b val="1"/>
      <color rgb="FFF2C94C"/>
      <sz val="20"/>
    </font>
    <font>
      <name val="Carlito"/>
      <b val="1"/>
      <color rgb="FFFFFFFF"/>
      <sz val="11"/>
    </font>
    <font>
      <name val="Carlito"/>
      <color rgb="FF13202B"/>
      <sz val="9"/>
    </font>
    <font>
      <name val="Carlito"/>
      <b val="1"/>
      <color rgb="FF13202B"/>
      <sz val="11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Arial"/>
      <color rgb="FF13202B"/>
      <sz val="9"/>
    </font>
    <font>
      <name val="Arial"/>
      <b val="1"/>
      <color rgb="FF13202B"/>
      <sz val="11"/>
    </font>
    <font>
      <name val="Carlito"/>
      <b val="1"/>
      <color rgb="FFF2C94C"/>
      <sz val="11"/>
    </font>
    <font>
      <name val="Carlito"/>
      <b val="1"/>
      <color rgb="FF176C4A"/>
      <sz val="11"/>
    </font>
    <font>
      <name val="Carlito"/>
      <b val="1"/>
      <color rgb="FFFFFFFF"/>
      <sz val="14"/>
    </font>
    <font>
      <name val="Carlito"/>
      <b val="1"/>
      <color rgb="FF137333"/>
      <sz val="11"/>
    </font>
    <font>
      <name val="Carlito"/>
      <b val="1"/>
      <color rgb="FFD8F4FF"/>
      <sz val="11"/>
    </font>
    <font>
      <name val="Carlito"/>
      <i val="1"/>
      <color rgb="FFD8F4FF"/>
      <sz val="11"/>
    </font>
    <font>
      <name val="Carlito"/>
      <i val="1"/>
      <color rgb="FFE2F8FF"/>
      <sz val="11"/>
    </font>
    <font>
      <name val="Carlito"/>
      <color rgb="FF15383E"/>
      <sz val="11"/>
    </font>
    <font>
      <name val="Carlito"/>
      <b val="1"/>
      <color rgb="FF17563A"/>
      <sz val="11"/>
    </font>
    <font>
      <name val="Carlito"/>
      <b val="1"/>
      <color rgb="FF15383E"/>
      <sz val="1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name val="Carlito"/>
      <i val="1"/>
      <color rgb="FF334155"/>
      <sz val="11"/>
    </font>
    <font>
      <name val="Carlito"/>
      <b val="1"/>
      <color rgb="FF17324D"/>
      <sz val="11"/>
    </font>
    <font>
      <name val="Arial"/>
      <color rgb="FFFFFFFF"/>
      <sz val="11"/>
    </font>
    <font>
      <name val="Carlito"/>
      <color rgb="FF1F1F1F"/>
      <sz val="11"/>
    </font>
    <font>
      <b val="1"/>
    </font>
    <font>
      <b val="1"/>
      <color rgb="FF2E7D32"/>
      <sz val="11"/>
    </font>
    <font>
      <b val="1"/>
      <color rgb="FF17324D"/>
      <sz val="14"/>
    </font>
    <font>
      <i val="1"/>
      <color rgb="FF555555"/>
    </font>
    <font>
      <b val="1"/>
      <color rgb="FFFFFFFF"/>
    </font>
    <font>
      <b val="1"/>
      <color rgb="FF1565C0"/>
    </font>
  </fonts>
  <fills count="6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D9F3E8"/>
      </patternFill>
    </fill>
    <fill>
      <patternFill patternType="solid">
        <fgColor rgb="FF10212C"/>
      </patternFill>
    </fill>
    <fill>
      <patternFill patternType="solid">
        <fgColor rgb="FF10212C"/>
      </patternFill>
    </fill>
    <fill>
      <patternFill patternType="solid">
        <fgColor rgb="FFE2F3E7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246583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E2E8F0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FFF2CC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E3F2FD"/>
      </patternFill>
    </fill>
  </fills>
  <borders count="46">
    <border/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left style="medium">
        <color rgb="FF446170"/>
      </left>
      <right style="medium">
        <color rgb="FF446170"/>
      </right>
      <top style="medium">
        <color rgb="FF446170"/>
      </top>
      <bottom style="medium">
        <color rgb="FF446170"/>
      </bottom>
    </border>
    <border>
      <top style="medium">
        <color rgb="FF446170"/>
      </top>
    </border>
    <border>
      <right style="medium">
        <color rgb="FF446170"/>
      </right>
      <top style="medium">
        <color rgb="FF446170"/>
      </top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right style="thin">
        <color rgb="FFE5E7EB"/>
      </right>
      <bottom style="thin">
        <color rgb="FFD9E2F3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E5E7EB"/>
      </right>
      <bottom style="thin">
        <color rgb="FFD9E2F3"/>
      </bottom>
    </border>
    <border>
      <left style="thin">
        <color rgb="FFD9E2F3"/>
      </left>
      <right style="thin">
        <color rgb="FFE5E7EB"/>
      </right>
      <top style="thin">
        <color rgb="FFD9E2F3"/>
      </top>
      <bottom style="thin">
        <color rgb="FFD9E2F3"/>
      </bottom>
    </border>
    <border>
      <right style="thin">
        <color rgb="FFE5E7EB"/>
      </right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9FBAD0"/>
      </bottom>
    </border>
    <border>
      <left style="thin">
        <color rgb="FFE5E7EB"/>
      </left>
      <bottom style="thin">
        <color rgb="FF9FBAD0"/>
      </bottom>
    </border>
    <border>
      <right style="thin">
        <color rgb="FFE5E7EB"/>
      </right>
      <top style="thin">
        <color rgb="FFD9E2F3"/>
      </top>
    </border>
    <border>
      <left style="thin">
        <color rgb="FFE5E7EB"/>
      </left>
      <right style="thin">
        <color rgb="FFE5E7EB"/>
      </right>
      <top style="thin">
        <color rgb="FFD9E2F3"/>
      </top>
    </border>
    <border>
      <left style="thin">
        <color rgb="FFE5E7EB"/>
      </left>
      <top style="thin">
        <color rgb="FFD9E2F3"/>
      </top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E5E7EB"/>
      </right>
    </border>
    <border>
      <bottom style="thin">
        <color rgb="FFD9E2F3"/>
      </bottom>
    </border>
    <border>
      <right style="medium">
        <color rgb="FF446170"/>
      </right>
      <bottom style="medium">
        <color rgb="FF446170"/>
      </bottom>
    </border>
    <border>
      <right style="medium">
        <color rgb="FF446170"/>
      </right>
    </border>
    <border>
      <bottom style="medium">
        <color rgb="FF446170"/>
      </bottom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horizontal="center" wrapText="1"/>
    </xf>
    <xf numFmtId="0" fontId="5" fillId="5" borderId="2" applyAlignment="1" pivotButton="0" quotePrefix="0" xfId="0">
      <alignment horizontal="center" wrapText="1"/>
    </xf>
    <xf numFmtId="0" fontId="5" fillId="5" borderId="3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0" fillId="0" borderId="0" pivotButton="0" quotePrefix="0" xfId="0"/>
    <xf numFmtId="0" fontId="11" fillId="4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/>
    </xf>
    <xf numFmtId="0" fontId="14" fillId="0" borderId="5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17" fillId="7" borderId="0" pivotButton="0" quotePrefix="0" xfId="0"/>
    <xf numFmtId="0" fontId="17" fillId="7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8" fillId="8" borderId="0" applyAlignment="1" pivotButton="0" quotePrefix="0" xfId="0">
      <alignment wrapText="1"/>
    </xf>
    <xf numFmtId="0" fontId="18" fillId="8" borderId="0" pivotButton="0" quotePrefix="0" xfId="0"/>
    <xf numFmtId="0" fontId="18" fillId="8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10" borderId="0" pivotButton="0" quotePrefix="0" xfId="0"/>
    <xf numFmtId="0" fontId="19" fillId="10" borderId="0" pivotButton="0" quotePrefix="0" xfId="0"/>
    <xf numFmtId="0" fontId="0" fillId="11" borderId="0" pivotButton="0" quotePrefix="0" xfId="0"/>
    <xf numFmtId="0" fontId="20" fillId="11" borderId="0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21" fillId="13" borderId="0" pivotButton="0" quotePrefix="0" xfId="0"/>
    <xf numFmtId="0" fontId="21" fillId="13" borderId="0" applyAlignment="1" pivotButton="0" quotePrefix="0" xfId="0">
      <alignment wrapText="1"/>
    </xf>
    <xf numFmtId="0" fontId="20" fillId="14" borderId="0" pivotButton="0" quotePrefix="0" xfId="0"/>
    <xf numFmtId="0" fontId="5" fillId="15" borderId="0" pivotButton="0" quotePrefix="0" xfId="0"/>
    <xf numFmtId="0" fontId="21" fillId="16" borderId="0" applyAlignment="1" pivotButton="0" quotePrefix="0" xfId="0">
      <alignment wrapText="1"/>
    </xf>
    <xf numFmtId="0" fontId="0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5" fillId="18" borderId="0" pivotButton="0" quotePrefix="0" xfId="0"/>
    <xf numFmtId="0" fontId="20" fillId="17" borderId="0" applyAlignment="1" pivotButton="0" quotePrefix="0" xfId="0">
      <alignment wrapText="1"/>
    </xf>
    <xf numFmtId="0" fontId="5" fillId="18" borderId="0" applyAlignment="1" pivotButton="0" quotePrefix="0" xfId="0">
      <alignment wrapText="1"/>
    </xf>
    <xf numFmtId="0" fontId="0" fillId="19" borderId="0" pivotButton="0" quotePrefix="0" xfId="0"/>
    <xf numFmtId="0" fontId="22" fillId="19" borderId="0" pivotButton="0" quotePrefix="0" xfId="0"/>
    <xf numFmtId="0" fontId="22" fillId="19" borderId="0" applyAlignment="1" pivotButton="0" quotePrefix="0" xfId="0">
      <alignment wrapText="1"/>
    </xf>
    <xf numFmtId="0" fontId="20" fillId="20" borderId="0" applyAlignment="1" pivotButton="0" quotePrefix="0" xfId="0">
      <alignment wrapText="1"/>
    </xf>
    <xf numFmtId="0" fontId="5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8" fillId="8" borderId="0" applyAlignment="1" pivotButton="0" quotePrefix="0" xfId="0">
      <alignment vertical="center" wrapText="1"/>
    </xf>
    <xf numFmtId="0" fontId="20" fillId="11" borderId="0" applyAlignment="1" pivotButton="0" quotePrefix="0" xfId="0">
      <alignment wrapText="1"/>
    </xf>
    <xf numFmtId="0" fontId="5" fillId="12" borderId="0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23" borderId="0" pivotButton="0" quotePrefix="0" xfId="0"/>
    <xf numFmtId="0" fontId="5" fillId="23" borderId="0" pivotButton="0" quotePrefix="0" xfId="0"/>
    <xf numFmtId="0" fontId="5" fillId="23" borderId="0" applyAlignment="1" pivotButton="0" quotePrefix="0" xfId="0">
      <alignment horizontal="center"/>
    </xf>
    <xf numFmtId="0" fontId="5" fillId="23" borderId="0" applyAlignment="1" pivotButton="0" quotePrefix="0" xfId="0">
      <alignment horizontal="center" vertical="center"/>
    </xf>
    <xf numFmtId="0" fontId="0" fillId="24" borderId="0" pivotButton="0" quotePrefix="0" xfId="0"/>
    <xf numFmtId="0" fontId="23" fillId="24" borderId="0" pivotButton="0" quotePrefix="0" xfId="0"/>
    <xf numFmtId="0" fontId="23" fillId="24" borderId="6" pivotButton="0" quotePrefix="0" xfId="0"/>
    <xf numFmtId="0" fontId="23" fillId="24" borderId="6" applyAlignment="1" pivotButton="0" quotePrefix="0" xfId="0">
      <alignment wrapText="1"/>
    </xf>
    <xf numFmtId="0" fontId="23" fillId="24" borderId="6" applyAlignment="1" pivotButton="0" quotePrefix="0" xfId="0">
      <alignment vertical="center" wrapText="1"/>
    </xf>
    <xf numFmtId="0" fontId="23" fillId="25" borderId="6" applyAlignment="1" pivotButton="0" quotePrefix="0" xfId="0">
      <alignment vertical="center" wrapText="1"/>
    </xf>
    <xf numFmtId="0" fontId="24" fillId="25" borderId="6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4" fillId="26" borderId="7" applyAlignment="1" pivotButton="0" quotePrefix="0" xfId="0">
      <alignment vertical="center" wrapText="1"/>
    </xf>
    <xf numFmtId="0" fontId="23" fillId="26" borderId="6" applyAlignment="1" pivotButton="0" quotePrefix="0" xfId="0">
      <alignment vertical="center" wrapText="1"/>
    </xf>
    <xf numFmtId="0" fontId="25" fillId="26" borderId="7" applyAlignment="1" pivotButton="0" quotePrefix="0" xfId="0">
      <alignment vertical="center" wrapText="1"/>
    </xf>
    <xf numFmtId="0" fontId="25" fillId="26" borderId="6" applyAlignment="1" pivotButton="0" quotePrefix="0" xfId="0">
      <alignment vertical="center" wrapText="1"/>
    </xf>
    <xf numFmtId="0" fontId="25" fillId="27" borderId="6" applyAlignment="1" pivotButton="0" quotePrefix="0" xfId="0">
      <alignment vertical="center" wrapText="1"/>
    </xf>
    <xf numFmtId="0" fontId="24" fillId="27" borderId="6" applyAlignment="1" pivotButton="0" quotePrefix="0" xfId="0">
      <alignment vertical="center" wrapText="1"/>
    </xf>
    <xf numFmtId="0" fontId="24" fillId="27" borderId="7" applyAlignment="1" pivotButton="0" quotePrefix="0" xfId="0">
      <alignment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164" fontId="6" fillId="0" borderId="5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5" fontId="23" fillId="26" borderId="6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6" fillId="0" borderId="5" applyAlignment="1" pivotButton="0" quotePrefix="0" xfId="0">
      <alignment vertical="top" wrapText="1"/>
    </xf>
    <xf numFmtId="0" fontId="0" fillId="28" borderId="0" pivotButton="0" quotePrefix="0" xfId="0"/>
    <xf numFmtId="0" fontId="26" fillId="28" borderId="0" pivotButton="0" quotePrefix="0" xfId="0"/>
    <xf numFmtId="0" fontId="26" fillId="28" borderId="0" applyAlignment="1" pivotButton="0" quotePrefix="0" xfId="0">
      <alignment vertical="center"/>
    </xf>
    <xf numFmtId="0" fontId="0" fillId="29" borderId="0" pivotButton="0" quotePrefix="0" xfId="0"/>
    <xf numFmtId="0" fontId="27" fillId="29" borderId="0" pivotButton="0" quotePrefix="0" xfId="0"/>
    <xf numFmtId="0" fontId="27" fillId="29" borderId="0" applyAlignment="1" pivotButton="0" quotePrefix="0" xfId="0">
      <alignment wrapText="1"/>
    </xf>
    <xf numFmtId="0" fontId="27" fillId="29" borderId="0" applyAlignment="1" pivotButton="0" quotePrefix="0" xfId="0">
      <alignment vertical="center" wrapText="1"/>
    </xf>
    <xf numFmtId="0" fontId="0" fillId="30" borderId="0" pivotButton="0" quotePrefix="0" xfId="0"/>
    <xf numFmtId="0" fontId="5" fillId="30" borderId="0" pivotButton="0" quotePrefix="0" xfId="0"/>
    <xf numFmtId="0" fontId="5" fillId="30" borderId="11" pivotButton="0" quotePrefix="0" xfId="0"/>
    <xf numFmtId="0" fontId="5" fillId="30" borderId="12" pivotButton="0" quotePrefix="0" xfId="0"/>
    <xf numFmtId="0" fontId="5" fillId="30" borderId="13" pivotButton="0" quotePrefix="0" xfId="0"/>
    <xf numFmtId="0" fontId="5" fillId="30" borderId="11" applyAlignment="1" pivotButton="0" quotePrefix="0" xfId="0">
      <alignment wrapText="1"/>
    </xf>
    <xf numFmtId="0" fontId="5" fillId="30" borderId="12" applyAlignment="1" pivotButton="0" quotePrefix="0" xfId="0">
      <alignment wrapText="1"/>
    </xf>
    <xf numFmtId="0" fontId="5" fillId="30" borderId="13" applyAlignment="1" pivotButton="0" quotePrefix="0" xfId="0">
      <alignment wrapText="1"/>
    </xf>
    <xf numFmtId="0" fontId="5" fillId="30" borderId="11" applyAlignment="1" pivotButton="0" quotePrefix="0" xfId="0">
      <alignment horizontal="center" wrapText="1"/>
    </xf>
    <xf numFmtId="0" fontId="5" fillId="30" borderId="12" applyAlignment="1" pivotButton="0" quotePrefix="0" xfId="0">
      <alignment horizontal="center" wrapText="1"/>
    </xf>
    <xf numFmtId="0" fontId="5" fillId="30" borderId="13" applyAlignment="1" pivotButton="0" quotePrefix="0" xfId="0">
      <alignment horizontal="center" wrapText="1"/>
    </xf>
    <xf numFmtId="0" fontId="5" fillId="30" borderId="11" applyAlignment="1" pivotButton="0" quotePrefix="0" xfId="0">
      <alignment horizontal="center" vertical="center" wrapText="1"/>
    </xf>
    <xf numFmtId="0" fontId="5" fillId="30" borderId="12" applyAlignment="1" pivotButton="0" quotePrefix="0" xfId="0">
      <alignment horizontal="center" vertical="center" wrapText="1"/>
    </xf>
    <xf numFmtId="0" fontId="5" fillId="30" borderId="13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14" pivotButton="0" quotePrefix="0" xfId="0"/>
    <xf numFmtId="0" fontId="28" fillId="0" borderId="15" pivotButton="0" quotePrefix="0" xfId="0"/>
    <xf numFmtId="0" fontId="28" fillId="0" borderId="16" pivotButton="0" quotePrefix="0" xfId="0"/>
    <xf numFmtId="0" fontId="28" fillId="0" borderId="17" pivotButton="0" quotePrefix="0" xfId="0"/>
    <xf numFmtId="0" fontId="28" fillId="0" borderId="18" pivotButton="0" quotePrefix="0" xfId="0"/>
    <xf numFmtId="0" fontId="28" fillId="0" borderId="19" pivotButton="0" quotePrefix="0" xfId="0"/>
    <xf numFmtId="0" fontId="28" fillId="0" borderId="20" pivotButton="0" quotePrefix="0" xfId="0"/>
    <xf numFmtId="0" fontId="28" fillId="0" borderId="21" pivotButton="0" quotePrefix="0" xfId="0"/>
    <xf numFmtId="0" fontId="28" fillId="0" borderId="22" pivotButton="0" quotePrefix="0" xfId="0"/>
    <xf numFmtId="0" fontId="28" fillId="0" borderId="14" applyAlignment="1" pivotButton="0" quotePrefix="0" xfId="0">
      <alignment wrapText="1"/>
    </xf>
    <xf numFmtId="0" fontId="28" fillId="0" borderId="15" applyAlignment="1" pivotButton="0" quotePrefix="0" xfId="0">
      <alignment wrapText="1"/>
    </xf>
    <xf numFmtId="0" fontId="28" fillId="0" borderId="16" applyAlignment="1" pivotButton="0" quotePrefix="0" xfId="0">
      <alignment wrapText="1"/>
    </xf>
    <xf numFmtId="0" fontId="28" fillId="0" borderId="17" applyAlignment="1" pivotButton="0" quotePrefix="0" xfId="0">
      <alignment wrapText="1"/>
    </xf>
    <xf numFmtId="0" fontId="28" fillId="0" borderId="18" applyAlignment="1" pivotButton="0" quotePrefix="0" xfId="0">
      <alignment wrapText="1"/>
    </xf>
    <xf numFmtId="0" fontId="28" fillId="0" borderId="19" applyAlignment="1" pivotButton="0" quotePrefix="0" xfId="0">
      <alignment wrapText="1"/>
    </xf>
    <xf numFmtId="0" fontId="28" fillId="0" borderId="20" applyAlignment="1" pivotButton="0" quotePrefix="0" xfId="0">
      <alignment wrapText="1"/>
    </xf>
    <xf numFmtId="0" fontId="28" fillId="0" borderId="21" applyAlignment="1" pivotButton="0" quotePrefix="0" xfId="0">
      <alignment wrapText="1"/>
    </xf>
    <xf numFmtId="0" fontId="28" fillId="0" borderId="22" applyAlignment="1" pivotButton="0" quotePrefix="0" xfId="0">
      <alignment wrapText="1"/>
    </xf>
    <xf numFmtId="0" fontId="28" fillId="0" borderId="14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0" borderId="17" applyAlignment="1" pivotButton="0" quotePrefix="0" xfId="0">
      <alignment vertical="top" wrapText="1"/>
    </xf>
    <xf numFmtId="0" fontId="28" fillId="0" borderId="18" applyAlignment="1" pivotButton="0" quotePrefix="0" xfId="0">
      <alignment vertical="top" wrapText="1"/>
    </xf>
    <xf numFmtId="0" fontId="28" fillId="0" borderId="19" applyAlignment="1" pivotButton="0" quotePrefix="0" xfId="0">
      <alignment vertical="top" wrapText="1"/>
    </xf>
    <xf numFmtId="0" fontId="28" fillId="0" borderId="20" applyAlignment="1" pivotButton="0" quotePrefix="0" xfId="0">
      <alignment vertical="top" wrapText="1"/>
    </xf>
    <xf numFmtId="0" fontId="28" fillId="0" borderId="21" applyAlignment="1" pivotButton="0" quotePrefix="0" xfId="0">
      <alignment vertical="top" wrapText="1"/>
    </xf>
    <xf numFmtId="0" fontId="28" fillId="0" borderId="22" applyAlignment="1" pivotButton="0" quotePrefix="0" xfId="0">
      <alignment vertical="top" wrapText="1"/>
    </xf>
    <xf numFmtId="0" fontId="28" fillId="0" borderId="23" applyAlignment="1" pivotButton="0" quotePrefix="0" xfId="0">
      <alignment vertical="top" wrapText="1"/>
    </xf>
    <xf numFmtId="0" fontId="28" fillId="0" borderId="24" applyAlignment="1" pivotButton="0" quotePrefix="0" xfId="0">
      <alignment vertical="top" wrapText="1"/>
    </xf>
    <xf numFmtId="0" fontId="28" fillId="0" borderId="25" applyAlignment="1" pivotButton="0" quotePrefix="0" xfId="0">
      <alignment vertical="top" wrapText="1"/>
    </xf>
    <xf numFmtId="0" fontId="28" fillId="0" borderId="26" applyAlignment="1" pivotButton="0" quotePrefix="0" xfId="0">
      <alignment vertical="top" wrapText="1"/>
    </xf>
    <xf numFmtId="0" fontId="28" fillId="0" borderId="27" applyAlignment="1" pivotButton="0" quotePrefix="0" xfId="0">
      <alignment vertical="top" wrapText="1"/>
    </xf>
    <xf numFmtId="0" fontId="28" fillId="0" borderId="28" applyAlignment="1" pivotButton="0" quotePrefix="0" xfId="0">
      <alignment vertical="top" wrapText="1"/>
    </xf>
    <xf numFmtId="0" fontId="28" fillId="0" borderId="29" applyAlignment="1" pivotButton="0" quotePrefix="0" xfId="0">
      <alignment vertical="top" wrapText="1"/>
    </xf>
    <xf numFmtId="0" fontId="28" fillId="0" borderId="30" applyAlignment="1" pivotButton="0" quotePrefix="0" xfId="0">
      <alignment vertical="top" wrapText="1"/>
    </xf>
    <xf numFmtId="0" fontId="28" fillId="0" borderId="31" applyAlignment="1" pivotButton="0" quotePrefix="0" xfId="0">
      <alignment vertical="top" wrapText="1"/>
    </xf>
    <xf numFmtId="0" fontId="26" fillId="31" borderId="0" applyAlignment="1" pivotButton="0" quotePrefix="0" xfId="0">
      <alignment vertical="center"/>
    </xf>
    <xf numFmtId="0" fontId="27" fillId="32" borderId="0" applyAlignment="1" pivotButton="0" quotePrefix="0" xfId="0">
      <alignment vertical="center" wrapText="1"/>
    </xf>
    <xf numFmtId="0" fontId="5" fillId="33" borderId="11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 vertical="center" wrapText="1"/>
    </xf>
    <xf numFmtId="0" fontId="5" fillId="33" borderId="13" applyAlignment="1" pivotButton="0" quotePrefix="0" xfId="0">
      <alignment horizontal="center" vertical="center" wrapText="1"/>
    </xf>
    <xf numFmtId="0" fontId="28" fillId="0" borderId="32" applyAlignment="1" pivotButton="0" quotePrefix="0" xfId="0">
      <alignment vertical="top" wrapText="1"/>
    </xf>
    <xf numFmtId="0" fontId="28" fillId="0" borderId="33" applyAlignment="1" pivotButton="0" quotePrefix="0" xfId="0">
      <alignment vertical="top" wrapText="1"/>
    </xf>
    <xf numFmtId="0" fontId="26" fillId="34" borderId="0" applyAlignment="1" pivotButton="0" quotePrefix="0" xfId="0">
      <alignment vertical="center"/>
    </xf>
    <xf numFmtId="0" fontId="0" fillId="34" borderId="0" pivotButton="0" quotePrefix="0" xfId="0"/>
    <xf numFmtId="0" fontId="26" fillId="34" borderId="0" pivotButton="0" quotePrefix="0" xfId="0"/>
    <xf numFmtId="0" fontId="27" fillId="35" borderId="0" applyAlignment="1" pivotButton="0" quotePrefix="0" xfId="0">
      <alignment vertical="center" wrapText="1"/>
    </xf>
    <xf numFmtId="0" fontId="0" fillId="35" borderId="0" pivotButton="0" quotePrefix="0" xfId="0"/>
    <xf numFmtId="0" fontId="27" fillId="35" borderId="0" pivotButton="0" quotePrefix="0" xfId="0"/>
    <xf numFmtId="0" fontId="27" fillId="35" borderId="0" applyAlignment="1" pivotButton="0" quotePrefix="0" xfId="0">
      <alignment wrapText="1"/>
    </xf>
    <xf numFmtId="0" fontId="5" fillId="36" borderId="11" applyAlignment="1" pivotButton="0" quotePrefix="0" xfId="0">
      <alignment horizontal="center" vertical="center" wrapText="1"/>
    </xf>
    <xf numFmtId="0" fontId="5" fillId="36" borderId="12" applyAlignment="1" pivotButton="0" quotePrefix="0" xfId="0">
      <alignment horizontal="center" vertical="center" wrapText="1"/>
    </xf>
    <xf numFmtId="0" fontId="5" fillId="36" borderId="13" applyAlignment="1" pivotButton="0" quotePrefix="0" xfId="0">
      <alignment horizontal="center" vertical="center" wrapText="1"/>
    </xf>
    <xf numFmtId="0" fontId="0" fillId="36" borderId="0" pivotButton="0" quotePrefix="0" xfId="0"/>
    <xf numFmtId="0" fontId="5" fillId="36" borderId="0" pivotButton="0" quotePrefix="0" xfId="0"/>
    <xf numFmtId="0" fontId="5" fillId="36" borderId="13" pivotButton="0" quotePrefix="0" xfId="0"/>
    <xf numFmtId="0" fontId="5" fillId="36" borderId="13" applyAlignment="1" pivotButton="0" quotePrefix="0" xfId="0">
      <alignment wrapText="1"/>
    </xf>
    <xf numFmtId="0" fontId="5" fillId="36" borderId="13" applyAlignment="1" pivotButton="0" quotePrefix="0" xfId="0">
      <alignment horizontal="center" wrapText="1"/>
    </xf>
    <xf numFmtId="0" fontId="28" fillId="0" borderId="32" pivotButton="0" quotePrefix="0" xfId="0"/>
    <xf numFmtId="0" fontId="28" fillId="0" borderId="33" pivotButton="0" quotePrefix="0" xfId="0"/>
    <xf numFmtId="0" fontId="28" fillId="0" borderId="32" applyAlignment="1" pivotButton="0" quotePrefix="0" xfId="0">
      <alignment wrapText="1"/>
    </xf>
    <xf numFmtId="0" fontId="28" fillId="0" borderId="33" applyAlignment="1" pivotButton="0" quotePrefix="0" xfId="0">
      <alignment wrapText="1"/>
    </xf>
    <xf numFmtId="0" fontId="5" fillId="34" borderId="0" pivotButton="0" quotePrefix="0" xfId="0"/>
    <xf numFmtId="0" fontId="5" fillId="34" borderId="0" applyAlignment="1" pivotButton="0" quotePrefix="0" xfId="0">
      <alignment horizontal="center"/>
    </xf>
    <xf numFmtId="0" fontId="5" fillId="36" borderId="0" applyAlignment="1" pivotButton="0" quotePrefix="0" xfId="0">
      <alignment horizontal="center"/>
    </xf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37" borderId="0" pivotButton="0" quotePrefix="0" xfId="0"/>
    <xf numFmtId="0" fontId="26" fillId="37" borderId="0" pivotButton="0" quotePrefix="0" xfId="0"/>
    <xf numFmtId="0" fontId="26" fillId="37" borderId="0" applyAlignment="1" pivotButton="0" quotePrefix="0" xfId="0">
      <alignment vertical="center"/>
    </xf>
    <xf numFmtId="0" fontId="0" fillId="38" borderId="0" pivotButton="0" quotePrefix="0" xfId="0"/>
    <xf numFmtId="0" fontId="27" fillId="38" borderId="0" pivotButton="0" quotePrefix="0" xfId="0"/>
    <xf numFmtId="0" fontId="27" fillId="38" borderId="0" applyAlignment="1" pivotButton="0" quotePrefix="0" xfId="0">
      <alignment wrapText="1"/>
    </xf>
    <xf numFmtId="0" fontId="27" fillId="38" borderId="0" applyAlignment="1" pivotButton="0" quotePrefix="0" xfId="0">
      <alignment vertical="center" wrapText="1"/>
    </xf>
    <xf numFmtId="0" fontId="0" fillId="39" borderId="0" pivotButton="0" quotePrefix="0" xfId="0"/>
    <xf numFmtId="0" fontId="5" fillId="39" borderId="0" pivotButton="0" quotePrefix="0" xfId="0"/>
    <xf numFmtId="0" fontId="5" fillId="39" borderId="11" pivotButton="0" quotePrefix="0" xfId="0"/>
    <xf numFmtId="0" fontId="5" fillId="39" borderId="12" pivotButton="0" quotePrefix="0" xfId="0"/>
    <xf numFmtId="0" fontId="5" fillId="39" borderId="13" pivotButton="0" quotePrefix="0" xfId="0"/>
    <xf numFmtId="0" fontId="5" fillId="39" borderId="11" applyAlignment="1" pivotButton="0" quotePrefix="0" xfId="0">
      <alignment wrapText="1"/>
    </xf>
    <xf numFmtId="0" fontId="5" fillId="39" borderId="12" applyAlignment="1" pivotButton="0" quotePrefix="0" xfId="0">
      <alignment wrapText="1"/>
    </xf>
    <xf numFmtId="0" fontId="5" fillId="39" borderId="13" applyAlignment="1" pivotButton="0" quotePrefix="0" xfId="0">
      <alignment wrapText="1"/>
    </xf>
    <xf numFmtId="0" fontId="5" fillId="39" borderId="11" applyAlignment="1" pivotButton="0" quotePrefix="0" xfId="0">
      <alignment horizontal="center" wrapText="1"/>
    </xf>
    <xf numFmtId="0" fontId="5" fillId="39" borderId="12" applyAlignment="1" pivotButton="0" quotePrefix="0" xfId="0">
      <alignment horizontal="center" wrapText="1"/>
    </xf>
    <xf numFmtId="0" fontId="5" fillId="39" borderId="13" applyAlignment="1" pivotButton="0" quotePrefix="0" xfId="0">
      <alignment horizontal="center" wrapText="1"/>
    </xf>
    <xf numFmtId="0" fontId="5" fillId="39" borderId="11" applyAlignment="1" pivotButton="0" quotePrefix="0" xfId="0">
      <alignment horizontal="center" vertical="center" wrapText="1"/>
    </xf>
    <xf numFmtId="0" fontId="5" fillId="39" borderId="12" applyAlignment="1" pivotButton="0" quotePrefix="0" xfId="0">
      <alignment horizontal="center" vertical="center" wrapText="1"/>
    </xf>
    <xf numFmtId="0" fontId="5" fillId="39" borderId="13" applyAlignment="1" pivotButton="0" quotePrefix="0" xfId="0">
      <alignment horizontal="center" vertical="center" wrapText="1"/>
    </xf>
    <xf numFmtId="0" fontId="28" fillId="0" borderId="0" applyAlignment="1" pivotButton="0" quotePrefix="0" xfId="0">
      <alignment wrapText="1"/>
    </xf>
    <xf numFmtId="0" fontId="28" fillId="0" borderId="0" applyAlignment="1" pivotButton="0" quotePrefix="0" xfId="0">
      <alignment vertical="top" wrapText="1"/>
    </xf>
    <xf numFmtId="0" fontId="28" fillId="0" borderId="34" applyAlignment="1" pivotButton="0" quotePrefix="0" xfId="0">
      <alignment vertical="top" wrapText="1"/>
    </xf>
    <xf numFmtId="0" fontId="28" fillId="0" borderId="35" applyAlignment="1" pivotButton="0" quotePrefix="0" xfId="0">
      <alignment vertical="top" wrapText="1"/>
    </xf>
    <xf numFmtId="0" fontId="28" fillId="0" borderId="36" applyAlignment="1" pivotButton="0" quotePrefix="0" xfId="0">
      <alignment vertical="top" wrapText="1"/>
    </xf>
    <xf numFmtId="0" fontId="29" fillId="38" borderId="0" pivotButton="0" quotePrefix="0" xfId="0"/>
    <xf numFmtId="0" fontId="29" fillId="38" borderId="0" applyAlignment="1" pivotButton="0" quotePrefix="0" xfId="0">
      <alignment wrapText="1"/>
    </xf>
    <xf numFmtId="0" fontId="29" fillId="38" borderId="0" applyAlignment="1" pivotButton="0" quotePrefix="0" xfId="0">
      <alignment vertical="center" wrapText="1"/>
    </xf>
    <xf numFmtId="0" fontId="5" fillId="39" borderId="0" applyAlignment="1" pivotButton="0" quotePrefix="0" xfId="0">
      <alignment horizontal="center"/>
    </xf>
    <xf numFmtId="0" fontId="5" fillId="3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40" borderId="29" pivotButton="0" quotePrefix="0" xfId="0"/>
    <xf numFmtId="0" fontId="0" fillId="40" borderId="30" pivotButton="0" quotePrefix="0" xfId="0"/>
    <xf numFmtId="0" fontId="0" fillId="40" borderId="31" pivotButton="0" quotePrefix="0" xfId="0"/>
    <xf numFmtId="0" fontId="30" fillId="40" borderId="29" pivotButton="0" quotePrefix="0" xfId="0"/>
    <xf numFmtId="0" fontId="30" fillId="40" borderId="30" pivotButton="0" quotePrefix="0" xfId="0"/>
    <xf numFmtId="0" fontId="30" fillId="40" borderId="31" pivotButton="0" quotePrefix="0" xfId="0"/>
    <xf numFmtId="0" fontId="5" fillId="37" borderId="0" pivotButton="0" quotePrefix="0" xfId="0"/>
    <xf numFmtId="0" fontId="5" fillId="37" borderId="0" applyAlignment="1" pivotButton="0" quotePrefix="0" xfId="0">
      <alignment horizontal="center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3" fillId="24" borderId="6" applyAlignment="1" pivotButton="0" quotePrefix="0" xfId="0">
      <alignment vertical="center" wrapText="1"/>
    </xf>
    <xf numFmtId="165" fontId="23" fillId="24" borderId="6" applyAlignment="1" pivotButton="0" quotePrefix="0" xfId="0">
      <alignment vertical="center" wrapText="1"/>
    </xf>
    <xf numFmtId="0" fontId="26" fillId="28" borderId="0" applyAlignment="1" pivotButton="0" quotePrefix="0" xfId="0">
      <alignment vertical="center" wrapText="1"/>
    </xf>
    <xf numFmtId="0" fontId="29" fillId="29" borderId="0" applyAlignment="1" pivotButton="0" quotePrefix="0" xfId="0">
      <alignment vertical="center" wrapText="1"/>
    </xf>
    <xf numFmtId="0" fontId="5" fillId="30" borderId="0" applyAlignment="1" pivotButton="0" quotePrefix="0" xfId="0">
      <alignment horizontal="center" vertical="center" wrapText="1"/>
    </xf>
    <xf numFmtId="0" fontId="30" fillId="40" borderId="29" applyAlignment="1" pivotButton="0" quotePrefix="0" xfId="0">
      <alignment wrapText="1"/>
    </xf>
    <xf numFmtId="0" fontId="30" fillId="40" borderId="30" applyAlignment="1" pivotButton="0" quotePrefix="0" xfId="0">
      <alignment wrapText="1"/>
    </xf>
    <xf numFmtId="0" fontId="30" fillId="40" borderId="31" applyAlignment="1" pivotButton="0" quotePrefix="0" xfId="0">
      <alignment wrapText="1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1" fillId="4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 wrapText="1"/>
    </xf>
    <xf numFmtId="0" fontId="14" fillId="0" borderId="5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0" fontId="0" fillId="41" borderId="0" pivotButton="0" quotePrefix="0" xfId="0"/>
    <xf numFmtId="0" fontId="26" fillId="41" borderId="0" pivotButton="0" quotePrefix="0" xfId="0"/>
    <xf numFmtId="0" fontId="26" fillId="41" borderId="0" pivotButton="0" quotePrefix="0" xfId="0"/>
    <xf numFmtId="0" fontId="0" fillId="42" borderId="0" pivotButton="0" quotePrefix="0" xfId="0"/>
    <xf numFmtId="0" fontId="27" fillId="42" borderId="0" pivotButton="0" quotePrefix="0" xfId="0"/>
    <xf numFmtId="0" fontId="27" fillId="42" borderId="0" applyAlignment="1" pivotButton="0" quotePrefix="0" xfId="0">
      <alignment wrapText="1"/>
    </xf>
    <xf numFmtId="0" fontId="0" fillId="43" borderId="0" pivotButton="0" quotePrefix="0" xfId="0"/>
    <xf numFmtId="0" fontId="5" fillId="43" borderId="0" pivotButton="0" quotePrefix="0" xfId="0"/>
    <xf numFmtId="0" fontId="5" fillId="43" borderId="40" pivotButton="0" quotePrefix="0" xfId="0"/>
    <xf numFmtId="0" fontId="5" fillId="43" borderId="40" applyAlignment="1" pivotButton="0" quotePrefix="0" xfId="0">
      <alignment wrapText="1"/>
    </xf>
    <xf numFmtId="0" fontId="5" fillId="43" borderId="40" applyAlignment="1" pivotButton="0" quotePrefix="0" xfId="0">
      <alignment horizontal="center" wrapText="1"/>
    </xf>
    <xf numFmtId="0" fontId="5" fillId="43" borderId="40" applyAlignment="1" pivotButton="0" quotePrefix="0" xfId="0">
      <alignment horizontal="center" vertical="center" wrapText="1"/>
    </xf>
    <xf numFmtId="0" fontId="28" fillId="0" borderId="18" applyAlignment="1" pivotButton="0" quotePrefix="0" xfId="0">
      <alignment vertical="center" wrapText="1"/>
    </xf>
    <xf numFmtId="164" fontId="28" fillId="0" borderId="18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0" fillId="0" borderId="0" pivotButton="0" quotePrefix="0" xfId="0"/>
    <xf numFmtId="0" fontId="10" fillId="44" borderId="0" pivotButton="0" quotePrefix="0" xfId="0"/>
    <xf numFmtId="0" fontId="31" fillId="44" borderId="0" pivotButton="0" quotePrefix="0" xfId="0"/>
    <xf numFmtId="0" fontId="10" fillId="0" borderId="0" applyAlignment="1" pivotButton="0" quotePrefix="0" xfId="0">
      <alignment wrapText="1"/>
    </xf>
    <xf numFmtId="0" fontId="31" fillId="45" borderId="0" pivotButton="0" quotePrefix="0" xfId="0"/>
    <xf numFmtId="0" fontId="31" fillId="46" borderId="0" pivotButton="0" quotePrefix="0" xfId="0"/>
    <xf numFmtId="0" fontId="31" fillId="47" borderId="0" pivotButton="0" quotePrefix="0" xfId="0"/>
    <xf numFmtId="0" fontId="31" fillId="48" borderId="0" pivotButton="0" quotePrefix="0" xfId="0"/>
    <xf numFmtId="0" fontId="31" fillId="49" borderId="0" pivotButton="0" quotePrefix="0" xfId="0"/>
    <xf numFmtId="0" fontId="31" fillId="50" borderId="0" pivotButton="0" quotePrefix="0" xfId="0"/>
    <xf numFmtId="0" fontId="31" fillId="51" borderId="0" pivotButton="0" quotePrefix="0" xfId="0"/>
    <xf numFmtId="0" fontId="31" fillId="52" borderId="0" pivotButton="0" quotePrefix="0" xfId="0"/>
    <xf numFmtId="0" fontId="31" fillId="53" borderId="0" pivotButton="0" quotePrefix="0" xfId="0"/>
    <xf numFmtId="0" fontId="0" fillId="0" borderId="0" applyAlignment="1" pivotButton="0" quotePrefix="0" xfId="0">
      <alignment vertical="center" wrapText="1"/>
    </xf>
    <xf numFmtId="0" fontId="31" fillId="54" borderId="0" pivotButton="0" quotePrefix="0" xfId="0"/>
    <xf numFmtId="0" fontId="0" fillId="55" borderId="0" applyAlignment="1" pivotButton="0" quotePrefix="0" xfId="0">
      <alignment vertical="center" wrapText="1"/>
    </xf>
    <xf numFmtId="0" fontId="0" fillId="55" borderId="0" applyAlignment="1" pivotButton="0" quotePrefix="0" xfId="0">
      <alignment wrapText="1"/>
    </xf>
    <xf numFmtId="0" fontId="32" fillId="55" borderId="0" applyAlignment="1" pivotButton="0" quotePrefix="0" xfId="0">
      <alignment vertical="center" wrapText="1"/>
    </xf>
    <xf numFmtId="0" fontId="32" fillId="55" borderId="0" applyAlignment="1" pivotButton="0" quotePrefix="0" xfId="0">
      <alignment wrapText="1"/>
    </xf>
    <xf numFmtId="0" fontId="31" fillId="56" borderId="0" pivotButton="0" quotePrefix="0" xfId="0"/>
    <xf numFmtId="0" fontId="31" fillId="57" borderId="0" pivotButton="0" quotePrefix="0" xfId="0"/>
    <xf numFmtId="0" fontId="31" fillId="58" borderId="0" pivotButton="0" quotePrefix="0" xfId="0"/>
    <xf numFmtId="0" fontId="31" fillId="59" borderId="0" pivotButton="0" quotePrefix="0" xfId="0"/>
    <xf numFmtId="0" fontId="3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5" fillId="37" borderId="0" applyAlignment="1" pivotButton="0" quotePrefix="0" xfId="0">
      <alignment horizontal="center" vertical="center"/>
    </xf>
    <xf numFmtId="0" fontId="36" fillId="38" borderId="0" applyAlignment="1" pivotButton="0" quotePrefix="0" xfId="0">
      <alignment vertical="top" wrapText="1"/>
    </xf>
    <xf numFmtId="0" fontId="37" fillId="61" borderId="11" applyAlignment="1" pivotButton="0" quotePrefix="0" xfId="0">
      <alignment horizontal="center"/>
    </xf>
    <xf numFmtId="0" fontId="37" fillId="61" borderId="12" applyAlignment="1" pivotButton="0" quotePrefix="0" xfId="0">
      <alignment horizontal="center"/>
    </xf>
    <xf numFmtId="0" fontId="37" fillId="61" borderId="13" applyAlignment="1" pivotButton="0" quotePrefix="0" xfId="0">
      <alignment horizontal="center"/>
    </xf>
    <xf numFmtId="0" fontId="34" fillId="60" borderId="23" applyAlignment="1" pivotButton="0" quotePrefix="0" xfId="0">
      <alignment vertical="top" wrapText="1"/>
    </xf>
    <xf numFmtId="0" fontId="34" fillId="0" borderId="24" applyAlignment="1" pivotButton="0" quotePrefix="0" xfId="0">
      <alignment vertical="top" wrapText="1"/>
    </xf>
    <xf numFmtId="0" fontId="34" fillId="0" borderId="25" applyAlignment="1" pivotButton="0" quotePrefix="0" xfId="0">
      <alignment vertical="top" wrapText="1"/>
    </xf>
    <xf numFmtId="0" fontId="34" fillId="60" borderId="29" applyAlignment="1" pivotButton="0" quotePrefix="0" xfId="0">
      <alignment vertical="top" wrapText="1"/>
    </xf>
    <xf numFmtId="0" fontId="34" fillId="0" borderId="30" applyAlignment="1" pivotButton="0" quotePrefix="0" xfId="0">
      <alignment vertical="top" wrapText="1"/>
    </xf>
    <xf numFmtId="0" fontId="34" fillId="0" borderId="31" applyAlignment="1" pivotButton="0" quotePrefix="0" xfId="0">
      <alignment vertical="top" wrapText="1"/>
    </xf>
    <xf numFmtId="0" fontId="34" fillId="60" borderId="0" pivotButton="0" quotePrefix="0" xfId="0"/>
    <xf numFmtId="0" fontId="34" fillId="0" borderId="0" pivotButton="0" quotePrefix="0" xfId="0"/>
    <xf numFmtId="0" fontId="37" fillId="61" borderId="0" applyAlignment="1" pivotButton="0" quotePrefix="0" xfId="0">
      <alignment horizontal="center"/>
    </xf>
    <xf numFmtId="0" fontId="38" fillId="62" borderId="26" applyAlignment="1" pivotButton="0" quotePrefix="0" xfId="0">
      <alignment horizontal="center"/>
    </xf>
    <xf numFmtId="0" fontId="38" fillId="6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2" pivotButton="0" quotePrefix="0" xfId="0"/>
    <xf numFmtId="0" fontId="0" fillId="0" borderId="23" pivotButton="0" quotePrefix="0" xfId="0"/>
    <xf numFmtId="0" fontId="11" fillId="4" borderId="43" applyAlignment="1" pivotButton="0" quotePrefix="0" xfId="0">
      <alignment vertical="center" wrapText="1"/>
    </xf>
    <xf numFmtId="0" fontId="0" fillId="0" borderId="45" pivotButton="0" quotePrefix="0" xfId="0"/>
    <xf numFmtId="0" fontId="0" fillId="0" borderId="43" pivotButton="0" quotePrefix="0" xfId="0"/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" customWidth="1" min="4" max="4"/>
    <col width="8" customWidth="1" min="5" max="5"/>
    <col width="30" customWidth="1" min="6" max="6"/>
    <col width="42" customWidth="1" min="7" max="7"/>
    <col width="3" customWidth="1" min="8" max="8"/>
    <col width="21" customWidth="1" min="9" max="9"/>
    <col width="21" customWidth="1" min="10" max="10"/>
  </cols>
  <sheetData>
    <row r="1" ht="25" customHeight="1">
      <c r="A1" s="317" t="inlineStr">
        <is>
          <t>SHELLSTORM 2 · 武器美术账本 v0.1</t>
        </is>
      </c>
    </row>
    <row r="2" ht="12" customHeight="1"/>
    <row r="3" ht="23" customHeight="1">
      <c r="A3" s="318" t="inlineStr">
        <is>
          <t>归属域=武器｜覆盖大类=武器｜AssetID 前缀=WPN｜主账本（总目录）=assets/registry/ShellStorm2_美术资产台账_v001.xlsx；本账本可独立并行编辑，跨域契约见主账本</t>
        </is>
      </c>
    </row>
    <row r="4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</row>
    <row r="5">
      <c r="A5" s="320" t="inlineStr">
        <is>
          <t>资产总数</t>
        </is>
      </c>
      <c r="B5" s="320" t="str"/>
      <c r="C5" s="320" t="inlineStr">
        <is>
          <t>已完成/已接入</t>
        </is>
      </c>
      <c r="D5" s="320" t="str"/>
      <c r="E5" s="320" t="inlineStr">
        <is>
          <t>待制作/程序占位</t>
        </is>
      </c>
      <c r="F5" s="320" t="str"/>
      <c r="G5" s="320" t="inlineStr">
        <is>
          <t>重复警报</t>
        </is>
      </c>
      <c r="H5" s="320" t="str"/>
      <c r="I5" s="320" t="inlineStr">
        <is>
          <t>域内专表 / 3D Prefab 分页</t>
        </is>
      </c>
      <c r="J5" s="320" t="n"/>
    </row>
    <row r="6" ht="42" customHeight="1">
      <c r="A6" s="321">
        <f>COUNTA('资产主表'!$A$6:$A$41)</f>
        <v/>
      </c>
      <c r="B6" s="354" t="n"/>
      <c r="C6" s="321">
        <f>COUNTIF('资产主表'!$K$6:$K$41,"已完成")+COUNTIF('资产主表'!$K$6:$K$41,"原型已接入")+COUNTIF('资产主表'!$K$6:$K$41,"正式美术已接入")+COUNTIF('资产主表'!$K$6:$K$41,"已优化并正式接入")+COUNTIF('资产主表'!$K$6:$K$41,"Blender源已完成")+COUNTIF('资产主表'!$K$6:$K$41,"已导入；优化完成")</f>
        <v/>
      </c>
      <c r="D6" s="354" t="n"/>
      <c r="E6" s="321">
        <f>COUNTIF('资产主表'!$K$6:$K$41,"待制作")+COUNTIF('资产主表'!$K$6:$K$41,"程序占位")</f>
        <v/>
      </c>
      <c r="F6" s="354" t="n"/>
      <c r="G6" s="321">
        <f>COUNTIF('资产主表'!$S$6:$S$41,"重复")</f>
        <v/>
      </c>
      <c r="H6" s="354" t="n"/>
      <c r="I6" s="320" t="inlineStr">
        <is>
          <t>域内专表：3D-武器　|　3D Prefab 分页：3D-武器</t>
        </is>
      </c>
    </row>
    <row r="7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</row>
    <row r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</row>
    <row r="9" ht="32" customHeight="1">
      <c r="A9" s="323" t="inlineStr">
        <is>
          <t>大类</t>
        </is>
      </c>
      <c r="B9" s="323" t="inlineStr">
        <is>
          <t>资产数</t>
        </is>
      </c>
      <c r="C9" s="323" t="inlineStr">
        <is>
          <t>完成/接入</t>
        </is>
      </c>
      <c r="D9" s="323" t="n"/>
      <c r="E9" s="396" t="inlineStr">
        <is>
          <t>本账本只登记上列大类；跨域搬运资产须同步主账本《分类与编码》并重跑门禁</t>
        </is>
      </c>
      <c r="F9" s="397" t="n"/>
      <c r="G9" s="397" t="n"/>
      <c r="H9" s="397" t="n"/>
      <c r="I9" s="397" t="n"/>
      <c r="J9" s="398" t="n"/>
    </row>
    <row r="10" ht="22" customHeight="1">
      <c r="A10" s="301" t="inlineStr">
        <is>
          <t>武器</t>
        </is>
      </c>
      <c r="B10" s="301">
        <f>COUNTIF('资产主表'!$C$6:$C$41,A10)</f>
        <v/>
      </c>
      <c r="C10" s="301">
        <f>SUMPRODUCT(('资产主表'!$C$6:$C$41=A10)*(('资产主表'!$K$6:$K$41="已完成")+('资产主表'!$K$6:$K$41="原型已接入")+('资产主表'!$K$6:$K$41="正式美术已接入")+('资产主表'!$K$6:$K$41="已优化并正式接入")+('资产主表'!$K$6:$K$41="Blender源已完成")+('资产主表'!$K$6:$K$41="已导入；优化完成")))</f>
        <v/>
      </c>
      <c r="D10" s="301" t="n"/>
      <c r="E10" s="301" t="n"/>
      <c r="F10" s="301" t="n"/>
      <c r="G10" s="301" t="n"/>
      <c r="H10" s="301" t="n"/>
      <c r="I10" s="301" t="n"/>
      <c r="J10" s="301" t="n"/>
    </row>
    <row r="11">
      <c r="A11" s="323" t="inlineStr">
        <is>
          <t>合计</t>
        </is>
      </c>
      <c r="B11" s="323">
        <f>SUM(B10:B10)</f>
        <v/>
      </c>
      <c r="C11" s="323">
        <f>SUM(C10:C10)</f>
        <v/>
      </c>
      <c r="D11" s="323" t="n"/>
      <c r="E11" s="323" t="n"/>
      <c r="F11" s="323" t="n"/>
      <c r="G11" s="323" t="n"/>
      <c r="H11" s="323" t="n"/>
      <c r="I11" s="323" t="n"/>
      <c r="J11" s="323" t="n"/>
    </row>
    <row r="12">
      <c r="A12" s="331" t="n"/>
      <c r="B12" s="331" t="n"/>
      <c r="C12" s="331" t="n"/>
      <c r="D12" s="354" t="n"/>
      <c r="E12" s="330" t="n"/>
      <c r="F12" s="331" t="n"/>
      <c r="G12" s="331" t="n"/>
      <c r="H12" s="354" t="n"/>
      <c r="I12" s="354" t="n"/>
      <c r="J12" s="354" t="n"/>
    </row>
    <row r="13">
      <c r="A13" s="381" t="inlineStr">
        <is>
          <t>域内 3D Prefab 分页统计（快照口径与本账本分页一致；权威清单在各分页表）</t>
        </is>
      </c>
      <c r="B13" s="394" t="n"/>
      <c r="C13" s="394" t="n"/>
      <c r="D13" s="394" t="n"/>
      <c r="E13" s="394" t="n"/>
      <c r="F13" s="394" t="n"/>
      <c r="G13" s="394" t="n"/>
      <c r="H13" s="394" t="n"/>
      <c r="I13" s="394" t="n"/>
      <c r="J13" s="395" t="n"/>
    </row>
    <row r="14">
      <c r="A14" s="320" t="inlineStr">
        <is>
          <t>分页</t>
        </is>
      </c>
      <c r="B14" s="320" t="inlineStr">
        <is>
          <t>Prefab 数</t>
        </is>
      </c>
      <c r="C14" s="320" t="inlineStr">
        <is>
          <t>直接引用 GLB</t>
        </is>
      </c>
      <c r="D14" s="320" t="inlineStr">
        <is>
          <t>有功能脚本</t>
        </is>
      </c>
      <c r="E14" s="320" t="inlineStr">
        <is>
          <t>碰撞开启</t>
        </is>
      </c>
      <c r="F14" s="320" t="inlineStr">
        <is>
          <t>说明</t>
        </is>
      </c>
      <c r="G14" s="331" t="n"/>
      <c r="H14" s="354" t="n"/>
      <c r="I14" s="354" t="n"/>
      <c r="J14" s="354" t="n"/>
    </row>
    <row r="15">
      <c r="A15" s="301" t="inlineStr">
        <is>
          <t>3D-武器</t>
        </is>
      </c>
      <c r="B15" s="301">
        <f>COUNTA('3D-武器'!$A$5:$A$204)</f>
        <v/>
      </c>
      <c r="C15" s="301">
        <f>COUNTIF('3D-武器'!$D$5:$D$204,"&lt;&gt;")</f>
        <v/>
      </c>
      <c r="D15" s="301">
        <f>COUNTIF('3D-武器'!$G$5:$G$204,"&lt;&gt;")</f>
        <v/>
      </c>
      <c r="E15" s="301">
        <f>COUNTIF('3D-武器'!$H$5:$H$204,"开")</f>
        <v/>
      </c>
      <c r="F15" s="301" t="inlineStr">
        <is>
          <t>一行 = 一个实际存在的 Godot PackedScene</t>
        </is>
      </c>
      <c r="G15" s="301" t="n"/>
      <c r="H15" s="301" t="n"/>
      <c r="I15" s="301" t="n"/>
      <c r="J15" s="301" t="n"/>
    </row>
    <row r="16">
      <c r="A16" s="323" t="inlineStr">
        <is>
          <t>合计</t>
        </is>
      </c>
      <c r="B16" s="323">
        <f>SUM(B15:B15)</f>
        <v/>
      </c>
      <c r="C16" s="323">
        <f>SUM(C15:C15)</f>
        <v/>
      </c>
      <c r="D16" s="323">
        <f>SUM(D15:D15)</f>
        <v/>
      </c>
      <c r="E16" s="323">
        <f>SUM(E15:E15)</f>
        <v/>
      </c>
      <c r="F16" s="323" t="n"/>
      <c r="G16" s="323" t="n"/>
      <c r="H16" s="323" t="n"/>
      <c r="I16" s="323" t="n"/>
      <c r="J16" s="323" t="n"/>
    </row>
    <row r="17">
      <c r="A17" s="331" t="n"/>
      <c r="B17" s="331" t="n"/>
      <c r="C17" s="331" t="n"/>
      <c r="D17" s="354" t="n"/>
      <c r="E17" s="354" t="n"/>
      <c r="F17" s="354" t="n"/>
      <c r="G17" s="354" t="n"/>
      <c r="H17" s="354" t="n"/>
      <c r="I17" s="354" t="n"/>
      <c r="J17" s="354" t="n"/>
    </row>
    <row r="18">
      <c r="A18" s="331" t="n"/>
      <c r="B18" s="331" t="n"/>
      <c r="C18" s="331" t="n"/>
      <c r="D18" s="354" t="n"/>
      <c r="E18" s="354" t="n"/>
      <c r="F18" s="354" t="n"/>
      <c r="G18" s="354" t="n"/>
      <c r="H18" s="354" t="n"/>
      <c r="I18" s="354" t="n"/>
      <c r="J18" s="354" t="n"/>
    </row>
    <row r="19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</row>
    <row r="20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</row>
  </sheetData>
  <mergeCells count="5">
    <mergeCell ref="A1:J2"/>
    <mergeCell ref="I6:J6"/>
    <mergeCell ref="A3:J3"/>
    <mergeCell ref="E9:J9"/>
    <mergeCell ref="A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24" customWidth="1" min="4" max="4"/>
    <col width="24" customWidth="1" min="5" max="5"/>
    <col width="24" customWidth="1" min="6" max="6"/>
  </cols>
  <sheetData>
    <row r="1">
      <c r="A1" s="317" t="inlineStr">
        <is>
          <t>本账本说明 · 武器</t>
        </is>
      </c>
    </row>
    <row r="2"/>
    <row r="3">
      <c r="A3" s="318" t="inlineStr">
        <is>
          <t>本表是分账本自描述；机器可读真源为 assets/registry/ledger_index.json，二者不一致时以 JSON 为准</t>
        </is>
      </c>
    </row>
    <row r="5">
      <c r="A5" s="298" t="inlineStr">
        <is>
          <t>项</t>
        </is>
      </c>
      <c r="B5" s="298" t="inlineStr">
        <is>
          <t>值</t>
        </is>
      </c>
      <c r="C5" s="298" t="n"/>
      <c r="D5" s="298" t="n"/>
      <c r="E5" s="298" t="n"/>
      <c r="F5" s="298" t="n"/>
    </row>
    <row r="6" ht="30" customHeight="1">
      <c r="A6" s="301" t="inlineStr">
        <is>
          <t>账本归属域</t>
        </is>
      </c>
      <c r="B6" s="301" t="inlineStr">
        <is>
          <t>武器</t>
        </is>
      </c>
      <c r="C6" s="301" t="n"/>
      <c r="D6" s="301" t="n"/>
      <c r="E6" s="301" t="n"/>
      <c r="F6" s="301" t="n"/>
    </row>
    <row r="7" ht="30" customHeight="1">
      <c r="A7" s="301" t="inlineStr">
        <is>
          <t>分账本文件</t>
        </is>
      </c>
      <c r="B7" s="301" t="inlineStr">
        <is>
          <t>assets/registry/ledgers/ShellStorm2_武器账本_v001.xlsx</t>
        </is>
      </c>
      <c r="C7" s="301" t="n"/>
      <c r="D7" s="301" t="n"/>
      <c r="E7" s="301" t="n"/>
      <c r="F7" s="301" t="n"/>
    </row>
    <row r="8" ht="30" customHeight="1">
      <c r="A8" s="301" t="inlineStr">
        <is>
          <t>覆盖大类</t>
        </is>
      </c>
      <c r="B8" s="301" t="inlineStr">
        <is>
          <t>武器</t>
        </is>
      </c>
      <c r="C8" s="301" t="n"/>
      <c r="D8" s="301" t="n"/>
      <c r="E8" s="301" t="n"/>
      <c r="F8" s="301" t="n"/>
    </row>
    <row r="9" ht="30" customHeight="1">
      <c r="A9" s="301" t="inlineStr">
        <is>
          <t>AssetID 前缀</t>
        </is>
      </c>
      <c r="B9" s="301" t="inlineStr">
        <is>
          <t>WPN</t>
        </is>
      </c>
      <c r="C9" s="301" t="n"/>
      <c r="D9" s="301" t="n"/>
      <c r="E9" s="301" t="n"/>
      <c r="F9" s="301" t="n"/>
    </row>
    <row r="10" ht="30" customHeight="1">
      <c r="A10" s="301" t="inlineStr">
        <is>
          <t>域内专表</t>
        </is>
      </c>
      <c r="B10" s="301" t="inlineStr">
        <is>
          <t>3D-武器</t>
        </is>
      </c>
      <c r="C10" s="301" t="n"/>
      <c r="D10" s="301" t="n"/>
      <c r="E10" s="301" t="n"/>
      <c r="F10" s="301" t="n"/>
    </row>
    <row r="11" ht="30" customHeight="1">
      <c r="A11" s="301" t="inlineStr">
        <is>
          <t>3D Prefab 分页</t>
        </is>
      </c>
      <c r="B11" s="301" t="inlineStr">
        <is>
          <t>3D-武器</t>
        </is>
      </c>
      <c r="C11" s="301" t="n"/>
      <c r="D11" s="301" t="n"/>
      <c r="E11" s="301" t="n"/>
      <c r="F11" s="301" t="n"/>
    </row>
    <row r="12" ht="30" customHeight="1">
      <c r="A12" s="301" t="inlineStr">
        <is>
          <t>动画登记表</t>
        </is>
      </c>
      <c r="B12" s="301" t="inlineStr">
        <is>
          <t>无</t>
        </is>
      </c>
      <c r="C12" s="301" t="n"/>
      <c r="D12" s="301" t="n"/>
      <c r="E12" s="301" t="n"/>
      <c r="F12" s="301" t="n"/>
    </row>
    <row r="13" ht="30" customHeight="1">
      <c r="A13" s="301" t="inlineStr">
        <is>
          <t>主账本（总目录）</t>
        </is>
      </c>
      <c r="B13" s="301" t="inlineStr">
        <is>
          <t>assets/registry/ShellStorm2_美术资产台账_v001.xlsx</t>
        </is>
      </c>
      <c r="C13" s="301" t="n"/>
      <c r="D13" s="301" t="n"/>
      <c r="E13" s="301" t="n"/>
      <c r="F13" s="301" t="n"/>
    </row>
    <row r="14" ht="30" customHeight="1">
      <c r="A14" s="301" t="inlineStr">
        <is>
          <t>跨域契约</t>
        </is>
      </c>
      <c r="B14" s="301" t="inlineStr">
        <is>
          <t>分类与编码 / 命名与查重 / 版本记录 / Skill 清单 / 3D Prefab 总控 —— 全部只在主账本维护</t>
        </is>
      </c>
      <c r="C14" s="301" t="n"/>
      <c r="D14" s="301" t="n"/>
      <c r="E14" s="301" t="n"/>
      <c r="F14" s="301" t="n"/>
    </row>
    <row r="15" ht="30" customHeight="1">
      <c r="A15" s="301" t="inlineStr">
        <is>
          <t>首选制作 Skill</t>
        </is>
      </c>
      <c r="B15" s="301" t="inlineStr">
        <is>
          <t>game-weapon-model-pipeline</t>
        </is>
      </c>
      <c r="C15" s="301" t="n"/>
      <c r="D15" s="301" t="n"/>
      <c r="E15" s="301" t="n"/>
      <c r="F15" s="301" t="n"/>
    </row>
    <row r="16" ht="30" customHeight="1">
      <c r="A16" s="301" t="inlineStr">
        <is>
          <t>协作 Skill</t>
        </is>
      </c>
      <c r="B16" s="301" t="inlineStr">
        <is>
          <t>无</t>
        </is>
      </c>
      <c r="C16" s="301" t="n"/>
      <c r="D16" s="301" t="n"/>
      <c r="E16" s="301" t="n"/>
      <c r="F16" s="301" t="n"/>
    </row>
    <row r="17" ht="30" customHeight="1">
      <c r="A17" s="301" t="inlineStr">
        <is>
          <t>负责人</t>
        </is>
      </c>
      <c r="B17" s="301" t="inlineStr">
        <is>
          <t>待分配</t>
        </is>
      </c>
      <c r="C17" s="301" t="n"/>
      <c r="D17" s="301" t="n"/>
      <c r="E17" s="301" t="n"/>
      <c r="F17" s="301" t="n"/>
    </row>
    <row r="18" ht="30" customHeight="1">
      <c r="A18" s="301" t="inlineStr">
        <is>
          <t>登记范围</t>
        </is>
      </c>
      <c r="B18" s="301" t="inlineStr">
        <is>
          <t>枪械（手枪/霰弹/步枪/机枪/狙击/发射器）与近战武器（棒球棍/巨刃/战斧）、子弹模块与配件。挂点契约见该 Skill。</t>
        </is>
      </c>
      <c r="C18" s="301" t="n"/>
      <c r="D18" s="301" t="n"/>
      <c r="E18" s="301" t="n"/>
      <c r="F18" s="301" t="n"/>
    </row>
    <row r="19" ht="30" customHeight="1">
      <c r="A19" s="301" t="inlineStr">
        <is>
          <t>编辑边界</t>
        </is>
      </c>
      <c r="B19" s="30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301" t="n"/>
      <c r="D19" s="301" t="n"/>
      <c r="E19" s="301" t="n"/>
      <c r="F19" s="301" t="n"/>
    </row>
    <row r="20" ht="30" customHeight="1">
      <c r="A20" s="301" t="inlineStr">
        <is>
          <t>登记口径</t>
        </is>
      </c>
      <c r="B20" s="30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301" t="n"/>
      <c r="D20" s="301" t="n"/>
      <c r="E20" s="301" t="n"/>
      <c r="F20" s="301" t="n"/>
    </row>
    <row r="21" ht="30" customHeight="1">
      <c r="A21" s="301" t="inlineStr">
        <is>
          <t>门禁</t>
        </is>
      </c>
      <c r="B21" s="301" t="inlineStr">
        <is>
          <t>python3 scripts/check_asset_registry.py --scope structure（需 venv python + openpyxl，且在 /tmp 下跑）</t>
        </is>
      </c>
      <c r="C21" s="301" t="n"/>
      <c r="D21" s="301" t="n"/>
      <c r="E21" s="301" t="n"/>
      <c r="F21" s="301" t="n"/>
    </row>
    <row r="22" ht="30" customHeight="1">
      <c r="A22" s="301" t="inlineStr">
        <is>
          <t>无损基线</t>
        </is>
      </c>
      <c r="B22" s="301" t="inlineStr">
        <is>
          <t>assets/registry/ledger_split_baseline.json；python3 tools/asset_pipeline/verify_ledger_split.py 断言并集与拆分前逐格一致</t>
        </is>
      </c>
      <c r="C22" s="301" t="n"/>
      <c r="D22" s="301" t="n"/>
      <c r="E22" s="301" t="n"/>
      <c r="F22" s="301" t="n"/>
    </row>
    <row r="23" ht="30" customHeight="1">
      <c r="A23" s="301" t="inlineStr">
        <is>
          <t>快照日期</t>
        </is>
      </c>
      <c r="B23" s="301" t="inlineStr">
        <is>
          <t>2026-09-18</t>
        </is>
      </c>
      <c r="C23" s="301" t="n"/>
      <c r="D23" s="301" t="n"/>
      <c r="E23" s="301" t="n"/>
      <c r="F23" s="301" t="n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8" customWidth="1" min="4" max="4"/>
    <col width="22" customWidth="1" min="5" max="5"/>
    <col width="12" customWidth="1" min="6" max="6"/>
    <col width="25" customWidth="1" min="7" max="7"/>
    <col width="19" customWidth="1" min="8" max="8"/>
    <col width="15" customWidth="1" min="9" max="9"/>
    <col width="18" customWidth="1" min="10" max="10"/>
    <col width="12" customWidth="1" min="11" max="11"/>
    <col width="8" customWidth="1" min="12" max="12"/>
    <col width="9" customWidth="1" min="13" max="13"/>
    <col width="16" customWidth="1" min="14" max="14"/>
    <col width="36" customWidth="1" min="15" max="15"/>
    <col width="34" customWidth="1" min="16" max="16"/>
    <col width="26" customWidth="1" min="17" max="17"/>
    <col width="42" customWidth="1" min="18" max="18"/>
    <col width="12" customWidth="1" min="19" max="19"/>
    <col width="30" customWidth="1" min="20" max="20"/>
    <col width="12" customWidth="1" min="21" max="21"/>
    <col width="13" customWidth="1" min="22" max="22"/>
    <col width="16" customWidth="1" min="23" max="23"/>
    <col width="52" customWidth="1" min="24" max="24"/>
  </cols>
  <sheetData>
    <row r="1" ht="25" customHeight="1">
      <c r="A1" s="296" t="inlineStr">
        <is>
          <t>资产主表 · 唯一登记源</t>
        </is>
      </c>
    </row>
    <row r="2" ht="12" customHeight="1"/>
    <row r="3" ht="23" customHeight="1">
      <c r="A3" s="297" t="inlineStr">
        <is>
          <t>查重键由公式生成；S 列出现“重复”时禁止制作，先合并或建立变体父子关系</t>
        </is>
      </c>
    </row>
    <row r="4">
      <c r="A4" s="392" t="n"/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392" t="n"/>
      <c r="S4" s="392" t="n"/>
      <c r="T4" s="392" t="n"/>
      <c r="U4" s="392" t="n"/>
      <c r="V4" s="392" t="n"/>
      <c r="W4" s="392" t="n"/>
      <c r="Y4" s="392" t="n"/>
    </row>
    <row r="5" ht="32" customHeight="1">
      <c r="A5" s="298" t="inlineStr">
        <is>
          <t>AssetID</t>
        </is>
      </c>
      <c r="B5" s="299" t="inlineStr">
        <is>
          <t>中文名</t>
        </is>
      </c>
      <c r="C5" s="299" t="inlineStr">
        <is>
          <t>大类</t>
        </is>
      </c>
      <c r="D5" s="299" t="inlineStr">
        <is>
          <t>子类</t>
        </is>
      </c>
      <c r="E5" s="299" t="inlineStr">
        <is>
          <t>逻辑ID/源键</t>
        </is>
      </c>
      <c r="F5" s="299" t="inlineStr">
        <is>
          <t>组件槽</t>
        </is>
      </c>
      <c r="G5" s="299" t="inlineStr">
        <is>
          <t>变体父ID</t>
        </is>
      </c>
      <c r="H5" s="299" t="inlineStr">
        <is>
          <t>视角</t>
        </is>
      </c>
      <c r="I5" s="299" t="inlineStr">
        <is>
          <t>状态/动画</t>
        </is>
      </c>
      <c r="J5" s="299" t="inlineStr">
        <is>
          <t>复用范围</t>
        </is>
      </c>
      <c r="K5" s="299" t="inlineStr">
        <is>
          <t>制作状态</t>
        </is>
      </c>
      <c r="L5" s="299" t="inlineStr">
        <is>
          <t>优先级</t>
        </is>
      </c>
      <c r="M5" s="299" t="inlineStr">
        <is>
          <t>版本</t>
        </is>
      </c>
      <c r="N5" s="299" t="inlineStr">
        <is>
          <t>规格(px)</t>
        </is>
      </c>
      <c r="O5" s="299" t="inlineStr">
        <is>
          <t>文件路径</t>
        </is>
      </c>
      <c r="P5" s="299" t="inlineStr">
        <is>
          <t>源码/策划依据</t>
        </is>
      </c>
      <c r="Q5" s="299" t="inlineStr">
        <is>
          <t>关键词/别名</t>
        </is>
      </c>
      <c r="R5" s="299" t="inlineStr">
        <is>
          <t>查重键</t>
        </is>
      </c>
      <c r="S5" s="299" t="inlineStr">
        <is>
          <t>查重结果</t>
        </is>
      </c>
      <c r="T5" s="299" t="inlineStr">
        <is>
          <t>SHA-256</t>
        </is>
      </c>
      <c r="U5" s="299" t="inlineStr">
        <is>
          <t>负责人</t>
        </is>
      </c>
      <c r="V5" s="299" t="inlineStr">
        <is>
          <t>更新时间</t>
        </is>
      </c>
      <c r="W5" s="299" t="inlineStr">
        <is>
          <t>来源/许可</t>
        </is>
      </c>
      <c r="X5" s="374" t="inlineStr">
        <is>
          <t>源编号（Blender collection）</t>
        </is>
      </c>
      <c r="Y5" s="300" t="inlineStr">
        <is>
          <t>备注</t>
        </is>
      </c>
    </row>
    <row r="6">
      <c r="A6" s="138" t="inlineStr">
        <is>
          <t>WPN-GUN-BP-PISTOL</t>
        </is>
      </c>
      <c r="B6" s="138" t="inlineStr">
        <is>
          <t>豌豆手枪 / 吹风机造型</t>
        </is>
      </c>
      <c r="C6" s="138" t="inlineStr">
        <is>
          <t>武器</t>
        </is>
      </c>
      <c r="D6" s="138" t="inlineStr">
        <is>
          <t>gunbody</t>
        </is>
      </c>
      <c r="E6" s="138" t="inlineStr">
        <is>
          <t>bp_pistol</t>
        </is>
      </c>
      <c r="F6" s="138" t="inlineStr">
        <is>
          <t>root</t>
        </is>
      </c>
      <c r="G6" s="138" t="str"/>
      <c r="H6" s="138" t="inlineStr">
        <is>
          <t>俯视3D / local -Z 枪口</t>
        </is>
      </c>
      <c r="I6" s="138" t="inlineStr">
        <is>
          <t>default / 标准握把与8类挂点</t>
        </is>
      </c>
      <c r="J6" s="138" t="inlineStr">
        <is>
          <t>手持/背负/地面/UI 共用独立PackedScene</t>
        </is>
      </c>
      <c r="K6" s="138" t="inlineStr">
        <is>
          <t>已完成</t>
        </is>
      </c>
      <c r="L6" s="138" t="inlineStr">
        <is>
          <t>P0</t>
        </is>
      </c>
      <c r="M6" s="138" t="inlineStr">
        <is>
          <t>v001</t>
        </is>
      </c>
      <c r="N6" s="138" t="inlineStr">
        <is>
          <t>握把原点；local -Z枪口；3材质；独立GLB/PackedScene</t>
        </is>
      </c>
      <c r="O6" s="138" t="inlineStr">
        <is>
          <t>assets/art/weapons/weapon_3d/runtime/hair_dryer/wpn_hair_dryer_root_top3d_v001.tscn</t>
        </is>
      </c>
      <c r="P6" s="138" t="inlineStr">
        <is>
          <t>assets/art/weapons/weapon_3d/source/hair_dryer/wpn_hair_dryer_source_v003.blend; src/combat3d/WeaponModel3D.gd</t>
        </is>
      </c>
      <c r="Q6" s="138" t="inlineStr">
        <is>
          <t>bp_pistol; 吹风机; 握把原点; -Z枪口; 通用挂点; 多巴胺配色</t>
        </is>
      </c>
      <c r="R6" s="138">
        <f>LOWER(TRIM(C6)&amp;"|"&amp;TRIM(D6)&amp;"|"&amp;TRIM(E6)&amp;"|"&amp;TRIM(F6)&amp;"|"&amp;TRIM(H6)&amp;"|"&amp;TRIM(I6))</f>
        <v/>
      </c>
      <c r="S6" s="138">
        <f>IF(COUNTIF($R$6:$R$41,R6)&gt;1,"重复","唯一")</f>
        <v/>
      </c>
      <c r="T6" s="138" t="inlineStr">
        <is>
          <t>2470638382999aaed09f3e141f345b3aac5173b00215a6e320d3a3e65c00271f</t>
        </is>
      </c>
      <c r="U6" s="138" t="inlineStr">
        <is>
          <t>Codex</t>
        </is>
      </c>
      <c r="V6" s="303" t="n">
        <v>46264</v>
      </c>
      <c r="W6" s="138" t="inlineStr">
        <is>
          <t>用户自制Blender资产</t>
        </is>
      </c>
      <c r="X6" s="375" t="inlineStr">
        <is>
          <t>—</t>
        </is>
      </c>
      <c r="Y6" s="138" t="inlineStr">
        <is>
          <t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t>
        </is>
      </c>
    </row>
    <row r="7">
      <c r="A7" s="138" t="inlineStr">
        <is>
          <t>WPN-GUN-BP-SHOTGUN</t>
        </is>
      </c>
      <c r="B7" s="138" t="inlineStr">
        <is>
          <t>散射喷壶 / 双管炮造型</t>
        </is>
      </c>
      <c r="C7" s="138" t="inlineStr">
        <is>
          <t>武器</t>
        </is>
      </c>
      <c r="D7" s="138" t="inlineStr">
        <is>
          <t>gunbody</t>
        </is>
      </c>
      <c r="E7" s="138" t="inlineStr">
        <is>
          <t>bp_shotgun</t>
        </is>
      </c>
      <c r="F7" s="138" t="inlineStr">
        <is>
          <t>root</t>
        </is>
      </c>
      <c r="G7" s="138" t="str"/>
      <c r="H7" s="138" t="inlineStr">
        <is>
          <t>俯视3D / local -Z 枪口</t>
        </is>
      </c>
      <c r="I7" s="138" t="inlineStr">
        <is>
          <t>default / 标准握把与8类挂点</t>
        </is>
      </c>
      <c r="J7" s="138" t="inlineStr">
        <is>
          <t>手持/背负/地面/UI 共用独立PackedScene</t>
        </is>
      </c>
      <c r="K7" s="138" t="inlineStr">
        <is>
          <t>已完成</t>
        </is>
      </c>
      <c r="L7" s="138" t="inlineStr">
        <is>
          <t>P0</t>
        </is>
      </c>
      <c r="M7" s="138" t="inlineStr">
        <is>
          <t>v001</t>
        </is>
      </c>
      <c r="N7" s="138" t="inlineStr">
        <is>
          <t>握把原点；local -Z枪口；3材质；独立GLB/PackedScene</t>
        </is>
      </c>
      <c r="O7" s="138" t="inlineStr">
        <is>
          <t>assets/art/weapons/weapon_3d/runtime/double_barrel_cannon/wpn_double_barrel_cannon_root_top3d_v001.tscn</t>
        </is>
      </c>
      <c r="P7" s="138" t="inlineStr">
        <is>
          <t>assets/art/weapons/weapon_3d/source/double_barrel_cannon/wpn_double_barrel_cannon_source_v001.blend; src/combat3d/WeaponModel3D.gd</t>
        </is>
      </c>
      <c r="Q7" s="138" t="inlineStr">
        <is>
          <t>bp_shotgun; 双管炮; 握把原点; -Z枪口; 通用挂点; 多巴胺配色</t>
        </is>
      </c>
      <c r="R7" s="138">
        <f>LOWER(TRIM(C7)&amp;"|"&amp;TRIM(D7)&amp;"|"&amp;TRIM(E7)&amp;"|"&amp;TRIM(F7)&amp;"|"&amp;TRIM(H7)&amp;"|"&amp;TRIM(I7))</f>
        <v/>
      </c>
      <c r="S7" s="138">
        <f>IF(COUNTIF($R$6:$R$41,R7)&gt;1,"重复","唯一")</f>
        <v/>
      </c>
      <c r="T7" s="138" t="inlineStr">
        <is>
          <t>3e7dbd12824eb293a6f8e4331c3932591c172a659c47418caccf83a46e0556bb</t>
        </is>
      </c>
      <c r="U7" s="138" t="inlineStr">
        <is>
          <t>Codex</t>
        </is>
      </c>
      <c r="V7" s="303" t="n">
        <v>46264</v>
      </c>
      <c r="W7" s="138" t="inlineStr">
        <is>
          <t>用户自制Blender资产</t>
        </is>
      </c>
      <c r="X7" s="375" t="inlineStr">
        <is>
          <t>—</t>
        </is>
      </c>
      <c r="Y7" s="138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t>
        </is>
      </c>
    </row>
    <row r="8">
      <c r="A8" s="138" t="inlineStr">
        <is>
          <t>WPN-GUN-BP-RIFLE</t>
        </is>
      </c>
      <c r="B8" s="138" t="inlineStr">
        <is>
          <t>步枪 / 扫帚步枪造型</t>
        </is>
      </c>
      <c r="C8" s="138" t="inlineStr">
        <is>
          <t>武器</t>
        </is>
      </c>
      <c r="D8" s="138" t="inlineStr">
        <is>
          <t>gunbody</t>
        </is>
      </c>
      <c r="E8" s="138" t="inlineStr">
        <is>
          <t>bp_rifle</t>
        </is>
      </c>
      <c r="F8" s="138" t="inlineStr">
        <is>
          <t>root</t>
        </is>
      </c>
      <c r="G8" s="138" t="str"/>
      <c r="H8" s="138" t="inlineStr">
        <is>
          <t>俯视3D / local -Z 枪口</t>
        </is>
      </c>
      <c r="I8" s="138" t="inlineStr">
        <is>
          <t>default / 标准握把与8类挂点</t>
        </is>
      </c>
      <c r="J8" s="138" t="inlineStr">
        <is>
          <t>手持/背负/地面/UI 共用独立PackedScene</t>
        </is>
      </c>
      <c r="K8" s="138" t="inlineStr">
        <is>
          <t>已完成</t>
        </is>
      </c>
      <c r="L8" s="138" t="inlineStr">
        <is>
          <t>P0</t>
        </is>
      </c>
      <c r="M8" s="138" t="inlineStr">
        <is>
          <t>v001</t>
        </is>
      </c>
      <c r="N8" s="138" t="inlineStr">
        <is>
          <t>握把原点；local -Z枪口；3材质；独立GLB/PackedScene</t>
        </is>
      </c>
      <c r="O8" s="138" t="inlineStr">
        <is>
          <t>assets/art/weapons/weapon_3d/runtime/broom_rifle/wpn_broom_rifle_root_top3d_v001.tscn</t>
        </is>
      </c>
      <c r="P8" s="138" t="inlineStr">
        <is>
          <t>assets/art/weapons/weapon_3d/source/broom_rifle/wpn_broom_rifle_source_v001.blend; src/combat3d/WeaponModel3D.gd</t>
        </is>
      </c>
      <c r="Q8" s="138" t="inlineStr">
        <is>
          <t>bp_rifle; 扫帚步枪; 握把原点; -Z枪口; 通用挂点; 多巴胺配色</t>
        </is>
      </c>
      <c r="R8" s="138">
        <f>LOWER(TRIM(C8)&amp;"|"&amp;TRIM(D8)&amp;"|"&amp;TRIM(E8)&amp;"|"&amp;TRIM(F8)&amp;"|"&amp;TRIM(H8)&amp;"|"&amp;TRIM(I8))</f>
        <v/>
      </c>
      <c r="S8" s="138">
        <f>IF(COUNTIF($R$6:$R$41,R8)&gt;1,"重复","唯一")</f>
        <v/>
      </c>
      <c r="T8" s="138" t="inlineStr">
        <is>
          <t>d58d0c336be59b57b77c4f2cec6f529fcb62ecb454cb3f509049136988925255</t>
        </is>
      </c>
      <c r="U8" s="138" t="inlineStr">
        <is>
          <t>Codex</t>
        </is>
      </c>
      <c r="V8" s="303" t="n">
        <v>46264</v>
      </c>
      <c r="W8" s="138" t="inlineStr">
        <is>
          <t>用户自制Blender资产</t>
        </is>
      </c>
      <c r="X8" s="375" t="inlineStr">
        <is>
          <t>—</t>
        </is>
      </c>
      <c r="Y8" s="138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t>
        </is>
      </c>
    </row>
    <row r="9">
      <c r="A9" s="138" t="inlineStr">
        <is>
          <t>WPN-GUN-BP-MACHINEGUN</t>
        </is>
      </c>
      <c r="B9" s="138" t="inlineStr">
        <is>
          <t>蜂窝机枪 / 水箱爆能枪造型</t>
        </is>
      </c>
      <c r="C9" s="138" t="inlineStr">
        <is>
          <t>武器</t>
        </is>
      </c>
      <c r="D9" s="138" t="inlineStr">
        <is>
          <t>gunbody</t>
        </is>
      </c>
      <c r="E9" s="138" t="inlineStr">
        <is>
          <t>bp_machinegun</t>
        </is>
      </c>
      <c r="F9" s="138" t="inlineStr">
        <is>
          <t>root</t>
        </is>
      </c>
      <c r="G9" s="138" t="str"/>
      <c r="H9" s="138" t="inlineStr">
        <is>
          <t>俯视3D / local -Z 枪口</t>
        </is>
      </c>
      <c r="I9" s="138" t="inlineStr">
        <is>
          <t>default / 标准握把与8类挂点</t>
        </is>
      </c>
      <c r="J9" s="138" t="inlineStr">
        <is>
          <t>手持/背负/地面/UI 共用独立PackedScene</t>
        </is>
      </c>
      <c r="K9" s="138" t="inlineStr">
        <is>
          <t>已完成</t>
        </is>
      </c>
      <c r="L9" s="138" t="inlineStr">
        <is>
          <t>P1</t>
        </is>
      </c>
      <c r="M9" s="138" t="inlineStr">
        <is>
          <t>v001</t>
        </is>
      </c>
      <c r="N9" s="138" t="inlineStr">
        <is>
          <t>握把原点；local -Z枪口；3材质；独立GLB/PackedScene</t>
        </is>
      </c>
      <c r="O9" s="138" t="inlineStr">
        <is>
          <t>assets/art/weapons/weapon_3d/runtime/water_tank_blaster/wpn_water_tank_blaster_root_top3d.tscn</t>
        </is>
      </c>
      <c r="P9" s="138" t="inlineStr">
        <is>
          <t>assets/art/weapons/weapon_3d/source/water_tank_blaster/wpn_water_tank_blaster_source_v001.blend; src/combat3d/WeaponModel3D.gd</t>
        </is>
      </c>
      <c r="Q9" s="138" t="inlineStr">
        <is>
          <t>bp_machinegun; 水箱爆能枪; 握把原点; -Z枪口; 通用挂点; 多巴胺配色</t>
        </is>
      </c>
      <c r="R9" s="138">
        <f>LOWER(TRIM(C9)&amp;"|"&amp;TRIM(D9)&amp;"|"&amp;TRIM(E9)&amp;"|"&amp;TRIM(F9)&amp;"|"&amp;TRIM(H9)&amp;"|"&amp;TRIM(I9))</f>
        <v/>
      </c>
      <c r="S9" s="138">
        <f>IF(COUNTIF($R$6:$R$41,R9)&gt;1,"重复","唯一")</f>
        <v/>
      </c>
      <c r="T9" s="138" t="inlineStr">
        <is>
          <t>eaadde61c36370e93adbd649521bd0982e3dd95d514ec2358761853ccb9ff120</t>
        </is>
      </c>
      <c r="U9" s="138" t="inlineStr">
        <is>
          <t>Codex</t>
        </is>
      </c>
      <c r="V9" s="303" t="n">
        <v>46264</v>
      </c>
      <c r="W9" s="138" t="inlineStr">
        <is>
          <t>用户自制Blender资产</t>
        </is>
      </c>
      <c r="X9" s="375" t="inlineStr">
        <is>
          <t>—</t>
        </is>
      </c>
      <c r="Y9" s="138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t>
        </is>
      </c>
    </row>
    <row r="10">
      <c r="A10" s="138" t="inlineStr">
        <is>
          <t>WPN-GUN-BP-SNIPER</t>
        </is>
      </c>
      <c r="B10" s="138" t="inlineStr">
        <is>
          <t>弹弓狙击 / 糖果狙击枪造型</t>
        </is>
      </c>
      <c r="C10" s="138" t="inlineStr">
        <is>
          <t>武器</t>
        </is>
      </c>
      <c r="D10" s="138" t="inlineStr">
        <is>
          <t>gunbody</t>
        </is>
      </c>
      <c r="E10" s="138" t="inlineStr">
        <is>
          <t>bp_sniper</t>
        </is>
      </c>
      <c r="F10" s="138" t="inlineStr">
        <is>
          <t>root</t>
        </is>
      </c>
      <c r="G10" s="138" t="str"/>
      <c r="H10" s="138" t="inlineStr">
        <is>
          <t>俯视3D / local -Z 枪口</t>
        </is>
      </c>
      <c r="I10" s="138" t="inlineStr">
        <is>
          <t>default / 标准握把与8类挂点</t>
        </is>
      </c>
      <c r="J10" s="138" t="inlineStr">
        <is>
          <t>手持/背负/地面/UI 共用独立PackedScene</t>
        </is>
      </c>
      <c r="K10" s="138" t="inlineStr">
        <is>
          <t>已完成</t>
        </is>
      </c>
      <c r="L10" s="138" t="inlineStr">
        <is>
          <t>P1</t>
        </is>
      </c>
      <c r="M10" s="138" t="inlineStr">
        <is>
          <t>v001</t>
        </is>
      </c>
      <c r="N10" s="138" t="inlineStr">
        <is>
          <t>握把原点；local -Z枪口；3材质；独立GLB/PackedScene</t>
        </is>
      </c>
      <c r="O10" s="138" t="inlineStr">
        <is>
          <t>assets/art/weapons/weapon_3d/runtime/candy_sniper/wpn_candy_sniper_root_top3d_v001.tscn</t>
        </is>
      </c>
      <c r="P10" s="138" t="inlineStr">
        <is>
          <t>assets/art/weapons/weapon_3d/source/candy_sniper/wpn_candy_sniper_source_v001.blend; src/combat3d/WeaponModel3D.gd</t>
        </is>
      </c>
      <c r="Q10" s="138" t="inlineStr">
        <is>
          <t>bp_sniper; 糖果狙击枪; 握把原点; -Z枪口; 通用挂点; 多巴胺配色</t>
        </is>
      </c>
      <c r="R10" s="138">
        <f>LOWER(TRIM(C10)&amp;"|"&amp;TRIM(D10)&amp;"|"&amp;TRIM(E10)&amp;"|"&amp;TRIM(F10)&amp;"|"&amp;TRIM(H10)&amp;"|"&amp;TRIM(I10))</f>
        <v/>
      </c>
      <c r="S10" s="138">
        <f>IF(COUNTIF($R$6:$R$41,R10)&gt;1,"重复","唯一")</f>
        <v/>
      </c>
      <c r="T10" s="138" t="inlineStr">
        <is>
          <t>0420a3cfa88542bb07b4491ab80e3c51ea196bdaa52af0f3345858133765e25c</t>
        </is>
      </c>
      <c r="U10" s="138" t="inlineStr">
        <is>
          <t>Codex</t>
        </is>
      </c>
      <c r="V10" s="303" t="n">
        <v>46264</v>
      </c>
      <c r="W10" s="138" t="inlineStr">
        <is>
          <t>用户自制Blender资产</t>
        </is>
      </c>
      <c r="X10" s="375" t="inlineStr">
        <is>
          <t>—</t>
        </is>
      </c>
      <c r="Y10" s="138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t>
        </is>
      </c>
    </row>
    <row r="11">
      <c r="A11" s="138" t="inlineStr">
        <is>
          <t>WPN-GUN-BP-LAUNCHER</t>
        </is>
      </c>
      <c r="B11" s="138" t="inlineStr">
        <is>
          <t>反胃榴弹筒 / 烤面包机造型</t>
        </is>
      </c>
      <c r="C11" s="138" t="inlineStr">
        <is>
          <t>武器</t>
        </is>
      </c>
      <c r="D11" s="138" t="inlineStr">
        <is>
          <t>gunbody</t>
        </is>
      </c>
      <c r="E11" s="138" t="inlineStr">
        <is>
          <t>bp_launcher</t>
        </is>
      </c>
      <c r="F11" s="138" t="inlineStr">
        <is>
          <t>root</t>
        </is>
      </c>
      <c r="G11" s="138" t="str"/>
      <c r="H11" s="138" t="inlineStr">
        <is>
          <t>俯视3D / local -Z 枪口</t>
        </is>
      </c>
      <c r="I11" s="138" t="inlineStr">
        <is>
          <t>default / 标准握把与8类挂点</t>
        </is>
      </c>
      <c r="J11" s="138" t="inlineStr">
        <is>
          <t>手持/背负/地面/UI 共用独立PackedScene</t>
        </is>
      </c>
      <c r="K11" s="138" t="inlineStr">
        <is>
          <t>已完成</t>
        </is>
      </c>
      <c r="L11" s="138" t="inlineStr">
        <is>
          <t>P1</t>
        </is>
      </c>
      <c r="M11" s="138" t="inlineStr">
        <is>
          <t>v001</t>
        </is>
      </c>
      <c r="N11" s="138" t="inlineStr">
        <is>
          <t>握把原点；local -Z枪口；3材质；独立GLB/PackedScene</t>
        </is>
      </c>
      <c r="O11" s="138" t="inlineStr">
        <is>
          <t>assets/art/weapons/weapon_3d/runtime/toaster_launcher/wpn_toaster_launcher_root_top3d_v001.tscn</t>
        </is>
      </c>
      <c r="P11" s="138" t="inlineStr">
        <is>
          <t>assets/art/weapons/weapon_3d/source/toaster_launcher/wpn_toaster_launcher_source_v001.blend; src/combat3d/WeaponModel3D.gd</t>
        </is>
      </c>
      <c r="Q11" s="138" t="inlineStr">
        <is>
          <t>bp_launcher; 烤面包机发射器; 握把原点; -Z枪口; 通用挂点; 多巴胺配色</t>
        </is>
      </c>
      <c r="R11" s="138">
        <f>LOWER(TRIM(C11)&amp;"|"&amp;TRIM(D11)&amp;"|"&amp;TRIM(E11)&amp;"|"&amp;TRIM(F11)&amp;"|"&amp;TRIM(H11)&amp;"|"&amp;TRIM(I11))</f>
        <v/>
      </c>
      <c r="S11" s="138">
        <f>IF(COUNTIF($R$6:$R$41,R11)&gt;1,"重复","唯一")</f>
        <v/>
      </c>
      <c r="T11" s="138" t="inlineStr">
        <is>
          <t>12032855cedf0329be1addcf480b71b5d0ef59ea52c150171bc3d9ad12d2e638</t>
        </is>
      </c>
      <c r="U11" s="138" t="inlineStr">
        <is>
          <t>Codex</t>
        </is>
      </c>
      <c r="V11" s="303" t="n">
        <v>46264</v>
      </c>
      <c r="W11" s="138" t="inlineStr">
        <is>
          <t>用户自制Blender资产</t>
        </is>
      </c>
      <c r="X11" s="375" t="inlineStr">
        <is>
          <t>—</t>
        </is>
      </c>
      <c r="Y11" s="138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t>
        </is>
      </c>
    </row>
    <row r="12">
      <c r="A12" s="138" t="inlineStr">
        <is>
          <t>WPN-GUN-BP-CHARGE</t>
        </is>
      </c>
      <c r="B12" s="138" t="inlineStr">
        <is>
          <t>蓄力萝卜炮 / 口香糖机造型</t>
        </is>
      </c>
      <c r="C12" s="138" t="inlineStr">
        <is>
          <t>武器</t>
        </is>
      </c>
      <c r="D12" s="138" t="inlineStr">
        <is>
          <t>gunbody</t>
        </is>
      </c>
      <c r="E12" s="138" t="inlineStr">
        <is>
          <t>bp_charge</t>
        </is>
      </c>
      <c r="F12" s="138" t="inlineStr">
        <is>
          <t>root</t>
        </is>
      </c>
      <c r="G12" s="138" t="str"/>
      <c r="H12" s="138" t="inlineStr">
        <is>
          <t>俯视3D / local -Z 枪口</t>
        </is>
      </c>
      <c r="I12" s="138" t="inlineStr">
        <is>
          <t>default / 标准握把与8类挂点</t>
        </is>
      </c>
      <c r="J12" s="138" t="inlineStr">
        <is>
          <t>手持/背负/地面/UI 共用独立PackedScene</t>
        </is>
      </c>
      <c r="K12" s="138" t="inlineStr">
        <is>
          <t>已完成</t>
        </is>
      </c>
      <c r="L12" s="138" t="inlineStr">
        <is>
          <t>P2</t>
        </is>
      </c>
      <c r="M12" s="138" t="inlineStr">
        <is>
          <t>v001</t>
        </is>
      </c>
      <c r="N12" s="138" t="inlineStr">
        <is>
          <t>握把原点；local -Z枪口；3材质；独立GLB/PackedScene</t>
        </is>
      </c>
      <c r="O12" s="138" t="inlineStr">
        <is>
          <t>assets/art/weapons/weapon_3d/runtime/gumball_cannon/wpn_gumball_cannon_root_top3d_v001.tscn</t>
        </is>
      </c>
      <c r="P12" s="138" t="inlineStr">
        <is>
          <t>assets/art/weapons/weapon_3d/source/gumball_cannon/wpn_gumball_cannon_source_v001.blend; src/combat3d/WeaponModel3D.gd</t>
        </is>
      </c>
      <c r="Q12" s="138" t="inlineStr">
        <is>
          <t>bp_charge; 口香糖机加农炮; 握把原点; -Z枪口; 通用挂点; 多巴胺配色</t>
        </is>
      </c>
      <c r="R12" s="138">
        <f>LOWER(TRIM(C12)&amp;"|"&amp;TRIM(D12)&amp;"|"&amp;TRIM(E12)&amp;"|"&amp;TRIM(F12)&amp;"|"&amp;TRIM(H12)&amp;"|"&amp;TRIM(I12))</f>
        <v/>
      </c>
      <c r="S12" s="138">
        <f>IF(COUNTIF($R$6:$R$41,R12)&gt;1,"重复","唯一")</f>
        <v/>
      </c>
      <c r="T12" s="138" t="inlineStr">
        <is>
          <t>0a2b6d1f567042f536a25f9e6ba692c294402595000bec1a41db938904a92119</t>
        </is>
      </c>
      <c r="U12" s="138" t="inlineStr">
        <is>
          <t>Codex</t>
        </is>
      </c>
      <c r="V12" s="303" t="n">
        <v>46264</v>
      </c>
      <c r="W12" s="138" t="inlineStr">
        <is>
          <t>用户自制Blender资产</t>
        </is>
      </c>
      <c r="X12" s="375" t="inlineStr">
        <is>
          <t>—</t>
        </is>
      </c>
      <c r="Y12" s="138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t>
        </is>
      </c>
    </row>
    <row r="13">
      <c r="A13" s="138" t="inlineStr">
        <is>
          <t>WPN-BUL-MOD-BULLET-STANDARD</t>
        </is>
      </c>
      <c r="B13" s="138" t="inlineStr">
        <is>
          <t>标准子弹</t>
        </is>
      </c>
      <c r="C13" s="138" t="inlineStr">
        <is>
          <t>武器</t>
        </is>
      </c>
      <c r="D13" s="138" t="inlineStr">
        <is>
          <t>bullet_module</t>
        </is>
      </c>
      <c r="E13" s="138" t="inlineStr">
        <is>
          <t>mod_bullet_standard</t>
        </is>
      </c>
      <c r="F13" s="138" t="inlineStr">
        <is>
          <t>root</t>
        </is>
      </c>
      <c r="G13" s="138" t="str"/>
      <c r="H13" s="138" t="inlineStr">
        <is>
          <t>顶视/方向无关</t>
        </is>
      </c>
      <c r="I13" s="138" t="inlineStr">
        <is>
          <t>default</t>
        </is>
      </c>
      <c r="J13" s="138" t="inlineStr">
        <is>
          <t>弹体/VFX/UI 图标</t>
        </is>
      </c>
      <c r="K13" s="138" t="inlineStr">
        <is>
          <t>程序占位</t>
        </is>
      </c>
      <c r="L13" s="138" t="inlineStr">
        <is>
          <t>P1</t>
        </is>
      </c>
      <c r="M13" s="138" t="inlineStr">
        <is>
          <t>v001</t>
        </is>
      </c>
      <c r="N13" s="138" t="inlineStr">
        <is>
          <t>建议 12×12 px</t>
        </is>
      </c>
      <c r="O13" s="138" t="str"/>
      <c r="P13" s="138" t="inlineStr">
        <is>
          <t>src/base/BlueprintRegistry.gd</t>
        </is>
      </c>
      <c r="Q13" s="138" t="str"/>
      <c r="R13" s="138">
        <f>LOWER(TRIM(C13)&amp;"|"&amp;TRIM(D13)&amp;"|"&amp;TRIM(E13)&amp;"|"&amp;TRIM(F13)&amp;"|"&amp;TRIM(H13)&amp;"|"&amp;TRIM(I13))</f>
        <v/>
      </c>
      <c r="S13" s="138">
        <f>IF(COUNTIF($R$6:$R$41,R13)&gt;1,"重复","唯一")</f>
        <v/>
      </c>
      <c r="T13" s="138" t="str"/>
      <c r="U13" s="138" t="inlineStr">
        <is>
          <t>待分配</t>
        </is>
      </c>
      <c r="V13" s="303" t="n">
        <v>46224</v>
      </c>
      <c r="W13" s="138" t="inlineStr">
        <is>
          <t>原创/待确认</t>
        </is>
      </c>
      <c r="X13" s="375" t="inlineStr">
        <is>
          <t>—</t>
        </is>
      </c>
      <c r="Y13" s="138" t="inlineStr">
        <is>
          <t>优先复用颜色和弹道特效，不为每把枪重复制作
2026-08-30 AST-01规范化（原大类：枪械）</t>
        </is>
      </c>
    </row>
    <row r="14">
      <c r="A14" s="138" t="inlineStr">
        <is>
          <t>WPN-BUL-MOD-BULLET-STICKY</t>
        </is>
      </c>
      <c r="B14" s="138" t="inlineStr">
        <is>
          <t>黏黏弹</t>
        </is>
      </c>
      <c r="C14" s="138" t="inlineStr">
        <is>
          <t>武器</t>
        </is>
      </c>
      <c r="D14" s="138" t="inlineStr">
        <is>
          <t>bullet_module</t>
        </is>
      </c>
      <c r="E14" s="138" t="inlineStr">
        <is>
          <t>mod_bullet_sticky</t>
        </is>
      </c>
      <c r="F14" s="138" t="inlineStr">
        <is>
          <t>root</t>
        </is>
      </c>
      <c r="G14" s="138" t="str"/>
      <c r="H14" s="138" t="inlineStr">
        <is>
          <t>顶视/方向无关</t>
        </is>
      </c>
      <c r="I14" s="138" t="inlineStr">
        <is>
          <t>default</t>
        </is>
      </c>
      <c r="J14" s="138" t="inlineStr">
        <is>
          <t>弹体/VFX/UI 图标</t>
        </is>
      </c>
      <c r="K14" s="138" t="inlineStr">
        <is>
          <t>程序占位</t>
        </is>
      </c>
      <c r="L14" s="138" t="inlineStr">
        <is>
          <t>P1</t>
        </is>
      </c>
      <c r="M14" s="138" t="inlineStr">
        <is>
          <t>v001</t>
        </is>
      </c>
      <c r="N14" s="138" t="inlineStr">
        <is>
          <t>建议 12×12 px</t>
        </is>
      </c>
      <c r="O14" s="138" t="str"/>
      <c r="P14" s="138" t="inlineStr">
        <is>
          <t>src/base/BlueprintRegistry.gd</t>
        </is>
      </c>
      <c r="Q14" s="138" t="str"/>
      <c r="R14" s="138">
        <f>LOWER(TRIM(C14)&amp;"|"&amp;TRIM(D14)&amp;"|"&amp;TRIM(E14)&amp;"|"&amp;TRIM(F14)&amp;"|"&amp;TRIM(H14)&amp;"|"&amp;TRIM(I14))</f>
        <v/>
      </c>
      <c r="S14" s="138">
        <f>IF(COUNTIF($R$6:$R$41,R14)&gt;1,"重复","唯一")</f>
        <v/>
      </c>
      <c r="T14" s="138" t="str"/>
      <c r="U14" s="138" t="inlineStr">
        <is>
          <t>待分配</t>
        </is>
      </c>
      <c r="V14" s="303" t="n">
        <v>46224</v>
      </c>
      <c r="W14" s="138" t="inlineStr">
        <is>
          <t>原创/待确认</t>
        </is>
      </c>
      <c r="X14" s="375" t="inlineStr">
        <is>
          <t>—</t>
        </is>
      </c>
      <c r="Y14" s="138" t="inlineStr">
        <is>
          <t>优先复用颜色和弹道特效，不为每把枪重复制作
2026-08-30 AST-01规范化（原大类：枪械）</t>
        </is>
      </c>
    </row>
    <row r="15">
      <c r="A15" s="138" t="inlineStr">
        <is>
          <t>WPN-BUL-MOD-BULLET-BOUNCE</t>
        </is>
      </c>
      <c r="B15" s="138" t="inlineStr">
        <is>
          <t>回旋镖弹</t>
        </is>
      </c>
      <c r="C15" s="138" t="inlineStr">
        <is>
          <t>武器</t>
        </is>
      </c>
      <c r="D15" s="138" t="inlineStr">
        <is>
          <t>bullet_module</t>
        </is>
      </c>
      <c r="E15" s="138" t="inlineStr">
        <is>
          <t>mod_bullet_bounce</t>
        </is>
      </c>
      <c r="F15" s="138" t="inlineStr">
        <is>
          <t>root</t>
        </is>
      </c>
      <c r="G15" s="138" t="str"/>
      <c r="H15" s="138" t="inlineStr">
        <is>
          <t>顶视/方向无关</t>
        </is>
      </c>
      <c r="I15" s="138" t="inlineStr">
        <is>
          <t>default</t>
        </is>
      </c>
      <c r="J15" s="138" t="inlineStr">
        <is>
          <t>弹体/VFX/UI 图标</t>
        </is>
      </c>
      <c r="K15" s="138" t="inlineStr">
        <is>
          <t>程序占位</t>
        </is>
      </c>
      <c r="L15" s="138" t="inlineStr">
        <is>
          <t>P1</t>
        </is>
      </c>
      <c r="M15" s="138" t="inlineStr">
        <is>
          <t>v001</t>
        </is>
      </c>
      <c r="N15" s="138" t="inlineStr">
        <is>
          <t>建议 12×12 px</t>
        </is>
      </c>
      <c r="O15" s="138" t="str"/>
      <c r="P15" s="138" t="inlineStr">
        <is>
          <t>src/base/BlueprintRegistry.gd</t>
        </is>
      </c>
      <c r="Q15" s="138" t="str"/>
      <c r="R15" s="138">
        <f>LOWER(TRIM(C15)&amp;"|"&amp;TRIM(D15)&amp;"|"&amp;TRIM(E15)&amp;"|"&amp;TRIM(F15)&amp;"|"&amp;TRIM(H15)&amp;"|"&amp;TRIM(I15))</f>
        <v/>
      </c>
      <c r="S15" s="138">
        <f>IF(COUNTIF($R$6:$R$41,R15)&gt;1,"重复","唯一")</f>
        <v/>
      </c>
      <c r="T15" s="138" t="str"/>
      <c r="U15" s="138" t="inlineStr">
        <is>
          <t>待分配</t>
        </is>
      </c>
      <c r="V15" s="303" t="n">
        <v>46224</v>
      </c>
      <c r="W15" s="138" t="inlineStr">
        <is>
          <t>原创/待确认</t>
        </is>
      </c>
      <c r="X15" s="375" t="inlineStr">
        <is>
          <t>—</t>
        </is>
      </c>
      <c r="Y15" s="138" t="inlineStr">
        <is>
          <t>优先复用颜色和弹道特效，不为每把枪重复制作
2026-08-30 AST-01规范化（原大类：枪械）</t>
        </is>
      </c>
    </row>
    <row r="16">
      <c r="A16" s="138" t="inlineStr">
        <is>
          <t>WPN-BUL-MOD-BULLET-PIERCING</t>
        </is>
      </c>
      <c r="B16" s="138" t="inlineStr">
        <is>
          <t>穿甲弹</t>
        </is>
      </c>
      <c r="C16" s="138" t="inlineStr">
        <is>
          <t>武器</t>
        </is>
      </c>
      <c r="D16" s="138" t="inlineStr">
        <is>
          <t>bullet_module</t>
        </is>
      </c>
      <c r="E16" s="138" t="inlineStr">
        <is>
          <t>mod_bullet_piercing</t>
        </is>
      </c>
      <c r="F16" s="138" t="inlineStr">
        <is>
          <t>root</t>
        </is>
      </c>
      <c r="G16" s="138" t="str"/>
      <c r="H16" s="138" t="inlineStr">
        <is>
          <t>顶视/方向无关</t>
        </is>
      </c>
      <c r="I16" s="138" t="inlineStr">
        <is>
          <t>default</t>
        </is>
      </c>
      <c r="J16" s="138" t="inlineStr">
        <is>
          <t>弹体/VFX/UI 图标</t>
        </is>
      </c>
      <c r="K16" s="138" t="inlineStr">
        <is>
          <t>程序占位</t>
        </is>
      </c>
      <c r="L16" s="138" t="inlineStr">
        <is>
          <t>P1</t>
        </is>
      </c>
      <c r="M16" s="138" t="inlineStr">
        <is>
          <t>v001</t>
        </is>
      </c>
      <c r="N16" s="138" t="inlineStr">
        <is>
          <t>建议 12×12 px</t>
        </is>
      </c>
      <c r="O16" s="138" t="str"/>
      <c r="P16" s="138" t="inlineStr">
        <is>
          <t>src/base/BlueprintRegistry.gd</t>
        </is>
      </c>
      <c r="Q16" s="138" t="str"/>
      <c r="R16" s="138">
        <f>LOWER(TRIM(C16)&amp;"|"&amp;TRIM(D16)&amp;"|"&amp;TRIM(E16)&amp;"|"&amp;TRIM(F16)&amp;"|"&amp;TRIM(H16)&amp;"|"&amp;TRIM(I16))</f>
        <v/>
      </c>
      <c r="S16" s="138">
        <f>IF(COUNTIF($R$6:$R$41,R16)&gt;1,"重复","唯一")</f>
        <v/>
      </c>
      <c r="T16" s="138" t="str"/>
      <c r="U16" s="138" t="inlineStr">
        <is>
          <t>待分配</t>
        </is>
      </c>
      <c r="V16" s="303" t="n">
        <v>46224</v>
      </c>
      <c r="W16" s="138" t="inlineStr">
        <is>
          <t>原创/待确认</t>
        </is>
      </c>
      <c r="X16" s="375" t="inlineStr">
        <is>
          <t>—</t>
        </is>
      </c>
      <c r="Y16" s="138" t="inlineStr">
        <is>
          <t>优先复用颜色和弹道特效，不为每把枪重复制作
2026-08-30 AST-01规范化（原大类：枪械）</t>
        </is>
      </c>
    </row>
    <row r="17">
      <c r="A17" s="138" t="inlineStr">
        <is>
          <t>WPN-BUL-MOD-BULLET-EXPLOSIVE</t>
        </is>
      </c>
      <c r="B17" s="138" t="inlineStr">
        <is>
          <t>爆炸弹</t>
        </is>
      </c>
      <c r="C17" s="138" t="inlineStr">
        <is>
          <t>武器</t>
        </is>
      </c>
      <c r="D17" s="138" t="inlineStr">
        <is>
          <t>bullet_module</t>
        </is>
      </c>
      <c r="E17" s="138" t="inlineStr">
        <is>
          <t>mod_bullet_explosive</t>
        </is>
      </c>
      <c r="F17" s="138" t="inlineStr">
        <is>
          <t>root</t>
        </is>
      </c>
      <c r="G17" s="138" t="str"/>
      <c r="H17" s="138" t="inlineStr">
        <is>
          <t>顶视/方向无关</t>
        </is>
      </c>
      <c r="I17" s="138" t="inlineStr">
        <is>
          <t>default</t>
        </is>
      </c>
      <c r="J17" s="138" t="inlineStr">
        <is>
          <t>弹体/VFX/UI 图标</t>
        </is>
      </c>
      <c r="K17" s="138" t="inlineStr">
        <is>
          <t>程序占位</t>
        </is>
      </c>
      <c r="L17" s="138" t="inlineStr">
        <is>
          <t>P1</t>
        </is>
      </c>
      <c r="M17" s="138" t="inlineStr">
        <is>
          <t>v001</t>
        </is>
      </c>
      <c r="N17" s="138" t="inlineStr">
        <is>
          <t>建议 12×12 px</t>
        </is>
      </c>
      <c r="O17" s="138" t="str"/>
      <c r="P17" s="138" t="inlineStr">
        <is>
          <t>src/base/BlueprintRegistry.gd</t>
        </is>
      </c>
      <c r="Q17" s="138" t="str"/>
      <c r="R17" s="138">
        <f>LOWER(TRIM(C17)&amp;"|"&amp;TRIM(D17)&amp;"|"&amp;TRIM(E17)&amp;"|"&amp;TRIM(F17)&amp;"|"&amp;TRIM(H17)&amp;"|"&amp;TRIM(I17))</f>
        <v/>
      </c>
      <c r="S17" s="138">
        <f>IF(COUNTIF($R$6:$R$41,R17)&gt;1,"重复","唯一")</f>
        <v/>
      </c>
      <c r="T17" s="138" t="str"/>
      <c r="U17" s="138" t="inlineStr">
        <is>
          <t>待分配</t>
        </is>
      </c>
      <c r="V17" s="303" t="n">
        <v>46224</v>
      </c>
      <c r="W17" s="138" t="inlineStr">
        <is>
          <t>原创/待确认</t>
        </is>
      </c>
      <c r="X17" s="375" t="inlineStr">
        <is>
          <t>—</t>
        </is>
      </c>
      <c r="Y17" s="138" t="inlineStr">
        <is>
          <t>优先复用颜色和弹道特效，不为每把枪重复制作
2026-08-30 AST-01规范化（原大类：枪械）</t>
        </is>
      </c>
    </row>
    <row r="18">
      <c r="A18" s="138" t="inlineStr">
        <is>
          <t>WPN-BUL-MOD-BULLET-HOMING</t>
        </is>
      </c>
      <c r="B18" s="138" t="inlineStr">
        <is>
          <t>蜂卵弹</t>
        </is>
      </c>
      <c r="C18" s="138" t="inlineStr">
        <is>
          <t>武器</t>
        </is>
      </c>
      <c r="D18" s="138" t="inlineStr">
        <is>
          <t>bullet_module</t>
        </is>
      </c>
      <c r="E18" s="138" t="inlineStr">
        <is>
          <t>mod_bullet_homing</t>
        </is>
      </c>
      <c r="F18" s="138" t="inlineStr">
        <is>
          <t>root</t>
        </is>
      </c>
      <c r="G18" s="138" t="str"/>
      <c r="H18" s="138" t="inlineStr">
        <is>
          <t>顶视/方向无关</t>
        </is>
      </c>
      <c r="I18" s="138" t="inlineStr">
        <is>
          <t>default</t>
        </is>
      </c>
      <c r="J18" s="138" t="inlineStr">
        <is>
          <t>弹体/VFX/UI 图标</t>
        </is>
      </c>
      <c r="K18" s="138" t="inlineStr">
        <is>
          <t>程序占位</t>
        </is>
      </c>
      <c r="L18" s="138" t="inlineStr">
        <is>
          <t>P1</t>
        </is>
      </c>
      <c r="M18" s="138" t="inlineStr">
        <is>
          <t>v001</t>
        </is>
      </c>
      <c r="N18" s="138" t="inlineStr">
        <is>
          <t>建议 12×12 px</t>
        </is>
      </c>
      <c r="O18" s="138" t="str"/>
      <c r="P18" s="138" t="inlineStr">
        <is>
          <t>src/base/BlueprintRegistry.gd</t>
        </is>
      </c>
      <c r="Q18" s="138" t="str"/>
      <c r="R18" s="138">
        <f>LOWER(TRIM(C18)&amp;"|"&amp;TRIM(D18)&amp;"|"&amp;TRIM(E18)&amp;"|"&amp;TRIM(F18)&amp;"|"&amp;TRIM(H18)&amp;"|"&amp;TRIM(I18))</f>
        <v/>
      </c>
      <c r="S18" s="138">
        <f>IF(COUNTIF($R$6:$R$41,R18)&gt;1,"重复","唯一")</f>
        <v/>
      </c>
      <c r="T18" s="138" t="str"/>
      <c r="U18" s="138" t="inlineStr">
        <is>
          <t>待分配</t>
        </is>
      </c>
      <c r="V18" s="303" t="n">
        <v>46224</v>
      </c>
      <c r="W18" s="138" t="inlineStr">
        <is>
          <t>原创/待确认</t>
        </is>
      </c>
      <c r="X18" s="375" t="inlineStr">
        <is>
          <t>—</t>
        </is>
      </c>
      <c r="Y18" s="138" t="inlineStr">
        <is>
          <t>优先复用颜色和弹道特效，不为每把枪重复制作
2026-08-30 AST-01规范化（原大类：枪械）</t>
        </is>
      </c>
    </row>
    <row r="19">
      <c r="A19" s="138" t="inlineStr">
        <is>
          <t>WPN-BUL-MOD-BULLET-BLACKHOLE</t>
        </is>
      </c>
      <c r="B19" s="138" t="inlineStr">
        <is>
          <t>黑洞弹</t>
        </is>
      </c>
      <c r="C19" s="138" t="inlineStr">
        <is>
          <t>武器</t>
        </is>
      </c>
      <c r="D19" s="138" t="inlineStr">
        <is>
          <t>bullet_module</t>
        </is>
      </c>
      <c r="E19" s="138" t="inlineStr">
        <is>
          <t>mod_bullet_blackhole</t>
        </is>
      </c>
      <c r="F19" s="138" t="inlineStr">
        <is>
          <t>root</t>
        </is>
      </c>
      <c r="G19" s="138" t="str"/>
      <c r="H19" s="138" t="inlineStr">
        <is>
          <t>顶视/方向无关</t>
        </is>
      </c>
      <c r="I19" s="138" t="inlineStr">
        <is>
          <t>default</t>
        </is>
      </c>
      <c r="J19" s="138" t="inlineStr">
        <is>
          <t>弹体/VFX/UI 图标</t>
        </is>
      </c>
      <c r="K19" s="138" t="inlineStr">
        <is>
          <t>程序占位</t>
        </is>
      </c>
      <c r="L19" s="138" t="inlineStr">
        <is>
          <t>P1</t>
        </is>
      </c>
      <c r="M19" s="138" t="inlineStr">
        <is>
          <t>v001</t>
        </is>
      </c>
      <c r="N19" s="138" t="inlineStr">
        <is>
          <t>建议 12×12 px</t>
        </is>
      </c>
      <c r="O19" s="138" t="str"/>
      <c r="P19" s="138" t="inlineStr">
        <is>
          <t>src/base/BlueprintRegistry.gd</t>
        </is>
      </c>
      <c r="Q19" s="138" t="str"/>
      <c r="R19" s="138">
        <f>LOWER(TRIM(C19)&amp;"|"&amp;TRIM(D19)&amp;"|"&amp;TRIM(E19)&amp;"|"&amp;TRIM(F19)&amp;"|"&amp;TRIM(H19)&amp;"|"&amp;TRIM(I19))</f>
        <v/>
      </c>
      <c r="S19" s="138">
        <f>IF(COUNTIF($R$6:$R$41,R19)&gt;1,"重复","唯一")</f>
        <v/>
      </c>
      <c r="T19" s="138" t="str"/>
      <c r="U19" s="138" t="inlineStr">
        <is>
          <t>待分配</t>
        </is>
      </c>
      <c r="V19" s="303" t="n">
        <v>46224</v>
      </c>
      <c r="W19" s="138" t="inlineStr">
        <is>
          <t>原创/待确认</t>
        </is>
      </c>
      <c r="X19" s="375" t="inlineStr">
        <is>
          <t>—</t>
        </is>
      </c>
      <c r="Y19" s="138" t="inlineStr">
        <is>
          <t>优先复用颜色和弹道特效，不为每把枪重复制作
2026-08-30 AST-01规范化（原大类：枪械）</t>
        </is>
      </c>
    </row>
    <row r="20">
      <c r="A20" s="138" t="inlineStr">
        <is>
          <t>WPN-BUL-MOD-BULLET-BALLOON</t>
        </is>
      </c>
      <c r="B20" s="138" t="inlineStr">
        <is>
          <t>气球弹</t>
        </is>
      </c>
      <c r="C20" s="138" t="inlineStr">
        <is>
          <t>武器</t>
        </is>
      </c>
      <c r="D20" s="138" t="inlineStr">
        <is>
          <t>bullet_module</t>
        </is>
      </c>
      <c r="E20" s="138" t="inlineStr">
        <is>
          <t>mod_bullet_balloon</t>
        </is>
      </c>
      <c r="F20" s="138" t="inlineStr">
        <is>
          <t>root</t>
        </is>
      </c>
      <c r="G20" s="138" t="str"/>
      <c r="H20" s="138" t="inlineStr">
        <is>
          <t>顶视/方向无关</t>
        </is>
      </c>
      <c r="I20" s="138" t="inlineStr">
        <is>
          <t>default</t>
        </is>
      </c>
      <c r="J20" s="138" t="inlineStr">
        <is>
          <t>弹体/VFX/UI 图标</t>
        </is>
      </c>
      <c r="K20" s="138" t="inlineStr">
        <is>
          <t>程序占位</t>
        </is>
      </c>
      <c r="L20" s="138" t="inlineStr">
        <is>
          <t>P1</t>
        </is>
      </c>
      <c r="M20" s="138" t="inlineStr">
        <is>
          <t>v001</t>
        </is>
      </c>
      <c r="N20" s="138" t="inlineStr">
        <is>
          <t>建议 12×12 px</t>
        </is>
      </c>
      <c r="O20" s="138" t="str"/>
      <c r="P20" s="138" t="inlineStr">
        <is>
          <t>src/base/BlueprintRegistry.gd</t>
        </is>
      </c>
      <c r="Q20" s="138" t="str"/>
      <c r="R20" s="138">
        <f>LOWER(TRIM(C20)&amp;"|"&amp;TRIM(D20)&amp;"|"&amp;TRIM(E20)&amp;"|"&amp;TRIM(F20)&amp;"|"&amp;TRIM(H20)&amp;"|"&amp;TRIM(I20))</f>
        <v/>
      </c>
      <c r="S20" s="138">
        <f>IF(COUNTIF($R$6:$R$41,R20)&gt;1,"重复","唯一")</f>
        <v/>
      </c>
      <c r="T20" s="138" t="str"/>
      <c r="U20" s="138" t="inlineStr">
        <is>
          <t>待分配</t>
        </is>
      </c>
      <c r="V20" s="303" t="n">
        <v>46224</v>
      </c>
      <c r="W20" s="138" t="inlineStr">
        <is>
          <t>原创/待确认</t>
        </is>
      </c>
      <c r="X20" s="375" t="inlineStr">
        <is>
          <t>—</t>
        </is>
      </c>
      <c r="Y20" s="138" t="inlineStr">
        <is>
          <t>优先复用颜色和弹道特效，不为每把枪重复制作
2026-08-30 AST-01规范化（原大类：枪械）</t>
        </is>
      </c>
    </row>
    <row r="21">
      <c r="A21" s="138" t="inlineStr">
        <is>
          <t>WPN-ATT-ATTACH-TRIPLE-MUZZLE</t>
        </is>
      </c>
      <c r="B21" s="138" t="inlineStr">
        <is>
          <t>三叉枪口</t>
        </is>
      </c>
      <c r="C21" s="138" t="inlineStr">
        <is>
          <t>武器</t>
        </is>
      </c>
      <c r="D21" s="138" t="inlineStr">
        <is>
          <t>attachment</t>
        </is>
      </c>
      <c r="E21" s="138" t="inlineStr">
        <is>
          <t>attach_triple_muzzle</t>
        </is>
      </c>
      <c r="F21" s="138" t="inlineStr">
        <is>
          <t>root</t>
        </is>
      </c>
      <c r="G21" s="138" t="str"/>
      <c r="H21" s="138" t="inlineStr">
        <is>
          <t>侧面朝右</t>
        </is>
      </c>
      <c r="I21" s="138" t="inlineStr">
        <is>
          <t>default</t>
        </is>
      </c>
      <c r="J21" s="138" t="inlineStr">
        <is>
          <t>装配树/枪身/UI 图标</t>
        </is>
      </c>
      <c r="K21" s="138" t="inlineStr">
        <is>
          <t>程序占位</t>
        </is>
      </c>
      <c r="L21" s="138" t="inlineStr">
        <is>
          <t>P2</t>
        </is>
      </c>
      <c r="M21" s="138" t="inlineStr">
        <is>
          <t>v001</t>
        </is>
      </c>
      <c r="N21" s="138" t="inlineStr">
        <is>
          <t>建议 12–24 px</t>
        </is>
      </c>
      <c r="O21" s="138" t="str"/>
      <c r="P21" s="138" t="inlineStr">
        <is>
          <t>src/base/BlueprintRegistry.gd</t>
        </is>
      </c>
      <c r="Q21" s="138" t="str"/>
      <c r="R21" s="138">
        <f>LOWER(TRIM(C21)&amp;"|"&amp;TRIM(D21)&amp;"|"&amp;TRIM(E21)&amp;"|"&amp;TRIM(F21)&amp;"|"&amp;TRIM(H21)&amp;"|"&amp;TRIM(I21))</f>
        <v/>
      </c>
      <c r="S21" s="138">
        <f>IF(COUNTIF($R$6:$R$41,R21)&gt;1,"重复","唯一")</f>
        <v/>
      </c>
      <c r="T21" s="138" t="str"/>
      <c r="U21" s="138" t="inlineStr">
        <is>
          <t>待分配</t>
        </is>
      </c>
      <c r="V21" s="303" t="n">
        <v>46224</v>
      </c>
      <c r="W21" s="138" t="inlineStr">
        <is>
          <t>原创/待确认</t>
        </is>
      </c>
      <c r="X21" s="375" t="inlineStr">
        <is>
          <t>—</t>
        </is>
      </c>
      <c r="Y21" s="138" t="inlineStr">
        <is>
          <t>以挂点部件制作，不烘焙进整枪
2026-08-30 AST-01规范化（原大类：枪械）</t>
        </is>
      </c>
    </row>
    <row r="22">
      <c r="A22" s="138" t="inlineStr">
        <is>
          <t>WPN-ATT-ATTACH-RUBBER-STOCK</t>
        </is>
      </c>
      <c r="B22" s="138" t="inlineStr">
        <is>
          <t>橡皮枪托</t>
        </is>
      </c>
      <c r="C22" s="138" t="inlineStr">
        <is>
          <t>武器</t>
        </is>
      </c>
      <c r="D22" s="138" t="inlineStr">
        <is>
          <t>attachment</t>
        </is>
      </c>
      <c r="E22" s="138" t="inlineStr">
        <is>
          <t>attach_rubber_stock</t>
        </is>
      </c>
      <c r="F22" s="138" t="inlineStr">
        <is>
          <t>root</t>
        </is>
      </c>
      <c r="G22" s="138" t="str"/>
      <c r="H22" s="138" t="inlineStr">
        <is>
          <t>侧面朝右</t>
        </is>
      </c>
      <c r="I22" s="138" t="inlineStr">
        <is>
          <t>default</t>
        </is>
      </c>
      <c r="J22" s="138" t="inlineStr">
        <is>
          <t>装配树/枪身/UI 图标</t>
        </is>
      </c>
      <c r="K22" s="138" t="inlineStr">
        <is>
          <t>程序占位</t>
        </is>
      </c>
      <c r="L22" s="138" t="inlineStr">
        <is>
          <t>P2</t>
        </is>
      </c>
      <c r="M22" s="138" t="inlineStr">
        <is>
          <t>v001</t>
        </is>
      </c>
      <c r="N22" s="138" t="inlineStr">
        <is>
          <t>建议 12–24 px</t>
        </is>
      </c>
      <c r="O22" s="138" t="str"/>
      <c r="P22" s="138" t="inlineStr">
        <is>
          <t>src/base/BlueprintRegistry.gd</t>
        </is>
      </c>
      <c r="Q22" s="138" t="str"/>
      <c r="R22" s="138">
        <f>LOWER(TRIM(C22)&amp;"|"&amp;TRIM(D22)&amp;"|"&amp;TRIM(E22)&amp;"|"&amp;TRIM(F22)&amp;"|"&amp;TRIM(H22)&amp;"|"&amp;TRIM(I22))</f>
        <v/>
      </c>
      <c r="S22" s="138">
        <f>IF(COUNTIF($R$6:$R$41,R22)&gt;1,"重复","唯一")</f>
        <v/>
      </c>
      <c r="T22" s="138" t="str"/>
      <c r="U22" s="138" t="inlineStr">
        <is>
          <t>待分配</t>
        </is>
      </c>
      <c r="V22" s="303" t="n">
        <v>46224</v>
      </c>
      <c r="W22" s="138" t="inlineStr">
        <is>
          <t>原创/待确认</t>
        </is>
      </c>
      <c r="X22" s="375" t="inlineStr">
        <is>
          <t>—</t>
        </is>
      </c>
      <c r="Y22" s="138" t="inlineStr">
        <is>
          <t>以挂点部件制作，不烘焙进整枪
2026-08-30 AST-01规范化（原大类：枪械）</t>
        </is>
      </c>
    </row>
    <row r="23">
      <c r="A23" s="138" t="inlineStr">
        <is>
          <t>WPN-ATT-ATTACH-SCOPE</t>
        </is>
      </c>
      <c r="B23" s="138" t="inlineStr">
        <is>
          <t>放大镜瞄具</t>
        </is>
      </c>
      <c r="C23" s="138" t="inlineStr">
        <is>
          <t>武器</t>
        </is>
      </c>
      <c r="D23" s="138" t="inlineStr">
        <is>
          <t>attachment</t>
        </is>
      </c>
      <c r="E23" s="138" t="inlineStr">
        <is>
          <t>attach_scope</t>
        </is>
      </c>
      <c r="F23" s="138" t="inlineStr">
        <is>
          <t>root</t>
        </is>
      </c>
      <c r="G23" s="138" t="str"/>
      <c r="H23" s="138" t="inlineStr">
        <is>
          <t>侧面朝右</t>
        </is>
      </c>
      <c r="I23" s="138" t="inlineStr">
        <is>
          <t>default</t>
        </is>
      </c>
      <c r="J23" s="138" t="inlineStr">
        <is>
          <t>装配树/枪身/UI 图标</t>
        </is>
      </c>
      <c r="K23" s="138" t="inlineStr">
        <is>
          <t>程序占位</t>
        </is>
      </c>
      <c r="L23" s="138" t="inlineStr">
        <is>
          <t>P2</t>
        </is>
      </c>
      <c r="M23" s="138" t="inlineStr">
        <is>
          <t>v001</t>
        </is>
      </c>
      <c r="N23" s="138" t="inlineStr">
        <is>
          <t>建议 12–24 px</t>
        </is>
      </c>
      <c r="O23" s="138" t="str"/>
      <c r="P23" s="138" t="inlineStr">
        <is>
          <t>src/base/BlueprintRegistry.gd</t>
        </is>
      </c>
      <c r="Q23" s="138" t="str"/>
      <c r="R23" s="138">
        <f>LOWER(TRIM(C23)&amp;"|"&amp;TRIM(D23)&amp;"|"&amp;TRIM(E23)&amp;"|"&amp;TRIM(F23)&amp;"|"&amp;TRIM(H23)&amp;"|"&amp;TRIM(I23))</f>
        <v/>
      </c>
      <c r="S23" s="138">
        <f>IF(COUNTIF($R$6:$R$41,R23)&gt;1,"重复","唯一")</f>
        <v/>
      </c>
      <c r="T23" s="138" t="str"/>
      <c r="U23" s="138" t="inlineStr">
        <is>
          <t>待分配</t>
        </is>
      </c>
      <c r="V23" s="303" t="n">
        <v>46224</v>
      </c>
      <c r="W23" s="138" t="inlineStr">
        <is>
          <t>原创/待确认</t>
        </is>
      </c>
      <c r="X23" s="375" t="inlineStr">
        <is>
          <t>—</t>
        </is>
      </c>
      <c r="Y23" s="138" t="inlineStr">
        <is>
          <t>以挂点部件制作，不烘焙进整枪
2026-08-30 AST-01规范化（原大类：枪械）</t>
        </is>
      </c>
    </row>
    <row r="24">
      <c r="A24" s="138" t="inlineStr">
        <is>
          <t>WPN-ATT-ATTACH-BIG-MAG</t>
        </is>
      </c>
      <c r="B24" s="138" t="inlineStr">
        <is>
          <t>肉质弹匣</t>
        </is>
      </c>
      <c r="C24" s="138" t="inlineStr">
        <is>
          <t>武器</t>
        </is>
      </c>
      <c r="D24" s="138" t="inlineStr">
        <is>
          <t>attachment</t>
        </is>
      </c>
      <c r="E24" s="138" t="inlineStr">
        <is>
          <t>attach_big_mag</t>
        </is>
      </c>
      <c r="F24" s="138" t="inlineStr">
        <is>
          <t>root</t>
        </is>
      </c>
      <c r="G24" s="138" t="str"/>
      <c r="H24" s="138" t="inlineStr">
        <is>
          <t>侧面朝右</t>
        </is>
      </c>
      <c r="I24" s="138" t="inlineStr">
        <is>
          <t>default</t>
        </is>
      </c>
      <c r="J24" s="138" t="inlineStr">
        <is>
          <t>装配树/枪身/UI 图标</t>
        </is>
      </c>
      <c r="K24" s="138" t="inlineStr">
        <is>
          <t>程序占位</t>
        </is>
      </c>
      <c r="L24" s="138" t="inlineStr">
        <is>
          <t>P2</t>
        </is>
      </c>
      <c r="M24" s="138" t="inlineStr">
        <is>
          <t>v001</t>
        </is>
      </c>
      <c r="N24" s="138" t="inlineStr">
        <is>
          <t>建议 12–24 px</t>
        </is>
      </c>
      <c r="O24" s="138" t="str"/>
      <c r="P24" s="138" t="inlineStr">
        <is>
          <t>src/base/BlueprintRegistry.gd</t>
        </is>
      </c>
      <c r="Q24" s="138" t="str"/>
      <c r="R24" s="138">
        <f>LOWER(TRIM(C24)&amp;"|"&amp;TRIM(D24)&amp;"|"&amp;TRIM(E24)&amp;"|"&amp;TRIM(F24)&amp;"|"&amp;TRIM(H24)&amp;"|"&amp;TRIM(I24))</f>
        <v/>
      </c>
      <c r="S24" s="138">
        <f>IF(COUNTIF($R$6:$R$41,R24)&gt;1,"重复","唯一")</f>
        <v/>
      </c>
      <c r="T24" s="138" t="str"/>
      <c r="U24" s="138" t="inlineStr">
        <is>
          <t>待分配</t>
        </is>
      </c>
      <c r="V24" s="303" t="n">
        <v>46224</v>
      </c>
      <c r="W24" s="138" t="inlineStr">
        <is>
          <t>原创/待确认</t>
        </is>
      </c>
      <c r="X24" s="375" t="inlineStr">
        <is>
          <t>—</t>
        </is>
      </c>
      <c r="Y24" s="138" t="inlineStr">
        <is>
          <t>以挂点部件制作，不烘焙进整枪
2026-08-30 AST-01规范化（原大类：枪械）</t>
        </is>
      </c>
    </row>
    <row r="25">
      <c r="A25" s="138" t="inlineStr">
        <is>
          <t>WPN-ATT-ATTACH-FAN</t>
        </is>
      </c>
      <c r="B25" s="138" t="inlineStr">
        <is>
          <t>小风扇</t>
        </is>
      </c>
      <c r="C25" s="138" t="inlineStr">
        <is>
          <t>武器</t>
        </is>
      </c>
      <c r="D25" s="138" t="inlineStr">
        <is>
          <t>attachment</t>
        </is>
      </c>
      <c r="E25" s="138" t="inlineStr">
        <is>
          <t>attach_fan</t>
        </is>
      </c>
      <c r="F25" s="138" t="inlineStr">
        <is>
          <t>root</t>
        </is>
      </c>
      <c r="G25" s="138" t="str"/>
      <c r="H25" s="138" t="inlineStr">
        <is>
          <t>侧面朝右</t>
        </is>
      </c>
      <c r="I25" s="138" t="inlineStr">
        <is>
          <t>default</t>
        </is>
      </c>
      <c r="J25" s="138" t="inlineStr">
        <is>
          <t>装配树/枪身/UI 图标</t>
        </is>
      </c>
      <c r="K25" s="138" t="inlineStr">
        <is>
          <t>程序占位</t>
        </is>
      </c>
      <c r="L25" s="138" t="inlineStr">
        <is>
          <t>P2</t>
        </is>
      </c>
      <c r="M25" s="138" t="inlineStr">
        <is>
          <t>v001</t>
        </is>
      </c>
      <c r="N25" s="138" t="inlineStr">
        <is>
          <t>建议 12–24 px</t>
        </is>
      </c>
      <c r="O25" s="138" t="str"/>
      <c r="P25" s="138" t="inlineStr">
        <is>
          <t>src/base/BlueprintRegistry.gd</t>
        </is>
      </c>
      <c r="Q25" s="138" t="str"/>
      <c r="R25" s="138">
        <f>LOWER(TRIM(C25)&amp;"|"&amp;TRIM(D25)&amp;"|"&amp;TRIM(E25)&amp;"|"&amp;TRIM(F25)&amp;"|"&amp;TRIM(H25)&amp;"|"&amp;TRIM(I25))</f>
        <v/>
      </c>
      <c r="S25" s="138">
        <f>IF(COUNTIF($R$6:$R$41,R25)&gt;1,"重复","唯一")</f>
        <v/>
      </c>
      <c r="T25" s="138" t="str"/>
      <c r="U25" s="138" t="inlineStr">
        <is>
          <t>待分配</t>
        </is>
      </c>
      <c r="V25" s="303" t="n">
        <v>46224</v>
      </c>
      <c r="W25" s="138" t="inlineStr">
        <is>
          <t>原创/待确认</t>
        </is>
      </c>
      <c r="X25" s="375" t="inlineStr">
        <is>
          <t>—</t>
        </is>
      </c>
      <c r="Y25" s="138" t="inlineStr">
        <is>
          <t>以挂点部件制作，不烘焙进整枪
2026-08-30 AST-01规范化（原大类：枪械）</t>
        </is>
      </c>
    </row>
    <row r="26">
      <c r="A26" s="138" t="inlineStr">
        <is>
          <t>WPN-ATT-ATTACH-COPY-STICKER</t>
        </is>
      </c>
      <c r="B26" s="138" t="inlineStr">
        <is>
          <t>复制贴纸</t>
        </is>
      </c>
      <c r="C26" s="138" t="inlineStr">
        <is>
          <t>武器</t>
        </is>
      </c>
      <c r="D26" s="138" t="inlineStr">
        <is>
          <t>attachment</t>
        </is>
      </c>
      <c r="E26" s="138" t="inlineStr">
        <is>
          <t>attach_copy_sticker</t>
        </is>
      </c>
      <c r="F26" s="138" t="inlineStr">
        <is>
          <t>root</t>
        </is>
      </c>
      <c r="G26" s="138" t="str"/>
      <c r="H26" s="138" t="inlineStr">
        <is>
          <t>侧面朝右</t>
        </is>
      </c>
      <c r="I26" s="138" t="inlineStr">
        <is>
          <t>default</t>
        </is>
      </c>
      <c r="J26" s="138" t="inlineStr">
        <is>
          <t>装配树/枪身/UI 图标</t>
        </is>
      </c>
      <c r="K26" s="138" t="inlineStr">
        <is>
          <t>程序占位</t>
        </is>
      </c>
      <c r="L26" s="138" t="inlineStr">
        <is>
          <t>P2</t>
        </is>
      </c>
      <c r="M26" s="138" t="inlineStr">
        <is>
          <t>v001</t>
        </is>
      </c>
      <c r="N26" s="138" t="inlineStr">
        <is>
          <t>建议 12–24 px</t>
        </is>
      </c>
      <c r="O26" s="138" t="str"/>
      <c r="P26" s="138" t="inlineStr">
        <is>
          <t>src/base/BlueprintRegistry.gd</t>
        </is>
      </c>
      <c r="Q26" s="138" t="str"/>
      <c r="R26" s="138">
        <f>LOWER(TRIM(C26)&amp;"|"&amp;TRIM(D26)&amp;"|"&amp;TRIM(E26)&amp;"|"&amp;TRIM(F26)&amp;"|"&amp;TRIM(H26)&amp;"|"&amp;TRIM(I26))</f>
        <v/>
      </c>
      <c r="S26" s="138">
        <f>IF(COUNTIF($R$6:$R$41,R26)&gt;1,"重复","唯一")</f>
        <v/>
      </c>
      <c r="T26" s="138" t="str"/>
      <c r="U26" s="138" t="inlineStr">
        <is>
          <t>待分配</t>
        </is>
      </c>
      <c r="V26" s="303" t="n">
        <v>46224</v>
      </c>
      <c r="W26" s="138" t="inlineStr">
        <is>
          <t>原创/待确认</t>
        </is>
      </c>
      <c r="X26" s="375" t="inlineStr">
        <is>
          <t>—</t>
        </is>
      </c>
      <c r="Y26" s="138" t="inlineStr">
        <is>
          <t>以挂点部件制作，不烘焙进整枪
2026-08-30 AST-01规范化（原大类：枪械）</t>
        </is>
      </c>
    </row>
    <row r="27">
      <c r="A27" s="392" t="inlineStr">
        <is>
          <t>WPN-GUN-KIT-3D</t>
        </is>
      </c>
      <c r="B27" s="392" t="inlineStr">
        <is>
          <t>枪械3D通用模型套件</t>
        </is>
      </c>
      <c r="C27" s="392" t="inlineStr">
        <is>
          <t>武器</t>
        </is>
      </c>
      <c r="D27" s="392" t="inlineStr">
        <is>
          <t>gunbody</t>
        </is>
      </c>
      <c r="E27" s="392" t="inlineStr">
        <is>
          <t>blueprint_gun_catalog</t>
        </is>
      </c>
      <c r="F27" s="392" t="inlineStr">
        <is>
          <t>root_3d</t>
        </is>
      </c>
      <c r="G27" s="392" t="n"/>
      <c r="H27" s="392" t="inlineStr">
        <is>
          <t>俯视3D</t>
        </is>
      </c>
      <c r="I27" s="392" t="inlineStr">
        <is>
          <t>default</t>
        </is>
      </c>
      <c r="J27" s="392" t="inlineStr">
        <is>
          <t>玩家/靶场/全部副本</t>
        </is>
      </c>
      <c r="K27" s="392" t="inlineStr">
        <is>
          <t>原型已接入</t>
        </is>
      </c>
      <c r="L27" s="392" t="inlineStr">
        <is>
          <t>P0</t>
        </is>
      </c>
      <c r="M27" s="392" t="inlineStr">
        <is>
          <t>v001</t>
        </is>
      </c>
      <c r="N27" s="392" t="inlineStr">
        <is>
          <t>PackedScene/7枪配置模型</t>
        </is>
      </c>
      <c r="O27" s="392" t="inlineStr">
        <is>
          <t>assets/art/weapons/weapon_3d/wpn_gun_kit_root_top3d_v001.tscn</t>
        </is>
      </c>
      <c r="P27" s="392" t="inlineStr">
        <is>
          <t>src/combat3d/WeaponModel3D.gd</t>
        </is>
      </c>
      <c r="Q27" s="392" t="inlineStr">
        <is>
          <t>枪械;7枪身;8弹药;后坐力;枪口</t>
        </is>
      </c>
      <c r="R27" s="392">
        <f>LOWER(TRIM(C27)&amp;"|"&amp;TRIM(D27)&amp;"|"&amp;TRIM(E27)&amp;"|"&amp;TRIM(F27)&amp;"|"&amp;TRIM(H27)&amp;"|"&amp;TRIM(I27))</f>
        <v/>
      </c>
      <c r="S27" s="392">
        <f>IF(COUNTIF($R$6:$R$41,R27)&gt;1,"重复","唯一")</f>
        <v/>
      </c>
      <c r="T27" s="392" t="inlineStr">
        <is>
          <t>ca471a3f8f041a7061f31ab7279ff9a976a0d9d182d0d0fd3c8e1437fe704bf4</t>
        </is>
      </c>
      <c r="U27" s="392" t="inlineStr">
        <is>
          <t>Codex</t>
        </is>
      </c>
      <c r="V27" s="348" t="n">
        <v>46225</v>
      </c>
      <c r="W27" s="392" t="inlineStr">
        <is>
          <t>原创程序几何</t>
        </is>
      </c>
      <c r="X27" s="375" t="inlineStr">
        <is>
          <t>—</t>
        </is>
      </c>
      <c r="Y27" s="392" t="inlineStr">
        <is>
          <t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t>
        </is>
      </c>
    </row>
    <row r="28">
      <c r="A28" s="392" t="inlineStr">
        <is>
          <t>WPN-MELEE-BP-GREATBLADE</t>
        </is>
      </c>
      <c r="B28" s="392" t="inlineStr">
        <is>
          <t>巨型工业断刃程序原型</t>
        </is>
      </c>
      <c r="C28" s="392" t="inlineStr">
        <is>
          <t>武器</t>
        </is>
      </c>
      <c r="D28" s="392" t="inlineStr">
        <is>
          <t>melee</t>
        </is>
      </c>
      <c r="E28" s="392" t="inlineStr">
        <is>
          <t>bp_greatblade</t>
        </is>
      </c>
      <c r="F28" s="392" t="inlineStr">
        <is>
          <t>root</t>
        </is>
      </c>
      <c r="G28" s="392" t="n"/>
      <c r="H28" s="392" t="inlineStr">
        <is>
          <t>俯视3D</t>
        </is>
      </c>
      <c r="I28" s="392" t="inlineStr">
        <is>
          <t>default / three_step_combo</t>
        </is>
      </c>
      <c r="J28" s="392" t="inlineStr">
        <is>
          <t>手持/背负/地面/背包图标/表现页</t>
        </is>
      </c>
      <c r="K28" s="392" t="inlineStr">
        <is>
          <t>程序占位</t>
        </is>
      </c>
      <c r="L28" s="392" t="inlineStr">
        <is>
          <t>P0</t>
        </is>
      </c>
      <c r="M28" s="392" t="inlineStr">
        <is>
          <t>v001</t>
        </is>
      </c>
      <c r="N28" s="392" t="inlineStr">
        <is>
          <t>程序Mesh；0.82×0.30×2.42m；无碰撞</t>
        </is>
      </c>
      <c r="O28" s="392" t="inlineStr">
        <is>
          <t>assets/art/weapons/melee_3d/wpn_melee_greatblade_root_top3d_v001.tscn</t>
        </is>
      </c>
      <c r="P28" s="392" t="inlineStr">
        <is>
          <t>src/combat3d/MeleeWeaponVisual3D.gd; src/player3d/melee/PlayerMeleeCombat3D.gd</t>
        </is>
      </c>
      <c r="Q28" s="392" t="inlineStr">
        <is>
          <t>近战;大型武器;工业断刃;三段连击;greatblade;melee</t>
        </is>
      </c>
      <c r="R28" s="392">
        <f>LOWER(TRIM(C28)&amp;"|"&amp;TRIM(D28)&amp;"|"&amp;TRIM(E28)&amp;"|"&amp;TRIM(F28)&amp;"|"&amp;TRIM(H28)&amp;"|"&amp;TRIM(I28))</f>
        <v/>
      </c>
      <c r="S28" s="392">
        <f>IF(COUNTIF($R$6:$R$41,R28)&gt;1,"重复","唯一")</f>
        <v/>
      </c>
      <c r="T28" s="392" t="n"/>
      <c r="U28" s="392" t="inlineStr">
        <is>
          <t>Codex</t>
        </is>
      </c>
      <c r="V28" s="348" t="n">
        <v>46244</v>
      </c>
      <c r="W28" s="392" t="inlineStr">
        <is>
          <t>原创程序原型</t>
        </is>
      </c>
      <c r="X28" s="375" t="inlineStr">
        <is>
          <t>—</t>
        </is>
      </c>
      <c r="Y28" s="392" t="inlineStr">
        <is>
          <t>总长2.42m；双手重型持握；四态动作子状态机；三段池化弧光/命中爆点与专属挥砍/冲击音频已接入；最终美术替换保留握柄原点/local -Z与稳定ID。</t>
        </is>
      </c>
    </row>
    <row r="29">
      <c r="A29" s="392" t="inlineStr">
        <is>
          <t>WPN-MELEE-BP-WARAXE</t>
        </is>
      </c>
      <c r="B29" s="392" t="inlineStr">
        <is>
          <t>攻城裂甲斧程序原型</t>
        </is>
      </c>
      <c r="C29" s="392" t="inlineStr">
        <is>
          <t>武器</t>
        </is>
      </c>
      <c r="D29" s="392" t="inlineStr">
        <is>
          <t>melee</t>
        </is>
      </c>
      <c r="E29" s="392" t="inlineStr">
        <is>
          <t>bp_waraxe</t>
        </is>
      </c>
      <c r="F29" s="392" t="inlineStr">
        <is>
          <t>root</t>
        </is>
      </c>
      <c r="G29" s="392" t="n"/>
      <c r="H29" s="392" t="inlineStr">
        <is>
          <t>俯视3D</t>
        </is>
      </c>
      <c r="I29" s="392" t="inlineStr">
        <is>
          <t>default / three_step_combo</t>
        </is>
      </c>
      <c r="J29" s="392" t="inlineStr">
        <is>
          <t>手持/背负/地面/背包图标/表现页</t>
        </is>
      </c>
      <c r="K29" s="392" t="inlineStr">
        <is>
          <t>程序占位</t>
        </is>
      </c>
      <c r="L29" s="392" t="inlineStr">
        <is>
          <t>P0</t>
        </is>
      </c>
      <c r="M29" s="392" t="inlineStr">
        <is>
          <t>v001</t>
        </is>
      </c>
      <c r="N29" s="392" t="inlineStr">
        <is>
          <t>程序Mesh；1.18×0.34×2.62m；无碰撞</t>
        </is>
      </c>
      <c r="O29" s="392" t="inlineStr">
        <is>
          <t>assets/art/weapons/melee_3d/wpn_melee_waraxe_root_top3d_v001.tscn</t>
        </is>
      </c>
      <c r="P29" s="392" t="inlineStr">
        <is>
          <t>src/combat3d/MeleeWeaponVisual3D.gd; src/player3d/melee/PlayerMeleeCombat3D.gd</t>
        </is>
      </c>
      <c r="Q29" s="392" t="inlineStr">
        <is>
          <t>近战;大型武器;攻城斧;三段连击;waraxe;melee</t>
        </is>
      </c>
      <c r="R29" s="392">
        <f>LOWER(TRIM(C29)&amp;"|"&amp;TRIM(D29)&amp;"|"&amp;TRIM(E29)&amp;"|"&amp;TRIM(F29)&amp;"|"&amp;TRIM(H29)&amp;"|"&amp;TRIM(I29))</f>
        <v/>
      </c>
      <c r="S29" s="392">
        <f>IF(COUNTIF($R$6:$R$41,R29)&gt;1,"重复","唯一")</f>
        <v/>
      </c>
      <c r="T29" s="392" t="n"/>
      <c r="U29" s="392" t="inlineStr">
        <is>
          <t>Codex</t>
        </is>
      </c>
      <c r="V29" s="348" t="n">
        <v>46244</v>
      </c>
      <c r="W29" s="392" t="inlineStr">
        <is>
          <t>原创程序原型</t>
        </is>
      </c>
      <c r="X29" s="375" t="inlineStr">
        <is>
          <t>—</t>
        </is>
      </c>
      <c r="Y29" s="392" t="inlineStr">
        <is>
          <t>总长2.62m；高伤高击退；四态动作子状态机；第三段最大弧光并降低音高/提高冲击响度；最终美术替换保留握柄原点/local -Z与稳定ID。</t>
        </is>
      </c>
    </row>
    <row r="30">
      <c r="A30" s="392" t="inlineStr">
        <is>
          <t>WPN-MELEE-BP-BASEBALL-BAT</t>
        </is>
      </c>
      <c r="B30" s="392" t="inlineStr">
        <is>
          <t>废土棒球棍程序原型</t>
        </is>
      </c>
      <c r="C30" s="392" t="inlineStr">
        <is>
          <t>武器</t>
        </is>
      </c>
      <c r="D30" s="392" t="inlineStr">
        <is>
          <t>melee</t>
        </is>
      </c>
      <c r="E30" s="392" t="inlineStr">
        <is>
          <t>bp_baseball_bat</t>
        </is>
      </c>
      <c r="F30" s="392" t="inlineStr">
        <is>
          <t>root</t>
        </is>
      </c>
      <c r="G30" s="392" t="n"/>
      <c r="H30" s="392" t="inlineStr">
        <is>
          <t>俯视3D</t>
        </is>
      </c>
      <c r="I30" s="392" t="inlineStr">
        <is>
          <t>default / three_step_combo</t>
        </is>
      </c>
      <c r="J30" s="392" t="inlineStr">
        <is>
          <t>手持/背负/地面/背包图标/表现页/基地贩卖机</t>
        </is>
      </c>
      <c r="K30" s="392" t="inlineStr">
        <is>
          <t>程序占位</t>
        </is>
      </c>
      <c r="L30" s="392" t="inlineStr">
        <is>
          <t>P0</t>
        </is>
      </c>
      <c r="M30" s="392" t="inlineStr">
        <is>
          <t>v001</t>
        </is>
      </c>
      <c r="N30" s="392" t="inlineStr">
        <is>
          <t>程序Mesh；0.28×0.28×1.48m；无碰撞</t>
        </is>
      </c>
      <c r="O30" s="392" t="inlineStr">
        <is>
          <t>assets/art/weapons/melee_3d/wpn_melee_baseball_bat_root_top3d_v001.tscn</t>
        </is>
      </c>
      <c r="P30" s="392" t="inlineStr">
        <is>
          <t>src/combat3d/MeleeWeaponVisual3D.gd; src/player3d/melee/PlayerMeleeCombat3D.gd; tests/verification/verify_weapon_attachment_inventory_flow.gd</t>
        </is>
      </c>
      <c r="Q30" s="392" t="inlineStr">
        <is>
          <t>近战;初级武器;棒球棍;三段连击;baseball_bat;melee;基地贩卖机</t>
        </is>
      </c>
      <c r="R30" s="392">
        <f>LOWER(TRIM(C30)&amp;"|"&amp;TRIM(D30)&amp;"|"&amp;TRIM(E30)&amp;"|"&amp;TRIM(F30)&amp;"|"&amp;TRIM(H30)&amp;"|"&amp;TRIM(I30))</f>
        <v/>
      </c>
      <c r="S30" s="392">
        <f>IF(COUNTIF($R$6:$R$41,R30)&gt;1,"重复","唯一")</f>
        <v/>
      </c>
      <c r="T30" s="392" t="inlineStr">
        <is>
          <t>700ecf26ca26d653967db40dbe48f8572387ae63b43a1428aa54721c25ca7b0a</t>
        </is>
      </c>
      <c r="U30" s="392" t="inlineStr">
        <is>
          <t>Codex</t>
        </is>
      </c>
      <c r="V30" s="392" t="n">
        <v>46244</v>
      </c>
      <c r="W30" s="392" t="inlineStr">
        <is>
          <t>原创程序原型</t>
        </is>
      </c>
      <c r="X30" s="375" t="inlineStr">
        <is>
          <t>—</t>
        </is>
      </c>
      <c r="Y30" s="392" t="inlineStr">
        <is>
          <t>基地45魂初级近战；三段快速挥击、第三段强化击退；复用近战四态、弧光/命中VFX和版本化音频。最终美术替换须保留握柄原点/local -Z与稳定ID。</t>
        </is>
      </c>
    </row>
    <row r="31">
      <c r="A31" s="138" t="inlineStr">
        <is>
          <t>WPN-GUN-FUTURE-MEGAPHONE-CANNON-3D</t>
        </is>
      </c>
      <c r="B31" s="138" t="inlineStr">
        <is>
          <t>扩音器加农炮</t>
        </is>
      </c>
      <c r="C31" s="138" t="inlineStr">
        <is>
          <t>武器</t>
        </is>
      </c>
      <c r="D31" s="138" t="inlineStr">
        <is>
          <t>gunbody</t>
        </is>
      </c>
      <c r="E31" s="138" t="inlineStr">
        <is>
          <t>future_megaphone_cannon</t>
        </is>
      </c>
      <c r="F31" s="138" t="inlineStr">
        <is>
          <t>root</t>
        </is>
      </c>
      <c r="G31" s="138" t="n"/>
      <c r="H31" s="138" t="inlineStr">
        <is>
          <t>俯视3D / local -Z 枪口</t>
        </is>
      </c>
      <c r="I31" s="138" t="inlineStr">
        <is>
          <t>default / 标准握把与8类挂点</t>
        </is>
      </c>
      <c r="J31" s="138" t="inlineStr">
        <is>
          <t>未来枪械池/独立资产</t>
        </is>
      </c>
      <c r="K31" s="138" t="inlineStr">
        <is>
          <t>已完成</t>
        </is>
      </c>
      <c r="L31" s="138" t="inlineStr">
        <is>
          <t>P2</t>
        </is>
      </c>
      <c r="M31" s="138" t="inlineStr">
        <is>
          <t>v001</t>
        </is>
      </c>
      <c r="N31" s="138" t="inlineStr">
        <is>
          <t>握把原点；local -Z枪口；3材质；独立GLB/PackedScene</t>
        </is>
      </c>
      <c r="O31" s="138" t="inlineStr">
        <is>
          <t>assets/art/weapons/weapon_3d/runtime/megaphone_cannon/wpn_megaphone_cannon_root_top3d_v001.tscn</t>
        </is>
      </c>
      <c r="P31" s="138" t="inlineStr">
        <is>
          <t>assets/art/weapons/weapon_3d/source/megaphone_cannon/wpn_megaphone_cannon_source_v001.blend</t>
        </is>
      </c>
      <c r="Q31" s="138" t="inlineStr">
        <is>
          <t>megaphone_cannon; 扩音器加农炮; 未来枪械; 通用挂点; 多巴胺配色</t>
        </is>
      </c>
      <c r="R31" s="138">
        <f>LOWER(TRIM(C31)&amp;"|"&amp;TRIM(D31)&amp;"|"&amp;TRIM(E31)&amp;"|"&amp;TRIM(F31)&amp;"|"&amp;TRIM(H31)&amp;"|"&amp;TRIM(I31))</f>
        <v/>
      </c>
      <c r="S31" s="138">
        <f>IF(COUNTIF($R$6:$R$41,R31)&gt;1,"重复","唯一")</f>
        <v/>
      </c>
      <c r="T31" s="138" t="inlineStr">
        <is>
          <t>05d5f8631ae0e809f42dc4c103dae5eba8613929a0ce019b8ee17f0a508fb6e7</t>
        </is>
      </c>
      <c r="U31" s="138" t="inlineStr">
        <is>
          <t>Codex</t>
        </is>
      </c>
      <c r="V31" s="303" t="n">
        <v>46264</v>
      </c>
      <c r="W31" s="138" t="inlineStr">
        <is>
          <t>用户自制Blender资产</t>
        </is>
      </c>
      <c r="X31" s="375" t="inlineStr">
        <is>
          <t>—</t>
        </is>
      </c>
      <c r="Y31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t>
        </is>
      </c>
    </row>
    <row r="32">
      <c r="A32" s="138" t="inlineStr">
        <is>
          <t>WPN-GUN-FUTURE-GUITAR-BLASTER-3D</t>
        </is>
      </c>
      <c r="B32" s="138" t="inlineStr">
        <is>
          <t>吉他爆能枪</t>
        </is>
      </c>
      <c r="C32" s="138" t="inlineStr">
        <is>
          <t>武器</t>
        </is>
      </c>
      <c r="D32" s="138" t="inlineStr">
        <is>
          <t>gunbody</t>
        </is>
      </c>
      <c r="E32" s="138" t="inlineStr">
        <is>
          <t>future_guitar_blaster</t>
        </is>
      </c>
      <c r="F32" s="138" t="inlineStr">
        <is>
          <t>root</t>
        </is>
      </c>
      <c r="G32" s="138" t="n"/>
      <c r="H32" s="138" t="inlineStr">
        <is>
          <t>俯视3D / local -Z 枪口</t>
        </is>
      </c>
      <c r="I32" s="138" t="inlineStr">
        <is>
          <t>default / 标准握把与8类挂点</t>
        </is>
      </c>
      <c r="J32" s="138" t="inlineStr">
        <is>
          <t>未来枪械池/独立资产</t>
        </is>
      </c>
      <c r="K32" s="138" t="inlineStr">
        <is>
          <t>已完成</t>
        </is>
      </c>
      <c r="L32" s="138" t="inlineStr">
        <is>
          <t>P2</t>
        </is>
      </c>
      <c r="M32" s="138" t="inlineStr">
        <is>
          <t>v001</t>
        </is>
      </c>
      <c r="N32" s="138" t="inlineStr">
        <is>
          <t>握把原点；local -Z枪口；3材质；独立GLB/PackedScene</t>
        </is>
      </c>
      <c r="O32" s="138" t="inlineStr">
        <is>
          <t>assets/art/weapons/weapon_3d/runtime/guitar_blaster/wpn_guitar_blaster_root_top3d_v001.tscn</t>
        </is>
      </c>
      <c r="P32" s="138" t="inlineStr">
        <is>
          <t>assets/art/weapons/weapon_3d/source/guitar_blaster/wpn_guitar_blaster_source_v001.blend</t>
        </is>
      </c>
      <c r="Q32" s="138" t="inlineStr">
        <is>
          <t>guitar_blaster; 吉他爆能枪; 未来枪械; 通用挂点; 多巴胺配色</t>
        </is>
      </c>
      <c r="R32" s="138">
        <f>LOWER(TRIM(C32)&amp;"|"&amp;TRIM(D32)&amp;"|"&amp;TRIM(E32)&amp;"|"&amp;TRIM(F32)&amp;"|"&amp;TRIM(H32)&amp;"|"&amp;TRIM(I32))</f>
        <v/>
      </c>
      <c r="S32" s="138">
        <f>IF(COUNTIF($R$6:$R$41,R32)&gt;1,"重复","唯一")</f>
        <v/>
      </c>
      <c r="T32" s="138" t="inlineStr">
        <is>
          <t>1f91e9e4d2a54e82d5ebfc0b5099a7e65c91eb32e86e8c1c8f52afa2df52c264</t>
        </is>
      </c>
      <c r="U32" s="138" t="inlineStr">
        <is>
          <t>Codex</t>
        </is>
      </c>
      <c r="V32" s="303" t="n">
        <v>46264</v>
      </c>
      <c r="W32" s="138" t="inlineStr">
        <is>
          <t>用户自制Blender资产</t>
        </is>
      </c>
      <c r="X32" s="375" t="inlineStr">
        <is>
          <t>—</t>
        </is>
      </c>
      <c r="Y32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t>
        </is>
      </c>
    </row>
    <row r="33">
      <c r="A33" s="138" t="inlineStr">
        <is>
          <t>WPN-GUN-FUTURE-SPATULA-RIFLE-3D</t>
        </is>
      </c>
      <c r="B33" s="138" t="inlineStr">
        <is>
          <t>锅铲步枪</t>
        </is>
      </c>
      <c r="C33" s="138" t="inlineStr">
        <is>
          <t>武器</t>
        </is>
      </c>
      <c r="D33" s="138" t="inlineStr">
        <is>
          <t>gunbody</t>
        </is>
      </c>
      <c r="E33" s="138" t="inlineStr">
        <is>
          <t>future_spatula_rifle</t>
        </is>
      </c>
      <c r="F33" s="138" t="inlineStr">
        <is>
          <t>root</t>
        </is>
      </c>
      <c r="G33" s="138" t="n"/>
      <c r="H33" s="138" t="inlineStr">
        <is>
          <t>俯视3D / local -Z 枪口</t>
        </is>
      </c>
      <c r="I33" s="138" t="inlineStr">
        <is>
          <t>default / 标准握把与8类挂点</t>
        </is>
      </c>
      <c r="J33" s="138" t="inlineStr">
        <is>
          <t>未来枪械池/独立资产</t>
        </is>
      </c>
      <c r="K33" s="138" t="inlineStr">
        <is>
          <t>已完成</t>
        </is>
      </c>
      <c r="L33" s="138" t="inlineStr">
        <is>
          <t>P2</t>
        </is>
      </c>
      <c r="M33" s="138" t="inlineStr">
        <is>
          <t>v001</t>
        </is>
      </c>
      <c r="N33" s="138" t="inlineStr">
        <is>
          <t>握把原点；local -Z枪口；3材质；独立GLB/PackedScene</t>
        </is>
      </c>
      <c r="O33" s="138" t="inlineStr">
        <is>
          <t>assets/art/weapons/weapon_3d/runtime/spatula_rifle/wpn_spatula_rifle_root_top3d_v001.tscn</t>
        </is>
      </c>
      <c r="P33" s="138" t="inlineStr">
        <is>
          <t>assets/art/weapons/weapon_3d/source/spatula_rifle/wpn_spatula_rifle_source_v001.blend</t>
        </is>
      </c>
      <c r="Q33" s="138" t="inlineStr">
        <is>
          <t>spatula_rifle; 锅铲步枪; 未来枪械; 通用挂点; 多巴胺配色</t>
        </is>
      </c>
      <c r="R33" s="138">
        <f>LOWER(TRIM(C33)&amp;"|"&amp;TRIM(D33)&amp;"|"&amp;TRIM(E33)&amp;"|"&amp;TRIM(F33)&amp;"|"&amp;TRIM(H33)&amp;"|"&amp;TRIM(I33))</f>
        <v/>
      </c>
      <c r="S33" s="138">
        <f>IF(COUNTIF($R$6:$R$41,R33)&gt;1,"重复","唯一")</f>
        <v/>
      </c>
      <c r="T33" s="138" t="inlineStr">
        <is>
          <t>3e833ff63ebff0575600f0da74b12bdea155598fa239834294968f411495c426</t>
        </is>
      </c>
      <c r="U33" s="138" t="inlineStr">
        <is>
          <t>Codex</t>
        </is>
      </c>
      <c r="V33" s="303" t="n">
        <v>46264</v>
      </c>
      <c r="W33" s="138" t="inlineStr">
        <is>
          <t>用户自制Blender资产</t>
        </is>
      </c>
      <c r="X33" s="375" t="inlineStr">
        <is>
          <t>—</t>
        </is>
      </c>
      <c r="Y33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t>
        </is>
      </c>
    </row>
    <row r="34">
      <c r="A34" s="138" t="inlineStr">
        <is>
          <t>WPN-GUN-FUTURE-FRYING-PAN-CANNON-3D</t>
        </is>
      </c>
      <c r="B34" s="138" t="inlineStr">
        <is>
          <t>平底锅加农炮</t>
        </is>
      </c>
      <c r="C34" s="138" t="inlineStr">
        <is>
          <t>武器</t>
        </is>
      </c>
      <c r="D34" s="138" t="inlineStr">
        <is>
          <t>gunbody</t>
        </is>
      </c>
      <c r="E34" s="138" t="inlineStr">
        <is>
          <t>future_frying_pan_cannon</t>
        </is>
      </c>
      <c r="F34" s="138" t="inlineStr">
        <is>
          <t>root</t>
        </is>
      </c>
      <c r="G34" s="138" t="n"/>
      <c r="H34" s="138" t="inlineStr">
        <is>
          <t>俯视3D / local -Z 枪口</t>
        </is>
      </c>
      <c r="I34" s="138" t="inlineStr">
        <is>
          <t>default / 标准握把与8类挂点</t>
        </is>
      </c>
      <c r="J34" s="138" t="inlineStr">
        <is>
          <t>未来枪械池/独立资产</t>
        </is>
      </c>
      <c r="K34" s="138" t="inlineStr">
        <is>
          <t>已完成</t>
        </is>
      </c>
      <c r="L34" s="138" t="inlineStr">
        <is>
          <t>P2</t>
        </is>
      </c>
      <c r="M34" s="138" t="inlineStr">
        <is>
          <t>v001</t>
        </is>
      </c>
      <c r="N34" s="138" t="inlineStr">
        <is>
          <t>握把原点；local -Z枪口；3材质；独立GLB/PackedScene</t>
        </is>
      </c>
      <c r="O34" s="138" t="inlineStr">
        <is>
          <t>assets/art/weapons/weapon_3d/runtime/frying_pan_cannon/wpn_frying_pan_cannon_root_top3d_v001.tscn</t>
        </is>
      </c>
      <c r="P34" s="138" t="inlineStr">
        <is>
          <t>assets/art/weapons/weapon_3d/source/frying_pan_cannon/wpn_frying_pan_cannon_source_v001.blend</t>
        </is>
      </c>
      <c r="Q34" s="138" t="inlineStr">
        <is>
          <t>frying_pan_cannon; 平底锅加农炮; 未来枪械; 通用挂点; 多巴胺配色</t>
        </is>
      </c>
      <c r="R34" s="138">
        <f>LOWER(TRIM(C34)&amp;"|"&amp;TRIM(D34)&amp;"|"&amp;TRIM(E34)&amp;"|"&amp;TRIM(F34)&amp;"|"&amp;TRIM(H34)&amp;"|"&amp;TRIM(I34))</f>
        <v/>
      </c>
      <c r="S34" s="138">
        <f>IF(COUNTIF($R$6:$R$41,R34)&gt;1,"重复","唯一")</f>
        <v/>
      </c>
      <c r="T34" s="138" t="inlineStr">
        <is>
          <t>d1fd5653d2d9e5b834f6d4e7327159e49c2810fff46a38a93da80a7d72a6848c</t>
        </is>
      </c>
      <c r="U34" s="138" t="inlineStr">
        <is>
          <t>Codex</t>
        </is>
      </c>
      <c r="V34" s="303" t="n">
        <v>46264</v>
      </c>
      <c r="W34" s="138" t="inlineStr">
        <is>
          <t>用户自制Blender资产</t>
        </is>
      </c>
      <c r="X34" s="375" t="inlineStr">
        <is>
          <t>—</t>
        </is>
      </c>
      <c r="Y34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t>
        </is>
      </c>
    </row>
    <row r="35">
      <c r="A35" s="138" t="inlineStr">
        <is>
          <t>WPN-GUN-FUTURE-SCOPE-CANNON-3D</t>
        </is>
      </c>
      <c r="B35" s="138" t="inlineStr">
        <is>
          <t>瞄准镜加农炮</t>
        </is>
      </c>
      <c r="C35" s="138" t="inlineStr">
        <is>
          <t>武器</t>
        </is>
      </c>
      <c r="D35" s="138" t="inlineStr">
        <is>
          <t>gunbody</t>
        </is>
      </c>
      <c r="E35" s="138" t="inlineStr">
        <is>
          <t>future_scope_cannon</t>
        </is>
      </c>
      <c r="F35" s="138" t="inlineStr">
        <is>
          <t>root</t>
        </is>
      </c>
      <c r="G35" s="138" t="n"/>
      <c r="H35" s="138" t="inlineStr">
        <is>
          <t>俯视3D / local -Z 枪口</t>
        </is>
      </c>
      <c r="I35" s="138" t="inlineStr">
        <is>
          <t>default / 标准握把与8类挂点</t>
        </is>
      </c>
      <c r="J35" s="138" t="inlineStr">
        <is>
          <t>未来枪械池/独立资产</t>
        </is>
      </c>
      <c r="K35" s="138" t="inlineStr">
        <is>
          <t>已完成</t>
        </is>
      </c>
      <c r="L35" s="138" t="inlineStr">
        <is>
          <t>P2</t>
        </is>
      </c>
      <c r="M35" s="138" t="inlineStr">
        <is>
          <t>v001</t>
        </is>
      </c>
      <c r="N35" s="138" t="inlineStr">
        <is>
          <t>握把原点；local -Z枪口；3材质；独立GLB/PackedScene</t>
        </is>
      </c>
      <c r="O35" s="138" t="inlineStr">
        <is>
          <t>assets/art/weapons/weapon_3d/runtime/scope_cannon/wpn_scope_cannon_root_top3d_v001.tscn</t>
        </is>
      </c>
      <c r="P35" s="138" t="inlineStr">
        <is>
          <t>assets/art/weapons/weapon_3d/source/scope_cannon/wpn_scope_cannon_source_v001.blend</t>
        </is>
      </c>
      <c r="Q35" s="138" t="inlineStr">
        <is>
          <t>scope_cannon; 瞄准镜加农炮; 未来枪械; 通用挂点; 多巴胺配色</t>
        </is>
      </c>
      <c r="R35" s="138">
        <f>LOWER(TRIM(C35)&amp;"|"&amp;TRIM(D35)&amp;"|"&amp;TRIM(E35)&amp;"|"&amp;TRIM(F35)&amp;"|"&amp;TRIM(H35)&amp;"|"&amp;TRIM(I35))</f>
        <v/>
      </c>
      <c r="S35" s="138">
        <f>IF(COUNTIF($R$6:$R$41,R35)&gt;1,"重复","唯一")</f>
        <v/>
      </c>
      <c r="T35" s="138" t="inlineStr">
        <is>
          <t>a30e709f22c4e33f99398b002307af2d27c2f4dd3aca10bf192921c063223aa4</t>
        </is>
      </c>
      <c r="U35" s="138" t="inlineStr">
        <is>
          <t>Codex</t>
        </is>
      </c>
      <c r="V35" s="303" t="n">
        <v>46264</v>
      </c>
      <c r="W35" s="138" t="inlineStr">
        <is>
          <t>用户自制Blender资产</t>
        </is>
      </c>
      <c r="X35" s="375" t="inlineStr">
        <is>
          <t>—</t>
        </is>
      </c>
      <c r="Y35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t>
        </is>
      </c>
    </row>
    <row r="36">
      <c r="A36" s="138" t="inlineStr">
        <is>
          <t>WPN-GUN-FUTURE-POPCORN-BLASTER-3D</t>
        </is>
      </c>
      <c r="B36" s="138" t="inlineStr">
        <is>
          <t>爆米花爆能枪</t>
        </is>
      </c>
      <c r="C36" s="138" t="inlineStr">
        <is>
          <t>武器</t>
        </is>
      </c>
      <c r="D36" s="138" t="inlineStr">
        <is>
          <t>gunbody</t>
        </is>
      </c>
      <c r="E36" s="138" t="inlineStr">
        <is>
          <t>future_popcorn_blaster</t>
        </is>
      </c>
      <c r="F36" s="138" t="inlineStr">
        <is>
          <t>root</t>
        </is>
      </c>
      <c r="G36" s="138" t="n"/>
      <c r="H36" s="138" t="inlineStr">
        <is>
          <t>俯视3D / local -Z 枪口</t>
        </is>
      </c>
      <c r="I36" s="138" t="inlineStr">
        <is>
          <t>default / 标准握把与8类挂点</t>
        </is>
      </c>
      <c r="J36" s="138" t="inlineStr">
        <is>
          <t>未来枪械池/独立资产</t>
        </is>
      </c>
      <c r="K36" s="138" t="inlineStr">
        <is>
          <t>已完成</t>
        </is>
      </c>
      <c r="L36" s="138" t="inlineStr">
        <is>
          <t>P2</t>
        </is>
      </c>
      <c r="M36" s="138" t="inlineStr">
        <is>
          <t>v001</t>
        </is>
      </c>
      <c r="N36" s="138" t="inlineStr">
        <is>
          <t>握把原点；local -Z枪口；3材质；独立GLB/PackedScene</t>
        </is>
      </c>
      <c r="O36" s="138" t="inlineStr">
        <is>
          <t>assets/art/weapons/weapon_3d/runtime/popcorn_blaster/wpn_popcorn_blaster_root_top3d_v001.tscn</t>
        </is>
      </c>
      <c r="P36" s="138" t="inlineStr">
        <is>
          <t>assets/art/weapons/weapon_3d/source/popcorn_blaster/wpn_popcorn_blaster_source_v001.blend</t>
        </is>
      </c>
      <c r="Q36" s="138" t="inlineStr">
        <is>
          <t>popcorn_blaster; 爆米花爆能枪; 未来枪械; 通用挂点; 多巴胺配色</t>
        </is>
      </c>
      <c r="R36" s="138">
        <f>LOWER(TRIM(C36)&amp;"|"&amp;TRIM(D36)&amp;"|"&amp;TRIM(E36)&amp;"|"&amp;TRIM(F36)&amp;"|"&amp;TRIM(H36)&amp;"|"&amp;TRIM(I36))</f>
        <v/>
      </c>
      <c r="S36" s="138">
        <f>IF(COUNTIF($R$6:$R$41,R36)&gt;1,"重复","唯一")</f>
        <v/>
      </c>
      <c r="T36" s="138" t="inlineStr">
        <is>
          <t>dbcc9441cc5f5c2df19d1b745850072880ca1abf39030ed90353999828eec57a</t>
        </is>
      </c>
      <c r="U36" s="138" t="inlineStr">
        <is>
          <t>Codex</t>
        </is>
      </c>
      <c r="V36" s="303" t="n">
        <v>46264</v>
      </c>
      <c r="W36" s="138" t="inlineStr">
        <is>
          <t>用户自制Blender资产</t>
        </is>
      </c>
      <c r="X36" s="375" t="inlineStr">
        <is>
          <t>—</t>
        </is>
      </c>
      <c r="Y36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t>
        </is>
      </c>
    </row>
    <row r="37">
      <c r="A37" s="138" t="inlineStr">
        <is>
          <t>WPN-GUN-FUTURE-SODA-STRAW-BLASTER-3D</t>
        </is>
      </c>
      <c r="B37" s="138" t="inlineStr">
        <is>
          <t>饮料管爆能枪</t>
        </is>
      </c>
      <c r="C37" s="138" t="inlineStr">
        <is>
          <t>武器</t>
        </is>
      </c>
      <c r="D37" s="138" t="inlineStr">
        <is>
          <t>gunbody</t>
        </is>
      </c>
      <c r="E37" s="138" t="inlineStr">
        <is>
          <t>future_soda_straw_blaster</t>
        </is>
      </c>
      <c r="F37" s="138" t="inlineStr">
        <is>
          <t>root</t>
        </is>
      </c>
      <c r="G37" s="138" t="n"/>
      <c r="H37" s="138" t="inlineStr">
        <is>
          <t>俯视3D / local -Z 枪口</t>
        </is>
      </c>
      <c r="I37" s="138" t="inlineStr">
        <is>
          <t>default / 标准握把与8类挂点</t>
        </is>
      </c>
      <c r="J37" s="138" t="inlineStr">
        <is>
          <t>未来枪械池/独立资产</t>
        </is>
      </c>
      <c r="K37" s="138" t="inlineStr">
        <is>
          <t>已完成</t>
        </is>
      </c>
      <c r="L37" s="138" t="inlineStr">
        <is>
          <t>P2</t>
        </is>
      </c>
      <c r="M37" s="138" t="inlineStr">
        <is>
          <t>v001</t>
        </is>
      </c>
      <c r="N37" s="138" t="inlineStr">
        <is>
          <t>握把原点；local -Z枪口；3材质；独立GLB/PackedScene</t>
        </is>
      </c>
      <c r="O37" s="138" t="inlineStr">
        <is>
          <t>assets/art/weapons/weapon_3d/runtime/soda_straw_blaster/wpn_soda_straw_blaster_root_top3d_v001.tscn</t>
        </is>
      </c>
      <c r="P37" s="138" t="inlineStr">
        <is>
          <t>assets/art/weapons/weapon_3d/source/soda_straw_blaster/wpn_soda_straw_blaster_source_v001.blend</t>
        </is>
      </c>
      <c r="Q37" s="138" t="inlineStr">
        <is>
          <t>soda_straw_blaster; 饮料管爆能枪; 未来枪械; 通用挂点; 多巴胺配色</t>
        </is>
      </c>
      <c r="R37" s="138">
        <f>LOWER(TRIM(C37)&amp;"|"&amp;TRIM(D37)&amp;"|"&amp;TRIM(E37)&amp;"|"&amp;TRIM(F37)&amp;"|"&amp;TRIM(H37)&amp;"|"&amp;TRIM(I37))</f>
        <v/>
      </c>
      <c r="S37" s="138">
        <f>IF(COUNTIF($R$6:$R$41,R37)&gt;1,"重复","唯一")</f>
        <v/>
      </c>
      <c r="T37" s="138" t="inlineStr">
        <is>
          <t>b8c6a97267f825937f58851aad49588de64c1d3e713526a26f275306413b702f</t>
        </is>
      </c>
      <c r="U37" s="138" t="inlineStr">
        <is>
          <t>Codex</t>
        </is>
      </c>
      <c r="V37" s="303" t="n">
        <v>46264</v>
      </c>
      <c r="W37" s="138" t="inlineStr">
        <is>
          <t>用户自制Blender资产</t>
        </is>
      </c>
      <c r="X37" s="375" t="inlineStr">
        <is>
          <t>—</t>
        </is>
      </c>
      <c r="Y37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t>
        </is>
      </c>
    </row>
    <row r="38">
      <c r="A38" s="138" t="inlineStr">
        <is>
          <t>WPN-GUN-FUTURE-CROCODILE-CANNON-3D</t>
        </is>
      </c>
      <c r="B38" s="138" t="inlineStr">
        <is>
          <t>鳄鱼加农炮</t>
        </is>
      </c>
      <c r="C38" s="138" t="inlineStr">
        <is>
          <t>武器</t>
        </is>
      </c>
      <c r="D38" s="138" t="inlineStr">
        <is>
          <t>gunbody</t>
        </is>
      </c>
      <c r="E38" s="138" t="inlineStr">
        <is>
          <t>future_crocodile_cannon</t>
        </is>
      </c>
      <c r="F38" s="138" t="inlineStr">
        <is>
          <t>root</t>
        </is>
      </c>
      <c r="G38" s="138" t="n"/>
      <c r="H38" s="138" t="inlineStr">
        <is>
          <t>俯视3D / local -Z 枪口</t>
        </is>
      </c>
      <c r="I38" s="138" t="inlineStr">
        <is>
          <t>default / 标准握把与8类挂点</t>
        </is>
      </c>
      <c r="J38" s="138" t="inlineStr">
        <is>
          <t>未来枪械池/独立资产</t>
        </is>
      </c>
      <c r="K38" s="138" t="inlineStr">
        <is>
          <t>已完成</t>
        </is>
      </c>
      <c r="L38" s="138" t="inlineStr">
        <is>
          <t>P2</t>
        </is>
      </c>
      <c r="M38" s="138" t="inlineStr">
        <is>
          <t>v001</t>
        </is>
      </c>
      <c r="N38" s="138" t="inlineStr">
        <is>
          <t>握把原点；local -Z枪口；3材质；独立GLB/PackedScene</t>
        </is>
      </c>
      <c r="O38" s="138" t="inlineStr">
        <is>
          <t>assets/art/weapons/weapon_3d/runtime/crocodile_cannon/wpn_crocodile_cannon_root_top3d_v001.tscn</t>
        </is>
      </c>
      <c r="P38" s="138" t="inlineStr">
        <is>
          <t>assets/art/weapons/weapon_3d/source/crocodile_cannon/wpn_crocodile_cannon_source_v001.blend</t>
        </is>
      </c>
      <c r="Q38" s="138" t="inlineStr">
        <is>
          <t>crocodile_cannon; 鳄鱼加农炮; 未来枪械; 通用挂点; 多巴胺配色</t>
        </is>
      </c>
      <c r="R38" s="138">
        <f>LOWER(TRIM(C38)&amp;"|"&amp;TRIM(D38)&amp;"|"&amp;TRIM(E38)&amp;"|"&amp;TRIM(F38)&amp;"|"&amp;TRIM(H38)&amp;"|"&amp;TRIM(I38))</f>
        <v/>
      </c>
      <c r="S38" s="138">
        <f>IF(COUNTIF($R$6:$R$41,R38)&gt;1,"重复","唯一")</f>
        <v/>
      </c>
      <c r="T38" s="138" t="inlineStr">
        <is>
          <t>c0e1abe37949f4aee0619e04f40104b4bcf0c59f4269ddc64f4f10df4733416b</t>
        </is>
      </c>
      <c r="U38" s="138" t="inlineStr">
        <is>
          <t>Codex</t>
        </is>
      </c>
      <c r="V38" s="303" t="n">
        <v>46264</v>
      </c>
      <c r="W38" s="138" t="inlineStr">
        <is>
          <t>用户自制Blender资产</t>
        </is>
      </c>
      <c r="X38" s="375" t="inlineStr">
        <is>
          <t>—</t>
        </is>
      </c>
      <c r="Y38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t>
        </is>
      </c>
    </row>
    <row r="39">
      <c r="A39" s="138" t="inlineStr">
        <is>
          <t>WPN-GUN-FUTURE-CAMERA-BLASTER-3D</t>
        </is>
      </c>
      <c r="B39" s="138" t="inlineStr">
        <is>
          <t>相机爆能枪</t>
        </is>
      </c>
      <c r="C39" s="138" t="inlineStr">
        <is>
          <t>武器</t>
        </is>
      </c>
      <c r="D39" s="138" t="inlineStr">
        <is>
          <t>gunbody</t>
        </is>
      </c>
      <c r="E39" s="138" t="inlineStr">
        <is>
          <t>future_camera_blaster</t>
        </is>
      </c>
      <c r="F39" s="138" t="inlineStr">
        <is>
          <t>root</t>
        </is>
      </c>
      <c r="G39" s="138" t="n"/>
      <c r="H39" s="138" t="inlineStr">
        <is>
          <t>俯视3D / local -Z 枪口</t>
        </is>
      </c>
      <c r="I39" s="138" t="inlineStr">
        <is>
          <t>default / 标准握把与8类挂点</t>
        </is>
      </c>
      <c r="J39" s="138" t="inlineStr">
        <is>
          <t>未来枪械池/独立资产</t>
        </is>
      </c>
      <c r="K39" s="138" t="inlineStr">
        <is>
          <t>已完成</t>
        </is>
      </c>
      <c r="L39" s="138" t="inlineStr">
        <is>
          <t>P2</t>
        </is>
      </c>
      <c r="M39" s="138" t="inlineStr">
        <is>
          <t>v001</t>
        </is>
      </c>
      <c r="N39" s="138" t="inlineStr">
        <is>
          <t>握把原点；local -Z枪口；3材质；独立GLB/PackedScene</t>
        </is>
      </c>
      <c r="O39" s="138" t="inlineStr">
        <is>
          <t>assets/art/weapons/weapon_3d/runtime/camera_blaster/wpn_camera_blaster_root_top3d_v001.tscn</t>
        </is>
      </c>
      <c r="P39" s="138" t="inlineStr">
        <is>
          <t>assets/art/weapons/weapon_3d/source/camera_blaster/wpn_camera_blaster_source_v001.blend</t>
        </is>
      </c>
      <c r="Q39" s="138" t="inlineStr">
        <is>
          <t>camera_blaster; 相机爆能枪; 未来枪械; 通用挂点; 多巴胺配色</t>
        </is>
      </c>
      <c r="R39" s="138">
        <f>LOWER(TRIM(C39)&amp;"|"&amp;TRIM(D39)&amp;"|"&amp;TRIM(E39)&amp;"|"&amp;TRIM(F39)&amp;"|"&amp;TRIM(H39)&amp;"|"&amp;TRIM(I39))</f>
        <v/>
      </c>
      <c r="S39" s="138">
        <f>IF(COUNTIF($R$6:$R$41,R39)&gt;1,"重复","唯一")</f>
        <v/>
      </c>
      <c r="T39" s="138" t="inlineStr">
        <is>
          <t>e4afd543d2e1be93ac923edc02ba570611ca0ee73fe3a0764ff0f7677ead1968</t>
        </is>
      </c>
      <c r="U39" s="138" t="inlineStr">
        <is>
          <t>Codex</t>
        </is>
      </c>
      <c r="V39" s="303" t="n">
        <v>46264</v>
      </c>
      <c r="W39" s="138" t="inlineStr">
        <is>
          <t>用户自制Blender资产</t>
        </is>
      </c>
      <c r="X39" s="375" t="inlineStr">
        <is>
          <t>—</t>
        </is>
      </c>
      <c r="Y39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t>
        </is>
      </c>
    </row>
    <row r="40">
      <c r="A40" s="138" t="inlineStr">
        <is>
          <t>WPN-GUN-FUTURE-TISSUE-BOX-CANNON-3D</t>
        </is>
      </c>
      <c r="B40" s="138" t="inlineStr">
        <is>
          <t>纸巾盒加农炮</t>
        </is>
      </c>
      <c r="C40" s="138" t="inlineStr">
        <is>
          <t>武器</t>
        </is>
      </c>
      <c r="D40" s="138" t="inlineStr">
        <is>
          <t>gunbody</t>
        </is>
      </c>
      <c r="E40" s="138" t="inlineStr">
        <is>
          <t>future_tissue_box_cannon</t>
        </is>
      </c>
      <c r="F40" s="138" t="inlineStr">
        <is>
          <t>root</t>
        </is>
      </c>
      <c r="G40" s="138" t="n"/>
      <c r="H40" s="138" t="inlineStr">
        <is>
          <t>俯视3D / local -Z 枪口</t>
        </is>
      </c>
      <c r="I40" s="138" t="inlineStr">
        <is>
          <t>default / 标准握把与8类挂点</t>
        </is>
      </c>
      <c r="J40" s="138" t="inlineStr">
        <is>
          <t>未来枪械池/独立资产</t>
        </is>
      </c>
      <c r="K40" s="138" t="inlineStr">
        <is>
          <t>已完成</t>
        </is>
      </c>
      <c r="L40" s="138" t="inlineStr">
        <is>
          <t>P2</t>
        </is>
      </c>
      <c r="M40" s="138" t="inlineStr">
        <is>
          <t>v001</t>
        </is>
      </c>
      <c r="N40" s="138" t="inlineStr">
        <is>
          <t>握把原点；local -Z枪口；3材质；独立GLB/PackedScene</t>
        </is>
      </c>
      <c r="O40" s="138" t="inlineStr">
        <is>
          <t>assets/art/weapons/weapon_3d/runtime/tissue_box_cannon/wpn_tissue_box_cannon_root_top3d_v001.tscn</t>
        </is>
      </c>
      <c r="P40" s="138" t="inlineStr">
        <is>
          <t>assets/art/weapons/weapon_3d/source/tissue_box_cannon/wpn_tissue_box_cannon_source_v001.blend</t>
        </is>
      </c>
      <c r="Q40" s="138" t="inlineStr">
        <is>
          <t>tissue_box_cannon; 纸巾盒加农炮; 未来枪械; 通用挂点; 多巴胺配色</t>
        </is>
      </c>
      <c r="R40" s="138">
        <f>LOWER(TRIM(C40)&amp;"|"&amp;TRIM(D40)&amp;"|"&amp;TRIM(E40)&amp;"|"&amp;TRIM(F40)&amp;"|"&amp;TRIM(H40)&amp;"|"&amp;TRIM(I40))</f>
        <v/>
      </c>
      <c r="S40" s="138">
        <f>IF(COUNTIF($R$6:$R$41,R40)&gt;1,"重复","唯一")</f>
        <v/>
      </c>
      <c r="T40" s="138" t="inlineStr">
        <is>
          <t>d4acc27b57bae6f0d1688365d8bbba123fa6e174b9f2acce02173853513659f7</t>
        </is>
      </c>
      <c r="U40" s="138" t="inlineStr">
        <is>
          <t>Codex</t>
        </is>
      </c>
      <c r="V40" s="303" t="n">
        <v>46264</v>
      </c>
      <c r="W40" s="138" t="inlineStr">
        <is>
          <t>用户自制Blender资产</t>
        </is>
      </c>
      <c r="X40" s="375" t="inlineStr">
        <is>
          <t>—</t>
        </is>
      </c>
      <c r="Y40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t>
        </is>
      </c>
    </row>
    <row r="41">
      <c r="A41" s="138" t="inlineStr">
        <is>
          <t>WPN-GUN-FUTURE-FAN-BLASTER-3D</t>
        </is>
      </c>
      <c r="B41" s="138" t="inlineStr">
        <is>
          <t>风扇爆能枪</t>
        </is>
      </c>
      <c r="C41" s="138" t="inlineStr">
        <is>
          <t>武器</t>
        </is>
      </c>
      <c r="D41" s="138" t="inlineStr">
        <is>
          <t>gunbody</t>
        </is>
      </c>
      <c r="E41" s="138" t="inlineStr">
        <is>
          <t>future_fan_blaster</t>
        </is>
      </c>
      <c r="F41" s="138" t="inlineStr">
        <is>
          <t>root</t>
        </is>
      </c>
      <c r="G41" s="138" t="n"/>
      <c r="H41" s="138" t="inlineStr">
        <is>
          <t>俯视3D / local -Z 枪口</t>
        </is>
      </c>
      <c r="I41" s="138" t="inlineStr">
        <is>
          <t>default / 标准握把与8类挂点</t>
        </is>
      </c>
      <c r="J41" s="138" t="inlineStr">
        <is>
          <t>未来枪械池/独立资产</t>
        </is>
      </c>
      <c r="K41" s="138" t="inlineStr">
        <is>
          <t>已完成</t>
        </is>
      </c>
      <c r="L41" s="138" t="inlineStr">
        <is>
          <t>P2</t>
        </is>
      </c>
      <c r="M41" s="138" t="inlineStr">
        <is>
          <t>v001</t>
        </is>
      </c>
      <c r="N41" s="138" t="inlineStr">
        <is>
          <t>握把原点；local -Z枪口；3材质；独立GLB/PackedScene</t>
        </is>
      </c>
      <c r="O41" s="138" t="inlineStr">
        <is>
          <t>assets/art/weapons/weapon_3d/runtime/fan_blaster/wpn_fan_blaster_root_top3d_v001.tscn</t>
        </is>
      </c>
      <c r="P41" s="138" t="inlineStr">
        <is>
          <t>assets/art/weapons/weapon_3d/source/fan_blaster/wpn_fan_blaster_source_v001.blend</t>
        </is>
      </c>
      <c r="Q41" s="138" t="inlineStr">
        <is>
          <t>fan_blaster; 风扇爆能枪; 未来枪械; 通用挂点; 多巴胺配色</t>
        </is>
      </c>
      <c r="R41" s="138">
        <f>LOWER(TRIM(C41)&amp;"|"&amp;TRIM(D41)&amp;"|"&amp;TRIM(E41)&amp;"|"&amp;TRIM(F41)&amp;"|"&amp;TRIM(H41)&amp;"|"&amp;TRIM(I41))</f>
        <v/>
      </c>
      <c r="S41" s="138">
        <f>IF(COUNTIF($R$6:$R$41,R41)&gt;1,"重复","唯一")</f>
        <v/>
      </c>
      <c r="T41" s="138" t="inlineStr">
        <is>
          <t>3ef7b483eb98314077ee9a014c6b6de00dddf66509f8d35ab78aec539958fe18</t>
        </is>
      </c>
      <c r="U41" s="138" t="inlineStr">
        <is>
          <t>Codex</t>
        </is>
      </c>
      <c r="V41" s="303" t="n">
        <v>46264</v>
      </c>
      <c r="W41" s="138" t="inlineStr">
        <is>
          <t>用户自制Blender资产</t>
        </is>
      </c>
      <c r="X41" s="375" t="inlineStr">
        <is>
          <t>—</t>
        </is>
      </c>
      <c r="Y41" s="138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t>
        </is>
      </c>
    </row>
    <row r="79" ht="155" customHeight="1"/>
    <row r="113" ht="155" customHeight="1"/>
    <row r="120" ht="155" customHeight="1"/>
    <row r="123" ht="155" customHeight="1"/>
    <row r="124" ht="34" customHeight="1"/>
    <row r="125" ht="34" customHeight="1"/>
    <row r="126" ht="34" customHeight="1"/>
    <row r="127" ht="34" customHeight="1"/>
    <row r="128" ht="155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3" ht="155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  <row r="152" ht="44" customHeight="1"/>
    <row r="153" ht="44" customHeight="1"/>
    <row r="154" ht="44" customHeight="1"/>
    <row r="155" ht="44" customHeight="1"/>
    <row r="156" ht="132" customHeight="1"/>
    <row r="157" ht="118" customHeight="1"/>
    <row r="158" ht="118" customHeight="1"/>
    <row r="159" ht="118" customHeight="1"/>
    <row r="160" ht="118" customHeight="1"/>
    <row r="161" ht="132" customHeight="1"/>
    <row r="162" ht="132" customHeight="1"/>
    <row r="163" ht="155" customHeight="1"/>
    <row r="164" ht="132" customHeight="1"/>
    <row r="165" ht="132" customHeight="1"/>
    <row r="166" ht="132" customHeight="1"/>
    <row r="167" ht="155" customHeight="1"/>
    <row r="168" ht="220" customHeight="1"/>
    <row r="169" ht="220" customHeight="1"/>
    <row r="172" ht="42" customHeight="1"/>
    <row r="173" ht="42" customHeight="1"/>
    <row r="174" ht="44" customHeight="1"/>
    <row r="175" ht="44" customHeight="1"/>
    <row r="176" ht="44" customHeight="1"/>
    <row r="177" ht="44" customHeight="1"/>
    <row r="178" ht="44" customHeight="1"/>
    <row r="179" ht="44" customHeight="1"/>
    <row r="180" ht="44" customHeight="1"/>
    <row r="181" ht="44" customHeight="1"/>
    <row r="182" ht="44" customHeight="1"/>
    <row r="183" ht="44" customHeight="1"/>
    <row r="184" ht="44" customHeight="1"/>
    <row r="185" ht="44" customHeight="1"/>
    <row r="186" ht="44" customHeight="1"/>
    <row r="187" ht="44" customHeight="1"/>
    <row r="188" ht="44" customHeight="1"/>
    <row r="189" ht="44" customHeight="1"/>
    <row r="190" ht="44" customHeight="1"/>
    <row r="191" ht="44" customHeight="1"/>
    <row r="192" ht="44" customHeight="1"/>
    <row r="193" ht="44" customHeight="1"/>
    <row r="194" ht="44" customHeight="1"/>
    <row r="195" ht="44" customHeight="1"/>
    <row r="196" ht="44" customHeight="1"/>
    <row r="197" ht="44" customHeight="1"/>
    <row r="198" ht="44" customHeight="1"/>
    <row r="199" ht="44" customHeight="1"/>
    <row r="200" ht="44" customHeight="1"/>
    <row r="201" ht="44" customHeight="1"/>
    <row r="202" ht="44" customHeight="1"/>
    <row r="203" ht="44" customHeight="1"/>
    <row r="204" ht="44" customHeight="1"/>
    <row r="240" ht="255" customHeight="1"/>
    <row r="281" ht="66" customHeight="1"/>
    <row r="282" ht="66" customHeight="1"/>
    <row r="283" ht="66" customHeight="1"/>
    <row r="284" ht="66" customHeight="1"/>
    <row r="285" ht="66" customHeight="1"/>
    <row r="286" ht="66" customHeight="1"/>
    <row r="287" ht="56" customHeight="1"/>
    <row r="301" ht="132" customHeight="1"/>
    <row r="302" ht="54" customHeight="1"/>
    <row r="303" ht="54" customHeight="1"/>
    <row r="304" ht="54" customHeight="1"/>
    <row r="305" ht="54" customHeight="1"/>
    <row r="306" ht="54" customHeight="1"/>
    <row r="307" ht="54" customHeight="1"/>
    <row r="308" ht="54" customHeight="1"/>
    <row r="309" ht="54" customHeight="1"/>
    <row r="310" ht="54" customHeight="1"/>
    <row r="311" ht="72" customHeight="1"/>
    <row r="312" ht="54" customHeight="1"/>
    <row r="313" ht="54" customHeight="1"/>
    <row r="314" ht="54" customHeight="1"/>
    <row r="315" ht="54" customHeight="1"/>
    <row r="316" ht="54" customHeight="1"/>
    <row r="317" ht="54" customHeight="1"/>
    <row r="318" ht="54" customHeight="1"/>
    <row r="319" ht="54" customHeight="1"/>
    <row r="320" ht="54" customHeight="1"/>
    <row r="321" ht="54" customHeight="1"/>
    <row r="322" ht="54" customHeight="1"/>
    <row r="323" ht="54" customHeight="1"/>
    <row r="324" ht="54" customHeight="1"/>
    <row r="325" ht="54" customHeight="1"/>
    <row r="326" ht="54" customHeight="1"/>
    <row r="327" ht="54" customHeight="1"/>
    <row r="328" ht="54" customHeight="1"/>
    <row r="329" ht="54" customHeight="1"/>
    <row r="330" ht="54" customHeight="1"/>
    <row r="331" ht="54" customHeight="1"/>
    <row r="332" ht="54" customHeight="1"/>
    <row r="333" ht="54" customHeight="1"/>
    <row r="334" ht="54" customHeight="1"/>
    <row r="335" ht="54" customHeight="1"/>
    <row r="336" ht="54" customHeight="1"/>
    <row r="337" ht="54" customHeight="1"/>
    <row r="338" ht="54" customHeight="1"/>
    <row r="339" ht="54" customHeight="1"/>
    <row r="340" ht="54" customHeight="1"/>
    <row r="341" ht="54" customHeight="1"/>
    <row r="342" ht="54" customHeight="1"/>
    <row r="343" ht="54" customHeight="1"/>
    <row r="344" ht="54" customHeight="1"/>
    <row r="345" ht="54" customHeight="1"/>
    <row r="346" ht="54" customHeight="1"/>
    <row r="347" ht="54" customHeight="1"/>
    <row r="348" ht="54" customHeight="1"/>
    <row r="349" ht="54" customHeight="1"/>
    <row r="350" ht="54" customHeight="1"/>
    <row r="351" ht="54" customHeight="1"/>
    <row r="352" ht="54" customHeight="1"/>
    <row r="353" ht="54" customHeight="1"/>
    <row r="354" ht="54" customHeight="1"/>
    <row r="355" ht="54" customHeight="1"/>
    <row r="356" ht="54" customHeight="1"/>
    <row r="357" ht="54" customHeight="1"/>
    <row r="358" ht="54" customHeight="1"/>
    <row r="359" ht="72" customHeight="1"/>
    <row r="360" ht="54" customHeight="1"/>
    <row r="361" ht="54" customHeight="1"/>
    <row r="362" ht="54" customHeight="1"/>
    <row r="363" ht="54" customHeight="1"/>
    <row r="364" ht="54" customHeight="1"/>
    <row r="365" ht="54" customHeight="1"/>
    <row r="366" ht="54" customHeight="1"/>
    <row r="367" ht="54" customHeight="1"/>
    <row r="368" ht="72" customHeight="1"/>
    <row r="369" ht="54" customHeight="1"/>
    <row r="370" ht="54" customHeight="1"/>
    <row r="371" ht="54" customHeight="1"/>
    <row r="372" ht="54" customHeight="1"/>
    <row r="373" ht="54" customHeight="1"/>
    <row r="374" ht="54" customHeight="1"/>
    <row r="375" ht="54" customHeight="1"/>
    <row r="376" ht="54" customHeight="1"/>
    <row r="377" ht="54" customHeight="1"/>
    <row r="378" ht="54" customHeight="1"/>
    <row r="379" ht="54" customHeight="1"/>
    <row r="380" ht="54" customHeight="1"/>
    <row r="381" ht="54" customHeight="1"/>
    <row r="382" ht="54" customHeight="1"/>
    <row r="383" ht="54" customHeight="1"/>
    <row r="384" ht="54" customHeight="1"/>
    <row r="385" ht="54" customHeight="1"/>
    <row r="386" ht="54" customHeight="1"/>
    <row r="387" ht="54" customHeight="1"/>
    <row r="388" ht="54" customHeight="1"/>
    <row r="389" ht="54" customHeight="1"/>
    <row r="390" ht="54" customHeight="1"/>
    <row r="391" ht="54" customHeight="1"/>
    <row r="392" ht="54" customHeight="1"/>
    <row r="393" ht="54" customHeight="1"/>
    <row r="394" ht="54" customHeight="1"/>
    <row r="395" ht="54" customHeight="1"/>
    <row r="396" ht="54" customHeight="1"/>
    <row r="397" ht="54" customHeight="1"/>
    <row r="398" ht="54" customHeight="1"/>
    <row r="399" ht="54" customHeight="1"/>
    <row r="400" ht="54" customHeight="1"/>
    <row r="401" ht="54" customHeight="1"/>
    <row r="402" ht="54" customHeight="1"/>
    <row r="403" ht="54" customHeight="1"/>
    <row r="404" ht="54" customHeight="1"/>
    <row r="405" ht="54" customHeight="1"/>
    <row r="406" ht="54" customHeight="1"/>
    <row r="407" ht="54" customHeight="1"/>
    <row r="408" ht="54" customHeight="1"/>
    <row r="409" ht="54" customHeight="1"/>
    <row r="410" ht="54" customHeight="1"/>
    <row r="411" ht="54" customHeight="1"/>
    <row r="412" ht="54" customHeight="1"/>
    <row r="413" ht="76" customHeight="1"/>
    <row r="414" ht="72" customHeight="1"/>
    <row r="415" ht="72" customHeight="1"/>
    <row r="416" ht="72" customHeight="1"/>
    <row r="424" ht="85" customHeight="1"/>
    <row r="425" ht="85" customHeight="1"/>
    <row r="426" ht="85" customHeight="1"/>
    <row r="427" ht="85" customHeight="1"/>
    <row r="429" ht="120" customHeight="1"/>
  </sheetData>
  <autoFilter ref="A5:X41"/>
  <mergeCells count="2">
    <mergeCell ref="A1:X2"/>
    <mergeCell ref="A3:X3"/>
  </mergeCells>
  <conditionalFormatting sqref="S6:S41">
    <cfRule type="containsText" priority="1" operator="containsText" dxfId="0" text="重复"/>
  </conditionalFormatting>
  <conditionalFormatting sqref="K6:K41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41" showDropDown="0" showInputMessage="0" showErrorMessage="0" allowBlank="1" type="list">
      <formula1>"角色,敌人,武器,道具,场景,场景道具,基地资产包,UI,特效,音频"</formula1>
    </dataValidation>
    <dataValidation sqref="K6:K41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41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4" customWidth="1" min="3" max="3"/>
    <col width="42" customWidth="1" min="4" max="4"/>
    <col width="38" customWidth="1" min="5" max="5"/>
    <col width="27" customWidth="1" min="6" max="6"/>
    <col width="36" customWidth="1" min="7" max="7"/>
    <col width="10" customWidth="1" min="8" max="8"/>
    <col width="12" customWidth="1" min="9" max="9"/>
    <col width="18" customWidth="1" min="10" max="10"/>
    <col width="26" customWidth="1" min="11" max="11"/>
    <col width="24" customWidth="1" min="12" max="12"/>
    <col width="24" customWidth="1" min="13" max="13"/>
    <col width="22" customWidth="1" min="14" max="14"/>
    <col width="10" customWidth="1" min="15" max="15"/>
    <col width="44" customWidth="1" min="16" max="16"/>
  </cols>
  <sheetData>
    <row r="1" ht="30" customHeight="1">
      <c r="A1" s="246" t="inlineStr">
        <is>
          <t>ShellStorm2 · 武器 3D Prefab</t>
        </is>
      </c>
    </row>
    <row r="2" ht="34" customHeight="1">
      <c r="A2" s="250" t="inlineStr">
        <is>
          <t>枪械、近战武器与武器装配根；本次扫描 22 个独立Prefab。</t>
        </is>
      </c>
    </row>
    <row r="4" ht="30" customHeight="1">
      <c r="A4" s="262" t="inlineStr">
        <is>
          <t>AssetID</t>
        </is>
      </c>
      <c r="B4" s="263" t="inlineStr">
        <is>
          <t>中文名</t>
        </is>
      </c>
      <c r="C4" s="263" t="inlineStr">
        <is>
          <t>Prefab路径</t>
        </is>
      </c>
      <c r="D4" s="263" t="inlineStr">
        <is>
          <t>GLB模型路径</t>
        </is>
      </c>
      <c r="E4" s="263" t="inlineStr">
        <is>
          <t>Blender源文件</t>
        </is>
      </c>
      <c r="F4" s="263" t="inlineStr">
        <is>
          <t>功能说明</t>
        </is>
      </c>
      <c r="G4" s="263" t="inlineStr">
        <is>
          <t>功能脚本路径</t>
        </is>
      </c>
      <c r="H4" s="263" t="inlineStr">
        <is>
          <t>碰撞开关</t>
        </is>
      </c>
      <c r="I4" s="263" t="inlineStr">
        <is>
          <t>碰撞归属</t>
        </is>
      </c>
      <c r="J4" s="263" t="inlineStr">
        <is>
          <t>碰撞方式</t>
        </is>
      </c>
      <c r="K4" s="263" t="inlineStr">
        <is>
          <t>标准尺寸</t>
        </is>
      </c>
      <c r="L4" s="263" t="inlineStr">
        <is>
          <t>原点与朝向</t>
        </is>
      </c>
      <c r="M4" s="263" t="inlineStr">
        <is>
          <t>使用位置</t>
        </is>
      </c>
      <c r="N4" s="263" t="inlineStr">
        <is>
          <t>制作状态</t>
        </is>
      </c>
      <c r="O4" s="263" t="inlineStr">
        <is>
          <t>版本</t>
        </is>
      </c>
      <c r="P4" s="264" t="inlineStr">
        <is>
          <t>备注</t>
        </is>
      </c>
    </row>
    <row r="5" ht="66" customHeight="1">
      <c r="A5" s="188" t="inlineStr">
        <is>
          <t>WPN-MELEE-BP-BASEBALL-BAT</t>
        </is>
      </c>
      <c r="B5" s="189" t="inlineStr">
        <is>
          <t>废土棒球棍程序原型</t>
        </is>
      </c>
      <c r="C5" s="189" t="inlineStr">
        <is>
          <t>assets/art/weapons/melee_3d/wpn_melee_baseball_bat_root_top3d_v001.tscn</t>
        </is>
      </c>
      <c r="D5" s="189" t="str"/>
      <c r="E5" s="189" t="str"/>
      <c r="F5" s="189" t="inlineStr">
        <is>
          <t>武器3D表现Prefab；由武器系统装配</t>
        </is>
      </c>
      <c r="G5" s="189" t="inlineStr">
        <is>
          <t>src/combat3d/MeleeWeaponVisual3D.gd</t>
        </is>
      </c>
      <c r="H5" s="189" t="inlineStr">
        <is>
          <t>无</t>
        </is>
      </c>
      <c r="I5" s="189" t="inlineStr">
        <is>
          <t>无</t>
        </is>
      </c>
      <c r="J5" s="189" t="inlineStr">
        <is>
          <t>无</t>
        </is>
      </c>
      <c r="K5" s="189" t="inlineStr">
        <is>
          <t>程序Mesh；0.28×0.28×1.48m；无碰撞</t>
        </is>
      </c>
      <c r="L5" s="189" t="inlineStr">
        <is>
          <t>未声明</t>
        </is>
      </c>
      <c r="M5" s="189" t="inlineStr">
        <is>
          <t>手持/背负/地面/背包图标/表现页/基地贩卖机</t>
        </is>
      </c>
      <c r="N5" s="189" t="inlineStr">
        <is>
          <t>程序占位</t>
        </is>
      </c>
      <c r="O5" s="189" t="inlineStr">
        <is>
          <t>v001</t>
        </is>
      </c>
      <c r="P5" s="190" t="inlineStr">
        <is>
          <t>根节点=BaseballBatRootTop3D(Node3D)</t>
        </is>
      </c>
    </row>
    <row r="6" ht="66" customHeight="1">
      <c r="A6" s="191" t="inlineStr">
        <is>
          <t>WPN-MELEE-BP-GREATBLADE</t>
        </is>
      </c>
      <c r="B6" s="192" t="inlineStr">
        <is>
          <t>巨型工业断刃程序原型</t>
        </is>
      </c>
      <c r="C6" s="192" t="inlineStr">
        <is>
          <t>assets/art/weapons/melee_3d/wpn_melee_greatblade_root_top3d_v001.tscn</t>
        </is>
      </c>
      <c r="D6" s="192" t="str"/>
      <c r="E6" s="192" t="str"/>
      <c r="F6" s="192" t="inlineStr">
        <is>
          <t>武器3D表现Prefab；由武器系统装配</t>
        </is>
      </c>
      <c r="G6" s="192" t="inlineStr">
        <is>
          <t>src/combat3d/MeleeWeaponVisual3D.gd</t>
        </is>
      </c>
      <c r="H6" s="192" t="inlineStr">
        <is>
          <t>无</t>
        </is>
      </c>
      <c r="I6" s="192" t="inlineStr">
        <is>
          <t>无</t>
        </is>
      </c>
      <c r="J6" s="192" t="inlineStr">
        <is>
          <t>无</t>
        </is>
      </c>
      <c r="K6" s="192" t="inlineStr">
        <is>
          <t>程序Mesh；0.82×0.30×2.42m；无碰撞</t>
        </is>
      </c>
      <c r="L6" s="192" t="inlineStr">
        <is>
          <t>未声明</t>
        </is>
      </c>
      <c r="M6" s="192" t="inlineStr">
        <is>
          <t>手持/背负/地面/背包图标/表现页</t>
        </is>
      </c>
      <c r="N6" s="192" t="inlineStr">
        <is>
          <t>程序占位</t>
        </is>
      </c>
      <c r="O6" s="192" t="inlineStr">
        <is>
          <t>v001</t>
        </is>
      </c>
      <c r="P6" s="193" t="inlineStr">
        <is>
          <t>根节点=GreatbladeVisual3D(Node3D)</t>
        </is>
      </c>
    </row>
    <row r="7" ht="66" customHeight="1">
      <c r="A7" s="191" t="inlineStr">
        <is>
          <t>WPN-MELEE-BP-WARAXE</t>
        </is>
      </c>
      <c r="B7" s="192" t="inlineStr">
        <is>
          <t>攻城裂甲斧程序原型</t>
        </is>
      </c>
      <c r="C7" s="192" t="inlineStr">
        <is>
          <t>assets/art/weapons/melee_3d/wpn_melee_waraxe_root_top3d_v001.tscn</t>
        </is>
      </c>
      <c r="D7" s="192" t="str"/>
      <c r="E7" s="192" t="str"/>
      <c r="F7" s="192" t="inlineStr">
        <is>
          <t>武器3D表现Prefab；由武器系统装配</t>
        </is>
      </c>
      <c r="G7" s="192" t="inlineStr">
        <is>
          <t>src/combat3d/MeleeWeaponVisual3D.gd</t>
        </is>
      </c>
      <c r="H7" s="192" t="inlineStr">
        <is>
          <t>无</t>
        </is>
      </c>
      <c r="I7" s="192" t="inlineStr">
        <is>
          <t>无</t>
        </is>
      </c>
      <c r="J7" s="192" t="inlineStr">
        <is>
          <t>无</t>
        </is>
      </c>
      <c r="K7" s="192" t="inlineStr">
        <is>
          <t>程序Mesh；1.18×0.34×2.62m；无碰撞</t>
        </is>
      </c>
      <c r="L7" s="192" t="inlineStr">
        <is>
          <t>未声明</t>
        </is>
      </c>
      <c r="M7" s="192" t="inlineStr">
        <is>
          <t>手持/背负/地面/背包图标/表现页</t>
        </is>
      </c>
      <c r="N7" s="192" t="inlineStr">
        <is>
          <t>程序占位</t>
        </is>
      </c>
      <c r="O7" s="192" t="inlineStr">
        <is>
          <t>v001</t>
        </is>
      </c>
      <c r="P7" s="193" t="inlineStr">
        <is>
          <t>根节点=WaraxeVisual3D(Node3D)</t>
        </is>
      </c>
    </row>
    <row r="8" ht="66" customHeight="1">
      <c r="A8" s="191" t="inlineStr">
        <is>
          <t>WPN-GUN-BP-RIFLE</t>
        </is>
      </c>
      <c r="B8" s="192" t="inlineStr">
        <is>
          <t>步枪 / 扫帚步枪造型</t>
        </is>
      </c>
      <c r="C8" s="192" t="inlineStr">
        <is>
          <t>assets/art/weapons/weapon_3d/runtime/broom_rifle/wpn_broom_rifle_root_top3d_v001.tscn</t>
        </is>
      </c>
      <c r="D8" s="192" t="inlineStr">
        <is>
          <t>assets/art/weapons/weapon_3d/components/broom_rifle/wpn_broom_rifle_visual_top3d_v003.glb</t>
        </is>
      </c>
      <c r="E8" s="192" t="inlineStr">
        <is>
          <t>assets/art/weapons/weapon_3d/source/broom_rifle/wpn_broom_rifle_source_v003.blend</t>
        </is>
      </c>
      <c r="F8" s="192" t="inlineStr">
        <is>
          <t>武器3D表现Prefab；由武器系统装配</t>
        </is>
      </c>
      <c r="G8" s="192" t="inlineStr">
        <is>
          <t>src/player3d/WeaponModel3D.gd</t>
        </is>
      </c>
      <c r="H8" s="192" t="inlineStr">
        <is>
          <t>无</t>
        </is>
      </c>
      <c r="I8" s="192" t="inlineStr">
        <is>
          <t>无</t>
        </is>
      </c>
      <c r="J8" s="192" t="inlineStr">
        <is>
          <t>无</t>
        </is>
      </c>
      <c r="K8" s="192" t="inlineStr">
        <is>
          <t>握把原点；local -Z枪口；3材质；独立GLB/PackedScene</t>
        </is>
      </c>
      <c r="L8" s="192" t="inlineStr">
        <is>
          <t>-Z</t>
        </is>
      </c>
      <c r="M8" s="192" t="inlineStr">
        <is>
          <t>手持/背负/地面/UI 共用独立PackedScene</t>
        </is>
      </c>
      <c r="N8" s="192" t="inlineStr">
        <is>
          <t>正式美术已接入</t>
        </is>
      </c>
      <c r="O8" s="192" t="inlineStr">
        <is>
          <t>v001</t>
        </is>
      </c>
      <c r="P8" s="193" t="inlineStr">
        <is>
          <t>根节点=扫帚步枪(Node3D)</t>
        </is>
      </c>
    </row>
    <row r="9" ht="66" customHeight="1">
      <c r="A9" s="191" t="inlineStr">
        <is>
          <t>WPN-GUN-FUTURE-CAMERA-BLASTER-3D</t>
        </is>
      </c>
      <c r="B9" s="192" t="inlineStr">
        <is>
          <t>相机爆能枪</t>
        </is>
      </c>
      <c r="C9" s="192" t="inlineStr">
        <is>
          <t>assets/art/weapons/weapon_3d/runtime/camera_blaster/wpn_camera_blaster_root_top3d_v001.tscn</t>
        </is>
      </c>
      <c r="D9" s="192" t="inlineStr">
        <is>
          <t>assets/art/weapons/weapon_3d/components/camera_blaster/wpn_camera_blaster_visual_top3d_v003.glb</t>
        </is>
      </c>
      <c r="E9" s="192" t="inlineStr">
        <is>
          <t>assets/art/weapons/weapon_3d/source/camera_blaster/wpn_camera_blaster_source_v003.blend</t>
        </is>
      </c>
      <c r="F9" s="192" t="inlineStr">
        <is>
          <t>武器3D表现Prefab；由武器系统装配</t>
        </is>
      </c>
      <c r="G9" s="192" t="inlineStr">
        <is>
          <t>src/player3d/WeaponModel3D.gd</t>
        </is>
      </c>
      <c r="H9" s="192" t="inlineStr">
        <is>
          <t>无</t>
        </is>
      </c>
      <c r="I9" s="192" t="inlineStr">
        <is>
          <t>无</t>
        </is>
      </c>
      <c r="J9" s="192" t="inlineStr">
        <is>
          <t>无</t>
        </is>
      </c>
      <c r="K9" s="192" t="inlineStr">
        <is>
          <t>握把原点；local -Z枪口；3材质；独立GLB/PackedScene</t>
        </is>
      </c>
      <c r="L9" s="192" t="inlineStr">
        <is>
          <t>-Z</t>
        </is>
      </c>
      <c r="M9" s="192" t="inlineStr">
        <is>
          <t>未来枪械池/独立资产</t>
        </is>
      </c>
      <c r="N9" s="192" t="inlineStr">
        <is>
          <t>正式美术已入库/待玩法映射</t>
        </is>
      </c>
      <c r="O9" s="192" t="inlineStr">
        <is>
          <t>v001</t>
        </is>
      </c>
      <c r="P9" s="193" t="inlineStr">
        <is>
          <t>根节点=相机爆能枪(Node3D)</t>
        </is>
      </c>
    </row>
    <row r="10" ht="66" customHeight="1">
      <c r="A10" s="191" t="inlineStr">
        <is>
          <t>WPN-GUN-BP-SNIPER</t>
        </is>
      </c>
      <c r="B10" s="192" t="inlineStr">
        <is>
          <t>弹弓狙击 / 糖果狙击枪造型</t>
        </is>
      </c>
      <c r="C10" s="192" t="inlineStr">
        <is>
          <t>assets/art/weapons/weapon_3d/runtime/candy_sniper/wpn_candy_sniper_root_top3d_v001.tscn</t>
        </is>
      </c>
      <c r="D10" s="192" t="inlineStr">
        <is>
          <t>assets/art/weapons/weapon_3d/components/candy_sniper/wpn_candy_sniper_visual_top3d_v003.glb</t>
        </is>
      </c>
      <c r="E10" s="192" t="inlineStr">
        <is>
          <t>assets/art/weapons/weapon_3d/source/candy_sniper/wpn_candy_sniper_source_v003.blend</t>
        </is>
      </c>
      <c r="F10" s="192" t="inlineStr">
        <is>
          <t>武器3D表现Prefab；由武器系统装配</t>
        </is>
      </c>
      <c r="G10" s="192" t="inlineStr">
        <is>
          <t>src/player3d/WeaponModel3D.gd</t>
        </is>
      </c>
      <c r="H10" s="192" t="inlineStr">
        <is>
          <t>无</t>
        </is>
      </c>
      <c r="I10" s="192" t="inlineStr">
        <is>
          <t>无</t>
        </is>
      </c>
      <c r="J10" s="192" t="inlineStr">
        <is>
          <t>无</t>
        </is>
      </c>
      <c r="K10" s="192" t="inlineStr">
        <is>
          <t>握把原点；local -Z枪口；3材质；独立GLB/PackedScene</t>
        </is>
      </c>
      <c r="L10" s="192" t="inlineStr">
        <is>
          <t>-Z</t>
        </is>
      </c>
      <c r="M10" s="192" t="inlineStr">
        <is>
          <t>手持/背负/地面/UI 共用独立PackedScene</t>
        </is>
      </c>
      <c r="N10" s="192" t="inlineStr">
        <is>
          <t>正式美术已接入</t>
        </is>
      </c>
      <c r="O10" s="192" t="inlineStr">
        <is>
          <t>v001</t>
        </is>
      </c>
      <c r="P10" s="193" t="inlineStr">
        <is>
          <t>根节点=糖果狙击枪(Node3D)</t>
        </is>
      </c>
    </row>
    <row r="11" ht="66" customHeight="1">
      <c r="A11" s="191" t="inlineStr">
        <is>
          <t>WPN-GUN-FUTURE-CROCODILE-CANNON-3D</t>
        </is>
      </c>
      <c r="B11" s="192" t="inlineStr">
        <is>
          <t>鳄鱼加农炮</t>
        </is>
      </c>
      <c r="C11" s="192" t="inlineStr">
        <is>
          <t>assets/art/weapons/weapon_3d/runtime/crocodile_cannon/wpn_crocodile_cannon_root_top3d_v001.tscn</t>
        </is>
      </c>
      <c r="D11" s="192" t="inlineStr">
        <is>
          <t>assets/art/weapons/weapon_3d/components/crocodile_cannon/wpn_crocodile_cannon_visual_top3d_v003.glb</t>
        </is>
      </c>
      <c r="E11" s="192" t="inlineStr">
        <is>
          <t>assets/art/weapons/weapon_3d/source/crocodile_cannon/wpn_crocodile_cannon_source_v003.blend</t>
        </is>
      </c>
      <c r="F11" s="192" t="inlineStr">
        <is>
          <t>武器3D表现Prefab；由武器系统装配</t>
        </is>
      </c>
      <c r="G11" s="192" t="inlineStr">
        <is>
          <t>src/player3d/WeaponModel3D.gd</t>
        </is>
      </c>
      <c r="H11" s="192" t="inlineStr">
        <is>
          <t>无</t>
        </is>
      </c>
      <c r="I11" s="192" t="inlineStr">
        <is>
          <t>无</t>
        </is>
      </c>
      <c r="J11" s="192" t="inlineStr">
        <is>
          <t>无</t>
        </is>
      </c>
      <c r="K11" s="192" t="inlineStr">
        <is>
          <t>握把原点；local -Z枪口；3材质；独立GLB/PackedScene</t>
        </is>
      </c>
      <c r="L11" s="192" t="inlineStr">
        <is>
          <t>-Z</t>
        </is>
      </c>
      <c r="M11" s="192" t="inlineStr">
        <is>
          <t>未来枪械池/独立资产</t>
        </is>
      </c>
      <c r="N11" s="192" t="inlineStr">
        <is>
          <t>正式美术已入库/待玩法映射</t>
        </is>
      </c>
      <c r="O11" s="192" t="inlineStr">
        <is>
          <t>v001</t>
        </is>
      </c>
      <c r="P11" s="193" t="inlineStr">
        <is>
          <t>根节点=鳄鱼加农炮(Node3D)</t>
        </is>
      </c>
    </row>
    <row r="12" ht="66" customHeight="1">
      <c r="A12" s="191" t="inlineStr">
        <is>
          <t>WPN-GUN-BP-SHOTGUN</t>
        </is>
      </c>
      <c r="B12" s="192" t="inlineStr">
        <is>
          <t>散射喷壶 / 双管炮造型</t>
        </is>
      </c>
      <c r="C12" s="192" t="inlineStr">
        <is>
          <t>assets/art/weapons/weapon_3d/runtime/double_barrel_cannon/wpn_double_barrel_cannon_root_top3d_v001.tscn</t>
        </is>
      </c>
      <c r="D12" s="192" t="inlineStr">
        <is>
          <t>assets/art/weapons/weapon_3d/components/double_barrel_cannon/wpn_double_barrel_cannon_visual_top3d_v003.glb</t>
        </is>
      </c>
      <c r="E12" s="192" t="inlineStr">
        <is>
          <t>assets/art/weapons/weapon_3d/source/double_barrel_cannon/wpn_double_barrel_cannon_source_v003.blend</t>
        </is>
      </c>
      <c r="F12" s="192" t="inlineStr">
        <is>
          <t>武器3D表现Prefab；由武器系统装配</t>
        </is>
      </c>
      <c r="G12" s="192" t="inlineStr">
        <is>
          <t>src/player3d/WeaponModel3D.gd</t>
        </is>
      </c>
      <c r="H12" s="192" t="inlineStr">
        <is>
          <t>无</t>
        </is>
      </c>
      <c r="I12" s="192" t="inlineStr">
        <is>
          <t>无</t>
        </is>
      </c>
      <c r="J12" s="192" t="inlineStr">
        <is>
          <t>无</t>
        </is>
      </c>
      <c r="K12" s="192" t="inlineStr">
        <is>
          <t>握把原点；local -Z枪口；3材质；独立GLB/PackedScene</t>
        </is>
      </c>
      <c r="L12" s="192" t="inlineStr">
        <is>
          <t>-Z</t>
        </is>
      </c>
      <c r="M12" s="192" t="inlineStr">
        <is>
          <t>手持/背负/地面/UI 共用独立PackedScene</t>
        </is>
      </c>
      <c r="N12" s="192" t="inlineStr">
        <is>
          <t>正式美术已接入</t>
        </is>
      </c>
      <c r="O12" s="192" t="inlineStr">
        <is>
          <t>v001</t>
        </is>
      </c>
      <c r="P12" s="193" t="inlineStr">
        <is>
          <t>根节点=双管炮(Node3D)</t>
        </is>
      </c>
    </row>
    <row r="13" ht="66" customHeight="1">
      <c r="A13" s="191" t="inlineStr">
        <is>
          <t>WPN-GUN-FUTURE-FAN-BLASTER-3D</t>
        </is>
      </c>
      <c r="B13" s="192" t="inlineStr">
        <is>
          <t>风扇爆能枪</t>
        </is>
      </c>
      <c r="C13" s="192" t="inlineStr">
        <is>
          <t>assets/art/weapons/weapon_3d/runtime/fan_blaster/wpn_fan_blaster_root_top3d_v001.tscn</t>
        </is>
      </c>
      <c r="D13" s="192" t="inlineStr">
        <is>
          <t>assets/art/weapons/weapon_3d/components/fan_blaster/wpn_fan_blaster_visual_top3d_v003.glb</t>
        </is>
      </c>
      <c r="E13" s="192" t="inlineStr">
        <is>
          <t>assets/art/weapons/weapon_3d/source/fan_blaster/wpn_fan_blaster_source_v003.blend</t>
        </is>
      </c>
      <c r="F13" s="192" t="inlineStr">
        <is>
          <t>武器3D表现Prefab；由武器系统装配</t>
        </is>
      </c>
      <c r="G13" s="192" t="inlineStr">
        <is>
          <t>src/player3d/WeaponModel3D.gd</t>
        </is>
      </c>
      <c r="H13" s="192" t="inlineStr">
        <is>
          <t>无</t>
        </is>
      </c>
      <c r="I13" s="192" t="inlineStr">
        <is>
          <t>无</t>
        </is>
      </c>
      <c r="J13" s="192" t="inlineStr">
        <is>
          <t>无</t>
        </is>
      </c>
      <c r="K13" s="192" t="inlineStr">
        <is>
          <t>握把原点；local -Z枪口；3材质；独立GLB/PackedScene</t>
        </is>
      </c>
      <c r="L13" s="192" t="inlineStr">
        <is>
          <t>-Z</t>
        </is>
      </c>
      <c r="M13" s="192" t="inlineStr">
        <is>
          <t>未来枪械池/独立资产</t>
        </is>
      </c>
      <c r="N13" s="192" t="inlineStr">
        <is>
          <t>正式美术已入库/待玩法映射</t>
        </is>
      </c>
      <c r="O13" s="192" t="inlineStr">
        <is>
          <t>v001</t>
        </is>
      </c>
      <c r="P13" s="193" t="inlineStr">
        <is>
          <t>根节点=风扇爆能枪(Node3D)</t>
        </is>
      </c>
    </row>
    <row r="14" ht="66" customHeight="1">
      <c r="A14" s="191" t="inlineStr">
        <is>
          <t>WPN-GUN-FUTURE-FRYING-PAN-CANNON-3D</t>
        </is>
      </c>
      <c r="B14" s="192" t="inlineStr">
        <is>
          <t>平底锅加农炮</t>
        </is>
      </c>
      <c r="C14" s="192" t="inlineStr">
        <is>
          <t>assets/art/weapons/weapon_3d/runtime/frying_pan_cannon/wpn_frying_pan_cannon_root_top3d_v001.tscn</t>
        </is>
      </c>
      <c r="D14" s="192" t="inlineStr">
        <is>
          <t>assets/art/weapons/weapon_3d/components/frying_pan_cannon/wpn_frying_pan_cannon_visual_top3d_v003.glb</t>
        </is>
      </c>
      <c r="E14" s="192" t="inlineStr">
        <is>
          <t>assets/art/weapons/weapon_3d/source/frying_pan_cannon/wpn_frying_pan_cannon_source_v003.blend</t>
        </is>
      </c>
      <c r="F14" s="192" t="inlineStr">
        <is>
          <t>武器3D表现Prefab；由武器系统装配</t>
        </is>
      </c>
      <c r="G14" s="192" t="inlineStr">
        <is>
          <t>src/player3d/WeaponModel3D.gd</t>
        </is>
      </c>
      <c r="H14" s="192" t="inlineStr">
        <is>
          <t>无</t>
        </is>
      </c>
      <c r="I14" s="192" t="inlineStr">
        <is>
          <t>无</t>
        </is>
      </c>
      <c r="J14" s="192" t="inlineStr">
        <is>
          <t>无</t>
        </is>
      </c>
      <c r="K14" s="192" t="inlineStr">
        <is>
          <t>握把原点；local -Z枪口；3材质；独立GLB/PackedScene</t>
        </is>
      </c>
      <c r="L14" s="192" t="inlineStr">
        <is>
          <t>-Z</t>
        </is>
      </c>
      <c r="M14" s="192" t="inlineStr">
        <is>
          <t>未来枪械池/独立资产</t>
        </is>
      </c>
      <c r="N14" s="192" t="inlineStr">
        <is>
          <t>正式美术已入库/待玩法映射</t>
        </is>
      </c>
      <c r="O14" s="192" t="inlineStr">
        <is>
          <t>v001</t>
        </is>
      </c>
      <c r="P14" s="193" t="inlineStr">
        <is>
          <t>根节点=平底锅加农炮(Node3D)</t>
        </is>
      </c>
    </row>
    <row r="15" ht="66" customHeight="1">
      <c r="A15" s="191" t="inlineStr">
        <is>
          <t>WPN-GUN-FUTURE-GUITAR-BLASTER-3D</t>
        </is>
      </c>
      <c r="B15" s="192" t="inlineStr">
        <is>
          <t>吉他爆能枪</t>
        </is>
      </c>
      <c r="C15" s="192" t="inlineStr">
        <is>
          <t>assets/art/weapons/weapon_3d/runtime/guitar_blaster/wpn_guitar_blaster_root_top3d_v001.tscn</t>
        </is>
      </c>
      <c r="D15" s="192" t="inlineStr">
        <is>
          <t>assets/art/weapons/weapon_3d/components/guitar_blaster/wpn_guitar_blaster_visual_top3d_v003.glb</t>
        </is>
      </c>
      <c r="E15" s="192" t="inlineStr">
        <is>
          <t>assets/art/weapons/weapon_3d/source/guitar_blaster/wpn_guitar_blaster_source_v003.blend</t>
        </is>
      </c>
      <c r="F15" s="192" t="inlineStr">
        <is>
          <t>武器3D表现Prefab；由武器系统装配</t>
        </is>
      </c>
      <c r="G15" s="192" t="inlineStr">
        <is>
          <t>src/player3d/WeaponModel3D.gd</t>
        </is>
      </c>
      <c r="H15" s="192" t="inlineStr">
        <is>
          <t>无</t>
        </is>
      </c>
      <c r="I15" s="192" t="inlineStr">
        <is>
          <t>无</t>
        </is>
      </c>
      <c r="J15" s="192" t="inlineStr">
        <is>
          <t>无</t>
        </is>
      </c>
      <c r="K15" s="192" t="inlineStr">
        <is>
          <t>握把原点；local -Z枪口；3材质；独立GLB/PackedScene</t>
        </is>
      </c>
      <c r="L15" s="192" t="inlineStr">
        <is>
          <t>-Z</t>
        </is>
      </c>
      <c r="M15" s="192" t="inlineStr">
        <is>
          <t>未来枪械池/独立资产</t>
        </is>
      </c>
      <c r="N15" s="192" t="inlineStr">
        <is>
          <t>正式美术已入库/待玩法映射</t>
        </is>
      </c>
      <c r="O15" s="192" t="inlineStr">
        <is>
          <t>v001</t>
        </is>
      </c>
      <c r="P15" s="193" t="inlineStr">
        <is>
          <t>根节点=吉他爆能枪(Node3D)</t>
        </is>
      </c>
    </row>
    <row r="16" ht="66" customHeight="1">
      <c r="A16" s="191" t="inlineStr">
        <is>
          <t>WPN-GUN-BP-CHARGE</t>
        </is>
      </c>
      <c r="B16" s="192" t="inlineStr">
        <is>
          <t>蓄力萝卜炮 / 口香糖机造型</t>
        </is>
      </c>
      <c r="C16" s="192" t="inlineStr">
        <is>
          <t>assets/art/weapons/weapon_3d/runtime/gumball_cannon/wpn_gumball_cannon_root_top3d_v001.tscn</t>
        </is>
      </c>
      <c r="D16" s="192" t="inlineStr">
        <is>
          <t>assets/art/weapons/weapon_3d/components/gumball_cannon/wpn_gumball_cannon_visual_top3d_v003.glb</t>
        </is>
      </c>
      <c r="E16" s="192" t="inlineStr">
        <is>
          <t>assets/art/weapons/weapon_3d/source/gumball_cannon/wpn_gumball_cannon_source_v003.blend</t>
        </is>
      </c>
      <c r="F16" s="192" t="inlineStr">
        <is>
          <t>武器3D表现Prefab；由武器系统装配</t>
        </is>
      </c>
      <c r="G16" s="192" t="inlineStr">
        <is>
          <t>src/player3d/WeaponModel3D.gd</t>
        </is>
      </c>
      <c r="H16" s="192" t="inlineStr">
        <is>
          <t>无</t>
        </is>
      </c>
      <c r="I16" s="192" t="inlineStr">
        <is>
          <t>无</t>
        </is>
      </c>
      <c r="J16" s="192" t="inlineStr">
        <is>
          <t>无</t>
        </is>
      </c>
      <c r="K16" s="192" t="inlineStr">
        <is>
          <t>握把原点；local -Z枪口；3材质；独立GLB/PackedScene</t>
        </is>
      </c>
      <c r="L16" s="192" t="inlineStr">
        <is>
          <t>-Z</t>
        </is>
      </c>
      <c r="M16" s="192" t="inlineStr">
        <is>
          <t>手持/背负/地面/UI 共用独立PackedScene</t>
        </is>
      </c>
      <c r="N16" s="192" t="inlineStr">
        <is>
          <t>正式美术已接入</t>
        </is>
      </c>
      <c r="O16" s="192" t="inlineStr">
        <is>
          <t>v001</t>
        </is>
      </c>
      <c r="P16" s="193" t="inlineStr">
        <is>
          <t>根节点=口香糖机加农炮(Node3D)</t>
        </is>
      </c>
    </row>
    <row r="17" ht="66" customHeight="1">
      <c r="A17" s="191" t="inlineStr">
        <is>
          <t>WPN-GUN-BP-PISTOL</t>
        </is>
      </c>
      <c r="B17" s="192" t="inlineStr">
        <is>
          <t>豌豆手枪 / 吹风机造型</t>
        </is>
      </c>
      <c r="C17" s="192" t="inlineStr">
        <is>
          <t>assets/art/weapons/weapon_3d/runtime/hair_dryer/wpn_hair_dryer_root_top3d_v001.tscn</t>
        </is>
      </c>
      <c r="D17" s="192" t="inlineStr">
        <is>
          <t>assets/art/weapons/weapon_3d/components/hair_dryer/wpn_hair_dryer_visual_top3d_v003.glb</t>
        </is>
      </c>
      <c r="E17" s="192" t="inlineStr">
        <is>
          <t>assets/art/weapons/weapon_3d/source/hair_dryer/wpn_hair_dryer_source_v003.blend</t>
        </is>
      </c>
      <c r="F17" s="192" t="inlineStr">
        <is>
          <t>武器3D表现Prefab；由武器系统装配</t>
        </is>
      </c>
      <c r="G17" s="192" t="inlineStr">
        <is>
          <t>src/combat3d/WeaponModel3D.gd</t>
        </is>
      </c>
      <c r="H17" s="192" t="inlineStr">
        <is>
          <t>无</t>
        </is>
      </c>
      <c r="I17" s="192" t="inlineStr">
        <is>
          <t>无</t>
        </is>
      </c>
      <c r="J17" s="192" t="inlineStr">
        <is>
          <t>无</t>
        </is>
      </c>
      <c r="K17" s="192" t="inlineStr">
        <is>
          <t>GripSocket根原点；可见握把中心校正到根；local -Z枪口；3材质；独立GLB/PackedScene</t>
        </is>
      </c>
      <c r="L17" s="192" t="inlineStr">
        <is>
          <t>-Z</t>
        </is>
      </c>
      <c r="M17" s="192" t="inlineStr">
        <is>
          <t>手持/背负/地面/UI 共用独立PackedScene</t>
        </is>
      </c>
      <c r="N17" s="192" t="inlineStr">
        <is>
          <t>正式美术已接入</t>
        </is>
      </c>
      <c r="O17" s="192" t="inlineStr">
        <is>
          <t>v001</t>
        </is>
      </c>
      <c r="P17" s="193" t="inlineStr">
        <is>
          <t>根节点=吹风机(Node3D)；VisualRoot/全部非Grip挂点统一偏移(0,-0.122838,-0.168785)；GripSocket=手掌球中心；待机/开火枪口轴与真实弹道0度差</t>
        </is>
      </c>
    </row>
    <row r="18" ht="66" customHeight="1">
      <c r="A18" s="191" t="inlineStr">
        <is>
          <t>WPN-GUN-FUTURE-MEGAPHONE-CANNON-3D</t>
        </is>
      </c>
      <c r="B18" s="192" t="inlineStr">
        <is>
          <t>扩音器加农炮</t>
        </is>
      </c>
      <c r="C18" s="192" t="inlineStr">
        <is>
          <t>assets/art/weapons/weapon_3d/runtime/megaphone_cannon/wpn_megaphone_cannon_root_top3d_v001.tscn</t>
        </is>
      </c>
      <c r="D18" s="192" t="inlineStr">
        <is>
          <t>assets/art/weapons/weapon_3d/components/megaphone_cannon/wpn_megaphone_cannon_visual_top3d_v003.glb</t>
        </is>
      </c>
      <c r="E18" s="192" t="inlineStr">
        <is>
          <t>assets/art/weapons/weapon_3d/source/megaphone_cannon/wpn_megaphone_cannon_source_v003.blend</t>
        </is>
      </c>
      <c r="F18" s="192" t="inlineStr">
        <is>
          <t>武器3D表现Prefab；由武器系统装配</t>
        </is>
      </c>
      <c r="G18" s="192" t="inlineStr">
        <is>
          <t>src/player3d/WeaponModel3D.gd</t>
        </is>
      </c>
      <c r="H18" s="192" t="inlineStr">
        <is>
          <t>无</t>
        </is>
      </c>
      <c r="I18" s="192" t="inlineStr">
        <is>
          <t>无</t>
        </is>
      </c>
      <c r="J18" s="192" t="inlineStr">
        <is>
          <t>无</t>
        </is>
      </c>
      <c r="K18" s="192" t="inlineStr">
        <is>
          <t>握把原点；local -Z枪口；3材质；独立GLB/PackedScene</t>
        </is>
      </c>
      <c r="L18" s="192" t="inlineStr">
        <is>
          <t>-Z</t>
        </is>
      </c>
      <c r="M18" s="192" t="inlineStr">
        <is>
          <t>未来枪械池/独立资产</t>
        </is>
      </c>
      <c r="N18" s="192" t="inlineStr">
        <is>
          <t>正式美术已入库/待玩法映射</t>
        </is>
      </c>
      <c r="O18" s="192" t="inlineStr">
        <is>
          <t>v001</t>
        </is>
      </c>
      <c r="P18" s="193" t="inlineStr">
        <is>
          <t>根节点=扩音器加农炮(Node3D)</t>
        </is>
      </c>
    </row>
    <row r="19" ht="66" customHeight="1">
      <c r="A19" s="191" t="inlineStr">
        <is>
          <t>WPN-GUN-FUTURE-POPCORN-BLASTER-3D</t>
        </is>
      </c>
      <c r="B19" s="192" t="inlineStr">
        <is>
          <t>爆米花爆能枪</t>
        </is>
      </c>
      <c r="C19" s="192" t="inlineStr">
        <is>
          <t>assets/art/weapons/weapon_3d/runtime/popcorn_blaster/wpn_popcorn_blaster_root_top3d_v001.tscn</t>
        </is>
      </c>
      <c r="D19" s="192" t="inlineStr">
        <is>
          <t>assets/art/weapons/weapon_3d/components/popcorn_blaster/wpn_popcorn_blaster_visual_top3d_v003.glb</t>
        </is>
      </c>
      <c r="E19" s="192" t="inlineStr">
        <is>
          <t>assets/art/weapons/weapon_3d/source/popcorn_blaster/wpn_popcorn_blaster_source_v003.blend</t>
        </is>
      </c>
      <c r="F19" s="192" t="inlineStr">
        <is>
          <t>武器3D表现Prefab；由武器系统装配</t>
        </is>
      </c>
      <c r="G19" s="192" t="inlineStr">
        <is>
          <t>src/player3d/WeaponModel3D.gd</t>
        </is>
      </c>
      <c r="H19" s="192" t="inlineStr">
        <is>
          <t>无</t>
        </is>
      </c>
      <c r="I19" s="192" t="inlineStr">
        <is>
          <t>无</t>
        </is>
      </c>
      <c r="J19" s="192" t="inlineStr">
        <is>
          <t>无</t>
        </is>
      </c>
      <c r="K19" s="192" t="inlineStr">
        <is>
          <t>握把原点；local -Z枪口；3材质；独立GLB/PackedScene</t>
        </is>
      </c>
      <c r="L19" s="192" t="inlineStr">
        <is>
          <t>-Z</t>
        </is>
      </c>
      <c r="M19" s="192" t="inlineStr">
        <is>
          <t>未来枪械池/独立资产</t>
        </is>
      </c>
      <c r="N19" s="192" t="inlineStr">
        <is>
          <t>正式美术已入库/待玩法映射</t>
        </is>
      </c>
      <c r="O19" s="192" t="inlineStr">
        <is>
          <t>v001</t>
        </is>
      </c>
      <c r="P19" s="193" t="inlineStr">
        <is>
          <t>根节点=爆米花爆能枪(Node3D)</t>
        </is>
      </c>
    </row>
    <row r="20" ht="66" customHeight="1">
      <c r="A20" s="191" t="inlineStr">
        <is>
          <t>WPN-GUN-FUTURE-SCOPE-CANNON-3D</t>
        </is>
      </c>
      <c r="B20" s="192" t="inlineStr">
        <is>
          <t>瞄准镜加农炮</t>
        </is>
      </c>
      <c r="C20" s="192" t="inlineStr">
        <is>
          <t>assets/art/weapons/weapon_3d/runtime/scope_cannon/wpn_scope_cannon_root_top3d_v001.tscn</t>
        </is>
      </c>
      <c r="D20" s="192" t="inlineStr">
        <is>
          <t>assets/art/weapons/weapon_3d/components/scope_cannon/wpn_scope_cannon_visual_top3d_v003.glb</t>
        </is>
      </c>
      <c r="E20" s="192" t="inlineStr">
        <is>
          <t>assets/art/weapons/weapon_3d/source/scope_cannon/wpn_scope_cannon_source_v003.blend</t>
        </is>
      </c>
      <c r="F20" s="192" t="inlineStr">
        <is>
          <t>武器3D表现Prefab；由武器系统装配</t>
        </is>
      </c>
      <c r="G20" s="192" t="inlineStr">
        <is>
          <t>src/player3d/WeaponModel3D.gd</t>
        </is>
      </c>
      <c r="H20" s="192" t="inlineStr">
        <is>
          <t>无</t>
        </is>
      </c>
      <c r="I20" s="192" t="inlineStr">
        <is>
          <t>无</t>
        </is>
      </c>
      <c r="J20" s="192" t="inlineStr">
        <is>
          <t>无</t>
        </is>
      </c>
      <c r="K20" s="192" t="inlineStr">
        <is>
          <t>握把原点；local -Z枪口；3材质；独立GLB/PackedScene</t>
        </is>
      </c>
      <c r="L20" s="192" t="inlineStr">
        <is>
          <t>-Z</t>
        </is>
      </c>
      <c r="M20" s="192" t="inlineStr">
        <is>
          <t>未来枪械池/独立资产</t>
        </is>
      </c>
      <c r="N20" s="192" t="inlineStr">
        <is>
          <t>正式美术已入库/待玩法映射</t>
        </is>
      </c>
      <c r="O20" s="192" t="inlineStr">
        <is>
          <t>v001</t>
        </is>
      </c>
      <c r="P20" s="193" t="inlineStr">
        <is>
          <t>根节点=瞄准镜加农炮(Node3D)</t>
        </is>
      </c>
    </row>
    <row r="21" ht="66" customHeight="1">
      <c r="A21" s="191" t="inlineStr">
        <is>
          <t>WPN-GUN-FUTURE-SODA-STRAW-BLASTER-3D</t>
        </is>
      </c>
      <c r="B21" s="192" t="inlineStr">
        <is>
          <t>饮料管爆能枪</t>
        </is>
      </c>
      <c r="C21" s="192" t="inlineStr">
        <is>
          <t>assets/art/weapons/weapon_3d/runtime/soda_straw_blaster/wpn_soda_straw_blaster_root_top3d_v001.tscn</t>
        </is>
      </c>
      <c r="D21" s="192" t="inlineStr">
        <is>
          <t>assets/art/weapons/weapon_3d/components/soda_straw_blaster/wpn_soda_straw_blaster_visual_top3d_v003.glb</t>
        </is>
      </c>
      <c r="E21" s="192" t="inlineStr">
        <is>
          <t>assets/art/weapons/weapon_3d/source/soda_straw_blaster/wpn_soda_straw_blaster_source_v003.blend</t>
        </is>
      </c>
      <c r="F21" s="192" t="inlineStr">
        <is>
          <t>武器3D表现Prefab；由武器系统装配</t>
        </is>
      </c>
      <c r="G21" s="192" t="inlineStr">
        <is>
          <t>src/player3d/WeaponModel3D.gd</t>
        </is>
      </c>
      <c r="H21" s="192" t="inlineStr">
        <is>
          <t>无</t>
        </is>
      </c>
      <c r="I21" s="192" t="inlineStr">
        <is>
          <t>无</t>
        </is>
      </c>
      <c r="J21" s="192" t="inlineStr">
        <is>
          <t>无</t>
        </is>
      </c>
      <c r="K21" s="192" t="inlineStr">
        <is>
          <t>握把原点；local -Z枪口；3材质；独立GLB/PackedScene</t>
        </is>
      </c>
      <c r="L21" s="192" t="inlineStr">
        <is>
          <t>-Z</t>
        </is>
      </c>
      <c r="M21" s="192" t="inlineStr">
        <is>
          <t>未来枪械池/独立资产</t>
        </is>
      </c>
      <c r="N21" s="192" t="inlineStr">
        <is>
          <t>正式美术已入库/待玩法映射</t>
        </is>
      </c>
      <c r="O21" s="192" t="inlineStr">
        <is>
          <t>v001</t>
        </is>
      </c>
      <c r="P21" s="193" t="inlineStr">
        <is>
          <t>根节点=饮料管爆能枪(Node3D)</t>
        </is>
      </c>
    </row>
    <row r="22" ht="66" customHeight="1">
      <c r="A22" s="191" t="inlineStr">
        <is>
          <t>WPN-GUN-FUTURE-SPATULA-RIFLE-3D</t>
        </is>
      </c>
      <c r="B22" s="192" t="inlineStr">
        <is>
          <t>锅铲步枪</t>
        </is>
      </c>
      <c r="C22" s="192" t="inlineStr">
        <is>
          <t>assets/art/weapons/weapon_3d/runtime/spatula_rifle/wpn_spatula_rifle_root_top3d_v001.tscn</t>
        </is>
      </c>
      <c r="D22" s="192" t="inlineStr">
        <is>
          <t>assets/art/weapons/weapon_3d/components/spatula_rifle/wpn_spatula_rifle_visual_top3d_v003.glb</t>
        </is>
      </c>
      <c r="E22" s="192" t="inlineStr">
        <is>
          <t>assets/art/weapons/weapon_3d/source/spatula_rifle/wpn_spatula_rifle_source_v003.blend</t>
        </is>
      </c>
      <c r="F22" s="192" t="inlineStr">
        <is>
          <t>武器3D表现Prefab；由武器系统装配</t>
        </is>
      </c>
      <c r="G22" s="192" t="inlineStr">
        <is>
          <t>src/player3d/WeaponModel3D.gd</t>
        </is>
      </c>
      <c r="H22" s="192" t="inlineStr">
        <is>
          <t>无</t>
        </is>
      </c>
      <c r="I22" s="192" t="inlineStr">
        <is>
          <t>无</t>
        </is>
      </c>
      <c r="J22" s="192" t="inlineStr">
        <is>
          <t>无</t>
        </is>
      </c>
      <c r="K22" s="192" t="inlineStr">
        <is>
          <t>握把原点；local -Z枪口；3材质；独立GLB/PackedScene</t>
        </is>
      </c>
      <c r="L22" s="192" t="inlineStr">
        <is>
          <t>-Z</t>
        </is>
      </c>
      <c r="M22" s="192" t="inlineStr">
        <is>
          <t>未来枪械池/独立资产</t>
        </is>
      </c>
      <c r="N22" s="192" t="inlineStr">
        <is>
          <t>正式美术已入库/待玩法映射</t>
        </is>
      </c>
      <c r="O22" s="192" t="inlineStr">
        <is>
          <t>v001</t>
        </is>
      </c>
      <c r="P22" s="193" t="inlineStr">
        <is>
          <t>根节点=锅铲步枪(Node3D)</t>
        </is>
      </c>
    </row>
    <row r="23" ht="66" customHeight="1">
      <c r="A23" s="191" t="inlineStr">
        <is>
          <t>WPN-GUN-FUTURE-TISSUE-BOX-CANNON-3D</t>
        </is>
      </c>
      <c r="B23" s="192" t="inlineStr">
        <is>
          <t>纸巾盒加农炮</t>
        </is>
      </c>
      <c r="C23" s="192" t="inlineStr">
        <is>
          <t>assets/art/weapons/weapon_3d/runtime/tissue_box_cannon/wpn_tissue_box_cannon_root_top3d_v001.tscn</t>
        </is>
      </c>
      <c r="D23" s="192" t="inlineStr">
        <is>
          <t>assets/art/weapons/weapon_3d/components/tissue_box_cannon/wpn_tissue_box_cannon_visual_top3d_v003.glb</t>
        </is>
      </c>
      <c r="E23" s="192" t="inlineStr">
        <is>
          <t>assets/art/weapons/weapon_3d/source/tissue_box_cannon/wpn_tissue_box_cannon_source_v003.blend</t>
        </is>
      </c>
      <c r="F23" s="192" t="inlineStr">
        <is>
          <t>武器3D表现Prefab；由武器系统装配</t>
        </is>
      </c>
      <c r="G23" s="192" t="inlineStr">
        <is>
          <t>src/player3d/WeaponModel3D.gd</t>
        </is>
      </c>
      <c r="H23" s="192" t="inlineStr">
        <is>
          <t>无</t>
        </is>
      </c>
      <c r="I23" s="192" t="inlineStr">
        <is>
          <t>无</t>
        </is>
      </c>
      <c r="J23" s="192" t="inlineStr">
        <is>
          <t>无</t>
        </is>
      </c>
      <c r="K23" s="192" t="inlineStr">
        <is>
          <t>握把原点；local -Z枪口；3材质；独立GLB/PackedScene</t>
        </is>
      </c>
      <c r="L23" s="192" t="inlineStr">
        <is>
          <t>-Z</t>
        </is>
      </c>
      <c r="M23" s="192" t="inlineStr">
        <is>
          <t>未来枪械池/独立资产</t>
        </is>
      </c>
      <c r="N23" s="192" t="inlineStr">
        <is>
          <t>正式美术已入库/待玩法映射</t>
        </is>
      </c>
      <c r="O23" s="192" t="inlineStr">
        <is>
          <t>v001</t>
        </is>
      </c>
      <c r="P23" s="193" t="inlineStr">
        <is>
          <t>根节点=纸巾盒加农炮(Node3D)</t>
        </is>
      </c>
    </row>
    <row r="24" ht="66" customHeight="1">
      <c r="A24" s="191" t="inlineStr">
        <is>
          <t>WPN-GUN-BP-LAUNCHER</t>
        </is>
      </c>
      <c r="B24" s="192" t="inlineStr">
        <is>
          <t>反胃榴弹筒 / 烤面包机造型</t>
        </is>
      </c>
      <c r="C24" s="192" t="inlineStr">
        <is>
          <t>assets/art/weapons/weapon_3d/runtime/toaster_launcher/wpn_toaster_launcher_root_top3d_v001.tscn</t>
        </is>
      </c>
      <c r="D24" s="192" t="inlineStr">
        <is>
          <t>assets/art/weapons/weapon_3d/components/toaster_launcher/wpn_toaster_launcher_visual_top3d_v003.glb</t>
        </is>
      </c>
      <c r="E24" s="192" t="inlineStr">
        <is>
          <t>assets/art/weapons/weapon_3d/source/toaster_launcher/wpn_toaster_launcher_source_v003.blend</t>
        </is>
      </c>
      <c r="F24" s="192" t="inlineStr">
        <is>
          <t>武器3D表现Prefab；由武器系统装配</t>
        </is>
      </c>
      <c r="G24" s="192" t="inlineStr">
        <is>
          <t>src/player3d/WeaponModel3D.gd</t>
        </is>
      </c>
      <c r="H24" s="192" t="inlineStr">
        <is>
          <t>无</t>
        </is>
      </c>
      <c r="I24" s="192" t="inlineStr">
        <is>
          <t>无</t>
        </is>
      </c>
      <c r="J24" s="192" t="inlineStr">
        <is>
          <t>无</t>
        </is>
      </c>
      <c r="K24" s="192" t="inlineStr">
        <is>
          <t>握把原点；local -Z枪口；3材质；独立GLB/PackedScene</t>
        </is>
      </c>
      <c r="L24" s="192" t="inlineStr">
        <is>
          <t>-Z</t>
        </is>
      </c>
      <c r="M24" s="192" t="inlineStr">
        <is>
          <t>手持/背负/地面/UI 共用独立PackedScene</t>
        </is>
      </c>
      <c r="N24" s="192" t="inlineStr">
        <is>
          <t>正式美术已接入</t>
        </is>
      </c>
      <c r="O24" s="192" t="inlineStr">
        <is>
          <t>v001</t>
        </is>
      </c>
      <c r="P24" s="193" t="inlineStr">
        <is>
          <t>根节点=烤面包机发射器(Node3D)</t>
        </is>
      </c>
    </row>
    <row r="25" ht="66" customHeight="1">
      <c r="A25" s="191" t="inlineStr">
        <is>
          <t>WPN-GUN-BP-MACHINEGUN</t>
        </is>
      </c>
      <c r="B25" s="192" t="inlineStr">
        <is>
          <t>蜂窝机枪 / 水箱爆能枪造型</t>
        </is>
      </c>
      <c r="C25" s="192" t="inlineStr">
        <is>
          <t>assets/art/weapons/weapon_3d/runtime/water_tank_blaster/wpn_water_tank_blaster_root_top3d_v001.tscn</t>
        </is>
      </c>
      <c r="D25" s="192" t="inlineStr">
        <is>
          <t>assets/art/weapons/weapon_3d/components/water_tank_blaster/wpn_water_tank_blaster_visual_top3d_v003.glb</t>
        </is>
      </c>
      <c r="E25" s="192" t="inlineStr">
        <is>
          <t>assets/art/weapons/weapon_3d/source/water_tank_blaster/wpn_water_tank_blaster_source_v003.blend</t>
        </is>
      </c>
      <c r="F25" s="192" t="inlineStr">
        <is>
          <t>武器3D表现Prefab；由武器系统装配</t>
        </is>
      </c>
      <c r="G25" s="192" t="inlineStr">
        <is>
          <t>src/player3d/WeaponModel3D.gd</t>
        </is>
      </c>
      <c r="H25" s="192" t="inlineStr">
        <is>
          <t>无</t>
        </is>
      </c>
      <c r="I25" s="192" t="inlineStr">
        <is>
          <t>无</t>
        </is>
      </c>
      <c r="J25" s="192" t="inlineStr">
        <is>
          <t>无</t>
        </is>
      </c>
      <c r="K25" s="192" t="inlineStr">
        <is>
          <t>握把原点；local -Z枪口；3材质；独立GLB/PackedScene</t>
        </is>
      </c>
      <c r="L25" s="192" t="inlineStr">
        <is>
          <t>-Z</t>
        </is>
      </c>
      <c r="M25" s="192" t="inlineStr">
        <is>
          <t>手持/背负/地面/UI 共用独立PackedScene</t>
        </is>
      </c>
      <c r="N25" s="192" t="inlineStr">
        <is>
          <t>正式美术已接入</t>
        </is>
      </c>
      <c r="O25" s="192" t="inlineStr">
        <is>
          <t>v001</t>
        </is>
      </c>
      <c r="P25" s="193" t="inlineStr">
        <is>
          <t>根节点=水箱爆能枪(Node3D)</t>
        </is>
      </c>
    </row>
    <row r="26" ht="66" customHeight="1">
      <c r="A26" s="194" t="inlineStr">
        <is>
          <t>WPN-GUN-KIT-3D</t>
        </is>
      </c>
      <c r="B26" s="195" t="inlineStr">
        <is>
          <t>枪械3D通用模型套件</t>
        </is>
      </c>
      <c r="C26" s="195" t="inlineStr">
        <is>
          <t>assets/art/weapons/weapon_3d/wpn_gun_kit_root_top3d_v001.tscn</t>
        </is>
      </c>
      <c r="D26" s="195" t="str"/>
      <c r="E26" s="195" t="str"/>
      <c r="F26" s="195" t="inlineStr">
        <is>
          <t>武器3D表现Prefab；由武器系统装配</t>
        </is>
      </c>
      <c r="G26" s="195" t="inlineStr">
        <is>
          <t>src/combat3d/WeaponModel3D.gd</t>
        </is>
      </c>
      <c r="H26" s="195" t="inlineStr">
        <is>
          <t>无</t>
        </is>
      </c>
      <c r="I26" s="195" t="inlineStr">
        <is>
          <t>无</t>
        </is>
      </c>
      <c r="J26" s="195" t="inlineStr">
        <is>
          <t>无</t>
        </is>
      </c>
      <c r="K26" s="195" t="inlineStr">
        <is>
          <t>PackedScene/7枪配置模型</t>
        </is>
      </c>
      <c r="L26" s="195" t="inlineStr">
        <is>
          <t>未声明</t>
        </is>
      </c>
      <c r="M26" s="195" t="inlineStr">
        <is>
          <t>玩家/靶场/全部副本</t>
        </is>
      </c>
      <c r="N26" s="195" t="inlineStr">
        <is>
          <t>原型已接入</t>
        </is>
      </c>
      <c r="O26" s="195" t="inlineStr">
        <is>
          <t>v001</t>
        </is>
      </c>
      <c r="P26" s="196" t="inlineStr">
        <is>
          <t>根节点=WeaponModel3D(Node3D)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>
      <formula1>"开,关,无"</formula1>
    </dataValidation>
    <dataValidation sqref="I5:I250" showDropDown="0" showInputMessage="0" showErrorMessage="0" allowBlank="0" type="list">
      <formula1>"Prefab自身,外部脚本,混合,无"</formula1>
    </dataValidation>
    <dataValidation sqref="N5:N250" showDropDown="0" showInputMessage="0" showErrorMessage="0" allowBlank="0" type="list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8" customWidth="1" min="4" max="4"/>
    <col width="70" customWidth="1" min="5" max="5"/>
    <col width="48" customWidth="1" min="6" max="6"/>
    <col width="12" customWidth="1" min="7" max="7"/>
  </cols>
  <sheetData>
    <row r="1">
      <c r="A1" s="317" t="inlineStr">
        <is>
          <t>武器账本变更日志</t>
        </is>
      </c>
    </row>
    <row r="2"/>
    <row r="3">
      <c r="A3" s="318" t="inlineStr">
        <is>
          <t>只记录本账本的域内变更；跨域与全局变更记录在主账本《版本记录》</t>
        </is>
      </c>
    </row>
    <row r="5">
      <c r="A5" s="298" t="inlineStr">
        <is>
          <t>台账版本</t>
        </is>
      </c>
      <c r="B5" s="298" t="inlineStr">
        <is>
          <t>日期</t>
        </is>
      </c>
      <c r="C5" s="298" t="inlineStr">
        <is>
          <t>变更类型</t>
        </is>
      </c>
      <c r="D5" s="298" t="inlineStr">
        <is>
          <t>范围</t>
        </is>
      </c>
      <c r="E5" s="298" t="inlineStr">
        <is>
          <t>说明</t>
        </is>
      </c>
      <c r="F5" s="298" t="inlineStr">
        <is>
          <t>兼容性</t>
        </is>
      </c>
      <c r="G5" s="298" t="inlineStr">
        <is>
          <t>负责人</t>
        </is>
      </c>
    </row>
    <row r="6" ht="46" customHeight="1">
      <c r="A6" s="301" t="inlineStr">
        <is>
          <t>v0.1.0</t>
        </is>
      </c>
      <c r="B6" s="301" t="inlineStr">
        <is>
          <t>2026-09-18</t>
        </is>
      </c>
      <c r="C6" s="301" t="inlineStr">
        <is>
          <t>分账本建立</t>
        </is>
      </c>
      <c r="D6" s="301" t="inlineStr">
        <is>
          <t>武器</t>
        </is>
      </c>
      <c r="E6" s="301" t="inlineStr">
        <is>
          <t>由单体账本《ShellStorm2_美术资产台账_v001.xlsx》按大类拆分而来；本账本接管大类=武器，条目内容逐格不变，仅登记位置变化。</t>
        </is>
      </c>
      <c r="F6" s="301" t="inlineStr">
        <is>
          <t>资产条目、AssetID、路径与哈希全部不变；只换文件。旧引用可用 scripts/ledger_registry.py 解析。</t>
        </is>
      </c>
      <c r="G6" s="301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2026-09-18T02:30:03Z</dcterms:created>
  <dcterms:modified xmlns:dcterms="http://purl.org/dc/terms/" xmlns:xsi="http://www.w3.org/2001/XMLSchema-instance" xsi:type="dcterms:W3CDTF">2026-09-20T13:13:25Z</dcterms:modified>
</cp:coreProperties>
</file>