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e29e41a9d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27bb7e2d67d4f3e"/>
    <x:sheet xmlns:r="http://schemas.openxmlformats.org/officeDocument/2006/relationships" name="资产主表" sheetId="2" r:id="Rd62adaa2ddff4a48"/>
    <x:sheet xmlns:r="http://schemas.openxmlformats.org/officeDocument/2006/relationships" name="角色组件" sheetId="3" r:id="R8451755523de4eba"/>
    <x:sheet xmlns:r="http://schemas.openxmlformats.org/officeDocument/2006/relationships" name="动画与状态" sheetId="4" r:id="Rcbe0765152d649b5"/>
    <x:sheet xmlns:r="http://schemas.openxmlformats.org/officeDocument/2006/relationships" name="分类与编码" sheetId="5" r:id="R2c55eb4840d74c18"/>
    <x:sheet xmlns:r="http://schemas.openxmlformats.org/officeDocument/2006/relationships" name="命名与查重" sheetId="6" r:id="R45ac169858f54181"/>
    <x:sheet xmlns:r="http://schemas.openxmlformats.org/officeDocument/2006/relationships" name="原型角色" sheetId="7" r:id="Rf25fb8e53d2b4433"/>
    <x:sheet xmlns:r="http://schemas.openxmlformats.org/officeDocument/2006/relationships" name="版本记录" sheetId="8" r:id="R1eaf58d85226429f"/>
    <x:sheet xmlns:r="http://schemas.openxmlformats.org/officeDocument/2006/relationships" name="3D Prefab总控" sheetId="9" r:id="Rce8b3ccdbfef4714"/>
    <x:sheet xmlns:r="http://schemas.openxmlformats.org/officeDocument/2006/relationships" name="3D-场景通用" sheetId="10" r:id="R4a60aefd11484abc"/>
    <x:sheet xmlns:r="http://schemas.openxmlformats.org/officeDocument/2006/relationships" name="3D-设施" sheetId="11" r:id="R5844831b20f84339"/>
    <x:sheet xmlns:r="http://schemas.openxmlformats.org/officeDocument/2006/relationships" name="3D-道具" sheetId="12" r:id="R3514b25ba84d4990"/>
    <x:sheet xmlns:r="http://schemas.openxmlformats.org/officeDocument/2006/relationships" name="3D-角色" sheetId="13" r:id="Rf386070a07504b64"/>
    <x:sheet xmlns:r="http://schemas.openxmlformats.org/officeDocument/2006/relationships" name="3D-敌人" sheetId="14" r:id="R5e0a6b497dea4562"/>
    <x:sheet xmlns:r="http://schemas.openxmlformats.org/officeDocument/2006/relationships" name="3D-武器" sheetId="15" r:id="R9febcd8a33404a58"/>
    <x:sheet xmlns:r="http://schemas.openxmlformats.org/officeDocument/2006/relationships" name="3D-物品" sheetId="16" r:id="R86fa6e1d30af4d26"/>
    <x:sheet xmlns:r="http://schemas.openxmlformats.org/officeDocument/2006/relationships" name="3D-特效" sheetId="17" r:id="R2eb6055d29864c80"/>
    <x:sheet xmlns:r="http://schemas.openxmlformats.org/officeDocument/2006/relationships" name="3D-其他" sheetId="18" r:id="R442ed8da9dd947c0"/>
    <x:sheet xmlns:r="http://schemas.openxmlformats.org/officeDocument/2006/relationships" name="Skill清单" sheetId="19" r:id="R7e406b2dfd85483b"/>
    <x:sheet xmlns:r="http://schemas.openxmlformats.org/officeDocument/2006/relationships" name="角色中转记录" sheetId="20" r:id="R334098bbbdd1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3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  <x:font>
      <x:sz val="11"/>
      <x:color rgb="FF15383E"/>
      <x:name val="Carlito"/>
    </x:font>
    <x:font>
      <x:b/>
      <x:sz val="11"/>
      <x:color rgb="FF17563A"/>
      <x:name val="Carlito"/>
    </x:font>
    <x:font>
      <x:b/>
      <x:sz val="11"/>
      <x:color rgb="FF15383E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sz val="10"/>
      <x:color rgb="FF1F2937"/>
      <x:name val="Carlito"/>
    </x:font>
    <x:font>
      <x:i/>
      <x:sz val="11"/>
      <x:color rgb="FF334155"/>
      <x:name val="Carlito"/>
    </x:font>
    <x:font>
      <x:b/>
      <x:sz val="11"/>
      <x:color rgb="FF17324D"/>
      <x:name val="Carlito"/>
    </x:font>
    <x:font>
      <x:sz val="11"/>
      <x:color rgb="FFFFFFFF"/>
      <x:name val="Arial"/>
    </x:font>
    <x:font>
      <x:sz val="11"/>
      <x:color rgb="FF1F1F1F"/>
      <x:name val="Carlito"/>
    </x:font>
    <x:font>
      <x:b/>
    </x:font>
    <x:font>
      <x:b/>
      <x:sz val="11"/>
      <x:color rgb="FF2E7D32"/>
    </x:font>
    <x:font>
      <x:b/>
      <x:sz val="14"/>
      <x:color rgb="FF17324D"/>
    </x:font>
    <x:font>
      <x:i/>
      <x:color rgb="FF555555"/>
    </x:font>
    <x:font>
      <x:b/>
      <x:color rgb="FFFFFFFF"/>
    </x:font>
    <x:font>
      <x:b/>
      <x:color rgb="FF1565C0"/>
    </x:font>
  </x:fonts>
  <x:fills count="6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246583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E2E8F0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FFF2CC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E8F5E9"/>
      </x:patternFill>
    </x:fill>
    <x:fill>
      <x:patternFill patternType="solid">
        <x:fgColor rgb="FF17324D"/>
      </x:patternFill>
    </x:fill>
    <x:fill>
      <x:patternFill patternType="solid">
        <x:fgColor rgb="FFE3F2FD"/>
      </x:patternFill>
    </x:fill>
  </x:fills>
  <x:borders count="41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  <x:border>
      <x:left style="thin">
        <x:color rgb="FFAFC9CD"/>
      </x:left>
      <x:right style="thin">
        <x:color rgb="FFAFC9CD"/>
      </x:right>
      <x:top style="thin">
        <x:color rgb="FFAFC9CD"/>
      </x:top>
      <x:bottom style="thin">
        <x:color rgb="FFAFC9CD"/>
      </x:bottom>
    </x:border>
    <x:border>
      <x:left style="thin">
        <x:color rgb="FF8FC3A1"/>
      </x:left>
      <x:right style="thin">
        <x:color rgb="FF8FC3A1"/>
      </x:right>
      <x:top style="thin">
        <x:color rgb="FF8FC3A1"/>
      </x:top>
      <x:bottom style="thin">
        <x:color rgb="FF8FC3A1"/>
      </x:bottom>
    </x:border>
    <x:border>
      <x:left style="medium">
        <x:color rgb="FF446170"/>
      </x:left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top style="medium">
        <x:color rgb="FF446170"/>
      </x:top>
    </x:border>
    <x:border>
      <x:right style="medium">
        <x:color rgb="FF446170"/>
      </x:right>
      <x:top style="medium">
        <x:color rgb="FF44617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E5E7EB"/>
      </x:right>
      <x:bottom style="thin">
        <x:color rgb="FFD9E2F3"/>
      </x:bottom>
    </x:border>
    <x:border>
      <x:left style="thin">
        <x:color rgb="FFD9E2F3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bottom style="thin">
        <x:color rgb="FF9FBAD0"/>
      </x:bottom>
    </x:border>
    <x:border>
      <x:right style="thin">
        <x:color rgb="FFE5E7EB"/>
      </x:right>
      <x:top style="thin">
        <x:color rgb="FFD9E2F3"/>
      </x:top>
    </x:border>
    <x:border>
      <x:left style="thin">
        <x:color rgb="FFE5E7EB"/>
      </x:left>
      <x:right style="thin">
        <x:color rgb="FFE5E7EB"/>
      </x:right>
      <x:top style="thin">
        <x:color rgb="FFD9E2F3"/>
      </x:top>
    </x:border>
    <x:border>
      <x:left style="thin">
        <x:color rgb="FFE5E7EB"/>
      </x:left>
      <x:top style="thin">
        <x:color rgb="FFD9E2F3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94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5" fillId="2" borderId="0" xfId="0"/>
    <x:xf numFmtId="0" fontId="5" fillId="2" borderId="0" xfId="0" applyAlignment="1">
      <x:alignment wrapText="1"/>
    </x:xf>
    <x:xf numFmtId="0" fontId="5" fillId="2" borderId="0" xfId="0" applyAlignment="1">
      <x:alignment horizontal="center" wrapText="1"/>
    </x:xf>
    <x:xf numFmtId="0" fontId="5" fillId="2" borderId="0" xfId="0" applyAlignment="1">
      <x:alignment horizontal="center" vertical="center" wrapText="1"/>
    </x:xf>
    <x:xf numFmtId="0" fontId="0" fillId="5" borderId="0" xfId="0"/>
    <x:xf numFmtId="0" fontId="5" fillId="5" borderId="0" xfId="0"/>
    <x:xf numFmtId="0" fontId="5" fillId="5" borderId="1" xfId="0"/>
    <x:xf numFmtId="0" fontId="5" fillId="5" borderId="2" xfId="0"/>
    <x:xf numFmtId="0" fontId="5" fillId="5" borderId="3" xfId="0"/>
    <x:xf numFmtId="0" fontId="5" fillId="5" borderId="1" xfId="0" applyAlignment="1">
      <x:alignment wrapText="1"/>
    </x:xf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1" xfId="0" applyAlignment="1">
      <x:alignment horizontal="center" wrapText="1"/>
    </x:xf>
    <x:xf numFmtId="0" fontId="5" fillId="5" borderId="2" xfId="0" applyAlignment="1">
      <x:alignment horizontal="center" wrapText="1"/>
    </x:xf>
    <x:xf numFmtId="0" fontId="5" fillId="5" borderId="3" xfId="0" applyAlignment="1">
      <x:alignment horizont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5" xfId="0"/>
    <x:xf numFmtId="0" fontId="6" fillId="0" borderId="4" xfId="0" applyAlignment="1">
      <x:alignment wrapText="1"/>
    </x:xf>
    <x:xf numFmtId="0" fontId="6" fillId="0" borderId="5" xfId="0" applyAlignment="1">
      <x:alignment wrapText="1"/>
    </x:xf>
    <x:xf numFmtId="0" fontId="6" fillId="0" borderId="4" xfId="0" applyAlignment="1">
      <x:alignment vertical="top" wrapText="1"/>
    </x:xf>
    <x:xf numFmtId="0" fontId="6" fillId="0" borderId="5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horizontal="center"/>
    </x:xf>
    <x:xf numFmtId="0" fontId="8" fillId="2" borderId="0" xfId="0" applyAlignment="1">
      <x:alignment vertical="center"/>
    </x:xf>
    <x:xf numFmtId="0" fontId="9" fillId="3" borderId="0" xfId="0" applyAlignment="1">
      <x:alignment vertical="center"/>
    </x:xf>
    <x:xf numFmtId="0" fontId="10" fillId="0" borderId="0" xfId="0"/>
    <x:xf numFmtId="0" fontId="11" fillId="4" borderId="0" xfId="0" applyAlignment="1">
      <x:alignment vertical="center"/>
    </x:xf>
    <x:xf numFmtId="0" fontId="12" fillId="2" borderId="0" xfId="0" applyAlignment="1">
      <x:alignment horizontal="center" vertical="center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/>
    </x:xf>
    <x:xf numFmtId="0" fontId="14" fillId="0" borderId="5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16" fillId="2" borderId="0" xfId="0"/>
    <x:xf numFmtId="0" fontId="16" fillId="2" borderId="0" xfId="0" applyAlignment="1">
      <x:alignment wrapText="1"/>
    </x:xf>
    <x:xf numFmtId="0" fontId="5" fillId="5" borderId="0" xfId="0" applyAlignment="1">
      <x:alignment horizontal="center"/>
    </x:xf>
    <x:xf numFmtId="0" fontId="3" fillId="4" borderId="0" xfId="0" applyAlignment="1">
      <x:alignment wrapText="1"/>
    </x:xf>
    <x:xf numFmtId="0" fontId="0" fillId="7" borderId="0" xfId="0"/>
    <x:xf numFmtId="0" fontId="17" fillId="7" borderId="0" xfId="0"/>
    <x:xf numFmtId="0" fontId="17" fillId="7" borderId="0" xfId="0" applyAlignment="1">
      <x:alignment wrapText="1"/>
    </x:xf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8" borderId="0" xfId="0" applyAlignment="1">
      <x:alignment wrapText="1"/>
    </x:xf>
    <x:xf numFmtId="0" fontId="18" fillId="8" borderId="0" xfId="0" applyAlignment="1">
      <x:alignment wrapText="1"/>
    </x:xf>
    <x:xf numFmtId="0" fontId="18" fillId="8" borderId="0" xfId="0"/>
    <x:xf numFmtId="0" fontId="18" fillId="8" borderId="0" xfId="0" applyAlignment="1">
      <x:alignment vertical="center"/>
    </x:xf>
    <x:xf numFmtId="0" fontId="18" fillId="9" borderId="0" xfId="0" applyAlignment="1">
      <x:alignment vertical="center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0" fillId="10" borderId="0" xfId="0"/>
    <x:xf numFmtId="0" fontId="19" fillId="10" borderId="0" xfId="0"/>
    <x:xf numFmtId="0" fontId="0" fillId="11" borderId="0" xfId="0"/>
    <x:xf numFmtId="0" fontId="20" fillId="11" borderId="0" xfId="0"/>
    <x:xf numFmtId="0" fontId="0" fillId="12" borderId="0" xfId="0"/>
    <x:xf numFmtId="0" fontId="5" fillId="12" borderId="0" xfId="0"/>
    <x:xf numFmtId="0" fontId="0" fillId="13" borderId="0" xfId="0"/>
    <x:xf numFmtId="0" fontId="21" fillId="13" borderId="0" xfId="0"/>
    <x:xf numFmtId="0" fontId="21" fillId="13" borderId="0" xfId="0" applyAlignment="1">
      <x:alignment wrapText="1"/>
    </x:xf>
    <x:xf numFmtId="0" fontId="20" fillId="14" borderId="0" xfId="0"/>
    <x:xf numFmtId="0" fontId="5" fillId="15" borderId="0" xfId="0"/>
    <x:xf numFmtId="0" fontId="21" fillId="16" borderId="0" xfId="0" applyAlignment="1">
      <x:alignment wrapText="1"/>
    </x:xf>
    <x:xf numFmtId="0" fontId="0" fillId="17" borderId="0" xfId="0"/>
    <x:xf numFmtId="0" fontId="20" fillId="17" borderId="0" xfId="0"/>
    <x:xf numFmtId="0" fontId="0" fillId="18" borderId="0" xfId="0"/>
    <x:xf numFmtId="0" fontId="5" fillId="18" borderId="0" xfId="0"/>
    <x:xf numFmtId="0" fontId="20" fillId="17" borderId="0" xfId="0" applyAlignment="1">
      <x:alignment wrapText="1"/>
    </x:xf>
    <x:xf numFmtId="0" fontId="5" fillId="18" borderId="0" xfId="0" applyAlignment="1">
      <x:alignment wrapText="1"/>
    </x:xf>
    <x:xf numFmtId="0" fontId="0" fillId="19" borderId="0" xfId="0"/>
    <x:xf numFmtId="0" fontId="22" fillId="19" borderId="0" xfId="0"/>
    <x:xf numFmtId="0" fontId="22" fillId="19" borderId="0" xfId="0" applyAlignment="1">
      <x:alignment wrapText="1"/>
    </x:xf>
    <x:xf numFmtId="0" fontId="20" fillId="20" borderId="0" xfId="0" applyAlignment="1">
      <x:alignment wrapText="1"/>
    </x:xf>
    <x:xf numFmtId="0" fontId="5" fillId="21" borderId="0" xfId="0" applyAlignment="1">
      <x:alignment wrapText="1"/>
    </x:xf>
    <x:xf numFmtId="0" fontId="22" fillId="22" borderId="0" xfId="0" applyAlignment="1">
      <x:alignment wrapText="1"/>
    </x:xf>
    <x:xf numFmtId="0" fontId="2" fillId="3" borderId="0" xfId="0" applyAlignment="1">
      <x:alignment vertical="center" wrapText="1"/>
    </x:xf>
    <x:xf numFmtId="0" fontId="18" fillId="8" borderId="0" xfId="0" applyAlignment="1">
      <x:alignment vertical="center" wrapText="1"/>
    </x:xf>
    <x:xf numFmtId="0" fontId="20" fillId="11" borderId="0" xfId="0" applyAlignment="1">
      <x:alignment wrapText="1"/>
    </x:xf>
    <x:xf numFmtId="0" fontId="5" fillId="12" borderId="0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5" xfId="0" applyAlignment="1">
      <x:alignment vertical="center" wrapText="1"/>
    </x:xf>
    <x:xf numFmtId="0" fontId="20" fillId="11" borderId="0" xfId="0" applyAlignment="1">
      <x:alignment vertical="center" wrapText="1"/>
    </x:xf>
    <x:xf numFmtId="0" fontId="5" fillId="12" borderId="0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23" borderId="0" xfId="0"/>
    <x:xf numFmtId="0" fontId="5" fillId="23" borderId="0" xfId="0"/>
    <x:xf numFmtId="0" fontId="5" fillId="23" borderId="0" xfId="0" applyAlignment="1">
      <x:alignment horizontal="center"/>
    </x:xf>
    <x:xf numFmtId="0" fontId="5" fillId="23" borderId="0" xfId="0" applyAlignment="1">
      <x:alignment horizontal="center" vertical="center"/>
    </x:xf>
    <x:xf numFmtId="0" fontId="0" fillId="24" borderId="0" xfId="0"/>
    <x:xf numFmtId="0" fontId="23" fillId="24" borderId="0" xfId="0"/>
    <x:xf numFmtId="0" fontId="23" fillId="24" borderId="6" xfId="0"/>
    <x:xf numFmtId="0" fontId="23" fillId="24" borderId="6" xfId="0" applyAlignment="1">
      <x:alignment wrapText="1"/>
    </x:xf>
    <x:xf numFmtId="0" fontId="23" fillId="24" borderId="6" xfId="0" applyAlignment="1">
      <x:alignment vertical="center" wrapText="1"/>
    </x:xf>
    <x:xf numFmtId="0" fontId="23" fillId="25" borderId="6" xfId="0" applyAlignment="1">
      <x:alignment vertical="center" wrapText="1"/>
    </x:xf>
    <x:xf numFmtId="0" fontId="24" fillId="25" borderId="6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4" fillId="26" borderId="7" xfId="0" applyAlignment="1">
      <x:alignment vertical="center" wrapText="1"/>
    </x:xf>
    <x:xf numFmtId="0" fontId="23" fillId="26" borderId="6" xfId="0" applyAlignment="1">
      <x:alignment vertical="center" wrapText="1"/>
    </x:xf>
    <x:xf numFmtId="0" fontId="25" fillId="26" borderId="7" xfId="0" applyAlignment="1">
      <x:alignment vertical="center" wrapText="1"/>
    </x:xf>
    <x:xf numFmtId="0" fontId="25" fillId="26" borderId="6" xfId="0" applyAlignment="1">
      <x:alignment vertical="center" wrapText="1"/>
    </x:xf>
    <x:xf numFmtId="0" fontId="25" fillId="27" borderId="6" xfId="0" applyAlignment="1">
      <x:alignment vertical="center" wrapText="1"/>
    </x:xf>
    <x:xf numFmtId="0" fontId="24" fillId="27" borderId="6" xfId="0" applyAlignment="1">
      <x:alignment vertical="center" wrapText="1"/>
    </x:xf>
    <x:xf numFmtId="0" fontId="24" fillId="27" borderId="7" xfId="0" applyAlignment="1">
      <x:alignment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164" fontId="6" fillId="0" borderId="5" xfId="0" applyAlignment="1">
      <x:alignment vertical="center" wrapText="1"/>
    </x:xf>
    <x:xf numFmtId="164" fontId="0" fillId="0" borderId="0" xfId="0" applyAlignment="1">
      <x:alignment vertical="center" wrapText="1"/>
    </x:xf>
    <x:xf numFmtId="164" fontId="0" fillId="0" borderId="0" xfId="0"/>
    <x:xf numFmtId="164" fontId="0" fillId="0" borderId="0" xfId="0" applyAlignment="1">
      <x:alignment wrapText="1"/>
    </x:xf>
    <x:xf numFmtId="165" fontId="23" fillId="26" borderId="6" xfId="0" applyAlignment="1">
      <x:alignment vertical="center" wrapText="1"/>
    </x:xf>
    <x:xf numFmtId="165" fontId="0" fillId="0" borderId="0" xfId="0"/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6" fillId="0" borderId="5" xfId="0" applyAlignment="1">
      <x:alignment vertical="top" wrapText="1"/>
    </x:xf>
    <x:xf numFmtId="0" fontId="0" fillId="28" borderId="0" xfId="0"/>
    <x:xf numFmtId="0" fontId="26" fillId="28" borderId="0" xfId="0"/>
    <x:xf numFmtId="0" fontId="26" fillId="28" borderId="0" xfId="0" applyAlignment="1">
      <x:alignment vertical="center"/>
    </x:xf>
    <x:xf numFmtId="0" fontId="0" fillId="29" borderId="0" xfId="0"/>
    <x:xf numFmtId="0" fontId="27" fillId="29" borderId="0" xfId="0"/>
    <x:xf numFmtId="0" fontId="27" fillId="29" borderId="0" xfId="0" applyAlignment="1">
      <x:alignment wrapText="1"/>
    </x:xf>
    <x:xf numFmtId="0" fontId="27" fillId="29" borderId="0" xfId="0" applyAlignment="1">
      <x:alignment vertical="center" wrapText="1"/>
    </x:xf>
    <x:xf numFmtId="0" fontId="0" fillId="30" borderId="0" xfId="0"/>
    <x:xf numFmtId="0" fontId="5" fillId="30" borderId="0" xfId="0"/>
    <x:xf numFmtId="0" fontId="5" fillId="30" borderId="11" xfId="0"/>
    <x:xf numFmtId="0" fontId="5" fillId="30" borderId="12" xfId="0"/>
    <x:xf numFmtId="0" fontId="5" fillId="30" borderId="13" xfId="0"/>
    <x:xf numFmtId="0" fontId="5" fillId="30" borderId="11" xfId="0" applyAlignment="1">
      <x:alignment wrapText="1"/>
    </x:xf>
    <x:xf numFmtId="0" fontId="5" fillId="30" borderId="12" xfId="0" applyAlignment="1">
      <x:alignment wrapText="1"/>
    </x:xf>
    <x:xf numFmtId="0" fontId="5" fillId="30" borderId="13" xfId="0" applyAlignment="1">
      <x:alignment wrapText="1"/>
    </x:xf>
    <x:xf numFmtId="0" fontId="5" fillId="30" borderId="11" xfId="0" applyAlignment="1">
      <x:alignment horizontal="center" wrapText="1"/>
    </x:xf>
    <x:xf numFmtId="0" fontId="5" fillId="30" borderId="12" xfId="0" applyAlignment="1">
      <x:alignment horizontal="center" wrapText="1"/>
    </x:xf>
    <x:xf numFmtId="0" fontId="5" fillId="30" borderId="13" xfId="0" applyAlignment="1">
      <x:alignment horizontal="center" wrapText="1"/>
    </x:xf>
    <x:xf numFmtId="0" fontId="5" fillId="30" borderId="11" xfId="0" applyAlignment="1">
      <x:alignment horizontal="center" vertical="center" wrapText="1"/>
    </x:xf>
    <x:xf numFmtId="0" fontId="5" fillId="30" borderId="12" xfId="0" applyAlignment="1">
      <x:alignment horizontal="center" vertical="center" wrapText="1"/>
    </x:xf>
    <x:xf numFmtId="0" fontId="5" fillId="30" borderId="13" xfId="0" applyAlignment="1">
      <x:alignment horizontal="center" vertical="center" wrapText="1"/>
    </x:xf>
    <x:xf numFmtId="0" fontId="28" fillId="0" borderId="0" xfId="0"/>
    <x:xf numFmtId="0" fontId="28" fillId="0" borderId="14" xfId="0"/>
    <x:xf numFmtId="0" fontId="28" fillId="0" borderId="15" xfId="0"/>
    <x:xf numFmtId="0" fontId="28" fillId="0" borderId="16" xfId="0"/>
    <x:xf numFmtId="0" fontId="28" fillId="0" borderId="17" xfId="0"/>
    <x:xf numFmtId="0" fontId="28" fillId="0" borderId="18" xfId="0"/>
    <x:xf numFmtId="0" fontId="28" fillId="0" borderId="19" xfId="0"/>
    <x:xf numFmtId="0" fontId="28" fillId="0" borderId="20" xfId="0"/>
    <x:xf numFmtId="0" fontId="28" fillId="0" borderId="21" xfId="0"/>
    <x:xf numFmtId="0" fontId="28" fillId="0" borderId="22" xfId="0"/>
    <x:xf numFmtId="0" fontId="28" fillId="0" borderId="14" xfId="0" applyAlignment="1">
      <x:alignment wrapText="1"/>
    </x:xf>
    <x:xf numFmtId="0" fontId="28" fillId="0" borderId="15" xfId="0" applyAlignment="1">
      <x:alignment wrapText="1"/>
    </x:xf>
    <x:xf numFmtId="0" fontId="28" fillId="0" borderId="16" xfId="0" applyAlignment="1">
      <x:alignment wrapText="1"/>
    </x:xf>
    <x:xf numFmtId="0" fontId="28" fillId="0" borderId="17" xfId="0" applyAlignment="1">
      <x:alignment wrapText="1"/>
    </x:xf>
    <x:xf numFmtId="0" fontId="28" fillId="0" borderId="18" xfId="0" applyAlignment="1">
      <x:alignment wrapText="1"/>
    </x:xf>
    <x:xf numFmtId="0" fontId="28" fillId="0" borderId="19" xfId="0" applyAlignment="1">
      <x:alignment wrapText="1"/>
    </x:xf>
    <x:xf numFmtId="0" fontId="28" fillId="0" borderId="20" xfId="0" applyAlignment="1">
      <x:alignment wrapText="1"/>
    </x:xf>
    <x:xf numFmtId="0" fontId="28" fillId="0" borderId="21" xfId="0" applyAlignment="1">
      <x:alignment wrapText="1"/>
    </x:xf>
    <x:xf numFmtId="0" fontId="28" fillId="0" borderId="22" xfId="0" applyAlignment="1">
      <x:alignment wrapText="1"/>
    </x:xf>
    <x:xf numFmtId="0" fontId="28" fillId="0" borderId="14" xfId="0" applyAlignment="1">
      <x:alignment vertical="top" wrapText="1"/>
    </x:xf>
    <x:xf numFmtId="0" fontId="28" fillId="0" borderId="15" xfId="0" applyAlignment="1">
      <x:alignment vertical="top" wrapText="1"/>
    </x:xf>
    <x:xf numFmtId="0" fontId="28" fillId="0" borderId="16" xfId="0" applyAlignment="1">
      <x:alignment vertical="top" wrapText="1"/>
    </x:xf>
    <x:xf numFmtId="0" fontId="28" fillId="0" borderId="17" xfId="0" applyAlignment="1">
      <x:alignment vertical="top" wrapText="1"/>
    </x:xf>
    <x:xf numFmtId="0" fontId="28" fillId="0" borderId="18" xfId="0" applyAlignment="1">
      <x:alignment vertical="top" wrapText="1"/>
    </x:xf>
    <x:xf numFmtId="0" fontId="28" fillId="0" borderId="19" xfId="0" applyAlignment="1">
      <x:alignment vertical="top" wrapText="1"/>
    </x:xf>
    <x:xf numFmtId="0" fontId="28" fillId="0" borderId="20" xfId="0" applyAlignment="1">
      <x:alignment vertical="top" wrapText="1"/>
    </x:xf>
    <x:xf numFmtId="0" fontId="28" fillId="0" borderId="21" xfId="0" applyAlignment="1">
      <x:alignment vertical="top" wrapText="1"/>
    </x:xf>
    <x:xf numFmtId="0" fontId="28" fillId="0" borderId="22" xfId="0" applyAlignment="1">
      <x:alignment vertical="top" wrapText="1"/>
    </x:xf>
    <x:xf numFmtId="0" fontId="28" fillId="0" borderId="23" xfId="0" applyAlignment="1">
      <x:alignment vertical="top" wrapText="1"/>
    </x:xf>
    <x:xf numFmtId="0" fontId="28" fillId="0" borderId="24" xfId="0" applyAlignment="1">
      <x:alignment vertical="top" wrapText="1"/>
    </x:xf>
    <x:xf numFmtId="0" fontId="28" fillId="0" borderId="25" xfId="0" applyAlignment="1">
      <x:alignment vertical="top" wrapText="1"/>
    </x:xf>
    <x:xf numFmtId="0" fontId="28" fillId="0" borderId="26" xfId="0" applyAlignment="1">
      <x:alignment vertical="top" wrapText="1"/>
    </x:xf>
    <x:xf numFmtId="0" fontId="28" fillId="0" borderId="27" xfId="0" applyAlignment="1">
      <x:alignment vertical="top" wrapText="1"/>
    </x:xf>
    <x:xf numFmtId="0" fontId="28" fillId="0" borderId="28" xfId="0" applyAlignment="1">
      <x:alignment vertical="top" wrapText="1"/>
    </x:xf>
    <x:xf numFmtId="0" fontId="28" fillId="0" borderId="29" xfId="0" applyAlignment="1">
      <x:alignment vertical="top" wrapText="1"/>
    </x:xf>
    <x:xf numFmtId="0" fontId="28" fillId="0" borderId="30" xfId="0" applyAlignment="1">
      <x:alignment vertical="top" wrapText="1"/>
    </x:xf>
    <x:xf numFmtId="0" fontId="28" fillId="0" borderId="31" xfId="0" applyAlignment="1">
      <x:alignment vertical="top" wrapText="1"/>
    </x:xf>
    <x:xf numFmtId="0" fontId="26" fillId="31" borderId="0" xfId="0" applyAlignment="1">
      <x:alignment vertical="center"/>
    </x:xf>
    <x:xf numFmtId="0" fontId="27" fillId="32" borderId="0" xfId="0" applyAlignment="1">
      <x:alignment vertical="center" wrapText="1"/>
    </x:xf>
    <x:xf numFmtId="0" fontId="5" fillId="33" borderId="11" xfId="0" applyAlignment="1">
      <x:alignment horizontal="center" vertical="center" wrapText="1"/>
    </x:xf>
    <x:xf numFmtId="0" fontId="5" fillId="33" borderId="12" xfId="0" applyAlignment="1">
      <x:alignment horizontal="center" vertical="center" wrapText="1"/>
    </x:xf>
    <x:xf numFmtId="0" fontId="5" fillId="33" borderId="13" xfId="0" applyAlignment="1">
      <x:alignment horizontal="center" vertical="center" wrapText="1"/>
    </x:xf>
    <x:xf numFmtId="0" fontId="28" fillId="0" borderId="32" xfId="0" applyAlignment="1">
      <x:alignment vertical="top" wrapText="1"/>
    </x:xf>
    <x:xf numFmtId="0" fontId="28" fillId="0" borderId="33" xfId="0" applyAlignment="1">
      <x:alignment vertical="top" wrapText="1"/>
    </x:xf>
    <x:xf numFmtId="0" fontId="26" fillId="34" borderId="0" xfId="0" applyAlignment="1">
      <x:alignment vertical="center"/>
    </x:xf>
    <x:xf numFmtId="0" fontId="0" fillId="34" borderId="0" xfId="0"/>
    <x:xf numFmtId="0" fontId="26" fillId="34" borderId="0" xfId="0"/>
    <x:xf numFmtId="0" fontId="27" fillId="35" borderId="0" xfId="0" applyAlignment="1">
      <x:alignment vertical="center" wrapText="1"/>
    </x:xf>
    <x:xf numFmtId="0" fontId="0" fillId="35" borderId="0" xfId="0"/>
    <x:xf numFmtId="0" fontId="27" fillId="35" borderId="0" xfId="0"/>
    <x:xf numFmtId="0" fontId="27" fillId="35" borderId="0" xfId="0" applyAlignment="1">
      <x:alignment wrapText="1"/>
    </x:xf>
    <x:xf numFmtId="0" fontId="5" fillId="36" borderId="11" xfId="0" applyAlignment="1">
      <x:alignment horizontal="center" vertical="center" wrapText="1"/>
    </x:xf>
    <x:xf numFmtId="0" fontId="5" fillId="36" borderId="12" xfId="0" applyAlignment="1">
      <x:alignment horizontal="center" vertical="center" wrapText="1"/>
    </x:xf>
    <x:xf numFmtId="0" fontId="5" fillId="36" borderId="13" xfId="0" applyAlignment="1">
      <x:alignment horizontal="center" vertical="center" wrapText="1"/>
    </x:xf>
    <x:xf numFmtId="0" fontId="0" fillId="36" borderId="0" xfId="0"/>
    <x:xf numFmtId="0" fontId="5" fillId="36" borderId="0" xfId="0"/>
    <x:xf numFmtId="0" fontId="5" fillId="36" borderId="13" xfId="0"/>
    <x:xf numFmtId="0" fontId="5" fillId="36" borderId="13" xfId="0" applyAlignment="1">
      <x:alignment wrapText="1"/>
    </x:xf>
    <x:xf numFmtId="0" fontId="5" fillId="36" borderId="13" xfId="0" applyAlignment="1">
      <x:alignment horizontal="center" wrapText="1"/>
    </x:xf>
    <x:xf numFmtId="0" fontId="28" fillId="0" borderId="32" xfId="0"/>
    <x:xf numFmtId="0" fontId="28" fillId="0" borderId="33" xfId="0"/>
    <x:xf numFmtId="0" fontId="28" fillId="0" borderId="32" xfId="0" applyAlignment="1">
      <x:alignment wrapText="1"/>
    </x:xf>
    <x:xf numFmtId="0" fontId="28" fillId="0" borderId="33" xfId="0" applyAlignment="1">
      <x:alignment wrapText="1"/>
    </x:xf>
    <x:xf numFmtId="0" fontId="5" fillId="34" borderId="0" xfId="0"/>
    <x:xf numFmtId="0" fontId="5" fillId="34" borderId="0" xfId="0" applyAlignment="1">
      <x:alignment horizontal="center"/>
    </x:xf>
    <x:xf numFmtId="0" fontId="5" fillId="36" borderId="0" xfId="0" applyAlignment="1">
      <x:alignment horizontal="center"/>
    </x:xf>
    <x:xf numFmtId="0" fontId="0" fillId="0" borderId="14" xfId="0"/>
    <x:xf numFmtId="0" fontId="0" fillId="0" borderId="16" xfId="0"/>
    <x:xf numFmtId="0" fontId="0" fillId="0" borderId="17" xfId="0"/>
    <x:xf numFmtId="0" fontId="0" fillId="0" borderId="19" xfId="0"/>
    <x:xf numFmtId="0" fontId="0" fillId="0" borderId="20" xfId="0"/>
    <x:xf numFmtId="0" fontId="0" fillId="0" borderId="22" xfId="0"/>
    <x:xf numFmtId="0" fontId="0" fillId="0" borderId="14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2" xfId="0" applyAlignment="1">
      <x:alignment wrapText="1"/>
    </x:xf>
    <x:xf numFmtId="0" fontId="0" fillId="0" borderId="14" xfId="0" applyAlignment="1">
      <x:alignment vertical="top"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37" borderId="0" xfId="0"/>
    <x:xf numFmtId="0" fontId="26" fillId="37" borderId="0" xfId="0"/>
    <x:xf numFmtId="0" fontId="26" fillId="37" borderId="0" xfId="0" applyAlignment="1">
      <x:alignment vertical="center"/>
    </x:xf>
    <x:xf numFmtId="0" fontId="0" fillId="38" borderId="0" xfId="0"/>
    <x:xf numFmtId="0" fontId="27" fillId="38" borderId="0" xfId="0"/>
    <x:xf numFmtId="0" fontId="27" fillId="38" borderId="0" xfId="0" applyAlignment="1">
      <x:alignment wrapText="1"/>
    </x:xf>
    <x:xf numFmtId="0" fontId="27" fillId="38" borderId="0" xfId="0" applyAlignment="1">
      <x:alignment vertical="center" wrapText="1"/>
    </x:xf>
    <x:xf numFmtId="0" fontId="0" fillId="39" borderId="0" xfId="0"/>
    <x:xf numFmtId="0" fontId="5" fillId="39" borderId="0" xfId="0"/>
    <x:xf numFmtId="0" fontId="5" fillId="39" borderId="11" xfId="0"/>
    <x:xf numFmtId="0" fontId="5" fillId="39" borderId="12" xfId="0"/>
    <x:xf numFmtId="0" fontId="5" fillId="39" borderId="13" xfId="0"/>
    <x:xf numFmtId="0" fontId="5" fillId="39" borderId="11" xfId="0" applyAlignment="1">
      <x:alignment wrapText="1"/>
    </x:xf>
    <x:xf numFmtId="0" fontId="5" fillId="39" borderId="12" xfId="0" applyAlignment="1">
      <x:alignment wrapText="1"/>
    </x:xf>
    <x:xf numFmtId="0" fontId="5" fillId="39" borderId="13" xfId="0" applyAlignment="1">
      <x:alignment wrapText="1"/>
    </x:xf>
    <x:xf numFmtId="0" fontId="5" fillId="39" borderId="11" xfId="0" applyAlignment="1">
      <x:alignment horizontal="center" wrapText="1"/>
    </x:xf>
    <x:xf numFmtId="0" fontId="5" fillId="39" borderId="12" xfId="0" applyAlignment="1">
      <x:alignment horizontal="center" wrapText="1"/>
    </x:xf>
    <x:xf numFmtId="0" fontId="5" fillId="39" borderId="13" xfId="0" applyAlignment="1">
      <x:alignment horizontal="center" wrapText="1"/>
    </x:xf>
    <x:xf numFmtId="0" fontId="5" fillId="39" borderId="11" xfId="0" applyAlignment="1">
      <x:alignment horizontal="center" vertical="center" wrapText="1"/>
    </x:xf>
    <x:xf numFmtId="0" fontId="5" fillId="39" borderId="12" xfId="0" applyAlignment="1">
      <x:alignment horizontal="center" vertical="center" wrapText="1"/>
    </x:xf>
    <x:xf numFmtId="0" fontId="5" fillId="39" borderId="13" xfId="0" applyAlignment="1">
      <x:alignment horizontal="center" vertical="center" wrapText="1"/>
    </x:xf>
    <x:xf numFmtId="0" fontId="28" fillId="0" borderId="0" xfId="0" applyAlignment="1">
      <x:alignment wrapText="1"/>
    </x:xf>
    <x:xf numFmtId="0" fontId="28" fillId="0" borderId="0" xfId="0" applyAlignment="1">
      <x:alignment vertical="top" wrapText="1"/>
    </x:xf>
    <x:xf numFmtId="0" fontId="28" fillId="0" borderId="34" xfId="0" applyAlignment="1">
      <x:alignment vertical="top" wrapText="1"/>
    </x:xf>
    <x:xf numFmtId="0" fontId="28" fillId="0" borderId="35" xfId="0" applyAlignment="1">
      <x:alignment vertical="top" wrapText="1"/>
    </x:xf>
    <x:xf numFmtId="0" fontId="28" fillId="0" borderId="36" xfId="0" applyAlignment="1">
      <x:alignment vertical="top" wrapText="1"/>
    </x:xf>
    <x:xf numFmtId="0" fontId="29" fillId="38" borderId="0" xfId="0"/>
    <x:xf numFmtId="0" fontId="29" fillId="38" borderId="0" xfId="0" applyAlignment="1">
      <x:alignment wrapText="1"/>
    </x:xf>
    <x:xf numFmtId="0" fontId="29" fillId="38" borderId="0" xfId="0" applyAlignment="1">
      <x:alignment vertical="center" wrapText="1"/>
    </x:xf>
    <x:xf numFmtId="0" fontId="5" fillId="39" borderId="0" xfId="0" applyAlignment="1">
      <x:alignment horizontal="center"/>
    </x:xf>
    <x:xf numFmtId="0" fontId="5" fillId="39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0" fillId="0" borderId="25" xfId="0" applyAlignment="1">
      <x:alignment vertical="top" wrapText="1"/>
    </x:xf>
    <x:xf numFmtId="0" fontId="0" fillId="0" borderId="26" xfId="0" applyAlignment="1">
      <x:alignment vertical="top" wrapText="1"/>
    </x:xf>
    <x:xf numFmtId="0" fontId="0" fillId="0" borderId="27" xfId="0" applyAlignment="1">
      <x:alignment vertical="top" wrapText="1"/>
    </x:xf>
    <x:xf numFmtId="0" fontId="0" fillId="0" borderId="28" xfId="0" applyAlignment="1">
      <x:alignment vertical="top" wrapText="1"/>
    </x:xf>
    <x:xf numFmtId="0" fontId="0" fillId="0" borderId="29" xfId="0"/>
    <x:xf numFmtId="0" fontId="0" fillId="0" borderId="30" xfId="0"/>
    <x:xf numFmtId="0" fontId="0" fillId="0" borderId="31" xfId="0"/>
    <x:xf numFmtId="0" fontId="0" fillId="40" borderId="29" xfId="0"/>
    <x:xf numFmtId="0" fontId="0" fillId="40" borderId="30" xfId="0"/>
    <x:xf numFmtId="0" fontId="0" fillId="40" borderId="31" xfId="0"/>
    <x:xf numFmtId="0" fontId="30" fillId="40" borderId="29" xfId="0"/>
    <x:xf numFmtId="0" fontId="30" fillId="40" borderId="30" xfId="0"/>
    <x:xf numFmtId="0" fontId="30" fillId="40" borderId="31" xfId="0"/>
    <x:xf numFmtId="0" fontId="5" fillId="37" borderId="0" xfId="0"/>
    <x:xf numFmtId="0" fontId="5" fillId="37" borderId="0" xfId="0" applyAlignment="1">
      <x:alignment horizontal="center"/>
    </x:xf>
    <x:xf numFmtId="0" fontId="0" fillId="0" borderId="37" xfId="0" applyAlignment="1">
      <x:alignment vertical="top" wrapText="1"/>
    </x:xf>
    <x:xf numFmtId="0" fontId="0" fillId="0" borderId="38" xfId="0" applyAlignment="1">
      <x:alignment vertical="top" wrapText="1"/>
    </x:xf>
    <x:xf numFmtId="0" fontId="0" fillId="0" borderId="39" xfId="0" applyAlignment="1">
      <x:alignment vertical="top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4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6" fillId="0" borderId="5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3" fillId="24" borderId="6" xfId="0" applyAlignment="1">
      <x:alignment vertical="center" wrapText="1"/>
    </x:xf>
    <x:xf numFmtId="165" fontId="23" fillId="24" borderId="6" xfId="0" applyAlignment="1">
      <x:alignment vertical="center" wrapText="1"/>
    </x:xf>
    <x:xf numFmtId="0" fontId="26" fillId="28" borderId="0" xfId="0" applyAlignment="1">
      <x:alignment vertical="center" wrapText="1"/>
    </x:xf>
    <x:xf numFmtId="0" fontId="29" fillId="29" borderId="0" xfId="0" applyAlignment="1">
      <x:alignment vertical="center" wrapText="1"/>
    </x:xf>
    <x:xf numFmtId="0" fontId="5" fillId="30" borderId="0" xfId="0" applyAlignment="1">
      <x:alignment horizontal="center" vertical="center" wrapText="1"/>
    </x:xf>
    <x:xf numFmtId="0" fontId="30" fillId="40" borderId="29" xfId="0" applyAlignment="1">
      <x:alignment wrapText="1"/>
    </x:xf>
    <x:xf numFmtId="0" fontId="30" fillId="40" borderId="30" xfId="0" applyAlignment="1">
      <x:alignment wrapText="1"/>
    </x:xf>
    <x:xf numFmtId="0" fontId="30" fillId="40" borderId="31" xfId="0" applyAlignment="1">
      <x:alignment wrapText="1"/>
    </x:xf>
    <x:xf numFmtId="0" fontId="8" fillId="2" borderId="0" xfId="0" applyAlignment="1">
      <x:alignment vertical="center" wrapText="1"/>
    </x:xf>
    <x:xf numFmtId="0" fontId="9" fillId="3" borderId="0" xfId="0" applyAlignment="1">
      <x:alignment vertical="center" wrapText="1"/>
    </x:xf>
    <x:xf numFmtId="0" fontId="10" fillId="0" borderId="0" xfId="0" applyAlignment="1">
      <x:alignment wrapText="1"/>
    </x:xf>
    <x:xf numFmtId="0" fontId="11" fillId="4" borderId="0" xfId="0" applyAlignment="1">
      <x:alignment vertical="center" wrapText="1"/>
    </x:xf>
    <x:xf numFmtId="0" fontId="12" fillId="2" borderId="0" xfId="0" applyAlignment="1">
      <x:alignment horizontal="center" vertical="center" wrapText="1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 wrapText="1"/>
    </x:xf>
    <x:xf numFmtId="0" fontId="14" fillId="0" borderId="5" xfId="0" applyAlignment="1">
      <x:alignment vertical="top" wrapText="1"/>
    </x:xf>
    <x:xf numFmtId="165" fontId="0" fillId="0" borderId="0" xfId="0" applyAlignment="1">
      <x:alignment wrapText="1"/>
    </x:xf>
    <x:xf numFmtId="0" fontId="0" fillId="41" borderId="0" xfId="0"/>
    <x:xf numFmtId="0" fontId="26" fillId="41" borderId="0" xfId="0"/>
    <x:xf numFmtId="0" fontId="26" fillId="41" borderId="0" xfId="0"/>
    <x:xf numFmtId="0" fontId="0" fillId="42" borderId="0" xfId="0"/>
    <x:xf numFmtId="0" fontId="27" fillId="42" borderId="0" xfId="0"/>
    <x:xf numFmtId="0" fontId="27" fillId="42" borderId="0" xfId="0" applyAlignment="1">
      <x:alignment wrapText="1"/>
    </x:xf>
    <x:xf numFmtId="0" fontId="0" fillId="43" borderId="0" xfId="0"/>
    <x:xf numFmtId="0" fontId="5" fillId="43" borderId="0" xfId="0"/>
    <x:xf numFmtId="0" fontId="5" fillId="43" borderId="40" xfId="0"/>
    <x:xf numFmtId="0" fontId="5" fillId="43" borderId="40" xfId="0" applyAlignment="1">
      <x:alignment wrapText="1"/>
    </x:xf>
    <x:xf numFmtId="0" fontId="5" fillId="43" borderId="40" xfId="0" applyAlignment="1">
      <x:alignment horizontal="center" wrapText="1"/>
    </x:xf>
    <x:xf numFmtId="0" fontId="5" fillId="43" borderId="40" xfId="0" applyAlignment="1">
      <x:alignment horizontal="center" vertical="center" wrapText="1"/>
    </x:xf>
    <x:xf numFmtId="0" fontId="28" fillId="0" borderId="18" xfId="0" applyAlignment="1">
      <x:alignment vertical="center" wrapText="1"/>
    </x:xf>
    <x:xf numFmtId="164" fontId="28" fillId="0" borderId="18" xfId="0" applyAlignment="1">
      <x:alignment vertical="center" wrapText="1"/>
    </x:xf>
    <x:xf numFmtId="0" fontId="6" fillId="0" borderId="4" xfId="0" applyAlignment="1">
      <x:alignment vertical="center" wrapText="1"/>
    </x:xf>
    <x:xf numFmtId="164" fontId="0" fillId="0" borderId="0" xfId="0" applyAlignment="1">
      <x:alignment wrapText="1"/>
    </x:xf>
    <x:xf numFmtId="0" fontId="0" fillId="0" borderId="0" xfId="0" applyAlignment="1">
      <x:alignment wrapText="1"/>
    </x:xf>
    <x:xf numFmtId="164" fontId="0" fillId="0" borderId="0" xfId="0"/>
    <x:xf numFmtId="0" fontId="10" fillId="0" borderId="0" xfId="0"/>
    <x:xf numFmtId="0" fontId="10" fillId="44" borderId="0" xfId="0"/>
    <x:xf numFmtId="0" fontId="31" fillId="44" borderId="0" xfId="0"/>
    <x:xf numFmtId="0" fontId="10" fillId="0" borderId="0" xfId="0" applyAlignment="1">
      <x:alignment wrapText="1"/>
    </x:xf>
    <x:xf numFmtId="0" fontId="31" fillId="45" borderId="0" xfId="0"/>
    <x:xf numFmtId="0" fontId="31" fillId="46" borderId="0" xfId="0"/>
    <x:xf numFmtId="0" fontId="31" fillId="47" borderId="0" xfId="0"/>
    <x:xf numFmtId="0" fontId="31" fillId="48" borderId="0" xfId="0"/>
    <x:xf numFmtId="0" fontId="31" fillId="49" borderId="0" xfId="0"/>
    <x:xf numFmtId="0" fontId="31" fillId="50" borderId="0" xfId="0"/>
    <x:xf numFmtId="0" fontId="31" fillId="51" borderId="0" xfId="0"/>
    <x:xf numFmtId="0" fontId="31" fillId="52" borderId="0" xfId="0"/>
    <x:xf numFmtId="0" fontId="31" fillId="53" borderId="0" xfId="0"/>
    <x:xf numFmtId="0" fontId="0" fillId="0" borderId="0" xfId="0" applyAlignment="1">
      <x:alignment vertical="center" wrapText="1"/>
    </x:xf>
    <x:xf numFmtId="0" fontId="31" fillId="54" borderId="0" xfId="0"/>
    <x:xf numFmtId="0" fontId="0" fillId="55" borderId="0" xfId="0" applyAlignment="1">
      <x:alignment vertical="center" wrapText="1"/>
    </x:xf>
    <x:xf numFmtId="0" fontId="0" fillId="55" borderId="0" xfId="0" applyAlignment="1">
      <x:alignment wrapText="1"/>
    </x:xf>
    <x:xf numFmtId="0" fontId="32" fillId="55" borderId="0" xfId="0" applyAlignment="1">
      <x:alignment vertical="center" wrapText="1"/>
    </x:xf>
    <x:xf numFmtId="0" fontId="32" fillId="55" borderId="0" xfId="0" applyAlignment="1">
      <x:alignment wrapText="1"/>
    </x:xf>
    <x:xf numFmtId="0" fontId="31" fillId="56" borderId="0" xfId="0"/>
    <x:xf numFmtId="0" fontId="31" fillId="57" borderId="0" xfId="0"/>
    <x:xf numFmtId="0" fontId="31" fillId="58" borderId="0" xfId="0"/>
    <x:xf numFmtId="0" fontId="31" fillId="59" borderId="0" xfId="0"/>
    <x:xf numFmtId="0" fontId="33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35" fillId="37" borderId="0" xfId="0" applyAlignment="1">
      <x:alignment horizontal="center" vertical="center"/>
    </x:xf>
    <x:xf numFmtId="0" fontId="36" fillId="38" borderId="0" xfId="0" applyAlignment="1">
      <x:alignment vertical="top" wrapText="1"/>
    </x:xf>
    <x:xf numFmtId="0" fontId="37" fillId="61" borderId="11" xfId="0" applyAlignment="1">
      <x:alignment horizontal="center"/>
    </x:xf>
    <x:xf numFmtId="0" fontId="37" fillId="61" borderId="12" xfId="0" applyAlignment="1">
      <x:alignment horizontal="center"/>
    </x:xf>
    <x:xf numFmtId="0" fontId="37" fillId="61" borderId="13" xfId="0" applyAlignment="1">
      <x:alignment horizontal="center"/>
    </x:xf>
    <x:xf numFmtId="0" fontId="34" fillId="60" borderId="23" xfId="0" applyAlignment="1">
      <x:alignment vertical="top" wrapText="1"/>
    </x:xf>
    <x:xf numFmtId="0" fontId="34" fillId="0" borderId="24" xfId="0" applyAlignment="1">
      <x:alignment vertical="top" wrapText="1"/>
    </x:xf>
    <x:xf numFmtId="0" fontId="34" fillId="0" borderId="25" xfId="0" applyAlignment="1">
      <x:alignment vertical="top" wrapText="1"/>
    </x:xf>
    <x:xf numFmtId="0" fontId="34" fillId="60" borderId="29" xfId="0" applyAlignment="1">
      <x:alignment vertical="top" wrapText="1"/>
    </x:xf>
    <x:xf numFmtId="0" fontId="34" fillId="0" borderId="30" xfId="0" applyAlignment="1">
      <x:alignment vertical="top" wrapText="1"/>
    </x:xf>
    <x:xf numFmtId="0" fontId="34" fillId="0" borderId="31" xfId="0" applyAlignment="1">
      <x:alignment vertical="top" wrapText="1"/>
    </x:xf>
    <x:xf numFmtId="0" fontId="34" fillId="60" borderId="0" xfId="0"/>
    <x:xf numFmtId="0" fontId="34" fillId="0" borderId="0" xfId="0"/>
    <x:xf numFmtId="0" fontId="37" fillId="61" borderId="0" xfId="0" applyAlignment="1">
      <x:alignment horizontal="center"/>
    </x:xf>
    <x:xf numFmtId="0" fontId="38" fillId="62" borderId="26" xfId="0" applyAlignment="1">
      <x:alignment horizontal="center"/>
    </x:xf>
    <x:xf numFmtId="0" fontId="38" fillId="62" borderId="0" xfId="0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f50095065412f" /><Relationship Type="http://schemas.openxmlformats.org/officeDocument/2006/relationships/theme" Target="/xl/theme/theme1.xml" Id="R3253b91fb9eb4a34" /><Relationship Type="http://schemas.openxmlformats.org/officeDocument/2006/relationships/sharedStrings" Target="/xl/sharedStrings.xml" Id="R81f40fbb8941408c" /><Relationship Type="http://schemas.openxmlformats.org/officeDocument/2006/relationships/worksheet" Target="/xl/worksheets/sheet1.xml" Id="R827bb7e2d67d4f3e" /><Relationship Type="http://schemas.openxmlformats.org/officeDocument/2006/relationships/worksheet" Target="/xl/worksheets/sheet2.xml" Id="Rd62adaa2ddff4a48" /><Relationship Type="http://schemas.openxmlformats.org/officeDocument/2006/relationships/worksheet" Target="/xl/worksheets/sheet3.xml" Id="R8451755523de4eba" /><Relationship Type="http://schemas.openxmlformats.org/officeDocument/2006/relationships/worksheet" Target="/xl/worksheets/sheet4.xml" Id="Rcbe0765152d649b5" /><Relationship Type="http://schemas.openxmlformats.org/officeDocument/2006/relationships/worksheet" Target="/xl/worksheets/sheet5.xml" Id="R2c55eb4840d74c18" /><Relationship Type="http://schemas.openxmlformats.org/officeDocument/2006/relationships/worksheet" Target="/xl/worksheets/sheet6.xml" Id="R45ac169858f54181" /><Relationship Type="http://schemas.openxmlformats.org/officeDocument/2006/relationships/worksheet" Target="/xl/worksheets/sheet7.xml" Id="Rf25fb8e53d2b4433" /><Relationship Type="http://schemas.openxmlformats.org/officeDocument/2006/relationships/worksheet" Target="/xl/worksheets/sheet8.xml" Id="R1eaf58d85226429f" /><Relationship Type="http://schemas.openxmlformats.org/officeDocument/2006/relationships/worksheet" Target="/xl/worksheets/sheet9.xml" Id="Rce8b3ccdbfef4714" /><Relationship Type="http://schemas.openxmlformats.org/officeDocument/2006/relationships/worksheet" Target="/xl/worksheets/sheet10.xml" Id="R4a60aefd11484abc" /><Relationship Type="http://schemas.openxmlformats.org/officeDocument/2006/relationships/worksheet" Target="/xl/worksheets/sheet11.xml" Id="R5844831b20f84339" /><Relationship Type="http://schemas.openxmlformats.org/officeDocument/2006/relationships/worksheet" Target="/xl/worksheets/sheet12.xml" Id="R3514b25ba84d4990" /><Relationship Type="http://schemas.openxmlformats.org/officeDocument/2006/relationships/worksheet" Target="/xl/worksheets/sheet13.xml" Id="Rf386070a07504b64" /><Relationship Type="http://schemas.openxmlformats.org/officeDocument/2006/relationships/worksheet" Target="/xl/worksheets/sheet14.xml" Id="R5e0a6b497dea4562" /><Relationship Type="http://schemas.openxmlformats.org/officeDocument/2006/relationships/worksheet" Target="/xl/worksheets/sheet15.xml" Id="R9febcd8a33404a58" /><Relationship Type="http://schemas.openxmlformats.org/officeDocument/2006/relationships/worksheet" Target="/xl/worksheets/sheet16.xml" Id="R86fa6e1d30af4d26" /><Relationship Type="http://schemas.openxmlformats.org/officeDocument/2006/relationships/worksheet" Target="/xl/worksheets/sheet17.xml" Id="R2eb6055d29864c80" /><Relationship Type="http://schemas.openxmlformats.org/officeDocument/2006/relationships/worksheet" Target="/xl/worksheets/sheet18.xml" Id="R442ed8da9dd947c0" /><Relationship Type="http://schemas.openxmlformats.org/officeDocument/2006/relationships/worksheet" Target="/xl/worksheets/sheet19.xml" Id="R7e406b2dfd85483b" /><Relationship Type="http://schemas.openxmlformats.org/officeDocument/2006/relationships/worksheet" Target="/xl/worksheets/sheet20.xml" Id="R334098bbbdd14b3e" /></Relationships>
</file>

<file path=xl/tables/table1.xml><?xml version="1.0" encoding="utf-8"?>
<x:table xmlns:x="http://schemas.openxmlformats.org/spreadsheetml/2006/main" id="1" name="AssetMasterTable" displayName="AssetMasterTable" ref="A5:X115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c6f7e5ba354a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4" customWidth="1"/>
    <x:col min="4" max="4" width="3" customWidth="1"/>
    <x:col min="5" max="5" width="8" customWidth="1"/>
    <x:col min="6" max="6" width="30" customWidth="1"/>
    <x:col min="7" max="7" width="42" customWidth="1"/>
    <x:col min="8" max="8" width="3" customWidth="1"/>
    <x:col min="9" max="9" width="21" customWidth="1"/>
    <x:col min="10" max="10" width="21" customWidth="1"/>
  </x:cols>
  <x:sheetData>
    <x:row r="1" ht="25" customHeight="1">
      <x:c r="A1" s="317" t="inlineStr">
        <x:is>
          <x:t xml:space="preserve">SHELLSTORM 2 · 美术资产中枢 v0.1</x:t>
        </x:is>
      </x:c>
    </x:row>
    <x:row r="2" ht="12" customHeight="1"/>
    <x:row r="3" ht="23" customHeight="1">
      <x:c r="A3" s="318" t="inlineStr">
        <x:is>
          <x:t xml:space="preserve">查重 → 归类 → 领取 AssetID → 组件制作 → 游戏内验收 → 回填哈希；本表是唯一资产登记源</x:t>
        </x:is>
      </x:c>
    </x:row>
    <x:row r="4">
      <x:c r="A4" s="354" t="n"/>
      <x:c r="B4" s="354" t="n"/>
      <x:c r="C4" s="354" t="n"/>
      <x:c r="D4" s="354" t="n"/>
      <x:c r="E4" s="354" t="n"/>
      <x:c r="F4" s="354" t="n"/>
      <x:c r="G4" s="354" t="n"/>
      <x:c r="H4" s="354" t="n"/>
      <x:c r="I4" s="354" t="n"/>
      <x:c r="J4" s="354" t="n"/>
    </x:row>
    <x:row r="5">
      <x:c r="A5" s="320" t="inlineStr">
        <x:is>
          <x:t xml:space="preserve">资产总数</x:t>
        </x:is>
      </x:c>
      <x:c r="B5" s="320" t="str"/>
      <x:c r="C5" s="320" t="inlineStr">
        <x:is>
          <x:t xml:space="preserve">已完成/已接入</x:t>
        </x:is>
      </x:c>
      <x:c r="D5" s="320" t="str"/>
      <x:c r="E5" s="320" t="inlineStr">
        <x:is>
          <x:t xml:space="preserve">待制作/程序占位</x:t>
        </x:is>
      </x:c>
      <x:c r="F5" s="320" t="str"/>
      <x:c r="G5" s="320" t="inlineStr">
        <x:is>
          <x:t xml:space="preserve">重复警报</x:t>
        </x:is>
      </x:c>
      <x:c r="H5" s="320" t="str"/>
      <x:c r="I5" s="320" t="inlineStr">
        <x:is>
          <x:t xml:space="preserve">当前3D原型</x:t>
        </x:is>
      </x:c>
      <x:c r="J5" s="320" t="inlineStr">
        <x:is>
          <x:t xml:space="preserve">基地 + 四主题副本 + 独立靶场</x:t>
        </x:is>
      </x:c>
    </x:row>
    <x:row r="6" ht="42" customHeight="1">
      <x:c r="A6" s="321" t="n">
        <x:f>COUNTA('资产主表'!$A$6:$A$423)</x:f>
        <x:v>418</x:v>
      </x:c>
      <x:c r="B6" s="354" t="n"/>
      <x:c r="C6" s="321" t="n">
        <x:f>COUNTIF('资产主表'!$K$6:$K$423,"已完成")+COUNTIF('资产主表'!$K$6:$K$423,"原型已接入")+COUNTIF('资产主表'!$K$6:$K$423,"正式美术已接入")+COUNTIF('资产主表'!$K$6:$K$423,"已优化并正式接入")+COUNTIF('资产主表'!$K$6:$K$423,"Blender源已完成")+COUNTIF('资产主表'!$K$6:$K$423,"已导入；优化完成")</x:f>
        <x:v>283</x:v>
      </x:c>
      <x:c r="D6" s="354" t="n"/>
      <x:c r="E6" s="321" t="n">
        <x:f>COUNTIF('资产主表'!$K$6:$K$423,"待制作")+COUNTIF('资产主表'!$K$6:$K$423,"程序占位")</x:f>
        <x:v>120</x:v>
      </x:c>
      <x:c r="F6" s="354" t="n"/>
      <x:c r="G6" s="321" t="n">
        <x:f>COUNTIF('资产主表'!$S$6:$S$423,"重复")</x:f>
        <x:v>0</x:v>
      </x:c>
      <x:c r="H6" s="354" t="n"/>
      <x:c r="I6" s="322" t="str">
        <x:v>v0.1 3D塔楼：5m平面组件网格 / 12m标准层高 / 12m逻辑墙与11.9m可见墙 / 99+100F基地打通 / 90×80m天台</x:v>
      </x:c>
    </x:row>
    <x:row r="7">
      <x:c r="A7" s="354" t="n"/>
      <x:c r="B7" s="354" t="n"/>
      <x:c r="C7" s="354" t="n"/>
      <x:c r="D7" s="354" t="n"/>
      <x:c r="E7" s="354" t="n"/>
      <x:c r="F7" s="354" t="n"/>
      <x:c r="G7" s="354" t="n"/>
      <x:c r="H7" s="354" t="n"/>
      <x:c r="I7" s="354" t="n"/>
      <x:c r="J7" s="354" t="n"/>
    </x:row>
    <x:row r="8">
      <x:c r="A8" s="354" t="n"/>
      <x:c r="B8" s="354" t="n"/>
      <x:c r="C8" s="354" t="n"/>
      <x:c r="D8" s="354" t="n"/>
      <x:c r="E8" s="354" t="n"/>
      <x:c r="F8" s="354" t="n"/>
      <x:c r="G8" s="354" t="n"/>
      <x:c r="H8" s="354" t="n"/>
      <x:c r="I8" s="354" t="n"/>
      <x:c r="J8" s="354" t="n"/>
    </x:row>
    <x:row r="9" ht="32" customHeight="1">
      <x:c r="A9" s="323" t="inlineStr">
        <x:is>
          <x:t xml:space="preserve">大类</x:t>
        </x:is>
      </x:c>
      <x:c r="B9" s="324" t="inlineStr">
        <x:is>
          <x:t xml:space="preserve">资产数</x:t>
        </x:is>
      </x:c>
      <x:c r="C9" s="325" t="inlineStr">
        <x:is>
          <x:t xml:space="preserve">完成/接入</x:t>
        </x:is>
      </x:c>
      <x:c r="D9" s="354" t="n"/>
      <x:c r="E9" s="326" t="inlineStr">
        <x:is>
          <x:t xml:space="preserve">新增资产强制门禁</x:t>
        </x:is>
      </x:c>
      <x:c r="F9" s="125" t="n"/>
      <x:c r="G9" s="125" t="n"/>
      <x:c r="H9" s="125" t="n"/>
      <x:c r="I9" s="125" t="n"/>
      <x:c r="J9" s="126" t="n"/>
    </x:row>
    <x:row r="10">
      <x:c r="A10" s="329" t="inlineStr">
        <x:is>
          <x:t xml:space="preserve">角色</x:t>
        </x:is>
      </x:c>
      <x:c r="B10" s="329" t="n">
        <x:f>COUNTIF('资产主表'!$C$6:$C$423,A10)</x:f>
        <x:v>31</x:v>
      </x:c>
      <x:c r="C10" s="329" t="n">
        <x:f>SUMPRODUCT(('资产主表'!$C$6:$C$423=A10)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25</x:v>
      </x:c>
      <x:c r="D10" s="354" t="n"/>
      <x:c r="E10" s="330" t="inlineStr">
        <x:is>
          <x:t xml:space="preserve">1</x:t>
        </x:is>
      </x:c>
      <x:c r="F10" s="329" t="inlineStr">
        <x:is>
          <x:t xml:space="preserve">查逻辑 ID / 中文名 / 别名 / 文件哈希</x:t>
        </x:is>
      </x:c>
      <x:c r="G10" s="329" t="inlineStr">
        <x:is>
          <x:t xml:space="preserve">有同义资产则复用或建立变体父子关系</x:t>
        </x:is>
      </x:c>
      <x:c r="H10" s="354" t="n"/>
      <x:c r="I10" s="354" t="n"/>
      <x:c r="J10" s="354" t="n"/>
    </x:row>
    <x:row r="11">
      <x:c r="A11" s="331" t="inlineStr">
        <x:is>
          <x:t xml:space="preserve">敌人</x:t>
        </x:is>
      </x:c>
      <x:c r="B11" s="331" t="n">
        <x:f>COUNTIF('资产主表'!$C$6:$C$423,A11)</x:f>
        <x:v>12</x:v>
      </x:c>
      <x:c r="C11" s="331" t="n">
        <x:f>SUMPRODUCT(('资产主表'!$C$6:$C$423=A11)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1" s="354" t="n"/>
      <x:c r="E11" s="330" t="inlineStr">
        <x:is>
          <x:t xml:space="preserve">2</x:t>
        </x:is>
      </x:c>
      <x:c r="F11" s="331" t="inlineStr">
        <x:is>
          <x:t xml:space="preserve">在分类码表选择唯一大类与子类</x:t>
        </x:is>
      </x:c>
      <x:c r="G11" s="331" t="inlineStr">
        <x:is>
          <x:t xml:space="preserve">禁止同一资产跨目录复制</x:t>
        </x:is>
      </x:c>
      <x:c r="H11" s="354" t="n"/>
      <x:c r="I11" s="354" t="n"/>
      <x:c r="J11" s="354" t="n"/>
    </x:row>
    <x:row r="12">
      <x:c r="A12" s="331" t="inlineStr">
        <x:is>
          <x:t xml:space="preserve">武器</x:t>
        </x:is>
      </x:c>
      <x:c r="B12" s="331" t="n">
        <x:f>COUNTIF('资产主表'!$C$6:$C$423,A12)</x:f>
        <x:v>36</x:v>
      </x:c>
      <x:c r="C12" s="331" t="n">
        <x:f>SUMPRODUCT(('资产主表'!$C$6:$C$423=A12)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19</x:v>
      </x:c>
      <x:c r="D12" s="354" t="n"/>
      <x:c r="E12" s="330" t="inlineStr">
        <x:is>
          <x:t xml:space="preserve">3</x:t>
        </x:is>
      </x:c>
      <x:c r="F12" s="331" t="inlineStr">
        <x:is>
          <x:t xml:space="preserve">领取稳定 AssetID 与小写 snake_case 文件名</x:t>
        </x:is>
      </x:c>
      <x:c r="G12" s="331" t="inlineStr">
        <x:is>
          <x:t xml:space="preserve">版本只加 _v002，不改 AssetID</x:t>
        </x:is>
      </x:c>
      <x:c r="H12" s="354" t="n"/>
      <x:c r="I12" s="354" t="n"/>
      <x:c r="J12" s="354" t="n"/>
    </x:row>
    <x:row r="13">
      <x:c r="A13" s="331" t="inlineStr">
        <x:is>
          <x:t xml:space="preserve">道具</x:t>
        </x:is>
      </x:c>
      <x:c r="B13" s="331" t="n">
        <x:f>COUNTIF('资产主表'!$C$6:$C$423,A13)</x:f>
        <x:v>20</x:v>
      </x:c>
      <x:c r="C13" s="331" t="n">
        <x:f>SUMPRODUCT(('资产主表'!$C$6:$C$423=A13)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15</x:v>
      </x:c>
      <x:c r="D13" s="354" t="n"/>
      <x:c r="E13" s="330" t="inlineStr">
        <x:is>
          <x:t xml:space="preserve">4</x:t>
        </x:is>
      </x:c>
      <x:c r="F13" s="331" t="inlineStr">
        <x:is>
          <x:t xml:space="preserve">3D房间/家具/枪械/怪物/灯具先查共用根与尺寸类</x:t>
        </x:is>
      </x:c>
      <x:c r="G13" s="331" t="inlineStr">
        <x:is>
          <x:t xml:space="preserve">主题差异进入资源或配置，禁止复制关卡局部目录</x:t>
        </x:is>
      </x:c>
      <x:c r="H13" s="354" t="n"/>
      <x:c r="I13" s="354" t="n"/>
      <x:c r="J13" s="354" t="n"/>
    </x:row>
    <x:row r="14">
      <x:c r="A14" s="331" t="inlineStr">
        <x:is>
          <x:t xml:space="preserve">场景</x:t>
        </x:is>
      </x:c>
      <x:c r="B14" s="331" t="n">
        <x:f>COUNTIF('资产主表'!$C$6:$C$423,A14)</x:f>
        <x:v>95</x:v>
      </x:c>
      <x:c r="C14" s="331" t="n">
        <x:f>SUMPRODUCT(('资产主表'!$C$6:$C$423=A14)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39</x:v>
      </x:c>
      <x:c r="D14" s="354" t="n"/>
      <x:c r="E14" s="330" t="inlineStr">
        <x:is>
          <x:t xml:space="preserve">5</x:t>
        </x:is>
      </x:c>
      <x:c r="F14" s="331" t="inlineStr">
        <x:is>
          <x:t xml:space="preserve">游戏内表现、状态机、玩法逻辑、性能四项验收</x:t>
        </x:is>
      </x:c>
      <x:c r="G14" s="331" t="inlineStr">
        <x:is>
          <x:t xml:space="preserve">通过后填写路径、尺寸、哈希、日期</x:t>
        </x:is>
      </x:c>
      <x:c r="H14" s="354" t="n"/>
      <x:c r="I14" s="354" t="n"/>
      <x:c r="J14" s="354" t="n"/>
    </x:row>
    <x:row r="15">
      <x:c r="A15" s="331" t="inlineStr">
        <x:is>
          <x:t xml:space="preserve">场景道具</x:t>
        </x:is>
      </x:c>
      <x:c r="B15" s="331" t="n">
        <x:f>COUNTIF('资产主表'!$C$6:$C$423,A15)</x:f>
        <x:v>20</x:v>
      </x:c>
      <x:c r="C15" s="331" t="n">
        <x:f>SUMPRODUCT(('资产主表'!$C$6:$C$423=A15)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11</x:v>
      </x:c>
      <x:c r="D15" s="354" t="n"/>
      <x:c r="E15" s="354" t="n"/>
      <x:c r="F15" s="354" t="n"/>
      <x:c r="G15" s="354" t="n"/>
      <x:c r="H15" s="354" t="n"/>
      <x:c r="I15" s="354" t="n"/>
      <x:c r="J15" s="354" t="n"/>
    </x:row>
    <x:row r="16">
      <x:c r="A16" s="331" t="inlineStr">
        <x:is>
          <x:t xml:space="preserve">UI</x:t>
        </x:is>
      </x:c>
      <x:c r="B16" s="331" t="n">
        <x:f>COUNTIF('资产主表'!$C$6:$C$423,A16)</x:f>
        <x:v>17</x:v>
      </x:c>
      <x:c r="C16" s="331" t="n">
        <x:f>SUMPRODUCT(('资产主表'!$C$6:$C$423=A16)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6</x:v>
      </x:c>
      <x:c r="D16" s="354" t="n"/>
      <x:c r="E16" s="354" t="n"/>
      <x:c r="F16" s="354" t="n"/>
      <x:c r="G16" s="354" t="n"/>
      <x:c r="H16" s="354" t="n"/>
      <x:c r="I16" s="354" t="n"/>
      <x:c r="J16" s="354" t="n"/>
    </x:row>
    <x:row r="17">
      <x:c r="A17" s="331" t="inlineStr">
        <x:is>
          <x:t xml:space="preserve">特效</x:t>
        </x:is>
      </x:c>
      <x:c r="B17" s="331" t="n">
        <x:f>COUNTIF('资产主表'!$C$6:$C$423,A17)</x:f>
        <x:v>16</x:v>
      </x:c>
      <x:c r="C17" s="331" t="n">
        <x:f>SUMPRODUCT(('资产主表'!$C$6:$C$423=A17)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7" s="354" t="n"/>
      <x:c r="E17" s="354" t="n"/>
      <x:c r="F17" s="354" t="n"/>
      <x:c r="G17" s="354" t="n"/>
      <x:c r="H17" s="354" t="n"/>
      <x:c r="I17" s="354" t="n"/>
      <x:c r="J17" s="354" t="n"/>
    </x:row>
    <x:row r="18">
      <x:c r="A18" s="331" t="inlineStr">
        <x:is>
          <x:t xml:space="preserve">音频</x:t>
        </x:is>
      </x:c>
      <x:c r="B18" s="331" t="n">
        <x:f>COUNTIF('资产主表'!$C$6:$C$423,A18)</x:f>
        <x:v>57</x:v>
      </x:c>
      <x:c r="C18" s="331" t="n">
        <x:f>SUMPRODUCT(('资产主表'!$C$6:$C$423=A18)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44</x:v>
      </x:c>
      <x:c r="D18" s="354" t="n"/>
      <x:c r="E18" s="354" t="n"/>
      <x:c r="F18" s="354" t="n"/>
      <x:c r="G18" s="354" t="n"/>
      <x:c r="H18" s="354" t="n"/>
      <x:c r="I18" s="354" t="n"/>
      <x:c r="J18" s="354" t="n"/>
    </x:row>
    <x:row r="19">
      <x:c r="A19" s="354" t="n"/>
      <x:c r="B19" s="354" t="n"/>
      <x:c r="C19" s="354" t="n"/>
      <x:c r="D19" s="354" t="n"/>
      <x:c r="E19" s="354" t="n"/>
      <x:c r="F19" s="354" t="n"/>
      <x:c r="G19" s="354" t="n"/>
      <x:c r="H19" s="354" t="n"/>
      <x:c r="I19" s="354" t="n"/>
      <x:c r="J19" s="354" t="n"/>
    </x:row>
    <x:row r="20">
      <x:c r="A20" s="354" t="n"/>
      <x:c r="B20" s="354" t="n"/>
      <x:c r="C20" s="354" t="n"/>
      <x:c r="D20" s="354" t="n"/>
      <x:c r="E20" s="354" t="n"/>
      <x:c r="F20" s="354" t="n"/>
      <x:c r="G20" s="354" t="n"/>
      <x:c r="H20" s="354" t="n"/>
      <x:c r="I20" s="354" t="n"/>
      <x:c r="J20" s="354" t="n"/>
    </x:row>
  </x:sheetData>
  <x:mergeCells>
    <x:mergeCell ref="E9:J9"/>
    <x:mergeCell ref="A3:J3"/>
    <x:mergeCell ref="A1:J2"/>
    <x:mergeCell ref="I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18" customWidth="1"/>
    <x:col min="3" max="3" width="10" customWidth="1"/>
    <x:col min="4" max="4" width="18" customWidth="1"/>
    <x:col min="5" max="5" width="22" customWidth="1"/>
    <x:col min="6" max="6" width="12" customWidth="1"/>
    <x:col min="7" max="7" width="25" customWidth="1"/>
    <x:col min="8" max="8" width="19" customWidth="1"/>
    <x:col min="9" max="9" width="15" customWidth="1"/>
    <x:col min="10" max="10" width="18" customWidth="1"/>
    <x:col min="11" max="11" width="12" customWidth="1"/>
    <x:col min="12" max="12" width="8" customWidth="1"/>
    <x:col min="13" max="13" width="9" customWidth="1"/>
    <x:col min="14" max="14" width="16" customWidth="1"/>
    <x:col min="15" max="15" width="36" customWidth="1"/>
    <x:col min="16" max="16" width="34" customWidth="1"/>
    <x:col min="17" max="17" width="26" customWidth="1"/>
    <x:col min="18" max="18" width="42" customWidth="1"/>
    <x:col min="19" max="19" width="12" customWidth="1"/>
    <x:col min="20" max="20" width="30" customWidth="1"/>
    <x:col min="21" max="21" width="12" customWidth="1"/>
    <x:col min="22" max="22" width="13" customWidth="1"/>
    <x:col min="23" max="23" width="16" customWidth="1"/>
    <x:col min="24" max="24" width="52" customWidth="1"/>
  </x:cols>
  <x:sheetData>
    <x:row r="1" ht="25" customHeight="1">
      <x:c r="A1" s="296" t="inlineStr">
        <x:is>
          <x:t xml:space="preserve">资产主表 · 唯一登记源</x:t>
        </x:is>
      </x:c>
    </x:row>
    <x:row r="2" ht="12" customHeight="1"/>
    <x:row r="3" ht="23" customHeight="1">
      <x:c r="A3" s="297" t="inlineStr">
        <x:is>
          <x:t xml:space="preserve">查重键由公式生成；S 列出现“重复”时禁止制作，先合并或建立变体父子关系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  <x:c r="R4" s="349" t="n"/>
      <x:c r="S4" s="349" t="n"/>
      <x:c r="T4" s="349" t="n"/>
      <x:c r="U4" s="349" t="n"/>
      <x:c r="V4" s="349" t="n"/>
      <x:c r="W4" s="349" t="n"/>
      <x:c r="Y4" s="349" t="n"/>
    </x:row>
    <x:row r="5" ht="32" customHeight="1">
      <x:c r="A5" s="298" t="inlineStr">
        <x:is>
          <x:t xml:space="preserve">AssetID</x:t>
        </x:is>
      </x:c>
      <x:c r="B5" s="299" t="inlineStr">
        <x:is>
          <x:t xml:space="preserve">中文名</x:t>
        </x:is>
      </x:c>
      <x:c r="C5" s="299" t="inlineStr">
        <x:is>
          <x:t xml:space="preserve">大类</x:t>
        </x:is>
      </x:c>
      <x:c r="D5" s="299" t="inlineStr">
        <x:is>
          <x:t xml:space="preserve">子类</x:t>
        </x:is>
      </x:c>
      <x:c r="E5" s="299" t="inlineStr">
        <x:is>
          <x:t xml:space="preserve">逻辑ID/源键</x:t>
        </x:is>
      </x:c>
      <x:c r="F5" s="299" t="inlineStr">
        <x:is>
          <x:t xml:space="preserve">组件槽</x:t>
        </x:is>
      </x:c>
      <x:c r="G5" s="299" t="inlineStr">
        <x:is>
          <x:t xml:space="preserve">变体父ID</x:t>
        </x:is>
      </x:c>
      <x:c r="H5" s="299" t="inlineStr">
        <x:is>
          <x:t xml:space="preserve">视角</x:t>
        </x:is>
      </x:c>
      <x:c r="I5" s="299" t="inlineStr">
        <x:is>
          <x:t xml:space="preserve">状态/动画</x:t>
        </x:is>
      </x:c>
      <x:c r="J5" s="299" t="inlineStr">
        <x:is>
          <x:t xml:space="preserve">复用范围</x:t>
        </x:is>
      </x:c>
      <x:c r="K5" s="299" t="inlineStr">
        <x:is>
          <x:t xml:space="preserve">制作状态</x:t>
        </x:is>
      </x:c>
      <x:c r="L5" s="299" t="inlineStr">
        <x:is>
          <x:t xml:space="preserve">优先级</x:t>
        </x:is>
      </x:c>
      <x:c r="M5" s="299" t="inlineStr">
        <x:is>
          <x:t xml:space="preserve">版本</x:t>
        </x:is>
      </x:c>
      <x:c r="N5" s="299" t="inlineStr">
        <x:is>
          <x:t xml:space="preserve">规格(px)</x:t>
        </x:is>
      </x:c>
      <x:c r="O5" s="299" t="inlineStr">
        <x:is>
          <x:t xml:space="preserve">文件路径</x:t>
        </x:is>
      </x:c>
      <x:c r="P5" s="299" t="inlineStr">
        <x:is>
          <x:t xml:space="preserve">源码/策划依据</x:t>
        </x:is>
      </x:c>
      <x:c r="Q5" s="299" t="inlineStr">
        <x:is>
          <x:t xml:space="preserve">关键词/别名</x:t>
        </x:is>
      </x:c>
      <x:c r="R5" s="299" t="inlineStr">
        <x:is>
          <x:t xml:space="preserve">查重键</x:t>
        </x:is>
      </x:c>
      <x:c r="S5" s="299" t="inlineStr">
        <x:is>
          <x:t xml:space="preserve">查重结果</x:t>
        </x:is>
      </x:c>
      <x:c r="T5" s="299" t="inlineStr">
        <x:is>
          <x:t xml:space="preserve">SHA-256</x:t>
        </x:is>
      </x:c>
      <x:c r="U5" s="299" t="inlineStr">
        <x:is>
          <x:t xml:space="preserve">负责人</x:t>
        </x:is>
      </x:c>
      <x:c r="V5" s="299" t="inlineStr">
        <x:is>
          <x:t xml:space="preserve">更新时间</x:t>
        </x:is>
      </x:c>
      <x:c r="W5" s="299" t="inlineStr">
        <x:is>
          <x:t xml:space="preserve">来源/许可</x:t>
        </x:is>
      </x:c>
      <x:c r="X5" s="374" t="inlineStr">
        <x:is>
          <x:t xml:space="preserve">源编号（Blender collection）</x:t>
        </x:is>
      </x:c>
      <x:c r="Y5" s="300" t="inlineStr">
        <x:is>
          <x:t xml:space="preserve">备注</x:t>
        </x:is>
      </x:c>
    </x:row>
    <x:row r="6">
      <x:c r="A6" s="301" t="inlineStr">
        <x:is>
          <x:t xml:space="preserve">CHR-PLY-CAPSULE01</x:t>
        </x:is>
      </x:c>
      <x:c r="B6" s="301" t="inlineStr">
        <x:is>
          <x:t xml:space="preserve">胶囊防护体玩家</x:t>
        </x:is>
      </x:c>
      <x:c r="C6" s="301" t="inlineStr">
        <x:is>
          <x:t xml:space="preserve">角色</x:t>
        </x:is>
      </x:c>
      <x:c r="D6" s="301" t="inlineStr">
        <x:is>
          <x:t xml:space="preserve">player</x:t>
        </x:is>
      </x:c>
      <x:c r="E6" s="301" t="inlineStr">
        <x:is>
          <x:t xml:space="preserve">player_capsule01</x:t>
        </x:is>
      </x:c>
      <x:c r="F6" s="301" t="inlineStr">
        <x:is>
          <x:t xml:space="preserve">root</x:t>
        </x:is>
      </x:c>
      <x:c r="G6" s="301" t="str"/>
      <x:c r="H6" s="301" t="inlineStr">
        <x:is>
          <x:t xml:space="preserve">俯视3D</x:t>
        </x:is>
      </x:c>
      <x:c r="I6" s="301" t="inlineStr">
        <x:is>
          <x:t xml:space="preserve">default</x:t>
        </x:is>
      </x:c>
      <x:c r="J6" s="301" t="inlineStr">
        <x:is>
          <x:t xml:space="preserve">正式3D玩家</x:t>
        </x:is>
      </x:c>
      <x:c r="K6" s="301" t="inlineStr">
        <x:is>
          <x:t xml:space="preserve">原型已接入</x:t>
        </x:is>
      </x:c>
      <x:c r="L6" s="301" t="inlineStr">
        <x:is>
          <x:t xml:space="preserve">P0</x:t>
        </x:is>
      </x:c>
      <x:c r="M6" s="301" t="inlineStr">
        <x:is>
          <x:t xml:space="preserve">v021</x:t>
        </x:is>
      </x:c>
      <x:c r="N6" s="301" t="inlineStr">
        <x:is>
          <x:t xml:space="preserve">可见边界0.724×1.050×0.452m（含耳）；Player3D 碰撞胶囊高1.5m、半径0.34m</x:t>
        </x:is>
      </x:c>
      <x:c r="O6" s="301" t="inlineStr">
        <x:is>
          <x:t xml:space="preserve">assets/art/characters/player/chr_player_capsule01_3d/variants/bunny01/production/v021/runtime/chr_bunny01_root_v021.tscn</x:t>
        </x:is>
      </x:c>
      <x:c r="P6" s="301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6" s="301" t="inlineStr">
        <x:is>
          <x:t xml:space="preserve">玩家; 胶囊体; 防护服; 主角</x:t>
        </x:is>
      </x:c>
      <x:c r="R6" s="301" t="str">
        <x:f>LOWER(TRIM(C6)&amp;"|"&amp;TRIM(D6)&amp;"|"&amp;TRIM(E6)&amp;"|"&amp;TRIM(F6)&amp;"|"&amp;TRIM(H6)&amp;"|"&amp;TRIM(I6))</x:f>
        <x:v>角色|player|player_capsule01|root|俯视3d|default</x:v>
      </x:c>
      <x:c r="S6" s="301" t="str">
        <x:f>IF(COUNTIF($R$6:$R$423,R6)&gt;1,"重复","唯一")</x:f>
        <x:v>唯一</x:v>
      </x:c>
      <x:c r="T6" s="301" t="inlineStr">
        <x:is>
          <x:t xml:space="preserve">e9cac2738d9fa586eed9f2e97a93ff220cab52b60d89f53f4cd80e38ebc9b6c4</x:t>
        </x:is>
      </x:c>
      <x:c r="U6" s="301" t="inlineStr">
        <x:is>
          <x:t xml:space="preserve">待分配</x:t>
        </x:is>
      </x:c>
      <x:c r="V6" s="302" t="n">
        <x:v>46264</x:v>
      </x:c>
      <x:c r="W6" s="301" t="inlineStr">
        <x:is>
          <x:t xml:space="preserve">稳定玩法根 AssetID</x:t>
        </x:is>
      </x:c>
      <x:c r="X6" s="375" t="inlineStr">
        <x:is>
          <x:t xml:space="preserve">—</x:t>
        </x:is>
      </x:c>
      <x:c r="Y6" s="301" t="inlineStr">
        <x:is>
          <x:t xml:space="preserve">2026-08-09：旧2D胶囊表现已退役并删除；正式表现使用 CHR-PLY-CAPSULE01-3D-BUNNY01 v008。
2026-08-30 AST-02：补齐单一生产路径SHA；验收：verify_player3d_avatar_bounds；SHA 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7">
      <x:c r="A7" s="138" t="inlineStr">
        <x:is>
          <x:t xml:space="preserve">CHR-PLY-CAPSULE01-HEAD-SIDE</x:t>
        </x:is>
      </x:c>
      <x:c r="B7" s="138" t="inlineStr">
        <x:is>
          <x:t xml:space="preserve">胶囊头壳</x:t>
        </x:is>
      </x:c>
      <x:c r="C7" s="138" t="inlineStr">
        <x:is>
          <x:t xml:space="preserve">角色</x:t>
        </x:is>
      </x:c>
      <x:c r="D7" s="138" t="inlineStr">
        <x:is>
          <x:t xml:space="preserve">player_component</x:t>
        </x:is>
      </x:c>
      <x:c r="E7" s="138" t="inlineStr">
        <x:is>
          <x:t xml:space="preserve">player_capsule01</x:t>
        </x:is>
      </x:c>
      <x:c r="F7" s="138" t="inlineStr">
        <x:is>
          <x:t xml:space="preserve">head</x:t>
        </x:is>
      </x:c>
      <x:c r="G7" s="138" t="inlineStr">
        <x:is>
          <x:t xml:space="preserve">CHR-PLY-CAPSULE01</x:t>
        </x:is>
      </x:c>
      <x:c r="H7" s="138" t="inlineStr">
        <x:is>
          <x:t xml:space="preserve">侧面朝右（可水平翻转）</x:t>
        </x:is>
      </x:c>
      <x:c r="I7" s="138" t="inlineStr">
        <x:is>
          <x:t xml:space="preserve">deprecated</x:t>
        </x:is>
      </x:c>
      <x:c r="J7" s="138" t="inlineStr">
        <x:is>
          <x:t xml:space="preserve">单资产</x:t>
        </x:is>
      </x:c>
      <x:c r="K7" s="138" t="inlineStr">
        <x:is>
          <x:t xml:space="preserve">弃用</x:t>
        </x:is>
      </x:c>
      <x:c r="L7" s="138" t="inlineStr">
        <x:is>
          <x:t xml:space="preserve">P0</x:t>
        </x:is>
      </x:c>
      <x:c r="M7" s="138" t="inlineStr">
        <x:is>
          <x:t xml:space="preserve">v001</x:t>
        </x:is>
      </x:c>
      <x:c r="N7" s="138" t="inlineStr">
        <x:is>
          <x:t xml:space="preserve">28×24 px</x:t>
        </x:is>
      </x:c>
      <x:c r="O7" s="138" t="n"/>
      <x:c r="P7" s="138" t="n"/>
      <x:c r="Q7" s="138" t="inlineStr">
        <x:is>
          <x:t xml:space="preserve">头; 头盔; 传感器</x:t>
        </x:is>
      </x:c>
      <x:c r="R7" s="138" t="str">
        <x:f>LOWER(TRIM(C7)&amp;"|"&amp;TRIM(D7)&amp;"|"&amp;TRIM(E7)&amp;"|"&amp;TRIM(F7)&amp;"|"&amp;TRIM(H7)&amp;"|"&amp;TRIM(I7))</x:f>
        <x:v>角色|player_component|player_capsule01|head|侧面朝右（可水平翻转）|deprecated</x:v>
      </x:c>
      <x:c r="S7" s="138" t="str">
        <x:f>IF(COUNTIF($R$6:$R$423,R7)&gt;1,"重复","唯一")</x:f>
        <x:v>唯一</x:v>
      </x:c>
      <x:c r="T7" s="138" t="inlineStr">
        <x:is>
          <x:t xml:space="preserve">6035db0c8d1824ee0d0f12c0bcf7d5ebced8e37666541b7c31000ff7bad2f905</x:t>
        </x:is>
      </x:c>
      <x:c r="U7" s="138" t="inlineStr">
        <x:is>
          <x:t xml:space="preserve">待分配</x:t>
        </x:is>
      </x:c>
      <x:c r="V7" s="303" t="n">
        <x:v>46243</x:v>
      </x:c>
      <x:c r="W7" s="138" t="inlineStr">
        <x:is>
          <x:t xml:space="preserve">原创/待确认</x:t>
        </x:is>
      </x:c>
      <x:c r="X7" s="375" t="inlineStr">
        <x:is>
          <x:t xml:space="preserve">—</x:t>
        </x:is>
      </x:c>
      <x:c r="Y7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8">
      <x:c r="A8" s="138" t="inlineStr">
        <x:is>
          <x:t xml:space="preserve">CHR-PLY-CAPSULE01-BODY-SIDE</x:t>
        </x:is>
      </x:c>
      <x:c r="B8" s="138" t="inlineStr">
        <x:is>
          <x:t xml:space="preserve">胶囊防护服躯干</x:t>
        </x:is>
      </x:c>
      <x:c r="C8" s="138" t="inlineStr">
        <x:is>
          <x:t xml:space="preserve">角色</x:t>
        </x:is>
      </x:c>
      <x:c r="D8" s="138" t="inlineStr">
        <x:is>
          <x:t xml:space="preserve">player_component</x:t>
        </x:is>
      </x:c>
      <x:c r="E8" s="138" t="inlineStr">
        <x:is>
          <x:t xml:space="preserve">player_capsule01</x:t>
        </x:is>
      </x:c>
      <x:c r="F8" s="138" t="inlineStr">
        <x:is>
          <x:t xml:space="preserve">body</x:t>
        </x:is>
      </x:c>
      <x:c r="G8" s="138" t="inlineStr">
        <x:is>
          <x:t xml:space="preserve">CHR-PLY-CAPSULE01</x:t>
        </x:is>
      </x:c>
      <x:c r="H8" s="138" t="inlineStr">
        <x:is>
          <x:t xml:space="preserve">侧面朝右（可水平翻转）</x:t>
        </x:is>
      </x:c>
      <x:c r="I8" s="138" t="inlineStr">
        <x:is>
          <x:t xml:space="preserve">deprecated</x:t>
        </x:is>
      </x:c>
      <x:c r="J8" s="138" t="inlineStr">
        <x:is>
          <x:t xml:space="preserve">单资产</x:t>
        </x:is>
      </x:c>
      <x:c r="K8" s="138" t="inlineStr">
        <x:is>
          <x:t xml:space="preserve">弃用</x:t>
        </x:is>
      </x:c>
      <x:c r="L8" s="138" t="inlineStr">
        <x:is>
          <x:t xml:space="preserve">P0</x:t>
        </x:is>
      </x:c>
      <x:c r="M8" s="138" t="inlineStr">
        <x:is>
          <x:t xml:space="preserve">v001</x:t>
        </x:is>
      </x:c>
      <x:c r="N8" s="138" t="inlineStr">
        <x:is>
          <x:t xml:space="preserve">32×35 px</x:t>
        </x:is>
      </x:c>
      <x:c r="O8" s="138" t="n"/>
      <x:c r="P8" s="138" t="n"/>
      <x:c r="Q8" s="138" t="inlineStr">
        <x:is>
          <x:t xml:space="preserve">身子; 躯干; 防护服</x:t>
        </x:is>
      </x:c>
      <x:c r="R8" s="138" t="str">
        <x:f>LOWER(TRIM(C8)&amp;"|"&amp;TRIM(D8)&amp;"|"&amp;TRIM(E8)&amp;"|"&amp;TRIM(F8)&amp;"|"&amp;TRIM(H8)&amp;"|"&amp;TRIM(I8))</x:f>
        <x:v>角色|player_component|player_capsule01|body|侧面朝右（可水平翻转）|deprecated</x:v>
      </x:c>
      <x:c r="S8" s="138" t="str">
        <x:f>IF(COUNTIF($R$6:$R$423,R8)&gt;1,"重复","唯一")</x:f>
        <x:v>唯一</x:v>
      </x:c>
      <x:c r="T8" s="138" t="inlineStr">
        <x:is>
          <x:t xml:space="preserve">653190cbcd99aaa10735842e4ee694c61e3c04b2d6aee7acfc3b03e0c7a65d6e</x:t>
        </x:is>
      </x:c>
      <x:c r="U8" s="138" t="inlineStr">
        <x:is>
          <x:t xml:space="preserve">待分配</x:t>
        </x:is>
      </x:c>
      <x:c r="V8" s="303" t="n">
        <x:v>46243</x:v>
      </x:c>
      <x:c r="W8" s="138" t="inlineStr">
        <x:is>
          <x:t xml:space="preserve">原创/待确认</x:t>
        </x:is>
      </x:c>
      <x:c r="X8" s="375" t="inlineStr">
        <x:is>
          <x:t xml:space="preserve">—</x:t>
        </x:is>
      </x:c>
      <x:c r="Y8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9">
      <x:c r="A9" s="138" t="inlineStr">
        <x:is>
          <x:t xml:space="preserve">CHR-PLY-CAPSULE01-HAND-L-SIDE</x:t>
        </x:is>
      </x:c>
      <x:c r="B9" s="138" t="inlineStr">
        <x:is>
          <x:t xml:space="preserve">左悬浮手（停用）</x:t>
        </x:is>
      </x:c>
      <x:c r="C9" s="138" t="inlineStr">
        <x:is>
          <x:t xml:space="preserve">角色</x:t>
        </x:is>
      </x:c>
      <x:c r="D9" s="138" t="inlineStr">
        <x:is>
          <x:t xml:space="preserve">player_component</x:t>
        </x:is>
      </x:c>
      <x:c r="E9" s="138" t="inlineStr">
        <x:is>
          <x:t xml:space="preserve">player_capsule01</x:t>
        </x:is>
      </x:c>
      <x:c r="F9" s="138" t="inlineStr">
        <x:is>
          <x:t xml:space="preserve">hand_l_source</x:t>
        </x:is>
      </x:c>
      <x:c r="G9" s="138" t="inlineStr">
        <x:is>
          <x:t xml:space="preserve">CHR-PLY-CAPSULE01</x:t>
        </x:is>
      </x:c>
      <x:c r="H9" s="138" t="inlineStr">
        <x:is>
          <x:t xml:space="preserve">侧面朝右（可水平翻转）</x:t>
        </x:is>
      </x:c>
      <x:c r="I9" s="138" t="inlineStr">
        <x:is>
          <x:t xml:space="preserve">deprecated</x:t>
        </x:is>
      </x:c>
      <x:c r="J9" s="138" t="inlineStr">
        <x:is>
          <x:t xml:space="preserve">单资产</x:t>
        </x:is>
      </x:c>
      <x:c r="K9" s="138" t="inlineStr">
        <x:is>
          <x:t xml:space="preserve">弃用</x:t>
        </x:is>
      </x:c>
      <x:c r="L9" s="138" t="inlineStr">
        <x:is>
          <x:t xml:space="preserve">P0</x:t>
        </x:is>
      </x:c>
      <x:c r="M9" s="138" t="inlineStr">
        <x:is>
          <x:t xml:space="preserve">v001</x:t>
        </x:is>
      </x:c>
      <x:c r="N9" s="138" t="inlineStr">
        <x:is>
          <x:t xml:space="preserve">22×21 px</x:t>
        </x:is>
      </x:c>
      <x:c r="O9" s="138" t="n"/>
      <x:c r="P9" s="138" t="n"/>
      <x:c r="Q9" s="138" t="inlineStr">
        <x:is>
          <x:t xml:space="preserve">左手; 辅助手</x:t>
        </x:is>
      </x:c>
      <x:c r="R9" s="138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138" t="str">
        <x:f>IF(COUNTIF($R$6:$R$423,R9)&gt;1,"重复","唯一")</x:f>
        <x:v>唯一</x:v>
      </x:c>
      <x:c r="T9" s="138" t="inlineStr">
        <x:is>
          <x:t xml:space="preserve">6270855f57a22aa2c1bc156b4fb85c98d8cc1b3978cd19082a0874e3d901c7c9</x:t>
        </x:is>
      </x:c>
      <x:c r="U9" s="138" t="inlineStr">
        <x:is>
          <x:t xml:space="preserve">待分配</x:t>
        </x:is>
      </x:c>
      <x:c r="V9" s="303" t="n">
        <x:v>46243</x:v>
      </x:c>
      <x:c r="W9" s="138" t="inlineStr">
        <x:is>
          <x:t xml:space="preserve">原创/待确认</x:t>
        </x:is>
      </x:c>
      <x:c r="X9" s="375" t="inlineStr">
        <x:is>
          <x:t xml:space="preserve">—</x:t>
        </x:is>
      </x:c>
      <x:c r="Y9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0">
      <x:c r="A10" s="138" t="inlineStr">
        <x:is>
          <x:t xml:space="preserve">CHR-PLY-CAPSULE01-HAND-R-SIDE</x:t>
        </x:is>
      </x:c>
      <x:c r="B10" s="138" t="inlineStr">
        <x:is>
          <x:t xml:space="preserve">唯一镜像握持手</x:t>
        </x:is>
      </x:c>
      <x:c r="C10" s="138" t="inlineStr">
        <x:is>
          <x:t xml:space="preserve">角色</x:t>
        </x:is>
      </x:c>
      <x:c r="D10" s="138" t="inlineStr">
        <x:is>
          <x:t xml:space="preserve">player_component</x:t>
        </x:is>
      </x:c>
      <x:c r="E10" s="138" t="inlineStr">
        <x:is>
          <x:t xml:space="preserve">player_capsule01</x:t>
        </x:is>
      </x:c>
      <x:c r="F10" s="138" t="inlineStr">
        <x:is>
          <x:t xml:space="preserve">hand</x:t>
        </x:is>
      </x:c>
      <x:c r="G10" s="138" t="inlineStr">
        <x:is>
          <x:t xml:space="preserve">CHR-PLY-CAPSULE01</x:t>
        </x:is>
      </x:c>
      <x:c r="H10" s="138" t="inlineStr">
        <x:is>
          <x:t xml:space="preserve">侧面朝右（可水平翻转）</x:t>
        </x:is>
      </x:c>
      <x:c r="I10" s="138" t="inlineStr">
        <x:is>
          <x:t xml:space="preserve">deprecated</x:t>
        </x:is>
      </x:c>
      <x:c r="J10" s="138" t="inlineStr">
        <x:is>
          <x:t xml:space="preserve">单资产</x:t>
        </x:is>
      </x:c>
      <x:c r="K10" s="138" t="inlineStr">
        <x:is>
          <x:t xml:space="preserve">弃用</x:t>
        </x:is>
      </x:c>
      <x:c r="L10" s="138" t="inlineStr">
        <x:is>
          <x:t xml:space="preserve">P0</x:t>
        </x:is>
      </x:c>
      <x:c r="M10" s="138" t="inlineStr">
        <x:is>
          <x:t xml:space="preserve">v001</x:t>
        </x:is>
      </x:c>
      <x:c r="N10" s="138" t="inlineStr">
        <x:is>
          <x:t xml:space="preserve">22×17 px</x:t>
        </x:is>
      </x:c>
      <x:c r="O10" s="138" t="n"/>
      <x:c r="P10" s="138" t="n"/>
      <x:c r="Q10" s="138" t="inlineStr">
        <x:is>
          <x:t xml:space="preserve">右手; 主手; 枪手; 镜像握持</x:t>
        </x:is>
      </x:c>
      <x:c r="R10" s="138" t="str">
        <x:f>LOWER(TRIM(C10)&amp;"|"&amp;TRIM(D10)&amp;"|"&amp;TRIM(E10)&amp;"|"&amp;TRIM(F10)&amp;"|"&amp;TRIM(H10)&amp;"|"&amp;TRIM(I10))</x:f>
        <x:v>角色|player_component|player_capsule01|hand|侧面朝右（可水平翻转）|deprecated</x:v>
      </x:c>
      <x:c r="S10" s="138" t="str">
        <x:f>IF(COUNTIF($R$6:$R$423,R10)&gt;1,"重复","唯一")</x:f>
        <x:v>唯一</x:v>
      </x:c>
      <x:c r="T10" s="138" t="inlineStr">
        <x:is>
          <x:t xml:space="preserve">69c2529cbd277ed337ce3b0a02a1994a2b470c99e545fad297e314a60485cfdf</x:t>
        </x:is>
      </x:c>
      <x:c r="U10" s="138" t="inlineStr">
        <x:is>
          <x:t xml:space="preserve">待分配</x:t>
        </x:is>
      </x:c>
      <x:c r="V10" s="303" t="n">
        <x:v>46243</x:v>
      </x:c>
      <x:c r="W10" s="138" t="inlineStr">
        <x:is>
          <x:t xml:space="preserve">原创/待确认</x:t>
        </x:is>
      </x:c>
      <x:c r="X10" s="375" t="inlineStr">
        <x:is>
          <x:t xml:space="preserve">—</x:t>
        </x:is>
      </x:c>
      <x:c r="Y10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1">
      <x:c r="A11" s="138" t="inlineStr">
        <x:is>
          <x:t xml:space="preserve">CHR-PLY-CAPSULE01-SCARF-SIDE</x:t>
        </x:is>
      </x:c>
      <x:c r="B11" s="138" t="inlineStr">
        <x:is>
          <x:t xml:space="preserve">红色安全围巾</x:t>
        </x:is>
      </x:c>
      <x:c r="C11" s="138" t="inlineStr">
        <x:is>
          <x:t xml:space="preserve">角色</x:t>
        </x:is>
      </x:c>
      <x:c r="D11" s="138" t="inlineStr">
        <x:is>
          <x:t xml:space="preserve">player_accessory</x:t>
        </x:is>
      </x:c>
      <x:c r="E11" s="138" t="inlineStr">
        <x:is>
          <x:t xml:space="preserve">player_capsule01</x:t>
        </x:is>
      </x:c>
      <x:c r="F11" s="138" t="inlineStr">
        <x:is>
          <x:t xml:space="preserve">scarf</x:t>
        </x:is>
      </x:c>
      <x:c r="G11" s="138" t="inlineStr">
        <x:is>
          <x:t xml:space="preserve">CHR-PLY-CAPSULE01</x:t>
        </x:is>
      </x:c>
      <x:c r="H11" s="138" t="inlineStr">
        <x:is>
          <x:t xml:space="preserve">侧面朝右（可水平翻转）</x:t>
        </x:is>
      </x:c>
      <x:c r="I11" s="138" t="inlineStr">
        <x:is>
          <x:t xml:space="preserve">deprecated</x:t>
        </x:is>
      </x:c>
      <x:c r="J11" s="138" t="inlineStr">
        <x:is>
          <x:t xml:space="preserve">单资产</x:t>
        </x:is>
      </x:c>
      <x:c r="K11" s="138" t="inlineStr">
        <x:is>
          <x:t xml:space="preserve">弃用</x:t>
        </x:is>
      </x:c>
      <x:c r="L11" s="138" t="inlineStr">
        <x:is>
          <x:t xml:space="preserve">P0</x:t>
        </x:is>
      </x:c>
      <x:c r="M11" s="138" t="inlineStr">
        <x:is>
          <x:t xml:space="preserve">v001</x:t>
        </x:is>
      </x:c>
      <x:c r="N11" s="138" t="inlineStr">
        <x:is>
          <x:t xml:space="preserve">26×14 px</x:t>
        </x:is>
      </x:c>
      <x:c r="O11" s="138" t="n"/>
      <x:c r="P11" s="138" t="n"/>
      <x:c r="Q11" s="138" t="inlineStr">
        <x:is>
          <x:t xml:space="preserve">红围巾; 牛仔围巾; 识别色</x:t>
        </x:is>
      </x:c>
      <x:c r="R11" s="138" t="str">
        <x:f>LOWER(TRIM(C11)&amp;"|"&amp;TRIM(D11)&amp;"|"&amp;TRIM(E11)&amp;"|"&amp;TRIM(F11)&amp;"|"&amp;TRIM(H11)&amp;"|"&amp;TRIM(I11))</x:f>
        <x:v>角色|player_accessory|player_capsule01|scarf|侧面朝右（可水平翻转）|deprecated</x:v>
      </x:c>
      <x:c r="S11" s="138" t="str">
        <x:f>IF(COUNTIF($R$6:$R$423,R11)&gt;1,"重复","唯一")</x:f>
        <x:v>唯一</x:v>
      </x:c>
      <x:c r="T11" s="138" t="inlineStr">
        <x:is>
          <x:t xml:space="preserve">d3a7b1bb5e2ac0ef0c2129854ce59e91d7503a88e478326e1bd3b918a74fc079</x:t>
        </x:is>
      </x:c>
      <x:c r="U11" s="138" t="inlineStr">
        <x:is>
          <x:t xml:space="preserve">待分配</x:t>
        </x:is>
      </x:c>
      <x:c r="V11" s="303" t="n">
        <x:v>46243</x:v>
      </x:c>
      <x:c r="W11" s="138" t="inlineStr">
        <x:is>
          <x:t xml:space="preserve">原创/待确认</x:t>
        </x:is>
      </x:c>
      <x:c r="X11" s="375" t="inlineStr">
        <x:is>
          <x:t xml:space="preserve">—</x:t>
        </x:is>
      </x:c>
      <x:c r="Y11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2">
      <x:c r="A12" s="138" t="inlineStr">
        <x:is>
          <x:t xml:space="preserve">CHR-PLY-CAPSULE01-PREVIEW-STATES</x:t>
        </x:is>
      </x:c>
      <x:c r="B12" s="138" t="inlineStr">
        <x:is>
          <x:t xml:space="preserve">玩家六态验收预览</x:t>
        </x:is>
      </x:c>
      <x:c r="C12" s="138" t="inlineStr">
        <x:is>
          <x:t xml:space="preserve">角色</x:t>
        </x:is>
      </x:c>
      <x:c r="D12" s="138" t="inlineStr">
        <x:is>
          <x:t xml:space="preserve">review_board</x:t>
        </x:is>
      </x:c>
      <x:c r="E12" s="138" t="inlineStr">
        <x:is>
          <x:t xml:space="preserve">player_capsule01</x:t>
        </x:is>
      </x:c>
      <x:c r="F12" s="138" t="inlineStr">
        <x:is>
          <x:t xml:space="preserve">preview</x:t>
        </x:is>
      </x:c>
      <x:c r="G12" s="138" t="inlineStr">
        <x:is>
          <x:t xml:space="preserve">CHR-PLY-CAPSULE01</x:t>
        </x:is>
      </x:c>
      <x:c r="H12" s="138" t="inlineStr">
        <x:is>
          <x:t xml:space="preserve">侧面朝右（可水平翻转）</x:t>
        </x:is>
      </x:c>
      <x:c r="I12" s="138" t="inlineStr">
        <x:is>
          <x:t xml:space="preserve">deprecated</x:t>
        </x:is>
      </x:c>
      <x:c r="J12" s="138" t="inlineStr">
        <x:is>
          <x:t xml:space="preserve">评审/回归</x:t>
        </x:is>
      </x:c>
      <x:c r="K12" s="138" t="inlineStr">
        <x:is>
          <x:t xml:space="preserve">弃用</x:t>
        </x:is>
      </x:c>
      <x:c r="L12" s="138" t="inlineStr">
        <x:is>
          <x:t xml:space="preserve">P0</x:t>
        </x:is>
      </x:c>
      <x:c r="M12" s="138" t="inlineStr">
        <x:is>
          <x:t xml:space="preserve">v001</x:t>
        </x:is>
      </x:c>
      <x:c r="N12" s="138" t="inlineStr">
        <x:is>
          <x:t xml:space="preserve">1280×720 px</x:t>
        </x:is>
      </x:c>
      <x:c r="O12" s="138" t="n"/>
      <x:c r="P12" s="138" t="n"/>
      <x:c r="Q12" s="138" t="inlineStr">
        <x:is>
          <x:t xml:space="preserve">六态; 验收板</x:t>
        </x:is>
      </x:c>
      <x:c r="R12" s="138" t="str">
        <x:f>LOWER(TRIM(C12)&amp;"|"&amp;TRIM(D12)&amp;"|"&amp;TRIM(E12)&amp;"|"&amp;TRIM(F12)&amp;"|"&amp;TRIM(H12)&amp;"|"&amp;TRIM(I12))</x:f>
        <x:v>角色|review_board|player_capsule01|preview|侧面朝右（可水平翻转）|deprecated</x:v>
      </x:c>
      <x:c r="S12" s="138" t="str">
        <x:f>IF(COUNTIF($R$6:$R$423,R12)&gt;1,"重复","唯一")</x:f>
        <x:v>唯一</x:v>
      </x:c>
      <x:c r="T12" s="138" t="str"/>
      <x:c r="U12" s="138" t="inlineStr">
        <x:is>
          <x:t xml:space="preserve">待分配</x:t>
        </x:is>
      </x:c>
      <x:c r="V12" s="303" t="n">
        <x:v>46243</x:v>
      </x:c>
      <x:c r="W12" s="138" t="inlineStr">
        <x:is>
          <x:t xml:space="preserve">原创/待确认</x:t>
        </x:is>
      </x:c>
      <x:c r="X12" s="375" t="inlineStr">
        <x:is>
          <x:t xml:space="preserve">—</x:t>
        </x:is>
      </x:c>
      <x:c r="Y12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3">
      <x:c r="A13" s="138" t="inlineStr">
        <x:is>
          <x:t xml:space="preserve">VFX-PLY-DASH-TRAIL</x:t>
        </x:is>
      </x:c>
      <x:c r="B13" s="138" t="inlineStr">
        <x:is>
          <x:t xml:space="preserve">玩家冲刺尾迹</x:t>
        </x:is>
      </x:c>
      <x:c r="C13" s="138" t="inlineStr">
        <x:is>
          <x:t xml:space="preserve">特效</x:t>
        </x:is>
      </x:c>
      <x:c r="D13" s="138" t="inlineStr">
        <x:is>
          <x:t xml:space="preserve">player_state</x:t>
        </x:is>
      </x:c>
      <x:c r="E13" s="138" t="inlineStr">
        <x:is>
          <x:t xml:space="preserve">player_dash</x:t>
        </x:is>
      </x:c>
      <x:c r="F13" s="138" t="inlineStr">
        <x:is>
          <x:t xml:space="preserve">root</x:t>
        </x:is>
      </x:c>
      <x:c r="G13" s="138" t="str"/>
      <x:c r="H13" s="138" t="inlineStr">
        <x:is>
          <x:t xml:space="preserve">侧面朝右（可水平翻转）</x:t>
        </x:is>
      </x:c>
      <x:c r="I13" s="138" t="inlineStr">
        <x:is>
          <x:t xml:space="preserve">dashing</x:t>
        </x:is>
      </x:c>
      <x:c r="J13" s="138" t="inlineStr">
        <x:is>
          <x:t xml:space="preserve">玩家状态</x:t>
        </x:is>
      </x:c>
      <x:c r="K13" s="138" t="inlineStr">
        <x:is>
          <x:t xml:space="preserve">弃用</x:t>
        </x:is>
      </x:c>
      <x:c r="L13" s="138" t="inlineStr">
        <x:is>
          <x:t xml:space="preserve">P1</x:t>
        </x:is>
      </x:c>
      <x:c r="M13" s="138" t="inlineStr">
        <x:is>
          <x:t xml:space="preserve">v001</x:t>
        </x:is>
      </x:c>
      <x:c r="N13" s="138" t="inlineStr">
        <x:is>
          <x:t xml:space="preserve">待定</x:t>
        </x:is>
      </x:c>
      <x:c r="O13" s="138" t="str"/>
      <x:c r="P13" s="138" t="n"/>
      <x:c r="Q13" s="138" t="str"/>
      <x:c r="R13" s="138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138" t="str">
        <x:f>IF(COUNTIF($R$6:$R$423,R13)&gt;1,"重复","唯一")</x:f>
        <x:v>唯一</x:v>
      </x:c>
      <x:c r="T13" s="138" t="str"/>
      <x:c r="U13" s="138" t="inlineStr">
        <x:is>
          <x:t xml:space="preserve">待分配</x:t>
        </x:is>
      </x:c>
      <x:c r="V13" s="303" t="n">
        <x:v>46243</x:v>
      </x:c>
      <x:c r="W13" s="138" t="inlineStr">
        <x:is>
          <x:t xml:space="preserve">原创/待确认</x:t>
        </x:is>
      </x:c>
      <x:c r="X13" s="375" t="inlineStr">
        <x:is>
          <x:t xml:space="preserve">—</x:t>
        </x:is>
      </x:c>
      <x:c r="Y13" s="138" t="inlineStr">
        <x:is>
          <x:t xml:space="preserve">2026-08-09：旧2D PlayerAvatarRenderer专用表现已删除；当前3D状态表现由 PlayerAvatar3D / WeaponModel3D 持有。</x:t>
        </x:is>
      </x:c>
    </x:row>
    <x:row r="14">
      <x:c r="A14" s="138" t="inlineStr">
        <x:is>
          <x:t xml:space="preserve">VFX-PLY-HURT-FLASH</x:t>
        </x:is>
      </x:c>
      <x:c r="B14" s="138" t="inlineStr">
        <x:is>
          <x:t xml:space="preserve">玩家受击闪光</x:t>
        </x:is>
      </x:c>
      <x:c r="C14" s="138" t="inlineStr">
        <x:is>
          <x:t xml:space="preserve">特效</x:t>
        </x:is>
      </x:c>
      <x:c r="D14" s="138" t="inlineStr">
        <x:is>
          <x:t xml:space="preserve">player_state</x:t>
        </x:is>
      </x:c>
      <x:c r="E14" s="138" t="inlineStr">
        <x:is>
          <x:t xml:space="preserve">player_hurt</x:t>
        </x:is>
      </x:c>
      <x:c r="F14" s="138" t="inlineStr">
        <x:is>
          <x:t xml:space="preserve">root</x:t>
        </x:is>
      </x:c>
      <x:c r="G14" s="138" t="str"/>
      <x:c r="H14" s="138" t="inlineStr">
        <x:is>
          <x:t xml:space="preserve">侧面朝右（可水平翻转）</x:t>
        </x:is>
      </x:c>
      <x:c r="I14" s="138" t="inlineStr">
        <x:is>
          <x:t xml:space="preserve">hurt</x:t>
        </x:is>
      </x:c>
      <x:c r="J14" s="138" t="inlineStr">
        <x:is>
          <x:t xml:space="preserve">玩家状态</x:t>
        </x:is>
      </x:c>
      <x:c r="K14" s="138" t="inlineStr">
        <x:is>
          <x:t xml:space="preserve">弃用</x:t>
        </x:is>
      </x:c>
      <x:c r="L14" s="138" t="inlineStr">
        <x:is>
          <x:t xml:space="preserve">P1</x:t>
        </x:is>
      </x:c>
      <x:c r="M14" s="138" t="inlineStr">
        <x:is>
          <x:t xml:space="preserve">v001</x:t>
        </x:is>
      </x:c>
      <x:c r="N14" s="138" t="inlineStr">
        <x:is>
          <x:t xml:space="preserve">待定</x:t>
        </x:is>
      </x:c>
      <x:c r="O14" s="138" t="str"/>
      <x:c r="P14" s="138" t="n"/>
      <x:c r="Q14" s="138" t="str"/>
      <x:c r="R14" s="138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138" t="str">
        <x:f>IF(COUNTIF($R$6:$R$423,R14)&gt;1,"重复","唯一")</x:f>
        <x:v>唯一</x:v>
      </x:c>
      <x:c r="T14" s="138" t="str"/>
      <x:c r="U14" s="138" t="inlineStr">
        <x:is>
          <x:t xml:space="preserve">待分配</x:t>
        </x:is>
      </x:c>
      <x:c r="V14" s="303" t="n">
        <x:v>46243</x:v>
      </x:c>
      <x:c r="W14" s="138" t="inlineStr">
        <x:is>
          <x:t xml:space="preserve">原创/待确认</x:t>
        </x:is>
      </x:c>
      <x:c r="X14" s="375" t="inlineStr">
        <x:is>
          <x:t xml:space="preserve">—</x:t>
        </x:is>
      </x:c>
      <x:c r="Y14" s="138" t="inlineStr">
        <x:is>
          <x:t xml:space="preserve">2026-08-09：旧2D PlayerAvatarRenderer专用表现已删除；当前3D状态表现由 PlayerAvatar3D / WeaponModel3D 持有。</x:t>
        </x:is>
      </x:c>
    </x:row>
    <x:row r="15">
      <x:c r="A15" s="138" t="inlineStr">
        <x:is>
          <x:t xml:space="preserve">VFX-PLY-LOWHP-RING</x:t>
        </x:is>
      </x:c>
      <x:c r="B15" s="138" t="inlineStr">
        <x:is>
          <x:t xml:space="preserve">玩家低血环</x:t>
        </x:is>
      </x:c>
      <x:c r="C15" s="138" t="inlineStr">
        <x:is>
          <x:t xml:space="preserve">特效</x:t>
        </x:is>
      </x:c>
      <x:c r="D15" s="138" t="inlineStr">
        <x:is>
          <x:t xml:space="preserve">player_overlay</x:t>
        </x:is>
      </x:c>
      <x:c r="E15" s="138" t="inlineStr">
        <x:is>
          <x:t xml:space="preserve">player_low_hp</x:t>
        </x:is>
      </x:c>
      <x:c r="F15" s="138" t="inlineStr">
        <x:is>
          <x:t xml:space="preserve">root</x:t>
        </x:is>
      </x:c>
      <x:c r="G15" s="138" t="str"/>
      <x:c r="H15" s="138" t="inlineStr">
        <x:is>
          <x:t xml:space="preserve">侧面朝右（可水平翻转）</x:t>
        </x:is>
      </x:c>
      <x:c r="I15" s="138" t="inlineStr">
        <x:is>
          <x:t xml:space="preserve">low_health</x:t>
        </x:is>
      </x:c>
      <x:c r="J15" s="138" t="inlineStr">
        <x:is>
          <x:t xml:space="preserve">叠加状态</x:t>
        </x:is>
      </x:c>
      <x:c r="K15" s="138" t="inlineStr">
        <x:is>
          <x:t xml:space="preserve">弃用</x:t>
        </x:is>
      </x:c>
      <x:c r="L15" s="138" t="inlineStr">
        <x:is>
          <x:t xml:space="preserve">P2</x:t>
        </x:is>
      </x:c>
      <x:c r="M15" s="138" t="inlineStr">
        <x:is>
          <x:t xml:space="preserve">v001</x:t>
        </x:is>
      </x:c>
      <x:c r="N15" s="138" t="inlineStr">
        <x:is>
          <x:t xml:space="preserve">待定</x:t>
        </x:is>
      </x:c>
      <x:c r="O15" s="138" t="str"/>
      <x:c r="P15" s="138" t="n"/>
      <x:c r="Q15" s="138" t="str"/>
      <x:c r="R15" s="138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138" t="str">
        <x:f>IF(COUNTIF($R$6:$R$423,R15)&gt;1,"重复","唯一")</x:f>
        <x:v>唯一</x:v>
      </x:c>
      <x:c r="T15" s="138" t="str"/>
      <x:c r="U15" s="138" t="inlineStr">
        <x:is>
          <x:t xml:space="preserve">待分配</x:t>
        </x:is>
      </x:c>
      <x:c r="V15" s="303" t="n">
        <x:v>46243</x:v>
      </x:c>
      <x:c r="W15" s="138" t="inlineStr">
        <x:is>
          <x:t xml:space="preserve">原创/待确认</x:t>
        </x:is>
      </x:c>
      <x:c r="X15" s="375" t="inlineStr">
        <x:is>
          <x:t xml:space="preserve">—</x:t>
        </x:is>
      </x:c>
      <x:c r="Y15" s="138" t="inlineStr">
        <x:is>
          <x:t xml:space="preserve">2026-08-09：旧2D PlayerAvatarRenderer专用表现已删除；当前3D状态表现由 PlayerAvatar3D / WeaponModel3D 持有。</x:t>
        </x:is>
      </x:c>
    </x:row>
    <x:row r="16">
      <x:c r="A16" s="138" t="inlineStr">
        <x:is>
          <x:t xml:space="preserve">VFX-PLY-SILENCED-RING</x:t>
        </x:is>
      </x:c>
      <x:c r="B16" s="138" t="inlineStr">
        <x:is>
          <x:t xml:space="preserve">玩家沉默干扰环</x:t>
        </x:is>
      </x:c>
      <x:c r="C16" s="138" t="inlineStr">
        <x:is>
          <x:t xml:space="preserve">特效</x:t>
        </x:is>
      </x:c>
      <x:c r="D16" s="138" t="inlineStr">
        <x:is>
          <x:t xml:space="preserve">player_overlay</x:t>
        </x:is>
      </x:c>
      <x:c r="E16" s="138" t="inlineStr">
        <x:is>
          <x:t xml:space="preserve">player_silenced</x:t>
        </x:is>
      </x:c>
      <x:c r="F16" s="138" t="inlineStr">
        <x:is>
          <x:t xml:space="preserve">root</x:t>
        </x:is>
      </x:c>
      <x:c r="G16" s="138" t="str"/>
      <x:c r="H16" s="138" t="inlineStr">
        <x:is>
          <x:t xml:space="preserve">侧面朝右（可水平翻转）</x:t>
        </x:is>
      </x:c>
      <x:c r="I16" s="138" t="inlineStr">
        <x:is>
          <x:t xml:space="preserve">silenced</x:t>
        </x:is>
      </x:c>
      <x:c r="J16" s="138" t="inlineStr">
        <x:is>
          <x:t xml:space="preserve">叠加状态</x:t>
        </x:is>
      </x:c>
      <x:c r="K16" s="138" t="inlineStr">
        <x:is>
          <x:t xml:space="preserve">弃用</x:t>
        </x:is>
      </x:c>
      <x:c r="L16" s="138" t="inlineStr">
        <x:is>
          <x:t xml:space="preserve">P2</x:t>
        </x:is>
      </x:c>
      <x:c r="M16" s="138" t="inlineStr">
        <x:is>
          <x:t xml:space="preserve">v001</x:t>
        </x:is>
      </x:c>
      <x:c r="N16" s="138" t="inlineStr">
        <x:is>
          <x:t xml:space="preserve">待定</x:t>
        </x:is>
      </x:c>
      <x:c r="O16" s="138" t="str"/>
      <x:c r="P16" s="138" t="n"/>
      <x:c r="Q16" s="138" t="str"/>
      <x:c r="R16" s="138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138" t="str">
        <x:f>IF(COUNTIF($R$6:$R$423,R16)&gt;1,"重复","唯一")</x:f>
        <x:v>唯一</x:v>
      </x:c>
      <x:c r="T16" s="138" t="str"/>
      <x:c r="U16" s="138" t="inlineStr">
        <x:is>
          <x:t xml:space="preserve">待分配</x:t>
        </x:is>
      </x:c>
      <x:c r="V16" s="303" t="n">
        <x:v>46243</x:v>
      </x:c>
      <x:c r="W16" s="138" t="inlineStr">
        <x:is>
          <x:t xml:space="preserve">原创/待确认</x:t>
        </x:is>
      </x:c>
      <x:c r="X16" s="375" t="inlineStr">
        <x:is>
          <x:t xml:space="preserve">—</x:t>
        </x:is>
      </x:c>
      <x:c r="Y16" s="138" t="inlineStr">
        <x:is>
          <x:t xml:space="preserve">2026-08-09：旧2D PlayerAvatarRenderer专用表现已删除；当前3D状态表现由 PlayerAvatar3D / WeaponModel3D 持有。</x:t>
        </x:is>
      </x:c>
    </x:row>
    <x:row r="17">
      <x:c r="A17" s="138" t="inlineStr">
        <x:is>
          <x:t xml:space="preserve">ENM-MELEE-FUNGBOAR01</x:t>
        </x:is>
      </x:c>
      <x:c r="B17" s="138" t="inlineStr">
        <x:is>
          <x:t xml:space="preserve">小菌猪</x:t>
        </x:is>
      </x:c>
      <x:c r="C17" s="138" t="inlineStr">
        <x:is>
          <x:t xml:space="preserve">敌人</x:t>
        </x:is>
      </x:c>
      <x:c r="D17" s="138" t="inlineStr">
        <x:is>
          <x:t xml:space="preserve">normal_melee</x:t>
        </x:is>
      </x:c>
      <x:c r="E17" s="138" t="inlineStr">
        <x:is>
          <x:t xml:space="preserve">melee_chaser</x:t>
        </x:is>
      </x:c>
      <x:c r="F17" s="138" t="inlineStr">
        <x:is>
          <x:t xml:space="preserve">root</x:t>
        </x:is>
      </x:c>
      <x:c r="G17" s="138" t="str"/>
      <x:c r="H17" s="138" t="inlineStr">
        <x:is>
          <x:t xml:space="preserve">侧面朝右（可水平翻转）</x:t>
        </x:is>
      </x:c>
      <x:c r="I17" s="138" t="inlineStr">
        <x:is>
          <x:t xml:space="preserve">default</x:t>
        </x:is>
      </x:c>
      <x:c r="J17" s="138" t="inlineStr">
        <x:is>
          <x:t xml:space="preserve">单资产</x:t>
        </x:is>
      </x:c>
      <x:c r="K17" s="138" t="inlineStr">
        <x:is>
          <x:t xml:space="preserve">程序占位</x:t>
        </x:is>
      </x:c>
      <x:c r="L17" s="138" t="inlineStr">
        <x:is>
          <x:t xml:space="preserve">P0</x:t>
        </x:is>
      </x:c>
      <x:c r="M17" s="138" t="inlineStr">
        <x:is>
          <x:t xml:space="preserve">v001</x:t>
        </x:is>
      </x:c>
      <x:c r="N17" s="138" t="inlineStr">
        <x:is>
          <x:t xml:space="preserve">待定</x:t>
        </x:is>
      </x:c>
      <x:c r="O17" s="138" t="str"/>
      <x:c r="P17" s="138" t="inlineStr">
        <x:is>
          <x:t xml:space="preserve">src/enemy/EnemyTypes.gd</x:t>
        </x:is>
      </x:c>
      <x:c r="Q17" s="138" t="inlineStr">
        <x:is>
          <x:t xml:space="preserve">近战追击; chaser</x:t>
        </x:is>
      </x:c>
      <x:c r="R17" s="138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138" t="str">
        <x:f>IF(COUNTIF($R$6:$R$423,R17)&gt;1,"重复","唯一")</x:f>
        <x:v>唯一</x:v>
      </x:c>
      <x:c r="T17" s="138" t="str"/>
      <x:c r="U17" s="138" t="inlineStr">
        <x:is>
          <x:t xml:space="preserve">待分配</x:t>
        </x:is>
      </x:c>
      <x:c r="V17" s="303" t="n">
        <x:v>46224</x:v>
      </x:c>
      <x:c r="W17" s="138" t="inlineStr">
        <x:is>
          <x:t xml:space="preserve">原创/待确认</x:t>
        </x:is>
      </x:c>
      <x:c r="X17" s="375" t="inlineStr">
        <x:is>
          <x:t xml:space="preserve">—</x:t>
        </x:is>
      </x:c>
      <x:c r="Y17" s="138" t="inlineStr">
        <x:is>
          <x:t xml:space="preserve">需保持快速贴脸轮廓</x:t>
        </x:is>
      </x:c>
    </x:row>
    <x:row r="18">
      <x:c r="A18" s="138" t="inlineStr">
        <x:is>
          <x:t xml:space="preserve">ENM-RANGED-SPORESHOOTER01</x:t>
        </x:is>
      </x:c>
      <x:c r="B18" s="138" t="inlineStr">
        <x:is>
          <x:t xml:space="preserve">孢子射手</x:t>
        </x:is>
      </x:c>
      <x:c r="C18" s="138" t="inlineStr">
        <x:is>
          <x:t xml:space="preserve">敌人</x:t>
        </x:is>
      </x:c>
      <x:c r="D18" s="138" t="inlineStr">
        <x:is>
          <x:t xml:space="preserve">normal_ranged</x:t>
        </x:is>
      </x:c>
      <x:c r="E18" s="138" t="inlineStr">
        <x:is>
          <x:t xml:space="preserve">ranged_caster</x:t>
        </x:is>
      </x:c>
      <x:c r="F18" s="138" t="inlineStr">
        <x:is>
          <x:t xml:space="preserve">root</x:t>
        </x:is>
      </x:c>
      <x:c r="G18" s="138" t="str"/>
      <x:c r="H18" s="138" t="inlineStr">
        <x:is>
          <x:t xml:space="preserve">侧面朝右（可水平翻转）</x:t>
        </x:is>
      </x:c>
      <x:c r="I18" s="138" t="inlineStr">
        <x:is>
          <x:t xml:space="preserve">default</x:t>
        </x:is>
      </x:c>
      <x:c r="J18" s="138" t="inlineStr">
        <x:is>
          <x:t xml:space="preserve">单资产</x:t>
        </x:is>
      </x:c>
      <x:c r="K18" s="138" t="inlineStr">
        <x:is>
          <x:t xml:space="preserve">程序占位</x:t>
        </x:is>
      </x:c>
      <x:c r="L18" s="138" t="inlineStr">
        <x:is>
          <x:t xml:space="preserve">P0</x:t>
        </x:is>
      </x:c>
      <x:c r="M18" s="138" t="inlineStr">
        <x:is>
          <x:t xml:space="preserve">v001</x:t>
        </x:is>
      </x:c>
      <x:c r="N18" s="138" t="inlineStr">
        <x:is>
          <x:t xml:space="preserve">待定</x:t>
        </x:is>
      </x:c>
      <x:c r="O18" s="138" t="str"/>
      <x:c r="P18" s="138" t="inlineStr">
        <x:is>
          <x:t xml:space="preserve">src/enemy/EnemyTypes.gd</x:t>
        </x:is>
      </x:c>
      <x:c r="Q18" s="138" t="inlineStr">
        <x:is>
          <x:t xml:space="preserve">远程弹幕; ranged</x:t>
        </x:is>
      </x:c>
      <x:c r="R18" s="138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138" t="str">
        <x:f>IF(COUNTIF($R$6:$R$423,R18)&gt;1,"重复","唯一")</x:f>
        <x:v>唯一</x:v>
      </x:c>
      <x:c r="T18" s="138" t="str"/>
      <x:c r="U18" s="138" t="inlineStr">
        <x:is>
          <x:t xml:space="preserve">待分配</x:t>
        </x:is>
      </x:c>
      <x:c r="V18" s="303" t="n">
        <x:v>46224</x:v>
      </x:c>
      <x:c r="W18" s="138" t="inlineStr">
        <x:is>
          <x:t xml:space="preserve">原创/待确认</x:t>
        </x:is>
      </x:c>
      <x:c r="X18" s="375" t="inlineStr">
        <x:is>
          <x:t xml:space="preserve">—</x:t>
        </x:is>
      </x:c>
      <x:c r="Y18" s="138" t="n"/>
    </x:row>
    <x:row r="19">
      <x:c r="A19" s="138" t="inlineStr">
        <x:is>
          <x:t xml:space="preserve">ENM-SUMMON-HIVE01</x:t>
        </x:is>
      </x:c>
      <x:c r="B19" s="138" t="inlineStr">
        <x:is>
          <x:t xml:space="preserve">蜂巢怪</x:t>
        </x:is>
      </x:c>
      <x:c r="C19" s="138" t="inlineStr">
        <x:is>
          <x:t xml:space="preserve">敌人</x:t>
        </x:is>
      </x:c>
      <x:c r="D19" s="138" t="inlineStr">
        <x:is>
          <x:t xml:space="preserve">normal_summoner</x:t>
        </x:is>
      </x:c>
      <x:c r="E19" s="138" t="inlineStr">
        <x:is>
          <x:t xml:space="preserve">summoner</x:t>
        </x:is>
      </x:c>
      <x:c r="F19" s="138" t="inlineStr">
        <x:is>
          <x:t xml:space="preserve">root</x:t>
        </x:is>
      </x:c>
      <x:c r="G19" s="138" t="str"/>
      <x:c r="H19" s="138" t="inlineStr">
        <x:is>
          <x:t xml:space="preserve">侧面朝右（可水平翻转）</x:t>
        </x:is>
      </x:c>
      <x:c r="I19" s="138" t="inlineStr">
        <x:is>
          <x:t xml:space="preserve">default</x:t>
        </x:is>
      </x:c>
      <x:c r="J19" s="138" t="inlineStr">
        <x:is>
          <x:t xml:space="preserve">单资产</x:t>
        </x:is>
      </x:c>
      <x:c r="K19" s="138" t="inlineStr">
        <x:is>
          <x:t xml:space="preserve">程序占位</x:t>
        </x:is>
      </x:c>
      <x:c r="L19" s="138" t="inlineStr">
        <x:is>
          <x:t xml:space="preserve">P0</x:t>
        </x:is>
      </x:c>
      <x:c r="M19" s="138" t="inlineStr">
        <x:is>
          <x:t xml:space="preserve">v001</x:t>
        </x:is>
      </x:c>
      <x:c r="N19" s="138" t="inlineStr">
        <x:is>
          <x:t xml:space="preserve">待定</x:t>
        </x:is>
      </x:c>
      <x:c r="O19" s="138" t="str"/>
      <x:c r="P19" s="138" t="inlineStr">
        <x:is>
          <x:t xml:space="preserve">src/enemy/EnemyTypes.gd</x:t>
        </x:is>
      </x:c>
      <x:c r="Q19" s="138" t="inlineStr">
        <x:is>
          <x:t xml:space="preserve">召唤型; hive</x:t>
        </x:is>
      </x:c>
      <x:c r="R19" s="138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138" t="str">
        <x:f>IF(COUNTIF($R$6:$R$423,R19)&gt;1,"重复","唯一")</x:f>
        <x:v>唯一</x:v>
      </x:c>
      <x:c r="T19" s="138" t="str"/>
      <x:c r="U19" s="138" t="inlineStr">
        <x:is>
          <x:t xml:space="preserve">待分配</x:t>
        </x:is>
      </x:c>
      <x:c r="V19" s="303" t="n">
        <x:v>46224</x:v>
      </x:c>
      <x:c r="W19" s="138" t="inlineStr">
        <x:is>
          <x:t xml:space="preserve">原创/待确认</x:t>
        </x:is>
      </x:c>
      <x:c r="X19" s="375" t="inlineStr">
        <x:is>
          <x:t xml:space="preserve">—</x:t>
        </x:is>
      </x:c>
      <x:c r="Y19" s="138" t="n"/>
    </x:row>
    <x:row r="20">
      <x:c r="A20" s="138" t="inlineStr">
        <x:is>
          <x:t xml:space="preserve">ENM-TANK-SHELLGUARD01</x:t>
        </x:is>
      </x:c>
      <x:c r="B20" s="138" t="inlineStr">
        <x:is>
          <x:t xml:space="preserve">壳甲卫兵</x:t>
        </x:is>
      </x:c>
      <x:c r="C20" s="138" t="inlineStr">
        <x:is>
          <x:t xml:space="preserve">敌人</x:t>
        </x:is>
      </x:c>
      <x:c r="D20" s="138" t="inlineStr">
        <x:is>
          <x:t xml:space="preserve">normal_tank</x:t>
        </x:is>
      </x:c>
      <x:c r="E20" s="138" t="inlineStr">
        <x:is>
          <x:t xml:space="preserve">shielded</x:t>
        </x:is>
      </x:c>
      <x:c r="F20" s="138" t="inlineStr">
        <x:is>
          <x:t xml:space="preserve">root</x:t>
        </x:is>
      </x:c>
      <x:c r="G20" s="138" t="str"/>
      <x:c r="H20" s="138" t="inlineStr">
        <x:is>
          <x:t xml:space="preserve">侧面朝右（可水平翻转）</x:t>
        </x:is>
      </x:c>
      <x:c r="I20" s="138" t="inlineStr">
        <x:is>
          <x:t xml:space="preserve">default</x:t>
        </x:is>
      </x:c>
      <x:c r="J20" s="138" t="inlineStr">
        <x:is>
          <x:t xml:space="preserve">单资产</x:t>
        </x:is>
      </x:c>
      <x:c r="K20" s="138" t="inlineStr">
        <x:is>
          <x:t xml:space="preserve">程序占位</x:t>
        </x:is>
      </x:c>
      <x:c r="L20" s="138" t="inlineStr">
        <x:is>
          <x:t xml:space="preserve">P0</x:t>
        </x:is>
      </x:c>
      <x:c r="M20" s="138" t="inlineStr">
        <x:is>
          <x:t xml:space="preserve">v001</x:t>
        </x:is>
      </x:c>
      <x:c r="N20" s="138" t="inlineStr">
        <x:is>
          <x:t xml:space="preserve">待定</x:t>
        </x:is>
      </x:c>
      <x:c r="O20" s="138" t="str"/>
      <x:c r="P20" s="138" t="inlineStr">
        <x:is>
          <x:t xml:space="preserve">src/enemy/EnemyTypes.gd</x:t>
        </x:is>
      </x:c>
      <x:c r="Q20" s="138" t="inlineStr">
        <x:is>
          <x:t xml:space="preserve">护盾型; tank</x:t>
        </x:is>
      </x:c>
      <x:c r="R20" s="138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138" t="str">
        <x:f>IF(COUNTIF($R$6:$R$423,R20)&gt;1,"重复","唯一")</x:f>
        <x:v>唯一</x:v>
      </x:c>
      <x:c r="T20" s="138" t="str"/>
      <x:c r="U20" s="138" t="inlineStr">
        <x:is>
          <x:t xml:space="preserve">待分配</x:t>
        </x:is>
      </x:c>
      <x:c r="V20" s="303" t="n">
        <x:v>46224</x:v>
      </x:c>
      <x:c r="W20" s="138" t="inlineStr">
        <x:is>
          <x:t xml:space="preserve">原创/待确认</x:t>
        </x:is>
      </x:c>
      <x:c r="X20" s="375" t="inlineStr">
        <x:is>
          <x:t xml:space="preserve">—</x:t>
        </x:is>
      </x:c>
      <x:c r="Y20" s="138" t="n"/>
    </x:row>
    <x:row r="21">
      <x:c r="A21" s="138" t="inlineStr">
        <x:is>
          <x:t xml:space="preserve">ENM-BOMBER-FRUIT01</x:t>
        </x:is>
      </x:c>
      <x:c r="B21" s="138" t="inlineStr">
        <x:is>
          <x:t xml:space="preserve">炸弹果</x:t>
        </x:is>
      </x:c>
      <x:c r="C21" s="138" t="inlineStr">
        <x:is>
          <x:t xml:space="preserve">敌人</x:t>
        </x:is>
      </x:c>
      <x:c r="D21" s="138" t="inlineStr">
        <x:is>
          <x:t xml:space="preserve">normal_bomber</x:t>
        </x:is>
      </x:c>
      <x:c r="E21" s="138" t="inlineStr">
        <x:is>
          <x:t xml:space="preserve">exploder</x:t>
        </x:is>
      </x:c>
      <x:c r="F21" s="138" t="inlineStr">
        <x:is>
          <x:t xml:space="preserve">root</x:t>
        </x:is>
      </x:c>
      <x:c r="G21" s="138" t="str"/>
      <x:c r="H21" s="138" t="inlineStr">
        <x:is>
          <x:t xml:space="preserve">侧面朝右（可水平翻转）</x:t>
        </x:is>
      </x:c>
      <x:c r="I21" s="138" t="inlineStr">
        <x:is>
          <x:t xml:space="preserve">default</x:t>
        </x:is>
      </x:c>
      <x:c r="J21" s="138" t="inlineStr">
        <x:is>
          <x:t xml:space="preserve">单资产</x:t>
        </x:is>
      </x:c>
      <x:c r="K21" s="138" t="inlineStr">
        <x:is>
          <x:t xml:space="preserve">程序占位</x:t>
        </x:is>
      </x:c>
      <x:c r="L21" s="138" t="inlineStr">
        <x:is>
          <x:t xml:space="preserve">P0</x:t>
        </x:is>
      </x:c>
      <x:c r="M21" s="138" t="inlineStr">
        <x:is>
          <x:t xml:space="preserve">v001</x:t>
        </x:is>
      </x:c>
      <x:c r="N21" s="138" t="inlineStr">
        <x:is>
          <x:t xml:space="preserve">待定</x:t>
        </x:is>
      </x:c>
      <x:c r="O21" s="138" t="str"/>
      <x:c r="P21" s="138" t="inlineStr">
        <x:is>
          <x:t xml:space="preserve">src/enemy/EnemyTypes.gd</x:t>
        </x:is>
      </x:c>
      <x:c r="Q21" s="138" t="inlineStr">
        <x:is>
          <x:t xml:space="preserve">膨胀鼠; 自爆型; bomber</x:t>
        </x:is>
      </x:c>
      <x:c r="R21" s="138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138" t="str">
        <x:f>IF(COUNTIF($R$6:$R$423,R21)&gt;1,"重复","唯一")</x:f>
        <x:v>唯一</x:v>
      </x:c>
      <x:c r="T21" s="138" t="str"/>
      <x:c r="U21" s="138" t="inlineStr">
        <x:is>
          <x:t xml:space="preserve">待分配</x:t>
        </x:is>
      </x:c>
      <x:c r="V21" s="303" t="n">
        <x:v>46224</x:v>
      </x:c>
      <x:c r="W21" s="138" t="inlineStr">
        <x:is>
          <x:t xml:space="preserve">原创/待确认</x:t>
        </x:is>
      </x:c>
      <x:c r="X21" s="375" t="inlineStr">
        <x:is>
          <x:t xml:space="preserve">—</x:t>
        </x:is>
      </x:c>
      <x:c r="Y21" s="138" t="n"/>
    </x:row>
    <x:row r="22">
      <x:c r="A22" s="138" t="inlineStr">
        <x:is>
          <x:t xml:space="preserve">ENM-TRAP-SPIKEWORM01</x:t>
        </x:is>
      </x:c>
      <x:c r="B22" s="138" t="inlineStr">
        <x:is>
          <x:t xml:space="preserve">地刺虫</x:t>
        </x:is>
      </x:c>
      <x:c r="C22" s="138" t="inlineStr">
        <x:is>
          <x:t xml:space="preserve">敌人</x:t>
        </x:is>
      </x:c>
      <x:c r="D22" s="138" t="inlineStr">
        <x:is>
          <x:t xml:space="preserve">normal_ambusher</x:t>
        </x:is>
      </x:c>
      <x:c r="E22" s="138" t="inlineStr">
        <x:is>
          <x:t xml:space="preserve">ambusher</x:t>
        </x:is>
      </x:c>
      <x:c r="F22" s="138" t="inlineStr">
        <x:is>
          <x:t xml:space="preserve">root</x:t>
        </x:is>
      </x:c>
      <x:c r="G22" s="138" t="str"/>
      <x:c r="H22" s="138" t="inlineStr">
        <x:is>
          <x:t xml:space="preserve">侧面朝右（可水平翻转）</x:t>
        </x:is>
      </x:c>
      <x:c r="I22" s="138" t="inlineStr">
        <x:is>
          <x:t xml:space="preserve">default</x:t>
        </x:is>
      </x:c>
      <x:c r="J22" s="138" t="inlineStr">
        <x:is>
          <x:t xml:space="preserve">单资产</x:t>
        </x:is>
      </x:c>
      <x:c r="K22" s="138" t="inlineStr">
        <x:is>
          <x:t xml:space="preserve">程序占位</x:t>
        </x:is>
      </x:c>
      <x:c r="L22" s="138" t="inlineStr">
        <x:is>
          <x:t xml:space="preserve">P0</x:t>
        </x:is>
      </x:c>
      <x:c r="M22" s="138" t="inlineStr">
        <x:is>
          <x:t xml:space="preserve">v001</x:t>
        </x:is>
      </x:c>
      <x:c r="N22" s="138" t="inlineStr">
        <x:is>
          <x:t xml:space="preserve">待定</x:t>
        </x:is>
      </x:c>
      <x:c r="O22" s="138" t="str"/>
      <x:c r="P22" s="138" t="inlineStr">
        <x:is>
          <x:t xml:space="preserve">src/enemy/EnemyTypes.gd</x:t>
        </x:is>
      </x:c>
      <x:c r="Q22" s="138" t="inlineStr">
        <x:is>
          <x:t xml:space="preserve">潜伏型; trapper</x:t>
        </x:is>
      </x:c>
      <x:c r="R22" s="138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138" t="str">
        <x:f>IF(COUNTIF($R$6:$R$423,R22)&gt;1,"重复","唯一")</x:f>
        <x:v>唯一</x:v>
      </x:c>
      <x:c r="T22" s="138" t="str"/>
      <x:c r="U22" s="138" t="inlineStr">
        <x:is>
          <x:t xml:space="preserve">待分配</x:t>
        </x:is>
      </x:c>
      <x:c r="V22" s="303" t="n">
        <x:v>46224</x:v>
      </x:c>
      <x:c r="W22" s="138" t="inlineStr">
        <x:is>
          <x:t xml:space="preserve">原创/待确认</x:t>
        </x:is>
      </x:c>
      <x:c r="X22" s="375" t="inlineStr">
        <x:is>
          <x:t xml:space="preserve">—</x:t>
        </x:is>
      </x:c>
      <x:c r="Y22" s="138" t="n"/>
    </x:row>
    <x:row r="23">
      <x:c r="A23" s="138" t="inlineStr">
        <x:is>
          <x:t xml:space="preserve">ENM-BOSS-ABYSS01</x:t>
        </x:is>
      </x:c>
      <x:c r="B23" s="138" t="inlineStr">
        <x:is>
          <x:t xml:space="preserve">深渊 Boss</x:t>
        </x:is>
      </x:c>
      <x:c r="C23" s="138" t="inlineStr">
        <x:is>
          <x:t xml:space="preserve">敌人</x:t>
        </x:is>
      </x:c>
      <x:c r="D23" s="138" t="inlineStr">
        <x:is>
          <x:t xml:space="preserve">boss</x:t>
        </x:is>
      </x:c>
      <x:c r="E23" s="138" t="inlineStr">
        <x:is>
          <x:t xml:space="preserve">boss</x:t>
        </x:is>
      </x:c>
      <x:c r="F23" s="138" t="inlineStr">
        <x:is>
          <x:t xml:space="preserve">root</x:t>
        </x:is>
      </x:c>
      <x:c r="G23" s="138" t="str"/>
      <x:c r="H23" s="138" t="inlineStr">
        <x:is>
          <x:t xml:space="preserve">侧面朝右（可水平翻转）</x:t>
        </x:is>
      </x:c>
      <x:c r="I23" s="138" t="inlineStr">
        <x:is>
          <x:t xml:space="preserve">default</x:t>
        </x:is>
      </x:c>
      <x:c r="J23" s="138" t="inlineStr">
        <x:is>
          <x:t xml:space="preserve">单资产</x:t>
        </x:is>
      </x:c>
      <x:c r="K23" s="138" t="inlineStr">
        <x:is>
          <x:t xml:space="preserve">程序占位</x:t>
        </x:is>
      </x:c>
      <x:c r="L23" s="138" t="inlineStr">
        <x:is>
          <x:t xml:space="preserve">P1</x:t>
        </x:is>
      </x:c>
      <x:c r="M23" s="138" t="inlineStr">
        <x:is>
          <x:t xml:space="preserve">v001</x:t>
        </x:is>
      </x:c>
      <x:c r="N23" s="138" t="inlineStr">
        <x:is>
          <x:t xml:space="preserve">待定</x:t>
        </x:is>
      </x:c>
      <x:c r="O23" s="138" t="str"/>
      <x:c r="P23" s="138" t="inlineStr">
        <x:is>
          <x:t xml:space="preserve">src/enemy/BossAvatarRenderer.gd</x:t>
        </x:is>
      </x:c>
      <x:c r="Q23" s="138" t="inlineStr">
        <x:is>
          <x:t xml:space="preserve">BossActor; 三阶段</x:t>
        </x:is>
      </x:c>
      <x:c r="R23" s="138" t="str">
        <x:f>LOWER(TRIM(C23)&amp;"|"&amp;TRIM(D23)&amp;"|"&amp;TRIM(E23)&amp;"|"&amp;TRIM(F23)&amp;"|"&amp;TRIM(H23)&amp;"|"&amp;TRIM(I23))</x:f>
        <x:v>敌人|boss|boss|root|侧面朝右（可水平翻转）|default</x:v>
      </x:c>
      <x:c r="S23" s="138" t="str">
        <x:f>IF(COUNTIF($R$6:$R$423,R23)&gt;1,"重复","唯一")</x:f>
        <x:v>唯一</x:v>
      </x:c>
      <x:c r="T23" s="138" t="str"/>
      <x:c r="U23" s="138" t="inlineStr">
        <x:is>
          <x:t xml:space="preserve">待分配</x:t>
        </x:is>
      </x:c>
      <x:c r="V23" s="303" t="n">
        <x:v>46224</x:v>
      </x:c>
      <x:c r="W23" s="138" t="inlineStr">
        <x:is>
          <x:t xml:space="preserve">原创/待确认</x:t>
        </x:is>
      </x:c>
      <x:c r="X23" s="375" t="inlineStr">
        <x:is>
          <x:t xml:space="preserve">—</x:t>
        </x:is>
      </x:c>
      <x:c r="Y23" s="138" t="inlineStr">
        <x:is>
          <x:t xml:space="preserve">三阶段由同一主体加部件/发光变化，不重复做整套</x:t>
        </x:is>
      </x:c>
    </x:row>
    <x:row r="24">
      <x:c r="A24" s="138" t="inlineStr">
        <x:is>
          <x:t xml:space="preserve">WPN-GUN-BP-PISTOL</x:t>
        </x:is>
      </x:c>
      <x:c r="B24" s="138" t="inlineStr">
        <x:is>
          <x:t xml:space="preserve">豌豆手枪 / 吹风机造型</x:t>
        </x:is>
      </x:c>
      <x:c r="C24" s="138" t="inlineStr">
        <x:is>
          <x:t xml:space="preserve">武器</x:t>
        </x:is>
      </x:c>
      <x:c r="D24" s="138" t="inlineStr">
        <x:is>
          <x:t xml:space="preserve">gunbody</x:t>
        </x:is>
      </x:c>
      <x:c r="E24" s="138" t="inlineStr">
        <x:is>
          <x:t xml:space="preserve">bp_pistol</x:t>
        </x:is>
      </x:c>
      <x:c r="F24" s="138" t="inlineStr">
        <x:is>
          <x:t xml:space="preserve">root</x:t>
        </x:is>
      </x:c>
      <x:c r="G24" s="138" t="str"/>
      <x:c r="H24" s="138" t="inlineStr">
        <x:is>
          <x:t xml:space="preserve">俯视3D / local -Z 枪口</x:t>
        </x:is>
      </x:c>
      <x:c r="I24" s="138" t="inlineStr">
        <x:is>
          <x:t xml:space="preserve">default / 标准握把与8类挂点</x:t>
        </x:is>
      </x:c>
      <x:c r="J24" s="138" t="inlineStr">
        <x:is>
          <x:t xml:space="preserve">手持/背负/地面/UI 共用独立PackedScene</x:t>
        </x:is>
      </x:c>
      <x:c r="K24" s="138" t="inlineStr">
        <x:is>
          <x:t xml:space="preserve">已完成</x:t>
        </x:is>
      </x:c>
      <x:c r="L24" s="138" t="inlineStr">
        <x:is>
          <x:t xml:space="preserve">P0</x:t>
        </x:is>
      </x:c>
      <x:c r="M24" s="138" t="inlineStr">
        <x:is>
          <x:t xml:space="preserve">v001</x:t>
        </x:is>
      </x:c>
      <x:c r="N24" s="138" t="inlineStr">
        <x:is>
          <x:t xml:space="preserve">握把原点；local -Z枪口；3材质；独立GLB/PackedScene</x:t>
        </x:is>
      </x:c>
      <x:c r="O24" s="138" t="inlineStr">
        <x:is>
          <x:t xml:space="preserve">assets/art/weapons/weapon_3d/runtime/hair_dryer/wpn_hair_dryer_root_top3d_v001.tscn</x:t>
        </x:is>
      </x:c>
      <x:c r="P24" s="138" t="inlineStr">
        <x:is>
          <x:t xml:space="preserve">assets/art/weapons/weapon_3d/source/hair_dryer/wpn_hair_dryer_source_v003.blend; src/combat3d/WeaponModel3D.gd</x:t>
        </x:is>
      </x:c>
      <x:c r="Q24" s="138" t="inlineStr">
        <x:is>
          <x:t xml:space="preserve">bp_pistol; 吹风机; 握把原点; -Z枪口; 通用挂点; 多巴胺配色</x:t>
        </x:is>
      </x:c>
      <x:c r="R24" s="138" t="str">
        <x:f>LOWER(TRIM(C24)&amp;"|"&amp;TRIM(D24)&amp;"|"&amp;TRIM(E24)&amp;"|"&amp;TRIM(F24)&amp;"|"&amp;TRIM(H24)&amp;"|"&amp;TRIM(I24))</x:f>
        <x:v>武器|gunbody|bp_pistol|root|俯视3d / local -z 枪口|default / 标准握把与8类挂点</x:v>
      </x:c>
      <x:c r="S24" s="138" t="str">
        <x:f>IF(COUNTIF($R$6:$R$423,R24)&gt;1,"重复","唯一")</x:f>
        <x:v>唯一</x:v>
      </x:c>
      <x:c r="T24" s="138" t="inlineStr">
        <x:is>
          <x:t xml:space="preserve">2470638382999aaed09f3e141f345b3aac5173b00215a6e320d3a3e65c00271f</x:t>
        </x:is>
      </x:c>
      <x:c r="U24" s="138" t="inlineStr">
        <x:is>
          <x:t xml:space="preserve">Codex</x:t>
        </x:is>
      </x:c>
      <x:c r="V24" s="303" t="n">
        <x:v>46264</x:v>
      </x:c>
      <x:c r="W24" s="138" t="inlineStr">
        <x:is>
          <x:t xml:space="preserve">用户自制Blender资产</x:t>
        </x:is>
      </x:c>
      <x:c r="X24" s="375" t="inlineStr">
        <x:is>
          <x:t xml:space="preserve">—</x:t>
        </x:is>
      </x:c>
      <x:c r="Y24" s="138" t="inlineStr">
        <x:is>
          <x:t xml:space="preserve">由18枪合集拆成独立资产；根节点即握把原点，枪口统一local -Z；无需玩家侧逐枪旋转补丁。
2026-08-21：复用WPN-GUN-BP-PISTOL与v003 GLB；Godot包装层保持GripSocket=根原点，将可见握把中心及全部非Grip语义挂点统一校正(0,-0.122838,-0.168785)。待机与开火时枪模local -Z锁定真实aim_direction，后坐只沿枪轴平移，不改变弹道、伤害、碰撞或装配。
2026-08-30 AST-01规范化（原制作状态：正式美术已接入；原大类：枪械）
2026-08-30 AST-02：合法内容更新；文件为Git已跟踪且修改时间不早于原台账日期；验收：verify_weapon_instance_contract_matrix；SHA c8e52bda1186→ec5be48b60ec。</x:t>
        </x:is>
      </x:c>
    </x:row>
    <x:row r="25">
      <x:c r="A25" s="138" t="inlineStr">
        <x:is>
          <x:t xml:space="preserve">WPN-GUN-BP-SHOTGUN</x:t>
        </x:is>
      </x:c>
      <x:c r="B25" s="138" t="inlineStr">
        <x:is>
          <x:t xml:space="preserve">散射喷壶 / 双管炮造型</x:t>
        </x:is>
      </x:c>
      <x:c r="C25" s="138" t="inlineStr">
        <x:is>
          <x:t xml:space="preserve">武器</x:t>
        </x:is>
      </x:c>
      <x:c r="D25" s="138" t="inlineStr">
        <x:is>
          <x:t xml:space="preserve">gunbody</x:t>
        </x:is>
      </x:c>
      <x:c r="E25" s="138" t="inlineStr">
        <x:is>
          <x:t xml:space="preserve">bp_shotgun</x:t>
        </x:is>
      </x:c>
      <x:c r="F25" s="138" t="inlineStr">
        <x:is>
          <x:t xml:space="preserve">root</x:t>
        </x:is>
      </x:c>
      <x:c r="G25" s="138" t="str"/>
      <x:c r="H25" s="138" t="inlineStr">
        <x:is>
          <x:t xml:space="preserve">俯视3D / local -Z 枪口</x:t>
        </x:is>
      </x:c>
      <x:c r="I25" s="138" t="inlineStr">
        <x:is>
          <x:t xml:space="preserve">default / 标准握把与8类挂点</x:t>
        </x:is>
      </x:c>
      <x:c r="J25" s="138" t="inlineStr">
        <x:is>
          <x:t xml:space="preserve">手持/背负/地面/UI 共用独立PackedScene</x:t>
        </x:is>
      </x:c>
      <x:c r="K25" s="138" t="inlineStr">
        <x:is>
          <x:t xml:space="preserve">已完成</x:t>
        </x:is>
      </x:c>
      <x:c r="L25" s="138" t="inlineStr">
        <x:is>
          <x:t xml:space="preserve">P0</x:t>
        </x:is>
      </x:c>
      <x:c r="M25" s="138" t="inlineStr">
        <x:is>
          <x:t xml:space="preserve">v001</x:t>
        </x:is>
      </x:c>
      <x:c r="N25" s="138" t="inlineStr">
        <x:is>
          <x:t xml:space="preserve">握把原点；local -Z枪口；3材质；独立GLB/PackedScene</x:t>
        </x:is>
      </x:c>
      <x:c r="O25" s="138" t="inlineStr">
        <x:is>
          <x:t xml:space="preserve">assets/art/weapons/weapon_3d/runtime/double_barrel_cannon/wpn_double_barrel_cannon_root_top3d_v001.tscn</x:t>
        </x:is>
      </x:c>
      <x:c r="P25" s="138" t="inlineStr">
        <x:is>
          <x:t xml:space="preserve">assets/art/weapons/weapon_3d/source/double_barrel_cannon/wpn_double_barrel_cannon_source_v001.blend; src/combat3d/WeaponModel3D.gd</x:t>
        </x:is>
      </x:c>
      <x:c r="Q25" s="138" t="inlineStr">
        <x:is>
          <x:t xml:space="preserve">bp_shotgun; 双管炮; 握把原点; -Z枪口; 通用挂点; 多巴胺配色</x:t>
        </x:is>
      </x:c>
      <x:c r="R25" s="138" t="str">
        <x:f>LOWER(TRIM(C25)&amp;"|"&amp;TRIM(D25)&amp;"|"&amp;TRIM(E25)&amp;"|"&amp;TRIM(F25)&amp;"|"&amp;TRIM(H25)&amp;"|"&amp;TRIM(I25))</x:f>
        <x:v>武器|gunbody|bp_shotgun|root|俯视3d / local -z 枪口|default / 标准握把与8类挂点</x:v>
      </x:c>
      <x:c r="S25" s="138" t="str">
        <x:f>IF(COUNTIF($R$6:$R$423,R25)&gt;1,"重复","唯一")</x:f>
        <x:v>唯一</x:v>
      </x:c>
      <x:c r="T25" s="138" t="inlineStr">
        <x:is>
          <x:t xml:space="preserve">3e7dbd12824eb293a6f8e4331c3932591c172a659c47418caccf83a46e0556bb</x:t>
        </x:is>
      </x:c>
      <x:c r="U25" s="138" t="inlineStr">
        <x:is>
          <x:t xml:space="preserve">Codex</x:t>
        </x:is>
      </x:c>
      <x:c r="V25" s="303" t="n">
        <x:v>46264</x:v>
      </x:c>
      <x:c r="W25" s="138" t="inlineStr">
        <x:is>
          <x:t xml:space="preserve">用户自制Blender资产</x:t>
        </x:is>
      </x:c>
      <x:c r="X25" s="375" t="inlineStr">
        <x:is>
          <x:t xml:space="preserve">—</x:t>
        </x:is>
      </x:c>
      <x:c r="Y25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8e026c49d788→67aa2883793c。</x:t>
        </x:is>
      </x:c>
    </x:row>
    <x:row r="26">
      <x:c r="A26" s="138" t="inlineStr">
        <x:is>
          <x:t xml:space="preserve">WPN-GUN-BP-RIFLE</x:t>
        </x:is>
      </x:c>
      <x:c r="B26" s="138" t="inlineStr">
        <x:is>
          <x:t xml:space="preserve">步枪 / 扫帚步枪造型</x:t>
        </x:is>
      </x:c>
      <x:c r="C26" s="138" t="inlineStr">
        <x:is>
          <x:t xml:space="preserve">武器</x:t>
        </x:is>
      </x:c>
      <x:c r="D26" s="138" t="inlineStr">
        <x:is>
          <x:t xml:space="preserve">gunbody</x:t>
        </x:is>
      </x:c>
      <x:c r="E26" s="138" t="inlineStr">
        <x:is>
          <x:t xml:space="preserve">bp_rifle</x:t>
        </x:is>
      </x:c>
      <x:c r="F26" s="138" t="inlineStr">
        <x:is>
          <x:t xml:space="preserve">root</x:t>
        </x:is>
      </x:c>
      <x:c r="G26" s="138" t="str"/>
      <x:c r="H26" s="138" t="inlineStr">
        <x:is>
          <x:t xml:space="preserve">俯视3D / local -Z 枪口</x:t>
        </x:is>
      </x:c>
      <x:c r="I26" s="138" t="inlineStr">
        <x:is>
          <x:t xml:space="preserve">default / 标准握把与8类挂点</x:t>
        </x:is>
      </x:c>
      <x:c r="J26" s="138" t="inlineStr">
        <x:is>
          <x:t xml:space="preserve">手持/背负/地面/UI 共用独立PackedScene</x:t>
        </x:is>
      </x:c>
      <x:c r="K26" s="138" t="inlineStr">
        <x:is>
          <x:t xml:space="preserve">已完成</x:t>
        </x:is>
      </x:c>
      <x:c r="L26" s="138" t="inlineStr">
        <x:is>
          <x:t xml:space="preserve">P0</x:t>
        </x:is>
      </x:c>
      <x:c r="M26" s="138" t="inlineStr">
        <x:is>
          <x:t xml:space="preserve">v001</x:t>
        </x:is>
      </x:c>
      <x:c r="N26" s="138" t="inlineStr">
        <x:is>
          <x:t xml:space="preserve">握把原点；local -Z枪口；3材质；独立GLB/PackedScene</x:t>
        </x:is>
      </x:c>
      <x:c r="O26" s="138" t="inlineStr">
        <x:is>
          <x:t xml:space="preserve">assets/art/weapons/weapon_3d/runtime/broom_rifle/wpn_broom_rifle_root_top3d_v001.tscn</x:t>
        </x:is>
      </x:c>
      <x:c r="P26" s="138" t="inlineStr">
        <x:is>
          <x:t xml:space="preserve">assets/art/weapons/weapon_3d/source/broom_rifle/wpn_broom_rifle_source_v001.blend; src/combat3d/WeaponModel3D.gd</x:t>
        </x:is>
      </x:c>
      <x:c r="Q26" s="138" t="inlineStr">
        <x:is>
          <x:t xml:space="preserve">bp_rifle; 扫帚步枪; 握把原点; -Z枪口; 通用挂点; 多巴胺配色</x:t>
        </x:is>
      </x:c>
      <x:c r="R26" s="138" t="str">
        <x:f>LOWER(TRIM(C26)&amp;"|"&amp;TRIM(D26)&amp;"|"&amp;TRIM(E26)&amp;"|"&amp;TRIM(F26)&amp;"|"&amp;TRIM(H26)&amp;"|"&amp;TRIM(I26))</x:f>
        <x:v>武器|gunbody|bp_rifle|root|俯视3d / local -z 枪口|default / 标准握把与8类挂点</x:v>
      </x:c>
      <x:c r="S26" s="138" t="str">
        <x:f>IF(COUNTIF($R$6:$R$423,R26)&gt;1,"重复","唯一")</x:f>
        <x:v>唯一</x:v>
      </x:c>
      <x:c r="T26" s="138" t="inlineStr">
        <x:is>
          <x:t xml:space="preserve">d58d0c336be59b57b77c4f2cec6f529fcb62ecb454cb3f509049136988925255</x:t>
        </x:is>
      </x:c>
      <x:c r="U26" s="138" t="inlineStr">
        <x:is>
          <x:t xml:space="preserve">Codex</x:t>
        </x:is>
      </x:c>
      <x:c r="V26" s="303" t="n">
        <x:v>46264</x:v>
      </x:c>
      <x:c r="W26" s="138" t="inlineStr">
        <x:is>
          <x:t xml:space="preserve">用户自制Blender资产</x:t>
        </x:is>
      </x:c>
      <x:c r="X26" s="375" t="inlineStr">
        <x:is>
          <x:t xml:space="preserve">—</x:t>
        </x:is>
      </x:c>
      <x:c r="Y26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67a1515e3659→ce12927b14a1。</x:t>
        </x:is>
      </x:c>
    </x:row>
    <x:row r="27">
      <x:c r="A27" s="138" t="inlineStr">
        <x:is>
          <x:t xml:space="preserve">WPN-GUN-BP-MACHINEGUN</x:t>
        </x:is>
      </x:c>
      <x:c r="B27" s="138" t="inlineStr">
        <x:is>
          <x:t xml:space="preserve">蜂窝机枪 / 水箱爆能枪造型</x:t>
        </x:is>
      </x:c>
      <x:c r="C27" s="138" t="inlineStr">
        <x:is>
          <x:t xml:space="preserve">武器</x:t>
        </x:is>
      </x:c>
      <x:c r="D27" s="138" t="inlineStr">
        <x:is>
          <x:t xml:space="preserve">gunbody</x:t>
        </x:is>
      </x:c>
      <x:c r="E27" s="138" t="inlineStr">
        <x:is>
          <x:t xml:space="preserve">bp_machinegun</x:t>
        </x:is>
      </x:c>
      <x:c r="F27" s="138" t="inlineStr">
        <x:is>
          <x:t xml:space="preserve">root</x:t>
        </x:is>
      </x:c>
      <x:c r="G27" s="138" t="str"/>
      <x:c r="H27" s="138" t="inlineStr">
        <x:is>
          <x:t xml:space="preserve">俯视3D / local -Z 枪口</x:t>
        </x:is>
      </x:c>
      <x:c r="I27" s="138" t="inlineStr">
        <x:is>
          <x:t xml:space="preserve">default / 标准握把与8类挂点</x:t>
        </x:is>
      </x:c>
      <x:c r="J27" s="138" t="inlineStr">
        <x:is>
          <x:t xml:space="preserve">手持/背负/地面/UI 共用独立PackedScene</x:t>
        </x:is>
      </x:c>
      <x:c r="K27" s="138" t="inlineStr">
        <x:is>
          <x:t xml:space="preserve">已完成</x:t>
        </x:is>
      </x:c>
      <x:c r="L27" s="138" t="inlineStr">
        <x:is>
          <x:t xml:space="preserve">P1</x:t>
        </x:is>
      </x:c>
      <x:c r="M27" s="138" t="inlineStr">
        <x:is>
          <x:t xml:space="preserve">v001</x:t>
        </x:is>
      </x:c>
      <x:c r="N27" s="138" t="inlineStr">
        <x:is>
          <x:t xml:space="preserve">握把原点；local -Z枪口；3材质；独立GLB/PackedScene</x:t>
        </x:is>
      </x:c>
      <x:c r="O27" s="138" t="inlineStr">
        <x:is>
          <x:t xml:space="preserve">assets/art/weapons/weapon_3d/runtime/water_tank_blaster/wpn_water_tank_blaster_root_top3d_v001.tscn</x:t>
        </x:is>
      </x:c>
      <x:c r="P27" s="138" t="inlineStr">
        <x:is>
          <x:t xml:space="preserve">assets/art/weapons/weapon_3d/source/water_tank_blaster/wpn_water_tank_blaster_source_v001.blend; src/combat3d/WeaponModel3D.gd</x:t>
        </x:is>
      </x:c>
      <x:c r="Q27" s="138" t="inlineStr">
        <x:is>
          <x:t xml:space="preserve">bp_machinegun; 水箱爆能枪; 握把原点; -Z枪口; 通用挂点; 多巴胺配色</x:t>
        </x:is>
      </x:c>
      <x:c r="R27" s="138" t="str">
        <x:f>LOWER(TRIM(C27)&amp;"|"&amp;TRIM(D27)&amp;"|"&amp;TRIM(E27)&amp;"|"&amp;TRIM(F27)&amp;"|"&amp;TRIM(H27)&amp;"|"&amp;TRIM(I27))</x:f>
        <x:v>武器|gunbody|bp_machinegun|root|俯视3d / local -z 枪口|default / 标准握把与8类挂点</x:v>
      </x:c>
      <x:c r="S27" s="138" t="str">
        <x:f>IF(COUNTIF($R$6:$R$423,R27)&gt;1,"重复","唯一")</x:f>
        <x:v>唯一</x:v>
      </x:c>
      <x:c r="T27" s="138" t="inlineStr">
        <x:is>
          <x:t xml:space="preserve">eaadde61c36370e93adbd649521bd0982e3dd95d514ec2358761853ccb9ff120</x:t>
        </x:is>
      </x:c>
      <x:c r="U27" s="138" t="inlineStr">
        <x:is>
          <x:t xml:space="preserve">Codex</x:t>
        </x:is>
      </x:c>
      <x:c r="V27" s="303" t="n">
        <x:v>46264</x:v>
      </x:c>
      <x:c r="W27" s="138" t="inlineStr">
        <x:is>
          <x:t xml:space="preserve">用户自制Blender资产</x:t>
        </x:is>
      </x:c>
      <x:c r="X27" s="375" t="inlineStr">
        <x:is>
          <x:t xml:space="preserve">—</x:t>
        </x:is>
      </x:c>
      <x:c r="Y27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24608d0d872a→037a04006293。</x:t>
        </x:is>
      </x:c>
    </x:row>
    <x:row r="28">
      <x:c r="A28" s="138" t="inlineStr">
        <x:is>
          <x:t xml:space="preserve">WPN-GUN-BP-SNIPER</x:t>
        </x:is>
      </x:c>
      <x:c r="B28" s="138" t="inlineStr">
        <x:is>
          <x:t xml:space="preserve">弹弓狙击 / 糖果狙击枪造型</x:t>
        </x:is>
      </x:c>
      <x:c r="C28" s="138" t="inlineStr">
        <x:is>
          <x:t xml:space="preserve">武器</x:t>
        </x:is>
      </x:c>
      <x:c r="D28" s="138" t="inlineStr">
        <x:is>
          <x:t xml:space="preserve">gunbody</x:t>
        </x:is>
      </x:c>
      <x:c r="E28" s="138" t="inlineStr">
        <x:is>
          <x:t xml:space="preserve">bp_sniper</x:t>
        </x:is>
      </x:c>
      <x:c r="F28" s="138" t="inlineStr">
        <x:is>
          <x:t xml:space="preserve">root</x:t>
        </x:is>
      </x:c>
      <x:c r="G28" s="138" t="str"/>
      <x:c r="H28" s="138" t="inlineStr">
        <x:is>
          <x:t xml:space="preserve">俯视3D / local -Z 枪口</x:t>
        </x:is>
      </x:c>
      <x:c r="I28" s="138" t="inlineStr">
        <x:is>
          <x:t xml:space="preserve">default / 标准握把与8类挂点</x:t>
        </x:is>
      </x:c>
      <x:c r="J28" s="138" t="inlineStr">
        <x:is>
          <x:t xml:space="preserve">手持/背负/地面/UI 共用独立PackedScene</x:t>
        </x:is>
      </x:c>
      <x:c r="K28" s="138" t="inlineStr">
        <x:is>
          <x:t xml:space="preserve">已完成</x:t>
        </x:is>
      </x:c>
      <x:c r="L28" s="138" t="inlineStr">
        <x:is>
          <x:t xml:space="preserve">P1</x:t>
        </x:is>
      </x:c>
      <x:c r="M28" s="138" t="inlineStr">
        <x:is>
          <x:t xml:space="preserve">v001</x:t>
        </x:is>
      </x:c>
      <x:c r="N28" s="138" t="inlineStr">
        <x:is>
          <x:t xml:space="preserve">握把原点；local -Z枪口；3材质；独立GLB/PackedScene</x:t>
        </x:is>
      </x:c>
      <x:c r="O28" s="138" t="inlineStr">
        <x:is>
          <x:t xml:space="preserve">assets/art/weapons/weapon_3d/runtime/candy_sniper/wpn_candy_sniper_root_top3d_v001.tscn</x:t>
        </x:is>
      </x:c>
      <x:c r="P28" s="138" t="inlineStr">
        <x:is>
          <x:t xml:space="preserve">assets/art/weapons/weapon_3d/source/candy_sniper/wpn_candy_sniper_source_v001.blend; src/combat3d/WeaponModel3D.gd</x:t>
        </x:is>
      </x:c>
      <x:c r="Q28" s="138" t="inlineStr">
        <x:is>
          <x:t xml:space="preserve">bp_sniper; 糖果狙击枪; 握把原点; -Z枪口; 通用挂点; 多巴胺配色</x:t>
        </x:is>
      </x:c>
      <x:c r="R28" s="138" t="str">
        <x:f>LOWER(TRIM(C28)&amp;"|"&amp;TRIM(D28)&amp;"|"&amp;TRIM(E28)&amp;"|"&amp;TRIM(F28)&amp;"|"&amp;TRIM(H28)&amp;"|"&amp;TRIM(I28))</x:f>
        <x:v>武器|gunbody|bp_sniper|root|俯视3d / local -z 枪口|default / 标准握把与8类挂点</x:v>
      </x:c>
      <x:c r="S28" s="138" t="str">
        <x:f>IF(COUNTIF($R$6:$R$423,R28)&gt;1,"重复","唯一")</x:f>
        <x:v>唯一</x:v>
      </x:c>
      <x:c r="T28" s="138" t="inlineStr">
        <x:is>
          <x:t xml:space="preserve">0420a3cfa88542bb07b4491ab80e3c51ea196bdaa52af0f3345858133765e25c</x:t>
        </x:is>
      </x:c>
      <x:c r="U28" s="138" t="inlineStr">
        <x:is>
          <x:t xml:space="preserve">Codex</x:t>
        </x:is>
      </x:c>
      <x:c r="V28" s="303" t="n">
        <x:v>46264</x:v>
      </x:c>
      <x:c r="W28" s="138" t="inlineStr">
        <x:is>
          <x:t xml:space="preserve">用户自制Blender资产</x:t>
        </x:is>
      </x:c>
      <x:c r="X28" s="375" t="inlineStr">
        <x:is>
          <x:t xml:space="preserve">—</x:t>
        </x:is>
      </x:c>
      <x:c r="Y28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3900da0b2425→a9c319e031c0。</x:t>
        </x:is>
      </x:c>
    </x:row>
    <x:row r="29">
      <x:c r="A29" s="138" t="inlineStr">
        <x:is>
          <x:t xml:space="preserve">WPN-GUN-BP-LAUNCHER</x:t>
        </x:is>
      </x:c>
      <x:c r="B29" s="138" t="inlineStr">
        <x:is>
          <x:t xml:space="preserve">反胃榴弹筒 / 烤面包机造型</x:t>
        </x:is>
      </x:c>
      <x:c r="C29" s="138" t="inlineStr">
        <x:is>
          <x:t xml:space="preserve">武器</x:t>
        </x:is>
      </x:c>
      <x:c r="D29" s="138" t="inlineStr">
        <x:is>
          <x:t xml:space="preserve">gunbody</x:t>
        </x:is>
      </x:c>
      <x:c r="E29" s="138" t="inlineStr">
        <x:is>
          <x:t xml:space="preserve">bp_launcher</x:t>
        </x:is>
      </x:c>
      <x:c r="F29" s="138" t="inlineStr">
        <x:is>
          <x:t xml:space="preserve">root</x:t>
        </x:is>
      </x:c>
      <x:c r="G29" s="138" t="str"/>
      <x:c r="H29" s="138" t="inlineStr">
        <x:is>
          <x:t xml:space="preserve">俯视3D / local -Z 枪口</x:t>
        </x:is>
      </x:c>
      <x:c r="I29" s="138" t="inlineStr">
        <x:is>
          <x:t xml:space="preserve">default / 标准握把与8类挂点</x:t>
        </x:is>
      </x:c>
      <x:c r="J29" s="138" t="inlineStr">
        <x:is>
          <x:t xml:space="preserve">手持/背负/地面/UI 共用独立PackedScene</x:t>
        </x:is>
      </x:c>
      <x:c r="K29" s="138" t="inlineStr">
        <x:is>
          <x:t xml:space="preserve">已完成</x:t>
        </x:is>
      </x:c>
      <x:c r="L29" s="138" t="inlineStr">
        <x:is>
          <x:t xml:space="preserve">P1</x:t>
        </x:is>
      </x:c>
      <x:c r="M29" s="138" t="inlineStr">
        <x:is>
          <x:t xml:space="preserve">v001</x:t>
        </x:is>
      </x:c>
      <x:c r="N29" s="138" t="inlineStr">
        <x:is>
          <x:t xml:space="preserve">握把原点；local -Z枪口；3材质；独立GLB/PackedScene</x:t>
        </x:is>
      </x:c>
      <x:c r="O29" s="138" t="inlineStr">
        <x:is>
          <x:t xml:space="preserve">assets/art/weapons/weapon_3d/runtime/toaster_launcher/wpn_toaster_launcher_root_top3d_v001.tscn</x:t>
        </x:is>
      </x:c>
      <x:c r="P29" s="138" t="inlineStr">
        <x:is>
          <x:t xml:space="preserve">assets/art/weapons/weapon_3d/source/toaster_launcher/wpn_toaster_launcher_source_v001.blend; src/combat3d/WeaponModel3D.gd</x:t>
        </x:is>
      </x:c>
      <x:c r="Q29" s="138" t="inlineStr">
        <x:is>
          <x:t xml:space="preserve">bp_launcher; 烤面包机发射器; 握把原点; -Z枪口; 通用挂点; 多巴胺配色</x:t>
        </x:is>
      </x:c>
      <x:c r="R29" s="138" t="str">
        <x:f>LOWER(TRIM(C29)&amp;"|"&amp;TRIM(D29)&amp;"|"&amp;TRIM(E29)&amp;"|"&amp;TRIM(F29)&amp;"|"&amp;TRIM(H29)&amp;"|"&amp;TRIM(I29))</x:f>
        <x:v>武器|gunbody|bp_launcher|root|俯视3d / local -z 枪口|default / 标准握把与8类挂点</x:v>
      </x:c>
      <x:c r="S29" s="138" t="str">
        <x:f>IF(COUNTIF($R$6:$R$423,R29)&gt;1,"重复","唯一")</x:f>
        <x:v>唯一</x:v>
      </x:c>
      <x:c r="T29" s="138" t="inlineStr">
        <x:is>
          <x:t xml:space="preserve">12032855cedf0329be1addcf480b71b5d0ef59ea52c150171bc3d9ad12d2e638</x:t>
        </x:is>
      </x:c>
      <x:c r="U29" s="138" t="inlineStr">
        <x:is>
          <x:t xml:space="preserve">Codex</x:t>
        </x:is>
      </x:c>
      <x:c r="V29" s="303" t="n">
        <x:v>46264</x:v>
      </x:c>
      <x:c r="W29" s="138" t="inlineStr">
        <x:is>
          <x:t xml:space="preserve">用户自制Blender资产</x:t>
        </x:is>
      </x:c>
      <x:c r="X29" s="375" t="inlineStr">
        <x:is>
          <x:t xml:space="preserve">—</x:t>
        </x:is>
      </x:c>
      <x:c r="Y29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461e79fd5256→97d05fc29d0e。</x:t>
        </x:is>
      </x:c>
    </x:row>
    <x:row r="30">
      <x:c r="A30" s="138" t="inlineStr">
        <x:is>
          <x:t xml:space="preserve">WPN-GUN-BP-CHARGE</x:t>
        </x:is>
      </x:c>
      <x:c r="B30" s="138" t="inlineStr">
        <x:is>
          <x:t xml:space="preserve">蓄力萝卜炮 / 口香糖机造型</x:t>
        </x:is>
      </x:c>
      <x:c r="C30" s="138" t="inlineStr">
        <x:is>
          <x:t xml:space="preserve">武器</x:t>
        </x:is>
      </x:c>
      <x:c r="D30" s="138" t="inlineStr">
        <x:is>
          <x:t xml:space="preserve">gunbody</x:t>
        </x:is>
      </x:c>
      <x:c r="E30" s="138" t="inlineStr">
        <x:is>
          <x:t xml:space="preserve">bp_charge</x:t>
        </x:is>
      </x:c>
      <x:c r="F30" s="138" t="inlineStr">
        <x:is>
          <x:t xml:space="preserve">root</x:t>
        </x:is>
      </x:c>
      <x:c r="G30" s="138" t="str"/>
      <x:c r="H30" s="138" t="inlineStr">
        <x:is>
          <x:t xml:space="preserve">俯视3D / local -Z 枪口</x:t>
        </x:is>
      </x:c>
      <x:c r="I30" s="138" t="inlineStr">
        <x:is>
          <x:t xml:space="preserve">default / 标准握把与8类挂点</x:t>
        </x:is>
      </x:c>
      <x:c r="J30" s="138" t="inlineStr">
        <x:is>
          <x:t xml:space="preserve">手持/背负/地面/UI 共用独立PackedScene</x:t>
        </x:is>
      </x:c>
      <x:c r="K30" s="138" t="inlineStr">
        <x:is>
          <x:t xml:space="preserve">已完成</x:t>
        </x:is>
      </x:c>
      <x:c r="L30" s="138" t="inlineStr">
        <x:is>
          <x:t xml:space="preserve">P2</x:t>
        </x:is>
      </x:c>
      <x:c r="M30" s="138" t="inlineStr">
        <x:is>
          <x:t xml:space="preserve">v001</x:t>
        </x:is>
      </x:c>
      <x:c r="N30" s="138" t="inlineStr">
        <x:is>
          <x:t xml:space="preserve">握把原点；local -Z枪口；3材质；独立GLB/PackedScene</x:t>
        </x:is>
      </x:c>
      <x:c r="O30" s="138" t="inlineStr">
        <x:is>
          <x:t xml:space="preserve">assets/art/weapons/weapon_3d/runtime/gumball_cannon/wpn_gumball_cannon_root_top3d_v001.tscn</x:t>
        </x:is>
      </x:c>
      <x:c r="P30" s="138" t="inlineStr">
        <x:is>
          <x:t xml:space="preserve">assets/art/weapons/weapon_3d/source/gumball_cannon/wpn_gumball_cannon_source_v001.blend; src/combat3d/WeaponModel3D.gd</x:t>
        </x:is>
      </x:c>
      <x:c r="Q30" s="138" t="inlineStr">
        <x:is>
          <x:t xml:space="preserve">bp_charge; 口香糖机加农炮; 握把原点; -Z枪口; 通用挂点; 多巴胺配色</x:t>
        </x:is>
      </x:c>
      <x:c r="R30" s="138" t="str">
        <x:f>LOWER(TRIM(C30)&amp;"|"&amp;TRIM(D30)&amp;"|"&amp;TRIM(E30)&amp;"|"&amp;TRIM(F30)&amp;"|"&amp;TRIM(H30)&amp;"|"&amp;TRIM(I30))</x:f>
        <x:v>武器|gunbody|bp_charge|root|俯视3d / local -z 枪口|default / 标准握把与8类挂点</x:v>
      </x:c>
      <x:c r="S30" s="138" t="str">
        <x:f>IF(COUNTIF($R$6:$R$423,R30)&gt;1,"重复","唯一")</x:f>
        <x:v>唯一</x:v>
      </x:c>
      <x:c r="T30" s="138" t="inlineStr">
        <x:is>
          <x:t xml:space="preserve">0a2b6d1f567042f536a25f9e6ba692c294402595000bec1a41db938904a92119</x:t>
        </x:is>
      </x:c>
      <x:c r="U30" s="138" t="inlineStr">
        <x:is>
          <x:t xml:space="preserve">Codex</x:t>
        </x:is>
      </x:c>
      <x:c r="V30" s="303" t="n">
        <x:v>46264</x:v>
      </x:c>
      <x:c r="W30" s="138" t="inlineStr">
        <x:is>
          <x:t xml:space="preserve">用户自制Blender资产</x:t>
        </x:is>
      </x:c>
      <x:c r="X30" s="375" t="inlineStr">
        <x:is>
          <x:t xml:space="preserve">—</x:t>
        </x:is>
      </x:c>
      <x:c r="Y30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94576279e46f→1c494d0811ef。</x:t>
        </x:is>
      </x:c>
    </x:row>
    <x:row r="31">
      <x:c r="A31" s="138" t="inlineStr">
        <x:is>
          <x:t xml:space="preserve">WPN-BUL-MOD-BULLET-STANDARD</x:t>
        </x:is>
      </x:c>
      <x:c r="B31" s="138" t="inlineStr">
        <x:is>
          <x:t xml:space="preserve">标准子弹</x:t>
        </x:is>
      </x:c>
      <x:c r="C31" s="138" t="inlineStr">
        <x:is>
          <x:t xml:space="preserve">武器</x:t>
        </x:is>
      </x:c>
      <x:c r="D31" s="138" t="inlineStr">
        <x:is>
          <x:t xml:space="preserve">bullet_module</x:t>
        </x:is>
      </x:c>
      <x:c r="E31" s="138" t="inlineStr">
        <x:is>
          <x:t xml:space="preserve">mod_bullet_standard</x:t>
        </x:is>
      </x:c>
      <x:c r="F31" s="138" t="inlineStr">
        <x:is>
          <x:t xml:space="preserve">root</x:t>
        </x:is>
      </x:c>
      <x:c r="G31" s="138" t="str"/>
      <x:c r="H31" s="138" t="inlineStr">
        <x:is>
          <x:t xml:space="preserve">顶视/方向无关</x:t>
        </x:is>
      </x:c>
      <x:c r="I31" s="138" t="inlineStr">
        <x:is>
          <x:t xml:space="preserve">default</x:t>
        </x:is>
      </x:c>
      <x:c r="J31" s="138" t="inlineStr">
        <x:is>
          <x:t xml:space="preserve">弹体/VFX/UI 图标</x:t>
        </x:is>
      </x:c>
      <x:c r="K31" s="138" t="inlineStr">
        <x:is>
          <x:t xml:space="preserve">程序占位</x:t>
        </x:is>
      </x:c>
      <x:c r="L31" s="138" t="inlineStr">
        <x:is>
          <x:t xml:space="preserve">P1</x:t>
        </x:is>
      </x:c>
      <x:c r="M31" s="138" t="inlineStr">
        <x:is>
          <x:t xml:space="preserve">v001</x:t>
        </x:is>
      </x:c>
      <x:c r="N31" s="138" t="inlineStr">
        <x:is>
          <x:t xml:space="preserve">建议 12×12 px</x:t>
        </x:is>
      </x:c>
      <x:c r="O31" s="138" t="str"/>
      <x:c r="P31" s="138" t="inlineStr">
        <x:is>
          <x:t xml:space="preserve">src/base/BlueprintRegistry.gd</x:t>
        </x:is>
      </x:c>
      <x:c r="Q31" s="138" t="str"/>
      <x:c r="R31" s="138" t="str">
        <x:f>LOWER(TRIM(C31)&amp;"|"&amp;TRIM(D31)&amp;"|"&amp;TRIM(E31)&amp;"|"&amp;TRIM(F31)&amp;"|"&amp;TRIM(H31)&amp;"|"&amp;TRIM(I31))</x:f>
        <x:v>武器|bullet_module|mod_bullet_standard|root|顶视/方向无关|default</x:v>
      </x:c>
      <x:c r="S31" s="138" t="str">
        <x:f>IF(COUNTIF($R$6:$R$423,R31)&gt;1,"重复","唯一")</x:f>
        <x:v>唯一</x:v>
      </x:c>
      <x:c r="T31" s="138" t="str"/>
      <x:c r="U31" s="138" t="inlineStr">
        <x:is>
          <x:t xml:space="preserve">待分配</x:t>
        </x:is>
      </x:c>
      <x:c r="V31" s="303" t="n">
        <x:v>46224</x:v>
      </x:c>
      <x:c r="W31" s="138" t="inlineStr">
        <x:is>
          <x:t xml:space="preserve">原创/待确认</x:t>
        </x:is>
      </x:c>
      <x:c r="X31" s="375" t="inlineStr">
        <x:is>
          <x:t xml:space="preserve">—</x:t>
        </x:is>
      </x:c>
      <x:c r="Y31" s="138" t="inlineStr">
        <x:is>
          <x:t xml:space="preserve">优先复用颜色和弹道特效，不为每把枪重复制作
2026-08-30 AST-01规范化（原大类：枪械）</x:t>
        </x:is>
      </x:c>
    </x:row>
    <x:row r="32">
      <x:c r="A32" s="138" t="inlineStr">
        <x:is>
          <x:t xml:space="preserve">WPN-BUL-MOD-BULLET-STICKY</x:t>
        </x:is>
      </x:c>
      <x:c r="B32" s="138" t="inlineStr">
        <x:is>
          <x:t xml:space="preserve">黏黏弹</x:t>
        </x:is>
      </x:c>
      <x:c r="C32" s="138" t="inlineStr">
        <x:is>
          <x:t xml:space="preserve">武器</x:t>
        </x:is>
      </x:c>
      <x:c r="D32" s="138" t="inlineStr">
        <x:is>
          <x:t xml:space="preserve">bullet_module</x:t>
        </x:is>
      </x:c>
      <x:c r="E32" s="138" t="inlineStr">
        <x:is>
          <x:t xml:space="preserve">mod_bullet_sticky</x:t>
        </x:is>
      </x:c>
      <x:c r="F32" s="138" t="inlineStr">
        <x:is>
          <x:t xml:space="preserve">root</x:t>
        </x:is>
      </x:c>
      <x:c r="G32" s="138" t="str"/>
      <x:c r="H32" s="138" t="inlineStr">
        <x:is>
          <x:t xml:space="preserve">顶视/方向无关</x:t>
        </x:is>
      </x:c>
      <x:c r="I32" s="138" t="inlineStr">
        <x:is>
          <x:t xml:space="preserve">default</x:t>
        </x:is>
      </x:c>
      <x:c r="J32" s="138" t="inlineStr">
        <x:is>
          <x:t xml:space="preserve">弹体/VFX/UI 图标</x:t>
        </x:is>
      </x:c>
      <x:c r="K32" s="138" t="inlineStr">
        <x:is>
          <x:t xml:space="preserve">程序占位</x:t>
        </x:is>
      </x:c>
      <x:c r="L32" s="138" t="inlineStr">
        <x:is>
          <x:t xml:space="preserve">P1</x:t>
        </x:is>
      </x:c>
      <x:c r="M32" s="138" t="inlineStr">
        <x:is>
          <x:t xml:space="preserve">v001</x:t>
        </x:is>
      </x:c>
      <x:c r="N32" s="138" t="inlineStr">
        <x:is>
          <x:t xml:space="preserve">建议 12×12 px</x:t>
        </x:is>
      </x:c>
      <x:c r="O32" s="138" t="str"/>
      <x:c r="P32" s="138" t="inlineStr">
        <x:is>
          <x:t xml:space="preserve">src/base/BlueprintRegistry.gd</x:t>
        </x:is>
      </x:c>
      <x:c r="Q32" s="138" t="str"/>
      <x:c r="R32" s="138" t="str">
        <x:f>LOWER(TRIM(C32)&amp;"|"&amp;TRIM(D32)&amp;"|"&amp;TRIM(E32)&amp;"|"&amp;TRIM(F32)&amp;"|"&amp;TRIM(H32)&amp;"|"&amp;TRIM(I32))</x:f>
        <x:v>武器|bullet_module|mod_bullet_sticky|root|顶视/方向无关|default</x:v>
      </x:c>
      <x:c r="S32" s="138" t="str">
        <x:f>IF(COUNTIF($R$6:$R$423,R32)&gt;1,"重复","唯一")</x:f>
        <x:v>唯一</x:v>
      </x:c>
      <x:c r="T32" s="138" t="str"/>
      <x:c r="U32" s="138" t="inlineStr">
        <x:is>
          <x:t xml:space="preserve">待分配</x:t>
        </x:is>
      </x:c>
      <x:c r="V32" s="303" t="n">
        <x:v>46224</x:v>
      </x:c>
      <x:c r="W32" s="138" t="inlineStr">
        <x:is>
          <x:t xml:space="preserve">原创/待确认</x:t>
        </x:is>
      </x:c>
      <x:c r="X32" s="375" t="inlineStr">
        <x:is>
          <x:t xml:space="preserve">—</x:t>
        </x:is>
      </x:c>
      <x:c r="Y32" s="138" t="inlineStr">
        <x:is>
          <x:t xml:space="preserve">优先复用颜色和弹道特效，不为每把枪重复制作
2026-08-30 AST-01规范化（原大类：枪械）</x:t>
        </x:is>
      </x:c>
    </x:row>
    <x:row r="33">
      <x:c r="A33" s="138" t="inlineStr">
        <x:is>
          <x:t xml:space="preserve">WPN-BUL-MOD-BULLET-BOUNCE</x:t>
        </x:is>
      </x:c>
      <x:c r="B33" s="138" t="inlineStr">
        <x:is>
          <x:t xml:space="preserve">回旋镖弹</x:t>
        </x:is>
      </x:c>
      <x:c r="C33" s="138" t="inlineStr">
        <x:is>
          <x:t xml:space="preserve">武器</x:t>
        </x:is>
      </x:c>
      <x:c r="D33" s="138" t="inlineStr">
        <x:is>
          <x:t xml:space="preserve">bullet_module</x:t>
        </x:is>
      </x:c>
      <x:c r="E33" s="138" t="inlineStr">
        <x:is>
          <x:t xml:space="preserve">mod_bullet_bounce</x:t>
        </x:is>
      </x:c>
      <x:c r="F33" s="138" t="inlineStr">
        <x:is>
          <x:t xml:space="preserve">root</x:t>
        </x:is>
      </x:c>
      <x:c r="G33" s="138" t="str"/>
      <x:c r="H33" s="138" t="inlineStr">
        <x:is>
          <x:t xml:space="preserve">顶视/方向无关</x:t>
        </x:is>
      </x:c>
      <x:c r="I33" s="138" t="inlineStr">
        <x:is>
          <x:t xml:space="preserve">default</x:t>
        </x:is>
      </x:c>
      <x:c r="J33" s="138" t="inlineStr">
        <x:is>
          <x:t xml:space="preserve">弹体/VFX/UI 图标</x:t>
        </x:is>
      </x:c>
      <x:c r="K33" s="138" t="inlineStr">
        <x:is>
          <x:t xml:space="preserve">程序占位</x:t>
        </x:is>
      </x:c>
      <x:c r="L33" s="138" t="inlineStr">
        <x:is>
          <x:t xml:space="preserve">P1</x:t>
        </x:is>
      </x:c>
      <x:c r="M33" s="138" t="inlineStr">
        <x:is>
          <x:t xml:space="preserve">v001</x:t>
        </x:is>
      </x:c>
      <x:c r="N33" s="138" t="inlineStr">
        <x:is>
          <x:t xml:space="preserve">建议 12×12 px</x:t>
        </x:is>
      </x:c>
      <x:c r="O33" s="138" t="str"/>
      <x:c r="P33" s="138" t="inlineStr">
        <x:is>
          <x:t xml:space="preserve">src/base/BlueprintRegistry.gd</x:t>
        </x:is>
      </x:c>
      <x:c r="Q33" s="138" t="str"/>
      <x:c r="R33" s="138" t="str">
        <x:f>LOWER(TRIM(C33)&amp;"|"&amp;TRIM(D33)&amp;"|"&amp;TRIM(E33)&amp;"|"&amp;TRIM(F33)&amp;"|"&amp;TRIM(H33)&amp;"|"&amp;TRIM(I33))</x:f>
        <x:v>武器|bullet_module|mod_bullet_bounce|root|顶视/方向无关|default</x:v>
      </x:c>
      <x:c r="S33" s="138" t="str">
        <x:f>IF(COUNTIF($R$6:$R$423,R33)&gt;1,"重复","唯一")</x:f>
        <x:v>唯一</x:v>
      </x:c>
      <x:c r="T33" s="138" t="str"/>
      <x:c r="U33" s="138" t="inlineStr">
        <x:is>
          <x:t xml:space="preserve">待分配</x:t>
        </x:is>
      </x:c>
      <x:c r="V33" s="303" t="n">
        <x:v>46224</x:v>
      </x:c>
      <x:c r="W33" s="138" t="inlineStr">
        <x:is>
          <x:t xml:space="preserve">原创/待确认</x:t>
        </x:is>
      </x:c>
      <x:c r="X33" s="375" t="inlineStr">
        <x:is>
          <x:t xml:space="preserve">—</x:t>
        </x:is>
      </x:c>
      <x:c r="Y33" s="138" t="inlineStr">
        <x:is>
          <x:t xml:space="preserve">优先复用颜色和弹道特效，不为每把枪重复制作
2026-08-30 AST-01规范化（原大类：枪械）</x:t>
        </x:is>
      </x:c>
    </x:row>
    <x:row r="34">
      <x:c r="A34" s="138" t="inlineStr">
        <x:is>
          <x:t xml:space="preserve">WPN-BUL-MOD-BULLET-PIERCING</x:t>
        </x:is>
      </x:c>
      <x:c r="B34" s="138" t="inlineStr">
        <x:is>
          <x:t xml:space="preserve">穿甲弹</x:t>
        </x:is>
      </x:c>
      <x:c r="C34" s="138" t="inlineStr">
        <x:is>
          <x:t xml:space="preserve">武器</x:t>
        </x:is>
      </x:c>
      <x:c r="D34" s="138" t="inlineStr">
        <x:is>
          <x:t xml:space="preserve">bullet_module</x:t>
        </x:is>
      </x:c>
      <x:c r="E34" s="138" t="inlineStr">
        <x:is>
          <x:t xml:space="preserve">mod_bullet_piercing</x:t>
        </x:is>
      </x:c>
      <x:c r="F34" s="138" t="inlineStr">
        <x:is>
          <x:t xml:space="preserve">root</x:t>
        </x:is>
      </x:c>
      <x:c r="G34" s="138" t="str"/>
      <x:c r="H34" s="138" t="inlineStr">
        <x:is>
          <x:t xml:space="preserve">顶视/方向无关</x:t>
        </x:is>
      </x:c>
      <x:c r="I34" s="138" t="inlineStr">
        <x:is>
          <x:t xml:space="preserve">default</x:t>
        </x:is>
      </x:c>
      <x:c r="J34" s="138" t="inlineStr">
        <x:is>
          <x:t xml:space="preserve">弹体/VFX/UI 图标</x:t>
        </x:is>
      </x:c>
      <x:c r="K34" s="138" t="inlineStr">
        <x:is>
          <x:t xml:space="preserve">程序占位</x:t>
        </x:is>
      </x:c>
      <x:c r="L34" s="138" t="inlineStr">
        <x:is>
          <x:t xml:space="preserve">P1</x:t>
        </x:is>
      </x:c>
      <x:c r="M34" s="138" t="inlineStr">
        <x:is>
          <x:t xml:space="preserve">v001</x:t>
        </x:is>
      </x:c>
      <x:c r="N34" s="138" t="inlineStr">
        <x:is>
          <x:t xml:space="preserve">建议 12×12 px</x:t>
        </x:is>
      </x:c>
      <x:c r="O34" s="138" t="str"/>
      <x:c r="P34" s="138" t="inlineStr">
        <x:is>
          <x:t xml:space="preserve">src/base/BlueprintRegistry.gd</x:t>
        </x:is>
      </x:c>
      <x:c r="Q34" s="138" t="str"/>
      <x:c r="R34" s="138" t="str">
        <x:f>LOWER(TRIM(C34)&amp;"|"&amp;TRIM(D34)&amp;"|"&amp;TRIM(E34)&amp;"|"&amp;TRIM(F34)&amp;"|"&amp;TRIM(H34)&amp;"|"&amp;TRIM(I34))</x:f>
        <x:v>武器|bullet_module|mod_bullet_piercing|root|顶视/方向无关|default</x:v>
      </x:c>
      <x:c r="S34" s="138" t="str">
        <x:f>IF(COUNTIF($R$6:$R$423,R34)&gt;1,"重复","唯一")</x:f>
        <x:v>唯一</x:v>
      </x:c>
      <x:c r="T34" s="138" t="str"/>
      <x:c r="U34" s="138" t="inlineStr">
        <x:is>
          <x:t xml:space="preserve">待分配</x:t>
        </x:is>
      </x:c>
      <x:c r="V34" s="303" t="n">
        <x:v>46224</x:v>
      </x:c>
      <x:c r="W34" s="138" t="inlineStr">
        <x:is>
          <x:t xml:space="preserve">原创/待确认</x:t>
        </x:is>
      </x:c>
      <x:c r="X34" s="375" t="inlineStr">
        <x:is>
          <x:t xml:space="preserve">—</x:t>
        </x:is>
      </x:c>
      <x:c r="Y34" s="138" t="inlineStr">
        <x:is>
          <x:t xml:space="preserve">优先复用颜色和弹道特效，不为每把枪重复制作
2026-08-30 AST-01规范化（原大类：枪械）</x:t>
        </x:is>
      </x:c>
    </x:row>
    <x:row r="35">
      <x:c r="A35" s="138" t="inlineStr">
        <x:is>
          <x:t xml:space="preserve">WPN-BUL-MOD-BULLET-EXPLOSIVE</x:t>
        </x:is>
      </x:c>
      <x:c r="B35" s="138" t="inlineStr">
        <x:is>
          <x:t xml:space="preserve">爆炸弹</x:t>
        </x:is>
      </x:c>
      <x:c r="C35" s="138" t="inlineStr">
        <x:is>
          <x:t xml:space="preserve">武器</x:t>
        </x:is>
      </x:c>
      <x:c r="D35" s="138" t="inlineStr">
        <x:is>
          <x:t xml:space="preserve">bullet_module</x:t>
        </x:is>
      </x:c>
      <x:c r="E35" s="138" t="inlineStr">
        <x:is>
          <x:t xml:space="preserve">mod_bullet_explosive</x:t>
        </x:is>
      </x:c>
      <x:c r="F35" s="138" t="inlineStr">
        <x:is>
          <x:t xml:space="preserve">root</x:t>
        </x:is>
      </x:c>
      <x:c r="G35" s="138" t="str"/>
      <x:c r="H35" s="138" t="inlineStr">
        <x:is>
          <x:t xml:space="preserve">顶视/方向无关</x:t>
        </x:is>
      </x:c>
      <x:c r="I35" s="138" t="inlineStr">
        <x:is>
          <x:t xml:space="preserve">default</x:t>
        </x:is>
      </x:c>
      <x:c r="J35" s="138" t="inlineStr">
        <x:is>
          <x:t xml:space="preserve">弹体/VFX/UI 图标</x:t>
        </x:is>
      </x:c>
      <x:c r="K35" s="138" t="inlineStr">
        <x:is>
          <x:t xml:space="preserve">程序占位</x:t>
        </x:is>
      </x:c>
      <x:c r="L35" s="138" t="inlineStr">
        <x:is>
          <x:t xml:space="preserve">P1</x:t>
        </x:is>
      </x:c>
      <x:c r="M35" s="138" t="inlineStr">
        <x:is>
          <x:t xml:space="preserve">v001</x:t>
        </x:is>
      </x:c>
      <x:c r="N35" s="138" t="inlineStr">
        <x:is>
          <x:t xml:space="preserve">建议 12×12 px</x:t>
        </x:is>
      </x:c>
      <x:c r="O35" s="138" t="str"/>
      <x:c r="P35" s="138" t="inlineStr">
        <x:is>
          <x:t xml:space="preserve">src/base/BlueprintRegistry.gd</x:t>
        </x:is>
      </x:c>
      <x:c r="Q35" s="138" t="str"/>
      <x:c r="R35" s="138" t="str">
        <x:f>LOWER(TRIM(C35)&amp;"|"&amp;TRIM(D35)&amp;"|"&amp;TRIM(E35)&amp;"|"&amp;TRIM(F35)&amp;"|"&amp;TRIM(H35)&amp;"|"&amp;TRIM(I35))</x:f>
        <x:v>武器|bullet_module|mod_bullet_explosive|root|顶视/方向无关|default</x:v>
      </x:c>
      <x:c r="S35" s="138" t="str">
        <x:f>IF(COUNTIF($R$6:$R$423,R35)&gt;1,"重复","唯一")</x:f>
        <x:v>唯一</x:v>
      </x:c>
      <x:c r="T35" s="138" t="str"/>
      <x:c r="U35" s="138" t="inlineStr">
        <x:is>
          <x:t xml:space="preserve">待分配</x:t>
        </x:is>
      </x:c>
      <x:c r="V35" s="303" t="n">
        <x:v>46224</x:v>
      </x:c>
      <x:c r="W35" s="138" t="inlineStr">
        <x:is>
          <x:t xml:space="preserve">原创/待确认</x:t>
        </x:is>
      </x:c>
      <x:c r="X35" s="375" t="inlineStr">
        <x:is>
          <x:t xml:space="preserve">—</x:t>
        </x:is>
      </x:c>
      <x:c r="Y35" s="138" t="inlineStr">
        <x:is>
          <x:t xml:space="preserve">优先复用颜色和弹道特效，不为每把枪重复制作
2026-08-30 AST-01规范化（原大类：枪械）</x:t>
        </x:is>
      </x:c>
    </x:row>
    <x:row r="36">
      <x:c r="A36" s="138" t="inlineStr">
        <x:is>
          <x:t xml:space="preserve">WPN-BUL-MOD-BULLET-HOMING</x:t>
        </x:is>
      </x:c>
      <x:c r="B36" s="138" t="inlineStr">
        <x:is>
          <x:t xml:space="preserve">蜂卵弹</x:t>
        </x:is>
      </x:c>
      <x:c r="C36" s="138" t="inlineStr">
        <x:is>
          <x:t xml:space="preserve">武器</x:t>
        </x:is>
      </x:c>
      <x:c r="D36" s="138" t="inlineStr">
        <x:is>
          <x:t xml:space="preserve">bullet_module</x:t>
        </x:is>
      </x:c>
      <x:c r="E36" s="138" t="inlineStr">
        <x:is>
          <x:t xml:space="preserve">mod_bullet_homing</x:t>
        </x:is>
      </x:c>
      <x:c r="F36" s="138" t="inlineStr">
        <x:is>
          <x:t xml:space="preserve">root</x:t>
        </x:is>
      </x:c>
      <x:c r="G36" s="138" t="str"/>
      <x:c r="H36" s="138" t="inlineStr">
        <x:is>
          <x:t xml:space="preserve">顶视/方向无关</x:t>
        </x:is>
      </x:c>
      <x:c r="I36" s="138" t="inlineStr">
        <x:is>
          <x:t xml:space="preserve">default</x:t>
        </x:is>
      </x:c>
      <x:c r="J36" s="138" t="inlineStr">
        <x:is>
          <x:t xml:space="preserve">弹体/VFX/UI 图标</x:t>
        </x:is>
      </x:c>
      <x:c r="K36" s="138" t="inlineStr">
        <x:is>
          <x:t xml:space="preserve">程序占位</x:t>
        </x:is>
      </x:c>
      <x:c r="L36" s="138" t="inlineStr">
        <x:is>
          <x:t xml:space="preserve">P1</x:t>
        </x:is>
      </x:c>
      <x:c r="M36" s="138" t="inlineStr">
        <x:is>
          <x:t xml:space="preserve">v001</x:t>
        </x:is>
      </x:c>
      <x:c r="N36" s="138" t="inlineStr">
        <x:is>
          <x:t xml:space="preserve">建议 12×12 px</x:t>
        </x:is>
      </x:c>
      <x:c r="O36" s="138" t="str"/>
      <x:c r="P36" s="138" t="inlineStr">
        <x:is>
          <x:t xml:space="preserve">src/base/BlueprintRegistry.gd</x:t>
        </x:is>
      </x:c>
      <x:c r="Q36" s="138" t="str"/>
      <x:c r="R36" s="138" t="str">
        <x:f>LOWER(TRIM(C36)&amp;"|"&amp;TRIM(D36)&amp;"|"&amp;TRIM(E36)&amp;"|"&amp;TRIM(F36)&amp;"|"&amp;TRIM(H36)&amp;"|"&amp;TRIM(I36))</x:f>
        <x:v>武器|bullet_module|mod_bullet_homing|root|顶视/方向无关|default</x:v>
      </x:c>
      <x:c r="S36" s="138" t="str">
        <x:f>IF(COUNTIF($R$6:$R$423,R36)&gt;1,"重复","唯一")</x:f>
        <x:v>唯一</x:v>
      </x:c>
      <x:c r="T36" s="138" t="str"/>
      <x:c r="U36" s="138" t="inlineStr">
        <x:is>
          <x:t xml:space="preserve">待分配</x:t>
        </x:is>
      </x:c>
      <x:c r="V36" s="303" t="n">
        <x:v>46224</x:v>
      </x:c>
      <x:c r="W36" s="138" t="inlineStr">
        <x:is>
          <x:t xml:space="preserve">原创/待确认</x:t>
        </x:is>
      </x:c>
      <x:c r="X36" s="375" t="inlineStr">
        <x:is>
          <x:t xml:space="preserve">—</x:t>
        </x:is>
      </x:c>
      <x:c r="Y36" s="138" t="inlineStr">
        <x:is>
          <x:t xml:space="preserve">优先复用颜色和弹道特效，不为每把枪重复制作
2026-08-30 AST-01规范化（原大类：枪械）</x:t>
        </x:is>
      </x:c>
    </x:row>
    <x:row r="37">
      <x:c r="A37" s="138" t="inlineStr">
        <x:is>
          <x:t xml:space="preserve">WPN-BUL-MOD-BULLET-BLACKHOLE</x:t>
        </x:is>
      </x:c>
      <x:c r="B37" s="138" t="inlineStr">
        <x:is>
          <x:t xml:space="preserve">黑洞弹</x:t>
        </x:is>
      </x:c>
      <x:c r="C37" s="138" t="inlineStr">
        <x:is>
          <x:t xml:space="preserve">武器</x:t>
        </x:is>
      </x:c>
      <x:c r="D37" s="138" t="inlineStr">
        <x:is>
          <x:t xml:space="preserve">bullet_module</x:t>
        </x:is>
      </x:c>
      <x:c r="E37" s="138" t="inlineStr">
        <x:is>
          <x:t xml:space="preserve">mod_bullet_blackhole</x:t>
        </x:is>
      </x:c>
      <x:c r="F37" s="138" t="inlineStr">
        <x:is>
          <x:t xml:space="preserve">root</x:t>
        </x:is>
      </x:c>
      <x:c r="G37" s="138" t="str"/>
      <x:c r="H37" s="138" t="inlineStr">
        <x:is>
          <x:t xml:space="preserve">顶视/方向无关</x:t>
        </x:is>
      </x:c>
      <x:c r="I37" s="138" t="inlineStr">
        <x:is>
          <x:t xml:space="preserve">default</x:t>
        </x:is>
      </x:c>
      <x:c r="J37" s="138" t="inlineStr">
        <x:is>
          <x:t xml:space="preserve">弹体/VFX/UI 图标</x:t>
        </x:is>
      </x:c>
      <x:c r="K37" s="138" t="inlineStr">
        <x:is>
          <x:t xml:space="preserve">程序占位</x:t>
        </x:is>
      </x:c>
      <x:c r="L37" s="138" t="inlineStr">
        <x:is>
          <x:t xml:space="preserve">P1</x:t>
        </x:is>
      </x:c>
      <x:c r="M37" s="138" t="inlineStr">
        <x:is>
          <x:t xml:space="preserve">v001</x:t>
        </x:is>
      </x:c>
      <x:c r="N37" s="138" t="inlineStr">
        <x:is>
          <x:t xml:space="preserve">建议 12×12 px</x:t>
        </x:is>
      </x:c>
      <x:c r="O37" s="138" t="str"/>
      <x:c r="P37" s="138" t="inlineStr">
        <x:is>
          <x:t xml:space="preserve">src/base/BlueprintRegistry.gd</x:t>
        </x:is>
      </x:c>
      <x:c r="Q37" s="138" t="str"/>
      <x:c r="R37" s="138" t="str">
        <x:f>LOWER(TRIM(C37)&amp;"|"&amp;TRIM(D37)&amp;"|"&amp;TRIM(E37)&amp;"|"&amp;TRIM(F37)&amp;"|"&amp;TRIM(H37)&amp;"|"&amp;TRIM(I37))</x:f>
        <x:v>武器|bullet_module|mod_bullet_blackhole|root|顶视/方向无关|default</x:v>
      </x:c>
      <x:c r="S37" s="138" t="str">
        <x:f>IF(COUNTIF($R$6:$R$423,R37)&gt;1,"重复","唯一")</x:f>
        <x:v>唯一</x:v>
      </x:c>
      <x:c r="T37" s="138" t="str"/>
      <x:c r="U37" s="138" t="inlineStr">
        <x:is>
          <x:t xml:space="preserve">待分配</x:t>
        </x:is>
      </x:c>
      <x:c r="V37" s="303" t="n">
        <x:v>46224</x:v>
      </x:c>
      <x:c r="W37" s="138" t="inlineStr">
        <x:is>
          <x:t xml:space="preserve">原创/待确认</x:t>
        </x:is>
      </x:c>
      <x:c r="X37" s="375" t="inlineStr">
        <x:is>
          <x:t xml:space="preserve">—</x:t>
        </x:is>
      </x:c>
      <x:c r="Y37" s="138" t="inlineStr">
        <x:is>
          <x:t xml:space="preserve">优先复用颜色和弹道特效，不为每把枪重复制作
2026-08-30 AST-01规范化（原大类：枪械）</x:t>
        </x:is>
      </x:c>
    </x:row>
    <x:row r="38">
      <x:c r="A38" s="138" t="inlineStr">
        <x:is>
          <x:t xml:space="preserve">WPN-BUL-MOD-BULLET-BALLOON</x:t>
        </x:is>
      </x:c>
      <x:c r="B38" s="138" t="inlineStr">
        <x:is>
          <x:t xml:space="preserve">气球弹</x:t>
        </x:is>
      </x:c>
      <x:c r="C38" s="138" t="inlineStr">
        <x:is>
          <x:t xml:space="preserve">武器</x:t>
        </x:is>
      </x:c>
      <x:c r="D38" s="138" t="inlineStr">
        <x:is>
          <x:t xml:space="preserve">bullet_module</x:t>
        </x:is>
      </x:c>
      <x:c r="E38" s="138" t="inlineStr">
        <x:is>
          <x:t xml:space="preserve">mod_bullet_balloon</x:t>
        </x:is>
      </x:c>
      <x:c r="F38" s="138" t="inlineStr">
        <x:is>
          <x:t xml:space="preserve">root</x:t>
        </x:is>
      </x:c>
      <x:c r="G38" s="138" t="str"/>
      <x:c r="H38" s="138" t="inlineStr">
        <x:is>
          <x:t xml:space="preserve">顶视/方向无关</x:t>
        </x:is>
      </x:c>
      <x:c r="I38" s="138" t="inlineStr">
        <x:is>
          <x:t xml:space="preserve">default</x:t>
        </x:is>
      </x:c>
      <x:c r="J38" s="138" t="inlineStr">
        <x:is>
          <x:t xml:space="preserve">弹体/VFX/UI 图标</x:t>
        </x:is>
      </x:c>
      <x:c r="K38" s="138" t="inlineStr">
        <x:is>
          <x:t xml:space="preserve">程序占位</x:t>
        </x:is>
      </x:c>
      <x:c r="L38" s="138" t="inlineStr">
        <x:is>
          <x:t xml:space="preserve">P1</x:t>
        </x:is>
      </x:c>
      <x:c r="M38" s="138" t="inlineStr">
        <x:is>
          <x:t xml:space="preserve">v001</x:t>
        </x:is>
      </x:c>
      <x:c r="N38" s="138" t="inlineStr">
        <x:is>
          <x:t xml:space="preserve">建议 12×12 px</x:t>
        </x:is>
      </x:c>
      <x:c r="O38" s="138" t="str"/>
      <x:c r="P38" s="138" t="inlineStr">
        <x:is>
          <x:t xml:space="preserve">src/base/BlueprintRegistry.gd</x:t>
        </x:is>
      </x:c>
      <x:c r="Q38" s="138" t="str"/>
      <x:c r="R38" s="138" t="str">
        <x:f>LOWER(TRIM(C38)&amp;"|"&amp;TRIM(D38)&amp;"|"&amp;TRIM(E38)&amp;"|"&amp;TRIM(F38)&amp;"|"&amp;TRIM(H38)&amp;"|"&amp;TRIM(I38))</x:f>
        <x:v>武器|bullet_module|mod_bullet_balloon|root|顶视/方向无关|default</x:v>
      </x:c>
      <x:c r="S38" s="138" t="str">
        <x:f>IF(COUNTIF($R$6:$R$423,R38)&gt;1,"重复","唯一")</x:f>
        <x:v>唯一</x:v>
      </x:c>
      <x:c r="T38" s="138" t="str"/>
      <x:c r="U38" s="138" t="inlineStr">
        <x:is>
          <x:t xml:space="preserve">待分配</x:t>
        </x:is>
      </x:c>
      <x:c r="V38" s="303" t="n">
        <x:v>46224</x:v>
      </x:c>
      <x:c r="W38" s="138" t="inlineStr">
        <x:is>
          <x:t xml:space="preserve">原创/待确认</x:t>
        </x:is>
      </x:c>
      <x:c r="X38" s="375" t="inlineStr">
        <x:is>
          <x:t xml:space="preserve">—</x:t>
        </x:is>
      </x:c>
      <x:c r="Y38" s="138" t="inlineStr">
        <x:is>
          <x:t xml:space="preserve">优先复用颜色和弹道特效，不为每把枪重复制作
2026-08-30 AST-01规范化（原大类：枪械）</x:t>
        </x:is>
      </x:c>
    </x:row>
    <x:row r="39">
      <x:c r="A39" s="138" t="inlineStr">
        <x:is>
          <x:t xml:space="preserve">WPN-ATT-ATTACH-TRIPLE-MUZZLE</x:t>
        </x:is>
      </x:c>
      <x:c r="B39" s="138" t="inlineStr">
        <x:is>
          <x:t xml:space="preserve">三叉枪口</x:t>
        </x:is>
      </x:c>
      <x:c r="C39" s="138" t="inlineStr">
        <x:is>
          <x:t xml:space="preserve">武器</x:t>
        </x:is>
      </x:c>
      <x:c r="D39" s="138" t="inlineStr">
        <x:is>
          <x:t xml:space="preserve">attachment</x:t>
        </x:is>
      </x:c>
      <x:c r="E39" s="138" t="inlineStr">
        <x:is>
          <x:t xml:space="preserve">attach_triple_muzzle</x:t>
        </x:is>
      </x:c>
      <x:c r="F39" s="138" t="inlineStr">
        <x:is>
          <x:t xml:space="preserve">root</x:t>
        </x:is>
      </x:c>
      <x:c r="G39" s="138" t="str"/>
      <x:c r="H39" s="138" t="inlineStr">
        <x:is>
          <x:t xml:space="preserve">侧面朝右</x:t>
        </x:is>
      </x:c>
      <x:c r="I39" s="138" t="inlineStr">
        <x:is>
          <x:t xml:space="preserve">default</x:t>
        </x:is>
      </x:c>
      <x:c r="J39" s="138" t="inlineStr">
        <x:is>
          <x:t xml:space="preserve">装配树/枪身/UI 图标</x:t>
        </x:is>
      </x:c>
      <x:c r="K39" s="138" t="inlineStr">
        <x:is>
          <x:t xml:space="preserve">程序占位</x:t>
        </x:is>
      </x:c>
      <x:c r="L39" s="138" t="inlineStr">
        <x:is>
          <x:t xml:space="preserve">P2</x:t>
        </x:is>
      </x:c>
      <x:c r="M39" s="138" t="inlineStr">
        <x:is>
          <x:t xml:space="preserve">v001</x:t>
        </x:is>
      </x:c>
      <x:c r="N39" s="138" t="inlineStr">
        <x:is>
          <x:t xml:space="preserve">建议 12–24 px</x:t>
        </x:is>
      </x:c>
      <x:c r="O39" s="138" t="str"/>
      <x:c r="P39" s="138" t="inlineStr">
        <x:is>
          <x:t xml:space="preserve">src/base/BlueprintRegistry.gd</x:t>
        </x:is>
      </x:c>
      <x:c r="Q39" s="138" t="str"/>
      <x:c r="R39" s="138" t="str">
        <x:f>LOWER(TRIM(C39)&amp;"|"&amp;TRIM(D39)&amp;"|"&amp;TRIM(E39)&amp;"|"&amp;TRIM(F39)&amp;"|"&amp;TRIM(H39)&amp;"|"&amp;TRIM(I39))</x:f>
        <x:v>武器|attachment|attach_triple_muzzle|root|侧面朝右|default</x:v>
      </x:c>
      <x:c r="S39" s="138" t="str">
        <x:f>IF(COUNTIF($R$6:$R$423,R39)&gt;1,"重复","唯一")</x:f>
        <x:v>唯一</x:v>
      </x:c>
      <x:c r="T39" s="138" t="str"/>
      <x:c r="U39" s="138" t="inlineStr">
        <x:is>
          <x:t xml:space="preserve">待分配</x:t>
        </x:is>
      </x:c>
      <x:c r="V39" s="303" t="n">
        <x:v>46224</x:v>
      </x:c>
      <x:c r="W39" s="138" t="inlineStr">
        <x:is>
          <x:t xml:space="preserve">原创/待确认</x:t>
        </x:is>
      </x:c>
      <x:c r="X39" s="375" t="inlineStr">
        <x:is>
          <x:t xml:space="preserve">—</x:t>
        </x:is>
      </x:c>
      <x:c r="Y39" s="138" t="inlineStr">
        <x:is>
          <x:t xml:space="preserve">以挂点部件制作，不烘焙进整枪
2026-08-30 AST-01规范化（原大类：枪械）</x:t>
        </x:is>
      </x:c>
    </x:row>
    <x:row r="40">
      <x:c r="A40" s="138" t="inlineStr">
        <x:is>
          <x:t xml:space="preserve">WPN-ATT-ATTACH-RUBBER-STOCK</x:t>
        </x:is>
      </x:c>
      <x:c r="B40" s="138" t="inlineStr">
        <x:is>
          <x:t xml:space="preserve">橡皮枪托</x:t>
        </x:is>
      </x:c>
      <x:c r="C40" s="138" t="inlineStr">
        <x:is>
          <x:t xml:space="preserve">武器</x:t>
        </x:is>
      </x:c>
      <x:c r="D40" s="138" t="inlineStr">
        <x:is>
          <x:t xml:space="preserve">attachment</x:t>
        </x:is>
      </x:c>
      <x:c r="E40" s="138" t="inlineStr">
        <x:is>
          <x:t xml:space="preserve">attach_rubber_stock</x:t>
        </x:is>
      </x:c>
      <x:c r="F40" s="138" t="inlineStr">
        <x:is>
          <x:t xml:space="preserve">root</x:t>
        </x:is>
      </x:c>
      <x:c r="G40" s="138" t="str"/>
      <x:c r="H40" s="138" t="inlineStr">
        <x:is>
          <x:t xml:space="preserve">侧面朝右</x:t>
        </x:is>
      </x:c>
      <x:c r="I40" s="138" t="inlineStr">
        <x:is>
          <x:t xml:space="preserve">default</x:t>
        </x:is>
      </x:c>
      <x:c r="J40" s="138" t="inlineStr">
        <x:is>
          <x:t xml:space="preserve">装配树/枪身/UI 图标</x:t>
        </x:is>
      </x:c>
      <x:c r="K40" s="138" t="inlineStr">
        <x:is>
          <x:t xml:space="preserve">程序占位</x:t>
        </x:is>
      </x:c>
      <x:c r="L40" s="138" t="inlineStr">
        <x:is>
          <x:t xml:space="preserve">P2</x:t>
        </x:is>
      </x:c>
      <x:c r="M40" s="138" t="inlineStr">
        <x:is>
          <x:t xml:space="preserve">v001</x:t>
        </x:is>
      </x:c>
      <x:c r="N40" s="138" t="inlineStr">
        <x:is>
          <x:t xml:space="preserve">建议 12–24 px</x:t>
        </x:is>
      </x:c>
      <x:c r="O40" s="138" t="str"/>
      <x:c r="P40" s="138" t="inlineStr">
        <x:is>
          <x:t xml:space="preserve">src/base/BlueprintRegistry.gd</x:t>
        </x:is>
      </x:c>
      <x:c r="Q40" s="138" t="str"/>
      <x:c r="R40" s="138" t="str">
        <x:f>LOWER(TRIM(C40)&amp;"|"&amp;TRIM(D40)&amp;"|"&amp;TRIM(E40)&amp;"|"&amp;TRIM(F40)&amp;"|"&amp;TRIM(H40)&amp;"|"&amp;TRIM(I40))</x:f>
        <x:v>武器|attachment|attach_rubber_stock|root|侧面朝右|default</x:v>
      </x:c>
      <x:c r="S40" s="138" t="str">
        <x:f>IF(COUNTIF($R$6:$R$423,R40)&gt;1,"重复","唯一")</x:f>
        <x:v>唯一</x:v>
      </x:c>
      <x:c r="T40" s="138" t="str"/>
      <x:c r="U40" s="138" t="inlineStr">
        <x:is>
          <x:t xml:space="preserve">待分配</x:t>
        </x:is>
      </x:c>
      <x:c r="V40" s="303" t="n">
        <x:v>46224</x:v>
      </x:c>
      <x:c r="W40" s="138" t="inlineStr">
        <x:is>
          <x:t xml:space="preserve">原创/待确认</x:t>
        </x:is>
      </x:c>
      <x:c r="X40" s="375" t="inlineStr">
        <x:is>
          <x:t xml:space="preserve">—</x:t>
        </x:is>
      </x:c>
      <x:c r="Y40" s="138" t="inlineStr">
        <x:is>
          <x:t xml:space="preserve">以挂点部件制作，不烘焙进整枪
2026-08-30 AST-01规范化（原大类：枪械）</x:t>
        </x:is>
      </x:c>
    </x:row>
    <x:row r="41">
      <x:c r="A41" s="138" t="inlineStr">
        <x:is>
          <x:t xml:space="preserve">WPN-ATT-ATTACH-SCOPE</x:t>
        </x:is>
      </x:c>
      <x:c r="B41" s="138" t="inlineStr">
        <x:is>
          <x:t xml:space="preserve">放大镜瞄具</x:t>
        </x:is>
      </x:c>
      <x:c r="C41" s="138" t="inlineStr">
        <x:is>
          <x:t xml:space="preserve">武器</x:t>
        </x:is>
      </x:c>
      <x:c r="D41" s="138" t="inlineStr">
        <x:is>
          <x:t xml:space="preserve">attachment</x:t>
        </x:is>
      </x:c>
      <x:c r="E41" s="138" t="inlineStr">
        <x:is>
          <x:t xml:space="preserve">attach_scope</x:t>
        </x:is>
      </x:c>
      <x:c r="F41" s="138" t="inlineStr">
        <x:is>
          <x:t xml:space="preserve">root</x:t>
        </x:is>
      </x:c>
      <x:c r="G41" s="138" t="str"/>
      <x:c r="H41" s="138" t="inlineStr">
        <x:is>
          <x:t xml:space="preserve">侧面朝右</x:t>
        </x:is>
      </x:c>
      <x:c r="I41" s="138" t="inlineStr">
        <x:is>
          <x:t xml:space="preserve">default</x:t>
        </x:is>
      </x:c>
      <x:c r="J41" s="138" t="inlineStr">
        <x:is>
          <x:t xml:space="preserve">装配树/枪身/UI 图标</x:t>
        </x:is>
      </x:c>
      <x:c r="K41" s="138" t="inlineStr">
        <x:is>
          <x:t xml:space="preserve">程序占位</x:t>
        </x:is>
      </x:c>
      <x:c r="L41" s="138" t="inlineStr">
        <x:is>
          <x:t xml:space="preserve">P2</x:t>
        </x:is>
      </x:c>
      <x:c r="M41" s="138" t="inlineStr">
        <x:is>
          <x:t xml:space="preserve">v001</x:t>
        </x:is>
      </x:c>
      <x:c r="N41" s="138" t="inlineStr">
        <x:is>
          <x:t xml:space="preserve">建议 12–24 px</x:t>
        </x:is>
      </x:c>
      <x:c r="O41" s="138" t="str"/>
      <x:c r="P41" s="138" t="inlineStr">
        <x:is>
          <x:t xml:space="preserve">src/base/BlueprintRegistry.gd</x:t>
        </x:is>
      </x:c>
      <x:c r="Q41" s="138" t="str"/>
      <x:c r="R41" s="138" t="str">
        <x:f>LOWER(TRIM(C41)&amp;"|"&amp;TRIM(D41)&amp;"|"&amp;TRIM(E41)&amp;"|"&amp;TRIM(F41)&amp;"|"&amp;TRIM(H41)&amp;"|"&amp;TRIM(I41))</x:f>
        <x:v>武器|attachment|attach_scope|root|侧面朝右|default</x:v>
      </x:c>
      <x:c r="S41" s="138" t="str">
        <x:f>IF(COUNTIF($R$6:$R$423,R41)&gt;1,"重复","唯一")</x:f>
        <x:v>唯一</x:v>
      </x:c>
      <x:c r="T41" s="138" t="str"/>
      <x:c r="U41" s="138" t="inlineStr">
        <x:is>
          <x:t xml:space="preserve">待分配</x:t>
        </x:is>
      </x:c>
      <x:c r="V41" s="303" t="n">
        <x:v>46224</x:v>
      </x:c>
      <x:c r="W41" s="138" t="inlineStr">
        <x:is>
          <x:t xml:space="preserve">原创/待确认</x:t>
        </x:is>
      </x:c>
      <x:c r="X41" s="375" t="inlineStr">
        <x:is>
          <x:t xml:space="preserve">—</x:t>
        </x:is>
      </x:c>
      <x:c r="Y41" s="138" t="inlineStr">
        <x:is>
          <x:t xml:space="preserve">以挂点部件制作，不烘焙进整枪
2026-08-30 AST-01规范化（原大类：枪械）</x:t>
        </x:is>
      </x:c>
    </x:row>
    <x:row r="42">
      <x:c r="A42" s="138" t="inlineStr">
        <x:is>
          <x:t xml:space="preserve">WPN-ATT-ATTACH-BIG-MAG</x:t>
        </x:is>
      </x:c>
      <x:c r="B42" s="138" t="inlineStr">
        <x:is>
          <x:t xml:space="preserve">肉质弹匣</x:t>
        </x:is>
      </x:c>
      <x:c r="C42" s="138" t="inlineStr">
        <x:is>
          <x:t xml:space="preserve">武器</x:t>
        </x:is>
      </x:c>
      <x:c r="D42" s="138" t="inlineStr">
        <x:is>
          <x:t xml:space="preserve">attachment</x:t>
        </x:is>
      </x:c>
      <x:c r="E42" s="138" t="inlineStr">
        <x:is>
          <x:t xml:space="preserve">attach_big_mag</x:t>
        </x:is>
      </x:c>
      <x:c r="F42" s="138" t="inlineStr">
        <x:is>
          <x:t xml:space="preserve">root</x:t>
        </x:is>
      </x:c>
      <x:c r="G42" s="138" t="str"/>
      <x:c r="H42" s="138" t="inlineStr">
        <x:is>
          <x:t xml:space="preserve">侧面朝右</x:t>
        </x:is>
      </x:c>
      <x:c r="I42" s="138" t="inlineStr">
        <x:is>
          <x:t xml:space="preserve">default</x:t>
        </x:is>
      </x:c>
      <x:c r="J42" s="138" t="inlineStr">
        <x:is>
          <x:t xml:space="preserve">装配树/枪身/UI 图标</x:t>
        </x:is>
      </x:c>
      <x:c r="K42" s="138" t="inlineStr">
        <x:is>
          <x:t xml:space="preserve">程序占位</x:t>
        </x:is>
      </x:c>
      <x:c r="L42" s="138" t="inlineStr">
        <x:is>
          <x:t xml:space="preserve">P2</x:t>
        </x:is>
      </x:c>
      <x:c r="M42" s="138" t="inlineStr">
        <x:is>
          <x:t xml:space="preserve">v001</x:t>
        </x:is>
      </x:c>
      <x:c r="N42" s="138" t="inlineStr">
        <x:is>
          <x:t xml:space="preserve">建议 12–24 px</x:t>
        </x:is>
      </x:c>
      <x:c r="O42" s="138" t="str"/>
      <x:c r="P42" s="138" t="inlineStr">
        <x:is>
          <x:t xml:space="preserve">src/base/BlueprintRegistry.gd</x:t>
        </x:is>
      </x:c>
      <x:c r="Q42" s="138" t="str"/>
      <x:c r="R42" s="138" t="str">
        <x:f>LOWER(TRIM(C42)&amp;"|"&amp;TRIM(D42)&amp;"|"&amp;TRIM(E42)&amp;"|"&amp;TRIM(F42)&amp;"|"&amp;TRIM(H42)&amp;"|"&amp;TRIM(I42))</x:f>
        <x:v>武器|attachment|attach_big_mag|root|侧面朝右|default</x:v>
      </x:c>
      <x:c r="S42" s="138" t="str">
        <x:f>IF(COUNTIF($R$6:$R$423,R42)&gt;1,"重复","唯一")</x:f>
        <x:v>唯一</x:v>
      </x:c>
      <x:c r="T42" s="138" t="str"/>
      <x:c r="U42" s="138" t="inlineStr">
        <x:is>
          <x:t xml:space="preserve">待分配</x:t>
        </x:is>
      </x:c>
      <x:c r="V42" s="303" t="n">
        <x:v>46224</x:v>
      </x:c>
      <x:c r="W42" s="138" t="inlineStr">
        <x:is>
          <x:t xml:space="preserve">原创/待确认</x:t>
        </x:is>
      </x:c>
      <x:c r="X42" s="375" t="inlineStr">
        <x:is>
          <x:t xml:space="preserve">—</x:t>
        </x:is>
      </x:c>
      <x:c r="Y42" s="138" t="inlineStr">
        <x:is>
          <x:t xml:space="preserve">以挂点部件制作，不烘焙进整枪
2026-08-30 AST-01规范化（原大类：枪械）</x:t>
        </x:is>
      </x:c>
    </x:row>
    <x:row r="43">
      <x:c r="A43" s="138" t="inlineStr">
        <x:is>
          <x:t xml:space="preserve">WPN-ATT-ATTACH-FAN</x:t>
        </x:is>
      </x:c>
      <x:c r="B43" s="138" t="inlineStr">
        <x:is>
          <x:t xml:space="preserve">小风扇</x:t>
        </x:is>
      </x:c>
      <x:c r="C43" s="138" t="inlineStr">
        <x:is>
          <x:t xml:space="preserve">武器</x:t>
        </x:is>
      </x:c>
      <x:c r="D43" s="138" t="inlineStr">
        <x:is>
          <x:t xml:space="preserve">attachment</x:t>
        </x:is>
      </x:c>
      <x:c r="E43" s="138" t="inlineStr">
        <x:is>
          <x:t xml:space="preserve">attach_fan</x:t>
        </x:is>
      </x:c>
      <x:c r="F43" s="138" t="inlineStr">
        <x:is>
          <x:t xml:space="preserve">root</x:t>
        </x:is>
      </x:c>
      <x:c r="G43" s="138" t="str"/>
      <x:c r="H43" s="138" t="inlineStr">
        <x:is>
          <x:t xml:space="preserve">侧面朝右</x:t>
        </x:is>
      </x:c>
      <x:c r="I43" s="138" t="inlineStr">
        <x:is>
          <x:t xml:space="preserve">default</x:t>
        </x:is>
      </x:c>
      <x:c r="J43" s="138" t="inlineStr">
        <x:is>
          <x:t xml:space="preserve">装配树/枪身/UI 图标</x:t>
        </x:is>
      </x:c>
      <x:c r="K43" s="138" t="inlineStr">
        <x:is>
          <x:t xml:space="preserve">程序占位</x:t>
        </x:is>
      </x:c>
      <x:c r="L43" s="138" t="inlineStr">
        <x:is>
          <x:t xml:space="preserve">P2</x:t>
        </x:is>
      </x:c>
      <x:c r="M43" s="138" t="inlineStr">
        <x:is>
          <x:t xml:space="preserve">v001</x:t>
        </x:is>
      </x:c>
      <x:c r="N43" s="138" t="inlineStr">
        <x:is>
          <x:t xml:space="preserve">建议 12–24 px</x:t>
        </x:is>
      </x:c>
      <x:c r="O43" s="138" t="str"/>
      <x:c r="P43" s="138" t="inlineStr">
        <x:is>
          <x:t xml:space="preserve">src/base/BlueprintRegistry.gd</x:t>
        </x:is>
      </x:c>
      <x:c r="Q43" s="138" t="str"/>
      <x:c r="R43" s="138" t="str">
        <x:f>LOWER(TRIM(C43)&amp;"|"&amp;TRIM(D43)&amp;"|"&amp;TRIM(E43)&amp;"|"&amp;TRIM(F43)&amp;"|"&amp;TRIM(H43)&amp;"|"&amp;TRIM(I43))</x:f>
        <x:v>武器|attachment|attach_fan|root|侧面朝右|default</x:v>
      </x:c>
      <x:c r="S43" s="138" t="str">
        <x:f>IF(COUNTIF($R$6:$R$423,R43)&gt;1,"重复","唯一")</x:f>
        <x:v>唯一</x:v>
      </x:c>
      <x:c r="T43" s="138" t="str"/>
      <x:c r="U43" s="138" t="inlineStr">
        <x:is>
          <x:t xml:space="preserve">待分配</x:t>
        </x:is>
      </x:c>
      <x:c r="V43" s="303" t="n">
        <x:v>46224</x:v>
      </x:c>
      <x:c r="W43" s="138" t="inlineStr">
        <x:is>
          <x:t xml:space="preserve">原创/待确认</x:t>
        </x:is>
      </x:c>
      <x:c r="X43" s="375" t="inlineStr">
        <x:is>
          <x:t xml:space="preserve">—</x:t>
        </x:is>
      </x:c>
      <x:c r="Y43" s="138" t="inlineStr">
        <x:is>
          <x:t xml:space="preserve">以挂点部件制作，不烘焙进整枪
2026-08-30 AST-01规范化（原大类：枪械）</x:t>
        </x:is>
      </x:c>
    </x:row>
    <x:row r="44">
      <x:c r="A44" s="138" t="inlineStr">
        <x:is>
          <x:t xml:space="preserve">WPN-ATT-ATTACH-COPY-STICKER</x:t>
        </x:is>
      </x:c>
      <x:c r="B44" s="138" t="inlineStr">
        <x:is>
          <x:t xml:space="preserve">复制贴纸</x:t>
        </x:is>
      </x:c>
      <x:c r="C44" s="138" t="inlineStr">
        <x:is>
          <x:t xml:space="preserve">武器</x:t>
        </x:is>
      </x:c>
      <x:c r="D44" s="138" t="inlineStr">
        <x:is>
          <x:t xml:space="preserve">attachment</x:t>
        </x:is>
      </x:c>
      <x:c r="E44" s="138" t="inlineStr">
        <x:is>
          <x:t xml:space="preserve">attach_copy_sticker</x:t>
        </x:is>
      </x:c>
      <x:c r="F44" s="138" t="inlineStr">
        <x:is>
          <x:t xml:space="preserve">root</x:t>
        </x:is>
      </x:c>
      <x:c r="G44" s="138" t="str"/>
      <x:c r="H44" s="138" t="inlineStr">
        <x:is>
          <x:t xml:space="preserve">侧面朝右</x:t>
        </x:is>
      </x:c>
      <x:c r="I44" s="138" t="inlineStr">
        <x:is>
          <x:t xml:space="preserve">default</x:t>
        </x:is>
      </x:c>
      <x:c r="J44" s="138" t="inlineStr">
        <x:is>
          <x:t xml:space="preserve">装配树/枪身/UI 图标</x:t>
        </x:is>
      </x:c>
      <x:c r="K44" s="138" t="inlineStr">
        <x:is>
          <x:t xml:space="preserve">程序占位</x:t>
        </x:is>
      </x:c>
      <x:c r="L44" s="138" t="inlineStr">
        <x:is>
          <x:t xml:space="preserve">P2</x:t>
        </x:is>
      </x:c>
      <x:c r="M44" s="138" t="inlineStr">
        <x:is>
          <x:t xml:space="preserve">v001</x:t>
        </x:is>
      </x:c>
      <x:c r="N44" s="138" t="inlineStr">
        <x:is>
          <x:t xml:space="preserve">建议 12–24 px</x:t>
        </x:is>
      </x:c>
      <x:c r="O44" s="138" t="str"/>
      <x:c r="P44" s="138" t="inlineStr">
        <x:is>
          <x:t xml:space="preserve">src/base/BlueprintRegistry.gd</x:t>
        </x:is>
      </x:c>
      <x:c r="Q44" s="138" t="str"/>
      <x:c r="R44" s="138" t="str">
        <x:f>LOWER(TRIM(C44)&amp;"|"&amp;TRIM(D44)&amp;"|"&amp;TRIM(E44)&amp;"|"&amp;TRIM(F44)&amp;"|"&amp;TRIM(H44)&amp;"|"&amp;TRIM(I44))</x:f>
        <x:v>武器|attachment|attach_copy_sticker|root|侧面朝右|default</x:v>
      </x:c>
      <x:c r="S44" s="138" t="str">
        <x:f>IF(COUNTIF($R$6:$R$423,R44)&gt;1,"重复","唯一")</x:f>
        <x:v>唯一</x:v>
      </x:c>
      <x:c r="T44" s="138" t="str"/>
      <x:c r="U44" s="138" t="inlineStr">
        <x:is>
          <x:t xml:space="preserve">待分配</x:t>
        </x:is>
      </x:c>
      <x:c r="V44" s="303" t="n">
        <x:v>46224</x:v>
      </x:c>
      <x:c r="W44" s="138" t="inlineStr">
        <x:is>
          <x:t xml:space="preserve">原创/待确认</x:t>
        </x:is>
      </x:c>
      <x:c r="X44" s="375" t="inlineStr">
        <x:is>
          <x:t xml:space="preserve">—</x:t>
        </x:is>
      </x:c>
      <x:c r="Y44" s="138" t="inlineStr">
        <x:is>
          <x:t xml:space="preserve">以挂点部件制作，不烘焙进整枪
2026-08-30 AST-01规范化（原大类：枪械）</x:t>
        </x:is>
      </x:c>
    </x:row>
    <x:row r="45">
      <x:c r="A45" s="138" t="inlineStr">
        <x:is>
          <x:t xml:space="preserve">ITM-CONSUMABLE-ITEM-BEACON</x:t>
        </x:is>
      </x:c>
      <x:c r="B45" s="138" t="inlineStr">
        <x:is>
          <x:t xml:space="preserve">撤离信标</x:t>
        </x:is>
      </x:c>
      <x:c r="C45" s="138" t="inlineStr">
        <x:is>
          <x:t xml:space="preserve">道具</x:t>
        </x:is>
      </x:c>
      <x:c r="D45" s="138" t="inlineStr">
        <x:is>
          <x:t xml:space="preserve">consumable</x:t>
        </x:is>
      </x:c>
      <x:c r="E45" s="138" t="inlineStr">
        <x:is>
          <x:t xml:space="preserve">item_beacon</x:t>
        </x:is>
      </x:c>
      <x:c r="F45" s="138" t="inlineStr">
        <x:is>
          <x:t xml:space="preserve">root</x:t>
        </x:is>
      </x:c>
      <x:c r="G45" s="138" t="str"/>
      <x:c r="H45" s="138" t="inlineStr">
        <x:is>
          <x:t xml:space="preserve">顶视/图标</x:t>
        </x:is>
      </x:c>
      <x:c r="I45" s="138" t="inlineStr">
        <x:is>
          <x:t xml:space="preserve">default</x:t>
        </x:is>
      </x:c>
      <x:c r="J45" s="138" t="inlineStr">
        <x:is>
          <x:t xml:space="preserve">世界拾取/UI 图标</x:t>
        </x:is>
      </x:c>
      <x:c r="K45" s="138" t="inlineStr">
        <x:is>
          <x:t xml:space="preserve">程序占位</x:t>
        </x:is>
      </x:c>
      <x:c r="L45" s="138" t="inlineStr">
        <x:is>
          <x:t xml:space="preserve">P0</x:t>
        </x:is>
      </x:c>
      <x:c r="M45" s="138" t="inlineStr">
        <x:is>
          <x:t xml:space="preserve">v001</x:t>
        </x:is>
      </x:c>
      <x:c r="N45" s="138" t="inlineStr">
        <x:is>
          <x:t xml:space="preserve">世界 24–40 px；UI 32 px</x:t>
        </x:is>
      </x:c>
      <x:c r="O45" s="138" t="str"/>
      <x:c r="P45" s="138" t="inlineStr">
        <x:is>
          <x:t xml:space="preserve">src/base/ItemRegistry.gd</x:t>
        </x:is>
      </x:c>
      <x:c r="Q45" s="138" t="str"/>
      <x:c r="R45" s="138" t="str">
        <x:f>LOWER(TRIM(C45)&amp;"|"&amp;TRIM(D45)&amp;"|"&amp;TRIM(E45)&amp;"|"&amp;TRIM(F45)&amp;"|"&amp;TRIM(H45)&amp;"|"&amp;TRIM(I45))</x:f>
        <x:v>道具|consumable|item_beacon|root|顶视/图标|default</x:v>
      </x:c>
      <x:c r="S45" s="138" t="str">
        <x:f>IF(COUNTIF($R$6:$R$423,R45)&gt;1,"重复","唯一")</x:f>
        <x:v>唯一</x:v>
      </x:c>
      <x:c r="T45" s="138" t="str"/>
      <x:c r="U45" s="138" t="inlineStr">
        <x:is>
          <x:t xml:space="preserve">待分配</x:t>
        </x:is>
      </x:c>
      <x:c r="V45" s="303" t="n">
        <x:v>46224</x:v>
      </x:c>
      <x:c r="W45" s="138" t="inlineStr">
        <x:is>
          <x:t xml:space="preserve">原创/待确认</x:t>
        </x:is>
      </x:c>
      <x:c r="X45" s="375" t="inlineStr">
        <x:is>
          <x:t xml:space="preserve">—</x:t>
        </x:is>
      </x:c>
      <x:c r="Y45" s="138" t="n"/>
    </x:row>
    <x:row r="46">
      <x:c r="A46" s="138" t="inlineStr">
        <x:is>
          <x:t xml:space="preserve">ITM-KEY-ITEM-ROOM-KEY</x:t>
        </x:is>
      </x:c>
      <x:c r="B46" s="138" t="inlineStr">
        <x:is>
          <x:t xml:space="preserve">房间钥匙</x:t>
        </x:is>
      </x:c>
      <x:c r="C46" s="138" t="inlineStr">
        <x:is>
          <x:t xml:space="preserve">道具</x:t>
        </x:is>
      </x:c>
      <x:c r="D46" s="138" t="inlineStr">
        <x:is>
          <x:t xml:space="preserve">key</x:t>
        </x:is>
      </x:c>
      <x:c r="E46" s="138" t="inlineStr">
        <x:is>
          <x:t xml:space="preserve">item_room_key</x:t>
        </x:is>
      </x:c>
      <x:c r="F46" s="138" t="inlineStr">
        <x:is>
          <x:t xml:space="preserve">root</x:t>
        </x:is>
      </x:c>
      <x:c r="G46" s="138" t="str"/>
      <x:c r="H46" s="138" t="inlineStr">
        <x:is>
          <x:t xml:space="preserve">顶视/图标</x:t>
        </x:is>
      </x:c>
      <x:c r="I46" s="138" t="inlineStr">
        <x:is>
          <x:t xml:space="preserve">default</x:t>
        </x:is>
      </x:c>
      <x:c r="J46" s="138" t="inlineStr">
        <x:is>
          <x:t xml:space="preserve">世界拾取/UI 图标</x:t>
        </x:is>
      </x:c>
      <x:c r="K46" s="138" t="inlineStr">
        <x:is>
          <x:t xml:space="preserve">程序占位</x:t>
        </x:is>
      </x:c>
      <x:c r="L46" s="138" t="inlineStr">
        <x:is>
          <x:t xml:space="preserve">P0</x:t>
        </x:is>
      </x:c>
      <x:c r="M46" s="138" t="inlineStr">
        <x:is>
          <x:t xml:space="preserve">v001</x:t>
        </x:is>
      </x:c>
      <x:c r="N46" s="138" t="inlineStr">
        <x:is>
          <x:t xml:space="preserve">世界 24–40 px；UI 32 px</x:t>
        </x:is>
      </x:c>
      <x:c r="O46" s="138" t="str"/>
      <x:c r="P46" s="138" t="inlineStr">
        <x:is>
          <x:t xml:space="preserve">src/base/ItemRegistry.gd</x:t>
        </x:is>
      </x:c>
      <x:c r="Q46" s="138" t="str"/>
      <x:c r="R46" s="138" t="str">
        <x:f>LOWER(TRIM(C46)&amp;"|"&amp;TRIM(D46)&amp;"|"&amp;TRIM(E46)&amp;"|"&amp;TRIM(F46)&amp;"|"&amp;TRIM(H46)&amp;"|"&amp;TRIM(I46))</x:f>
        <x:v>道具|key|item_room_key|root|顶视/图标|default</x:v>
      </x:c>
      <x:c r="S46" s="138" t="str">
        <x:f>IF(COUNTIF($R$6:$R$423,R46)&gt;1,"重复","唯一")</x:f>
        <x:v>唯一</x:v>
      </x:c>
      <x:c r="T46" s="138" t="str"/>
      <x:c r="U46" s="138" t="inlineStr">
        <x:is>
          <x:t xml:space="preserve">待分配</x:t>
        </x:is>
      </x:c>
      <x:c r="V46" s="303" t="n">
        <x:v>46224</x:v>
      </x:c>
      <x:c r="W46" s="138" t="inlineStr">
        <x:is>
          <x:t xml:space="preserve">原创/待确认</x:t>
        </x:is>
      </x:c>
      <x:c r="X46" s="375" t="inlineStr">
        <x:is>
          <x:t xml:space="preserve">—</x:t>
        </x:is>
      </x:c>
      <x:c r="Y46" s="138" t="n"/>
    </x:row>
    <x:row r="47">
      <x:c r="A47" s="138" t="inlineStr">
        <x:is>
          <x:t xml:space="preserve">ITM-PICKUP-SOUL-ORB</x:t>
        </x:is>
      </x:c>
      <x:c r="B47" s="138" t="inlineStr">
        <x:is>
          <x:t xml:space="preserve">灵魂球</x:t>
        </x:is>
      </x:c>
      <x:c r="C47" s="138" t="inlineStr">
        <x:is>
          <x:t xml:space="preserve">道具</x:t>
        </x:is>
      </x:c>
      <x:c r="D47" s="138" t="inlineStr">
        <x:is>
          <x:t xml:space="preserve">pickup</x:t>
        </x:is>
      </x:c>
      <x:c r="E47" s="138" t="inlineStr">
        <x:is>
          <x:t xml:space="preserve">soul_orb</x:t>
        </x:is>
      </x:c>
      <x:c r="F47" s="138" t="inlineStr">
        <x:is>
          <x:t xml:space="preserve">root</x:t>
        </x:is>
      </x:c>
      <x:c r="G47" s="138" t="str"/>
      <x:c r="H47" s="138" t="inlineStr">
        <x:is>
          <x:t xml:space="preserve">顶视/图标</x:t>
        </x:is>
      </x:c>
      <x:c r="I47" s="138" t="inlineStr">
        <x:is>
          <x:t xml:space="preserve">default</x:t>
        </x:is>
      </x:c>
      <x:c r="J47" s="138" t="inlineStr">
        <x:is>
          <x:t xml:space="preserve">世界拾取/UI 图标</x:t>
        </x:is>
      </x:c>
      <x:c r="K47" s="138" t="inlineStr">
        <x:is>
          <x:t xml:space="preserve">程序占位</x:t>
        </x:is>
      </x:c>
      <x:c r="L47" s="138" t="inlineStr">
        <x:is>
          <x:t xml:space="preserve">P1</x:t>
        </x:is>
      </x:c>
      <x:c r="M47" s="138" t="inlineStr">
        <x:is>
          <x:t xml:space="preserve">v001</x:t>
        </x:is>
      </x:c>
      <x:c r="N47" s="138" t="inlineStr">
        <x:is>
          <x:t xml:space="preserve">世界 24–40 px；UI 32 px</x:t>
        </x:is>
      </x:c>
      <x:c r="O47" s="138" t="str"/>
      <x:c r="P47" s="138" t="inlineStr">
        <x:is>
          <x:t xml:space="preserve">scenes/</x:t>
        </x:is>
      </x:c>
      <x:c r="Q47" s="138" t="str"/>
      <x:c r="R47" s="138" t="str">
        <x:f>LOWER(TRIM(C47)&amp;"|"&amp;TRIM(D47)&amp;"|"&amp;TRIM(E47)&amp;"|"&amp;TRIM(F47)&amp;"|"&amp;TRIM(H47)&amp;"|"&amp;TRIM(I47))</x:f>
        <x:v>道具|pickup|soul_orb|root|顶视/图标|default</x:v>
      </x:c>
      <x:c r="S47" s="138" t="str">
        <x:f>IF(COUNTIF($R$6:$R$423,R47)&gt;1,"重复","唯一")</x:f>
        <x:v>唯一</x:v>
      </x:c>
      <x:c r="T47" s="138" t="str"/>
      <x:c r="U47" s="138" t="inlineStr">
        <x:is>
          <x:t xml:space="preserve">待分配</x:t>
        </x:is>
      </x:c>
      <x:c r="V47" s="303" t="n">
        <x:v>46224</x:v>
      </x:c>
      <x:c r="W47" s="138" t="inlineStr">
        <x:is>
          <x:t xml:space="preserve">原创/待确认</x:t>
        </x:is>
      </x:c>
      <x:c r="X47" s="375" t="inlineStr">
        <x:is>
          <x:t xml:space="preserve">—</x:t>
        </x:is>
      </x:c>
      <x:c r="Y47" s="138" t="n"/>
    </x:row>
    <x:row r="48">
      <x:c r="A48" s="138" t="inlineStr">
        <x:is>
          <x:t xml:space="preserve">ITM-CONTAINER-CONTAINER</x:t>
        </x:is>
      </x:c>
      <x:c r="B48" s="138" t="inlineStr">
        <x:is>
          <x:t xml:space="preserve">战利品容器</x:t>
        </x:is>
      </x:c>
      <x:c r="C48" s="138" t="inlineStr">
        <x:is>
          <x:t xml:space="preserve">道具</x:t>
        </x:is>
      </x:c>
      <x:c r="D48" s="138" t="inlineStr">
        <x:is>
          <x:t xml:space="preserve">container</x:t>
        </x:is>
      </x:c>
      <x:c r="E48" s="138" t="inlineStr">
        <x:is>
          <x:t xml:space="preserve">container</x:t>
        </x:is>
      </x:c>
      <x:c r="F48" s="138" t="inlineStr">
        <x:is>
          <x:t xml:space="preserve">root</x:t>
        </x:is>
      </x:c>
      <x:c r="G48" s="138" t="str"/>
      <x:c r="H48" s="138" t="inlineStr">
        <x:is>
          <x:t xml:space="preserve">顶视/图标</x:t>
        </x:is>
      </x:c>
      <x:c r="I48" s="138" t="inlineStr">
        <x:is>
          <x:t xml:space="preserve">default</x:t>
        </x:is>
      </x:c>
      <x:c r="J48" s="138" t="inlineStr">
        <x:is>
          <x:t xml:space="preserve">世界拾取/UI 图标</x:t>
        </x:is>
      </x:c>
      <x:c r="K48" s="138" t="inlineStr">
        <x:is>
          <x:t xml:space="preserve">程序占位</x:t>
        </x:is>
      </x:c>
      <x:c r="L48" s="138" t="inlineStr">
        <x:is>
          <x:t xml:space="preserve">P1</x:t>
        </x:is>
      </x:c>
      <x:c r="M48" s="138" t="inlineStr">
        <x:is>
          <x:t xml:space="preserve">v001</x:t>
        </x:is>
      </x:c>
      <x:c r="N48" s="138" t="inlineStr">
        <x:is>
          <x:t xml:space="preserve">世界 24–40 px；UI 32 px</x:t>
        </x:is>
      </x:c>
      <x:c r="O48" s="138" t="str"/>
      <x:c r="P48" s="138" t="inlineStr">
        <x:is>
          <x:t xml:space="preserve">scenes/</x:t>
        </x:is>
      </x:c>
      <x:c r="Q48" s="138" t="str"/>
      <x:c r="R48" s="138" t="str">
        <x:f>LOWER(TRIM(C48)&amp;"|"&amp;TRIM(D48)&amp;"|"&amp;TRIM(E48)&amp;"|"&amp;TRIM(F48)&amp;"|"&amp;TRIM(H48)&amp;"|"&amp;TRIM(I48))</x:f>
        <x:v>道具|container|container|root|顶视/图标|default</x:v>
      </x:c>
      <x:c r="S48" s="138" t="str">
        <x:f>IF(COUNTIF($R$6:$R$423,R48)&gt;1,"重复","唯一")</x:f>
        <x:v>唯一</x:v>
      </x:c>
      <x:c r="T48" s="138" t="str"/>
      <x:c r="U48" s="138" t="inlineStr">
        <x:is>
          <x:t xml:space="preserve">待分配</x:t>
        </x:is>
      </x:c>
      <x:c r="V48" s="303" t="n">
        <x:v>46224</x:v>
      </x:c>
      <x:c r="W48" s="138" t="inlineStr">
        <x:is>
          <x:t xml:space="preserve">原创/待确认</x:t>
        </x:is>
      </x:c>
      <x:c r="X48" s="375" t="inlineStr">
        <x:is>
          <x:t xml:space="preserve">—</x:t>
        </x:is>
      </x:c>
      <x:c r="Y48" s="138" t="n"/>
    </x:row>
    <x:row r="49">
      <x:c r="A49" s="138" t="inlineStr">
        <x:is>
          <x:t xml:space="preserve">ITM-PICKUP-ROOM-KEY-PICKUP</x:t>
        </x:is>
      </x:c>
      <x:c r="B49" s="138" t="inlineStr">
        <x:is>
          <x:t xml:space="preserve">房间钥匙掉落</x:t>
        </x:is>
      </x:c>
      <x:c r="C49" s="138" t="inlineStr">
        <x:is>
          <x:t xml:space="preserve">道具</x:t>
        </x:is>
      </x:c>
      <x:c r="D49" s="138" t="inlineStr">
        <x:is>
          <x:t xml:space="preserve">pickup</x:t>
        </x:is>
      </x:c>
      <x:c r="E49" s="138" t="inlineStr">
        <x:is>
          <x:t xml:space="preserve">room_key_pickup</x:t>
        </x:is>
      </x:c>
      <x:c r="F49" s="138" t="inlineStr">
        <x:is>
          <x:t xml:space="preserve">root</x:t>
        </x:is>
      </x:c>
      <x:c r="G49" s="138" t="str"/>
      <x:c r="H49" s="138" t="inlineStr">
        <x:is>
          <x:t xml:space="preserve">顶视/图标</x:t>
        </x:is>
      </x:c>
      <x:c r="I49" s="138" t="inlineStr">
        <x:is>
          <x:t xml:space="preserve">default</x:t>
        </x:is>
      </x:c>
      <x:c r="J49" s="138" t="inlineStr">
        <x:is>
          <x:t xml:space="preserve">全部3D房间/清房奖励</x:t>
        </x:is>
      </x:c>
      <x:c r="K49" s="138" t="inlineStr">
        <x:is>
          <x:t xml:space="preserve">原型已接入</x:t>
        </x:is>
      </x:c>
      <x:c r="L49" s="138" t="inlineStr">
        <x:is>
          <x:t xml:space="preserve">P1</x:t>
        </x:is>
      </x:c>
      <x:c r="M49" s="138" t="inlineStr">
        <x:is>
          <x:t xml:space="preserve">v001</x:t>
        </x:is>
      </x:c>
      <x:c r="N49" s="138" t="inlineStr">
        <x:is>
          <x:t xml:space="preserve">程序模型/0.32s Tween</x:t>
        </x:is>
      </x:c>
      <x:c r="O49" s="138" t="inlineStr">
        <x:is>
          <x:t xml:space="preserve">src/world3d/RoomKeyPickup3D.gd</x:t>
        </x:is>
      </x:c>
      <x:c r="P49" s="138" t="inlineStr">
        <x:is>
          <x:t xml:space="preserve">src/world3d/RoomKeyPickup3D.gd</x:t>
        </x:is>
      </x:c>
      <x:c r="Q49" s="138" t="str"/>
      <x:c r="R49" s="138" t="str">
        <x:f>LOWER(TRIM(C49)&amp;"|"&amp;TRIM(D49)&amp;"|"&amp;TRIM(E49)&amp;"|"&amp;TRIM(F49)&amp;"|"&amp;TRIM(H49)&amp;"|"&amp;TRIM(I49))</x:f>
        <x:v>道具|pickup|room_key_pickup|root|顶视/图标|default</x:v>
      </x:c>
      <x:c r="S49" s="138" t="str">
        <x:f>IF(COUNTIF($R$6:$R$423,R49)&gt;1,"重复","唯一")</x:f>
        <x:v>唯一</x:v>
      </x:c>
      <x:c r="T49" s="138" t="inlineStr">
        <x:is>
          <x:t xml:space="preserve">c3fa58385895f6f62648ad2783d27b8b6148a97a0f0916dfe85f9fe67e351304</x:t>
        </x:is>
      </x:c>
      <x:c r="U49" s="138" t="inlineStr">
        <x:is>
          <x:t xml:space="preserve">Codex</x:t>
        </x:is>
      </x:c>
      <x:c r="V49" s="303" t="n">
        <x:v>46264</x:v>
      </x:c>
      <x:c r="W49" s="138" t="inlineStr">
        <x:is>
          <x:t xml:space="preserve">原创程序几何</x:t>
        </x:is>
      </x:c>
      <x:c r="X49" s="375" t="inlineStr">
        <x:is>
          <x:t xml:space="preserve">—</x:t>
        </x:is>
      </x:c>
      <x:c r="Y49" s="138" t="inlineStr">
        <x:is>
          <x:t xml:space="preserve">清房后在玩家附近安全边界生成；同房唯一且返回时可补发；成功拾取先关闭碰撞，再上弹旋转缩小后回收
2026-08-30 AST-02：登记路径规范化 &lt;空&gt; → src/world3d/RoomKeyPickup3D.gd；多实现/源码依据保留在P列。
2026-08-30 AST-02：补齐单一生产路径SHA；验收：verify_full_3d_game_flow；SHA 1f5953cef11c。</x:t>
        </x:is>
      </x:c>
    </x:row>
    <x:row r="50">
      <x:c r="A50" s="138" t="inlineStr">
        <x:is>
          <x:t xml:space="preserve">ITM-PICKUP-BASE-GROUND-ITEM</x:t>
        </x:is>
      </x:c>
      <x:c r="B50" s="138" t="inlineStr">
        <x:is>
          <x:t xml:space="preserve">地面物品底座</x:t>
        </x:is>
      </x:c>
      <x:c r="C50" s="138" t="inlineStr">
        <x:is>
          <x:t xml:space="preserve">道具</x:t>
        </x:is>
      </x:c>
      <x:c r="D50" s="138" t="inlineStr">
        <x:is>
          <x:t xml:space="preserve">pickup_base</x:t>
        </x:is>
      </x:c>
      <x:c r="E50" s="138" t="inlineStr">
        <x:is>
          <x:t xml:space="preserve">ground_item</x:t>
        </x:is>
      </x:c>
      <x:c r="F50" s="138" t="inlineStr">
        <x:is>
          <x:t xml:space="preserve">root</x:t>
        </x:is>
      </x:c>
      <x:c r="G50" s="138" t="str"/>
      <x:c r="H50" s="138" t="inlineStr">
        <x:is>
          <x:t xml:space="preserve">顶视/图标</x:t>
        </x:is>
      </x:c>
      <x:c r="I50" s="138" t="inlineStr">
        <x:is>
          <x:t xml:space="preserve">default</x:t>
        </x:is>
      </x:c>
      <x:c r="J50" s="138" t="inlineStr">
        <x:is>
          <x:t xml:space="preserve">地面掉落/背包投影</x:t>
        </x:is>
      </x:c>
      <x:c r="K50" s="138" t="inlineStr">
        <x:is>
          <x:t xml:space="preserve">原型已接入</x:t>
        </x:is>
      </x:c>
      <x:c r="L50" s="138" t="inlineStr">
        <x:is>
          <x:t xml:space="preserve">P2</x:t>
        </x:is>
      </x:c>
      <x:c r="M50" s="138" t="inlineStr">
        <x:is>
          <x:t xml:space="preserve">v001</x:t>
        </x:is>
      </x:c>
      <x:c r="N50" s="138" t="inlineStr">
        <x:is>
          <x:t xml:space="preserve">程序模型/0.32s Tween</x:t>
        </x:is>
      </x:c>
      <x:c r="O50" s="138" t="inlineStr">
        <x:is>
          <x:t xml:space="preserve">src/world3d/GroundLootPickup3D.gd</x:t>
        </x:is>
      </x:c>
      <x:c r="P50" s="138" t="inlineStr">
        <x:is>
          <x:t xml:space="preserve">src/world3d/GroundLootPickup3D.gd</x:t>
        </x:is>
      </x:c>
      <x:c r="Q50" s="138" t="str"/>
      <x:c r="R50" s="138" t="str">
        <x:f>LOWER(TRIM(C50)&amp;"|"&amp;TRIM(D50)&amp;"|"&amp;TRIM(E50)&amp;"|"&amp;TRIM(F50)&amp;"|"&amp;TRIM(H50)&amp;"|"&amp;TRIM(I50))</x:f>
        <x:v>道具|pickup_base|ground_item|root|顶视/图标|default</x:v>
      </x:c>
      <x:c r="S50" s="138" t="str">
        <x:f>IF(COUNTIF($R$6:$R$423,R50)&gt;1,"重复","唯一")</x:f>
        <x:v>唯一</x:v>
      </x:c>
      <x:c r="T50" s="138" t="inlineStr">
        <x:is>
          <x:t xml:space="preserve">97741ce50aabc60ff61a26676e653a5cbc6528f1e43a70b438e385198f00ef11</x:t>
        </x:is>
      </x:c>
      <x:c r="U50" s="138" t="inlineStr">
        <x:is>
          <x:t xml:space="preserve">Codex</x:t>
        </x:is>
      </x:c>
      <x:c r="V50" s="303" t="n">
        <x:v>46264</x:v>
      </x:c>
      <x:c r="W50" s="138" t="inlineStr">
        <x:is>
          <x:t xml:space="preserve">原创程序几何</x:t>
        </x:is>
      </x:c>
      <x:c r="X50" s="375" t="inlineStr">
        <x:is>
          <x:t xml:space="preserve">—</x:t>
        </x:is>
      </x:c>
      <x:c r="Y50" s="138" t="inlineStr">
        <x:is>
          <x:t xml:space="preserve">与背包投影共用 ItemModelFactory3D；满包时保留，成功接收后播放0.32秒上弹旋转缩小动画
2026-08-30 AST-02：登记路径规范化 &lt;空&gt; → src/world3d/GroundLootPickup3D.gd；多实现/源码依据保留在P列。
2026-08-30 AST-02：补齐单一生产路径SHA；验收：verify_full_3d_game_flow；verify_3d_inventory_weapon_flow；SHA 14eca357cf51。</x:t>
        </x:is>
      </x:c>
    </x:row>
    <x:row r="51">
      <x:c r="A51" s="138" t="inlineStr">
        <x:is>
          <x:t xml:space="preserve">ENV-BASE-WORLD-KIT</x:t>
        </x:is>
      </x:c>
      <x:c r="B51" s="138" t="inlineStr">
        <x:is>
          <x:t xml:space="preserve">末日基地与荒野</x:t>
        </x:is>
      </x:c>
      <x:c r="C51" s="138" t="inlineStr">
        <x:is>
          <x:t xml:space="preserve">场景</x:t>
        </x:is>
      </x:c>
      <x:c r="D51" s="138" t="inlineStr">
        <x:is>
          <x:t xml:space="preserve">biome_kit</x:t>
        </x:is>
      </x:c>
      <x:c r="E51" s="138" t="inlineStr">
        <x:is>
          <x:t xml:space="preserve">base_world</x:t>
        </x:is>
      </x:c>
      <x:c r="F51" s="138" t="inlineStr">
        <x:is>
          <x:t xml:space="preserve">root</x:t>
        </x:is>
      </x:c>
      <x:c r="G51" s="138" t="str"/>
      <x:c r="H51" s="138" t="inlineStr">
        <x:is>
          <x:t xml:space="preserve">顶视</x:t>
        </x:is>
      </x:c>
      <x:c r="I51" s="138" t="inlineStr">
        <x:is>
          <x:t xml:space="preserve">default</x:t>
        </x:is>
      </x:c>
      <x:c r="J51" s="138" t="inlineStr">
        <x:is>
          <x:t xml:space="preserve">同主题房间共享</x:t>
        </x:is>
      </x:c>
      <x:c r="K51" s="138" t="inlineStr">
        <x:is>
          <x:t xml:space="preserve">程序占位</x:t>
        </x:is>
      </x:c>
      <x:c r="L51" s="138" t="inlineStr">
        <x:is>
          <x:t xml:space="preserve">P0</x:t>
        </x:is>
      </x:c>
      <x:c r="M51" s="138" t="inlineStr">
        <x:is>
          <x:t xml:space="preserve">v001</x:t>
        </x:is>
      </x:c>
      <x:c r="N51" s="138" t="inlineStr">
        <x:is>
          <x:t xml:space="preserve">64 px 网格；模块化 Tile/Prop</x:t>
        </x:is>
      </x:c>
      <x:c r="O51" s="138" t="str"/>
      <x:c r="P51" s="138" t="inlineStr">
        <x:is>
          <x:t xml:space="preserve">scenes/BaseWorld.tscn</x:t>
        </x:is>
      </x:c>
      <x:c r="Q51" s="138" t="str"/>
      <x:c r="R51" s="138" t="str">
        <x:f>LOWER(TRIM(C51)&amp;"|"&amp;TRIM(D51)&amp;"|"&amp;TRIM(E51)&amp;"|"&amp;TRIM(F51)&amp;"|"&amp;TRIM(H51)&amp;"|"&amp;TRIM(I51))</x:f>
        <x:v>场景|biome_kit|base_world|root|顶视|default</x:v>
      </x:c>
      <x:c r="S51" s="138" t="str">
        <x:f>IF(COUNTIF($R$6:$R$423,R51)&gt;1,"重复","唯一")</x:f>
        <x:v>唯一</x:v>
      </x:c>
      <x:c r="T51" s="138" t="str"/>
      <x:c r="U51" s="138" t="inlineStr">
        <x:is>
          <x:t xml:space="preserve">待分配</x:t>
        </x:is>
      </x:c>
      <x:c r="V51" s="303" t="n">
        <x:v>46224</x:v>
      </x:c>
      <x:c r="W51" s="138" t="inlineStr">
        <x:is>
          <x:t xml:space="preserve">原创/待确认</x:t>
        </x:is>
      </x:c>
      <x:c r="X51" s="375" t="inlineStr">
        <x:is>
          <x:t xml:space="preserve">—</x:t>
        </x:is>
      </x:c>
      <x:c r="Y51" s="138" t="inlineStr">
        <x:is>
          <x:t xml:space="preserve">先拆地面/墙/门/大中小道具，禁止整张场景烘焙</x:t>
        </x:is>
      </x:c>
    </x:row>
    <x:row r="52">
      <x:c r="A52" s="138" t="inlineStr">
        <x:is>
          <x:t xml:space="preserve">ENV-IRON-FRONTIER-KIT</x:t>
        </x:is>
      </x:c>
      <x:c r="B52" s="138" t="inlineStr">
        <x:is>
          <x:t xml:space="preserve">冷钢边境</x:t>
        </x:is>
      </x:c>
      <x:c r="C52" s="138" t="inlineStr">
        <x:is>
          <x:t xml:space="preserve">场景</x:t>
        </x:is>
      </x:c>
      <x:c r="D52" s="138" t="inlineStr">
        <x:is>
          <x:t xml:space="preserve">biome_kit</x:t>
        </x:is>
      </x:c>
      <x:c r="E52" s="138" t="inlineStr">
        <x:is>
          <x:t xml:space="preserve">iron_frontier</x:t>
        </x:is>
      </x:c>
      <x:c r="F52" s="138" t="inlineStr">
        <x:is>
          <x:t xml:space="preserve">root</x:t>
        </x:is>
      </x:c>
      <x:c r="G52" s="138" t="str"/>
      <x:c r="H52" s="138" t="inlineStr">
        <x:is>
          <x:t xml:space="preserve">顶视</x:t>
        </x:is>
      </x:c>
      <x:c r="I52" s="138" t="inlineStr">
        <x:is>
          <x:t xml:space="preserve">default</x:t>
        </x:is>
      </x:c>
      <x:c r="J52" s="138" t="inlineStr">
        <x:is>
          <x:t xml:space="preserve">同主题房间共享</x:t>
        </x:is>
      </x:c>
      <x:c r="K52" s="138" t="inlineStr">
        <x:is>
          <x:t xml:space="preserve">程序占位</x:t>
        </x:is>
      </x:c>
      <x:c r="L52" s="138" t="inlineStr">
        <x:is>
          <x:t xml:space="preserve">P0</x:t>
        </x:is>
      </x:c>
      <x:c r="M52" s="138" t="inlineStr">
        <x:is>
          <x:t xml:space="preserve">v001</x:t>
        </x:is>
      </x:c>
      <x:c r="N52" s="138" t="inlineStr">
        <x:is>
          <x:t xml:space="preserve">64 px 网格；模块化 Tile/Prop</x:t>
        </x:is>
      </x:c>
      <x:c r="O52" s="138" t="str"/>
      <x:c r="P52" s="138" t="inlineStr">
        <x:is>
          <x:t xml:space="preserve">scenes/levels/IronFrontier.tscn</x:t>
        </x:is>
      </x:c>
      <x:c r="Q52" s="138" t="str"/>
      <x:c r="R52" s="138" t="str">
        <x:f>LOWER(TRIM(C52)&amp;"|"&amp;TRIM(D52)&amp;"|"&amp;TRIM(E52)&amp;"|"&amp;TRIM(F52)&amp;"|"&amp;TRIM(H52)&amp;"|"&amp;TRIM(I52))</x:f>
        <x:v>场景|biome_kit|iron_frontier|root|顶视|default</x:v>
      </x:c>
      <x:c r="S52" s="138" t="str">
        <x:f>IF(COUNTIF($R$6:$R$423,R52)&gt;1,"重复","唯一")</x:f>
        <x:v>唯一</x:v>
      </x:c>
      <x:c r="T52" s="138" t="str"/>
      <x:c r="U52" s="138" t="inlineStr">
        <x:is>
          <x:t xml:space="preserve">待分配</x:t>
        </x:is>
      </x:c>
      <x:c r="V52" s="303" t="n">
        <x:v>46224</x:v>
      </x:c>
      <x:c r="W52" s="138" t="inlineStr">
        <x:is>
          <x:t xml:space="preserve">原创/待确认</x:t>
        </x:is>
      </x:c>
      <x:c r="X52" s="375" t="inlineStr">
        <x:is>
          <x:t xml:space="preserve">—</x:t>
        </x:is>
      </x:c>
      <x:c r="Y52" s="138" t="inlineStr">
        <x:is>
          <x:t xml:space="preserve">先拆地面/墙/门/大中小道具，禁止整张场景烘焙</x:t>
        </x:is>
      </x:c>
    </x:row>
    <x:row r="53">
      <x:c r="A53" s="138" t="inlineStr">
        <x:is>
          <x:t xml:space="preserve">ENV-RUST-FOUNDRY-KIT</x:t>
        </x:is>
      </x:c>
      <x:c r="B53" s="138" t="inlineStr">
        <x:is>
          <x:t xml:space="preserve">锈蚀铸造厂</x:t>
        </x:is>
      </x:c>
      <x:c r="C53" s="138" t="inlineStr">
        <x:is>
          <x:t xml:space="preserve">场景</x:t>
        </x:is>
      </x:c>
      <x:c r="D53" s="138" t="inlineStr">
        <x:is>
          <x:t xml:space="preserve">biome_kit</x:t>
        </x:is>
      </x:c>
      <x:c r="E53" s="138" t="inlineStr">
        <x:is>
          <x:t xml:space="preserve">rust_foundry</x:t>
        </x:is>
      </x:c>
      <x:c r="F53" s="138" t="inlineStr">
        <x:is>
          <x:t xml:space="preserve">root</x:t>
        </x:is>
      </x:c>
      <x:c r="G53" s="138" t="str"/>
      <x:c r="H53" s="138" t="inlineStr">
        <x:is>
          <x:t xml:space="preserve">顶视</x:t>
        </x:is>
      </x:c>
      <x:c r="I53" s="138" t="inlineStr">
        <x:is>
          <x:t xml:space="preserve">default</x:t>
        </x:is>
      </x:c>
      <x:c r="J53" s="138" t="inlineStr">
        <x:is>
          <x:t xml:space="preserve">同主题房间共享</x:t>
        </x:is>
      </x:c>
      <x:c r="K53" s="138" t="inlineStr">
        <x:is>
          <x:t xml:space="preserve">程序占位</x:t>
        </x:is>
      </x:c>
      <x:c r="L53" s="138" t="inlineStr">
        <x:is>
          <x:t xml:space="preserve">P1</x:t>
        </x:is>
      </x:c>
      <x:c r="M53" s="138" t="inlineStr">
        <x:is>
          <x:t xml:space="preserve">v001</x:t>
        </x:is>
      </x:c>
      <x:c r="N53" s="138" t="inlineStr">
        <x:is>
          <x:t xml:space="preserve">64 px 网格；模块化 Tile/Prop</x:t>
        </x:is>
      </x:c>
      <x:c r="O53" s="138" t="str"/>
      <x:c r="P53" s="138" t="inlineStr">
        <x:is>
          <x:t xml:space="preserve">scenes/levels/RustFoundry.tscn</x:t>
        </x:is>
      </x:c>
      <x:c r="Q53" s="138" t="str"/>
      <x:c r="R53" s="138" t="str">
        <x:f>LOWER(TRIM(C53)&amp;"|"&amp;TRIM(D53)&amp;"|"&amp;TRIM(E53)&amp;"|"&amp;TRIM(F53)&amp;"|"&amp;TRIM(H53)&amp;"|"&amp;TRIM(I53))</x:f>
        <x:v>场景|biome_kit|rust_foundry|root|顶视|default</x:v>
      </x:c>
      <x:c r="S53" s="138" t="str">
        <x:f>IF(COUNTIF($R$6:$R$423,R53)&gt;1,"重复","唯一")</x:f>
        <x:v>唯一</x:v>
      </x:c>
      <x:c r="T53" s="138" t="str"/>
      <x:c r="U53" s="138" t="inlineStr">
        <x:is>
          <x:t xml:space="preserve">待分配</x:t>
        </x:is>
      </x:c>
      <x:c r="V53" s="303" t="n">
        <x:v>46224</x:v>
      </x:c>
      <x:c r="W53" s="138" t="inlineStr">
        <x:is>
          <x:t xml:space="preserve">原创/待确认</x:t>
        </x:is>
      </x:c>
      <x:c r="X53" s="375" t="inlineStr">
        <x:is>
          <x:t xml:space="preserve">—</x:t>
        </x:is>
      </x:c>
      <x:c r="Y53" s="138" t="inlineStr">
        <x:is>
          <x:t xml:space="preserve">先拆地面/墙/门/大中小道具，禁止整张场景烘焙</x:t>
        </x:is>
      </x:c>
    </x:row>
    <x:row r="54">
      <x:c r="A54" s="138" t="inlineStr">
        <x:is>
          <x:t xml:space="preserve">ENV-SPORE-DEPTHS-KIT</x:t>
        </x:is>
      </x:c>
      <x:c r="B54" s="138" t="inlineStr">
        <x:is>
          <x:t xml:space="preserve">孢子深层</x:t>
        </x:is>
      </x:c>
      <x:c r="C54" s="138" t="inlineStr">
        <x:is>
          <x:t xml:space="preserve">场景</x:t>
        </x:is>
      </x:c>
      <x:c r="D54" s="138" t="inlineStr">
        <x:is>
          <x:t xml:space="preserve">biome_kit</x:t>
        </x:is>
      </x:c>
      <x:c r="E54" s="138" t="inlineStr">
        <x:is>
          <x:t xml:space="preserve">spore_depths</x:t>
        </x:is>
      </x:c>
      <x:c r="F54" s="138" t="inlineStr">
        <x:is>
          <x:t xml:space="preserve">root</x:t>
        </x:is>
      </x:c>
      <x:c r="G54" s="138" t="str"/>
      <x:c r="H54" s="138" t="inlineStr">
        <x:is>
          <x:t xml:space="preserve">顶视</x:t>
        </x:is>
      </x:c>
      <x:c r="I54" s="138" t="inlineStr">
        <x:is>
          <x:t xml:space="preserve">default</x:t>
        </x:is>
      </x:c>
      <x:c r="J54" s="138" t="inlineStr">
        <x:is>
          <x:t xml:space="preserve">同主题房间共享</x:t>
        </x:is>
      </x:c>
      <x:c r="K54" s="138" t="inlineStr">
        <x:is>
          <x:t xml:space="preserve">程序占位</x:t>
        </x:is>
      </x:c>
      <x:c r="L54" s="138" t="inlineStr">
        <x:is>
          <x:t xml:space="preserve">P1</x:t>
        </x:is>
      </x:c>
      <x:c r="M54" s="138" t="inlineStr">
        <x:is>
          <x:t xml:space="preserve">v001</x:t>
        </x:is>
      </x:c>
      <x:c r="N54" s="138" t="inlineStr">
        <x:is>
          <x:t xml:space="preserve">64 px 网格；模块化 Tile/Prop</x:t>
        </x:is>
      </x:c>
      <x:c r="O54" s="138" t="str"/>
      <x:c r="P54" s="138" t="inlineStr">
        <x:is>
          <x:t xml:space="preserve">scenes/levels/SporeDepths.tscn</x:t>
        </x:is>
      </x:c>
      <x:c r="Q54" s="138" t="str"/>
      <x:c r="R54" s="138" t="str">
        <x:f>LOWER(TRIM(C54)&amp;"|"&amp;TRIM(D54)&amp;"|"&amp;TRIM(E54)&amp;"|"&amp;TRIM(F54)&amp;"|"&amp;TRIM(H54)&amp;"|"&amp;TRIM(I54))</x:f>
        <x:v>场景|biome_kit|spore_depths|root|顶视|default</x:v>
      </x:c>
      <x:c r="S54" s="138" t="str">
        <x:f>IF(COUNTIF($R$6:$R$423,R54)&gt;1,"重复","唯一")</x:f>
        <x:v>唯一</x:v>
      </x:c>
      <x:c r="T54" s="138" t="str"/>
      <x:c r="U54" s="138" t="inlineStr">
        <x:is>
          <x:t xml:space="preserve">待分配</x:t>
        </x:is>
      </x:c>
      <x:c r="V54" s="303" t="n">
        <x:v>46224</x:v>
      </x:c>
      <x:c r="W54" s="138" t="inlineStr">
        <x:is>
          <x:t xml:space="preserve">原创/待确认</x:t>
        </x:is>
      </x:c>
      <x:c r="X54" s="375" t="inlineStr">
        <x:is>
          <x:t xml:space="preserve">—</x:t>
        </x:is>
      </x:c>
      <x:c r="Y54" s="138" t="inlineStr">
        <x:is>
          <x:t xml:space="preserve">先拆地面/墙/门/大中小道具，禁止整张场景烘焙</x:t>
        </x:is>
      </x:c>
    </x:row>
    <x:row r="55">
      <x:c r="A55" s="138" t="inlineStr">
        <x:is>
          <x:t xml:space="preserve">ENV-ABYSS-ARCHIVE-KIT</x:t>
        </x:is>
      </x:c>
      <x:c r="B55" s="138" t="inlineStr">
        <x:is>
          <x:t xml:space="preserve">深渊档案库</x:t>
        </x:is>
      </x:c>
      <x:c r="C55" s="138" t="inlineStr">
        <x:is>
          <x:t xml:space="preserve">场景</x:t>
        </x:is>
      </x:c>
      <x:c r="D55" s="138" t="inlineStr">
        <x:is>
          <x:t xml:space="preserve">biome_kit</x:t>
        </x:is>
      </x:c>
      <x:c r="E55" s="138" t="inlineStr">
        <x:is>
          <x:t xml:space="preserve">abyss_archive</x:t>
        </x:is>
      </x:c>
      <x:c r="F55" s="138" t="inlineStr">
        <x:is>
          <x:t xml:space="preserve">root</x:t>
        </x:is>
      </x:c>
      <x:c r="G55" s="138" t="str"/>
      <x:c r="H55" s="138" t="inlineStr">
        <x:is>
          <x:t xml:space="preserve">顶视</x:t>
        </x:is>
      </x:c>
      <x:c r="I55" s="138" t="inlineStr">
        <x:is>
          <x:t xml:space="preserve">default</x:t>
        </x:is>
      </x:c>
      <x:c r="J55" s="138" t="inlineStr">
        <x:is>
          <x:t xml:space="preserve">同主题房间共享</x:t>
        </x:is>
      </x:c>
      <x:c r="K55" s="138" t="inlineStr">
        <x:is>
          <x:t xml:space="preserve">程序占位</x:t>
        </x:is>
      </x:c>
      <x:c r="L55" s="138" t="inlineStr">
        <x:is>
          <x:t xml:space="preserve">P1</x:t>
        </x:is>
      </x:c>
      <x:c r="M55" s="138" t="inlineStr">
        <x:is>
          <x:t xml:space="preserve">v001</x:t>
        </x:is>
      </x:c>
      <x:c r="N55" s="138" t="inlineStr">
        <x:is>
          <x:t xml:space="preserve">64 px 网格；模块化 Tile/Prop</x:t>
        </x:is>
      </x:c>
      <x:c r="O55" s="138" t="str"/>
      <x:c r="P55" s="138" t="inlineStr">
        <x:is>
          <x:t xml:space="preserve">scenes/levels/AbyssArchive.tscn</x:t>
        </x:is>
      </x:c>
      <x:c r="Q55" s="138" t="str"/>
      <x:c r="R55" s="138" t="str">
        <x:f>LOWER(TRIM(C55)&amp;"|"&amp;TRIM(D55)&amp;"|"&amp;TRIM(E55)&amp;"|"&amp;TRIM(F55)&amp;"|"&amp;TRIM(H55)&amp;"|"&amp;TRIM(I55))</x:f>
        <x:v>场景|biome_kit|abyss_archive|root|顶视|default</x:v>
      </x:c>
      <x:c r="S55" s="138" t="str">
        <x:f>IF(COUNTIF($R$6:$R$423,R55)&gt;1,"重复","唯一")</x:f>
        <x:v>唯一</x:v>
      </x:c>
      <x:c r="T55" s="138" t="str"/>
      <x:c r="U55" s="138" t="inlineStr">
        <x:is>
          <x:t xml:space="preserve">待分配</x:t>
        </x:is>
      </x:c>
      <x:c r="V55" s="303" t="n">
        <x:v>46224</x:v>
      </x:c>
      <x:c r="W55" s="138" t="inlineStr">
        <x:is>
          <x:t xml:space="preserve">原创/待确认</x:t>
        </x:is>
      </x:c>
      <x:c r="X55" s="375" t="inlineStr">
        <x:is>
          <x:t xml:space="preserve">—</x:t>
        </x:is>
      </x:c>
      <x:c r="Y55" s="138" t="inlineStr">
        <x:is>
          <x:t xml:space="preserve">先拆地面/墙/门/大中小道具，禁止整张场景烘焙</x:t>
        </x:is>
      </x:c>
    </x:row>
    <x:row r="56">
      <x:c r="A56" s="138" t="inlineStr">
        <x:is>
          <x:t xml:space="preserve">ENV-TRAINING-RANGE-KIT</x:t>
        </x:is>
      </x:c>
      <x:c r="B56" s="138" t="inlineStr">
        <x:is>
          <x:t xml:space="preserve">地下训练靶场</x:t>
        </x:is>
      </x:c>
      <x:c r="C56" s="138" t="inlineStr">
        <x:is>
          <x:t xml:space="preserve">场景</x:t>
        </x:is>
      </x:c>
      <x:c r="D56" s="138" t="inlineStr">
        <x:is>
          <x:t xml:space="preserve">biome_kit</x:t>
        </x:is>
      </x:c>
      <x:c r="E56" s="138" t="inlineStr">
        <x:is>
          <x:t xml:space="preserve">training_range</x:t>
        </x:is>
      </x:c>
      <x:c r="F56" s="138" t="inlineStr">
        <x:is>
          <x:t xml:space="preserve">root</x:t>
        </x:is>
      </x:c>
      <x:c r="G56" s="138" t="str"/>
      <x:c r="H56" s="138" t="inlineStr">
        <x:is>
          <x:t xml:space="preserve">顶视</x:t>
        </x:is>
      </x:c>
      <x:c r="I56" s="138" t="inlineStr">
        <x:is>
          <x:t xml:space="preserve">default</x:t>
        </x:is>
      </x:c>
      <x:c r="J56" s="138" t="inlineStr">
        <x:is>
          <x:t xml:space="preserve">同主题房间共享</x:t>
        </x:is>
      </x:c>
      <x:c r="K56" s="138" t="inlineStr">
        <x:is>
          <x:t xml:space="preserve">程序占位</x:t>
        </x:is>
      </x:c>
      <x:c r="L56" s="138" t="inlineStr">
        <x:is>
          <x:t xml:space="preserve">P0</x:t>
        </x:is>
      </x:c>
      <x:c r="M56" s="138" t="inlineStr">
        <x:is>
          <x:t xml:space="preserve">v001</x:t>
        </x:is>
      </x:c>
      <x:c r="N56" s="138" t="inlineStr">
        <x:is>
          <x:t xml:space="preserve">64 px 网格；模块化 Tile/Prop</x:t>
        </x:is>
      </x:c>
      <x:c r="O56" s="138" t="str"/>
      <x:c r="P56" s="138" t="inlineStr">
        <x:is>
          <x:t xml:space="preserve">scenes/TrainingRange.tscn</x:t>
        </x:is>
      </x:c>
      <x:c r="Q56" s="138" t="str"/>
      <x:c r="R56" s="138" t="str">
        <x:f>LOWER(TRIM(C56)&amp;"|"&amp;TRIM(D56)&amp;"|"&amp;TRIM(E56)&amp;"|"&amp;TRIM(F56)&amp;"|"&amp;TRIM(H56)&amp;"|"&amp;TRIM(I56))</x:f>
        <x:v>场景|biome_kit|training_range|root|顶视|default</x:v>
      </x:c>
      <x:c r="S56" s="138" t="str">
        <x:f>IF(COUNTIF($R$6:$R$423,R56)&gt;1,"重复","唯一")</x:f>
        <x:v>唯一</x:v>
      </x:c>
      <x:c r="T56" s="138" t="str"/>
      <x:c r="U56" s="138" t="inlineStr">
        <x:is>
          <x:t xml:space="preserve">待分配</x:t>
        </x:is>
      </x:c>
      <x:c r="V56" s="303" t="n">
        <x:v>46224</x:v>
      </x:c>
      <x:c r="W56" s="138" t="inlineStr">
        <x:is>
          <x:t xml:space="preserve">原创/待确认</x:t>
        </x:is>
      </x:c>
      <x:c r="X56" s="375" t="inlineStr">
        <x:is>
          <x:t xml:space="preserve">—</x:t>
        </x:is>
      </x:c>
      <x:c r="Y56" s="138" t="inlineStr">
        <x:is>
          <x:t xml:space="preserve">先拆地面/墙/门/大中小道具，禁止整张场景烘焙</x:t>
        </x:is>
      </x:c>
    </x:row>
    <x:row r="57">
      <x:c r="A57" s="138" t="inlineStr">
        <x:is>
          <x:t xml:space="preserve">ENV-ROOM-COMBAT-DRESSING</x:t>
        </x:is>
      </x:c>
      <x:c r="B57" s="138" t="inlineStr">
        <x:is>
          <x:t xml:space="preserve">combat 房间陈设包</x:t>
        </x:is>
      </x:c>
      <x:c r="C57" s="138" t="inlineStr">
        <x:is>
          <x:t xml:space="preserve">场景</x:t>
        </x:is>
      </x:c>
      <x:c r="D57" s="138" t="inlineStr">
        <x:is>
          <x:t xml:space="preserve">room_dressing</x:t>
        </x:is>
      </x:c>
      <x:c r="E57" s="138" t="inlineStr">
        <x:is>
          <x:t xml:space="preserve">room_combat</x:t>
        </x:is>
      </x:c>
      <x:c r="F57" s="138" t="inlineStr">
        <x:is>
          <x:t xml:space="preserve">root</x:t>
        </x:is>
      </x:c>
      <x:c r="G57" s="138" t="str"/>
      <x:c r="H57" s="138" t="inlineStr">
        <x:is>
          <x:t xml:space="preserve">顶视</x:t>
        </x:is>
      </x:c>
      <x:c r="I57" s="138" t="inlineStr">
        <x:is>
          <x:t xml:space="preserve">default</x:t>
        </x:is>
      </x:c>
      <x:c r="J57" s="138" t="inlineStr">
        <x:is>
          <x:t xml:space="preserve">跨楼层配色变体</x:t>
        </x:is>
      </x:c>
      <x:c r="K57" s="138" t="inlineStr">
        <x:is>
          <x:t xml:space="preserve">程序占位</x:t>
        </x:is>
      </x:c>
      <x:c r="L57" s="138" t="inlineStr">
        <x:is>
          <x:t xml:space="preserve">P1</x:t>
        </x:is>
      </x:c>
      <x:c r="M57" s="138" t="inlineStr">
        <x:is>
          <x:t xml:space="preserve">v001</x:t>
        </x:is>
      </x:c>
      <x:c r="N57" s="138" t="inlineStr">
        <x:is>
          <x:t xml:space="preserve">64 px 网格</x:t>
        </x:is>
      </x:c>
      <x:c r="O57" s="138" t="str"/>
      <x:c r="P57" s="138" t="inlineStr">
        <x:is>
          <x:t xml:space="preserve">scenes/RoomCombat.tscn</x:t>
        </x:is>
      </x:c>
      <x:c r="Q57" s="138" t="str"/>
      <x:c r="R57" s="138" t="str">
        <x:f>LOWER(TRIM(C57)&amp;"|"&amp;TRIM(D57)&amp;"|"&amp;TRIM(E57)&amp;"|"&amp;TRIM(F57)&amp;"|"&amp;TRIM(H57)&amp;"|"&amp;TRIM(I57))</x:f>
        <x:v>场景|room_dressing|room_combat|root|顶视|default</x:v>
      </x:c>
      <x:c r="S57" s="138" t="str">
        <x:f>IF(COUNTIF($R$6:$R$423,R57)&gt;1,"重复","唯一")</x:f>
        <x:v>唯一</x:v>
      </x:c>
      <x:c r="T57" s="138" t="str"/>
      <x:c r="U57" s="138" t="inlineStr">
        <x:is>
          <x:t xml:space="preserve">待分配</x:t>
        </x:is>
      </x:c>
      <x:c r="V57" s="303" t="n">
        <x:v>46224</x:v>
      </x:c>
      <x:c r="W57" s="138" t="inlineStr">
        <x:is>
          <x:t xml:space="preserve">原创/待确认</x:t>
        </x:is>
      </x:c>
      <x:c r="X57" s="375" t="inlineStr">
        <x:is>
          <x:t xml:space="preserve">—</x:t>
        </x:is>
      </x:c>
      <x:c r="Y57" s="138" t="inlineStr">
        <x:is>
          <x:t xml:space="preserve">只登记房间独有件；地板墙体引用 biome kit</x:t>
        </x:is>
      </x:c>
    </x:row>
    <x:row r="58">
      <x:c r="A58" s="138" t="inlineStr">
        <x:is>
          <x:t xml:space="preserve">ENV-ROOM-ELITE-DRESSING</x:t>
        </x:is>
      </x:c>
      <x:c r="B58" s="138" t="inlineStr">
        <x:is>
          <x:t xml:space="preserve">elite 房间陈设包</x:t>
        </x:is>
      </x:c>
      <x:c r="C58" s="138" t="inlineStr">
        <x:is>
          <x:t xml:space="preserve">场景</x:t>
        </x:is>
      </x:c>
      <x:c r="D58" s="138" t="inlineStr">
        <x:is>
          <x:t xml:space="preserve">room_dressing</x:t>
        </x:is>
      </x:c>
      <x:c r="E58" s="138" t="inlineStr">
        <x:is>
          <x:t xml:space="preserve">room_elite</x:t>
        </x:is>
      </x:c>
      <x:c r="F58" s="138" t="inlineStr">
        <x:is>
          <x:t xml:space="preserve">root</x:t>
        </x:is>
      </x:c>
      <x:c r="G58" s="138" t="str"/>
      <x:c r="H58" s="138" t="inlineStr">
        <x:is>
          <x:t xml:space="preserve">顶视</x:t>
        </x:is>
      </x:c>
      <x:c r="I58" s="138" t="inlineStr">
        <x:is>
          <x:t xml:space="preserve">default</x:t>
        </x:is>
      </x:c>
      <x:c r="J58" s="138" t="inlineStr">
        <x:is>
          <x:t xml:space="preserve">跨楼层配色变体</x:t>
        </x:is>
      </x:c>
      <x:c r="K58" s="138" t="inlineStr">
        <x:is>
          <x:t xml:space="preserve">程序占位</x:t>
        </x:is>
      </x:c>
      <x:c r="L58" s="138" t="inlineStr">
        <x:is>
          <x:t xml:space="preserve">P2</x:t>
        </x:is>
      </x:c>
      <x:c r="M58" s="138" t="inlineStr">
        <x:is>
          <x:t xml:space="preserve">v001</x:t>
        </x:is>
      </x:c>
      <x:c r="N58" s="138" t="inlineStr">
        <x:is>
          <x:t xml:space="preserve">64 px 网格</x:t>
        </x:is>
      </x:c>
      <x:c r="O58" s="138" t="str"/>
      <x:c r="P58" s="138" t="inlineStr">
        <x:is>
          <x:t xml:space="preserve">scenes/RoomElite.tscn</x:t>
        </x:is>
      </x:c>
      <x:c r="Q58" s="138" t="str"/>
      <x:c r="R58" s="138" t="str">
        <x:f>LOWER(TRIM(C58)&amp;"|"&amp;TRIM(D58)&amp;"|"&amp;TRIM(E58)&amp;"|"&amp;TRIM(F58)&amp;"|"&amp;TRIM(H58)&amp;"|"&amp;TRIM(I58))</x:f>
        <x:v>场景|room_dressing|room_elite|root|顶视|default</x:v>
      </x:c>
      <x:c r="S58" s="138" t="str">
        <x:f>IF(COUNTIF($R$6:$R$423,R58)&gt;1,"重复","唯一")</x:f>
        <x:v>唯一</x:v>
      </x:c>
      <x:c r="T58" s="138" t="str"/>
      <x:c r="U58" s="138" t="inlineStr">
        <x:is>
          <x:t xml:space="preserve">待分配</x:t>
        </x:is>
      </x:c>
      <x:c r="V58" s="303" t="n">
        <x:v>46224</x:v>
      </x:c>
      <x:c r="W58" s="138" t="inlineStr">
        <x:is>
          <x:t xml:space="preserve">原创/待确认</x:t>
        </x:is>
      </x:c>
      <x:c r="X58" s="375" t="inlineStr">
        <x:is>
          <x:t xml:space="preserve">—</x:t>
        </x:is>
      </x:c>
      <x:c r="Y58" s="138" t="inlineStr">
        <x:is>
          <x:t xml:space="preserve">只登记房间独有件；地板墙体引用 biome kit</x:t>
        </x:is>
      </x:c>
    </x:row>
    <x:row r="59">
      <x:c r="A59" s="138" t="inlineStr">
        <x:is>
          <x:t xml:space="preserve">ENV-ROOM-BOSS-DRESSING</x:t>
        </x:is>
      </x:c>
      <x:c r="B59" s="138" t="inlineStr">
        <x:is>
          <x:t xml:space="preserve">boss 房间陈设包</x:t>
        </x:is>
      </x:c>
      <x:c r="C59" s="138" t="inlineStr">
        <x:is>
          <x:t xml:space="preserve">场景</x:t>
        </x:is>
      </x:c>
      <x:c r="D59" s="138" t="inlineStr">
        <x:is>
          <x:t xml:space="preserve">room_dressing</x:t>
        </x:is>
      </x:c>
      <x:c r="E59" s="138" t="inlineStr">
        <x:is>
          <x:t xml:space="preserve">room_boss</x:t>
        </x:is>
      </x:c>
      <x:c r="F59" s="138" t="inlineStr">
        <x:is>
          <x:t xml:space="preserve">root</x:t>
        </x:is>
      </x:c>
      <x:c r="G59" s="138" t="str"/>
      <x:c r="H59" s="138" t="inlineStr">
        <x:is>
          <x:t xml:space="preserve">顶视</x:t>
        </x:is>
      </x:c>
      <x:c r="I59" s="138" t="inlineStr">
        <x:is>
          <x:t xml:space="preserve">default</x:t>
        </x:is>
      </x:c>
      <x:c r="J59" s="138" t="inlineStr">
        <x:is>
          <x:t xml:space="preserve">跨楼层配色变体</x:t>
        </x:is>
      </x:c>
      <x:c r="K59" s="138" t="inlineStr">
        <x:is>
          <x:t xml:space="preserve">程序占位</x:t>
        </x:is>
      </x:c>
      <x:c r="L59" s="138" t="inlineStr">
        <x:is>
          <x:t xml:space="preserve">P1</x:t>
        </x:is>
      </x:c>
      <x:c r="M59" s="138" t="inlineStr">
        <x:is>
          <x:t xml:space="preserve">v001</x:t>
        </x:is>
      </x:c>
      <x:c r="N59" s="138" t="inlineStr">
        <x:is>
          <x:t xml:space="preserve">64 px 网格</x:t>
        </x:is>
      </x:c>
      <x:c r="O59" s="138" t="str"/>
      <x:c r="P59" s="138" t="inlineStr">
        <x:is>
          <x:t xml:space="preserve">scenes/RoomBoss.tscn</x:t>
        </x:is>
      </x:c>
      <x:c r="Q59" s="138" t="str"/>
      <x:c r="R59" s="138" t="str">
        <x:f>LOWER(TRIM(C59)&amp;"|"&amp;TRIM(D59)&amp;"|"&amp;TRIM(E59)&amp;"|"&amp;TRIM(F59)&amp;"|"&amp;TRIM(H59)&amp;"|"&amp;TRIM(I59))</x:f>
        <x:v>场景|room_dressing|room_boss|root|顶视|default</x:v>
      </x:c>
      <x:c r="S59" s="138" t="str">
        <x:f>IF(COUNTIF($R$6:$R$423,R59)&gt;1,"重复","唯一")</x:f>
        <x:v>唯一</x:v>
      </x:c>
      <x:c r="T59" s="138" t="str"/>
      <x:c r="U59" s="138" t="inlineStr">
        <x:is>
          <x:t xml:space="preserve">待分配</x:t>
        </x:is>
      </x:c>
      <x:c r="V59" s="303" t="n">
        <x:v>46224</x:v>
      </x:c>
      <x:c r="W59" s="138" t="inlineStr">
        <x:is>
          <x:t xml:space="preserve">原创/待确认</x:t>
        </x:is>
      </x:c>
      <x:c r="X59" s="375" t="inlineStr">
        <x:is>
          <x:t xml:space="preserve">—</x:t>
        </x:is>
      </x:c>
      <x:c r="Y59" s="138" t="inlineStr">
        <x:is>
          <x:t xml:space="preserve">只登记房间独有件；地板墙体引用 biome kit</x:t>
        </x:is>
      </x:c>
    </x:row>
    <x:row r="60">
      <x:c r="A60" s="138" t="inlineStr">
        <x:is>
          <x:t xml:space="preserve">ENV-ROOM-EVENT-DRESSING</x:t>
        </x:is>
      </x:c>
      <x:c r="B60" s="138" t="inlineStr">
        <x:is>
          <x:t xml:space="preserve">event 房间陈设包</x:t>
        </x:is>
      </x:c>
      <x:c r="C60" s="138" t="inlineStr">
        <x:is>
          <x:t xml:space="preserve">场景</x:t>
        </x:is>
      </x:c>
      <x:c r="D60" s="138" t="inlineStr">
        <x:is>
          <x:t xml:space="preserve">room_dressing</x:t>
        </x:is>
      </x:c>
      <x:c r="E60" s="138" t="inlineStr">
        <x:is>
          <x:t xml:space="preserve">room_event</x:t>
        </x:is>
      </x:c>
      <x:c r="F60" s="138" t="inlineStr">
        <x:is>
          <x:t xml:space="preserve">root</x:t>
        </x:is>
      </x:c>
      <x:c r="G60" s="138" t="str"/>
      <x:c r="H60" s="138" t="inlineStr">
        <x:is>
          <x:t xml:space="preserve">顶视</x:t>
        </x:is>
      </x:c>
      <x:c r="I60" s="138" t="inlineStr">
        <x:is>
          <x:t xml:space="preserve">default</x:t>
        </x:is>
      </x:c>
      <x:c r="J60" s="138" t="inlineStr">
        <x:is>
          <x:t xml:space="preserve">跨楼层配色变体</x:t>
        </x:is>
      </x:c>
      <x:c r="K60" s="138" t="inlineStr">
        <x:is>
          <x:t xml:space="preserve">程序占位</x:t>
        </x:is>
      </x:c>
      <x:c r="L60" s="138" t="inlineStr">
        <x:is>
          <x:t xml:space="preserve">P2</x:t>
        </x:is>
      </x:c>
      <x:c r="M60" s="138" t="inlineStr">
        <x:is>
          <x:t xml:space="preserve">v001</x:t>
        </x:is>
      </x:c>
      <x:c r="N60" s="138" t="inlineStr">
        <x:is>
          <x:t xml:space="preserve">64 px 网格</x:t>
        </x:is>
      </x:c>
      <x:c r="O60" s="138" t="str"/>
      <x:c r="P60" s="138" t="inlineStr">
        <x:is>
          <x:t xml:space="preserve">scenes/RoomEvent.tscn</x:t>
        </x:is>
      </x:c>
      <x:c r="Q60" s="138" t="str"/>
      <x:c r="R60" s="138" t="str">
        <x:f>LOWER(TRIM(C60)&amp;"|"&amp;TRIM(D60)&amp;"|"&amp;TRIM(E60)&amp;"|"&amp;TRIM(F60)&amp;"|"&amp;TRIM(H60)&amp;"|"&amp;TRIM(I60))</x:f>
        <x:v>场景|room_dressing|room_event|root|顶视|default</x:v>
      </x:c>
      <x:c r="S60" s="138" t="str">
        <x:f>IF(COUNTIF($R$6:$R$423,R60)&gt;1,"重复","唯一")</x:f>
        <x:v>唯一</x:v>
      </x:c>
      <x:c r="T60" s="138" t="str"/>
      <x:c r="U60" s="138" t="inlineStr">
        <x:is>
          <x:t xml:space="preserve">待分配</x:t>
        </x:is>
      </x:c>
      <x:c r="V60" s="303" t="n">
        <x:v>46224</x:v>
      </x:c>
      <x:c r="W60" s="138" t="inlineStr">
        <x:is>
          <x:t xml:space="preserve">原创/待确认</x:t>
        </x:is>
      </x:c>
      <x:c r="X60" s="375" t="inlineStr">
        <x:is>
          <x:t xml:space="preserve">—</x:t>
        </x:is>
      </x:c>
      <x:c r="Y60" s="138" t="inlineStr">
        <x:is>
          <x:t xml:space="preserve">只登记房间独有件；地板墙体引用 biome kit</x:t>
        </x:is>
      </x:c>
    </x:row>
    <x:row r="61">
      <x:c r="A61" s="138" t="inlineStr">
        <x:is>
          <x:t xml:space="preserve">ENV-ROOM-EXTRACTION-DRESSING</x:t>
        </x:is>
      </x:c>
      <x:c r="B61" s="138" t="inlineStr">
        <x:is>
          <x:t xml:space="preserve">extraction 房间陈设包</x:t>
        </x:is>
      </x:c>
      <x:c r="C61" s="138" t="inlineStr">
        <x:is>
          <x:t xml:space="preserve">场景</x:t>
        </x:is>
      </x:c>
      <x:c r="D61" s="138" t="inlineStr">
        <x:is>
          <x:t xml:space="preserve">room_dressing</x:t>
        </x:is>
      </x:c>
      <x:c r="E61" s="138" t="inlineStr">
        <x:is>
          <x:t xml:space="preserve">room_extraction</x:t>
        </x:is>
      </x:c>
      <x:c r="F61" s="138" t="inlineStr">
        <x:is>
          <x:t xml:space="preserve">root</x:t>
        </x:is>
      </x:c>
      <x:c r="G61" s="138" t="str"/>
      <x:c r="H61" s="138" t="inlineStr">
        <x:is>
          <x:t xml:space="preserve">顶视</x:t>
        </x:is>
      </x:c>
      <x:c r="I61" s="138" t="inlineStr">
        <x:is>
          <x:t xml:space="preserve">default</x:t>
        </x:is>
      </x:c>
      <x:c r="J61" s="138" t="inlineStr">
        <x:is>
          <x:t xml:space="preserve">跨楼层配色变体</x:t>
        </x:is>
      </x:c>
      <x:c r="K61" s="138" t="inlineStr">
        <x:is>
          <x:t xml:space="preserve">程序占位</x:t>
        </x:is>
      </x:c>
      <x:c r="L61" s="138" t="inlineStr">
        <x:is>
          <x:t xml:space="preserve">P1</x:t>
        </x:is>
      </x:c>
      <x:c r="M61" s="138" t="inlineStr">
        <x:is>
          <x:t xml:space="preserve">v001</x:t>
        </x:is>
      </x:c>
      <x:c r="N61" s="138" t="inlineStr">
        <x:is>
          <x:t xml:space="preserve">64 px 网格</x:t>
        </x:is>
      </x:c>
      <x:c r="O61" s="138" t="str"/>
      <x:c r="P61" s="138" t="inlineStr">
        <x:is>
          <x:t xml:space="preserve">scenes/RoomExtraction.tscn</x:t>
        </x:is>
      </x:c>
      <x:c r="Q61" s="138" t="str"/>
      <x:c r="R61" s="138" t="str">
        <x:f>LOWER(TRIM(C61)&amp;"|"&amp;TRIM(D61)&amp;"|"&amp;TRIM(E61)&amp;"|"&amp;TRIM(F61)&amp;"|"&amp;TRIM(H61)&amp;"|"&amp;TRIM(I61))</x:f>
        <x:v>场景|room_dressing|room_extraction|root|顶视|default</x:v>
      </x:c>
      <x:c r="S61" s="138" t="str">
        <x:f>IF(COUNTIF($R$6:$R$423,R61)&gt;1,"重复","唯一")</x:f>
        <x:v>唯一</x:v>
      </x:c>
      <x:c r="T61" s="138" t="str"/>
      <x:c r="U61" s="138" t="inlineStr">
        <x:is>
          <x:t xml:space="preserve">待分配</x:t>
        </x:is>
      </x:c>
      <x:c r="V61" s="303" t="n">
        <x:v>46224</x:v>
      </x:c>
      <x:c r="W61" s="138" t="inlineStr">
        <x:is>
          <x:t xml:space="preserve">原创/待确认</x:t>
        </x:is>
      </x:c>
      <x:c r="X61" s="375" t="inlineStr">
        <x:is>
          <x:t xml:space="preserve">—</x:t>
        </x:is>
      </x:c>
      <x:c r="Y61" s="138" t="inlineStr">
        <x:is>
          <x:t xml:space="preserve">只登记房间独有件；地板墙体引用 biome kit</x:t>
        </x:is>
      </x:c>
    </x:row>
    <x:row r="62">
      <x:c r="A62" s="138" t="inlineStr">
        <x:is>
          <x:t xml:space="preserve">ENV-ROOM-MERCHANT-DRESSING</x:t>
        </x:is>
      </x:c>
      <x:c r="B62" s="138" t="inlineStr">
        <x:is>
          <x:t xml:space="preserve">merchant 房间陈设包</x:t>
        </x:is>
      </x:c>
      <x:c r="C62" s="138" t="inlineStr">
        <x:is>
          <x:t xml:space="preserve">场景</x:t>
        </x:is>
      </x:c>
      <x:c r="D62" s="138" t="inlineStr">
        <x:is>
          <x:t xml:space="preserve">room_dressing</x:t>
        </x:is>
      </x:c>
      <x:c r="E62" s="138" t="inlineStr">
        <x:is>
          <x:t xml:space="preserve">room_merchant</x:t>
        </x:is>
      </x:c>
      <x:c r="F62" s="138" t="inlineStr">
        <x:is>
          <x:t xml:space="preserve">root</x:t>
        </x:is>
      </x:c>
      <x:c r="G62" s="138" t="str"/>
      <x:c r="H62" s="138" t="inlineStr">
        <x:is>
          <x:t xml:space="preserve">顶视</x:t>
        </x:is>
      </x:c>
      <x:c r="I62" s="138" t="inlineStr">
        <x:is>
          <x:t xml:space="preserve">default</x:t>
        </x:is>
      </x:c>
      <x:c r="J62" s="138" t="inlineStr">
        <x:is>
          <x:t xml:space="preserve">跨楼层配色变体</x:t>
        </x:is>
      </x:c>
      <x:c r="K62" s="138" t="inlineStr">
        <x:is>
          <x:t xml:space="preserve">程序占位</x:t>
        </x:is>
      </x:c>
      <x:c r="L62" s="138" t="inlineStr">
        <x:is>
          <x:t xml:space="preserve">P2</x:t>
        </x:is>
      </x:c>
      <x:c r="M62" s="138" t="inlineStr">
        <x:is>
          <x:t xml:space="preserve">v001</x:t>
        </x:is>
      </x:c>
      <x:c r="N62" s="138" t="inlineStr">
        <x:is>
          <x:t xml:space="preserve">64 px 网格</x:t>
        </x:is>
      </x:c>
      <x:c r="O62" s="138" t="str"/>
      <x:c r="P62" s="138" t="inlineStr">
        <x:is>
          <x:t xml:space="preserve">scenes/RoomMerchant.tscn</x:t>
        </x:is>
      </x:c>
      <x:c r="Q62" s="138" t="str"/>
      <x:c r="R62" s="138" t="str">
        <x:f>LOWER(TRIM(C62)&amp;"|"&amp;TRIM(D62)&amp;"|"&amp;TRIM(E62)&amp;"|"&amp;TRIM(F62)&amp;"|"&amp;TRIM(H62)&amp;"|"&amp;TRIM(I62))</x:f>
        <x:v>场景|room_dressing|room_merchant|root|顶视|default</x:v>
      </x:c>
      <x:c r="S62" s="138" t="str">
        <x:f>IF(COUNTIF($R$6:$R$423,R62)&gt;1,"重复","唯一")</x:f>
        <x:v>唯一</x:v>
      </x:c>
      <x:c r="T62" s="138" t="str"/>
      <x:c r="U62" s="138" t="inlineStr">
        <x:is>
          <x:t xml:space="preserve">待分配</x:t>
        </x:is>
      </x:c>
      <x:c r="V62" s="303" t="n">
        <x:v>46224</x:v>
      </x:c>
      <x:c r="W62" s="138" t="inlineStr">
        <x:is>
          <x:t xml:space="preserve">原创/待确认</x:t>
        </x:is>
      </x:c>
      <x:c r="X62" s="375" t="inlineStr">
        <x:is>
          <x:t xml:space="preserve">—</x:t>
        </x:is>
      </x:c>
      <x:c r="Y62" s="138" t="inlineStr">
        <x:is>
          <x:t xml:space="preserve">只登记房间独有件；地板墙体引用 biome kit</x:t>
        </x:is>
      </x:c>
    </x:row>
    <x:row r="63">
      <x:c r="A63" s="138" t="inlineStr">
        <x:is>
          <x:t xml:space="preserve">ENV-ROOM-SCAVENGE-DRESSING</x:t>
        </x:is>
      </x:c>
      <x:c r="B63" s="138" t="inlineStr">
        <x:is>
          <x:t xml:space="preserve">scavenge 房间陈设包</x:t>
        </x:is>
      </x:c>
      <x:c r="C63" s="138" t="inlineStr">
        <x:is>
          <x:t xml:space="preserve">场景</x:t>
        </x:is>
      </x:c>
      <x:c r="D63" s="138" t="inlineStr">
        <x:is>
          <x:t xml:space="preserve">room_dressing</x:t>
        </x:is>
      </x:c>
      <x:c r="E63" s="138" t="inlineStr">
        <x:is>
          <x:t xml:space="preserve">room_scavenge</x:t>
        </x:is>
      </x:c>
      <x:c r="F63" s="138" t="inlineStr">
        <x:is>
          <x:t xml:space="preserve">root</x:t>
        </x:is>
      </x:c>
      <x:c r="G63" s="138" t="str"/>
      <x:c r="H63" s="138" t="inlineStr">
        <x:is>
          <x:t xml:space="preserve">顶视</x:t>
        </x:is>
      </x:c>
      <x:c r="I63" s="138" t="inlineStr">
        <x:is>
          <x:t xml:space="preserve">default</x:t>
        </x:is>
      </x:c>
      <x:c r="J63" s="138" t="inlineStr">
        <x:is>
          <x:t xml:space="preserve">跨楼层配色变体</x:t>
        </x:is>
      </x:c>
      <x:c r="K63" s="138" t="inlineStr">
        <x:is>
          <x:t xml:space="preserve">程序占位</x:t>
        </x:is>
      </x:c>
      <x:c r="L63" s="138" t="inlineStr">
        <x:is>
          <x:t xml:space="preserve">P2</x:t>
        </x:is>
      </x:c>
      <x:c r="M63" s="138" t="inlineStr">
        <x:is>
          <x:t xml:space="preserve">v001</x:t>
        </x:is>
      </x:c>
      <x:c r="N63" s="138" t="inlineStr">
        <x:is>
          <x:t xml:space="preserve">64 px 网格</x:t>
        </x:is>
      </x:c>
      <x:c r="O63" s="138" t="str"/>
      <x:c r="P63" s="138" t="inlineStr">
        <x:is>
          <x:t xml:space="preserve">scenes/RoomScavenge.tscn</x:t>
        </x:is>
      </x:c>
      <x:c r="Q63" s="138" t="str"/>
      <x:c r="R63" s="138" t="str">
        <x:f>LOWER(TRIM(C63)&amp;"|"&amp;TRIM(D63)&amp;"|"&amp;TRIM(E63)&amp;"|"&amp;TRIM(F63)&amp;"|"&amp;TRIM(H63)&amp;"|"&amp;TRIM(I63))</x:f>
        <x:v>场景|room_dressing|room_scavenge|root|顶视|default</x:v>
      </x:c>
      <x:c r="S63" s="138" t="str">
        <x:f>IF(COUNTIF($R$6:$R$423,R63)&gt;1,"重复","唯一")</x:f>
        <x:v>唯一</x:v>
      </x:c>
      <x:c r="T63" s="138" t="str"/>
      <x:c r="U63" s="138" t="inlineStr">
        <x:is>
          <x:t xml:space="preserve">待分配</x:t>
        </x:is>
      </x:c>
      <x:c r="V63" s="303" t="n">
        <x:v>46224</x:v>
      </x:c>
      <x:c r="W63" s="138" t="inlineStr">
        <x:is>
          <x:t xml:space="preserve">原创/待确认</x:t>
        </x:is>
      </x:c>
      <x:c r="X63" s="375" t="inlineStr">
        <x:is>
          <x:t xml:space="preserve">—</x:t>
        </x:is>
      </x:c>
      <x:c r="Y63" s="138" t="inlineStr">
        <x:is>
          <x:t xml:space="preserve">只登记房间独有件；地板墙体引用 biome kit</x:t>
        </x:is>
      </x:c>
    </x:row>
    <x:row r="64">
      <x:c r="A64" s="138" t="inlineStr">
        <x:is>
          <x:t xml:space="preserve">ENV-ROOM-STORAGE-DRESSING</x:t>
        </x:is>
      </x:c>
      <x:c r="B64" s="138" t="inlineStr">
        <x:is>
          <x:t xml:space="preserve">storage 房间陈设包</x:t>
        </x:is>
      </x:c>
      <x:c r="C64" s="138" t="inlineStr">
        <x:is>
          <x:t xml:space="preserve">场景</x:t>
        </x:is>
      </x:c>
      <x:c r="D64" s="138" t="inlineStr">
        <x:is>
          <x:t xml:space="preserve">room_dressing</x:t>
        </x:is>
      </x:c>
      <x:c r="E64" s="138" t="inlineStr">
        <x:is>
          <x:t xml:space="preserve">room_storage</x:t>
        </x:is>
      </x:c>
      <x:c r="F64" s="138" t="inlineStr">
        <x:is>
          <x:t xml:space="preserve">root</x:t>
        </x:is>
      </x:c>
      <x:c r="G64" s="138" t="str"/>
      <x:c r="H64" s="138" t="inlineStr">
        <x:is>
          <x:t xml:space="preserve">顶视</x:t>
        </x:is>
      </x:c>
      <x:c r="I64" s="138" t="inlineStr">
        <x:is>
          <x:t xml:space="preserve">default</x:t>
        </x:is>
      </x:c>
      <x:c r="J64" s="138" t="inlineStr">
        <x:is>
          <x:t xml:space="preserve">跨楼层配色变体</x:t>
        </x:is>
      </x:c>
      <x:c r="K64" s="138" t="inlineStr">
        <x:is>
          <x:t xml:space="preserve">程序占位</x:t>
        </x:is>
      </x:c>
      <x:c r="L64" s="138" t="inlineStr">
        <x:is>
          <x:t xml:space="preserve">P2</x:t>
        </x:is>
      </x:c>
      <x:c r="M64" s="138" t="inlineStr">
        <x:is>
          <x:t xml:space="preserve">v001</x:t>
        </x:is>
      </x:c>
      <x:c r="N64" s="138" t="inlineStr">
        <x:is>
          <x:t xml:space="preserve">64 px 网格</x:t>
        </x:is>
      </x:c>
      <x:c r="O64" s="138" t="str"/>
      <x:c r="P64" s="138" t="inlineStr">
        <x:is>
          <x:t xml:space="preserve">scenes/RoomStorage.tscn</x:t>
        </x:is>
      </x:c>
      <x:c r="Q64" s="138" t="str"/>
      <x:c r="R64" s="138" t="str">
        <x:f>LOWER(TRIM(C64)&amp;"|"&amp;TRIM(D64)&amp;"|"&amp;TRIM(E64)&amp;"|"&amp;TRIM(F64)&amp;"|"&amp;TRIM(H64)&amp;"|"&amp;TRIM(I64))</x:f>
        <x:v>场景|room_dressing|room_storage|root|顶视|default</x:v>
      </x:c>
      <x:c r="S64" s="138" t="str">
        <x:f>IF(COUNTIF($R$6:$R$423,R64)&gt;1,"重复","唯一")</x:f>
        <x:v>唯一</x:v>
      </x:c>
      <x:c r="T64" s="138" t="str"/>
      <x:c r="U64" s="138" t="inlineStr">
        <x:is>
          <x:t xml:space="preserve">待分配</x:t>
        </x:is>
      </x:c>
      <x:c r="V64" s="303" t="n">
        <x:v>46224</x:v>
      </x:c>
      <x:c r="W64" s="138" t="inlineStr">
        <x:is>
          <x:t xml:space="preserve">原创/待确认</x:t>
        </x:is>
      </x:c>
      <x:c r="X64" s="375" t="inlineStr">
        <x:is>
          <x:t xml:space="preserve">—</x:t>
        </x:is>
      </x:c>
      <x:c r="Y64" s="138" t="inlineStr">
        <x:is>
          <x:t xml:space="preserve">只登记房间独有件；地板墙体引用 biome kit</x:t>
        </x:is>
      </x:c>
    </x:row>
    <x:row r="65">
      <x:c r="A65" s="138" t="inlineStr">
        <x:is>
          <x:t xml:space="preserve">ENV-ROOM-TRAP-DRESSING</x:t>
        </x:is>
      </x:c>
      <x:c r="B65" s="138" t="inlineStr">
        <x:is>
          <x:t xml:space="preserve">trap 房间陈设包</x:t>
        </x:is>
      </x:c>
      <x:c r="C65" s="138" t="inlineStr">
        <x:is>
          <x:t xml:space="preserve">场景</x:t>
        </x:is>
      </x:c>
      <x:c r="D65" s="138" t="inlineStr">
        <x:is>
          <x:t xml:space="preserve">room_dressing</x:t>
        </x:is>
      </x:c>
      <x:c r="E65" s="138" t="inlineStr">
        <x:is>
          <x:t xml:space="preserve">room_trap</x:t>
        </x:is>
      </x:c>
      <x:c r="F65" s="138" t="inlineStr">
        <x:is>
          <x:t xml:space="preserve">root</x:t>
        </x:is>
      </x:c>
      <x:c r="G65" s="138" t="str"/>
      <x:c r="H65" s="138" t="inlineStr">
        <x:is>
          <x:t xml:space="preserve">顶视</x:t>
        </x:is>
      </x:c>
      <x:c r="I65" s="138" t="inlineStr">
        <x:is>
          <x:t xml:space="preserve">default</x:t>
        </x:is>
      </x:c>
      <x:c r="J65" s="138" t="inlineStr">
        <x:is>
          <x:t xml:space="preserve">跨楼层配色变体</x:t>
        </x:is>
      </x:c>
      <x:c r="K65" s="138" t="inlineStr">
        <x:is>
          <x:t xml:space="preserve">程序占位</x:t>
        </x:is>
      </x:c>
      <x:c r="L65" s="138" t="inlineStr">
        <x:is>
          <x:t xml:space="preserve">P2</x:t>
        </x:is>
      </x:c>
      <x:c r="M65" s="138" t="inlineStr">
        <x:is>
          <x:t xml:space="preserve">v001</x:t>
        </x:is>
      </x:c>
      <x:c r="N65" s="138" t="inlineStr">
        <x:is>
          <x:t xml:space="preserve">64 px 网格</x:t>
        </x:is>
      </x:c>
      <x:c r="O65" s="138" t="str"/>
      <x:c r="P65" s="138" t="inlineStr">
        <x:is>
          <x:t xml:space="preserve">scenes/RoomTrap.tscn</x:t>
        </x:is>
      </x:c>
      <x:c r="Q65" s="138" t="str"/>
      <x:c r="R65" s="138" t="str">
        <x:f>LOWER(TRIM(C65)&amp;"|"&amp;TRIM(D65)&amp;"|"&amp;TRIM(E65)&amp;"|"&amp;TRIM(F65)&amp;"|"&amp;TRIM(H65)&amp;"|"&amp;TRIM(I65))</x:f>
        <x:v>场景|room_dressing|room_trap|root|顶视|default</x:v>
      </x:c>
      <x:c r="S65" s="138" t="str">
        <x:f>IF(COUNTIF($R$6:$R$423,R65)&gt;1,"重复","唯一")</x:f>
        <x:v>唯一</x:v>
      </x:c>
      <x:c r="T65" s="138" t="str"/>
      <x:c r="U65" s="138" t="inlineStr">
        <x:is>
          <x:t xml:space="preserve">待分配</x:t>
        </x:is>
      </x:c>
      <x:c r="V65" s="303" t="n">
        <x:v>46224</x:v>
      </x:c>
      <x:c r="W65" s="138" t="inlineStr">
        <x:is>
          <x:t xml:space="preserve">原创/待确认</x:t>
        </x:is>
      </x:c>
      <x:c r="X65" s="375" t="inlineStr">
        <x:is>
          <x:t xml:space="preserve">—</x:t>
        </x:is>
      </x:c>
      <x:c r="Y65" s="138" t="inlineStr">
        <x:is>
          <x:t xml:space="preserve">只登记房间独有件；地板墙体引用 biome kit</x:t>
        </x:is>
      </x:c>
    </x:row>
    <x:row r="66">
      <x:c r="A66" s="138" t="inlineStr">
        <x:is>
          <x:t xml:space="preserve">ENV-ROOM-UPGRADE-DRESSING</x:t>
        </x:is>
      </x:c>
      <x:c r="B66" s="138" t="inlineStr">
        <x:is>
          <x:t xml:space="preserve">upgrade 房间陈设包</x:t>
        </x:is>
      </x:c>
      <x:c r="C66" s="138" t="inlineStr">
        <x:is>
          <x:t xml:space="preserve">场景</x:t>
        </x:is>
      </x:c>
      <x:c r="D66" s="138" t="inlineStr">
        <x:is>
          <x:t xml:space="preserve">room_dressing</x:t>
        </x:is>
      </x:c>
      <x:c r="E66" s="138" t="inlineStr">
        <x:is>
          <x:t xml:space="preserve">room_upgrade</x:t>
        </x:is>
      </x:c>
      <x:c r="F66" s="138" t="inlineStr">
        <x:is>
          <x:t xml:space="preserve">root</x:t>
        </x:is>
      </x:c>
      <x:c r="G66" s="138" t="str"/>
      <x:c r="H66" s="138" t="inlineStr">
        <x:is>
          <x:t xml:space="preserve">顶视</x:t>
        </x:is>
      </x:c>
      <x:c r="I66" s="138" t="inlineStr">
        <x:is>
          <x:t xml:space="preserve">default</x:t>
        </x:is>
      </x:c>
      <x:c r="J66" s="138" t="inlineStr">
        <x:is>
          <x:t xml:space="preserve">跨楼层配色变体</x:t>
        </x:is>
      </x:c>
      <x:c r="K66" s="138" t="inlineStr">
        <x:is>
          <x:t xml:space="preserve">程序占位</x:t>
        </x:is>
      </x:c>
      <x:c r="L66" s="138" t="inlineStr">
        <x:is>
          <x:t xml:space="preserve">P2</x:t>
        </x:is>
      </x:c>
      <x:c r="M66" s="138" t="inlineStr">
        <x:is>
          <x:t xml:space="preserve">v001</x:t>
        </x:is>
      </x:c>
      <x:c r="N66" s="138" t="inlineStr">
        <x:is>
          <x:t xml:space="preserve">64 px 网格</x:t>
        </x:is>
      </x:c>
      <x:c r="O66" s="138" t="str"/>
      <x:c r="P66" s="138" t="inlineStr">
        <x:is>
          <x:t xml:space="preserve">scenes/RoomUpgrade.tscn</x:t>
        </x:is>
      </x:c>
      <x:c r="Q66" s="138" t="str"/>
      <x:c r="R66" s="138" t="str">
        <x:f>LOWER(TRIM(C66)&amp;"|"&amp;TRIM(D66)&amp;"|"&amp;TRIM(E66)&amp;"|"&amp;TRIM(F66)&amp;"|"&amp;TRIM(H66)&amp;"|"&amp;TRIM(I66))</x:f>
        <x:v>场景|room_dressing|room_upgrade|root|顶视|default</x:v>
      </x:c>
      <x:c r="S66" s="138" t="str">
        <x:f>IF(COUNTIF($R$6:$R$423,R66)&gt;1,"重复","唯一")</x:f>
        <x:v>唯一</x:v>
      </x:c>
      <x:c r="T66" s="138" t="str"/>
      <x:c r="U66" s="138" t="inlineStr">
        <x:is>
          <x:t xml:space="preserve">待分配</x:t>
        </x:is>
      </x:c>
      <x:c r="V66" s="303" t="n">
        <x:v>46224</x:v>
      </x:c>
      <x:c r="W66" s="138" t="inlineStr">
        <x:is>
          <x:t xml:space="preserve">原创/待确认</x:t>
        </x:is>
      </x:c>
      <x:c r="X66" s="375" t="inlineStr">
        <x:is>
          <x:t xml:space="preserve">—</x:t>
        </x:is>
      </x:c>
      <x:c r="Y66" s="138" t="inlineStr">
        <x:is>
          <x:t xml:space="preserve">只登记房间独有件；地板墙体引用 biome kit</x:t>
        </x:is>
      </x:c>
    </x:row>
    <x:row r="67">
      <x:c r="A67" s="138" t="inlineStr">
        <x:is>
          <x:t xml:space="preserve">ENV-ROOM-SPAWN-DRESSING</x:t>
        </x:is>
      </x:c>
      <x:c r="B67" s="138" t="inlineStr">
        <x:is>
          <x:t xml:space="preserve">spawn 房间陈设包</x:t>
        </x:is>
      </x:c>
      <x:c r="C67" s="138" t="inlineStr">
        <x:is>
          <x:t xml:space="preserve">场景</x:t>
        </x:is>
      </x:c>
      <x:c r="D67" s="138" t="inlineStr">
        <x:is>
          <x:t xml:space="preserve">room_dressing</x:t>
        </x:is>
      </x:c>
      <x:c r="E67" s="138" t="inlineStr">
        <x:is>
          <x:t xml:space="preserve">room_spawn</x:t>
        </x:is>
      </x:c>
      <x:c r="F67" s="138" t="inlineStr">
        <x:is>
          <x:t xml:space="preserve">root</x:t>
        </x:is>
      </x:c>
      <x:c r="G67" s="138" t="str"/>
      <x:c r="H67" s="138" t="inlineStr">
        <x:is>
          <x:t xml:space="preserve">顶视</x:t>
        </x:is>
      </x:c>
      <x:c r="I67" s="138" t="inlineStr">
        <x:is>
          <x:t xml:space="preserve">default</x:t>
        </x:is>
      </x:c>
      <x:c r="J67" s="138" t="inlineStr">
        <x:is>
          <x:t xml:space="preserve">跨楼层配色变体</x:t>
        </x:is>
      </x:c>
      <x:c r="K67" s="138" t="inlineStr">
        <x:is>
          <x:t xml:space="preserve">程序占位</x:t>
        </x:is>
      </x:c>
      <x:c r="L67" s="138" t="inlineStr">
        <x:is>
          <x:t xml:space="preserve">P2</x:t>
        </x:is>
      </x:c>
      <x:c r="M67" s="138" t="inlineStr">
        <x:is>
          <x:t xml:space="preserve">v001</x:t>
        </x:is>
      </x:c>
      <x:c r="N67" s="138" t="inlineStr">
        <x:is>
          <x:t xml:space="preserve">64 px 网格</x:t>
        </x:is>
      </x:c>
      <x:c r="O67" s="138" t="str"/>
      <x:c r="P67" s="138" t="inlineStr">
        <x:is>
          <x:t xml:space="preserve">scenes/RoomSpawn.tscn</x:t>
        </x:is>
      </x:c>
      <x:c r="Q67" s="138" t="str"/>
      <x:c r="R67" s="138" t="str">
        <x:f>LOWER(TRIM(C67)&amp;"|"&amp;TRIM(D67)&amp;"|"&amp;TRIM(E67)&amp;"|"&amp;TRIM(F67)&amp;"|"&amp;TRIM(H67)&amp;"|"&amp;TRIM(I67))</x:f>
        <x:v>场景|room_dressing|room_spawn|root|顶视|default</x:v>
      </x:c>
      <x:c r="S67" s="138" t="str">
        <x:f>IF(COUNTIF($R$6:$R$423,R67)&gt;1,"重复","唯一")</x:f>
        <x:v>唯一</x:v>
      </x:c>
      <x:c r="T67" s="138" t="str"/>
      <x:c r="U67" s="138" t="inlineStr">
        <x:is>
          <x:t xml:space="preserve">待分配</x:t>
        </x:is>
      </x:c>
      <x:c r="V67" s="303" t="n">
        <x:v>46224</x:v>
      </x:c>
      <x:c r="W67" s="138" t="inlineStr">
        <x:is>
          <x:t xml:space="preserve">原创/待确认</x:t>
        </x:is>
      </x:c>
      <x:c r="X67" s="375" t="inlineStr">
        <x:is>
          <x:t xml:space="preserve">—</x:t>
        </x:is>
      </x:c>
      <x:c r="Y67" s="138" t="inlineStr">
        <x:is>
          <x:t xml:space="preserve">只登记房间独有件；地板墙体引用 biome kit</x:t>
        </x:is>
      </x:c>
    </x:row>
    <x:row r="68">
      <x:c r="A68" s="138" t="inlineStr">
        <x:is>
          <x:t xml:space="preserve">ENV-ROOM-STAIRS-DRESSING</x:t>
        </x:is>
      </x:c>
      <x:c r="B68" s="138" t="inlineStr">
        <x:is>
          <x:t xml:space="preserve">stairs 房间陈设包</x:t>
        </x:is>
      </x:c>
      <x:c r="C68" s="138" t="inlineStr">
        <x:is>
          <x:t xml:space="preserve">场景</x:t>
        </x:is>
      </x:c>
      <x:c r="D68" s="138" t="inlineStr">
        <x:is>
          <x:t xml:space="preserve">room_dressing</x:t>
        </x:is>
      </x:c>
      <x:c r="E68" s="138" t="inlineStr">
        <x:is>
          <x:t xml:space="preserve">room_stairs</x:t>
        </x:is>
      </x:c>
      <x:c r="F68" s="138" t="inlineStr">
        <x:is>
          <x:t xml:space="preserve">root</x:t>
        </x:is>
      </x:c>
      <x:c r="G68" s="138" t="str"/>
      <x:c r="H68" s="138" t="inlineStr">
        <x:is>
          <x:t xml:space="preserve">顶视</x:t>
        </x:is>
      </x:c>
      <x:c r="I68" s="138" t="inlineStr">
        <x:is>
          <x:t xml:space="preserve">default</x:t>
        </x:is>
      </x:c>
      <x:c r="J68" s="138" t="inlineStr">
        <x:is>
          <x:t xml:space="preserve">跨楼层配色变体</x:t>
        </x:is>
      </x:c>
      <x:c r="K68" s="138" t="inlineStr">
        <x:is>
          <x:t xml:space="preserve">程序占位</x:t>
        </x:is>
      </x:c>
      <x:c r="L68" s="138" t="inlineStr">
        <x:is>
          <x:t xml:space="preserve">P2</x:t>
        </x:is>
      </x:c>
      <x:c r="M68" s="138" t="inlineStr">
        <x:is>
          <x:t xml:space="preserve">v001</x:t>
        </x:is>
      </x:c>
      <x:c r="N68" s="138" t="inlineStr">
        <x:is>
          <x:t xml:space="preserve">64 px 网格</x:t>
        </x:is>
      </x:c>
      <x:c r="O68" s="138" t="str"/>
      <x:c r="P68" s="138" t="inlineStr">
        <x:is>
          <x:t xml:space="preserve">scenes/RoomStairs.tscn</x:t>
        </x:is>
      </x:c>
      <x:c r="Q68" s="138" t="str"/>
      <x:c r="R68" s="138" t="str">
        <x:f>LOWER(TRIM(C68)&amp;"|"&amp;TRIM(D68)&amp;"|"&amp;TRIM(E68)&amp;"|"&amp;TRIM(F68)&amp;"|"&amp;TRIM(H68)&amp;"|"&amp;TRIM(I68))</x:f>
        <x:v>场景|room_dressing|room_stairs|root|顶视|default</x:v>
      </x:c>
      <x:c r="S68" s="138" t="str">
        <x:f>IF(COUNTIF($R$6:$R$423,R68)&gt;1,"重复","唯一")</x:f>
        <x:v>唯一</x:v>
      </x:c>
      <x:c r="T68" s="138" t="str"/>
      <x:c r="U68" s="138" t="inlineStr">
        <x:is>
          <x:t xml:space="preserve">待分配</x:t>
        </x:is>
      </x:c>
      <x:c r="V68" s="303" t="n">
        <x:v>46224</x:v>
      </x:c>
      <x:c r="W68" s="138" t="inlineStr">
        <x:is>
          <x:t xml:space="preserve">原创/待确认</x:t>
        </x:is>
      </x:c>
      <x:c r="X68" s="375" t="inlineStr">
        <x:is>
          <x:t xml:space="preserve">—</x:t>
        </x:is>
      </x:c>
      <x:c r="Y68" s="138" t="inlineStr">
        <x:is>
          <x:t xml:space="preserve">只登记房间独有件；地板墙体引用 biome kit</x:t>
        </x:is>
      </x:c>
    </x:row>
    <x:row r="69">
      <x:c r="A69" s="138" t="inlineStr">
        <x:is>
          <x:t xml:space="preserve">PRP-BASE-BRIEFING</x:t>
        </x:is>
      </x:c>
      <x:c r="B69" s="138" t="inlineStr">
        <x:is>
          <x:t xml:space="preserve">远征情报终端 / 战术情报指挥桌</x:t>
        </x:is>
      </x:c>
      <x:c r="C69" s="138" t="inlineStr">
        <x:is>
          <x:t xml:space="preserve">道具</x:t>
        </x:is>
      </x:c>
      <x:c r="D69" s="138" t="inlineStr">
        <x:is>
          <x:t xml:space="preserve">base_facility</x:t>
        </x:is>
      </x:c>
      <x:c r="E69" s="138" t="inlineStr">
        <x:is>
          <x:t xml:space="preserve">mission_operations</x:t>
        </x:is>
      </x:c>
      <x:c r="F69" s="138" t="inlineStr">
        <x:is>
          <x:t xml:space="preserve">root</x:t>
        </x:is>
      </x:c>
      <x:c r="G69" s="138" t="str"/>
      <x:c r="H69" s="138" t="inlineStr">
        <x:is>
          <x:t xml:space="preserve">Top3D / local -Z 正面</x:t>
        </x:is>
      </x:c>
      <x:c r="I69" s="138" t="inlineStr">
        <x:is>
          <x:t xml:space="preserve">default / 独立交互场景</x:t>
        </x:is>
      </x:c>
      <x:c r="J69" s="138" t="inlineStr">
        <x:is>
          <x:t xml:space="preserve">BaseWorld3D/TowerDescent99F</x:t>
        </x:is>
      </x:c>
      <x:c r="K69" s="138" t="inlineStr">
        <x:is>
          <x:t xml:space="preserve">已完成</x:t>
        </x:is>
      </x:c>
      <x:c r="L69" s="138" t="inlineStr">
        <x:is>
          <x:t xml:space="preserve">P1</x:t>
        </x:is>
      </x:c>
      <x:c r="M69" s="138" t="inlineStr">
        <x:is>
          <x:t xml:space="preserve">v003</x:t>
        </x:is>
      </x:c>
      <x:c r="N69" s="138" t="inlineStr">
        <x:is>
          <x:t xml:space="preserve">4材质；主体/自发光分离；独立GLB/PackedScene</x:t>
        </x:is>
      </x:c>
      <x:c r="O69" s="138" t="inlineStr">
        <x:is>
          <x:t xml:space="preserve">assets/art/props/base_world_3d/runtime/mission_operations/prp_base_mission_operations_root_top3d_v001.tscn</x:t>
        </x:is>
      </x:c>
      <x:c r="P69" s="138" t="inlineStr">
        <x:is>
          <x:t xml:space="preserve">assets/art/props/base_world_3d/source/mission_operations/prp_base_mission_operations_source_v003.blend; src/base3d/BaseFacility3D.gd; src/world3d/TowerDescent3D.gd</x:t>
        </x:is>
      </x:c>
      <x:c r="Q69" s="138" t="inlineStr">
        <x:is>
          <x:t xml:space="preserve">mission_operations; 战术情报指挥桌; 基地设施; 多巴胺配色; 自发光分离</x:t>
        </x:is>
      </x:c>
      <x:c r="R69" s="138" t="str">
        <x:f>LOWER(TRIM(C69)&amp;"|"&amp;TRIM(D69)&amp;"|"&amp;TRIM(E69)&amp;"|"&amp;TRIM(F69)&amp;"|"&amp;TRIM(H69)&amp;"|"&amp;TRIM(I69))</x:f>
        <x:v>道具|base_facility|mission_operations|root|top3d / local -z 正面|default / 独立交互场景</x:v>
      </x:c>
      <x:c r="S69" s="138" t="str">
        <x:f>IF(COUNTIF($R$6:$R$423,R69)&gt;1,"重复","唯一")</x:f>
        <x:v>唯一</x:v>
      </x:c>
      <x:c r="T69" s="138" t="inlineStr">
        <x:is>
          <x:t xml:space="preserve">4c54dda7f6f0d97db1e697f84b991718a795200ab74e7c14dbe3d3380c58246e</x:t>
        </x:is>
      </x:c>
      <x:c r="U69" s="138" t="inlineStr">
        <x:is>
          <x:t xml:space="preserve">Codex</x:t>
        </x:is>
      </x:c>
      <x:c r="V69" s="303" t="n">
        <x:v>46264</x:v>
      </x:c>
      <x:c r="W69" s="138" t="inlineStr">
        <x:is>
          <x:t xml:space="preserve">用户自制Blender资产</x:t>
        </x:is>
      </x:c>
      <x:c r="X69" s="375" t="inlineStr">
        <x:is>
          <x:t xml:space="preserve">—</x:t>
        </x:is>
      </x:c>
      <x:c r="Y69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6463ac9d2ebe→ab5196f29c8c。</x:t>
        </x:is>
      </x:c>
    </x:row>
    <x:row r="70">
      <x:c r="A70" s="138" t="inlineStr">
        <x:is>
          <x:t xml:space="preserve">PRP-BASE-WORKSHOP</x:t>
        </x:is>
      </x:c>
      <x:c r="B70" s="138" t="inlineStr">
        <x:is>
          <x:t xml:space="preserve">枪械工坊 / 赛博维修工作台</x:t>
        </x:is>
      </x:c>
      <x:c r="C70" s="138" t="inlineStr">
        <x:is>
          <x:t xml:space="preserve">道具</x:t>
        </x:is>
      </x:c>
      <x:c r="D70" s="138" t="inlineStr">
        <x:is>
          <x:t xml:space="preserve">base_facility</x:t>
        </x:is>
      </x:c>
      <x:c r="E70" s="138" t="inlineStr">
        <x:is>
          <x:t xml:space="preserve">weapon_workshop</x:t>
        </x:is>
      </x:c>
      <x:c r="F70" s="138" t="inlineStr">
        <x:is>
          <x:t xml:space="preserve">root</x:t>
        </x:is>
      </x:c>
      <x:c r="G70" s="138" t="str"/>
      <x:c r="H70" s="138" t="inlineStr">
        <x:is>
          <x:t xml:space="preserve">Top3D / local -Z 正面</x:t>
        </x:is>
      </x:c>
      <x:c r="I70" s="138" t="inlineStr">
        <x:is>
          <x:t xml:space="preserve">default / 独立交互场景</x:t>
        </x:is>
      </x:c>
      <x:c r="J70" s="138" t="inlineStr">
        <x:is>
          <x:t xml:space="preserve">BaseWorld3D/TowerDescent99F</x:t>
        </x:is>
      </x:c>
      <x:c r="K70" s="138" t="inlineStr">
        <x:is>
          <x:t xml:space="preserve">已完成</x:t>
        </x:is>
      </x:c>
      <x:c r="L70" s="138" t="inlineStr">
        <x:is>
          <x:t xml:space="preserve">P1</x:t>
        </x:is>
      </x:c>
      <x:c r="M70" s="138" t="inlineStr">
        <x:is>
          <x:t xml:space="preserve">v003</x:t>
        </x:is>
      </x:c>
      <x:c r="N70" s="138" t="inlineStr">
        <x:is>
          <x:t xml:space="preserve">4材质；主体/自发光分离；独立GLB/PackedScene</x:t>
        </x:is>
      </x:c>
      <x:c r="O70" s="138" t="inlineStr">
        <x:is>
          <x:t xml:space="preserve">assets/art/props/base_world_3d/runtime/weapon_workshop/prp_base_weapon_workshop_root_top3d_v001.tscn</x:t>
        </x:is>
      </x:c>
      <x:c r="P70" s="138" t="inlineStr">
        <x:is>
          <x:t xml:space="preserve">assets/art/props/base_world_3d/source/weapon_workshop/prp_base_weapon_workshop_source_v003.blend; src/base3d/BaseFacility3D.gd; src/world3d/TowerDescent3D.gd</x:t>
        </x:is>
      </x:c>
      <x:c r="Q70" s="138" t="inlineStr">
        <x:is>
          <x:t xml:space="preserve">weapon_workshop; 赛博维修工作台; 基地设施; 多巴胺配色; 自发光分离</x:t>
        </x:is>
      </x:c>
      <x:c r="R70" s="138" t="str">
        <x:f>LOWER(TRIM(C70)&amp;"|"&amp;TRIM(D70)&amp;"|"&amp;TRIM(E70)&amp;"|"&amp;TRIM(F70)&amp;"|"&amp;TRIM(H70)&amp;"|"&amp;TRIM(I70))</x:f>
        <x:v>道具|base_facility|weapon_workshop|root|top3d / local -z 正面|default / 独立交互场景</x:v>
      </x:c>
      <x:c r="S70" s="138" t="str">
        <x:f>IF(COUNTIF($R$6:$R$423,R70)&gt;1,"重复","唯一")</x:f>
        <x:v>唯一</x:v>
      </x:c>
      <x:c r="T70" s="138" t="inlineStr">
        <x:is>
          <x:t xml:space="preserve">3026e360fa67a3362ad45fc6bab0e70917b935213f0de105ef53416d47154796</x:t>
        </x:is>
      </x:c>
      <x:c r="U70" s="138" t="inlineStr">
        <x:is>
          <x:t xml:space="preserve">Codex</x:t>
        </x:is>
      </x:c>
      <x:c r="V70" s="303" t="n">
        <x:v>46264</x:v>
      </x:c>
      <x:c r="W70" s="138" t="inlineStr">
        <x:is>
          <x:t xml:space="preserve">用户自制Blender资产</x:t>
        </x:is>
      </x:c>
      <x:c r="X70" s="375" t="inlineStr">
        <x:is>
          <x:t xml:space="preserve">—</x:t>
        </x:is>
      </x:c>
      <x:c r="Y70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0bf7bd460082→207785d3d257。</x:t>
        </x:is>
      </x:c>
    </x:row>
    <x:row r="71">
      <x:c r="A71" s="138" t="inlineStr">
        <x:is>
          <x:t xml:space="preserve">PRP-BASE-DIVINATION</x:t>
        </x:is>
      </x:c>
      <x:c r="B71" s="138" t="inlineStr">
        <x:is>
          <x:t xml:space="preserve">命运占卜屋</x:t>
        </x:is>
      </x:c>
      <x:c r="C71" s="138" t="inlineStr">
        <x:is>
          <x:t xml:space="preserve">场景道具</x:t>
        </x:is>
      </x:c>
      <x:c r="D71" s="138" t="inlineStr">
        <x:is>
          <x:t xml:space="preserve">facility</x:t>
        </x:is>
      </x:c>
      <x:c r="E71" s="138" t="inlineStr">
        <x:is>
          <x:t xml:space="preserve">base_divination</x:t>
        </x:is>
      </x:c>
      <x:c r="F71" s="138" t="inlineStr">
        <x:is>
          <x:t xml:space="preserve">root</x:t>
        </x:is>
      </x:c>
      <x:c r="G71" s="138" t="str"/>
      <x:c r="H71" s="138" t="inlineStr">
        <x:is>
          <x:t xml:space="preserve">顶视</x:t>
        </x:is>
      </x:c>
      <x:c r="I71" s="138" t="inlineStr">
        <x:is>
          <x:t xml:space="preserve">default</x:t>
        </x:is>
      </x:c>
      <x:c r="J71" s="138" t="inlineStr">
        <x:is>
          <x:t xml:space="preserve">基地/房间</x:t>
        </x:is>
      </x:c>
      <x:c r="K71" s="138" t="inlineStr">
        <x:is>
          <x:t xml:space="preserve">程序占位</x:t>
        </x:is>
      </x:c>
      <x:c r="L71" s="138" t="inlineStr">
        <x:is>
          <x:t xml:space="preserve">P1</x:t>
        </x:is>
      </x:c>
      <x:c r="M71" s="138" t="inlineStr">
        <x:is>
          <x:t xml:space="preserve">v001</x:t>
        </x:is>
      </x:c>
      <x:c r="N71" s="138" t="inlineStr">
        <x:is>
          <x:t xml:space="preserve">64 px 网格对齐</x:t>
        </x:is>
      </x:c>
      <x:c r="O71" s="138" t="str"/>
      <x:c r="P71" s="138" t="inlineStr">
        <x:is>
          <x:t xml:space="preserve">scenes/BaseWorld.tscn</x:t>
        </x:is>
      </x:c>
      <x:c r="Q71" s="138" t="str"/>
      <x:c r="R71" s="138" t="str">
        <x:f>LOWER(TRIM(C71)&amp;"|"&amp;TRIM(D71)&amp;"|"&amp;TRIM(E71)&amp;"|"&amp;TRIM(F71)&amp;"|"&amp;TRIM(H71)&amp;"|"&amp;TRIM(I71))</x:f>
        <x:v>场景道具|facility|base_divination|root|顶视|default</x:v>
      </x:c>
      <x:c r="S71" s="138" t="str">
        <x:f>IF(COUNTIF($R$6:$R$423,R71)&gt;1,"重复","唯一")</x:f>
        <x:v>唯一</x:v>
      </x:c>
      <x:c r="T71" s="138" t="str"/>
      <x:c r="U71" s="138" t="inlineStr">
        <x:is>
          <x:t xml:space="preserve">待分配</x:t>
        </x:is>
      </x:c>
      <x:c r="V71" s="303" t="n">
        <x:v>46224</x:v>
      </x:c>
      <x:c r="W71" s="138" t="inlineStr">
        <x:is>
          <x:t xml:space="preserve">原创/待确认</x:t>
        </x:is>
      </x:c>
      <x:c r="X71" s="375" t="inlineStr">
        <x:is>
          <x:t xml:space="preserve">—</x:t>
        </x:is>
      </x:c>
      <x:c r="Y71" s="138" t="inlineStr">
        <x:is>
          <x:t xml:space="preserve">状态变体使用同一 AssetID + state，不复制新命名根</x:t>
        </x:is>
      </x:c>
    </x:row>
    <x:row r="72">
      <x:c r="A72" s="138" t="inlineStr">
        <x:is>
          <x:t xml:space="preserve">PRP-BASE-VAULT</x:t>
        </x:is>
      </x:c>
      <x:c r="B72" s="138" t="inlineStr">
        <x:is>
          <x:t xml:space="preserve">保险柜</x:t>
        </x:is>
      </x:c>
      <x:c r="C72" s="138" t="inlineStr">
        <x:is>
          <x:t xml:space="preserve">场景道具</x:t>
        </x:is>
      </x:c>
      <x:c r="D72" s="138" t="inlineStr">
        <x:is>
          <x:t xml:space="preserve">facility</x:t>
        </x:is>
      </x:c>
      <x:c r="E72" s="138" t="inlineStr">
        <x:is>
          <x:t xml:space="preserve">base_vault</x:t>
        </x:is>
      </x:c>
      <x:c r="F72" s="138" t="inlineStr">
        <x:is>
          <x:t xml:space="preserve">root</x:t>
        </x:is>
      </x:c>
      <x:c r="G72" s="138" t="str"/>
      <x:c r="H72" s="138" t="inlineStr">
        <x:is>
          <x:t xml:space="preserve">顶视</x:t>
        </x:is>
      </x:c>
      <x:c r="I72" s="138" t="inlineStr">
        <x:is>
          <x:t xml:space="preserve">default</x:t>
        </x:is>
      </x:c>
      <x:c r="J72" s="138" t="inlineStr">
        <x:is>
          <x:t xml:space="preserve">基地/房间</x:t>
        </x:is>
      </x:c>
      <x:c r="K72" s="138" t="inlineStr">
        <x:is>
          <x:t xml:space="preserve">程序占位</x:t>
        </x:is>
      </x:c>
      <x:c r="L72" s="138" t="inlineStr">
        <x:is>
          <x:t xml:space="preserve">P1</x:t>
        </x:is>
      </x:c>
      <x:c r="M72" s="138" t="inlineStr">
        <x:is>
          <x:t xml:space="preserve">v001</x:t>
        </x:is>
      </x:c>
      <x:c r="N72" s="138" t="inlineStr">
        <x:is>
          <x:t xml:space="preserve">64 px 网格对齐</x:t>
        </x:is>
      </x:c>
      <x:c r="O72" s="138" t="str"/>
      <x:c r="P72" s="138" t="inlineStr">
        <x:is>
          <x:t xml:space="preserve">scenes/BaseWorld.tscn</x:t>
        </x:is>
      </x:c>
      <x:c r="Q72" s="138" t="str"/>
      <x:c r="R72" s="138" t="str">
        <x:f>LOWER(TRIM(C72)&amp;"|"&amp;TRIM(D72)&amp;"|"&amp;TRIM(E72)&amp;"|"&amp;TRIM(F72)&amp;"|"&amp;TRIM(H72)&amp;"|"&amp;TRIM(I72))</x:f>
        <x:v>场景道具|facility|base_vault|root|顶视|default</x:v>
      </x:c>
      <x:c r="S72" s="138" t="str">
        <x:f>IF(COUNTIF($R$6:$R$423,R72)&gt;1,"重复","唯一")</x:f>
        <x:v>唯一</x:v>
      </x:c>
      <x:c r="T72" s="138" t="str"/>
      <x:c r="U72" s="138" t="inlineStr">
        <x:is>
          <x:t xml:space="preserve">待分配</x:t>
        </x:is>
      </x:c>
      <x:c r="V72" s="303" t="n">
        <x:v>46224</x:v>
      </x:c>
      <x:c r="W72" s="138" t="inlineStr">
        <x:is>
          <x:t xml:space="preserve">原创/待确认</x:t>
        </x:is>
      </x:c>
      <x:c r="X72" s="375" t="inlineStr">
        <x:is>
          <x:t xml:space="preserve">—</x:t>
        </x:is>
      </x:c>
      <x:c r="Y72" s="138" t="inlineStr">
        <x:is>
          <x:t xml:space="preserve">状态变体使用同一 AssetID + state，不复制新命名根</x:t>
        </x:is>
      </x:c>
    </x:row>
    <x:row r="73">
      <x:c r="A73" s="138" t="inlineStr">
        <x:is>
          <x:t xml:space="preserve">PRP-BASE-MONSTER-ARCHIVE</x:t>
        </x:is>
      </x:c>
      <x:c r="B73" s="138" t="inlineStr">
        <x:is>
          <x:t xml:space="preserve">怪物档案室</x:t>
        </x:is>
      </x:c>
      <x:c r="C73" s="138" t="inlineStr">
        <x:is>
          <x:t xml:space="preserve">场景道具</x:t>
        </x:is>
      </x:c>
      <x:c r="D73" s="138" t="inlineStr">
        <x:is>
          <x:t xml:space="preserve">facility</x:t>
        </x:is>
      </x:c>
      <x:c r="E73" s="138" t="inlineStr">
        <x:is>
          <x:t xml:space="preserve">base_monster_archive</x:t>
        </x:is>
      </x:c>
      <x:c r="F73" s="138" t="inlineStr">
        <x:is>
          <x:t xml:space="preserve">root</x:t>
        </x:is>
      </x:c>
      <x:c r="G73" s="138" t="str"/>
      <x:c r="H73" s="138" t="inlineStr">
        <x:is>
          <x:t xml:space="preserve">顶视</x:t>
        </x:is>
      </x:c>
      <x:c r="I73" s="138" t="inlineStr">
        <x:is>
          <x:t xml:space="preserve">default</x:t>
        </x:is>
      </x:c>
      <x:c r="J73" s="138" t="inlineStr">
        <x:is>
          <x:t xml:space="preserve">基地/房间</x:t>
        </x:is>
      </x:c>
      <x:c r="K73" s="138" t="inlineStr">
        <x:is>
          <x:t xml:space="preserve">程序占位</x:t>
        </x:is>
      </x:c>
      <x:c r="L73" s="138" t="inlineStr">
        <x:is>
          <x:t xml:space="preserve">P1</x:t>
        </x:is>
      </x:c>
      <x:c r="M73" s="138" t="inlineStr">
        <x:is>
          <x:t xml:space="preserve">v001</x:t>
        </x:is>
      </x:c>
      <x:c r="N73" s="138" t="inlineStr">
        <x:is>
          <x:t xml:space="preserve">64 px 网格对齐</x:t>
        </x:is>
      </x:c>
      <x:c r="O73" s="138" t="str"/>
      <x:c r="P73" s="138" t="inlineStr">
        <x:is>
          <x:t xml:space="preserve">scenes/BaseWorld.tscn</x:t>
        </x:is>
      </x:c>
      <x:c r="Q73" s="138" t="str"/>
      <x:c r="R73" s="138" t="str">
        <x:f>LOWER(TRIM(C73)&amp;"|"&amp;TRIM(D73)&amp;"|"&amp;TRIM(E73)&amp;"|"&amp;TRIM(F73)&amp;"|"&amp;TRIM(H73)&amp;"|"&amp;TRIM(I73))</x:f>
        <x:v>场景道具|facility|base_monster_archive|root|顶视|default</x:v>
      </x:c>
      <x:c r="S73" s="138" t="str">
        <x:f>IF(COUNTIF($R$6:$R$423,R73)&gt;1,"重复","唯一")</x:f>
        <x:v>唯一</x:v>
      </x:c>
      <x:c r="T73" s="138" t="str"/>
      <x:c r="U73" s="138" t="inlineStr">
        <x:is>
          <x:t xml:space="preserve">待分配</x:t>
        </x:is>
      </x:c>
      <x:c r="V73" s="303" t="n">
        <x:v>46224</x:v>
      </x:c>
      <x:c r="W73" s="138" t="inlineStr">
        <x:is>
          <x:t xml:space="preserve">原创/待确认</x:t>
        </x:is>
      </x:c>
      <x:c r="X73" s="375" t="inlineStr">
        <x:is>
          <x:t xml:space="preserve">—</x:t>
        </x:is>
      </x:c>
      <x:c r="Y73" s="138" t="inlineStr">
        <x:is>
          <x:t xml:space="preserve">状态变体使用同一 AssetID + state，不复制新命名根</x:t>
        </x:is>
      </x:c>
    </x:row>
    <x:row r="74">
      <x:c r="A74" s="138" t="inlineStr">
        <x:is>
          <x:t xml:space="preserve">PRP-BASE-CARD-COLLECTION</x:t>
        </x:is>
      </x:c>
      <x:c r="B74" s="138" t="inlineStr">
        <x:is>
          <x:t xml:space="preserve">命运卡牌收藏室</x:t>
        </x:is>
      </x:c>
      <x:c r="C74" s="138" t="inlineStr">
        <x:is>
          <x:t xml:space="preserve">场景道具</x:t>
        </x:is>
      </x:c>
      <x:c r="D74" s="138" t="inlineStr">
        <x:is>
          <x:t xml:space="preserve">facility</x:t>
        </x:is>
      </x:c>
      <x:c r="E74" s="138" t="inlineStr">
        <x:is>
          <x:t xml:space="preserve">base_card_collection</x:t>
        </x:is>
      </x:c>
      <x:c r="F74" s="138" t="inlineStr">
        <x:is>
          <x:t xml:space="preserve">root</x:t>
        </x:is>
      </x:c>
      <x:c r="G74" s="138" t="str"/>
      <x:c r="H74" s="138" t="inlineStr">
        <x:is>
          <x:t xml:space="preserve">顶视</x:t>
        </x:is>
      </x:c>
      <x:c r="I74" s="138" t="inlineStr">
        <x:is>
          <x:t xml:space="preserve">default</x:t>
        </x:is>
      </x:c>
      <x:c r="J74" s="138" t="inlineStr">
        <x:is>
          <x:t xml:space="preserve">基地/房间</x:t>
        </x:is>
      </x:c>
      <x:c r="K74" s="138" t="inlineStr">
        <x:is>
          <x:t xml:space="preserve">程序占位</x:t>
        </x:is>
      </x:c>
      <x:c r="L74" s="138" t="inlineStr">
        <x:is>
          <x:t xml:space="preserve">P1</x:t>
        </x:is>
      </x:c>
      <x:c r="M74" s="138" t="inlineStr">
        <x:is>
          <x:t xml:space="preserve">v001</x:t>
        </x:is>
      </x:c>
      <x:c r="N74" s="138" t="inlineStr">
        <x:is>
          <x:t xml:space="preserve">64 px 网格对齐</x:t>
        </x:is>
      </x:c>
      <x:c r="O74" s="138" t="str"/>
      <x:c r="P74" s="138" t="inlineStr">
        <x:is>
          <x:t xml:space="preserve">scenes/BaseWorld.tscn</x:t>
        </x:is>
      </x:c>
      <x:c r="Q74" s="138" t="str"/>
      <x:c r="R74" s="138" t="str">
        <x:f>LOWER(TRIM(C74)&amp;"|"&amp;TRIM(D74)&amp;"|"&amp;TRIM(E74)&amp;"|"&amp;TRIM(F74)&amp;"|"&amp;TRIM(H74)&amp;"|"&amp;TRIM(I74))</x:f>
        <x:v>场景道具|facility|base_card_collection|root|顶视|default</x:v>
      </x:c>
      <x:c r="S74" s="138" t="str">
        <x:f>IF(COUNTIF($R$6:$R$423,R74)&gt;1,"重复","唯一")</x:f>
        <x:v>唯一</x:v>
      </x:c>
      <x:c r="T74" s="138" t="str"/>
      <x:c r="U74" s="138" t="inlineStr">
        <x:is>
          <x:t xml:space="preserve">待分配</x:t>
        </x:is>
      </x:c>
      <x:c r="V74" s="303" t="n">
        <x:v>46224</x:v>
      </x:c>
      <x:c r="W74" s="138" t="inlineStr">
        <x:is>
          <x:t xml:space="preserve">原创/待确认</x:t>
        </x:is>
      </x:c>
      <x:c r="X74" s="375" t="inlineStr">
        <x:is>
          <x:t xml:space="preserve">—</x:t>
        </x:is>
      </x:c>
      <x:c r="Y74" s="138" t="inlineStr">
        <x:is>
          <x:t xml:space="preserve">状态变体使用同一 AssetID + state，不复制新命名根</x:t>
        </x:is>
      </x:c>
    </x:row>
    <x:row r="75">
      <x:c r="A75" s="138" t="inlineStr">
        <x:is>
          <x:t xml:space="preserve">PRP-BASE-TERMINAL</x:t>
        </x:is>
      </x:c>
      <x:c r="B75" s="138" t="inlineStr">
        <x:is>
          <x:t xml:space="preserve">基地管理终端</x:t>
        </x:is>
      </x:c>
      <x:c r="C75" s="138" t="inlineStr">
        <x:is>
          <x:t xml:space="preserve">场景道具</x:t>
        </x:is>
      </x:c>
      <x:c r="D75" s="138" t="inlineStr">
        <x:is>
          <x:t xml:space="preserve">facility</x:t>
        </x:is>
      </x:c>
      <x:c r="E75" s="138" t="inlineStr">
        <x:is>
          <x:t xml:space="preserve">base_terminal</x:t>
        </x:is>
      </x:c>
      <x:c r="F75" s="138" t="inlineStr">
        <x:is>
          <x:t xml:space="preserve">root</x:t>
        </x:is>
      </x:c>
      <x:c r="G75" s="138" t="str"/>
      <x:c r="H75" s="138" t="inlineStr">
        <x:is>
          <x:t xml:space="preserve">顶视</x:t>
        </x:is>
      </x:c>
      <x:c r="I75" s="138" t="inlineStr">
        <x:is>
          <x:t xml:space="preserve">default</x:t>
        </x:is>
      </x:c>
      <x:c r="J75" s="138" t="inlineStr">
        <x:is>
          <x:t xml:space="preserve">基地/房间</x:t>
        </x:is>
      </x:c>
      <x:c r="K75" s="138" t="inlineStr">
        <x:is>
          <x:t xml:space="preserve">程序占位</x:t>
        </x:is>
      </x:c>
      <x:c r="L75" s="138" t="inlineStr">
        <x:is>
          <x:t xml:space="preserve">P1</x:t>
        </x:is>
      </x:c>
      <x:c r="M75" s="138" t="inlineStr">
        <x:is>
          <x:t xml:space="preserve">v001</x:t>
        </x:is>
      </x:c>
      <x:c r="N75" s="138" t="inlineStr">
        <x:is>
          <x:t xml:space="preserve">64 px 网格对齐</x:t>
        </x:is>
      </x:c>
      <x:c r="O75" s="138" t="str"/>
      <x:c r="P75" s="138" t="inlineStr">
        <x:is>
          <x:t xml:space="preserve">scenes/BaseWorld.tscn</x:t>
        </x:is>
      </x:c>
      <x:c r="Q75" s="138" t="str"/>
      <x:c r="R75" s="138" t="str">
        <x:f>LOWER(TRIM(C75)&amp;"|"&amp;TRIM(D75)&amp;"|"&amp;TRIM(E75)&amp;"|"&amp;TRIM(F75)&amp;"|"&amp;TRIM(H75)&amp;"|"&amp;TRIM(I75))</x:f>
        <x:v>场景道具|facility|base_terminal|root|顶视|default</x:v>
      </x:c>
      <x:c r="S75" s="138" t="str">
        <x:f>IF(COUNTIF($R$6:$R$423,R75)&gt;1,"重复","唯一")</x:f>
        <x:v>唯一</x:v>
      </x:c>
      <x:c r="T75" s="138" t="str"/>
      <x:c r="U75" s="138" t="inlineStr">
        <x:is>
          <x:t xml:space="preserve">待分配</x:t>
        </x:is>
      </x:c>
      <x:c r="V75" s="303" t="n">
        <x:v>46224</x:v>
      </x:c>
      <x:c r="W75" s="138" t="inlineStr">
        <x:is>
          <x:t xml:space="preserve">原创/待确认</x:t>
        </x:is>
      </x:c>
      <x:c r="X75" s="375" t="inlineStr">
        <x:is>
          <x:t xml:space="preserve">—</x:t>
        </x:is>
      </x:c>
      <x:c r="Y75" s="138" t="inlineStr">
        <x:is>
          <x:t xml:space="preserve">状态变体使用同一 AssetID + state，不复制新命名根</x:t>
        </x:is>
      </x:c>
    </x:row>
    <x:row r="76">
      <x:c r="A76" s="138" t="inlineStr">
        <x:is>
          <x:t xml:space="preserve">PRP-DUNGEON-GATE</x:t>
        </x:is>
      </x:c>
      <x:c r="B76" s="138" t="inlineStr">
        <x:is>
          <x:t xml:space="preserve">副本入口</x:t>
        </x:is>
      </x:c>
      <x:c r="C76" s="138" t="inlineStr">
        <x:is>
          <x:t xml:space="preserve">场景道具</x:t>
        </x:is>
      </x:c>
      <x:c r="D76" s="138" t="inlineStr">
        <x:is>
          <x:t xml:space="preserve">facility</x:t>
        </x:is>
      </x:c>
      <x:c r="E76" s="138" t="inlineStr">
        <x:is>
          <x:t xml:space="preserve">dungeon_gate</x:t>
        </x:is>
      </x:c>
      <x:c r="F76" s="138" t="inlineStr">
        <x:is>
          <x:t xml:space="preserve">root</x:t>
        </x:is>
      </x:c>
      <x:c r="G76" s="138" t="str"/>
      <x:c r="H76" s="138" t="inlineStr">
        <x:is>
          <x:t xml:space="preserve">顶视</x:t>
        </x:is>
      </x:c>
      <x:c r="I76" s="138" t="inlineStr">
        <x:is>
          <x:t xml:space="preserve">default</x:t>
        </x:is>
      </x:c>
      <x:c r="J76" s="138" t="inlineStr">
        <x:is>
          <x:t xml:space="preserve">基地/房间</x:t>
        </x:is>
      </x:c>
      <x:c r="K76" s="138" t="inlineStr">
        <x:is>
          <x:t xml:space="preserve">程序占位</x:t>
        </x:is>
      </x:c>
      <x:c r="L76" s="138" t="inlineStr">
        <x:is>
          <x:t xml:space="preserve">P1</x:t>
        </x:is>
      </x:c>
      <x:c r="M76" s="138" t="inlineStr">
        <x:is>
          <x:t xml:space="preserve">v001</x:t>
        </x:is>
      </x:c>
      <x:c r="N76" s="138" t="inlineStr">
        <x:is>
          <x:t xml:space="preserve">64 px 网格对齐</x:t>
        </x:is>
      </x:c>
      <x:c r="O76" s="138" t="str"/>
      <x:c r="P76" s="138" t="inlineStr">
        <x:is>
          <x:t xml:space="preserve">scenes/BaseWorld.tscn</x:t>
        </x:is>
      </x:c>
      <x:c r="Q76" s="138" t="str"/>
      <x:c r="R76" s="138" t="str">
        <x:f>LOWER(TRIM(C76)&amp;"|"&amp;TRIM(D76)&amp;"|"&amp;TRIM(E76)&amp;"|"&amp;TRIM(F76)&amp;"|"&amp;TRIM(H76)&amp;"|"&amp;TRIM(I76))</x:f>
        <x:v>场景道具|facility|dungeon_gate|root|顶视|default</x:v>
      </x:c>
      <x:c r="S76" s="138" t="str">
        <x:f>IF(COUNTIF($R$6:$R$423,R76)&gt;1,"重复","唯一")</x:f>
        <x:v>唯一</x:v>
      </x:c>
      <x:c r="T76" s="138" t="str"/>
      <x:c r="U76" s="138" t="inlineStr">
        <x:is>
          <x:t xml:space="preserve">待分配</x:t>
        </x:is>
      </x:c>
      <x:c r="V76" s="303" t="n">
        <x:v>46224</x:v>
      </x:c>
      <x:c r="W76" s="138" t="inlineStr">
        <x:is>
          <x:t xml:space="preserve">原创/待确认</x:t>
        </x:is>
      </x:c>
      <x:c r="X76" s="375" t="inlineStr">
        <x:is>
          <x:t xml:space="preserve">—</x:t>
        </x:is>
      </x:c>
      <x:c r="Y76" s="138" t="inlineStr">
        <x:is>
          <x:t xml:space="preserve">状态变体使用同一 AssetID + state，不复制新命名根</x:t>
        </x:is>
      </x:c>
    </x:row>
    <x:row r="77">
      <x:c r="A77" s="138" t="inlineStr">
        <x:is>
          <x:t xml:space="preserve">PRP-WORKBENCH</x:t>
        </x:is>
      </x:c>
      <x:c r="B77" s="138" t="inlineStr">
        <x:is>
          <x:t xml:space="preserve">工作台</x:t>
        </x:is>
      </x:c>
      <x:c r="C77" s="138" t="inlineStr">
        <x:is>
          <x:t xml:space="preserve">场景道具</x:t>
        </x:is>
      </x:c>
      <x:c r="D77" s="138" t="inlineStr">
        <x:is>
          <x:t xml:space="preserve">facility</x:t>
        </x:is>
      </x:c>
      <x:c r="E77" s="138" t="inlineStr">
        <x:is>
          <x:t xml:space="preserve">workbench</x:t>
        </x:is>
      </x:c>
      <x:c r="F77" s="138" t="inlineStr">
        <x:is>
          <x:t xml:space="preserve">root</x:t>
        </x:is>
      </x:c>
      <x:c r="G77" s="138" t="str"/>
      <x:c r="H77" s="138" t="inlineStr">
        <x:is>
          <x:t xml:space="preserve">顶视</x:t>
        </x:is>
      </x:c>
      <x:c r="I77" s="138" t="inlineStr">
        <x:is>
          <x:t xml:space="preserve">default</x:t>
        </x:is>
      </x:c>
      <x:c r="J77" s="138" t="inlineStr">
        <x:is>
          <x:t xml:space="preserve">基地/房间</x:t>
        </x:is>
      </x:c>
      <x:c r="K77" s="138" t="inlineStr">
        <x:is>
          <x:t xml:space="preserve">程序占位</x:t>
        </x:is>
      </x:c>
      <x:c r="L77" s="138" t="inlineStr">
        <x:is>
          <x:t xml:space="preserve">P1</x:t>
        </x:is>
      </x:c>
      <x:c r="M77" s="138" t="inlineStr">
        <x:is>
          <x:t xml:space="preserve">v001</x:t>
        </x:is>
      </x:c>
      <x:c r="N77" s="138" t="inlineStr">
        <x:is>
          <x:t xml:space="preserve">64 px 网格对齐</x:t>
        </x:is>
      </x:c>
      <x:c r="O77" s="138" t="str"/>
      <x:c r="P77" s="138" t="inlineStr">
        <x:is>
          <x:t xml:space="preserve">scenes/BaseWorld.tscn</x:t>
        </x:is>
      </x:c>
      <x:c r="Q77" s="138" t="str"/>
      <x:c r="R77" s="138" t="str">
        <x:f>LOWER(TRIM(C77)&amp;"|"&amp;TRIM(D77)&amp;"|"&amp;TRIM(E77)&amp;"|"&amp;TRIM(F77)&amp;"|"&amp;TRIM(H77)&amp;"|"&amp;TRIM(I77))</x:f>
        <x:v>场景道具|facility|workbench|root|顶视|default</x:v>
      </x:c>
      <x:c r="S77" s="138" t="str">
        <x:f>IF(COUNTIF($R$6:$R$423,R77)&gt;1,"重复","唯一")</x:f>
        <x:v>唯一</x:v>
      </x:c>
      <x:c r="T77" s="138" t="str"/>
      <x:c r="U77" s="138" t="inlineStr">
        <x:is>
          <x:t xml:space="preserve">待分配</x:t>
        </x:is>
      </x:c>
      <x:c r="V77" s="303" t="n">
        <x:v>46224</x:v>
      </x:c>
      <x:c r="W77" s="138" t="inlineStr">
        <x:is>
          <x:t xml:space="preserve">原创/待确认</x:t>
        </x:is>
      </x:c>
      <x:c r="X77" s="375" t="inlineStr">
        <x:is>
          <x:t xml:space="preserve">—</x:t>
        </x:is>
      </x:c>
      <x:c r="Y77" s="138" t="inlineStr">
        <x:is>
          <x:t xml:space="preserve">状态变体使用同一 AssetID + state，不复制新命名根</x:t>
        </x:is>
      </x:c>
    </x:row>
    <x:row r="78">
      <x:c r="A78" s="138" t="inlineStr">
        <x:is>
          <x:t xml:space="preserve">PRP-DOOR</x:t>
        </x:is>
      </x:c>
      <x:c r="B78" s="138" t="inlineStr">
        <x:is>
          <x:t xml:space="preserve">房门</x:t>
        </x:is>
      </x:c>
      <x:c r="C78" s="138" t="inlineStr">
        <x:is>
          <x:t xml:space="preserve">场景道具</x:t>
        </x:is>
      </x:c>
      <x:c r="D78" s="138" t="inlineStr">
        <x:is>
          <x:t xml:space="preserve">facility</x:t>
        </x:is>
      </x:c>
      <x:c r="E78" s="138" t="inlineStr">
        <x:is>
          <x:t xml:space="preserve">door</x:t>
        </x:is>
      </x:c>
      <x:c r="F78" s="138" t="inlineStr">
        <x:is>
          <x:t xml:space="preserve">root</x:t>
        </x:is>
      </x:c>
      <x:c r="G78" s="138" t="str"/>
      <x:c r="H78" s="138" t="inlineStr">
        <x:is>
          <x:t xml:space="preserve">顶视</x:t>
        </x:is>
      </x:c>
      <x:c r="I78" s="138" t="inlineStr">
        <x:is>
          <x:t xml:space="preserve">default</x:t>
        </x:is>
      </x:c>
      <x:c r="J78" s="138" t="inlineStr">
        <x:is>
          <x:t xml:space="preserve">基地/房间</x:t>
        </x:is>
      </x:c>
      <x:c r="K78" s="138" t="inlineStr">
        <x:is>
          <x:t xml:space="preserve">程序占位</x:t>
        </x:is>
      </x:c>
      <x:c r="L78" s="138" t="inlineStr">
        <x:is>
          <x:t xml:space="preserve">P1</x:t>
        </x:is>
      </x:c>
      <x:c r="M78" s="138" t="inlineStr">
        <x:is>
          <x:t xml:space="preserve">v001</x:t>
        </x:is>
      </x:c>
      <x:c r="N78" s="138" t="inlineStr">
        <x:is>
          <x:t xml:space="preserve">64 px 网格对齐</x:t>
        </x:is>
      </x:c>
      <x:c r="O78" s="138" t="str"/>
      <x:c r="P78" s="138" t="inlineStr">
        <x:is>
          <x:t xml:space="preserve">scenes/BaseWorld.tscn</x:t>
        </x:is>
      </x:c>
      <x:c r="Q78" s="138" t="str"/>
      <x:c r="R78" s="138" t="str">
        <x:f>LOWER(TRIM(C78)&amp;"|"&amp;TRIM(D78)&amp;"|"&amp;TRIM(E78)&amp;"|"&amp;TRIM(F78)&amp;"|"&amp;TRIM(H78)&amp;"|"&amp;TRIM(I78))</x:f>
        <x:v>场景道具|facility|door|root|顶视|default</x:v>
      </x:c>
      <x:c r="S78" s="138" t="str">
        <x:f>IF(COUNTIF($R$6:$R$423,R78)&gt;1,"重复","唯一")</x:f>
        <x:v>唯一</x:v>
      </x:c>
      <x:c r="T78" s="138" t="str"/>
      <x:c r="U78" s="138" t="inlineStr">
        <x:is>
          <x:t xml:space="preserve">待分配</x:t>
        </x:is>
      </x:c>
      <x:c r="V78" s="303" t="n">
        <x:v>46224</x:v>
      </x:c>
      <x:c r="W78" s="138" t="inlineStr">
        <x:is>
          <x:t xml:space="preserve">原创/待确认</x:t>
        </x:is>
      </x:c>
      <x:c r="X78" s="375" t="inlineStr">
        <x:is>
          <x:t xml:space="preserve">—</x:t>
        </x:is>
      </x:c>
      <x:c r="Y78" s="138" t="inlineStr">
        <x:is>
          <x:t xml:space="preserve">状态变体使用同一 AssetID + state，不复制新命名根</x:t>
        </x:is>
      </x:c>
    </x:row>
    <x:row r="79" ht="155" customHeight="1">
      <x:c r="A79" s="304" t="inlineStr">
        <x:is>
          <x:t xml:space="preserve">UI-SCREEN-HUD</x:t>
        </x:is>
      </x:c>
      <x:c r="B79" s="304" t="inlineStr">
        <x:is>
          <x:t xml:space="preserve">战斗 HUD</x:t>
        </x:is>
      </x:c>
      <x:c r="C79" s="304" t="inlineStr">
        <x:is>
          <x:t xml:space="preserve">UI</x:t>
        </x:is>
      </x:c>
      <x:c r="D79" s="304" t="inlineStr">
        <x:is>
          <x:t xml:space="preserve">screen</x:t>
        </x:is>
      </x:c>
      <x:c r="E79" s="304" t="inlineStr">
        <x:is>
          <x:t xml:space="preserve">hud</x:t>
        </x:is>
      </x:c>
      <x:c r="F79" s="304" t="inlineStr">
        <x:is>
          <x:t xml:space="preserve">root</x:t>
        </x:is>
      </x:c>
      <x:c r="G79" s="304" t="str"/>
      <x:c r="H79" s="304" t="inlineStr">
        <x:is>
          <x:t xml:space="preserve">屏幕空间</x:t>
        </x:is>
      </x:c>
      <x:c r="I79" s="304" t="inlineStr">
        <x:is>
          <x:t xml:space="preserve">default</x:t>
        </x:is>
      </x:c>
      <x:c r="J79" s="304" t="inlineStr">
        <x:is>
          <x:t xml:space="preserve">跨分辨率</x:t>
        </x:is>
      </x:c>
      <x:c r="K79" s="304" t="inlineStr">
        <x:is>
          <x:t xml:space="preserve">原型已接入</x:t>
        </x:is>
      </x:c>
      <x:c r="L79" s="304" t="inlineStr">
        <x:is>
          <x:t xml:space="preserve">P0</x:t>
        </x:is>
      </x:c>
      <x:c r="M79" s="304" t="inlineStr">
        <x:is>
          <x:t xml:space="preserve">v002</x:t>
        </x:is>
      </x:c>
      <x:c r="N79" s="304" t="inlineStr">
        <x:is>
          <x:t xml:space="preserve">1280×720 基准；九宫格/矢量优先</x:t>
        </x:is>
      </x:c>
      <x:c r="O79" s="304" t="inlineStr">
        <x:is>
          <x:t xml:space="preserve">scenes/Dungeon3D.tscn</x:t>
        </x:is>
      </x:c>
      <x:c r="P79" s="304" t="inlineStr">
        <x:is>
          <x:t xml:space="preserve">src/ui/GameUIManager.gd</x:t>
        </x:is>
      </x:c>
      <x:c r="Q79" s="304" t="str"/>
      <x:c r="R79" s="304" t="str">
        <x:f>LOWER(TRIM(C79)&amp;"|"&amp;TRIM(D79)&amp;"|"&amp;TRIM(E79)&amp;"|"&amp;TRIM(F79)&amp;"|"&amp;TRIM(H79)&amp;"|"&amp;TRIM(I79))</x:f>
        <x:v>ui|screen|hud|root|屏幕空间|default</x:v>
      </x:c>
      <x:c r="S79" s="304" t="str">
        <x:f>IF(COUNTIF($R$6:$R$423,R79)&gt;1,"重复","唯一")</x:f>
        <x:v>唯一</x:v>
      </x:c>
      <x:c r="T79" s="304" t="inlineStr">
        <x:is>
          <x:t xml:space="preserve">86fa546a86758f57eb7b5c8fae0aeadb30e62b29e08c1b40d7fb685ac36a4b53</x:t>
        </x:is>
      </x:c>
      <x:c r="U79" s="304" t="inlineStr">
        <x:is>
          <x:t xml:space="preserve">待分配</x:t>
        </x:is>
      </x:c>
      <x:c r="V79" s="305" t="n">
        <x:v>46264</x:v>
      </x:c>
      <x:c r="W79" s="304" t="inlineStr">
        <x:is>
          <x:t xml:space="preserve">原创/待确认</x:t>
        </x:is>
      </x:c>
      <x:c r="X79" s="375" t="inlineStr">
        <x:is>
          <x:t xml:space="preserve">—</x:t>
        </x:is>
      </x:c>
      <x:c r="Y79" s="304" t="inlineStr">
        <x:is>
          <x:t xml:space="preserve"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x:t>
        </x:is>
      </x:c>
    </x:row>
    <x:row r="80">
      <x:c r="A80" s="138" t="inlineStr">
        <x:is>
          <x:t xml:space="preserve">UI-SCREEN-INVENTORY</x:t>
        </x:is>
      </x:c>
      <x:c r="B80" s="138" t="inlineStr">
        <x:is>
          <x:t xml:space="preserve">背包</x:t>
        </x:is>
      </x:c>
      <x:c r="C80" s="138" t="inlineStr">
        <x:is>
          <x:t xml:space="preserve">UI</x:t>
        </x:is>
      </x:c>
      <x:c r="D80" s="138" t="inlineStr">
        <x:is>
          <x:t xml:space="preserve">screen</x:t>
        </x:is>
      </x:c>
      <x:c r="E80" s="138" t="inlineStr">
        <x:is>
          <x:t xml:space="preserve">inventory</x:t>
        </x:is>
      </x:c>
      <x:c r="F80" s="138" t="inlineStr">
        <x:is>
          <x:t xml:space="preserve">root</x:t>
        </x:is>
      </x:c>
      <x:c r="G80" s="138" t="str"/>
      <x:c r="H80" s="138" t="inlineStr">
        <x:is>
          <x:t xml:space="preserve">屏幕空间</x:t>
        </x:is>
      </x:c>
      <x:c r="I80" s="138" t="inlineStr">
        <x:is>
          <x:t xml:space="preserve">default</x:t>
        </x:is>
      </x:c>
      <x:c r="J80" s="138" t="inlineStr">
        <x:is>
          <x:t xml:space="preserve">跨分辨率</x:t>
        </x:is>
      </x:c>
      <x:c r="K80" s="138" t="inlineStr">
        <x:is>
          <x:t xml:space="preserve">原型已接入</x:t>
        </x:is>
      </x:c>
      <x:c r="L80" s="138" t="inlineStr">
        <x:is>
          <x:t xml:space="preserve">P0</x:t>
        </x:is>
      </x:c>
      <x:c r="M80" s="138" t="inlineStr">
        <x:is>
          <x:t xml:space="preserve">v001</x:t>
        </x:is>
      </x:c>
      <x:c r="N80" s="138" t="inlineStr">
        <x:is>
          <x:t xml:space="preserve">1280×720 基准；九宫格/矢量优先</x:t>
        </x:is>
      </x:c>
      <x:c r="O80" s="138" t="inlineStr">
        <x:is>
          <x:t xml:space="preserve">src/ui/InventoryUI.gd</x:t>
        </x:is>
      </x:c>
      <x:c r="P80" s="138" t="inlineStr">
        <x:is>
          <x:t xml:space="preserve">src/ui/InventoryUI.gd</x:t>
        </x:is>
      </x:c>
      <x:c r="Q80" s="138" t="str"/>
      <x:c r="R80" s="138" t="str">
        <x:f>LOWER(TRIM(C80)&amp;"|"&amp;TRIM(D80)&amp;"|"&amp;TRIM(E80)&amp;"|"&amp;TRIM(F80)&amp;"|"&amp;TRIM(H80)&amp;"|"&amp;TRIM(I80))</x:f>
        <x:v>ui|screen|inventory|root|屏幕空间|default</x:v>
      </x:c>
      <x:c r="S80" s="138" t="str">
        <x:f>IF(COUNTIF($R$6:$R$423,R80)&gt;1,"重复","唯一")</x:f>
        <x:v>唯一</x:v>
      </x:c>
      <x:c r="T80" s="138" t="inlineStr">
        <x:is>
          <x:t xml:space="preserve">7237a181430578fa95598dc6501fe3a37def471fa180f7771ebc816f28ffdce2</x:t>
        </x:is>
      </x:c>
      <x:c r="U80" s="138" t="inlineStr">
        <x:is>
          <x:t xml:space="preserve">待分配</x:t>
        </x:is>
      </x:c>
      <x:c r="V80" s="303" t="n">
        <x:v>46264</x:v>
      </x:c>
      <x:c r="W80" s="138" t="inlineStr">
        <x:is>
          <x:t xml:space="preserve">原创/待确认</x:t>
        </x:is>
      </x:c>
      <x:c r="X80" s="375" t="inlineStr">
        <x:is>
          <x:t xml:space="preserve">—</x:t>
        </x:is>
      </x:c>
      <x:c r="Y80" s="138" t="inlineStr">
        <x:is>
          <x:t xml:space="preserve">背包共享逻辑根；3D表现登记为 UI-SCREEN-INVENTORY-3D；12+2槽与保险契约不变
2026-08-30 AST-02：登记路径规范化 &lt;空&gt; → src/ui/InventoryUI.gd；多实现/源码依据保留在P列。
2026-08-30 AST-02：补齐单一生产路径SHA；验收：verify_3d_inventory_weapon_flow；SHA e2c3f432a561。</x:t>
        </x:is>
      </x:c>
    </x:row>
    <x:row r="81">
      <x:c r="A81" s="138" t="inlineStr">
        <x:is>
          <x:t xml:space="preserve">UI-SCREEN-MERCHANT</x:t>
        </x:is>
      </x:c>
      <x:c r="B81" s="138" t="inlineStr">
        <x:is>
          <x:t xml:space="preserve">商人</x:t>
        </x:is>
      </x:c>
      <x:c r="C81" s="138" t="inlineStr">
        <x:is>
          <x:t xml:space="preserve">UI</x:t>
        </x:is>
      </x:c>
      <x:c r="D81" s="138" t="inlineStr">
        <x:is>
          <x:t xml:space="preserve">screen</x:t>
        </x:is>
      </x:c>
      <x:c r="E81" s="138" t="inlineStr">
        <x:is>
          <x:t xml:space="preserve">merchant</x:t>
        </x:is>
      </x:c>
      <x:c r="F81" s="138" t="inlineStr">
        <x:is>
          <x:t xml:space="preserve">root</x:t>
        </x:is>
      </x:c>
      <x:c r="G81" s="138" t="str"/>
      <x:c r="H81" s="138" t="inlineStr">
        <x:is>
          <x:t xml:space="preserve">屏幕空间</x:t>
        </x:is>
      </x:c>
      <x:c r="I81" s="138" t="inlineStr">
        <x:is>
          <x:t xml:space="preserve">default</x:t>
        </x:is>
      </x:c>
      <x:c r="J81" s="138" t="inlineStr">
        <x:is>
          <x:t xml:space="preserve">跨分辨率</x:t>
        </x:is>
      </x:c>
      <x:c r="K81" s="138" t="inlineStr">
        <x:is>
          <x:t xml:space="preserve">程序占位</x:t>
        </x:is>
      </x:c>
      <x:c r="L81" s="138" t="inlineStr">
        <x:is>
          <x:t xml:space="preserve">P2</x:t>
        </x:is>
      </x:c>
      <x:c r="M81" s="138" t="inlineStr">
        <x:is>
          <x:t xml:space="preserve">v001</x:t>
        </x:is>
      </x:c>
      <x:c r="N81" s="138" t="inlineStr">
        <x:is>
          <x:t xml:space="preserve">1280×720 基准；九宫格/矢量优先</x:t>
        </x:is>
      </x:c>
      <x:c r="O81" s="138" t="str"/>
      <x:c r="P81" s="138" t="inlineStr">
        <x:is>
          <x:t xml:space="preserve">src/ui/MerchantUI.gd</x:t>
        </x:is>
      </x:c>
      <x:c r="Q81" s="138" t="str"/>
      <x:c r="R81" s="138" t="str">
        <x:f>LOWER(TRIM(C81)&amp;"|"&amp;TRIM(D81)&amp;"|"&amp;TRIM(E81)&amp;"|"&amp;TRIM(F81)&amp;"|"&amp;TRIM(H81)&amp;"|"&amp;TRIM(I81))</x:f>
        <x:v>ui|screen|merchant|root|屏幕空间|default</x:v>
      </x:c>
      <x:c r="S81" s="138" t="str">
        <x:f>IF(COUNTIF($R$6:$R$423,R81)&gt;1,"重复","唯一")</x:f>
        <x:v>唯一</x:v>
      </x:c>
      <x:c r="T81" s="138" t="str"/>
      <x:c r="U81" s="138" t="inlineStr">
        <x:is>
          <x:t xml:space="preserve">待分配</x:t>
        </x:is>
      </x:c>
      <x:c r="V81" s="303" t="n">
        <x:v>46224</x:v>
      </x:c>
      <x:c r="W81" s="138" t="inlineStr">
        <x:is>
          <x:t xml:space="preserve">原创/待确认</x:t>
        </x:is>
      </x:c>
      <x:c r="X81" s="375" t="inlineStr">
        <x:is>
          <x:t xml:space="preserve">—</x:t>
        </x:is>
      </x:c>
      <x:c r="Y81" s="138" t="inlineStr">
        <x:is>
          <x:t xml:space="preserve">先建组件库，再做页面，避免每页重复画按钮/面板</x:t>
        </x:is>
      </x:c>
    </x:row>
    <x:row r="82">
      <x:c r="A82" s="138" t="inlineStr">
        <x:is>
          <x:t xml:space="preserve">UI-SCREEN-WORKSHOP</x:t>
        </x:is>
      </x:c>
      <x:c r="B82" s="138" t="inlineStr">
        <x:is>
          <x:t xml:space="preserve">枪械工坊</x:t>
        </x:is>
      </x:c>
      <x:c r="C82" s="138" t="inlineStr">
        <x:is>
          <x:t xml:space="preserve">UI</x:t>
        </x:is>
      </x:c>
      <x:c r="D82" s="138" t="inlineStr">
        <x:is>
          <x:t xml:space="preserve">screen</x:t>
        </x:is>
      </x:c>
      <x:c r="E82" s="138" t="inlineStr">
        <x:is>
          <x:t xml:space="preserve">workshop</x:t>
        </x:is>
      </x:c>
      <x:c r="F82" s="138" t="inlineStr">
        <x:is>
          <x:t xml:space="preserve">root</x:t>
        </x:is>
      </x:c>
      <x:c r="G82" s="138" t="str"/>
      <x:c r="H82" s="138" t="inlineStr">
        <x:is>
          <x:t xml:space="preserve">屏幕空间</x:t>
        </x:is>
      </x:c>
      <x:c r="I82" s="138" t="inlineStr">
        <x:is>
          <x:t xml:space="preserve">default</x:t>
        </x:is>
      </x:c>
      <x:c r="J82" s="138" t="inlineStr">
        <x:is>
          <x:t xml:space="preserve">跨分辨率</x:t>
        </x:is>
      </x:c>
      <x:c r="K82" s="138" t="inlineStr">
        <x:is>
          <x:t xml:space="preserve">程序占位</x:t>
        </x:is>
      </x:c>
      <x:c r="L82" s="138" t="inlineStr">
        <x:is>
          <x:t xml:space="preserve">P2</x:t>
        </x:is>
      </x:c>
      <x:c r="M82" s="138" t="inlineStr">
        <x:is>
          <x:t xml:space="preserve">v001</x:t>
        </x:is>
      </x:c>
      <x:c r="N82" s="138" t="inlineStr">
        <x:is>
          <x:t xml:space="preserve">1280×720 基准；九宫格/矢量优先</x:t>
        </x:is>
      </x:c>
      <x:c r="O82" s="138" t="str"/>
      <x:c r="P82" s="138" t="inlineStr">
        <x:is>
          <x:t xml:space="preserve">src/ui/WorkshopMenu.gd</x:t>
        </x:is>
      </x:c>
      <x:c r="Q82" s="138" t="str"/>
      <x:c r="R82" s="138" t="str">
        <x:f>LOWER(TRIM(C82)&amp;"|"&amp;TRIM(D82)&amp;"|"&amp;TRIM(E82)&amp;"|"&amp;TRIM(F82)&amp;"|"&amp;TRIM(H82)&amp;"|"&amp;TRIM(I82))</x:f>
        <x:v>ui|screen|workshop|root|屏幕空间|default</x:v>
      </x:c>
      <x:c r="S82" s="138" t="str">
        <x:f>IF(COUNTIF($R$6:$R$423,R82)&gt;1,"重复","唯一")</x:f>
        <x:v>唯一</x:v>
      </x:c>
      <x:c r="T82" s="138" t="str"/>
      <x:c r="U82" s="138" t="inlineStr">
        <x:is>
          <x:t xml:space="preserve">待分配</x:t>
        </x:is>
      </x:c>
      <x:c r="V82" s="303" t="n">
        <x:v>46224</x:v>
      </x:c>
      <x:c r="W82" s="138" t="inlineStr">
        <x:is>
          <x:t xml:space="preserve">原创/待确认</x:t>
        </x:is>
      </x:c>
      <x:c r="X82" s="375" t="inlineStr">
        <x:is>
          <x:t xml:space="preserve">—</x:t>
        </x:is>
      </x:c>
      <x:c r="Y82" s="138" t="inlineStr">
        <x:is>
          <x:t xml:space="preserve">先建组件库，再做页面，避免每页重复画按钮/面板</x:t>
        </x:is>
      </x:c>
    </x:row>
    <x:row r="83">
      <x:c r="A83" s="138" t="inlineStr">
        <x:is>
          <x:t xml:space="preserve">UI-SCREEN-WORKBENCH</x:t>
        </x:is>
      </x:c>
      <x:c r="B83" s="138" t="inlineStr">
        <x:is>
          <x:t xml:space="preserve">工作台</x:t>
        </x:is>
      </x:c>
      <x:c r="C83" s="138" t="inlineStr">
        <x:is>
          <x:t xml:space="preserve">UI</x:t>
        </x:is>
      </x:c>
      <x:c r="D83" s="138" t="inlineStr">
        <x:is>
          <x:t xml:space="preserve">screen</x:t>
        </x:is>
      </x:c>
      <x:c r="E83" s="138" t="inlineStr">
        <x:is>
          <x:t xml:space="preserve">workbench</x:t>
        </x:is>
      </x:c>
      <x:c r="F83" s="138" t="inlineStr">
        <x:is>
          <x:t xml:space="preserve">root</x:t>
        </x:is>
      </x:c>
      <x:c r="G83" s="138" t="str"/>
      <x:c r="H83" s="138" t="inlineStr">
        <x:is>
          <x:t xml:space="preserve">屏幕空间</x:t>
        </x:is>
      </x:c>
      <x:c r="I83" s="138" t="inlineStr">
        <x:is>
          <x:t xml:space="preserve">default</x:t>
        </x:is>
      </x:c>
      <x:c r="J83" s="138" t="inlineStr">
        <x:is>
          <x:t xml:space="preserve">跨分辨率</x:t>
        </x:is>
      </x:c>
      <x:c r="K83" s="138" t="inlineStr">
        <x:is>
          <x:t xml:space="preserve">程序占位</x:t>
        </x:is>
      </x:c>
      <x:c r="L83" s="138" t="inlineStr">
        <x:is>
          <x:t xml:space="preserve">P2</x:t>
        </x:is>
      </x:c>
      <x:c r="M83" s="138" t="inlineStr">
        <x:is>
          <x:t xml:space="preserve">v001</x:t>
        </x:is>
      </x:c>
      <x:c r="N83" s="138" t="inlineStr">
        <x:is>
          <x:t xml:space="preserve">1280×720 基准；九宫格/矢量优先</x:t>
        </x:is>
      </x:c>
      <x:c r="O83" s="138" t="str"/>
      <x:c r="P83" s="138" t="inlineStr">
        <x:is>
          <x:t xml:space="preserve">src/ui/WorkbenchPanel.gd</x:t>
        </x:is>
      </x:c>
      <x:c r="Q83" s="138" t="str"/>
      <x:c r="R83" s="138" t="str">
        <x:f>LOWER(TRIM(C83)&amp;"|"&amp;TRIM(D83)&amp;"|"&amp;TRIM(E83)&amp;"|"&amp;TRIM(F83)&amp;"|"&amp;TRIM(H83)&amp;"|"&amp;TRIM(I83))</x:f>
        <x:v>ui|screen|workbench|root|屏幕空间|default</x:v>
      </x:c>
      <x:c r="S83" s="138" t="str">
        <x:f>IF(COUNTIF($R$6:$R$423,R83)&gt;1,"重复","唯一")</x:f>
        <x:v>唯一</x:v>
      </x:c>
      <x:c r="T83" s="138" t="str"/>
      <x:c r="U83" s="138" t="inlineStr">
        <x:is>
          <x:t xml:space="preserve">待分配</x:t>
        </x:is>
      </x:c>
      <x:c r="V83" s="303" t="n">
        <x:v>46224</x:v>
      </x:c>
      <x:c r="W83" s="138" t="inlineStr">
        <x:is>
          <x:t xml:space="preserve">原创/待确认</x:t>
        </x:is>
      </x:c>
      <x:c r="X83" s="375" t="inlineStr">
        <x:is>
          <x:t xml:space="preserve">—</x:t>
        </x:is>
      </x:c>
      <x:c r="Y83" s="138" t="inlineStr">
        <x:is>
          <x:t xml:space="preserve">先建组件库，再做页面，避免每页重复画按钮/面板</x:t>
        </x:is>
      </x:c>
    </x:row>
    <x:row r="84">
      <x:c r="A84" s="138" t="inlineStr">
        <x:is>
          <x:t xml:space="preserve">UI-SCREEN-WEAPON-TREE</x:t>
        </x:is>
      </x:c>
      <x:c r="B84" s="138" t="inlineStr">
        <x:is>
          <x:t xml:space="preserve">武器装配树</x:t>
        </x:is>
      </x:c>
      <x:c r="C84" s="138" t="inlineStr">
        <x:is>
          <x:t xml:space="preserve">UI</x:t>
        </x:is>
      </x:c>
      <x:c r="D84" s="138" t="inlineStr">
        <x:is>
          <x:t xml:space="preserve">screen</x:t>
        </x:is>
      </x:c>
      <x:c r="E84" s="138" t="inlineStr">
        <x:is>
          <x:t xml:space="preserve">weapon_tree</x:t>
        </x:is>
      </x:c>
      <x:c r="F84" s="138" t="inlineStr">
        <x:is>
          <x:t xml:space="preserve">root</x:t>
        </x:is>
      </x:c>
      <x:c r="G84" s="138" t="str"/>
      <x:c r="H84" s="138" t="inlineStr">
        <x:is>
          <x:t xml:space="preserve">屏幕空间</x:t>
        </x:is>
      </x:c>
      <x:c r="I84" s="138" t="inlineStr">
        <x:is>
          <x:t xml:space="preserve">default</x:t>
        </x:is>
      </x:c>
      <x:c r="J84" s="138" t="inlineStr">
        <x:is>
          <x:t xml:space="preserve">跨分辨率</x:t>
        </x:is>
      </x:c>
      <x:c r="K84" s="138" t="inlineStr">
        <x:is>
          <x:t xml:space="preserve">程序占位</x:t>
        </x:is>
      </x:c>
      <x:c r="L84" s="138" t="inlineStr">
        <x:is>
          <x:t xml:space="preserve">P2</x:t>
        </x:is>
      </x:c>
      <x:c r="M84" s="138" t="inlineStr">
        <x:is>
          <x:t xml:space="preserve">v001</x:t>
        </x:is>
      </x:c>
      <x:c r="N84" s="138" t="inlineStr">
        <x:is>
          <x:t xml:space="preserve">1280×720 基准；九宫格/矢量优先</x:t>
        </x:is>
      </x:c>
      <x:c r="O84" s="138" t="str"/>
      <x:c r="P84" s="138" t="inlineStr">
        <x:is>
          <x:t xml:space="preserve">src/ui/WeaponAssemblyTreePanel.gd</x:t>
        </x:is>
      </x:c>
      <x:c r="Q84" s="138" t="str"/>
      <x:c r="R84" s="138" t="str">
        <x:f>LOWER(TRIM(C84)&amp;"|"&amp;TRIM(D84)&amp;"|"&amp;TRIM(E84)&amp;"|"&amp;TRIM(F84)&amp;"|"&amp;TRIM(H84)&amp;"|"&amp;TRIM(I84))</x:f>
        <x:v>ui|screen|weapon_tree|root|屏幕空间|default</x:v>
      </x:c>
      <x:c r="S84" s="138" t="str">
        <x:f>IF(COUNTIF($R$6:$R$423,R84)&gt;1,"重复","唯一")</x:f>
        <x:v>唯一</x:v>
      </x:c>
      <x:c r="T84" s="138" t="str"/>
      <x:c r="U84" s="138" t="inlineStr">
        <x:is>
          <x:t xml:space="preserve">待分配</x:t>
        </x:is>
      </x:c>
      <x:c r="V84" s="303" t="n">
        <x:v>46224</x:v>
      </x:c>
      <x:c r="W84" s="138" t="inlineStr">
        <x:is>
          <x:t xml:space="preserve">原创/待确认</x:t>
        </x:is>
      </x:c>
      <x:c r="X84" s="375" t="inlineStr">
        <x:is>
          <x:t xml:space="preserve">—</x:t>
        </x:is>
      </x:c>
      <x:c r="Y84" s="138" t="inlineStr">
        <x:is>
          <x:t xml:space="preserve">先建组件库，再做页面，避免每页重复画按钮/面板</x:t>
        </x:is>
      </x:c>
    </x:row>
    <x:row r="85">
      <x:c r="A85" s="138" t="inlineStr">
        <x:is>
          <x:t xml:space="preserve">UI-SCREEN-FATE-SELECT</x:t>
        </x:is>
      </x:c>
      <x:c r="B85" s="138" t="inlineStr">
        <x:is>
          <x:t xml:space="preserve">命运卡选择</x:t>
        </x:is>
      </x:c>
      <x:c r="C85" s="138" t="inlineStr">
        <x:is>
          <x:t xml:space="preserve">UI</x:t>
        </x:is>
      </x:c>
      <x:c r="D85" s="138" t="inlineStr">
        <x:is>
          <x:t xml:space="preserve">screen</x:t>
        </x:is>
      </x:c>
      <x:c r="E85" s="138" t="inlineStr">
        <x:is>
          <x:t xml:space="preserve">fate_select</x:t>
        </x:is>
      </x:c>
      <x:c r="F85" s="138" t="inlineStr">
        <x:is>
          <x:t xml:space="preserve">root</x:t>
        </x:is>
      </x:c>
      <x:c r="G85" s="138" t="str"/>
      <x:c r="H85" s="138" t="inlineStr">
        <x:is>
          <x:t xml:space="preserve">屏幕空间</x:t>
        </x:is>
      </x:c>
      <x:c r="I85" s="138" t="inlineStr">
        <x:is>
          <x:t xml:space="preserve">default</x:t>
        </x:is>
      </x:c>
      <x:c r="J85" s="138" t="inlineStr">
        <x:is>
          <x:t xml:space="preserve">跨分辨率</x:t>
        </x:is>
      </x:c>
      <x:c r="K85" s="138" t="inlineStr">
        <x:is>
          <x:t xml:space="preserve">程序占位</x:t>
        </x:is>
      </x:c>
      <x:c r="L85" s="138" t="inlineStr">
        <x:is>
          <x:t xml:space="preserve">P2</x:t>
        </x:is>
      </x:c>
      <x:c r="M85" s="138" t="inlineStr">
        <x:is>
          <x:t xml:space="preserve">v001</x:t>
        </x:is>
      </x:c>
      <x:c r="N85" s="138" t="inlineStr">
        <x:is>
          <x:t xml:space="preserve">1280×720 基准；九宫格/矢量优先</x:t>
        </x:is>
      </x:c>
      <x:c r="O85" s="138" t="str"/>
      <x:c r="P85" s="138" t="inlineStr">
        <x:is>
          <x:t xml:space="preserve">src/ui/FateCardUIController.gd</x:t>
        </x:is>
      </x:c>
      <x:c r="Q85" s="138" t="str"/>
      <x:c r="R85" s="138" t="str">
        <x:f>LOWER(TRIM(C85)&amp;"|"&amp;TRIM(D85)&amp;"|"&amp;TRIM(E85)&amp;"|"&amp;TRIM(F85)&amp;"|"&amp;TRIM(H85)&amp;"|"&amp;TRIM(I85))</x:f>
        <x:v>ui|screen|fate_select|root|屏幕空间|default</x:v>
      </x:c>
      <x:c r="S85" s="138" t="str">
        <x:f>IF(COUNTIF($R$6:$R$423,R85)&gt;1,"重复","唯一")</x:f>
        <x:v>唯一</x:v>
      </x:c>
      <x:c r="T85" s="138" t="str"/>
      <x:c r="U85" s="138" t="inlineStr">
        <x:is>
          <x:t xml:space="preserve">待分配</x:t>
        </x:is>
      </x:c>
      <x:c r="V85" s="303" t="n">
        <x:v>46224</x:v>
      </x:c>
      <x:c r="W85" s="138" t="inlineStr">
        <x:is>
          <x:t xml:space="preserve">原创/待确认</x:t>
        </x:is>
      </x:c>
      <x:c r="X85" s="375" t="inlineStr">
        <x:is>
          <x:t xml:space="preserve">—</x:t>
        </x:is>
      </x:c>
      <x:c r="Y85" s="138" t="inlineStr">
        <x:is>
          <x:t xml:space="preserve">先建组件库，再做页面，避免每页重复画按钮/面板</x:t>
        </x:is>
      </x:c>
    </x:row>
    <x:row r="86">
      <x:c r="A86" s="138" t="inlineStr">
        <x:is>
          <x:t xml:space="preserve">UI-SCREEN-FATE-COLLECTION</x:t>
        </x:is>
      </x:c>
      <x:c r="B86" s="138" t="inlineStr">
        <x:is>
          <x:t xml:space="preserve">命运卡收藏</x:t>
        </x:is>
      </x:c>
      <x:c r="C86" s="138" t="inlineStr">
        <x:is>
          <x:t xml:space="preserve">UI</x:t>
        </x:is>
      </x:c>
      <x:c r="D86" s="138" t="inlineStr">
        <x:is>
          <x:t xml:space="preserve">screen</x:t>
        </x:is>
      </x:c>
      <x:c r="E86" s="138" t="inlineStr">
        <x:is>
          <x:t xml:space="preserve">fate_collection</x:t>
        </x:is>
      </x:c>
      <x:c r="F86" s="138" t="inlineStr">
        <x:is>
          <x:t xml:space="preserve">root</x:t>
        </x:is>
      </x:c>
      <x:c r="G86" s="138" t="str"/>
      <x:c r="H86" s="138" t="inlineStr">
        <x:is>
          <x:t xml:space="preserve">屏幕空间</x:t>
        </x:is>
      </x:c>
      <x:c r="I86" s="138" t="inlineStr">
        <x:is>
          <x:t xml:space="preserve">default</x:t>
        </x:is>
      </x:c>
      <x:c r="J86" s="138" t="inlineStr">
        <x:is>
          <x:t xml:space="preserve">跨分辨率</x:t>
        </x:is>
      </x:c>
      <x:c r="K86" s="138" t="inlineStr">
        <x:is>
          <x:t xml:space="preserve">程序占位</x:t>
        </x:is>
      </x:c>
      <x:c r="L86" s="138" t="inlineStr">
        <x:is>
          <x:t xml:space="preserve">P2</x:t>
        </x:is>
      </x:c>
      <x:c r="M86" s="138" t="inlineStr">
        <x:is>
          <x:t xml:space="preserve">v001</x:t>
        </x:is>
      </x:c>
      <x:c r="N86" s="138" t="inlineStr">
        <x:is>
          <x:t xml:space="preserve">1280×720 基准；九宫格/矢量优先</x:t>
        </x:is>
      </x:c>
      <x:c r="O86" s="138" t="str"/>
      <x:c r="P86" s="138" t="inlineStr">
        <x:is>
          <x:t xml:space="preserve">src/ui/FateCardCollectionMenu.gd</x:t>
        </x:is>
      </x:c>
      <x:c r="Q86" s="138" t="str"/>
      <x:c r="R86" s="138" t="str">
        <x:f>LOWER(TRIM(C86)&amp;"|"&amp;TRIM(D86)&amp;"|"&amp;TRIM(E86)&amp;"|"&amp;TRIM(F86)&amp;"|"&amp;TRIM(H86)&amp;"|"&amp;TRIM(I86))</x:f>
        <x:v>ui|screen|fate_collection|root|屏幕空间|default</x:v>
      </x:c>
      <x:c r="S86" s="138" t="str">
        <x:f>IF(COUNTIF($R$6:$R$423,R86)&gt;1,"重复","唯一")</x:f>
        <x:v>唯一</x:v>
      </x:c>
      <x:c r="T86" s="138" t="str"/>
      <x:c r="U86" s="138" t="inlineStr">
        <x:is>
          <x:t xml:space="preserve">待分配</x:t>
        </x:is>
      </x:c>
      <x:c r="V86" s="303" t="n">
        <x:v>46224</x:v>
      </x:c>
      <x:c r="W86" s="138" t="inlineStr">
        <x:is>
          <x:t xml:space="preserve">原创/待确认</x:t>
        </x:is>
      </x:c>
      <x:c r="X86" s="375" t="inlineStr">
        <x:is>
          <x:t xml:space="preserve">—</x:t>
        </x:is>
      </x:c>
      <x:c r="Y86" s="138" t="inlineStr">
        <x:is>
          <x:t xml:space="preserve">先建组件库，再做页面，避免每页重复画按钮/面板</x:t>
        </x:is>
      </x:c>
    </x:row>
    <x:row r="87">
      <x:c r="A87" s="138" t="inlineStr">
        <x:is>
          <x:t xml:space="preserve">UI-SCREEN-LEVEL-SELECT</x:t>
        </x:is>
      </x:c>
      <x:c r="B87" s="138" t="inlineStr">
        <x:is>
          <x:t xml:space="preserve">关卡选择</x:t>
        </x:is>
      </x:c>
      <x:c r="C87" s="138" t="inlineStr">
        <x:is>
          <x:t xml:space="preserve">UI</x:t>
        </x:is>
      </x:c>
      <x:c r="D87" s="138" t="inlineStr">
        <x:is>
          <x:t xml:space="preserve">screen</x:t>
        </x:is>
      </x:c>
      <x:c r="E87" s="138" t="inlineStr">
        <x:is>
          <x:t xml:space="preserve">level_select</x:t>
        </x:is>
      </x:c>
      <x:c r="F87" s="138" t="inlineStr">
        <x:is>
          <x:t xml:space="preserve">root</x:t>
        </x:is>
      </x:c>
      <x:c r="G87" s="138" t="str"/>
      <x:c r="H87" s="138" t="inlineStr">
        <x:is>
          <x:t xml:space="preserve">屏幕空间</x:t>
        </x:is>
      </x:c>
      <x:c r="I87" s="138" t="inlineStr">
        <x:is>
          <x:t xml:space="preserve">default</x:t>
        </x:is>
      </x:c>
      <x:c r="J87" s="138" t="inlineStr">
        <x:is>
          <x:t xml:space="preserve">跨分辨率</x:t>
        </x:is>
      </x:c>
      <x:c r="K87" s="138" t="inlineStr">
        <x:is>
          <x:t xml:space="preserve">程序占位</x:t>
        </x:is>
      </x:c>
      <x:c r="L87" s="138" t="inlineStr">
        <x:is>
          <x:t xml:space="preserve">P2</x:t>
        </x:is>
      </x:c>
      <x:c r="M87" s="138" t="inlineStr">
        <x:is>
          <x:t xml:space="preserve">v001</x:t>
        </x:is>
      </x:c>
      <x:c r="N87" s="138" t="inlineStr">
        <x:is>
          <x:t xml:space="preserve">1280×720 基准；九宫格/矢量优先</x:t>
        </x:is>
      </x:c>
      <x:c r="O87" s="138" t="str"/>
      <x:c r="P87" s="138" t="inlineStr">
        <x:is>
          <x:t xml:space="preserve">src/ui/LevelSelectMenu.gd</x:t>
        </x:is>
      </x:c>
      <x:c r="Q87" s="138" t="str"/>
      <x:c r="R87" s="138" t="str">
        <x:f>LOWER(TRIM(C87)&amp;"|"&amp;TRIM(D87)&amp;"|"&amp;TRIM(E87)&amp;"|"&amp;TRIM(F87)&amp;"|"&amp;TRIM(H87)&amp;"|"&amp;TRIM(I87))</x:f>
        <x:v>ui|screen|level_select|root|屏幕空间|default</x:v>
      </x:c>
      <x:c r="S87" s="138" t="str">
        <x:f>IF(COUNTIF($R$6:$R$423,R87)&gt;1,"重复","唯一")</x:f>
        <x:v>唯一</x:v>
      </x:c>
      <x:c r="T87" s="138" t="str"/>
      <x:c r="U87" s="138" t="inlineStr">
        <x:is>
          <x:t xml:space="preserve">待分配</x:t>
        </x:is>
      </x:c>
      <x:c r="V87" s="303" t="n">
        <x:v>46224</x:v>
      </x:c>
      <x:c r="W87" s="138" t="inlineStr">
        <x:is>
          <x:t xml:space="preserve">原创/待确认</x:t>
        </x:is>
      </x:c>
      <x:c r="X87" s="375" t="inlineStr">
        <x:is>
          <x:t xml:space="preserve">—</x:t>
        </x:is>
      </x:c>
      <x:c r="Y87" s="138" t="inlineStr">
        <x:is>
          <x:t xml:space="preserve">先建组件库，再做页面，避免每页重复画按钮/面板</x:t>
        </x:is>
      </x:c>
    </x:row>
    <x:row r="88">
      <x:c r="A88" s="138" t="inlineStr">
        <x:is>
          <x:t xml:space="preserve">UI-SCREEN-VAULT</x:t>
        </x:is>
      </x:c>
      <x:c r="B88" s="138" t="inlineStr">
        <x:is>
          <x:t xml:space="preserve">保险柜</x:t>
        </x:is>
      </x:c>
      <x:c r="C88" s="138" t="inlineStr">
        <x:is>
          <x:t xml:space="preserve">UI</x:t>
        </x:is>
      </x:c>
      <x:c r="D88" s="138" t="inlineStr">
        <x:is>
          <x:t xml:space="preserve">screen</x:t>
        </x:is>
      </x:c>
      <x:c r="E88" s="138" t="inlineStr">
        <x:is>
          <x:t xml:space="preserve">vault</x:t>
        </x:is>
      </x:c>
      <x:c r="F88" s="138" t="inlineStr">
        <x:is>
          <x:t xml:space="preserve">root</x:t>
        </x:is>
      </x:c>
      <x:c r="G88" s="138" t="str"/>
      <x:c r="H88" s="138" t="inlineStr">
        <x:is>
          <x:t xml:space="preserve">屏幕空间</x:t>
        </x:is>
      </x:c>
      <x:c r="I88" s="138" t="inlineStr">
        <x:is>
          <x:t xml:space="preserve">default</x:t>
        </x:is>
      </x:c>
      <x:c r="J88" s="138" t="inlineStr">
        <x:is>
          <x:t xml:space="preserve">跨分辨率</x:t>
        </x:is>
      </x:c>
      <x:c r="K88" s="138" t="inlineStr">
        <x:is>
          <x:t xml:space="preserve">程序占位</x:t>
        </x:is>
      </x:c>
      <x:c r="L88" s="138" t="inlineStr">
        <x:is>
          <x:t xml:space="preserve">P2</x:t>
        </x:is>
      </x:c>
      <x:c r="M88" s="138" t="inlineStr">
        <x:is>
          <x:t xml:space="preserve">v001</x:t>
        </x:is>
      </x:c>
      <x:c r="N88" s="138" t="inlineStr">
        <x:is>
          <x:t xml:space="preserve">1280×720 基准；九宫格/矢量优先</x:t>
        </x:is>
      </x:c>
      <x:c r="O88" s="138" t="str"/>
      <x:c r="P88" s="138" t="inlineStr">
        <x:is>
          <x:t xml:space="preserve">src/ui/VaultMenu.gd</x:t>
        </x:is>
      </x:c>
      <x:c r="Q88" s="138" t="str"/>
      <x:c r="R88" s="138" t="str">
        <x:f>LOWER(TRIM(C88)&amp;"|"&amp;TRIM(D88)&amp;"|"&amp;TRIM(E88)&amp;"|"&amp;TRIM(F88)&amp;"|"&amp;TRIM(H88)&amp;"|"&amp;TRIM(I88))</x:f>
        <x:v>ui|screen|vault|root|屏幕空间|default</x:v>
      </x:c>
      <x:c r="S88" s="138" t="str">
        <x:f>IF(COUNTIF($R$6:$R$423,R88)&gt;1,"重复","唯一")</x:f>
        <x:v>唯一</x:v>
      </x:c>
      <x:c r="T88" s="138" t="str"/>
      <x:c r="U88" s="138" t="inlineStr">
        <x:is>
          <x:t xml:space="preserve">待分配</x:t>
        </x:is>
      </x:c>
      <x:c r="V88" s="303" t="n">
        <x:v>46224</x:v>
      </x:c>
      <x:c r="W88" s="138" t="inlineStr">
        <x:is>
          <x:t xml:space="preserve">原创/待确认</x:t>
        </x:is>
      </x:c>
      <x:c r="X88" s="375" t="inlineStr">
        <x:is>
          <x:t xml:space="preserve">—</x:t>
        </x:is>
      </x:c>
      <x:c r="Y88" s="138" t="inlineStr">
        <x:is>
          <x:t xml:space="preserve">先建组件库，再做页面，避免每页重复画按钮/面板</x:t>
        </x:is>
      </x:c>
    </x:row>
    <x:row r="89">
      <x:c r="A89" s="138" t="inlineStr">
        <x:is>
          <x:t xml:space="preserve">UI-SCREEN-MONSTER-ARCHIVE</x:t>
        </x:is>
      </x:c>
      <x:c r="B89" s="138" t="inlineStr">
        <x:is>
          <x:t xml:space="preserve">怪物档案</x:t>
        </x:is>
      </x:c>
      <x:c r="C89" s="138" t="inlineStr">
        <x:is>
          <x:t xml:space="preserve">UI</x:t>
        </x:is>
      </x:c>
      <x:c r="D89" s="138" t="inlineStr">
        <x:is>
          <x:t xml:space="preserve">screen</x:t>
        </x:is>
      </x:c>
      <x:c r="E89" s="138" t="inlineStr">
        <x:is>
          <x:t xml:space="preserve">monster_archive</x:t>
        </x:is>
      </x:c>
      <x:c r="F89" s="138" t="inlineStr">
        <x:is>
          <x:t xml:space="preserve">root</x:t>
        </x:is>
      </x:c>
      <x:c r="G89" s="138" t="str"/>
      <x:c r="H89" s="138" t="inlineStr">
        <x:is>
          <x:t xml:space="preserve">屏幕空间</x:t>
        </x:is>
      </x:c>
      <x:c r="I89" s="138" t="inlineStr">
        <x:is>
          <x:t xml:space="preserve">default</x:t>
        </x:is>
      </x:c>
      <x:c r="J89" s="138" t="inlineStr">
        <x:is>
          <x:t xml:space="preserve">跨分辨率</x:t>
        </x:is>
      </x:c>
      <x:c r="K89" s="138" t="inlineStr">
        <x:is>
          <x:t xml:space="preserve">程序占位</x:t>
        </x:is>
      </x:c>
      <x:c r="L89" s="138" t="inlineStr">
        <x:is>
          <x:t xml:space="preserve">P2</x:t>
        </x:is>
      </x:c>
      <x:c r="M89" s="138" t="inlineStr">
        <x:is>
          <x:t xml:space="preserve">v001</x:t>
        </x:is>
      </x:c>
      <x:c r="N89" s="138" t="inlineStr">
        <x:is>
          <x:t xml:space="preserve">1280×720 基准；九宫格/矢量优先</x:t>
        </x:is>
      </x:c>
      <x:c r="O89" s="138" t="str"/>
      <x:c r="P89" s="138" t="inlineStr">
        <x:is>
          <x:t xml:space="preserve">src/ui/MonsterArchiveMenu.gd</x:t>
        </x:is>
      </x:c>
      <x:c r="Q89" s="138" t="str"/>
      <x:c r="R89" s="138" t="str">
        <x:f>LOWER(TRIM(C89)&amp;"|"&amp;TRIM(D89)&amp;"|"&amp;TRIM(E89)&amp;"|"&amp;TRIM(F89)&amp;"|"&amp;TRIM(H89)&amp;"|"&amp;TRIM(I89))</x:f>
        <x:v>ui|screen|monster_archive|root|屏幕空间|default</x:v>
      </x:c>
      <x:c r="S89" s="138" t="str">
        <x:f>IF(COUNTIF($R$6:$R$423,R89)&gt;1,"重复","唯一")</x:f>
        <x:v>唯一</x:v>
      </x:c>
      <x:c r="T89" s="138" t="str"/>
      <x:c r="U89" s="138" t="inlineStr">
        <x:is>
          <x:t xml:space="preserve">待分配</x:t>
        </x:is>
      </x:c>
      <x:c r="V89" s="303" t="n">
        <x:v>46224</x:v>
      </x:c>
      <x:c r="W89" s="138" t="inlineStr">
        <x:is>
          <x:t xml:space="preserve">原创/待确认</x:t>
        </x:is>
      </x:c>
      <x:c r="X89" s="375" t="inlineStr">
        <x:is>
          <x:t xml:space="preserve">—</x:t>
        </x:is>
      </x:c>
      <x:c r="Y89" s="138" t="inlineStr">
        <x:is>
          <x:t xml:space="preserve">先建组件库，再做页面，避免每页重复画按钮/面板</x:t>
        </x:is>
      </x:c>
    </x:row>
    <x:row r="90">
      <x:c r="A90" s="138" t="inlineStr">
        <x:is>
          <x:t xml:space="preserve">UI-SCREEN-BASE-MENU</x:t>
        </x:is>
      </x:c>
      <x:c r="B90" s="138" t="inlineStr">
        <x:is>
          <x:t xml:space="preserve">基地菜单</x:t>
        </x:is>
      </x:c>
      <x:c r="C90" s="138" t="inlineStr">
        <x:is>
          <x:t xml:space="preserve">UI</x:t>
        </x:is>
      </x:c>
      <x:c r="D90" s="138" t="inlineStr">
        <x:is>
          <x:t xml:space="preserve">screen</x:t>
        </x:is>
      </x:c>
      <x:c r="E90" s="138" t="inlineStr">
        <x:is>
          <x:t xml:space="preserve">base_menu</x:t>
        </x:is>
      </x:c>
      <x:c r="F90" s="138" t="inlineStr">
        <x:is>
          <x:t xml:space="preserve">root</x:t>
        </x:is>
      </x:c>
      <x:c r="G90" s="138" t="str"/>
      <x:c r="H90" s="138" t="inlineStr">
        <x:is>
          <x:t xml:space="preserve">屏幕空间</x:t>
        </x:is>
      </x:c>
      <x:c r="I90" s="138" t="inlineStr">
        <x:is>
          <x:t xml:space="preserve">default</x:t>
        </x:is>
      </x:c>
      <x:c r="J90" s="138" t="inlineStr">
        <x:is>
          <x:t xml:space="preserve">跨分辨率</x:t>
        </x:is>
      </x:c>
      <x:c r="K90" s="138" t="inlineStr">
        <x:is>
          <x:t xml:space="preserve">程序占位</x:t>
        </x:is>
      </x:c>
      <x:c r="L90" s="138" t="inlineStr">
        <x:is>
          <x:t xml:space="preserve">P2</x:t>
        </x:is>
      </x:c>
      <x:c r="M90" s="138" t="inlineStr">
        <x:is>
          <x:t xml:space="preserve">v001</x:t>
        </x:is>
      </x:c>
      <x:c r="N90" s="138" t="inlineStr">
        <x:is>
          <x:t xml:space="preserve">1280×720 基准；九宫格/矢量优先</x:t>
        </x:is>
      </x:c>
      <x:c r="O90" s="138" t="str"/>
      <x:c r="P90" s="138" t="inlineStr">
        <x:is>
          <x:t xml:space="preserve">src/ui/BaseMenu.gd</x:t>
        </x:is>
      </x:c>
      <x:c r="Q90" s="138" t="str"/>
      <x:c r="R90" s="138" t="str">
        <x:f>LOWER(TRIM(C90)&amp;"|"&amp;TRIM(D90)&amp;"|"&amp;TRIM(E90)&amp;"|"&amp;TRIM(F90)&amp;"|"&amp;TRIM(H90)&amp;"|"&amp;TRIM(I90))</x:f>
        <x:v>ui|screen|base_menu|root|屏幕空间|default</x:v>
      </x:c>
      <x:c r="S90" s="138" t="str">
        <x:f>IF(COUNTIF($R$6:$R$423,R90)&gt;1,"重复","唯一")</x:f>
        <x:v>唯一</x:v>
      </x:c>
      <x:c r="T90" s="138" t="str"/>
      <x:c r="U90" s="138" t="inlineStr">
        <x:is>
          <x:t xml:space="preserve">待分配</x:t>
        </x:is>
      </x:c>
      <x:c r="V90" s="303" t="n">
        <x:v>46224</x:v>
      </x:c>
      <x:c r="W90" s="138" t="inlineStr">
        <x:is>
          <x:t xml:space="preserve">原创/待确认</x:t>
        </x:is>
      </x:c>
      <x:c r="X90" s="375" t="inlineStr">
        <x:is>
          <x:t xml:space="preserve">—</x:t>
        </x:is>
      </x:c>
      <x:c r="Y90" s="138" t="inlineStr">
        <x:is>
          <x:t xml:space="preserve">先建组件库，再做页面，避免每页重复画按钮/面板</x:t>
        </x:is>
      </x:c>
    </x:row>
    <x:row r="91">
      <x:c r="A91" s="138" t="inlineStr">
        <x:is>
          <x:t xml:space="preserve">UI-SCREEN-MOBILE-CONTROLS</x:t>
        </x:is>
      </x:c>
      <x:c r="B91" s="138" t="inlineStr">
        <x:is>
          <x:t xml:space="preserve">移动端控制</x:t>
        </x:is>
      </x:c>
      <x:c r="C91" s="138" t="inlineStr">
        <x:is>
          <x:t xml:space="preserve">UI</x:t>
        </x:is>
      </x:c>
      <x:c r="D91" s="138" t="inlineStr">
        <x:is>
          <x:t xml:space="preserve">screen</x:t>
        </x:is>
      </x:c>
      <x:c r="E91" s="138" t="inlineStr">
        <x:is>
          <x:t xml:space="preserve">mobile_controls</x:t>
        </x:is>
      </x:c>
      <x:c r="F91" s="138" t="inlineStr">
        <x:is>
          <x:t xml:space="preserve">root</x:t>
        </x:is>
      </x:c>
      <x:c r="G91" s="138" t="str"/>
      <x:c r="H91" s="138" t="inlineStr">
        <x:is>
          <x:t xml:space="preserve">屏幕空间</x:t>
        </x:is>
      </x:c>
      <x:c r="I91" s="138" t="inlineStr">
        <x:is>
          <x:t xml:space="preserve">default</x:t>
        </x:is>
      </x:c>
      <x:c r="J91" s="138" t="inlineStr">
        <x:is>
          <x:t xml:space="preserve">跨分辨率</x:t>
        </x:is>
      </x:c>
      <x:c r="K91" s="138" t="inlineStr">
        <x:is>
          <x:t xml:space="preserve">程序占位</x:t>
        </x:is>
      </x:c>
      <x:c r="L91" s="138" t="inlineStr">
        <x:is>
          <x:t xml:space="preserve">P2</x:t>
        </x:is>
      </x:c>
      <x:c r="M91" s="138" t="inlineStr">
        <x:is>
          <x:t xml:space="preserve">v001</x:t>
        </x:is>
      </x:c>
      <x:c r="N91" s="138" t="inlineStr">
        <x:is>
          <x:t xml:space="preserve">1280×720 基准；九宫格/矢量优先</x:t>
        </x:is>
      </x:c>
      <x:c r="O91" s="138" t="str"/>
      <x:c r="P91" s="138" t="inlineStr">
        <x:is>
          <x:t xml:space="preserve">src/ui/MobileControls.gd</x:t>
        </x:is>
      </x:c>
      <x:c r="Q91" s="138" t="str"/>
      <x:c r="R91" s="138" t="str">
        <x:f>LOWER(TRIM(C91)&amp;"|"&amp;TRIM(D91)&amp;"|"&amp;TRIM(E91)&amp;"|"&amp;TRIM(F91)&amp;"|"&amp;TRIM(H91)&amp;"|"&amp;TRIM(I91))</x:f>
        <x:v>ui|screen|mobile_controls|root|屏幕空间|default</x:v>
      </x:c>
      <x:c r="S91" s="138" t="str">
        <x:f>IF(COUNTIF($R$6:$R$423,R91)&gt;1,"重复","唯一")</x:f>
        <x:v>唯一</x:v>
      </x:c>
      <x:c r="T91" s="138" t="str"/>
      <x:c r="U91" s="138" t="inlineStr">
        <x:is>
          <x:t xml:space="preserve">待分配</x:t>
        </x:is>
      </x:c>
      <x:c r="V91" s="303" t="n">
        <x:v>46224</x:v>
      </x:c>
      <x:c r="W91" s="138" t="inlineStr">
        <x:is>
          <x:t xml:space="preserve">原创/待确认</x:t>
        </x:is>
      </x:c>
      <x:c r="X91" s="375" t="inlineStr">
        <x:is>
          <x:t xml:space="preserve">—</x:t>
        </x:is>
      </x:c>
      <x:c r="Y91" s="138" t="inlineStr">
        <x:is>
          <x:t xml:space="preserve">先建组件库，再做页面，避免每页重复画按钮/面板</x:t>
        </x:is>
      </x:c>
    </x:row>
    <x:row r="92">
      <x:c r="A92" s="138" t="inlineStr">
        <x:is>
          <x:t xml:space="preserve">VFX-EXPLOSION</x:t>
        </x:is>
      </x:c>
      <x:c r="B92" s="138" t="inlineStr">
        <x:is>
          <x:t xml:space="preserve">爆炸</x:t>
        </x:is>
      </x:c>
      <x:c r="C92" s="138" t="inlineStr">
        <x:is>
          <x:t xml:space="preserve">特效</x:t>
        </x:is>
      </x:c>
      <x:c r="D92" s="138" t="inlineStr">
        <x:is>
          <x:t xml:space="preserve">gameplay_vfx</x:t>
        </x:is>
      </x:c>
      <x:c r="E92" s="138" t="inlineStr">
        <x:is>
          <x:t xml:space="preserve">explosion</x:t>
        </x:is>
      </x:c>
      <x:c r="F92" s="138" t="inlineStr">
        <x:is>
          <x:t xml:space="preserve">root</x:t>
        </x:is>
      </x:c>
      <x:c r="G92" s="138" t="str"/>
      <x:c r="H92" s="138" t="inlineStr">
        <x:is>
          <x:t xml:space="preserve">顶视/屏幕空间</x:t>
        </x:is>
      </x:c>
      <x:c r="I92" s="138" t="inlineStr">
        <x:is>
          <x:t xml:space="preserve">default</x:t>
        </x:is>
      </x:c>
      <x:c r="J92" s="138" t="inlineStr">
        <x:is>
          <x:t xml:space="preserve">跨武器/跨场景</x:t>
        </x:is>
      </x:c>
      <x:c r="K92" s="138" t="inlineStr">
        <x:is>
          <x:t xml:space="preserve">程序占位</x:t>
        </x:is>
      </x:c>
      <x:c r="L92" s="138" t="inlineStr">
        <x:is>
          <x:t xml:space="preserve">P1</x:t>
        </x:is>
      </x:c>
      <x:c r="M92" s="138" t="inlineStr">
        <x:is>
          <x:t xml:space="preserve">v001</x:t>
        </x:is>
      </x:c>
      <x:c r="N92" s="138" t="inlineStr">
        <x:is>
          <x:t xml:space="preserve">粒子或 8–16 帧序列</x:t>
        </x:is>
      </x:c>
      <x:c r="O92" s="138" t="str"/>
      <x:c r="P92" s="138" t="inlineStr">
        <x:is>
          <x:t xml:space="preserve">scenes/ExplosionEffect.tscn</x:t>
        </x:is>
      </x:c>
      <x:c r="Q92" s="138" t="str"/>
      <x:c r="R92" s="138" t="str">
        <x:f>LOWER(TRIM(C92)&amp;"|"&amp;TRIM(D92)&amp;"|"&amp;TRIM(E92)&amp;"|"&amp;TRIM(F92)&amp;"|"&amp;TRIM(H92)&amp;"|"&amp;TRIM(I92))</x:f>
        <x:v>特效|gameplay_vfx|explosion|root|顶视/屏幕空间|default</x:v>
      </x:c>
      <x:c r="S92" s="138" t="str">
        <x:f>IF(COUNTIF($R$6:$R$423,R92)&gt;1,"重复","唯一")</x:f>
        <x:v>唯一</x:v>
      </x:c>
      <x:c r="T92" s="138" t="str"/>
      <x:c r="U92" s="138" t="inlineStr">
        <x:is>
          <x:t xml:space="preserve">待分配</x:t>
        </x:is>
      </x:c>
      <x:c r="V92" s="303" t="n">
        <x:v>46224</x:v>
      </x:c>
      <x:c r="W92" s="138" t="inlineStr">
        <x:is>
          <x:t xml:space="preserve">原创/待确认</x:t>
        </x:is>
      </x:c>
      <x:c r="X92" s="375" t="inlineStr">
        <x:is>
          <x:t xml:space="preserve">—</x:t>
        </x:is>
      </x:c>
      <x:c r="Y92" s="138" t="inlineStr">
        <x:is>
          <x:t xml:space="preserve">颜色/尺寸作参数变体，禁止复制整套</x:t>
        </x:is>
      </x:c>
    </x:row>
    <x:row r="93">
      <x:c r="A93" s="138" t="inlineStr">
        <x:is>
          <x:t xml:space="preserve">VFX-MUZZLE-FLASH</x:t>
        </x:is>
      </x:c>
      <x:c r="B93" s="138" t="inlineStr">
        <x:is>
          <x:t xml:space="preserve">枪口火焰</x:t>
        </x:is>
      </x:c>
      <x:c r="C93" s="138" t="inlineStr">
        <x:is>
          <x:t xml:space="preserve">特效</x:t>
        </x:is>
      </x:c>
      <x:c r="D93" s="138" t="inlineStr">
        <x:is>
          <x:t xml:space="preserve">gameplay_vfx</x:t>
        </x:is>
      </x:c>
      <x:c r="E93" s="138" t="inlineStr">
        <x:is>
          <x:t xml:space="preserve">muzzle_flash</x:t>
        </x:is>
      </x:c>
      <x:c r="F93" s="138" t="inlineStr">
        <x:is>
          <x:t xml:space="preserve">root</x:t>
        </x:is>
      </x:c>
      <x:c r="G93" s="138" t="str"/>
      <x:c r="H93" s="138" t="inlineStr">
        <x:is>
          <x:t xml:space="preserve">顶视/屏幕空间</x:t>
        </x:is>
      </x:c>
      <x:c r="I93" s="138" t="inlineStr">
        <x:is>
          <x:t xml:space="preserve">default</x:t>
        </x:is>
      </x:c>
      <x:c r="J93" s="138" t="inlineStr">
        <x:is>
          <x:t xml:space="preserve">跨武器/跨场景</x:t>
        </x:is>
      </x:c>
      <x:c r="K93" s="138" t="inlineStr">
        <x:is>
          <x:t xml:space="preserve">程序占位</x:t>
        </x:is>
      </x:c>
      <x:c r="L93" s="138" t="inlineStr">
        <x:is>
          <x:t xml:space="preserve">P1</x:t>
        </x:is>
      </x:c>
      <x:c r="M93" s="138" t="inlineStr">
        <x:is>
          <x:t xml:space="preserve">v001</x:t>
        </x:is>
      </x:c>
      <x:c r="N93" s="138" t="inlineStr">
        <x:is>
          <x:t xml:space="preserve">粒子或 8–16 帧序列</x:t>
        </x:is>
      </x:c>
      <x:c r="O93" s="138" t="str"/>
      <x:c r="P93" s="138" t="inlineStr">
        <x:is>
          <x:t xml:space="preserve">src/weapon/WeaponDisplay.gd</x:t>
        </x:is>
      </x:c>
      <x:c r="Q93" s="138" t="str"/>
      <x:c r="R93" s="138" t="str">
        <x:f>LOWER(TRIM(C93)&amp;"|"&amp;TRIM(D93)&amp;"|"&amp;TRIM(E93)&amp;"|"&amp;TRIM(F93)&amp;"|"&amp;TRIM(H93)&amp;"|"&amp;TRIM(I93))</x:f>
        <x:v>特效|gameplay_vfx|muzzle_flash|root|顶视/屏幕空间|default</x:v>
      </x:c>
      <x:c r="S93" s="138" t="str">
        <x:f>IF(COUNTIF($R$6:$R$423,R93)&gt;1,"重复","唯一")</x:f>
        <x:v>唯一</x:v>
      </x:c>
      <x:c r="T93" s="138" t="str"/>
      <x:c r="U93" s="138" t="inlineStr">
        <x:is>
          <x:t xml:space="preserve">待分配</x:t>
        </x:is>
      </x:c>
      <x:c r="V93" s="303" t="n">
        <x:v>46224</x:v>
      </x:c>
      <x:c r="W93" s="138" t="inlineStr">
        <x:is>
          <x:t xml:space="preserve">原创/待确认</x:t>
        </x:is>
      </x:c>
      <x:c r="X93" s="375" t="inlineStr">
        <x:is>
          <x:t xml:space="preserve">—</x:t>
        </x:is>
      </x:c>
      <x:c r="Y93" s="138" t="inlineStr">
        <x:is>
          <x:t xml:space="preserve">颜色/尺寸作参数变体，禁止复制整套</x:t>
        </x:is>
      </x:c>
    </x:row>
    <x:row r="94">
      <x:c r="A94" s="138" t="inlineStr">
        <x:is>
          <x:t xml:space="preserve">VFX-DAMAGE-NUMBER</x:t>
        </x:is>
      </x:c>
      <x:c r="B94" s="138" t="inlineStr">
        <x:is>
          <x:t xml:space="preserve">伤害数字</x:t>
        </x:is>
      </x:c>
      <x:c r="C94" s="138" t="inlineStr">
        <x:is>
          <x:t xml:space="preserve">特效</x:t>
        </x:is>
      </x:c>
      <x:c r="D94" s="138" t="inlineStr">
        <x:is>
          <x:t xml:space="preserve">gameplay_vfx</x:t>
        </x:is>
      </x:c>
      <x:c r="E94" s="138" t="inlineStr">
        <x:is>
          <x:t xml:space="preserve">damage_number</x:t>
        </x:is>
      </x:c>
      <x:c r="F94" s="138" t="inlineStr">
        <x:is>
          <x:t xml:space="preserve">root</x:t>
        </x:is>
      </x:c>
      <x:c r="G94" s="138" t="str"/>
      <x:c r="H94" s="138" t="inlineStr">
        <x:is>
          <x:t xml:space="preserve">顶视/屏幕空间</x:t>
        </x:is>
      </x:c>
      <x:c r="I94" s="138" t="inlineStr">
        <x:is>
          <x:t xml:space="preserve">default</x:t>
        </x:is>
      </x:c>
      <x:c r="J94" s="138" t="inlineStr">
        <x:is>
          <x:t xml:space="preserve">跨武器/跨场景</x:t>
        </x:is>
      </x:c>
      <x:c r="K94" s="138" t="inlineStr">
        <x:is>
          <x:t xml:space="preserve">程序占位</x:t>
        </x:is>
      </x:c>
      <x:c r="L94" s="138" t="inlineStr">
        <x:is>
          <x:t xml:space="preserve">P2</x:t>
        </x:is>
      </x:c>
      <x:c r="M94" s="138" t="inlineStr">
        <x:is>
          <x:t xml:space="preserve">v001</x:t>
        </x:is>
      </x:c>
      <x:c r="N94" s="138" t="inlineStr">
        <x:is>
          <x:t xml:space="preserve">粒子或 8–16 帧序列</x:t>
        </x:is>
      </x:c>
      <x:c r="O94" s="138" t="str"/>
      <x:c r="P94" s="138" t="inlineStr">
        <x:is>
          <x:t xml:space="preserve">scenes/DamageNumber.tscn</x:t>
        </x:is>
      </x:c>
      <x:c r="Q94" s="138" t="str"/>
      <x:c r="R94" s="138" t="str">
        <x:f>LOWER(TRIM(C94)&amp;"|"&amp;TRIM(D94)&amp;"|"&amp;TRIM(E94)&amp;"|"&amp;TRIM(F94)&amp;"|"&amp;TRIM(H94)&amp;"|"&amp;TRIM(I94))</x:f>
        <x:v>特效|gameplay_vfx|damage_number|root|顶视/屏幕空间|default</x:v>
      </x:c>
      <x:c r="S94" s="138" t="str">
        <x:f>IF(COUNTIF($R$6:$R$423,R94)&gt;1,"重复","唯一")</x:f>
        <x:v>唯一</x:v>
      </x:c>
      <x:c r="T94" s="138" t="str"/>
      <x:c r="U94" s="138" t="inlineStr">
        <x:is>
          <x:t xml:space="preserve">待分配</x:t>
        </x:is>
      </x:c>
      <x:c r="V94" s="303" t="n">
        <x:v>46224</x:v>
      </x:c>
      <x:c r="W94" s="138" t="inlineStr">
        <x:is>
          <x:t xml:space="preserve">原创/待确认</x:t>
        </x:is>
      </x:c>
      <x:c r="X94" s="375" t="inlineStr">
        <x:is>
          <x:t xml:space="preserve">—</x:t>
        </x:is>
      </x:c>
      <x:c r="Y94" s="138" t="inlineStr">
        <x:is>
          <x:t xml:space="preserve">颜色/尺寸作参数变体，禁止复制整套</x:t>
        </x:is>
      </x:c>
    </x:row>
    <x:row r="95">
      <x:c r="A95" s="138" t="inlineStr">
        <x:is>
          <x:t xml:space="preserve">VFX-SPARK</x:t>
        </x:is>
      </x:c>
      <x:c r="B95" s="138" t="inlineStr">
        <x:is>
          <x:t xml:space="preserve">火花</x:t>
        </x:is>
      </x:c>
      <x:c r="C95" s="138" t="inlineStr">
        <x:is>
          <x:t xml:space="preserve">特效</x:t>
        </x:is>
      </x:c>
      <x:c r="D95" s="138" t="inlineStr">
        <x:is>
          <x:t xml:space="preserve">gameplay_vfx</x:t>
        </x:is>
      </x:c>
      <x:c r="E95" s="138" t="inlineStr">
        <x:is>
          <x:t xml:space="preserve">spark</x:t>
        </x:is>
      </x:c>
      <x:c r="F95" s="138" t="inlineStr">
        <x:is>
          <x:t xml:space="preserve">root</x:t>
        </x:is>
      </x:c>
      <x:c r="G95" s="138" t="str"/>
      <x:c r="H95" s="138" t="inlineStr">
        <x:is>
          <x:t xml:space="preserve">顶视/屏幕空间</x:t>
        </x:is>
      </x:c>
      <x:c r="I95" s="138" t="inlineStr">
        <x:is>
          <x:t xml:space="preserve">default</x:t>
        </x:is>
      </x:c>
      <x:c r="J95" s="138" t="inlineStr">
        <x:is>
          <x:t xml:space="preserve">跨武器/跨场景</x:t>
        </x:is>
      </x:c>
      <x:c r="K95" s="138" t="inlineStr">
        <x:is>
          <x:t xml:space="preserve">程序占位</x:t>
        </x:is>
      </x:c>
      <x:c r="L95" s="138" t="inlineStr">
        <x:is>
          <x:t xml:space="preserve">P2</x:t>
        </x:is>
      </x:c>
      <x:c r="M95" s="138" t="inlineStr">
        <x:is>
          <x:t xml:space="preserve">v001</x:t>
        </x:is>
      </x:c>
      <x:c r="N95" s="138" t="inlineStr">
        <x:is>
          <x:t xml:space="preserve">粒子或 8–16 帧序列</x:t>
        </x:is>
      </x:c>
      <x:c r="O95" s="138" t="str"/>
      <x:c r="P95" s="138" t="inlineStr">
        <x:is>
          <x:t xml:space="preserve">src/fx/SparkParticles.gd</x:t>
        </x:is>
      </x:c>
      <x:c r="Q95" s="138" t="str"/>
      <x:c r="R95" s="138" t="str">
        <x:f>LOWER(TRIM(C95)&amp;"|"&amp;TRIM(D95)&amp;"|"&amp;TRIM(E95)&amp;"|"&amp;TRIM(F95)&amp;"|"&amp;TRIM(H95)&amp;"|"&amp;TRIM(I95))</x:f>
        <x:v>特效|gameplay_vfx|spark|root|顶视/屏幕空间|default</x:v>
      </x:c>
      <x:c r="S95" s="138" t="str">
        <x:f>IF(COUNTIF($R$6:$R$423,R95)&gt;1,"重复","唯一")</x:f>
        <x:v>唯一</x:v>
      </x:c>
      <x:c r="T95" s="138" t="str"/>
      <x:c r="U95" s="138" t="inlineStr">
        <x:is>
          <x:t xml:space="preserve">待分配</x:t>
        </x:is>
      </x:c>
      <x:c r="V95" s="303" t="n">
        <x:v>46224</x:v>
      </x:c>
      <x:c r="W95" s="138" t="inlineStr">
        <x:is>
          <x:t xml:space="preserve">原创/待确认</x:t>
        </x:is>
      </x:c>
      <x:c r="X95" s="375" t="inlineStr">
        <x:is>
          <x:t xml:space="preserve">—</x:t>
        </x:is>
      </x:c>
      <x:c r="Y95" s="138" t="inlineStr">
        <x:is>
          <x:t xml:space="preserve">颜色/尺寸作参数变体，禁止复制整套</x:t>
        </x:is>
      </x:c>
    </x:row>
    <x:row r="96">
      <x:c r="A96" s="138" t="inlineStr">
        <x:is>
          <x:t xml:space="preserve">VFX-ROOM-TRANSITION</x:t>
        </x:is>
      </x:c>
      <x:c r="B96" s="138" t="inlineStr">
        <x:is>
          <x:t xml:space="preserve">房间转场</x:t>
        </x:is>
      </x:c>
      <x:c r="C96" s="138" t="inlineStr">
        <x:is>
          <x:t xml:space="preserve">特效</x:t>
        </x:is>
      </x:c>
      <x:c r="D96" s="138" t="inlineStr">
        <x:is>
          <x:t xml:space="preserve">gameplay_vfx</x:t>
        </x:is>
      </x:c>
      <x:c r="E96" s="138" t="inlineStr">
        <x:is>
          <x:t xml:space="preserve">room_transition</x:t>
        </x:is>
      </x:c>
      <x:c r="F96" s="138" t="inlineStr">
        <x:is>
          <x:t xml:space="preserve">root</x:t>
        </x:is>
      </x:c>
      <x:c r="G96" s="138" t="str"/>
      <x:c r="H96" s="138" t="inlineStr">
        <x:is>
          <x:t xml:space="preserve">顶视/屏幕空间</x:t>
        </x:is>
      </x:c>
      <x:c r="I96" s="138" t="inlineStr">
        <x:is>
          <x:t xml:space="preserve">default</x:t>
        </x:is>
      </x:c>
      <x:c r="J96" s="138" t="inlineStr">
        <x:is>
          <x:t xml:space="preserve">跨武器/跨场景</x:t>
        </x:is>
      </x:c>
      <x:c r="K96" s="138" t="inlineStr">
        <x:is>
          <x:t xml:space="preserve">程序占位</x:t>
        </x:is>
      </x:c>
      <x:c r="L96" s="138" t="inlineStr">
        <x:is>
          <x:t xml:space="preserve">P2</x:t>
        </x:is>
      </x:c>
      <x:c r="M96" s="138" t="inlineStr">
        <x:is>
          <x:t xml:space="preserve">v001</x:t>
        </x:is>
      </x:c>
      <x:c r="N96" s="138" t="inlineStr">
        <x:is>
          <x:t xml:space="preserve">粒子或 8–16 帧序列</x:t>
        </x:is>
      </x:c>
      <x:c r="O96" s="138" t="str"/>
      <x:c r="P96" s="138" t="inlineStr">
        <x:is>
          <x:t xml:space="preserve">src/fx/RoomTransitionFX.gd</x:t>
        </x:is>
      </x:c>
      <x:c r="Q96" s="138" t="str"/>
      <x:c r="R96" s="138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138" t="str">
        <x:f>IF(COUNTIF($R$6:$R$423,R96)&gt;1,"重复","唯一")</x:f>
        <x:v>唯一</x:v>
      </x:c>
      <x:c r="T96" s="138" t="str"/>
      <x:c r="U96" s="138" t="inlineStr">
        <x:is>
          <x:t xml:space="preserve">待分配</x:t>
        </x:is>
      </x:c>
      <x:c r="V96" s="303" t="n">
        <x:v>46224</x:v>
      </x:c>
      <x:c r="W96" s="138" t="inlineStr">
        <x:is>
          <x:t xml:space="preserve">原创/待确认</x:t>
        </x:is>
      </x:c>
      <x:c r="X96" s="375" t="inlineStr">
        <x:is>
          <x:t xml:space="preserve">—</x:t>
        </x:is>
      </x:c>
      <x:c r="Y96" s="138" t="inlineStr">
        <x:is>
          <x:t xml:space="preserve">颜色/尺寸作参数变体，禁止复制整套</x:t>
        </x:is>
      </x:c>
    </x:row>
    <x:row r="97">
      <x:c r="A97" s="138" t="inlineStr">
        <x:is>
          <x:t xml:space="preserve">VFX-HEALTH-VIGNETTE</x:t>
        </x:is>
      </x:c>
      <x:c r="B97" s="138" t="inlineStr">
        <x:is>
          <x:t xml:space="preserve">低血暗角</x:t>
        </x:is>
      </x:c>
      <x:c r="C97" s="138" t="inlineStr">
        <x:is>
          <x:t xml:space="preserve">特效</x:t>
        </x:is>
      </x:c>
      <x:c r="D97" s="138" t="inlineStr">
        <x:is>
          <x:t xml:space="preserve">gameplay_vfx</x:t>
        </x:is>
      </x:c>
      <x:c r="E97" s="138" t="inlineStr">
        <x:is>
          <x:t xml:space="preserve">health_vignette</x:t>
        </x:is>
      </x:c>
      <x:c r="F97" s="138" t="inlineStr">
        <x:is>
          <x:t xml:space="preserve">root</x:t>
        </x:is>
      </x:c>
      <x:c r="G97" s="138" t="str"/>
      <x:c r="H97" s="138" t="inlineStr">
        <x:is>
          <x:t xml:space="preserve">顶视/屏幕空间</x:t>
        </x:is>
      </x:c>
      <x:c r="I97" s="138" t="inlineStr">
        <x:is>
          <x:t xml:space="preserve">default</x:t>
        </x:is>
      </x:c>
      <x:c r="J97" s="138" t="inlineStr">
        <x:is>
          <x:t xml:space="preserve">跨武器/跨场景</x:t>
        </x:is>
      </x:c>
      <x:c r="K97" s="138" t="inlineStr">
        <x:is>
          <x:t xml:space="preserve">原型已接入</x:t>
        </x:is>
      </x:c>
      <x:c r="L97" s="138" t="inlineStr">
        <x:is>
          <x:t xml:space="preserve">P2</x:t>
        </x:is>
      </x:c>
      <x:c r="M97" s="138" t="inlineStr">
        <x:is>
          <x:t xml:space="preserve">v001</x:t>
        </x:is>
      </x:c>
      <x:c r="N97" s="138" t="inlineStr">
        <x:is>
          <x:t xml:space="preserve">粒子或 8–16 帧序列</x:t>
        </x:is>
      </x:c>
      <x:c r="O97" s="138" t="inlineStr">
        <x:is>
          <x:t xml:space="preserve">scenes/Dungeon3D.tscn</x:t>
        </x:is>
      </x:c>
      <x:c r="P97" s="138" t="inlineStr">
        <x:is>
          <x:t xml:space="preserve">src/world3d/Dungeon3D.gd</x:t>
        </x:is>
      </x:c>
      <x:c r="Q97" s="138" t="str"/>
      <x:c r="R97" s="138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138" t="str">
        <x:f>IF(COUNTIF($R$6:$R$423,R97)&gt;1,"重复","唯一")</x:f>
        <x:v>唯一</x:v>
      </x:c>
      <x:c r="T97" s="138" t="inlineStr">
        <x:is>
          <x:t xml:space="preserve">86fa546a86758f57eb7b5c8fae0aeadb30e62b29e08c1b40d7fb685ac36a4b53</x:t>
        </x:is>
      </x:c>
      <x:c r="U97" s="138" t="inlineStr">
        <x:is>
          <x:t xml:space="preserve">待分配</x:t>
        </x:is>
      </x:c>
      <x:c r="V97" s="303" t="n">
        <x:v>46264</x:v>
      </x:c>
      <x:c r="W97" s="138" t="inlineStr">
        <x:is>
          <x:t xml:space="preserve">原创/待确认</x:t>
        </x:is>
      </x:c>
      <x:c r="X97" s="375" t="inlineStr">
        <x:is>
          <x:t xml:space="preserve">—</x:t>
        </x:is>
      </x:c>
      <x:c r="Y97" s="138" t="inlineStr">
        <x:is>
          <x:t xml:space="preserve">复用低血暗角身份；3D HUD低血时提高边缘强度，不复制第二套逻辑ID
2026-08-30 AST-02：补齐单一生产路径SHA；验收：verify_3d_vision_input_flow；SHA 4e61089a3bcd。</x:t>
        </x:is>
      </x:c>
    </x:row>
    <x:row r="98">
      <x:c r="A98" s="138" t="inlineStr">
        <x:is>
          <x:t xml:space="preserve">VFX-VISIBILITY-LIGHT</x:t>
        </x:is>
      </x:c>
      <x:c r="B98" s="138" t="inlineStr">
        <x:is>
          <x:t xml:space="preserve">视野光锥</x:t>
        </x:is>
      </x:c>
      <x:c r="C98" s="138" t="inlineStr">
        <x:is>
          <x:t xml:space="preserve">特效</x:t>
        </x:is>
      </x:c>
      <x:c r="D98" s="138" t="inlineStr">
        <x:is>
          <x:t xml:space="preserve">gameplay_vfx</x:t>
        </x:is>
      </x:c>
      <x:c r="E98" s="138" t="inlineStr">
        <x:is>
          <x:t xml:space="preserve">visibility_light</x:t>
        </x:is>
      </x:c>
      <x:c r="F98" s="138" t="inlineStr">
        <x:is>
          <x:t xml:space="preserve">root</x:t>
        </x:is>
      </x:c>
      <x:c r="G98" s="138" t="str"/>
      <x:c r="H98" s="138" t="inlineStr">
        <x:is>
          <x:t xml:space="preserve">顶视/屏幕空间</x:t>
        </x:is>
      </x:c>
      <x:c r="I98" s="138" t="inlineStr">
        <x:is>
          <x:t xml:space="preserve">default</x:t>
        </x:is>
      </x:c>
      <x:c r="J98" s="138" t="inlineStr">
        <x:is>
          <x:t xml:space="preserve">跨武器/跨场景</x:t>
        </x:is>
      </x:c>
      <x:c r="K98" s="138" t="inlineStr">
        <x:is>
          <x:t xml:space="preserve">程序占位</x:t>
        </x:is>
      </x:c>
      <x:c r="L98" s="138" t="inlineStr">
        <x:is>
          <x:t xml:space="preserve">P2</x:t>
        </x:is>
      </x:c>
      <x:c r="M98" s="138" t="inlineStr">
        <x:is>
          <x:t xml:space="preserve">v001</x:t>
        </x:is>
      </x:c>
      <x:c r="N98" s="138" t="inlineStr">
        <x:is>
          <x:t xml:space="preserve">粒子或 8–16 帧序列</x:t>
        </x:is>
      </x:c>
      <x:c r="O98" s="138" t="str"/>
      <x:c r="P98" s="138" t="inlineStr">
        <x:is>
          <x:t xml:space="preserve">src/fx/VisibilityLight2D.gd</x:t>
        </x:is>
      </x:c>
      <x:c r="Q98" s="138" t="str"/>
      <x:c r="R98" s="138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138" t="str">
        <x:f>IF(COUNTIF($R$6:$R$423,R98)&gt;1,"重复","唯一")</x:f>
        <x:v>唯一</x:v>
      </x:c>
      <x:c r="T98" s="138" t="str"/>
      <x:c r="U98" s="138" t="inlineStr">
        <x:is>
          <x:t xml:space="preserve">待分配</x:t>
        </x:is>
      </x:c>
      <x:c r="V98" s="303" t="n">
        <x:v>46225</x:v>
      </x:c>
      <x:c r="W98" s="138" t="inlineStr">
        <x:is>
          <x:t xml:space="preserve">原创/待确认</x:t>
        </x:is>
      </x:c>
      <x:c r="X98" s="375" t="inlineStr">
        <x:is>
          <x:t xml:space="preserve">—</x:t>
        </x:is>
      </x:c>
      <x:c r="Y98" s="138" t="inlineStr">
        <x:is>
          <x:t xml:space="preserve">2D视野表现根；3D真实判定与地面网格登记为 VFX-VISIBILITY-FIELD-3D，禁止用灯光替代</x:t>
        </x:is>
      </x:c>
    </x:row>
    <x:row r="99">
      <x:c r="A99" s="138" t="inlineStr">
        <x:is>
          <x:t xml:space="preserve">VFX-EXTRACTION-BEACON</x:t>
        </x:is>
      </x:c>
      <x:c r="B99" s="138" t="inlineStr">
        <x:is>
          <x:t xml:space="preserve">撤离信标效果</x:t>
        </x:is>
      </x:c>
      <x:c r="C99" s="138" t="inlineStr">
        <x:is>
          <x:t xml:space="preserve">特效</x:t>
        </x:is>
      </x:c>
      <x:c r="D99" s="138" t="inlineStr">
        <x:is>
          <x:t xml:space="preserve">gameplay_vfx</x:t>
        </x:is>
      </x:c>
      <x:c r="E99" s="138" t="inlineStr">
        <x:is>
          <x:t xml:space="preserve">extraction_beacon</x:t>
        </x:is>
      </x:c>
      <x:c r="F99" s="138" t="inlineStr">
        <x:is>
          <x:t xml:space="preserve">root</x:t>
        </x:is>
      </x:c>
      <x:c r="G99" s="138" t="str"/>
      <x:c r="H99" s="138" t="inlineStr">
        <x:is>
          <x:t xml:space="preserve">顶视/屏幕空间</x:t>
        </x:is>
      </x:c>
      <x:c r="I99" s="138" t="inlineStr">
        <x:is>
          <x:t xml:space="preserve">default</x:t>
        </x:is>
      </x:c>
      <x:c r="J99" s="138" t="inlineStr">
        <x:is>
          <x:t xml:space="preserve">跨武器/跨场景</x:t>
        </x:is>
      </x:c>
      <x:c r="K99" s="138" t="inlineStr">
        <x:is>
          <x:t xml:space="preserve">程序占位</x:t>
        </x:is>
      </x:c>
      <x:c r="L99" s="138" t="inlineStr">
        <x:is>
          <x:t xml:space="preserve">P2</x:t>
        </x:is>
      </x:c>
      <x:c r="M99" s="138" t="inlineStr">
        <x:is>
          <x:t xml:space="preserve">v001</x:t>
        </x:is>
      </x:c>
      <x:c r="N99" s="138" t="inlineStr">
        <x:is>
          <x:t xml:space="preserve">粒子或 8–16 帧序列</x:t>
        </x:is>
      </x:c>
      <x:c r="O99" s="138" t="str"/>
      <x:c r="P99" s="138" t="inlineStr">
        <x:is>
          <x:t xml:space="preserve">src/map/ExtractionDirector.gd</x:t>
        </x:is>
      </x:c>
      <x:c r="Q99" s="138" t="str"/>
      <x:c r="R99" s="138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138" t="str">
        <x:f>IF(COUNTIF($R$6:$R$423,R99)&gt;1,"重复","唯一")</x:f>
        <x:v>唯一</x:v>
      </x:c>
      <x:c r="T99" s="138" t="str"/>
      <x:c r="U99" s="138" t="inlineStr">
        <x:is>
          <x:t xml:space="preserve">待分配</x:t>
        </x:is>
      </x:c>
      <x:c r="V99" s="303" t="n">
        <x:v>46224</x:v>
      </x:c>
      <x:c r="W99" s="138" t="inlineStr">
        <x:is>
          <x:t xml:space="preserve">原创/待确认</x:t>
        </x:is>
      </x:c>
      <x:c r="X99" s="375" t="inlineStr">
        <x:is>
          <x:t xml:space="preserve">—</x:t>
        </x:is>
      </x:c>
      <x:c r="Y99" s="138" t="inlineStr">
        <x:is>
          <x:t xml:space="preserve">颜色/尺寸作参数变体，禁止复制整套</x:t>
        </x:is>
      </x:c>
    </x:row>
    <x:row r="100">
      <x:c r="A100" s="138" t="inlineStr">
        <x:is>
          <x:t xml:space="preserve">AUD-BGM-WASTELAND</x:t>
        </x:is>
      </x:c>
      <x:c r="B100" s="138" t="inlineStr">
        <x:is>
          <x:t xml:space="preserve">末日荒野 BGM</x:t>
        </x:is>
      </x:c>
      <x:c r="C100" s="138" t="inlineStr">
        <x:is>
          <x:t xml:space="preserve">音频</x:t>
        </x:is>
      </x:c>
      <x:c r="D100" s="138" t="inlineStr">
        <x:is>
          <x:t xml:space="preserve">bgm</x:t>
        </x:is>
      </x:c>
      <x:c r="E100" s="138" t="inlineStr">
        <x:is>
          <x:t xml:space="preserve">bgm_wasteland</x:t>
        </x:is>
      </x:c>
      <x:c r="F100" s="138" t="inlineStr">
        <x:is>
          <x:t xml:space="preserve">root</x:t>
        </x:is>
      </x:c>
      <x:c r="G100" s="138" t="str"/>
      <x:c r="H100" s="138" t="inlineStr">
        <x:is>
          <x:t xml:space="preserve">不适用</x:t>
        </x:is>
      </x:c>
      <x:c r="I100" s="138" t="inlineStr">
        <x:is>
          <x:t xml:space="preserve">default</x:t>
        </x:is>
      </x:c>
      <x:c r="J100" s="138" t="inlineStr">
        <x:is>
          <x:t xml:space="preserve">按事件复用</x:t>
        </x:is>
      </x:c>
      <x:c r="K100" s="138" t="inlineStr">
        <x:is>
          <x:t xml:space="preserve">待制作</x:t>
        </x:is>
      </x:c>
      <x:c r="L100" s="138" t="inlineStr">
        <x:is>
          <x:t xml:space="preserve">P2</x:t>
        </x:is>
      </x:c>
      <x:c r="M100" s="138" t="inlineStr">
        <x:is>
          <x:t xml:space="preserve">v001</x:t>
        </x:is>
      </x:c>
      <x:c r="N100" s="138" t="inlineStr">
        <x:is>
          <x:t xml:space="preserve">循环 WAV/OGG</x:t>
        </x:is>
      </x:c>
      <x:c r="O100" s="138" t="str"/>
      <x:c r="P100" s="138" t="inlineStr">
        <x:is>
          <x:t xml:space="preserve">bgm_wasteland.wav</x:t>
        </x:is>
      </x:c>
      <x:c r="Q100" s="138" t="str"/>
      <x:c r="R100" s="138" t="str">
        <x:f>LOWER(TRIM(C100)&amp;"|"&amp;TRIM(D100)&amp;"|"&amp;TRIM(E100)&amp;"|"&amp;TRIM(F100)&amp;"|"&amp;TRIM(H100)&amp;"|"&amp;TRIM(I100))</x:f>
        <x:v>音频|bgm|bgm_wasteland|root|不适用|default</x:v>
      </x:c>
      <x:c r="S100" s="138" t="str">
        <x:f>IF(COUNTIF($R$6:$R$423,R100)&gt;1,"重复","唯一")</x:f>
        <x:v>唯一</x:v>
      </x:c>
      <x:c r="T100" s="138" t="str"/>
      <x:c r="U100" s="138" t="inlineStr">
        <x:is>
          <x:t xml:space="preserve">待分配</x:t>
        </x:is>
      </x:c>
      <x:c r="V100" s="303" t="n">
        <x:v>46224</x:v>
      </x:c>
      <x:c r="W100" s="138" t="inlineStr">
        <x:is>
          <x:t xml:space="preserve">项目现有/待核对</x:t>
        </x:is>
      </x:c>
      <x:c r="X100" s="375" t="inlineStr">
        <x:is>
          <x:t xml:space="preserve">—</x:t>
        </x:is>
      </x:c>
      <x:c r="Y100" s="138" t="inlineStr">
        <x:is>
          <x:t xml:space="preserve">2026-08-30 AST-02：仓库未找到 bgm_wasteland.wav/.ogg，原“已完成”状态无文件证据，降级为待制作；不伪造路径或SHA。</x:t>
        </x:is>
      </x:c>
    </x:row>
    <x:row r="101">
      <x:c r="A101" s="138" t="inlineStr">
        <x:is>
          <x:t xml:space="preserve">AUD-PISTOL-FIRE</x:t>
        </x:is>
      </x:c>
      <x:c r="B101" s="138" t="inlineStr">
        <x:is>
          <x:t xml:space="preserve">手枪射击</x:t>
        </x:is>
      </x:c>
      <x:c r="C101" s="138" t="inlineStr">
        <x:is>
          <x:t xml:space="preserve">音频</x:t>
        </x:is>
      </x:c>
      <x:c r="D101" s="138" t="inlineStr">
        <x:is>
          <x:t xml:space="preserve">sfx</x:t>
        </x:is>
      </x:c>
      <x:c r="E101" s="138" t="inlineStr">
        <x:is>
          <x:t xml:space="preserve">pistol_fire</x:t>
        </x:is>
      </x:c>
      <x:c r="F101" s="138" t="inlineStr">
        <x:is>
          <x:t xml:space="preserve">root</x:t>
        </x:is>
      </x:c>
      <x:c r="G101" s="138" t="str"/>
      <x:c r="H101" s="138" t="inlineStr">
        <x:is>
          <x:t xml:space="preserve">不适用</x:t>
        </x:is>
      </x:c>
      <x:c r="I101" s="138" t="inlineStr">
        <x:is>
          <x:t xml:space="preserve">default</x:t>
        </x:is>
      </x:c>
      <x:c r="J101" s="138" t="inlineStr">
        <x:is>
          <x:t xml:space="preserve">按事件复用</x:t>
        </x:is>
      </x:c>
      <x:c r="K101" s="138" t="inlineStr">
        <x:is>
          <x:t xml:space="preserve">待制作</x:t>
        </x:is>
      </x:c>
      <x:c r="L101" s="138" t="inlineStr">
        <x:is>
          <x:t xml:space="preserve">P2</x:t>
        </x:is>
      </x:c>
      <x:c r="M101" s="138" t="inlineStr">
        <x:is>
          <x:t xml:space="preserve">v001</x:t>
        </x:is>
      </x:c>
      <x:c r="N101" s="138" t="inlineStr">
        <x:is>
          <x:t xml:space="preserve">0.1–2.0s WAV/OGG</x:t>
        </x:is>
      </x:c>
      <x:c r="O101" s="138" t="str"/>
      <x:c r="P101" s="138" t="inlineStr">
        <x:is>
          <x:t xml:space="preserve">src/core/AudioManager.gd</x:t>
        </x:is>
      </x:c>
      <x:c r="Q101" s="138" t="str"/>
      <x:c r="R101" s="138" t="str">
        <x:f>LOWER(TRIM(C101)&amp;"|"&amp;TRIM(D101)&amp;"|"&amp;TRIM(E101)&amp;"|"&amp;TRIM(F101)&amp;"|"&amp;TRIM(H101)&amp;"|"&amp;TRIM(I101))</x:f>
        <x:v>音频|sfx|pistol_fire|root|不适用|default</x:v>
      </x:c>
      <x:c r="S101" s="138" t="str">
        <x:f>IF(COUNTIF($R$6:$R$423,R101)&gt;1,"重复","唯一")</x:f>
        <x:v>唯一</x:v>
      </x:c>
      <x:c r="T101" s="138" t="str"/>
      <x:c r="U101" s="138" t="inlineStr">
        <x:is>
          <x:t xml:space="preserve">待分配</x:t>
        </x:is>
      </x:c>
      <x:c r="V101" s="303" t="n">
        <x:v>46224</x:v>
      </x:c>
      <x:c r="W101" s="138" t="inlineStr">
        <x:is>
          <x:t xml:space="preserve">原创/待确认</x:t>
        </x:is>
      </x:c>
      <x:c r="X101" s="375" t="inlineStr">
        <x:is>
          <x:t xml:space="preserve">—</x:t>
        </x:is>
      </x:c>
      <x:c r="Y101" s="138" t="n"/>
    </x:row>
    <x:row r="102">
      <x:c r="A102" s="138" t="inlineStr">
        <x:is>
          <x:t xml:space="preserve">AUD-RIFLE-FIRE</x:t>
        </x:is>
      </x:c>
      <x:c r="B102" s="138" t="inlineStr">
        <x:is>
          <x:t xml:space="preserve">步枪射击</x:t>
        </x:is>
      </x:c>
      <x:c r="C102" s="138" t="inlineStr">
        <x:is>
          <x:t xml:space="preserve">音频</x:t>
        </x:is>
      </x:c>
      <x:c r="D102" s="138" t="inlineStr">
        <x:is>
          <x:t xml:space="preserve">sfx</x:t>
        </x:is>
      </x:c>
      <x:c r="E102" s="138" t="inlineStr">
        <x:is>
          <x:t xml:space="preserve">rifle_fire</x:t>
        </x:is>
      </x:c>
      <x:c r="F102" s="138" t="inlineStr">
        <x:is>
          <x:t xml:space="preserve">root</x:t>
        </x:is>
      </x:c>
      <x:c r="G102" s="138" t="str"/>
      <x:c r="H102" s="138" t="inlineStr">
        <x:is>
          <x:t xml:space="preserve">不适用</x:t>
        </x:is>
      </x:c>
      <x:c r="I102" s="138" t="inlineStr">
        <x:is>
          <x:t xml:space="preserve">default</x:t>
        </x:is>
      </x:c>
      <x:c r="J102" s="138" t="inlineStr">
        <x:is>
          <x:t xml:space="preserve">按事件复用</x:t>
        </x:is>
      </x:c>
      <x:c r="K102" s="138" t="inlineStr">
        <x:is>
          <x:t xml:space="preserve">待制作</x:t>
        </x:is>
      </x:c>
      <x:c r="L102" s="138" t="inlineStr">
        <x:is>
          <x:t xml:space="preserve">P2</x:t>
        </x:is>
      </x:c>
      <x:c r="M102" s="138" t="inlineStr">
        <x:is>
          <x:t xml:space="preserve">v001</x:t>
        </x:is>
      </x:c>
      <x:c r="N102" s="138" t="inlineStr">
        <x:is>
          <x:t xml:space="preserve">0.1–2.0s WAV/OGG</x:t>
        </x:is>
      </x:c>
      <x:c r="O102" s="138" t="str"/>
      <x:c r="P102" s="138" t="inlineStr">
        <x:is>
          <x:t xml:space="preserve">src/core/AudioManager.gd</x:t>
        </x:is>
      </x:c>
      <x:c r="Q102" s="138" t="str"/>
      <x:c r="R102" s="138" t="str">
        <x:f>LOWER(TRIM(C102)&amp;"|"&amp;TRIM(D102)&amp;"|"&amp;TRIM(E102)&amp;"|"&amp;TRIM(F102)&amp;"|"&amp;TRIM(H102)&amp;"|"&amp;TRIM(I102))</x:f>
        <x:v>音频|sfx|rifle_fire|root|不适用|default</x:v>
      </x:c>
      <x:c r="S102" s="138" t="str">
        <x:f>IF(COUNTIF($R$6:$R$423,R102)&gt;1,"重复","唯一")</x:f>
        <x:v>唯一</x:v>
      </x:c>
      <x:c r="T102" s="138" t="str"/>
      <x:c r="U102" s="138" t="inlineStr">
        <x:is>
          <x:t xml:space="preserve">待分配</x:t>
        </x:is>
      </x:c>
      <x:c r="V102" s="303" t="n">
        <x:v>46224</x:v>
      </x:c>
      <x:c r="W102" s="138" t="inlineStr">
        <x:is>
          <x:t xml:space="preserve">原创/待确认</x:t>
        </x:is>
      </x:c>
      <x:c r="X102" s="375" t="inlineStr">
        <x:is>
          <x:t xml:space="preserve">—</x:t>
        </x:is>
      </x:c>
      <x:c r="Y102" s="138" t="n"/>
    </x:row>
    <x:row r="103">
      <x:c r="A103" s="138" t="inlineStr">
        <x:is>
          <x:t xml:space="preserve">AUD-SHOTGUN-FIRE</x:t>
        </x:is>
      </x:c>
      <x:c r="B103" s="138" t="inlineStr">
        <x:is>
          <x:t xml:space="preserve">霰弹枪射击</x:t>
        </x:is>
      </x:c>
      <x:c r="C103" s="138" t="inlineStr">
        <x:is>
          <x:t xml:space="preserve">音频</x:t>
        </x:is>
      </x:c>
      <x:c r="D103" s="138" t="inlineStr">
        <x:is>
          <x:t xml:space="preserve">sfx</x:t>
        </x:is>
      </x:c>
      <x:c r="E103" s="138" t="inlineStr">
        <x:is>
          <x:t xml:space="preserve">shotgun_fire</x:t>
        </x:is>
      </x:c>
      <x:c r="F103" s="138" t="inlineStr">
        <x:is>
          <x:t xml:space="preserve">root</x:t>
        </x:is>
      </x:c>
      <x:c r="G103" s="138" t="str"/>
      <x:c r="H103" s="138" t="inlineStr">
        <x:is>
          <x:t xml:space="preserve">不适用</x:t>
        </x:is>
      </x:c>
      <x:c r="I103" s="138" t="inlineStr">
        <x:is>
          <x:t xml:space="preserve">default</x:t>
        </x:is>
      </x:c>
      <x:c r="J103" s="138" t="inlineStr">
        <x:is>
          <x:t xml:space="preserve">按事件复用</x:t>
        </x:is>
      </x:c>
      <x:c r="K103" s="138" t="inlineStr">
        <x:is>
          <x:t xml:space="preserve">待制作</x:t>
        </x:is>
      </x:c>
      <x:c r="L103" s="138" t="inlineStr">
        <x:is>
          <x:t xml:space="preserve">P2</x:t>
        </x:is>
      </x:c>
      <x:c r="M103" s="138" t="inlineStr">
        <x:is>
          <x:t xml:space="preserve">v001</x:t>
        </x:is>
      </x:c>
      <x:c r="N103" s="138" t="inlineStr">
        <x:is>
          <x:t xml:space="preserve">0.1–2.0s WAV/OGG</x:t>
        </x:is>
      </x:c>
      <x:c r="O103" s="138" t="str"/>
      <x:c r="P103" s="138" t="inlineStr">
        <x:is>
          <x:t xml:space="preserve">src/core/AudioManager.gd</x:t>
        </x:is>
      </x:c>
      <x:c r="Q103" s="138" t="str"/>
      <x:c r="R103" s="138" t="str">
        <x:f>LOWER(TRIM(C103)&amp;"|"&amp;TRIM(D103)&amp;"|"&amp;TRIM(E103)&amp;"|"&amp;TRIM(F103)&amp;"|"&amp;TRIM(H103)&amp;"|"&amp;TRIM(I103))</x:f>
        <x:v>音频|sfx|shotgun_fire|root|不适用|default</x:v>
      </x:c>
      <x:c r="S103" s="138" t="str">
        <x:f>IF(COUNTIF($R$6:$R$423,R103)&gt;1,"重复","唯一")</x:f>
        <x:v>唯一</x:v>
      </x:c>
      <x:c r="T103" s="138" t="str"/>
      <x:c r="U103" s="138" t="inlineStr">
        <x:is>
          <x:t xml:space="preserve">待分配</x:t>
        </x:is>
      </x:c>
      <x:c r="V103" s="303" t="n">
        <x:v>46224</x:v>
      </x:c>
      <x:c r="W103" s="138" t="inlineStr">
        <x:is>
          <x:t xml:space="preserve">原创/待确认</x:t>
        </x:is>
      </x:c>
      <x:c r="X103" s="375" t="inlineStr">
        <x:is>
          <x:t xml:space="preserve">—</x:t>
        </x:is>
      </x:c>
      <x:c r="Y103" s="138" t="n"/>
    </x:row>
    <x:row r="104">
      <x:c r="A104" s="138" t="inlineStr">
        <x:is>
          <x:t xml:space="preserve">AUD-SMG-FIRE</x:t>
        </x:is>
      </x:c>
      <x:c r="B104" s="138" t="inlineStr">
        <x:is>
          <x:t xml:space="preserve">机枪射击</x:t>
        </x:is>
      </x:c>
      <x:c r="C104" s="138" t="inlineStr">
        <x:is>
          <x:t xml:space="preserve">音频</x:t>
        </x:is>
      </x:c>
      <x:c r="D104" s="138" t="inlineStr">
        <x:is>
          <x:t xml:space="preserve">sfx</x:t>
        </x:is>
      </x:c>
      <x:c r="E104" s="138" t="inlineStr">
        <x:is>
          <x:t xml:space="preserve">smg_fire</x:t>
        </x:is>
      </x:c>
      <x:c r="F104" s="138" t="inlineStr">
        <x:is>
          <x:t xml:space="preserve">root</x:t>
        </x:is>
      </x:c>
      <x:c r="G104" s="138" t="str"/>
      <x:c r="H104" s="138" t="inlineStr">
        <x:is>
          <x:t xml:space="preserve">不适用</x:t>
        </x:is>
      </x:c>
      <x:c r="I104" s="138" t="inlineStr">
        <x:is>
          <x:t xml:space="preserve">default</x:t>
        </x:is>
      </x:c>
      <x:c r="J104" s="138" t="inlineStr">
        <x:is>
          <x:t xml:space="preserve">按事件复用</x:t>
        </x:is>
      </x:c>
      <x:c r="K104" s="138" t="inlineStr">
        <x:is>
          <x:t xml:space="preserve">待制作</x:t>
        </x:is>
      </x:c>
      <x:c r="L104" s="138" t="inlineStr">
        <x:is>
          <x:t xml:space="preserve">P2</x:t>
        </x:is>
      </x:c>
      <x:c r="M104" s="138" t="inlineStr">
        <x:is>
          <x:t xml:space="preserve">v001</x:t>
        </x:is>
      </x:c>
      <x:c r="N104" s="138" t="inlineStr">
        <x:is>
          <x:t xml:space="preserve">0.1–2.0s WAV/OGG</x:t>
        </x:is>
      </x:c>
      <x:c r="O104" s="138" t="str"/>
      <x:c r="P104" s="138" t="inlineStr">
        <x:is>
          <x:t xml:space="preserve">src/core/AudioManager.gd</x:t>
        </x:is>
      </x:c>
      <x:c r="Q104" s="138" t="str"/>
      <x:c r="R104" s="138" t="str">
        <x:f>LOWER(TRIM(C104)&amp;"|"&amp;TRIM(D104)&amp;"|"&amp;TRIM(E104)&amp;"|"&amp;TRIM(F104)&amp;"|"&amp;TRIM(H104)&amp;"|"&amp;TRIM(I104))</x:f>
        <x:v>音频|sfx|smg_fire|root|不适用|default</x:v>
      </x:c>
      <x:c r="S104" s="138" t="str">
        <x:f>IF(COUNTIF($R$6:$R$423,R104)&gt;1,"重复","唯一")</x:f>
        <x:v>唯一</x:v>
      </x:c>
      <x:c r="T104" s="138" t="str"/>
      <x:c r="U104" s="138" t="inlineStr">
        <x:is>
          <x:t xml:space="preserve">待分配</x:t>
        </x:is>
      </x:c>
      <x:c r="V104" s="303" t="n">
        <x:v>46224</x:v>
      </x:c>
      <x:c r="W104" s="138" t="inlineStr">
        <x:is>
          <x:t xml:space="preserve">原创/待确认</x:t>
        </x:is>
      </x:c>
      <x:c r="X104" s="375" t="inlineStr">
        <x:is>
          <x:t xml:space="preserve">—</x:t>
        </x:is>
      </x:c>
      <x:c r="Y104" s="138" t="n"/>
    </x:row>
    <x:row r="105">
      <x:c r="A105" s="138" t="inlineStr">
        <x:is>
          <x:t xml:space="preserve">AUD-SNIPER-FIRE</x:t>
        </x:is>
      </x:c>
      <x:c r="B105" s="138" t="inlineStr">
        <x:is>
          <x:t xml:space="preserve">狙击射击</x:t>
        </x:is>
      </x:c>
      <x:c r="C105" s="138" t="inlineStr">
        <x:is>
          <x:t xml:space="preserve">音频</x:t>
        </x:is>
      </x:c>
      <x:c r="D105" s="138" t="inlineStr">
        <x:is>
          <x:t xml:space="preserve">sfx</x:t>
        </x:is>
      </x:c>
      <x:c r="E105" s="138" t="inlineStr">
        <x:is>
          <x:t xml:space="preserve">sniper_fire</x:t>
        </x:is>
      </x:c>
      <x:c r="F105" s="138" t="inlineStr">
        <x:is>
          <x:t xml:space="preserve">root</x:t>
        </x:is>
      </x:c>
      <x:c r="G105" s="138" t="str"/>
      <x:c r="H105" s="138" t="inlineStr">
        <x:is>
          <x:t xml:space="preserve">不适用</x:t>
        </x:is>
      </x:c>
      <x:c r="I105" s="138" t="inlineStr">
        <x:is>
          <x:t xml:space="preserve">default</x:t>
        </x:is>
      </x:c>
      <x:c r="J105" s="138" t="inlineStr">
        <x:is>
          <x:t xml:space="preserve">按事件复用</x:t>
        </x:is>
      </x:c>
      <x:c r="K105" s="138" t="inlineStr">
        <x:is>
          <x:t xml:space="preserve">待制作</x:t>
        </x:is>
      </x:c>
      <x:c r="L105" s="138" t="inlineStr">
        <x:is>
          <x:t xml:space="preserve">P2</x:t>
        </x:is>
      </x:c>
      <x:c r="M105" s="138" t="inlineStr">
        <x:is>
          <x:t xml:space="preserve">v001</x:t>
        </x:is>
      </x:c>
      <x:c r="N105" s="138" t="inlineStr">
        <x:is>
          <x:t xml:space="preserve">0.1–2.0s WAV/OGG</x:t>
        </x:is>
      </x:c>
      <x:c r="O105" s="138" t="str"/>
      <x:c r="P105" s="138" t="inlineStr">
        <x:is>
          <x:t xml:space="preserve">src/core/AudioManager.gd</x:t>
        </x:is>
      </x:c>
      <x:c r="Q105" s="138" t="str"/>
      <x:c r="R105" s="138" t="str">
        <x:f>LOWER(TRIM(C105)&amp;"|"&amp;TRIM(D105)&amp;"|"&amp;TRIM(E105)&amp;"|"&amp;TRIM(F105)&amp;"|"&amp;TRIM(H105)&amp;"|"&amp;TRIM(I105))</x:f>
        <x:v>音频|sfx|sniper_fire|root|不适用|default</x:v>
      </x:c>
      <x:c r="S105" s="138" t="str">
        <x:f>IF(COUNTIF($R$6:$R$423,R105)&gt;1,"重复","唯一")</x:f>
        <x:v>唯一</x:v>
      </x:c>
      <x:c r="T105" s="138" t="str"/>
      <x:c r="U105" s="138" t="inlineStr">
        <x:is>
          <x:t xml:space="preserve">待分配</x:t>
        </x:is>
      </x:c>
      <x:c r="V105" s="303" t="n">
        <x:v>46224</x:v>
      </x:c>
      <x:c r="W105" s="138" t="inlineStr">
        <x:is>
          <x:t xml:space="preserve">原创/待确认</x:t>
        </x:is>
      </x:c>
      <x:c r="X105" s="375" t="inlineStr">
        <x:is>
          <x:t xml:space="preserve">—</x:t>
        </x:is>
      </x:c>
      <x:c r="Y105" s="138" t="n"/>
    </x:row>
    <x:row r="106">
      <x:c r="A106" s="138" t="inlineStr">
        <x:is>
          <x:t xml:space="preserve">AUD-PLAYER-HIT</x:t>
        </x:is>
      </x:c>
      <x:c r="B106" s="138" t="inlineStr">
        <x:is>
          <x:t xml:space="preserve">玩家受击</x:t>
        </x:is>
      </x:c>
      <x:c r="C106" s="138" t="inlineStr">
        <x:is>
          <x:t xml:space="preserve">音频</x:t>
        </x:is>
      </x:c>
      <x:c r="D106" s="138" t="inlineStr">
        <x:is>
          <x:t xml:space="preserve">sfx</x:t>
        </x:is>
      </x:c>
      <x:c r="E106" s="138" t="inlineStr">
        <x:is>
          <x:t xml:space="preserve">player_hit</x:t>
        </x:is>
      </x:c>
      <x:c r="F106" s="138" t="inlineStr">
        <x:is>
          <x:t xml:space="preserve">root</x:t>
        </x:is>
      </x:c>
      <x:c r="G106" s="138" t="str"/>
      <x:c r="H106" s="138" t="inlineStr">
        <x:is>
          <x:t xml:space="preserve">不适用</x:t>
        </x:is>
      </x:c>
      <x:c r="I106" s="138" t="inlineStr">
        <x:is>
          <x:t xml:space="preserve">default</x:t>
        </x:is>
      </x:c>
      <x:c r="J106" s="138" t="inlineStr">
        <x:is>
          <x:t xml:space="preserve">按事件复用</x:t>
        </x:is>
      </x:c>
      <x:c r="K106" s="138" t="inlineStr">
        <x:is>
          <x:t xml:space="preserve">待制作</x:t>
        </x:is>
      </x:c>
      <x:c r="L106" s="138" t="inlineStr">
        <x:is>
          <x:t xml:space="preserve">P2</x:t>
        </x:is>
      </x:c>
      <x:c r="M106" s="138" t="inlineStr">
        <x:is>
          <x:t xml:space="preserve">v001</x:t>
        </x:is>
      </x:c>
      <x:c r="N106" s="138" t="inlineStr">
        <x:is>
          <x:t xml:space="preserve">0.1–2.0s WAV/OGG</x:t>
        </x:is>
      </x:c>
      <x:c r="O106" s="138" t="str"/>
      <x:c r="P106" s="138" t="inlineStr">
        <x:is>
          <x:t xml:space="preserve">src/core/AudioManager.gd</x:t>
        </x:is>
      </x:c>
      <x:c r="Q106" s="138" t="str"/>
      <x:c r="R106" s="138" t="str">
        <x:f>LOWER(TRIM(C106)&amp;"|"&amp;TRIM(D106)&amp;"|"&amp;TRIM(E106)&amp;"|"&amp;TRIM(F106)&amp;"|"&amp;TRIM(H106)&amp;"|"&amp;TRIM(I106))</x:f>
        <x:v>音频|sfx|player_hit|root|不适用|default</x:v>
      </x:c>
      <x:c r="S106" s="138" t="str">
        <x:f>IF(COUNTIF($R$6:$R$423,R106)&gt;1,"重复","唯一")</x:f>
        <x:v>唯一</x:v>
      </x:c>
      <x:c r="T106" s="138" t="str"/>
      <x:c r="U106" s="138" t="inlineStr">
        <x:is>
          <x:t xml:space="preserve">待分配</x:t>
        </x:is>
      </x:c>
      <x:c r="V106" s="303" t="n">
        <x:v>46224</x:v>
      </x:c>
      <x:c r="W106" s="138" t="inlineStr">
        <x:is>
          <x:t xml:space="preserve">原创/待确认</x:t>
        </x:is>
      </x:c>
      <x:c r="X106" s="375" t="inlineStr">
        <x:is>
          <x:t xml:space="preserve">—</x:t>
        </x:is>
      </x:c>
      <x:c r="Y106" s="138" t="n"/>
    </x:row>
    <x:row r="107">
      <x:c r="A107" s="138" t="inlineStr">
        <x:is>
          <x:t xml:space="preserve">AUD-PLAYER-DASH</x:t>
        </x:is>
      </x:c>
      <x:c r="B107" s="138" t="inlineStr">
        <x:is>
          <x:t xml:space="preserve">玩家冲刺</x:t>
        </x:is>
      </x:c>
      <x:c r="C107" s="138" t="inlineStr">
        <x:is>
          <x:t xml:space="preserve">音频</x:t>
        </x:is>
      </x:c>
      <x:c r="D107" s="138" t="inlineStr">
        <x:is>
          <x:t xml:space="preserve">sfx</x:t>
        </x:is>
      </x:c>
      <x:c r="E107" s="138" t="inlineStr">
        <x:is>
          <x:t xml:space="preserve">player_dash</x:t>
        </x:is>
      </x:c>
      <x:c r="F107" s="138" t="inlineStr">
        <x:is>
          <x:t xml:space="preserve">root</x:t>
        </x:is>
      </x:c>
      <x:c r="G107" s="138" t="str"/>
      <x:c r="H107" s="138" t="inlineStr">
        <x:is>
          <x:t xml:space="preserve">不适用</x:t>
        </x:is>
      </x:c>
      <x:c r="I107" s="138" t="inlineStr">
        <x:is>
          <x:t xml:space="preserve">default</x:t>
        </x:is>
      </x:c>
      <x:c r="J107" s="138" t="inlineStr">
        <x:is>
          <x:t xml:space="preserve">按事件复用</x:t>
        </x:is>
      </x:c>
      <x:c r="K107" s="138" t="inlineStr">
        <x:is>
          <x:t xml:space="preserve">待制作</x:t>
        </x:is>
      </x:c>
      <x:c r="L107" s="138" t="inlineStr">
        <x:is>
          <x:t xml:space="preserve">P2</x:t>
        </x:is>
      </x:c>
      <x:c r="M107" s="138" t="inlineStr">
        <x:is>
          <x:t xml:space="preserve">v001</x:t>
        </x:is>
      </x:c>
      <x:c r="N107" s="138" t="inlineStr">
        <x:is>
          <x:t xml:space="preserve">0.1–2.0s WAV/OGG</x:t>
        </x:is>
      </x:c>
      <x:c r="O107" s="138" t="str"/>
      <x:c r="P107" s="138" t="inlineStr">
        <x:is>
          <x:t xml:space="preserve">src/core/AudioManager.gd</x:t>
        </x:is>
      </x:c>
      <x:c r="Q107" s="138" t="str"/>
      <x:c r="R107" s="138" t="str">
        <x:f>LOWER(TRIM(C107)&amp;"|"&amp;TRIM(D107)&amp;"|"&amp;TRIM(E107)&amp;"|"&amp;TRIM(F107)&amp;"|"&amp;TRIM(H107)&amp;"|"&amp;TRIM(I107))</x:f>
        <x:v>音频|sfx|player_dash|root|不适用|default</x:v>
      </x:c>
      <x:c r="S107" s="138" t="str">
        <x:f>IF(COUNTIF($R$6:$R$423,R107)&gt;1,"重复","唯一")</x:f>
        <x:v>唯一</x:v>
      </x:c>
      <x:c r="T107" s="138" t="str"/>
      <x:c r="U107" s="138" t="inlineStr">
        <x:is>
          <x:t xml:space="preserve">待分配</x:t>
        </x:is>
      </x:c>
      <x:c r="V107" s="303" t="n">
        <x:v>46224</x:v>
      </x:c>
      <x:c r="W107" s="138" t="inlineStr">
        <x:is>
          <x:t xml:space="preserve">原创/待确认</x:t>
        </x:is>
      </x:c>
      <x:c r="X107" s="375" t="inlineStr">
        <x:is>
          <x:t xml:space="preserve">—</x:t>
        </x:is>
      </x:c>
      <x:c r="Y107" s="138" t="n"/>
    </x:row>
    <x:row r="108">
      <x:c r="A108" s="138" t="inlineStr">
        <x:is>
          <x:t xml:space="preserve">AUD-ENEMY-HIT</x:t>
        </x:is>
      </x:c>
      <x:c r="B108" s="138" t="inlineStr">
        <x:is>
          <x:t xml:space="preserve">敌人受击</x:t>
        </x:is>
      </x:c>
      <x:c r="C108" s="138" t="inlineStr">
        <x:is>
          <x:t xml:space="preserve">音频</x:t>
        </x:is>
      </x:c>
      <x:c r="D108" s="138" t="inlineStr">
        <x:is>
          <x:t xml:space="preserve">sfx</x:t>
        </x:is>
      </x:c>
      <x:c r="E108" s="138" t="inlineStr">
        <x:is>
          <x:t xml:space="preserve">enemy_hit</x:t>
        </x:is>
      </x:c>
      <x:c r="F108" s="138" t="inlineStr">
        <x:is>
          <x:t xml:space="preserve">root</x:t>
        </x:is>
      </x:c>
      <x:c r="G108" s="138" t="str"/>
      <x:c r="H108" s="138" t="inlineStr">
        <x:is>
          <x:t xml:space="preserve">不适用</x:t>
        </x:is>
      </x:c>
      <x:c r="I108" s="138" t="inlineStr">
        <x:is>
          <x:t xml:space="preserve">default</x:t>
        </x:is>
      </x:c>
      <x:c r="J108" s="138" t="inlineStr">
        <x:is>
          <x:t xml:space="preserve">按事件复用</x:t>
        </x:is>
      </x:c>
      <x:c r="K108" s="138" t="inlineStr">
        <x:is>
          <x:t xml:space="preserve">待制作</x:t>
        </x:is>
      </x:c>
      <x:c r="L108" s="138" t="inlineStr">
        <x:is>
          <x:t xml:space="preserve">P2</x:t>
        </x:is>
      </x:c>
      <x:c r="M108" s="138" t="inlineStr">
        <x:is>
          <x:t xml:space="preserve">v001</x:t>
        </x:is>
      </x:c>
      <x:c r="N108" s="138" t="inlineStr">
        <x:is>
          <x:t xml:space="preserve">0.1–2.0s WAV/OGG</x:t>
        </x:is>
      </x:c>
      <x:c r="O108" s="138" t="str"/>
      <x:c r="P108" s="138" t="inlineStr">
        <x:is>
          <x:t xml:space="preserve">src/core/AudioManager.gd</x:t>
        </x:is>
      </x:c>
      <x:c r="Q108" s="138" t="str"/>
      <x:c r="R108" s="138" t="str">
        <x:f>LOWER(TRIM(C108)&amp;"|"&amp;TRIM(D108)&amp;"|"&amp;TRIM(E108)&amp;"|"&amp;TRIM(F108)&amp;"|"&amp;TRIM(H108)&amp;"|"&amp;TRIM(I108))</x:f>
        <x:v>音频|sfx|enemy_hit|root|不适用|default</x:v>
      </x:c>
      <x:c r="S108" s="138" t="str">
        <x:f>IF(COUNTIF($R$6:$R$423,R108)&gt;1,"重复","唯一")</x:f>
        <x:v>唯一</x:v>
      </x:c>
      <x:c r="T108" s="138" t="str"/>
      <x:c r="U108" s="138" t="inlineStr">
        <x:is>
          <x:t xml:space="preserve">待分配</x:t>
        </x:is>
      </x:c>
      <x:c r="V108" s="303" t="n">
        <x:v>46224</x:v>
      </x:c>
      <x:c r="W108" s="138" t="inlineStr">
        <x:is>
          <x:t xml:space="preserve">原创/待确认</x:t>
        </x:is>
      </x:c>
      <x:c r="X108" s="375" t="inlineStr">
        <x:is>
          <x:t xml:space="preserve">—</x:t>
        </x:is>
      </x:c>
      <x:c r="Y108" s="138" t="n"/>
    </x:row>
    <x:row r="109">
      <x:c r="A109" s="138" t="inlineStr">
        <x:is>
          <x:t xml:space="preserve">AUD-ENEMY-DIE</x:t>
        </x:is>
      </x:c>
      <x:c r="B109" s="138" t="inlineStr">
        <x:is>
          <x:t xml:space="preserve">敌人死亡</x:t>
        </x:is>
      </x:c>
      <x:c r="C109" s="138" t="inlineStr">
        <x:is>
          <x:t xml:space="preserve">音频</x:t>
        </x:is>
      </x:c>
      <x:c r="D109" s="138" t="inlineStr">
        <x:is>
          <x:t xml:space="preserve">sfx</x:t>
        </x:is>
      </x:c>
      <x:c r="E109" s="138" t="inlineStr">
        <x:is>
          <x:t xml:space="preserve">enemy_die</x:t>
        </x:is>
      </x:c>
      <x:c r="F109" s="138" t="inlineStr">
        <x:is>
          <x:t xml:space="preserve">root</x:t>
        </x:is>
      </x:c>
      <x:c r="G109" s="138" t="str"/>
      <x:c r="H109" s="138" t="inlineStr">
        <x:is>
          <x:t xml:space="preserve">不适用</x:t>
        </x:is>
      </x:c>
      <x:c r="I109" s="138" t="inlineStr">
        <x:is>
          <x:t xml:space="preserve">default</x:t>
        </x:is>
      </x:c>
      <x:c r="J109" s="138" t="inlineStr">
        <x:is>
          <x:t xml:space="preserve">按事件复用</x:t>
        </x:is>
      </x:c>
      <x:c r="K109" s="138" t="inlineStr">
        <x:is>
          <x:t xml:space="preserve">待制作</x:t>
        </x:is>
      </x:c>
      <x:c r="L109" s="138" t="inlineStr">
        <x:is>
          <x:t xml:space="preserve">P2</x:t>
        </x:is>
      </x:c>
      <x:c r="M109" s="138" t="inlineStr">
        <x:is>
          <x:t xml:space="preserve">v001</x:t>
        </x:is>
      </x:c>
      <x:c r="N109" s="138" t="inlineStr">
        <x:is>
          <x:t xml:space="preserve">0.1–2.0s WAV/OGG</x:t>
        </x:is>
      </x:c>
      <x:c r="O109" s="138" t="str"/>
      <x:c r="P109" s="138" t="inlineStr">
        <x:is>
          <x:t xml:space="preserve">src/core/AudioManager.gd</x:t>
        </x:is>
      </x:c>
      <x:c r="Q109" s="138" t="str"/>
      <x:c r="R109" s="138" t="str">
        <x:f>LOWER(TRIM(C109)&amp;"|"&amp;TRIM(D109)&amp;"|"&amp;TRIM(E109)&amp;"|"&amp;TRIM(F109)&amp;"|"&amp;TRIM(H109)&amp;"|"&amp;TRIM(I109))</x:f>
        <x:v>音频|sfx|enemy_die|root|不适用|default</x:v>
      </x:c>
      <x:c r="S109" s="138" t="str">
        <x:f>IF(COUNTIF($R$6:$R$423,R109)&gt;1,"重复","唯一")</x:f>
        <x:v>唯一</x:v>
      </x:c>
      <x:c r="T109" s="138" t="str"/>
      <x:c r="U109" s="138" t="inlineStr">
        <x:is>
          <x:t xml:space="preserve">待分配</x:t>
        </x:is>
      </x:c>
      <x:c r="V109" s="303" t="n">
        <x:v>46224</x:v>
      </x:c>
      <x:c r="W109" s="138" t="inlineStr">
        <x:is>
          <x:t xml:space="preserve">原创/待确认</x:t>
        </x:is>
      </x:c>
      <x:c r="X109" s="375" t="inlineStr">
        <x:is>
          <x:t xml:space="preserve">—</x:t>
        </x:is>
      </x:c>
      <x:c r="Y109" s="138" t="n"/>
    </x:row>
    <x:row r="110">
      <x:c r="A110" s="138" t="inlineStr">
        <x:is>
          <x:t xml:space="preserve">AUD-RELOAD</x:t>
        </x:is>
      </x:c>
      <x:c r="B110" s="138" t="inlineStr">
        <x:is>
          <x:t xml:space="preserve">换弹</x:t>
        </x:is>
      </x:c>
      <x:c r="C110" s="138" t="inlineStr">
        <x:is>
          <x:t xml:space="preserve">音频</x:t>
        </x:is>
      </x:c>
      <x:c r="D110" s="138" t="inlineStr">
        <x:is>
          <x:t xml:space="preserve">sfx</x:t>
        </x:is>
      </x:c>
      <x:c r="E110" s="138" t="inlineStr">
        <x:is>
          <x:t xml:space="preserve">reload</x:t>
        </x:is>
      </x:c>
      <x:c r="F110" s="138" t="inlineStr">
        <x:is>
          <x:t xml:space="preserve">root</x:t>
        </x:is>
      </x:c>
      <x:c r="G110" s="138" t="str"/>
      <x:c r="H110" s="138" t="inlineStr">
        <x:is>
          <x:t xml:space="preserve">不适用</x:t>
        </x:is>
      </x:c>
      <x:c r="I110" s="138" t="inlineStr">
        <x:is>
          <x:t xml:space="preserve">default</x:t>
        </x:is>
      </x:c>
      <x:c r="J110" s="138" t="inlineStr">
        <x:is>
          <x:t xml:space="preserve">按事件复用</x:t>
        </x:is>
      </x:c>
      <x:c r="K110" s="138" t="inlineStr">
        <x:is>
          <x:t xml:space="preserve">待制作</x:t>
        </x:is>
      </x:c>
      <x:c r="L110" s="138" t="inlineStr">
        <x:is>
          <x:t xml:space="preserve">P2</x:t>
        </x:is>
      </x:c>
      <x:c r="M110" s="138" t="inlineStr">
        <x:is>
          <x:t xml:space="preserve">v001</x:t>
        </x:is>
      </x:c>
      <x:c r="N110" s="138" t="inlineStr">
        <x:is>
          <x:t xml:space="preserve">0.1–2.0s WAV/OGG</x:t>
        </x:is>
      </x:c>
      <x:c r="O110" s="138" t="str"/>
      <x:c r="P110" s="138" t="inlineStr">
        <x:is>
          <x:t xml:space="preserve">src/core/AudioManager.gd</x:t>
        </x:is>
      </x:c>
      <x:c r="Q110" s="138" t="str"/>
      <x:c r="R110" s="138" t="str">
        <x:f>LOWER(TRIM(C110)&amp;"|"&amp;TRIM(D110)&amp;"|"&amp;TRIM(E110)&amp;"|"&amp;TRIM(F110)&amp;"|"&amp;TRIM(H110)&amp;"|"&amp;TRIM(I110))</x:f>
        <x:v>音频|sfx|reload|root|不适用|default</x:v>
      </x:c>
      <x:c r="S110" s="138" t="str">
        <x:f>IF(COUNTIF($R$6:$R$423,R110)&gt;1,"重复","唯一")</x:f>
        <x:v>唯一</x:v>
      </x:c>
      <x:c r="T110" s="138" t="str"/>
      <x:c r="U110" s="138" t="inlineStr">
        <x:is>
          <x:t xml:space="preserve">待分配</x:t>
        </x:is>
      </x:c>
      <x:c r="V110" s="303" t="n">
        <x:v>46224</x:v>
      </x:c>
      <x:c r="W110" s="138" t="inlineStr">
        <x:is>
          <x:t xml:space="preserve">原创/待确认</x:t>
        </x:is>
      </x:c>
      <x:c r="X110" s="375" t="inlineStr">
        <x:is>
          <x:t xml:space="preserve">—</x:t>
        </x:is>
      </x:c>
      <x:c r="Y110" s="138" t="n"/>
    </x:row>
    <x:row r="111">
      <x:c r="A111" s="138" t="inlineStr">
        <x:is>
          <x:t xml:space="preserve">AUD-EXTRACTION-START</x:t>
        </x:is>
      </x:c>
      <x:c r="B111" s="138" t="inlineStr">
        <x:is>
          <x:t xml:space="preserve">撤离启动</x:t>
        </x:is>
      </x:c>
      <x:c r="C111" s="138" t="inlineStr">
        <x:is>
          <x:t xml:space="preserve">音频</x:t>
        </x:is>
      </x:c>
      <x:c r="D111" s="138" t="inlineStr">
        <x:is>
          <x:t xml:space="preserve">sfx</x:t>
        </x:is>
      </x:c>
      <x:c r="E111" s="138" t="inlineStr">
        <x:is>
          <x:t xml:space="preserve">extraction_start</x:t>
        </x:is>
      </x:c>
      <x:c r="F111" s="138" t="inlineStr">
        <x:is>
          <x:t xml:space="preserve">root</x:t>
        </x:is>
      </x:c>
      <x:c r="G111" s="138" t="str"/>
      <x:c r="H111" s="138" t="inlineStr">
        <x:is>
          <x:t xml:space="preserve">不适用</x:t>
        </x:is>
      </x:c>
      <x:c r="I111" s="138" t="inlineStr">
        <x:is>
          <x:t xml:space="preserve">default</x:t>
        </x:is>
      </x:c>
      <x:c r="J111" s="138" t="inlineStr">
        <x:is>
          <x:t xml:space="preserve">按事件复用</x:t>
        </x:is>
      </x:c>
      <x:c r="K111" s="138" t="inlineStr">
        <x:is>
          <x:t xml:space="preserve">待制作</x:t>
        </x:is>
      </x:c>
      <x:c r="L111" s="138" t="inlineStr">
        <x:is>
          <x:t xml:space="preserve">P2</x:t>
        </x:is>
      </x:c>
      <x:c r="M111" s="138" t="inlineStr">
        <x:is>
          <x:t xml:space="preserve">v001</x:t>
        </x:is>
      </x:c>
      <x:c r="N111" s="138" t="inlineStr">
        <x:is>
          <x:t xml:space="preserve">0.1–2.0s WAV/OGG</x:t>
        </x:is>
      </x:c>
      <x:c r="O111" s="138" t="str"/>
      <x:c r="P111" s="138" t="inlineStr">
        <x:is>
          <x:t xml:space="preserve">src/core/AudioManager.gd</x:t>
        </x:is>
      </x:c>
      <x:c r="Q111" s="138" t="str"/>
      <x:c r="R111" s="138" t="str">
        <x:f>LOWER(TRIM(C111)&amp;"|"&amp;TRIM(D111)&amp;"|"&amp;TRIM(E111)&amp;"|"&amp;TRIM(F111)&amp;"|"&amp;TRIM(H111)&amp;"|"&amp;TRIM(I111))</x:f>
        <x:v>音频|sfx|extraction_start|root|不适用|default</x:v>
      </x:c>
      <x:c r="S111" s="138" t="str">
        <x:f>IF(COUNTIF($R$6:$R$423,R111)&gt;1,"重复","唯一")</x:f>
        <x:v>唯一</x:v>
      </x:c>
      <x:c r="T111" s="138" t="str"/>
      <x:c r="U111" s="138" t="inlineStr">
        <x:is>
          <x:t xml:space="preserve">待分配</x:t>
        </x:is>
      </x:c>
      <x:c r="V111" s="303" t="n">
        <x:v>46224</x:v>
      </x:c>
      <x:c r="W111" s="138" t="inlineStr">
        <x:is>
          <x:t xml:space="preserve">原创/待确认</x:t>
        </x:is>
      </x:c>
      <x:c r="X111" s="375" t="inlineStr">
        <x:is>
          <x:t xml:space="preserve">—</x:t>
        </x:is>
      </x:c>
      <x:c r="Y111" s="138" t="n"/>
    </x:row>
    <x:row r="112">
      <x:c r="A112" s="138" t="inlineStr">
        <x:is>
          <x:t xml:space="preserve">AUD-EXTRACTION-DONE</x:t>
        </x:is>
      </x:c>
      <x:c r="B112" s="138" t="inlineStr">
        <x:is>
          <x:t xml:space="preserve">撤离完成</x:t>
        </x:is>
      </x:c>
      <x:c r="C112" s="138" t="inlineStr">
        <x:is>
          <x:t xml:space="preserve">音频</x:t>
        </x:is>
      </x:c>
      <x:c r="D112" s="138" t="inlineStr">
        <x:is>
          <x:t xml:space="preserve">sfx</x:t>
        </x:is>
      </x:c>
      <x:c r="E112" s="138" t="inlineStr">
        <x:is>
          <x:t xml:space="preserve">extraction_done</x:t>
        </x:is>
      </x:c>
      <x:c r="F112" s="138" t="inlineStr">
        <x:is>
          <x:t xml:space="preserve">root</x:t>
        </x:is>
      </x:c>
      <x:c r="G112" s="138" t="str"/>
      <x:c r="H112" s="138" t="inlineStr">
        <x:is>
          <x:t xml:space="preserve">不适用</x:t>
        </x:is>
      </x:c>
      <x:c r="I112" s="138" t="inlineStr">
        <x:is>
          <x:t xml:space="preserve">default</x:t>
        </x:is>
      </x:c>
      <x:c r="J112" s="138" t="inlineStr">
        <x:is>
          <x:t xml:space="preserve">按事件复用</x:t>
        </x:is>
      </x:c>
      <x:c r="K112" s="138" t="inlineStr">
        <x:is>
          <x:t xml:space="preserve">待制作</x:t>
        </x:is>
      </x:c>
      <x:c r="L112" s="138" t="inlineStr">
        <x:is>
          <x:t xml:space="preserve">P2</x:t>
        </x:is>
      </x:c>
      <x:c r="M112" s="138" t="inlineStr">
        <x:is>
          <x:t xml:space="preserve">v001</x:t>
        </x:is>
      </x:c>
      <x:c r="N112" s="138" t="inlineStr">
        <x:is>
          <x:t xml:space="preserve">0.1–2.0s WAV/OGG</x:t>
        </x:is>
      </x:c>
      <x:c r="O112" s="138" t="str"/>
      <x:c r="P112" s="138" t="inlineStr">
        <x:is>
          <x:t xml:space="preserve">src/core/AudioManager.gd</x:t>
        </x:is>
      </x:c>
      <x:c r="Q112" s="138" t="str"/>
      <x:c r="R112" s="138" t="str">
        <x:f>LOWER(TRIM(C112)&amp;"|"&amp;TRIM(D112)&amp;"|"&amp;TRIM(E112)&amp;"|"&amp;TRIM(F112)&amp;"|"&amp;TRIM(H112)&amp;"|"&amp;TRIM(I112))</x:f>
        <x:v>音频|sfx|extraction_done|root|不适用|default</x:v>
      </x:c>
      <x:c r="S112" s="138" t="str">
        <x:f>IF(COUNTIF($R$6:$R$423,R112)&gt;1,"重复","唯一")</x:f>
        <x:v>唯一</x:v>
      </x:c>
      <x:c r="T112" s="138" t="str"/>
      <x:c r="U112" s="138" t="inlineStr">
        <x:is>
          <x:t xml:space="preserve">待分配</x:t>
        </x:is>
      </x:c>
      <x:c r="V112" s="303" t="n">
        <x:v>46224</x:v>
      </x:c>
      <x:c r="W112" s="138" t="inlineStr">
        <x:is>
          <x:t xml:space="preserve">原创/待确认</x:t>
        </x:is>
      </x:c>
      <x:c r="X112" s="375" t="inlineStr">
        <x:is>
          <x:t xml:space="preserve">—</x:t>
        </x:is>
      </x:c>
      <x:c r="Y112" s="138" t="n"/>
    </x:row>
    <x:row r="113" ht="155" customHeight="1">
      <x:c r="A113" s="364" t="inlineStr">
        <x:is>
          <x:t xml:space="preserve">ENV-BASE99-FLOOR-DETAILS-V017</x:t>
        </x:is>
      </x:c>
      <x:c r="B113" s="364" t="inlineStr">
        <x:is>
          <x:t xml:space="preserve">基地99层完整地板替换 V021</x:t>
        </x:is>
      </x:c>
      <x:c r="C113" s="364" t="inlineStr">
        <x:is>
          <x:t xml:space="preserve">场景</x:t>
        </x:is>
      </x:c>
      <x:c r="D113" s="364" t="inlineStr">
        <x:is>
          <x:t xml:space="preserve">environment_module_3d</x:t>
        </x:is>
      </x:c>
      <x:c r="E113" s="364" t="inlineStr">
        <x:is>
          <x:t xml:space="preserve">base99_floor_full_replacement_v021</x:t>
        </x:is>
      </x:c>
      <x:c r="F113" s="364" t="inlineStr">
        <x:is>
          <x:t xml:space="preserve">full_floor_visual_replacement</x:t>
        </x:is>
      </x:c>
      <x:c r="G113" s="364" t="inlineStr">
        <x:is>
          <x:t xml:space="preserve">ENV-BASE99-ART-LAYOUT-3D</x:t>
        </x:is>
      </x:c>
      <x:c r="H113" s="364" t="inlineStr">
        <x:is>
          <x:t xml:space="preserve">Top3D / local -Z 正面</x:t>
        </x:is>
      </x:c>
      <x:c r="I113" s="364" t="inlineStr">
        <x:is>
          <x:t xml:space="preserve">default / visual_only</x:t>
        </x:is>
      </x:c>
      <x:c r="J113" s="364" t="inlineStr">
        <x:is>
          <x:t xml:space="preserve">99层基地地面表现</x:t>
        </x:is>
      </x:c>
      <x:c r="K113" s="364" t="inlineStr">
        <x:is>
          <x:t xml:space="preserve">已完成</x:t>
        </x:is>
      </x:c>
      <x:c r="L113" s="364" t="inlineStr">
        <x:is>
          <x:t xml:space="preserve">P0</x:t>
        </x:is>
      </x:c>
      <x:c r="M113" s="364" t="inlineStr">
        <x:is>
          <x:t xml:space="preserve">v003</x:t>
        </x:is>
      </x:c>
      <x:c r="N113" s="364" t="inlineStr">
        <x:is>
          <x:t xml:space="preserve">30×30m；6×6×5m；2网格；4材质表面；498,920三角面；无内置碰撞</x:t>
        </x:is>
      </x:c>
      <x:c r="O113" s="364" t="inlineStr">
        <x:is>
          <x:t xml:space="preserve">assets/art/environments/base_facility_3d/runtime/env_base99_floor_full_replacement_v021/env_base99_floor_full_replacement_v021_root_top3d_v003.tscn</x:t>
        </x:is>
      </x:c>
      <x:c r="P113" s="364" t="inlineStr">
        <x:is>
          <x:t xml:space="preserve"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x:t>
        </x:is>
      </x:c>
      <x:c r="Q113" s="364" t="inlineStr">
        <x:is>
          <x:t xml:space="preserve">基地99层;完整地板替换;V021;PaletteUV;visual_only;旧MultiMesh已移除;无重叠</x:t>
        </x:is>
      </x:c>
      <x:c r="R113" s="364" t="str">
        <x:f>LOWER(TRIM(C113)&amp;"|"&amp;TRIM(D113)&amp;"|"&amp;TRIM(E113)&amp;"|"&amp;TRIM(F113)&amp;"|"&amp;TRIM(H113)&amp;"|"&amp;TRIM(I113))</x:f>
        <x:v>场景|environment_module_3d|base99_floor_full_replacement_v021|full_floor_visual_replacement|top3d / local -z 正面|default / visual_only</x:v>
      </x:c>
      <x:c r="S113" s="364" t="str">
        <x:f>IF(COUNTIF($R$6:$R$423,R113)&gt;1,"重复","唯一")</x:f>
        <x:v>唯一</x:v>
      </x:c>
      <x:c r="T113" s="364" t="inlineStr">
        <x:is>
          <x:t xml:space="preserve">a64002f9f70a0ff3b15375fc48e58911dd6c49dc0b59d676601ee63a8fdd437f</x:t>
        </x:is>
      </x:c>
      <x:c r="U113" s="364" t="inlineStr">
        <x:is>
          <x:t xml:space="preserve">Codex</x:t>
        </x:is>
      </x:c>
      <x:c r="V113" s="307" t="n">
        <x:v>46269</x:v>
      </x:c>
      <x:c r="W113" s="364" t="inlineStr">
        <x:is>
          <x:t xml:space="preserve">用户自制Blender资产</x:t>
        </x:is>
      </x:c>
      <x:c r="X113" s="375" t="inlineStr">
        <x:is>
          <x:t xml:space="preserve">—</x:t>
        </x:is>
      </x:c>
      <x:c r="Y113" s="364" t="inlineStr">
        <x:is>
          <x:t xml:space="preserve">GLB SHA256=6655e4322cd654e533e53670fb1e6611ce65818068de016faaea1b59ffb6835a；基础18普通板+18铆钉板保持复用；V017独占细节聚合为2网格，承重碰撞不变。</x:t>
        </x:is>
      </x:c>
    </x:row>
    <x:row r="114">
      <x:c r="A114" s="349" t="inlineStr">
        <x:is>
          <x:t xml:space="preserve">ENV-BASE99-LOFT-FLOOR-FINISH-V017</x:t>
        </x:is>
      </x:c>
      <x:c r="B114" s="349" t="inlineStr">
        <x:is>
          <x:t xml:space="preserve">基地99层二层地板面层 V020</x:t>
        </x:is>
      </x:c>
      <x:c r="C114" s="349" t="inlineStr">
        <x:is>
          <x:t xml:space="preserve">场景</x:t>
        </x:is>
      </x:c>
      <x:c r="D114" s="349" t="inlineStr">
        <x:is>
          <x:t xml:space="preserve">environment_module_3d</x:t>
        </x:is>
      </x:c>
      <x:c r="E114" s="349" t="inlineStr">
        <x:is>
          <x:t xml:space="preserve">base99_loft_floor_finish_v020</x:t>
        </x:is>
      </x:c>
      <x:c r="F114" s="349" t="inlineStr">
        <x:is>
          <x:t xml:space="preserve">loft_floor_finish_overlay</x:t>
        </x:is>
      </x:c>
      <x:c r="G114" s="349" t="inlineStr">
        <x:is>
          <x:t xml:space="preserve">ENV-BASE99-ART-LAYOUT-3D</x:t>
        </x:is>
      </x:c>
      <x:c r="H114" s="349" t="inlineStr">
        <x:is>
          <x:t xml:space="preserve">Top3D / local -Z 正面</x:t>
        </x:is>
      </x:c>
      <x:c r="I114" s="349" t="inlineStr">
        <x:is>
          <x:t xml:space="preserve">default / visual_only</x:t>
        </x:is>
      </x:c>
      <x:c r="J114" s="349" t="inlineStr">
        <x:is>
          <x:t xml:space="preserve">99层基地楼中楼地面表现</x:t>
        </x:is>
      </x:c>
      <x:c r="K114" s="349" t="inlineStr">
        <x:is>
          <x:t xml:space="preserve">已完成</x:t>
        </x:is>
      </x:c>
      <x:c r="L114" s="349" t="inlineStr">
        <x:is>
          <x:t xml:space="preserve">P0</x:t>
        </x:is>
      </x:c>
      <x:c r="M114" s="349" t="inlineStr">
        <x:is>
          <x:t xml:space="preserve">v002</x:t>
        </x:is>
      </x:c>
      <x:c r="N114" s="349" t="inlineStr">
        <x:is>
          <x:t xml:space="preserve">19.6×9.6×0.108m；1网格；2材质表面；206三角面；无内置碰撞</x:t>
        </x:is>
      </x:c>
      <x:c r="O114" s="349" t="inlineStr">
        <x:is>
          <x:t xml:space="preserve">assets/art/environments/base_facility_3d/runtime/env_base99_loft_floor_finish_v020/env_base99_loft_floor_finish_v020_root_top3d_v002.tscn</x:t>
        </x:is>
      </x:c>
      <x:c r="P114" s="349" t="inlineStr">
        <x:is>
          <x:t xml:space="preserve"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x:t>
        </x:is>
      </x:c>
      <x:c r="Q114" s="349" t="inlineStr">
        <x:is>
          <x:t xml:space="preserve">基地99层;二层地板;V020;PaletteUV;visual_only;无重叠</x:t>
        </x:is>
      </x:c>
      <x:c r="R114" s="349" t="str">
        <x:f>LOWER(TRIM(C114)&amp;"|"&amp;TRIM(D114)&amp;"|"&amp;TRIM(E114)&amp;"|"&amp;TRIM(F114)&amp;"|"&amp;TRIM(H114)&amp;"|"&amp;TRIM(I114))</x:f>
        <x:v>场景|environment_module_3d|base99_loft_floor_finish_v020|loft_floor_finish_overlay|top3d / local -z 正面|default / visual_only</x:v>
      </x:c>
      <x:c r="S114" s="349" t="str">
        <x:f>IF(COUNTIF($R$6:$R$423,R114)&gt;1,"重复","唯一")</x:f>
        <x:v>唯一</x:v>
      </x:c>
      <x:c r="T114" s="349" t="inlineStr">
        <x:is>
          <x:t xml:space="preserve">f51994b6f49d96bc4707826819bd03529c6312c6b497ec63415cb01c430ab66f</x:t>
        </x:is>
      </x:c>
      <x:c r="U114" s="349" t="inlineStr">
        <x:is>
          <x:t xml:space="preserve">Codex</x:t>
        </x:is>
      </x:c>
      <x:c r="V114" s="348" t="n">
        <x:v>46269</x:v>
      </x:c>
      <x:c r="W114" s="349" t="inlineStr">
        <x:is>
          <x:t xml:space="preserve">用户自制Blender资产</x:t>
        </x:is>
      </x:c>
      <x:c r="X114" s="375" t="inlineStr">
        <x:is>
          <x:t xml:space="preserve">—</x:t>
        </x:is>
      </x:c>
      <x:c r="Y114" s="349" t="inlineStr">
        <x:is>
          <x:t xml:space="preserve">GLB SHA256=bf66319f75f5cac1c301dbfc09e4e7fe4ec0f518b7ee7dadb8e7068b94a2939c；运行时Y=-1m偏移；V020新增二楼地板面层保留，并作为V004阁楼结构唯一可见甲板。</x:t>
        </x:is>
      </x:c>
    </x:row>
    <x:row r="115">
      <x:c r="A115" s="349" t="inlineStr">
        <x:is>
          <x:t xml:space="preserve">ENV-BASE99-FLOOR-VISUAL-LAYOUT-V017</x:t>
        </x:is>
      </x:c>
      <x:c r="B115" s="349" t="inlineStr">
        <x:is>
          <x:t xml:space="preserve">基地99层完整地板表现装配 V021</x:t>
        </x:is>
      </x:c>
      <x:c r="C115" s="349" t="inlineStr">
        <x:is>
          <x:t xml:space="preserve">场景</x:t>
        </x:is>
      </x:c>
      <x:c r="D115" s="349" t="inlineStr">
        <x:is>
          <x:t xml:space="preserve">environment_module_3d</x:t>
        </x:is>
      </x:c>
      <x:c r="E115" s="349" t="inlineStr">
        <x:is>
          <x:t xml:space="preserve">base99_floor_visual_layout_v021</x:t>
        </x:is>
      </x:c>
      <x:c r="F115" s="349" t="inlineStr">
        <x:is>
          <x:t xml:space="preserve">floor_visual_assembly</x:t>
        </x:is>
      </x:c>
      <x:c r="G115" s="349" t="inlineStr">
        <x:is>
          <x:t xml:space="preserve">ENV-BASE99-ART-LAYOUT-3D</x:t>
        </x:is>
      </x:c>
      <x:c r="H115" s="349" t="inlineStr">
        <x:is>
          <x:t xml:space="preserve">Top3D / local -Z 正面</x:t>
        </x:is>
      </x:c>
      <x:c r="I115" s="349" t="inlineStr">
        <x:is>
          <x:t xml:space="preserve">default / visual_only</x:t>
        </x:is>
      </x:c>
      <x:c r="J115" s="349" t="inlineStr">
        <x:is>
          <x:t xml:space="preserve">99层基地美术布局</x:t>
        </x:is>
      </x:c>
      <x:c r="K115" s="349" t="inlineStr">
        <x:is>
          <x:t xml:space="preserve">已完成</x:t>
        </x:is>
      </x:c>
      <x:c r="L115" s="349" t="inlineStr">
        <x:is>
          <x:t xml:space="preserve">P0</x:t>
        </x:is>
      </x:c>
      <x:c r="M115" s="349" t="inlineStr">
        <x:is>
          <x:t xml:space="preserve">v003</x:t>
        </x:is>
      </x:c>
      <x:c r="N115" s="349" t="inlineStr">
        <x:is>
          <x:t xml:space="preserve">一层30×30m + 二层20×10m；无内置碰撞</x:t>
        </x:is>
      </x:c>
      <x:c r="O115" s="349" t="inlineStr">
        <x:is>
          <x:t xml:space="preserve">assets/art/environments/base_facility_3d/runtime/env_base99_floor_visuals_v021/env_base99_floor_visuals_root_top3d_v003.tscn</x:t>
        </x:is>
      </x:c>
      <x:c r="P115" s="349" t="inlineStr">
        <x:is>
          <x:t xml:space="preserve"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x:t>
        </x:is>
      </x:c>
      <x:c r="Q115" s="349" t="inlineStr">
        <x:is>
          <x:t xml:space="preserve">基地99层;完整地板表现装配;V021;visual_only;旧MultiMesh已移除</x:t>
        </x:is>
      </x:c>
      <x:c r="R115" s="349" t="str">
        <x:f>LOWER(TRIM(C115)&amp;"|"&amp;TRIM(D115)&amp;"|"&amp;TRIM(E115)&amp;"|"&amp;TRIM(F115)&amp;"|"&amp;TRIM(H115)&amp;"|"&amp;TRIM(I115))</x:f>
        <x:v>场景|environment_module_3d|base99_floor_visual_layout_v021|floor_visual_assembly|top3d / local -z 正面|default / visual_only</x:v>
      </x:c>
      <x:c r="S115" s="349" t="str">
        <x:f>IF(COUNTIF($R$6:$R$423,R115)&gt;1,"重复","唯一")</x:f>
        <x:v>唯一</x:v>
      </x:c>
      <x:c r="T115" s="349" t="inlineStr">
        <x:is>
          <x:t xml:space="preserve">7f5ef790624b34aa56cad971c411e7b5a4c9339db542e63ce5fa0d6acc25c5a3</x:t>
        </x:is>
      </x:c>
      <x:c r="U115" s="349" t="inlineStr">
        <x:is>
          <x:t xml:space="preserve">Codex</x:t>
        </x:is>
      </x:c>
      <x:c r="V115" s="348" t="n">
        <x:v>46269</x:v>
      </x:c>
      <x:c r="W115" s="349" t="inlineStr">
        <x:is>
          <x:t xml:space="preserve">项目现有Godot资产</x:t>
        </x:is>
      </x:c>
      <x:c r="X115" s="375" t="inlineStr">
        <x:is>
          <x:t xml:space="preserve">—</x:t>
        </x:is>
      </x:c>
      <x:c r="Y115" s="349" t="inlineStr">
        <x:is>
          <x:t xml:space="preserve"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x:t>
        </x:is>
      </x:c>
    </x:row>
    <x:row r="116">
      <x:c r="A116" s="349" t="inlineStr">
        <x:is>
          <x:t xml:space="preserve">CHR-PLY-CAPSULE01-HAND-3D</x:t>
        </x:is>
      </x:c>
      <x:c r="B116" s="349" t="inlineStr">
        <x:is>
          <x:t xml:space="preserve">方形猫角色3D唯一手部</x:t>
        </x:is>
      </x:c>
      <x:c r="C116" s="349" t="inlineStr">
        <x:is>
          <x:t xml:space="preserve">角色</x:t>
        </x:is>
      </x:c>
      <x:c r="D116" s="349" t="inlineStr">
        <x:is>
          <x:t xml:space="preserve">player</x:t>
        </x:is>
      </x:c>
      <x:c r="E116" s="349" t="inlineStr">
        <x:is>
          <x:t xml:space="preserve">player_capsule01</x:t>
        </x:is>
      </x:c>
      <x:c r="F116" s="349" t="inlineStr">
        <x:is>
          <x:t xml:space="preserve">hand_3d</x:t>
        </x:is>
      </x:c>
      <x:c r="G116" s="349" t="inlineStr">
        <x:is>
          <x:t xml:space="preserve">CHR-PLY-CAPSULE01-3D</x:t>
        </x:is>
      </x:c>
      <x:c r="H116" s="349" t="inlineStr">
        <x:is>
          <x:t xml:space="preserve">俯视3D</x:t>
        </x:is>
      </x:c>
      <x:c r="I116" s="349" t="inlineStr">
        <x:is>
          <x:t xml:space="preserve">default</x:t>
        </x:is>
      </x:c>
      <x:c r="J116" s="349" t="inlineStr">
        <x:is>
          <x:t xml:space="preserve">3D玩家场景</x:t>
        </x:is>
      </x:c>
      <x:c r="K116" s="349" t="inlineStr">
        <x:is>
          <x:t xml:space="preserve">原型已接入</x:t>
        </x:is>
      </x:c>
      <x:c r="L116" s="349" t="inlineStr">
        <x:is>
          <x:t xml:space="preserve">P0</x:t>
        </x:is>
      </x:c>
      <x:c r="M116" s="349" t="inlineStr">
        <x:is>
          <x:t xml:space="preserve">v001</x:t>
        </x:is>
      </x:c>
      <x:c r="N116" s="349" t="inlineStr">
        <x:is>
          <x:t xml:space="preserve">SphereMesh节点</x:t>
        </x:is>
      </x:c>
      <x:c r="O116" s="349" t="inlineStr">
        <x:is>
          <x:t xml:space="preserve">assets/art/characters/player/chr_player_capsule01_3d/chr_player_capsule01_root_top3d_v001.tscn</x:t>
        </x:is>
      </x:c>
      <x:c r="P116" s="349" t="inlineStr">
        <x:is>
          <x:t xml:space="preserve">VisualRoot/Hand</x:t>
        </x:is>
      </x:c>
      <x:c r="Q116" s="349" t="inlineStr">
        <x:is>
          <x:t xml:space="preserve">单手;悬浮手;握持;3D</x:t>
        </x:is>
      </x:c>
      <x:c r="R116" s="349" t="str">
        <x:f>LOWER(TRIM(C116)&amp;"|"&amp;TRIM(D116)&amp;"|"&amp;TRIM(E116)&amp;"|"&amp;TRIM(F116)&amp;"|"&amp;TRIM(H116)&amp;"|"&amp;TRIM(I116))</x:f>
        <x:v>角色|player|player_capsule01|hand_3d|俯视3d|default</x:v>
      </x:c>
      <x:c r="S116" s="349" t="str">
        <x:f>IF(COUNTIF($R$6:$R$423,R116)&gt;1,"重复","唯一")</x:f>
        <x:v>唯一</x:v>
      </x:c>
      <x:c r="T116" s="349" t="inlineStr">
        <x:is>
          <x:t xml:space="preserve">d962a133c9f966e97e0471adf110eaddda7ade65c2ef3ec47b56dbf2f1c93af0</x:t>
        </x:is>
      </x:c>
      <x:c r="U116" s="349" t="inlineStr">
        <x:is>
          <x:t xml:space="preserve">Codex</x:t>
        </x:is>
      </x:c>
      <x:c r="V116" s="348" t="n">
        <x:v>46264</x:v>
      </x:c>
      <x:c r="W116" s="349" t="inlineStr">
        <x:is>
          <x:t xml:space="preserve">原创程序几何</x:t>
        </x:is>
      </x:c>
      <x:c r="X116" s="375" t="inlineStr">
        <x:is>
          <x:t xml:space="preserve">—</x:t>
        </x:is>
      </x:c>
      <x:c r="Y116" s="349" t="inlineStr">
        <x:is>
          <x:t xml:space="preserve">VisualRoot/Hand：单个BoxMesh悬浮握持手；全动作与weapon_socket同相；v0.1方形猫原型；tests/verification/verify_player3d_diy_flow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7">
      <x:c r="A117" s="349" t="inlineStr">
        <x:is>
          <x:t xml:space="preserve">CHR-PLY-CAPSULE01-SCARF-3D</x:t>
        </x:is>
      </x:c>
      <x:c r="B117" s="349" t="inlineStr">
        <x:is>
          <x:t xml:space="preserve">旧3D红围巾兼容节点</x:t>
        </x:is>
      </x:c>
      <x:c r="C117" s="349" t="inlineStr">
        <x:is>
          <x:t xml:space="preserve">角色</x:t>
        </x:is>
      </x:c>
      <x:c r="D117" s="349" t="inlineStr">
        <x:is>
          <x:t xml:space="preserve">player</x:t>
        </x:is>
      </x:c>
      <x:c r="E117" s="349" t="inlineStr">
        <x:is>
          <x:t xml:space="preserve">player_capsule01</x:t>
        </x:is>
      </x:c>
      <x:c r="F117" s="349" t="inlineStr">
        <x:is>
          <x:t xml:space="preserve">scarf_3d</x:t>
        </x:is>
      </x:c>
      <x:c r="G117" s="349" t="inlineStr">
        <x:is>
          <x:t xml:space="preserve">CHR-PLY-CAPSULE01-3D</x:t>
        </x:is>
      </x:c>
      <x:c r="H117" s="349" t="inlineStr">
        <x:is>
          <x:t xml:space="preserve">俯视3D</x:t>
        </x:is>
      </x:c>
      <x:c r="I117" s="349" t="inlineStr">
        <x:is>
          <x:t xml:space="preserve">default</x:t>
        </x:is>
      </x:c>
      <x:c r="J117" s="349" t="inlineStr">
        <x:is>
          <x:t xml:space="preserve">3D玩家场景</x:t>
        </x:is>
      </x:c>
      <x:c r="K117" s="349" t="inlineStr">
        <x:is>
          <x:t xml:space="preserve">原型已接入</x:t>
        </x:is>
      </x:c>
      <x:c r="L117" s="349" t="inlineStr">
        <x:is>
          <x:t xml:space="preserve">P0</x:t>
        </x:is>
      </x:c>
      <x:c r="M117" s="349" t="inlineStr">
        <x:is>
          <x:t xml:space="preserve">v001</x:t>
        </x:is>
      </x:c>
      <x:c r="N117" s="349" t="inlineStr">
        <x:is>
          <x:t xml:space="preserve">Cylinder+Box节点</x:t>
        </x:is>
      </x:c>
      <x:c r="O117" s="349" t="inlineStr">
        <x:is>
          <x:t xml:space="preserve">assets/art/characters/player/chr_player_capsule01_3d/chr_player_capsule01_root_top3d_v001.tscn</x:t>
        </x:is>
      </x:c>
      <x:c r="P117" s="349" t="inlineStr">
        <x:is>
          <x:t xml:space="preserve">VisualRoot/Scarf</x:t>
        </x:is>
      </x:c>
      <x:c r="Q117" s="349" t="inlineStr">
        <x:is>
          <x:t xml:space="preserve">红围巾;身份配件;3D</x:t>
        </x:is>
      </x:c>
      <x:c r="R117" s="349" t="str">
        <x:f>LOWER(TRIM(C117)&amp;"|"&amp;TRIM(D117)&amp;"|"&amp;TRIM(E117)&amp;"|"&amp;TRIM(F117)&amp;"|"&amp;TRIM(H117)&amp;"|"&amp;TRIM(I117))</x:f>
        <x:v>角色|player|player_capsule01|scarf_3d|俯视3d|default</x:v>
      </x:c>
      <x:c r="S117" s="349" t="str">
        <x:f>IF(COUNTIF($R$6:$R$423,R117)&gt;1,"重复","唯一")</x:f>
        <x:v>唯一</x:v>
      </x:c>
      <x:c r="T117" s="349" t="inlineStr">
        <x:is>
          <x:t xml:space="preserve">d962a133c9f966e97e0471adf110eaddda7ade65c2ef3ec47b56dbf2f1c93af0</x:t>
        </x:is>
      </x:c>
      <x:c r="U117" s="349" t="inlineStr">
        <x:is>
          <x:t xml:space="preserve">Codex</x:t>
        </x:is>
      </x:c>
      <x:c r="V117" s="348" t="n">
        <x:v>46264</x:v>
      </x:c>
      <x:c r="W117" s="349" t="inlineStr">
        <x:is>
          <x:t xml:space="preserve">原创程序几何</x:t>
        </x:is>
      </x:c>
      <x:c r="X117" s="375" t="inlineStr">
        <x:is>
          <x:t xml:space="preserve">—</x:t>
        </x:is>
      </x:c>
      <x:c r="Y117" s="349" t="inlineStr">
        <x:is>
          <x:t xml:space="preserve">VisualRoot/Scarf默认隐藏，仅为旧场景兼容；当前四主模块不计入scarf；v0.1方形猫原型；tests/verification/verify_player3d_diy_flow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8">
      <x:c r="A118" s="349" t="inlineStr">
        <x:is>
          <x:t xml:space="preserve">CHR-PLY-CAPSULE01-WEAPON-SOCKET-3D</x:t>
        </x:is>
      </x:c>
      <x:c r="B118" s="349" t="inlineStr">
        <x:is>
          <x:t xml:space="preserve">方形猫角色3D武器挂点</x:t>
        </x:is>
      </x:c>
      <x:c r="C118" s="349" t="inlineStr">
        <x:is>
          <x:t xml:space="preserve">角色</x:t>
        </x:is>
      </x:c>
      <x:c r="D118" s="349" t="inlineStr">
        <x:is>
          <x:t xml:space="preserve">player</x:t>
        </x:is>
      </x:c>
      <x:c r="E118" s="349" t="inlineStr">
        <x:is>
          <x:t xml:space="preserve">player_capsule01</x:t>
        </x:is>
      </x:c>
      <x:c r="F118" s="349" t="inlineStr">
        <x:is>
          <x:t xml:space="preserve">weapon_socket_3d</x:t>
        </x:is>
      </x:c>
      <x:c r="G118" s="349" t="inlineStr">
        <x:is>
          <x:t xml:space="preserve">CHR-PLY-CAPSULE01-3D</x:t>
        </x:is>
      </x:c>
      <x:c r="H118" s="349" t="inlineStr">
        <x:is>
          <x:t xml:space="preserve">俯视3D</x:t>
        </x:is>
      </x:c>
      <x:c r="I118" s="349" t="inlineStr">
        <x:is>
          <x:t xml:space="preserve">default</x:t>
        </x:is>
      </x:c>
      <x:c r="J118" s="349" t="inlineStr">
        <x:is>
          <x:t xml:space="preserve">武器系统</x:t>
        </x:is>
      </x:c>
      <x:c r="K118" s="349" t="inlineStr">
        <x:is>
          <x:t xml:space="preserve">原型已接入</x:t>
        </x:is>
      </x:c>
      <x:c r="L118" s="349" t="inlineStr">
        <x:is>
          <x:t xml:space="preserve">P0</x:t>
        </x:is>
      </x:c>
      <x:c r="M118" s="349" t="inlineStr">
        <x:is>
          <x:t xml:space="preserve">v001</x:t>
        </x:is>
      </x:c>
      <x:c r="N118" s="349" t="inlineStr">
        <x:is>
          <x:t xml:space="preserve">Marker3D</x:t>
        </x:is>
      </x:c>
      <x:c r="O118" s="349" t="inlineStr">
        <x:is>
          <x:t xml:space="preserve">assets/art/characters/player/chr_player_capsule01_3d/chr_player_capsule01_root_top3d_v001.tscn</x:t>
        </x:is>
      </x:c>
      <x:c r="P118" s="349" t="inlineStr">
        <x:is>
          <x:t xml:space="preserve">VisualRoot/WeaponSocket</x:t>
        </x:is>
      </x:c>
      <x:c r="Q118" s="349" t="inlineStr">
        <x:is>
          <x:t xml:space="preserve">武器挂点;Marker3D;瞄准</x:t>
        </x:is>
      </x:c>
      <x:c r="R118" s="349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s="349" t="str">
        <x:f>IF(COUNTIF($R$6:$R$423,R118)&gt;1,"重复","唯一")</x:f>
        <x:v>唯一</x:v>
      </x:c>
      <x:c r="T118" s="349" t="inlineStr">
        <x:is>
          <x:t xml:space="preserve">d962a133c9f966e97e0471adf110eaddda7ade65c2ef3ec47b56dbf2f1c93af0</x:t>
        </x:is>
      </x:c>
      <x:c r="U118" s="349" t="inlineStr">
        <x:is>
          <x:t xml:space="preserve">Codex</x:t>
        </x:is>
      </x:c>
      <x:c r="V118" s="348" t="n">
        <x:v>46264</x:v>
      </x:c>
      <x:c r="W118" s="349" t="inlineStr">
        <x:is>
          <x:t xml:space="preserve">原创逻辑挂点</x:t>
        </x:is>
      </x:c>
      <x:c r="X118" s="375" t="inlineStr">
        <x:is>
          <x:t xml:space="preserve">—</x:t>
        </x:is>
      </x:c>
      <x:c r="Y118" s="349" t="inlineStr">
        <x:is>
          <x:t xml:space="preserve">VisualRoot/WeaponSocket：(0.60,1.15,-0.42)，与唯一手固定相对向量；v0.1方形猫原型；tests/verification/verify_player3d_diy_flow / gallery flow / visual PASS ｜ 2026-08-06：复用本AssetID扩展主/副武器背部语义挂点；主武器槽0在左、副武器槽1在右，枪模local -Z枪口轴统一转向世界下方；verify_dual_weapon_quick_map_fate_flow / verify_player3d_weapon_grip_visual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9">
      <x:c r="A119" s="349" t="inlineStr">
        <x:is>
          <x:t xml:space="preserve">ENV-BASE-WORLD-KIT-3D</x:t>
        </x:is>
      </x:c>
      <x:c r="B119" s="349" t="inlineStr">
        <x:is>
          <x:t xml:space="preserve">入口基地3D环境套件</x:t>
        </x:is>
      </x:c>
      <x:c r="C119" s="349" t="inlineStr">
        <x:is>
          <x:t xml:space="preserve">场景</x:t>
        </x:is>
      </x:c>
      <x:c r="D119" s="349" t="inlineStr">
        <x:is>
          <x:t xml:space="preserve">base</x:t>
        </x:is>
      </x:c>
      <x:c r="E119" s="349" t="inlineStr">
        <x:is>
          <x:t xml:space="preserve">base_world</x:t>
        </x:is>
      </x:c>
      <x:c r="F119" s="349" t="inlineStr">
        <x:is>
          <x:t xml:space="preserve">root_3d</x:t>
        </x:is>
      </x:c>
      <x:c r="G119" s="349" t="inlineStr">
        <x:is>
          <x:t xml:space="preserve">ENV-BASE-WORLD-KIT</x:t>
        </x:is>
      </x:c>
      <x:c r="H119" s="349" t="inlineStr">
        <x:is>
          <x:t xml:space="preserve">俯视3D</x:t>
        </x:is>
      </x:c>
      <x:c r="I119" s="349" t="inlineStr">
        <x:is>
          <x:t xml:space="preserve">default</x:t>
        </x:is>
      </x:c>
      <x:c r="J119" s="349" t="inlineStr">
        <x:is>
          <x:t xml:space="preserve">入口基地地图</x:t>
        </x:is>
      </x:c>
      <x:c r="K119" s="349" t="inlineStr">
        <x:is>
          <x:t xml:space="preserve">原型已接入</x:t>
        </x:is>
      </x:c>
      <x:c r="L119" s="349" t="inlineStr">
        <x:is>
          <x:t xml:space="preserve">P0</x:t>
        </x:is>
      </x:c>
      <x:c r="M119" s="349" t="inlineStr">
        <x:is>
          <x:t xml:space="preserve">v001</x:t>
        </x:is>
      </x:c>
      <x:c r="N119" s="349" t="inlineStr">
        <x:is>
          <x:t xml:space="preserve">约1:100迁移/程序几何</x:t>
        </x:is>
      </x:c>
      <x:c r="O119" s="349" t="inlineStr">
        <x:is>
          <x:t xml:space="preserve">assets/art/environments/base_world_3d/env_base_world_kit_top3d_v001.tscn</x:t>
        </x:is>
      </x:c>
      <x:c r="P119" s="349" t="inlineStr">
        <x:is>
          <x:t xml:space="preserve">scenes/BaseWorld3D.tscn</x:t>
        </x:is>
      </x:c>
      <x:c r="Q119" s="349" t="inlineStr">
        <x:is>
          <x:t xml:space="preserve">基地;道路;废墟;3D;入口地图</x:t>
        </x:is>
      </x:c>
      <x:c r="R119" s="349" t="str">
        <x:f>LOWER(TRIM(C119)&amp;"|"&amp;TRIM(D119)&amp;"|"&amp;TRIM(E119)&amp;"|"&amp;TRIM(F119)&amp;"|"&amp;TRIM(H119)&amp;"|"&amp;TRIM(I119))</x:f>
        <x:v>场景|base|base_world|root_3d|俯视3d|default</x:v>
      </x:c>
      <x:c r="S119" s="349" t="str">
        <x:f>IF(COUNTIF($R$6:$R$423,R119)&gt;1,"重复","唯一")</x:f>
        <x:v>唯一</x:v>
      </x:c>
      <x:c r="T119" s="349" t="inlineStr">
        <x:is>
          <x:t xml:space="preserve">b9040926e7d2e7d09a25d072d30a815f7bb5e35a4aa1c824c0c27a73de1b6e71</x:t>
        </x:is>
      </x:c>
      <x:c r="U119" s="349" t="inlineStr">
        <x:is>
          <x:t xml:space="preserve">Codex</x:t>
        </x:is>
      </x:c>
      <x:c r="V119" s="348" t="n">
        <x:v>46224</x:v>
      </x:c>
      <x:c r="W119" s="349" t="inlineStr">
        <x:is>
          <x:t xml:space="preserve">原创程序几何</x:t>
        </x:is>
      </x:c>
      <x:c r="X119" s="375" t="inlineStr">
        <x:is>
          <x:t xml:space="preserve">—</x:t>
        </x:is>
      </x:c>
      <x:c r="Y119" s="349" t="inlineStr">
        <x:is>
          <x:t xml:space="preserve">保留原2D布局语义；首张3D迁移地图</x:t>
        </x:is>
      </x:c>
    </x:row>
    <x:row r="120" ht="155" customHeight="1">
      <x:c r="A120" s="364" t="inlineStr">
        <x:is>
          <x:t xml:space="preserve">PRP-BASE-FACILITY-3D</x:t>
        </x:is>
      </x:c>
      <x:c r="B120" s="364" t="inlineStr">
        <x:is>
          <x:t xml:space="preserve">基地设施3D通用模块</x:t>
        </x:is>
      </x:c>
      <x:c r="C120" s="364" t="inlineStr">
        <x:is>
          <x:t xml:space="preserve">场景道具</x:t>
        </x:is>
      </x:c>
      <x:c r="D120" s="364" t="inlineStr">
        <x:is>
          <x:t xml:space="preserve">facility</x:t>
        </x:is>
      </x:c>
      <x:c r="E120" s="364" t="inlineStr">
        <x:is>
          <x:t xml:space="preserve">base_facility_module</x:t>
        </x:is>
      </x:c>
      <x:c r="F120" s="364" t="inlineStr">
        <x:is>
          <x:t xml:space="preserve">root_3d</x:t>
        </x:is>
      </x:c>
      <x:c r="G120" s="364" t="inlineStr">
        <x:is>
          <x:t xml:space="preserve">ENV-BASE-WORLD-KIT-3D</x:t>
        </x:is>
      </x:c>
      <x:c r="H120" s="364" t="inlineStr">
        <x:is>
          <x:t xml:space="preserve">俯视3D</x:t>
        </x:is>
      </x:c>
      <x:c r="I120" s="364" t="inlineStr">
        <x:is>
          <x:t xml:space="preserve">default</x:t>
        </x:is>
      </x:c>
      <x:c r="J120" s="364" t="inlineStr">
        <x:is>
          <x:t xml:space="preserve">8类基地设施/统一状态牌</x:t>
        </x:is>
      </x:c>
      <x:c r="K120" s="364" t="inlineStr">
        <x:is>
          <x:t xml:space="preserve">原型已接入</x:t>
        </x:is>
      </x:c>
      <x:c r="L120" s="364" t="inlineStr">
        <x:is>
          <x:t xml:space="preserve">P0</x:t>
        </x:is>
      </x:c>
      <x:c r="M120" s="364" t="inlineStr">
        <x:is>
          <x:t xml:space="preserve">v001</x:t>
        </x:is>
      </x:c>
      <x:c r="N120" s="364" t="inlineStr">
        <x:is>
          <x:t xml:space="preserve">PackedScene/材质变体/名称与实时摘要共用Label3D</x:t>
        </x:is>
      </x:c>
      <x:c r="O120" s="364" t="inlineStr">
        <x:is>
          <x:t xml:space="preserve">assets/art/props/base_world_3d/prp_base_facility_root_top3d_v001.tscn</x:t>
        </x:is>
      </x:c>
      <x:c r="P120" s="364" t="inlineStr">
        <x:is>
          <x:t xml:space="preserve">src/base3d/BaseFacility3D.gd; src/base/BaseFacilityCatalog.gd; src/base/BaseFacilityService.gd; src/world3d/TowerDescent3D.gd; tests/verification/verify_base_facility_framework.tscn; tests/verification/verify_base_world_3d_visual.tscn</x:t>
        </x:is>
      </x:c>
      <x:c r="Q120" s="364" t="inlineStr">
        <x:is>
          <x:t xml:space="preserve">设施;交互;信标;3D;facility_id;实时摘要;状态牌;共享目录</x:t>
        </x:is>
      </x:c>
      <x:c r="R120" s="364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s="364" t="str">
        <x:f>IF(COUNTIF($R$6:$R$423,R120)&gt;1,"重复","唯一")</x:f>
        <x:v>唯一</x:v>
      </x:c>
      <x:c r="T120" s="364" t="inlineStr">
        <x:is>
          <x:t xml:space="preserve">0c12134edcce24dab43e3364e1f09a75d4c41d0721edfb40fc4720a8aad6c3a1</x:t>
        </x:is>
      </x:c>
      <x:c r="U120" s="364" t="inlineStr">
        <x:is>
          <x:t xml:space="preserve">Codex</x:t>
        </x:is>
      </x:c>
      <x:c r="V120" s="307" t="n">
        <x:v>46264</x:v>
      </x:c>
      <x:c r="W120" s="364" t="inlineStr">
        <x:is>
          <x:t xml:space="preserve">原创程序几何</x:t>
        </x:is>
      </x:c>
      <x:c r="X120" s="375" t="inlineStr">
        <x:is>
          <x:t xml:space="preserve">—</x:t>
        </x:is>
      </x:c>
      <x:c r="Y120" s="364" t="inlineStr">
        <x:is>
          <x:t xml:space="preserve"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x:t>
        </x:is>
      </x:c>
    </x:row>
    <x:row r="121">
      <x:c r="A121" s="349" t="inlineStr">
        <x:is>
          <x:t xml:space="preserve">PRP-DUNGEON-GATE-3D</x:t>
        </x:is>
      </x:c>
      <x:c r="B121" s="349" t="inlineStr">
        <x:is>
          <x:t xml:space="preserve">地下城入口3D模块</x:t>
        </x:is>
      </x:c>
      <x:c r="C121" s="349" t="inlineStr">
        <x:is>
          <x:t xml:space="preserve">场景道具</x:t>
        </x:is>
      </x:c>
      <x:c r="D121" s="349" t="inlineStr">
        <x:is>
          <x:t xml:space="preserve">door</x:t>
        </x:is>
      </x:c>
      <x:c r="E121" s="349" t="inlineStr">
        <x:is>
          <x:t xml:space="preserve">dungeon_gate</x:t>
        </x:is>
      </x:c>
      <x:c r="F121" s="349" t="inlineStr">
        <x:is>
          <x:t xml:space="preserve">root_3d</x:t>
        </x:is>
      </x:c>
      <x:c r="G121" s="349" t="inlineStr">
        <x:is>
          <x:t xml:space="preserve">PRP-DUNGEON-GATE</x:t>
        </x:is>
      </x:c>
      <x:c r="H121" s="349" t="inlineStr">
        <x:is>
          <x:t xml:space="preserve">俯视3D</x:t>
        </x:is>
      </x:c>
      <x:c r="I121" s="349" t="inlineStr">
        <x:is>
          <x:t xml:space="preserve">default</x:t>
        </x:is>
      </x:c>
      <x:c r="J121" s="349" t="inlineStr">
        <x:is>
          <x:t xml:space="preserve">4个地下城入口</x:t>
        </x:is>
      </x:c>
      <x:c r="K121" s="349" t="inlineStr">
        <x:is>
          <x:t xml:space="preserve">原型已接入</x:t>
        </x:is>
      </x:c>
      <x:c r="L121" s="349" t="inlineStr">
        <x:is>
          <x:t xml:space="preserve">P0</x:t>
        </x:is>
      </x:c>
      <x:c r="M121" s="349" t="inlineStr">
        <x:is>
          <x:t xml:space="preserve">v001</x:t>
        </x:is>
      </x:c>
      <x:c r="N121" s="349" t="inlineStr">
        <x:is>
          <x:t xml:space="preserve">PackedScene/材质变体</x:t>
        </x:is>
      </x:c>
      <x:c r="O121" s="349" t="inlineStr">
        <x:is>
          <x:t xml:space="preserve">assets/art/props/base_world_3d/prp_dungeon_gate_root_top3d_v001.tscn</x:t>
        </x:is>
      </x:c>
      <x:c r="P121" s="349" t="inlineStr">
        <x:is>
          <x:t xml:space="preserve">src/base3d/DungeonEntrance3D.gd</x:t>
        </x:is>
      </x:c>
      <x:c r="Q121" s="349" t="inlineStr">
        <x:is>
          <x:t xml:space="preserve">地下城;门;交互;3D</x:t>
        </x:is>
      </x:c>
      <x:c r="R121" s="349" t="str">
        <x:f>LOWER(TRIM(C121)&amp;"|"&amp;TRIM(D121)&amp;"|"&amp;TRIM(E121)&amp;"|"&amp;TRIM(F121)&amp;"|"&amp;TRIM(H121)&amp;"|"&amp;TRIM(I121))</x:f>
        <x:v>场景道具|door|dungeon_gate|root_3d|俯视3d|default</x:v>
      </x:c>
      <x:c r="S121" s="349" t="str">
        <x:f>IF(COUNTIF($R$6:$R$423,R121)&gt;1,"重复","唯一")</x:f>
        <x:v>唯一</x:v>
      </x:c>
      <x:c r="T121" s="349" t="inlineStr">
        <x:is>
          <x:t xml:space="preserve">67f42bca67d541f83b244a4ed6a8ae23495b22d7cbf3aa9b32656339e59cfa0d</x:t>
        </x:is>
      </x:c>
      <x:c r="U121" s="349" t="inlineStr">
        <x:is>
          <x:t xml:space="preserve">Codex</x:t>
        </x:is>
      </x:c>
      <x:c r="V121" s="348" t="n">
        <x:v>46224</x:v>
      </x:c>
      <x:c r="W121" s="349" t="inlineStr">
        <x:is>
          <x:t xml:space="preserve">原创程序几何</x:t>
        </x:is>
      </x:c>
      <x:c r="X121" s="375" t="inlineStr">
        <x:is>
          <x:t xml:space="preserve">—</x:t>
        </x:is>
      </x:c>
      <x:c r="Y121" s="349" t="inlineStr">
        <x:is>
          <x:t xml:space="preserve">保持旧入口ID与目标场景；地下城内部暂保留2D</x:t>
        </x:is>
      </x:c>
    </x:row>
    <x:row r="122">
      <x:c r="A122" s="349" t="inlineStr">
        <x:is>
          <x:t xml:space="preserve">ENV-BASE-WORLD-3D-PREVIEW</x:t>
        </x:is>
      </x:c>
      <x:c r="B122" s="349" t="inlineStr">
        <x:is>
          <x:t xml:space="preserve">入口基地3D验收预览</x:t>
        </x:is>
      </x:c>
      <x:c r="C122" s="349" t="inlineStr">
        <x:is>
          <x:t xml:space="preserve">场景</x:t>
        </x:is>
      </x:c>
      <x:c r="D122" s="349" t="inlineStr">
        <x:is>
          <x:t xml:space="preserve">review_board</x:t>
        </x:is>
      </x:c>
      <x:c r="E122" s="349" t="inlineStr">
        <x:is>
          <x:t xml:space="preserve">base_world</x:t>
        </x:is>
      </x:c>
      <x:c r="F122" s="349" t="inlineStr">
        <x:is>
          <x:t xml:space="preserve">preview_3d</x:t>
        </x:is>
      </x:c>
      <x:c r="G122" s="349" t="inlineStr">
        <x:is>
          <x:t xml:space="preserve">ENV-BASE-WORLD-KIT-3D</x:t>
        </x:is>
      </x:c>
      <x:c r="H122" s="349" t="inlineStr">
        <x:is>
          <x:t xml:space="preserve">俯视3D</x:t>
        </x:is>
      </x:c>
      <x:c r="I122" s="349" t="inlineStr">
        <x:is>
          <x:t xml:space="preserve">default</x:t>
        </x:is>
      </x:c>
      <x:c r="J122" s="349" t="inlineStr">
        <x:is>
          <x:t xml:space="preserve">评审与资产QA</x:t>
        </x:is>
      </x:c>
      <x:c r="K122" s="349" t="inlineStr">
        <x:is>
          <x:t xml:space="preserve">已完成</x:t>
        </x:is>
      </x:c>
      <x:c r="L122" s="349" t="inlineStr">
        <x:is>
          <x:t xml:space="preserve">P1</x:t>
        </x:is>
      </x:c>
      <x:c r="M122" s="349" t="inlineStr">
        <x:is>
          <x:t xml:space="preserve">v001</x:t>
        </x:is>
      </x:c>
      <x:c r="N122" s="349" t="inlineStr">
        <x:is>
          <x:t xml:space="preserve">1280×720 PNG</x:t>
        </x:is>
      </x:c>
      <x:c r="O122" s="349" t="inlineStr">
        <x:is>
          <x:t xml:space="preserve">assets/art/environments/base_world_3d/env_base_world_preview_top3d_v001.png</x:t>
        </x:is>
      </x:c>
      <x:c r="P122" s="349" t="inlineStr">
        <x:is>
          <x:t xml:space="preserve">tests/verification/verify_base_world_3d_visual.tscn</x:t>
        </x:is>
      </x:c>
      <x:c r="Q122" s="349" t="inlineStr">
        <x:is>
          <x:t xml:space="preserve">3D预览;评审;入口地图</x:t>
        </x:is>
      </x:c>
      <x:c r="R122" s="349" t="str">
        <x:f>LOWER(TRIM(C122)&amp;"|"&amp;TRIM(D122)&amp;"|"&amp;TRIM(E122)&amp;"|"&amp;TRIM(F122)&amp;"|"&amp;TRIM(H122)&amp;"|"&amp;TRIM(I122))</x:f>
        <x:v>场景|review_board|base_world|preview_3d|俯视3d|default</x:v>
      </x:c>
      <x:c r="S122" s="349" t="str">
        <x:f>IF(COUNTIF($R$6:$R$423,R122)&gt;1,"重复","唯一")</x:f>
        <x:v>唯一</x:v>
      </x:c>
      <x:c r="T122" s="349" t="inlineStr">
        <x:is>
          <x:t xml:space="preserve">7dc3ff5d1bb5942c8340359bfa6d55374604dfbc9fc8b2a23b68a3079fac2e01</x:t>
        </x:is>
      </x:c>
      <x:c r="U122" s="349" t="inlineStr">
        <x:is>
          <x:t xml:space="preserve">Codex</x:t>
        </x:is>
      </x:c>
      <x:c r="V122" s="348" t="n">
        <x:v>46224</x:v>
      </x:c>
      <x:c r="W122" s="349" t="inlineStr">
        <x:is>
          <x:t xml:space="preserve">项目运行截图</x:t>
        </x:is>
      </x:c>
      <x:c r="X122" s="375" t="inlineStr">
        <x:is>
          <x:t xml:space="preserve">—</x:t>
        </x:is>
      </x:c>
      <x:c r="Y122" s="349" t="inlineStr">
        <x:is>
          <x:t xml:space="preserve">用于检查3D布局、镜头、组件比例与交互可读性</x:t>
        </x:is>
      </x:c>
    </x:row>
    <x:row r="123" ht="155" customHeight="1">
      <x:c r="A123" s="364" t="inlineStr">
        <x:is>
          <x:t xml:space="preserve">ENV-DUNGEON-RUNTIME-3D</x:t>
        </x:is>
      </x:c>
      <x:c r="B123" s="364" t="inlineStr">
        <x:is>
          <x:t xml:space="preserve">3D随机关卡通用房间套件</x:t>
        </x:is>
      </x:c>
      <x:c r="C123" s="364" t="inlineStr">
        <x:is>
          <x:t xml:space="preserve">场景</x:t>
        </x:is>
      </x:c>
      <x:c r="D123" s="364" t="inlineStr">
        <x:is>
          <x:t xml:space="preserve">room</x:t>
        </x:is>
      </x:c>
      <x:c r="E123" s="364" t="inlineStr">
        <x:is>
          <x:t xml:space="preserve">dungeon_runtime</x:t>
        </x:is>
      </x:c>
      <x:c r="F123" s="364" t="inlineStr">
        <x:is>
          <x:t xml:space="preserve">root_3d</x:t>
        </x:is>
      </x:c>
      <x:c r="G123" s="364" t="n"/>
      <x:c r="H123" s="364" t="inlineStr">
        <x:is>
          <x:t xml:space="preserve">俯视3D</x:t>
        </x:is>
      </x:c>
      <x:c r="I123" s="364" t="inlineStr">
        <x:is>
          <x:t xml:space="preserve">default</x:t>
        </x:is>
      </x:c>
      <x:c r="J123" s="364" t="inlineStr">
        <x:is>
          <x:t xml:space="preserve">四主题副本/随机房间</x:t>
        </x:is>
      </x:c>
      <x:c r="K123" s="364" t="inlineStr">
        <x:is>
          <x:t xml:space="preserve">原型已接入</x:t>
        </x:is>
      </x:c>
      <x:c r="L123" s="364" t="inlineStr">
        <x:is>
          <x:t xml:space="preserve">P0</x:t>
        </x:is>
      </x:c>
      <x:c r="M123" s="364" t="inlineStr">
        <x:is>
          <x:t xml:space="preserve">v001</x:t>
        </x:is>
      </x:c>
      <x:c r="N123" s="364" t="inlineStr">
        <x:is>
          <x:t xml:space="preserve">PackedScene/三档程序几何</x:t>
        </x:is>
      </x:c>
      <x:c r="O123" s="364" t="inlineStr">
        <x:is>
          <x:t xml:space="preserve">assets/art/environments/dungeon_3d/env_dungeon_runtime_kit_top3d_v001.tscn</x:t>
        </x:is>
      </x:c>
      <x:c r="P123" s="364" t="inlineStr">
        <x:is>
          <x:t xml:space="preserve">src/world3d/DungeonRoom3D.gd</x:t>
        </x:is>
      </x:c>
      <x:c r="Q123" s="364" t="inlineStr">
        <x:is>
          <x:t xml:space="preserve">房间;门洞;走廊;随机地图;3D</x:t>
        </x:is>
      </x:c>
      <x:c r="R123" s="364" t="str">
        <x:f>LOWER(TRIM(C123)&amp;"|"&amp;TRIM(D123)&amp;"|"&amp;TRIM(E123)&amp;"|"&amp;TRIM(F123)&amp;"|"&amp;TRIM(H123)&amp;"|"&amp;TRIM(I123))</x:f>
        <x:v>场景|room|dungeon_runtime|root_3d|俯视3d|default</x:v>
      </x:c>
      <x:c r="S123" s="364" t="str">
        <x:f>IF(COUNTIF($R$6:$R$423,R123)&gt;1,"重复","唯一")</x:f>
        <x:v>唯一</x:v>
      </x:c>
      <x:c r="T123" s="364" t="inlineStr">
        <x:is>
          <x:t xml:space="preserve">e4e7472285a1f2d89f18c5d8a11e414c475adabeed98584cd9d10d4e5d793b76</x:t>
        </x:is>
      </x:c>
      <x:c r="U123" s="364" t="inlineStr">
        <x:is>
          <x:t xml:space="preserve">Codex</x:t>
        </x:is>
      </x:c>
      <x:c r="V123" s="307" t="n">
        <x:v>46233</x:v>
      </x:c>
      <x:c r="W123" s="364" t="inlineStr">
        <x:is>
          <x:t xml:space="preserve">原创程序几何</x:t>
        </x:is>
      </x:c>
      <x:c r="X123" s="375" t="inlineStr">
        <x:is>
          <x:t xml:space="preserve">—</x:t>
        </x:is>
      </x:c>
      <x:c r="Y123" s="364" t="inlineStr">
        <x:is>
          <x:t xml:space="preserve"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x:t>
        </x:is>
      </x:c>
    </x:row>
    <x:row r="124" ht="34" customHeight="1">
      <x:c r="A124" s="349" t="inlineStr">
        <x:is>
          <x:t xml:space="preserve">ENV-DUNGEON-IRON-FRONTIER-3D</x:t>
        </x:is>
      </x:c>
      <x:c r="B124" s="349" t="inlineStr">
        <x:is>
          <x:t xml:space="preserve">冷钢边境3D主题资源</x:t>
        </x:is>
      </x:c>
      <x:c r="C124" s="349" t="inlineStr">
        <x:is>
          <x:t xml:space="preserve">场景</x:t>
        </x:is>
      </x:c>
      <x:c r="D124" s="349" t="inlineStr">
        <x:is>
          <x:t xml:space="preserve">biome</x:t>
        </x:is>
      </x:c>
      <x:c r="E124" s="349" t="inlineStr">
        <x:is>
          <x:t xml:space="preserve">iron_frontier</x:t>
        </x:is>
      </x:c>
      <x:c r="F124" s="349" t="inlineStr">
        <x:is>
          <x:t xml:space="preserve">theme_3d</x:t>
        </x:is>
      </x:c>
      <x:c r="G124" s="349" t="inlineStr">
        <x:is>
          <x:t xml:space="preserve">ENV-DUNGEON-RUNTIME-3D</x:t>
        </x:is>
      </x:c>
      <x:c r="H124" s="349" t="inlineStr">
        <x:is>
          <x:t xml:space="preserve">俯视3D</x:t>
        </x:is>
      </x:c>
      <x:c r="I124" s="349" t="inlineStr">
        <x:is>
          <x:t xml:space="preserve">default</x:t>
        </x:is>
      </x:c>
      <x:c r="J124" s="349" t="inlineStr">
        <x:is>
          <x:t xml:space="preserve">冷钢边境</x:t>
        </x:is>
      </x:c>
      <x:c r="K124" s="349" t="inlineStr">
        <x:is>
          <x:t xml:space="preserve">原型已接入</x:t>
        </x:is>
      </x:c>
      <x:c r="L124" s="349" t="inlineStr">
        <x:is>
          <x:t xml:space="preserve">P0</x:t>
        </x:is>
      </x:c>
      <x:c r="M124" s="349" t="inlineStr">
        <x:is>
          <x:t xml:space="preserve">v001</x:t>
        </x:is>
      </x:c>
      <x:c r="N124" s="349" t="inlineStr">
        <x:is>
          <x:t xml:space="preserve">DungeonTheme3D Resource</x:t>
        </x:is>
      </x:c>
      <x:c r="O124" s="349" t="inlineStr">
        <x:is>
          <x:t xml:space="preserve">assets/art/environments/dungeon_3d/env_iron_frontier_kit_top3d_v001.tres</x:t>
        </x:is>
      </x:c>
      <x:c r="P124" s="349" t="inlineStr">
        <x:is>
          <x:t xml:space="preserve">scenes/levels3d/IronFrontier3D.tscn</x:t>
        </x:is>
      </x:c>
      <x:c r="Q124" s="349" t="inlineStr">
        <x:is>
          <x:t xml:space="preserve">冷钢;冷蓝;边境;雾;灯光</x:t>
        </x:is>
      </x:c>
      <x:c r="R124" s="349" t="str">
        <x:f>LOWER(TRIM(C124)&amp;"|"&amp;TRIM(D124)&amp;"|"&amp;TRIM(E124)&amp;"|"&amp;TRIM(F124)&amp;"|"&amp;TRIM(H124)&amp;"|"&amp;TRIM(I124))</x:f>
        <x:v>场景|biome|iron_frontier|theme_3d|俯视3d|default</x:v>
      </x:c>
      <x:c r="S124" s="349" t="str">
        <x:f>IF(COUNTIF($R$6:$R$423,R124)&gt;1,"重复","唯一")</x:f>
        <x:v>唯一</x:v>
      </x:c>
      <x:c r="T124" s="349" t="inlineStr">
        <x:is>
          <x:t xml:space="preserve">f8b3ab02d3613a2e6c739e9d3013adce091dff82c76e6198eb13a816e144b00c</x:t>
        </x:is>
      </x:c>
      <x:c r="U124" s="349" t="inlineStr">
        <x:is>
          <x:t xml:space="preserve">Codex</x:t>
        </x:is>
      </x:c>
      <x:c r="V124" s="348" t="n">
        <x:v>46224</x:v>
      </x:c>
      <x:c r="W124" s="349" t="inlineStr">
        <x:is>
          <x:t xml:space="preserve">原创程序配置</x:t>
        </x:is>
      </x:c>
      <x:c r="X124" s="375" t="inlineStr">
        <x:is>
          <x:t xml:space="preserve">—</x:t>
        </x:is>
      </x:c>
      <x:c r="Y124" s="349" t="inlineStr">
        <x:is>
          <x:t xml:space="preserve">只保存3D色彩/雾/灯光/家具倾向；玩法读取MapThemeProfile</x:t>
        </x:is>
      </x:c>
    </x:row>
    <x:row r="125" ht="34" customHeight="1">
      <x:c r="A125" s="349" t="inlineStr">
        <x:is>
          <x:t xml:space="preserve">ENV-DUNGEON-RUST-FOUNDRY-3D</x:t>
        </x:is>
      </x:c>
      <x:c r="B125" s="349" t="inlineStr">
        <x:is>
          <x:t xml:space="preserve">锈蚀铸造厂3D主题资源</x:t>
        </x:is>
      </x:c>
      <x:c r="C125" s="349" t="inlineStr">
        <x:is>
          <x:t xml:space="preserve">场景</x:t>
        </x:is>
      </x:c>
      <x:c r="D125" s="349" t="inlineStr">
        <x:is>
          <x:t xml:space="preserve">biome</x:t>
        </x:is>
      </x:c>
      <x:c r="E125" s="349" t="inlineStr">
        <x:is>
          <x:t xml:space="preserve">rust_foundry</x:t>
        </x:is>
      </x:c>
      <x:c r="F125" s="349" t="inlineStr">
        <x:is>
          <x:t xml:space="preserve">theme_3d</x:t>
        </x:is>
      </x:c>
      <x:c r="G125" s="349" t="inlineStr">
        <x:is>
          <x:t xml:space="preserve">ENV-DUNGEON-RUNTIME-3D</x:t>
        </x:is>
      </x:c>
      <x:c r="H125" s="349" t="inlineStr">
        <x:is>
          <x:t xml:space="preserve">俯视3D</x:t>
        </x:is>
      </x:c>
      <x:c r="I125" s="349" t="inlineStr">
        <x:is>
          <x:t xml:space="preserve">default</x:t>
        </x:is>
      </x:c>
      <x:c r="J125" s="349" t="inlineStr">
        <x:is>
          <x:t xml:space="preserve">锈蚀铸造厂</x:t>
        </x:is>
      </x:c>
      <x:c r="K125" s="349" t="inlineStr">
        <x:is>
          <x:t xml:space="preserve">原型已接入</x:t>
        </x:is>
      </x:c>
      <x:c r="L125" s="349" t="inlineStr">
        <x:is>
          <x:t xml:space="preserve">P0</x:t>
        </x:is>
      </x:c>
      <x:c r="M125" s="349" t="inlineStr">
        <x:is>
          <x:t xml:space="preserve">v001</x:t>
        </x:is>
      </x:c>
      <x:c r="N125" s="349" t="inlineStr">
        <x:is>
          <x:t xml:space="preserve">DungeonTheme3D Resource</x:t>
        </x:is>
      </x:c>
      <x:c r="O125" s="349" t="inlineStr">
        <x:is>
          <x:t xml:space="preserve">assets/art/environments/dungeon_3d/env_rust_foundry_kit_top3d_v001.tres</x:t>
        </x:is>
      </x:c>
      <x:c r="P125" s="349" t="inlineStr">
        <x:is>
          <x:t xml:space="preserve">scenes/levels3d/RustFoundry3D.tscn</x:t>
        </x:is>
      </x:c>
      <x:c r="Q125" s="349" t="inlineStr">
        <x:is>
          <x:t xml:space="preserve">锈蚀;铸造;橙光;工业</x:t>
        </x:is>
      </x:c>
      <x:c r="R125" s="349" t="str">
        <x:f>LOWER(TRIM(C125)&amp;"|"&amp;TRIM(D125)&amp;"|"&amp;TRIM(E125)&amp;"|"&amp;TRIM(F125)&amp;"|"&amp;TRIM(H125)&amp;"|"&amp;TRIM(I125))</x:f>
        <x:v>场景|biome|rust_foundry|theme_3d|俯视3d|default</x:v>
      </x:c>
      <x:c r="S125" s="349" t="str">
        <x:f>IF(COUNTIF($R$6:$R$423,R125)&gt;1,"重复","唯一")</x:f>
        <x:v>唯一</x:v>
      </x:c>
      <x:c r="T125" s="349" t="inlineStr">
        <x:is>
          <x:t xml:space="preserve">acc115574ec882b7bc3f74acb8da788151a6ce810b4b99ee4bedc96357d3d5b8</x:t>
        </x:is>
      </x:c>
      <x:c r="U125" s="349" t="inlineStr">
        <x:is>
          <x:t xml:space="preserve">Codex</x:t>
        </x:is>
      </x:c>
      <x:c r="V125" s="348" t="n">
        <x:v>46224</x:v>
      </x:c>
      <x:c r="W125" s="349" t="inlineStr">
        <x:is>
          <x:t xml:space="preserve">原创程序配置</x:t>
        </x:is>
      </x:c>
      <x:c r="X125" s="375" t="inlineStr">
        <x:is>
          <x:t xml:space="preserve">—</x:t>
        </x:is>
      </x:c>
      <x:c r="Y125" s="349" t="inlineStr">
        <x:is>
          <x:t xml:space="preserve">复用通用房间根；主题资源不复制玩法规则</x:t>
        </x:is>
      </x:c>
    </x:row>
    <x:row r="126" ht="34" customHeight="1">
      <x:c r="A126" s="349" t="inlineStr">
        <x:is>
          <x:t xml:space="preserve">ENV-DUNGEON-SPORE-DEPTHS-3D</x:t>
        </x:is>
      </x:c>
      <x:c r="B126" s="349" t="inlineStr">
        <x:is>
          <x:t xml:space="preserve">孢子深层3D主题资源</x:t>
        </x:is>
      </x:c>
      <x:c r="C126" s="349" t="inlineStr">
        <x:is>
          <x:t xml:space="preserve">场景</x:t>
        </x:is>
      </x:c>
      <x:c r="D126" s="349" t="inlineStr">
        <x:is>
          <x:t xml:space="preserve">biome</x:t>
        </x:is>
      </x:c>
      <x:c r="E126" s="349" t="inlineStr">
        <x:is>
          <x:t xml:space="preserve">spore_depths</x:t>
        </x:is>
      </x:c>
      <x:c r="F126" s="349" t="inlineStr">
        <x:is>
          <x:t xml:space="preserve">theme_3d</x:t>
        </x:is>
      </x:c>
      <x:c r="G126" s="349" t="inlineStr">
        <x:is>
          <x:t xml:space="preserve">ENV-DUNGEON-RUNTIME-3D</x:t>
        </x:is>
      </x:c>
      <x:c r="H126" s="349" t="inlineStr">
        <x:is>
          <x:t xml:space="preserve">俯视3D</x:t>
        </x:is>
      </x:c>
      <x:c r="I126" s="349" t="inlineStr">
        <x:is>
          <x:t xml:space="preserve">default</x:t>
        </x:is>
      </x:c>
      <x:c r="J126" s="349" t="inlineStr">
        <x:is>
          <x:t xml:space="preserve">孢子深层</x:t>
        </x:is>
      </x:c>
      <x:c r="K126" s="349" t="inlineStr">
        <x:is>
          <x:t xml:space="preserve">原型已接入</x:t>
        </x:is>
      </x:c>
      <x:c r="L126" s="349" t="inlineStr">
        <x:is>
          <x:t xml:space="preserve">P0</x:t>
        </x:is>
      </x:c>
      <x:c r="M126" s="349" t="inlineStr">
        <x:is>
          <x:t xml:space="preserve">v001</x:t>
        </x:is>
      </x:c>
      <x:c r="N126" s="349" t="inlineStr">
        <x:is>
          <x:t xml:space="preserve">DungeonTheme3D Resource</x:t>
        </x:is>
      </x:c>
      <x:c r="O126" s="349" t="inlineStr">
        <x:is>
          <x:t xml:space="preserve">assets/art/environments/dungeon_3d/env_spore_depths_kit_top3d_v001.tres</x:t>
        </x:is>
      </x:c>
      <x:c r="P126" s="349" t="inlineStr">
        <x:is>
          <x:t xml:space="preserve">scenes/levels3d/SporeDepths3D.tscn</x:t>
        </x:is>
      </x:c>
      <x:c r="Q126" s="349" t="inlineStr">
        <x:is>
          <x:t xml:space="preserve">孢子;病绿;地下;异化</x:t>
        </x:is>
      </x:c>
      <x:c r="R126" s="349" t="str">
        <x:f>LOWER(TRIM(C126)&amp;"|"&amp;TRIM(D126)&amp;"|"&amp;TRIM(E126)&amp;"|"&amp;TRIM(F126)&amp;"|"&amp;TRIM(H126)&amp;"|"&amp;TRIM(I126))</x:f>
        <x:v>场景|biome|spore_depths|theme_3d|俯视3d|default</x:v>
      </x:c>
      <x:c r="S126" s="349" t="str">
        <x:f>IF(COUNTIF($R$6:$R$423,R126)&gt;1,"重复","唯一")</x:f>
        <x:v>唯一</x:v>
      </x:c>
      <x:c r="T126" s="349" t="inlineStr">
        <x:is>
          <x:t xml:space="preserve">50b5a344a474a866d2065a8979bac564170ba8422bb610418ac8082d24db91dc</x:t>
        </x:is>
      </x:c>
      <x:c r="U126" s="349" t="inlineStr">
        <x:is>
          <x:t xml:space="preserve">Codex</x:t>
        </x:is>
      </x:c>
      <x:c r="V126" s="348" t="n">
        <x:v>46224</x:v>
      </x:c>
      <x:c r="W126" s="349" t="inlineStr">
        <x:is>
          <x:t xml:space="preserve">原创程序配置</x:t>
        </x:is>
      </x:c>
      <x:c r="X126" s="375" t="inlineStr">
        <x:is>
          <x:t xml:space="preserve">—</x:t>
        </x:is>
      </x:c>
      <x:c r="Y126" s="349" t="inlineStr">
        <x:is>
          <x:t xml:space="preserve">复用通用房间根；主题资源不复制玩法规则</x:t>
        </x:is>
      </x:c>
    </x:row>
    <x:row r="127" ht="34" customHeight="1">
      <x:c r="A127" s="349" t="inlineStr">
        <x:is>
          <x:t xml:space="preserve">ENV-DUNGEON-ABYSS-ARCHIVE-3D</x:t>
        </x:is>
      </x:c>
      <x:c r="B127" s="349" t="inlineStr">
        <x:is>
          <x:t xml:space="preserve">深渊档案库3D主题资源</x:t>
        </x:is>
      </x:c>
      <x:c r="C127" s="349" t="inlineStr">
        <x:is>
          <x:t xml:space="preserve">场景</x:t>
        </x:is>
      </x:c>
      <x:c r="D127" s="349" t="inlineStr">
        <x:is>
          <x:t xml:space="preserve">biome</x:t>
        </x:is>
      </x:c>
      <x:c r="E127" s="349" t="inlineStr">
        <x:is>
          <x:t xml:space="preserve">abyss_archive</x:t>
        </x:is>
      </x:c>
      <x:c r="F127" s="349" t="inlineStr">
        <x:is>
          <x:t xml:space="preserve">theme_3d</x:t>
        </x:is>
      </x:c>
      <x:c r="G127" s="349" t="inlineStr">
        <x:is>
          <x:t xml:space="preserve">ENV-DUNGEON-RUNTIME-3D</x:t>
        </x:is>
      </x:c>
      <x:c r="H127" s="349" t="inlineStr">
        <x:is>
          <x:t xml:space="preserve">俯视3D</x:t>
        </x:is>
      </x:c>
      <x:c r="I127" s="349" t="inlineStr">
        <x:is>
          <x:t xml:space="preserve">default</x:t>
        </x:is>
      </x:c>
      <x:c r="J127" s="349" t="inlineStr">
        <x:is>
          <x:t xml:space="preserve">深渊档案库</x:t>
        </x:is>
      </x:c>
      <x:c r="K127" s="349" t="inlineStr">
        <x:is>
          <x:t xml:space="preserve">原型已接入</x:t>
        </x:is>
      </x:c>
      <x:c r="L127" s="349" t="inlineStr">
        <x:is>
          <x:t xml:space="preserve">P0</x:t>
        </x:is>
      </x:c>
      <x:c r="M127" s="349" t="inlineStr">
        <x:is>
          <x:t xml:space="preserve">v001</x:t>
        </x:is>
      </x:c>
      <x:c r="N127" s="349" t="inlineStr">
        <x:is>
          <x:t xml:space="preserve">DungeonTheme3D Resource</x:t>
        </x:is>
      </x:c>
      <x:c r="O127" s="349" t="inlineStr">
        <x:is>
          <x:t xml:space="preserve">assets/art/environments/dungeon_3d/env_abyss_archive_kit_top3d_v001.tres</x:t>
        </x:is>
      </x:c>
      <x:c r="P127" s="349" t="inlineStr">
        <x:is>
          <x:t xml:space="preserve">scenes/levels3d/AbyssArchive3D.tscn</x:t>
        </x:is>
      </x:c>
      <x:c r="Q127" s="349" t="inlineStr">
        <x:is>
          <x:t xml:space="preserve">深渊;档案;紫光;禁区</x:t>
        </x:is>
      </x:c>
      <x:c r="R127" s="349" t="str">
        <x:f>LOWER(TRIM(C127)&amp;"|"&amp;TRIM(D127)&amp;"|"&amp;TRIM(E127)&amp;"|"&amp;TRIM(F127)&amp;"|"&amp;TRIM(H127)&amp;"|"&amp;TRIM(I127))</x:f>
        <x:v>场景|biome|abyss_archive|theme_3d|俯视3d|default</x:v>
      </x:c>
      <x:c r="S127" s="349" t="str">
        <x:f>IF(COUNTIF($R$6:$R$423,R127)&gt;1,"重复","唯一")</x:f>
        <x:v>唯一</x:v>
      </x:c>
      <x:c r="T127" s="349" t="inlineStr">
        <x:is>
          <x:t xml:space="preserve">93b2f606618b202fd51513e3eb2b039c0db2d26f328d1f71dd0ef4df196939e5</x:t>
        </x:is>
      </x:c>
      <x:c r="U127" s="349" t="inlineStr">
        <x:is>
          <x:t xml:space="preserve">Codex</x:t>
        </x:is>
      </x:c>
      <x:c r="V127" s="348" t="n">
        <x:v>46224</x:v>
      </x:c>
      <x:c r="W127" s="349" t="inlineStr">
        <x:is>
          <x:t xml:space="preserve">原创程序配置</x:t>
        </x:is>
      </x:c>
      <x:c r="X127" s="375" t="inlineStr">
        <x:is>
          <x:t xml:space="preserve">—</x:t>
        </x:is>
      </x:c>
      <x:c r="Y127" s="349" t="inlineStr">
        <x:is>
          <x:t xml:space="preserve">复用通用房间根；主题资源不复制玩法规则</x:t>
        </x:is>
      </x:c>
    </x:row>
    <x:row r="128" ht="155" customHeight="1">
      <x:c r="A128" s="364" t="inlineStr">
        <x:is>
          <x:t xml:space="preserve">PRP-WASTELAND-LIGHT-3D</x:t>
        </x:is>
      </x:c>
      <x:c r="B128" s="364" t="inlineStr">
        <x:is>
          <x:t xml:space="preserve">废土灯具3D通用模块（街灯/顶灯）</x:t>
        </x:is>
      </x:c>
      <x:c r="C128" s="364" t="inlineStr">
        <x:is>
          <x:t xml:space="preserve">场景道具</x:t>
        </x:is>
      </x:c>
      <x:c r="D128" s="364" t="inlineStr">
        <x:is>
          <x:t xml:space="preserve">light</x:t>
        </x:is>
      </x:c>
      <x:c r="E128" s="364" t="inlineStr">
        <x:is>
          <x:t xml:space="preserve">wasteland_light</x:t>
        </x:is>
      </x:c>
      <x:c r="F128" s="364" t="inlineStr">
        <x:is>
          <x:t xml:space="preserve">root_3d</x:t>
        </x:is>
      </x:c>
      <x:c r="G128" s="364" t="inlineStr">
        <x:is>
          <x:t xml:space="preserve">ENV-DUNGEON-RUNTIME-3D</x:t>
        </x:is>
      </x:c>
      <x:c r="H128" s="364" t="inlineStr">
        <x:is>
          <x:t xml:space="preserve">俯视3D</x:t>
        </x:is>
      </x:c>
      <x:c r="I128" s="364" t="inlineStr">
        <x:is>
          <x:t xml:space="preserve">default</x:t>
        </x:is>
      </x:c>
      <x:c r="J128" s="364" t="inlineStr">
        <x:is>
          <x:t xml:space="preserve">关卡/靶场/房间中央照明</x:t>
        </x:is>
      </x:c>
      <x:c r="K128" s="364" t="inlineStr">
        <x:is>
          <x:t xml:space="preserve">原型已接入</x:t>
        </x:is>
      </x:c>
      <x:c r="L128" s="364" t="inlineStr">
        <x:is>
          <x:t xml:space="preserve">P0</x:t>
        </x:is>
      </x:c>
      <x:c r="M128" s="364" t="inlineStr">
        <x:is>
          <x:t xml:space="preserve">v001</x:t>
        </x:is>
      </x:c>
      <x:c r="N128" s="364" t="inlineStr">
        <x:is>
          <x:t xml:space="preserve">PackedScene/OmniLight3D</x:t>
        </x:is>
      </x:c>
      <x:c r="O128" s="364" t="inlineStr">
        <x:is>
          <x:t xml:space="preserve">assets/art/props/dungeon_3d/prp_wasteland_light_root_top3d_v001.tscn</x:t>
        </x:is>
      </x:c>
      <x:c r="P128" s="364" t="inlineStr">
        <x:is>
          <x:t xml:space="preserve">src/world3d/WastelandLight3D.gd</x:t>
        </x:is>
      </x:c>
      <x:c r="Q128" s="364" t="inlineStr">
        <x:is>
          <x:t xml:space="preserve">灯具;街灯;中央顶灯;故障灯;废土</x:t>
        </x:is>
      </x:c>
      <x:c r="R128" s="364" t="str">
        <x:f>LOWER(TRIM(C128)&amp;"|"&amp;TRIM(D128)&amp;"|"&amp;TRIM(E128)&amp;"|"&amp;TRIM(F128)&amp;"|"&amp;TRIM(H128)&amp;"|"&amp;TRIM(I128))</x:f>
        <x:v>场景道具|light|wasteland_light|root_3d|俯视3d|default</x:v>
      </x:c>
      <x:c r="S128" s="364" t="str">
        <x:f>IF(COUNTIF($R$6:$R$423,R128)&gt;1,"重复","唯一")</x:f>
        <x:v>唯一</x:v>
      </x:c>
      <x:c r="T128" s="364" t="inlineStr">
        <x:is>
          <x:t xml:space="preserve">0b6eee3dde59911854d2a062aaab55672c6d1fa4c705155f7a217faf46394e00</x:t>
        </x:is>
      </x:c>
      <x:c r="U128" s="364" t="inlineStr">
        <x:is>
          <x:t xml:space="preserve">Codex</x:t>
        </x:is>
      </x:c>
      <x:c r="V128" s="307" t="n">
        <x:v>46237</x:v>
      </x:c>
      <x:c r="W128" s="364" t="inlineStr">
        <x:is>
          <x:t xml:space="preserve">原创程序几何</x:t>
        </x:is>
      </x:c>
      <x:c r="X128" s="375" t="inlineStr">
        <x:is>
          <x:t xml:space="preserve">—</x:t>
        </x:is>
      </x:c>
      <x:c r="Y128" s="364" t="inlineStr">
        <x:is>
          <x:t xml:space="preserve"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x:t>
        </x:is>
      </x:c>
    </x:row>
    <x:row r="129" ht="34" customHeight="1">
      <x:c r="A129" s="349" t="inlineStr">
        <x:is>
          <x:t xml:space="preserve">PRP-ROOM-FURNITURE-3D</x:t>
        </x:is>
      </x:c>
      <x:c r="B129" s="349" t="inlineStr">
        <x:is>
          <x:t xml:space="preserve">房间家具3D通用模块</x:t>
        </x:is>
      </x:c>
      <x:c r="C129" s="349" t="inlineStr">
        <x:is>
          <x:t xml:space="preserve">场景道具</x:t>
        </x:is>
      </x:c>
      <x:c r="D129" s="349" t="inlineStr">
        <x:is>
          <x:t xml:space="preserve">furniture</x:t>
        </x:is>
      </x:c>
      <x:c r="E129" s="349" t="inlineStr">
        <x:is>
          <x:t xml:space="preserve">room_furniture</x:t>
        </x:is>
      </x:c>
      <x:c r="F129" s="349" t="inlineStr">
        <x:is>
          <x:t xml:space="preserve">root_3d</x:t>
        </x:is>
      </x:c>
      <x:c r="G129" s="349" t="inlineStr">
        <x:is>
          <x:t xml:space="preserve">ENV-DUNGEON-RUNTIME-3D</x:t>
        </x:is>
      </x:c>
      <x:c r="H129" s="349" t="inlineStr">
        <x:is>
          <x:t xml:space="preserve">俯视3D</x:t>
        </x:is>
      </x:c>
      <x:c r="I129" s="349" t="inlineStr">
        <x:is>
          <x:t xml:space="preserve">default</x:t>
        </x:is>
      </x:c>
      <x:c r="J129" s="349" t="inlineStr">
        <x:is>
          <x:t xml:space="preserve">全部3D房间</x:t>
        </x:is>
      </x:c>
      <x:c r="K129" s="349" t="inlineStr">
        <x:is>
          <x:t xml:space="preserve">原型已接入</x:t>
        </x:is>
      </x:c>
      <x:c r="L129" s="349" t="inlineStr">
        <x:is>
          <x:t xml:space="preserve">P0</x:t>
        </x:is>
      </x:c>
      <x:c r="M129" s="349" t="inlineStr">
        <x:is>
          <x:t xml:space="preserve">v001</x:t>
        </x:is>
      </x:c>
      <x:c r="N129" s="349" t="inlineStr">
        <x:is>
          <x:t xml:space="preserve">PackedScene/类型与尺寸配置</x:t>
        </x:is>
      </x:c>
      <x:c r="O129" s="349" t="inlineStr">
        <x:is>
          <x:t xml:space="preserve">assets/art/props/dungeon_3d/prp_room_furniture_root_top3d_v001.tscn</x:t>
        </x:is>
      </x:c>
      <x:c r="P129" s="349" t="inlineStr">
        <x:is>
          <x:t xml:space="preserve">src/world3d/RoomFurniture3D.gd</x:t>
        </x:is>
      </x:c>
      <x:c r="Q129" s="349" t="inlineStr">
        <x:is>
          <x:t xml:space="preserve">家具;小中大;箱柜;工作台</x:t>
        </x:is>
      </x:c>
      <x:c r="R129" s="349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349" t="str">
        <x:f>IF(COUNTIF($R$6:$R$423,R129)&gt;1,"重复","唯一")</x:f>
        <x:v>唯一</x:v>
      </x:c>
      <x:c r="T129" s="349" t="inlineStr">
        <x:is>
          <x:t xml:space="preserve">b98c316a9634111506783e11ada7d6558cebd85f136ec1d2fb6bfb325b0f46c3</x:t>
        </x:is>
      </x:c>
      <x:c r="U129" s="349" t="inlineStr">
        <x:is>
          <x:t xml:space="preserve">Codex</x:t>
        </x:is>
      </x:c>
      <x:c r="V129" s="348" t="n">
        <x:v>46224</x:v>
      </x:c>
      <x:c r="W129" s="349" t="inlineStr">
        <x:is>
          <x:t xml:space="preserve">原创程序几何</x:t>
        </x:is>
      </x:c>
      <x:c r="X129" s="375" t="inlineStr">
        <x:is>
          <x:t xml:space="preserve">—</x:t>
        </x:is>
      </x:c>
      <x:c r="Y129" s="349" t="inlineStr">
        <x:is>
          <x:t xml:space="preserve">11类轮廓；small/medium/large影响占地与碰撞</x:t>
        </x:is>
      </x:c>
    </x:row>
    <x:row r="130" ht="34" customHeight="1">
      <x:c r="A130" s="349" t="inlineStr">
        <x:is>
          <x:t xml:space="preserve">PRP-SEARCH-CONTAINER-3D</x:t>
        </x:is>
      </x:c>
      <x:c r="B130" s="349" t="inlineStr">
        <x:is>
          <x:t xml:space="preserve">可搜索容器3D通用模块</x:t>
        </x:is>
      </x:c>
      <x:c r="C130" s="349" t="inlineStr">
        <x:is>
          <x:t xml:space="preserve">场景道具</x:t>
        </x:is>
      </x:c>
      <x:c r="D130" s="349" t="inlineStr">
        <x:is>
          <x:t xml:space="preserve">container</x:t>
        </x:is>
      </x:c>
      <x:c r="E130" s="349" t="inlineStr">
        <x:is>
          <x:t xml:space="preserve">search_container</x:t>
        </x:is>
      </x:c>
      <x:c r="F130" s="349" t="inlineStr">
        <x:is>
          <x:t xml:space="preserve">root_3d</x:t>
        </x:is>
      </x:c>
      <x:c r="G130" s="349" t="inlineStr">
        <x:is>
          <x:t xml:space="preserve">PRP-ROOM-FURNITURE-3D</x:t>
        </x:is>
      </x:c>
      <x:c r="H130" s="349" t="inlineStr">
        <x:is>
          <x:t xml:space="preserve">俯视3D</x:t>
        </x:is>
      </x:c>
      <x:c r="I130" s="349" t="inlineStr">
        <x:is>
          <x:t xml:space="preserve">closed_opened</x:t>
        </x:is>
      </x:c>
      <x:c r="J130" s="349" t="inlineStr">
        <x:is>
          <x:t xml:space="preserve">搜索房/仓储/事件</x:t>
        </x:is>
      </x:c>
      <x:c r="K130" s="349" t="inlineStr">
        <x:is>
          <x:t xml:space="preserve">原型已接入</x:t>
        </x:is>
      </x:c>
      <x:c r="L130" s="349" t="inlineStr">
        <x:is>
          <x:t xml:space="preserve">P0</x:t>
        </x:is>
      </x:c>
      <x:c r="M130" s="349" t="inlineStr">
        <x:is>
          <x:t xml:space="preserve">v001</x:t>
        </x:is>
      </x:c>
      <x:c r="N130" s="349" t="inlineStr">
        <x:is>
          <x:t xml:space="preserve">PackedScene/搜索状态</x:t>
        </x:is>
      </x:c>
      <x:c r="O130" s="349" t="inlineStr">
        <x:is>
          <x:t xml:space="preserve">assets/art/props/dungeon_3d/prp_search_container_root_top3d_v001.tscn</x:t>
        </x:is>
      </x:c>
      <x:c r="P130" s="349" t="inlineStr">
        <x:is>
          <x:t xml:space="preserve">src/world3d/RoomFurniture3D.gd</x:t>
        </x:is>
      </x:c>
      <x:c r="Q130" s="349" t="inlineStr">
        <x:is>
          <x:t xml:space="preserve">搜索;容器;战利品;小中大</x:t>
        </x:is>
      </x:c>
      <x:c r="R130" s="349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349" t="str">
        <x:f>IF(COUNTIF($R$6:$R$423,R130)&gt;1,"重复","唯一")</x:f>
        <x:v>唯一</x:v>
      </x:c>
      <x:c r="T130" s="349" t="inlineStr">
        <x:is>
          <x:t xml:space="preserve">c9a836df320181589c748ffc3aa57dc45a403bc148dec9972013b105795c40f5</x:t>
        </x:is>
      </x:c>
      <x:c r="U130" s="349" t="inlineStr">
        <x:is>
          <x:t xml:space="preserve">Codex</x:t>
        </x:is>
      </x:c>
      <x:c r="V130" s="348" t="n">
        <x:v>46224</x:v>
      </x:c>
      <x:c r="W130" s="349" t="inlineStr">
        <x:is>
          <x:t xml:space="preserve">原创程序几何</x:t>
        </x:is>
      </x:c>
      <x:c r="X130" s="375" t="inlineStr">
        <x:is>
          <x:t xml:space="preserve">—</x:t>
        </x:is>
      </x:c>
      <x:c r="Y130" s="349" t="inlineStr">
        <x:is>
          <x:t xml:space="preserve">搜索为家具状态与配置，不建立关卡局部重复模型</x:t>
        </x:is>
      </x:c>
    </x:row>
    <x:row r="131" ht="34" customHeight="1">
      <x:c r="A131" s="349" t="inlineStr">
        <x:is>
          <x:t xml:space="preserve">PRP-SERVICE-STATION-3D</x:t>
        </x:is>
      </x:c>
      <x:c r="B131" s="349" t="inlineStr">
        <x:is>
          <x:t xml:space="preserve">废土服务终端3D模块</x:t>
        </x:is>
      </x:c>
      <x:c r="C131" s="349" t="inlineStr">
        <x:is>
          <x:t xml:space="preserve">场景道具</x:t>
        </x:is>
      </x:c>
      <x:c r="D131" s="349" t="inlineStr">
        <x:is>
          <x:t xml:space="preserve">facility</x:t>
        </x:is>
      </x:c>
      <x:c r="E131" s="349" t="inlineStr">
        <x:is>
          <x:t xml:space="preserve">service_station</x:t>
        </x:is>
      </x:c>
      <x:c r="F131" s="349" t="inlineStr">
        <x:is>
          <x:t xml:space="preserve">root_3d</x:t>
        </x:is>
      </x:c>
      <x:c r="G131" s="349" t="inlineStr">
        <x:is>
          <x:t xml:space="preserve">ENV-DUNGEON-RUNTIME-3D</x:t>
        </x:is>
      </x:c>
      <x:c r="H131" s="349" t="inlineStr">
        <x:is>
          <x:t xml:space="preserve">俯视3D</x:t>
        </x:is>
      </x:c>
      <x:c r="I131" s="349" t="inlineStr">
        <x:is>
          <x:t xml:space="preserve">default</x:t>
        </x:is>
      </x:c>
      <x:c r="J131" s="349" t="inlineStr">
        <x:is>
          <x:t xml:space="preserve">商店/升级/事件/重置</x:t>
        </x:is>
      </x:c>
      <x:c r="K131" s="349" t="inlineStr">
        <x:is>
          <x:t xml:space="preserve">原型已接入</x:t>
        </x:is>
      </x:c>
      <x:c r="L131" s="349" t="inlineStr">
        <x:is>
          <x:t xml:space="preserve">P0</x:t>
        </x:is>
      </x:c>
      <x:c r="M131" s="349" t="inlineStr">
        <x:is>
          <x:t xml:space="preserve">v001</x:t>
        </x:is>
      </x:c>
      <x:c r="N131" s="349" t="inlineStr">
        <x:is>
          <x:t xml:space="preserve">PackedScene/程序组件</x:t>
        </x:is>
      </x:c>
      <x:c r="O131" s="349" t="inlineStr">
        <x:is>
          <x:t xml:space="preserve">assets/art/props/dungeon_3d/prp_service_station_root_top3d_v001.tscn</x:t>
        </x:is>
      </x:c>
      <x:c r="P131" s="349" t="inlineStr">
        <x:is>
          <x:t xml:space="preserve">src/world3d/ServiceStation3D.gd</x:t>
        </x:is>
      </x:c>
      <x:c r="Q131" s="349" t="inlineStr">
        <x:is>
          <x:t xml:space="preserve">终端;商店;升级;事件;重置</x:t>
        </x:is>
      </x:c>
      <x:c r="R131" s="349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349" t="str">
        <x:f>IF(COUNTIF($R$6:$R$423,R131)&gt;1,"重复","唯一")</x:f>
        <x:v>唯一</x:v>
      </x:c>
      <x:c r="T131" s="349" t="inlineStr">
        <x:is>
          <x:t xml:space="preserve">8d2ccf3e8714a237d0096d7e44beaa824ca2acd13e5c5a20b8cb22ba5ef38e78</x:t>
        </x:is>
      </x:c>
      <x:c r="U131" s="349" t="inlineStr">
        <x:is>
          <x:t xml:space="preserve">Codex</x:t>
        </x:is>
      </x:c>
      <x:c r="V131" s="348" t="n">
        <x:v>46224</x:v>
      </x:c>
      <x:c r="W131" s="349" t="inlineStr">
        <x:is>
          <x:t xml:space="preserve">原创程序几何</x:t>
        </x:is>
      </x:c>
      <x:c r="X131" s="375" t="inlineStr">
        <x:is>
          <x:t xml:space="preserve">—</x:t>
        </x:is>
      </x:c>
      <x:c r="Y131" s="349" t="inlineStr">
        <x:is>
          <x:t xml:space="preserve">四种服务行为复用同一视觉与交互组件</x:t>
        </x:is>
      </x:c>
    </x:row>
    <x:row r="132" ht="34" customHeight="1">
      <x:c r="A132" s="349" t="inlineStr">
        <x:is>
          <x:t xml:space="preserve">PRP-EXTRACTION-BEACON-3D</x:t>
        </x:is>
      </x:c>
      <x:c r="B132" s="349" t="inlineStr">
        <x:is>
          <x:t xml:space="preserve">撤离信标3D模块</x:t>
        </x:is>
      </x:c>
      <x:c r="C132" s="349" t="inlineStr">
        <x:is>
          <x:t xml:space="preserve">场景道具</x:t>
        </x:is>
      </x:c>
      <x:c r="D132" s="349" t="inlineStr">
        <x:is>
          <x:t xml:space="preserve">facility</x:t>
        </x:is>
      </x:c>
      <x:c r="E132" s="349" t="inlineStr">
        <x:is>
          <x:t xml:space="preserve">extraction_beacon</x:t>
        </x:is>
      </x:c>
      <x:c r="F132" s="349" t="inlineStr">
        <x:is>
          <x:t xml:space="preserve">root_3d</x:t>
        </x:is>
      </x:c>
      <x:c r="G132" s="349" t="inlineStr">
        <x:is>
          <x:t xml:space="preserve">ENV-DUNGEON-RUNTIME-3D</x:t>
        </x:is>
      </x:c>
      <x:c r="H132" s="349" t="inlineStr">
        <x:is>
          <x:t xml:space="preserve">俯视3D</x:t>
        </x:is>
      </x:c>
      <x:c r="I132" s="349" t="inlineStr">
        <x:is>
          <x:t xml:space="preserve">locked_active_done</x:t>
        </x:is>
      </x:c>
      <x:c r="J132" s="349" t="inlineStr">
        <x:is>
          <x:t xml:space="preserve">四主题撤离房</x:t>
        </x:is>
      </x:c>
      <x:c r="K132" s="349" t="inlineStr">
        <x:is>
          <x:t xml:space="preserve">原型已接入</x:t>
        </x:is>
      </x:c>
      <x:c r="L132" s="349" t="inlineStr">
        <x:is>
          <x:t xml:space="preserve">P0</x:t>
        </x:is>
      </x:c>
      <x:c r="M132" s="349" t="inlineStr">
        <x:is>
          <x:t xml:space="preserve">v001</x:t>
        </x:is>
      </x:c>
      <x:c r="N132" s="349" t="inlineStr">
        <x:is>
          <x:t xml:space="preserve">PackedScene/程序组件</x:t>
        </x:is>
      </x:c>
      <x:c r="O132" s="349" t="inlineStr">
        <x:is>
          <x:t xml:space="preserve">assets/art/props/dungeon_3d/prp_extraction_beacon_root_top3d_v001.tscn</x:t>
        </x:is>
      </x:c>
      <x:c r="P132" s="349" t="inlineStr">
        <x:is>
          <x:t xml:space="preserve">src/world3d/ExtractionBeacon3D.gd</x:t>
        </x:is>
      </x:c>
      <x:c r="Q132" s="349" t="inlineStr">
        <x:is>
          <x:t xml:space="preserve">撤离;信标;倒计时;Boss解锁</x:t>
        </x:is>
      </x:c>
      <x:c r="R132" s="349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349" t="str">
        <x:f>IF(COUNTIF($R$6:$R$423,R132)&gt;1,"重复","唯一")</x:f>
        <x:v>唯一</x:v>
      </x:c>
      <x:c r="T132" s="349" t="inlineStr">
        <x:is>
          <x:t xml:space="preserve">26922cc2f1d9640f0b237f0876d6d549f1f323d20ac4f916ca789b3893bc6aa3</x:t>
        </x:is>
      </x:c>
      <x:c r="U132" s="349" t="inlineStr">
        <x:is>
          <x:t xml:space="preserve">Codex</x:t>
        </x:is>
      </x:c>
      <x:c r="V132" s="348" t="n">
        <x:v>46237</x:v>
      </x:c>
      <x:c r="W132" s="349" t="inlineStr">
        <x:is>
          <x:t xml:space="preserve">原创程序几何</x:t>
        </x:is>
      </x:c>
      <x:c r="X132" s="375" t="inlineStr">
        <x:is>
          <x:t xml:space="preserve">—</x:t>
        </x:is>
      </x:c>
      <x:c r="Y132" s="349" t="inlineStr">
        <x:is>
          <x:t xml:space="preserve">锁定/同步/取消/完成四段生命周期
2026-08-03：待机/锁定 STANDARD 信标局部光固定为 2.2；仅正式撤离倒计时允许能量脉冲，避免干扰基地房灯的地面反馈。</x:t>
        </x:is>
      </x:c>
    </x:row>
    <x:row r="133" ht="34" customHeight="1">
      <x:c r="A133" s="349" t="inlineStr">
        <x:is>
          <x:t xml:space="preserve">VFX-HAZARD-FIELD-3D</x:t>
        </x:is>
      </x:c>
      <x:c r="B133" s="349" t="inlineStr">
        <x:is>
          <x:t xml:space="preserve">房间危险场3D特效</x:t>
        </x:is>
      </x:c>
      <x:c r="C133" s="349" t="inlineStr">
        <x:is>
          <x:t xml:space="preserve">特效</x:t>
        </x:is>
      </x:c>
      <x:c r="D133" s="349" t="inlineStr">
        <x:is>
          <x:t xml:space="preserve">environment</x:t>
        </x:is>
      </x:c>
      <x:c r="E133" s="349" t="inlineStr">
        <x:is>
          <x:t xml:space="preserve">hazard_field</x:t>
        </x:is>
      </x:c>
      <x:c r="F133" s="349" t="inlineStr">
        <x:is>
          <x:t xml:space="preserve">root_3d</x:t>
        </x:is>
      </x:c>
      <x:c r="G133" s="349" t="inlineStr">
        <x:is>
          <x:t xml:space="preserve">ENV-DUNGEON-RUNTIME-3D</x:t>
        </x:is>
      </x:c>
      <x:c r="H133" s="349" t="inlineStr">
        <x:is>
          <x:t xml:space="preserve">俯视3D</x:t>
        </x:is>
      </x:c>
      <x:c r="I133" s="349" t="inlineStr">
        <x:is>
          <x:t xml:space="preserve">active</x:t>
        </x:is>
      </x:c>
      <x:c r="J133" s="349" t="inlineStr">
        <x:is>
          <x:t xml:space="preserve">陷阱房</x:t>
        </x:is>
      </x:c>
      <x:c r="K133" s="349" t="inlineStr">
        <x:is>
          <x:t xml:space="preserve">原型已接入</x:t>
        </x:is>
      </x:c>
      <x:c r="L133" s="349" t="inlineStr">
        <x:is>
          <x:t xml:space="preserve">P0</x:t>
        </x:is>
      </x:c>
      <x:c r="M133" s="349" t="inlineStr">
        <x:is>
          <x:t xml:space="preserve">v001</x:t>
        </x:is>
      </x:c>
      <x:c r="N133" s="349" t="inlineStr">
        <x:is>
          <x:t xml:space="preserve">PackedScene/程序环形特效</x:t>
        </x:is>
      </x:c>
      <x:c r="O133" s="349" t="inlineStr">
        <x:is>
          <x:t xml:space="preserve">assets/art/vfx/environment_3d/vfx_hazard_field_root_top3d_v001.tscn</x:t>
        </x:is>
      </x:c>
      <x:c r="P133" s="349" t="inlineStr">
        <x:is>
          <x:t xml:space="preserve">src/world3d/HazardField3D.gd</x:t>
        </x:is>
      </x:c>
      <x:c r="Q133" s="349" t="inlineStr">
        <x:is>
          <x:t xml:space="preserve">危险区;陷阱;范围伤害;3D</x:t>
        </x:is>
      </x:c>
      <x:c r="R133" s="349" t="str">
        <x:f>LOWER(TRIM(C133)&amp;"|"&amp;TRIM(D133)&amp;"|"&amp;TRIM(E133)&amp;"|"&amp;TRIM(F133)&amp;"|"&amp;TRIM(H133)&amp;"|"&amp;TRIM(I133))</x:f>
        <x:v>特效|environment|hazard_field|root_3d|俯视3d|active</x:v>
      </x:c>
      <x:c r="S133" s="349" t="str">
        <x:f>IF(COUNTIF($R$6:$R$423,R133)&gt;1,"重复","唯一")</x:f>
        <x:v>唯一</x:v>
      </x:c>
      <x:c r="T133" s="349" t="inlineStr">
        <x:is>
          <x:t xml:space="preserve">9457d360dc6529e42502980b94188d13f76da5efb581b261cfb9b8adbd0f5ff6</x:t>
        </x:is>
      </x:c>
      <x:c r="U133" s="349" t="inlineStr">
        <x:is>
          <x:t xml:space="preserve">Codex</x:t>
        </x:is>
      </x:c>
      <x:c r="V133" s="348" t="n">
        <x:v>46224</x:v>
      </x:c>
      <x:c r="W133" s="349" t="inlineStr">
        <x:is>
          <x:t xml:space="preserve">原创程序特效</x:t>
        </x:is>
      </x:c>
      <x:c r="X133" s="375" t="inlineStr">
        <x:is>
          <x:t xml:space="preserve">—</x:t>
        </x:is>
      </x:c>
      <x:c r="Y133" s="349" t="inlineStr">
        <x:is>
          <x:t xml:space="preserve">颜色、半径与伤害可按主题配置</x:t>
        </x:is>
      </x:c>
    </x:row>
    <x:row r="134" ht="34" customHeight="1">
      <x:c r="A134" s="349" t="inlineStr">
        <x:is>
          <x:t xml:space="preserve">WPN-GUN-KIT-3D</x:t>
        </x:is>
      </x:c>
      <x:c r="B134" s="349" t="inlineStr">
        <x:is>
          <x:t xml:space="preserve">枪械3D通用模型套件</x:t>
        </x:is>
      </x:c>
      <x:c r="C134" s="349" t="inlineStr">
        <x:is>
          <x:t xml:space="preserve">武器</x:t>
        </x:is>
      </x:c>
      <x:c r="D134" s="349" t="inlineStr">
        <x:is>
          <x:t xml:space="preserve">gunbody</x:t>
        </x:is>
      </x:c>
      <x:c r="E134" s="349" t="inlineStr">
        <x:is>
          <x:t xml:space="preserve">blueprint_gun_catalog</x:t>
        </x:is>
      </x:c>
      <x:c r="F134" s="349" t="inlineStr">
        <x:is>
          <x:t xml:space="preserve">root_3d</x:t>
        </x:is>
      </x:c>
      <x:c r="G134" s="349" t="n"/>
      <x:c r="H134" s="349" t="inlineStr">
        <x:is>
          <x:t xml:space="preserve">俯视3D</x:t>
        </x:is>
      </x:c>
      <x:c r="I134" s="349" t="inlineStr">
        <x:is>
          <x:t xml:space="preserve">default</x:t>
        </x:is>
      </x:c>
      <x:c r="J134" s="349" t="inlineStr">
        <x:is>
          <x:t xml:space="preserve">玩家/靶场/全部副本</x:t>
        </x:is>
      </x:c>
      <x:c r="K134" s="349" t="inlineStr">
        <x:is>
          <x:t xml:space="preserve">原型已接入</x:t>
        </x:is>
      </x:c>
      <x:c r="L134" s="349" t="inlineStr">
        <x:is>
          <x:t xml:space="preserve">P0</x:t>
        </x:is>
      </x:c>
      <x:c r="M134" s="349" t="inlineStr">
        <x:is>
          <x:t xml:space="preserve">v001</x:t>
        </x:is>
      </x:c>
      <x:c r="N134" s="349" t="inlineStr">
        <x:is>
          <x:t xml:space="preserve">PackedScene/7枪配置模型</x:t>
        </x:is>
      </x:c>
      <x:c r="O134" s="349" t="inlineStr">
        <x:is>
          <x:t xml:space="preserve">assets/art/weapons/weapon_3d/wpn_gun_kit_root_top3d_v001.tscn</x:t>
        </x:is>
      </x:c>
      <x:c r="P134" s="349" t="inlineStr">
        <x:is>
          <x:t xml:space="preserve">src/combat3d/WeaponModel3D.gd</x:t>
        </x:is>
      </x:c>
      <x:c r="Q134" s="349" t="inlineStr">
        <x:is>
          <x:t xml:space="preserve">枪械;7枪身;8弹药;后坐力;枪口</x:t>
        </x:is>
      </x:c>
      <x:c r="R134" s="349" t="str">
        <x:f>LOWER(TRIM(C134)&amp;"|"&amp;TRIM(D134)&amp;"|"&amp;TRIM(E134)&amp;"|"&amp;TRIM(F134)&amp;"|"&amp;TRIM(H134)&amp;"|"&amp;TRIM(I134))</x:f>
        <x:v>武器|gunbody|blueprint_gun_catalog|root_3d|俯视3d|default</x:v>
      </x:c>
      <x:c r="S134" s="349" t="str">
        <x:f>IF(COUNTIF($R$6:$R$423,R134)&gt;1,"重复","唯一")</x:f>
        <x:v>唯一</x:v>
      </x:c>
      <x:c r="T134" s="349" t="inlineStr">
        <x:is>
          <x:t xml:space="preserve">ca471a3f8f041a7061f31ab7279ff9a976a0d9d182d0d0fd3c8e1437fe704bf4</x:t>
        </x:is>
      </x:c>
      <x:c r="U134" s="349" t="inlineStr">
        <x:is>
          <x:t xml:space="preserve">Codex</x:t>
        </x:is>
      </x:c>
      <x:c r="V134" s="348" t="n">
        <x:v>46225</x:v>
      </x:c>
      <x:c r="W134" s="349" t="inlineStr">
        <x:is>
          <x:t xml:space="preserve">原创程序几何</x:t>
        </x:is>
      </x:c>
      <x:c r="X134" s="375" t="inlineStr">
        <x:is>
          <x:t xml:space="preserve">—</x:t>
        </x:is>
      </x:c>
      <x:c r="Y134" s="349" t="inlineStr">
        <x:is>
          <x:t xml:space="preserve"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
2026-08-30 AST-01规范化（原大类：枪械）</x:t>
        </x:is>
      </x:c>
    </x:row>
    <x:row r="135" ht="34" customHeight="1">
      <x:c r="A135" s="349" t="inlineStr">
        <x:is>
          <x:t xml:space="preserve">ENM-ECOSYSTEM-KIT-3D</x:t>
        </x:is>
      </x:c>
      <x:c r="B135" s="349" t="inlineStr">
        <x:is>
          <x:t xml:space="preserve">七类怪物3D生态套件</x:t>
        </x:is>
      </x:c>
      <x:c r="C135" s="349" t="inlineStr">
        <x:is>
          <x:t xml:space="preserve">敌人</x:t>
        </x:is>
      </x:c>
      <x:c r="D135" s="349" t="inlineStr">
        <x:is>
          <x:t xml:space="preserve">normal_elite_boss</x:t>
        </x:is>
      </x:c>
      <x:c r="E135" s="349" t="inlineStr">
        <x:is>
          <x:t xml:space="preserve">enemy_ecosystem</x:t>
        </x:is>
      </x:c>
      <x:c r="F135" s="349" t="inlineStr">
        <x:is>
          <x:t xml:space="preserve">root_3d</x:t>
        </x:is>
      </x:c>
      <x:c r="G135" s="349" t="n"/>
      <x:c r="H135" s="349" t="inlineStr">
        <x:is>
          <x:t xml:space="preserve">俯视3D</x:t>
        </x:is>
      </x:c>
      <x:c r="I135" s="349" t="inlineStr">
        <x:is>
          <x:t xml:space="preserve">default</x:t>
        </x:is>
      </x:c>
      <x:c r="J135" s="349" t="inlineStr">
        <x:is>
          <x:t xml:space="preserve">四主题战斗房</x:t>
        </x:is>
      </x:c>
      <x:c r="K135" s="349" t="inlineStr">
        <x:is>
          <x:t xml:space="preserve">原型已接入</x:t>
        </x:is>
      </x:c>
      <x:c r="L135" s="349" t="inlineStr">
        <x:is>
          <x:t xml:space="preserve">P0</x:t>
        </x:is>
      </x:c>
      <x:c r="M135" s="349" t="inlineStr">
        <x:is>
          <x:t xml:space="preserve">v001</x:t>
        </x:is>
      </x:c>
      <x:c r="N135" s="349" t="inlineStr">
        <x:is>
          <x:t xml:space="preserve">PackedScene/模块敌人</x:t>
        </x:is>
      </x:c>
      <x:c r="O135" s="349" t="inlineStr">
        <x:is>
          <x:t xml:space="preserve">assets/art/enemies/enemy_3d/enm_ecosystem_kit_root_top3d_v001.tscn</x:t>
        </x:is>
      </x:c>
      <x:c r="P135" s="349" t="inlineStr">
        <x:is>
          <x:t xml:space="preserve">src/enemy3d/Enemy3D.gd</x:t>
        </x:is>
      </x:c>
      <x:c r="Q135" s="349" t="inlineStr">
        <x:is>
          <x:t xml:space="preserve">怪物;七类;核心;外壳;附肢;状态</x:t>
        </x:is>
      </x:c>
      <x:c r="R135" s="349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349" t="str">
        <x:f>IF(COUNTIF($R$6:$R$423,R135)&gt;1,"重复","唯一")</x:f>
        <x:v>唯一</x:v>
      </x:c>
      <x:c r="T135" s="349" t="inlineStr">
        <x:is>
          <x:t xml:space="preserve">901fb3e339fca1127138a6da85ff7e69cf93a56bb8b0e840e7124a1216198149</x:t>
        </x:is>
      </x:c>
      <x:c r="U135" s="349" t="inlineStr">
        <x:is>
          <x:t xml:space="preserve">Codex</x:t>
        </x:is>
      </x:c>
      <x:c r="V135" s="348" t="n">
        <x:v>46225</x:v>
      </x:c>
      <x:c r="W135" s="349" t="inlineStr">
        <x:is>
          <x:t xml:space="preserve">原创程序几何</x:t>
        </x:is>
      </x:c>
      <x:c r="X135" s="375" t="inlineStr">
        <x:is>
          <x:t xml:space="preserve">—</x:t>
        </x:is>
      </x:c>
      <x:c r="Y135" s="349" t="inlineStr">
        <x:is>
          <x:t xml:space="preserve">九态AI视线允许射线命中玩家本体并保留实体墙遮挡；3D基础HP乘旧楼层/主题/精英倍率，开局手枪普通命中不秒杀基础怪</x:t>
        </x:is>
      </x:c>
    </x:row>
    <x:row r="136" ht="34" customHeight="1">
      <x:c r="A136" s="349" t="inlineStr">
        <x:is>
          <x:t xml:space="preserve">VFX-COMBAT-KIT-3D</x:t>
        </x:is>
      </x:c>
      <x:c r="B136" s="349" t="inlineStr">
        <x:is>
          <x:t xml:space="preserve">战斗反馈3D通用特效套件</x:t>
        </x:is>
      </x:c>
      <x:c r="C136" s="349" t="inlineStr">
        <x:is>
          <x:t xml:space="preserve">特效</x:t>
        </x:is>
      </x:c>
      <x:c r="D136" s="349" t="inlineStr">
        <x:is>
          <x:t xml:space="preserve">combat</x:t>
        </x:is>
      </x:c>
      <x:c r="E136" s="349" t="inlineStr">
        <x:is>
          <x:t xml:space="preserve">combat_feedback</x:t>
        </x:is>
      </x:c>
      <x:c r="F136" s="349" t="inlineStr">
        <x:is>
          <x:t xml:space="preserve">root_3d</x:t>
        </x:is>
      </x:c>
      <x:c r="G136" s="349" t="n"/>
      <x:c r="H136" s="349" t="inlineStr">
        <x:is>
          <x:t xml:space="preserve">俯视3D</x:t>
        </x:is>
      </x:c>
      <x:c r="I136" s="349" t="inlineStr">
        <x:is>
          <x:t xml:space="preserve">muzzle_impact_damage_explosion_slash_melee_impact</x:t>
        </x:is>
      </x:c>
      <x:c r="J136" s="349" t="inlineStr">
        <x:is>
          <x:t xml:space="preserve">枪械/近战/敌人/关卡</x:t>
        </x:is>
      </x:c>
      <x:c r="K136" s="349" t="inlineStr">
        <x:is>
          <x:t xml:space="preserve">原型已接入</x:t>
        </x:is>
      </x:c>
      <x:c r="L136" s="349" t="inlineStr">
        <x:is>
          <x:t xml:space="preserve">P0</x:t>
        </x:is>
      </x:c>
      <x:c r="M136" s="349" t="inlineStr">
        <x:is>
          <x:t xml:space="preserve">v001</x:t>
        </x:is>
      </x:c>
      <x:c r="N136" s="349" t="inlineStr">
        <x:is>
          <x:t xml:space="preserve">PackedScene/参数化特效</x:t>
        </x:is>
      </x:c>
      <x:c r="O136" s="349" t="inlineStr">
        <x:is>
          <x:t xml:space="preserve">assets/art/vfx/combat_3d/vfx_combat_kit_root_top3d_v001.tscn</x:t>
        </x:is>
      </x:c>
      <x:c r="P136" s="349" t="inlineStr">
        <x:is>
          <x:t xml:space="preserve">src/combat3d/CombatEffect3D.gd; src/combat3d/CombatEffectPool3D.gd; src/player3d/melee/PlayerMeleeCombat3D.gd</x:t>
        </x:is>
      </x:c>
      <x:c r="Q136" s="349" t="inlineStr">
        <x:is>
          <x:t xml:space="preserve">枪口;命中;伤害;爆炸;挥砍;近战冲击;slash;melee_impact;3D</x:t>
        </x:is>
      </x:c>
      <x:c r="R136" s="349" t="str">
        <x:f>LOWER(TRIM(C136)&amp;"|"&amp;TRIM(D136)&amp;"|"&amp;TRIM(E136)&amp;"|"&amp;TRIM(F136)&amp;"|"&amp;TRIM(H136)&amp;"|"&amp;TRIM(I136))</x:f>
        <x:v>特效|combat|combat_feedback|root_3d|俯视3d|muzzle_impact_damage_explosion_slash_melee_impact</x:v>
      </x:c>
      <x:c r="S136" s="349" t="str">
        <x:f>IF(COUNTIF($R$6:$R$423,R136)&gt;1,"重复","唯一")</x:f>
        <x:v>唯一</x:v>
      </x:c>
      <x:c r="T136" s="349" t="inlineStr">
        <x:is>
          <x:t xml:space="preserve">59cd5409b33ff9fae9c541b357699249d8f0574bc21add6fec2d1fdfd89a098e</x:t>
        </x:is>
      </x:c>
      <x:c r="U136" s="349" t="inlineStr">
        <x:is>
          <x:t xml:space="preserve">Codex</x:t>
        </x:is>
      </x:c>
      <x:c r="V136" s="348" t="n">
        <x:v>46224</x:v>
      </x:c>
      <x:c r="W136" s="349" t="inlineStr">
        <x:is>
          <x:t xml:space="preserve">原创程序特效</x:t>
        </x:is>
      </x:c>
      <x:c r="X136" s="375" t="inlineStr">
        <x:is>
          <x:t xml:space="preserve">—</x:t>
        </x:is>
      </x:c>
      <x:c r="Y136" s="349" t="inlineStr">
        <x:is>
          <x:t xml:space="preserve">effect kind、颜色、尺寸、方向与连段参数化；新增slash/melee_impact无碰撞池化种类，复用同一战斗VFX根；近战专项验证一段一弧光、逐目标爆点。</x:t>
        </x:is>
      </x:c>
    </x:row>
    <x:row r="137" ht="34" customHeight="1">
      <x:c r="A137" s="349" t="inlineStr">
        <x:is>
          <x:t xml:space="preserve">ENV-TRAINING-RANGE-KIT-3D</x:t>
        </x:is>
      </x:c>
      <x:c r="B137" s="349" t="inlineStr">
        <x:is>
          <x:t xml:space="preserve">独立3D训练靶场套件</x:t>
        </x:is>
      </x:c>
      <x:c r="C137" s="349" t="inlineStr">
        <x:is>
          <x:t xml:space="preserve">场景</x:t>
        </x:is>
      </x:c>
      <x:c r="D137" s="349" t="inlineStr">
        <x:is>
          <x:t xml:space="preserve">training_range</x:t>
        </x:is>
      </x:c>
      <x:c r="E137" s="349" t="inlineStr">
        <x:is>
          <x:t xml:space="preserve">training_range</x:t>
        </x:is>
      </x:c>
      <x:c r="F137" s="349" t="inlineStr">
        <x:is>
          <x:t xml:space="preserve">root_3d</x:t>
        </x:is>
      </x:c>
      <x:c r="G137" s="349" t="n"/>
      <x:c r="H137" s="349" t="inlineStr">
        <x:is>
          <x:t xml:space="preserve">俯视3D</x:t>
        </x:is>
      </x:c>
      <x:c r="I137" s="349" t="inlineStr">
        <x:is>
          <x:t xml:space="preserve">default</x:t>
        </x:is>
      </x:c>
      <x:c r="J137" s="349" t="inlineStr">
        <x:is>
          <x:t xml:space="preserve">独立训练地图</x:t>
        </x:is>
      </x:c>
      <x:c r="K137" s="349" t="inlineStr">
        <x:is>
          <x:t xml:space="preserve">原型已接入</x:t>
        </x:is>
      </x:c>
      <x:c r="L137" s="349" t="inlineStr">
        <x:is>
          <x:t xml:space="preserve">P0</x:t>
        </x:is>
      </x:c>
      <x:c r="M137" s="349" t="inlineStr">
        <x:is>
          <x:t xml:space="preserve">v001</x:t>
        </x:is>
      </x:c>
      <x:c r="N137" s="349" t="inlineStr">
        <x:is>
          <x:t xml:space="preserve">PackedScene/程序环境</x:t>
        </x:is>
      </x:c>
      <x:c r="O137" s="349" t="inlineStr">
        <x:is>
          <x:t xml:space="preserve">assets/art/environments/training_range_3d/env_training_range_kit_top3d_v001.tscn</x:t>
        </x:is>
      </x:c>
      <x:c r="P137" s="349" t="inlineStr">
        <x:is>
          <x:t xml:space="preserve">scenes/TrainingRange3D.tscn</x:t>
        </x:is>
      </x:c>
      <x:c r="Q137" s="349" t="inlineStr">
        <x:is>
          <x:t xml:space="preserve">靶场;射击道;货架;59组合;三类靶</x:t>
        </x:is>
      </x:c>
      <x:c r="R137" s="349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349" t="str">
        <x:f>IF(COUNTIF($R$6:$R$423,R137)&gt;1,"重复","唯一")</x:f>
        <x:v>唯一</x:v>
      </x:c>
      <x:c r="T137" s="349" t="inlineStr">
        <x:is>
          <x:t xml:space="preserve">e3a0ef2fb72576117c4f6faa6528c46f11bec8470b2ddec0eac2d1beb0bdc356</x:t>
        </x:is>
      </x:c>
      <x:c r="U137" s="349" t="inlineStr">
        <x:is>
          <x:t xml:space="preserve">Codex</x:t>
        </x:is>
      </x:c>
      <x:c r="V137" s="348" t="n">
        <x:v>46224</x:v>
      </x:c>
      <x:c r="W137" s="349" t="inlineStr">
        <x:is>
          <x:t xml:space="preserve">原创程序几何</x:t>
        </x:is>
      </x:c>
      <x:c r="X137" s="375" t="inlineStr">
        <x:is>
          <x:t xml:space="preserve">—</x:t>
        </x:is>
      </x:c>
      <x:c r="Y137" s="349" t="inlineStr">
        <x:is>
          <x:t xml:space="preserve">18货架（7远程+3近战+8子弹）、三射击道、三靶标、重置与返回；BaseData隔离</x:t>
        </x:is>
      </x:c>
    </x:row>
    <x:row r="138" ht="34" customHeight="1">
      <x:c r="A138" s="349" t="inlineStr">
        <x:is>
          <x:t xml:space="preserve">ENV-DUNGEON-RUNTIME-3D-PREVIEW</x:t>
        </x:is>
      </x:c>
      <x:c r="B138" s="349" t="inlineStr">
        <x:is>
          <x:t xml:space="preserve">3D关卡运行时验收预览</x:t>
        </x:is>
      </x:c>
      <x:c r="C138" s="349" t="inlineStr">
        <x:is>
          <x:t xml:space="preserve">场景</x:t>
        </x:is>
      </x:c>
      <x:c r="D138" s="349" t="inlineStr">
        <x:is>
          <x:t xml:space="preserve">review_board</x:t>
        </x:is>
      </x:c>
      <x:c r="E138" s="349" t="inlineStr">
        <x:is>
          <x:t xml:space="preserve">dungeon_runtime</x:t>
        </x:is>
      </x:c>
      <x:c r="F138" s="349" t="inlineStr">
        <x:is>
          <x:t xml:space="preserve">preview_3d</x:t>
        </x:is>
      </x:c>
      <x:c r="G138" s="349" t="inlineStr">
        <x:is>
          <x:t xml:space="preserve">ENV-DUNGEON-RUNTIME-3D</x:t>
        </x:is>
      </x:c>
      <x:c r="H138" s="349" t="inlineStr">
        <x:is>
          <x:t xml:space="preserve">俯视3D</x:t>
        </x:is>
      </x:c>
      <x:c r="I138" s="349" t="inlineStr">
        <x:is>
          <x:t xml:space="preserve">default</x:t>
        </x:is>
      </x:c>
      <x:c r="J138" s="349" t="inlineStr">
        <x:is>
          <x:t xml:space="preserve">评审与资产QA</x:t>
        </x:is>
      </x:c>
      <x:c r="K138" s="349" t="inlineStr">
        <x:is>
          <x:t xml:space="preserve">已完成</x:t>
        </x:is>
      </x:c>
      <x:c r="L138" s="349" t="inlineStr">
        <x:is>
          <x:t xml:space="preserve">P1</x:t>
        </x:is>
      </x:c>
      <x:c r="M138" s="349" t="inlineStr">
        <x:is>
          <x:t xml:space="preserve">v001</x:t>
        </x:is>
      </x:c>
      <x:c r="N138" s="349" t="inlineStr">
        <x:is>
          <x:t xml:space="preserve">1280×720 PNG</x:t>
        </x:is>
      </x:c>
      <x:c r="O138" s="349" t="inlineStr">
        <x:is>
          <x:t xml:space="preserve">assets/art/environments/dungeon_3d/previews/env_dungeon_runtime_preview_top3d_v001.png</x:t>
        </x:is>
      </x:c>
      <x:c r="P138" s="349" t="inlineStr">
        <x:is>
          <x:t xml:space="preserve">tests/verification/verify_full_3d_visual.tscn</x:t>
        </x:is>
      </x:c>
      <x:c r="Q138" s="349" t="inlineStr">
        <x:is>
          <x:t xml:space="preserve">3D关卡;预览;灯光;战斗;QA</x:t>
        </x:is>
      </x:c>
      <x:c r="R138" s="349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349" t="str">
        <x:f>IF(COUNTIF($R$6:$R$423,R138)&gt;1,"重复","唯一")</x:f>
        <x:v>唯一</x:v>
      </x:c>
      <x:c r="T138" s="349" t="inlineStr">
        <x:is>
          <x:t xml:space="preserve">3b2c2212f1283ed366a31dc3a101b3555c78768c3906600eb0b18c74423fb247</x:t>
        </x:is>
      </x:c>
      <x:c r="U138" s="349" t="inlineStr">
        <x:is>
          <x:t xml:space="preserve">Codex</x:t>
        </x:is>
      </x:c>
      <x:c r="V138" s="348" t="n">
        <x:v>46264</x:v>
      </x:c>
      <x:c r="W138" s="349" t="inlineStr">
        <x:is>
          <x:t xml:space="preserve">项目运行截图</x:t>
        </x:is>
      </x:c>
      <x:c r="X138" s="375" t="inlineStr">
        <x:is>
          <x:t xml:space="preserve">—</x:t>
        </x:is>
      </x:c>
      <x:c r="Y138" s="349" t="inlineStr">
        <x:is>
          <x:t xml:space="preserve"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x:t>
        </x:is>
      </x:c>
    </x:row>
    <x:row r="139" ht="34" customHeight="1">
      <x:c r="A139" s="349" t="inlineStr">
        <x:is>
          <x:t xml:space="preserve">ENV-TRAINING-RANGE-3D-PREVIEW</x:t>
        </x:is>
      </x:c>
      <x:c r="B139" s="349" t="inlineStr">
        <x:is>
          <x:t xml:space="preserve">3D训练靶场验收预览</x:t>
        </x:is>
      </x:c>
      <x:c r="C139" s="349" t="inlineStr">
        <x:is>
          <x:t xml:space="preserve">场景</x:t>
        </x:is>
      </x:c>
      <x:c r="D139" s="349" t="inlineStr">
        <x:is>
          <x:t xml:space="preserve">review_board</x:t>
        </x:is>
      </x:c>
      <x:c r="E139" s="349" t="inlineStr">
        <x:is>
          <x:t xml:space="preserve">training_range</x:t>
        </x:is>
      </x:c>
      <x:c r="F139" s="349" t="inlineStr">
        <x:is>
          <x:t xml:space="preserve">preview_3d</x:t>
        </x:is>
      </x:c>
      <x:c r="G139" s="349" t="inlineStr">
        <x:is>
          <x:t xml:space="preserve">ENV-TRAINING-RANGE-KIT-3D</x:t>
        </x:is>
      </x:c>
      <x:c r="H139" s="349" t="inlineStr">
        <x:is>
          <x:t xml:space="preserve">俯视3D</x:t>
        </x:is>
      </x:c>
      <x:c r="I139" s="349" t="inlineStr">
        <x:is>
          <x:t xml:space="preserve">default</x:t>
        </x:is>
      </x:c>
      <x:c r="J139" s="349" t="inlineStr">
        <x:is>
          <x:t xml:space="preserve">评审与资产QA</x:t>
        </x:is>
      </x:c>
      <x:c r="K139" s="349" t="inlineStr">
        <x:is>
          <x:t xml:space="preserve">已完成</x:t>
        </x:is>
      </x:c>
      <x:c r="L139" s="349" t="inlineStr">
        <x:is>
          <x:t xml:space="preserve">P1</x:t>
        </x:is>
      </x:c>
      <x:c r="M139" s="349" t="inlineStr">
        <x:is>
          <x:t xml:space="preserve">v001</x:t>
        </x:is>
      </x:c>
      <x:c r="N139" s="349" t="inlineStr">
        <x:is>
          <x:t xml:space="preserve">1280×720 PNG</x:t>
        </x:is>
      </x:c>
      <x:c r="O139" s="349" t="inlineStr">
        <x:is>
          <x:t xml:space="preserve">assets/art/environments/training_range_3d/env_training_range_preview_top3d_v001.png</x:t>
        </x:is>
      </x:c>
      <x:c r="P139" s="349" t="inlineStr">
        <x:is>
          <x:t xml:space="preserve">tests/verification/verify_training_range_3d_visual.tscn</x:t>
        </x:is>
      </x:c>
      <x:c r="Q139" s="349" t="inlineStr">
        <x:is>
          <x:t xml:space="preserve">3D靶场;预览;射击道;目标;QA</x:t>
        </x:is>
      </x:c>
      <x:c r="R139" s="349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349" t="str">
        <x:f>IF(COUNTIF($R$6:$R$423,R139)&gt;1,"重复","唯一")</x:f>
        <x:v>唯一</x:v>
      </x:c>
      <x:c r="T139" s="349" t="inlineStr">
        <x:is>
          <x:t xml:space="preserve">51b63097607e69009e9b2e5ed9315b3c642cdc05e823a2fee547cb0bb1ad8377</x:t>
        </x:is>
      </x:c>
      <x:c r="U139" s="349" t="inlineStr">
        <x:is>
          <x:t xml:space="preserve">Codex</x:t>
        </x:is>
      </x:c>
      <x:c r="V139" s="348" t="n">
        <x:v>46224</x:v>
      </x:c>
      <x:c r="W139" s="349" t="inlineStr">
        <x:is>
          <x:t xml:space="preserve">项目运行截图</x:t>
        </x:is>
      </x:c>
      <x:c r="X139" s="375" t="inlineStr">
        <x:is>
          <x:t xml:space="preserve">—</x:t>
        </x:is>
      </x:c>
      <x:c r="Y139" s="349" t="inlineStr">
        <x:is>
          <x:t xml:space="preserve">真实GPU窗口检查三条射击道、三类靶、枪弹组合区与灯光</x:t>
        </x:is>
      </x:c>
    </x:row>
    <x:row r="140">
      <x:c r="A140" s="349" t="inlineStr">
        <x:is>
          <x:t xml:space="preserve">VFX-VISIBILITY-FIELD-3D</x:t>
        </x:is>
      </x:c>
      <x:c r="B140" s="349" t="inlineStr">
        <x:is>
          <x:t xml:space="preserve">柔边真实单位视野场3D</x:t>
        </x:is>
      </x:c>
      <x:c r="C140" s="349" t="inlineStr">
        <x:is>
          <x:t xml:space="preserve">特效</x:t>
        </x:is>
      </x:c>
      <x:c r="D140" s="349" t="inlineStr">
        <x:is>
          <x:t xml:space="preserve">gameplay_vfx</x:t>
        </x:is>
      </x:c>
      <x:c r="E140" s="349" t="inlineStr">
        <x:is>
          <x:t xml:space="preserve">visibility_field</x:t>
        </x:is>
      </x:c>
      <x:c r="F140" s="349" t="inlineStr">
        <x:is>
          <x:t xml:space="preserve">field_mesh_3d</x:t>
        </x:is>
      </x:c>
      <x:c r="G140" s="349" t="inlineStr">
        <x:is>
          <x:t xml:space="preserve">VFX-VISIBILITY-LIGHT</x:t>
        </x:is>
      </x:c>
      <x:c r="H140" s="349" t="inlineStr">
        <x:is>
          <x:t xml:space="preserve">俯视3D</x:t>
        </x:is>
      </x:c>
      <x:c r="I140" s="349" t="inlineStr">
        <x:is>
          <x:t xml:space="preserve">default</x:t>
        </x:is>
      </x:c>
      <x:c r="J140" s="349" t="inlineStr">
        <x:is>
          <x:t xml:space="preserve">3D行动区/靶场/基地</x:t>
        </x:is>
      </x:c>
      <x:c r="K140" s="349" t="inlineStr">
        <x:is>
          <x:t xml:space="preserve">原型已接入</x:t>
        </x:is>
      </x:c>
      <x:c r="L140" s="349" t="inlineStr">
        <x:is>
          <x:t xml:space="preserve">P0</x:t>
        </x:is>
      </x:c>
      <x:c r="M140" s="349" t="inlineStr">
        <x:is>
          <x:t xml:space="preserve">v001</x:t>
        </x:is>
      </x:c>
      <x:c r="N140" s="349" t="inlineStr">
        <x:is>
          <x:t xml:space="preserve">360°逻辑射线 + ImmediateMesh 49+28表现射线</x:t>
        </x:is>
      </x:c>
      <x:c r="O140" s="349" t="inlineStr">
        <x:is>
          <x:t xml:space="preserve">src/player3d/PlayerVision3D.gd</x:t>
        </x:is>
      </x:c>
      <x:c r="P140" s="349" t="inlineStr">
        <x:is>
          <x:t xml:space="preserve">scenes/Player3D.tscn</x:t>
        </x:is>
      </x:c>
      <x:c r="Q140" s="349" t="inlineStr">
        <x:is>
          <x:t xml:space="preserve">360度逻辑视野;96度目光表现;柔边;墙体遮挡;无描边;非灯光判定</x:t>
        </x:is>
      </x:c>
      <x:c r="R140" s="349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s="349" t="str">
        <x:f>IF(COUNTIF($R$6:$R$423,R140)&gt;1,"重复","唯一")</x:f>
        <x:v>唯一</x:v>
      </x:c>
      <x:c r="T140" s="349" t="inlineStr">
        <x:is>
          <x:t xml:space="preserve">128dc5eab4c8b523961178714d4ed65bbefd86297641e6ba2cb0b7cf8b91f7f0</x:t>
        </x:is>
      </x:c>
      <x:c r="U140" s="349" t="inlineStr">
        <x:is>
          <x:t xml:space="preserve">Codex</x:t>
        </x:is>
      </x:c>
      <x:c r="V140" s="349" t="n">
        <x:v>46264</x:v>
      </x:c>
      <x:c r="W140" s="349" t="inlineStr">
        <x:is>
          <x:t xml:space="preserve">原创程序几何</x:t>
        </x:is>
      </x:c>
      <x:c r="X140" s="375" t="inlineStr">
        <x:is>
          <x:t xml:space="preserve">—</x:t>
        </x:is>
      </x:c>
      <x:c r="Y140" s="349" t="inlineStr">
        <x:is>
          <x:t xml:space="preserve"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x:t>
        </x:is>
      </x:c>
    </x:row>
    <x:row r="141">
      <x:c r="A141" s="349" t="inlineStr">
        <x:is>
          <x:t xml:space="preserve">UI-SCREEN-INVENTORY-3D</x:t>
        </x:is>
      </x:c>
      <x:c r="B141" s="349" t="inlineStr">
        <x:is>
          <x:t xml:space="preserve">3D背包与保险界面</x:t>
        </x:is>
      </x:c>
      <x:c r="C141" s="349" t="inlineStr">
        <x:is>
          <x:t xml:space="preserve">UI</x:t>
        </x:is>
      </x:c>
      <x:c r="D141" s="349" t="inlineStr">
        <x:is>
          <x:t xml:space="preserve">screen</x:t>
        </x:is>
      </x:c>
      <x:c r="E141" s="349" t="inlineStr">
        <x:is>
          <x:t xml:space="preserve">inventory</x:t>
        </x:is>
      </x:c>
      <x:c r="F141" s="349" t="inlineStr">
        <x:is>
          <x:t xml:space="preserve">root_3d</x:t>
        </x:is>
      </x:c>
      <x:c r="G141" s="349" t="inlineStr">
        <x:is>
          <x:t xml:space="preserve">UI-SCREEN-INVENTORY</x:t>
        </x:is>
      </x:c>
      <x:c r="H141" s="349" t="inlineStr">
        <x:is>
          <x:t xml:space="preserve">屏幕空间</x:t>
        </x:is>
      </x:c>
      <x:c r="I141" s="349" t="inlineStr">
        <x:is>
          <x:t xml:space="preserve">default</x:t>
        </x:is>
      </x:c>
      <x:c r="J141" s="349" t="inlineStr">
        <x:is>
          <x:t xml:space="preserve">3D行动区</x:t>
        </x:is>
      </x:c>
      <x:c r="K141" s="349" t="inlineStr">
        <x:is>
          <x:t xml:space="preserve">原型已接入</x:t>
        </x:is>
      </x:c>
      <x:c r="L141" s="349" t="inlineStr">
        <x:is>
          <x:t xml:space="preserve">P0</x:t>
        </x:is>
      </x:c>
      <x:c r="M141" s="349" t="inlineStr">
        <x:is>
          <x:t xml:space="preserve">v002</x:t>
        </x:is>
      </x:c>
      <x:c r="N141" s="349" t="inlineStr">
        <x:is>
          <x:t xml:space="preserve">全屏Control/12+2槽/96×96投影</x:t>
        </x:is>
      </x:c>
      <x:c r="O141" s="349" t="inlineStr">
        <x:is>
          <x:t xml:space="preserve">src/ui/InventoryUI.gd</x:t>
        </x:is>
      </x:c>
      <x:c r="P141" s="349" t="inlineStr">
        <x:is>
          <x:t xml:space="preserve">scenes/Dungeon3D.tscn</x:t>
        </x:is>
      </x:c>
      <x:c r="Q141" s="349" t="inlineStr">
        <x:is>
          <x:t xml:space="preserve">背包;保险;I键;Tab;模态输入锁;3D道具投影;实际点击装备</x:t>
        </x:is>
      </x:c>
      <x:c r="R141" s="349" t="str">
        <x:f>LOWER(TRIM(C141)&amp;"|"&amp;TRIM(D141)&amp;"|"&amp;TRIM(E141)&amp;"|"&amp;TRIM(F141)&amp;"|"&amp;TRIM(H141)&amp;"|"&amp;TRIM(I141))</x:f>
        <x:v>ui|screen|inventory|root_3d|屏幕空间|default</x:v>
      </x:c>
      <x:c r="S141" s="349" t="str">
        <x:f>IF(COUNTIF($R$6:$R$423,R141)&gt;1,"重复","唯一")</x:f>
        <x:v>唯一</x:v>
      </x:c>
      <x:c r="T141" s="349" t="inlineStr">
        <x:is>
          <x:t xml:space="preserve">7237a181430578fa95598dc6501fe3a37def471fa180f7771ebc816f28ffdce2</x:t>
        </x:is>
      </x:c>
      <x:c r="U141" s="349" t="inlineStr">
        <x:is>
          <x:t xml:space="preserve">Codex</x:t>
        </x:is>
      </x:c>
      <x:c r="V141" s="349" t="n">
        <x:v>46264</x:v>
      </x:c>
      <x:c r="W141" s="349" t="inlineStr">
        <x:is>
          <x:t xml:space="preserve">原创程序UI</x:t>
        </x:is>
      </x:c>
      <x:c r="X141" s="375" t="inlineStr">
        <x:is>
          <x:t xml:space="preserve">—</x:t>
        </x:is>
      </x:c>
      <x:c r="Y141" s="349" t="inlineStr">
        <x:is>
          <x:t xml:space="preserve">复用背包根身份的3D子变体；I/Tab；打开时锁输入；道具共用 ItemModelFactory3D；实际 ItemSlot 信号完成换枪 ｜ 2026-08-07：左角色装备/右包裹网格；主副武器、背包装备、快捷物、物品与保险格统一正方形图标；深蓝黑+霓虹青+生命红语言。
2026-08-30 AST-02：合法内容更新；文件为Git已跟踪且修改时间不早于原台账日期；验收：verify_3d_inventory_weapon_flow；SHA ccd8f7d7f3c9→e2c3f432a561。</x:t>
        </x:is>
      </x:c>
    </x:row>
    <x:row r="142">
      <x:c r="A142" s="349" t="inlineStr">
        <x:is>
          <x:t xml:space="preserve">UI-SCREEN-PAUSE-3D</x:t>
        </x:is>
      </x:c>
      <x:c r="B142" s="349" t="inlineStr">
        <x:is>
          <x:t xml:space="preserve">3D共用暂停界面</x:t>
        </x:is>
      </x:c>
      <x:c r="C142" s="349" t="inlineStr">
        <x:is>
          <x:t xml:space="preserve">UI</x:t>
        </x:is>
      </x:c>
      <x:c r="D142" s="349" t="inlineStr">
        <x:is>
          <x:t xml:space="preserve">screen</x:t>
        </x:is>
      </x:c>
      <x:c r="E142" s="349" t="inlineStr">
        <x:is>
          <x:t xml:space="preserve">pause</x:t>
        </x:is>
      </x:c>
      <x:c r="F142" s="349" t="inlineStr">
        <x:is>
          <x:t xml:space="preserve">root_3d</x:t>
        </x:is>
      </x:c>
      <x:c r="G142" s="349" t="n"/>
      <x:c r="H142" s="349" t="inlineStr">
        <x:is>
          <x:t xml:space="preserve">屏幕空间</x:t>
        </x:is>
      </x:c>
      <x:c r="I142" s="349" t="inlineStr">
        <x:is>
          <x:t xml:space="preserve">default</x:t>
        </x:is>
      </x:c>
      <x:c r="J142" s="349" t="inlineStr">
        <x:is>
          <x:t xml:space="preserve">地下城/基地/靶场</x:t>
        </x:is>
      </x:c>
      <x:c r="K142" s="349" t="inlineStr">
        <x:is>
          <x:t xml:space="preserve">已完成</x:t>
        </x:is>
      </x:c>
      <x:c r="L142" s="349" t="inlineStr">
        <x:is>
          <x:t xml:space="preserve">P0</x:t>
        </x:is>
      </x:c>
      <x:c r="M142" s="349" t="inlineStr">
        <x:is>
          <x:t xml:space="preserve">v001</x:t>
        </x:is>
      </x:c>
      <x:c r="N142" s="349" t="inlineStr">
        <x:is>
          <x:t xml:space="preserve">PackedScene/全屏Control</x:t>
        </x:is>
      </x:c>
      <x:c r="O142" s="349" t="inlineStr">
        <x:is>
          <x:t xml:space="preserve">assets/art/ui/pause_3d/ui_pause_overlay_screen_v001.tscn</x:t>
        </x:is>
      </x:c>
      <x:c r="P142" s="349" t="inlineStr">
        <x:is>
          <x:t xml:space="preserve">src/ui/PauseMenu3D.gd</x:t>
        </x:is>
      </x:c>
      <x:c r="Q142" s="349" t="inlineStr">
        <x:is>
          <x:t xml:space="preserve">暂停;Esc;继续;全局模态;3D HUD</x:t>
        </x:is>
      </x:c>
      <x:c r="R142" s="349" t="str">
        <x:f>LOWER(TRIM(C142)&amp;"|"&amp;TRIM(D142)&amp;"|"&amp;TRIM(E142)&amp;"|"&amp;TRIM(F142)&amp;"|"&amp;TRIM(H142)&amp;"|"&amp;TRIM(I142))</x:f>
        <x:v>ui|screen|pause|root_3d|屏幕空间|default</x:v>
      </x:c>
      <x:c r="S142" s="349" t="str">
        <x:f>IF(COUNTIF($R$6:$R$423,R142)&gt;1,"重复","唯一")</x:f>
        <x:v>唯一</x:v>
      </x:c>
      <x:c r="T142" s="349" t="inlineStr">
        <x:is>
          <x:t xml:space="preserve">0ed9c0963e35156a1116af3eb6878b084a498bac87af50a9e9a4071d5f6b49b8</x:t>
        </x:is>
      </x:c>
      <x:c r="U142" s="349" t="inlineStr">
        <x:is>
          <x:t xml:space="preserve">Codex</x:t>
        </x:is>
      </x:c>
      <x:c r="V142" s="349" t="n">
        <x:v>46264</x:v>
      </x:c>
      <x:c r="W142" s="349" t="inlineStr">
        <x:is>
          <x:t xml:space="preserve">原创程序UI</x:t>
        </x:is>
      </x:c>
      <x:c r="X142" s="375" t="inlineStr">
        <x:is>
          <x:t xml:space="preserve">—</x:t>
        </x:is>
      </x:c>
      <x:c r="Y142" s="349" t="inlineStr">
        <x:is>
          <x:t xml:space="preserve">三张3D地图共用；Esc先关闭最上层模态，再进入真实暂停
2026-08-30 AST-02：合法内容更新；文件为Git已跟踪且修改时间不早于原台账日期；验收：verify_pause_game_save_reset_flow；SHA 8fed542ebf6b→47f097938d22。</x:t>
        </x:is>
      </x:c>
    </x:row>
    <x:row r="143" ht="155" customHeight="1">
      <x:c r="A143" s="364" t="inlineStr">
        <x:is>
          <x:t xml:space="preserve">PRP-ROOM-LIGHT-SWITCH-3D</x:t>
        </x:is>
      </x:c>
      <x:c r="B143" s="364" t="inlineStr">
        <x:is>
          <x:t xml:space="preserve">房间中央灯墙面开关3D</x:t>
        </x:is>
      </x:c>
      <x:c r="C143" s="364" t="inlineStr">
        <x:is>
          <x:t xml:space="preserve">场景道具</x:t>
        </x:is>
      </x:c>
      <x:c r="D143" s="364" t="inlineStr">
        <x:is>
          <x:t xml:space="preserve">facility</x:t>
        </x:is>
      </x:c>
      <x:c r="E143" s="364" t="inlineStr">
        <x:is>
          <x:t xml:space="preserve">room_light_switch</x:t>
        </x:is>
      </x:c>
      <x:c r="F143" s="364" t="inlineStr">
        <x:is>
          <x:t xml:space="preserve">root_3d</x:t>
        </x:is>
      </x:c>
      <x:c r="G143" s="364" t="inlineStr">
        <x:is>
          <x:t xml:space="preserve">ENV-DUNGEON-RUNTIME-3D</x:t>
        </x:is>
      </x:c>
      <x:c r="H143" s="364" t="inlineStr">
        <x:is>
          <x:t xml:space="preserve">俯视3D</x:t>
        </x:is>
      </x:c>
      <x:c r="I143" s="364" t="inlineStr">
        <x:is>
          <x:t xml:space="preserve">default</x:t>
        </x:is>
      </x:c>
      <x:c r="J143" s="364" t="inlineStr">
        <x:is>
          <x:t xml:space="preserve">随机关卡房间/四主题复用</x:t>
        </x:is>
      </x:c>
      <x:c r="K143" s="364" t="inlineStr">
        <x:is>
          <x:t xml:space="preserve">原型已接入</x:t>
        </x:is>
      </x:c>
      <x:c r="L143" s="364" t="inlineStr">
        <x:is>
          <x:t xml:space="preserve">P0</x:t>
        </x:is>
      </x:c>
      <x:c r="M143" s="364" t="inlineStr">
        <x:is>
          <x:t xml:space="preserve">v001</x:t>
        </x:is>
      </x:c>
      <x:c r="N143" s="364" t="inlineStr">
        <x:is>
          <x:t xml:space="preserve">PackedScene/Area3D</x:t>
        </x:is>
      </x:c>
      <x:c r="O143" s="364" t="inlineStr">
        <x:is>
          <x:t xml:space="preserve">assets/art/props/dungeon_3d/prp_room_light_switch_root_top3d_v001.tscn</x:t>
        </x:is>
      </x:c>
      <x:c r="P143" s="364" t="inlineStr">
        <x:is>
          <x:t xml:space="preserve">src/world3d/RoomLightSwitch3D.gd</x:t>
        </x:is>
      </x:c>
      <x:c r="Q143" s="364" t="inlineStr">
        <x:is>
          <x:t xml:space="preserve">房灯开关;墙面交互;中央顶灯;E键</x:t>
        </x:is>
      </x:c>
      <x:c r="R143" s="364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s="364" t="str">
        <x:f>IF(COUNTIF($R$6:$R$423,R143)&gt;1,"重复","唯一")</x:f>
        <x:v>唯一</x:v>
      </x:c>
      <x:c r="T143" s="364" t="inlineStr">
        <x:is>
          <x:t xml:space="preserve">56accc731cf04c9d11aaa105e3012f5e4aeecc34f96616dd8a20de5929929555</x:t>
        </x:is>
      </x:c>
      <x:c r="U143" s="364" t="inlineStr">
        <x:is>
          <x:t xml:space="preserve">Codex</x:t>
        </x:is>
      </x:c>
      <x:c r="V143" s="307" t="n">
        <x:v>46237</x:v>
      </x:c>
      <x:c r="W143" s="364" t="inlineStr">
        <x:is>
          <x:t xml:space="preserve">原创程序几何</x:t>
        </x:is>
      </x:c>
      <x:c r="X143" s="375" t="inlineStr">
        <x:is>
          <x:t xml:space="preserve">—</x:t>
        </x:is>
      </x:c>
      <x:c r="Y143" s="364" t="inlineStr">
        <x:is>
          <x:t xml:space="preserve"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x:t>
        </x:is>
      </x:c>
    </x:row>
    <x:row r="144">
      <x:c r="A144" s="349" t="inlineStr">
        <x:is>
          <x:t xml:space="preserve">VFX-PLAYER-FLASHLIGHT-3D</x:t>
        </x:is>
      </x:c>
      <x:c r="B144" s="349" t="inlineStr">
        <x:is>
          <x:t xml:space="preserve">玩家真实探照灯组件3D</x:t>
        </x:is>
      </x:c>
      <x:c r="C144" s="349" t="inlineStr">
        <x:is>
          <x:t xml:space="preserve">特效</x:t>
        </x:is>
      </x:c>
      <x:c r="D144" s="349" t="inlineStr">
        <x:is>
          <x:t xml:space="preserve">gameplay_vfx</x:t>
        </x:is>
      </x:c>
      <x:c r="E144" s="349" t="inlineStr">
        <x:is>
          <x:t xml:space="preserve">player_flashlight</x:t>
        </x:is>
      </x:c>
      <x:c r="F144" s="349" t="inlineStr">
        <x:is>
          <x:t xml:space="preserve">light_rig_3d</x:t>
        </x:is>
      </x:c>
      <x:c r="G144" s="349" t="inlineStr">
        <x:is>
          <x:t xml:space="preserve">VFX-VISIBILITY-FIELD-3D</x:t>
        </x:is>
      </x:c>
      <x:c r="H144" s="349" t="inlineStr">
        <x:is>
          <x:t xml:space="preserve">俯视3D</x:t>
        </x:is>
      </x:c>
      <x:c r="I144" s="349" t="inlineStr">
        <x:is>
          <x:t xml:space="preserve">default</x:t>
        </x:is>
      </x:c>
      <x:c r="J144" s="349" t="inlineStr">
        <x:is>
          <x:t xml:space="preserve">3D行动区/靶场/基地</x:t>
        </x:is>
      </x:c>
      <x:c r="K144" s="349" t="inlineStr">
        <x:is>
          <x:t xml:space="preserve">原型已接入</x:t>
        </x:is>
      </x:c>
      <x:c r="L144" s="349" t="inlineStr">
        <x:is>
          <x:t xml:space="preserve">P0</x:t>
        </x:is>
      </x:c>
      <x:c r="M144" s="349" t="inlineStr">
        <x:is>
          <x:t xml:space="preserve">v001</x:t>
        </x:is>
      </x:c>
      <x:c r="N144" s="349" t="inlineStr">
        <x:is>
          <x:t xml:space="preserve">PackedScene/2 SpotLight3D+1 OmniLight3D</x:t>
        </x:is>
      </x:c>
      <x:c r="O144" s="349" t="inlineStr">
        <x:is>
          <x:t xml:space="preserve">assets/art/vfx/visibility_3d/vfx_player_flashlight_root_top3d_v001.tscn</x:t>
        </x:is>
      </x:c>
      <x:c r="P144" s="349" t="inlineStr">
        <x:is>
          <x:t xml:space="preserve">src/player3d/PlayerFlashlight3D.gd</x:t>
        </x:is>
      </x:c>
      <x:c r="Q144" s="349" t="inlineStr">
        <x:is>
          <x:t xml:space="preserve">真实探照灯;玩家灯光;前向聚光;角色补光;可调灯光</x:t>
        </x:is>
      </x:c>
      <x:c r="R144" s="349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s="349" t="str">
        <x:f>IF(COUNTIF($R$6:$R$423,R144)&gt;1,"重复","唯一")</x:f>
        <x:v>唯一</x:v>
      </x:c>
      <x:c r="T144" s="349" t="inlineStr">
        <x:is>
          <x:t xml:space="preserve">66d910c4fbcfd63176427c8012d3b6dbb11c4e0999587b34a3a66d6202920017</x:t>
        </x:is>
      </x:c>
      <x:c r="U144" s="349" t="inlineStr">
        <x:is>
          <x:t xml:space="preserve">Codex</x:t>
        </x:is>
      </x:c>
      <x:c r="V144" s="348" t="n">
        <x:v>46225</x:v>
      </x:c>
      <x:c r="W144" s="348" t="inlineStr">
        <x:is>
          <x:t xml:space="preserve">原创程序几何</x:t>
        </x:is>
      </x:c>
      <x:c r="X144" s="375" t="inlineStr">
        <x:is>
          <x:t xml:space="preserve">—</x:t>
        </x:is>
      </x:c>
      <x:c r="Y144" s="349" t="inlineStr">
        <x:is>
          <x:t xml:space="preserve"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x:t>
        </x:is>
      </x:c>
    </x:row>
    <x:row r="145">
      <x:c r="A145" s="349" t="inlineStr">
        <x:is>
          <x:t xml:space="preserve">UI-ICON-ITEM-MODEL-3D</x:t>
        </x:is>
      </x:c>
      <x:c r="B145" s="349" t="inlineStr">
        <x:is>
          <x:t xml:space="preserve">背包道具3D模型投影组件</x:t>
        </x:is>
      </x:c>
      <x:c r="C145" s="349" t="inlineStr">
        <x:is>
          <x:t xml:space="preserve">UI</x:t>
        </x:is>
      </x:c>
      <x:c r="D145" s="349" t="inlineStr">
        <x:is>
          <x:t xml:space="preserve">icon</x:t>
        </x:is>
      </x:c>
      <x:c r="E145" s="349" t="inlineStr">
        <x:is>
          <x:t xml:space="preserve">item_model_icon</x:t>
        </x:is>
      </x:c>
      <x:c r="F145" s="349" t="inlineStr">
        <x:is>
          <x:t xml:space="preserve">root_3d</x:t>
        </x:is>
      </x:c>
      <x:c r="G145" s="349" t="inlineStr">
        <x:is>
          <x:t xml:space="preserve">UI-SCREEN-INVENTORY-3D</x:t>
        </x:is>
      </x:c>
      <x:c r="H145" s="349" t="inlineStr">
        <x:is>
          <x:t xml:space="preserve">屏幕空间/3D投影</x:t>
        </x:is>
      </x:c>
      <x:c r="I145" s="349" t="inlineStr">
        <x:is>
          <x:t xml:space="preserve">default</x:t>
        </x:is>
      </x:c>
      <x:c r="J145" s="349" t="inlineStr">
        <x:is>
          <x:t xml:space="preserve">背包/保险格/道具预览</x:t>
        </x:is>
      </x:c>
      <x:c r="K145" s="349" t="inlineStr">
        <x:is>
          <x:t xml:space="preserve">原型已接入</x:t>
        </x:is>
      </x:c>
      <x:c r="L145" s="349" t="inlineStr">
        <x:is>
          <x:t xml:space="preserve">P0</x:t>
        </x:is>
      </x:c>
      <x:c r="M145" s="349" t="inlineStr">
        <x:is>
          <x:t xml:space="preserve">v001</x:t>
        </x:is>
      </x:c>
      <x:c r="N145" s="349" t="inlineStr">
        <x:is>
          <x:t xml:space="preserve">96×96 SubViewport/UPDATE_ONCE</x:t>
        </x:is>
      </x:c>
      <x:c r="O145" s="349" t="inlineStr">
        <x:is>
          <x:t xml:space="preserve">assets/art/ui/inventory_3d/ui_item_model_icon_root_v001.tscn</x:t>
        </x:is>
      </x:c>
      <x:c r="P145" s="349" t="inlineStr">
        <x:is>
          <x:t xml:space="preserve">src/ui/ItemModelIcon3D.gd</x:t>
        </x:is>
      </x:c>
      <x:c r="Q145" s="349" t="inlineStr">
        <x:is>
          <x:t xml:space="preserve">3D道具图标;模型投影;背包图标;共享世界模型;单次渲染</x:t>
        </x:is>
      </x:c>
      <x:c r="R145" s="349" t="str">
        <x:f>LOWER(TRIM(C145)&amp;"|"&amp;TRIM(D145)&amp;"|"&amp;TRIM(E145)&amp;"|"&amp;TRIM(F145)&amp;"|"&amp;TRIM(H145)&amp;"|"&amp;TRIM(I145))</x:f>
        <x:v>ui|icon|item_model_icon|root_3d|屏幕空间/3d投影|default</x:v>
      </x:c>
      <x:c r="S145" s="349" t="str">
        <x:f>IF(COUNTIF($R$6:$R$423,R145)&gt;1,"重复","唯一")</x:f>
        <x:v>唯一</x:v>
      </x:c>
      <x:c r="T145" s="349" t="inlineStr">
        <x:is>
          <x:t xml:space="preserve">7d3deb95a52bbebca119606ce4189e501a812ed496b7c2f8f1e389ebeeb38d3c</x:t>
        </x:is>
      </x:c>
      <x:c r="U145" s="349" t="inlineStr">
        <x:is>
          <x:t xml:space="preserve">Codex</x:t>
        </x:is>
      </x:c>
      <x:c r="V145" s="348" t="n">
        <x:v>46225</x:v>
      </x:c>
      <x:c r="W145" s="349" t="inlineStr">
        <x:is>
          <x:t xml:space="preserve">原创程序UI</x:t>
        </x:is>
      </x:c>
      <x:c r="X145" s="375" t="inlineStr">
        <x:is>
          <x:t xml:space="preserve">—</x:t>
        </x:is>
      </x:c>
      <x:c r="Y145" s="349" t="inlineStr">
        <x:is>
          <x:t xml:space="preserve">与地面拾取共用 ItemModelFactory3D；96×96 内部视口缩放至56px槽位；只渲染一次；验收图：assets/art/ui/inventory_3d/ui_inventory_item_model_preview_v001.png</x:t>
        </x:is>
      </x:c>
    </x:row>
    <x:row r="146" ht="44" customHeight="1">
      <x:c r="A146" s="349" t="inlineStr">
        <x:is>
          <x:t xml:space="preserve">CHR-PLY-CAPSULE01-BODY-DIY-3D</x:t>
        </x:is>
      </x:c>
      <x:c r="B146" s="349" t="inlineStr">
        <x:is>
          <x:t xml:space="preserve">胶囊防护体3D身体DIY变体</x:t>
        </x:is>
      </x:c>
      <x:c r="C146" s="349" t="inlineStr">
        <x:is>
          <x:t xml:space="preserve">角色</x:t>
        </x:is>
      </x:c>
      <x:c r="D146" s="349" t="inlineStr">
        <x:is>
          <x:t xml:space="preserve">player_variant</x:t>
        </x:is>
      </x:c>
      <x:c r="E146" s="349" t="inlineStr">
        <x:is>
          <x:t xml:space="preserve">player_capsule01</x:t>
        </x:is>
      </x:c>
      <x:c r="F146" s="349" t="inlineStr">
        <x:is>
          <x:t xml:space="preserve">body_diy_3d</x:t>
        </x:is>
      </x:c>
      <x:c r="G146" s="349" t="inlineStr">
        <x:is>
          <x:t xml:space="preserve">CHR-PLY-CAPSULE01-BODY-3D</x:t>
        </x:is>
      </x:c>
      <x:c r="H146" s="349" t="inlineStr">
        <x:is>
          <x:t xml:space="preserve">俯视3D</x:t>
        </x:is>
      </x:c>
      <x:c r="I146" s="349" t="inlineStr">
        <x:is>
          <x:t xml:space="preserve">diy</x:t>
        </x:is>
      </x:c>
      <x:c r="J146" s="349" t="inlineStr">
        <x:is>
          <x:t xml:space="preserve">3D玩家/预览场</x:t>
        </x:is>
      </x:c>
      <x:c r="K146" s="349" t="inlineStr">
        <x:is>
          <x:t xml:space="preserve">原型已接入</x:t>
        </x:is>
      </x:c>
      <x:c r="L146" s="349" t="inlineStr">
        <x:is>
          <x:t xml:space="preserve">P1</x:t>
        </x:is>
      </x:c>
      <x:c r="M146" s="349" t="inlineStr">
        <x:is>
          <x:t xml:space="preserve">v001</x:t>
        </x:is>
      </x:c>
      <x:c r="N146" s="349" t="inlineStr">
        <x:is>
          <x:t xml:space="preserve">3种程序材质</x:t>
        </x:is>
      </x:c>
      <x:c r="O146" s="349" t="inlineStr">
        <x:is>
          <x:t xml:space="preserve">src/player3d/PlayerAvatar3D.gd</x:t>
        </x:is>
      </x:c>
      <x:c r="P146" s="349" t="inlineStr">
        <x:is>
          <x:t xml:space="preserve">VisualRoot/Body</x:t>
        </x:is>
      </x:c>
      <x:c r="Q146" s="349" t="inlineStr">
        <x:is>
          <x:t xml:space="preserve">身体;防护服;DIY;橄榄;沙色;钴蓝</x:t>
        </x:is>
      </x:c>
      <x:c r="R146" s="349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349" t="str">
        <x:f>IF(COUNTIF($R$6:$R$423,R146)&gt;1,"重复","唯一")</x:f>
        <x:v>唯一</x:v>
      </x:c>
      <x:c r="T146" s="349" t="inlineStr">
        <x:is>
          <x:t xml:space="preserve">4499816448fa5c8cd655053b8191f12c7db3f87713f0572965f1250aa31ec85b</x:t>
        </x:is>
      </x:c>
      <x:c r="U146" s="349" t="inlineStr">
        <x:is>
          <x:t xml:space="preserve">Codex</x:t>
        </x:is>
      </x:c>
      <x:c r="V146" s="349" t="n">
        <x:v>46264</x:v>
      </x:c>
      <x:c r="W146" s="349" t="inlineStr">
        <x:is>
          <x:t xml:space="preserve">原创程序几何</x:t>
        </x:is>
      </x:c>
      <x:c r="X146" s="375" t="inlineStr">
        <x:is>
          <x:t xml:space="preserve">—</x:t>
        </x:is>
      </x:c>
      <x:c r="Y146" s="349" t="inlineStr">
        <x:is>
          <x:t xml:space="preserve">胶囊防护体3D身体DIY变体；作为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7" ht="44" customHeight="1">
      <x:c r="A147" s="349" t="inlineStr">
        <x:is>
          <x:t xml:space="preserve">CHR-PLY-CAPSULE01-HEAD-DIY-3D</x:t>
        </x:is>
      </x:c>
      <x:c r="B147" s="349" t="inlineStr">
        <x:is>
          <x:t xml:space="preserve">胶囊防护体3D头部DIY变体</x:t>
        </x:is>
      </x:c>
      <x:c r="C147" s="349" t="inlineStr">
        <x:is>
          <x:t xml:space="preserve">角色</x:t>
        </x:is>
      </x:c>
      <x:c r="D147" s="349" t="inlineStr">
        <x:is>
          <x:t xml:space="preserve">player_variant</x:t>
        </x:is>
      </x:c>
      <x:c r="E147" s="349" t="inlineStr">
        <x:is>
          <x:t xml:space="preserve">player_capsule01</x:t>
        </x:is>
      </x:c>
      <x:c r="F147" s="349" t="inlineStr">
        <x:is>
          <x:t xml:space="preserve">head_diy_3d</x:t>
        </x:is>
      </x:c>
      <x:c r="G147" s="349" t="inlineStr">
        <x:is>
          <x:t xml:space="preserve">CHR-PLY-CAPSULE01-HEAD-3D</x:t>
        </x:is>
      </x:c>
      <x:c r="H147" s="349" t="inlineStr">
        <x:is>
          <x:t xml:space="preserve">俯视3D</x:t>
        </x:is>
      </x:c>
      <x:c r="I147" s="349" t="inlineStr">
        <x:is>
          <x:t xml:space="preserve">diy</x:t>
        </x:is>
      </x:c>
      <x:c r="J147" s="349" t="inlineStr">
        <x:is>
          <x:t xml:space="preserve">3D玩家/预览场</x:t>
        </x:is>
      </x:c>
      <x:c r="K147" s="349" t="inlineStr">
        <x:is>
          <x:t xml:space="preserve">原型已接入</x:t>
        </x:is>
      </x:c>
      <x:c r="L147" s="349" t="inlineStr">
        <x:is>
          <x:t xml:space="preserve">P1</x:t>
        </x:is>
      </x:c>
      <x:c r="M147" s="349" t="inlineStr">
        <x:is>
          <x:t xml:space="preserve">v001</x:t>
        </x:is>
      </x:c>
      <x:c r="N147" s="349" t="inlineStr">
        <x:is>
          <x:t xml:space="preserve">3种程序材质</x:t>
        </x:is>
      </x:c>
      <x:c r="O147" s="349" t="inlineStr">
        <x:is>
          <x:t xml:space="preserve">src/player3d/PlayerAvatar3D.gd</x:t>
        </x:is>
      </x:c>
      <x:c r="P147" s="349" t="inlineStr">
        <x:is>
          <x:t xml:space="preserve">VisualRoot/Head</x:t>
        </x:is>
      </x:c>
      <x:c r="Q147" s="349" t="inlineStr">
        <x:is>
          <x:t xml:space="preserve">头壳;传感器;DIY;青色面板;琥珀装甲</x:t>
        </x:is>
      </x:c>
      <x:c r="R147" s="349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349" t="str">
        <x:f>IF(COUNTIF($R$6:$R$423,R147)&gt;1,"重复","唯一")</x:f>
        <x:v>唯一</x:v>
      </x:c>
      <x:c r="T147" s="349" t="inlineStr">
        <x:is>
          <x:t xml:space="preserve">4499816448fa5c8cd655053b8191f12c7db3f87713f0572965f1250aa31ec85b</x:t>
        </x:is>
      </x:c>
      <x:c r="U147" s="349" t="inlineStr">
        <x:is>
          <x:t xml:space="preserve">Codex</x:t>
        </x:is>
      </x:c>
      <x:c r="V147" s="349" t="n">
        <x:v>46264</x:v>
      </x:c>
      <x:c r="W147" s="349" t="inlineStr">
        <x:is>
          <x:t xml:space="preserve">原创程序几何</x:t>
        </x:is>
      </x:c>
      <x:c r="X147" s="375" t="inlineStr">
        <x:is>
          <x:t xml:space="preserve">—</x:t>
        </x:is>
      </x:c>
      <x:c r="Y147" s="349" t="inlineStr">
        <x:is>
          <x:t xml:space="preserve">胶囊防护体3D头部DIY变体；作为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8" ht="44" customHeight="1">
      <x:c r="A148" s="349" t="inlineStr">
        <x:is>
          <x:t xml:space="preserve">CHR-PLY-CAPSULE01-HAND-DIY-3D</x:t>
        </x:is>
      </x:c>
      <x:c r="B148" s="349" t="inlineStr">
        <x:is>
          <x:t xml:space="preserve">胶囊防护体3D手部DIY变体</x:t>
        </x:is>
      </x:c>
      <x:c r="C148" s="349" t="inlineStr">
        <x:is>
          <x:t xml:space="preserve">角色</x:t>
        </x:is>
      </x:c>
      <x:c r="D148" s="349" t="inlineStr">
        <x:is>
          <x:t xml:space="preserve">player_variant</x:t>
        </x:is>
      </x:c>
      <x:c r="E148" s="349" t="inlineStr">
        <x:is>
          <x:t xml:space="preserve">player_capsule01</x:t>
        </x:is>
      </x:c>
      <x:c r="F148" s="349" t="inlineStr">
        <x:is>
          <x:t xml:space="preserve">hand_diy_3d</x:t>
        </x:is>
      </x:c>
      <x:c r="G148" s="349" t="inlineStr">
        <x:is>
          <x:t xml:space="preserve">CHR-PLY-CAPSULE01-HAND-3D</x:t>
        </x:is>
      </x:c>
      <x:c r="H148" s="349" t="inlineStr">
        <x:is>
          <x:t xml:space="preserve">俯视3D</x:t>
        </x:is>
      </x:c>
      <x:c r="I148" s="349" t="inlineStr">
        <x:is>
          <x:t xml:space="preserve">diy</x:t>
        </x:is>
      </x:c>
      <x:c r="J148" s="349" t="inlineStr">
        <x:is>
          <x:t xml:space="preserve">3D玩家/预览场</x:t>
        </x:is>
      </x:c>
      <x:c r="K148" s="349" t="inlineStr">
        <x:is>
          <x:t xml:space="preserve">原型已接入</x:t>
        </x:is>
      </x:c>
      <x:c r="L148" s="349" t="inlineStr">
        <x:is>
          <x:t xml:space="preserve">P1</x:t>
        </x:is>
      </x:c>
      <x:c r="M148" s="349" t="inlineStr">
        <x:is>
          <x:t xml:space="preserve">v001</x:t>
        </x:is>
      </x:c>
      <x:c r="N148" s="349" t="inlineStr">
        <x:is>
          <x:t xml:space="preserve">3种程序材质/抓握压缩</x:t>
        </x:is>
      </x:c>
      <x:c r="O148" s="349" t="inlineStr">
        <x:is>
          <x:t xml:space="preserve">src/player3d/PlayerAvatar3D.gd</x:t>
        </x:is>
      </x:c>
      <x:c r="P148" s="349" t="inlineStr">
        <x:is>
          <x:t xml:space="preserve">VisualRoot/Hand</x:t>
        </x:is>
      </x:c>
      <x:c r="Q148" s="349" t="inlineStr">
        <x:is>
          <x:t xml:space="preserve">唯一手;握持;DIY;橙色;青绿</x:t>
        </x:is>
      </x:c>
      <x:c r="R148" s="349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349" t="str">
        <x:f>IF(COUNTIF($R$6:$R$423,R148)&gt;1,"重复","唯一")</x:f>
        <x:v>唯一</x:v>
      </x:c>
      <x:c r="T148" s="349" t="inlineStr">
        <x:is>
          <x:t xml:space="preserve">4499816448fa5c8cd655053b8191f12c7db3f87713f0572965f1250aa31ec85b</x:t>
        </x:is>
      </x:c>
      <x:c r="U148" s="349" t="inlineStr">
        <x:is>
          <x:t xml:space="preserve">Codex</x:t>
        </x:is>
      </x:c>
      <x:c r="V148" s="349" t="n">
        <x:v>46264</x:v>
      </x:c>
      <x:c r="W148" s="349" t="inlineStr">
        <x:is>
          <x:t xml:space="preserve">原创程序几何</x:t>
        </x:is>
      </x:c>
      <x:c r="X148" s="375" t="inlineStr">
        <x:is>
          <x:t xml:space="preserve">—</x:t>
        </x:is>
      </x:c>
      <x:c r="Y148" s="349" t="inlineStr">
        <x:is>
          <x:t xml:space="preserve">胶囊防护体3D手部DIY变体；作为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9" ht="44" customHeight="1">
      <x:c r="A149" s="349" t="inlineStr">
        <x:is>
          <x:t xml:space="preserve">CHR-PLY-CAPSULE01-HAT-DIY-3D</x:t>
        </x:is>
      </x:c>
      <x:c r="B149" s="349" t="inlineStr">
        <x:is>
          <x:t xml:space="preserve">胶囊防护体3D帽子DIY组件</x:t>
        </x:is>
      </x:c>
      <x:c r="C149" s="349" t="inlineStr">
        <x:is>
          <x:t xml:space="preserve">角色</x:t>
        </x:is>
      </x:c>
      <x:c r="D149" s="349" t="inlineStr">
        <x:is>
          <x:t xml:space="preserve">player_accessory</x:t>
        </x:is>
      </x:c>
      <x:c r="E149" s="349" t="inlineStr">
        <x:is>
          <x:t xml:space="preserve">player_capsule01</x:t>
        </x:is>
      </x:c>
      <x:c r="F149" s="349" t="inlineStr">
        <x:is>
          <x:t xml:space="preserve">hat_diy_3d</x:t>
        </x:is>
      </x:c>
      <x:c r="G149" s="349" t="inlineStr">
        <x:is>
          <x:t xml:space="preserve">CHR-PLY-CAPSULE01-HEAD-3D</x:t>
        </x:is>
      </x:c>
      <x:c r="H149" s="349" t="inlineStr">
        <x:is>
          <x:t xml:space="preserve">俯视3D</x:t>
        </x:is>
      </x:c>
      <x:c r="I149" s="349" t="inlineStr">
        <x:is>
          <x:t xml:space="preserve">diy</x:t>
        </x:is>
      </x:c>
      <x:c r="J149" s="349" t="inlineStr">
        <x:is>
          <x:t xml:space="preserve">3D玩家/预览场</x:t>
        </x:is>
      </x:c>
      <x:c r="K149" s="349" t="inlineStr">
        <x:is>
          <x:t xml:space="preserve">原型已接入</x:t>
        </x:is>
      </x:c>
      <x:c r="L149" s="349" t="inlineStr">
        <x:is>
          <x:t xml:space="preserve">P1</x:t>
        </x:is>
      </x:c>
      <x:c r="M149" s="349" t="inlineStr">
        <x:is>
          <x:t xml:space="preserve">v001</x:t>
        </x:is>
      </x:c>
      <x:c r="N149" s="349" t="inlineStr">
        <x:is>
          <x:t xml:space="preserve">软帽/安全帽/密封兜帽</x:t>
        </x:is>
      </x:c>
      <x:c r="O149" s="349" t="inlineStr">
        <x:is>
          <x:t xml:space="preserve">src/player3d/PlayerAvatar3D.gd</x:t>
        </x:is>
      </x:c>
      <x:c r="P149" s="349" t="inlineStr">
        <x:is>
          <x:t xml:space="preserve">VisualRoot/Head/Wearables</x:t>
        </x:is>
      </x:c>
      <x:c r="Q149" s="349" t="inlineStr">
        <x:is>
          <x:t xml:space="preserve">帽子;软帽;安全帽;兜帽;DIY</x:t>
        </x:is>
      </x:c>
      <x:c r="R149" s="349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349" t="str">
        <x:f>IF(COUNTIF($R$6:$R$423,R149)&gt;1,"重复","唯一")</x:f>
        <x:v>唯一</x:v>
      </x:c>
      <x:c r="T149" s="349" t="inlineStr">
        <x:is>
          <x:t xml:space="preserve">4499816448fa5c8cd655053b8191f12c7db3f87713f0572965f1250aa31ec85b</x:t>
        </x:is>
      </x:c>
      <x:c r="U149" s="349" t="inlineStr">
        <x:is>
          <x:t xml:space="preserve">Codex</x:t>
        </x:is>
      </x:c>
      <x:c r="V149" s="349" t="n">
        <x:v>46264</x:v>
      </x:c>
      <x:c r="W149" s="349" t="inlineStr">
        <x:is>
          <x:t xml:space="preserve">原创程序几何</x:t>
        </x:is>
      </x:c>
      <x:c r="X149" s="375" t="inlineStr">
        <x:is>
          <x:t xml:space="preserve">—</x:t>
        </x:is>
      </x:c>
      <x:c r="Y149" s="349" t="inlineStr">
        <x:is>
          <x:t xml:space="preserve">胶囊防护体3D帽子DIY组件；作为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0" ht="44" customHeight="1">
      <x:c r="A150" s="349" t="inlineStr">
        <x:is>
          <x:t xml:space="preserve">CHR-PLY-CAPSULE01-GLASSES-DIY-3D</x:t>
        </x:is>
      </x:c>
      <x:c r="B150" s="349" t="inlineStr">
        <x:is>
          <x:t xml:space="preserve">胶囊防护体3D眼镜DIY组件</x:t>
        </x:is>
      </x:c>
      <x:c r="C150" s="349" t="inlineStr">
        <x:is>
          <x:t xml:space="preserve">角色</x:t>
        </x:is>
      </x:c>
      <x:c r="D150" s="349" t="inlineStr">
        <x:is>
          <x:t xml:space="preserve">player_accessory</x:t>
        </x:is>
      </x:c>
      <x:c r="E150" s="349" t="inlineStr">
        <x:is>
          <x:t xml:space="preserve">player_capsule01</x:t>
        </x:is>
      </x:c>
      <x:c r="F150" s="349" t="inlineStr">
        <x:is>
          <x:t xml:space="preserve">glasses_diy_3d</x:t>
        </x:is>
      </x:c>
      <x:c r="G150" s="349" t="inlineStr">
        <x:is>
          <x:t xml:space="preserve">CHR-PLY-CAPSULE01-HEAD-3D</x:t>
        </x:is>
      </x:c>
      <x:c r="H150" s="349" t="inlineStr">
        <x:is>
          <x:t xml:space="preserve">俯视3D</x:t>
        </x:is>
      </x:c>
      <x:c r="I150" s="349" t="inlineStr">
        <x:is>
          <x:t xml:space="preserve">diy</x:t>
        </x:is>
      </x:c>
      <x:c r="J150" s="349" t="inlineStr">
        <x:is>
          <x:t xml:space="preserve">3D玩家/预览场</x:t>
        </x:is>
      </x:c>
      <x:c r="K150" s="349" t="inlineStr">
        <x:is>
          <x:t xml:space="preserve">原型已接入</x:t>
        </x:is>
      </x:c>
      <x:c r="L150" s="349" t="inlineStr">
        <x:is>
          <x:t xml:space="preserve">P1</x:t>
        </x:is>
      </x:c>
      <x:c r="M150" s="349" t="inlineStr">
        <x:is>
          <x:t xml:space="preserve">v001</x:t>
        </x:is>
      </x:c>
      <x:c r="N150" s="349" t="inlineStr">
        <x:is>
          <x:t xml:space="preserve">单目镜/双目护镜/宽面护目镜</x:t>
        </x:is>
      </x:c>
      <x:c r="O150" s="349" t="inlineStr">
        <x:is>
          <x:t xml:space="preserve">src/player3d/PlayerAvatar3D.gd</x:t>
        </x:is>
      </x:c>
      <x:c r="P150" s="349" t="inlineStr">
        <x:is>
          <x:t xml:space="preserve">VisualRoot/Head/Wearables</x:t>
        </x:is>
      </x:c>
      <x:c r="Q150" s="349" t="inlineStr">
        <x:is>
          <x:t xml:space="preserve">眼镜;单目镜;护目镜;宽面护目镜;DIY</x:t>
        </x:is>
      </x:c>
      <x:c r="R150" s="349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349" t="str">
        <x:f>IF(COUNTIF($R$6:$R$423,R150)&gt;1,"重复","唯一")</x:f>
        <x:v>唯一</x:v>
      </x:c>
      <x:c r="T150" s="349" t="inlineStr">
        <x:is>
          <x:t xml:space="preserve">4499816448fa5c8cd655053b8191f12c7db3f87713f0572965f1250aa31ec85b</x:t>
        </x:is>
      </x:c>
      <x:c r="U150" s="349" t="inlineStr">
        <x:is>
          <x:t xml:space="preserve">Codex</x:t>
        </x:is>
      </x:c>
      <x:c r="V150" s="349" t="n">
        <x:v>46264</x:v>
      </x:c>
      <x:c r="W150" s="349" t="inlineStr">
        <x:is>
          <x:t xml:space="preserve">原创程序几何</x:t>
        </x:is>
      </x:c>
      <x:c r="X150" s="375" t="inlineStr">
        <x:is>
          <x:t xml:space="preserve">—</x:t>
        </x:is>
      </x:c>
      <x:c r="Y150" s="349" t="inlineStr">
        <x:is>
          <x:t xml:space="preserve">胶囊防护体3D眼镜DIY组件；作为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1" ht="44" customHeight="1">
      <x:c r="A151" s="349" t="inlineStr">
        <x:is>
          <x:t xml:space="preserve">CHR-PLY-CAPSULE01-FOOT-3D</x:t>
        </x:is>
      </x:c>
      <x:c r="B151" s="349" t="inlineStr">
        <x:is>
          <x:t xml:space="preserve">方形猫角色3D脚部模块</x:t>
        </x:is>
      </x:c>
      <x:c r="C151" s="349" t="inlineStr">
        <x:is>
          <x:t xml:space="preserve">角色</x:t>
        </x:is>
      </x:c>
      <x:c r="D151" s="349" t="inlineStr">
        <x:is>
          <x:t xml:space="preserve">player</x:t>
        </x:is>
      </x:c>
      <x:c r="E151" s="349" t="inlineStr">
        <x:is>
          <x:t xml:space="preserve">player_capsule01</x:t>
        </x:is>
      </x:c>
      <x:c r="F151" s="349" t="inlineStr">
        <x:is>
          <x:t xml:space="preserve">feet_3d</x:t>
        </x:is>
      </x:c>
      <x:c r="G151" s="349" t="inlineStr">
        <x:is>
          <x:t xml:space="preserve">CHR-PLY-CAPSULE01-3D</x:t>
        </x:is>
      </x:c>
      <x:c r="H151" s="349" t="inlineStr">
        <x:is>
          <x:t xml:space="preserve">俯视3D</x:t>
        </x:is>
      </x:c>
      <x:c r="I151" s="349" t="inlineStr">
        <x:is>
          <x:t xml:space="preserve">default</x:t>
        </x:is>
      </x:c>
      <x:c r="J151" s="349" t="inlineStr">
        <x:is>
          <x:t xml:space="preserve">3D玩家/预览场</x:t>
        </x:is>
      </x:c>
      <x:c r="K151" s="349" t="inlineStr">
        <x:is>
          <x:t xml:space="preserve">原型已接入</x:t>
        </x:is>
      </x:c>
      <x:c r="L151" s="349" t="inlineStr">
        <x:is>
          <x:t xml:space="preserve">P1</x:t>
        </x:is>
      </x:c>
      <x:c r="M151" s="349" t="inlineStr">
        <x:is>
          <x:t xml:space="preserve">v001</x:t>
        </x:is>
      </x:c>
      <x:c r="N151" s="349" t="inlineStr">
        <x:is>
          <x:t xml:space="preserve">双BoxMesh短脚</x:t>
        </x:is>
      </x:c>
      <x:c r="O151" s="349" t="inlineStr">
        <x:is>
          <x:t xml:space="preserve">assets/art/characters/player/chr_player_capsule01_3d/chr_player_capsule01_root_top3d_v001.tscn</x:t>
        </x:is>
      </x:c>
      <x:c r="P151" s="349" t="inlineStr">
        <x:is>
          <x:t xml:space="preserve">VisualRoot/Feet</x:t>
        </x:is>
      </x:c>
      <x:c r="Q151" s="349" t="inlineStr">
        <x:is>
          <x:t xml:space="preserve">脚;脚部;双脚;方脚;猫脚</x:t>
        </x:is>
      </x:c>
      <x:c r="R151" s="349" t="str">
        <x:f>LOWER(TRIM(C151)&amp;"|"&amp;TRIM(D151)&amp;"|"&amp;TRIM(E151)&amp;"|"&amp;TRIM(F151)&amp;"|"&amp;TRIM(H151)&amp;"|"&amp;TRIM(I151))</x:f>
        <x:v>角色|player|player_capsule01|feet_3d|俯视3d|default</x:v>
      </x:c>
      <x:c r="S151" s="349" t="str">
        <x:f>IF(COUNTIF($R$6:$R$423,R151)&gt;1,"重复","唯一")</x:f>
        <x:v>唯一</x:v>
      </x:c>
      <x:c r="T151" s="349" t="inlineStr">
        <x:is>
          <x:t xml:space="preserve">d962a133c9f966e97e0471adf110eaddda7ade65c2ef3ec47b56dbf2f1c93af0</x:t>
        </x:is>
      </x:c>
      <x:c r="U151" s="349" t="inlineStr">
        <x:is>
          <x:t xml:space="preserve">Codex</x:t>
        </x:is>
      </x:c>
      <x:c r="V151" s="349" t="n">
        <x:v>46264</x:v>
      </x:c>
      <x:c r="W151" s="349" t="inlineStr">
        <x:is>
          <x:t xml:space="preserve">原创程序几何</x:t>
        </x:is>
      </x:c>
      <x:c r="X151" s="375" t="inlineStr">
        <x:is>
          <x:t xml:space="preserve">—</x:t>
        </x:is>
      </x:c>
      <x:c r="Y151" s="349" t="inlineStr">
        <x:is>
          <x:t xml:space="preserve">方形猫角色3D脚部模块；复用CHR-PLY-CAPSULE01-3D玩家根；方形主语言，TailStub为用户指定圆尾例外；自动与视觉验收PASS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2" ht="44" customHeight="1">
      <x:c r="A152" s="349" t="inlineStr">
        <x:is>
          <x:t xml:space="preserve">CHR-PLY-CAPSULE01-EYES-3D</x:t>
        </x:is>
      </x:c>
      <x:c r="B152" s="349" t="inlineStr">
        <x:is>
          <x:t xml:space="preserve">方形猫角色3D双眼配件</x:t>
        </x:is>
      </x:c>
      <x:c r="C152" s="349" t="inlineStr">
        <x:is>
          <x:t xml:space="preserve">角色</x:t>
        </x:is>
      </x:c>
      <x:c r="D152" s="349" t="inlineStr">
        <x:is>
          <x:t xml:space="preserve">player_accessory</x:t>
        </x:is>
      </x:c>
      <x:c r="E152" s="349" t="inlineStr">
        <x:is>
          <x:t xml:space="preserve">player_capsule01</x:t>
        </x:is>
      </x:c>
      <x:c r="F152" s="349" t="inlineStr">
        <x:is>
          <x:t xml:space="preserve">eyes_3d</x:t>
        </x:is>
      </x:c>
      <x:c r="G152" s="349" t="inlineStr">
        <x:is>
          <x:t xml:space="preserve">CHR-PLY-CAPSULE01-HEAD-3D</x:t>
        </x:is>
      </x:c>
      <x:c r="H152" s="349" t="inlineStr">
        <x:is>
          <x:t xml:space="preserve">俯视3D</x:t>
        </x:is>
      </x:c>
      <x:c r="I152" s="349" t="inlineStr">
        <x:is>
          <x:t xml:space="preserve">default</x:t>
        </x:is>
      </x:c>
      <x:c r="J152" s="349" t="inlineStr">
        <x:is>
          <x:t xml:space="preserve">3D玩家/预览场</x:t>
        </x:is>
      </x:c>
      <x:c r="K152" s="349" t="inlineStr">
        <x:is>
          <x:t xml:space="preserve">原型已接入</x:t>
        </x:is>
      </x:c>
      <x:c r="L152" s="349" t="inlineStr">
        <x:is>
          <x:t xml:space="preserve">P1</x:t>
        </x:is>
      </x:c>
      <x:c r="M152" s="349" t="inlineStr">
        <x:is>
          <x:t xml:space="preserve">v001</x:t>
        </x:is>
      </x:c>
      <x:c r="N152" s="349" t="inlineStr">
        <x:is>
          <x:t xml:space="preserve">2个矩形豆豆眼</x:t>
        </x:is>
      </x:c>
      <x:c r="O152" s="349" t="inlineStr">
        <x:is>
          <x:t xml:space="preserve">assets/art/characters/player/chr_player_capsule01_3d/chr_player_capsule01_root_top3d_v001.tscn</x:t>
        </x:is>
      </x:c>
      <x:c r="P152" s="349" t="inlineStr">
        <x:is>
          <x:t xml:space="preserve">VisualRoot/Head/Eyes</x:t>
        </x:is>
      </x:c>
      <x:c r="Q152" s="349" t="inlineStr">
        <x:is>
          <x:t xml:space="preserve">眼睛;双眼;豆豆眼;矩形眼</x:t>
        </x:is>
      </x:c>
      <x:c r="R152" s="349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349" t="str">
        <x:f>IF(COUNTIF($R$6:$R$423,R152)&gt;1,"重复","唯一")</x:f>
        <x:v>唯一</x:v>
      </x:c>
      <x:c r="T152" s="349" t="inlineStr">
        <x:is>
          <x:t xml:space="preserve">d962a133c9f966e97e0471adf110eaddda7ade65c2ef3ec47b56dbf2f1c93af0</x:t>
        </x:is>
      </x:c>
      <x:c r="U152" s="349" t="inlineStr">
        <x:is>
          <x:t xml:space="preserve">Codex</x:t>
        </x:is>
      </x:c>
      <x:c r="V152" s="349" t="n">
        <x:v>46264</x:v>
      </x:c>
      <x:c r="W152" s="349" t="inlineStr">
        <x:is>
          <x:t xml:space="preserve">原创程序几何</x:t>
        </x:is>
      </x:c>
      <x:c r="X152" s="375" t="inlineStr">
        <x:is>
          <x:t xml:space="preserve">—</x:t>
        </x:is>
      </x:c>
      <x:c r="Y152" s="349" t="inlineStr">
        <x:is>
          <x:t xml:space="preserve">方形猫角色3D双眼配件；复用CHR-PLY-CAPSULE01-3D玩家根；方形主语言，TailStub为用户指定圆尾例外；自动与视觉验收PASS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3" ht="44" customHeight="1">
      <x:c r="A153" s="349" t="inlineStr">
        <x:is>
          <x:t xml:space="preserve">CHR-PLY-CAPSULE01-EARS-3D</x:t>
        </x:is>
      </x:c>
      <x:c r="B153" s="349" t="inlineStr">
        <x:is>
          <x:t xml:space="preserve">方形猫角色3D双耳配件</x:t>
        </x:is>
      </x:c>
      <x:c r="C153" s="349" t="inlineStr">
        <x:is>
          <x:t xml:space="preserve">角色</x:t>
        </x:is>
      </x:c>
      <x:c r="D153" s="349" t="inlineStr">
        <x:is>
          <x:t xml:space="preserve">player_accessory</x:t>
        </x:is>
      </x:c>
      <x:c r="E153" s="349" t="inlineStr">
        <x:is>
          <x:t xml:space="preserve">player_capsule01</x:t>
        </x:is>
      </x:c>
      <x:c r="F153" s="349" t="inlineStr">
        <x:is>
          <x:t xml:space="preserve">ears_3d</x:t>
        </x:is>
      </x:c>
      <x:c r="G153" s="349" t="inlineStr">
        <x:is>
          <x:t xml:space="preserve">CHR-PLY-CAPSULE01-HEAD-3D</x:t>
        </x:is>
      </x:c>
      <x:c r="H153" s="349" t="inlineStr">
        <x:is>
          <x:t xml:space="preserve">俯视3D</x:t>
        </x:is>
      </x:c>
      <x:c r="I153" s="349" t="inlineStr">
        <x:is>
          <x:t xml:space="preserve">default</x:t>
        </x:is>
      </x:c>
      <x:c r="J153" s="349" t="inlineStr">
        <x:is>
          <x:t xml:space="preserve">3D玩家/预览场</x:t>
        </x:is>
      </x:c>
      <x:c r="K153" s="349" t="inlineStr">
        <x:is>
          <x:t xml:space="preserve">原型已接入</x:t>
        </x:is>
      </x:c>
      <x:c r="L153" s="349" t="inlineStr">
        <x:is>
          <x:t xml:space="preserve">P1</x:t>
        </x:is>
      </x:c>
      <x:c r="M153" s="349" t="inlineStr">
        <x:is>
          <x:t xml:space="preserve">v001</x:t>
        </x:is>
      </x:c>
      <x:c r="N153" s="349" t="inlineStr">
        <x:is>
          <x:t xml:space="preserve">2个三角耳</x:t>
        </x:is>
      </x:c>
      <x:c r="O153" s="349" t="inlineStr">
        <x:is>
          <x:t xml:space="preserve">assets/art/characters/player/chr_player_capsule01_3d/chr_player_capsule01_root_top3d_v001.tscn</x:t>
        </x:is>
      </x:c>
      <x:c r="P153" s="349" t="inlineStr">
        <x:is>
          <x:t xml:space="preserve">VisualRoot/Head/Ears</x:t>
        </x:is>
      </x:c>
      <x:c r="Q153" s="349" t="inlineStr">
        <x:is>
          <x:t xml:space="preserve">耳朵;双耳;猫耳;三角耳</x:t>
        </x:is>
      </x:c>
      <x:c r="R153" s="349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349" t="str">
        <x:f>IF(COUNTIF($R$6:$R$423,R153)&gt;1,"重复","唯一")</x:f>
        <x:v>唯一</x:v>
      </x:c>
      <x:c r="T153" s="349" t="inlineStr">
        <x:is>
          <x:t xml:space="preserve">d962a133c9f966e97e0471adf110eaddda7ade65c2ef3ec47b56dbf2f1c93af0</x:t>
        </x:is>
      </x:c>
      <x:c r="U153" s="349" t="inlineStr">
        <x:is>
          <x:t xml:space="preserve">Codex</x:t>
        </x:is>
      </x:c>
      <x:c r="V153" s="349" t="n">
        <x:v>46264</x:v>
      </x:c>
      <x:c r="W153" s="349" t="inlineStr">
        <x:is>
          <x:t xml:space="preserve">原创程序几何</x:t>
        </x:is>
      </x:c>
      <x:c r="X153" s="375" t="inlineStr">
        <x:is>
          <x:t xml:space="preserve">—</x:t>
        </x:is>
      </x:c>
      <x:c r="Y153" s="349" t="inlineStr">
        <x:is>
          <x:t xml:space="preserve">方形猫角色3D双耳配件；复用CHR-PLY-CAPSULE01-3D玩家根；方形主语言，TailStub为用户指定圆尾例外；自动与视觉验收PASS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4" ht="44" customHeight="1">
      <x:c r="A154" s="349" t="inlineStr">
        <x:is>
          <x:t xml:space="preserve">CHR-PLY-CAPSULE01-TAIL-STUB-3D</x:t>
        </x:is>
      </x:c>
      <x:c r="B154" s="349" t="inlineStr">
        <x:is>
          <x:t xml:space="preserve">方形猫角色3D圆短尾</x:t>
        </x:is>
      </x:c>
      <x:c r="C154" s="349" t="inlineStr">
        <x:is>
          <x:t xml:space="preserve">角色</x:t>
        </x:is>
      </x:c>
      <x:c r="D154" s="349" t="inlineStr">
        <x:is>
          <x:t xml:space="preserve">player_accessory</x:t>
        </x:is>
      </x:c>
      <x:c r="E154" s="349" t="inlineStr">
        <x:is>
          <x:t xml:space="preserve">player_capsule01</x:t>
        </x:is>
      </x:c>
      <x:c r="F154" s="349" t="inlineStr">
        <x:is>
          <x:t xml:space="preserve">tail_stub_3d</x:t>
        </x:is>
      </x:c>
      <x:c r="G154" s="349" t="inlineStr">
        <x:is>
          <x:t xml:space="preserve">CHR-PLY-CAPSULE01-BODY-3D</x:t>
        </x:is>
      </x:c>
      <x:c r="H154" s="349" t="inlineStr">
        <x:is>
          <x:t xml:space="preserve">俯视3D</x:t>
        </x:is>
      </x:c>
      <x:c r="I154" s="349" t="inlineStr">
        <x:is>
          <x:t xml:space="preserve">default</x:t>
        </x:is>
      </x:c>
      <x:c r="J154" s="349" t="inlineStr">
        <x:is>
          <x:t xml:space="preserve">3D玩家/预览场</x:t>
        </x:is>
      </x:c>
      <x:c r="K154" s="349" t="inlineStr">
        <x:is>
          <x:t xml:space="preserve">原型已接入</x:t>
        </x:is>
      </x:c>
      <x:c r="L154" s="349" t="inlineStr">
        <x:is>
          <x:t xml:space="preserve">P1</x:t>
        </x:is>
      </x:c>
      <x:c r="M154" s="349" t="inlineStr">
        <x:is>
          <x:t xml:space="preserve">v001</x:t>
        </x:is>
      </x:c>
      <x:c r="N154" s="349" t="inlineStr">
        <x:is>
          <x:t xml:space="preserve">单个SphereMesh圆尾团</x:t>
        </x:is>
      </x:c>
      <x:c r="O154" s="349" t="inlineStr">
        <x:is>
          <x:t xml:space="preserve">assets/art/characters/player/chr_player_capsule01_3d/chr_player_capsule01_root_top3d_v001.tscn</x:t>
        </x:is>
      </x:c>
      <x:c r="P154" s="349" t="inlineStr">
        <x:is>
          <x:t xml:space="preserve">VisualRoot/Body/TailStub</x:t>
        </x:is>
      </x:c>
      <x:c r="Q154" s="349" t="inlineStr">
        <x:is>
          <x:t xml:space="preserve">尾巴;短尾;圆尾;尾团;无长尾</x:t>
        </x:is>
      </x:c>
      <x:c r="R154" s="349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349" t="str">
        <x:f>IF(COUNTIF($R$6:$R$423,R154)&gt;1,"重复","唯一")</x:f>
        <x:v>唯一</x:v>
      </x:c>
      <x:c r="T154" s="349" t="inlineStr">
        <x:is>
          <x:t xml:space="preserve">d962a133c9f966e97e0471adf110eaddda7ade65c2ef3ec47b56dbf2f1c93af0</x:t>
        </x:is>
      </x:c>
      <x:c r="U154" s="349" t="inlineStr">
        <x:is>
          <x:t xml:space="preserve">Codex</x:t>
        </x:is>
      </x:c>
      <x:c r="V154" s="349" t="n">
        <x:v>46264</x:v>
      </x:c>
      <x:c r="W154" s="349" t="inlineStr">
        <x:is>
          <x:t xml:space="preserve">原创程序几何</x:t>
        </x:is>
      </x:c>
      <x:c r="X154" s="375" t="inlineStr">
        <x:is>
          <x:t xml:space="preserve">—</x:t>
        </x:is>
      </x:c>
      <x:c r="Y154" s="349" t="inlineStr">
        <x:is>
          <x:t xml:space="preserve">方形猫角色3D圆短尾；复用CHR-PLY-CAPSULE01-3D玩家根；方形主语言，TailStub为用户指定圆尾例外；自动与视觉验收PASS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5" ht="44" customHeight="1">
      <x:c r="A155" s="349" t="inlineStr">
        <x:is>
          <x:t xml:space="preserve">CHR-PLY-CAPSULE01-FEET-DIY-3D</x:t>
        </x:is>
      </x:c>
      <x:c r="B155" s="349" t="inlineStr">
        <x:is>
          <x:t xml:space="preserve">方形猫角色3D脚部DIY变体</x:t>
        </x:is>
      </x:c>
      <x:c r="C155" s="349" t="inlineStr">
        <x:is>
          <x:t xml:space="preserve">角色</x:t>
        </x:is>
      </x:c>
      <x:c r="D155" s="349" t="inlineStr">
        <x:is>
          <x:t xml:space="preserve">player_variant</x:t>
        </x:is>
      </x:c>
      <x:c r="E155" s="349" t="inlineStr">
        <x:is>
          <x:t xml:space="preserve">player_capsule01</x:t>
        </x:is>
      </x:c>
      <x:c r="F155" s="349" t="inlineStr">
        <x:is>
          <x:t xml:space="preserve">feet_diy_3d</x:t>
        </x:is>
      </x:c>
      <x:c r="G155" s="349" t="inlineStr">
        <x:is>
          <x:t xml:space="preserve">CHR-PLY-CAPSULE01-FOOT-3D</x:t>
        </x:is>
      </x:c>
      <x:c r="H155" s="349" t="inlineStr">
        <x:is>
          <x:t xml:space="preserve">俯视3D</x:t>
        </x:is>
      </x:c>
      <x:c r="I155" s="349" t="inlineStr">
        <x:is>
          <x:t xml:space="preserve">diy</x:t>
        </x:is>
      </x:c>
      <x:c r="J155" s="349" t="inlineStr">
        <x:is>
          <x:t xml:space="preserve">3D玩家/预览场</x:t>
        </x:is>
      </x:c>
      <x:c r="K155" s="349" t="inlineStr">
        <x:is>
          <x:t xml:space="preserve">原型已接入</x:t>
        </x:is>
      </x:c>
      <x:c r="L155" s="349" t="inlineStr">
        <x:is>
          <x:t xml:space="preserve">P1</x:t>
        </x:is>
      </x:c>
      <x:c r="M155" s="349" t="inlineStr">
        <x:is>
          <x:t xml:space="preserve">v001</x:t>
        </x:is>
      </x:c>
      <x:c r="N155" s="349" t="inlineStr">
        <x:is>
          <x:t xml:space="preserve">4种程序材质</x:t>
        </x:is>
      </x:c>
      <x:c r="O155" s="349" t="inlineStr">
        <x:is>
          <x:t xml:space="preserve">src/player3d/PlayerAvatar3D.gd</x:t>
        </x:is>
      </x:c>
      <x:c r="P155" s="349" t="inlineStr">
        <x:is>
          <x:t xml:space="preserve">VisualRoot/Feet</x:t>
        </x:is>
      </x:c>
      <x:c r="Q155" s="349" t="inlineStr">
        <x:is>
          <x:t xml:space="preserve">脚部DIY;猫脚;短靴;橙色;沙色;钴蓝;青绿</x:t>
        </x:is>
      </x:c>
      <x:c r="R155" s="349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349" t="str">
        <x:f>IF(COUNTIF($R$6:$R$423,R155)&gt;1,"重复","唯一")</x:f>
        <x:v>唯一</x:v>
      </x:c>
      <x:c r="T155" s="349" t="inlineStr">
        <x:is>
          <x:t xml:space="preserve">4499816448fa5c8cd655053b8191f12c7db3f87713f0572965f1250aa31ec85b</x:t>
        </x:is>
      </x:c>
      <x:c r="U155" s="349" t="inlineStr">
        <x:is>
          <x:t xml:space="preserve">Codex</x:t>
        </x:is>
      </x:c>
      <x:c r="V155" s="349" t="n">
        <x:v>46264</x:v>
      </x:c>
      <x:c r="W155" s="349" t="inlineStr">
        <x:is>
          <x:t xml:space="preserve">原创程序几何</x:t>
        </x:is>
      </x:c>
      <x:c r="X155" s="375" t="inlineStr">
        <x:is>
          <x:t xml:space="preserve">—</x:t>
        </x:is>
      </x:c>
      <x:c r="Y155" s="349" t="inlineStr">
        <x:is>
          <x:t xml:space="preserve">方形猫角色3D脚部DIY变体；复用CHR-PLY-CAPSULE01-3D玩家根；方形主语言，TailStub为用户指定圆尾例外；自动与视觉验收PASS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6" ht="132" customHeight="1">
      <x:c r="A156" s="364" t="inlineStr">
        <x:is>
          <x:t xml:space="preserve">CHR-PLY-CAPSULE01-3D-BUNNY01</x:t>
        </x:is>
      </x:c>
      <x:c r="B156" s="364" t="inlineStr">
        <x:is>
          <x:t xml:space="preserve">兔子主角3D根变体</x:t>
        </x:is>
      </x:c>
      <x:c r="C156" s="364" t="inlineStr">
        <x:is>
          <x:t xml:space="preserve">角色</x:t>
        </x:is>
      </x:c>
      <x:c r="D156" s="364" t="inlineStr">
        <x:is>
          <x:t xml:space="preserve">player_variant</x:t>
        </x:is>
      </x:c>
      <x:c r="E156" s="364" t="inlineStr">
        <x:is>
          <x:t xml:space="preserve">player_capsule01</x:t>
        </x:is>
      </x:c>
      <x:c r="F156" s="364" t="inlineStr">
        <x:is>
          <x:t xml:space="preserve">root_3d_bunny01</x:t>
        </x:is>
      </x:c>
      <x:c r="G156" s="364" t="inlineStr">
        <x:is>
          <x:t xml:space="preserve">CHR-PLY-CAPSULE01-3D</x:t>
        </x:is>
      </x:c>
      <x:c r="H156" s="364" t="inlineStr">
        <x:is>
          <x:t xml:space="preserve">俯视3D</x:t>
        </x:is>
      </x:c>
      <x:c r="I156" s="364" t="inlineStr">
        <x:is>
          <x:t xml:space="preserve">default</x:t>
        </x:is>
      </x:c>
      <x:c r="J156" s="364" t="inlineStr">
        <x:is>
          <x:t xml:space="preserve">3D玩家场景</x:t>
        </x:is>
      </x:c>
      <x:c r="K156" s="364" t="inlineStr">
        <x:is>
          <x:t xml:space="preserve">原型已接入</x:t>
        </x:is>
      </x:c>
      <x:c r="L156" s="364" t="inlineStr">
        <x:is>
          <x:t xml:space="preserve">P0</x:t>
        </x:is>
      </x:c>
      <x:c r="M156" s="364" t="inlineStr">
        <x:is>
          <x:t xml:space="preserve">v021</x:t>
        </x:is>
      </x:c>
      <x:c r="N156" s="364" t="inlineStr">
        <x:is>
          <x:t xml:space="preserve">创作高1.5m；运行可见高1.05m；碰撞由Player3D拥有，不随美术骨架修改。</x:t>
        </x:is>
      </x:c>
      <x:c r="O156" s="364" t="inlineStr">
        <x:is>
          <x:t xml:space="preserve">assets/art/characters/player/chr_player_capsule01_3d/variants/bunny01/production/v021/runtime/chr_bunny01_root_v021.tscn</x:t>
        </x:is>
      </x:c>
      <x:c r="P156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6" s="364" t="inlineStr">
        <x:is>
          <x:t xml:space="preserve">兔子;主角;兔耳;3D;Blender;bunny01</x:t>
        </x:is>
      </x:c>
      <x:c r="R156" s="364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364" t="str">
        <x:f>IF(COUNTIF($R$6:$R$423,R156)&gt;1,"重复","唯一")</x:f>
        <x:v>唯一</x:v>
      </x:c>
      <x:c r="T156" s="364" t="inlineStr">
        <x:is>
          <x:t xml:space="preserve">e9cac2738d9fa586eed9f2e97a93ff220cab52b60d89f53f4cd80e38ebc9b6c4</x:t>
        </x:is>
      </x:c>
      <x:c r="U156" s="364" t="inlineStr">
        <x:is>
          <x:t xml:space="preserve">Codex</x:t>
        </x:is>
      </x:c>
      <x:c r="V156" s="307" t="n">
        <x:v>46264</x:v>
      </x:c>
      <x:c r="W156" s="307" t="inlineStr">
        <x:is>
          <x:t xml:space="preserve">原创 Blender/Godot 组合</x:t>
        </x:is>
      </x:c>
      <x:c r="X156" s="375" t="inlineStr">
        <x:is>
          <x:t xml:space="preserve">—</x:t>
        </x:is>
      </x:c>
      <x:c r="Y156" s="364" t="inlineStr">
        <x:is>
          <x:t xml:space="preserve">v0.1 v006：正式BunnyRig保持双手武器姿势；新增BodyJoint/LowerBodySocket；DIY body/head/hand/feet直接映射可见GLB材质；状态画廊覆盖层读数兼容结构化flashlight快照。角色网格保持layer2与现有外部灯光投影契约。
2026-08-21：复用bunny01 v006与现有武器GLB/AssetID，sidearm_hold改为右前下方低位警戒；仅程序姿势修订，不改玩法碰撞、射击或装配。
2026-08-21：右手掌球中心、HandJointR与枪械GripSocket改为同一挂点事实；沿用bunny01 v006与现有AssetID，不改玩法。
2026-08-21：手枪待机取消整枪俯仰/偏航/侧滚，开火角度后坐不再作用于枪身；枪口local -Z与真实aim_direction保持0度差。
2026-08-30 AST-02：合法内容更新；文件为Git已跟踪且修改时间不早于原台账日期；验收：verify_player3d_avatar_bounds；verify_player3d_weapon_pose_collision_flow；SHA b894e9fe05f8→cbd405cbac3e。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7" ht="118" customHeight="1">
      <x:c r="A157" s="364" t="inlineStr">
        <x:is>
          <x:t xml:space="preserve">CHR-PLY-CAPSULE01-3D-BUNNY01-BODY</x:t>
        </x:is>
      </x:c>
      <x:c r="B157" s="364" t="inlineStr">
        <x:is>
          <x:t xml:space="preserve">兔子主角3D身体</x:t>
        </x:is>
      </x:c>
      <x:c r="C157" s="364" t="inlineStr">
        <x:is>
          <x:t xml:space="preserve">角色</x:t>
        </x:is>
      </x:c>
      <x:c r="D157" s="364" t="inlineStr">
        <x:is>
          <x:t xml:space="preserve">player_component</x:t>
        </x:is>
      </x:c>
      <x:c r="E157" s="364" t="inlineStr">
        <x:is>
          <x:t xml:space="preserve">player_capsule01</x:t>
        </x:is>
      </x:c>
      <x:c r="F157" s="364" t="inlineStr">
        <x:is>
          <x:t xml:space="preserve">body_3d_bunny01</x:t>
        </x:is>
      </x:c>
      <x:c r="G157" s="364" t="inlineStr">
        <x:is>
          <x:t xml:space="preserve">CHR-PLY-CAPSULE01-3D-BUNNY01</x:t>
        </x:is>
      </x:c>
      <x:c r="H157" s="364" t="inlineStr">
        <x:is>
          <x:t xml:space="preserve">俯视3D</x:t>
        </x:is>
      </x:c>
      <x:c r="I157" s="364" t="inlineStr">
        <x:is>
          <x:t xml:space="preserve">default</x:t>
        </x:is>
      </x:c>
      <x:c r="J157" s="364" t="inlineStr">
        <x:is>
          <x:t xml:space="preserve">3D玩家场景</x:t>
        </x:is>
      </x:c>
      <x:c r="K157" s="364" t="inlineStr">
        <x:is>
          <x:t xml:space="preserve">原型已接入</x:t>
        </x:is>
      </x:c>
      <x:c r="L157" s="364" t="inlineStr">
        <x:is>
          <x:t xml:space="preserve">P0</x:t>
        </x:is>
      </x:c>
      <x:c r="M157" s="364" t="inlineStr">
        <x:is>
          <x:t xml:space="preserve">v021</x:t>
        </x:is>
      </x:c>
      <x:c r="N157" s="364" t="inlineStr">
        <x:is>
          <x:t xml:space="preserve">GLB / 1,958 verts / pivot-local / 1.5m总高比例</x:t>
        </x:is>
      </x:c>
      <x:c r="O157" s="364" t="inlineStr">
        <x:is>
          <x:t xml:space="preserve">assets/art/characters/player/chr_player_capsule01_3d/variants/bunny01/production/v021/exports/chr_bunny01_body_v021.glb</x:t>
        </x:is>
      </x:c>
      <x:c r="P157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7" s="364" t="inlineStr">
        <x:is>
          <x:t xml:space="preserve">兔子;身体;服装;body;bunny01</x:t>
        </x:is>
      </x:c>
      <x:c r="R157" s="364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364" t="str">
        <x:f>IF(COUNTIF($R$6:$R$423,R157)&gt;1,"重复","唯一")</x:f>
        <x:v>唯一</x:v>
      </x:c>
      <x:c r="T157" s="364" t="inlineStr">
        <x:is>
          <x:t xml:space="preserve">861c7d454e510d7d50c0459dc9fa5b052af56c473896333a68ab6940ae981b49</x:t>
        </x:is>
      </x:c>
      <x:c r="U157" s="364" t="inlineStr">
        <x:is>
          <x:t xml:space="preserve">Codex</x:t>
        </x:is>
      </x:c>
      <x:c r="V157" s="307" t="n">
        <x:v>46264</x:v>
      </x:c>
      <x:c r="W157" s="364" t="inlineStr">
        <x:is>
          <x:t xml:space="preserve">用户提供 Blender 源文件</x:t>
        </x:is>
      </x:c>
      <x:c r="X157" s="375" t="inlineStr">
        <x:is>
          <x:t xml:space="preserve">—</x:t>
        </x:is>
      </x:c>
      <x:c r="Y157" s="364" t="inlineStr">
        <x:is>
          <x:t xml:space="preserve">v0.1 v006：身体网格与底部中心原点保持不变；BodyJoint新增LowerBodySocket local=(0,0.14,0)，用于裙摆/腰甲/下摆并继承全部身体程序动画。
2026-08-30 AST-04：Bunny v008 包装层实际消费 v007 组件；登记路径 assets/art/characters/player/chr_player_capsule01_3d/variants/bunny01/components/chr_player_capsule01_bunny01_body_top3d_v006.glb → assets/art/characters/player/chr_player_capsule01_3d/variants/bunny01/components/chr_player_capsule01_bunny01_body_top3d_v007.glb；稳定组件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8" ht="118" customHeight="1">
      <x:c r="A158" s="364" t="inlineStr">
        <x:is>
          <x:t xml:space="preserve">CHR-PLY-CAPSULE01-3D-BUNNY01-HEAD</x:t>
        </x:is>
      </x:c>
      <x:c r="B158" s="364" t="inlineStr">
        <x:is>
          <x:t xml:space="preserve">兔子主角3D头部</x:t>
        </x:is>
      </x:c>
      <x:c r="C158" s="364" t="inlineStr">
        <x:is>
          <x:t xml:space="preserve">角色</x:t>
        </x:is>
      </x:c>
      <x:c r="D158" s="364" t="inlineStr">
        <x:is>
          <x:t xml:space="preserve">player_component</x:t>
        </x:is>
      </x:c>
      <x:c r="E158" s="364" t="inlineStr">
        <x:is>
          <x:t xml:space="preserve">player_capsule01</x:t>
        </x:is>
      </x:c>
      <x:c r="F158" s="364" t="inlineStr">
        <x:is>
          <x:t xml:space="preserve">head_3d_bunny01</x:t>
        </x:is>
      </x:c>
      <x:c r="G158" s="364" t="inlineStr">
        <x:is>
          <x:t xml:space="preserve">CHR-PLY-CAPSULE01-3D-BUNNY01</x:t>
        </x:is>
      </x:c>
      <x:c r="H158" s="364" t="inlineStr">
        <x:is>
          <x:t xml:space="preserve">俯视3D</x:t>
        </x:is>
      </x:c>
      <x:c r="I158" s="364" t="inlineStr">
        <x:is>
          <x:t xml:space="preserve">default</x:t>
        </x:is>
      </x:c>
      <x:c r="J158" s="364" t="inlineStr">
        <x:is>
          <x:t xml:space="preserve">3D玩家场景</x:t>
        </x:is>
      </x:c>
      <x:c r="K158" s="364" t="inlineStr">
        <x:is>
          <x:t xml:space="preserve">原型已接入</x:t>
        </x:is>
      </x:c>
      <x:c r="L158" s="364" t="inlineStr">
        <x:is>
          <x:t xml:space="preserve">P0</x:t>
        </x:is>
      </x:c>
      <x:c r="M158" s="364" t="inlineStr">
        <x:is>
          <x:t xml:space="preserve">v021</x:t>
        </x:is>
      </x:c>
      <x:c r="N158" s="364" t="inlineStr">
        <x:is>
          <x:t xml:space="preserve">GLB / 5,936 verts / pivot-local / 头顶1.103390m</x:t>
        </x:is>
      </x:c>
      <x:c r="O158" s="364" t="inlineStr">
        <x:is>
          <x:t xml:space="preserve">assets/art/characters/player/chr_player_capsule01_3d/variants/bunny01/production/v021/exports/chr_bunny01_head_v021.glb</x:t>
        </x:is>
      </x:c>
      <x:c r="P158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8" s="364" t="inlineStr">
        <x:is>
          <x:t xml:space="preserve">兔子;头部;head;bunny01</x:t>
        </x:is>
      </x:c>
      <x:c r="R158" s="364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364" t="str">
        <x:f>IF(COUNTIF($R$6:$R$423,R158)&gt;1,"重复","唯一")</x:f>
        <x:v>唯一</x:v>
      </x:c>
      <x:c r="T158" s="364" t="inlineStr">
        <x:is>
          <x:t xml:space="preserve">f654754b8a52cbd173597bd5f1e390a900bd0c2b0ed4ba357a8060542d51fda5</x:t>
        </x:is>
      </x:c>
      <x:c r="U158" s="364" t="inlineStr">
        <x:is>
          <x:t xml:space="preserve">Codex</x:t>
        </x:is>
      </x:c>
      <x:c r="V158" s="307" t="n">
        <x:v>46264</x:v>
      </x:c>
      <x:c r="W158" s="364" t="inlineStr">
        <x:is>
          <x:t xml:space="preserve">用户提供 Blender 源文件</x:t>
        </x:is>
      </x:c>
      <x:c r="X158" s="375" t="inlineStr">
        <x:is>
          <x:t xml:space="preserve">—</x:t>
        </x:is>
      </x:c>
      <x:c r="Y158" s="364" t="inlineStr">
        <x:is>
          <x:t xml:space="preserve">v0.1 v006：头部与下沿中心原点真实1.5倍；不含耳头顶1.103390m，完整双耳顶部1.500m。
2026-08-30 AST-04：Bunny v008 包装层实际消费 v007 组件；登记路径 assets/art/characters/player/chr_player_capsule01_3d/variants/bunny01/components/chr_player_capsule01_bunny01_head_top3d_v006.glb → assets/art/characters/player/chr_player_capsule01_3d/variants/bunny01/components/chr_player_capsule01_bunny01_head_top3d_v007.glb；稳定组件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9" ht="118" customHeight="1">
      <x:c r="A159" s="364" t="inlineStr">
        <x:is>
          <x:t xml:space="preserve">CHR-PLY-CAPSULE01-3D-BUNNY01-EARS</x:t>
        </x:is>
      </x:c>
      <x:c r="B159" s="364" t="inlineStr">
        <x:is>
          <x:t xml:space="preserve">兔子主角3D双耳配件</x:t>
        </x:is>
      </x:c>
      <x:c r="C159" s="364" t="inlineStr">
        <x:is>
          <x:t xml:space="preserve">角色</x:t>
        </x:is>
      </x:c>
      <x:c r="D159" s="364" t="inlineStr">
        <x:is>
          <x:t xml:space="preserve">player_accessory</x:t>
        </x:is>
      </x:c>
      <x:c r="E159" s="364" t="inlineStr">
        <x:is>
          <x:t xml:space="preserve">player_capsule01</x:t>
        </x:is>
      </x:c>
      <x:c r="F159" s="364" t="inlineStr">
        <x:is>
          <x:t xml:space="preserve">ears_3d_bunny01</x:t>
        </x:is>
      </x:c>
      <x:c r="G159" s="364" t="inlineStr">
        <x:is>
          <x:t xml:space="preserve">CHR-PLY-CAPSULE01-3D-BUNNY01-HEAD</x:t>
        </x:is>
      </x:c>
      <x:c r="H159" s="364" t="inlineStr">
        <x:is>
          <x:t xml:space="preserve">俯视3D</x:t>
        </x:is>
      </x:c>
      <x:c r="I159" s="364" t="inlineStr">
        <x:is>
          <x:t xml:space="preserve">default</x:t>
        </x:is>
      </x:c>
      <x:c r="J159" s="364" t="inlineStr">
        <x:is>
          <x:t xml:space="preserve">3D玩家场景</x:t>
        </x:is>
      </x:c>
      <x:c r="K159" s="364" t="inlineStr">
        <x:is>
          <x:t xml:space="preserve">原型已接入</x:t>
        </x:is>
      </x:c>
      <x:c r="L159" s="364" t="inlineStr">
        <x:is>
          <x:t xml:space="preserve">P0</x:t>
        </x:is>
      </x:c>
      <x:c r="M159" s="364" t="inlineStr">
        <x:is>
          <x:t xml:space="preserve">v021</x:t>
        </x:is>
      </x:c>
      <x:c r="N159" s="364" t="inlineStr">
        <x:is>
          <x:t xml:space="preserve">左右独立 GLB / 已烘焙镜像</x:t>
        </x:is>
      </x:c>
      <x:c r="O159" s="364" t="inlineStr">
        <x:is>
          <x:t xml:space="preserve">assets/art/characters/player/chr_player_capsule01_3d/variants/bunny01/production/v021/exports/chr_bunny01_ear_l_v021.glb; assets/art/characters/player/chr_player_capsule01_3d/variants/bunny01/production/v021/exports/chr_bunny01_ear_r_v021.glb</x:t>
        </x:is>
      </x:c>
      <x:c r="P159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9" s="364" t="inlineStr">
        <x:is>
          <x:t xml:space="preserve">兔耳;耳朵;耳部配件;EarSocketL;EarSocketR;bunny01</x:t>
        </x:is>
      </x:c>
      <x:c r="R159" s="364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364" t="str">
        <x:f>IF(COUNTIF($R$6:$R$423,R159)&gt;1,"重复","唯一")</x:f>
        <x:v>唯一</x:v>
      </x:c>
      <x:c r="T159" s="364" t="inlineStr">
        <x:is>
          <x:t xml:space="preserve">0936a7e3212554eddf48af62704649b6a6c98a67b56b180ed2e802bc97a1fc7c / 7719ba73dec977951da3edf997752ba5afcf4a1c9f8b2bc8dd5ad8a78381b208</x:t>
        </x:is>
      </x:c>
      <x:c r="U159" s="364" t="inlineStr">
        <x:is>
          <x:t xml:space="preserve">Codex</x:t>
        </x:is>
      </x:c>
      <x:c r="V159" s="307" t="n">
        <x:v>46264</x:v>
      </x:c>
      <x:c r="W159" s="364" t="inlineStr">
        <x:is>
          <x:t xml:space="preserve">用户提供 Blender 源文件</x:t>
        </x:is>
      </x:c>
      <x:c r="X159" s="375" t="inlineStr">
        <x:is>
          <x:t xml:space="preserve">—</x:t>
        </x:is>
      </x:c>
      <x:c r="Y159" s="364" t="inlineStr">
        <x:is>
          <x:t xml:space="preserve">v0.1 v006：耳朵网格与耳根原点真实1.5倍；左右挂点复用单资产，装配后最高点严格1.500m。
2026-08-30 AST-04：Bunny v008 包装层实际消费 v007 组件；登记路径 assets/art/characters/player/chr_player_capsule01_3d/variants/bunny01/components/chr_player_capsule01_bunny01_ear_top3d_v006.glb → assets/art/characters/player/chr_player_capsule01_3d/variants/bunny01/components/chr_player_capsule01_bunny01_ear_top3d_v007.glb；稳定组件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0" ht="118" customHeight="1">
      <x:c r="A160" s="364" t="inlineStr">
        <x:is>
          <x:t xml:space="preserve">CHR-PLY-CAPSULE01-3D-BUNNY01-HAND</x:t>
        </x:is>
      </x:c>
      <x:c r="B160" s="364" t="inlineStr">
        <x:is>
          <x:t xml:space="preserve">兔子主角3D双爪表现组件</x:t>
        </x:is>
      </x:c>
      <x:c r="C160" s="364" t="inlineStr">
        <x:is>
          <x:t xml:space="preserve">角色</x:t>
        </x:is>
      </x:c>
      <x:c r="D160" s="364" t="inlineStr">
        <x:is>
          <x:t xml:space="preserve">player_component</x:t>
        </x:is>
      </x:c>
      <x:c r="E160" s="364" t="inlineStr">
        <x:is>
          <x:t xml:space="preserve">player_capsule01</x:t>
        </x:is>
      </x:c>
      <x:c r="F160" s="364" t="inlineStr">
        <x:is>
          <x:t xml:space="preserve">hand_3d_bunny01</x:t>
        </x:is>
      </x:c>
      <x:c r="G160" s="364" t="inlineStr">
        <x:is>
          <x:t xml:space="preserve">CHR-PLY-CAPSULE01-3D-BUNNY01</x:t>
        </x:is>
      </x:c>
      <x:c r="H160" s="364" t="inlineStr">
        <x:is>
          <x:t xml:space="preserve">俯视3D</x:t>
        </x:is>
      </x:c>
      <x:c r="I160" s="364" t="inlineStr">
        <x:is>
          <x:t xml:space="preserve">default</x:t>
        </x:is>
      </x:c>
      <x:c r="J160" s="364" t="inlineStr">
        <x:is>
          <x:t xml:space="preserve">3D玩家场景</x:t>
        </x:is>
      </x:c>
      <x:c r="K160" s="364" t="inlineStr">
        <x:is>
          <x:t xml:space="preserve">原型已接入</x:t>
        </x:is>
      </x:c>
      <x:c r="L160" s="364" t="inlineStr">
        <x:is>
          <x:t xml:space="preserve">P0</x:t>
        </x:is>
      </x:c>
      <x:c r="M160" s="364" t="inlineStr">
        <x:is>
          <x:t xml:space="preserve">v021</x:t>
        </x:is>
      </x:c>
      <x:c r="N160" s="364" t="inlineStr">
        <x:is>
          <x:t xml:space="preserve">双 GLB / 左右各1,058 verts / pivot-local / 1.5m角色比例</x:t>
        </x:is>
      </x:c>
      <x:c r="O160" s="364" t="inlineStr">
        <x:is>
          <x:t xml:space="preserve">assets/art/characters/player/chr_player_capsule01_3d/variants/bunny01/production/v021/exports/chr_bunny01_hand_l_v021.glb; assets/art/characters/player/chr_player_capsule01_3d/variants/bunny01/production/v021/exports/chr_bunny01_hand_r_v021.glb</x:t>
        </x:is>
      </x:c>
      <x:c r="P160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0" s="364" t="inlineStr">
        <x:is>
          <x:t xml:space="preserve">兔爪;手;握持;weapon_socket;bunny01</x:t>
        </x:is>
      </x:c>
      <x:c r="R160" s="364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364" t="str">
        <x:f>IF(COUNTIF($R$6:$R$423,R160)&gt;1,"重复","唯一")</x:f>
        <x:v>唯一</x:v>
      </x:c>
      <x:c r="T160" s="364" t="inlineStr">
        <x:is>
          <x:t xml:space="preserve">eb021c9f0858a3b6bc5012551db2424cbc44baa0f769d6365fde780df4b8058c / ceaf3366cd4fa1887c3e897608052419120f2e4887003f48871b1fdea71f5cfb</x:t>
        </x:is>
      </x:c>
      <x:c r="U160" s="364" t="inlineStr">
        <x:is>
          <x:t xml:space="preserve">Codex</x:t>
        </x:is>
      </x:c>
      <x:c r="V160" s="307" t="n">
        <x:v>46264</x:v>
      </x:c>
      <x:c r="W160" s="364" t="inlineStr">
        <x:is>
          <x:t xml:space="preserve">用户提供 Blender 源文件</x:t>
        </x:is>
      </x:c>
      <x:c r="X160" s="375" t="inlineStr">
        <x:is>
          <x:t xml:space="preserve">—</x:t>
        </x:is>
      </x:c>
      <x:c r="Y160" s="364" t="inlineStr">
        <x:is>
          <x:t xml:space="preserve">v0.1 v006：左右手、手腕原点、单/双手握持目标和动作平移统一改用0.606060606米制比例；持枪外观与确认预览一致。
2026-08-21：右手收紧到GripSocket；手枪待机自由左手前伸胸前，枪口下俯并向角色外侧偏转，正面与三分之四近景保持面部净空。
2026-08-21：HandJointR/Model使用局部枢轴校正(-0.135996,0.038999,0.018441)，持枪状态每帧按真实GripSocket换算到HandRoot局部空间，三点偏差0mm。
2026-08-21：右手掌球仍与HandJointR/GripSocket保持0mm；吹风机Prefab另将可见握把中心校正到该同一坐标，未改角色GLB。
2026-08-30 AST-04：Bunny v008 包装层实际消费 v007 组件；登记路径 assets/art/characters/player/chr_player_capsule01_3d/variants/bunny01/components/chr_player_capsule01_bunny01_hand_l_top3d_v006.glb; assets/art/characters/player/chr_player_capsule01_3d/variants/bunny01/components/chr_player_capsule01_bunny01_hand_r_top3d_v006.glb → assets/art/characters/player/chr_player_capsule01_3d/variants/bunny01/components/chr_player_capsule01_bunny01_hand_l_top3d_v007.glb; assets/art/characters/player/chr_player_capsule01_3d/variants/bunny01/components/chr_player_capsule01_bunny01_hand_r_top3d_v007.glb；稳定组件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1" ht="132" customHeight="1">
      <x:c r="A161" s="364" t="inlineStr">
        <x:is>
          <x:t xml:space="preserve">CHR-PLY-CAPSULE01-3D-BUNNY01-FOOT-L</x:t>
        </x:is>
      </x:c>
      <x:c r="B161" s="364" t="inlineStr">
        <x:is>
          <x:t xml:space="preserve">兔子主角3D左脚</x:t>
        </x:is>
      </x:c>
      <x:c r="C161" s="364" t="inlineStr">
        <x:is>
          <x:t xml:space="preserve">角色</x:t>
        </x:is>
      </x:c>
      <x:c r="D161" s="364" t="inlineStr">
        <x:is>
          <x:t xml:space="preserve">player_component</x:t>
        </x:is>
      </x:c>
      <x:c r="E161" s="364" t="inlineStr">
        <x:is>
          <x:t xml:space="preserve">player_capsule01</x:t>
        </x:is>
      </x:c>
      <x:c r="F161" s="364" t="inlineStr">
        <x:is>
          <x:t xml:space="preserve">foot_l_3d_bunny01</x:t>
        </x:is>
      </x:c>
      <x:c r="G161" s="364" t="inlineStr">
        <x:is>
          <x:t xml:space="preserve">CHR-PLY-CAPSULE01-3D-BUNNY01</x:t>
        </x:is>
      </x:c>
      <x:c r="H161" s="364" t="inlineStr">
        <x:is>
          <x:t xml:space="preserve">俯视3D</x:t>
        </x:is>
      </x:c>
      <x:c r="I161" s="364" t="inlineStr">
        <x:is>
          <x:t xml:space="preserve">moving</x:t>
        </x:is>
      </x:c>
      <x:c r="J161" s="364" t="inlineStr">
        <x:is>
          <x:t xml:space="preserve">3D玩家场景</x:t>
        </x:is>
      </x:c>
      <x:c r="K161" s="364" t="inlineStr">
        <x:is>
          <x:t xml:space="preserve">原型已接入</x:t>
        </x:is>
      </x:c>
      <x:c r="L161" s="364" t="inlineStr">
        <x:is>
          <x:t xml:space="preserve">P0</x:t>
        </x:is>
      </x:c>
      <x:c r="M161" s="364" t="inlineStr">
        <x:is>
          <x:t xml:space="preserve">v021</x:t>
        </x:is>
      </x:c>
      <x:c r="N161" s="364" t="inlineStr">
        <x:is>
          <x:t xml:space="preserve">GLB / 5,396 verts / pivot-local / 1.5m角色比例</x:t>
        </x:is>
      </x:c>
      <x:c r="O161" s="364" t="inlineStr">
        <x:is>
          <x:t xml:space="preserve">assets/art/characters/player/chr_player_capsule01_3d/variants/bunny01/production/v021/exports/chr_bunny01_foot_l_v021.glb</x:t>
        </x:is>
      </x:c>
      <x:c r="P161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1" s="364" t="inlineStr">
        <x:is>
          <x:t xml:space="preserve">兔脚;左脚;步态;FootL;bunny01</x:t>
        </x:is>
      </x:c>
      <x:c r="R161" s="364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364" t="str">
        <x:f>IF(COUNTIF($R$6:$R$423,R161)&gt;1,"重复","唯一")</x:f>
        <x:v>唯一</x:v>
      </x:c>
      <x:c r="T161" s="364" t="inlineStr">
        <x:is>
          <x:t xml:space="preserve">60617a88b9659d9c4dba5884ed68314ff1e503a80df0ff5b35d63f8578b6b60a</x:t>
        </x:is>
      </x:c>
      <x:c r="U161" s="364" t="inlineStr">
        <x:is>
          <x:t xml:space="preserve">Codex</x:t>
        </x:is>
      </x:c>
      <x:c r="V161" s="307" t="n">
        <x:v>46264</x:v>
      </x:c>
      <x:c r="W161" s="364" t="inlineStr">
        <x:is>
          <x:t xml:space="preserve">用户提供 Blender 源文件</x:t>
        </x:is>
      </x:c>
      <x:c r="X161" s="375" t="inlineStr">
        <x:is>
          <x:t xml:space="preserve">—</x:t>
        </x:is>
      </x:c>
      <x:c r="Y161" s="364" t="inlineStr">
        <x:is>
          <x:t xml:space="preserve">v0.1：v006网格与AssetID不变；FootJointL除moving步态外新增falling收腿与landing压缩恢复职责，动作由PlayerAvatar3D程序变换驱动。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assets/art/characters/player/chr_player_capsule01_3d/variants/bunny01/components/chr_player_capsule01_bunny01_foot_l_top3d_v006.glb → assets/art/characters/player/chr_player_capsule01_3d/variants/bunny01/components/chr_player_capsule01_bunny01_foot_l_top3d_v007.glb；稳定组件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2" ht="132" customHeight="1">
      <x:c r="A162" s="364" t="inlineStr">
        <x:is>
          <x:t xml:space="preserve">CHR-PLY-CAPSULE01-3D-BUNNY01-FOOT-R</x:t>
        </x:is>
      </x:c>
      <x:c r="B162" s="364" t="inlineStr">
        <x:is>
          <x:t xml:space="preserve">兔子主角3D右脚</x:t>
        </x:is>
      </x:c>
      <x:c r="C162" s="364" t="inlineStr">
        <x:is>
          <x:t xml:space="preserve">角色</x:t>
        </x:is>
      </x:c>
      <x:c r="D162" s="364" t="inlineStr">
        <x:is>
          <x:t xml:space="preserve">player_component</x:t>
        </x:is>
      </x:c>
      <x:c r="E162" s="364" t="inlineStr">
        <x:is>
          <x:t xml:space="preserve">player_capsule01</x:t>
        </x:is>
      </x:c>
      <x:c r="F162" s="364" t="inlineStr">
        <x:is>
          <x:t xml:space="preserve">foot_r_3d_bunny01</x:t>
        </x:is>
      </x:c>
      <x:c r="G162" s="364" t="inlineStr">
        <x:is>
          <x:t xml:space="preserve">CHR-PLY-CAPSULE01-3D-BUNNY01</x:t>
        </x:is>
      </x:c>
      <x:c r="H162" s="364" t="inlineStr">
        <x:is>
          <x:t xml:space="preserve">俯视3D</x:t>
        </x:is>
      </x:c>
      <x:c r="I162" s="364" t="inlineStr">
        <x:is>
          <x:t xml:space="preserve">moving</x:t>
        </x:is>
      </x:c>
      <x:c r="J162" s="364" t="inlineStr">
        <x:is>
          <x:t xml:space="preserve">3D玩家场景</x:t>
        </x:is>
      </x:c>
      <x:c r="K162" s="364" t="inlineStr">
        <x:is>
          <x:t xml:space="preserve">原型已接入</x:t>
        </x:is>
      </x:c>
      <x:c r="L162" s="364" t="inlineStr">
        <x:is>
          <x:t xml:space="preserve">P0</x:t>
        </x:is>
      </x:c>
      <x:c r="M162" s="364" t="inlineStr">
        <x:is>
          <x:t xml:space="preserve">v021</x:t>
        </x:is>
      </x:c>
      <x:c r="N162" s="364" t="inlineStr">
        <x:is>
          <x:t xml:space="preserve">GLB / 5,396 verts / pivot-local / 1.5m角色比例</x:t>
        </x:is>
      </x:c>
      <x:c r="O162" s="364" t="inlineStr">
        <x:is>
          <x:t xml:space="preserve">assets/art/characters/player/chr_player_capsule01_3d/variants/bunny01/production/v021/exports/chr_bunny01_foot_r_v021.glb</x:t>
        </x:is>
      </x:c>
      <x:c r="P162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2" s="364" t="inlineStr">
        <x:is>
          <x:t xml:space="preserve">兔脚;右脚;步态;FootR;bunny01</x:t>
        </x:is>
      </x:c>
      <x:c r="R162" s="364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364" t="str">
        <x:f>IF(COUNTIF($R$6:$R$423,R162)&gt;1,"重复","唯一")</x:f>
        <x:v>唯一</x:v>
      </x:c>
      <x:c r="T162" s="364" t="inlineStr">
        <x:is>
          <x:t xml:space="preserve">8509a8e959a7d427b4ee168d8585fb2d09ca01cbbf8c83601d8d5c46fe22e7a7</x:t>
        </x:is>
      </x:c>
      <x:c r="U162" s="364" t="inlineStr">
        <x:is>
          <x:t xml:space="preserve">Codex</x:t>
        </x:is>
      </x:c>
      <x:c r="V162" s="307" t="n">
        <x:v>46264</x:v>
      </x:c>
      <x:c r="W162" s="364" t="inlineStr">
        <x:is>
          <x:t xml:space="preserve">用户提供 Blender 源文件</x:t>
        </x:is>
      </x:c>
      <x:c r="X162" s="375" t="inlineStr">
        <x:is>
          <x:t xml:space="preserve">—</x:t>
        </x:is>
      </x:c>
      <x:c r="Y162" s="364" t="inlineStr">
        <x:is>
          <x:t xml:space="preserve">v0.1：v006网格与AssetID不变；FootJointR除moving步态外新增falling收腿与landing压缩恢复职责，动作由PlayerAvatar3D程序变换驱动。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assets/art/characters/player/chr_player_capsule01_3d/variants/bunny01/components/chr_player_capsule01_bunny01_foot_r_top3d_v006.glb → assets/art/characters/player/chr_player_capsule01_3d/variants/bunny01/components/chr_player_capsule01_bunny01_foot_r_top3d_v007.glb；稳定组件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3" ht="155" customHeight="1">
      <x:c r="A163" s="364" t="inlineStr">
        <x:is>
          <x:t xml:space="preserve">ENV-TOWER-DESCENT-KIT-3D</x:t>
        </x:is>
      </x:c>
      <x:c r="B163" s="364" t="str">
        <x:v>局内关卡01-顶部数据库</x:v>
      </x:c>
      <x:c r="C163" s="364" t="inlineStr">
        <x:is>
          <x:t xml:space="preserve">场景</x:t>
        </x:is>
      </x:c>
      <x:c r="D163" s="364" t="inlineStr">
        <x:is>
          <x:t xml:space="preserve">room_kit</x:t>
        </x:is>
      </x:c>
      <x:c r="E163" s="364" t="inlineStr">
        <x:is>
          <x:t xml:space="preserve">tower_descent</x:t>
        </x:is>
      </x:c>
      <x:c r="F163" s="364" t="inlineStr">
        <x:is>
          <x:t xml:space="preserve">root_3d</x:t>
        </x:is>
      </x:c>
      <x:c r="G163" s="364" t="inlineStr">
        <x:is>
          <x:t xml:space="preserve">ENV-DUNGEON-RUNTIME-3D</x:t>
        </x:is>
      </x:c>
      <x:c r="H163" s="364" t="inlineStr">
        <x:is>
          <x:t xml:space="preserve">俯视3D</x:t>
        </x:is>
      </x:c>
      <x:c r="I163" s="364" t="inlineStr">
        <x:is>
          <x:t xml:space="preserve">godot_runtime</x:t>
        </x:is>
      </x:c>
      <x:c r="J163" s="364" t="str">
        <x:v>程序占位</x:v>
      </x:c>
      <x:c r="K163" s="364" t="str">
        <x:v>程序占位</x:v>
      </x:c>
      <x:c r="L163" s="364" t="inlineStr">
        <x:is>
          <x:t xml:space="preserve">P0</x:t>
        </x:is>
      </x:c>
      <x:c r="M163" s="364" t="str">
        <x:v>v002</x:v>
      </x:c>
      <x:c r="N163" s="364" t="str">
        <x:v>98–95F白盒区块；稳定编号=局内关卡01；可变设定名=顶部数据库</x:v>
      </x:c>
      <x:c r="O163" s="364" t="str">
        <x:v>scenes/TowerDescent3D.tscn</x:v>
      </x:c>
      <x:c r="P163" s="364" t="str">
        <x:v>source/art/whitebox/tower_zones/battle_level01/v002/QA_REPORT.md; source/art/whitebox/tower_zones/battle_level01/v002/data/unit_plan.json; source/art/whitebox/tower_zones/battle_level01/v002/blender/; docs/v0.1/05.1_关卡区块设计.md</x:v>
      </x:c>
      <x:c r="Q163" s="364" t="str">
        <x:v>局内关卡01;顶部数据库;98到95;Battle;首个Boss区段;白盒</x:v>
      </x:c>
      <x:c r="R163" s="364" t="str">
        <x:f>LOWER(TRIM(C163)&amp;"|"&amp;TRIM(D163)&amp;"|"&amp;TRIM(E163)&amp;"|"&amp;TRIM(F163)&amp;"|"&amp;TRIM(H163)&amp;"|"&amp;TRIM(I163))</x:f>
        <x:v>场景|room_kit|tower_descent|root_3d|俯视3d|godot_runtime</x:v>
      </x:c>
      <x:c r="S163" s="364" t="str">
        <x:f>IF(COUNTIF($R$6:$R$423,R163)&gt;1,"重复","唯一")</x:f>
        <x:v>唯一</x:v>
      </x:c>
      <x:c r="T163" s="364" t="str">
        <x:v>374967bf92d12e54e390a3d8ec6b5c29f6444f63f8302e1a1aeed022f777d14e</x:v>
      </x:c>
      <x:c r="U163" s="364" t="inlineStr">
        <x:is>
          <x:t xml:space="preserve">Codex</x:t>
        </x:is>
      </x:c>
      <x:c r="V163" s="307" t="n">
        <x:v>46279</x:v>
      </x:c>
      <x:c r="W163" s="307" t="inlineStr">
        <x:is>
          <x:t xml:space="preserve">程序生成 Blender 源集合</x:t>
        </x:is>
      </x:c>
      <x:c r="X163" s="375" t="str">
        <x:v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x:v>
      </x:c>
      <x:c r="Y163" s="364" t="str">
        <x:v>命名合同：level_number=1，level_code=局内关卡01，setting_name=顶部数据库，display_name=局内关卡01-顶部数据库。设定名可改，编号、block_id、AssetID与路径保持稳定。</x:v>
      </x:c>
    </x:row>
    <x:row r="164" ht="132" customHeight="1">
      <x:c r="A164" s="364" t="inlineStr">
        <x:is>
          <x:t xml:space="preserve">ENV-TOWER-FLOOR-TILE-5M</x:t>
        </x:is>
      </x:c>
      <x:c r="B164" s="364" t="inlineStr">
        <x:is>
          <x:t xml:space="preserve">塔楼5米地砖模块</x:t>
        </x:is>
      </x:c>
      <x:c r="C164" s="364" t="inlineStr">
        <x:is>
          <x:t xml:space="preserve">场景</x:t>
        </x:is>
      </x:c>
      <x:c r="D164" s="364" t="inlineStr">
        <x:is>
          <x:t xml:space="preserve">room_kit</x:t>
        </x:is>
      </x:c>
      <x:c r="E164" s="364" t="inlineStr">
        <x:is>
          <x:t xml:space="preserve">tower_descent</x:t>
        </x:is>
      </x:c>
      <x:c r="F164" s="364" t="inlineStr">
        <x:is>
          <x:t xml:space="preserve">floor_tile_5m</x:t>
        </x:is>
      </x:c>
      <x:c r="G164" s="364" t="inlineStr">
        <x:is>
          <x:t xml:space="preserve">ENV-TOWER-DESCENT-KIT-3D</x:t>
        </x:is>
      </x:c>
      <x:c r="H164" s="364" t="inlineStr">
        <x:is>
          <x:t xml:space="preserve">俯视3D</x:t>
        </x:is>
      </x:c>
      <x:c r="I164" s="364" t="inlineStr">
        <x:is>
          <x:t xml:space="preserve">godot_runtime</x:t>
        </x:is>
      </x:c>
      <x:c r="J164" s="364" t="inlineStr">
        <x:is>
          <x:t xml:space="preserve">100F天台与98F楼板；旧v001保留其他楼层与交通模块</x:t>
        </x:is>
      </x:c>
      <x:c r="K164" s="364" t="inlineStr">
        <x:is>
          <x:t xml:space="preserve">已完成</x:t>
        </x:is>
      </x:c>
      <x:c r="L164" s="364" t="inlineStr">
        <x:is>
          <x:t xml:space="preserve">P0</x:t>
        </x:is>
      </x:c>
      <x:c r="M164" s="364" t="inlineStr">
        <x:is>
          <x:t xml:space="preserve">v002</x:t>
        </x:is>
      </x:c>
      <x:c r="N164" s="364" t="inlineStr">
        <x:is>
          <x:t xml:space="preserve">5×5×0.3005m；716三角面；2材质；共享MultiMesh；承重面不变</x:t>
        </x:is>
      </x:c>
      <x:c r="O164" s="364" t="inlineStr">
        <x:is>
          <x:t xml:space="preserve">assets/art/environments/tower_descent_3d/runtime/floor_tile_5m/env_tower_floor_tile_5m_root_top3d_v002.tscn</x:t>
        </x:is>
      </x:c>
      <x:c r="P164" s="364" t="inlineStr">
        <x:is>
          <x:t xml:space="preserve"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x:t>
        </x:is>
      </x:c>
      <x:c r="Q164" s="364" t="inlineStr">
        <x:is>
          <x:t xml:space="preserve">塔楼;地砖;楼板;5米;模块化;平铺;四向接口</x:t>
        </x:is>
      </x:c>
      <x:c r="R164" s="364" t="str">
        <x:f>LOWER(TRIM(C164)&amp;"|"&amp;TRIM(D164)&amp;"|"&amp;TRIM(E164)&amp;"|"&amp;TRIM(F164)&amp;"|"&amp;TRIM(H164)&amp;"|"&amp;TRIM(I164))</x:f>
        <x:v>场景|room_kit|tower_descent|floor_tile_5m|俯视3d|godot_runtime</x:v>
      </x:c>
      <x:c r="S164" s="364" t="str">
        <x:f>IF(COUNTIF($R$6:$R$423,R164)&gt;1,"重复","唯一")</x:f>
        <x:v>唯一</x:v>
      </x:c>
      <x:c r="T164" s="364" t="inlineStr">
        <x:is>
          <x:t xml:space="preserve">0678524ecdbca8efc085fa4bb65535c63aacc3397fcda0a85542236b1137d185</x:t>
        </x:is>
      </x:c>
      <x:c r="U164" s="364" t="inlineStr">
        <x:is>
          <x:t xml:space="preserve">Codex</x:t>
        </x:is>
      </x:c>
      <x:c r="V164" s="307" t="n">
        <x:v>46271</x:v>
      </x:c>
      <x:c r="W164" s="364" t="inlineStr">
        <x:is>
          <x:t xml:space="preserve">程序生成Blender源集合</x:t>
        </x:is>
      </x:c>
      <x:c r="X164" s="375" t="inlineStr">
        <x:is>
          <x:t xml:space="preserve">—</x:t>
        </x:is>
      </x:c>
      <x:c r="Y164" s="364" t="inlineStr">
        <x:is>
          <x:t xml:space="preserve"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x:t>
        </x:is>
      </x:c>
    </x:row>
    <x:row r="165" ht="132" customHeight="1">
      <x:c r="A165" s="364" t="inlineStr">
        <x:is>
          <x:t xml:space="preserve">ENV-TOWER-WALL-SOLID-5M</x:t>
        </x:is>
      </x:c>
      <x:c r="B165" s="364" t="inlineStr">
        <x:is>
          <x:t xml:space="preserve">塔楼5米满高实墙模块</x:t>
        </x:is>
      </x:c>
      <x:c r="C165" s="364" t="inlineStr">
        <x:is>
          <x:t xml:space="preserve">场景</x:t>
        </x:is>
      </x:c>
      <x:c r="D165" s="364" t="inlineStr">
        <x:is>
          <x:t xml:space="preserve">room_kit</x:t>
        </x:is>
      </x:c>
      <x:c r="E165" s="364" t="inlineStr">
        <x:is>
          <x:t xml:space="preserve">tower_descent</x:t>
        </x:is>
      </x:c>
      <x:c r="F165" s="364" t="inlineStr">
        <x:is>
          <x:t xml:space="preserve">wall_solid_5m</x:t>
        </x:is>
      </x:c>
      <x:c r="G165" s="364" t="inlineStr">
        <x:is>
          <x:t xml:space="preserve">ENV-TOWER-DESCENT-KIT-3D</x:t>
        </x:is>
      </x:c>
      <x:c r="H165" s="364" t="inlineStr">
        <x:is>
          <x:t xml:space="preserve">俯视3D</x:t>
        </x:is>
      </x:c>
      <x:c r="I165" s="364" t="inlineStr">
        <x:is>
          <x:t xml:space="preserve">godot_runtime</x:t>
        </x:is>
      </x:c>
      <x:c r="J165" s="364" t="inlineStr">
        <x:is>
          <x:t xml:space="preserve">整层外墙/65m核心/探索房内墙/5m正交走廊</x:t>
        </x:is>
      </x:c>
      <x:c r="K165" s="364" t="inlineStr">
        <x:is>
          <x:t xml:space="preserve">原型已接入</x:t>
        </x:is>
      </x:c>
      <x:c r="L165" s="364" t="inlineStr">
        <x:is>
          <x:t xml:space="preserve">P0</x:t>
        </x:is>
      </x:c>
      <x:c r="M165" s="364" t="str">
        <x:v>v003</x:v>
      </x:c>
      <x:c r="N165" s="364" t="str">
        <x:v>GLB / 5×0.30×11.9m可见墙 / 12m逻辑碰撞 / 共享Mesh / 可旋转</x:v>
      </x:c>
      <x:c r="O165" s="364" t="str">
        <x:v>assets/art/environments/tower_descent_3d/components/env_tower_wall_solid_5m_top3d_v003.glb</x:v>
      </x:c>
      <x:c r="P165" s="364" t="str">
        <x:v>source/art/whitebox/tower_zones/v011/blender/whitebox_tower_battle_stairs_v011.blend; scripts/blender/build_tower_height12_assets_v001.py; src/world3d/TowerGeometry3D.gd</x:v>
      </x:c>
      <x:c r="Q165" s="364" t="str">
        <x:v>塔楼;实墙;满高墙;5米;12米逻辑墙;11.9米可见墙;模块化</x:v>
      </x:c>
      <x:c r="R165" s="364" t="str">
        <x:f>LOWER(TRIM(C165)&amp;"|"&amp;TRIM(D165)&amp;"|"&amp;TRIM(E165)&amp;"|"&amp;TRIM(F165)&amp;"|"&amp;TRIM(H165)&amp;"|"&amp;TRIM(I165))</x:f>
        <x:v>场景|room_kit|tower_descent|wall_solid_5m|俯视3d|godot_runtime</x:v>
      </x:c>
      <x:c r="S165" s="364" t="str">
        <x:f>IF(COUNTIF($R$6:$R$423,R165)&gt;1,"重复","唯一")</x:f>
        <x:v>唯一</x:v>
      </x:c>
      <x:c r="T165" s="364" t="str">
        <x:v>559844aa072c15e7d527b763007aea330531ff7abe49d8b53f6f513bf41acb09</x:v>
      </x:c>
      <x:c r="U165" s="364" t="inlineStr">
        <x:is>
          <x:t xml:space="preserve">Codex</x:t>
        </x:is>
      </x:c>
      <x:c r="V165" s="307" t="n">
        <x:v>46277</x:v>
      </x:c>
      <x:c r="W165" s="364" t="inlineStr">
        <x:is>
          <x:t xml:space="preserve">程序生成 Blender 源集合</x:t>
        </x:is>
      </x:c>
      <x:c r="X165" s="375" t="inlineStr">
        <x:is>
          <x:t xml:space="preserve">—</x:t>
        </x:is>
      </x:c>
      <x:c r="Y165" s="364" t="inlineStr">
        <x:is>
          <x:t xml:space="preserve"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</x:t>
        </x:is>
      </x:c>
    </x:row>
    <x:row r="166" ht="132" customHeight="1">
      <x:c r="A166" s="364" t="inlineStr">
        <x:is>
          <x:t xml:space="preserve">ENV-TOWER-WALL-PARAPET-5M</x:t>
        </x:is>
      </x:c>
      <x:c r="B166" s="364" t="inlineStr">
        <x:is>
          <x:t xml:space="preserve">塔楼5米楼顶女儿墙模块</x:t>
        </x:is>
      </x:c>
      <x:c r="C166" s="364" t="inlineStr">
        <x:is>
          <x:t xml:space="preserve">场景</x:t>
        </x:is>
      </x:c>
      <x:c r="D166" s="364" t="inlineStr">
        <x:is>
          <x:t xml:space="preserve">room_kit</x:t>
        </x:is>
      </x:c>
      <x:c r="E166" s="364" t="inlineStr">
        <x:is>
          <x:t xml:space="preserve">tower_descent</x:t>
        </x:is>
      </x:c>
      <x:c r="F166" s="364" t="inlineStr">
        <x:is>
          <x:t xml:space="preserve">wall_parapet_5m</x:t>
        </x:is>
      </x:c>
      <x:c r="G166" s="364" t="inlineStr">
        <x:is>
          <x:t xml:space="preserve">ENV-TOWER-DESCENT-KIT-3D</x:t>
        </x:is>
      </x:c>
      <x:c r="H166" s="364" t="inlineStr">
        <x:is>
          <x:t xml:space="preserve">俯视3D</x:t>
        </x:is>
      </x:c>
      <x:c r="I166" s="364" t="inlineStr">
        <x:is>
          <x:t xml:space="preserve">godot_runtime</x:t>
        </x:is>
      </x:c>
      <x:c r="J166" s="364" t="inlineStr">
        <x:is>
          <x:t xml:space="preserve">335m楼顶四周边界/268段MultiMesh围栏</x:t>
        </x:is>
      </x:c>
      <x:c r="K166" s="364" t="inlineStr">
        <x:is>
          <x:t xml:space="preserve">原型已接入</x:t>
        </x:is>
      </x:c>
      <x:c r="L166" s="364" t="inlineStr">
        <x:is>
          <x:t xml:space="preserve">P1</x:t>
        </x:is>
      </x:c>
      <x:c r="M166" s="364" t="inlineStr">
        <x:is>
          <x:t xml:space="preserve">v001</x:t>
        </x:is>
      </x:c>
      <x:c r="N166" s="364" t="inlineStr">
        <x:is>
          <x:t xml:space="preserve">GLB / 5×0.30×1.50m / 共享Mesh</x:t>
        </x:is>
      </x:c>
      <x:c r="O166" s="364" t="inlineStr">
        <x:is>
          <x:t xml:space="preserve">assets/art/environments/tower_descent_3d/components/env_tower_wall_parapet_5m_top3d_v001.glb</x:t>
        </x:is>
      </x:c>
      <x:c r="P166" s="364" t="inlineStr">
        <x:is>
          <x:t xml:space="preserve">Blender集合=10C_MOD_WALL_PARAPET_5M_U01; export_env_tower_5m_modules_v001.py; TowerFloorStage3D.gd; tests/verification/verify_tower_descent_visual.tscn</x:t>
        </x:is>
      </x:c>
      <x:c r="Q166" s="364" t="inlineStr">
        <x:is>
          <x:t xml:space="preserve">塔楼;女儿墙;护栏;5米;模块化;楼顶边界</x:t>
        </x:is>
      </x:c>
      <x:c r="R166" s="364" t="str">
        <x:f>LOWER(TRIM(C166)&amp;"|"&amp;TRIM(D166)&amp;"|"&amp;TRIM(E166)&amp;"|"&amp;TRIM(F166)&amp;"|"&amp;TRIM(H166)&amp;"|"&amp;TRIM(I166))</x:f>
        <x:v>场景|room_kit|tower_descent|wall_parapet_5m|俯视3d|godot_runtime</x:v>
      </x:c>
      <x:c r="S166" s="364" t="str">
        <x:f>IF(COUNTIF($R$6:$R$423,R166)&gt;1,"重复","唯一")</x:f>
        <x:v>唯一</x:v>
      </x:c>
      <x:c r="T166" s="364" t="inlineStr">
        <x:is>
          <x:t xml:space="preserve">44fdb663487a9bf010d8fa249a2f9811843409c35d9f7ce8d09c48f7de7bf808</x:t>
        </x:is>
      </x:c>
      <x:c r="U166" s="364" t="inlineStr">
        <x:is>
          <x:t xml:space="preserve">Codex</x:t>
        </x:is>
      </x:c>
      <x:c r="V166" s="307" t="n">
        <x:v>46233</x:v>
      </x:c>
      <x:c r="W166" s="364" t="inlineStr">
        <x:is>
          <x:t xml:space="preserve">程序生成Blender源集合</x:t>
        </x:is>
      </x:c>
      <x:c r="X166" s="375" t="inlineStr">
        <x:is>
          <x:t xml:space="preserve">—</x:t>
        </x:is>
      </x:c>
      <x:c r="Y166" s="364" t="inlineStr">
        <x:is>
          <x:t xml:space="preserve">v0.1：继续复用同一5m围栏模块，按50×50网格环绕250×250m楼顶与整层边界，不新增大块整体网格；普通楼顶由统一太阳照明，楼梯口局部阴影不再靠提高全局环境亮度解决。</x:t>
        </x:is>
      </x:c>
    </x:row>
    <x:row r="167" ht="155" customHeight="1">
      <x:c r="A167" s="364" t="inlineStr">
        <x:is>
          <x:t xml:space="preserve">ENV-TOWER-WALL-DOOR-5M</x:t>
        </x:is>
      </x:c>
      <x:c r="B167" s="364" t="inlineStr">
        <x:is>
          <x:t xml:space="preserve">塔楼5米带门墙模块</x:t>
        </x:is>
      </x:c>
      <x:c r="C167" s="364" t="inlineStr">
        <x:is>
          <x:t xml:space="preserve">场景</x:t>
        </x:is>
      </x:c>
      <x:c r="D167" s="364" t="inlineStr">
        <x:is>
          <x:t xml:space="preserve">room_kit</x:t>
        </x:is>
      </x:c>
      <x:c r="E167" s="364" t="inlineStr">
        <x:is>
          <x:t xml:space="preserve">tower_descent</x:t>
        </x:is>
      </x:c>
      <x:c r="F167" s="364" t="inlineStr">
        <x:is>
          <x:t xml:space="preserve">wall_door_5m</x:t>
        </x:is>
      </x:c>
      <x:c r="G167" s="364" t="inlineStr">
        <x:is>
          <x:t xml:space="preserve">ENV-TOWER-DESCENT-KIT-3D</x:t>
        </x:is>
      </x:c>
      <x:c r="H167" s="364" t="inlineStr">
        <x:is>
          <x:t xml:space="preserve">俯视3D</x:t>
        </x:is>
      </x:c>
      <x:c r="I167" s="364" t="inlineStr">
        <x:is>
          <x:t xml:space="preserve">godot_runtime</x:t>
        </x:is>
      </x:c>
      <x:c r="J167" s="364" t="inlineStr">
        <x:is>
          <x:t xml:space="preserve">5m墙位/2.2m净宽/2.5m净高/独立门扇</x:t>
        </x:is>
      </x:c>
      <x:c r="K167" s="364" t="inlineStr">
        <x:is>
          <x:t xml:space="preserve">原型已接入</x:t>
        </x:is>
      </x:c>
      <x:c r="L167" s="364" t="inlineStr">
        <x:is>
          <x:t xml:space="preserve">P0</x:t>
        </x:is>
      </x:c>
      <x:c r="M167" s="364" t="str">
        <x:v>v003</x:v>
      </x:c>
      <x:c r="N167" s="364" t="str">
        <x:v>Blender 4.2 GLB / 5×0.30×11.9m可见墙 / 12m逻辑碰撞 / 2.2×2.5m净开口</x:v>
      </x:c>
      <x:c r="O167" s="364" t="str">
        <x:v>assets/art/environments/tower_descent_3d/components/env_tower_wall_door_5m_top3d_v003.glb</x:v>
      </x:c>
      <x:c r="P167" s="364" t="str">
        <x:v>assets/art/environments/tower_descent_3d/source/wall_height12/env_tower_wall_door_5m_source_v003.blend; scripts/blender/extend_wall_glb_to_11p9_v001.py; src/world3d/DungeonRoom3D.gd</x:v>
      </x:c>
      <x:c r="Q167" s="364" t="inlineStr">
        <x:is>
          <x:t xml:space="preserve">塔楼;门;门洞;5米;模块化;肉鸽触发;独立门扇</x:t>
        </x:is>
      </x:c>
      <x:c r="R167" s="364" t="str">
        <x:f>LOWER(TRIM(C167)&amp;"|"&amp;TRIM(D167)&amp;"|"&amp;TRIM(E167)&amp;"|"&amp;TRIM(F167)&amp;"|"&amp;TRIM(H167)&amp;"|"&amp;TRIM(I167))</x:f>
        <x:v>场景|room_kit|tower_descent|wall_door_5m|俯视3d|godot_runtime</x:v>
      </x:c>
      <x:c r="S167" s="364" t="str">
        <x:f>IF(COUNTIF($R$6:$R$423,R167)&gt;1,"重复","唯一")</x:f>
        <x:v>唯一</x:v>
      </x:c>
      <x:c r="T167" s="364" t="str">
        <x:v>a78cbb01866ee86984535ab0168c6cf23439f03f78a97ca84ac4e062cdb542bc</x:v>
      </x:c>
      <x:c r="U167" s="364" t="inlineStr">
        <x:is>
          <x:t xml:space="preserve">Codex</x:t>
        </x:is>
      </x:c>
      <x:c r="V167" s="307" t="n">
        <x:v>46277</x:v>
      </x:c>
      <x:c r="W167" s="364" t="inlineStr">
        <x:is>
          <x:t xml:space="preserve">程序生成 Blender 源集合</x:t>
        </x:is>
      </x:c>
      <x:c r="X167" s="375" t="inlineStr">
        <x:is>
          <x:t xml:space="preserve">—</x:t>
        </x:is>
      </x:c>
      <x:c r="Y167" s="364" t="inlineStr">
        <x:is>
          <x:t xml:space="preserve">2026-08-02：南北门墙统一使用仅限相机层的门洞代理，开门不再全局绕过后墙检测；代理不阻挡玩家、怪物或子弹。</x:t>
        </x:is>
      </x:c>
    </x:row>
    <x:row r="168" ht="220" customHeight="1">
      <x:c r="A168" s="364" t="str">
        <x:v>ENV-TOWER-STAIRWELL-GENERIC-12M</x:v>
      </x:c>
      <x:c r="B168" s="364" t="str">
        <x:v>楼梯B（99→98通用）</x:v>
      </x:c>
      <x:c r="C168" s="364" t="inlineStr">
        <x:is>
          <x:t xml:space="preserve">场景</x:t>
        </x:is>
      </x:c>
      <x:c r="D168" s="364" t="inlineStr">
        <x:is>
          <x:t xml:space="preserve">room_kit</x:t>
        </x:is>
      </x:c>
      <x:c r="E168" s="364" t="str">
        <x:v>stairwell_generic_12m</x:v>
      </x:c>
      <x:c r="F168" s="364" t="str">
        <x:v>stairwell_generic_12m</x:v>
      </x:c>
      <x:c r="G168" s="364" t="inlineStr">
        <x:is>
          <x:t xml:space="preserve">ENV-TOWER-DESCENT-KIT-3D</x:t>
        </x:is>
      </x:c>
      <x:c r="H168" s="364" t="inlineStr">
        <x:is>
          <x:t xml:space="preserve">俯视3D</x:t>
        </x:is>
      </x:c>
      <x:c r="I168" s="364" t="inlineStr">
        <x:is>
          <x:t xml:space="preserve">godot_runtime</x:t>
        </x:is>
      </x:c>
      <x:c r="J168" s="364" t="str">
        <x:v>正式美术已接入</x:v>
      </x:c>
      <x:c r="K168" s="364" t="str">
        <x:v>正式美术已接入</x:v>
      </x:c>
      <x:c r="L168" s="364" t="str">
        <x:v>P0</x:v>
      </x:c>
      <x:c r="M168" s="364" t="str">
        <x:v>v002</x:v>
      </x:c>
      <x:c r="N168" s="364" t="str">
        <x:v>Blender v021；GLB/PackedScene v002；15×30m占地；12m层差；共享色盘；3网格运行优化；1个Walkable与1个EnclosureWall碰撞源</x:v>
      </x:c>
      <x:c r="O168" s="364" t="str">
        <x:v>assets/art/environments/tower_descent_3d/components/env_tower_stairwell_generic_12m_top3d_v002.glb</x:v>
      </x:c>
      <x:c r="P168" s="364" t="str">
        <x:v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x:v>
      </x:c>
      <x:c r="Q168" s="364" t="str">
        <x:v>楼梯B;Stair_B;通用楼梯;99到98;12米层高;Blender直出</x:v>
      </x:c>
      <x:c r="R168" s="364" t="str">
        <x:f>LOWER(TRIM(C168)&amp;"|"&amp;TRIM(D168)&amp;"|"&amp;TRIM(E168)&amp;"|"&amp;TRIM(F168)&amp;"|"&amp;TRIM(H168)&amp;"|"&amp;TRIM(I168))</x:f>
        <x:v>场景|room_kit|stairwell_generic_12m|stairwell_generic_12m|俯视3d|godot_runtime</x:v>
      </x:c>
      <x:c r="S168" s="364" t="str">
        <x:f>IF(COUNTIF($R$6:$R$423,R168)&gt;1,"重复","唯一")</x:f>
        <x:v>唯一</x:v>
      </x:c>
      <x:c r="T168" s="364" t="str">
        <x:v>1865f6e89650640f12e1234b547f726d983c94fce215e74027f7489b43fd33dd</x:v>
      </x:c>
      <x:c r="U168" s="364" t="inlineStr">
        <x:is>
          <x:t xml:space="preserve">Codex</x:t>
        </x:is>
      </x:c>
      <x:c r="V168" s="307" t="n">
        <x:v>46279</x:v>
      </x:c>
      <x:c r="W168" s="364" t="inlineStr">
        <x:is>
          <x:t xml:space="preserve">用户手工Blender模型</x:t>
        </x:is>
      </x:c>
      <x:c r="X168" s="375" t="inlineStr">
        <x:is>
          <x:t xml:space="preserve">—</x:t>
        </x:is>
      </x:c>
      <x:c r="Y168" s="364" t="str">
        <x:v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69" ht="220" customHeight="1">
      <x:c r="A169" s="364" t="str">
        <x:v>ENV-TOWER-STAIRWELL-ROOFTOP-12M</x:v>
      </x:c>
      <x:c r="B169" s="364" t="str">
        <x:v>楼梯A（100→99天台）</x:v>
      </x:c>
      <x:c r="C169" s="364" t="inlineStr">
        <x:is>
          <x:t xml:space="preserve">场景</x:t>
        </x:is>
      </x:c>
      <x:c r="D169" s="364" t="inlineStr">
        <x:is>
          <x:t xml:space="preserve">room_kit</x:t>
        </x:is>
      </x:c>
      <x:c r="E169" s="364" t="str">
        <x:v>stairwell_rooftop_12m</x:v>
      </x:c>
      <x:c r="F169" s="364" t="str">
        <x:v>stairwell_rooftop_12m</x:v>
      </x:c>
      <x:c r="G169" s="364" t="inlineStr">
        <x:is>
          <x:t xml:space="preserve">ENV-TOWER-DESCENT-KIT-3D</x:t>
        </x:is>
      </x:c>
      <x:c r="H169" s="364" t="inlineStr">
        <x:is>
          <x:t xml:space="preserve">俯视3D</x:t>
        </x:is>
      </x:c>
      <x:c r="I169" s="364" t="inlineStr">
        <x:is>
          <x:t xml:space="preserve">godot_runtime</x:t>
        </x:is>
      </x:c>
      <x:c r="J169" s="364" t="str">
        <x:v>正式美术已接入</x:v>
      </x:c>
      <x:c r="K169" s="364" t="str">
        <x:v>正式美术已接入</x:v>
      </x:c>
      <x:c r="L169" s="364" t="str">
        <x:v>P0</x:v>
      </x:c>
      <x:c r="M169" s="364" t="str">
        <x:v>v002</x:v>
      </x:c>
      <x:c r="N169" s="364" t="str">
        <x:v>Blender v021；GLB/PackedScene v002；15×30m占地；12m层差；共享色盘；3网格运行优化；1个Walkable与1个EnclosureWall碰撞源</x:v>
      </x:c>
      <x:c r="O169" s="364" t="str">
        <x:v>assets/art/environments/tower_descent_3d/components/env_tower_stairwell_rooftop_12m_top3d_v002.glb</x:v>
      </x:c>
      <x:c r="P169" s="364" t="str">
        <x:v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x:v>
      </x:c>
      <x:c r="Q169" s="364" t="str">
        <x:v>楼梯A;Stair_A;天台楼梯;100到99;12米层高;Blender直出</x:v>
      </x:c>
      <x:c r="R169" s="364" t="str">
        <x:f>LOWER(TRIM(C169)&amp;"|"&amp;TRIM(D169)&amp;"|"&amp;TRIM(E169)&amp;"|"&amp;TRIM(F169)&amp;"|"&amp;TRIM(H169)&amp;"|"&amp;TRIM(I169))</x:f>
        <x:v>场景|room_kit|stairwell_rooftop_12m|stairwell_rooftop_12m|俯视3d|godot_runtime</x:v>
      </x:c>
      <x:c r="S169" s="364" t="str">
        <x:f>IF(COUNTIF($R$6:$R$423,R169)&gt;1,"重复","唯一")</x:f>
        <x:v>唯一</x:v>
      </x:c>
      <x:c r="T169" s="364" t="str">
        <x:v>ab0d7e543ab36d5798d0cfa35c9eb824ae9a53edda3cd8b1a4ab090708ecffdf</x:v>
      </x:c>
      <x:c r="U169" s="364" t="inlineStr">
        <x:is>
          <x:t xml:space="preserve">Codex</x:t>
        </x:is>
      </x:c>
      <x:c r="V169" s="307" t="n">
        <x:v>46279</x:v>
      </x:c>
      <x:c r="W169" s="364" t="inlineStr">
        <x:is>
          <x:t xml:space="preserve">用户手工Blender模型</x:t>
        </x:is>
      </x:c>
      <x:c r="X169" s="375" t="inlineStr">
        <x:is>
          <x:t xml:space="preserve">—</x:t>
        </x:is>
      </x:c>
      <x:c r="Y169" s="364" t="str">
        <x:v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70">
      <x:c r="A170" s="349" t="inlineStr">
        <x:is>
          <x:t xml:space="preserve">CHR-PLY-CAPSULE01-BACKPACK-SOCKET-3D</x:t>
        </x:is>
      </x:c>
      <x:c r="B170" s="349" t="inlineStr">
        <x:is>
          <x:t xml:space="preserve">玩家背包装备挂点</x:t>
        </x:is>
      </x:c>
      <x:c r="C170" s="349" t="inlineStr">
        <x:is>
          <x:t xml:space="preserve">角色</x:t>
        </x:is>
      </x:c>
      <x:c r="D170" s="349" t="inlineStr">
        <x:is>
          <x:t xml:space="preserve">player_accessory_socket</x:t>
        </x:is>
      </x:c>
      <x:c r="E170" s="349" t="inlineStr">
        <x:is>
          <x:t xml:space="preserve">player_capsule01</x:t>
        </x:is>
      </x:c>
      <x:c r="F170" s="349" t="inlineStr">
        <x:is>
          <x:t xml:space="preserve">backpack_socket_3d</x:t>
        </x:is>
      </x:c>
      <x:c r="G170" s="349" t="inlineStr">
        <x:is>
          <x:t xml:space="preserve">CHR-PLY-CAPSULE01-3D</x:t>
        </x:is>
      </x:c>
      <x:c r="H170" s="349" t="inlineStr">
        <x:is>
          <x:t xml:space="preserve">俯视3D</x:t>
        </x:is>
      </x:c>
      <x:c r="I170" s="349" t="inlineStr">
        <x:is>
          <x:t xml:space="preserve">default</x:t>
        </x:is>
      </x:c>
      <x:c r="J170" s="349" t="inlineStr">
        <x:is>
          <x:t xml:space="preserve">3D玩家场景/可装备背包</x:t>
        </x:is>
      </x:c>
      <x:c r="K170" s="349" t="inlineStr">
        <x:is>
          <x:t xml:space="preserve">原型已接入</x:t>
        </x:is>
      </x:c>
      <x:c r="L170" s="349" t="inlineStr">
        <x:is>
          <x:t xml:space="preserve">P0</x:t>
        </x:is>
      </x:c>
      <x:c r="M170" s="349" t="inlineStr">
        <x:is>
          <x:t xml:space="preserve">v001</x:t>
        </x:is>
      </x:c>
      <x:c r="N170" s="349" t="inlineStr">
        <x:is>
          <x:t xml:space="preserve">Marker3D；bunny=(0,0.74,0.30)；fallback=(0,1.25,0.48)</x:t>
        </x:is>
      </x:c>
      <x:c r="O170" s="349" t="inlineStr">
        <x:is>
          <x:t xml:space="preserve">src/player3d/PlayerAvatar3D.gd</x:t>
        </x:is>
      </x:c>
      <x:c r="P170" s="349" t="inlineStr">
        <x:is>
          <x:t xml:space="preserve">src/player3d/PlayerAvatar3D.gd; tests/verification/verify_backpack_equipment_flow.tscn</x:t>
        </x:is>
      </x:c>
      <x:c r="Q170" s="349" t="inlineStr">
        <x:is>
          <x:t xml:space="preserve">背包挂点;BackpackSocket;背部装备;wearable;capacity</x:t>
        </x:is>
      </x:c>
      <x:c r="R170" s="349" t="str">
        <x:f>LOWER(TRIM(C170)&amp;"|"&amp;TRIM(D170)&amp;"|"&amp;TRIM(E170)&amp;"|"&amp;TRIM(F170)&amp;"|"&amp;TRIM(H170)&amp;"|"&amp;TRIM(I170))</x:f>
        <x:v>角色|player_accessory_socket|player_capsule01|backpack_socket_3d|俯视3d|default</x:v>
      </x:c>
      <x:c r="S170" s="349" t="str">
        <x:f>IF(COUNTIF($R$6:$R$423,R170)&gt;1,"重复","唯一")</x:f>
        <x:v>唯一</x:v>
      </x:c>
      <x:c r="T170" s="349" t="inlineStr">
        <x:is>
          <x:t xml:space="preserve">4499816448fa5c8cd655053b8191f12c7db3f87713f0572965f1250aa31ec85b</x:t>
        </x:is>
      </x:c>
      <x:c r="U170" s="349" t="inlineStr">
        <x:is>
          <x:t xml:space="preserve">Codex</x:t>
        </x:is>
      </x:c>
      <x:c r="V170" s="349" t="n">
        <x:v>46264</x:v>
      </x:c>
      <x:c r="W170" s="349" t="inlineStr">
        <x:is>
          <x:t xml:space="preserve">原创程序挂点</x:t>
        </x:is>
      </x:c>
      <x:c r="X170" s="375" t="inlineStr">
        <x:is>
          <x:t xml:space="preserve">—</x:t>
        </x:is>
      </x:c>
      <x:c r="Y170" s="349" t="inlineStr">
        <x:is>
          <x:t xml:space="preserve">独立于左右武器收纳挂点；只承载表现，不改变角色碰撞。装备/卸下由backpack_equipment_changed同步；专项与Metal/OpenGL战术背包画面通过。
2026-08-30 AST-02：登记路径规范化 assets/art/characters/player/chr_player_capsule01_3d/chr_player_capsule01_root_top3d_v001.tscn; assets/art/characters/player/chr_player_capsule01_3d/variants/bunny01/chr_player_capsule01_bunny01_root_top3d_v006.tscn → src/player3d/PlayerAvatar3D.gd；多实现/源码依据保留在P列。
2026-08-30 AST-02：补齐单一生产路径SHA；验收：verify_backpack_equipment_flow；SHA 2068ecdbee00。</x:t>
        </x:is>
      </x:c>
    </x:row>
    <x:row r="171">
      <x:c r="A171" s="349" t="inlineStr">
        <x:is>
          <x:t xml:space="preserve">ITM-EQUIPMENT-BACKPACK-3D</x:t>
        </x:is>
      </x:c>
      <x:c r="B171" s="349" t="inlineStr">
        <x:is>
          <x:t xml:space="preserve">可装备背包3D占位模型</x:t>
        </x:is>
      </x:c>
      <x:c r="C171" s="349" t="inlineStr">
        <x:is>
          <x:t xml:space="preserve">道具</x:t>
        </x:is>
      </x:c>
      <x:c r="D171" s="349" t="inlineStr">
        <x:is>
          <x:t xml:space="preserve">equipment</x:t>
        </x:is>
      </x:c>
      <x:c r="E171" s="349" t="inlineStr">
        <x:is>
          <x:t xml:space="preserve">equipment_backpack</x:t>
        </x:is>
      </x:c>
      <x:c r="F171" s="349" t="inlineStr">
        <x:is>
          <x:t xml:space="preserve">root_3d</x:t>
        </x:is>
      </x:c>
      <x:c r="G171" s="349" t="n"/>
      <x:c r="H171" s="349" t="inlineStr">
        <x:is>
          <x:t xml:space="preserve">俯视3D</x:t>
        </x:is>
      </x:c>
      <x:c r="I171" s="349" t="inlineStr">
        <x:is>
          <x:t xml:space="preserve">default</x:t>
        </x:is>
      </x:c>
      <x:c r="J171" s="349" t="inlineStr">
        <x:is>
          <x:t xml:space="preserve">地面拾取/UI图标/角色背部共用</x:t>
        </x:is>
      </x:c>
      <x:c r="K171" s="349" t="inlineStr">
        <x:is>
          <x:t xml:space="preserve">程序占位</x:t>
        </x:is>
      </x:c>
      <x:c r="L171" s="349" t="inlineStr">
        <x:is>
          <x:t xml:space="preserve">P0</x:t>
        </x:is>
      </x:c>
      <x:c r="M171" s="349" t="inlineStr">
        <x:is>
          <x:t xml:space="preserve">v001</x:t>
        </x:is>
      </x:c>
      <x:c r="N171" s="349" t="inlineStr">
        <x:is>
          <x:t xml:space="preserve">BoxMesh组件；2/4/8格三档体积、主色与1/2/3附袋</x:t>
        </x:is>
      </x:c>
      <x:c r="O171" s="349" t="n"/>
      <x:c r="P171" s="349" t="inlineStr">
        <x:is>
          <x:t xml:space="preserve">src/world3d/ItemModelFactory3D.gd; src/base/ItemRegistry.gd; tests/verification/verify_backpack_equipment_flow.tscn</x:t>
        </x:is>
      </x:c>
      <x:c r="Q171" s="349" t="inlineStr">
        <x:is>
          <x:t xml:space="preserve">轻型腰包;战术背包;远征背包;backpack;2格;4格;8格</x:t>
        </x:is>
      </x:c>
      <x:c r="R171" s="349" t="str">
        <x:f>LOWER(TRIM(C171)&amp;"|"&amp;TRIM(D171)&amp;"|"&amp;TRIM(E171)&amp;"|"&amp;TRIM(F171)&amp;"|"&amp;TRIM(H171)&amp;"|"&amp;TRIM(I171))</x:f>
        <x:v>道具|equipment|equipment_backpack|root_3d|俯视3d|default</x:v>
      </x:c>
      <x:c r="S171" s="349" t="str">
        <x:f>IF(COUNTIF($R$6:$R$423,R171)&gt;1,"重复","唯一")</x:f>
        <x:v>唯一</x:v>
      </x:c>
      <x:c r="T171" s="349" t="n"/>
      <x:c r="U171" s="349" t="inlineStr">
        <x:is>
          <x:t xml:space="preserve">Codex</x:t>
        </x:is>
      </x:c>
      <x:c r="V171" s="349" t="n">
        <x:v>46240</x:v>
      </x:c>
      <x:c r="W171" s="349" t="inlineStr">
        <x:is>
          <x:t xml:space="preserve">原创程序几何</x:t>
        </x:is>
      </x:c>
      <x:c r="X171" s="375" t="inlineStr">
        <x:is>
          <x:t xml:space="preserve">—</x:t>
        </x:is>
      </x:c>
      <x:c r="Y171" s="349" t="inlineStr">
        <x:is>
          <x:t xml:space="preserve">同一模型工厂服务equipment_backpack_2/4/8，避免世界物、UI图标和背部表现重复资产；无玩法碰撞，正式模型完成前保持程序占位状态。</x:t>
        </x:is>
      </x:c>
    </x:row>
    <x:row r="172" ht="42" customHeight="1">
      <x:c r="A172" s="308" t="inlineStr">
        <x:is>
          <x:t xml:space="preserve">PRP-BASE-VENDING-MACHINE-3D</x:t>
        </x:is>
      </x:c>
      <x:c r="B172" s="309" t="inlineStr">
        <x:is>
          <x:t xml:space="preserve">基地科幻自动贩卖机</x:t>
        </x:is>
      </x:c>
      <x:c r="C172" s="309" t="inlineStr">
        <x:is>
          <x:t xml:space="preserve">道具</x:t>
        </x:is>
      </x:c>
      <x:c r="D172" s="309" t="inlineStr">
        <x:is>
          <x:t xml:space="preserve">base_facility</x:t>
        </x:is>
      </x:c>
      <x:c r="E172" s="309" t="inlineStr">
        <x:is>
          <x:t xml:space="preserve">base_vending</x:t>
        </x:is>
      </x:c>
      <x:c r="F172" s="309" t="inlineStr">
        <x:is>
          <x:t xml:space="preserve">root</x:t>
        </x:is>
      </x:c>
      <x:c r="G172" s="309" t="inlineStr">
        <x:is>
          <x:t xml:space="preserve">PRP-BASE-FACILITY-3D</x:t>
        </x:is>
      </x:c>
      <x:c r="H172" s="309" t="inlineStr">
        <x:is>
          <x:t xml:space="preserve">Top3D / local -Z 正面</x:t>
        </x:is>
      </x:c>
      <x:c r="I172" s="309" t="inlineStr">
        <x:is>
          <x:t xml:space="preserve">default / 独立交互场景</x:t>
        </x:is>
      </x:c>
      <x:c r="J172" s="309" t="inlineStr">
        <x:is>
          <x:t xml:space="preserve">BaseWorld3D/TowerDescent99F</x:t>
        </x:is>
      </x:c>
      <x:c r="K172" s="309" t="inlineStr">
        <x:is>
          <x:t xml:space="preserve">已完成</x:t>
        </x:is>
      </x:c>
      <x:c r="L172" s="309" t="inlineStr">
        <x:is>
          <x:t xml:space="preserve">P0</x:t>
        </x:is>
      </x:c>
      <x:c r="M172" s="309" t="inlineStr">
        <x:is>
          <x:t xml:space="preserve">v002</x:t>
        </x:is>
      </x:c>
      <x:c r="N172" s="309" t="inlineStr">
        <x:is>
          <x:t xml:space="preserve">4材质；主体/自发光分离；独立GLB/PackedScene</x:t>
        </x:is>
      </x:c>
      <x:c r="O172" s="309" t="inlineStr">
        <x:is>
          <x:t xml:space="preserve">assets/art/props/base_world_3d/runtime/vending_machine/prp_base_vending_machine_root_top3d_v002.tscn</x:t>
        </x:is>
      </x:c>
      <x:c r="P172" s="309" t="inlineStr">
        <x:is>
          <x:t xml:space="preserve">assets/art/props/base_world_3d/source/vending_machine/prp_base_vending_machine_source_v001.blend; src/base3d/BaseFacility3D.gd; src/world3d/TowerDescent3D.gd</x:t>
        </x:is>
      </x:c>
      <x:c r="Q172" s="309" t="inlineStr">
        <x:is>
          <x:t xml:space="preserve">base_vending; 科幻自动贩卖机; 基地设施; 多巴胺配色; 自发光分离</x:t>
        </x:is>
      </x:c>
      <x:c r="R172" s="309" t="str">
        <x:f>LOWER(TRIM(C172)&amp;"|"&amp;TRIM(D172)&amp;"|"&amp;TRIM(E172)&amp;"|"&amp;TRIM(F172)&amp;"|"&amp;TRIM(H172)&amp;"|"&amp;TRIM(I172))</x:f>
        <x:v>道具|base_facility|base_vending|root|top3d / local -z 正面|default / 独立交互场景</x:v>
      </x:c>
      <x:c r="S172" s="309" t="str">
        <x:f>IF(COUNTIF($R$6:$R$423,R172)&gt;1,"重复","唯一")</x:f>
        <x:v>唯一</x:v>
      </x:c>
      <x:c r="T172" s="309" t="inlineStr">
        <x:is>
          <x:t xml:space="preserve">527cb1b22eec644c0869b8dc321968438bde91500f90d69fa0d41d0fa568229d</x:t>
        </x:is>
      </x:c>
      <x:c r="U172" s="309" t="inlineStr">
        <x:is>
          <x:t xml:space="preserve">Codex</x:t>
        </x:is>
      </x:c>
      <x:c r="V172" s="310" t="n">
        <x:v>46264</x:v>
      </x:c>
      <x:c r="W172" s="309" t="inlineStr">
        <x:is>
          <x:t xml:space="preserve">用户自制Blender资产</x:t>
        </x:is>
      </x:c>
      <x:c r="X172" s="375" t="inlineStr">
        <x:is>
          <x:t xml:space="preserve">—</x:t>
        </x:is>
      </x:c>
      <x:c r="Y172" s="309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3f7cd7250b0d→0e8574cd7a9a。
2026-09-12：TowerDescent99F的base_vending已迁移到PRP-BASE99-EAST-SUPPLY-24H-STATION-FACILITY-3D；本行旧自动贩卖机继续用于BaseWorld3D。</x:t>
        </x:is>
      </x:c>
    </x:row>
    <x:row r="173" ht="42" customHeight="1">
      <x:c r="A173" s="308" t="inlineStr">
        <x:is>
          <x:t xml:space="preserve">UI-SCREEN-BASE-VENDING</x:t>
        </x:is>
      </x:c>
      <x:c r="B173" s="309" t="inlineStr">
        <x:is>
          <x:t xml:space="preserve">基地自动贩卖机商店界面</x:t>
        </x:is>
      </x:c>
      <x:c r="C173" s="309" t="inlineStr">
        <x:is>
          <x:t xml:space="preserve">UI</x:t>
        </x:is>
      </x:c>
      <x:c r="D173" s="309" t="inlineStr">
        <x:is>
          <x:t xml:space="preserve">base_facility</x:t>
        </x:is>
      </x:c>
      <x:c r="E173" s="309" t="inlineStr">
        <x:is>
          <x:t xml:space="preserve">base_vending_shop</x:t>
        </x:is>
      </x:c>
      <x:c r="F173" s="309" t="inlineStr">
        <x:is>
          <x:t xml:space="preserve">screen</x:t>
        </x:is>
      </x:c>
      <x:c r="G173" s="309" t="inlineStr">
        <x:is>
          <x:t xml:space="preserve">UI-SCREEN-MERCHANT</x:t>
        </x:is>
      </x:c>
      <x:c r="H173" s="309" t="inlineStr">
        <x:is>
          <x:t xml:space="preserve">Screen</x:t>
        </x:is>
      </x:c>
      <x:c r="I173" s="309" t="inlineStr">
        <x:is>
          <x:t xml:space="preserve">default</x:t>
        </x:is>
      </x:c>
      <x:c r="J173" s="309" t="inlineStr">
        <x:is>
          <x:t xml:space="preserve">基地自动贩卖机</x:t>
        </x:is>
      </x:c>
      <x:c r="K173" s="309" t="inlineStr">
        <x:is>
          <x:t xml:space="preserve">原型已接入</x:t>
        </x:is>
      </x:c>
      <x:c r="L173" s="309" t="inlineStr">
        <x:is>
          <x:t xml:space="preserve">P0</x:t>
        </x:is>
      </x:c>
      <x:c r="M173" s="309" t="inlineStr">
        <x:is>
          <x:t xml:space="preserve">v002</x:t>
        </x:is>
      </x:c>
      <x:c r="N173" s="309" t="inlineStr">
        <x:is>
          <x:t xml:space="preserve">1280×720自适应</x:t>
        </x:is>
      </x:c>
      <x:c r="O173" s="309" t="inlineStr">
        <x:is>
          <x:t xml:space="preserve">scenes/BaseVendingMenu.tscn</x:t>
        </x:is>
      </x:c>
      <x:c r="P173" s="309" t="inlineStr">
        <x:is>
          <x:t xml:space="preserve">用户设计+docs/v0.1/07_技术施工_基地设施.md</x:t>
        </x:is>
      </x:c>
      <x:c r="Q173" s="309" t="inlineStr">
        <x:is>
          <x:t xml:space="preserve">基地商店; 购买; 出售; 3D物品图标</x:t>
        </x:is>
      </x:c>
      <x:c r="R173" s="309" t="str">
        <x:f>LOWER(TRIM(C173)&amp;"|"&amp;TRIM(D173)&amp;"|"&amp;TRIM(E173)&amp;"|"&amp;TRIM(F173)&amp;"|"&amp;TRIM(H173)&amp;"|"&amp;TRIM(I173))</x:f>
        <x:v>ui|base_facility|base_vending_shop|screen|screen|default</x:v>
      </x:c>
      <x:c r="S173" s="309" t="str">
        <x:f>IF(COUNTIF($R$6:$R$423,R173)&gt;1,"重复","唯一")</x:f>
        <x:v>唯一</x:v>
      </x:c>
      <x:c r="T173" s="309" t="inlineStr">
        <x:is>
          <x:t xml:space="preserve">119e03cab16d9fc3780315b3df088e710f6bf2f2d9e4e84c95c79b6abb540bd3</x:t>
        </x:is>
      </x:c>
      <x:c r="U173" s="309" t="inlineStr">
        <x:is>
          <x:t xml:space="preserve">Codex</x:t>
        </x:is>
      </x:c>
      <x:c r="V173" s="309" t="n">
        <x:v>46264</x:v>
      </x:c>
      <x:c r="W173" s="309" t="inlineStr">
        <x:is>
          <x:t xml:space="preserve">程序控件/原创</x:t>
        </x:is>
      </x:c>
      <x:c r="X173" s="375" t="inlineStr">
        <x:is>
          <x:t xml:space="preserve">—</x:t>
        </x:is>
      </x:c>
      <x:c r="Y173" s="309" t="inlineStr">
        <x:is>
          <x:t xml:space="preserve">左右买卖双栏；复用ItemModelIcon3D；资源与容量常驻；Esc退出 ｜ 2026-08-07：购买/出售改为3列商品卡网格，正方形ItemModelIcon3D，与I键背包同源；统一主HUD配色和按钮状态。
2026-08-30 AST-02：登记路径规范化 scenes/BaseVendingMenu.tscn; src/ui/BaseVendingMenu.gd → scenes/BaseVendingMenu.tscn；多实现/源码依据保留在P列。
2026-08-30 AST-02：补齐单一生产路径SHA；验收：verify_base_shop_save_flow；SHA 064d8c1f92cf。</x:t>
        </x:is>
      </x:c>
    </x:row>
    <x:row r="174" ht="44" customHeight="1">
      <x:c r="A174" s="349" t="inlineStr">
        <x:is>
          <x:t xml:space="preserve">AUD-SFX-AMMO-EMPTY</x:t>
        </x:is>
      </x:c>
      <x:c r="B174" s="349" t="inlineStr">
        <x:is>
          <x:t xml:space="preserve">空仓扳机音效</x:t>
        </x:is>
      </x:c>
      <x:c r="C174" s="349" t="inlineStr">
        <x:is>
          <x:t xml:space="preserve">音频</x:t>
        </x:is>
      </x:c>
      <x:c r="D174" s="349" t="inlineStr">
        <x:is>
          <x:t xml:space="preserve">sfx</x:t>
        </x:is>
      </x:c>
      <x:c r="E174" s="349" t="inlineStr">
        <x:is>
          <x:t xml:space="preserve">ammo_empty</x:t>
        </x:is>
      </x:c>
      <x:c r="F174" s="349" t="inlineStr">
        <x:is>
          <x:t xml:space="preserve">runtime</x:t>
        </x:is>
      </x:c>
      <x:c r="G174" s="349" t="n"/>
      <x:c r="H174" s="349" t="inlineStr">
        <x:is>
          <x:t xml:space="preserve">全局/非空间</x:t>
        </x:is>
      </x:c>
      <x:c r="I174" s="349" t="inlineStr">
        <x:is>
          <x:t xml:space="preserve">default</x:t>
        </x:is>
      </x:c>
      <x:c r="J174" s="349" t="inlineStr">
        <x:is>
          <x:t xml:space="preserve">桌面与Android正式运行</x:t>
        </x:is>
      </x:c>
      <x:c r="K174" s="349" t="inlineStr">
        <x:is>
          <x:t xml:space="preserve">已完成</x:t>
        </x:is>
      </x:c>
      <x:c r="L174" s="349" t="inlineStr">
        <x:is>
          <x:t xml:space="preserve">P0</x:t>
        </x:is>
      </x:c>
      <x:c r="M174" s="349" t="inlineStr">
        <x:is>
          <x:t xml:space="preserve">v001</x:t>
        </x:is>
      </x:c>
      <x:c r="N174" s="349" t="inlineStr">
        <x:is>
          <x:t xml:space="preserve">44.1kHz / OGG Vorbis / stereo</x:t>
        </x:is>
      </x:c>
      <x:c r="O174" s="349" t="inlineStr">
        <x:is>
          <x:t xml:space="preserve">src/assets/audio/sfx/ammo_empty_v001.ogg</x:t>
        </x:is>
      </x:c>
      <x:c r="P174" s="349" t="inlineStr">
        <x:is>
          <x:t xml:space="preserve">src/assets/audio/sfx/ammo_empty.wav; src/音效接入说明.md</x:t>
        </x:is>
      </x:c>
      <x:c r="Q174" s="349" t="inlineStr">
        <x:is>
          <x:t xml:space="preserve">ammo_empty; 音效; OGG; Android; 移动端</x:t>
        </x:is>
      </x:c>
      <x:c r="R174" s="349" t="str">
        <x:f>LOWER(TRIM(C174)&amp;"|"&amp;TRIM(D174)&amp;"|"&amp;TRIM(E174)&amp;"|"&amp;TRIM(F174)&amp;"|"&amp;TRIM(H174)&amp;"|"&amp;TRIM(I174))</x:f>
        <x:v>音频|sfx|ammo_empty|runtime|全局/非空间|default</x:v>
      </x:c>
      <x:c r="S174" s="349" t="str">
        <x:f>IF(COUNTIF($R$6:$R$423,R174)&gt;1,"重复","唯一")</x:f>
        <x:v>唯一</x:v>
      </x:c>
      <x:c r="T174" s="349" t="inlineStr">
        <x:is>
          <x:t xml:space="preserve">f5d0339c3c7fce8227970163bd773a11f15faffa57a878ec41111308657a000c</x:t>
        </x:is>
      </x:c>
      <x:c r="U174" s="349" t="inlineStr">
        <x:is>
          <x:t xml:space="preserve">Codex</x:t>
        </x:is>
      </x:c>
      <x:c r="V174" s="348" t="n">
        <x:v>46241</x:v>
      </x:c>
      <x:c r="W174" s="349" t="inlineStr">
        <x:is>
          <x:t xml:space="preserve">项目WAV母版转码</x:t>
        </x:is>
      </x:c>
      <x:c r="X174" s="375" t="inlineStr">
        <x:is>
          <x:t xml:space="preserve">—</x:t>
        </x:is>
      </x:c>
      <x:c r="Y174" s="349" t="inlineStr">
        <x:is>
          <x:t xml:space="preserve">正式运行OGG；WAV仅作母版；AudioManager事件=ammo_empty；Android/桌面统一版本化路径，禁止旧音效回退。</x:t>
        </x:is>
      </x:c>
    </x:row>
    <x:row r="175" ht="44" customHeight="1">
      <x:c r="A175" s="349" t="inlineStr">
        <x:is>
          <x:t xml:space="preserve">AUD-SFX-BOSS-DEFEAT</x:t>
        </x:is>
      </x:c>
      <x:c r="B175" s="349" t="inlineStr">
        <x:is>
          <x:t xml:space="preserve">Boss击败音效</x:t>
        </x:is>
      </x:c>
      <x:c r="C175" s="349" t="inlineStr">
        <x:is>
          <x:t xml:space="preserve">音频</x:t>
        </x:is>
      </x:c>
      <x:c r="D175" s="349" t="inlineStr">
        <x:is>
          <x:t xml:space="preserve">sfx</x:t>
        </x:is>
      </x:c>
      <x:c r="E175" s="349" t="inlineStr">
        <x:is>
          <x:t xml:space="preserve">boss_defeat</x:t>
        </x:is>
      </x:c>
      <x:c r="F175" s="349" t="inlineStr">
        <x:is>
          <x:t xml:space="preserve">runtime</x:t>
        </x:is>
      </x:c>
      <x:c r="G175" s="349" t="n"/>
      <x:c r="H175" s="349" t="inlineStr">
        <x:is>
          <x:t xml:space="preserve">全局/非空间</x:t>
        </x:is>
      </x:c>
      <x:c r="I175" s="349" t="inlineStr">
        <x:is>
          <x:t xml:space="preserve">default</x:t>
        </x:is>
      </x:c>
      <x:c r="J175" s="349" t="inlineStr">
        <x:is>
          <x:t xml:space="preserve">桌面与Android正式运行</x:t>
        </x:is>
      </x:c>
      <x:c r="K175" s="349" t="inlineStr">
        <x:is>
          <x:t xml:space="preserve">已完成</x:t>
        </x:is>
      </x:c>
      <x:c r="L175" s="349" t="inlineStr">
        <x:is>
          <x:t xml:space="preserve">P0</x:t>
        </x:is>
      </x:c>
      <x:c r="M175" s="349" t="inlineStr">
        <x:is>
          <x:t xml:space="preserve">v001</x:t>
        </x:is>
      </x:c>
      <x:c r="N175" s="349" t="inlineStr">
        <x:is>
          <x:t xml:space="preserve">44.1kHz / OGG Vorbis / stereo</x:t>
        </x:is>
      </x:c>
      <x:c r="O175" s="349" t="inlineStr">
        <x:is>
          <x:t xml:space="preserve">src/assets/audio/sfx/boss_defeat_v001.ogg</x:t>
        </x:is>
      </x:c>
      <x:c r="P175" s="349" t="inlineStr">
        <x:is>
          <x:t xml:space="preserve">src/assets/audio/sfx/boss_defeat.wav; src/音效接入说明.md</x:t>
        </x:is>
      </x:c>
      <x:c r="Q175" s="349" t="inlineStr">
        <x:is>
          <x:t xml:space="preserve">boss_defeat; 音效; OGG; Android; 移动端</x:t>
        </x:is>
      </x:c>
      <x:c r="R175" s="349" t="str">
        <x:f>LOWER(TRIM(C175)&amp;"|"&amp;TRIM(D175)&amp;"|"&amp;TRIM(E175)&amp;"|"&amp;TRIM(F175)&amp;"|"&amp;TRIM(H175)&amp;"|"&amp;TRIM(I175))</x:f>
        <x:v>音频|sfx|boss_defeat|runtime|全局/非空间|default</x:v>
      </x:c>
      <x:c r="S175" s="349" t="str">
        <x:f>IF(COUNTIF($R$6:$R$423,R175)&gt;1,"重复","唯一")</x:f>
        <x:v>唯一</x:v>
      </x:c>
      <x:c r="T175" s="349" t="inlineStr">
        <x:is>
          <x:t xml:space="preserve">245b27a482a9166c6bc09cdabae3094f4a2bb1e67956f8a8f54b767eb15fefba</x:t>
        </x:is>
      </x:c>
      <x:c r="U175" s="349" t="inlineStr">
        <x:is>
          <x:t xml:space="preserve">Codex</x:t>
        </x:is>
      </x:c>
      <x:c r="V175" s="348" t="n">
        <x:v>46241</x:v>
      </x:c>
      <x:c r="W175" s="349" t="inlineStr">
        <x:is>
          <x:t xml:space="preserve">项目WAV母版转码</x:t>
        </x:is>
      </x:c>
      <x:c r="X175" s="375" t="inlineStr">
        <x:is>
          <x:t xml:space="preserve">—</x:t>
        </x:is>
      </x:c>
      <x:c r="Y175" s="349" t="inlineStr">
        <x:is>
          <x:t xml:space="preserve">正式运行OGG；WAV仅作母版；AudioManager事件=boss_defeat；Android/桌面统一版本化路径，禁止旧音效回退。</x:t>
        </x:is>
      </x:c>
    </x:row>
    <x:row r="176" ht="44" customHeight="1">
      <x:c r="A176" s="349" t="inlineStr">
        <x:is>
          <x:t xml:space="preserve">AUD-SFX-BOSS-INTRO</x:t>
        </x:is>
      </x:c>
      <x:c r="B176" s="349" t="inlineStr">
        <x:is>
          <x:t xml:space="preserve">Boss入场音效</x:t>
        </x:is>
      </x:c>
      <x:c r="C176" s="349" t="inlineStr">
        <x:is>
          <x:t xml:space="preserve">音频</x:t>
        </x:is>
      </x:c>
      <x:c r="D176" s="349" t="inlineStr">
        <x:is>
          <x:t xml:space="preserve">sfx</x:t>
        </x:is>
      </x:c>
      <x:c r="E176" s="349" t="inlineStr">
        <x:is>
          <x:t xml:space="preserve">boss_intro</x:t>
        </x:is>
      </x:c>
      <x:c r="F176" s="349" t="inlineStr">
        <x:is>
          <x:t xml:space="preserve">runtime</x:t>
        </x:is>
      </x:c>
      <x:c r="G176" s="349" t="n"/>
      <x:c r="H176" s="349" t="inlineStr">
        <x:is>
          <x:t xml:space="preserve">全局/非空间</x:t>
        </x:is>
      </x:c>
      <x:c r="I176" s="349" t="inlineStr">
        <x:is>
          <x:t xml:space="preserve">default</x:t>
        </x:is>
      </x:c>
      <x:c r="J176" s="349" t="inlineStr">
        <x:is>
          <x:t xml:space="preserve">桌面与Android正式运行</x:t>
        </x:is>
      </x:c>
      <x:c r="K176" s="349" t="inlineStr">
        <x:is>
          <x:t xml:space="preserve">已完成</x:t>
        </x:is>
      </x:c>
      <x:c r="L176" s="349" t="inlineStr">
        <x:is>
          <x:t xml:space="preserve">P0</x:t>
        </x:is>
      </x:c>
      <x:c r="M176" s="349" t="inlineStr">
        <x:is>
          <x:t xml:space="preserve">v001</x:t>
        </x:is>
      </x:c>
      <x:c r="N176" s="349" t="inlineStr">
        <x:is>
          <x:t xml:space="preserve">44.1kHz / OGG Vorbis / stereo</x:t>
        </x:is>
      </x:c>
      <x:c r="O176" s="349" t="inlineStr">
        <x:is>
          <x:t xml:space="preserve">src/assets/audio/sfx/boss_intro_v001.ogg</x:t>
        </x:is>
      </x:c>
      <x:c r="P176" s="349" t="inlineStr">
        <x:is>
          <x:t xml:space="preserve">src/assets/audio/sfx/boss_intro.wav; src/音效接入说明.md</x:t>
        </x:is>
      </x:c>
      <x:c r="Q176" s="349" t="inlineStr">
        <x:is>
          <x:t xml:space="preserve">boss_intro; 音效; OGG; Android; 移动端</x:t>
        </x:is>
      </x:c>
      <x:c r="R176" s="349" t="str">
        <x:f>LOWER(TRIM(C176)&amp;"|"&amp;TRIM(D176)&amp;"|"&amp;TRIM(E176)&amp;"|"&amp;TRIM(F176)&amp;"|"&amp;TRIM(H176)&amp;"|"&amp;TRIM(I176))</x:f>
        <x:v>音频|sfx|boss_intro|runtime|全局/非空间|default</x:v>
      </x:c>
      <x:c r="S176" s="349" t="str">
        <x:f>IF(COUNTIF($R$6:$R$423,R176)&gt;1,"重复","唯一")</x:f>
        <x:v>唯一</x:v>
      </x:c>
      <x:c r="T176" s="349" t="inlineStr">
        <x:is>
          <x:t xml:space="preserve">4e18a3afe9c7b804e6fb6905fbf05b62cba70d9b15a324c650a04d04a981d5ff</x:t>
        </x:is>
      </x:c>
      <x:c r="U176" s="349" t="inlineStr">
        <x:is>
          <x:t xml:space="preserve">Codex</x:t>
        </x:is>
      </x:c>
      <x:c r="V176" s="348" t="n">
        <x:v>46241</x:v>
      </x:c>
      <x:c r="W176" s="349" t="inlineStr">
        <x:is>
          <x:t xml:space="preserve">项目WAV母版转码</x:t>
        </x:is>
      </x:c>
      <x:c r="X176" s="375" t="inlineStr">
        <x:is>
          <x:t xml:space="preserve">—</x:t>
        </x:is>
      </x:c>
      <x:c r="Y176" s="349" t="inlineStr">
        <x:is>
          <x:t xml:space="preserve">正式运行OGG；WAV仅作母版；AudioManager事件=boss_intro；Android/桌面统一版本化路径，禁止旧音效回退。</x:t>
        </x:is>
      </x:c>
    </x:row>
    <x:row r="177" ht="44" customHeight="1">
      <x:c r="A177" s="349" t="inlineStr">
        <x:is>
          <x:t xml:space="preserve">AUD-SFX-BOSS-PHASE</x:t>
        </x:is>
      </x:c>
      <x:c r="B177" s="349" t="inlineStr">
        <x:is>
          <x:t xml:space="preserve">Boss阶段切换音效</x:t>
        </x:is>
      </x:c>
      <x:c r="C177" s="349" t="inlineStr">
        <x:is>
          <x:t xml:space="preserve">音频</x:t>
        </x:is>
      </x:c>
      <x:c r="D177" s="349" t="inlineStr">
        <x:is>
          <x:t xml:space="preserve">sfx</x:t>
        </x:is>
      </x:c>
      <x:c r="E177" s="349" t="inlineStr">
        <x:is>
          <x:t xml:space="preserve">boss_phase</x:t>
        </x:is>
      </x:c>
      <x:c r="F177" s="349" t="inlineStr">
        <x:is>
          <x:t xml:space="preserve">runtime</x:t>
        </x:is>
      </x:c>
      <x:c r="G177" s="349" t="n"/>
      <x:c r="H177" s="349" t="inlineStr">
        <x:is>
          <x:t xml:space="preserve">全局/非空间</x:t>
        </x:is>
      </x:c>
      <x:c r="I177" s="349" t="inlineStr">
        <x:is>
          <x:t xml:space="preserve">default</x:t>
        </x:is>
      </x:c>
      <x:c r="J177" s="349" t="inlineStr">
        <x:is>
          <x:t xml:space="preserve">桌面与Android正式运行</x:t>
        </x:is>
      </x:c>
      <x:c r="K177" s="349" t="inlineStr">
        <x:is>
          <x:t xml:space="preserve">已完成</x:t>
        </x:is>
      </x:c>
      <x:c r="L177" s="349" t="inlineStr">
        <x:is>
          <x:t xml:space="preserve">P0</x:t>
        </x:is>
      </x:c>
      <x:c r="M177" s="349" t="inlineStr">
        <x:is>
          <x:t xml:space="preserve">v001</x:t>
        </x:is>
      </x:c>
      <x:c r="N177" s="349" t="inlineStr">
        <x:is>
          <x:t xml:space="preserve">44.1kHz / OGG Vorbis / stereo</x:t>
        </x:is>
      </x:c>
      <x:c r="O177" s="349" t="inlineStr">
        <x:is>
          <x:t xml:space="preserve">src/assets/audio/sfx/boss_phase_v001.ogg</x:t>
        </x:is>
      </x:c>
      <x:c r="P177" s="349" t="inlineStr">
        <x:is>
          <x:t xml:space="preserve">src/assets/audio/sfx/boss_phase.wav; src/音效接入说明.md</x:t>
        </x:is>
      </x:c>
      <x:c r="Q177" s="349" t="inlineStr">
        <x:is>
          <x:t xml:space="preserve">boss_phase; 音效; OGG; Android; 移动端</x:t>
        </x:is>
      </x:c>
      <x:c r="R177" s="349" t="str">
        <x:f>LOWER(TRIM(C177)&amp;"|"&amp;TRIM(D177)&amp;"|"&amp;TRIM(E177)&amp;"|"&amp;TRIM(F177)&amp;"|"&amp;TRIM(H177)&amp;"|"&amp;TRIM(I177))</x:f>
        <x:v>音频|sfx|boss_phase|runtime|全局/非空间|default</x:v>
      </x:c>
      <x:c r="S177" s="349" t="str">
        <x:f>IF(COUNTIF($R$6:$R$423,R177)&gt;1,"重复","唯一")</x:f>
        <x:v>唯一</x:v>
      </x:c>
      <x:c r="T177" s="349" t="inlineStr">
        <x:is>
          <x:t xml:space="preserve">804457fc13cb83e18bdc1e7e84d1b9a27414be72128f82811e016c17fc331ad3</x:t>
        </x:is>
      </x:c>
      <x:c r="U177" s="349" t="inlineStr">
        <x:is>
          <x:t xml:space="preserve">Codex</x:t>
        </x:is>
      </x:c>
      <x:c r="V177" s="348" t="n">
        <x:v>46241</x:v>
      </x:c>
      <x:c r="W177" s="349" t="inlineStr">
        <x:is>
          <x:t xml:space="preserve">项目WAV母版转码</x:t>
        </x:is>
      </x:c>
      <x:c r="X177" s="375" t="inlineStr">
        <x:is>
          <x:t xml:space="preserve">—</x:t>
        </x:is>
      </x:c>
      <x:c r="Y177" s="349" t="inlineStr">
        <x:is>
          <x:t xml:space="preserve">正式运行OGG；WAV仅作母版；AudioManager事件=boss_phase；Android/桌面统一版本化路径，禁止旧音效回退。</x:t>
        </x:is>
      </x:c>
    </x:row>
    <x:row r="178" ht="44" customHeight="1">
      <x:c r="A178" s="349" t="inlineStr">
        <x:is>
          <x:t xml:space="preserve">AUD-SFX-CONTAINER-OPEN</x:t>
        </x:is>
      </x:c>
      <x:c r="B178" s="349" t="inlineStr">
        <x:is>
          <x:t xml:space="preserve">搜索容器开启音效</x:t>
        </x:is>
      </x:c>
      <x:c r="C178" s="349" t="inlineStr">
        <x:is>
          <x:t xml:space="preserve">音频</x:t>
        </x:is>
      </x:c>
      <x:c r="D178" s="349" t="inlineStr">
        <x:is>
          <x:t xml:space="preserve">sfx</x:t>
        </x:is>
      </x:c>
      <x:c r="E178" s="349" t="inlineStr">
        <x:is>
          <x:t xml:space="preserve">container_open</x:t>
        </x:is>
      </x:c>
      <x:c r="F178" s="349" t="inlineStr">
        <x:is>
          <x:t xml:space="preserve">runtime</x:t>
        </x:is>
      </x:c>
      <x:c r="G178" s="349" t="n"/>
      <x:c r="H178" s="349" t="inlineStr">
        <x:is>
          <x:t xml:space="preserve">全局/非空间</x:t>
        </x:is>
      </x:c>
      <x:c r="I178" s="349" t="inlineStr">
        <x:is>
          <x:t xml:space="preserve">default</x:t>
        </x:is>
      </x:c>
      <x:c r="J178" s="349" t="inlineStr">
        <x:is>
          <x:t xml:space="preserve">桌面与Android正式运行</x:t>
        </x:is>
      </x:c>
      <x:c r="K178" s="349" t="inlineStr">
        <x:is>
          <x:t xml:space="preserve">已完成</x:t>
        </x:is>
      </x:c>
      <x:c r="L178" s="349" t="inlineStr">
        <x:is>
          <x:t xml:space="preserve">P0</x:t>
        </x:is>
      </x:c>
      <x:c r="M178" s="349" t="inlineStr">
        <x:is>
          <x:t xml:space="preserve">v001</x:t>
        </x:is>
      </x:c>
      <x:c r="N178" s="349" t="inlineStr">
        <x:is>
          <x:t xml:space="preserve">44.1kHz / OGG Vorbis / stereo</x:t>
        </x:is>
      </x:c>
      <x:c r="O178" s="349" t="inlineStr">
        <x:is>
          <x:t xml:space="preserve">src/assets/audio/sfx/container_open_v001.ogg</x:t>
        </x:is>
      </x:c>
      <x:c r="P178" s="349" t="inlineStr">
        <x:is>
          <x:t xml:space="preserve">src/assets/audio/sfx/container_open.wav; src/音效接入说明.md</x:t>
        </x:is>
      </x:c>
      <x:c r="Q178" s="349" t="inlineStr">
        <x:is>
          <x:t xml:space="preserve">container_open; 音效; OGG; Android; 移动端</x:t>
        </x:is>
      </x:c>
      <x:c r="R178" s="349" t="str">
        <x:f>LOWER(TRIM(C178)&amp;"|"&amp;TRIM(D178)&amp;"|"&amp;TRIM(E178)&amp;"|"&amp;TRIM(F178)&amp;"|"&amp;TRIM(H178)&amp;"|"&amp;TRIM(I178))</x:f>
        <x:v>音频|sfx|container_open|runtime|全局/非空间|default</x:v>
      </x:c>
      <x:c r="S178" s="349" t="str">
        <x:f>IF(COUNTIF($R$6:$R$423,R178)&gt;1,"重复","唯一")</x:f>
        <x:v>唯一</x:v>
      </x:c>
      <x:c r="T178" s="349" t="inlineStr">
        <x:is>
          <x:t xml:space="preserve">8e9d9e0a773ab0daf850734913302212a2f279dc7afb0f457a193300325840d0</x:t>
        </x:is>
      </x:c>
      <x:c r="U178" s="349" t="inlineStr">
        <x:is>
          <x:t xml:space="preserve">Codex</x:t>
        </x:is>
      </x:c>
      <x:c r="V178" s="348" t="n">
        <x:v>46241</x:v>
      </x:c>
      <x:c r="W178" s="349" t="inlineStr">
        <x:is>
          <x:t xml:space="preserve">项目WAV母版转码</x:t>
        </x:is>
      </x:c>
      <x:c r="X178" s="375" t="inlineStr">
        <x:is>
          <x:t xml:space="preserve">—</x:t>
        </x:is>
      </x:c>
      <x:c r="Y178" s="349" t="inlineStr">
        <x:is>
          <x:t xml:space="preserve">正式运行OGG；WAV仅作母版；AudioManager事件=container_open；Android/桌面统一版本化路径，禁止旧音效回退。</x:t>
        </x:is>
      </x:c>
    </x:row>
    <x:row r="179" ht="44" customHeight="1">
      <x:c r="A179" s="349" t="inlineStr">
        <x:is>
          <x:t xml:space="preserve">AUD-SFX-CRIT-HIT</x:t>
        </x:is>
      </x:c>
      <x:c r="B179" s="349" t="inlineStr">
        <x:is>
          <x:t xml:space="preserve">暴击命中音效</x:t>
        </x:is>
      </x:c>
      <x:c r="C179" s="349" t="inlineStr">
        <x:is>
          <x:t xml:space="preserve">音频</x:t>
        </x:is>
      </x:c>
      <x:c r="D179" s="349" t="inlineStr">
        <x:is>
          <x:t xml:space="preserve">sfx</x:t>
        </x:is>
      </x:c>
      <x:c r="E179" s="349" t="inlineStr">
        <x:is>
          <x:t xml:space="preserve">crit_hit</x:t>
        </x:is>
      </x:c>
      <x:c r="F179" s="349" t="inlineStr">
        <x:is>
          <x:t xml:space="preserve">runtime</x:t>
        </x:is>
      </x:c>
      <x:c r="G179" s="349" t="n"/>
      <x:c r="H179" s="349" t="inlineStr">
        <x:is>
          <x:t xml:space="preserve">全局/非空间</x:t>
        </x:is>
      </x:c>
      <x:c r="I179" s="349" t="inlineStr">
        <x:is>
          <x:t xml:space="preserve">default</x:t>
        </x:is>
      </x:c>
      <x:c r="J179" s="349" t="inlineStr">
        <x:is>
          <x:t xml:space="preserve">桌面与Android正式运行</x:t>
        </x:is>
      </x:c>
      <x:c r="K179" s="349" t="inlineStr">
        <x:is>
          <x:t xml:space="preserve">已完成</x:t>
        </x:is>
      </x:c>
      <x:c r="L179" s="349" t="inlineStr">
        <x:is>
          <x:t xml:space="preserve">P0</x:t>
        </x:is>
      </x:c>
      <x:c r="M179" s="349" t="inlineStr">
        <x:is>
          <x:t xml:space="preserve">v001</x:t>
        </x:is>
      </x:c>
      <x:c r="N179" s="349" t="inlineStr">
        <x:is>
          <x:t xml:space="preserve">44.1kHz / OGG Vorbis / stereo</x:t>
        </x:is>
      </x:c>
      <x:c r="O179" s="349" t="inlineStr">
        <x:is>
          <x:t xml:space="preserve">src/assets/audio/sfx/crit_hit_v001.ogg</x:t>
        </x:is>
      </x:c>
      <x:c r="P179" s="349" t="inlineStr">
        <x:is>
          <x:t xml:space="preserve">src/assets/audio/sfx/crit_hit.wav; src/音效接入说明.md</x:t>
        </x:is>
      </x:c>
      <x:c r="Q179" s="349" t="inlineStr">
        <x:is>
          <x:t xml:space="preserve">crit_hit; 音效; OGG; Android; 移动端</x:t>
        </x:is>
      </x:c>
      <x:c r="R179" s="349" t="str">
        <x:f>LOWER(TRIM(C179)&amp;"|"&amp;TRIM(D179)&amp;"|"&amp;TRIM(E179)&amp;"|"&amp;TRIM(F179)&amp;"|"&amp;TRIM(H179)&amp;"|"&amp;TRIM(I179))</x:f>
        <x:v>音频|sfx|crit_hit|runtime|全局/非空间|default</x:v>
      </x:c>
      <x:c r="S179" s="349" t="str">
        <x:f>IF(COUNTIF($R$6:$R$423,R179)&gt;1,"重复","唯一")</x:f>
        <x:v>唯一</x:v>
      </x:c>
      <x:c r="T179" s="349" t="inlineStr">
        <x:is>
          <x:t xml:space="preserve">9228e4544dc5472afe0dfaa53df5be2ec8c95bd253ea7ffd9b6136c6dd19069f</x:t>
        </x:is>
      </x:c>
      <x:c r="U179" s="349" t="inlineStr">
        <x:is>
          <x:t xml:space="preserve">Codex</x:t>
        </x:is>
      </x:c>
      <x:c r="V179" s="348" t="n">
        <x:v>46241</x:v>
      </x:c>
      <x:c r="W179" s="349" t="inlineStr">
        <x:is>
          <x:t xml:space="preserve">项目WAV母版转码</x:t>
        </x:is>
      </x:c>
      <x:c r="X179" s="375" t="inlineStr">
        <x:is>
          <x:t xml:space="preserve">—</x:t>
        </x:is>
      </x:c>
      <x:c r="Y179" s="349" t="inlineStr">
        <x:is>
          <x:t xml:space="preserve">正式运行OGG；WAV仅作母版；AudioManager事件=crit_hit；Android/桌面统一版本化路径，禁止旧音效回退。</x:t>
        </x:is>
      </x:c>
    </x:row>
    <x:row r="180" ht="44" customHeight="1">
      <x:c r="A180" s="349" t="inlineStr">
        <x:is>
          <x:t xml:space="preserve">AUD-SFX-DOOR-LOCKED</x:t>
        </x:is>
      </x:c>
      <x:c r="B180" s="349" t="inlineStr">
        <x:is>
          <x:t xml:space="preserve">门锁定音效</x:t>
        </x:is>
      </x:c>
      <x:c r="C180" s="349" t="inlineStr">
        <x:is>
          <x:t xml:space="preserve">音频</x:t>
        </x:is>
      </x:c>
      <x:c r="D180" s="349" t="inlineStr">
        <x:is>
          <x:t xml:space="preserve">sfx</x:t>
        </x:is>
      </x:c>
      <x:c r="E180" s="349" t="inlineStr">
        <x:is>
          <x:t xml:space="preserve">door_locked</x:t>
        </x:is>
      </x:c>
      <x:c r="F180" s="349" t="inlineStr">
        <x:is>
          <x:t xml:space="preserve">runtime</x:t>
        </x:is>
      </x:c>
      <x:c r="G180" s="349" t="n"/>
      <x:c r="H180" s="349" t="inlineStr">
        <x:is>
          <x:t xml:space="preserve">全局/非空间</x:t>
        </x:is>
      </x:c>
      <x:c r="I180" s="349" t="inlineStr">
        <x:is>
          <x:t xml:space="preserve">default</x:t>
        </x:is>
      </x:c>
      <x:c r="J180" s="349" t="inlineStr">
        <x:is>
          <x:t xml:space="preserve">桌面与Android正式运行</x:t>
        </x:is>
      </x:c>
      <x:c r="K180" s="349" t="inlineStr">
        <x:is>
          <x:t xml:space="preserve">已完成</x:t>
        </x:is>
      </x:c>
      <x:c r="L180" s="349" t="inlineStr">
        <x:is>
          <x:t xml:space="preserve">P0</x:t>
        </x:is>
      </x:c>
      <x:c r="M180" s="349" t="inlineStr">
        <x:is>
          <x:t xml:space="preserve">v001</x:t>
        </x:is>
      </x:c>
      <x:c r="N180" s="349" t="inlineStr">
        <x:is>
          <x:t xml:space="preserve">44.1kHz / OGG Vorbis / stereo</x:t>
        </x:is>
      </x:c>
      <x:c r="O180" s="349" t="inlineStr">
        <x:is>
          <x:t xml:space="preserve">src/assets/audio/sfx/door_locked_v001.ogg</x:t>
        </x:is>
      </x:c>
      <x:c r="P180" s="349" t="inlineStr">
        <x:is>
          <x:t xml:space="preserve">src/assets/audio/sfx/door_locked.wav; src/音效接入说明.md</x:t>
        </x:is>
      </x:c>
      <x:c r="Q180" s="349" t="inlineStr">
        <x:is>
          <x:t xml:space="preserve">door_locked; 音效; OGG; Android; 移动端</x:t>
        </x:is>
      </x:c>
      <x:c r="R180" s="349" t="str">
        <x:f>LOWER(TRIM(C180)&amp;"|"&amp;TRIM(D180)&amp;"|"&amp;TRIM(E180)&amp;"|"&amp;TRIM(F180)&amp;"|"&amp;TRIM(H180)&amp;"|"&amp;TRIM(I180))</x:f>
        <x:v>音频|sfx|door_locked|runtime|全局/非空间|default</x:v>
      </x:c>
      <x:c r="S180" s="349" t="str">
        <x:f>IF(COUNTIF($R$6:$R$423,R180)&gt;1,"重复","唯一")</x:f>
        <x:v>唯一</x:v>
      </x:c>
      <x:c r="T180" s="349" t="inlineStr">
        <x:is>
          <x:t xml:space="preserve">db9ece4cf6a904b8c23319b0d3bc83bce2d48ea69d7ebd246dd2bb30f2587e74</x:t>
        </x:is>
      </x:c>
      <x:c r="U180" s="349" t="inlineStr">
        <x:is>
          <x:t xml:space="preserve">Codex</x:t>
        </x:is>
      </x:c>
      <x:c r="V180" s="348" t="n">
        <x:v>46241</x:v>
      </x:c>
      <x:c r="W180" s="349" t="inlineStr">
        <x:is>
          <x:t xml:space="preserve">项目WAV母版转码</x:t>
        </x:is>
      </x:c>
      <x:c r="X180" s="375" t="inlineStr">
        <x:is>
          <x:t xml:space="preserve">—</x:t>
        </x:is>
      </x:c>
      <x:c r="Y180" s="349" t="inlineStr">
        <x:is>
          <x:t xml:space="preserve">正式运行OGG；WAV仅作母版；AudioManager事件=door_locked；Android/桌面统一版本化路径，禁止旧音效回退。</x:t>
        </x:is>
      </x:c>
    </x:row>
    <x:row r="181" ht="44" customHeight="1">
      <x:c r="A181" s="349" t="inlineStr">
        <x:is>
          <x:t xml:space="preserve">AUD-SFX-DOOR-OPEN</x:t>
        </x:is>
      </x:c>
      <x:c r="B181" s="349" t="inlineStr">
        <x:is>
          <x:t xml:space="preserve">门开启音效</x:t>
        </x:is>
      </x:c>
      <x:c r="C181" s="349" t="inlineStr">
        <x:is>
          <x:t xml:space="preserve">音频</x:t>
        </x:is>
      </x:c>
      <x:c r="D181" s="349" t="inlineStr">
        <x:is>
          <x:t xml:space="preserve">sfx</x:t>
        </x:is>
      </x:c>
      <x:c r="E181" s="349" t="inlineStr">
        <x:is>
          <x:t xml:space="preserve">door_open</x:t>
        </x:is>
      </x:c>
      <x:c r="F181" s="349" t="inlineStr">
        <x:is>
          <x:t xml:space="preserve">runtime</x:t>
        </x:is>
      </x:c>
      <x:c r="G181" s="349" t="n"/>
      <x:c r="H181" s="349" t="inlineStr">
        <x:is>
          <x:t xml:space="preserve">全局/非空间</x:t>
        </x:is>
      </x:c>
      <x:c r="I181" s="349" t="inlineStr">
        <x:is>
          <x:t xml:space="preserve">default</x:t>
        </x:is>
      </x:c>
      <x:c r="J181" s="349" t="inlineStr">
        <x:is>
          <x:t xml:space="preserve">桌面与Android正式运行</x:t>
        </x:is>
      </x:c>
      <x:c r="K181" s="349" t="inlineStr">
        <x:is>
          <x:t xml:space="preserve">已完成</x:t>
        </x:is>
      </x:c>
      <x:c r="L181" s="349" t="inlineStr">
        <x:is>
          <x:t xml:space="preserve">P0</x:t>
        </x:is>
      </x:c>
      <x:c r="M181" s="349" t="inlineStr">
        <x:is>
          <x:t xml:space="preserve">v001</x:t>
        </x:is>
      </x:c>
      <x:c r="N181" s="349" t="inlineStr">
        <x:is>
          <x:t xml:space="preserve">44.1kHz / OGG Vorbis / stereo</x:t>
        </x:is>
      </x:c>
      <x:c r="O181" s="349" t="inlineStr">
        <x:is>
          <x:t xml:space="preserve">src/assets/audio/sfx/door_open_v001.ogg</x:t>
        </x:is>
      </x:c>
      <x:c r="P181" s="349" t="inlineStr">
        <x:is>
          <x:t xml:space="preserve">src/assets/audio/sfx/door_open.wav; src/音效接入说明.md</x:t>
        </x:is>
      </x:c>
      <x:c r="Q181" s="349" t="inlineStr">
        <x:is>
          <x:t xml:space="preserve">door_open; 音效; OGG; Android; 移动端</x:t>
        </x:is>
      </x:c>
      <x:c r="R181" s="349" t="str">
        <x:f>LOWER(TRIM(C181)&amp;"|"&amp;TRIM(D181)&amp;"|"&amp;TRIM(E181)&amp;"|"&amp;TRIM(F181)&amp;"|"&amp;TRIM(H181)&amp;"|"&amp;TRIM(I181))</x:f>
        <x:v>音频|sfx|door_open|runtime|全局/非空间|default</x:v>
      </x:c>
      <x:c r="S181" s="349" t="str">
        <x:f>IF(COUNTIF($R$6:$R$423,R181)&gt;1,"重复","唯一")</x:f>
        <x:v>唯一</x:v>
      </x:c>
      <x:c r="T181" s="349" t="inlineStr">
        <x:is>
          <x:t xml:space="preserve">6b3044e0231f425a54103d7a4e44c2a1f21f895310841347ea9ceb76485a5565</x:t>
        </x:is>
      </x:c>
      <x:c r="U181" s="349" t="inlineStr">
        <x:is>
          <x:t xml:space="preserve">Codex</x:t>
        </x:is>
      </x:c>
      <x:c r="V181" s="348" t="n">
        <x:v>46241</x:v>
      </x:c>
      <x:c r="W181" s="349" t="inlineStr">
        <x:is>
          <x:t xml:space="preserve">项目WAV母版转码</x:t>
        </x:is>
      </x:c>
      <x:c r="X181" s="375" t="inlineStr">
        <x:is>
          <x:t xml:space="preserve">—</x:t>
        </x:is>
      </x:c>
      <x:c r="Y181" s="349" t="inlineStr">
        <x:is>
          <x:t xml:space="preserve">正式运行OGG；WAV仅作母版；AudioManager事件=door_open；Android/桌面统一版本化路径，禁止旧音效回退。</x:t>
        </x:is>
      </x:c>
    </x:row>
    <x:row r="182" ht="44" customHeight="1">
      <x:c r="A182" s="349" t="inlineStr">
        <x:is>
          <x:t xml:space="preserve">AUD-SFX-ENEMY-DIE</x:t>
        </x:is>
      </x:c>
      <x:c r="B182" s="349" t="inlineStr">
        <x:is>
          <x:t xml:space="preserve">敌人死亡音效</x:t>
        </x:is>
      </x:c>
      <x:c r="C182" s="349" t="inlineStr">
        <x:is>
          <x:t xml:space="preserve">音频</x:t>
        </x:is>
      </x:c>
      <x:c r="D182" s="349" t="inlineStr">
        <x:is>
          <x:t xml:space="preserve">sfx</x:t>
        </x:is>
      </x:c>
      <x:c r="E182" s="349" t="inlineStr">
        <x:is>
          <x:t xml:space="preserve">enemy_die</x:t>
        </x:is>
      </x:c>
      <x:c r="F182" s="349" t="inlineStr">
        <x:is>
          <x:t xml:space="preserve">runtime</x:t>
        </x:is>
      </x:c>
      <x:c r="G182" s="349" t="n"/>
      <x:c r="H182" s="349" t="inlineStr">
        <x:is>
          <x:t xml:space="preserve">全局/非空间</x:t>
        </x:is>
      </x:c>
      <x:c r="I182" s="349" t="inlineStr">
        <x:is>
          <x:t xml:space="preserve">default</x:t>
        </x:is>
      </x:c>
      <x:c r="J182" s="349" t="inlineStr">
        <x:is>
          <x:t xml:space="preserve">桌面与Android正式运行</x:t>
        </x:is>
      </x:c>
      <x:c r="K182" s="349" t="inlineStr">
        <x:is>
          <x:t xml:space="preserve">已完成</x:t>
        </x:is>
      </x:c>
      <x:c r="L182" s="349" t="inlineStr">
        <x:is>
          <x:t xml:space="preserve">P0</x:t>
        </x:is>
      </x:c>
      <x:c r="M182" s="349" t="inlineStr">
        <x:is>
          <x:t xml:space="preserve">v001</x:t>
        </x:is>
      </x:c>
      <x:c r="N182" s="349" t="inlineStr">
        <x:is>
          <x:t xml:space="preserve">44.1kHz / OGG Vorbis / stereo</x:t>
        </x:is>
      </x:c>
      <x:c r="O182" s="349" t="inlineStr">
        <x:is>
          <x:t xml:space="preserve">src/assets/audio/sfx/enemy_die_v001.ogg</x:t>
        </x:is>
      </x:c>
      <x:c r="P182" s="349" t="inlineStr">
        <x:is>
          <x:t xml:space="preserve">src/assets/audio/sfx/enemy_die.wav; src/音效接入说明.md</x:t>
        </x:is>
      </x:c>
      <x:c r="Q182" s="349" t="inlineStr">
        <x:is>
          <x:t xml:space="preserve">enemy_die; 音效; OGG; Android; 移动端</x:t>
        </x:is>
      </x:c>
      <x:c r="R182" s="349" t="str">
        <x:f>LOWER(TRIM(C182)&amp;"|"&amp;TRIM(D182)&amp;"|"&amp;TRIM(E182)&amp;"|"&amp;TRIM(F182)&amp;"|"&amp;TRIM(H182)&amp;"|"&amp;TRIM(I182))</x:f>
        <x:v>音频|sfx|enemy_die|runtime|全局/非空间|default</x:v>
      </x:c>
      <x:c r="S182" s="349" t="str">
        <x:f>IF(COUNTIF($R$6:$R$423,R182)&gt;1,"重复","唯一")</x:f>
        <x:v>唯一</x:v>
      </x:c>
      <x:c r="T182" s="349" t="inlineStr">
        <x:is>
          <x:t xml:space="preserve">eba3495cc7bf7a301a526a8131c3ee989fd8bfa162e9fafca2c5f923936e4c36</x:t>
        </x:is>
      </x:c>
      <x:c r="U182" s="349" t="inlineStr">
        <x:is>
          <x:t xml:space="preserve">Codex</x:t>
        </x:is>
      </x:c>
      <x:c r="V182" s="348" t="n">
        <x:v>46241</x:v>
      </x:c>
      <x:c r="W182" s="349" t="inlineStr">
        <x:is>
          <x:t xml:space="preserve">项目WAV母版转码</x:t>
        </x:is>
      </x:c>
      <x:c r="X182" s="375" t="inlineStr">
        <x:is>
          <x:t xml:space="preserve">—</x:t>
        </x:is>
      </x:c>
      <x:c r="Y182" s="349" t="inlineStr">
        <x:is>
          <x:t xml:space="preserve">正式运行OGG；WAV仅作母版；AudioManager事件=enemy_die；Android/桌面统一版本化路径，禁止旧音效回退。</x:t>
        </x:is>
      </x:c>
    </x:row>
    <x:row r="183" ht="44" customHeight="1">
      <x:c r="A183" s="349" t="inlineStr">
        <x:is>
          <x:t xml:space="preserve">AUD-SFX-ENEMY-HIT</x:t>
        </x:is>
      </x:c>
      <x:c r="B183" s="349" t="inlineStr">
        <x:is>
          <x:t xml:space="preserve">敌人受击音效</x:t>
        </x:is>
      </x:c>
      <x:c r="C183" s="349" t="inlineStr">
        <x:is>
          <x:t xml:space="preserve">音频</x:t>
        </x:is>
      </x:c>
      <x:c r="D183" s="349" t="inlineStr">
        <x:is>
          <x:t xml:space="preserve">sfx</x:t>
        </x:is>
      </x:c>
      <x:c r="E183" s="349" t="inlineStr">
        <x:is>
          <x:t xml:space="preserve">enemy_hit</x:t>
        </x:is>
      </x:c>
      <x:c r="F183" s="349" t="inlineStr">
        <x:is>
          <x:t xml:space="preserve">runtime</x:t>
        </x:is>
      </x:c>
      <x:c r="G183" s="349" t="n"/>
      <x:c r="H183" s="349" t="inlineStr">
        <x:is>
          <x:t xml:space="preserve">全局/非空间</x:t>
        </x:is>
      </x:c>
      <x:c r="I183" s="349" t="inlineStr">
        <x:is>
          <x:t xml:space="preserve">default</x:t>
        </x:is>
      </x:c>
      <x:c r="J183" s="349" t="inlineStr">
        <x:is>
          <x:t xml:space="preserve">桌面与Android正式运行</x:t>
        </x:is>
      </x:c>
      <x:c r="K183" s="349" t="inlineStr">
        <x:is>
          <x:t xml:space="preserve">已完成</x:t>
        </x:is>
      </x:c>
      <x:c r="L183" s="349" t="inlineStr">
        <x:is>
          <x:t xml:space="preserve">P0</x:t>
        </x:is>
      </x:c>
      <x:c r="M183" s="349" t="inlineStr">
        <x:is>
          <x:t xml:space="preserve">v001</x:t>
        </x:is>
      </x:c>
      <x:c r="N183" s="349" t="inlineStr">
        <x:is>
          <x:t xml:space="preserve">44.1kHz / OGG Vorbis / stereo</x:t>
        </x:is>
      </x:c>
      <x:c r="O183" s="349" t="inlineStr">
        <x:is>
          <x:t xml:space="preserve">src/assets/audio/sfx/enemy_hit_v001.ogg</x:t>
        </x:is>
      </x:c>
      <x:c r="P183" s="349" t="inlineStr">
        <x:is>
          <x:t xml:space="preserve">src/assets/audio/sfx/enemy_hit.wav; src/音效接入说明.md</x:t>
        </x:is>
      </x:c>
      <x:c r="Q183" s="349" t="inlineStr">
        <x:is>
          <x:t xml:space="preserve">enemy_hit; 音效; OGG; Android; 移动端</x:t>
        </x:is>
      </x:c>
      <x:c r="R183" s="349" t="str">
        <x:f>LOWER(TRIM(C183)&amp;"|"&amp;TRIM(D183)&amp;"|"&amp;TRIM(E183)&amp;"|"&amp;TRIM(F183)&amp;"|"&amp;TRIM(H183)&amp;"|"&amp;TRIM(I183))</x:f>
        <x:v>音频|sfx|enemy_hit|runtime|全局/非空间|default</x:v>
      </x:c>
      <x:c r="S183" s="349" t="str">
        <x:f>IF(COUNTIF($R$6:$R$423,R183)&gt;1,"重复","唯一")</x:f>
        <x:v>唯一</x:v>
      </x:c>
      <x:c r="T183" s="349" t="inlineStr">
        <x:is>
          <x:t xml:space="preserve">167495a122c9f30351c44c8d4ad7a46d6324703dddf91305adf550037f429ba4</x:t>
        </x:is>
      </x:c>
      <x:c r="U183" s="349" t="inlineStr">
        <x:is>
          <x:t xml:space="preserve">Codex</x:t>
        </x:is>
      </x:c>
      <x:c r="V183" s="348" t="n">
        <x:v>46241</x:v>
      </x:c>
      <x:c r="W183" s="349" t="inlineStr">
        <x:is>
          <x:t xml:space="preserve">项目WAV母版转码</x:t>
        </x:is>
      </x:c>
      <x:c r="X183" s="375" t="inlineStr">
        <x:is>
          <x:t xml:space="preserve">—</x:t>
        </x:is>
      </x:c>
      <x:c r="Y183" s="349" t="inlineStr">
        <x:is>
          <x:t xml:space="preserve">正式运行OGG；WAV仅作母版；AudioManager事件=enemy_hit；Android/桌面统一版本化路径，禁止旧音效回退。</x:t>
        </x:is>
      </x:c>
    </x:row>
    <x:row r="184" ht="44" customHeight="1">
      <x:c r="A184" s="349" t="inlineStr">
        <x:is>
          <x:t xml:space="preserve">AUD-SFX-EXTRACTION-ABORT</x:t>
        </x:is>
      </x:c>
      <x:c r="B184" s="349" t="inlineStr">
        <x:is>
          <x:t xml:space="preserve">撤离中断音效</x:t>
        </x:is>
      </x:c>
      <x:c r="C184" s="349" t="inlineStr">
        <x:is>
          <x:t xml:space="preserve">音频</x:t>
        </x:is>
      </x:c>
      <x:c r="D184" s="349" t="inlineStr">
        <x:is>
          <x:t xml:space="preserve">sfx</x:t>
        </x:is>
      </x:c>
      <x:c r="E184" s="349" t="inlineStr">
        <x:is>
          <x:t xml:space="preserve">extraction_abort</x:t>
        </x:is>
      </x:c>
      <x:c r="F184" s="349" t="inlineStr">
        <x:is>
          <x:t xml:space="preserve">runtime</x:t>
        </x:is>
      </x:c>
      <x:c r="G184" s="349" t="n"/>
      <x:c r="H184" s="349" t="inlineStr">
        <x:is>
          <x:t xml:space="preserve">全局/非空间</x:t>
        </x:is>
      </x:c>
      <x:c r="I184" s="349" t="inlineStr">
        <x:is>
          <x:t xml:space="preserve">default</x:t>
        </x:is>
      </x:c>
      <x:c r="J184" s="349" t="inlineStr">
        <x:is>
          <x:t xml:space="preserve">桌面与Android正式运行</x:t>
        </x:is>
      </x:c>
      <x:c r="K184" s="349" t="inlineStr">
        <x:is>
          <x:t xml:space="preserve">已完成</x:t>
        </x:is>
      </x:c>
      <x:c r="L184" s="349" t="inlineStr">
        <x:is>
          <x:t xml:space="preserve">P0</x:t>
        </x:is>
      </x:c>
      <x:c r="M184" s="349" t="inlineStr">
        <x:is>
          <x:t xml:space="preserve">v001</x:t>
        </x:is>
      </x:c>
      <x:c r="N184" s="349" t="inlineStr">
        <x:is>
          <x:t xml:space="preserve">44.1kHz / OGG Vorbis / stereo</x:t>
        </x:is>
      </x:c>
      <x:c r="O184" s="349" t="inlineStr">
        <x:is>
          <x:t xml:space="preserve">src/assets/audio/sfx/extraction_abort_v001.ogg</x:t>
        </x:is>
      </x:c>
      <x:c r="P184" s="349" t="inlineStr">
        <x:is>
          <x:t xml:space="preserve">src/assets/audio/sfx/extraction_abort.wav; src/音效接入说明.md</x:t>
        </x:is>
      </x:c>
      <x:c r="Q184" s="349" t="inlineStr">
        <x:is>
          <x:t xml:space="preserve">extraction_abort; 音效; OGG; Android; 移动端</x:t>
        </x:is>
      </x:c>
      <x:c r="R184" s="349" t="str">
        <x:f>LOWER(TRIM(C184)&amp;"|"&amp;TRIM(D184)&amp;"|"&amp;TRIM(E184)&amp;"|"&amp;TRIM(F184)&amp;"|"&amp;TRIM(H184)&amp;"|"&amp;TRIM(I184))</x:f>
        <x:v>音频|sfx|extraction_abort|runtime|全局/非空间|default</x:v>
      </x:c>
      <x:c r="S184" s="349" t="str">
        <x:f>IF(COUNTIF($R$6:$R$423,R184)&gt;1,"重复","唯一")</x:f>
        <x:v>唯一</x:v>
      </x:c>
      <x:c r="T184" s="349" t="inlineStr">
        <x:is>
          <x:t xml:space="preserve">2b29c153f38d8115cdfae413ad3c4054923c65060341d26b2509e617d7c11de0</x:t>
        </x:is>
      </x:c>
      <x:c r="U184" s="349" t="inlineStr">
        <x:is>
          <x:t xml:space="preserve">Codex</x:t>
        </x:is>
      </x:c>
      <x:c r="V184" s="348" t="n">
        <x:v>46241</x:v>
      </x:c>
      <x:c r="W184" s="349" t="inlineStr">
        <x:is>
          <x:t xml:space="preserve">项目WAV母版转码</x:t>
        </x:is>
      </x:c>
      <x:c r="X184" s="375" t="inlineStr">
        <x:is>
          <x:t xml:space="preserve">—</x:t>
        </x:is>
      </x:c>
      <x:c r="Y184" s="349" t="inlineStr">
        <x:is>
          <x:t xml:space="preserve">正式运行OGG；WAV仅作母版；AudioManager事件=extraction_abort；Android/桌面统一版本化路径，禁止旧音效回退。</x:t>
        </x:is>
      </x:c>
    </x:row>
    <x:row r="185" ht="44" customHeight="1">
      <x:c r="A185" s="349" t="inlineStr">
        <x:is>
          <x:t xml:space="preserve">AUD-SFX-EXTRACTION-DONE</x:t>
        </x:is>
      </x:c>
      <x:c r="B185" s="349" t="inlineStr">
        <x:is>
          <x:t xml:space="preserve">撤离成功音效</x:t>
        </x:is>
      </x:c>
      <x:c r="C185" s="349" t="inlineStr">
        <x:is>
          <x:t xml:space="preserve">音频</x:t>
        </x:is>
      </x:c>
      <x:c r="D185" s="349" t="inlineStr">
        <x:is>
          <x:t xml:space="preserve">sfx</x:t>
        </x:is>
      </x:c>
      <x:c r="E185" s="349" t="inlineStr">
        <x:is>
          <x:t xml:space="preserve">extraction_done</x:t>
        </x:is>
      </x:c>
      <x:c r="F185" s="349" t="inlineStr">
        <x:is>
          <x:t xml:space="preserve">runtime</x:t>
        </x:is>
      </x:c>
      <x:c r="G185" s="349" t="n"/>
      <x:c r="H185" s="349" t="inlineStr">
        <x:is>
          <x:t xml:space="preserve">全局/非空间</x:t>
        </x:is>
      </x:c>
      <x:c r="I185" s="349" t="inlineStr">
        <x:is>
          <x:t xml:space="preserve">default</x:t>
        </x:is>
      </x:c>
      <x:c r="J185" s="349" t="inlineStr">
        <x:is>
          <x:t xml:space="preserve">桌面与Android正式运行</x:t>
        </x:is>
      </x:c>
      <x:c r="K185" s="349" t="inlineStr">
        <x:is>
          <x:t xml:space="preserve">已完成</x:t>
        </x:is>
      </x:c>
      <x:c r="L185" s="349" t="inlineStr">
        <x:is>
          <x:t xml:space="preserve">P0</x:t>
        </x:is>
      </x:c>
      <x:c r="M185" s="349" t="inlineStr">
        <x:is>
          <x:t xml:space="preserve">v001</x:t>
        </x:is>
      </x:c>
      <x:c r="N185" s="349" t="inlineStr">
        <x:is>
          <x:t xml:space="preserve">44.1kHz / OGG Vorbis / stereo</x:t>
        </x:is>
      </x:c>
      <x:c r="O185" s="349" t="inlineStr">
        <x:is>
          <x:t xml:space="preserve">src/assets/audio/sfx/extraction_done_v001.ogg</x:t>
        </x:is>
      </x:c>
      <x:c r="P185" s="349" t="inlineStr">
        <x:is>
          <x:t xml:space="preserve">src/assets/audio/sfx/extraction_done.wav; src/音效接入说明.md</x:t>
        </x:is>
      </x:c>
      <x:c r="Q185" s="349" t="inlineStr">
        <x:is>
          <x:t xml:space="preserve">extraction_done; 音效; OGG; Android; 移动端</x:t>
        </x:is>
      </x:c>
      <x:c r="R185" s="349" t="str">
        <x:f>LOWER(TRIM(C185)&amp;"|"&amp;TRIM(D185)&amp;"|"&amp;TRIM(E185)&amp;"|"&amp;TRIM(F185)&amp;"|"&amp;TRIM(H185)&amp;"|"&amp;TRIM(I185))</x:f>
        <x:v>音频|sfx|extraction_done|runtime|全局/非空间|default</x:v>
      </x:c>
      <x:c r="S185" s="349" t="str">
        <x:f>IF(COUNTIF($R$6:$R$423,R185)&gt;1,"重复","唯一")</x:f>
        <x:v>唯一</x:v>
      </x:c>
      <x:c r="T185" s="349" t="inlineStr">
        <x:is>
          <x:t xml:space="preserve">c6eef279ec7a88822b2554799f0a49e4549576ee4c682ef5a3440ea53279df70</x:t>
        </x:is>
      </x:c>
      <x:c r="U185" s="349" t="inlineStr">
        <x:is>
          <x:t xml:space="preserve">Codex</x:t>
        </x:is>
      </x:c>
      <x:c r="V185" s="348" t="n">
        <x:v>46241</x:v>
      </x:c>
      <x:c r="W185" s="349" t="inlineStr">
        <x:is>
          <x:t xml:space="preserve">项目WAV母版转码</x:t>
        </x:is>
      </x:c>
      <x:c r="X185" s="375" t="inlineStr">
        <x:is>
          <x:t xml:space="preserve">—</x:t>
        </x:is>
      </x:c>
      <x:c r="Y185" s="349" t="inlineStr">
        <x:is>
          <x:t xml:space="preserve">正式运行OGG；WAV仅作母版；AudioManager事件=extraction_done；Android/桌面统一版本化路径，禁止旧音效回退。</x:t>
        </x:is>
      </x:c>
    </x:row>
    <x:row r="186" ht="44" customHeight="1">
      <x:c r="A186" s="349" t="inlineStr">
        <x:is>
          <x:t xml:space="preserve">AUD-SFX-EXTRACTION-START</x:t>
        </x:is>
      </x:c>
      <x:c r="B186" s="349" t="inlineStr">
        <x:is>
          <x:t xml:space="preserve">撤离开始音效</x:t>
        </x:is>
      </x:c>
      <x:c r="C186" s="349" t="inlineStr">
        <x:is>
          <x:t xml:space="preserve">音频</x:t>
        </x:is>
      </x:c>
      <x:c r="D186" s="349" t="inlineStr">
        <x:is>
          <x:t xml:space="preserve">sfx</x:t>
        </x:is>
      </x:c>
      <x:c r="E186" s="349" t="inlineStr">
        <x:is>
          <x:t xml:space="preserve">extraction_start</x:t>
        </x:is>
      </x:c>
      <x:c r="F186" s="349" t="inlineStr">
        <x:is>
          <x:t xml:space="preserve">runtime</x:t>
        </x:is>
      </x:c>
      <x:c r="G186" s="349" t="n"/>
      <x:c r="H186" s="349" t="inlineStr">
        <x:is>
          <x:t xml:space="preserve">全局/非空间</x:t>
        </x:is>
      </x:c>
      <x:c r="I186" s="349" t="inlineStr">
        <x:is>
          <x:t xml:space="preserve">default</x:t>
        </x:is>
      </x:c>
      <x:c r="J186" s="349" t="inlineStr">
        <x:is>
          <x:t xml:space="preserve">桌面与Android正式运行</x:t>
        </x:is>
      </x:c>
      <x:c r="K186" s="349" t="inlineStr">
        <x:is>
          <x:t xml:space="preserve">已完成</x:t>
        </x:is>
      </x:c>
      <x:c r="L186" s="349" t="inlineStr">
        <x:is>
          <x:t xml:space="preserve">P0</x:t>
        </x:is>
      </x:c>
      <x:c r="M186" s="349" t="inlineStr">
        <x:is>
          <x:t xml:space="preserve">v001</x:t>
        </x:is>
      </x:c>
      <x:c r="N186" s="349" t="inlineStr">
        <x:is>
          <x:t xml:space="preserve">44.1kHz / OGG Vorbis / stereo</x:t>
        </x:is>
      </x:c>
      <x:c r="O186" s="349" t="inlineStr">
        <x:is>
          <x:t xml:space="preserve">src/assets/audio/sfx/extraction_start_v001.ogg</x:t>
        </x:is>
      </x:c>
      <x:c r="P186" s="349" t="inlineStr">
        <x:is>
          <x:t xml:space="preserve">src/assets/audio/sfx/extraction_start.wav; src/音效接入说明.md</x:t>
        </x:is>
      </x:c>
      <x:c r="Q186" s="349" t="inlineStr">
        <x:is>
          <x:t xml:space="preserve">extraction_start; 音效; OGG; Android; 移动端</x:t>
        </x:is>
      </x:c>
      <x:c r="R186" s="349" t="str">
        <x:f>LOWER(TRIM(C186)&amp;"|"&amp;TRIM(D186)&amp;"|"&amp;TRIM(E186)&amp;"|"&amp;TRIM(F186)&amp;"|"&amp;TRIM(H186)&amp;"|"&amp;TRIM(I186))</x:f>
        <x:v>音频|sfx|extraction_start|runtime|全局/非空间|default</x:v>
      </x:c>
      <x:c r="S186" s="349" t="str">
        <x:f>IF(COUNTIF($R$6:$R$423,R186)&gt;1,"重复","唯一")</x:f>
        <x:v>唯一</x:v>
      </x:c>
      <x:c r="T186" s="349" t="inlineStr">
        <x:is>
          <x:t xml:space="preserve">e44385e009738b96dac7aa7106bd489ccf55fe700332359407e0663f826c7daa</x:t>
        </x:is>
      </x:c>
      <x:c r="U186" s="349" t="inlineStr">
        <x:is>
          <x:t xml:space="preserve">Codex</x:t>
        </x:is>
      </x:c>
      <x:c r="V186" s="348" t="n">
        <x:v>46241</x:v>
      </x:c>
      <x:c r="W186" s="349" t="inlineStr">
        <x:is>
          <x:t xml:space="preserve">项目WAV母版转码</x:t>
        </x:is>
      </x:c>
      <x:c r="X186" s="375" t="inlineStr">
        <x:is>
          <x:t xml:space="preserve">—</x:t>
        </x:is>
      </x:c>
      <x:c r="Y186" s="349" t="inlineStr">
        <x:is>
          <x:t xml:space="preserve">正式运行OGG；WAV仅作母版；AudioManager事件=extraction_start；Android/桌面统一版本化路径，禁止旧音效回退。</x:t>
        </x:is>
      </x:c>
    </x:row>
    <x:row r="187" ht="44" customHeight="1">
      <x:c r="A187" s="349" t="inlineStr">
        <x:is>
          <x:t xml:space="preserve">AUD-SFX-FATE-CARD</x:t>
        </x:is>
      </x:c>
      <x:c r="B187" s="349" t="inlineStr">
        <x:is>
          <x:t xml:space="preserve">命运卡生效音效</x:t>
        </x:is>
      </x:c>
      <x:c r="C187" s="349" t="inlineStr">
        <x:is>
          <x:t xml:space="preserve">音频</x:t>
        </x:is>
      </x:c>
      <x:c r="D187" s="349" t="inlineStr">
        <x:is>
          <x:t xml:space="preserve">sfx</x:t>
        </x:is>
      </x:c>
      <x:c r="E187" s="349" t="inlineStr">
        <x:is>
          <x:t xml:space="preserve">fate_card</x:t>
        </x:is>
      </x:c>
      <x:c r="F187" s="349" t="inlineStr">
        <x:is>
          <x:t xml:space="preserve">runtime</x:t>
        </x:is>
      </x:c>
      <x:c r="G187" s="349" t="n"/>
      <x:c r="H187" s="349" t="inlineStr">
        <x:is>
          <x:t xml:space="preserve">全局/非空间</x:t>
        </x:is>
      </x:c>
      <x:c r="I187" s="349" t="inlineStr">
        <x:is>
          <x:t xml:space="preserve">default</x:t>
        </x:is>
      </x:c>
      <x:c r="J187" s="349" t="inlineStr">
        <x:is>
          <x:t xml:space="preserve">桌面与Android正式运行</x:t>
        </x:is>
      </x:c>
      <x:c r="K187" s="349" t="inlineStr">
        <x:is>
          <x:t xml:space="preserve">已完成</x:t>
        </x:is>
      </x:c>
      <x:c r="L187" s="349" t="inlineStr">
        <x:is>
          <x:t xml:space="preserve">P0</x:t>
        </x:is>
      </x:c>
      <x:c r="M187" s="349" t="inlineStr">
        <x:is>
          <x:t xml:space="preserve">v001</x:t>
        </x:is>
      </x:c>
      <x:c r="N187" s="349" t="inlineStr">
        <x:is>
          <x:t xml:space="preserve">44.1kHz / OGG Vorbis / stereo</x:t>
        </x:is>
      </x:c>
      <x:c r="O187" s="349" t="inlineStr">
        <x:is>
          <x:t xml:space="preserve">src/assets/audio/sfx/fate_card_v001.ogg</x:t>
        </x:is>
      </x:c>
      <x:c r="P187" s="349" t="inlineStr">
        <x:is>
          <x:t xml:space="preserve">src/assets/audio/sfx/fate_card.wav; src/音效接入说明.md</x:t>
        </x:is>
      </x:c>
      <x:c r="Q187" s="349" t="inlineStr">
        <x:is>
          <x:t xml:space="preserve">fate_card; 音效; OGG; Android; 移动端</x:t>
        </x:is>
      </x:c>
      <x:c r="R187" s="349" t="str">
        <x:f>LOWER(TRIM(C187)&amp;"|"&amp;TRIM(D187)&amp;"|"&amp;TRIM(E187)&amp;"|"&amp;TRIM(F187)&amp;"|"&amp;TRIM(H187)&amp;"|"&amp;TRIM(I187))</x:f>
        <x:v>音频|sfx|fate_card|runtime|全局/非空间|default</x:v>
      </x:c>
      <x:c r="S187" s="349" t="str">
        <x:f>IF(COUNTIF($R$6:$R$423,R187)&gt;1,"重复","唯一")</x:f>
        <x:v>唯一</x:v>
      </x:c>
      <x:c r="T187" s="349" t="inlineStr">
        <x:is>
          <x:t xml:space="preserve">7cdce8d37b6308c0df873f4f20e80d319e546cb24ab5d860ea0cef5bd4ae3488</x:t>
        </x:is>
      </x:c>
      <x:c r="U187" s="349" t="inlineStr">
        <x:is>
          <x:t xml:space="preserve">Codex</x:t>
        </x:is>
      </x:c>
      <x:c r="V187" s="348" t="n">
        <x:v>46241</x:v>
      </x:c>
      <x:c r="W187" s="349" t="inlineStr">
        <x:is>
          <x:t xml:space="preserve">项目WAV母版转码</x:t>
        </x:is>
      </x:c>
      <x:c r="X187" s="375" t="inlineStr">
        <x:is>
          <x:t xml:space="preserve">—</x:t>
        </x:is>
      </x:c>
      <x:c r="Y187" s="349" t="inlineStr">
        <x:is>
          <x:t xml:space="preserve">正式运行OGG；WAV仅作母版；AudioManager事件=fate_card；Android/桌面统一版本化路径，禁止旧音效回退。</x:t>
        </x:is>
      </x:c>
    </x:row>
    <x:row r="188" ht="44" customHeight="1">
      <x:c r="A188" s="349" t="inlineStr">
        <x:is>
          <x:t xml:space="preserve">AUD-SFX-ITEM-PICKUP</x:t>
        </x:is>
      </x:c>
      <x:c r="B188" s="349" t="inlineStr">
        <x:is>
          <x:t xml:space="preserve">物品拾取音效</x:t>
        </x:is>
      </x:c>
      <x:c r="C188" s="349" t="inlineStr">
        <x:is>
          <x:t xml:space="preserve">音频</x:t>
        </x:is>
      </x:c>
      <x:c r="D188" s="349" t="inlineStr">
        <x:is>
          <x:t xml:space="preserve">sfx</x:t>
        </x:is>
      </x:c>
      <x:c r="E188" s="349" t="inlineStr">
        <x:is>
          <x:t xml:space="preserve">item_pickup</x:t>
        </x:is>
      </x:c>
      <x:c r="F188" s="349" t="inlineStr">
        <x:is>
          <x:t xml:space="preserve">runtime</x:t>
        </x:is>
      </x:c>
      <x:c r="G188" s="349" t="n"/>
      <x:c r="H188" s="349" t="inlineStr">
        <x:is>
          <x:t xml:space="preserve">全局/非空间</x:t>
        </x:is>
      </x:c>
      <x:c r="I188" s="349" t="inlineStr">
        <x:is>
          <x:t xml:space="preserve">default</x:t>
        </x:is>
      </x:c>
      <x:c r="J188" s="349" t="inlineStr">
        <x:is>
          <x:t xml:space="preserve">桌面与Android正式运行</x:t>
        </x:is>
      </x:c>
      <x:c r="K188" s="349" t="inlineStr">
        <x:is>
          <x:t xml:space="preserve">已完成</x:t>
        </x:is>
      </x:c>
      <x:c r="L188" s="349" t="inlineStr">
        <x:is>
          <x:t xml:space="preserve">P0</x:t>
        </x:is>
      </x:c>
      <x:c r="M188" s="349" t="inlineStr">
        <x:is>
          <x:t xml:space="preserve">v001</x:t>
        </x:is>
      </x:c>
      <x:c r="N188" s="349" t="inlineStr">
        <x:is>
          <x:t xml:space="preserve">44.1kHz / OGG Vorbis / stereo</x:t>
        </x:is>
      </x:c>
      <x:c r="O188" s="349" t="inlineStr">
        <x:is>
          <x:t xml:space="preserve">src/assets/audio/sfx/item_pickup_v001.ogg</x:t>
        </x:is>
      </x:c>
      <x:c r="P188" s="349" t="inlineStr">
        <x:is>
          <x:t xml:space="preserve">src/assets/audio/sfx/item_pickup.wav; src/音效接入说明.md</x:t>
        </x:is>
      </x:c>
      <x:c r="Q188" s="349" t="inlineStr">
        <x:is>
          <x:t xml:space="preserve">item_pickup; 音效; OGG; Android; 移动端</x:t>
        </x:is>
      </x:c>
      <x:c r="R188" s="349" t="str">
        <x:f>LOWER(TRIM(C188)&amp;"|"&amp;TRIM(D188)&amp;"|"&amp;TRIM(E188)&amp;"|"&amp;TRIM(F188)&amp;"|"&amp;TRIM(H188)&amp;"|"&amp;TRIM(I188))</x:f>
        <x:v>音频|sfx|item_pickup|runtime|全局/非空间|default</x:v>
      </x:c>
      <x:c r="S188" s="349" t="str">
        <x:f>IF(COUNTIF($R$6:$R$423,R188)&gt;1,"重复","唯一")</x:f>
        <x:v>唯一</x:v>
      </x:c>
      <x:c r="T188" s="349" t="inlineStr">
        <x:is>
          <x:t xml:space="preserve">7114f2ac9b0dc6ee500f5176b315b5f8a84f9ec7e3c5168dc342febdb747c290</x:t>
        </x:is>
      </x:c>
      <x:c r="U188" s="349" t="inlineStr">
        <x:is>
          <x:t xml:space="preserve">Codex</x:t>
        </x:is>
      </x:c>
      <x:c r="V188" s="348" t="n">
        <x:v>46241</x:v>
      </x:c>
      <x:c r="W188" s="349" t="inlineStr">
        <x:is>
          <x:t xml:space="preserve">项目WAV母版转码</x:t>
        </x:is>
      </x:c>
      <x:c r="X188" s="375" t="inlineStr">
        <x:is>
          <x:t xml:space="preserve">—</x:t>
        </x:is>
      </x:c>
      <x:c r="Y188" s="349" t="inlineStr">
        <x:is>
          <x:t xml:space="preserve">正式运行OGG；WAV仅作母版；AudioManager事件=item_pickup；Android/桌面统一版本化路径，禁止旧音效回退。</x:t>
        </x:is>
      </x:c>
    </x:row>
    <x:row r="189" ht="44" customHeight="1">
      <x:c r="A189" s="349" t="inlineStr">
        <x:is>
          <x:t xml:space="preserve">AUD-SFX-LASER-FIRE</x:t>
        </x:is>
      </x:c>
      <x:c r="B189" s="349" t="inlineStr">
        <x:is>
          <x:t xml:space="preserve">能量武器射击音效</x:t>
        </x:is>
      </x:c>
      <x:c r="C189" s="349" t="inlineStr">
        <x:is>
          <x:t xml:space="preserve">音频</x:t>
        </x:is>
      </x:c>
      <x:c r="D189" s="349" t="inlineStr">
        <x:is>
          <x:t xml:space="preserve">sfx</x:t>
        </x:is>
      </x:c>
      <x:c r="E189" s="349" t="inlineStr">
        <x:is>
          <x:t xml:space="preserve">laser_fire</x:t>
        </x:is>
      </x:c>
      <x:c r="F189" s="349" t="inlineStr">
        <x:is>
          <x:t xml:space="preserve">runtime</x:t>
        </x:is>
      </x:c>
      <x:c r="G189" s="349" t="n"/>
      <x:c r="H189" s="349" t="inlineStr">
        <x:is>
          <x:t xml:space="preserve">全局/非空间</x:t>
        </x:is>
      </x:c>
      <x:c r="I189" s="349" t="inlineStr">
        <x:is>
          <x:t xml:space="preserve">default</x:t>
        </x:is>
      </x:c>
      <x:c r="J189" s="349" t="inlineStr">
        <x:is>
          <x:t xml:space="preserve">桌面与Android正式运行</x:t>
        </x:is>
      </x:c>
      <x:c r="K189" s="349" t="inlineStr">
        <x:is>
          <x:t xml:space="preserve">已完成</x:t>
        </x:is>
      </x:c>
      <x:c r="L189" s="349" t="inlineStr">
        <x:is>
          <x:t xml:space="preserve">P0</x:t>
        </x:is>
      </x:c>
      <x:c r="M189" s="349" t="inlineStr">
        <x:is>
          <x:t xml:space="preserve">v001</x:t>
        </x:is>
      </x:c>
      <x:c r="N189" s="349" t="inlineStr">
        <x:is>
          <x:t xml:space="preserve">44.1kHz / OGG Vorbis / stereo</x:t>
        </x:is>
      </x:c>
      <x:c r="O189" s="349" t="inlineStr">
        <x:is>
          <x:t xml:space="preserve">src/assets/audio/sfx/laser_fire_v001.ogg</x:t>
        </x:is>
      </x:c>
      <x:c r="P189" s="349" t="inlineStr">
        <x:is>
          <x:t xml:space="preserve">src/assets/audio/sfx/laser_fire.wav; src/音效接入说明.md</x:t>
        </x:is>
      </x:c>
      <x:c r="Q189" s="349" t="inlineStr">
        <x:is>
          <x:t xml:space="preserve">laser_fire; 音效; OGG; Android; 移动端</x:t>
        </x:is>
      </x:c>
      <x:c r="R189" s="349" t="str">
        <x:f>LOWER(TRIM(C189)&amp;"|"&amp;TRIM(D189)&amp;"|"&amp;TRIM(E189)&amp;"|"&amp;TRIM(F189)&amp;"|"&amp;TRIM(H189)&amp;"|"&amp;TRIM(I189))</x:f>
        <x:v>音频|sfx|laser_fire|runtime|全局/非空间|default</x:v>
      </x:c>
      <x:c r="S189" s="349" t="str">
        <x:f>IF(COUNTIF($R$6:$R$423,R189)&gt;1,"重复","唯一")</x:f>
        <x:v>唯一</x:v>
      </x:c>
      <x:c r="T189" s="349" t="inlineStr">
        <x:is>
          <x:t xml:space="preserve">b9fa5b0e0835a0e18b5a0bb29bff7fcc94944020f3eb9a8424343786ab845191</x:t>
        </x:is>
      </x:c>
      <x:c r="U189" s="349" t="inlineStr">
        <x:is>
          <x:t xml:space="preserve">Codex</x:t>
        </x:is>
      </x:c>
      <x:c r="V189" s="348" t="n">
        <x:v>46241</x:v>
      </x:c>
      <x:c r="W189" s="349" t="inlineStr">
        <x:is>
          <x:t xml:space="preserve">项目WAV母版转码</x:t>
        </x:is>
      </x:c>
      <x:c r="X189" s="375" t="inlineStr">
        <x:is>
          <x:t xml:space="preserve">—</x:t>
        </x:is>
      </x:c>
      <x:c r="Y189" s="349" t="inlineStr">
        <x:is>
          <x:t xml:space="preserve">正式运行OGG；WAV仅作母版；AudioManager事件=laser_fire；Android/桌面统一版本化路径，禁止旧音效回退。</x:t>
        </x:is>
      </x:c>
    </x:row>
    <x:row r="190" ht="44" customHeight="1">
      <x:c r="A190" s="349" t="inlineStr">
        <x:is>
          <x:t xml:space="preserve">AUD-SFX-MERCHANT-PURCHASE</x:t>
        </x:is>
      </x:c>
      <x:c r="B190" s="349" t="inlineStr">
        <x:is>
          <x:t xml:space="preserve">交易成功音效</x:t>
        </x:is>
      </x:c>
      <x:c r="C190" s="349" t="inlineStr">
        <x:is>
          <x:t xml:space="preserve">音频</x:t>
        </x:is>
      </x:c>
      <x:c r="D190" s="349" t="inlineStr">
        <x:is>
          <x:t xml:space="preserve">sfx</x:t>
        </x:is>
      </x:c>
      <x:c r="E190" s="349" t="inlineStr">
        <x:is>
          <x:t xml:space="preserve">merchant_purchase</x:t>
        </x:is>
      </x:c>
      <x:c r="F190" s="349" t="inlineStr">
        <x:is>
          <x:t xml:space="preserve">runtime</x:t>
        </x:is>
      </x:c>
      <x:c r="G190" s="349" t="n"/>
      <x:c r="H190" s="349" t="inlineStr">
        <x:is>
          <x:t xml:space="preserve">全局/非空间</x:t>
        </x:is>
      </x:c>
      <x:c r="I190" s="349" t="inlineStr">
        <x:is>
          <x:t xml:space="preserve">default</x:t>
        </x:is>
      </x:c>
      <x:c r="J190" s="349" t="inlineStr">
        <x:is>
          <x:t xml:space="preserve">桌面与Android正式运行</x:t>
        </x:is>
      </x:c>
      <x:c r="K190" s="349" t="inlineStr">
        <x:is>
          <x:t xml:space="preserve">已完成</x:t>
        </x:is>
      </x:c>
      <x:c r="L190" s="349" t="inlineStr">
        <x:is>
          <x:t xml:space="preserve">P0</x:t>
        </x:is>
      </x:c>
      <x:c r="M190" s="349" t="inlineStr">
        <x:is>
          <x:t xml:space="preserve">v001</x:t>
        </x:is>
      </x:c>
      <x:c r="N190" s="349" t="inlineStr">
        <x:is>
          <x:t xml:space="preserve">44.1kHz / OGG Vorbis / stereo</x:t>
        </x:is>
      </x:c>
      <x:c r="O190" s="349" t="inlineStr">
        <x:is>
          <x:t xml:space="preserve">src/assets/audio/sfx/merchant_purchase_v001.ogg</x:t>
        </x:is>
      </x:c>
      <x:c r="P190" s="349" t="inlineStr">
        <x:is>
          <x:t xml:space="preserve">src/assets/audio/sfx/merchant_purchase.wav; src/音效接入说明.md</x:t>
        </x:is>
      </x:c>
      <x:c r="Q190" s="349" t="inlineStr">
        <x:is>
          <x:t xml:space="preserve">merchant_purchase; 音效; OGG; Android; 移动端</x:t>
        </x:is>
      </x:c>
      <x:c r="R190" s="349" t="str">
        <x:f>LOWER(TRIM(C190)&amp;"|"&amp;TRIM(D190)&amp;"|"&amp;TRIM(E190)&amp;"|"&amp;TRIM(F190)&amp;"|"&amp;TRIM(H190)&amp;"|"&amp;TRIM(I190))</x:f>
        <x:v>音频|sfx|merchant_purchase|runtime|全局/非空间|default</x:v>
      </x:c>
      <x:c r="S190" s="349" t="str">
        <x:f>IF(COUNTIF($R$6:$R$423,R190)&gt;1,"重复","唯一")</x:f>
        <x:v>唯一</x:v>
      </x:c>
      <x:c r="T190" s="349" t="inlineStr">
        <x:is>
          <x:t xml:space="preserve">ff71a229a012ea8ed985ab286ea01672af277dd33a62549dd080f1e9026d53c2</x:t>
        </x:is>
      </x:c>
      <x:c r="U190" s="349" t="inlineStr">
        <x:is>
          <x:t xml:space="preserve">Codex</x:t>
        </x:is>
      </x:c>
      <x:c r="V190" s="348" t="n">
        <x:v>46241</x:v>
      </x:c>
      <x:c r="W190" s="349" t="inlineStr">
        <x:is>
          <x:t xml:space="preserve">项目WAV母版转码</x:t>
        </x:is>
      </x:c>
      <x:c r="X190" s="375" t="inlineStr">
        <x:is>
          <x:t xml:space="preserve">—</x:t>
        </x:is>
      </x:c>
      <x:c r="Y190" s="349" t="inlineStr">
        <x:is>
          <x:t xml:space="preserve">正式运行OGG；WAV仅作母版；AudioManager事件=merchant_purchase；Android/桌面统一版本化路径，禁止旧音效回退。</x:t>
        </x:is>
      </x:c>
    </x:row>
    <x:row r="191" ht="44" customHeight="1">
      <x:c r="A191" s="349" t="inlineStr">
        <x:is>
          <x:t xml:space="preserve">AUD-SFX-PISTOL-FIRE</x:t>
        </x:is>
      </x:c>
      <x:c r="B191" s="349" t="inlineStr">
        <x:is>
          <x:t xml:space="preserve">手枪射击音效</x:t>
        </x:is>
      </x:c>
      <x:c r="C191" s="349" t="inlineStr">
        <x:is>
          <x:t xml:space="preserve">音频</x:t>
        </x:is>
      </x:c>
      <x:c r="D191" s="349" t="inlineStr">
        <x:is>
          <x:t xml:space="preserve">sfx</x:t>
        </x:is>
      </x:c>
      <x:c r="E191" s="349" t="inlineStr">
        <x:is>
          <x:t xml:space="preserve">pistol_fire</x:t>
        </x:is>
      </x:c>
      <x:c r="F191" s="349" t="inlineStr">
        <x:is>
          <x:t xml:space="preserve">runtime</x:t>
        </x:is>
      </x:c>
      <x:c r="G191" s="349" t="n"/>
      <x:c r="H191" s="349" t="inlineStr">
        <x:is>
          <x:t xml:space="preserve">全局/非空间</x:t>
        </x:is>
      </x:c>
      <x:c r="I191" s="349" t="inlineStr">
        <x:is>
          <x:t xml:space="preserve">default</x:t>
        </x:is>
      </x:c>
      <x:c r="J191" s="349" t="inlineStr">
        <x:is>
          <x:t xml:space="preserve">桌面与Android正式运行</x:t>
        </x:is>
      </x:c>
      <x:c r="K191" s="349" t="inlineStr">
        <x:is>
          <x:t xml:space="preserve">已完成</x:t>
        </x:is>
      </x:c>
      <x:c r="L191" s="349" t="inlineStr">
        <x:is>
          <x:t xml:space="preserve">P0</x:t>
        </x:is>
      </x:c>
      <x:c r="M191" s="349" t="inlineStr">
        <x:is>
          <x:t xml:space="preserve">v001</x:t>
        </x:is>
      </x:c>
      <x:c r="N191" s="349" t="inlineStr">
        <x:is>
          <x:t xml:space="preserve">44.1kHz / OGG Vorbis / stereo</x:t>
        </x:is>
      </x:c>
      <x:c r="O191" s="349" t="inlineStr">
        <x:is>
          <x:t xml:space="preserve">src/assets/audio/sfx/pistol_fire_v001.ogg</x:t>
        </x:is>
      </x:c>
      <x:c r="P191" s="349" t="inlineStr">
        <x:is>
          <x:t xml:space="preserve">src/assets/audio/sfx/pistol_fire.wav; src/音效接入说明.md</x:t>
        </x:is>
      </x:c>
      <x:c r="Q191" s="349" t="inlineStr">
        <x:is>
          <x:t xml:space="preserve">pistol_fire; 音效; OGG; Android; 移动端</x:t>
        </x:is>
      </x:c>
      <x:c r="R191" s="349" t="str">
        <x:f>LOWER(TRIM(C191)&amp;"|"&amp;TRIM(D191)&amp;"|"&amp;TRIM(E191)&amp;"|"&amp;TRIM(F191)&amp;"|"&amp;TRIM(H191)&amp;"|"&amp;TRIM(I191))</x:f>
        <x:v>音频|sfx|pistol_fire|runtime|全局/非空间|default</x:v>
      </x:c>
      <x:c r="S191" s="349" t="str">
        <x:f>IF(COUNTIF($R$6:$R$423,R191)&gt;1,"重复","唯一")</x:f>
        <x:v>唯一</x:v>
      </x:c>
      <x:c r="T191" s="349" t="inlineStr">
        <x:is>
          <x:t xml:space="preserve">b2c39d4579cf13e32f98e79eb57b6ea0efeb5af7a497c60dc1acf94e8dd16937</x:t>
        </x:is>
      </x:c>
      <x:c r="U191" s="349" t="inlineStr">
        <x:is>
          <x:t xml:space="preserve">Codex</x:t>
        </x:is>
      </x:c>
      <x:c r="V191" s="348" t="n">
        <x:v>46241</x:v>
      </x:c>
      <x:c r="W191" s="349" t="inlineStr">
        <x:is>
          <x:t xml:space="preserve">项目WAV母版转码</x:t>
        </x:is>
      </x:c>
      <x:c r="X191" s="375" t="inlineStr">
        <x:is>
          <x:t xml:space="preserve">—</x:t>
        </x:is>
      </x:c>
      <x:c r="Y191" s="349" t="inlineStr">
        <x:is>
          <x:t xml:space="preserve">正式运行OGG；WAV仅作母版；AudioManager事件=pistol_fire；Android/桌面统一版本化路径，禁止旧音效回退。</x:t>
        </x:is>
      </x:c>
    </x:row>
    <x:row r="192" ht="44" customHeight="1">
      <x:c r="A192" s="349" t="inlineStr">
        <x:is>
          <x:t xml:space="preserve">AUD-SFX-PLAYER-DASH</x:t>
        </x:is>
      </x:c>
      <x:c r="B192" s="349" t="inlineStr">
        <x:is>
          <x:t xml:space="preserve">玩家冲刺音效</x:t>
        </x:is>
      </x:c>
      <x:c r="C192" s="349" t="inlineStr">
        <x:is>
          <x:t xml:space="preserve">音频</x:t>
        </x:is>
      </x:c>
      <x:c r="D192" s="349" t="inlineStr">
        <x:is>
          <x:t xml:space="preserve">sfx</x:t>
        </x:is>
      </x:c>
      <x:c r="E192" s="349" t="inlineStr">
        <x:is>
          <x:t xml:space="preserve">player_dash</x:t>
        </x:is>
      </x:c>
      <x:c r="F192" s="349" t="inlineStr">
        <x:is>
          <x:t xml:space="preserve">runtime</x:t>
        </x:is>
      </x:c>
      <x:c r="G192" s="349" t="n"/>
      <x:c r="H192" s="349" t="inlineStr">
        <x:is>
          <x:t xml:space="preserve">全局/非空间</x:t>
        </x:is>
      </x:c>
      <x:c r="I192" s="349" t="inlineStr">
        <x:is>
          <x:t xml:space="preserve">default</x:t>
        </x:is>
      </x:c>
      <x:c r="J192" s="349" t="inlineStr">
        <x:is>
          <x:t xml:space="preserve">桌面与Android正式运行</x:t>
        </x:is>
      </x:c>
      <x:c r="K192" s="349" t="inlineStr">
        <x:is>
          <x:t xml:space="preserve">已完成</x:t>
        </x:is>
      </x:c>
      <x:c r="L192" s="349" t="inlineStr">
        <x:is>
          <x:t xml:space="preserve">P0</x:t>
        </x:is>
      </x:c>
      <x:c r="M192" s="349" t="inlineStr">
        <x:is>
          <x:t xml:space="preserve">v001</x:t>
        </x:is>
      </x:c>
      <x:c r="N192" s="349" t="inlineStr">
        <x:is>
          <x:t xml:space="preserve">44.1kHz / OGG Vorbis / stereo</x:t>
        </x:is>
      </x:c>
      <x:c r="O192" s="349" t="inlineStr">
        <x:is>
          <x:t xml:space="preserve">src/assets/audio/sfx/player_dash_v001.ogg</x:t>
        </x:is>
      </x:c>
      <x:c r="P192" s="349" t="inlineStr">
        <x:is>
          <x:t xml:space="preserve">src/assets/audio/sfx/player_dash.wav; src/音效接入说明.md</x:t>
        </x:is>
      </x:c>
      <x:c r="Q192" s="349" t="inlineStr">
        <x:is>
          <x:t xml:space="preserve">player_dash; 音效; OGG; Android; 移动端</x:t>
        </x:is>
      </x:c>
      <x:c r="R192" s="349" t="str">
        <x:f>LOWER(TRIM(C192)&amp;"|"&amp;TRIM(D192)&amp;"|"&amp;TRIM(E192)&amp;"|"&amp;TRIM(F192)&amp;"|"&amp;TRIM(H192)&amp;"|"&amp;TRIM(I192))</x:f>
        <x:v>音频|sfx|player_dash|runtime|全局/非空间|default</x:v>
      </x:c>
      <x:c r="S192" s="349" t="str">
        <x:f>IF(COUNTIF($R$6:$R$423,R192)&gt;1,"重复","唯一")</x:f>
        <x:v>唯一</x:v>
      </x:c>
      <x:c r="T192" s="349" t="inlineStr">
        <x:is>
          <x:t xml:space="preserve">5d437b11f4b79d593ded0045cf202542b44ac0eb7344561ec96c659ad9ea6930</x:t>
        </x:is>
      </x:c>
      <x:c r="U192" s="349" t="inlineStr">
        <x:is>
          <x:t xml:space="preserve">Codex</x:t>
        </x:is>
      </x:c>
      <x:c r="V192" s="348" t="n">
        <x:v>46241</x:v>
      </x:c>
      <x:c r="W192" s="349" t="inlineStr">
        <x:is>
          <x:t xml:space="preserve">项目WAV母版转码</x:t>
        </x:is>
      </x:c>
      <x:c r="X192" s="375" t="inlineStr">
        <x:is>
          <x:t xml:space="preserve">—</x:t>
        </x:is>
      </x:c>
      <x:c r="Y192" s="349" t="inlineStr">
        <x:is>
          <x:t xml:space="preserve">正式运行OGG；WAV仅作母版；AudioManager事件=player_dash；Android/桌面统一版本化路径，禁止旧音效回退。</x:t>
        </x:is>
      </x:c>
    </x:row>
    <x:row r="193" ht="44" customHeight="1">
      <x:c r="A193" s="349" t="inlineStr">
        <x:is>
          <x:t xml:space="preserve">AUD-SFX-PLAYER-HIT</x:t>
        </x:is>
      </x:c>
      <x:c r="B193" s="349" t="inlineStr">
        <x:is>
          <x:t xml:space="preserve">玩家受击音效</x:t>
        </x:is>
      </x:c>
      <x:c r="C193" s="349" t="inlineStr">
        <x:is>
          <x:t xml:space="preserve">音频</x:t>
        </x:is>
      </x:c>
      <x:c r="D193" s="349" t="inlineStr">
        <x:is>
          <x:t xml:space="preserve">sfx</x:t>
        </x:is>
      </x:c>
      <x:c r="E193" s="349" t="inlineStr">
        <x:is>
          <x:t xml:space="preserve">player_hit</x:t>
        </x:is>
      </x:c>
      <x:c r="F193" s="349" t="inlineStr">
        <x:is>
          <x:t xml:space="preserve">runtime</x:t>
        </x:is>
      </x:c>
      <x:c r="G193" s="349" t="n"/>
      <x:c r="H193" s="349" t="inlineStr">
        <x:is>
          <x:t xml:space="preserve">全局/非空间</x:t>
        </x:is>
      </x:c>
      <x:c r="I193" s="349" t="inlineStr">
        <x:is>
          <x:t xml:space="preserve">default</x:t>
        </x:is>
      </x:c>
      <x:c r="J193" s="349" t="inlineStr">
        <x:is>
          <x:t xml:space="preserve">桌面与Android正式运行</x:t>
        </x:is>
      </x:c>
      <x:c r="K193" s="349" t="inlineStr">
        <x:is>
          <x:t xml:space="preserve">已完成</x:t>
        </x:is>
      </x:c>
      <x:c r="L193" s="349" t="inlineStr">
        <x:is>
          <x:t xml:space="preserve">P0</x:t>
        </x:is>
      </x:c>
      <x:c r="M193" s="349" t="inlineStr">
        <x:is>
          <x:t xml:space="preserve">v001</x:t>
        </x:is>
      </x:c>
      <x:c r="N193" s="349" t="inlineStr">
        <x:is>
          <x:t xml:space="preserve">44.1kHz / OGG Vorbis / stereo</x:t>
        </x:is>
      </x:c>
      <x:c r="O193" s="349" t="inlineStr">
        <x:is>
          <x:t xml:space="preserve">src/assets/audio/sfx/player_hit_v001.ogg</x:t>
        </x:is>
      </x:c>
      <x:c r="P193" s="349" t="inlineStr">
        <x:is>
          <x:t xml:space="preserve">src/assets/audio/sfx/player_hit.wav; src/音效接入说明.md</x:t>
        </x:is>
      </x:c>
      <x:c r="Q193" s="349" t="inlineStr">
        <x:is>
          <x:t xml:space="preserve">player_hit; 音效; OGG; Android; 移动端</x:t>
        </x:is>
      </x:c>
      <x:c r="R193" s="349" t="str">
        <x:f>LOWER(TRIM(C193)&amp;"|"&amp;TRIM(D193)&amp;"|"&amp;TRIM(E193)&amp;"|"&amp;TRIM(F193)&amp;"|"&amp;TRIM(H193)&amp;"|"&amp;TRIM(I193))</x:f>
        <x:v>音频|sfx|player_hit|runtime|全局/非空间|default</x:v>
      </x:c>
      <x:c r="S193" s="349" t="str">
        <x:f>IF(COUNTIF($R$6:$R$423,R193)&gt;1,"重复","唯一")</x:f>
        <x:v>唯一</x:v>
      </x:c>
      <x:c r="T193" s="349" t="inlineStr">
        <x:is>
          <x:t xml:space="preserve">aa5bec92c2734e64ae75245c0fcb165c915981cf77d107c579649c228fc50eb2</x:t>
        </x:is>
      </x:c>
      <x:c r="U193" s="349" t="inlineStr">
        <x:is>
          <x:t xml:space="preserve">Codex</x:t>
        </x:is>
      </x:c>
      <x:c r="V193" s="348" t="n">
        <x:v>46241</x:v>
      </x:c>
      <x:c r="W193" s="349" t="inlineStr">
        <x:is>
          <x:t xml:space="preserve">项目WAV母版转码</x:t>
        </x:is>
      </x:c>
      <x:c r="X193" s="375" t="inlineStr">
        <x:is>
          <x:t xml:space="preserve">—</x:t>
        </x:is>
      </x:c>
      <x:c r="Y193" s="349" t="inlineStr">
        <x:is>
          <x:t xml:space="preserve">正式运行OGG；WAV仅作母版；AudioManager事件=player_hit；Android/桌面统一版本化路径，禁止旧音效回退。</x:t>
        </x:is>
      </x:c>
    </x:row>
    <x:row r="194" ht="44" customHeight="1">
      <x:c r="A194" s="349" t="inlineStr">
        <x:is>
          <x:t xml:space="preserve">AUD-SFX-RELOAD</x:t>
        </x:is>
      </x:c>
      <x:c r="B194" s="349" t="inlineStr">
        <x:is>
          <x:t xml:space="preserve">换弹音效</x:t>
        </x:is>
      </x:c>
      <x:c r="C194" s="349" t="inlineStr">
        <x:is>
          <x:t xml:space="preserve">音频</x:t>
        </x:is>
      </x:c>
      <x:c r="D194" s="349" t="inlineStr">
        <x:is>
          <x:t xml:space="preserve">sfx</x:t>
        </x:is>
      </x:c>
      <x:c r="E194" s="349" t="inlineStr">
        <x:is>
          <x:t xml:space="preserve">reload</x:t>
        </x:is>
      </x:c>
      <x:c r="F194" s="349" t="inlineStr">
        <x:is>
          <x:t xml:space="preserve">runtime</x:t>
        </x:is>
      </x:c>
      <x:c r="G194" s="349" t="n"/>
      <x:c r="H194" s="349" t="inlineStr">
        <x:is>
          <x:t xml:space="preserve">全局/非空间</x:t>
        </x:is>
      </x:c>
      <x:c r="I194" s="349" t="inlineStr">
        <x:is>
          <x:t xml:space="preserve">default</x:t>
        </x:is>
      </x:c>
      <x:c r="J194" s="349" t="inlineStr">
        <x:is>
          <x:t xml:space="preserve">桌面与Android正式运行</x:t>
        </x:is>
      </x:c>
      <x:c r="K194" s="349" t="inlineStr">
        <x:is>
          <x:t xml:space="preserve">已完成</x:t>
        </x:is>
      </x:c>
      <x:c r="L194" s="349" t="inlineStr">
        <x:is>
          <x:t xml:space="preserve">P0</x:t>
        </x:is>
      </x:c>
      <x:c r="M194" s="349" t="inlineStr">
        <x:is>
          <x:t xml:space="preserve">v001</x:t>
        </x:is>
      </x:c>
      <x:c r="N194" s="349" t="inlineStr">
        <x:is>
          <x:t xml:space="preserve">44.1kHz / OGG Vorbis / stereo</x:t>
        </x:is>
      </x:c>
      <x:c r="O194" s="349" t="inlineStr">
        <x:is>
          <x:t xml:space="preserve">src/assets/audio/sfx/reload_v001.ogg</x:t>
        </x:is>
      </x:c>
      <x:c r="P194" s="349" t="inlineStr">
        <x:is>
          <x:t xml:space="preserve">src/assets/audio/sfx/reload.wav; src/音效接入说明.md</x:t>
        </x:is>
      </x:c>
      <x:c r="Q194" s="349" t="inlineStr">
        <x:is>
          <x:t xml:space="preserve">reload; 音效; OGG; Android; 移动端</x:t>
        </x:is>
      </x:c>
      <x:c r="R194" s="349" t="str">
        <x:f>LOWER(TRIM(C194)&amp;"|"&amp;TRIM(D194)&amp;"|"&amp;TRIM(E194)&amp;"|"&amp;TRIM(F194)&amp;"|"&amp;TRIM(H194)&amp;"|"&amp;TRIM(I194))</x:f>
        <x:v>音频|sfx|reload|runtime|全局/非空间|default</x:v>
      </x:c>
      <x:c r="S194" s="349" t="str">
        <x:f>IF(COUNTIF($R$6:$R$423,R194)&gt;1,"重复","唯一")</x:f>
        <x:v>唯一</x:v>
      </x:c>
      <x:c r="T194" s="349" t="inlineStr">
        <x:is>
          <x:t xml:space="preserve">0d60be5b4b3e9955d34c69e5719ae8d3147d6e87d3ffa58beae8d2beae42d0c7</x:t>
        </x:is>
      </x:c>
      <x:c r="U194" s="349" t="inlineStr">
        <x:is>
          <x:t xml:space="preserve">Codex</x:t>
        </x:is>
      </x:c>
      <x:c r="V194" s="348" t="n">
        <x:v>46241</x:v>
      </x:c>
      <x:c r="W194" s="349" t="inlineStr">
        <x:is>
          <x:t xml:space="preserve">项目WAV母版转码</x:t>
        </x:is>
      </x:c>
      <x:c r="X194" s="375" t="inlineStr">
        <x:is>
          <x:t xml:space="preserve">—</x:t>
        </x:is>
      </x:c>
      <x:c r="Y194" s="349" t="inlineStr">
        <x:is>
          <x:t xml:space="preserve">正式运行OGG；WAV仅作母版；AudioManager事件=reload；Android/桌面统一版本化路径，禁止旧音效回退。</x:t>
        </x:is>
      </x:c>
    </x:row>
    <x:row r="195" ht="44" customHeight="1">
      <x:c r="A195" s="349" t="inlineStr">
        <x:is>
          <x:t xml:space="preserve">AUD-SFX-RIFLE-FIRE</x:t>
        </x:is>
      </x:c>
      <x:c r="B195" s="349" t="inlineStr">
        <x:is>
          <x:t xml:space="preserve">步枪射击音效</x:t>
        </x:is>
      </x:c>
      <x:c r="C195" s="349" t="inlineStr">
        <x:is>
          <x:t xml:space="preserve">音频</x:t>
        </x:is>
      </x:c>
      <x:c r="D195" s="349" t="inlineStr">
        <x:is>
          <x:t xml:space="preserve">sfx</x:t>
        </x:is>
      </x:c>
      <x:c r="E195" s="349" t="inlineStr">
        <x:is>
          <x:t xml:space="preserve">rifle_fire</x:t>
        </x:is>
      </x:c>
      <x:c r="F195" s="349" t="inlineStr">
        <x:is>
          <x:t xml:space="preserve">runtime</x:t>
        </x:is>
      </x:c>
      <x:c r="G195" s="349" t="n"/>
      <x:c r="H195" s="349" t="inlineStr">
        <x:is>
          <x:t xml:space="preserve">全局/非空间</x:t>
        </x:is>
      </x:c>
      <x:c r="I195" s="349" t="inlineStr">
        <x:is>
          <x:t xml:space="preserve">default</x:t>
        </x:is>
      </x:c>
      <x:c r="J195" s="349" t="inlineStr">
        <x:is>
          <x:t xml:space="preserve">桌面与Android正式运行</x:t>
        </x:is>
      </x:c>
      <x:c r="K195" s="349" t="inlineStr">
        <x:is>
          <x:t xml:space="preserve">已完成</x:t>
        </x:is>
      </x:c>
      <x:c r="L195" s="349" t="inlineStr">
        <x:is>
          <x:t xml:space="preserve">P0</x:t>
        </x:is>
      </x:c>
      <x:c r="M195" s="349" t="inlineStr">
        <x:is>
          <x:t xml:space="preserve">v001</x:t>
        </x:is>
      </x:c>
      <x:c r="N195" s="349" t="inlineStr">
        <x:is>
          <x:t xml:space="preserve">44.1kHz / OGG Vorbis / stereo</x:t>
        </x:is>
      </x:c>
      <x:c r="O195" s="349" t="inlineStr">
        <x:is>
          <x:t xml:space="preserve">src/assets/audio/sfx/rifle_fire_v001.ogg</x:t>
        </x:is>
      </x:c>
      <x:c r="P195" s="349" t="inlineStr">
        <x:is>
          <x:t xml:space="preserve">src/assets/audio/sfx/rifle_fire.wav; src/音效接入说明.md</x:t>
        </x:is>
      </x:c>
      <x:c r="Q195" s="349" t="inlineStr">
        <x:is>
          <x:t xml:space="preserve">rifle_fire; 音效; OGG; Android; 移动端</x:t>
        </x:is>
      </x:c>
      <x:c r="R195" s="349" t="str">
        <x:f>LOWER(TRIM(C195)&amp;"|"&amp;TRIM(D195)&amp;"|"&amp;TRIM(E195)&amp;"|"&amp;TRIM(F195)&amp;"|"&amp;TRIM(H195)&amp;"|"&amp;TRIM(I195))</x:f>
        <x:v>音频|sfx|rifle_fire|runtime|全局/非空间|default</x:v>
      </x:c>
      <x:c r="S195" s="349" t="str">
        <x:f>IF(COUNTIF($R$6:$R$423,R195)&gt;1,"重复","唯一")</x:f>
        <x:v>唯一</x:v>
      </x:c>
      <x:c r="T195" s="349" t="inlineStr">
        <x:is>
          <x:t xml:space="preserve">c5b6cc8c2beb44f22c72c1d201b750dd79dc877ae88f0067ef246103948e0e33</x:t>
        </x:is>
      </x:c>
      <x:c r="U195" s="349" t="inlineStr">
        <x:is>
          <x:t xml:space="preserve">Codex</x:t>
        </x:is>
      </x:c>
      <x:c r="V195" s="348" t="n">
        <x:v>46241</x:v>
      </x:c>
      <x:c r="W195" s="349" t="inlineStr">
        <x:is>
          <x:t xml:space="preserve">项目WAV母版转码</x:t>
        </x:is>
      </x:c>
      <x:c r="X195" s="375" t="inlineStr">
        <x:is>
          <x:t xml:space="preserve">—</x:t>
        </x:is>
      </x:c>
      <x:c r="Y195" s="349" t="inlineStr">
        <x:is>
          <x:t xml:space="preserve">正式运行OGG；WAV仅作母版；AudioManager事件=rifle_fire；Android/桌面统一版本化路径，禁止旧音效回退。</x:t>
        </x:is>
      </x:c>
    </x:row>
    <x:row r="196" ht="44" customHeight="1">
      <x:c r="A196" s="349" t="inlineStr">
        <x:is>
          <x:t xml:space="preserve">AUD-SFX-SHOTGUN-FIRE</x:t>
        </x:is>
      </x:c>
      <x:c r="B196" s="349" t="inlineStr">
        <x:is>
          <x:t xml:space="preserve">霰弹枪射击音效</x:t>
        </x:is>
      </x:c>
      <x:c r="C196" s="349" t="inlineStr">
        <x:is>
          <x:t xml:space="preserve">音频</x:t>
        </x:is>
      </x:c>
      <x:c r="D196" s="349" t="inlineStr">
        <x:is>
          <x:t xml:space="preserve">sfx</x:t>
        </x:is>
      </x:c>
      <x:c r="E196" s="349" t="inlineStr">
        <x:is>
          <x:t xml:space="preserve">shotgun_fire</x:t>
        </x:is>
      </x:c>
      <x:c r="F196" s="349" t="inlineStr">
        <x:is>
          <x:t xml:space="preserve">runtime</x:t>
        </x:is>
      </x:c>
      <x:c r="G196" s="349" t="n"/>
      <x:c r="H196" s="349" t="inlineStr">
        <x:is>
          <x:t xml:space="preserve">全局/非空间</x:t>
        </x:is>
      </x:c>
      <x:c r="I196" s="349" t="inlineStr">
        <x:is>
          <x:t xml:space="preserve">default</x:t>
        </x:is>
      </x:c>
      <x:c r="J196" s="349" t="inlineStr">
        <x:is>
          <x:t xml:space="preserve">桌面与Android正式运行</x:t>
        </x:is>
      </x:c>
      <x:c r="K196" s="349" t="inlineStr">
        <x:is>
          <x:t xml:space="preserve">已完成</x:t>
        </x:is>
      </x:c>
      <x:c r="L196" s="349" t="inlineStr">
        <x:is>
          <x:t xml:space="preserve">P0</x:t>
        </x:is>
      </x:c>
      <x:c r="M196" s="349" t="inlineStr">
        <x:is>
          <x:t xml:space="preserve">v001</x:t>
        </x:is>
      </x:c>
      <x:c r="N196" s="349" t="inlineStr">
        <x:is>
          <x:t xml:space="preserve">44.1kHz / OGG Vorbis / stereo</x:t>
        </x:is>
      </x:c>
      <x:c r="O196" s="349" t="inlineStr">
        <x:is>
          <x:t xml:space="preserve">src/assets/audio/sfx/shotgun_fire_v001.ogg</x:t>
        </x:is>
      </x:c>
      <x:c r="P196" s="349" t="inlineStr">
        <x:is>
          <x:t xml:space="preserve">src/assets/audio/sfx/shotgun_fire.wav; src/音效接入说明.md</x:t>
        </x:is>
      </x:c>
      <x:c r="Q196" s="349" t="inlineStr">
        <x:is>
          <x:t xml:space="preserve">shotgun_fire; 音效; OGG; Android; 移动端</x:t>
        </x:is>
      </x:c>
      <x:c r="R196" s="349" t="str">
        <x:f>LOWER(TRIM(C196)&amp;"|"&amp;TRIM(D196)&amp;"|"&amp;TRIM(E196)&amp;"|"&amp;TRIM(F196)&amp;"|"&amp;TRIM(H196)&amp;"|"&amp;TRIM(I196))</x:f>
        <x:v>音频|sfx|shotgun_fire|runtime|全局/非空间|default</x:v>
      </x:c>
      <x:c r="S196" s="349" t="str">
        <x:f>IF(COUNTIF($R$6:$R$423,R196)&gt;1,"重复","唯一")</x:f>
        <x:v>唯一</x:v>
      </x:c>
      <x:c r="T196" s="349" t="inlineStr">
        <x:is>
          <x:t xml:space="preserve">e4b8feb67d9a438892183fa3a2e4afec8e3131235be342c02b1ce72e25767466</x:t>
        </x:is>
      </x:c>
      <x:c r="U196" s="349" t="inlineStr">
        <x:is>
          <x:t xml:space="preserve">Codex</x:t>
        </x:is>
      </x:c>
      <x:c r="V196" s="348" t="n">
        <x:v>46241</x:v>
      </x:c>
      <x:c r="W196" s="349" t="inlineStr">
        <x:is>
          <x:t xml:space="preserve">项目WAV母版转码</x:t>
        </x:is>
      </x:c>
      <x:c r="X196" s="375" t="inlineStr">
        <x:is>
          <x:t xml:space="preserve">—</x:t>
        </x:is>
      </x:c>
      <x:c r="Y196" s="349" t="inlineStr">
        <x:is>
          <x:t xml:space="preserve">正式运行OGG；WAV仅作母版；AudioManager事件=shotgun_fire；Android/桌面统一版本化路径，禁止旧音效回退。</x:t>
        </x:is>
      </x:c>
    </x:row>
    <x:row r="197" ht="44" customHeight="1">
      <x:c r="A197" s="349" t="inlineStr">
        <x:is>
          <x:t xml:space="preserve">AUD-SFX-SMG-FIRE</x:t>
        </x:is>
      </x:c>
      <x:c r="B197" s="349" t="inlineStr">
        <x:is>
          <x:t xml:space="preserve">冲锋枪射击音效</x:t>
        </x:is>
      </x:c>
      <x:c r="C197" s="349" t="inlineStr">
        <x:is>
          <x:t xml:space="preserve">音频</x:t>
        </x:is>
      </x:c>
      <x:c r="D197" s="349" t="inlineStr">
        <x:is>
          <x:t xml:space="preserve">sfx</x:t>
        </x:is>
      </x:c>
      <x:c r="E197" s="349" t="inlineStr">
        <x:is>
          <x:t xml:space="preserve">smg_fire</x:t>
        </x:is>
      </x:c>
      <x:c r="F197" s="349" t="inlineStr">
        <x:is>
          <x:t xml:space="preserve">runtime</x:t>
        </x:is>
      </x:c>
      <x:c r="G197" s="349" t="n"/>
      <x:c r="H197" s="349" t="inlineStr">
        <x:is>
          <x:t xml:space="preserve">全局/非空间</x:t>
        </x:is>
      </x:c>
      <x:c r="I197" s="349" t="inlineStr">
        <x:is>
          <x:t xml:space="preserve">default</x:t>
        </x:is>
      </x:c>
      <x:c r="J197" s="349" t="inlineStr">
        <x:is>
          <x:t xml:space="preserve">桌面与Android正式运行</x:t>
        </x:is>
      </x:c>
      <x:c r="K197" s="349" t="inlineStr">
        <x:is>
          <x:t xml:space="preserve">已完成</x:t>
        </x:is>
      </x:c>
      <x:c r="L197" s="349" t="inlineStr">
        <x:is>
          <x:t xml:space="preserve">P0</x:t>
        </x:is>
      </x:c>
      <x:c r="M197" s="349" t="inlineStr">
        <x:is>
          <x:t xml:space="preserve">v001</x:t>
        </x:is>
      </x:c>
      <x:c r="N197" s="349" t="inlineStr">
        <x:is>
          <x:t xml:space="preserve">44.1kHz / OGG Vorbis / stereo</x:t>
        </x:is>
      </x:c>
      <x:c r="O197" s="349" t="inlineStr">
        <x:is>
          <x:t xml:space="preserve">src/assets/audio/sfx/smg_fire_v001.ogg</x:t>
        </x:is>
      </x:c>
      <x:c r="P197" s="349" t="inlineStr">
        <x:is>
          <x:t xml:space="preserve">src/assets/audio/sfx/smg_fire.wav; src/音效接入说明.md</x:t>
        </x:is>
      </x:c>
      <x:c r="Q197" s="349" t="inlineStr">
        <x:is>
          <x:t xml:space="preserve">smg_fire; 音效; OGG; Android; 移动端</x:t>
        </x:is>
      </x:c>
      <x:c r="R197" s="349" t="str">
        <x:f>LOWER(TRIM(C197)&amp;"|"&amp;TRIM(D197)&amp;"|"&amp;TRIM(E197)&amp;"|"&amp;TRIM(F197)&amp;"|"&amp;TRIM(H197)&amp;"|"&amp;TRIM(I197))</x:f>
        <x:v>音频|sfx|smg_fire|runtime|全局/非空间|default</x:v>
      </x:c>
      <x:c r="S197" s="349" t="str">
        <x:f>IF(COUNTIF($R$6:$R$423,R197)&gt;1,"重复","唯一")</x:f>
        <x:v>唯一</x:v>
      </x:c>
      <x:c r="T197" s="349" t="inlineStr">
        <x:is>
          <x:t xml:space="preserve">282379aa6850e03dd6109928a22ad7792563768414ece93374c7cff725d306fa</x:t>
        </x:is>
      </x:c>
      <x:c r="U197" s="349" t="inlineStr">
        <x:is>
          <x:t xml:space="preserve">Codex</x:t>
        </x:is>
      </x:c>
      <x:c r="V197" s="348" t="n">
        <x:v>46241</x:v>
      </x:c>
      <x:c r="W197" s="349" t="inlineStr">
        <x:is>
          <x:t xml:space="preserve">项目WAV母版转码</x:t>
        </x:is>
      </x:c>
      <x:c r="X197" s="375" t="inlineStr">
        <x:is>
          <x:t xml:space="preserve">—</x:t>
        </x:is>
      </x:c>
      <x:c r="Y197" s="349" t="inlineStr">
        <x:is>
          <x:t xml:space="preserve">正式运行OGG；WAV仅作母版；AudioManager事件=smg_fire；Android/桌面统一版本化路径，禁止旧音效回退。</x:t>
        </x:is>
      </x:c>
    </x:row>
    <x:row r="198" ht="44" customHeight="1">
      <x:c r="A198" s="349" t="inlineStr">
        <x:is>
          <x:t xml:space="preserve">AUD-SFX-SNIPER-FIRE</x:t>
        </x:is>
      </x:c>
      <x:c r="B198" s="349" t="inlineStr">
        <x:is>
          <x:t xml:space="preserve">狙击枪射击音效</x:t>
        </x:is>
      </x:c>
      <x:c r="C198" s="349" t="inlineStr">
        <x:is>
          <x:t xml:space="preserve">音频</x:t>
        </x:is>
      </x:c>
      <x:c r="D198" s="349" t="inlineStr">
        <x:is>
          <x:t xml:space="preserve">sfx</x:t>
        </x:is>
      </x:c>
      <x:c r="E198" s="349" t="inlineStr">
        <x:is>
          <x:t xml:space="preserve">sniper_fire</x:t>
        </x:is>
      </x:c>
      <x:c r="F198" s="349" t="inlineStr">
        <x:is>
          <x:t xml:space="preserve">runtime</x:t>
        </x:is>
      </x:c>
      <x:c r="G198" s="349" t="n"/>
      <x:c r="H198" s="349" t="inlineStr">
        <x:is>
          <x:t xml:space="preserve">全局/非空间</x:t>
        </x:is>
      </x:c>
      <x:c r="I198" s="349" t="inlineStr">
        <x:is>
          <x:t xml:space="preserve">default</x:t>
        </x:is>
      </x:c>
      <x:c r="J198" s="349" t="inlineStr">
        <x:is>
          <x:t xml:space="preserve">桌面与Android正式运行</x:t>
        </x:is>
      </x:c>
      <x:c r="K198" s="349" t="inlineStr">
        <x:is>
          <x:t xml:space="preserve">已完成</x:t>
        </x:is>
      </x:c>
      <x:c r="L198" s="349" t="inlineStr">
        <x:is>
          <x:t xml:space="preserve">P0</x:t>
        </x:is>
      </x:c>
      <x:c r="M198" s="349" t="inlineStr">
        <x:is>
          <x:t xml:space="preserve">v001</x:t>
        </x:is>
      </x:c>
      <x:c r="N198" s="349" t="inlineStr">
        <x:is>
          <x:t xml:space="preserve">44.1kHz / OGG Vorbis / stereo</x:t>
        </x:is>
      </x:c>
      <x:c r="O198" s="349" t="inlineStr">
        <x:is>
          <x:t xml:space="preserve">src/assets/audio/sfx/sniper_fire_v001.ogg</x:t>
        </x:is>
      </x:c>
      <x:c r="P198" s="349" t="inlineStr">
        <x:is>
          <x:t xml:space="preserve">src/assets/audio/sfx/sniper_fire.wav; src/音效接入说明.md</x:t>
        </x:is>
      </x:c>
      <x:c r="Q198" s="349" t="inlineStr">
        <x:is>
          <x:t xml:space="preserve">sniper_fire; 音效; OGG; Android; 移动端</x:t>
        </x:is>
      </x:c>
      <x:c r="R198" s="349" t="str">
        <x:f>LOWER(TRIM(C198)&amp;"|"&amp;TRIM(D198)&amp;"|"&amp;TRIM(E198)&amp;"|"&amp;TRIM(F198)&amp;"|"&amp;TRIM(H198)&amp;"|"&amp;TRIM(I198))</x:f>
        <x:v>音频|sfx|sniper_fire|runtime|全局/非空间|default</x:v>
      </x:c>
      <x:c r="S198" s="349" t="str">
        <x:f>IF(COUNTIF($R$6:$R$423,R198)&gt;1,"重复","唯一")</x:f>
        <x:v>唯一</x:v>
      </x:c>
      <x:c r="T198" s="349" t="inlineStr">
        <x:is>
          <x:t xml:space="preserve">0d5161b3b8faece3024ad618916c203cd3d274d3b373af7bcbbd22baa0ab3968</x:t>
        </x:is>
      </x:c>
      <x:c r="U198" s="349" t="inlineStr">
        <x:is>
          <x:t xml:space="preserve">Codex</x:t>
        </x:is>
      </x:c>
      <x:c r="V198" s="348" t="n">
        <x:v>46241</x:v>
      </x:c>
      <x:c r="W198" s="349" t="inlineStr">
        <x:is>
          <x:t xml:space="preserve">项目WAV母版转码</x:t>
        </x:is>
      </x:c>
      <x:c r="X198" s="375" t="inlineStr">
        <x:is>
          <x:t xml:space="preserve">—</x:t>
        </x:is>
      </x:c>
      <x:c r="Y198" s="349" t="inlineStr">
        <x:is>
          <x:t xml:space="preserve">正式运行OGG；WAV仅作母版；AudioManager事件=sniper_fire；Android/桌面统一版本化路径，禁止旧音效回退。</x:t>
        </x:is>
      </x:c>
    </x:row>
    <x:row r="199" ht="44" customHeight="1">
      <x:c r="A199" s="349" t="inlineStr">
        <x:is>
          <x:t xml:space="preserve">AUD-SFX-SOUL-PICKUP</x:t>
        </x:is>
      </x:c>
      <x:c r="B199" s="349" t="inlineStr">
        <x:is>
          <x:t xml:space="preserve">魂球拾取音效</x:t>
        </x:is>
      </x:c>
      <x:c r="C199" s="349" t="inlineStr">
        <x:is>
          <x:t xml:space="preserve">音频</x:t>
        </x:is>
      </x:c>
      <x:c r="D199" s="349" t="inlineStr">
        <x:is>
          <x:t xml:space="preserve">sfx</x:t>
        </x:is>
      </x:c>
      <x:c r="E199" s="349" t="inlineStr">
        <x:is>
          <x:t xml:space="preserve">soul_pickup</x:t>
        </x:is>
      </x:c>
      <x:c r="F199" s="349" t="inlineStr">
        <x:is>
          <x:t xml:space="preserve">runtime</x:t>
        </x:is>
      </x:c>
      <x:c r="G199" s="349" t="n"/>
      <x:c r="H199" s="349" t="inlineStr">
        <x:is>
          <x:t xml:space="preserve">全局/非空间</x:t>
        </x:is>
      </x:c>
      <x:c r="I199" s="349" t="inlineStr">
        <x:is>
          <x:t xml:space="preserve">default</x:t>
        </x:is>
      </x:c>
      <x:c r="J199" s="349" t="inlineStr">
        <x:is>
          <x:t xml:space="preserve">桌面与Android正式运行</x:t>
        </x:is>
      </x:c>
      <x:c r="K199" s="349" t="inlineStr">
        <x:is>
          <x:t xml:space="preserve">已完成</x:t>
        </x:is>
      </x:c>
      <x:c r="L199" s="349" t="inlineStr">
        <x:is>
          <x:t xml:space="preserve">P0</x:t>
        </x:is>
      </x:c>
      <x:c r="M199" s="349" t="inlineStr">
        <x:is>
          <x:t xml:space="preserve">v001</x:t>
        </x:is>
      </x:c>
      <x:c r="N199" s="349" t="inlineStr">
        <x:is>
          <x:t xml:space="preserve">44.1kHz / OGG Vorbis / stereo</x:t>
        </x:is>
      </x:c>
      <x:c r="O199" s="349" t="inlineStr">
        <x:is>
          <x:t xml:space="preserve">src/assets/audio/sfx/soul_pickup_v001.ogg</x:t>
        </x:is>
      </x:c>
      <x:c r="P199" s="349" t="inlineStr">
        <x:is>
          <x:t xml:space="preserve">src/assets/audio/sfx/soul_pickup.wav; src/音效接入说明.md</x:t>
        </x:is>
      </x:c>
      <x:c r="Q199" s="349" t="inlineStr">
        <x:is>
          <x:t xml:space="preserve">soul_pickup; 音效; OGG; Android; 移动端</x:t>
        </x:is>
      </x:c>
      <x:c r="R199" s="349" t="str">
        <x:f>LOWER(TRIM(C199)&amp;"|"&amp;TRIM(D199)&amp;"|"&amp;TRIM(E199)&amp;"|"&amp;TRIM(F199)&amp;"|"&amp;TRIM(H199)&amp;"|"&amp;TRIM(I199))</x:f>
        <x:v>音频|sfx|soul_pickup|runtime|全局/非空间|default</x:v>
      </x:c>
      <x:c r="S199" s="349" t="str">
        <x:f>IF(COUNTIF($R$6:$R$423,R199)&gt;1,"重复","唯一")</x:f>
        <x:v>唯一</x:v>
      </x:c>
      <x:c r="T199" s="349" t="inlineStr">
        <x:is>
          <x:t xml:space="preserve">c9f24f23f1c4e8ad28a5ee97e9b11efd00e53bf706faa0655cba4f78b68e76ff</x:t>
        </x:is>
      </x:c>
      <x:c r="U199" s="349" t="inlineStr">
        <x:is>
          <x:t xml:space="preserve">Codex</x:t>
        </x:is>
      </x:c>
      <x:c r="V199" s="348" t="n">
        <x:v>46241</x:v>
      </x:c>
      <x:c r="W199" s="349" t="inlineStr">
        <x:is>
          <x:t xml:space="preserve">项目WAV母版转码</x:t>
        </x:is>
      </x:c>
      <x:c r="X199" s="375" t="inlineStr">
        <x:is>
          <x:t xml:space="preserve">—</x:t>
        </x:is>
      </x:c>
      <x:c r="Y199" s="349" t="inlineStr">
        <x:is>
          <x:t xml:space="preserve">正式运行OGG；WAV仅作母版；AudioManager事件=soul_pickup；Android/桌面统一版本化路径，禁止旧音效回退。</x:t>
        </x:is>
      </x:c>
    </x:row>
    <x:row r="200" ht="44" customHeight="1">
      <x:c r="A200" s="349" t="inlineStr">
        <x:is>
          <x:t xml:space="preserve">AUD-SFX-UI-CLICK</x:t>
        </x:is>
      </x:c>
      <x:c r="B200" s="349" t="inlineStr">
        <x:is>
          <x:t xml:space="preserve">UI点击音效</x:t>
        </x:is>
      </x:c>
      <x:c r="C200" s="349" t="inlineStr">
        <x:is>
          <x:t xml:space="preserve">音频</x:t>
        </x:is>
      </x:c>
      <x:c r="D200" s="349" t="inlineStr">
        <x:is>
          <x:t xml:space="preserve">sfx</x:t>
        </x:is>
      </x:c>
      <x:c r="E200" s="349" t="inlineStr">
        <x:is>
          <x:t xml:space="preserve">ui_click</x:t>
        </x:is>
      </x:c>
      <x:c r="F200" s="349" t="inlineStr">
        <x:is>
          <x:t xml:space="preserve">runtime</x:t>
        </x:is>
      </x:c>
      <x:c r="G200" s="349" t="n"/>
      <x:c r="H200" s="349" t="inlineStr">
        <x:is>
          <x:t xml:space="preserve">全局/非空间</x:t>
        </x:is>
      </x:c>
      <x:c r="I200" s="349" t="inlineStr">
        <x:is>
          <x:t xml:space="preserve">default</x:t>
        </x:is>
      </x:c>
      <x:c r="J200" s="349" t="inlineStr">
        <x:is>
          <x:t xml:space="preserve">桌面与Android正式运行</x:t>
        </x:is>
      </x:c>
      <x:c r="K200" s="349" t="inlineStr">
        <x:is>
          <x:t xml:space="preserve">已完成</x:t>
        </x:is>
      </x:c>
      <x:c r="L200" s="349" t="inlineStr">
        <x:is>
          <x:t xml:space="preserve">P0</x:t>
        </x:is>
      </x:c>
      <x:c r="M200" s="349" t="inlineStr">
        <x:is>
          <x:t xml:space="preserve">v001</x:t>
        </x:is>
      </x:c>
      <x:c r="N200" s="349" t="inlineStr">
        <x:is>
          <x:t xml:space="preserve">44.1kHz / OGG Vorbis / stereo</x:t>
        </x:is>
      </x:c>
      <x:c r="O200" s="349" t="inlineStr">
        <x:is>
          <x:t xml:space="preserve">src/assets/audio/sfx/ui_click_v001.ogg</x:t>
        </x:is>
      </x:c>
      <x:c r="P200" s="349" t="inlineStr">
        <x:is>
          <x:t xml:space="preserve">src/assets/audio/sfx/ui_click.wav; src/音效接入说明.md</x:t>
        </x:is>
      </x:c>
      <x:c r="Q200" s="349" t="inlineStr">
        <x:is>
          <x:t xml:space="preserve">ui_click; 音效; OGG; Android; 移动端</x:t>
        </x:is>
      </x:c>
      <x:c r="R200" s="349" t="str">
        <x:f>LOWER(TRIM(C200)&amp;"|"&amp;TRIM(D200)&amp;"|"&amp;TRIM(E200)&amp;"|"&amp;TRIM(F200)&amp;"|"&amp;TRIM(H200)&amp;"|"&amp;TRIM(I200))</x:f>
        <x:v>音频|sfx|ui_click|runtime|全局/非空间|default</x:v>
      </x:c>
      <x:c r="S200" s="349" t="str">
        <x:f>IF(COUNTIF($R$6:$R$423,R200)&gt;1,"重复","唯一")</x:f>
        <x:v>唯一</x:v>
      </x:c>
      <x:c r="T200" s="349" t="inlineStr">
        <x:is>
          <x:t xml:space="preserve">a19f1bec70959ea5fd4715ee292080f9932fc3835b060b713a00fc19822fc3a5</x:t>
        </x:is>
      </x:c>
      <x:c r="U200" s="349" t="inlineStr">
        <x:is>
          <x:t xml:space="preserve">Codex</x:t>
        </x:is>
      </x:c>
      <x:c r="V200" s="348" t="n">
        <x:v>46241</x:v>
      </x:c>
      <x:c r="W200" s="349" t="inlineStr">
        <x:is>
          <x:t xml:space="preserve">项目WAV母版转码</x:t>
        </x:is>
      </x:c>
      <x:c r="X200" s="375" t="inlineStr">
        <x:is>
          <x:t xml:space="preserve">—</x:t>
        </x:is>
      </x:c>
      <x:c r="Y200" s="349" t="inlineStr">
        <x:is>
          <x:t xml:space="preserve">正式运行OGG；WAV仅作母版；AudioManager事件=ui_click；Android/桌面统一版本化路径，禁止旧音效回退。</x:t>
        </x:is>
      </x:c>
    </x:row>
    <x:row r="201" ht="44" customHeight="1">
      <x:c r="A201" s="349" t="inlineStr">
        <x:is>
          <x:t xml:space="preserve">AUD-SFX-UI-ERROR</x:t>
        </x:is>
      </x:c>
      <x:c r="B201" s="349" t="inlineStr">
        <x:is>
          <x:t xml:space="preserve">UI错误音效</x:t>
        </x:is>
      </x:c>
      <x:c r="C201" s="349" t="inlineStr">
        <x:is>
          <x:t xml:space="preserve">音频</x:t>
        </x:is>
      </x:c>
      <x:c r="D201" s="349" t="inlineStr">
        <x:is>
          <x:t xml:space="preserve">sfx</x:t>
        </x:is>
      </x:c>
      <x:c r="E201" s="349" t="inlineStr">
        <x:is>
          <x:t xml:space="preserve">ui_error</x:t>
        </x:is>
      </x:c>
      <x:c r="F201" s="349" t="inlineStr">
        <x:is>
          <x:t xml:space="preserve">runtime</x:t>
        </x:is>
      </x:c>
      <x:c r="G201" s="349" t="n"/>
      <x:c r="H201" s="349" t="inlineStr">
        <x:is>
          <x:t xml:space="preserve">全局/非空间</x:t>
        </x:is>
      </x:c>
      <x:c r="I201" s="349" t="inlineStr">
        <x:is>
          <x:t xml:space="preserve">default</x:t>
        </x:is>
      </x:c>
      <x:c r="J201" s="349" t="inlineStr">
        <x:is>
          <x:t xml:space="preserve">桌面与Android正式运行</x:t>
        </x:is>
      </x:c>
      <x:c r="K201" s="349" t="inlineStr">
        <x:is>
          <x:t xml:space="preserve">已完成</x:t>
        </x:is>
      </x:c>
      <x:c r="L201" s="349" t="inlineStr">
        <x:is>
          <x:t xml:space="preserve">P0</x:t>
        </x:is>
      </x:c>
      <x:c r="M201" s="349" t="inlineStr">
        <x:is>
          <x:t xml:space="preserve">v001</x:t>
        </x:is>
      </x:c>
      <x:c r="N201" s="349" t="inlineStr">
        <x:is>
          <x:t xml:space="preserve">44.1kHz / OGG Vorbis / stereo</x:t>
        </x:is>
      </x:c>
      <x:c r="O201" s="349" t="inlineStr">
        <x:is>
          <x:t xml:space="preserve">src/assets/audio/sfx/ui_error_v001.ogg</x:t>
        </x:is>
      </x:c>
      <x:c r="P201" s="349" t="inlineStr">
        <x:is>
          <x:t xml:space="preserve">src/assets/audio/sfx/ui_error.wav; src/音效接入说明.md</x:t>
        </x:is>
      </x:c>
      <x:c r="Q201" s="349" t="inlineStr">
        <x:is>
          <x:t xml:space="preserve">ui_error; 音效; OGG; Android; 移动端</x:t>
        </x:is>
      </x:c>
      <x:c r="R201" s="349" t="str">
        <x:f>LOWER(TRIM(C201)&amp;"|"&amp;TRIM(D201)&amp;"|"&amp;TRIM(E201)&amp;"|"&amp;TRIM(F201)&amp;"|"&amp;TRIM(H201)&amp;"|"&amp;TRIM(I201))</x:f>
        <x:v>音频|sfx|ui_error|runtime|全局/非空间|default</x:v>
      </x:c>
      <x:c r="S201" s="349" t="str">
        <x:f>IF(COUNTIF($R$6:$R$423,R201)&gt;1,"重复","唯一")</x:f>
        <x:v>唯一</x:v>
      </x:c>
      <x:c r="T201" s="349" t="inlineStr">
        <x:is>
          <x:t xml:space="preserve">eeb07b8cc575869b8d560c929431d8beb43eb533c9900403df6beb9bb83b9b5e</x:t>
        </x:is>
      </x:c>
      <x:c r="U201" s="349" t="inlineStr">
        <x:is>
          <x:t xml:space="preserve">Codex</x:t>
        </x:is>
      </x:c>
      <x:c r="V201" s="348" t="n">
        <x:v>46241</x:v>
      </x:c>
      <x:c r="W201" s="349" t="inlineStr">
        <x:is>
          <x:t xml:space="preserve">项目WAV母版转码</x:t>
        </x:is>
      </x:c>
      <x:c r="X201" s="375" t="inlineStr">
        <x:is>
          <x:t xml:space="preserve">—</x:t>
        </x:is>
      </x:c>
      <x:c r="Y201" s="349" t="inlineStr">
        <x:is>
          <x:t xml:space="preserve">正式运行OGG；WAV仅作母版；AudioManager事件=ui_error；Android/桌面统一版本化路径，禁止旧音效回退。</x:t>
        </x:is>
      </x:c>
    </x:row>
    <x:row r="202" ht="44" customHeight="1">
      <x:c r="A202" s="349" t="inlineStr">
        <x:is>
          <x:t xml:space="preserve">AUD-SFX-UI-HOVER</x:t>
        </x:is>
      </x:c>
      <x:c r="B202" s="349" t="inlineStr">
        <x:is>
          <x:t xml:space="preserve">UI悬停音效</x:t>
        </x:is>
      </x:c>
      <x:c r="C202" s="349" t="inlineStr">
        <x:is>
          <x:t xml:space="preserve">音频</x:t>
        </x:is>
      </x:c>
      <x:c r="D202" s="349" t="inlineStr">
        <x:is>
          <x:t xml:space="preserve">sfx</x:t>
        </x:is>
      </x:c>
      <x:c r="E202" s="349" t="inlineStr">
        <x:is>
          <x:t xml:space="preserve">ui_hover</x:t>
        </x:is>
      </x:c>
      <x:c r="F202" s="349" t="inlineStr">
        <x:is>
          <x:t xml:space="preserve">runtime</x:t>
        </x:is>
      </x:c>
      <x:c r="G202" s="349" t="n"/>
      <x:c r="H202" s="349" t="inlineStr">
        <x:is>
          <x:t xml:space="preserve">全局/非空间</x:t>
        </x:is>
      </x:c>
      <x:c r="I202" s="349" t="inlineStr">
        <x:is>
          <x:t xml:space="preserve">default</x:t>
        </x:is>
      </x:c>
      <x:c r="J202" s="349" t="inlineStr">
        <x:is>
          <x:t xml:space="preserve">桌面与Android正式运行</x:t>
        </x:is>
      </x:c>
      <x:c r="K202" s="349" t="inlineStr">
        <x:is>
          <x:t xml:space="preserve">已完成</x:t>
        </x:is>
      </x:c>
      <x:c r="L202" s="349" t="inlineStr">
        <x:is>
          <x:t xml:space="preserve">P0</x:t>
        </x:is>
      </x:c>
      <x:c r="M202" s="349" t="inlineStr">
        <x:is>
          <x:t xml:space="preserve">v001</x:t>
        </x:is>
      </x:c>
      <x:c r="N202" s="349" t="inlineStr">
        <x:is>
          <x:t xml:space="preserve">44.1kHz / OGG Vorbis / stereo</x:t>
        </x:is>
      </x:c>
      <x:c r="O202" s="349" t="inlineStr">
        <x:is>
          <x:t xml:space="preserve">src/assets/audio/sfx/ui_hover_v001.ogg</x:t>
        </x:is>
      </x:c>
      <x:c r="P202" s="349" t="inlineStr">
        <x:is>
          <x:t xml:space="preserve">src/assets/audio/sfx/ui_hover.wav; src/音效接入说明.md</x:t>
        </x:is>
      </x:c>
      <x:c r="Q202" s="349" t="inlineStr">
        <x:is>
          <x:t xml:space="preserve">ui_hover; 音效; OGG; Android; 移动端</x:t>
        </x:is>
      </x:c>
      <x:c r="R202" s="349" t="str">
        <x:f>LOWER(TRIM(C202)&amp;"|"&amp;TRIM(D202)&amp;"|"&amp;TRIM(E202)&amp;"|"&amp;TRIM(F202)&amp;"|"&amp;TRIM(H202)&amp;"|"&amp;TRIM(I202))</x:f>
        <x:v>音频|sfx|ui_hover|runtime|全局/非空间|default</x:v>
      </x:c>
      <x:c r="S202" s="349" t="str">
        <x:f>IF(COUNTIF($R$6:$R$423,R202)&gt;1,"重复","唯一")</x:f>
        <x:v>唯一</x:v>
      </x:c>
      <x:c r="T202" s="349" t="inlineStr">
        <x:is>
          <x:t xml:space="preserve">edb43f0a80a9833364555c052e01e898d39396bef925566cbadf34e009877bcb</x:t>
        </x:is>
      </x:c>
      <x:c r="U202" s="349" t="inlineStr">
        <x:is>
          <x:t xml:space="preserve">Codex</x:t>
        </x:is>
      </x:c>
      <x:c r="V202" s="348" t="n">
        <x:v>46241</x:v>
      </x:c>
      <x:c r="W202" s="349" t="inlineStr">
        <x:is>
          <x:t xml:space="preserve">项目WAV母版转码</x:t>
        </x:is>
      </x:c>
      <x:c r="X202" s="375" t="inlineStr">
        <x:is>
          <x:t xml:space="preserve">—</x:t>
        </x:is>
      </x:c>
      <x:c r="Y202" s="349" t="inlineStr">
        <x:is>
          <x:t xml:space="preserve">正式运行OGG；WAV仅作母版；AudioManager事件=ui_hover；Android/桌面统一版本化路径，禁止旧音效回退。</x:t>
        </x:is>
      </x:c>
    </x:row>
    <x:row r="203" ht="44" customHeight="1">
      <x:c r="A203" s="349" t="inlineStr">
        <x:is>
          <x:t xml:space="preserve">AUD-SFX-WAVE-CLEAR</x:t>
        </x:is>
      </x:c>
      <x:c r="B203" s="349" t="inlineStr">
        <x:is>
          <x:t xml:space="preserve">波次完成音效</x:t>
        </x:is>
      </x:c>
      <x:c r="C203" s="349" t="inlineStr">
        <x:is>
          <x:t xml:space="preserve">音频</x:t>
        </x:is>
      </x:c>
      <x:c r="D203" s="349" t="inlineStr">
        <x:is>
          <x:t xml:space="preserve">sfx</x:t>
        </x:is>
      </x:c>
      <x:c r="E203" s="349" t="inlineStr">
        <x:is>
          <x:t xml:space="preserve">wave_clear</x:t>
        </x:is>
      </x:c>
      <x:c r="F203" s="349" t="inlineStr">
        <x:is>
          <x:t xml:space="preserve">runtime</x:t>
        </x:is>
      </x:c>
      <x:c r="G203" s="349" t="n"/>
      <x:c r="H203" s="349" t="inlineStr">
        <x:is>
          <x:t xml:space="preserve">全局/非空间</x:t>
        </x:is>
      </x:c>
      <x:c r="I203" s="349" t="inlineStr">
        <x:is>
          <x:t xml:space="preserve">default</x:t>
        </x:is>
      </x:c>
      <x:c r="J203" s="349" t="inlineStr">
        <x:is>
          <x:t xml:space="preserve">桌面与Android正式运行</x:t>
        </x:is>
      </x:c>
      <x:c r="K203" s="349" t="inlineStr">
        <x:is>
          <x:t xml:space="preserve">已完成</x:t>
        </x:is>
      </x:c>
      <x:c r="L203" s="349" t="inlineStr">
        <x:is>
          <x:t xml:space="preserve">P0</x:t>
        </x:is>
      </x:c>
      <x:c r="M203" s="349" t="inlineStr">
        <x:is>
          <x:t xml:space="preserve">v001</x:t>
        </x:is>
      </x:c>
      <x:c r="N203" s="349" t="inlineStr">
        <x:is>
          <x:t xml:space="preserve">44.1kHz / OGG Vorbis / stereo</x:t>
        </x:is>
      </x:c>
      <x:c r="O203" s="349" t="inlineStr">
        <x:is>
          <x:t xml:space="preserve">src/assets/audio/sfx/wave_clear_v001.ogg</x:t>
        </x:is>
      </x:c>
      <x:c r="P203" s="349" t="inlineStr">
        <x:is>
          <x:t xml:space="preserve">src/assets/audio/sfx/wave_clear.wav; src/音效接入说明.md</x:t>
        </x:is>
      </x:c>
      <x:c r="Q203" s="349" t="inlineStr">
        <x:is>
          <x:t xml:space="preserve">wave_clear; 音效; OGG; Android; 移动端</x:t>
        </x:is>
      </x:c>
      <x:c r="R203" s="349" t="str">
        <x:f>LOWER(TRIM(C203)&amp;"|"&amp;TRIM(D203)&amp;"|"&amp;TRIM(E203)&amp;"|"&amp;TRIM(F203)&amp;"|"&amp;TRIM(H203)&amp;"|"&amp;TRIM(I203))</x:f>
        <x:v>音频|sfx|wave_clear|runtime|全局/非空间|default</x:v>
      </x:c>
      <x:c r="S203" s="349" t="str">
        <x:f>IF(COUNTIF($R$6:$R$423,R203)&gt;1,"重复","唯一")</x:f>
        <x:v>唯一</x:v>
      </x:c>
      <x:c r="T203" s="349" t="inlineStr">
        <x:is>
          <x:t xml:space="preserve">aa4d315fd2914681fc9a44533dc4470186f3b3349e88782a9d4a00730b5377a2</x:t>
        </x:is>
      </x:c>
      <x:c r="U203" s="349" t="inlineStr">
        <x:is>
          <x:t xml:space="preserve">Codex</x:t>
        </x:is>
      </x:c>
      <x:c r="V203" s="348" t="n">
        <x:v>46241</x:v>
      </x:c>
      <x:c r="W203" s="349" t="inlineStr">
        <x:is>
          <x:t xml:space="preserve">项目WAV母版转码</x:t>
        </x:is>
      </x:c>
      <x:c r="X203" s="375" t="inlineStr">
        <x:is>
          <x:t xml:space="preserve">—</x:t>
        </x:is>
      </x:c>
      <x:c r="Y203" s="349" t="inlineStr">
        <x:is>
          <x:t xml:space="preserve">正式运行OGG；WAV仅作母版；AudioManager事件=wave_clear；Android/桌面统一版本化路径，禁止旧音效回退。</x:t>
        </x:is>
      </x:c>
    </x:row>
    <x:row r="204" ht="44" customHeight="1">
      <x:c r="A204" s="349" t="inlineStr">
        <x:is>
          <x:t xml:space="preserve">AUD-SFX-WAVE-START</x:t>
        </x:is>
      </x:c>
      <x:c r="B204" s="349" t="inlineStr">
        <x:is>
          <x:t xml:space="preserve">波次开始音效</x:t>
        </x:is>
      </x:c>
      <x:c r="C204" s="349" t="inlineStr">
        <x:is>
          <x:t xml:space="preserve">音频</x:t>
        </x:is>
      </x:c>
      <x:c r="D204" s="349" t="inlineStr">
        <x:is>
          <x:t xml:space="preserve">sfx</x:t>
        </x:is>
      </x:c>
      <x:c r="E204" s="349" t="inlineStr">
        <x:is>
          <x:t xml:space="preserve">wave_start</x:t>
        </x:is>
      </x:c>
      <x:c r="F204" s="349" t="inlineStr">
        <x:is>
          <x:t xml:space="preserve">runtime</x:t>
        </x:is>
      </x:c>
      <x:c r="G204" s="349" t="n"/>
      <x:c r="H204" s="349" t="inlineStr">
        <x:is>
          <x:t xml:space="preserve">全局/非空间</x:t>
        </x:is>
      </x:c>
      <x:c r="I204" s="349" t="inlineStr">
        <x:is>
          <x:t xml:space="preserve">default</x:t>
        </x:is>
      </x:c>
      <x:c r="J204" s="349" t="inlineStr">
        <x:is>
          <x:t xml:space="preserve">桌面与Android正式运行</x:t>
        </x:is>
      </x:c>
      <x:c r="K204" s="349" t="inlineStr">
        <x:is>
          <x:t xml:space="preserve">已完成</x:t>
        </x:is>
      </x:c>
      <x:c r="L204" s="349" t="inlineStr">
        <x:is>
          <x:t xml:space="preserve">P0</x:t>
        </x:is>
      </x:c>
      <x:c r="M204" s="349" t="inlineStr">
        <x:is>
          <x:t xml:space="preserve">v001</x:t>
        </x:is>
      </x:c>
      <x:c r="N204" s="349" t="inlineStr">
        <x:is>
          <x:t xml:space="preserve">44.1kHz / OGG Vorbis / stereo</x:t>
        </x:is>
      </x:c>
      <x:c r="O204" s="349" t="inlineStr">
        <x:is>
          <x:t xml:space="preserve">src/assets/audio/sfx/wave_start_v001.ogg</x:t>
        </x:is>
      </x:c>
      <x:c r="P204" s="349" t="inlineStr">
        <x:is>
          <x:t xml:space="preserve">src/assets/audio/sfx/wave_start.wav; src/音效接入说明.md</x:t>
        </x:is>
      </x:c>
      <x:c r="Q204" s="349" t="inlineStr">
        <x:is>
          <x:t xml:space="preserve">wave_start; 音效; OGG; Android; 移动端</x:t>
        </x:is>
      </x:c>
      <x:c r="R204" s="349" t="str">
        <x:f>LOWER(TRIM(C204)&amp;"|"&amp;TRIM(D204)&amp;"|"&amp;TRIM(E204)&amp;"|"&amp;TRIM(F204)&amp;"|"&amp;TRIM(H204)&amp;"|"&amp;TRIM(I204))</x:f>
        <x:v>音频|sfx|wave_start|runtime|全局/非空间|default</x:v>
      </x:c>
      <x:c r="S204" s="349" t="str">
        <x:f>IF(COUNTIF($R$6:$R$423,R204)&gt;1,"重复","唯一")</x:f>
        <x:v>唯一</x:v>
      </x:c>
      <x:c r="T204" s="349" t="inlineStr">
        <x:is>
          <x:t xml:space="preserve">be26cec7935eda95510b606cfc8bbebc5fe6f6d4310008a363d889f4bbef6083</x:t>
        </x:is>
      </x:c>
      <x:c r="U204" s="349" t="inlineStr">
        <x:is>
          <x:t xml:space="preserve">Codex</x:t>
        </x:is>
      </x:c>
      <x:c r="V204" s="348" t="n">
        <x:v>46241</x:v>
      </x:c>
      <x:c r="W204" s="349" t="inlineStr">
        <x:is>
          <x:t xml:space="preserve">项目WAV母版转码</x:t>
        </x:is>
      </x:c>
      <x:c r="X204" s="375" t="inlineStr">
        <x:is>
          <x:t xml:space="preserve">—</x:t>
        </x:is>
      </x:c>
      <x:c r="Y204" s="349" t="inlineStr">
        <x:is>
          <x:t xml:space="preserve">正式运行OGG；WAV仅作母版；AudioManager事件=wave_start；Android/桌面统一版本化路径，禁止旧音效回退。</x:t>
        </x:is>
      </x:c>
    </x:row>
    <x:row r="205">
      <x:c r="A205" s="349" t="inlineStr">
        <x:is>
          <x:t xml:space="preserve">CHR-PLY-CAPSULE01-3D-BUNNY01-LOWER-BODY-SOCKET</x:t>
        </x:is>
      </x:c>
      <x:c r="B205" s="349" t="inlineStr">
        <x:is>
          <x:t xml:space="preserve">兔子主角下身配件挂点</x:t>
        </x:is>
      </x:c>
      <x:c r="C205" s="349" t="inlineStr">
        <x:is>
          <x:t xml:space="preserve">角色</x:t>
        </x:is>
      </x:c>
      <x:c r="D205" s="349" t="inlineStr">
        <x:is>
          <x:t xml:space="preserve">player_accessory_socket</x:t>
        </x:is>
      </x:c>
      <x:c r="E205" s="349" t="inlineStr">
        <x:is>
          <x:t xml:space="preserve">player_capsule01</x:t>
        </x:is>
      </x:c>
      <x:c r="F205" s="349" t="inlineStr">
        <x:is>
          <x:t xml:space="preserve">lower_body_socket_3d_bunny01</x:t>
        </x:is>
      </x:c>
      <x:c r="G205" s="349" t="inlineStr">
        <x:is>
          <x:t xml:space="preserve">CHR-PLY-CAPSULE01-3D-BUNNY01-BODY</x:t>
        </x:is>
      </x:c>
      <x:c r="H205" s="349" t="inlineStr">
        <x:is>
          <x:t xml:space="preserve">俯视3D</x:t>
        </x:is>
      </x:c>
      <x:c r="I205" s="349" t="inlineStr">
        <x:is>
          <x:t xml:space="preserve">default</x:t>
        </x:is>
      </x:c>
      <x:c r="J205" s="349" t="inlineStr">
        <x:is>
          <x:t xml:space="preserve">3D玩家下身配件</x:t>
        </x:is>
      </x:c>
      <x:c r="K205" s="349" t="inlineStr">
        <x:is>
          <x:t xml:space="preserve">原型已接入</x:t>
        </x:is>
      </x:c>
      <x:c r="L205" s="349" t="inlineStr">
        <x:is>
          <x:t xml:space="preserve">P0</x:t>
        </x:is>
      </x:c>
      <x:c r="M205" s="349" t="inlineStr">
        <x:is>
          <x:t xml:space="preserve">v021</x:t>
        </x:is>
      </x:c>
      <x:c r="N205" s="349" t="inlineStr">
        <x:is>
          <x:t xml:space="preserve">Marker3D；BodyJoint local=(0,0.14,0)</x:t>
        </x:is>
      </x:c>
      <x:c r="O205" s="349" t="inlineStr">
        <x:is>
          <x:t xml:space="preserve">assets/art/characters/player/chr_player_capsule01_3d/variants/bunny01/production/v021/runtime/chr_bunny01_root_v021.tscn</x:t>
        </x:is>
      </x:c>
      <x:c r="P205" s="349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05" s="349" t="inlineStr">
        <x:is>
          <x:t xml:space="preserve">下身挂点;腰部挂点;裙子;裙摆;腰甲;LowerBodySocket;lower_body</x:t>
        </x:is>
      </x:c>
      <x:c r="R205" s="349" t="str">
        <x:f>LOWER(TRIM(C205)&amp;"|"&amp;TRIM(D205)&amp;"|"&amp;TRIM(E205)&amp;"|"&amp;TRIM(F205)&amp;"|"&amp;TRIM(H205)&amp;"|"&amp;TRIM(I205))</x:f>
        <x:v>角色|player_accessory_socket|player_capsule01|lower_body_socket_3d_bunny01|俯视3d|default</x:v>
      </x:c>
      <x:c r="S205" s="349" t="str">
        <x:f>IF(COUNTIF($R$6:$R$423,R205)&gt;1,"重复","唯一")</x:f>
        <x:v>唯一</x:v>
      </x:c>
      <x:c r="T205" s="349" t="inlineStr">
        <x:is>
          <x:t xml:space="preserve">e9cac2738d9fa586eed9f2e97a93ff220cab52b60d89f53f4cd80e38ebc9b6c4</x:t>
        </x:is>
      </x:c>
      <x:c r="U205" s="349" t="inlineStr">
        <x:is>
          <x:t xml:space="preserve">Codex</x:t>
        </x:is>
      </x:c>
      <x:c r="V205" s="348" t="n">
        <x:v>46264</x:v>
      </x:c>
      <x:c r="W205" s="349" t="inlineStr">
        <x:is>
          <x:t xml:space="preserve">原创程序挂点</x:t>
        </x:is>
      </x:c>
      <x:c r="X205" s="375" t="inlineStr">
        <x:is>
          <x:t xml:space="preserve">—</x:t>
        </x:is>
      </x:c>
      <x:c r="Y205" s="349" t="inlineStr">
        <x:is>
          <x:t xml:space="preserve">BodyJoint子节点；只承载裙摆、腰甲和下摆等表现附件；继承身体位置/旋转/缩放，不改变碰撞、移动、伤害或状态机。
2026-08-30 AST-02：补齐单一生产路径SHA；验收：verify_player3d_lower_body_socket_flow；SHA cbd405cbac3e。
2026-09-09：台账运行时路径同步为 Bunny v008；挂点位置与表现职责不变。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06">
      <x:c r="A206" s="349" t="inlineStr">
        <x:is>
          <x:t xml:space="preserve">WPN-MELEE-BP-GREATBLADE</x:t>
        </x:is>
      </x:c>
      <x:c r="B206" s="349" t="inlineStr">
        <x:is>
          <x:t xml:space="preserve">巨型工业断刃程序原型</x:t>
        </x:is>
      </x:c>
      <x:c r="C206" s="349" t="inlineStr">
        <x:is>
          <x:t xml:space="preserve">武器</x:t>
        </x:is>
      </x:c>
      <x:c r="D206" s="349" t="inlineStr">
        <x:is>
          <x:t xml:space="preserve">melee</x:t>
        </x:is>
      </x:c>
      <x:c r="E206" s="349" t="inlineStr">
        <x:is>
          <x:t xml:space="preserve">bp_greatblade</x:t>
        </x:is>
      </x:c>
      <x:c r="F206" s="349" t="inlineStr">
        <x:is>
          <x:t xml:space="preserve">root</x:t>
        </x:is>
      </x:c>
      <x:c r="G206" s="349" t="n"/>
      <x:c r="H206" s="349" t="inlineStr">
        <x:is>
          <x:t xml:space="preserve">俯视3D</x:t>
        </x:is>
      </x:c>
      <x:c r="I206" s="349" t="inlineStr">
        <x:is>
          <x:t xml:space="preserve">default / three_step_combo</x:t>
        </x:is>
      </x:c>
      <x:c r="J206" s="349" t="inlineStr">
        <x:is>
          <x:t xml:space="preserve">手持/背负/地面/背包图标/表现页</x:t>
        </x:is>
      </x:c>
      <x:c r="K206" s="349" t="inlineStr">
        <x:is>
          <x:t xml:space="preserve">程序占位</x:t>
        </x:is>
      </x:c>
      <x:c r="L206" s="349" t="inlineStr">
        <x:is>
          <x:t xml:space="preserve">P0</x:t>
        </x:is>
      </x:c>
      <x:c r="M206" s="349" t="inlineStr">
        <x:is>
          <x:t xml:space="preserve">v001</x:t>
        </x:is>
      </x:c>
      <x:c r="N206" s="349" t="inlineStr">
        <x:is>
          <x:t xml:space="preserve">程序Mesh；0.82×0.30×2.42m；无碰撞</x:t>
        </x:is>
      </x:c>
      <x:c r="O206" s="349" t="inlineStr">
        <x:is>
          <x:t xml:space="preserve">assets/art/weapons/melee_3d/wpn_melee_greatblade_root_top3d_v001.tscn</x:t>
        </x:is>
      </x:c>
      <x:c r="P206" s="349" t="inlineStr">
        <x:is>
          <x:t xml:space="preserve">src/combat3d/MeleeWeaponVisual3D.gd; src/player3d/melee/PlayerMeleeCombat3D.gd</x:t>
        </x:is>
      </x:c>
      <x:c r="Q206" s="349" t="inlineStr">
        <x:is>
          <x:t xml:space="preserve">近战;大型武器;工业断刃;三段连击;greatblade;melee</x:t>
        </x:is>
      </x:c>
      <x:c r="R206" s="349" t="str">
        <x:f>LOWER(TRIM(C206)&amp;"|"&amp;TRIM(D206)&amp;"|"&amp;TRIM(E206)&amp;"|"&amp;TRIM(F206)&amp;"|"&amp;TRIM(H206)&amp;"|"&amp;TRIM(I206))</x:f>
        <x:v>武器|melee|bp_greatblade|root|俯视3d|default / three_step_combo</x:v>
      </x:c>
      <x:c r="S206" s="349" t="str">
        <x:f>IF(COUNTIF($R$6:$R$423,R206)&gt;1,"重复","唯一")</x:f>
        <x:v>唯一</x:v>
      </x:c>
      <x:c r="T206" s="349" t="n"/>
      <x:c r="U206" s="349" t="inlineStr">
        <x:is>
          <x:t xml:space="preserve">Codex</x:t>
        </x:is>
      </x:c>
      <x:c r="V206" s="348" t="n">
        <x:v>46244</x:v>
      </x:c>
      <x:c r="W206" s="349" t="inlineStr">
        <x:is>
          <x:t xml:space="preserve">原创程序原型</x:t>
        </x:is>
      </x:c>
      <x:c r="X206" s="375" t="inlineStr">
        <x:is>
          <x:t xml:space="preserve">—</x:t>
        </x:is>
      </x:c>
      <x:c r="Y206" s="349" t="inlineStr">
        <x:is>
          <x:t xml:space="preserve">总长2.42m；双手重型持握；四态动作子状态机；三段池化弧光/命中爆点与专属挥砍/冲击音频已接入；最终美术替换保留握柄原点/local -Z与稳定ID。</x:t>
        </x:is>
      </x:c>
    </x:row>
    <x:row r="207">
      <x:c r="A207" s="349" t="inlineStr">
        <x:is>
          <x:t xml:space="preserve">WPN-MELEE-BP-WARAXE</x:t>
        </x:is>
      </x:c>
      <x:c r="B207" s="349" t="inlineStr">
        <x:is>
          <x:t xml:space="preserve">攻城裂甲斧程序原型</x:t>
        </x:is>
      </x:c>
      <x:c r="C207" s="349" t="inlineStr">
        <x:is>
          <x:t xml:space="preserve">武器</x:t>
        </x:is>
      </x:c>
      <x:c r="D207" s="349" t="inlineStr">
        <x:is>
          <x:t xml:space="preserve">melee</x:t>
        </x:is>
      </x:c>
      <x:c r="E207" s="349" t="inlineStr">
        <x:is>
          <x:t xml:space="preserve">bp_waraxe</x:t>
        </x:is>
      </x:c>
      <x:c r="F207" s="349" t="inlineStr">
        <x:is>
          <x:t xml:space="preserve">root</x:t>
        </x:is>
      </x:c>
      <x:c r="G207" s="349" t="n"/>
      <x:c r="H207" s="349" t="inlineStr">
        <x:is>
          <x:t xml:space="preserve">俯视3D</x:t>
        </x:is>
      </x:c>
      <x:c r="I207" s="349" t="inlineStr">
        <x:is>
          <x:t xml:space="preserve">default / three_step_combo</x:t>
        </x:is>
      </x:c>
      <x:c r="J207" s="349" t="inlineStr">
        <x:is>
          <x:t xml:space="preserve">手持/背负/地面/背包图标/表现页</x:t>
        </x:is>
      </x:c>
      <x:c r="K207" s="349" t="inlineStr">
        <x:is>
          <x:t xml:space="preserve">程序占位</x:t>
        </x:is>
      </x:c>
      <x:c r="L207" s="349" t="inlineStr">
        <x:is>
          <x:t xml:space="preserve">P0</x:t>
        </x:is>
      </x:c>
      <x:c r="M207" s="349" t="inlineStr">
        <x:is>
          <x:t xml:space="preserve">v001</x:t>
        </x:is>
      </x:c>
      <x:c r="N207" s="349" t="inlineStr">
        <x:is>
          <x:t xml:space="preserve">程序Mesh；1.18×0.34×2.62m；无碰撞</x:t>
        </x:is>
      </x:c>
      <x:c r="O207" s="349" t="inlineStr">
        <x:is>
          <x:t xml:space="preserve">assets/art/weapons/melee_3d/wpn_melee_waraxe_root_top3d_v001.tscn</x:t>
        </x:is>
      </x:c>
      <x:c r="P207" s="349" t="inlineStr">
        <x:is>
          <x:t xml:space="preserve">src/combat3d/MeleeWeaponVisual3D.gd; src/player3d/melee/PlayerMeleeCombat3D.gd</x:t>
        </x:is>
      </x:c>
      <x:c r="Q207" s="349" t="inlineStr">
        <x:is>
          <x:t xml:space="preserve">近战;大型武器;攻城斧;三段连击;waraxe;melee</x:t>
        </x:is>
      </x:c>
      <x:c r="R207" s="349" t="str">
        <x:f>LOWER(TRIM(C207)&amp;"|"&amp;TRIM(D207)&amp;"|"&amp;TRIM(E207)&amp;"|"&amp;TRIM(F207)&amp;"|"&amp;TRIM(H207)&amp;"|"&amp;TRIM(I207))</x:f>
        <x:v>武器|melee|bp_waraxe|root|俯视3d|default / three_step_combo</x:v>
      </x:c>
      <x:c r="S207" s="349" t="str">
        <x:f>IF(COUNTIF($R$6:$R$423,R207)&gt;1,"重复","唯一")</x:f>
        <x:v>唯一</x:v>
      </x:c>
      <x:c r="T207" s="349" t="n"/>
      <x:c r="U207" s="349" t="inlineStr">
        <x:is>
          <x:t xml:space="preserve">Codex</x:t>
        </x:is>
      </x:c>
      <x:c r="V207" s="348" t="n">
        <x:v>46244</x:v>
      </x:c>
      <x:c r="W207" s="349" t="inlineStr">
        <x:is>
          <x:t xml:space="preserve">原创程序原型</x:t>
        </x:is>
      </x:c>
      <x:c r="X207" s="375" t="inlineStr">
        <x:is>
          <x:t xml:space="preserve">—</x:t>
        </x:is>
      </x:c>
      <x:c r="Y207" s="349" t="inlineStr">
        <x:is>
          <x:t xml:space="preserve">总长2.62m；高伤高击退；四态动作子状态机；第三段最大弧光并降低音高/提高冲击响度；最终美术替换保留握柄原点/local -Z与稳定ID。</x:t>
        </x:is>
      </x:c>
    </x:row>
    <x:row r="208">
      <x:c r="A208" s="349" t="inlineStr">
        <x:is>
          <x:t xml:space="preserve">AUD-SFX-MELEE-IMPACT</x:t>
        </x:is>
      </x:c>
      <x:c r="B208" s="349" t="inlineStr">
        <x:is>
          <x:t xml:space="preserve">近战命中主层音效</x:t>
        </x:is>
      </x:c>
      <x:c r="C208" s="349" t="inlineStr">
        <x:is>
          <x:t xml:space="preserve">音频</x:t>
        </x:is>
      </x:c>
      <x:c r="D208" s="349" t="inlineStr">
        <x:is>
          <x:t xml:space="preserve">sfx</x:t>
        </x:is>
      </x:c>
      <x:c r="E208" s="349" t="inlineStr">
        <x:is>
          <x:t xml:space="preserve">melee_impact</x:t>
        </x:is>
      </x:c>
      <x:c r="F208" s="349" t="inlineStr">
        <x:is>
          <x:t xml:space="preserve">runtime</x:t>
        </x:is>
      </x:c>
      <x:c r="G208" s="349" t="n"/>
      <x:c r="H208" s="349" t="inlineStr">
        <x:is>
          <x:t xml:space="preserve">全局/非空间</x:t>
        </x:is>
      </x:c>
      <x:c r="I208" s="349" t="inlineStr">
        <x:is>
          <x:t xml:space="preserve">default</x:t>
        </x:is>
      </x:c>
      <x:c r="J208" s="349" t="inlineStr">
        <x:is>
          <x:t xml:space="preserve">桌面与Android正式运行</x:t>
        </x:is>
      </x:c>
      <x:c r="K208" s="349" t="inlineStr">
        <x:is>
          <x:t xml:space="preserve">已完成</x:t>
        </x:is>
      </x:c>
      <x:c r="L208" s="349" t="inlineStr">
        <x:is>
          <x:t xml:space="preserve">P0</x:t>
        </x:is>
      </x:c>
      <x:c r="M208" s="349" t="inlineStr">
        <x:is>
          <x:t xml:space="preserve">v001</x:t>
        </x:is>
      </x:c>
      <x:c r="N208" s="349" t="inlineStr">
        <x:is>
          <x:t xml:space="preserve">44.1kHz / OGG Vorbis / stereo</x:t>
        </x:is>
      </x:c>
      <x:c r="O208" s="349" t="inlineStr">
        <x:is>
          <x:t xml:space="preserve">src/assets/audio/sfx/melee_impact_v001.ogg</x:t>
        </x:is>
      </x:c>
      <x:c r="P208" s="349" t="inlineStr">
        <x:is>
          <x:t xml:space="preserve">src/assets/audio/sfx/melee_impact.wav; src/音效接入说明.md</x:t>
        </x:is>
      </x:c>
      <x:c r="Q208" s="349" t="inlineStr">
        <x:is>
          <x:t xml:space="preserve">melee_impact; 近战命中; 打击; 冲击; OGG; Android</x:t>
        </x:is>
      </x:c>
      <x:c r="R208" s="349" t="str">
        <x:f>LOWER(TRIM(C208)&amp;"|"&amp;TRIM(D208)&amp;"|"&amp;TRIM(E208)&amp;"|"&amp;TRIM(F208)&amp;"|"&amp;TRIM(H208)&amp;"|"&amp;TRIM(I208))</x:f>
        <x:v>音频|sfx|melee_impact|runtime|全局/非空间|default</x:v>
      </x:c>
      <x:c r="S208" s="349" t="str">
        <x:f>IF(COUNTIF($R$6:$R$423,R208)&gt;1,"重复","唯一")</x:f>
        <x:v>唯一</x:v>
      </x:c>
      <x:c r="T208" s="349" t="inlineStr">
        <x:is>
          <x:t xml:space="preserve">adef9ec927d3d54967c605bfd3b779237e4f2b2b4430c30b4b656d4a204db8f8</x:t>
        </x:is>
      </x:c>
      <x:c r="U208" s="349" t="inlineStr">
        <x:is>
          <x:t xml:space="preserve">Codex</x:t>
        </x:is>
      </x:c>
      <x:c r="V208" s="349" t="n">
        <x:v>46244</x:v>
      </x:c>
      <x:c r="W208" s="349" t="inlineStr">
        <x:is>
          <x:t xml:space="preserve">原创程序合成母版</x:t>
        </x:is>
      </x:c>
      <x:c r="X208" s="375" t="inlineStr">
        <x:is>
          <x:t xml:space="preserve">—</x:t>
        </x:is>
      </x:c>
      <x:c r="Y208" s="349" t="inlineStr">
        <x:is>
          <x:t xml:space="preserve">正式运行OGG；WAV为原创程序合成母版；AudioManager事件=melee_impact；攻击级单次播放，敌人enemy_hit/crit_hit仍逐目标负责材质接触层。</x:t>
        </x:is>
      </x:c>
    </x:row>
    <x:row r="209">
      <x:c r="A209" s="349" t="inlineStr">
        <x:is>
          <x:t xml:space="preserve">AUD-SFX-MELEE-SWING</x:t>
        </x:is>
      </x:c>
      <x:c r="B209" s="349" t="inlineStr">
        <x:is>
          <x:t xml:space="preserve">近战挥砍空气层音效</x:t>
        </x:is>
      </x:c>
      <x:c r="C209" s="349" t="inlineStr">
        <x:is>
          <x:t xml:space="preserve">音频</x:t>
        </x:is>
      </x:c>
      <x:c r="D209" s="349" t="inlineStr">
        <x:is>
          <x:t xml:space="preserve">sfx</x:t>
        </x:is>
      </x:c>
      <x:c r="E209" s="349" t="inlineStr">
        <x:is>
          <x:t xml:space="preserve">melee_swing</x:t>
        </x:is>
      </x:c>
      <x:c r="F209" s="349" t="inlineStr">
        <x:is>
          <x:t xml:space="preserve">runtime</x:t>
        </x:is>
      </x:c>
      <x:c r="G209" s="349" t="n"/>
      <x:c r="H209" s="349" t="inlineStr">
        <x:is>
          <x:t xml:space="preserve">全局/非空间</x:t>
        </x:is>
      </x:c>
      <x:c r="I209" s="349" t="inlineStr">
        <x:is>
          <x:t xml:space="preserve">default</x:t>
        </x:is>
      </x:c>
      <x:c r="J209" s="349" t="inlineStr">
        <x:is>
          <x:t xml:space="preserve">桌面与Android正式运行</x:t>
        </x:is>
      </x:c>
      <x:c r="K209" s="349" t="inlineStr">
        <x:is>
          <x:t xml:space="preserve">已完成</x:t>
        </x:is>
      </x:c>
      <x:c r="L209" s="349" t="inlineStr">
        <x:is>
          <x:t xml:space="preserve">P0</x:t>
        </x:is>
      </x:c>
      <x:c r="M209" s="349" t="inlineStr">
        <x:is>
          <x:t xml:space="preserve">v001</x:t>
        </x:is>
      </x:c>
      <x:c r="N209" s="349" t="inlineStr">
        <x:is>
          <x:t xml:space="preserve">44.1kHz / OGG Vorbis / stereo</x:t>
        </x:is>
      </x:c>
      <x:c r="O209" s="349" t="inlineStr">
        <x:is>
          <x:t xml:space="preserve">src/assets/audio/sfx/melee_swing_v001.ogg</x:t>
        </x:is>
      </x:c>
      <x:c r="P209" s="349" t="inlineStr">
        <x:is>
          <x:t xml:space="preserve">src/assets/audio/sfx/melee_swing.wav; src/音效接入说明.md</x:t>
        </x:is>
      </x:c>
      <x:c r="Q209" s="349" t="inlineStr">
        <x:is>
          <x:t xml:space="preserve">melee_swing; 近战挥砍; 切风; 空气层; OGG; Android</x:t>
        </x:is>
      </x:c>
      <x:c r="R209" s="349" t="str">
        <x:f>LOWER(TRIM(C209)&amp;"|"&amp;TRIM(D209)&amp;"|"&amp;TRIM(E209)&amp;"|"&amp;TRIM(F209)&amp;"|"&amp;TRIM(H209)&amp;"|"&amp;TRIM(I209))</x:f>
        <x:v>音频|sfx|melee_swing|runtime|全局/非空间|default</x:v>
      </x:c>
      <x:c r="S209" s="349" t="str">
        <x:f>IF(COUNTIF($R$6:$R$423,R209)&gt;1,"重复","唯一")</x:f>
        <x:v>唯一</x:v>
      </x:c>
      <x:c r="T209" s="349" t="inlineStr">
        <x:is>
          <x:t xml:space="preserve">a3deeeeae55f1944ccf5df07167dad6c5cc4ac2869cf7b397383ce9828cfdad4</x:t>
        </x:is>
      </x:c>
      <x:c r="U209" s="349" t="inlineStr">
        <x:is>
          <x:t xml:space="preserve">Codex</x:t>
        </x:is>
      </x:c>
      <x:c r="V209" s="349" t="n">
        <x:v>46244</x:v>
      </x:c>
      <x:c r="W209" s="349" t="inlineStr">
        <x:is>
          <x:t xml:space="preserve">原创程序合成母版</x:t>
        </x:is>
      </x:c>
      <x:c r="X209" s="375" t="inlineStr">
        <x:is>
          <x:t xml:space="preserve">—</x:t>
        </x:is>
      </x:c>
      <x:c r="Y209" s="349" t="inlineStr">
        <x:is>
          <x:t xml:space="preserve">正式运行OGG；WAV为原创程序合成母版；AudioManager事件=melee_swing；每段active一次，按连段与武器类型固定调整音高/响度。</x:t>
        </x:is>
      </x:c>
    </x:row>
    <x:row r="210">
      <x:c r="A210" s="349" t="inlineStr">
        <x:is>
          <x:t xml:space="preserve">WPN-MELEE-BP-BASEBALL-BAT</x:t>
        </x:is>
      </x:c>
      <x:c r="B210" s="349" t="inlineStr">
        <x:is>
          <x:t xml:space="preserve">废土棒球棍程序原型</x:t>
        </x:is>
      </x:c>
      <x:c r="C210" s="349" t="inlineStr">
        <x:is>
          <x:t xml:space="preserve">武器</x:t>
        </x:is>
      </x:c>
      <x:c r="D210" s="349" t="inlineStr">
        <x:is>
          <x:t xml:space="preserve">melee</x:t>
        </x:is>
      </x:c>
      <x:c r="E210" s="349" t="inlineStr">
        <x:is>
          <x:t xml:space="preserve">bp_baseball_bat</x:t>
        </x:is>
      </x:c>
      <x:c r="F210" s="349" t="inlineStr">
        <x:is>
          <x:t xml:space="preserve">root</x:t>
        </x:is>
      </x:c>
      <x:c r="G210" s="349" t="n"/>
      <x:c r="H210" s="349" t="inlineStr">
        <x:is>
          <x:t xml:space="preserve">俯视3D</x:t>
        </x:is>
      </x:c>
      <x:c r="I210" s="349" t="inlineStr">
        <x:is>
          <x:t xml:space="preserve">default / three_step_combo</x:t>
        </x:is>
      </x:c>
      <x:c r="J210" s="349" t="inlineStr">
        <x:is>
          <x:t xml:space="preserve">手持/背负/地面/背包图标/表现页/基地贩卖机</x:t>
        </x:is>
      </x:c>
      <x:c r="K210" s="349" t="inlineStr">
        <x:is>
          <x:t xml:space="preserve">程序占位</x:t>
        </x:is>
      </x:c>
      <x:c r="L210" s="349" t="inlineStr">
        <x:is>
          <x:t xml:space="preserve">P0</x:t>
        </x:is>
      </x:c>
      <x:c r="M210" s="349" t="inlineStr">
        <x:is>
          <x:t xml:space="preserve">v001</x:t>
        </x:is>
      </x:c>
      <x:c r="N210" s="349" t="inlineStr">
        <x:is>
          <x:t xml:space="preserve">程序Mesh；0.28×0.28×1.48m；无碰撞</x:t>
        </x:is>
      </x:c>
      <x:c r="O210" s="349" t="inlineStr">
        <x:is>
          <x:t xml:space="preserve">assets/art/weapons/melee_3d/wpn_melee_baseball_bat_root_top3d_v001.tscn</x:t>
        </x:is>
      </x:c>
      <x:c r="P210" s="349" t="inlineStr">
        <x:is>
          <x:t xml:space="preserve">src/combat3d/MeleeWeaponVisual3D.gd; src/player3d/melee/PlayerMeleeCombat3D.gd; tests/verification/verify_weapon_attachment_inventory_flow.gd</x:t>
        </x:is>
      </x:c>
      <x:c r="Q210" s="349" t="inlineStr">
        <x:is>
          <x:t xml:space="preserve">近战;初级武器;棒球棍;三段连击;baseball_bat;melee;基地贩卖机</x:t>
        </x:is>
      </x:c>
      <x:c r="R210" s="349" t="str">
        <x:f>LOWER(TRIM(C210)&amp;"|"&amp;TRIM(D210)&amp;"|"&amp;TRIM(E210)&amp;"|"&amp;TRIM(F210)&amp;"|"&amp;TRIM(H210)&amp;"|"&amp;TRIM(I210))</x:f>
        <x:v>武器|melee|bp_baseball_bat|root|俯视3d|default / three_step_combo</x:v>
      </x:c>
      <x:c r="S210" s="349" t="str">
        <x:f>IF(COUNTIF($R$6:$R$423,R210)&gt;1,"重复","唯一")</x:f>
        <x:v>唯一</x:v>
      </x:c>
      <x:c r="T210" s="349" t="inlineStr">
        <x:is>
          <x:t xml:space="preserve">700ecf26ca26d653967db40dbe48f8572387ae63b43a1428aa54721c25ca7b0a</x:t>
        </x:is>
      </x:c>
      <x:c r="U210" s="349" t="inlineStr">
        <x:is>
          <x:t xml:space="preserve">Codex</x:t>
        </x:is>
      </x:c>
      <x:c r="V210" s="349" t="n">
        <x:v>46244</x:v>
      </x:c>
      <x:c r="W210" s="349" t="inlineStr">
        <x:is>
          <x:t xml:space="preserve">原创程序原型</x:t>
        </x:is>
      </x:c>
      <x:c r="X210" s="375" t="inlineStr">
        <x:is>
          <x:t xml:space="preserve">—</x:t>
        </x:is>
      </x:c>
      <x:c r="Y210" s="349" t="inlineStr">
        <x:is>
          <x:t xml:space="preserve">基地45魂初级近战；三段快速挥击、第三段强化击退；复用近战四态、弧光/命中VFX和版本化音频。最终美术替换须保留握柄原点/local -Z与稳定ID。</x:t>
        </x:is>
      </x:c>
    </x:row>
    <x:row r="211">
      <x:c r="A211" s="138" t="inlineStr">
        <x:is>
          <x:t xml:space="preserve">WPN-GUN-FUTURE-MEGAPHONE-CANNON-3D</x:t>
        </x:is>
      </x:c>
      <x:c r="B211" s="138" t="inlineStr">
        <x:is>
          <x:t xml:space="preserve">扩音器加农炮</x:t>
        </x:is>
      </x:c>
      <x:c r="C211" s="138" t="inlineStr">
        <x:is>
          <x:t xml:space="preserve">武器</x:t>
        </x:is>
      </x:c>
      <x:c r="D211" s="138" t="inlineStr">
        <x:is>
          <x:t xml:space="preserve">gunbody</x:t>
        </x:is>
      </x:c>
      <x:c r="E211" s="138" t="inlineStr">
        <x:is>
          <x:t xml:space="preserve">future_megaphone_cannon</x:t>
        </x:is>
      </x:c>
      <x:c r="F211" s="138" t="inlineStr">
        <x:is>
          <x:t xml:space="preserve">root</x:t>
        </x:is>
      </x:c>
      <x:c r="G211" s="138" t="n"/>
      <x:c r="H211" s="138" t="inlineStr">
        <x:is>
          <x:t xml:space="preserve">俯视3D / local -Z 枪口</x:t>
        </x:is>
      </x:c>
      <x:c r="I211" s="138" t="inlineStr">
        <x:is>
          <x:t xml:space="preserve">default / 标准握把与8类挂点</x:t>
        </x:is>
      </x:c>
      <x:c r="J211" s="138" t="inlineStr">
        <x:is>
          <x:t xml:space="preserve">未来枪械池/独立资产</x:t>
        </x:is>
      </x:c>
      <x:c r="K211" s="138" t="inlineStr">
        <x:is>
          <x:t xml:space="preserve">已完成</x:t>
        </x:is>
      </x:c>
      <x:c r="L211" s="138" t="inlineStr">
        <x:is>
          <x:t xml:space="preserve">P2</x:t>
        </x:is>
      </x:c>
      <x:c r="M211" s="138" t="inlineStr">
        <x:is>
          <x:t xml:space="preserve">v001</x:t>
        </x:is>
      </x:c>
      <x:c r="N211" s="138" t="inlineStr">
        <x:is>
          <x:t xml:space="preserve">握把原点；local -Z枪口；3材质；独立GLB/PackedScene</x:t>
        </x:is>
      </x:c>
      <x:c r="O211" s="138" t="inlineStr">
        <x:is>
          <x:t xml:space="preserve">assets/art/weapons/weapon_3d/runtime/megaphone_cannon/wpn_megaphone_cannon_root_top3d_v001.tscn</x:t>
        </x:is>
      </x:c>
      <x:c r="P211" s="138" t="inlineStr">
        <x:is>
          <x:t xml:space="preserve">assets/art/weapons/weapon_3d/source/megaphone_cannon/wpn_megaphone_cannon_source_v001.blend</x:t>
        </x:is>
      </x:c>
      <x:c r="Q211" s="138" t="inlineStr">
        <x:is>
          <x:t xml:space="preserve">megaphone_cannon; 扩音器加农炮; 未来枪械; 通用挂点; 多巴胺配色</x:t>
        </x:is>
      </x:c>
      <x:c r="R211" s="138" t="str">
        <x:f>LOWER(TRIM(C211)&amp;"|"&amp;TRIM(D211)&amp;"|"&amp;TRIM(E211)&amp;"|"&amp;TRIM(F211)&amp;"|"&amp;TRIM(H211)&amp;"|"&amp;TRIM(I211))</x:f>
        <x:v>武器|gunbody|future_megaphone_cannon|root|俯视3d / local -z 枪口|default / 标准握把与8类挂点</x:v>
      </x:c>
      <x:c r="S211" s="138" t="str">
        <x:f>IF(COUNTIF($R$6:$R$423,R211)&gt;1,"重复","唯一")</x:f>
        <x:v>唯一</x:v>
      </x:c>
      <x:c r="T211" s="138" t="inlineStr">
        <x:is>
          <x:t xml:space="preserve">05d5f8631ae0e809f42dc4c103dae5eba8613929a0ce019b8ee17f0a508fb6e7</x:t>
        </x:is>
      </x:c>
      <x:c r="U211" s="138" t="inlineStr">
        <x:is>
          <x:t xml:space="preserve">Codex</x:t>
        </x:is>
      </x:c>
      <x:c r="V211" s="303" t="n">
        <x:v>46264</x:v>
      </x:c>
      <x:c r="W211" s="138" t="inlineStr">
        <x:is>
          <x:t xml:space="preserve">用户自制Blender资产</x:t>
        </x:is>
      </x:c>
      <x:c r="X211" s="375" t="inlineStr">
        <x:is>
          <x:t xml:space="preserve">—</x:t>
        </x:is>
      </x:c>
      <x:c r="Y21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6b8f58fe196a→5af8a086bf29。</x:t>
        </x:is>
      </x:c>
    </x:row>
    <x:row r="212">
      <x:c r="A212" s="138" t="inlineStr">
        <x:is>
          <x:t xml:space="preserve">WPN-GUN-FUTURE-GUITAR-BLASTER-3D</x:t>
        </x:is>
      </x:c>
      <x:c r="B212" s="138" t="inlineStr">
        <x:is>
          <x:t xml:space="preserve">吉他爆能枪</x:t>
        </x:is>
      </x:c>
      <x:c r="C212" s="138" t="inlineStr">
        <x:is>
          <x:t xml:space="preserve">武器</x:t>
        </x:is>
      </x:c>
      <x:c r="D212" s="138" t="inlineStr">
        <x:is>
          <x:t xml:space="preserve">gunbody</x:t>
        </x:is>
      </x:c>
      <x:c r="E212" s="138" t="inlineStr">
        <x:is>
          <x:t xml:space="preserve">future_guitar_blaster</x:t>
        </x:is>
      </x:c>
      <x:c r="F212" s="138" t="inlineStr">
        <x:is>
          <x:t xml:space="preserve">root</x:t>
        </x:is>
      </x:c>
      <x:c r="G212" s="138" t="n"/>
      <x:c r="H212" s="138" t="inlineStr">
        <x:is>
          <x:t xml:space="preserve">俯视3D / local -Z 枪口</x:t>
        </x:is>
      </x:c>
      <x:c r="I212" s="138" t="inlineStr">
        <x:is>
          <x:t xml:space="preserve">default / 标准握把与8类挂点</x:t>
        </x:is>
      </x:c>
      <x:c r="J212" s="138" t="inlineStr">
        <x:is>
          <x:t xml:space="preserve">未来枪械池/独立资产</x:t>
        </x:is>
      </x:c>
      <x:c r="K212" s="138" t="inlineStr">
        <x:is>
          <x:t xml:space="preserve">已完成</x:t>
        </x:is>
      </x:c>
      <x:c r="L212" s="138" t="inlineStr">
        <x:is>
          <x:t xml:space="preserve">P2</x:t>
        </x:is>
      </x:c>
      <x:c r="M212" s="138" t="inlineStr">
        <x:is>
          <x:t xml:space="preserve">v001</x:t>
        </x:is>
      </x:c>
      <x:c r="N212" s="138" t="inlineStr">
        <x:is>
          <x:t xml:space="preserve">握把原点；local -Z枪口；3材质；独立GLB/PackedScene</x:t>
        </x:is>
      </x:c>
      <x:c r="O212" s="138" t="inlineStr">
        <x:is>
          <x:t xml:space="preserve">assets/art/weapons/weapon_3d/runtime/guitar_blaster/wpn_guitar_blaster_root_top3d_v001.tscn</x:t>
        </x:is>
      </x:c>
      <x:c r="P212" s="138" t="inlineStr">
        <x:is>
          <x:t xml:space="preserve">assets/art/weapons/weapon_3d/source/guitar_blaster/wpn_guitar_blaster_source_v001.blend</x:t>
        </x:is>
      </x:c>
      <x:c r="Q212" s="138" t="inlineStr">
        <x:is>
          <x:t xml:space="preserve">guitar_blaster; 吉他爆能枪; 未来枪械; 通用挂点; 多巴胺配色</x:t>
        </x:is>
      </x:c>
      <x:c r="R212" s="138" t="str">
        <x:f>LOWER(TRIM(C212)&amp;"|"&amp;TRIM(D212)&amp;"|"&amp;TRIM(E212)&amp;"|"&amp;TRIM(F212)&amp;"|"&amp;TRIM(H212)&amp;"|"&amp;TRIM(I212))</x:f>
        <x:v>武器|gunbody|future_guitar_blaster|root|俯视3d / local -z 枪口|default / 标准握把与8类挂点</x:v>
      </x:c>
      <x:c r="S212" s="138" t="str">
        <x:f>IF(COUNTIF($R$6:$R$423,R212)&gt;1,"重复","唯一")</x:f>
        <x:v>唯一</x:v>
      </x:c>
      <x:c r="T212" s="138" t="inlineStr">
        <x:is>
          <x:t xml:space="preserve">1f91e9e4d2a54e82d5ebfc0b5099a7e65c91eb32e86e8c1c8f52afa2df52c264</x:t>
        </x:is>
      </x:c>
      <x:c r="U212" s="138" t="inlineStr">
        <x:is>
          <x:t xml:space="preserve">Codex</x:t>
        </x:is>
      </x:c>
      <x:c r="V212" s="303" t="n">
        <x:v>46264</x:v>
      </x:c>
      <x:c r="W212" s="138" t="inlineStr">
        <x:is>
          <x:t xml:space="preserve">用户自制Blender资产</x:t>
        </x:is>
      </x:c>
      <x:c r="X212" s="375" t="inlineStr">
        <x:is>
          <x:t xml:space="preserve">—</x:t>
        </x:is>
      </x:c>
      <x:c r="Y212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b82adc9dde68→7611a99cf53a。</x:t>
        </x:is>
      </x:c>
    </x:row>
    <x:row r="213">
      <x:c r="A213" s="138" t="inlineStr">
        <x:is>
          <x:t xml:space="preserve">WPN-GUN-FUTURE-SPATULA-RIFLE-3D</x:t>
        </x:is>
      </x:c>
      <x:c r="B213" s="138" t="inlineStr">
        <x:is>
          <x:t xml:space="preserve">锅铲步枪</x:t>
        </x:is>
      </x:c>
      <x:c r="C213" s="138" t="inlineStr">
        <x:is>
          <x:t xml:space="preserve">武器</x:t>
        </x:is>
      </x:c>
      <x:c r="D213" s="138" t="inlineStr">
        <x:is>
          <x:t xml:space="preserve">gunbody</x:t>
        </x:is>
      </x:c>
      <x:c r="E213" s="138" t="inlineStr">
        <x:is>
          <x:t xml:space="preserve">future_spatula_rifle</x:t>
        </x:is>
      </x:c>
      <x:c r="F213" s="138" t="inlineStr">
        <x:is>
          <x:t xml:space="preserve">root</x:t>
        </x:is>
      </x:c>
      <x:c r="G213" s="138" t="n"/>
      <x:c r="H213" s="138" t="inlineStr">
        <x:is>
          <x:t xml:space="preserve">俯视3D / local -Z 枪口</x:t>
        </x:is>
      </x:c>
      <x:c r="I213" s="138" t="inlineStr">
        <x:is>
          <x:t xml:space="preserve">default / 标准握把与8类挂点</x:t>
        </x:is>
      </x:c>
      <x:c r="J213" s="138" t="inlineStr">
        <x:is>
          <x:t xml:space="preserve">未来枪械池/独立资产</x:t>
        </x:is>
      </x:c>
      <x:c r="K213" s="138" t="inlineStr">
        <x:is>
          <x:t xml:space="preserve">已完成</x:t>
        </x:is>
      </x:c>
      <x:c r="L213" s="138" t="inlineStr">
        <x:is>
          <x:t xml:space="preserve">P2</x:t>
        </x:is>
      </x:c>
      <x:c r="M213" s="138" t="inlineStr">
        <x:is>
          <x:t xml:space="preserve">v001</x:t>
        </x:is>
      </x:c>
      <x:c r="N213" s="138" t="inlineStr">
        <x:is>
          <x:t xml:space="preserve">握把原点；local -Z枪口；3材质；独立GLB/PackedScene</x:t>
        </x:is>
      </x:c>
      <x:c r="O213" s="138" t="inlineStr">
        <x:is>
          <x:t xml:space="preserve">assets/art/weapons/weapon_3d/runtime/spatula_rifle/wpn_spatula_rifle_root_top3d_v001.tscn</x:t>
        </x:is>
      </x:c>
      <x:c r="P213" s="138" t="inlineStr">
        <x:is>
          <x:t xml:space="preserve">assets/art/weapons/weapon_3d/source/spatula_rifle/wpn_spatula_rifle_source_v001.blend</x:t>
        </x:is>
      </x:c>
      <x:c r="Q213" s="138" t="inlineStr">
        <x:is>
          <x:t xml:space="preserve">spatula_rifle; 锅铲步枪; 未来枪械; 通用挂点; 多巴胺配色</x:t>
        </x:is>
      </x:c>
      <x:c r="R213" s="138" t="str">
        <x:f>LOWER(TRIM(C213)&amp;"|"&amp;TRIM(D213)&amp;"|"&amp;TRIM(E213)&amp;"|"&amp;TRIM(F213)&amp;"|"&amp;TRIM(H213)&amp;"|"&amp;TRIM(I213))</x:f>
        <x:v>武器|gunbody|future_spatula_rifle|root|俯视3d / local -z 枪口|default / 标准握把与8类挂点</x:v>
      </x:c>
      <x:c r="S213" s="138" t="str">
        <x:f>IF(COUNTIF($R$6:$R$423,R213)&gt;1,"重复","唯一")</x:f>
        <x:v>唯一</x:v>
      </x:c>
      <x:c r="T213" s="138" t="inlineStr">
        <x:is>
          <x:t xml:space="preserve">3e833ff63ebff0575600f0da74b12bdea155598fa239834294968f411495c426</x:t>
        </x:is>
      </x:c>
      <x:c r="U213" s="138" t="inlineStr">
        <x:is>
          <x:t xml:space="preserve">Codex</x:t>
        </x:is>
      </x:c>
      <x:c r="V213" s="303" t="n">
        <x:v>46264</x:v>
      </x:c>
      <x:c r="W213" s="138" t="inlineStr">
        <x:is>
          <x:t xml:space="preserve">用户自制Blender资产</x:t>
        </x:is>
      </x:c>
      <x:c r="X213" s="375" t="inlineStr">
        <x:is>
          <x:t xml:space="preserve">—</x:t>
        </x:is>
      </x:c>
      <x:c r="Y213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8af70da0fa51→04a9659dcef1。</x:t>
        </x:is>
      </x:c>
    </x:row>
    <x:row r="214">
      <x:c r="A214" s="138" t="inlineStr">
        <x:is>
          <x:t xml:space="preserve">WPN-GUN-FUTURE-FRYING-PAN-CANNON-3D</x:t>
        </x:is>
      </x:c>
      <x:c r="B214" s="138" t="inlineStr">
        <x:is>
          <x:t xml:space="preserve">平底锅加农炮</x:t>
        </x:is>
      </x:c>
      <x:c r="C214" s="138" t="inlineStr">
        <x:is>
          <x:t xml:space="preserve">武器</x:t>
        </x:is>
      </x:c>
      <x:c r="D214" s="138" t="inlineStr">
        <x:is>
          <x:t xml:space="preserve">gunbody</x:t>
        </x:is>
      </x:c>
      <x:c r="E214" s="138" t="inlineStr">
        <x:is>
          <x:t xml:space="preserve">future_frying_pan_cannon</x:t>
        </x:is>
      </x:c>
      <x:c r="F214" s="138" t="inlineStr">
        <x:is>
          <x:t xml:space="preserve">root</x:t>
        </x:is>
      </x:c>
      <x:c r="G214" s="138" t="n"/>
      <x:c r="H214" s="138" t="inlineStr">
        <x:is>
          <x:t xml:space="preserve">俯视3D / local -Z 枪口</x:t>
        </x:is>
      </x:c>
      <x:c r="I214" s="138" t="inlineStr">
        <x:is>
          <x:t xml:space="preserve">default / 标准握把与8类挂点</x:t>
        </x:is>
      </x:c>
      <x:c r="J214" s="138" t="inlineStr">
        <x:is>
          <x:t xml:space="preserve">未来枪械池/独立资产</x:t>
        </x:is>
      </x:c>
      <x:c r="K214" s="138" t="inlineStr">
        <x:is>
          <x:t xml:space="preserve">已完成</x:t>
        </x:is>
      </x:c>
      <x:c r="L214" s="138" t="inlineStr">
        <x:is>
          <x:t xml:space="preserve">P2</x:t>
        </x:is>
      </x:c>
      <x:c r="M214" s="138" t="inlineStr">
        <x:is>
          <x:t xml:space="preserve">v001</x:t>
        </x:is>
      </x:c>
      <x:c r="N214" s="138" t="inlineStr">
        <x:is>
          <x:t xml:space="preserve">握把原点；local -Z枪口；3材质；独立GLB/PackedScene</x:t>
        </x:is>
      </x:c>
      <x:c r="O214" s="138" t="inlineStr">
        <x:is>
          <x:t xml:space="preserve">assets/art/weapons/weapon_3d/runtime/frying_pan_cannon/wpn_frying_pan_cannon_root_top3d_v001.tscn</x:t>
        </x:is>
      </x:c>
      <x:c r="P214" s="138" t="inlineStr">
        <x:is>
          <x:t xml:space="preserve">assets/art/weapons/weapon_3d/source/frying_pan_cannon/wpn_frying_pan_cannon_source_v001.blend</x:t>
        </x:is>
      </x:c>
      <x:c r="Q214" s="138" t="inlineStr">
        <x:is>
          <x:t xml:space="preserve">frying_pan_cannon; 平底锅加农炮; 未来枪械; 通用挂点; 多巴胺配色</x:t>
        </x:is>
      </x:c>
      <x:c r="R214" s="138" t="str">
        <x:f>LOWER(TRIM(C214)&amp;"|"&amp;TRIM(D214)&amp;"|"&amp;TRIM(E214)&amp;"|"&amp;TRIM(F214)&amp;"|"&amp;TRIM(H214)&amp;"|"&amp;TRIM(I214))</x:f>
        <x:v>武器|gunbody|future_frying_pan_cannon|root|俯视3d / local -z 枪口|default / 标准握把与8类挂点</x:v>
      </x:c>
      <x:c r="S214" s="138" t="str">
        <x:f>IF(COUNTIF($R$6:$R$423,R214)&gt;1,"重复","唯一")</x:f>
        <x:v>唯一</x:v>
      </x:c>
      <x:c r="T214" s="138" t="inlineStr">
        <x:is>
          <x:t xml:space="preserve">d1fd5653d2d9e5b834f6d4e7327159e49c2810fff46a38a93da80a7d72a6848c</x:t>
        </x:is>
      </x:c>
      <x:c r="U214" s="138" t="inlineStr">
        <x:is>
          <x:t xml:space="preserve">Codex</x:t>
        </x:is>
      </x:c>
      <x:c r="V214" s="303" t="n">
        <x:v>46264</x:v>
      </x:c>
      <x:c r="W214" s="138" t="inlineStr">
        <x:is>
          <x:t xml:space="preserve">用户自制Blender资产</x:t>
        </x:is>
      </x:c>
      <x:c r="X214" s="375" t="inlineStr">
        <x:is>
          <x:t xml:space="preserve">—</x:t>
        </x:is>
      </x:c>
      <x:c r="Y214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074036c4f15d→f73360d92e01。</x:t>
        </x:is>
      </x:c>
    </x:row>
    <x:row r="215">
      <x:c r="A215" s="138" t="inlineStr">
        <x:is>
          <x:t xml:space="preserve">WPN-GUN-FUTURE-SCOPE-CANNON-3D</x:t>
        </x:is>
      </x:c>
      <x:c r="B215" s="138" t="inlineStr">
        <x:is>
          <x:t xml:space="preserve">瞄准镜加农炮</x:t>
        </x:is>
      </x:c>
      <x:c r="C215" s="138" t="inlineStr">
        <x:is>
          <x:t xml:space="preserve">武器</x:t>
        </x:is>
      </x:c>
      <x:c r="D215" s="138" t="inlineStr">
        <x:is>
          <x:t xml:space="preserve">gunbody</x:t>
        </x:is>
      </x:c>
      <x:c r="E215" s="138" t="inlineStr">
        <x:is>
          <x:t xml:space="preserve">future_scope_cannon</x:t>
        </x:is>
      </x:c>
      <x:c r="F215" s="138" t="inlineStr">
        <x:is>
          <x:t xml:space="preserve">root</x:t>
        </x:is>
      </x:c>
      <x:c r="G215" s="138" t="n"/>
      <x:c r="H215" s="138" t="inlineStr">
        <x:is>
          <x:t xml:space="preserve">俯视3D / local -Z 枪口</x:t>
        </x:is>
      </x:c>
      <x:c r="I215" s="138" t="inlineStr">
        <x:is>
          <x:t xml:space="preserve">default / 标准握把与8类挂点</x:t>
        </x:is>
      </x:c>
      <x:c r="J215" s="138" t="inlineStr">
        <x:is>
          <x:t xml:space="preserve">未来枪械池/独立资产</x:t>
        </x:is>
      </x:c>
      <x:c r="K215" s="138" t="inlineStr">
        <x:is>
          <x:t xml:space="preserve">已完成</x:t>
        </x:is>
      </x:c>
      <x:c r="L215" s="138" t="inlineStr">
        <x:is>
          <x:t xml:space="preserve">P2</x:t>
        </x:is>
      </x:c>
      <x:c r="M215" s="138" t="inlineStr">
        <x:is>
          <x:t xml:space="preserve">v001</x:t>
        </x:is>
      </x:c>
      <x:c r="N215" s="138" t="inlineStr">
        <x:is>
          <x:t xml:space="preserve">握把原点；local -Z枪口；3材质；独立GLB/PackedScene</x:t>
        </x:is>
      </x:c>
      <x:c r="O215" s="138" t="inlineStr">
        <x:is>
          <x:t xml:space="preserve">assets/art/weapons/weapon_3d/runtime/scope_cannon/wpn_scope_cannon_root_top3d_v001.tscn</x:t>
        </x:is>
      </x:c>
      <x:c r="P215" s="138" t="inlineStr">
        <x:is>
          <x:t xml:space="preserve">assets/art/weapons/weapon_3d/source/scope_cannon/wpn_scope_cannon_source_v001.blend</x:t>
        </x:is>
      </x:c>
      <x:c r="Q215" s="138" t="inlineStr">
        <x:is>
          <x:t xml:space="preserve">scope_cannon; 瞄准镜加农炮; 未来枪械; 通用挂点; 多巴胺配色</x:t>
        </x:is>
      </x:c>
      <x:c r="R215" s="138" t="str">
        <x:f>LOWER(TRIM(C215)&amp;"|"&amp;TRIM(D215)&amp;"|"&amp;TRIM(E215)&amp;"|"&amp;TRIM(F215)&amp;"|"&amp;TRIM(H215)&amp;"|"&amp;TRIM(I215))</x:f>
        <x:v>武器|gunbody|future_scope_cannon|root|俯视3d / local -z 枪口|default / 标准握把与8类挂点</x:v>
      </x:c>
      <x:c r="S215" s="138" t="str">
        <x:f>IF(COUNTIF($R$6:$R$423,R215)&gt;1,"重复","唯一")</x:f>
        <x:v>唯一</x:v>
      </x:c>
      <x:c r="T215" s="138" t="inlineStr">
        <x:is>
          <x:t xml:space="preserve">a30e709f22c4e33f99398b002307af2d27c2f4dd3aca10bf192921c063223aa4</x:t>
        </x:is>
      </x:c>
      <x:c r="U215" s="138" t="inlineStr">
        <x:is>
          <x:t xml:space="preserve">Codex</x:t>
        </x:is>
      </x:c>
      <x:c r="V215" s="303" t="n">
        <x:v>46264</x:v>
      </x:c>
      <x:c r="W215" s="138" t="inlineStr">
        <x:is>
          <x:t xml:space="preserve">用户自制Blender资产</x:t>
        </x:is>
      </x:c>
      <x:c r="X215" s="375" t="inlineStr">
        <x:is>
          <x:t xml:space="preserve">—</x:t>
        </x:is>
      </x:c>
      <x:c r="Y215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ba54d1e1126c→ad9e3e21a430。</x:t>
        </x:is>
      </x:c>
    </x:row>
    <x:row r="216">
      <x:c r="A216" s="138" t="inlineStr">
        <x:is>
          <x:t xml:space="preserve">WPN-GUN-FUTURE-POPCORN-BLASTER-3D</x:t>
        </x:is>
      </x:c>
      <x:c r="B216" s="138" t="inlineStr">
        <x:is>
          <x:t xml:space="preserve">爆米花爆能枪</x:t>
        </x:is>
      </x:c>
      <x:c r="C216" s="138" t="inlineStr">
        <x:is>
          <x:t xml:space="preserve">武器</x:t>
        </x:is>
      </x:c>
      <x:c r="D216" s="138" t="inlineStr">
        <x:is>
          <x:t xml:space="preserve">gunbody</x:t>
        </x:is>
      </x:c>
      <x:c r="E216" s="138" t="inlineStr">
        <x:is>
          <x:t xml:space="preserve">future_popcorn_blaster</x:t>
        </x:is>
      </x:c>
      <x:c r="F216" s="138" t="inlineStr">
        <x:is>
          <x:t xml:space="preserve">root</x:t>
        </x:is>
      </x:c>
      <x:c r="G216" s="138" t="n"/>
      <x:c r="H216" s="138" t="inlineStr">
        <x:is>
          <x:t xml:space="preserve">俯视3D / local -Z 枪口</x:t>
        </x:is>
      </x:c>
      <x:c r="I216" s="138" t="inlineStr">
        <x:is>
          <x:t xml:space="preserve">default / 标准握把与8类挂点</x:t>
        </x:is>
      </x:c>
      <x:c r="J216" s="138" t="inlineStr">
        <x:is>
          <x:t xml:space="preserve">未来枪械池/独立资产</x:t>
        </x:is>
      </x:c>
      <x:c r="K216" s="138" t="inlineStr">
        <x:is>
          <x:t xml:space="preserve">已完成</x:t>
        </x:is>
      </x:c>
      <x:c r="L216" s="138" t="inlineStr">
        <x:is>
          <x:t xml:space="preserve">P2</x:t>
        </x:is>
      </x:c>
      <x:c r="M216" s="138" t="inlineStr">
        <x:is>
          <x:t xml:space="preserve">v001</x:t>
        </x:is>
      </x:c>
      <x:c r="N216" s="138" t="inlineStr">
        <x:is>
          <x:t xml:space="preserve">握把原点；local -Z枪口；3材质；独立GLB/PackedScene</x:t>
        </x:is>
      </x:c>
      <x:c r="O216" s="138" t="inlineStr">
        <x:is>
          <x:t xml:space="preserve">assets/art/weapons/weapon_3d/runtime/popcorn_blaster/wpn_popcorn_blaster_root_top3d_v001.tscn</x:t>
        </x:is>
      </x:c>
      <x:c r="P216" s="138" t="inlineStr">
        <x:is>
          <x:t xml:space="preserve">assets/art/weapons/weapon_3d/source/popcorn_blaster/wpn_popcorn_blaster_source_v001.blend</x:t>
        </x:is>
      </x:c>
      <x:c r="Q216" s="138" t="inlineStr">
        <x:is>
          <x:t xml:space="preserve">popcorn_blaster; 爆米花爆能枪; 未来枪械; 通用挂点; 多巴胺配色</x:t>
        </x:is>
      </x:c>
      <x:c r="R216" s="138" t="str">
        <x:f>LOWER(TRIM(C216)&amp;"|"&amp;TRIM(D216)&amp;"|"&amp;TRIM(E216)&amp;"|"&amp;TRIM(F216)&amp;"|"&amp;TRIM(H216)&amp;"|"&amp;TRIM(I216))</x:f>
        <x:v>武器|gunbody|future_popcorn_blaster|root|俯视3d / local -z 枪口|default / 标准握把与8类挂点</x:v>
      </x:c>
      <x:c r="S216" s="138" t="str">
        <x:f>IF(COUNTIF($R$6:$R$423,R216)&gt;1,"重复","唯一")</x:f>
        <x:v>唯一</x:v>
      </x:c>
      <x:c r="T216" s="138" t="inlineStr">
        <x:is>
          <x:t xml:space="preserve">dbcc9441cc5f5c2df19d1b745850072880ca1abf39030ed90353999828eec57a</x:t>
        </x:is>
      </x:c>
      <x:c r="U216" s="138" t="inlineStr">
        <x:is>
          <x:t xml:space="preserve">Codex</x:t>
        </x:is>
      </x:c>
      <x:c r="V216" s="303" t="n">
        <x:v>46264</x:v>
      </x:c>
      <x:c r="W216" s="138" t="inlineStr">
        <x:is>
          <x:t xml:space="preserve">用户自制Blender资产</x:t>
        </x:is>
      </x:c>
      <x:c r="X216" s="375" t="inlineStr">
        <x:is>
          <x:t xml:space="preserve">—</x:t>
        </x:is>
      </x:c>
      <x:c r="Y216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c77c70255421→01c3204ae0d6。</x:t>
        </x:is>
      </x:c>
    </x:row>
    <x:row r="217">
      <x:c r="A217" s="138" t="inlineStr">
        <x:is>
          <x:t xml:space="preserve">WPN-GUN-FUTURE-SODA-STRAW-BLASTER-3D</x:t>
        </x:is>
      </x:c>
      <x:c r="B217" s="138" t="inlineStr">
        <x:is>
          <x:t xml:space="preserve">饮料管爆能枪</x:t>
        </x:is>
      </x:c>
      <x:c r="C217" s="138" t="inlineStr">
        <x:is>
          <x:t xml:space="preserve">武器</x:t>
        </x:is>
      </x:c>
      <x:c r="D217" s="138" t="inlineStr">
        <x:is>
          <x:t xml:space="preserve">gunbody</x:t>
        </x:is>
      </x:c>
      <x:c r="E217" s="138" t="inlineStr">
        <x:is>
          <x:t xml:space="preserve">future_soda_straw_blaster</x:t>
        </x:is>
      </x:c>
      <x:c r="F217" s="138" t="inlineStr">
        <x:is>
          <x:t xml:space="preserve">root</x:t>
        </x:is>
      </x:c>
      <x:c r="G217" s="138" t="n"/>
      <x:c r="H217" s="138" t="inlineStr">
        <x:is>
          <x:t xml:space="preserve">俯视3D / local -Z 枪口</x:t>
        </x:is>
      </x:c>
      <x:c r="I217" s="138" t="inlineStr">
        <x:is>
          <x:t xml:space="preserve">default / 标准握把与8类挂点</x:t>
        </x:is>
      </x:c>
      <x:c r="J217" s="138" t="inlineStr">
        <x:is>
          <x:t xml:space="preserve">未来枪械池/独立资产</x:t>
        </x:is>
      </x:c>
      <x:c r="K217" s="138" t="inlineStr">
        <x:is>
          <x:t xml:space="preserve">已完成</x:t>
        </x:is>
      </x:c>
      <x:c r="L217" s="138" t="inlineStr">
        <x:is>
          <x:t xml:space="preserve">P2</x:t>
        </x:is>
      </x:c>
      <x:c r="M217" s="138" t="inlineStr">
        <x:is>
          <x:t xml:space="preserve">v001</x:t>
        </x:is>
      </x:c>
      <x:c r="N217" s="138" t="inlineStr">
        <x:is>
          <x:t xml:space="preserve">握把原点；local -Z枪口；3材质；独立GLB/PackedScene</x:t>
        </x:is>
      </x:c>
      <x:c r="O217" s="138" t="inlineStr">
        <x:is>
          <x:t xml:space="preserve">assets/art/weapons/weapon_3d/runtime/soda_straw_blaster/wpn_soda_straw_blaster_root_top3d_v001.tscn</x:t>
        </x:is>
      </x:c>
      <x:c r="P217" s="138" t="inlineStr">
        <x:is>
          <x:t xml:space="preserve">assets/art/weapons/weapon_3d/source/soda_straw_blaster/wpn_soda_straw_blaster_source_v001.blend</x:t>
        </x:is>
      </x:c>
      <x:c r="Q217" s="138" t="inlineStr">
        <x:is>
          <x:t xml:space="preserve">soda_straw_blaster; 饮料管爆能枪; 未来枪械; 通用挂点; 多巴胺配色</x:t>
        </x:is>
      </x:c>
      <x:c r="R217" s="138" t="str">
        <x:f>LOWER(TRIM(C217)&amp;"|"&amp;TRIM(D217)&amp;"|"&amp;TRIM(E217)&amp;"|"&amp;TRIM(F217)&amp;"|"&amp;TRIM(H217)&amp;"|"&amp;TRIM(I217))</x:f>
        <x:v>武器|gunbody|future_soda_straw_blaster|root|俯视3d / local -z 枪口|default / 标准握把与8类挂点</x:v>
      </x:c>
      <x:c r="S217" s="138" t="str">
        <x:f>IF(COUNTIF($R$6:$R$423,R217)&gt;1,"重复","唯一")</x:f>
        <x:v>唯一</x:v>
      </x:c>
      <x:c r="T217" s="138" t="inlineStr">
        <x:is>
          <x:t xml:space="preserve">b8c6a97267f825937f58851aad49588de64c1d3e713526a26f275306413b702f</x:t>
        </x:is>
      </x:c>
      <x:c r="U217" s="138" t="inlineStr">
        <x:is>
          <x:t xml:space="preserve">Codex</x:t>
        </x:is>
      </x:c>
      <x:c r="V217" s="303" t="n">
        <x:v>46264</x:v>
      </x:c>
      <x:c r="W217" s="138" t="inlineStr">
        <x:is>
          <x:t xml:space="preserve">用户自制Blender资产</x:t>
        </x:is>
      </x:c>
      <x:c r="X217" s="375" t="inlineStr">
        <x:is>
          <x:t xml:space="preserve">—</x:t>
        </x:is>
      </x:c>
      <x:c r="Y217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2eb1414de901→bc0fa22a6e7c。</x:t>
        </x:is>
      </x:c>
    </x:row>
    <x:row r="218">
      <x:c r="A218" s="138" t="inlineStr">
        <x:is>
          <x:t xml:space="preserve">WPN-GUN-FUTURE-CROCODILE-CANNON-3D</x:t>
        </x:is>
      </x:c>
      <x:c r="B218" s="138" t="inlineStr">
        <x:is>
          <x:t xml:space="preserve">鳄鱼加农炮</x:t>
        </x:is>
      </x:c>
      <x:c r="C218" s="138" t="inlineStr">
        <x:is>
          <x:t xml:space="preserve">武器</x:t>
        </x:is>
      </x:c>
      <x:c r="D218" s="138" t="inlineStr">
        <x:is>
          <x:t xml:space="preserve">gunbody</x:t>
        </x:is>
      </x:c>
      <x:c r="E218" s="138" t="inlineStr">
        <x:is>
          <x:t xml:space="preserve">future_crocodile_cannon</x:t>
        </x:is>
      </x:c>
      <x:c r="F218" s="138" t="inlineStr">
        <x:is>
          <x:t xml:space="preserve">root</x:t>
        </x:is>
      </x:c>
      <x:c r="G218" s="138" t="n"/>
      <x:c r="H218" s="138" t="inlineStr">
        <x:is>
          <x:t xml:space="preserve">俯视3D / local -Z 枪口</x:t>
        </x:is>
      </x:c>
      <x:c r="I218" s="138" t="inlineStr">
        <x:is>
          <x:t xml:space="preserve">default / 标准握把与8类挂点</x:t>
        </x:is>
      </x:c>
      <x:c r="J218" s="138" t="inlineStr">
        <x:is>
          <x:t xml:space="preserve">未来枪械池/独立资产</x:t>
        </x:is>
      </x:c>
      <x:c r="K218" s="138" t="inlineStr">
        <x:is>
          <x:t xml:space="preserve">已完成</x:t>
        </x:is>
      </x:c>
      <x:c r="L218" s="138" t="inlineStr">
        <x:is>
          <x:t xml:space="preserve">P2</x:t>
        </x:is>
      </x:c>
      <x:c r="M218" s="138" t="inlineStr">
        <x:is>
          <x:t xml:space="preserve">v001</x:t>
        </x:is>
      </x:c>
      <x:c r="N218" s="138" t="inlineStr">
        <x:is>
          <x:t xml:space="preserve">握把原点；local -Z枪口；3材质；独立GLB/PackedScene</x:t>
        </x:is>
      </x:c>
      <x:c r="O218" s="138" t="inlineStr">
        <x:is>
          <x:t xml:space="preserve">assets/art/weapons/weapon_3d/runtime/crocodile_cannon/wpn_crocodile_cannon_root_top3d_v001.tscn</x:t>
        </x:is>
      </x:c>
      <x:c r="P218" s="138" t="inlineStr">
        <x:is>
          <x:t xml:space="preserve">assets/art/weapons/weapon_3d/source/crocodile_cannon/wpn_crocodile_cannon_source_v001.blend</x:t>
        </x:is>
      </x:c>
      <x:c r="Q218" s="138" t="inlineStr">
        <x:is>
          <x:t xml:space="preserve">crocodile_cannon; 鳄鱼加农炮; 未来枪械; 通用挂点; 多巴胺配色</x:t>
        </x:is>
      </x:c>
      <x:c r="R218" s="138" t="str">
        <x:f>LOWER(TRIM(C218)&amp;"|"&amp;TRIM(D218)&amp;"|"&amp;TRIM(E218)&amp;"|"&amp;TRIM(F218)&amp;"|"&amp;TRIM(H218)&amp;"|"&amp;TRIM(I218))</x:f>
        <x:v>武器|gunbody|future_crocodile_cannon|root|俯视3d / local -z 枪口|default / 标准握把与8类挂点</x:v>
      </x:c>
      <x:c r="S218" s="138" t="str">
        <x:f>IF(COUNTIF($R$6:$R$423,R218)&gt;1,"重复","唯一")</x:f>
        <x:v>唯一</x:v>
      </x:c>
      <x:c r="T218" s="138" t="inlineStr">
        <x:is>
          <x:t xml:space="preserve">c0e1abe37949f4aee0619e04f40104b4bcf0c59f4269ddc64f4f10df4733416b</x:t>
        </x:is>
      </x:c>
      <x:c r="U218" s="138" t="inlineStr">
        <x:is>
          <x:t xml:space="preserve">Codex</x:t>
        </x:is>
      </x:c>
      <x:c r="V218" s="303" t="n">
        <x:v>46264</x:v>
      </x:c>
      <x:c r="W218" s="138" t="inlineStr">
        <x:is>
          <x:t xml:space="preserve">用户自制Blender资产</x:t>
        </x:is>
      </x:c>
      <x:c r="X218" s="375" t="inlineStr">
        <x:is>
          <x:t xml:space="preserve">—</x:t>
        </x:is>
      </x:c>
      <x:c r="Y218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3e46907368f7→01d4ecf005d7。</x:t>
        </x:is>
      </x:c>
    </x:row>
    <x:row r="219">
      <x:c r="A219" s="138" t="inlineStr">
        <x:is>
          <x:t xml:space="preserve">WPN-GUN-FUTURE-CAMERA-BLASTER-3D</x:t>
        </x:is>
      </x:c>
      <x:c r="B219" s="138" t="inlineStr">
        <x:is>
          <x:t xml:space="preserve">相机爆能枪</x:t>
        </x:is>
      </x:c>
      <x:c r="C219" s="138" t="inlineStr">
        <x:is>
          <x:t xml:space="preserve">武器</x:t>
        </x:is>
      </x:c>
      <x:c r="D219" s="138" t="inlineStr">
        <x:is>
          <x:t xml:space="preserve">gunbody</x:t>
        </x:is>
      </x:c>
      <x:c r="E219" s="138" t="inlineStr">
        <x:is>
          <x:t xml:space="preserve">future_camera_blaster</x:t>
        </x:is>
      </x:c>
      <x:c r="F219" s="138" t="inlineStr">
        <x:is>
          <x:t xml:space="preserve">root</x:t>
        </x:is>
      </x:c>
      <x:c r="G219" s="138" t="n"/>
      <x:c r="H219" s="138" t="inlineStr">
        <x:is>
          <x:t xml:space="preserve">俯视3D / local -Z 枪口</x:t>
        </x:is>
      </x:c>
      <x:c r="I219" s="138" t="inlineStr">
        <x:is>
          <x:t xml:space="preserve">default / 标准握把与8类挂点</x:t>
        </x:is>
      </x:c>
      <x:c r="J219" s="138" t="inlineStr">
        <x:is>
          <x:t xml:space="preserve">未来枪械池/独立资产</x:t>
        </x:is>
      </x:c>
      <x:c r="K219" s="138" t="inlineStr">
        <x:is>
          <x:t xml:space="preserve">已完成</x:t>
        </x:is>
      </x:c>
      <x:c r="L219" s="138" t="inlineStr">
        <x:is>
          <x:t xml:space="preserve">P2</x:t>
        </x:is>
      </x:c>
      <x:c r="M219" s="138" t="inlineStr">
        <x:is>
          <x:t xml:space="preserve">v001</x:t>
        </x:is>
      </x:c>
      <x:c r="N219" s="138" t="inlineStr">
        <x:is>
          <x:t xml:space="preserve">握把原点；local -Z枪口；3材质；独立GLB/PackedScene</x:t>
        </x:is>
      </x:c>
      <x:c r="O219" s="138" t="inlineStr">
        <x:is>
          <x:t xml:space="preserve">assets/art/weapons/weapon_3d/runtime/camera_blaster/wpn_camera_blaster_root_top3d_v001.tscn</x:t>
        </x:is>
      </x:c>
      <x:c r="P219" s="138" t="inlineStr">
        <x:is>
          <x:t xml:space="preserve">assets/art/weapons/weapon_3d/source/camera_blaster/wpn_camera_blaster_source_v001.blend</x:t>
        </x:is>
      </x:c>
      <x:c r="Q219" s="138" t="inlineStr">
        <x:is>
          <x:t xml:space="preserve">camera_blaster; 相机爆能枪; 未来枪械; 通用挂点; 多巴胺配色</x:t>
        </x:is>
      </x:c>
      <x:c r="R219" s="138" t="str">
        <x:f>LOWER(TRIM(C219)&amp;"|"&amp;TRIM(D219)&amp;"|"&amp;TRIM(E219)&amp;"|"&amp;TRIM(F219)&amp;"|"&amp;TRIM(H219)&amp;"|"&amp;TRIM(I219))</x:f>
        <x:v>武器|gunbody|future_camera_blaster|root|俯视3d / local -z 枪口|default / 标准握把与8类挂点</x:v>
      </x:c>
      <x:c r="S219" s="138" t="str">
        <x:f>IF(COUNTIF($R$6:$R$423,R219)&gt;1,"重复","唯一")</x:f>
        <x:v>唯一</x:v>
      </x:c>
      <x:c r="T219" s="138" t="inlineStr">
        <x:is>
          <x:t xml:space="preserve">e4afd543d2e1be93ac923edc02ba570611ca0ee73fe3a0764ff0f7677ead1968</x:t>
        </x:is>
      </x:c>
      <x:c r="U219" s="138" t="inlineStr">
        <x:is>
          <x:t xml:space="preserve">Codex</x:t>
        </x:is>
      </x:c>
      <x:c r="V219" s="303" t="n">
        <x:v>46264</x:v>
      </x:c>
      <x:c r="W219" s="138" t="inlineStr">
        <x:is>
          <x:t xml:space="preserve">用户自制Blender资产</x:t>
        </x:is>
      </x:c>
      <x:c r="X219" s="375" t="inlineStr">
        <x:is>
          <x:t xml:space="preserve">—</x:t>
        </x:is>
      </x:c>
      <x:c r="Y219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3d49c92df382→07ec25c941bb。</x:t>
        </x:is>
      </x:c>
    </x:row>
    <x:row r="220">
      <x:c r="A220" s="138" t="inlineStr">
        <x:is>
          <x:t xml:space="preserve">WPN-GUN-FUTURE-TISSUE-BOX-CANNON-3D</x:t>
        </x:is>
      </x:c>
      <x:c r="B220" s="138" t="inlineStr">
        <x:is>
          <x:t xml:space="preserve">纸巾盒加农炮</x:t>
        </x:is>
      </x:c>
      <x:c r="C220" s="138" t="inlineStr">
        <x:is>
          <x:t xml:space="preserve">武器</x:t>
        </x:is>
      </x:c>
      <x:c r="D220" s="138" t="inlineStr">
        <x:is>
          <x:t xml:space="preserve">gunbody</x:t>
        </x:is>
      </x:c>
      <x:c r="E220" s="138" t="inlineStr">
        <x:is>
          <x:t xml:space="preserve">future_tissue_box_cannon</x:t>
        </x:is>
      </x:c>
      <x:c r="F220" s="138" t="inlineStr">
        <x:is>
          <x:t xml:space="preserve">root</x:t>
        </x:is>
      </x:c>
      <x:c r="G220" s="138" t="n"/>
      <x:c r="H220" s="138" t="inlineStr">
        <x:is>
          <x:t xml:space="preserve">俯视3D / local -Z 枪口</x:t>
        </x:is>
      </x:c>
      <x:c r="I220" s="138" t="inlineStr">
        <x:is>
          <x:t xml:space="preserve">default / 标准握把与8类挂点</x:t>
        </x:is>
      </x:c>
      <x:c r="J220" s="138" t="inlineStr">
        <x:is>
          <x:t xml:space="preserve">未来枪械池/独立资产</x:t>
        </x:is>
      </x:c>
      <x:c r="K220" s="138" t="inlineStr">
        <x:is>
          <x:t xml:space="preserve">已完成</x:t>
        </x:is>
      </x:c>
      <x:c r="L220" s="138" t="inlineStr">
        <x:is>
          <x:t xml:space="preserve">P2</x:t>
        </x:is>
      </x:c>
      <x:c r="M220" s="138" t="inlineStr">
        <x:is>
          <x:t xml:space="preserve">v001</x:t>
        </x:is>
      </x:c>
      <x:c r="N220" s="138" t="inlineStr">
        <x:is>
          <x:t xml:space="preserve">握把原点；local -Z枪口；3材质；独立GLB/PackedScene</x:t>
        </x:is>
      </x:c>
      <x:c r="O220" s="138" t="inlineStr">
        <x:is>
          <x:t xml:space="preserve">assets/art/weapons/weapon_3d/runtime/tissue_box_cannon/wpn_tissue_box_cannon_root_top3d_v001.tscn</x:t>
        </x:is>
      </x:c>
      <x:c r="P220" s="138" t="inlineStr">
        <x:is>
          <x:t xml:space="preserve">assets/art/weapons/weapon_3d/source/tissue_box_cannon/wpn_tissue_box_cannon_source_v001.blend</x:t>
        </x:is>
      </x:c>
      <x:c r="Q220" s="138" t="inlineStr">
        <x:is>
          <x:t xml:space="preserve">tissue_box_cannon; 纸巾盒加农炮; 未来枪械; 通用挂点; 多巴胺配色</x:t>
        </x:is>
      </x:c>
      <x:c r="R220" s="138" t="str">
        <x:f>LOWER(TRIM(C220)&amp;"|"&amp;TRIM(D220)&amp;"|"&amp;TRIM(E220)&amp;"|"&amp;TRIM(F220)&amp;"|"&amp;TRIM(H220)&amp;"|"&amp;TRIM(I220))</x:f>
        <x:v>武器|gunbody|future_tissue_box_cannon|root|俯视3d / local -z 枪口|default / 标准握把与8类挂点</x:v>
      </x:c>
      <x:c r="S220" s="138" t="str">
        <x:f>IF(COUNTIF($R$6:$R$423,R220)&gt;1,"重复","唯一")</x:f>
        <x:v>唯一</x:v>
      </x:c>
      <x:c r="T220" s="138" t="inlineStr">
        <x:is>
          <x:t xml:space="preserve">d4acc27b57bae6f0d1688365d8bbba123fa6e174b9f2acce02173853513659f7</x:t>
        </x:is>
      </x:c>
      <x:c r="U220" s="138" t="inlineStr">
        <x:is>
          <x:t xml:space="preserve">Codex</x:t>
        </x:is>
      </x:c>
      <x:c r="V220" s="303" t="n">
        <x:v>46264</x:v>
      </x:c>
      <x:c r="W220" s="138" t="inlineStr">
        <x:is>
          <x:t xml:space="preserve">用户自制Blender资产</x:t>
        </x:is>
      </x:c>
      <x:c r="X220" s="375" t="inlineStr">
        <x:is>
          <x:t xml:space="preserve">—</x:t>
        </x:is>
      </x:c>
      <x:c r="Y220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a67bef331339→6c277b10c52f。</x:t>
        </x:is>
      </x:c>
    </x:row>
    <x:row r="221">
      <x:c r="A221" s="138" t="inlineStr">
        <x:is>
          <x:t xml:space="preserve">WPN-GUN-FUTURE-FAN-BLASTER-3D</x:t>
        </x:is>
      </x:c>
      <x:c r="B221" s="138" t="inlineStr">
        <x:is>
          <x:t xml:space="preserve">风扇爆能枪</x:t>
        </x:is>
      </x:c>
      <x:c r="C221" s="138" t="inlineStr">
        <x:is>
          <x:t xml:space="preserve">武器</x:t>
        </x:is>
      </x:c>
      <x:c r="D221" s="138" t="inlineStr">
        <x:is>
          <x:t xml:space="preserve">gunbody</x:t>
        </x:is>
      </x:c>
      <x:c r="E221" s="138" t="inlineStr">
        <x:is>
          <x:t xml:space="preserve">future_fan_blaster</x:t>
        </x:is>
      </x:c>
      <x:c r="F221" s="138" t="inlineStr">
        <x:is>
          <x:t xml:space="preserve">root</x:t>
        </x:is>
      </x:c>
      <x:c r="G221" s="138" t="n"/>
      <x:c r="H221" s="138" t="inlineStr">
        <x:is>
          <x:t xml:space="preserve">俯视3D / local -Z 枪口</x:t>
        </x:is>
      </x:c>
      <x:c r="I221" s="138" t="inlineStr">
        <x:is>
          <x:t xml:space="preserve">default / 标准握把与8类挂点</x:t>
        </x:is>
      </x:c>
      <x:c r="J221" s="138" t="inlineStr">
        <x:is>
          <x:t xml:space="preserve">未来枪械池/独立资产</x:t>
        </x:is>
      </x:c>
      <x:c r="K221" s="138" t="inlineStr">
        <x:is>
          <x:t xml:space="preserve">已完成</x:t>
        </x:is>
      </x:c>
      <x:c r="L221" s="138" t="inlineStr">
        <x:is>
          <x:t xml:space="preserve">P2</x:t>
        </x:is>
      </x:c>
      <x:c r="M221" s="138" t="inlineStr">
        <x:is>
          <x:t xml:space="preserve">v001</x:t>
        </x:is>
      </x:c>
      <x:c r="N221" s="138" t="inlineStr">
        <x:is>
          <x:t xml:space="preserve">握把原点；local -Z枪口；3材质；独立GLB/PackedScene</x:t>
        </x:is>
      </x:c>
      <x:c r="O221" s="138" t="inlineStr">
        <x:is>
          <x:t xml:space="preserve">assets/art/weapons/weapon_3d/runtime/fan_blaster/wpn_fan_blaster_root_top3d_v001.tscn</x:t>
        </x:is>
      </x:c>
      <x:c r="P221" s="138" t="inlineStr">
        <x:is>
          <x:t xml:space="preserve">assets/art/weapons/weapon_3d/source/fan_blaster/wpn_fan_blaster_source_v001.blend</x:t>
        </x:is>
      </x:c>
      <x:c r="Q221" s="138" t="inlineStr">
        <x:is>
          <x:t xml:space="preserve">fan_blaster; 风扇爆能枪; 未来枪械; 通用挂点; 多巴胺配色</x:t>
        </x:is>
      </x:c>
      <x:c r="R221" s="138" t="str">
        <x:f>LOWER(TRIM(C221)&amp;"|"&amp;TRIM(D221)&amp;"|"&amp;TRIM(E221)&amp;"|"&amp;TRIM(F221)&amp;"|"&amp;TRIM(H221)&amp;"|"&amp;TRIM(I221))</x:f>
        <x:v>武器|gunbody|future_fan_blaster|root|俯视3d / local -z 枪口|default / 标准握把与8类挂点</x:v>
      </x:c>
      <x:c r="S221" s="138" t="str">
        <x:f>IF(COUNTIF($R$6:$R$423,R221)&gt;1,"重复","唯一")</x:f>
        <x:v>唯一</x:v>
      </x:c>
      <x:c r="T221" s="138" t="inlineStr">
        <x:is>
          <x:t xml:space="preserve">3ef7b483eb98314077ee9a014c6b6de00dddf66509f8d35ab78aec539958fe18</x:t>
        </x:is>
      </x:c>
      <x:c r="U221" s="138" t="inlineStr">
        <x:is>
          <x:t xml:space="preserve">Codex</x:t>
        </x:is>
      </x:c>
      <x:c r="V221" s="303" t="n">
        <x:v>46264</x:v>
      </x:c>
      <x:c r="W221" s="138" t="inlineStr">
        <x:is>
          <x:t xml:space="preserve">用户自制Blender资产</x:t>
        </x:is>
      </x:c>
      <x:c r="X221" s="375" t="inlineStr">
        <x:is>
          <x:t xml:space="preserve">—</x:t>
        </x:is>
      </x:c>
      <x:c r="Y22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bde9a97ec8a3→5b740e26cc2b。</x:t>
        </x:is>
      </x:c>
    </x:row>
    <x:row r="222">
      <x:c r="A222" s="308" t="inlineStr">
        <x:is>
          <x:t xml:space="preserve">PRP-BASE-LOCKER-STATION-3D</x:t>
        </x:is>
      </x:c>
      <x:c r="B222" s="309" t="inlineStr">
        <x:is>
          <x:t xml:space="preserve">赛博储物站</x:t>
        </x:is>
      </x:c>
      <x:c r="C222" s="309" t="inlineStr">
        <x:is>
          <x:t xml:space="preserve">道具</x:t>
        </x:is>
      </x:c>
      <x:c r="D222" s="309" t="inlineStr">
        <x:is>
          <x:t xml:space="preserve">base_facility</x:t>
        </x:is>
      </x:c>
      <x:c r="E222" s="309" t="inlineStr">
        <x:is>
          <x:t xml:space="preserve">vault</x:t>
        </x:is>
      </x:c>
      <x:c r="F222" s="309" t="inlineStr">
        <x:is>
          <x:t xml:space="preserve">root</x:t>
        </x:is>
      </x:c>
      <x:c r="G222" s="309" t="inlineStr">
        <x:is>
          <x:t xml:space="preserve">PRP-BASE-FACILITY-3D</x:t>
        </x:is>
      </x:c>
      <x:c r="H222" s="309" t="inlineStr">
        <x:is>
          <x:t xml:space="preserve">Top3D / local -Z 正面</x:t>
        </x:is>
      </x:c>
      <x:c r="I222" s="309" t="inlineStr">
        <x:is>
          <x:t xml:space="preserve">default / 正式交互设施</x:t>
        </x:is>
      </x:c>
      <x:c r="J222" s="309" t="inlineStr">
        <x:is>
          <x:t xml:space="preserve">基地99层/保险柜设施</x:t>
        </x:is>
      </x:c>
      <x:c r="K222" s="309" t="inlineStr">
        <x:is>
          <x:t xml:space="preserve">已完成</x:t>
        </x:is>
      </x:c>
      <x:c r="L222" s="309" t="inlineStr">
        <x:is>
          <x:t xml:space="preserve">P2</x:t>
        </x:is>
      </x:c>
      <x:c r="M222" s="309" t="inlineStr">
        <x:is>
          <x:t xml:space="preserve">v004</x:t>
        </x:is>
      </x:c>
      <x:c r="N222" s="309" t="inlineStr">
        <x:is>
          <x:t xml:space="preserve">4材质；主体/自发光分离；独立GLB/PackedScene</x:t>
        </x:is>
      </x:c>
      <x:c r="O222" s="309" t="inlineStr">
        <x:is>
          <x:t xml:space="preserve">assets/art/props/base_world_3d/runtime/locker_station/prp_base_locker_station_root_top3d_v001.tscn</x:t>
        </x:is>
      </x:c>
      <x:c r="P222" s="309" t="inlineStr">
        <x:is>
          <x:t xml:space="preserve">assets/art/props/base_world_3d/source/locker_station/prp_base_locker_station_source_v004.blend</x:t>
        </x:is>
      </x:c>
      <x:c r="Q222" s="309" t="inlineStr">
        <x:is>
          <x:t xml:space="preserve">vault; 保险柜; 赛博储物站; 仓储设施</x:t>
        </x:is>
      </x:c>
      <x:c r="R222" s="309" t="str">
        <x:f>LOWER(TRIM(C222)&amp;"|"&amp;TRIM(D222)&amp;"|"&amp;TRIM(E222)&amp;"|"&amp;TRIM(F222)&amp;"|"&amp;TRIM(H222)&amp;"|"&amp;TRIM(I222))</x:f>
        <x:v>道具|base_facility|vault|root|top3d / local -z 正面|default / 正式交互设施</x:v>
      </x:c>
      <x:c r="S222" s="309" t="str">
        <x:f>IF(COUNTIF($R$6:$R$423,R222)&gt;1,"重复","唯一")</x:f>
        <x:v>唯一</x:v>
      </x:c>
      <x:c r="T222" s="309" t="inlineStr">
        <x:is>
          <x:t xml:space="preserve">bc75b86a6e37fba24dff86f2f108f3bd0be10622baf7e59b2dd84d49795b33d5</x:t>
        </x:is>
      </x:c>
      <x:c r="U222" s="309" t="inlineStr">
        <x:is>
          <x:t xml:space="preserve">Codex</x:t>
        </x:is>
      </x:c>
      <x:c r="V222" s="310" t="n">
        <x:v>46264</x:v>
      </x:c>
      <x:c r="W222" s="309" t="inlineStr">
        <x:is>
          <x:t xml:space="preserve">用户自制Blender资产</x:t>
        </x:is>
      </x:c>
      <x:c r="X222" s="375" t="inlineStr">
        <x:is>
          <x:t xml:space="preserve">—</x:t>
        </x:is>
      </x:c>
      <x:c r="Y222" s="309" t="inlineStr">
        <x:is>
          <x:t xml:space="preserve">2026-08-11接入基地99层正式设施；BaseFacility3D绑定vault并打开VaultMenu；保留交互碰撞与Visual；模型正面为local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b4aa2b142d31→90b868783b9f。
2026-09-12：TowerDescent99F的vault已迁移到PRP-BASE99-NARROW-BATTERY-CABINET-FACILITY-3D；本行赛博储物站继续用于BaseWorld3D。</x:t>
        </x:is>
      </x:c>
    </x:row>
    <x:row r="223">
      <x:c r="A223" s="308" t="inlineStr">
        <x:is>
          <x:t xml:space="preserve">PRP-BASE-RETRO-TV-STATION-3D</x:t>
        </x:is>
      </x:c>
      <x:c r="B223" s="309" t="inlineStr">
        <x:is>
          <x:t xml:space="preserve">复古游戏电视站</x:t>
        </x:is>
      </x:c>
      <x:c r="C223" s="309" t="inlineStr">
        <x:is>
          <x:t xml:space="preserve">道具</x:t>
        </x:is>
      </x:c>
      <x:c r="D223" s="309" t="inlineStr">
        <x:is>
          <x:t xml:space="preserve">base_facility</x:t>
        </x:is>
      </x:c>
      <x:c r="E223" s="309" t="inlineStr">
        <x:is>
          <x:t xml:space="preserve">fate_collection</x:t>
        </x:is>
      </x:c>
      <x:c r="F223" s="309" t="inlineStr">
        <x:is>
          <x:t xml:space="preserve">root</x:t>
        </x:is>
      </x:c>
      <x:c r="G223" s="309" t="inlineStr">
        <x:is>
          <x:t xml:space="preserve">PRP-BASE-FACILITY-3D</x:t>
        </x:is>
      </x:c>
      <x:c r="H223" s="309" t="inlineStr">
        <x:is>
          <x:t xml:space="preserve">Top3D / local -Z 正面</x:t>
        </x:is>
      </x:c>
      <x:c r="I223" s="309" t="inlineStr">
        <x:is>
          <x:t xml:space="preserve">default / 正式交互设施</x:t>
        </x:is>
      </x:c>
      <x:c r="J223" s="309" t="inlineStr">
        <x:is>
          <x:t xml:space="preserve">基地99层/命运卡收藏室</x:t>
        </x:is>
      </x:c>
      <x:c r="K223" s="309" t="inlineStr">
        <x:is>
          <x:t xml:space="preserve">已完成</x:t>
        </x:is>
      </x:c>
      <x:c r="L223" s="309" t="inlineStr">
        <x:is>
          <x:t xml:space="preserve">P2</x:t>
        </x:is>
      </x:c>
      <x:c r="M223" s="309" t="inlineStr">
        <x:is>
          <x:t xml:space="preserve">v004</x:t>
        </x:is>
      </x:c>
      <x:c r="N223" s="309" t="inlineStr">
        <x:is>
          <x:t xml:space="preserve">4材质；主体/自发光分离；独立GLB/PackedScene</x:t>
        </x:is>
      </x:c>
      <x:c r="O223" s="309" t="inlineStr">
        <x:is>
          <x:t xml:space="preserve">assets/art/props/base_world_3d/runtime/retro_tv_station/prp_base_retro_tv_station_root_top3d_v001.tscn</x:t>
        </x:is>
      </x:c>
      <x:c r="P223" s="309" t="inlineStr">
        <x:is>
          <x:t xml:space="preserve">assets/art/props/base_world_3d/source/retro_tv_station/prp_base_retro_tv_station_source_v004.blend</x:t>
        </x:is>
      </x:c>
      <x:c r="Q223" s="309" t="inlineStr">
        <x:is>
          <x:t xml:space="preserve">fate_collection; 命运卡收藏室; 复古游戏电视站; 收藏设施</x:t>
        </x:is>
      </x:c>
      <x:c r="R223" s="309" t="str">
        <x:f>LOWER(TRIM(C223)&amp;"|"&amp;TRIM(D223)&amp;"|"&amp;TRIM(E223)&amp;"|"&amp;TRIM(F223)&amp;"|"&amp;TRIM(H223)&amp;"|"&amp;TRIM(I223))</x:f>
        <x:v>道具|base_facility|fate_collection|root|top3d / local -z 正面|default / 正式交互设施</x:v>
      </x:c>
      <x:c r="S223" s="309" t="str">
        <x:f>IF(COUNTIF($R$6:$R$423,R223)&gt;1,"重复","唯一")</x:f>
        <x:v>唯一</x:v>
      </x:c>
      <x:c r="T223" s="309" t="inlineStr">
        <x:is>
          <x:t xml:space="preserve">fcba0ee6bbb657b3cd4a1d87d32284b15b9d75ad54d10b60ed6dc8d45c045856</x:t>
        </x:is>
      </x:c>
      <x:c r="U223" s="309" t="inlineStr">
        <x:is>
          <x:t xml:space="preserve">Codex</x:t>
        </x:is>
      </x:c>
      <x:c r="V223" s="310" t="n">
        <x:v>46264</x:v>
      </x:c>
      <x:c r="W223" s="309" t="inlineStr">
        <x:is>
          <x:t xml:space="preserve">用户自制Blender资产</x:t>
        </x:is>
      </x:c>
      <x:c r="X223" s="375" t="inlineStr">
        <x:is>
          <x:t xml:space="preserve">—</x:t>
        </x:is>
      </x:c>
      <x:c r="Y223" s="309" t="inlineStr">
        <x:is>
          <x:t xml:space="preserve">2026-08-11接入基地99层正式设施；BaseFacility3D绑定fate_collection并打开FateCardCollectionMenu；保留交互碰撞与Visual；模型正面为local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fed2c5ff578e→5664a0d62034。
2026-09-12：TowerDescent99F的fate_collection已迁移到PRP-BASE99-LOFT-COMPUTER-WORKSTATION-FACILITY-3D；本行复古电视站继续用于BaseWorld3D。</x:t>
        </x:is>
      </x:c>
    </x:row>
    <x:row r="224">
      <x:c r="A224" s="308" t="inlineStr">
        <x:is>
          <x:t xml:space="preserve">PRP-BASE-WORKSHOP-STOOL-3D</x:t>
        </x:is>
      </x:c>
      <x:c r="B224" s="309" t="inlineStr">
        <x:is>
          <x:t xml:space="preserve">赛博维修圆凳</x:t>
        </x:is>
      </x:c>
      <x:c r="C224" s="309" t="inlineStr">
        <x:is>
          <x:t xml:space="preserve">道具</x:t>
        </x:is>
      </x:c>
      <x:c r="D224" s="309" t="inlineStr">
        <x:is>
          <x:t xml:space="preserve">decor_prop</x:t>
        </x:is>
      </x:c>
      <x:c r="E224" s="309" t="inlineStr">
        <x:is>
          <x:t xml:space="preserve">workshop_stool</x:t>
        </x:is>
      </x:c>
      <x:c r="F224" s="309" t="inlineStr">
        <x:is>
          <x:t xml:space="preserve">root</x:t>
        </x:is>
      </x:c>
      <x:c r="G224" s="309" t="n"/>
      <x:c r="H224" s="309" t="inlineStr">
        <x:is>
          <x:t xml:space="preserve">Top3D / local -Z 正面</x:t>
        </x:is>
      </x:c>
      <x:c r="I224" s="309" t="inlineStr">
        <x:is>
          <x:t xml:space="preserve">default / 独立装饰场景</x:t>
        </x:is>
      </x:c>
      <x:c r="J224" s="309" t="inlineStr">
        <x:is>
          <x:t xml:space="preserve">基地99层美术布置层</x:t>
        </x:is>
      </x:c>
      <x:c r="K224" s="309" t="inlineStr">
        <x:is>
          <x:t xml:space="preserve">已完成</x:t>
        </x:is>
      </x:c>
      <x:c r="L224" s="309" t="inlineStr">
        <x:is>
          <x:t xml:space="preserve">P2</x:t>
        </x:is>
      </x:c>
      <x:c r="M224" s="309" t="inlineStr">
        <x:is>
          <x:t xml:space="preserve">v001</x:t>
        </x:is>
      </x:c>
      <x:c r="N224" s="309" t="inlineStr">
        <x:is>
          <x:t xml:space="preserve">最多4材质；独立GLB/PackedScene；无交互碰撞</x:t>
        </x:is>
      </x:c>
      <x:c r="O224" s="309" t="inlineStr">
        <x:is>
          <x:t xml:space="preserve">assets/art/props/base_world_3d/runtime/workshop_stool/prp_base_workshop_stool_root_top3d_v001.tscn</x:t>
        </x:is>
      </x:c>
      <x:c r="P224" s="309" t="inlineStr">
        <x:is>
          <x:t xml:space="preserve">assets/art/props/base_world_3d/source/workshop_stool/prp_base_workshop_stool_source_v001.blend</x:t>
        </x:is>
      </x:c>
      <x:c r="Q224" s="309" t="inlineStr">
        <x:is>
          <x:t xml:space="preserve">workshop_stool; 赛博维修圆凳; 独立座椅; 可移动装饰</x:t>
        </x:is>
      </x:c>
      <x:c r="R224" s="309" t="str">
        <x:f>LOWER(TRIM(C224)&amp;"|"&amp;TRIM(D224)&amp;"|"&amp;TRIM(E224)&amp;"|"&amp;TRIM(F224)&amp;"|"&amp;TRIM(H224)&amp;"|"&amp;TRIM(I224))</x:f>
        <x:v>道具|decor_prop|workshop_stool|root|top3d / local -z 正面|default / 独立装饰场景</x:v>
      </x:c>
      <x:c r="S224" s="309" t="str">
        <x:f>IF(COUNTIF($R$6:$R$423,R224)&gt;1,"重复","唯一")</x:f>
        <x:v>唯一</x:v>
      </x:c>
      <x:c r="T224" s="309" t="inlineStr">
        <x:is>
          <x:t xml:space="preserve">802506f1cff4d0ee7bb22b0e3a20c34d4b2c87fdb7e699d7c0e2c294aaa66abf</x:t>
        </x:is>
      </x:c>
      <x:c r="U224" s="309" t="inlineStr">
        <x:is>
          <x:t xml:space="preserve">Codex</x:t>
        </x:is>
      </x:c>
      <x:c r="V224" s="310" t="n">
        <x:v>46264</x:v>
      </x:c>
      <x:c r="W224" s="309" t="inlineStr">
        <x:is>
          <x:t xml:space="preserve">用户自制Blender资产</x:t>
        </x:is>
      </x:c>
      <x:c r="X224" s="375" t="inlineStr">
        <x:is>
          <x:t xml:space="preserve">—</x:t>
        </x:is>
      </x:c>
      <x:c r="Y224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a09164b2f643→24c43b83564e。</x:t>
        </x:is>
      </x:c>
    </x:row>
    <x:row r="225">
      <x:c r="A225" s="308" t="inlineStr">
        <x:is>
          <x:t xml:space="preserve">PRP-BASE-MISSION-COMMAND-CHAIR-3D</x:t>
        </x:is>
      </x:c>
      <x:c r="B225" s="309" t="inlineStr">
        <x:is>
          <x:t xml:space="preserve">战术指挥椅</x:t>
        </x:is>
      </x:c>
      <x:c r="C225" s="309" t="inlineStr">
        <x:is>
          <x:t xml:space="preserve">道具</x:t>
        </x:is>
      </x:c>
      <x:c r="D225" s="309" t="inlineStr">
        <x:is>
          <x:t xml:space="preserve">decor_prop</x:t>
        </x:is>
      </x:c>
      <x:c r="E225" s="309" t="inlineStr">
        <x:is>
          <x:t xml:space="preserve">mission_command_chair</x:t>
        </x:is>
      </x:c>
      <x:c r="F225" s="309" t="inlineStr">
        <x:is>
          <x:t xml:space="preserve">root</x:t>
        </x:is>
      </x:c>
      <x:c r="G225" s="309" t="n"/>
      <x:c r="H225" s="309" t="inlineStr">
        <x:is>
          <x:t xml:space="preserve">Top3D / local -Z 正面</x:t>
        </x:is>
      </x:c>
      <x:c r="I225" s="309" t="inlineStr">
        <x:is>
          <x:t xml:space="preserve">default / 独立装饰场景</x:t>
        </x:is>
      </x:c>
      <x:c r="J225" s="309" t="inlineStr">
        <x:is>
          <x:t xml:space="preserve">基地99层美术布置层</x:t>
        </x:is>
      </x:c>
      <x:c r="K225" s="309" t="inlineStr">
        <x:is>
          <x:t xml:space="preserve">已完成</x:t>
        </x:is>
      </x:c>
      <x:c r="L225" s="309" t="inlineStr">
        <x:is>
          <x:t xml:space="preserve">P2</x:t>
        </x:is>
      </x:c>
      <x:c r="M225" s="309" t="inlineStr">
        <x:is>
          <x:t xml:space="preserve">v001</x:t>
        </x:is>
      </x:c>
      <x:c r="N225" s="309" t="inlineStr">
        <x:is>
          <x:t xml:space="preserve">最多4材质；独立GLB/PackedScene；无交互碰撞</x:t>
        </x:is>
      </x:c>
      <x:c r="O225" s="309" t="inlineStr">
        <x:is>
          <x:t xml:space="preserve">assets/art/props/base_world_3d/runtime/mission_command_chair/prp_base_mission_command_chair_root_top3d_v001.tscn</x:t>
        </x:is>
      </x:c>
      <x:c r="P225" s="309" t="inlineStr">
        <x:is>
          <x:t xml:space="preserve">assets/art/props/base_world_3d/source/mission_command_chair/prp_base_mission_command_chair_source_v001.blend</x:t>
        </x:is>
      </x:c>
      <x:c r="Q225" s="309" t="inlineStr">
        <x:is>
          <x:t xml:space="preserve">mission_command_chair; 战术指挥椅; 独立座椅; 可移动装饰</x:t>
        </x:is>
      </x:c>
      <x:c r="R225" s="309" t="str">
        <x:f>LOWER(TRIM(C225)&amp;"|"&amp;TRIM(D225)&amp;"|"&amp;TRIM(E225)&amp;"|"&amp;TRIM(F225)&amp;"|"&amp;TRIM(H225)&amp;"|"&amp;TRIM(I225))</x:f>
        <x:v>道具|decor_prop|mission_command_chair|root|top3d / local -z 正面|default / 独立装饰场景</x:v>
      </x:c>
      <x:c r="S225" s="309" t="str">
        <x:f>IF(COUNTIF($R$6:$R$423,R225)&gt;1,"重复","唯一")</x:f>
        <x:v>唯一</x:v>
      </x:c>
      <x:c r="T225" s="309" t="inlineStr">
        <x:is>
          <x:t xml:space="preserve">576769edb34e09f4fd113c2f69b2f00ef8fb87afe12795241aa928b4a5ac585c</x:t>
        </x:is>
      </x:c>
      <x:c r="U225" s="309" t="inlineStr">
        <x:is>
          <x:t xml:space="preserve">Codex</x:t>
        </x:is>
      </x:c>
      <x:c r="V225" s="310" t="n">
        <x:v>46264</x:v>
      </x:c>
      <x:c r="W225" s="309" t="inlineStr">
        <x:is>
          <x:t xml:space="preserve">用户自制Blender资产</x:t>
        </x:is>
      </x:c>
      <x:c r="X225" s="375" t="inlineStr">
        <x:is>
          <x:t xml:space="preserve">—</x:t>
        </x:is>
      </x:c>
      <x:c r="Y225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f16271a4dc23→a8c70158f3af。</x:t>
        </x:is>
      </x:c>
    </x:row>
    <x:row r="226">
      <x:c r="A226" s="349" t="inlineStr">
        <x:is>
          <x:t xml:space="preserve">ENM-BOSS-ARCHIVIST-95</x:t>
        </x:is>
      </x:c>
      <x:c r="B226" s="349" t="inlineStr">
        <x:is>
          <x:t xml:space="preserve">深渊档案官</x:t>
        </x:is>
      </x:c>
      <x:c r="C226" s="349" t="inlineStr">
        <x:is>
          <x:t xml:space="preserve">敌人</x:t>
        </x:is>
      </x:c>
      <x:c r="D226" s="349" t="inlineStr">
        <x:is>
          <x:t xml:space="preserve">boss</x:t>
        </x:is>
      </x:c>
      <x:c r="E226" s="349" t="inlineStr">
        <x:is>
          <x:t xml:space="preserve">boss_abyss_archivist_95</x:t>
        </x:is>
      </x:c>
      <x:c r="F226" s="349" t="inlineStr">
        <x:is>
          <x:t xml:space="preserve">root</x:t>
        </x:is>
      </x:c>
      <x:c r="G226" s="349" t="n"/>
      <x:c r="H226" s="349" t="inlineStr">
        <x:is>
          <x:t xml:space="preserve">Top3D</x:t>
        </x:is>
      </x:c>
      <x:c r="I226" s="349" t="inlineStr">
        <x:is>
          <x:t xml:space="preserve">default / 三阶段</x:t>
        </x:is>
      </x:c>
      <x:c r="J226" s="349" t="inlineStr">
        <x:is>
          <x:t xml:space="preserve">95层Boss</x:t>
        </x:is>
      </x:c>
      <x:c r="K226" s="349" t="inlineStr">
        <x:is>
          <x:t xml:space="preserve">已完成</x:t>
        </x:is>
      </x:c>
      <x:c r="L226" s="349" t="inlineStr">
        <x:is>
          <x:t xml:space="preserve">P0</x:t>
        </x:is>
      </x:c>
      <x:c r="M226" s="349" t="inlineStr">
        <x:is>
          <x:t xml:space="preserve">v001</x:t>
        </x:is>
      </x:c>
      <x:c r="N226" s="349" t="inlineStr">
        <x:is>
          <x:t xml:space="preserve">GLB；主体/发光/附肢语义拆分</x:t>
        </x:is>
      </x:c>
      <x:c r="O226" s="349" t="inlineStr">
        <x:is>
          <x:t xml:space="preserve">assets/art/enemies/bosses_v01/enm_boss_archivist_95_top3d_v001.glb</x:t>
        </x:is>
      </x:c>
      <x:c r="P226" s="349" t="inlineStr">
        <x:is>
          <x:t xml:space="preserve">source/art/blender/bosses_v01/enm_boss_archivist_95_top3d_v001.blend; src/enemy3d/BossContentCatalog.gd</x:t>
        </x:is>
      </x:c>
      <x:c r="Q226" s="349" t="inlineStr">
        <x:is>
          <x:t xml:space="preserve">深渊档案官; archive; 95F; 三阶段</x:t>
        </x:is>
      </x:c>
      <x:c r="R226" s="349" t="str">
        <x:f>LOWER(TRIM(C226)&amp;"|"&amp;TRIM(D226)&amp;"|"&amp;TRIM(E226)&amp;"|"&amp;TRIM(F226)&amp;"|"&amp;TRIM(H226)&amp;"|"&amp;TRIM(I226))</x:f>
        <x:v>敌人|boss|boss_abyss_archivist_95|root|top3d|default / 三阶段</x:v>
      </x:c>
      <x:c r="S226" s="349" t="str">
        <x:f>IF(COUNTIF($R$6:$R$423,R226)&gt;1,"重复","唯一")</x:f>
        <x:v>唯一</x:v>
      </x:c>
      <x:c r="T226" s="349" t="inlineStr">
        <x:is>
          <x:t xml:space="preserve">d48dbdef27c500895471b8e14e4d07ae8f733b511ea67bf44cf0dffe959d781c</x:t>
        </x:is>
      </x:c>
      <x:c r="U226" s="349" t="inlineStr">
        <x:is>
          <x:t xml:space="preserve">Codex</x:t>
        </x:is>
      </x:c>
      <x:c r="V226" s="349" t="n">
        <x:v>46247</x:v>
      </x:c>
      <x:c r="W226" s="349" t="inlineStr">
        <x:is>
          <x:t xml:space="preserve">原创程序建模</x:t>
        </x:is>
      </x:c>
      <x:c r="X226" s="375" t="inlineStr">
        <x:is>
          <x:t xml:space="preserve">—</x:t>
        </x:is>
      </x:c>
      <x:c r="Y226" s="349" t="inlineStr">
        <x:is>
          <x:t xml:space="preserve">独立正式模型；阶段技能袋 archive_fan/index_beam/archive_storm；通过Boss专项验收。
2026-08-30 AST-01规范化（原制作状态：正式美术已接入）</x:t>
        </x:is>
      </x:c>
    </x:row>
    <x:row r="227">
      <x:c r="A227" s="349" t="inlineStr">
        <x:is>
          <x:t xml:space="preserve">ENM-BOSS-FURNACE-WARDEN-90</x:t>
        </x:is>
      </x:c>
      <x:c r="B227" s="349" t="inlineStr">
        <x:is>
          <x:t xml:space="preserve">熔炉狱监</x:t>
        </x:is>
      </x:c>
      <x:c r="C227" s="349" t="inlineStr">
        <x:is>
          <x:t xml:space="preserve">敌人</x:t>
        </x:is>
      </x:c>
      <x:c r="D227" s="349" t="inlineStr">
        <x:is>
          <x:t xml:space="preserve">boss</x:t>
        </x:is>
      </x:c>
      <x:c r="E227" s="349" t="inlineStr">
        <x:is>
          <x:t xml:space="preserve">boss_furnace_warden_90</x:t>
        </x:is>
      </x:c>
      <x:c r="F227" s="349" t="inlineStr">
        <x:is>
          <x:t xml:space="preserve">root</x:t>
        </x:is>
      </x:c>
      <x:c r="G227" s="349" t="n"/>
      <x:c r="H227" s="349" t="inlineStr">
        <x:is>
          <x:t xml:space="preserve">Top3D</x:t>
        </x:is>
      </x:c>
      <x:c r="I227" s="349" t="inlineStr">
        <x:is>
          <x:t xml:space="preserve">default / 三阶段</x:t>
        </x:is>
      </x:c>
      <x:c r="J227" s="349" t="inlineStr">
        <x:is>
          <x:t xml:space="preserve">90层Boss</x:t>
        </x:is>
      </x:c>
      <x:c r="K227" s="349" t="inlineStr">
        <x:is>
          <x:t xml:space="preserve">已完成</x:t>
        </x:is>
      </x:c>
      <x:c r="L227" s="349" t="inlineStr">
        <x:is>
          <x:t xml:space="preserve">P0</x:t>
        </x:is>
      </x:c>
      <x:c r="M227" s="349" t="inlineStr">
        <x:is>
          <x:t xml:space="preserve">v001</x:t>
        </x:is>
      </x:c>
      <x:c r="N227" s="349" t="inlineStr">
        <x:is>
          <x:t xml:space="preserve">GLB；主体/发光/附肢语义拆分</x:t>
        </x:is>
      </x:c>
      <x:c r="O227" s="349" t="inlineStr">
        <x:is>
          <x:t xml:space="preserve">assets/art/enemies/bosses_v01/enm_boss_furnace_warden_90_top3d_v001.glb</x:t>
        </x:is>
      </x:c>
      <x:c r="P227" s="349" t="inlineStr">
        <x:is>
          <x:t xml:space="preserve">source/art/blender/bosses_v01/enm_boss_furnace_warden_90_top3d_v001.blend; src/enemy3d/BossContentCatalog.gd</x:t>
        </x:is>
      </x:c>
      <x:c r="Q227" s="349" t="inlineStr">
        <x:is>
          <x:t xml:space="preserve">熔炉狱监; furnace; 90F; 三阶段</x:t>
        </x:is>
      </x:c>
      <x:c r="R227" s="349" t="str">
        <x:f>LOWER(TRIM(C227)&amp;"|"&amp;TRIM(D227)&amp;"|"&amp;TRIM(E227)&amp;"|"&amp;TRIM(F227)&amp;"|"&amp;TRIM(H227)&amp;"|"&amp;TRIM(I227))</x:f>
        <x:v>敌人|boss|boss_furnace_warden_90|root|top3d|default / 三阶段</x:v>
      </x:c>
      <x:c r="S227" s="349" t="str">
        <x:f>IF(COUNTIF($R$6:$R$423,R227)&gt;1,"重复","唯一")</x:f>
        <x:v>唯一</x:v>
      </x:c>
      <x:c r="T227" s="349" t="inlineStr">
        <x:is>
          <x:t xml:space="preserve">77469ad543d9265ffcc32198c06e25dd3ea8b793b79da4afeb7bd5e56f09d24c</x:t>
        </x:is>
      </x:c>
      <x:c r="U227" s="349" t="inlineStr">
        <x:is>
          <x:t xml:space="preserve">Codex</x:t>
        </x:is>
      </x:c>
      <x:c r="V227" s="349" t="n">
        <x:v>46247</x:v>
      </x:c>
      <x:c r="W227" s="349" t="inlineStr">
        <x:is>
          <x:t xml:space="preserve">原创程序建模</x:t>
        </x:is>
      </x:c>
      <x:c r="X227" s="375" t="inlineStr">
        <x:is>
          <x:t xml:space="preserve">—</x:t>
        </x:is>
      </x:c>
      <x:c r="Y227" s="349" t="inlineStr">
        <x:is>
          <x:t xml:space="preserve">独立正式模型；阶段技能袋 molten_volley/hammer_drive/furnace_burst；通过Boss专项验收。
2026-08-30 AST-01规范化（原制作状态：正式美术已接入）</x:t>
        </x:is>
      </x:c>
    </x:row>
    <x:row r="228">
      <x:c r="A228" s="349" t="inlineStr">
        <x:is>
          <x:t xml:space="preserve">ENM-BOSS-HOLLOW-CHOIR-85</x:t>
        </x:is>
      </x:c>
      <x:c r="B228" s="349" t="inlineStr">
        <x:is>
          <x:t xml:space="preserve">空洞合唱团</x:t>
        </x:is>
      </x:c>
      <x:c r="C228" s="349" t="inlineStr">
        <x:is>
          <x:t xml:space="preserve">敌人</x:t>
        </x:is>
      </x:c>
      <x:c r="D228" s="349" t="inlineStr">
        <x:is>
          <x:t xml:space="preserve">boss</x:t>
        </x:is>
      </x:c>
      <x:c r="E228" s="349" t="inlineStr">
        <x:is>
          <x:t xml:space="preserve">boss_hollow_choir_85</x:t>
        </x:is>
      </x:c>
      <x:c r="F228" s="349" t="inlineStr">
        <x:is>
          <x:t xml:space="preserve">root</x:t>
        </x:is>
      </x:c>
      <x:c r="G228" s="349" t="n"/>
      <x:c r="H228" s="349" t="inlineStr">
        <x:is>
          <x:t xml:space="preserve">Top3D</x:t>
        </x:is>
      </x:c>
      <x:c r="I228" s="349" t="inlineStr">
        <x:is>
          <x:t xml:space="preserve">default / 三阶段</x:t>
        </x:is>
      </x:c>
      <x:c r="J228" s="349" t="inlineStr">
        <x:is>
          <x:t xml:space="preserve">85层Boss</x:t>
        </x:is>
      </x:c>
      <x:c r="K228" s="349" t="inlineStr">
        <x:is>
          <x:t xml:space="preserve">已完成</x:t>
        </x:is>
      </x:c>
      <x:c r="L228" s="349" t="inlineStr">
        <x:is>
          <x:t xml:space="preserve">P0</x:t>
        </x:is>
      </x:c>
      <x:c r="M228" s="349" t="inlineStr">
        <x:is>
          <x:t xml:space="preserve">v001</x:t>
        </x:is>
      </x:c>
      <x:c r="N228" s="349" t="inlineStr">
        <x:is>
          <x:t xml:space="preserve">GLB；主体/发光/附肢语义拆分</x:t>
        </x:is>
      </x:c>
      <x:c r="O228" s="349" t="inlineStr">
        <x:is>
          <x:t xml:space="preserve">assets/art/enemies/bosses_v01/enm_boss_hollow_choir_85_top3d_v001.glb</x:t>
        </x:is>
      </x:c>
      <x:c r="P228" s="349" t="inlineStr">
        <x:is>
          <x:t xml:space="preserve">source/art/blender/bosses_v01/enm_boss_hollow_choir_85_top3d_v001.blend; src/enemy3d/BossContentCatalog.gd</x:t>
        </x:is>
      </x:c>
      <x:c r="Q228" s="349" t="inlineStr">
        <x:is>
          <x:t xml:space="preserve">空洞合唱团; choir; 85F; 三阶段</x:t>
        </x:is>
      </x:c>
      <x:c r="R228" s="349" t="str">
        <x:f>LOWER(TRIM(C228)&amp;"|"&amp;TRIM(D228)&amp;"|"&amp;TRIM(E228)&amp;"|"&amp;TRIM(F228)&amp;"|"&amp;TRIM(H228)&amp;"|"&amp;TRIM(I228))</x:f>
        <x:v>敌人|boss|boss_hollow_choir_85|root|top3d|default / 三阶段</x:v>
      </x:c>
      <x:c r="S228" s="349" t="str">
        <x:f>IF(COUNTIF($R$6:$R$423,R228)&gt;1,"重复","唯一")</x:f>
        <x:v>唯一</x:v>
      </x:c>
      <x:c r="T228" s="349" t="inlineStr">
        <x:is>
          <x:t xml:space="preserve">c7d1bade328047877d64770b2c534cbd930fc377ce8a00e19873fc108a73a56f</x:t>
        </x:is>
      </x:c>
      <x:c r="U228" s="349" t="inlineStr">
        <x:is>
          <x:t xml:space="preserve">Codex</x:t>
        </x:is>
      </x:c>
      <x:c r="V228" s="349" t="n">
        <x:v>46247</x:v>
      </x:c>
      <x:c r="W228" s="349" t="inlineStr">
        <x:is>
          <x:t xml:space="preserve">原创程序建模</x:t>
        </x:is>
      </x:c>
      <x:c r="X228" s="375" t="inlineStr">
        <x:is>
          <x:t xml:space="preserve">—</x:t>
        </x:is>
      </x:c>
      <x:c r="Y228" s="349" t="inlineStr">
        <x:is>
          <x:t xml:space="preserve">独立正式模型；阶段技能袋 choir_wave/silence_chord/echo_burst；通过Boss专项验收。
2026-08-30 AST-01规范化（原制作状态：正式美术已接入）</x:t>
        </x:is>
      </x:c>
    </x:row>
    <x:row r="229">
      <x:c r="A229" s="349" t="inlineStr">
        <x:is>
          <x:t xml:space="preserve">ENV-BOSS-ARENA-ARCHIVE-95</x:t>
        </x:is>
      </x:c>
      <x:c r="B229" s="349" t="inlineStr">
        <x:is>
          <x:t xml:space="preserve">档案回廊竞技场组件</x:t>
        </x:is>
      </x:c>
      <x:c r="C229" s="349" t="inlineStr">
        <x:is>
          <x:t xml:space="preserve">场景</x:t>
        </x:is>
      </x:c>
      <x:c r="D229" s="349" t="inlineStr">
        <x:is>
          <x:t xml:space="preserve">boss_arena</x:t>
        </x:is>
      </x:c>
      <x:c r="E229" s="349" t="inlineStr">
        <x:is>
          <x:t xml:space="preserve">arena_archive_95</x:t>
        </x:is>
      </x:c>
      <x:c r="F229" s="349" t="inlineStr">
        <x:is>
          <x:t xml:space="preserve">dressing</x:t>
        </x:is>
      </x:c>
      <x:c r="G229" s="349" t="n"/>
      <x:c r="H229" s="349" t="inlineStr">
        <x:is>
          <x:t xml:space="preserve">Top3D</x:t>
        </x:is>
      </x:c>
      <x:c r="I229" s="349" t="inlineStr">
        <x:is>
          <x:t xml:space="preserve">default / 高模流式</x:t>
        </x:is>
      </x:c>
      <x:c r="J229" s="349" t="inlineStr">
        <x:is>
          <x:t xml:space="preserve">95层Boss场地</x:t>
        </x:is>
      </x:c>
      <x:c r="K229" s="349" t="inlineStr">
        <x:is>
          <x:t xml:space="preserve">已完成</x:t>
        </x:is>
      </x:c>
      <x:c r="L229" s="349" t="inlineStr">
        <x:is>
          <x:t xml:space="preserve">P0</x:t>
        </x:is>
      </x:c>
      <x:c r="M229" s="349" t="inlineStr">
        <x:is>
          <x:t xml:space="preserve">v001</x:t>
        </x:is>
      </x:c>
      <x:c r="N229" s="349" t="inlineStr">
        <x:is>
          <x:t xml:space="preserve">GLB；8组柱体与掩体</x:t>
        </x:is>
      </x:c>
      <x:c r="O229" s="349" t="inlineStr">
        <x:is>
          <x:t xml:space="preserve">assets/art/environments/boss_arenas_v01/env_boss_arena_archive_95_top3d_v001.glb</x:t>
        </x:is>
      </x:c>
      <x:c r="P229" s="349" t="inlineStr">
        <x:is>
          <x:t xml:space="preserve">source/art/blender/bosses_v01/env_boss_arena_archive_95_top3d_v001.blend; src/world3d/DungeonRoom3D.gd</x:t>
        </x:is>
      </x:c>
      <x:c r="Q229" s="349" t="inlineStr">
        <x:is>
          <x:t xml:space="preserve">档案竞技场; 95F; arena; cover</x:t>
        </x:is>
      </x:c>
      <x:c r="R229" s="349" t="str">
        <x:f>LOWER(TRIM(C229)&amp;"|"&amp;TRIM(D229)&amp;"|"&amp;TRIM(E229)&amp;"|"&amp;TRIM(F229)&amp;"|"&amp;TRIM(H229)&amp;"|"&amp;TRIM(I229))</x:f>
        <x:v>场景|boss_arena|arena_archive_95|dressing|top3d|default / 高模流式</x:v>
      </x:c>
      <x:c r="S229" s="349" t="str">
        <x:f>IF(COUNTIF($R$6:$R$423,R229)&gt;1,"重复","唯一")</x:f>
        <x:v>唯一</x:v>
      </x:c>
      <x:c r="T229" s="349" t="inlineStr">
        <x:is>
          <x:t xml:space="preserve">ff10424d3c6898385aad9eaf0de32b644eb282a567b36aa422c4dd9decff7d69</x:t>
        </x:is>
      </x:c>
      <x:c r="U229" s="349" t="inlineStr">
        <x:is>
          <x:t xml:space="preserve">Codex</x:t>
        </x:is>
      </x:c>
      <x:c r="V229" s="349" t="n">
        <x:v>46247</x:v>
      </x:c>
      <x:c r="W229" s="349" t="inlineStr">
        <x:is>
          <x:t xml:space="preserve">原创程序建模</x:t>
        </x:is>
      </x:c>
      <x:c r="X229" s="375" t="inlineStr">
        <x:is>
          <x:t xml:space="preserve">—</x:t>
        </x:is>
      </x:c>
      <x:c r="Y229" s="349" t="inlineStr">
        <x:is>
          <x:t xml:space="preserve">高模装饰可流式；对应8组碰撞掩体。永久楼板/关卡墙/外墙不隐藏。
2026-08-30 AST-01规范化（原制作状态：正式美术已接入）</x:t>
        </x:is>
      </x:c>
    </x:row>
    <x:row r="230">
      <x:c r="A230" s="349" t="inlineStr">
        <x:is>
          <x:t xml:space="preserve">ENV-BOSS-ARENA-FURNACE-90</x:t>
        </x:is>
      </x:c>
      <x:c r="B230" s="349" t="inlineStr">
        <x:is>
          <x:t xml:space="preserve">熔炉竞技场组件</x:t>
        </x:is>
      </x:c>
      <x:c r="C230" s="349" t="inlineStr">
        <x:is>
          <x:t xml:space="preserve">场景</x:t>
        </x:is>
      </x:c>
      <x:c r="D230" s="349" t="inlineStr">
        <x:is>
          <x:t xml:space="preserve">boss_arena</x:t>
        </x:is>
      </x:c>
      <x:c r="E230" s="349" t="inlineStr">
        <x:is>
          <x:t xml:space="preserve">arena_furnace_90</x:t>
        </x:is>
      </x:c>
      <x:c r="F230" s="349" t="inlineStr">
        <x:is>
          <x:t xml:space="preserve">dressing</x:t>
        </x:is>
      </x:c>
      <x:c r="G230" s="349" t="n"/>
      <x:c r="H230" s="349" t="inlineStr">
        <x:is>
          <x:t xml:space="preserve">Top3D</x:t>
        </x:is>
      </x:c>
      <x:c r="I230" s="349" t="inlineStr">
        <x:is>
          <x:t xml:space="preserve">default / 高模流式</x:t>
        </x:is>
      </x:c>
      <x:c r="J230" s="349" t="inlineStr">
        <x:is>
          <x:t xml:space="preserve">90层Boss场地</x:t>
        </x:is>
      </x:c>
      <x:c r="K230" s="349" t="inlineStr">
        <x:is>
          <x:t xml:space="preserve">已完成</x:t>
        </x:is>
      </x:c>
      <x:c r="L230" s="349" t="inlineStr">
        <x:is>
          <x:t xml:space="preserve">P0</x:t>
        </x:is>
      </x:c>
      <x:c r="M230" s="349" t="inlineStr">
        <x:is>
          <x:t xml:space="preserve">v001</x:t>
        </x:is>
      </x:c>
      <x:c r="N230" s="349" t="inlineStr">
        <x:is>
          <x:t xml:space="preserve">GLB；熔炉核心与6组掩体</x:t>
        </x:is>
      </x:c>
      <x:c r="O230" s="349" t="inlineStr">
        <x:is>
          <x:t xml:space="preserve">assets/art/environments/boss_arenas_v01/env_boss_arena_furnace_90_top3d_v001.glb</x:t>
        </x:is>
      </x:c>
      <x:c r="P230" s="349" t="inlineStr">
        <x:is>
          <x:t xml:space="preserve">source/art/blender/bosses_v01/env_boss_arena_furnace_90_top3d_v001.blend; src/world3d/DungeonRoom3D.gd</x:t>
        </x:is>
      </x:c>
      <x:c r="Q230" s="349" t="inlineStr">
        <x:is>
          <x:t xml:space="preserve">熔炉竞技场; 90F; arena; cover</x:t>
        </x:is>
      </x:c>
      <x:c r="R230" s="349" t="str">
        <x:f>LOWER(TRIM(C230)&amp;"|"&amp;TRIM(D230)&amp;"|"&amp;TRIM(E230)&amp;"|"&amp;TRIM(F230)&amp;"|"&amp;TRIM(H230)&amp;"|"&amp;TRIM(I230))</x:f>
        <x:v>场景|boss_arena|arena_furnace_90|dressing|top3d|default / 高模流式</x:v>
      </x:c>
      <x:c r="S230" s="349" t="str">
        <x:f>IF(COUNTIF($R$6:$R$423,R230)&gt;1,"重复","唯一")</x:f>
        <x:v>唯一</x:v>
      </x:c>
      <x:c r="T230" s="349" t="inlineStr">
        <x:is>
          <x:t xml:space="preserve">d376fba6190728dc8bf50664f4082b954a077fa96799d68f118ead53cb7aa63c</x:t>
        </x:is>
      </x:c>
      <x:c r="U230" s="349" t="inlineStr">
        <x:is>
          <x:t xml:space="preserve">Codex</x:t>
        </x:is>
      </x:c>
      <x:c r="V230" s="349" t="n">
        <x:v>46247</x:v>
      </x:c>
      <x:c r="W230" s="349" t="inlineStr">
        <x:is>
          <x:t xml:space="preserve">原创程序建模</x:t>
        </x:is>
      </x:c>
      <x:c r="X230" s="375" t="inlineStr">
        <x:is>
          <x:t xml:space="preserve">—</x:t>
        </x:is>
      </x:c>
      <x:c r="Y230" s="349" t="inlineStr">
        <x:is>
          <x:t xml:space="preserve">高模装饰可流式；对应6组碰撞掩体。永久楼板/关卡墙/外墙不隐藏。
2026-08-30 AST-01规范化（原制作状态：正式美术已接入）</x:t>
        </x:is>
      </x:c>
    </x:row>
    <x:row r="231">
      <x:c r="A231" s="349" t="inlineStr">
        <x:is>
          <x:t xml:space="preserve">ENV-BOSS-ARENA-CHOIR-85</x:t>
        </x:is>
      </x:c>
      <x:c r="B231" s="349" t="inlineStr">
        <x:is>
          <x:t xml:space="preserve">共鸣合唱竞技场组件</x:t>
        </x:is>
      </x:c>
      <x:c r="C231" s="349" t="inlineStr">
        <x:is>
          <x:t xml:space="preserve">场景</x:t>
        </x:is>
      </x:c>
      <x:c r="D231" s="349" t="inlineStr">
        <x:is>
          <x:t xml:space="preserve">boss_arena</x:t>
        </x:is>
      </x:c>
      <x:c r="E231" s="349" t="inlineStr">
        <x:is>
          <x:t xml:space="preserve">arena_choir_85</x:t>
        </x:is>
      </x:c>
      <x:c r="F231" s="349" t="inlineStr">
        <x:is>
          <x:t xml:space="preserve">dressing</x:t>
        </x:is>
      </x:c>
      <x:c r="G231" s="349" t="n"/>
      <x:c r="H231" s="349" t="inlineStr">
        <x:is>
          <x:t xml:space="preserve">Top3D</x:t>
        </x:is>
      </x:c>
      <x:c r="I231" s="349" t="inlineStr">
        <x:is>
          <x:t xml:space="preserve">default / 高模流式</x:t>
        </x:is>
      </x:c>
      <x:c r="J231" s="349" t="inlineStr">
        <x:is>
          <x:t xml:space="preserve">85层Boss场地</x:t>
        </x:is>
      </x:c>
      <x:c r="K231" s="349" t="inlineStr">
        <x:is>
          <x:t xml:space="preserve">已完成</x:t>
        </x:is>
      </x:c>
      <x:c r="L231" s="349" t="inlineStr">
        <x:is>
          <x:t xml:space="preserve">P0</x:t>
        </x:is>
      </x:c>
      <x:c r="M231" s="349" t="inlineStr">
        <x:is>
          <x:t xml:space="preserve">v001</x:t>
        </x:is>
      </x:c>
      <x:c r="N231" s="349" t="inlineStr">
        <x:is>
          <x:t xml:space="preserve">GLB；共鸣环与5组掩体</x:t>
        </x:is>
      </x:c>
      <x:c r="O231" s="349" t="inlineStr">
        <x:is>
          <x:t xml:space="preserve">assets/art/environments/boss_arenas_v01/env_boss_arena_choir_85_top3d_v001.glb</x:t>
        </x:is>
      </x:c>
      <x:c r="P231" s="349" t="inlineStr">
        <x:is>
          <x:t xml:space="preserve">source/art/blender/bosses_v01/env_boss_arena_choir_85_top3d_v001.blend; src/world3d/DungeonRoom3D.gd</x:t>
        </x:is>
      </x:c>
      <x:c r="Q231" s="349" t="inlineStr">
        <x:is>
          <x:t xml:space="preserve">合唱竞技场; 85F; arena; cover</x:t>
        </x:is>
      </x:c>
      <x:c r="R231" s="349" t="str">
        <x:f>LOWER(TRIM(C231)&amp;"|"&amp;TRIM(D231)&amp;"|"&amp;TRIM(E231)&amp;"|"&amp;TRIM(F231)&amp;"|"&amp;TRIM(H231)&amp;"|"&amp;TRIM(I231))</x:f>
        <x:v>场景|boss_arena|arena_choir_85|dressing|top3d|default / 高模流式</x:v>
      </x:c>
      <x:c r="S231" s="349" t="str">
        <x:f>IF(COUNTIF($R$6:$R$423,R231)&gt;1,"重复","唯一")</x:f>
        <x:v>唯一</x:v>
      </x:c>
      <x:c r="T231" s="349" t="inlineStr">
        <x:is>
          <x:t xml:space="preserve">d2aae2a6fd2f091d5cb9c05d103a4512179bdc6ef0e9d77ba5834efc723eba3a</x:t>
        </x:is>
      </x:c>
      <x:c r="U231" s="349" t="inlineStr">
        <x:is>
          <x:t xml:space="preserve">Codex</x:t>
        </x:is>
      </x:c>
      <x:c r="V231" s="349" t="n">
        <x:v>46247</x:v>
      </x:c>
      <x:c r="W231" s="349" t="inlineStr">
        <x:is>
          <x:t xml:space="preserve">原创程序建模</x:t>
        </x:is>
      </x:c>
      <x:c r="X231" s="375" t="inlineStr">
        <x:is>
          <x:t xml:space="preserve">—</x:t>
        </x:is>
      </x:c>
      <x:c r="Y231" s="349" t="inlineStr">
        <x:is>
          <x:t xml:space="preserve">高模装饰可流式；对应5组碰撞掩体。永久楼板/关卡墙/外墙不隐藏。
2026-08-30 AST-01规范化（原制作状态：正式美术已接入）</x:t>
        </x:is>
      </x:c>
    </x:row>
    <x:row r="232">
      <x:c r="A232" s="349" t="inlineStr">
        <x:is>
          <x:t xml:space="preserve">AUD-SFX-FLASHLIGHT-CHARGE-UP</x:t>
        </x:is>
      </x:c>
      <x:c r="B232" s="349" t="inlineStr">
        <x:is>
          <x:t xml:space="preserve">手电筒充能音效</x:t>
        </x:is>
      </x:c>
      <x:c r="C232" s="349" t="inlineStr">
        <x:is>
          <x:t xml:space="preserve">音频</x:t>
        </x:is>
      </x:c>
      <x:c r="D232" s="349" t="inlineStr">
        <x:is>
          <x:t xml:space="preserve">sfx</x:t>
        </x:is>
      </x:c>
      <x:c r="E232" s="349" t="inlineStr">
        <x:is>
          <x:t xml:space="preserve">flashlight_charge_up</x:t>
        </x:is>
      </x:c>
      <x:c r="F232" s="349" t="inlineStr">
        <x:is>
          <x:t xml:space="preserve">runtime</x:t>
        </x:is>
      </x:c>
      <x:c r="G232" s="349" t="n"/>
      <x:c r="H232" s="349" t="inlineStr">
        <x:is>
          <x:t xml:space="preserve">全局/非空间</x:t>
        </x:is>
      </x:c>
      <x:c r="I232" s="349" t="inlineStr">
        <x:is>
          <x:t xml:space="preserve">default</x:t>
        </x:is>
      </x:c>
      <x:c r="J232" s="349" t="inlineStr">
        <x:is>
          <x:t xml:space="preserve">手电筒系统</x:t>
        </x:is>
      </x:c>
      <x:c r="K232" s="349" t="inlineStr">
        <x:is>
          <x:t xml:space="preserve">已完成</x:t>
        </x:is>
      </x:c>
      <x:c r="L232" s="349" t="inlineStr">
        <x:is>
          <x:t xml:space="preserve">P0</x:t>
        </x:is>
      </x:c>
      <x:c r="M232" s="349" t="inlineStr">
        <x:is>
          <x:t xml:space="preserve">v001</x:t>
        </x:is>
      </x:c>
      <x:c r="N232" s="349" t="inlineStr">
        <x:is>
          <x:t xml:space="preserve">0.950s；44.1kHz；stereo OGG</x:t>
        </x:is>
      </x:c>
      <x:c r="O232" s="349" t="inlineStr">
        <x:is>
          <x:t xml:space="preserve">src/assets/audio/sfx/flashlight_charge_up_v001.ogg</x:t>
        </x:is>
      </x:c>
      <x:c r="P232" s="349" t="inlineStr">
        <x:is>
          <x:t xml:space="preserve">src/assets/audio/sfx/flashlight_charge_up.wav; tools/asset_pipeline/create_flashlight_sfx.py</x:t>
        </x:is>
      </x:c>
      <x:c r="Q232" s="349" t="inlineStr">
        <x:is>
          <x:t xml:space="preserve">flashlight; charge; 手电筒; 充能</x:t>
        </x:is>
      </x:c>
      <x:c r="R232" s="349" t="str">
        <x:f>LOWER(TRIM(C232)&amp;"|"&amp;TRIM(D232)&amp;"|"&amp;TRIM(E232)&amp;"|"&amp;TRIM(F232)&amp;"|"&amp;TRIM(H232)&amp;"|"&amp;TRIM(I232))</x:f>
        <x:v>音频|sfx|flashlight_charge_up|runtime|全局/非空间|default</x:v>
      </x:c>
      <x:c r="S232" s="349" t="str">
        <x:f>IF(COUNTIF($R$6:$R$423,R232)&gt;1,"重复","唯一")</x:f>
        <x:v>唯一</x:v>
      </x:c>
      <x:c r="T232" s="349" t="inlineStr">
        <x:is>
          <x:t xml:space="preserve">eee07c1942c32004dd750f670630d087e3491f5007537ba742cd102032ade878</x:t>
        </x:is>
      </x:c>
      <x:c r="U232" s="349" t="inlineStr">
        <x:is>
          <x:t xml:space="preserve">Codex</x:t>
        </x:is>
      </x:c>
      <x:c r="V232" s="349" t="n">
        <x:v>46247</x:v>
      </x:c>
      <x:c r="W232" s="349" t="inlineStr">
        <x:is>
          <x:t xml:space="preserve">原创程序合成</x:t>
        </x:is>
      </x:c>
      <x:c r="X232" s="375" t="inlineStr">
        <x:is>
          <x:t xml:space="preserve">—</x:t>
        </x:is>
      </x:c>
      <x:c r="Y232" s="349" t="inlineStr">
        <x:is>
          <x:t xml:space="preserve">WAV母版；OGG运行；桌面/Android统一路径。
2026-08-30 AST-01规范化（原制作状态：正式接入）</x:t>
        </x:is>
      </x:c>
    </x:row>
    <x:row r="233">
      <x:c r="A233" s="349" t="inlineStr">
        <x:is>
          <x:t xml:space="preserve">AUD-SFX-FLASHLIGHT-DEPLETED</x:t>
        </x:is>
      </x:c>
      <x:c r="B233" s="349" t="inlineStr">
        <x:is>
          <x:t xml:space="preserve">手电筒耗尽音效</x:t>
        </x:is>
      </x:c>
      <x:c r="C233" s="349" t="inlineStr">
        <x:is>
          <x:t xml:space="preserve">音频</x:t>
        </x:is>
      </x:c>
      <x:c r="D233" s="349" t="inlineStr">
        <x:is>
          <x:t xml:space="preserve">sfx</x:t>
        </x:is>
      </x:c>
      <x:c r="E233" s="349" t="inlineStr">
        <x:is>
          <x:t xml:space="preserve">flashlight_depleted</x:t>
        </x:is>
      </x:c>
      <x:c r="F233" s="349" t="inlineStr">
        <x:is>
          <x:t xml:space="preserve">runtime</x:t>
        </x:is>
      </x:c>
      <x:c r="G233" s="349" t="n"/>
      <x:c r="H233" s="349" t="inlineStr">
        <x:is>
          <x:t xml:space="preserve">全局/非空间</x:t>
        </x:is>
      </x:c>
      <x:c r="I233" s="349" t="inlineStr">
        <x:is>
          <x:t xml:space="preserve">default</x:t>
        </x:is>
      </x:c>
      <x:c r="J233" s="349" t="inlineStr">
        <x:is>
          <x:t xml:space="preserve">手电筒系统</x:t>
        </x:is>
      </x:c>
      <x:c r="K233" s="349" t="inlineStr">
        <x:is>
          <x:t xml:space="preserve">已完成</x:t>
        </x:is>
      </x:c>
      <x:c r="L233" s="349" t="inlineStr">
        <x:is>
          <x:t xml:space="preserve">P0</x:t>
        </x:is>
      </x:c>
      <x:c r="M233" s="349" t="inlineStr">
        <x:is>
          <x:t xml:space="preserve">v001</x:t>
        </x:is>
      </x:c>
      <x:c r="N233" s="349" t="inlineStr">
        <x:is>
          <x:t xml:space="preserve">0.850s；44.1kHz；stereo OGG</x:t>
        </x:is>
      </x:c>
      <x:c r="O233" s="349" t="inlineStr">
        <x:is>
          <x:t xml:space="preserve">src/assets/audio/sfx/flashlight_depleted_v001.ogg</x:t>
        </x:is>
      </x:c>
      <x:c r="P233" s="349" t="inlineStr">
        <x:is>
          <x:t xml:space="preserve">src/assets/audio/sfx/flashlight_depleted.wav; tools/asset_pipeline/create_flashlight_sfx.py</x:t>
        </x:is>
      </x:c>
      <x:c r="Q233" s="349" t="inlineStr">
        <x:is>
          <x:t xml:space="preserve">flashlight; depleted; 手电筒; 耗尽</x:t>
        </x:is>
      </x:c>
      <x:c r="R233" s="349" t="str">
        <x:f>LOWER(TRIM(C233)&amp;"|"&amp;TRIM(D233)&amp;"|"&amp;TRIM(E233)&amp;"|"&amp;TRIM(F233)&amp;"|"&amp;TRIM(H233)&amp;"|"&amp;TRIM(I233))</x:f>
        <x:v>音频|sfx|flashlight_depleted|runtime|全局/非空间|default</x:v>
      </x:c>
      <x:c r="S233" s="349" t="str">
        <x:f>IF(COUNTIF($R$6:$R$423,R233)&gt;1,"重复","唯一")</x:f>
        <x:v>唯一</x:v>
      </x:c>
      <x:c r="T233" s="349" t="inlineStr">
        <x:is>
          <x:t xml:space="preserve">c1aa6d3eb619bd1b714689118442e873af08a05e9ebc64cd56161b96a91fa095</x:t>
        </x:is>
      </x:c>
      <x:c r="U233" s="349" t="inlineStr">
        <x:is>
          <x:t xml:space="preserve">Codex</x:t>
        </x:is>
      </x:c>
      <x:c r="V233" s="349" t="n">
        <x:v>46247</x:v>
      </x:c>
      <x:c r="W233" s="349" t="inlineStr">
        <x:is>
          <x:t xml:space="preserve">原创程序合成</x:t>
        </x:is>
      </x:c>
      <x:c r="X233" s="375" t="inlineStr">
        <x:is>
          <x:t xml:space="preserve">—</x:t>
        </x:is>
      </x:c>
      <x:c r="Y233" s="349" t="inlineStr">
        <x:is>
          <x:t xml:space="preserve">WAV母版；OGG运行；桌面/Android统一路径。
2026-08-30 AST-01规范化（原制作状态：正式接入）</x:t>
        </x:is>
      </x:c>
    </x:row>
    <x:row r="234">
      <x:c r="A234" s="349" t="inlineStr">
        <x:is>
          <x:t xml:space="preserve">AUD-SFX-FLASHLIGHT-LOW-BATTERY</x:t>
        </x:is>
      </x:c>
      <x:c r="B234" s="349" t="inlineStr">
        <x:is>
          <x:t xml:space="preserve">手电筒低电量音效</x:t>
        </x:is>
      </x:c>
      <x:c r="C234" s="349" t="inlineStr">
        <x:is>
          <x:t xml:space="preserve">音频</x:t>
        </x:is>
      </x:c>
      <x:c r="D234" s="349" t="inlineStr">
        <x:is>
          <x:t xml:space="preserve">sfx</x:t>
        </x:is>
      </x:c>
      <x:c r="E234" s="349" t="inlineStr">
        <x:is>
          <x:t xml:space="preserve">flashlight_low_battery</x:t>
        </x:is>
      </x:c>
      <x:c r="F234" s="349" t="inlineStr">
        <x:is>
          <x:t xml:space="preserve">runtime</x:t>
        </x:is>
      </x:c>
      <x:c r="G234" s="349" t="n"/>
      <x:c r="H234" s="349" t="inlineStr">
        <x:is>
          <x:t xml:space="preserve">全局/非空间</x:t>
        </x:is>
      </x:c>
      <x:c r="I234" s="349" t="inlineStr">
        <x:is>
          <x:t xml:space="preserve">default</x:t>
        </x:is>
      </x:c>
      <x:c r="J234" s="349" t="inlineStr">
        <x:is>
          <x:t xml:space="preserve">手电筒系统</x:t>
        </x:is>
      </x:c>
      <x:c r="K234" s="349" t="inlineStr">
        <x:is>
          <x:t xml:space="preserve">已完成</x:t>
        </x:is>
      </x:c>
      <x:c r="L234" s="349" t="inlineStr">
        <x:is>
          <x:t xml:space="preserve">P0</x:t>
        </x:is>
      </x:c>
      <x:c r="M234" s="349" t="inlineStr">
        <x:is>
          <x:t xml:space="preserve">v001</x:t>
        </x:is>
      </x:c>
      <x:c r="N234" s="349" t="inlineStr">
        <x:is>
          <x:t xml:space="preserve">0.650s；44.1kHz；stereo OGG</x:t>
        </x:is>
      </x:c>
      <x:c r="O234" s="349" t="inlineStr">
        <x:is>
          <x:t xml:space="preserve">src/assets/audio/sfx/flashlight_low_battery_v001.ogg</x:t>
        </x:is>
      </x:c>
      <x:c r="P234" s="349" t="inlineStr">
        <x:is>
          <x:t xml:space="preserve">src/assets/audio/sfx/flashlight_low_battery.wav; tools/asset_pipeline/create_flashlight_sfx.py</x:t>
        </x:is>
      </x:c>
      <x:c r="Q234" s="349" t="inlineStr">
        <x:is>
          <x:t xml:space="preserve">flashlight; low battery; 手电筒; 低电量</x:t>
        </x:is>
      </x:c>
      <x:c r="R234" s="349" t="str">
        <x:f>LOWER(TRIM(C234)&amp;"|"&amp;TRIM(D234)&amp;"|"&amp;TRIM(E234)&amp;"|"&amp;TRIM(F234)&amp;"|"&amp;TRIM(H234)&amp;"|"&amp;TRIM(I234))</x:f>
        <x:v>音频|sfx|flashlight_low_battery|runtime|全局/非空间|default</x:v>
      </x:c>
      <x:c r="S234" s="349" t="str">
        <x:f>IF(COUNTIF($R$6:$R$423,R234)&gt;1,"重复","唯一")</x:f>
        <x:v>唯一</x:v>
      </x:c>
      <x:c r="T234" s="349" t="inlineStr">
        <x:is>
          <x:t xml:space="preserve">e9fb880d366d90b203569bae843c30bfc02541bd03b16e56a30cbd440b61fb4a</x:t>
        </x:is>
      </x:c>
      <x:c r="U234" s="349" t="inlineStr">
        <x:is>
          <x:t xml:space="preserve">Codex</x:t>
        </x:is>
      </x:c>
      <x:c r="V234" s="349" t="n">
        <x:v>46247</x:v>
      </x:c>
      <x:c r="W234" s="349" t="inlineStr">
        <x:is>
          <x:t xml:space="preserve">原创程序合成</x:t>
        </x:is>
      </x:c>
      <x:c r="X234" s="375" t="inlineStr">
        <x:is>
          <x:t xml:space="preserve">—</x:t>
        </x:is>
      </x:c>
      <x:c r="Y234" s="349" t="inlineStr">
        <x:is>
          <x:t xml:space="preserve">WAV母版；OGG运行；桌面/Android统一路径。
2026-08-30 AST-01规范化（原制作状态：正式接入）</x:t>
        </x:is>
      </x:c>
    </x:row>
    <x:row r="235">
      <x:c r="A235" s="349" t="inlineStr">
        <x:is>
          <x:t xml:space="preserve">ENV-BASE99-MODULAR-KIT-3D</x:t>
        </x:is>
      </x:c>
      <x:c r="B235" s="349" t="inlineStr">
        <x:is>
          <x:t xml:space="preserve">基地99层模块化房间3D套件</x:t>
        </x:is>
      </x:c>
      <x:c r="C235" s="349" t="inlineStr">
        <x:is>
          <x:t xml:space="preserve">场景</x:t>
        </x:is>
      </x:c>
      <x:c r="D235" s="349" t="inlineStr">
        <x:is>
          <x:t xml:space="preserve">environment_kit_3d</x:t>
        </x:is>
      </x:c>
      <x:c r="E235" s="349" t="inlineStr">
        <x:is>
          <x:t xml:space="preserve">base99_modular_room</x:t>
        </x:is>
      </x:c>
      <x:c r="F235" s="349" t="inlineStr">
        <x:is>
          <x:t xml:space="preserve">root_3d</x:t>
        </x:is>
      </x:c>
      <x:c r="G235" s="349" t="inlineStr">
        <x:is>
          <x:t xml:space="preserve">ENV-TOWER-DESCENT-KIT-3D</x:t>
        </x:is>
      </x:c>
      <x:c r="H235" s="349" t="inlineStr">
        <x:is>
          <x:t xml:space="preserve">Top3D / local -Z 正面</x:t>
        </x:is>
      </x:c>
      <x:c r="I235" s="349" t="inlineStr">
        <x:is>
          <x:t xml:space="preserve">default / modular</x:t>
        </x:is>
      </x:c>
      <x:c r="J235" s="349" t="inlineStr">
        <x:is>
          <x:t xml:space="preserve">99层基地专属环境模块</x:t>
        </x:is>
      </x:c>
      <x:c r="K235" s="349" t="inlineStr">
        <x:is>
          <x:t xml:space="preserve">弃用</x:t>
        </x:is>
      </x:c>
      <x:c r="L235" s="349" t="inlineStr">
        <x:is>
          <x:t xml:space="preserve">P0</x:t>
        </x:is>
      </x:c>
      <x:c r="M235" s="349" t="inlineStr">
        <x:is>
          <x:t xml:space="preserve">v001</x:t>
        </x:is>
      </x:c>
      <x:c r="N235" s="349" t="inlineStr">
        <x:is>
          <x:t xml:space="preserve">5m网格；30×30m房间；9m层高；9个稳定Prefab</x:t>
        </x:is>
      </x:c>
      <x:c r="O235" s="349" t="n"/>
      <x:c r="P235" s="349" t="inlineStr">
        <x:is>
          <x:t xml:space="preserve">聚合目录条目，不属于独立 PackedScene；由布局与 BPK 子项登记</x:t>
        </x:is>
      </x:c>
      <x:c r="Q235" s="349" t="inlineStr">
        <x:is>
          <x:t xml:space="preserve">基地99层;模块化房间;5米网格;9个Prefab;GLB;PackedScene</x:t>
        </x:is>
      </x:c>
      <x:c r="R235" s="349" t="str">
        <x:f>LOWER(TRIM(C235)&amp;"|"&amp;TRIM(D235)&amp;"|"&amp;TRIM(E235)&amp;"|"&amp;TRIM(F235)&amp;"|"&amp;TRIM(H235)&amp;"|"&amp;TRIM(I235))</x:f>
        <x:v>场景|environment_kit_3d|base99_modular_room|root_3d|top3d / local -z 正面|default / modular</x:v>
      </x:c>
      <x:c r="S235" s="349" t="str">
        <x:f>IF(COUNTIF($R$6:$R$423,R235)&gt;1,"重复","唯一")</x:f>
        <x:v>唯一</x:v>
      </x:c>
      <x:c r="T235" s="349" t="n"/>
      <x:c r="U235" s="349" t="inlineStr">
        <x:is>
          <x:t xml:space="preserve">Codex</x:t>
        </x:is>
      </x:c>
      <x:c r="V235" s="348" t="n">
        <x:v>46252</x:v>
      </x:c>
      <x:c r="W235" s="349" t="inlineStr">
        <x:is>
          <x:t xml:space="preserve">用户自制Blender资产</x:t>
        </x:is>
      </x:c>
      <x:c r="X235" s="375" t="inlineStr">
        <x:is>
          <x:t xml:space="preserve">—</x:t>
        </x:is>
      </x:c>
      <x:c r="Y235" s="349" t="inlineStr">
        <x:is>
          <x:t xml:space="preserve">九件模块已接入；99层外圈14段普通墙+2段门墙，窗墙仅供100层；楼板/楼梯改由可编辑布局Prefab持有碰撞。
2026-08-30 AST-01规范化（原制作状态：正式美术已接入）</x:t>
        </x:is>
      </x:c>
    </x:row>
    <x:row r="236">
      <x:c r="A236" s="349" t="str">
        <x:v>ENV-BASE99-WALL-PLAIN-5X12</x:v>
      </x:c>
      <x:c r="B236" s="349" t="str">
        <x:v>基地99层普通墙体5×12米</x:v>
      </x:c>
      <x:c r="C236" s="349" t="inlineStr">
        <x:is>
          <x:t xml:space="preserve">场景</x:t>
        </x:is>
      </x:c>
      <x:c r="D236" s="349" t="inlineStr">
        <x:is>
          <x:t xml:space="preserve">environment_module_3d</x:t>
        </x:is>
      </x:c>
      <x:c r="E236" s="349" t="str">
        <x:v>base99_wall_plain_5x12</x:v>
      </x:c>
      <x:c r="F236" s="349" t="inlineStr">
        <x:is>
          <x:t xml:space="preserve">wall_plain</x:t>
        </x:is>
      </x:c>
      <x:c r="G236" s="349" t="inlineStr">
        <x:is>
          <x:t xml:space="preserve">ENV-BASE99-MODULAR-KIT-3D</x:t>
        </x:is>
      </x:c>
      <x:c r="H236" s="349" t="inlineStr">
        <x:is>
          <x:t xml:space="preserve">Top3D / local -Z 正面</x:t>
        </x:is>
      </x:c>
      <x:c r="I236" s="349" t="inlineStr">
        <x:is>
          <x:t xml:space="preserve">default / visual_only</x:t>
        </x:is>
      </x:c>
      <x:c r="J236" s="349" t="inlineStr">
        <x:is>
          <x:t xml:space="preserve">99层基地模块化结构</x:t>
        </x:is>
      </x:c>
      <x:c r="K236" s="349" t="inlineStr">
        <x:is>
          <x:t xml:space="preserve">已完成</x:t>
        </x:is>
      </x:c>
      <x:c r="L236" s="349" t="inlineStr">
        <x:is>
          <x:t xml:space="preserve">P0</x:t>
        </x:is>
      </x:c>
      <x:c r="M236" s="349" t="str">
        <x:v>v002</x:v>
      </x:c>
      <x:c r="N236" s="349" t="str">
        <x:v>5×12×0.36m逻辑外廓；11.9m可见墙；底边中心原点；无内置碰撞</x:v>
      </x:c>
      <x:c r="O236" s="349" t="str">
        <x:v>assets/art/environments/base_facility_3d/runtime/env_base99_wall_plain_5x12/env_base99_wall_plain_5x12_root_top3d_v002.tscn</x:v>
      </x:c>
      <x:c r="P236" s="349" t="str">
        <x:v>assets/art/environments/base_facility_3d/source/wall_height12/env_base99_wall_plain_5x12_source_v002.blend; scripts/blender/extend_wall_glb_to_11p9_v001.py; src/world3d/DungeonRoom3D.gd</x:v>
      </x:c>
      <x:c r="Q236" s="349" t="str">
        <x:v>基地99层普通墙体5×12米;base99;11.9米可见墙;PaletteUV</x:v>
      </x:c>
      <x:c r="R236" s="349" t="str">
        <x:f>LOWER(TRIM(C236)&amp;"|"&amp;TRIM(D236)&amp;"|"&amp;TRIM(E236)&amp;"|"&amp;TRIM(F236)&amp;"|"&amp;TRIM(H236)&amp;"|"&amp;TRIM(I236))</x:f>
        <x:v>场景|environment_module_3d|base99_wall_plain_5x12|wall_plain|top3d / local -z 正面|default / visual_only</x:v>
      </x:c>
      <x:c r="S236" s="349" t="str">
        <x:f>IF(COUNTIF($R$6:$R$423,R236)&gt;1,"重复","唯一")</x:f>
        <x:v>唯一</x:v>
      </x:c>
      <x:c r="T236" s="349" t="str">
        <x:v>a72feebed2a3b80ad1f4accc04030a43f31626f2c117dfb95f6dd2a589e62c21</x:v>
      </x:c>
      <x:c r="U236" s="349" t="inlineStr">
        <x:is>
          <x:t xml:space="preserve">Codex</x:t>
        </x:is>
      </x:c>
      <x:c r="V236" s="348" t="n">
        <x:v>46277</x:v>
      </x:c>
      <x:c r="W236" s="349" t="inlineStr">
        <x:is>
          <x:t xml:space="preserve">用户自制Blender资产</x:t>
        </x:is>
      </x:c>
      <x:c r="X236" s="375" t="inlineStr">
        <x:is>
          <x:t xml:space="preserve">—</x:t>
        </x:is>
      </x:c>
      <x:c r="Y236" s="349" t="inlineStr">
        <x:is>
          <x:t xml:space="preserve"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x:t>
        </x:is>
      </x:c>
    </x:row>
    <x:row r="237">
      <x:c r="A237" s="349" t="str">
        <x:v>ENV-BASE99-WALL-DOOR-5X12</x:v>
      </x:c>
      <x:c r="B237" s="349" t="str">
        <x:v>基地99层带门墙体5×12米</x:v>
      </x:c>
      <x:c r="C237" s="349" t="inlineStr">
        <x:is>
          <x:t xml:space="preserve">场景</x:t>
        </x:is>
      </x:c>
      <x:c r="D237" s="349" t="inlineStr">
        <x:is>
          <x:t xml:space="preserve">environment_module_3d</x:t>
        </x:is>
      </x:c>
      <x:c r="E237" s="349" t="str">
        <x:v>base99_wall_door_5x12</x:v>
      </x:c>
      <x:c r="F237" s="349" t="inlineStr">
        <x:is>
          <x:t xml:space="preserve">wall_door</x:t>
        </x:is>
      </x:c>
      <x:c r="G237" s="349" t="inlineStr">
        <x:is>
          <x:t xml:space="preserve">ENV-BASE99-MODULAR-KIT-3D</x:t>
        </x:is>
      </x:c>
      <x:c r="H237" s="349" t="inlineStr">
        <x:is>
          <x:t xml:space="preserve">Top3D / local -Z 正面</x:t>
        </x:is>
      </x:c>
      <x:c r="I237" s="349" t="inlineStr">
        <x:is>
          <x:t xml:space="preserve">default / visual_only</x:t>
        </x:is>
      </x:c>
      <x:c r="J237" s="349" t="inlineStr">
        <x:is>
          <x:t xml:space="preserve">99层基地模块化结构</x:t>
        </x:is>
      </x:c>
      <x:c r="K237" s="349" t="inlineStr">
        <x:is>
          <x:t xml:space="preserve">已完成</x:t>
        </x:is>
      </x:c>
      <x:c r="L237" s="349" t="inlineStr">
        <x:is>
          <x:t xml:space="preserve">P0</x:t>
        </x:is>
      </x:c>
      <x:c r="M237" s="349" t="str">
        <x:v>v004</x:v>
      </x:c>
      <x:c r="N237" s="349" t="str">
        <x:v>5×12×1.1712m逻辑外廓；11.9m可见墙；2.2×2.5m门洞</x:v>
      </x:c>
      <x:c r="O237" s="349" t="str">
        <x:v>assets/art/environments/base_facility_3d/runtime/env_base99_wall_door_5x12/env_base99_wall_door_5x12_root_top3d_v004.tscn</x:v>
      </x:c>
      <x:c r="P237" s="349" t="str">
        <x:v>assets/art/environments/base_facility_3d/source/wall_height12/env_base99_wall_door_5x12_source_v004.blend; scripts/blender/extend_wall_glb_to_11p9_v001.py; src/world3d/DungeonRoom3D.gd</x:v>
      </x:c>
      <x:c r="Q237" s="349" t="str">
        <x:v>基地99层带门墙体5×12米;base99;11.9米可见墙;2.2×2.5米门洞</x:v>
      </x:c>
      <x:c r="R237" s="349" t="str">
        <x:f>LOWER(TRIM(C237)&amp;"|"&amp;TRIM(D237)&amp;"|"&amp;TRIM(E237)&amp;"|"&amp;TRIM(F237)&amp;"|"&amp;TRIM(H237)&amp;"|"&amp;TRIM(I237))</x:f>
        <x:v>场景|environment_module_3d|base99_wall_door_5x12|wall_door|top3d / local -z 正面|default / visual_only</x:v>
      </x:c>
      <x:c r="S237" s="349" t="str">
        <x:f>IF(COUNTIF($R$6:$R$423,R237)&gt;1,"重复","唯一")</x:f>
        <x:v>唯一</x:v>
      </x:c>
      <x:c r="T237" s="349" t="str">
        <x:v>2699d3870f3c09b7bb0ed973e2665d3b5e16e262ff33f1e6b665c7096dc6c9a7</x:v>
      </x:c>
      <x:c r="U237" s="349" t="inlineStr">
        <x:is>
          <x:t xml:space="preserve">Codex</x:t>
        </x:is>
      </x:c>
      <x:c r="V237" s="348" t="n">
        <x:v>46277</x:v>
      </x:c>
      <x:c r="W237" s="349" t="inlineStr">
        <x:is>
          <x:t xml:space="preserve">用户自制Blender资产</x:t>
        </x:is>
      </x:c>
      <x:c r="X237" s="375" t="inlineStr">
        <x:is>
          <x:t xml:space="preserve">—</x:t>
        </x:is>
      </x:c>
      <x:c r="Y237" s="349" t="inlineStr">
        <x:is>
          <x:t xml:space="preserve"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x:t>
        </x:is>
      </x:c>
    </x:row>
    <x:row r="238">
      <x:c r="A238" s="349" t="inlineStr">
        <x:is>
          <x:t xml:space="preserve">ENV-BASE99-FLOOR-PLAIN-5M</x:t>
        </x:is>
      </x:c>
      <x:c r="B238" s="349" t="inlineStr">
        <x:is>
          <x:t xml:space="preserve">基地99层普通地板5×5米</x:t>
        </x:is>
      </x:c>
      <x:c r="C238" s="349" t="inlineStr">
        <x:is>
          <x:t xml:space="preserve">场景</x:t>
        </x:is>
      </x:c>
      <x:c r="D238" s="349" t="inlineStr">
        <x:is>
          <x:t xml:space="preserve">environment_module_3d</x:t>
        </x:is>
      </x:c>
      <x:c r="E238" s="349" t="inlineStr">
        <x:is>
          <x:t xml:space="preserve">base99_floor_plain_5m</x:t>
        </x:is>
      </x:c>
      <x:c r="F238" s="349" t="inlineStr">
        <x:is>
          <x:t xml:space="preserve">floor_plain</x:t>
        </x:is>
      </x:c>
      <x:c r="G238" s="349" t="inlineStr">
        <x:is>
          <x:t xml:space="preserve">ENV-BASE99-MODULAR-KIT-3D</x:t>
        </x:is>
      </x:c>
      <x:c r="H238" s="349" t="inlineStr">
        <x:is>
          <x:t xml:space="preserve">Top3D / local -Z 正面</x:t>
        </x:is>
      </x:c>
      <x:c r="I238" s="349" t="inlineStr">
        <x:is>
          <x:t xml:space="preserve">default / visual_only</x:t>
        </x:is>
      </x:c>
      <x:c r="J238" s="349" t="inlineStr">
        <x:is>
          <x:t xml:space="preserve">99层基地模块化结构</x:t>
        </x:is>
      </x:c>
      <x:c r="K238" s="349" t="inlineStr">
        <x:is>
          <x:t xml:space="preserve">已完成</x:t>
        </x:is>
      </x:c>
      <x:c r="L238" s="349" t="inlineStr">
        <x:is>
          <x:t xml:space="preserve">P0</x:t>
        </x:is>
      </x:c>
      <x:c r="M238" s="349" t="inlineStr">
        <x:is>
          <x:t xml:space="preserve">v001</x:t>
        </x:is>
      </x:c>
      <x:c r="N238" s="349" t="inlineStr">
        <x:is>
          <x:t xml:space="preserve">5×5×0.30m；平面中心/结构底面原点</x:t>
        </x:is>
      </x:c>
      <x:c r="O238" s="349" t="inlineStr">
        <x:is>
          <x:t xml:space="preserve">assets/art/environments/base_facility_3d/runtime/env_base99_floor_plain_5m/env_base99_floor_plain_5m_root_top3d_v001.tscn</x:t>
        </x:is>
      </x:c>
      <x:c r="P23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8" s="349" t="inlineStr">
        <x:is>
          <x:t xml:space="preserve">基地99层普通地板5×5米;base99;PaletteUV;cast_and_receive</x:t>
        </x:is>
      </x:c>
      <x:c r="R238" s="349" t="str">
        <x:f>LOWER(TRIM(C238)&amp;"|"&amp;TRIM(D238)&amp;"|"&amp;TRIM(E238)&amp;"|"&amp;TRIM(F238)&amp;"|"&amp;TRIM(H238)&amp;"|"&amp;TRIM(I238))</x:f>
        <x:v>场景|environment_module_3d|base99_floor_plain_5m|floor_plain|top3d / local -z 正面|default / visual_only</x:v>
      </x:c>
      <x:c r="S238" s="349" t="str">
        <x:f>IF(COUNTIF($R$6:$R$423,R238)&gt;1,"重复","唯一")</x:f>
        <x:v>唯一</x:v>
      </x:c>
      <x:c r="T238" s="349" t="inlineStr">
        <x:is>
          <x:t xml:space="preserve">4e59c7b770c48b9832d6f2134e36d6d6e2042c30e49dfa51e9bb58f33177fd1f</x:t>
        </x:is>
      </x:c>
      <x:c r="U238" s="349" t="inlineStr">
        <x:is>
          <x:t xml:space="preserve">Codex</x:t>
        </x:is>
      </x:c>
      <x:c r="V238" s="348" t="n">
        <x:v>46264</x:v>
      </x:c>
      <x:c r="W238" s="349" t="inlineStr">
        <x:is>
          <x:t xml:space="preserve">用户自制Blender资产</x:t>
        </x:is>
      </x:c>
      <x:c r="X238" s="375" t="inlineStr">
        <x:is>
          <x:t xml:space="preserve">—</x:t>
        </x:is>
      </x:c>
      <x:c r="Y238" s="349" t="inlineStr">
        <x:is>
          <x:t xml:space="preserve"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x:t>
        </x:is>
      </x:c>
    </x:row>
    <x:row r="239">
      <x:c r="A239" s="349" t="inlineStr">
        <x:is>
          <x:t xml:space="preserve">ENV-BASE99-FLOOR-RIVET-5M</x:t>
        </x:is>
      </x:c>
      <x:c r="B239" s="349" t="inlineStr">
        <x:is>
          <x:t xml:space="preserve">基地99层铆钉铁皮带地板5×5米</x:t>
        </x:is>
      </x:c>
      <x:c r="C239" s="349" t="inlineStr">
        <x:is>
          <x:t xml:space="preserve">场景</x:t>
        </x:is>
      </x:c>
      <x:c r="D239" s="349" t="inlineStr">
        <x:is>
          <x:t xml:space="preserve">environment_module_3d</x:t>
        </x:is>
      </x:c>
      <x:c r="E239" s="349" t="inlineStr">
        <x:is>
          <x:t xml:space="preserve">base99_floor_rivet_5m</x:t>
        </x:is>
      </x:c>
      <x:c r="F239" s="349" t="inlineStr">
        <x:is>
          <x:t xml:space="preserve">floor_rivet</x:t>
        </x:is>
      </x:c>
      <x:c r="G239" s="349" t="inlineStr">
        <x:is>
          <x:t xml:space="preserve">ENV-BASE99-MODULAR-KIT-3D</x:t>
        </x:is>
      </x:c>
      <x:c r="H239" s="349" t="inlineStr">
        <x:is>
          <x:t xml:space="preserve">Top3D / local -Z 正面</x:t>
        </x:is>
      </x:c>
      <x:c r="I239" s="349" t="inlineStr">
        <x:is>
          <x:t xml:space="preserve">default / visual_only</x:t>
        </x:is>
      </x:c>
      <x:c r="J239" s="349" t="inlineStr">
        <x:is>
          <x:t xml:space="preserve">99层基地模块化结构</x:t>
        </x:is>
      </x:c>
      <x:c r="K239" s="349" t="inlineStr">
        <x:is>
          <x:t xml:space="preserve">已完成</x:t>
        </x:is>
      </x:c>
      <x:c r="L239" s="349" t="inlineStr">
        <x:is>
          <x:t xml:space="preserve">P0</x:t>
        </x:is>
      </x:c>
      <x:c r="M239" s="349" t="inlineStr">
        <x:is>
          <x:t xml:space="preserve">v001</x:t>
        </x:is>
      </x:c>
      <x:c r="N239" s="349" t="inlineStr">
        <x:is>
          <x:t xml:space="preserve">5×5×0.395m视觉外廓；0.30m结构板+0.095m装饰凸起</x:t>
        </x:is>
      </x:c>
      <x:c r="O239" s="349" t="inlineStr">
        <x:is>
          <x:t xml:space="preserve">assets/art/environments/base_facility_3d/runtime/env_base99_floor_rivet_5m/env_base99_floor_rivet_5m_root_top3d_v001.tscn</x:t>
        </x:is>
      </x:c>
      <x:c r="P239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9" s="349" t="inlineStr">
        <x:is>
          <x:t xml:space="preserve">基地99层铆钉铁皮带地板5×5米;base99;PaletteUV;cast_and_receive</x:t>
        </x:is>
      </x:c>
      <x:c r="R239" s="349" t="str">
        <x:f>LOWER(TRIM(C239)&amp;"|"&amp;TRIM(D239)&amp;"|"&amp;TRIM(E239)&amp;"|"&amp;TRIM(F239)&amp;"|"&amp;TRIM(H239)&amp;"|"&amp;TRIM(I239))</x:f>
        <x:v>场景|environment_module_3d|base99_floor_rivet_5m|floor_rivet|top3d / local -z 正面|default / visual_only</x:v>
      </x:c>
      <x:c r="S239" s="349" t="str">
        <x:f>IF(COUNTIF($R$6:$R$423,R239)&gt;1,"重复","唯一")</x:f>
        <x:v>唯一</x:v>
      </x:c>
      <x:c r="T239" s="349" t="inlineStr">
        <x:is>
          <x:t xml:space="preserve">27d8448e4860ea8b3fde87c4d7c99b7f8d137935fb5bc3e06c4d8f68551018f3</x:t>
        </x:is>
      </x:c>
      <x:c r="U239" s="349" t="inlineStr">
        <x:is>
          <x:t xml:space="preserve">Codex</x:t>
        </x:is>
      </x:c>
      <x:c r="V239" s="348" t="n">
        <x:v>46264</x:v>
      </x:c>
      <x:c r="W239" s="349" t="inlineStr">
        <x:is>
          <x:t xml:space="preserve">用户自制Blender资产</x:t>
        </x:is>
      </x:c>
      <x:c r="X239" s="375" t="inlineStr">
        <x:is>
          <x:t xml:space="preserve">—</x:t>
        </x:is>
      </x:c>
      <x:c r="Y239" s="349" t="inlineStr">
        <x:is>
          <x:t xml:space="preserve"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x:t>
        </x:is>
      </x:c>
    </x:row>
    <x:row r="240" ht="255" customHeight="1">
      <x:c r="A240" s="349" t="inlineStr">
        <x:is>
          <x:t xml:space="preserve">ENV-BASE99-ART-LAYOUT-3D</x:t>
        </x:is>
      </x:c>
      <x:c r="B240" s="349" t="str">
        <x:v>基地区美术</x:v>
      </x:c>
      <x:c r="C240" s="349" t="inlineStr">
        <x:is>
          <x:t xml:space="preserve">场景</x:t>
        </x:is>
      </x:c>
      <x:c r="D240" s="349" t="inlineStr">
        <x:is>
          <x:t xml:space="preserve">environment_module_3d</x:t>
        </x:is>
      </x:c>
      <x:c r="E240" s="349" t="inlineStr">
        <x:is>
          <x:t xml:space="preserve">base_facility_art_layout</x:t>
        </x:is>
      </x:c>
      <x:c r="F240" s="349" t="inlineStr">
        <x:is>
          <x:t xml:space="preserve">root_3d</x:t>
        </x:is>
      </x:c>
      <x:c r="G240" s="349" t="inlineStr">
        <x:is>
          <x:t xml:space="preserve">ENV-BASE99-MODULAR-KIT-3D</x:t>
        </x:is>
      </x:c>
      <x:c r="H240" s="349" t="inlineStr">
        <x:is>
          <x:t xml:space="preserve">Top3D / local -Z 正面</x:t>
        </x:is>
      </x:c>
      <x:c r="I240" s="349" t="inlineStr">
        <x:is>
          <x:t xml:space="preserve">default / prefab</x:t>
        </x:is>
      </x:c>
      <x:c r="J240" s="349" t="str">
        <x:v>Blocks/Base/Art；99F基地区</x:v>
      </x:c>
      <x:c r="K240" s="349" t="inlineStr">
        <x:is>
          <x:t xml:space="preserve">原型已接入</x:t>
        </x:is>
      </x:c>
      <x:c r="L240" s="349" t="inlineStr">
        <x:is>
          <x:t xml:space="preserve">P1</x:t>
        </x:is>
      </x:c>
      <x:c r="M240" s="349" t="inlineStr">
        <x:is>
          <x:t xml:space="preserve">v002</x:t>
        </x:is>
      </x:c>
      <x:c r="N240" s="349" t="inlineStr">
        <x:is>
          <x:t xml:space="preserve">Godot PackedScene；根=Node3D；碰撞节点=0</x:t>
        </x:is>
      </x:c>
      <x:c r="O240" s="349" t="str">
        <x:v>assets/art/environments/tower_zones/base/runtime/zone_base_v002.tscn</x:v>
      </x:c>
      <x:c r="P240" s="349" t="str">
        <x:v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x:v>
      </x:c>
      <x:c r="Q240" s="349" t="str">
        <x:v>基地区;Base;Art;99F;基地美术;Prefab;场景区块</x:v>
      </x:c>
      <x:c r="R240" s="349" t="str">
        <x:f>LOWER(TRIM(C240)&amp;"|"&amp;TRIM(D240)&amp;"|"&amp;TRIM(E240)&amp;"|"&amp;TRIM(F240)&amp;"|"&amp;TRIM(H240)&amp;"|"&amp;TRIM(I240))</x:f>
        <x:v>场景|environment_module_3d|base_facility_art_layout|root_3d|top3d / local -z 正面|default / prefab</x:v>
      </x:c>
      <x:c r="S240" s="349" t="str">
        <x:f>IF(COUNTIF($R$6:$R$423,R240)&gt;1,"重复","唯一")</x:f>
        <x:v>唯一</x:v>
      </x:c>
      <x:c r="T240" s="349" t="str">
        <x:v>0fd9f545b99a34a18142bfbc1e7a397a82c401f1cc8d963015e32def95a41b86</x:v>
      </x:c>
      <x:c r="U240" s="349" t="inlineStr">
        <x:is>
          <x:t xml:space="preserve">Codex</x:t>
        </x:is>
      </x:c>
      <x:c r="V240" s="348" t="n">
        <x:v>46278</x:v>
      </x:c>
      <x:c r="W240" s="349" t="inlineStr">
        <x:is>
          <x:t xml:space="preserve">项目现有Godot资产</x:t>
        </x:is>
      </x:c>
      <x:c r="X240" s="375" t="inlineStr">
        <x:is>
          <x:t xml:space="preserve">—</x:t>
        </x:is>
      </x:c>
      <x:c r="Y240" s="349" t="str">
        <x:v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x:v>
      </x:c>
    </x:row>
    <x:row r="241">
      <x:c r="A241" s="349" t="str">
        <x:v>ENV-TOWER-CORNER-L-5M</x:v>
      </x:c>
      <x:c r="B241" s="349" t="str">
        <x:v>塔楼L型转角5米</x:v>
      </x:c>
      <x:c r="C241" s="349" t="inlineStr">
        <x:is>
          <x:t xml:space="preserve">场景</x:t>
        </x:is>
      </x:c>
      <x:c r="D241" s="349" t="inlineStr">
        <x:is>
          <x:t xml:space="preserve">environment_module_3d</x:t>
        </x:is>
      </x:c>
      <x:c r="E241" s="349" t="str">
        <x:v>corner_L_5m</x:v>
      </x:c>
      <x:c r="F241" s="349" t="inlineStr">
        <x:is>
          <x:t xml:space="preserve">root_3d</x:t>
        </x:is>
      </x:c>
      <x:c r="G241" s="349" t="inlineStr">
        <x:is>
          <x:t xml:space="preserve">ENV-TOWER-DESCENT-KIT-3D</x:t>
        </x:is>
      </x:c>
      <x:c r="H241" s="349" t="inlineStr">
        <x:is>
          <x:t xml:space="preserve">Top3D / local -Z 正面</x:t>
        </x:is>
      </x:c>
      <x:c r="I241" s="349" t="inlineStr">
        <x:is>
          <x:t xml:space="preserve">default / prefab</x:t>
        </x:is>
      </x:c>
      <x:c r="J241" s="349" t="inlineStr">
        <x:is>
          <x:t xml:space="preserve">场景通用组件</x:t>
        </x:is>
      </x:c>
      <x:c r="K241" s="349" t="inlineStr">
        <x:is>
          <x:t xml:space="preserve">正式美术已接入</x:t>
        </x:is>
      </x:c>
      <x:c r="L241" s="349" t="inlineStr">
        <x:is>
          <x:t xml:space="preserve">P1</x:t>
        </x:is>
      </x:c>
      <x:c r="M241" s="349" t="str">
        <x:v>v004</x:v>
      </x:c>
      <x:c r="N241" s="349" t="str">
        <x:v>Godot PackedScene；5×5×12m逻辑体；11.9m可见墙；碰撞节点=2</x:v>
      </x:c>
      <x:c r="O241" s="349" t="str">
        <x:v>assets/art/environments/base_facility_3d/runtime/env_base99_corner_l_5m/env_base99_corner_l_5m_root_top3d_v004.tscn</x:v>
      </x:c>
      <x:c r="P241" s="349" t="str">
        <x:v>assets/art/environments/base_facility_3d/source/wall_height12/env_base99_corner_l_5m_source_v002.blend; assets/art/environments/base_facility_3d/components/env_base99_corner_l_5m/env_base99_corner_l_5m_visual_top3d_v002.glb</x:v>
      </x:c>
      <x:c r="Q241" s="349" t="str">
        <x:v>塔楼L型转角5米;12米逻辑墙;11.9米可见墙;PaletteUV</x:v>
      </x:c>
      <x:c r="R241" s="349" t="str">
        <x:f>LOWER(TRIM(C241)&amp;"|"&amp;TRIM(D241)&amp;"|"&amp;TRIM(E241)&amp;"|"&amp;TRIM(F241)&amp;"|"&amp;TRIM(H241)&amp;"|"&amp;TRIM(I241))</x:f>
        <x:v>场景|environment_module_3d|corner_l_5m|root_3d|top3d / local -z 正面|default / prefab</x:v>
      </x:c>
      <x:c r="S241" s="349" t="str">
        <x:f>IF(COUNTIF($R$6:$R$423,R241)&gt;1,"重复","唯一")</x:f>
        <x:v>唯一</x:v>
      </x:c>
      <x:c r="T241" s="349" t="str">
        <x:v>dfb9448e2ccd9610dadf3a56d8b2f42c14f8be684dbf2a4569782c1250f32df4</x:v>
      </x:c>
      <x:c r="U241" s="349" t="inlineStr">
        <x:is>
          <x:t xml:space="preserve">Codex</x:t>
        </x:is>
      </x:c>
      <x:c r="V241" s="348" t="n">
        <x:v>46277</x:v>
      </x:c>
      <x:c r="W241" s="349" t="inlineStr">
        <x:is>
          <x:t xml:space="preserve">项目现有Godot资产</x:t>
        </x:is>
      </x:c>
      <x:c r="X241" s="375" t="inlineStr">
        <x:is>
          <x:t xml:space="preserve">—</x:t>
        </x:is>
      </x:c>
      <x:c r="Y241" s="349" t="inlineStr">
        <x:is>
          <x:t xml:space="preserve"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</x:t>
        </x:is>
      </x:c>
    </x:row>
    <x:row r="242">
      <x:c r="A242" s="349" t="inlineStr">
        <x:is>
          <x:t xml:space="preserve">ENV-TOWER-CORNER-L-PARAPET-5M</x:t>
        </x:is>
      </x:c>
      <x:c r="B242" s="349" t="inlineStr">
        <x:is>
          <x:t xml:space="preserve">塔楼L型女儿墙转角5米</x:t>
        </x:is>
      </x:c>
      <x:c r="C242" s="349" t="inlineStr">
        <x:is>
          <x:t xml:space="preserve">场景</x:t>
        </x:is>
      </x:c>
      <x:c r="D242" s="349" t="inlineStr">
        <x:is>
          <x:t xml:space="preserve">environment_module_3d</x:t>
        </x:is>
      </x:c>
      <x:c r="E242" s="349" t="inlineStr">
        <x:is>
          <x:t xml:space="preserve">corner_L_parapet_5m</x:t>
        </x:is>
      </x:c>
      <x:c r="F242" s="349" t="inlineStr">
        <x:is>
          <x:t xml:space="preserve">root_3d</x:t>
        </x:is>
      </x:c>
      <x:c r="G242" s="349" t="inlineStr">
        <x:is>
          <x:t xml:space="preserve">ENV-TOWER-DESCENT-KIT-3D</x:t>
        </x:is>
      </x:c>
      <x:c r="H242" s="349" t="inlineStr">
        <x:is>
          <x:t xml:space="preserve">Top3D / local -Z 正面</x:t>
        </x:is>
      </x:c>
      <x:c r="I242" s="349" t="inlineStr">
        <x:is>
          <x:t xml:space="preserve">default / prefab</x:t>
        </x:is>
      </x:c>
      <x:c r="J242" s="349" t="inlineStr">
        <x:is>
          <x:t xml:space="preserve">场景通用组件</x:t>
        </x:is>
      </x:c>
      <x:c r="K242" s="349" t="inlineStr">
        <x:is>
          <x:t xml:space="preserve">程序占位</x:t>
        </x:is>
      </x:c>
      <x:c r="L242" s="349" t="inlineStr">
        <x:is>
          <x:t xml:space="preserve">P1</x:t>
        </x:is>
      </x:c>
      <x:c r="M242" s="349" t="inlineStr">
        <x:is>
          <x:t xml:space="preserve">v001</x:t>
        </x:is>
      </x:c>
      <x:c r="N242" s="349" t="inlineStr">
        <x:is>
          <x:t xml:space="preserve">Godot PackedScene；根=Node3D；碰撞节点=2</x:t>
        </x:is>
      </x:c>
      <x:c r="O242" s="349" t="inlineStr">
        <x:is>
          <x:t xml:space="preserve">assets/art/props/dungeon_3d/prp_corner_l_parapet_5m_v001.tscn</x:t>
        </x:is>
      </x:c>
      <x:c r="P242" s="349" t="inlineStr">
        <x:is>
          <x:t xml:space="preserve">assets/art/3D模型资产目录与命名规范.md</x:t>
        </x:is>
      </x:c>
      <x:c r="Q242" s="349" t="inlineStr">
        <x:is>
          <x:t xml:space="preserve">塔楼L型女儿墙转角5米;3D;Prefab;场景通用组件;corner_L_parapet_5m</x:t>
        </x:is>
      </x:c>
      <x:c r="R242" s="349" t="str">
        <x:f>LOWER(TRIM(C242)&amp;"|"&amp;TRIM(D242)&amp;"|"&amp;TRIM(E242)&amp;"|"&amp;TRIM(F242)&amp;"|"&amp;TRIM(H242)&amp;"|"&amp;TRIM(I242))</x:f>
        <x:v>场景|environment_module_3d|corner_l_parapet_5m|root_3d|top3d / local -z 正面|default / prefab</x:v>
      </x:c>
      <x:c r="S242" s="349" t="str">
        <x:f>IF(COUNTIF($R$6:$R$423,R242)&gt;1,"重复","唯一")</x:f>
        <x:v>唯一</x:v>
      </x:c>
      <x:c r="T242" s="349" t="inlineStr">
        <x:is>
          <x:t xml:space="preserve">e08fcac94b8fac78352e62b5566215fa0a01baa19fcd76a910d82b4d462ff884</x:t>
        </x:is>
      </x:c>
      <x:c r="U242" s="349" t="inlineStr">
        <x:is>
          <x:t xml:space="preserve">Codex</x:t>
        </x:is>
      </x:c>
      <x:c r="V242" s="348" t="n">
        <x:v>46264</x:v>
      </x:c>
      <x:c r="W242" s="349" t="inlineStr">
        <x:is>
          <x:t xml:space="preserve">项目现有Godot资产</x:t>
        </x:is>
      </x:c>
      <x:c r="X242" s="375" t="inlineStr">
        <x:is>
          <x:t xml:space="preserve">—</x:t>
        </x:is>
      </x:c>
      <x:c r="Y242" s="349" t="inlineStr">
        <x:is>
          <x:t xml:space="preserve"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x:t>
        </x:is>
      </x:c>
    </x:row>
    <x:row r="243">
      <x:c r="A243" s="349" t="inlineStr">
        <x:is>
          <x:t xml:space="preserve">ENV-TOWER-CORNER-T-5M</x:t>
        </x:is>
      </x:c>
      <x:c r="B243" s="349" t="inlineStr">
        <x:is>
          <x:t xml:space="preserve">塔楼T型转角5米</x:t>
        </x:is>
      </x:c>
      <x:c r="C243" s="349" t="inlineStr">
        <x:is>
          <x:t xml:space="preserve">场景</x:t>
        </x:is>
      </x:c>
      <x:c r="D243" s="349" t="inlineStr">
        <x:is>
          <x:t xml:space="preserve">environment_module_3d</x:t>
        </x:is>
      </x:c>
      <x:c r="E243" s="349" t="inlineStr">
        <x:is>
          <x:t xml:space="preserve">corner_T_5m</x:t>
        </x:is>
      </x:c>
      <x:c r="F243" s="349" t="inlineStr">
        <x:is>
          <x:t xml:space="preserve">root_3d</x:t>
        </x:is>
      </x:c>
      <x:c r="G243" s="349" t="inlineStr">
        <x:is>
          <x:t xml:space="preserve">ENV-TOWER-DESCENT-KIT-3D</x:t>
        </x:is>
      </x:c>
      <x:c r="H243" s="349" t="inlineStr">
        <x:is>
          <x:t xml:space="preserve">Top3D / local -Z 正面</x:t>
        </x:is>
      </x:c>
      <x:c r="I243" s="349" t="inlineStr">
        <x:is>
          <x:t xml:space="preserve">default / prefab</x:t>
        </x:is>
      </x:c>
      <x:c r="J243" s="349" t="inlineStr">
        <x:is>
          <x:t xml:space="preserve">场景通用组件</x:t>
        </x:is>
      </x:c>
      <x:c r="K243" s="349" t="inlineStr">
        <x:is>
          <x:t xml:space="preserve">程序占位</x:t>
        </x:is>
      </x:c>
      <x:c r="L243" s="349" t="inlineStr">
        <x:is>
          <x:t xml:space="preserve">P1</x:t>
        </x:is>
      </x:c>
      <x:c r="M243" s="349" t="inlineStr">
        <x:is>
          <x:t xml:space="preserve">v001</x:t>
        </x:is>
      </x:c>
      <x:c r="N243" s="349" t="inlineStr">
        <x:is>
          <x:t xml:space="preserve">Godot PackedScene；根=Node3D；碰撞节点=3</x:t>
        </x:is>
      </x:c>
      <x:c r="O243" s="349" t="inlineStr">
        <x:is>
          <x:t xml:space="preserve">assets/art/props/dungeon_3d/prp_corner_t_5m_v001.tscn</x:t>
        </x:is>
      </x:c>
      <x:c r="P243" s="349" t="inlineStr">
        <x:is>
          <x:t xml:space="preserve">assets/art/3D模型资产目录与命名规范.md</x:t>
        </x:is>
      </x:c>
      <x:c r="Q243" s="349" t="inlineStr">
        <x:is>
          <x:t xml:space="preserve">塔楼T型转角5米;3D;Prefab;场景通用组件;corner_T_5m</x:t>
        </x:is>
      </x:c>
      <x:c r="R243" s="349" t="str">
        <x:f>LOWER(TRIM(C243)&amp;"|"&amp;TRIM(D243)&amp;"|"&amp;TRIM(E243)&amp;"|"&amp;TRIM(F243)&amp;"|"&amp;TRIM(H243)&amp;"|"&amp;TRIM(I243))</x:f>
        <x:v>场景|environment_module_3d|corner_t_5m|root_3d|top3d / local -z 正面|default / prefab</x:v>
      </x:c>
      <x:c r="S243" s="349" t="str">
        <x:f>IF(COUNTIF($R$6:$R$423,R243)&gt;1,"重复","唯一")</x:f>
        <x:v>唯一</x:v>
      </x:c>
      <x:c r="T243" s="349" t="inlineStr">
        <x:is>
          <x:t xml:space="preserve">38be070ae70cf35c83d3e817b62e21428f7dc97548a10b4907e30064df3276e7</x:t>
        </x:is>
      </x:c>
      <x:c r="U243" s="349" t="inlineStr">
        <x:is>
          <x:t xml:space="preserve">Codex</x:t>
        </x:is>
      </x:c>
      <x:c r="V243" s="348" t="n">
        <x:v>46264</x:v>
      </x:c>
      <x:c r="W243" s="349" t="inlineStr">
        <x:is>
          <x:t xml:space="preserve">项目现有Godot资产</x:t>
        </x:is>
      </x:c>
      <x:c r="X243" s="375" t="inlineStr">
        <x:is>
          <x:t xml:space="preserve">—</x:t>
        </x:is>
      </x:c>
      <x:c r="Y243" s="349" t="inlineStr">
        <x:is>
          <x:t xml:space="preserve"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x:t>
        </x:is>
      </x:c>
    </x:row>
    <x:row r="244">
      <x:c r="A244" s="349" t="inlineStr">
        <x:is>
          <x:t xml:space="preserve">ENV-TOWER-CORNER-X-5M</x:t>
        </x:is>
      </x:c>
      <x:c r="B244" s="349" t="inlineStr">
        <x:is>
          <x:t xml:space="preserve">塔楼十字转角5米</x:t>
        </x:is>
      </x:c>
      <x:c r="C244" s="349" t="inlineStr">
        <x:is>
          <x:t xml:space="preserve">场景</x:t>
        </x:is>
      </x:c>
      <x:c r="D244" s="349" t="inlineStr">
        <x:is>
          <x:t xml:space="preserve">environment_module_3d</x:t>
        </x:is>
      </x:c>
      <x:c r="E244" s="349" t="inlineStr">
        <x:is>
          <x:t xml:space="preserve">corner_X_5m</x:t>
        </x:is>
      </x:c>
      <x:c r="F244" s="349" t="inlineStr">
        <x:is>
          <x:t xml:space="preserve">root_3d</x:t>
        </x:is>
      </x:c>
      <x:c r="G244" s="349" t="inlineStr">
        <x:is>
          <x:t xml:space="preserve">ENV-TOWER-DESCENT-KIT-3D</x:t>
        </x:is>
      </x:c>
      <x:c r="H244" s="349" t="inlineStr">
        <x:is>
          <x:t xml:space="preserve">Top3D / local -Z 正面</x:t>
        </x:is>
      </x:c>
      <x:c r="I244" s="349" t="inlineStr">
        <x:is>
          <x:t xml:space="preserve">default / prefab</x:t>
        </x:is>
      </x:c>
      <x:c r="J244" s="349" t="inlineStr">
        <x:is>
          <x:t xml:space="preserve">场景通用组件</x:t>
        </x:is>
      </x:c>
      <x:c r="K244" s="349" t="inlineStr">
        <x:is>
          <x:t xml:space="preserve">程序占位</x:t>
        </x:is>
      </x:c>
      <x:c r="L244" s="349" t="inlineStr">
        <x:is>
          <x:t xml:space="preserve">P1</x:t>
        </x:is>
      </x:c>
      <x:c r="M244" s="349" t="inlineStr">
        <x:is>
          <x:t xml:space="preserve">v001</x:t>
        </x:is>
      </x:c>
      <x:c r="N244" s="349" t="inlineStr">
        <x:is>
          <x:t xml:space="preserve">Godot PackedScene；根=Node3D；碰撞节点=4</x:t>
        </x:is>
      </x:c>
      <x:c r="O244" s="349" t="inlineStr">
        <x:is>
          <x:t xml:space="preserve">assets/art/props/dungeon_3d/prp_corner_x_5m_v001.tscn</x:t>
        </x:is>
      </x:c>
      <x:c r="P244" s="349" t="inlineStr">
        <x:is>
          <x:t xml:space="preserve">assets/art/3D模型资产目录与命名规范.md</x:t>
        </x:is>
      </x:c>
      <x:c r="Q244" s="349" t="inlineStr">
        <x:is>
          <x:t xml:space="preserve">塔楼十字转角5米;3D;Prefab;场景通用组件;corner_X_5m</x:t>
        </x:is>
      </x:c>
      <x:c r="R244" s="349" t="str">
        <x:f>LOWER(TRIM(C244)&amp;"|"&amp;TRIM(D244)&amp;"|"&amp;TRIM(E244)&amp;"|"&amp;TRIM(F244)&amp;"|"&amp;TRIM(H244)&amp;"|"&amp;TRIM(I244))</x:f>
        <x:v>场景|environment_module_3d|corner_x_5m|root_3d|top3d / local -z 正面|default / prefab</x:v>
      </x:c>
      <x:c r="S244" s="349" t="str">
        <x:f>IF(COUNTIF($R$6:$R$423,R244)&gt;1,"重复","唯一")</x:f>
        <x:v>唯一</x:v>
      </x:c>
      <x:c r="T244" s="349" t="inlineStr">
        <x:is>
          <x:t xml:space="preserve">8f83e7591e65997f404f7137b11f9b7cf02dc962af97384831061a2a3242ff9c</x:t>
        </x:is>
      </x:c>
      <x:c r="U244" s="349" t="inlineStr">
        <x:is>
          <x:t xml:space="preserve">Codex</x:t>
        </x:is>
      </x:c>
      <x:c r="V244" s="348" t="n">
        <x:v>46264</x:v>
      </x:c>
      <x:c r="W244" s="349" t="inlineStr">
        <x:is>
          <x:t xml:space="preserve">项目现有Godot资产</x:t>
        </x:is>
      </x:c>
      <x:c r="X244" s="375" t="inlineStr">
        <x:is>
          <x:t xml:space="preserve">—</x:t>
        </x:is>
      </x:c>
      <x:c r="Y244" s="349" t="inlineStr">
        <x:is>
          <x:t xml:space="preserve"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x:t>
        </x:is>
      </x:c>
    </x:row>
    <x:row r="245">
      <x:c r="A245" s="349" t="inlineStr">
        <x:is>
          <x:t xml:space="preserve">ENV-DUNGEON-CORRIDOR-CEILING-SEGMENT</x:t>
        </x:is>
      </x:c>
      <x:c r="B245" s="349" t="inlineStr">
        <x:is>
          <x:t xml:space="preserve">地牢走廊天花段</x:t>
        </x:is>
      </x:c>
      <x:c r="C245" s="349" t="inlineStr">
        <x:is>
          <x:t xml:space="preserve">场景</x:t>
        </x:is>
      </x:c>
      <x:c r="D245" s="349" t="inlineStr">
        <x:is>
          <x:t xml:space="preserve">environment_module_3d</x:t>
        </x:is>
      </x:c>
      <x:c r="E245" s="349" t="inlineStr">
        <x:is>
          <x:t xml:space="preserve">corridor_ceiling_segment</x:t>
        </x:is>
      </x:c>
      <x:c r="F245" s="349" t="inlineStr">
        <x:is>
          <x:t xml:space="preserve">root_3d</x:t>
        </x:is>
      </x:c>
      <x:c r="G245" s="349" t="inlineStr">
        <x:is>
          <x:t xml:space="preserve">ENV-DUNGEON-RUNTIME-3D</x:t>
        </x:is>
      </x:c>
      <x:c r="H245" s="349" t="inlineStr">
        <x:is>
          <x:t xml:space="preserve">Top3D / local -Z 正面</x:t>
        </x:is>
      </x:c>
      <x:c r="I245" s="349" t="inlineStr">
        <x:is>
          <x:t xml:space="preserve">default / prefab</x:t>
        </x:is>
      </x:c>
      <x:c r="J245" s="349" t="inlineStr">
        <x:is>
          <x:t xml:space="preserve">场景通用组件</x:t>
        </x:is>
      </x:c>
      <x:c r="K245" s="349" t="inlineStr">
        <x:is>
          <x:t xml:space="preserve">程序占位</x:t>
        </x:is>
      </x:c>
      <x:c r="L245" s="349" t="inlineStr">
        <x:is>
          <x:t xml:space="preserve">P1</x:t>
        </x:is>
      </x:c>
      <x:c r="M245" s="349" t="inlineStr">
        <x:is>
          <x:t xml:space="preserve">v001</x:t>
        </x:is>
      </x:c>
      <x:c r="N245" s="349" t="inlineStr">
        <x:is>
          <x:t xml:space="preserve">Godot PackedScene；根=Node3D；碰撞节点=1</x:t>
        </x:is>
      </x:c>
      <x:c r="O245" s="349" t="inlineStr">
        <x:is>
          <x:t xml:space="preserve">assets/art/props/dungeon_3d/prp_corridor_ceiling_segment_v001.tscn</x:t>
        </x:is>
      </x:c>
      <x:c r="P245" s="349" t="inlineStr">
        <x:is>
          <x:t xml:space="preserve">assets/art/3D模型资产目录与命名规范.md</x:t>
        </x:is>
      </x:c>
      <x:c r="Q245" s="349" t="inlineStr">
        <x:is>
          <x:t xml:space="preserve">地牢走廊天花段;3D;Prefab;场景通用组件;corridor_ceiling_segment</x:t>
        </x:is>
      </x:c>
      <x:c r="R245" s="349" t="str">
        <x:f>LOWER(TRIM(C245)&amp;"|"&amp;TRIM(D245)&amp;"|"&amp;TRIM(E245)&amp;"|"&amp;TRIM(F245)&amp;"|"&amp;TRIM(H245)&amp;"|"&amp;TRIM(I245))</x:f>
        <x:v>场景|environment_module_3d|corridor_ceiling_segment|root_3d|top3d / local -z 正面|default / prefab</x:v>
      </x:c>
      <x:c r="S245" s="349" t="str">
        <x:f>IF(COUNTIF($R$6:$R$423,R245)&gt;1,"重复","唯一")</x:f>
        <x:v>唯一</x:v>
      </x:c>
      <x:c r="T245" s="349" t="inlineStr">
        <x:is>
          <x:t xml:space="preserve">de6c149315d394d21427445145cbac33ef5652db02b18b2d0080748dd0f82ff3</x:t>
        </x:is>
      </x:c>
      <x:c r="U245" s="349" t="inlineStr">
        <x:is>
          <x:t xml:space="preserve">Codex</x:t>
        </x:is>
      </x:c>
      <x:c r="V245" s="348" t="n">
        <x:v>46264</x:v>
      </x:c>
      <x:c r="W245" s="349" t="inlineStr">
        <x:is>
          <x:t xml:space="preserve">项目现有Godot资产</x:t>
        </x:is>
      </x:c>
      <x:c r="X245" s="375" t="inlineStr">
        <x:is>
          <x:t xml:space="preserve">—</x:t>
        </x:is>
      </x:c>
      <x:c r="Y245" s="349" t="inlineStr">
        <x:is>
          <x:t xml:space="preserve"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x:t>
        </x:is>
      </x:c>
    </x:row>
    <x:row r="246">
      <x:c r="A246" s="349" t="inlineStr">
        <x:is>
          <x:t xml:space="preserve">ENV-DUNGEON-CORRIDOR-FLOOR-SEGMENT</x:t>
        </x:is>
      </x:c>
      <x:c r="B246" s="349" t="inlineStr">
        <x:is>
          <x:t xml:space="preserve">地牢走廊地板段</x:t>
        </x:is>
      </x:c>
      <x:c r="C246" s="349" t="inlineStr">
        <x:is>
          <x:t xml:space="preserve">场景</x:t>
        </x:is>
      </x:c>
      <x:c r="D246" s="349" t="inlineStr">
        <x:is>
          <x:t xml:space="preserve">environment_module_3d</x:t>
        </x:is>
      </x:c>
      <x:c r="E246" s="349" t="inlineStr">
        <x:is>
          <x:t xml:space="preserve">corridor_floor_segment</x:t>
        </x:is>
      </x:c>
      <x:c r="F246" s="349" t="inlineStr">
        <x:is>
          <x:t xml:space="preserve">root_3d</x:t>
        </x:is>
      </x:c>
      <x:c r="G246" s="349" t="inlineStr">
        <x:is>
          <x:t xml:space="preserve">ENV-DUNGEON-RUNTIME-3D</x:t>
        </x:is>
      </x:c>
      <x:c r="H246" s="349" t="inlineStr">
        <x:is>
          <x:t xml:space="preserve">Top3D / local -Z 正面</x:t>
        </x:is>
      </x:c>
      <x:c r="I246" s="349" t="inlineStr">
        <x:is>
          <x:t xml:space="preserve">default / prefab</x:t>
        </x:is>
      </x:c>
      <x:c r="J246" s="349" t="inlineStr">
        <x:is>
          <x:t xml:space="preserve">场景通用组件</x:t>
        </x:is>
      </x:c>
      <x:c r="K246" s="349" t="inlineStr">
        <x:is>
          <x:t xml:space="preserve">程序占位</x:t>
        </x:is>
      </x:c>
      <x:c r="L246" s="349" t="inlineStr">
        <x:is>
          <x:t xml:space="preserve">P1</x:t>
        </x:is>
      </x:c>
      <x:c r="M246" s="349" t="inlineStr">
        <x:is>
          <x:t xml:space="preserve">v001</x:t>
        </x:is>
      </x:c>
      <x:c r="N246" s="349" t="inlineStr">
        <x:is>
          <x:t xml:space="preserve">Godot PackedScene；根=Node3D；碰撞节点=1</x:t>
        </x:is>
      </x:c>
      <x:c r="O246" s="349" t="inlineStr">
        <x:is>
          <x:t xml:space="preserve">assets/art/props/dungeon_3d/prp_corridor_floor_segment_v001.tscn</x:t>
        </x:is>
      </x:c>
      <x:c r="P246" s="349" t="inlineStr">
        <x:is>
          <x:t xml:space="preserve">assets/art/3D模型资产目录与命名规范.md</x:t>
        </x:is>
      </x:c>
      <x:c r="Q246" s="349" t="inlineStr">
        <x:is>
          <x:t xml:space="preserve">地牢走廊地板段;3D;Prefab;场景通用组件;corridor_floor_segment</x:t>
        </x:is>
      </x:c>
      <x:c r="R246" s="349" t="str">
        <x:f>LOWER(TRIM(C246)&amp;"|"&amp;TRIM(D246)&amp;"|"&amp;TRIM(E246)&amp;"|"&amp;TRIM(F246)&amp;"|"&amp;TRIM(H246)&amp;"|"&amp;TRIM(I246))</x:f>
        <x:v>场景|environment_module_3d|corridor_floor_segment|root_3d|top3d / local -z 正面|default / prefab</x:v>
      </x:c>
      <x:c r="S246" s="349" t="str">
        <x:f>IF(COUNTIF($R$6:$R$423,R246)&gt;1,"重复","唯一")</x:f>
        <x:v>唯一</x:v>
      </x:c>
      <x:c r="T246" s="349" t="inlineStr">
        <x:is>
          <x:t xml:space="preserve">89457606145ca7caa6db48cdf9362a670ce296fd191d8dc67ca8a704c7a3ad31</x:t>
        </x:is>
      </x:c>
      <x:c r="U246" s="349" t="inlineStr">
        <x:is>
          <x:t xml:space="preserve">Codex</x:t>
        </x:is>
      </x:c>
      <x:c r="V246" s="348" t="n">
        <x:v>46264</x:v>
      </x:c>
      <x:c r="W246" s="349" t="inlineStr">
        <x:is>
          <x:t xml:space="preserve">项目现有Godot资产</x:t>
        </x:is>
      </x:c>
      <x:c r="X246" s="375" t="inlineStr">
        <x:is>
          <x:t xml:space="preserve">—</x:t>
        </x:is>
      </x:c>
      <x:c r="Y246" s="349" t="inlineStr">
        <x:is>
          <x:t xml:space="preserve"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x:t>
        </x:is>
      </x:c>
    </x:row>
    <x:row r="247">
      <x:c r="A247" s="349" t="inlineStr">
        <x:is>
          <x:t xml:space="preserve">ENV-DUNGEON-CORRIDOR-STAIR-TREAD</x:t>
        </x:is>
      </x:c>
      <x:c r="B247" s="349" t="inlineStr">
        <x:is>
          <x:t xml:space="preserve">地牢走廊楼梯踏步</x:t>
        </x:is>
      </x:c>
      <x:c r="C247" s="349" t="inlineStr">
        <x:is>
          <x:t xml:space="preserve">场景</x:t>
        </x:is>
      </x:c>
      <x:c r="D247" s="349" t="inlineStr">
        <x:is>
          <x:t xml:space="preserve">environment_module_3d</x:t>
        </x:is>
      </x:c>
      <x:c r="E247" s="349" t="inlineStr">
        <x:is>
          <x:t xml:space="preserve">corridor_stair_tread</x:t>
        </x:is>
      </x:c>
      <x:c r="F247" s="349" t="inlineStr">
        <x:is>
          <x:t xml:space="preserve">root_3d</x:t>
        </x:is>
      </x:c>
      <x:c r="G247" s="349" t="inlineStr">
        <x:is>
          <x:t xml:space="preserve">ENV-DUNGEON-RUNTIME-3D</x:t>
        </x:is>
      </x:c>
      <x:c r="H247" s="349" t="inlineStr">
        <x:is>
          <x:t xml:space="preserve">Top3D / local -Z 正面</x:t>
        </x:is>
      </x:c>
      <x:c r="I247" s="349" t="inlineStr">
        <x:is>
          <x:t xml:space="preserve">default / prefab</x:t>
        </x:is>
      </x:c>
      <x:c r="J247" s="349" t="inlineStr">
        <x:is>
          <x:t xml:space="preserve">场景通用组件</x:t>
        </x:is>
      </x:c>
      <x:c r="K247" s="349" t="inlineStr">
        <x:is>
          <x:t xml:space="preserve">程序占位</x:t>
        </x:is>
      </x:c>
      <x:c r="L247" s="349" t="inlineStr">
        <x:is>
          <x:t xml:space="preserve">P1</x:t>
        </x:is>
      </x:c>
      <x:c r="M247" s="349" t="inlineStr">
        <x:is>
          <x:t xml:space="preserve">v001</x:t>
        </x:is>
      </x:c>
      <x:c r="N247" s="349" t="inlineStr">
        <x:is>
          <x:t xml:space="preserve">Godot PackedScene；根=Node3D；碰撞节点=0</x:t>
        </x:is>
      </x:c>
      <x:c r="O247" s="349" t="inlineStr">
        <x:is>
          <x:t xml:space="preserve">assets/art/props/dungeon_3d/prp_corridor_stair_tread_v001.tscn</x:t>
        </x:is>
      </x:c>
      <x:c r="P247" s="349" t="inlineStr">
        <x:is>
          <x:t xml:space="preserve">assets/art/3D模型资产目录与命名规范.md</x:t>
        </x:is>
      </x:c>
      <x:c r="Q247" s="349" t="inlineStr">
        <x:is>
          <x:t xml:space="preserve">地牢走廊楼梯踏步;3D;Prefab;场景通用组件;corridor_stair_tread</x:t>
        </x:is>
      </x:c>
      <x:c r="R247" s="349" t="str">
        <x:f>LOWER(TRIM(C247)&amp;"|"&amp;TRIM(D247)&amp;"|"&amp;TRIM(E247)&amp;"|"&amp;TRIM(F247)&amp;"|"&amp;TRIM(H247)&amp;"|"&amp;TRIM(I247))</x:f>
        <x:v>场景|environment_module_3d|corridor_stair_tread|root_3d|top3d / local -z 正面|default / prefab</x:v>
      </x:c>
      <x:c r="S247" s="349" t="str">
        <x:f>IF(COUNTIF($R$6:$R$423,R247)&gt;1,"重复","唯一")</x:f>
        <x:v>唯一</x:v>
      </x:c>
      <x:c r="T247" s="349" t="inlineStr">
        <x:is>
          <x:t xml:space="preserve">9cb096178ff640d1a46dc773d86af69873c5f92f054ead84ee6fdeaac15e608d</x:t>
        </x:is>
      </x:c>
      <x:c r="U247" s="349" t="inlineStr">
        <x:is>
          <x:t xml:space="preserve">Codex</x:t>
        </x:is>
      </x:c>
      <x:c r="V247" s="348" t="n">
        <x:v>46264</x:v>
      </x:c>
      <x:c r="W247" s="349" t="inlineStr">
        <x:is>
          <x:t xml:space="preserve">项目现有Godot资产</x:t>
        </x:is>
      </x:c>
      <x:c r="X247" s="375" t="inlineStr">
        <x:is>
          <x:t xml:space="preserve">—</x:t>
        </x:is>
      </x:c>
      <x:c r="Y247" s="349" t="inlineStr">
        <x:is>
          <x:t xml:space="preserve"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x:t>
        </x:is>
      </x:c>
    </x:row>
    <x:row r="248">
      <x:c r="A248" s="349" t="inlineStr">
        <x:is>
          <x:t xml:space="preserve">ENV-DUNGEON-CORRIDOR-WALL-SEGMENT</x:t>
        </x:is>
      </x:c>
      <x:c r="B248" s="349" t="inlineStr">
        <x:is>
          <x:t xml:space="preserve">地牢走廊墙段</x:t>
        </x:is>
      </x:c>
      <x:c r="C248" s="349" t="inlineStr">
        <x:is>
          <x:t xml:space="preserve">场景</x:t>
        </x:is>
      </x:c>
      <x:c r="D248" s="349" t="inlineStr">
        <x:is>
          <x:t xml:space="preserve">environment_module_3d</x:t>
        </x:is>
      </x:c>
      <x:c r="E248" s="349" t="inlineStr">
        <x:is>
          <x:t xml:space="preserve">corridor_wall_segment</x:t>
        </x:is>
      </x:c>
      <x:c r="F248" s="349" t="inlineStr">
        <x:is>
          <x:t xml:space="preserve">root_3d</x:t>
        </x:is>
      </x:c>
      <x:c r="G248" s="349" t="inlineStr">
        <x:is>
          <x:t xml:space="preserve">ENV-DUNGEON-RUNTIME-3D</x:t>
        </x:is>
      </x:c>
      <x:c r="H248" s="349" t="inlineStr">
        <x:is>
          <x:t xml:space="preserve">Top3D / local -Z 正面</x:t>
        </x:is>
      </x:c>
      <x:c r="I248" s="349" t="inlineStr">
        <x:is>
          <x:t xml:space="preserve">default / prefab</x:t>
        </x:is>
      </x:c>
      <x:c r="J248" s="349" t="inlineStr">
        <x:is>
          <x:t xml:space="preserve">场景通用组件</x:t>
        </x:is>
      </x:c>
      <x:c r="K248" s="349" t="inlineStr">
        <x:is>
          <x:t xml:space="preserve">程序占位</x:t>
        </x:is>
      </x:c>
      <x:c r="L248" s="349" t="inlineStr">
        <x:is>
          <x:t xml:space="preserve">P1</x:t>
        </x:is>
      </x:c>
      <x:c r="M248" s="349" t="inlineStr">
        <x:is>
          <x:t xml:space="preserve">v001</x:t>
        </x:is>
      </x:c>
      <x:c r="N248" s="349" t="inlineStr">
        <x:is>
          <x:t xml:space="preserve">Godot PackedScene；根=Node3D；碰撞节点=1</x:t>
        </x:is>
      </x:c>
      <x:c r="O248" s="349" t="inlineStr">
        <x:is>
          <x:t xml:space="preserve">assets/art/props/dungeon_3d/prp_corridor_wall_segment_v001.tscn</x:t>
        </x:is>
      </x:c>
      <x:c r="P248" s="349" t="inlineStr">
        <x:is>
          <x:t xml:space="preserve">assets/art/3D模型资产目录与命名规范.md</x:t>
        </x:is>
      </x:c>
      <x:c r="Q248" s="349" t="inlineStr">
        <x:is>
          <x:t xml:space="preserve">地牢走廊墙段;3D;Prefab;场景通用组件;corridor_wall_segment</x:t>
        </x:is>
      </x:c>
      <x:c r="R248" s="349" t="str">
        <x:f>LOWER(TRIM(C248)&amp;"|"&amp;TRIM(D248)&amp;"|"&amp;TRIM(E248)&amp;"|"&amp;TRIM(F248)&amp;"|"&amp;TRIM(H248)&amp;"|"&amp;TRIM(I248))</x:f>
        <x:v>场景|environment_module_3d|corridor_wall_segment|root_3d|top3d / local -z 正面|default / prefab</x:v>
      </x:c>
      <x:c r="S248" s="349" t="str">
        <x:f>IF(COUNTIF($R$6:$R$423,R248)&gt;1,"重复","唯一")</x:f>
        <x:v>唯一</x:v>
      </x:c>
      <x:c r="T248" s="349" t="inlineStr">
        <x:is>
          <x:t xml:space="preserve">b46c779faadc6e47bfe4fa2ff512ffe3425f90c36bc53846e40675c673042910</x:t>
        </x:is>
      </x:c>
      <x:c r="U248" s="349" t="inlineStr">
        <x:is>
          <x:t xml:space="preserve">Codex</x:t>
        </x:is>
      </x:c>
      <x:c r="V248" s="348" t="n">
        <x:v>46264</x:v>
      </x:c>
      <x:c r="W248" s="349" t="inlineStr">
        <x:is>
          <x:t xml:space="preserve">项目现有Godot资产</x:t>
        </x:is>
      </x:c>
      <x:c r="X248" s="375" t="inlineStr">
        <x:is>
          <x:t xml:space="preserve">—</x:t>
        </x:is>
      </x:c>
      <x:c r="Y248" s="349" t="inlineStr">
        <x:is>
          <x:t xml:space="preserve"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x:t>
        </x:is>
      </x:c>
    </x:row>
    <x:row r="249">
      <x:c r="A249" s="349" t="inlineStr">
        <x:is>
          <x:t xml:space="preserve">ENV-DUNGEON-ROOM-ACCESS-STEP</x:t>
        </x:is>
      </x:c>
      <x:c r="B249" s="349" t="inlineStr">
        <x:is>
          <x:t xml:space="preserve">房间接入台阶</x:t>
        </x:is>
      </x:c>
      <x:c r="C249" s="349" t="inlineStr">
        <x:is>
          <x:t xml:space="preserve">场景</x:t>
        </x:is>
      </x:c>
      <x:c r="D249" s="349" t="inlineStr">
        <x:is>
          <x:t xml:space="preserve">environment_module_3d</x:t>
        </x:is>
      </x:c>
      <x:c r="E249" s="349" t="inlineStr">
        <x:is>
          <x:t xml:space="preserve">room_access_step</x:t>
        </x:is>
      </x:c>
      <x:c r="F249" s="349" t="inlineStr">
        <x:is>
          <x:t xml:space="preserve">root_3d</x:t>
        </x:is>
      </x:c>
      <x:c r="G249" s="349" t="inlineStr">
        <x:is>
          <x:t xml:space="preserve">ENV-DUNGEON-RUNTIME-3D</x:t>
        </x:is>
      </x:c>
      <x:c r="H249" s="349" t="inlineStr">
        <x:is>
          <x:t xml:space="preserve">Top3D / local -Z 正面</x:t>
        </x:is>
      </x:c>
      <x:c r="I249" s="349" t="inlineStr">
        <x:is>
          <x:t xml:space="preserve">default / prefab</x:t>
        </x:is>
      </x:c>
      <x:c r="J249" s="349" t="inlineStr">
        <x:is>
          <x:t xml:space="preserve">场景通用组件</x:t>
        </x:is>
      </x:c>
      <x:c r="K249" s="349" t="inlineStr">
        <x:is>
          <x:t xml:space="preserve">程序占位</x:t>
        </x:is>
      </x:c>
      <x:c r="L249" s="349" t="inlineStr">
        <x:is>
          <x:t xml:space="preserve">P1</x:t>
        </x:is>
      </x:c>
      <x:c r="M249" s="349" t="inlineStr">
        <x:is>
          <x:t xml:space="preserve">v001</x:t>
        </x:is>
      </x:c>
      <x:c r="N249" s="349" t="inlineStr">
        <x:is>
          <x:t xml:space="preserve">Godot PackedScene；根=Node3D；碰撞节点=0</x:t>
        </x:is>
      </x:c>
      <x:c r="O249" s="349" t="inlineStr">
        <x:is>
          <x:t xml:space="preserve">assets/art/props/dungeon_3d/prp_room_access_step_v001.tscn</x:t>
        </x:is>
      </x:c>
      <x:c r="P249" s="349" t="inlineStr">
        <x:is>
          <x:t xml:space="preserve">assets/art/3D模型资产目录与命名规范.md</x:t>
        </x:is>
      </x:c>
      <x:c r="Q249" s="349" t="inlineStr">
        <x:is>
          <x:t xml:space="preserve">房间接入台阶;3D;Prefab;场景通用组件;room_access_step</x:t>
        </x:is>
      </x:c>
      <x:c r="R249" s="349" t="str">
        <x:f>LOWER(TRIM(C249)&amp;"|"&amp;TRIM(D249)&amp;"|"&amp;TRIM(E249)&amp;"|"&amp;TRIM(F249)&amp;"|"&amp;TRIM(H249)&amp;"|"&amp;TRIM(I249))</x:f>
        <x:v>场景|environment_module_3d|room_access_step|root_3d|top3d / local -z 正面|default / prefab</x:v>
      </x:c>
      <x:c r="S249" s="349" t="str">
        <x:f>IF(COUNTIF($R$6:$R$423,R249)&gt;1,"重复","唯一")</x:f>
        <x:v>唯一</x:v>
      </x:c>
      <x:c r="T249" s="349" t="inlineStr">
        <x:is>
          <x:t xml:space="preserve">ceeeed9e7163cf420bf047f1a9424990b111b63f3b3f72d5257ebbfeeb6b9c7a</x:t>
        </x:is>
      </x:c>
      <x:c r="U249" s="349" t="inlineStr">
        <x:is>
          <x:t xml:space="preserve">Codex</x:t>
        </x:is>
      </x:c>
      <x:c r="V249" s="348" t="n">
        <x:v>46264</x:v>
      </x:c>
      <x:c r="W249" s="349" t="inlineStr">
        <x:is>
          <x:t xml:space="preserve">项目现有Godot资产</x:t>
        </x:is>
      </x:c>
      <x:c r="X249" s="375" t="inlineStr">
        <x:is>
          <x:t xml:space="preserve">—</x:t>
        </x:is>
      </x:c>
      <x:c r="Y249" s="349" t="inlineStr">
        <x:is>
          <x:t xml:space="preserve"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x:t>
        </x:is>
      </x:c>
    </x:row>
    <x:row r="250">
      <x:c r="A250" s="349" t="inlineStr">
        <x:is>
          <x:t xml:space="preserve">ENV-DUNGEON-ROOM-CORNER-POST</x:t>
        </x:is>
      </x:c>
      <x:c r="B250" s="349" t="inlineStr">
        <x:is>
          <x:t xml:space="preserve">房间转角立柱</x:t>
        </x:is>
      </x:c>
      <x:c r="C250" s="349" t="inlineStr">
        <x:is>
          <x:t xml:space="preserve">场景</x:t>
        </x:is>
      </x:c>
      <x:c r="D250" s="349" t="inlineStr">
        <x:is>
          <x:t xml:space="preserve">environment_module_3d</x:t>
        </x:is>
      </x:c>
      <x:c r="E250" s="349" t="inlineStr">
        <x:is>
          <x:t xml:space="preserve">room_corner_post</x:t>
        </x:is>
      </x:c>
      <x:c r="F250" s="349" t="inlineStr">
        <x:is>
          <x:t xml:space="preserve">root_3d</x:t>
        </x:is>
      </x:c>
      <x:c r="G250" s="349" t="inlineStr">
        <x:is>
          <x:t xml:space="preserve">ENV-DUNGEON-RUNTIME-3D</x:t>
        </x:is>
      </x:c>
      <x:c r="H250" s="349" t="inlineStr">
        <x:is>
          <x:t xml:space="preserve">Top3D / local -Z 正面</x:t>
        </x:is>
      </x:c>
      <x:c r="I250" s="349" t="inlineStr">
        <x:is>
          <x:t xml:space="preserve">default / prefab</x:t>
        </x:is>
      </x:c>
      <x:c r="J250" s="349" t="inlineStr">
        <x:is>
          <x:t xml:space="preserve">场景通用组件</x:t>
        </x:is>
      </x:c>
      <x:c r="K250" s="349" t="inlineStr">
        <x:is>
          <x:t xml:space="preserve">程序占位</x:t>
        </x:is>
      </x:c>
      <x:c r="L250" s="349" t="inlineStr">
        <x:is>
          <x:t xml:space="preserve">P1</x:t>
        </x:is>
      </x:c>
      <x:c r="M250" s="349" t="inlineStr">
        <x:is>
          <x:t xml:space="preserve">v001</x:t>
        </x:is>
      </x:c>
      <x:c r="N250" s="349" t="inlineStr">
        <x:is>
          <x:t xml:space="preserve">Godot PackedScene；根=Node3D；碰撞节点=1</x:t>
        </x:is>
      </x:c>
      <x:c r="O250" s="349" t="inlineStr">
        <x:is>
          <x:t xml:space="preserve">assets/art/props/dungeon_3d/prp_room_corner_post_v001.tscn</x:t>
        </x:is>
      </x:c>
      <x:c r="P250" s="349" t="inlineStr">
        <x:is>
          <x:t xml:space="preserve">assets/art/3D模型资产目录与命名规范.md</x:t>
        </x:is>
      </x:c>
      <x:c r="Q250" s="349" t="inlineStr">
        <x:is>
          <x:t xml:space="preserve">房间转角立柱;3D;Prefab;场景通用组件;room_corner_post</x:t>
        </x:is>
      </x:c>
      <x:c r="R250" s="349" t="str">
        <x:f>LOWER(TRIM(C250)&amp;"|"&amp;TRIM(D250)&amp;"|"&amp;TRIM(E250)&amp;"|"&amp;TRIM(F250)&amp;"|"&amp;TRIM(H250)&amp;"|"&amp;TRIM(I250))</x:f>
        <x:v>场景|environment_module_3d|room_corner_post|root_3d|top3d / local -z 正面|default / prefab</x:v>
      </x:c>
      <x:c r="S250" s="349" t="str">
        <x:f>IF(COUNTIF($R$6:$R$423,R250)&gt;1,"重复","唯一")</x:f>
        <x:v>唯一</x:v>
      </x:c>
      <x:c r="T250" s="349" t="inlineStr">
        <x:is>
          <x:t xml:space="preserve">138b81f147aff76227e21ca8e73825144df3c69a8236b4eabd849eefbc977022</x:t>
        </x:is>
      </x:c>
      <x:c r="U250" s="349" t="inlineStr">
        <x:is>
          <x:t xml:space="preserve">Codex</x:t>
        </x:is>
      </x:c>
      <x:c r="V250" s="348" t="n">
        <x:v>46264</x:v>
      </x:c>
      <x:c r="W250" s="349" t="inlineStr">
        <x:is>
          <x:t xml:space="preserve">项目现有Godot资产</x:t>
        </x:is>
      </x:c>
      <x:c r="X250" s="375" t="inlineStr">
        <x:is>
          <x:t xml:space="preserve">—</x:t>
        </x:is>
      </x:c>
      <x:c r="Y250" s="349" t="inlineStr">
        <x:is>
          <x:t xml:space="preserve"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x:t>
        </x:is>
      </x:c>
    </x:row>
    <x:row r="251">
      <x:c r="A251" s="349" t="inlineStr">
        <x:is>
          <x:t xml:space="preserve">ENV-DUNGEON-ROOM-DOOR-LINTEL</x:t>
        </x:is>
      </x:c>
      <x:c r="B251" s="349" t="inlineStr">
        <x:is>
          <x:t xml:space="preserve">房间门楣</x:t>
        </x:is>
      </x:c>
      <x:c r="C251" s="349" t="inlineStr">
        <x:is>
          <x:t xml:space="preserve">场景</x:t>
        </x:is>
      </x:c>
      <x:c r="D251" s="349" t="inlineStr">
        <x:is>
          <x:t xml:space="preserve">environment_module_3d</x:t>
        </x:is>
      </x:c>
      <x:c r="E251" s="349" t="inlineStr">
        <x:is>
          <x:t xml:space="preserve">room_door_lintel</x:t>
        </x:is>
      </x:c>
      <x:c r="F251" s="349" t="inlineStr">
        <x:is>
          <x:t xml:space="preserve">root_3d</x:t>
        </x:is>
      </x:c>
      <x:c r="G251" s="349" t="inlineStr">
        <x:is>
          <x:t xml:space="preserve">ENV-DUNGEON-RUNTIME-3D</x:t>
        </x:is>
      </x:c>
      <x:c r="H251" s="349" t="inlineStr">
        <x:is>
          <x:t xml:space="preserve">Top3D / local -Z 正面</x:t>
        </x:is>
      </x:c>
      <x:c r="I251" s="349" t="inlineStr">
        <x:is>
          <x:t xml:space="preserve">default / prefab</x:t>
        </x:is>
      </x:c>
      <x:c r="J251" s="349" t="inlineStr">
        <x:is>
          <x:t xml:space="preserve">场景通用组件</x:t>
        </x:is>
      </x:c>
      <x:c r="K251" s="349" t="inlineStr">
        <x:is>
          <x:t xml:space="preserve">程序占位</x:t>
        </x:is>
      </x:c>
      <x:c r="L251" s="349" t="inlineStr">
        <x:is>
          <x:t xml:space="preserve">P1</x:t>
        </x:is>
      </x:c>
      <x:c r="M251" s="349" t="inlineStr">
        <x:is>
          <x:t xml:space="preserve">v001</x:t>
        </x:is>
      </x:c>
      <x:c r="N251" s="349" t="inlineStr">
        <x:is>
          <x:t xml:space="preserve">Godot PackedScene；根=Node3D；碰撞节点=0</x:t>
        </x:is>
      </x:c>
      <x:c r="O251" s="349" t="inlineStr">
        <x:is>
          <x:t xml:space="preserve">assets/art/props/dungeon_3d/prp_room_door_lintel_v001.tscn</x:t>
        </x:is>
      </x:c>
      <x:c r="P251" s="349" t="inlineStr">
        <x:is>
          <x:t xml:space="preserve">assets/art/3D模型资产目录与命名规范.md</x:t>
        </x:is>
      </x:c>
      <x:c r="Q251" s="349" t="inlineStr">
        <x:is>
          <x:t xml:space="preserve">房间门楣;3D;Prefab;场景通用组件;room_door_lintel</x:t>
        </x:is>
      </x:c>
      <x:c r="R251" s="349" t="str">
        <x:f>LOWER(TRIM(C251)&amp;"|"&amp;TRIM(D251)&amp;"|"&amp;TRIM(E251)&amp;"|"&amp;TRIM(F251)&amp;"|"&amp;TRIM(H251)&amp;"|"&amp;TRIM(I251))</x:f>
        <x:v>场景|environment_module_3d|room_door_lintel|root_3d|top3d / local -z 正面|default / prefab</x:v>
      </x:c>
      <x:c r="S251" s="349" t="str">
        <x:f>IF(COUNTIF($R$6:$R$423,R251)&gt;1,"重复","唯一")</x:f>
        <x:v>唯一</x:v>
      </x:c>
      <x:c r="T251" s="349" t="inlineStr">
        <x:is>
          <x:t xml:space="preserve">82ce8f9afa7e5b59b4172c12c90693b5da5ee9934286658f5353fabda3c095fe</x:t>
        </x:is>
      </x:c>
      <x:c r="U251" s="349" t="inlineStr">
        <x:is>
          <x:t xml:space="preserve">Codex</x:t>
        </x:is>
      </x:c>
      <x:c r="V251" s="348" t="n">
        <x:v>46264</x:v>
      </x:c>
      <x:c r="W251" s="349" t="inlineStr">
        <x:is>
          <x:t xml:space="preserve">项目现有Godot资产</x:t>
        </x:is>
      </x:c>
      <x:c r="X251" s="375" t="inlineStr">
        <x:is>
          <x:t xml:space="preserve">—</x:t>
        </x:is>
      </x:c>
      <x:c r="Y251" s="349" t="inlineStr">
        <x:is>
          <x:t xml:space="preserve"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x:t>
        </x:is>
      </x:c>
    </x:row>
    <x:row r="252">
      <x:c r="A252" s="349" t="inlineStr">
        <x:is>
          <x:t xml:space="preserve">ENV-DUNGEON-FACILITY-WALL-DOOR-SIDE</x:t>
        </x:is>
      </x:c>
      <x:c r="B252" s="349" t="inlineStr">
        <x:is>
          <x:t xml:space="preserve">基地设施门墙侧柱</x:t>
        </x:is>
      </x:c>
      <x:c r="C252" s="349" t="inlineStr">
        <x:is>
          <x:t xml:space="preserve">场景</x:t>
        </x:is>
      </x:c>
      <x:c r="D252" s="349" t="inlineStr">
        <x:is>
          <x:t xml:space="preserve">environment_module_3d</x:t>
        </x:is>
      </x:c>
      <x:c r="E252" s="349" t="inlineStr">
        <x:is>
          <x:t xml:space="preserve">room_facility_base_wall_door_side</x:t>
        </x:is>
      </x:c>
      <x:c r="F252" s="349" t="inlineStr">
        <x:is>
          <x:t xml:space="preserve">root_3d</x:t>
        </x:is>
      </x:c>
      <x:c r="G252" s="349" t="inlineStr">
        <x:is>
          <x:t xml:space="preserve">ENV-DUNGEON-RUNTIME-3D</x:t>
        </x:is>
      </x:c>
      <x:c r="H252" s="349" t="inlineStr">
        <x:is>
          <x:t xml:space="preserve">Top3D / local -Z 正面</x:t>
        </x:is>
      </x:c>
      <x:c r="I252" s="349" t="inlineStr">
        <x:is>
          <x:t xml:space="preserve">default / prefab</x:t>
        </x:is>
      </x:c>
      <x:c r="J252" s="349" t="inlineStr">
        <x:is>
          <x:t xml:space="preserve">场景通用组件</x:t>
        </x:is>
      </x:c>
      <x:c r="K252" s="349" t="inlineStr">
        <x:is>
          <x:t xml:space="preserve">程序占位</x:t>
        </x:is>
      </x:c>
      <x:c r="L252" s="349" t="inlineStr">
        <x:is>
          <x:t xml:space="preserve">P1</x:t>
        </x:is>
      </x:c>
      <x:c r="M252" s="349" t="inlineStr">
        <x:is>
          <x:t xml:space="preserve">v001</x:t>
        </x:is>
      </x:c>
      <x:c r="N252" s="349" t="inlineStr">
        <x:is>
          <x:t xml:space="preserve">Godot PackedScene；根=Node3D；碰撞节点=1</x:t>
        </x:is>
      </x:c>
      <x:c r="O252" s="349" t="inlineStr">
        <x:is>
          <x:t xml:space="preserve">assets/art/props/dungeon_3d/prp_room_facility_base_wall_door_side_v001.tscn</x:t>
        </x:is>
      </x:c>
      <x:c r="P252" s="349" t="inlineStr">
        <x:is>
          <x:t xml:space="preserve">assets/art/3D模型资产目录与命名规范.md</x:t>
        </x:is>
      </x:c>
      <x:c r="Q252" s="349" t="inlineStr">
        <x:is>
          <x:t xml:space="preserve">基地设施门墙侧柱;3D;Prefab;场景通用组件;room_facility_base_wall_door_side</x:t>
        </x:is>
      </x:c>
      <x:c r="R252" s="349" t="str">
        <x:f>LOWER(TRIM(C252)&amp;"|"&amp;TRIM(D252)&amp;"|"&amp;TRIM(E252)&amp;"|"&amp;TRIM(F252)&amp;"|"&amp;TRIM(H252)&amp;"|"&amp;TRIM(I252))</x:f>
        <x:v>场景|environment_module_3d|room_facility_base_wall_door_side|root_3d|top3d / local -z 正面|default / prefab</x:v>
      </x:c>
      <x:c r="S252" s="349" t="str">
        <x:f>IF(COUNTIF($R$6:$R$423,R252)&gt;1,"重复","唯一")</x:f>
        <x:v>唯一</x:v>
      </x:c>
      <x:c r="T252" s="349" t="inlineStr">
        <x:is>
          <x:t xml:space="preserve">527a288a721bb8eb3046b67439359ac9a125897543debf07ce3c1450dee01d87</x:t>
        </x:is>
      </x:c>
      <x:c r="U252" s="349" t="inlineStr">
        <x:is>
          <x:t xml:space="preserve">Codex</x:t>
        </x:is>
      </x:c>
      <x:c r="V252" s="348" t="n">
        <x:v>46264</x:v>
      </x:c>
      <x:c r="W252" s="349" t="inlineStr">
        <x:is>
          <x:t xml:space="preserve">项目现有Godot资产</x:t>
        </x:is>
      </x:c>
      <x:c r="X252" s="375" t="inlineStr">
        <x:is>
          <x:t xml:space="preserve">—</x:t>
        </x:is>
      </x:c>
      <x:c r="Y252" s="349" t="inlineStr">
        <x:is>
          <x:t xml:space="preserve"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x:t>
        </x:is>
      </x:c>
    </x:row>
    <x:row r="253">
      <x:c r="A253" s="349" t="inlineStr">
        <x:is>
          <x:t xml:space="preserve">ENV-DUNGEON-FACILITY-WALL-LINTEL</x:t>
        </x:is>
      </x:c>
      <x:c r="B253" s="349" t="inlineStr">
        <x:is>
          <x:t xml:space="preserve">基地设施墙门楣</x:t>
        </x:is>
      </x:c>
      <x:c r="C253" s="349" t="inlineStr">
        <x:is>
          <x:t xml:space="preserve">场景</x:t>
        </x:is>
      </x:c>
      <x:c r="D253" s="349" t="inlineStr">
        <x:is>
          <x:t xml:space="preserve">environment_module_3d</x:t>
        </x:is>
      </x:c>
      <x:c r="E253" s="349" t="inlineStr">
        <x:is>
          <x:t xml:space="preserve">room_facility_base_wall_lintel</x:t>
        </x:is>
      </x:c>
      <x:c r="F253" s="349" t="inlineStr">
        <x:is>
          <x:t xml:space="preserve">root_3d</x:t>
        </x:is>
      </x:c>
      <x:c r="G253" s="349" t="inlineStr">
        <x:is>
          <x:t xml:space="preserve">ENV-DUNGEON-RUNTIME-3D</x:t>
        </x:is>
      </x:c>
      <x:c r="H253" s="349" t="inlineStr">
        <x:is>
          <x:t xml:space="preserve">Top3D / local -Z 正面</x:t>
        </x:is>
      </x:c>
      <x:c r="I253" s="349" t="inlineStr">
        <x:is>
          <x:t xml:space="preserve">default / prefab</x:t>
        </x:is>
      </x:c>
      <x:c r="J253" s="349" t="inlineStr">
        <x:is>
          <x:t xml:space="preserve">场景通用组件</x:t>
        </x:is>
      </x:c>
      <x:c r="K253" s="349" t="inlineStr">
        <x:is>
          <x:t xml:space="preserve">程序占位</x:t>
        </x:is>
      </x:c>
      <x:c r="L253" s="349" t="inlineStr">
        <x:is>
          <x:t xml:space="preserve">P1</x:t>
        </x:is>
      </x:c>
      <x:c r="M253" s="349" t="inlineStr">
        <x:is>
          <x:t xml:space="preserve">v001</x:t>
        </x:is>
      </x:c>
      <x:c r="N253" s="349" t="inlineStr">
        <x:is>
          <x:t xml:space="preserve">Godot PackedScene；根=Node3D；碰撞节点=1</x:t>
        </x:is>
      </x:c>
      <x:c r="O253" s="349" t="inlineStr">
        <x:is>
          <x:t xml:space="preserve">assets/art/props/dungeon_3d/prp_room_facility_base_wall_lintel_v001.tscn</x:t>
        </x:is>
      </x:c>
      <x:c r="P253" s="349" t="inlineStr">
        <x:is>
          <x:t xml:space="preserve">assets/art/3D模型资产目录与命名规范.md</x:t>
        </x:is>
      </x:c>
      <x:c r="Q253" s="349" t="inlineStr">
        <x:is>
          <x:t xml:space="preserve">基地设施墙门楣;3D;Prefab;场景通用组件;room_facility_base_wall_lintel</x:t>
        </x:is>
      </x:c>
      <x:c r="R253" s="349" t="str">
        <x:f>LOWER(TRIM(C253)&amp;"|"&amp;TRIM(D253)&amp;"|"&amp;TRIM(E253)&amp;"|"&amp;TRIM(F253)&amp;"|"&amp;TRIM(H253)&amp;"|"&amp;TRIM(I253))</x:f>
        <x:v>场景|environment_module_3d|room_facility_base_wall_lintel|root_3d|top3d / local -z 正面|default / prefab</x:v>
      </x:c>
      <x:c r="S253" s="349" t="str">
        <x:f>IF(COUNTIF($R$6:$R$423,R253)&gt;1,"重复","唯一")</x:f>
        <x:v>唯一</x:v>
      </x:c>
      <x:c r="T253" s="349" t="inlineStr">
        <x:is>
          <x:t xml:space="preserve">ddf4440db9d2e0e65cd6694a9dc266a26e5efba27d31345fee4be505966286c5</x:t>
        </x:is>
      </x:c>
      <x:c r="U253" s="349" t="inlineStr">
        <x:is>
          <x:t xml:space="preserve">Codex</x:t>
        </x:is>
      </x:c>
      <x:c r="V253" s="348" t="n">
        <x:v>46264</x:v>
      </x:c>
      <x:c r="W253" s="349" t="inlineStr">
        <x:is>
          <x:t xml:space="preserve">项目现有Godot资产</x:t>
        </x:is>
      </x:c>
      <x:c r="X253" s="375" t="inlineStr">
        <x:is>
          <x:t xml:space="preserve">—</x:t>
        </x:is>
      </x:c>
      <x:c r="Y253" s="349" t="inlineStr">
        <x:is>
          <x:t xml:space="preserve"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x:t>
        </x:is>
      </x:c>
    </x:row>
    <x:row r="254">
      <x:c r="A254" s="349" t="inlineStr">
        <x:is>
          <x:t xml:space="preserve">ENV-DUNGEON-FACILITY-WALL</x:t>
        </x:is>
      </x:c>
      <x:c r="B254" s="349" t="inlineStr">
        <x:is>
          <x:t xml:space="preserve">基地设施墙段</x:t>
        </x:is>
      </x:c>
      <x:c r="C254" s="349" t="inlineStr">
        <x:is>
          <x:t xml:space="preserve">场景</x:t>
        </x:is>
      </x:c>
      <x:c r="D254" s="349" t="inlineStr">
        <x:is>
          <x:t xml:space="preserve">environment_module_3d</x:t>
        </x:is>
      </x:c>
      <x:c r="E254" s="349" t="inlineStr">
        <x:is>
          <x:t xml:space="preserve">room_facility_base_wall</x:t>
        </x:is>
      </x:c>
      <x:c r="F254" s="349" t="inlineStr">
        <x:is>
          <x:t xml:space="preserve">root_3d</x:t>
        </x:is>
      </x:c>
      <x:c r="G254" s="349" t="inlineStr">
        <x:is>
          <x:t xml:space="preserve">ENV-DUNGEON-RUNTIME-3D</x:t>
        </x:is>
      </x:c>
      <x:c r="H254" s="349" t="inlineStr">
        <x:is>
          <x:t xml:space="preserve">Top3D / local -Z 正面</x:t>
        </x:is>
      </x:c>
      <x:c r="I254" s="349" t="inlineStr">
        <x:is>
          <x:t xml:space="preserve">default / prefab</x:t>
        </x:is>
      </x:c>
      <x:c r="J254" s="349" t="inlineStr">
        <x:is>
          <x:t xml:space="preserve">场景通用组件</x:t>
        </x:is>
      </x:c>
      <x:c r="K254" s="349" t="inlineStr">
        <x:is>
          <x:t xml:space="preserve">程序占位</x:t>
        </x:is>
      </x:c>
      <x:c r="L254" s="349" t="inlineStr">
        <x:is>
          <x:t xml:space="preserve">P1</x:t>
        </x:is>
      </x:c>
      <x:c r="M254" s="349" t="inlineStr">
        <x:is>
          <x:t xml:space="preserve">v001</x:t>
        </x:is>
      </x:c>
      <x:c r="N254" s="349" t="inlineStr">
        <x:is>
          <x:t xml:space="preserve">Godot PackedScene；根=Node3D；碰撞节点=1</x:t>
        </x:is>
      </x:c>
      <x:c r="O254" s="349" t="inlineStr">
        <x:is>
          <x:t xml:space="preserve">assets/art/props/dungeon_3d/prp_room_facility_base_wall_v001.tscn</x:t>
        </x:is>
      </x:c>
      <x:c r="P254" s="349" t="inlineStr">
        <x:is>
          <x:t xml:space="preserve">assets/art/3D模型资产目录与命名规范.md</x:t>
        </x:is>
      </x:c>
      <x:c r="Q254" s="349" t="inlineStr">
        <x:is>
          <x:t xml:space="preserve">基地设施墙段;3D;Prefab;场景通用组件;room_facility_base_wall</x:t>
        </x:is>
      </x:c>
      <x:c r="R254" s="349" t="str">
        <x:f>LOWER(TRIM(C254)&amp;"|"&amp;TRIM(D254)&amp;"|"&amp;TRIM(E254)&amp;"|"&amp;TRIM(F254)&amp;"|"&amp;TRIM(H254)&amp;"|"&amp;TRIM(I254))</x:f>
        <x:v>场景|environment_module_3d|room_facility_base_wall|root_3d|top3d / local -z 正面|default / prefab</x:v>
      </x:c>
      <x:c r="S254" s="349" t="str">
        <x:f>IF(COUNTIF($R$6:$R$423,R254)&gt;1,"重复","唯一")</x:f>
        <x:v>唯一</x:v>
      </x:c>
      <x:c r="T254" s="349" t="inlineStr">
        <x:is>
          <x:t xml:space="preserve">fd366cefe9f2bb2a052c33631818dfa1c006528562befe74988a3ecd9735ad8a</x:t>
        </x:is>
      </x:c>
      <x:c r="U254" s="349" t="inlineStr">
        <x:is>
          <x:t xml:space="preserve">Codex</x:t>
        </x:is>
      </x:c>
      <x:c r="V254" s="348" t="n">
        <x:v>46264</x:v>
      </x:c>
      <x:c r="W254" s="349" t="inlineStr">
        <x:is>
          <x:t xml:space="preserve">项目现有Godot资产</x:t>
        </x:is>
      </x:c>
      <x:c r="X254" s="375" t="inlineStr">
        <x:is>
          <x:t xml:space="preserve">—</x:t>
        </x:is>
      </x:c>
      <x:c r="Y254" s="349" t="inlineStr">
        <x:is>
          <x:t xml:space="preserve"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x:t>
        </x:is>
      </x:c>
    </x:row>
    <x:row r="255">
      <x:c r="A255" s="349" t="inlineStr">
        <x:is>
          <x:t xml:space="preserve">ENV-DUNGEON-ROOM-FLOOR-INSET</x:t>
        </x:is>
      </x:c>
      <x:c r="B255" s="349" t="inlineStr">
        <x:is>
          <x:t xml:space="preserve">房间地板内嵌块</x:t>
        </x:is>
      </x:c>
      <x:c r="C255" s="349" t="inlineStr">
        <x:is>
          <x:t xml:space="preserve">场景</x:t>
        </x:is>
      </x:c>
      <x:c r="D255" s="349" t="inlineStr">
        <x:is>
          <x:t xml:space="preserve">environment_module_3d</x:t>
        </x:is>
      </x:c>
      <x:c r="E255" s="349" t="inlineStr">
        <x:is>
          <x:t xml:space="preserve">room_floor_inset</x:t>
        </x:is>
      </x:c>
      <x:c r="F255" s="349" t="inlineStr">
        <x:is>
          <x:t xml:space="preserve">root_3d</x:t>
        </x:is>
      </x:c>
      <x:c r="G255" s="349" t="inlineStr">
        <x:is>
          <x:t xml:space="preserve">ENV-DUNGEON-RUNTIME-3D</x:t>
        </x:is>
      </x:c>
      <x:c r="H255" s="349" t="inlineStr">
        <x:is>
          <x:t xml:space="preserve">Top3D / local -Z 正面</x:t>
        </x:is>
      </x:c>
      <x:c r="I255" s="349" t="inlineStr">
        <x:is>
          <x:t xml:space="preserve">default / prefab</x:t>
        </x:is>
      </x:c>
      <x:c r="J255" s="349" t="inlineStr">
        <x:is>
          <x:t xml:space="preserve">场景通用组件</x:t>
        </x:is>
      </x:c>
      <x:c r="K255" s="349" t="inlineStr">
        <x:is>
          <x:t xml:space="preserve">程序占位</x:t>
        </x:is>
      </x:c>
      <x:c r="L255" s="349" t="inlineStr">
        <x:is>
          <x:t xml:space="preserve">P1</x:t>
        </x:is>
      </x:c>
      <x:c r="M255" s="349" t="inlineStr">
        <x:is>
          <x:t xml:space="preserve">v001</x:t>
        </x:is>
      </x:c>
      <x:c r="N255" s="349" t="inlineStr">
        <x:is>
          <x:t xml:space="preserve">Godot PackedScene；根=Node3D；碰撞节点=0</x:t>
        </x:is>
      </x:c>
      <x:c r="O255" s="349" t="inlineStr">
        <x:is>
          <x:t xml:space="preserve">assets/art/props/dungeon_3d/prp_room_floor_inset_v001.tscn</x:t>
        </x:is>
      </x:c>
      <x:c r="P255" s="349" t="inlineStr">
        <x:is>
          <x:t xml:space="preserve">assets/art/3D模型资产目录与命名规范.md</x:t>
        </x:is>
      </x:c>
      <x:c r="Q255" s="349" t="inlineStr">
        <x:is>
          <x:t xml:space="preserve">房间地板内嵌块;3D;Prefab;场景通用组件;room_floor_inset</x:t>
        </x:is>
      </x:c>
      <x:c r="R255" s="349" t="str">
        <x:f>LOWER(TRIM(C255)&amp;"|"&amp;TRIM(D255)&amp;"|"&amp;TRIM(E255)&amp;"|"&amp;TRIM(F255)&amp;"|"&amp;TRIM(H255)&amp;"|"&amp;TRIM(I255))</x:f>
        <x:v>场景|environment_module_3d|room_floor_inset|root_3d|top3d / local -z 正面|default / prefab</x:v>
      </x:c>
      <x:c r="S255" s="349" t="str">
        <x:f>IF(COUNTIF($R$6:$R$423,R255)&gt;1,"重复","唯一")</x:f>
        <x:v>唯一</x:v>
      </x:c>
      <x:c r="T255" s="349" t="inlineStr">
        <x:is>
          <x:t xml:space="preserve">fc300c9a29041123911466e1a28650365d2d8f30297b1b14dc3f0474df589019</x:t>
        </x:is>
      </x:c>
      <x:c r="U255" s="349" t="inlineStr">
        <x:is>
          <x:t xml:space="preserve">Codex</x:t>
        </x:is>
      </x:c>
      <x:c r="V255" s="348" t="n">
        <x:v>46264</x:v>
      </x:c>
      <x:c r="W255" s="349" t="inlineStr">
        <x:is>
          <x:t xml:space="preserve">项目现有Godot资产</x:t>
        </x:is>
      </x:c>
      <x:c r="X255" s="375" t="inlineStr">
        <x:is>
          <x:t xml:space="preserve">—</x:t>
        </x:is>
      </x:c>
      <x:c r="Y255" s="349" t="inlineStr">
        <x:is>
          <x:t xml:space="preserve"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x:t>
        </x:is>
      </x:c>
    </x:row>
    <x:row r="256">
      <x:c r="A256" s="349" t="inlineStr">
        <x:is>
          <x:t xml:space="preserve">ENV-DUNGEON-ROOM-FLOOR-PARTITION-H</x:t>
        </x:is>
      </x:c>
      <x:c r="B256" s="349" t="inlineStr">
        <x:is>
          <x:t xml:space="preserve">房间地板水平分隔</x:t>
        </x:is>
      </x:c>
      <x:c r="C256" s="349" t="inlineStr">
        <x:is>
          <x:t xml:space="preserve">场景</x:t>
        </x:is>
      </x:c>
      <x:c r="D256" s="349" t="inlineStr">
        <x:is>
          <x:t xml:space="preserve">environment_module_3d</x:t>
        </x:is>
      </x:c>
      <x:c r="E256" s="349" t="inlineStr">
        <x:is>
          <x:t xml:space="preserve">room_floor_partition_horizontal</x:t>
        </x:is>
      </x:c>
      <x:c r="F256" s="349" t="inlineStr">
        <x:is>
          <x:t xml:space="preserve">root_3d</x:t>
        </x:is>
      </x:c>
      <x:c r="G256" s="349" t="inlineStr">
        <x:is>
          <x:t xml:space="preserve">ENV-DUNGEON-RUNTIME-3D</x:t>
        </x:is>
      </x:c>
      <x:c r="H256" s="349" t="inlineStr">
        <x:is>
          <x:t xml:space="preserve">Top3D / local -Z 正面</x:t>
        </x:is>
      </x:c>
      <x:c r="I256" s="349" t="inlineStr">
        <x:is>
          <x:t xml:space="preserve">default / prefab</x:t>
        </x:is>
      </x:c>
      <x:c r="J256" s="349" t="inlineStr">
        <x:is>
          <x:t xml:space="preserve">场景通用组件</x:t>
        </x:is>
      </x:c>
      <x:c r="K256" s="349" t="inlineStr">
        <x:is>
          <x:t xml:space="preserve">程序占位</x:t>
        </x:is>
      </x:c>
      <x:c r="L256" s="349" t="inlineStr">
        <x:is>
          <x:t xml:space="preserve">P1</x:t>
        </x:is>
      </x:c>
      <x:c r="M256" s="349" t="inlineStr">
        <x:is>
          <x:t xml:space="preserve">v001</x:t>
        </x:is>
      </x:c>
      <x:c r="N256" s="349" t="inlineStr">
        <x:is>
          <x:t xml:space="preserve">Godot PackedScene；根=Node3D；碰撞节点=1</x:t>
        </x:is>
      </x:c>
      <x:c r="O256" s="349" t="inlineStr">
        <x:is>
          <x:t xml:space="preserve">assets/art/props/dungeon_3d/prp_room_floor_partition_horizontal_v001.tscn</x:t>
        </x:is>
      </x:c>
      <x:c r="P256" s="349" t="inlineStr">
        <x:is>
          <x:t xml:space="preserve">assets/art/3D模型资产目录与命名规范.md</x:t>
        </x:is>
      </x:c>
      <x:c r="Q256" s="349" t="inlineStr">
        <x:is>
          <x:t xml:space="preserve">房间地板水平分隔;3D;Prefab;场景通用组件;room_floor_partition_horizontal</x:t>
        </x:is>
      </x:c>
      <x:c r="R256" s="349" t="str">
        <x:f>LOWER(TRIM(C256)&amp;"|"&amp;TRIM(D256)&amp;"|"&amp;TRIM(E256)&amp;"|"&amp;TRIM(F256)&amp;"|"&amp;TRIM(H256)&amp;"|"&amp;TRIM(I256))</x:f>
        <x:v>场景|environment_module_3d|room_floor_partition_horizontal|root_3d|top3d / local -z 正面|default / prefab</x:v>
      </x:c>
      <x:c r="S256" s="349" t="str">
        <x:f>IF(COUNTIF($R$6:$R$423,R256)&gt;1,"重复","唯一")</x:f>
        <x:v>唯一</x:v>
      </x:c>
      <x:c r="T256" s="349" t="inlineStr">
        <x:is>
          <x:t xml:space="preserve">71b79d714f6bb348f1d36e891799706e5d0f87b82ec0203563477e1cac20364d</x:t>
        </x:is>
      </x:c>
      <x:c r="U256" s="349" t="inlineStr">
        <x:is>
          <x:t xml:space="preserve">Codex</x:t>
        </x:is>
      </x:c>
      <x:c r="V256" s="348" t="n">
        <x:v>46264</x:v>
      </x:c>
      <x:c r="W256" s="349" t="inlineStr">
        <x:is>
          <x:t xml:space="preserve">项目现有Godot资产</x:t>
        </x:is>
      </x:c>
      <x:c r="X256" s="375" t="inlineStr">
        <x:is>
          <x:t xml:space="preserve">—</x:t>
        </x:is>
      </x:c>
      <x:c r="Y256" s="349" t="inlineStr">
        <x:is>
          <x:t xml:space="preserve"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x:t>
        </x:is>
      </x:c>
    </x:row>
    <x:row r="257">
      <x:c r="A257" s="349" t="inlineStr">
        <x:is>
          <x:t xml:space="preserve">ENV-DUNGEON-ROOM-FLOOR-PARTITION-V</x:t>
        </x:is>
      </x:c>
      <x:c r="B257" s="349" t="inlineStr">
        <x:is>
          <x:t xml:space="preserve">房间地板垂直分隔</x:t>
        </x:is>
      </x:c>
      <x:c r="C257" s="349" t="inlineStr">
        <x:is>
          <x:t xml:space="preserve">场景</x:t>
        </x:is>
      </x:c>
      <x:c r="D257" s="349" t="inlineStr">
        <x:is>
          <x:t xml:space="preserve">environment_module_3d</x:t>
        </x:is>
      </x:c>
      <x:c r="E257" s="349" t="inlineStr">
        <x:is>
          <x:t xml:space="preserve">room_floor_partition_vertical</x:t>
        </x:is>
      </x:c>
      <x:c r="F257" s="349" t="inlineStr">
        <x:is>
          <x:t xml:space="preserve">root_3d</x:t>
        </x:is>
      </x:c>
      <x:c r="G257" s="349" t="inlineStr">
        <x:is>
          <x:t xml:space="preserve">ENV-DUNGEON-RUNTIME-3D</x:t>
        </x:is>
      </x:c>
      <x:c r="H257" s="349" t="inlineStr">
        <x:is>
          <x:t xml:space="preserve">Top3D / local -Z 正面</x:t>
        </x:is>
      </x:c>
      <x:c r="I257" s="349" t="inlineStr">
        <x:is>
          <x:t xml:space="preserve">default / prefab</x:t>
        </x:is>
      </x:c>
      <x:c r="J257" s="349" t="inlineStr">
        <x:is>
          <x:t xml:space="preserve">场景通用组件</x:t>
        </x:is>
      </x:c>
      <x:c r="K257" s="349" t="inlineStr">
        <x:is>
          <x:t xml:space="preserve">程序占位</x:t>
        </x:is>
      </x:c>
      <x:c r="L257" s="349" t="inlineStr">
        <x:is>
          <x:t xml:space="preserve">P1</x:t>
        </x:is>
      </x:c>
      <x:c r="M257" s="349" t="inlineStr">
        <x:is>
          <x:t xml:space="preserve">v001</x:t>
        </x:is>
      </x:c>
      <x:c r="N257" s="349" t="inlineStr">
        <x:is>
          <x:t xml:space="preserve">Godot PackedScene；根=Node3D；碰撞节点=1</x:t>
        </x:is>
      </x:c>
      <x:c r="O257" s="349" t="inlineStr">
        <x:is>
          <x:t xml:space="preserve">assets/art/props/dungeon_3d/prp_room_floor_partition_vertical_v001.tscn</x:t>
        </x:is>
      </x:c>
      <x:c r="P257" s="349" t="inlineStr">
        <x:is>
          <x:t xml:space="preserve">assets/art/3D模型资产目录与命名规范.md</x:t>
        </x:is>
      </x:c>
      <x:c r="Q257" s="349" t="inlineStr">
        <x:is>
          <x:t xml:space="preserve">房间地板垂直分隔;3D;Prefab;场景通用组件;room_floor_partition_vertical</x:t>
        </x:is>
      </x:c>
      <x:c r="R257" s="349" t="str">
        <x:f>LOWER(TRIM(C257)&amp;"|"&amp;TRIM(D257)&amp;"|"&amp;TRIM(E257)&amp;"|"&amp;TRIM(F257)&amp;"|"&amp;TRIM(H257)&amp;"|"&amp;TRIM(I257))</x:f>
        <x:v>场景|environment_module_3d|room_floor_partition_vertical|root_3d|top3d / local -z 正面|default / prefab</x:v>
      </x:c>
      <x:c r="S257" s="349" t="str">
        <x:f>IF(COUNTIF($R$6:$R$423,R257)&gt;1,"重复","唯一")</x:f>
        <x:v>唯一</x:v>
      </x:c>
      <x:c r="T257" s="349" t="inlineStr">
        <x:is>
          <x:t xml:space="preserve">cf337709d3a6b489b6be06a15056b5cf03c2bfa50402cf63503233d67faa7caf</x:t>
        </x:is>
      </x:c>
      <x:c r="U257" s="349" t="inlineStr">
        <x:is>
          <x:t xml:space="preserve">Codex</x:t>
        </x:is>
      </x:c>
      <x:c r="V257" s="348" t="n">
        <x:v>46264</x:v>
      </x:c>
      <x:c r="W257" s="349" t="inlineStr">
        <x:is>
          <x:t xml:space="preserve">项目现有Godot资产</x:t>
        </x:is>
      </x:c>
      <x:c r="X257" s="375" t="inlineStr">
        <x:is>
          <x:t xml:space="preserve">—</x:t>
        </x:is>
      </x:c>
      <x:c r="Y257" s="349" t="inlineStr">
        <x:is>
          <x:t xml:space="preserve"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x:t>
        </x:is>
      </x:c>
    </x:row>
    <x:row r="258">
      <x:c r="A258" s="349" t="inlineStr">
        <x:is>
          <x:t xml:space="preserve">ENV-DUNGEON-ROOM-FLOOR-SEAM</x:t>
        </x:is>
      </x:c>
      <x:c r="B258" s="349" t="inlineStr">
        <x:is>
          <x:t xml:space="preserve">房间地板接缝条</x:t>
        </x:is>
      </x:c>
      <x:c r="C258" s="349" t="inlineStr">
        <x:is>
          <x:t xml:space="preserve">场景</x:t>
        </x:is>
      </x:c>
      <x:c r="D258" s="349" t="inlineStr">
        <x:is>
          <x:t xml:space="preserve">environment_module_3d</x:t>
        </x:is>
      </x:c>
      <x:c r="E258" s="349" t="inlineStr">
        <x:is>
          <x:t xml:space="preserve">room_floor_seam_strip</x:t>
        </x:is>
      </x:c>
      <x:c r="F258" s="349" t="inlineStr">
        <x:is>
          <x:t xml:space="preserve">root_3d</x:t>
        </x:is>
      </x:c>
      <x:c r="G258" s="349" t="inlineStr">
        <x:is>
          <x:t xml:space="preserve">ENV-DUNGEON-RUNTIME-3D</x:t>
        </x:is>
      </x:c>
      <x:c r="H258" s="349" t="inlineStr">
        <x:is>
          <x:t xml:space="preserve">Top3D / local -Z 正面</x:t>
        </x:is>
      </x:c>
      <x:c r="I258" s="349" t="inlineStr">
        <x:is>
          <x:t xml:space="preserve">default / prefab</x:t>
        </x:is>
      </x:c>
      <x:c r="J258" s="349" t="inlineStr">
        <x:is>
          <x:t xml:space="preserve">场景通用组件</x:t>
        </x:is>
      </x:c>
      <x:c r="K258" s="349" t="inlineStr">
        <x:is>
          <x:t xml:space="preserve">程序占位</x:t>
        </x:is>
      </x:c>
      <x:c r="L258" s="349" t="inlineStr">
        <x:is>
          <x:t xml:space="preserve">P1</x:t>
        </x:is>
      </x:c>
      <x:c r="M258" s="349" t="inlineStr">
        <x:is>
          <x:t xml:space="preserve">v001</x:t>
        </x:is>
      </x:c>
      <x:c r="N258" s="349" t="inlineStr">
        <x:is>
          <x:t xml:space="preserve">Godot PackedScene；根=Node3D；碰撞节点=0</x:t>
        </x:is>
      </x:c>
      <x:c r="O258" s="349" t="inlineStr">
        <x:is>
          <x:t xml:space="preserve">assets/art/props/dungeon_3d/prp_room_floor_seam_strip_v001.tscn</x:t>
        </x:is>
      </x:c>
      <x:c r="P258" s="349" t="inlineStr">
        <x:is>
          <x:t xml:space="preserve">assets/art/3D模型资产目录与命名规范.md</x:t>
        </x:is>
      </x:c>
      <x:c r="Q258" s="349" t="inlineStr">
        <x:is>
          <x:t xml:space="preserve">房间地板接缝条;3D;Prefab;场景通用组件;room_floor_seam_strip</x:t>
        </x:is>
      </x:c>
      <x:c r="R258" s="349" t="str">
        <x:f>LOWER(TRIM(C258)&amp;"|"&amp;TRIM(D258)&amp;"|"&amp;TRIM(E258)&amp;"|"&amp;TRIM(F258)&amp;"|"&amp;TRIM(H258)&amp;"|"&amp;TRIM(I258))</x:f>
        <x:v>场景|environment_module_3d|room_floor_seam_strip|root_3d|top3d / local -z 正面|default / prefab</x:v>
      </x:c>
      <x:c r="S258" s="349" t="str">
        <x:f>IF(COUNTIF($R$6:$R$423,R258)&gt;1,"重复","唯一")</x:f>
        <x:v>唯一</x:v>
      </x:c>
      <x:c r="T258" s="349" t="inlineStr">
        <x:is>
          <x:t xml:space="preserve">93df5222c1f8d5a50f381f4915ab10a6ab7981e29f022ce1fcdc6c6645b5c873</x:t>
        </x:is>
      </x:c>
      <x:c r="U258" s="349" t="inlineStr">
        <x:is>
          <x:t xml:space="preserve">Codex</x:t>
        </x:is>
      </x:c>
      <x:c r="V258" s="348" t="n">
        <x:v>46264</x:v>
      </x:c>
      <x:c r="W258" s="349" t="inlineStr">
        <x:is>
          <x:t xml:space="preserve">项目现有Godot资产</x:t>
        </x:is>
      </x:c>
      <x:c r="X258" s="375" t="inlineStr">
        <x:is>
          <x:t xml:space="preserve">—</x:t>
        </x:is>
      </x:c>
      <x:c r="Y258" s="349" t="inlineStr">
        <x:is>
          <x:t xml:space="preserve"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x:t>
        </x:is>
      </x:c>
    </x:row>
    <x:row r="259">
      <x:c r="A259" s="349" t="inlineStr">
        <x:is>
          <x:t xml:space="preserve">ENV-DUNGEON-ROOM-FLOOR</x:t>
        </x:is>
      </x:c>
      <x:c r="B259" s="349" t="inlineStr">
        <x:is>
          <x:t xml:space="preserve">地牢房间地板</x:t>
        </x:is>
      </x:c>
      <x:c r="C259" s="349" t="inlineStr">
        <x:is>
          <x:t xml:space="preserve">场景</x:t>
        </x:is>
      </x:c>
      <x:c r="D259" s="349" t="inlineStr">
        <x:is>
          <x:t xml:space="preserve">environment_module_3d</x:t>
        </x:is>
      </x:c>
      <x:c r="E259" s="349" t="inlineStr">
        <x:is>
          <x:t xml:space="preserve">room_floor</x:t>
        </x:is>
      </x:c>
      <x:c r="F259" s="349" t="inlineStr">
        <x:is>
          <x:t xml:space="preserve">root_3d</x:t>
        </x:is>
      </x:c>
      <x:c r="G259" s="349" t="inlineStr">
        <x:is>
          <x:t xml:space="preserve">ENV-DUNGEON-RUNTIME-3D</x:t>
        </x:is>
      </x:c>
      <x:c r="H259" s="349" t="inlineStr">
        <x:is>
          <x:t xml:space="preserve">Top3D / local -Z 正面</x:t>
        </x:is>
      </x:c>
      <x:c r="I259" s="349" t="inlineStr">
        <x:is>
          <x:t xml:space="preserve">default / prefab</x:t>
        </x:is>
      </x:c>
      <x:c r="J259" s="349" t="inlineStr">
        <x:is>
          <x:t xml:space="preserve">场景通用组件</x:t>
        </x:is>
      </x:c>
      <x:c r="K259" s="349" t="inlineStr">
        <x:is>
          <x:t xml:space="preserve">程序占位</x:t>
        </x:is>
      </x:c>
      <x:c r="L259" s="349" t="inlineStr">
        <x:is>
          <x:t xml:space="preserve">P1</x:t>
        </x:is>
      </x:c>
      <x:c r="M259" s="349" t="inlineStr">
        <x:is>
          <x:t xml:space="preserve">v001</x:t>
        </x:is>
      </x:c>
      <x:c r="N259" s="349" t="inlineStr">
        <x:is>
          <x:t xml:space="preserve">Godot PackedScene；根=Node3D；碰撞节点=1</x:t>
        </x:is>
      </x:c>
      <x:c r="O259" s="349" t="inlineStr">
        <x:is>
          <x:t xml:space="preserve">assets/art/props/dungeon_3d/prp_room_floor_v001.tscn</x:t>
        </x:is>
      </x:c>
      <x:c r="P259" s="349" t="inlineStr">
        <x:is>
          <x:t xml:space="preserve">assets/art/3D模型资产目录与命名规范.md</x:t>
        </x:is>
      </x:c>
      <x:c r="Q259" s="349" t="inlineStr">
        <x:is>
          <x:t xml:space="preserve">地牢房间地板;3D;Prefab;场景通用组件;room_floor</x:t>
        </x:is>
      </x:c>
      <x:c r="R259" s="349" t="str">
        <x:f>LOWER(TRIM(C259)&amp;"|"&amp;TRIM(D259)&amp;"|"&amp;TRIM(E259)&amp;"|"&amp;TRIM(F259)&amp;"|"&amp;TRIM(H259)&amp;"|"&amp;TRIM(I259))</x:f>
        <x:v>场景|environment_module_3d|room_floor|root_3d|top3d / local -z 正面|default / prefab</x:v>
      </x:c>
      <x:c r="S259" s="349" t="str">
        <x:f>IF(COUNTIF($R$6:$R$423,R259)&gt;1,"重复","唯一")</x:f>
        <x:v>唯一</x:v>
      </x:c>
      <x:c r="T259" s="349" t="inlineStr">
        <x:is>
          <x:t xml:space="preserve">98ac22cd5405149c41075f5d4da042bacfe5ec0b8af06f229d2059c85cccba4c</x:t>
        </x:is>
      </x:c>
      <x:c r="U259" s="349" t="inlineStr">
        <x:is>
          <x:t xml:space="preserve">Codex</x:t>
        </x:is>
      </x:c>
      <x:c r="V259" s="348" t="n">
        <x:v>46264</x:v>
      </x:c>
      <x:c r="W259" s="349" t="inlineStr">
        <x:is>
          <x:t xml:space="preserve">项目现有Godot资产</x:t>
        </x:is>
      </x:c>
      <x:c r="X259" s="375" t="inlineStr">
        <x:is>
          <x:t xml:space="preserve">—</x:t>
        </x:is>
      </x:c>
      <x:c r="Y259" s="349" t="inlineStr">
        <x:is>
          <x:t xml:space="preserve"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x:t>
        </x:is>
      </x:c>
    </x:row>
    <x:row r="260">
      <x:c r="A260" s="349" t="inlineStr">
        <x:is>
          <x:t xml:space="preserve">ENV-TOWER-ROOFTOP-DESCENT-MARKER</x:t>
        </x:is>
      </x:c>
      <x:c r="B260" s="349" t="inlineStr">
        <x:is>
          <x:t xml:space="preserve">楼顶下降入口标记</x:t>
        </x:is>
      </x:c>
      <x:c r="C260" s="349" t="inlineStr">
        <x:is>
          <x:t xml:space="preserve">场景</x:t>
        </x:is>
      </x:c>
      <x:c r="D260" s="349" t="inlineStr">
        <x:is>
          <x:t xml:space="preserve">environment_module_3d</x:t>
        </x:is>
      </x:c>
      <x:c r="E260" s="349" t="inlineStr">
        <x:is>
          <x:t xml:space="preserve">room_rooftop_descent_marker</x:t>
        </x:is>
      </x:c>
      <x:c r="F260" s="349" t="inlineStr">
        <x:is>
          <x:t xml:space="preserve">root_3d</x:t>
        </x:is>
      </x:c>
      <x:c r="G260" s="349" t="inlineStr">
        <x:is>
          <x:t xml:space="preserve">ENV-TOWER-DESCENT-KIT-3D</x:t>
        </x:is>
      </x:c>
      <x:c r="H260" s="349" t="inlineStr">
        <x:is>
          <x:t xml:space="preserve">Top3D / local -Z 正面</x:t>
        </x:is>
      </x:c>
      <x:c r="I260" s="349" t="inlineStr">
        <x:is>
          <x:t xml:space="preserve">default / prefab</x:t>
        </x:is>
      </x:c>
      <x:c r="J260" s="349" t="inlineStr">
        <x:is>
          <x:t xml:space="preserve">场景通用组件</x:t>
        </x:is>
      </x:c>
      <x:c r="K260" s="349" t="inlineStr">
        <x:is>
          <x:t xml:space="preserve">程序占位</x:t>
        </x:is>
      </x:c>
      <x:c r="L260" s="349" t="inlineStr">
        <x:is>
          <x:t xml:space="preserve">P1</x:t>
        </x:is>
      </x:c>
      <x:c r="M260" s="349" t="inlineStr">
        <x:is>
          <x:t xml:space="preserve">v001</x:t>
        </x:is>
      </x:c>
      <x:c r="N260" s="349" t="inlineStr">
        <x:is>
          <x:t xml:space="preserve">Godot PackedScene；根=Node3D；碰撞节点=0</x:t>
        </x:is>
      </x:c>
      <x:c r="O260" s="349" t="inlineStr">
        <x:is>
          <x:t xml:space="preserve">assets/art/props/dungeon_3d/prp_room_rooftop_descent_marker_v001.tscn</x:t>
        </x:is>
      </x:c>
      <x:c r="P260" s="349" t="inlineStr">
        <x:is>
          <x:t xml:space="preserve">assets/art/3D模型资产目录与命名规范.md</x:t>
        </x:is>
      </x:c>
      <x:c r="Q260" s="349" t="inlineStr">
        <x:is>
          <x:t xml:space="preserve">楼顶下降入口标记;3D;Prefab;场景通用组件;room_rooftop_descent_marker</x:t>
        </x:is>
      </x:c>
      <x:c r="R260" s="349" t="str">
        <x:f>LOWER(TRIM(C260)&amp;"|"&amp;TRIM(D260)&amp;"|"&amp;TRIM(E260)&amp;"|"&amp;TRIM(F260)&amp;"|"&amp;TRIM(H260)&amp;"|"&amp;TRIM(I260))</x:f>
        <x:v>场景|environment_module_3d|room_rooftop_descent_marker|root_3d|top3d / local -z 正面|default / prefab</x:v>
      </x:c>
      <x:c r="S260" s="349" t="str">
        <x:f>IF(COUNTIF($R$6:$R$423,R260)&gt;1,"重复","唯一")</x:f>
        <x:v>唯一</x:v>
      </x:c>
      <x:c r="T260" s="349" t="inlineStr">
        <x:is>
          <x:t xml:space="preserve">1f0136508ef40eec0684ad986839d8454a6d8a2d468b52c445fee038450379ad</x:t>
        </x:is>
      </x:c>
      <x:c r="U260" s="349" t="inlineStr">
        <x:is>
          <x:t xml:space="preserve">Codex</x:t>
        </x:is>
      </x:c>
      <x:c r="V260" s="348" t="n">
        <x:v>46264</x:v>
      </x:c>
      <x:c r="W260" s="349" t="inlineStr">
        <x:is>
          <x:t xml:space="preserve">项目现有Godot资产</x:t>
        </x:is>
      </x:c>
      <x:c r="X260" s="375" t="inlineStr">
        <x:is>
          <x:t xml:space="preserve">—</x:t>
        </x:is>
      </x:c>
      <x:c r="Y260" s="349" t="inlineStr">
        <x:is>
          <x:t xml:space="preserve"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x:t>
        </x:is>
      </x:c>
    </x:row>
    <x:row r="261">
      <x:c r="A261" s="349" t="inlineStr">
        <x:is>
          <x:t xml:space="preserve">ENV-TOWER-ROOFTOP-FACADE-BAND</x:t>
        </x:is>
      </x:c>
      <x:c r="B261" s="349" t="inlineStr">
        <x:is>
          <x:t xml:space="preserve">楼顶外立面饰带</x:t>
        </x:is>
      </x:c>
      <x:c r="C261" s="349" t="inlineStr">
        <x:is>
          <x:t xml:space="preserve">场景</x:t>
        </x:is>
      </x:c>
      <x:c r="D261" s="349" t="inlineStr">
        <x:is>
          <x:t xml:space="preserve">environment_module_3d</x:t>
        </x:is>
      </x:c>
      <x:c r="E261" s="349" t="inlineStr">
        <x:is>
          <x:t xml:space="preserve">room_rooftop_facade_band</x:t>
        </x:is>
      </x:c>
      <x:c r="F261" s="349" t="inlineStr">
        <x:is>
          <x:t xml:space="preserve">root_3d</x:t>
        </x:is>
      </x:c>
      <x:c r="G261" s="349" t="inlineStr">
        <x:is>
          <x:t xml:space="preserve">ENV-TOWER-DESCENT-KIT-3D</x:t>
        </x:is>
      </x:c>
      <x:c r="H261" s="349" t="inlineStr">
        <x:is>
          <x:t xml:space="preserve">Top3D / local -Z 正面</x:t>
        </x:is>
      </x:c>
      <x:c r="I261" s="349" t="inlineStr">
        <x:is>
          <x:t xml:space="preserve">default / prefab</x:t>
        </x:is>
      </x:c>
      <x:c r="J261" s="349" t="inlineStr">
        <x:is>
          <x:t xml:space="preserve">场景通用组件</x:t>
        </x:is>
      </x:c>
      <x:c r="K261" s="349" t="inlineStr">
        <x:is>
          <x:t xml:space="preserve">程序占位</x:t>
        </x:is>
      </x:c>
      <x:c r="L261" s="349" t="inlineStr">
        <x:is>
          <x:t xml:space="preserve">P1</x:t>
        </x:is>
      </x:c>
      <x:c r="M261" s="349" t="inlineStr">
        <x:is>
          <x:t xml:space="preserve">v001</x:t>
        </x:is>
      </x:c>
      <x:c r="N261" s="349" t="inlineStr">
        <x:is>
          <x:t xml:space="preserve">Godot PackedScene；根=Node3D；碰撞节点=0</x:t>
        </x:is>
      </x:c>
      <x:c r="O261" s="349" t="inlineStr">
        <x:is>
          <x:t xml:space="preserve">assets/art/props/dungeon_3d/prp_room_rooftop_facade_band_v001.tscn</x:t>
        </x:is>
      </x:c>
      <x:c r="P261" s="349" t="inlineStr">
        <x:is>
          <x:t xml:space="preserve">assets/art/3D模型资产目录与命名规范.md</x:t>
        </x:is>
      </x:c>
      <x:c r="Q261" s="349" t="inlineStr">
        <x:is>
          <x:t xml:space="preserve">楼顶外立面饰带;3D;Prefab;场景通用组件;room_rooftop_facade_band</x:t>
        </x:is>
      </x:c>
      <x:c r="R261" s="349" t="str">
        <x:f>LOWER(TRIM(C261)&amp;"|"&amp;TRIM(D261)&amp;"|"&amp;TRIM(E261)&amp;"|"&amp;TRIM(F261)&amp;"|"&amp;TRIM(H261)&amp;"|"&amp;TRIM(I261))</x:f>
        <x:v>场景|environment_module_3d|room_rooftop_facade_band|root_3d|top3d / local -z 正面|default / prefab</x:v>
      </x:c>
      <x:c r="S261" s="349" t="str">
        <x:f>IF(COUNTIF($R$6:$R$423,R261)&gt;1,"重复","唯一")</x:f>
        <x:v>唯一</x:v>
      </x:c>
      <x:c r="T261" s="349" t="inlineStr">
        <x:is>
          <x:t xml:space="preserve">8a6870769e1e83dbf5c6afa9235e3eef5184a5ac3aa12509411a84afae9c52de</x:t>
        </x:is>
      </x:c>
      <x:c r="U261" s="349" t="inlineStr">
        <x:is>
          <x:t xml:space="preserve">Codex</x:t>
        </x:is>
      </x:c>
      <x:c r="V261" s="348" t="n">
        <x:v>46264</x:v>
      </x:c>
      <x:c r="W261" s="349" t="inlineStr">
        <x:is>
          <x:t xml:space="preserve">项目现有Godot资产</x:t>
        </x:is>
      </x:c>
      <x:c r="X261" s="375" t="inlineStr">
        <x:is>
          <x:t xml:space="preserve">—</x:t>
        </x:is>
      </x:c>
      <x:c r="Y261" s="349" t="inlineStr">
        <x:is>
          <x:t xml:space="preserve"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x:t>
        </x:is>
      </x:c>
    </x:row>
    <x:row r="262">
      <x:c r="A262" s="349" t="inlineStr">
        <x:is>
          <x:t xml:space="preserve">ENV-TOWER-ROOFTOP-FACADE</x:t>
        </x:is>
      </x:c>
      <x:c r="B262" s="349" t="inlineStr">
        <x:is>
          <x:t xml:space="preserve">楼顶外立面</x:t>
        </x:is>
      </x:c>
      <x:c r="C262" s="349" t="inlineStr">
        <x:is>
          <x:t xml:space="preserve">场景</x:t>
        </x:is>
      </x:c>
      <x:c r="D262" s="349" t="inlineStr">
        <x:is>
          <x:t xml:space="preserve">environment_module_3d</x:t>
        </x:is>
      </x:c>
      <x:c r="E262" s="349" t="inlineStr">
        <x:is>
          <x:t xml:space="preserve">room_rooftop_facade</x:t>
        </x:is>
      </x:c>
      <x:c r="F262" s="349" t="inlineStr">
        <x:is>
          <x:t xml:space="preserve">root_3d</x:t>
        </x:is>
      </x:c>
      <x:c r="G262" s="349" t="inlineStr">
        <x:is>
          <x:t xml:space="preserve">ENV-TOWER-DESCENT-KIT-3D</x:t>
        </x:is>
      </x:c>
      <x:c r="H262" s="349" t="inlineStr">
        <x:is>
          <x:t xml:space="preserve">Top3D / local -Z 正面</x:t>
        </x:is>
      </x:c>
      <x:c r="I262" s="349" t="inlineStr">
        <x:is>
          <x:t xml:space="preserve">default / prefab</x:t>
        </x:is>
      </x:c>
      <x:c r="J262" s="349" t="inlineStr">
        <x:is>
          <x:t xml:space="preserve">场景通用组件</x:t>
        </x:is>
      </x:c>
      <x:c r="K262" s="349" t="inlineStr">
        <x:is>
          <x:t xml:space="preserve">程序占位</x:t>
        </x:is>
      </x:c>
      <x:c r="L262" s="349" t="inlineStr">
        <x:is>
          <x:t xml:space="preserve">P1</x:t>
        </x:is>
      </x:c>
      <x:c r="M262" s="349" t="inlineStr">
        <x:is>
          <x:t xml:space="preserve">v001</x:t>
        </x:is>
      </x:c>
      <x:c r="N262" s="349" t="inlineStr">
        <x:is>
          <x:t xml:space="preserve">Godot PackedScene；根=Node3D；碰撞节点=0</x:t>
        </x:is>
      </x:c>
      <x:c r="O262" s="349" t="inlineStr">
        <x:is>
          <x:t xml:space="preserve">assets/art/props/dungeon_3d/prp_room_rooftop_facade_v001.tscn</x:t>
        </x:is>
      </x:c>
      <x:c r="P262" s="349" t="inlineStr">
        <x:is>
          <x:t xml:space="preserve">assets/art/3D模型资产目录与命名规范.md</x:t>
        </x:is>
      </x:c>
      <x:c r="Q262" s="349" t="inlineStr">
        <x:is>
          <x:t xml:space="preserve">楼顶外立面;3D;Prefab;场景通用组件;room_rooftop_facade</x:t>
        </x:is>
      </x:c>
      <x:c r="R262" s="349" t="str">
        <x:f>LOWER(TRIM(C262)&amp;"|"&amp;TRIM(D262)&amp;"|"&amp;TRIM(E262)&amp;"|"&amp;TRIM(F262)&amp;"|"&amp;TRIM(H262)&amp;"|"&amp;TRIM(I262))</x:f>
        <x:v>场景|environment_module_3d|room_rooftop_facade|root_3d|top3d / local -z 正面|default / prefab</x:v>
      </x:c>
      <x:c r="S262" s="349" t="str">
        <x:f>IF(COUNTIF($R$6:$R$423,R262)&gt;1,"重复","唯一")</x:f>
        <x:v>唯一</x:v>
      </x:c>
      <x:c r="T262" s="349" t="inlineStr">
        <x:is>
          <x:t xml:space="preserve">d2f5096342b470c4659e52c616f4b987714290d7d6d6b8987ebc40b76810259e</x:t>
        </x:is>
      </x:c>
      <x:c r="U262" s="349" t="inlineStr">
        <x:is>
          <x:t xml:space="preserve">Codex</x:t>
        </x:is>
      </x:c>
      <x:c r="V262" s="348" t="n">
        <x:v>46264</x:v>
      </x:c>
      <x:c r="W262" s="349" t="inlineStr">
        <x:is>
          <x:t xml:space="preserve">项目现有Godot资产</x:t>
        </x:is>
      </x:c>
      <x:c r="X262" s="375" t="inlineStr">
        <x:is>
          <x:t xml:space="preserve">—</x:t>
        </x:is>
      </x:c>
      <x:c r="Y262" s="349" t="inlineStr">
        <x:is>
          <x:t xml:space="preserve"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x:t>
        </x:is>
      </x:c>
    </x:row>
    <x:row r="263">
      <x:c r="A263" s="349" t="inlineStr">
        <x:is>
          <x:t xml:space="preserve">ENV-TOWER-ROOFTOP-RAIL-POST</x:t>
        </x:is>
      </x:c>
      <x:c r="B263" s="349" t="inlineStr">
        <x:is>
          <x:t xml:space="preserve">楼顶栏杆立柱</x:t>
        </x:is>
      </x:c>
      <x:c r="C263" s="349" t="inlineStr">
        <x:is>
          <x:t xml:space="preserve">场景</x:t>
        </x:is>
      </x:c>
      <x:c r="D263" s="349" t="inlineStr">
        <x:is>
          <x:t xml:space="preserve">environment_module_3d</x:t>
        </x:is>
      </x:c>
      <x:c r="E263" s="349" t="inlineStr">
        <x:is>
          <x:t xml:space="preserve">room_rooftop_rail_post</x:t>
        </x:is>
      </x:c>
      <x:c r="F263" s="349" t="inlineStr">
        <x:is>
          <x:t xml:space="preserve">root_3d</x:t>
        </x:is>
      </x:c>
      <x:c r="G263" s="349" t="inlineStr">
        <x:is>
          <x:t xml:space="preserve">ENV-TOWER-DESCENT-KIT-3D</x:t>
        </x:is>
      </x:c>
      <x:c r="H263" s="349" t="inlineStr">
        <x:is>
          <x:t xml:space="preserve">Top3D / local -Z 正面</x:t>
        </x:is>
      </x:c>
      <x:c r="I263" s="349" t="inlineStr">
        <x:is>
          <x:t xml:space="preserve">default / prefab</x:t>
        </x:is>
      </x:c>
      <x:c r="J263" s="349" t="inlineStr">
        <x:is>
          <x:t xml:space="preserve">场景通用组件</x:t>
        </x:is>
      </x:c>
      <x:c r="K263" s="349" t="inlineStr">
        <x:is>
          <x:t xml:space="preserve">程序占位</x:t>
        </x:is>
      </x:c>
      <x:c r="L263" s="349" t="inlineStr">
        <x:is>
          <x:t xml:space="preserve">P1</x:t>
        </x:is>
      </x:c>
      <x:c r="M263" s="349" t="inlineStr">
        <x:is>
          <x:t xml:space="preserve">v001</x:t>
        </x:is>
      </x:c>
      <x:c r="N263" s="349" t="inlineStr">
        <x:is>
          <x:t xml:space="preserve">Godot PackedScene；根=Node3D；碰撞节点=0</x:t>
        </x:is>
      </x:c>
      <x:c r="O263" s="349" t="inlineStr">
        <x:is>
          <x:t xml:space="preserve">assets/art/props/dungeon_3d/prp_room_rooftop_rail_post_v001.tscn</x:t>
        </x:is>
      </x:c>
      <x:c r="P263" s="349" t="inlineStr">
        <x:is>
          <x:t xml:space="preserve">assets/art/3D模型资产目录与命名规范.md</x:t>
        </x:is>
      </x:c>
      <x:c r="Q263" s="349" t="inlineStr">
        <x:is>
          <x:t xml:space="preserve">楼顶栏杆立柱;3D;Prefab;场景通用组件;room_rooftop_rail_post</x:t>
        </x:is>
      </x:c>
      <x:c r="R263" s="349" t="str">
        <x:f>LOWER(TRIM(C263)&amp;"|"&amp;TRIM(D263)&amp;"|"&amp;TRIM(E263)&amp;"|"&amp;TRIM(F263)&amp;"|"&amp;TRIM(H263)&amp;"|"&amp;TRIM(I263))</x:f>
        <x:v>场景|environment_module_3d|room_rooftop_rail_post|root_3d|top3d / local -z 正面|default / prefab</x:v>
      </x:c>
      <x:c r="S263" s="349" t="str">
        <x:f>IF(COUNTIF($R$6:$R$423,R263)&gt;1,"重复","唯一")</x:f>
        <x:v>唯一</x:v>
      </x:c>
      <x:c r="T263" s="349" t="inlineStr">
        <x:is>
          <x:t xml:space="preserve">35cd47a0be0e08b3827ded6a8b2709efe1df2eb27ed29a5fbd85e7713993e217</x:t>
        </x:is>
      </x:c>
      <x:c r="U263" s="349" t="inlineStr">
        <x:is>
          <x:t xml:space="preserve">Codex</x:t>
        </x:is>
      </x:c>
      <x:c r="V263" s="348" t="n">
        <x:v>46264</x:v>
      </x:c>
      <x:c r="W263" s="349" t="inlineStr">
        <x:is>
          <x:t xml:space="preserve">项目现有Godot资产</x:t>
        </x:is>
      </x:c>
      <x:c r="X263" s="375" t="inlineStr">
        <x:is>
          <x:t xml:space="preserve">—</x:t>
        </x:is>
      </x:c>
      <x:c r="Y263" s="349" t="inlineStr">
        <x:is>
          <x:t xml:space="preserve"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x:t>
        </x:is>
      </x:c>
    </x:row>
    <x:row r="264">
      <x:c r="A264" s="349" t="inlineStr">
        <x:is>
          <x:t xml:space="preserve">ENV-TOWER-ROOFTOP-RAILING-LOWER</x:t>
        </x:is>
      </x:c>
      <x:c r="B264" s="349" t="inlineStr">
        <x:is>
          <x:t xml:space="preserve">楼顶下层栏杆</x:t>
        </x:is>
      </x:c>
      <x:c r="C264" s="349" t="inlineStr">
        <x:is>
          <x:t xml:space="preserve">场景</x:t>
        </x:is>
      </x:c>
      <x:c r="D264" s="349" t="inlineStr">
        <x:is>
          <x:t xml:space="preserve">environment_module_3d</x:t>
        </x:is>
      </x:c>
      <x:c r="E264" s="349" t="inlineStr">
        <x:is>
          <x:t xml:space="preserve">room_rooftop_railing_lower</x:t>
        </x:is>
      </x:c>
      <x:c r="F264" s="349" t="inlineStr">
        <x:is>
          <x:t xml:space="preserve">root_3d</x:t>
        </x:is>
      </x:c>
      <x:c r="G264" s="349" t="inlineStr">
        <x:is>
          <x:t xml:space="preserve">ENV-TOWER-DESCENT-KIT-3D</x:t>
        </x:is>
      </x:c>
      <x:c r="H264" s="349" t="inlineStr">
        <x:is>
          <x:t xml:space="preserve">Top3D / local -Z 正面</x:t>
        </x:is>
      </x:c>
      <x:c r="I264" s="349" t="inlineStr">
        <x:is>
          <x:t xml:space="preserve">default / prefab</x:t>
        </x:is>
      </x:c>
      <x:c r="J264" s="349" t="inlineStr">
        <x:is>
          <x:t xml:space="preserve">场景通用组件</x:t>
        </x:is>
      </x:c>
      <x:c r="K264" s="349" t="inlineStr">
        <x:is>
          <x:t xml:space="preserve">程序占位</x:t>
        </x:is>
      </x:c>
      <x:c r="L264" s="349" t="inlineStr">
        <x:is>
          <x:t xml:space="preserve">P1</x:t>
        </x:is>
      </x:c>
      <x:c r="M264" s="349" t="inlineStr">
        <x:is>
          <x:t xml:space="preserve">v001</x:t>
        </x:is>
      </x:c>
      <x:c r="N264" s="349" t="inlineStr">
        <x:is>
          <x:t xml:space="preserve">Godot PackedScene；根=Node3D；碰撞节点=1</x:t>
        </x:is>
      </x:c>
      <x:c r="O264" s="349" t="inlineStr">
        <x:is>
          <x:t xml:space="preserve">assets/art/props/dungeon_3d/prp_room_rooftop_railing_lower_v001.tscn</x:t>
        </x:is>
      </x:c>
      <x:c r="P264" s="349" t="inlineStr">
        <x:is>
          <x:t xml:space="preserve">assets/art/3D模型资产目录与命名规范.md</x:t>
        </x:is>
      </x:c>
      <x:c r="Q264" s="349" t="inlineStr">
        <x:is>
          <x:t xml:space="preserve">楼顶下层栏杆;3D;Prefab;场景通用组件;room_rooftop_railing_lower</x:t>
        </x:is>
      </x:c>
      <x:c r="R264" s="349" t="str">
        <x:f>LOWER(TRIM(C264)&amp;"|"&amp;TRIM(D264)&amp;"|"&amp;TRIM(E264)&amp;"|"&amp;TRIM(F264)&amp;"|"&amp;TRIM(H264)&amp;"|"&amp;TRIM(I264))</x:f>
        <x:v>场景|environment_module_3d|room_rooftop_railing_lower|root_3d|top3d / local -z 正面|default / prefab</x:v>
      </x:c>
      <x:c r="S264" s="349" t="str">
        <x:f>IF(COUNTIF($R$6:$R$423,R264)&gt;1,"重复","唯一")</x:f>
        <x:v>唯一</x:v>
      </x:c>
      <x:c r="T264" s="349" t="inlineStr">
        <x:is>
          <x:t xml:space="preserve">be6f1d3e15b5a52b51feeca51ab0057d358269522578ff7c0088b6428b1184db</x:t>
        </x:is>
      </x:c>
      <x:c r="U264" s="349" t="inlineStr">
        <x:is>
          <x:t xml:space="preserve">Codex</x:t>
        </x:is>
      </x:c>
      <x:c r="V264" s="348" t="n">
        <x:v>46264</x:v>
      </x:c>
      <x:c r="W264" s="349" t="inlineStr">
        <x:is>
          <x:t xml:space="preserve">项目现有Godot资产</x:t>
        </x:is>
      </x:c>
      <x:c r="X264" s="375" t="inlineStr">
        <x:is>
          <x:t xml:space="preserve">—</x:t>
        </x:is>
      </x:c>
      <x:c r="Y264" s="349" t="inlineStr">
        <x:is>
          <x:t xml:space="preserve"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x:t>
        </x:is>
      </x:c>
    </x:row>
    <x:row r="265">
      <x:c r="A265" s="349" t="inlineStr">
        <x:is>
          <x:t xml:space="preserve">ENV-TOWER-ROOFTOP-RAILING-UPPER</x:t>
        </x:is>
      </x:c>
      <x:c r="B265" s="349" t="inlineStr">
        <x:is>
          <x:t xml:space="preserve">楼顶上层栏杆</x:t>
        </x:is>
      </x:c>
      <x:c r="C265" s="349" t="inlineStr">
        <x:is>
          <x:t xml:space="preserve">场景</x:t>
        </x:is>
      </x:c>
      <x:c r="D265" s="349" t="inlineStr">
        <x:is>
          <x:t xml:space="preserve">environment_module_3d</x:t>
        </x:is>
      </x:c>
      <x:c r="E265" s="349" t="inlineStr">
        <x:is>
          <x:t xml:space="preserve">room_rooftop_railing_upper</x:t>
        </x:is>
      </x:c>
      <x:c r="F265" s="349" t="inlineStr">
        <x:is>
          <x:t xml:space="preserve">root_3d</x:t>
        </x:is>
      </x:c>
      <x:c r="G265" s="349" t="inlineStr">
        <x:is>
          <x:t xml:space="preserve">ENV-TOWER-DESCENT-KIT-3D</x:t>
        </x:is>
      </x:c>
      <x:c r="H265" s="349" t="inlineStr">
        <x:is>
          <x:t xml:space="preserve">Top3D / local -Z 正面</x:t>
        </x:is>
      </x:c>
      <x:c r="I265" s="349" t="inlineStr">
        <x:is>
          <x:t xml:space="preserve">default / prefab</x:t>
        </x:is>
      </x:c>
      <x:c r="J265" s="349" t="inlineStr">
        <x:is>
          <x:t xml:space="preserve">场景通用组件</x:t>
        </x:is>
      </x:c>
      <x:c r="K265" s="349" t="inlineStr">
        <x:is>
          <x:t xml:space="preserve">程序占位</x:t>
        </x:is>
      </x:c>
      <x:c r="L265" s="349" t="inlineStr">
        <x:is>
          <x:t xml:space="preserve">P1</x:t>
        </x:is>
      </x:c>
      <x:c r="M265" s="349" t="inlineStr">
        <x:is>
          <x:t xml:space="preserve">v001</x:t>
        </x:is>
      </x:c>
      <x:c r="N265" s="349" t="inlineStr">
        <x:is>
          <x:t xml:space="preserve">Godot PackedScene；根=Node3D；碰撞节点=0</x:t>
        </x:is>
      </x:c>
      <x:c r="O265" s="349" t="inlineStr">
        <x:is>
          <x:t xml:space="preserve">assets/art/props/dungeon_3d/prp_room_rooftop_railing_upper_v001.tscn</x:t>
        </x:is>
      </x:c>
      <x:c r="P265" s="349" t="inlineStr">
        <x:is>
          <x:t xml:space="preserve">assets/art/3D模型资产目录与命名规范.md</x:t>
        </x:is>
      </x:c>
      <x:c r="Q265" s="349" t="inlineStr">
        <x:is>
          <x:t xml:space="preserve">楼顶上层栏杆;3D;Prefab;场景通用组件;room_rooftop_railing_upper</x:t>
        </x:is>
      </x:c>
      <x:c r="R265" s="349" t="str">
        <x:f>LOWER(TRIM(C265)&amp;"|"&amp;TRIM(D265)&amp;"|"&amp;TRIM(E265)&amp;"|"&amp;TRIM(F265)&amp;"|"&amp;TRIM(H265)&amp;"|"&amp;TRIM(I265))</x:f>
        <x:v>场景|environment_module_3d|room_rooftop_railing_upper|root_3d|top3d / local -z 正面|default / prefab</x:v>
      </x:c>
      <x:c r="S265" s="349" t="str">
        <x:f>IF(COUNTIF($R$6:$R$423,R265)&gt;1,"重复","唯一")</x:f>
        <x:v>唯一</x:v>
      </x:c>
      <x:c r="T265" s="349" t="inlineStr">
        <x:is>
          <x:t xml:space="preserve">f4a668e9374019455cb08c2de0addfc644da83854729d3147a6e0c093ff33b65</x:t>
        </x:is>
      </x:c>
      <x:c r="U265" s="349" t="inlineStr">
        <x:is>
          <x:t xml:space="preserve">Codex</x:t>
        </x:is>
      </x:c>
      <x:c r="V265" s="348" t="n">
        <x:v>46264</x:v>
      </x:c>
      <x:c r="W265" s="349" t="inlineStr">
        <x:is>
          <x:t xml:space="preserve">项目现有Godot资产</x:t>
        </x:is>
      </x:c>
      <x:c r="X265" s="375" t="inlineStr">
        <x:is>
          <x:t xml:space="preserve">—</x:t>
        </x:is>
      </x:c>
      <x:c r="Y265" s="349" t="inlineStr">
        <x:is>
          <x:t xml:space="preserve"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x:t>
        </x:is>
      </x:c>
    </x:row>
    <x:row r="266">
      <x:c r="A266" s="349" t="inlineStr">
        <x:is>
          <x:t xml:space="preserve">ENV-TOWER-ROOFTOP-STAIR-FRAME-LINTEL</x:t>
        </x:is>
      </x:c>
      <x:c r="B266" s="349" t="inlineStr">
        <x:is>
          <x:t xml:space="preserve">楼顶楼梯框架门楣</x:t>
        </x:is>
      </x:c>
      <x:c r="C266" s="349" t="inlineStr">
        <x:is>
          <x:t xml:space="preserve">场景</x:t>
        </x:is>
      </x:c>
      <x:c r="D266" s="349" t="inlineStr">
        <x:is>
          <x:t xml:space="preserve">environment_module_3d</x:t>
        </x:is>
      </x:c>
      <x:c r="E266" s="349" t="inlineStr">
        <x:is>
          <x:t xml:space="preserve">room_rooftop_stair_frame_lintel</x:t>
        </x:is>
      </x:c>
      <x:c r="F266" s="349" t="inlineStr">
        <x:is>
          <x:t xml:space="preserve">root_3d</x:t>
        </x:is>
      </x:c>
      <x:c r="G266" s="349" t="inlineStr">
        <x:is>
          <x:t xml:space="preserve">ENV-TOWER-DESCENT-KIT-3D</x:t>
        </x:is>
      </x:c>
      <x:c r="H266" s="349" t="inlineStr">
        <x:is>
          <x:t xml:space="preserve">Top3D / local -Z 正面</x:t>
        </x:is>
      </x:c>
      <x:c r="I266" s="349" t="inlineStr">
        <x:is>
          <x:t xml:space="preserve">default / prefab</x:t>
        </x:is>
      </x:c>
      <x:c r="J266" s="349" t="inlineStr">
        <x:is>
          <x:t xml:space="preserve">场景通用组件</x:t>
        </x:is>
      </x:c>
      <x:c r="K266" s="349" t="inlineStr">
        <x:is>
          <x:t xml:space="preserve">程序占位</x:t>
        </x:is>
      </x:c>
      <x:c r="L266" s="349" t="inlineStr">
        <x:is>
          <x:t xml:space="preserve">P1</x:t>
        </x:is>
      </x:c>
      <x:c r="M266" s="349" t="inlineStr">
        <x:is>
          <x:t xml:space="preserve">v001</x:t>
        </x:is>
      </x:c>
      <x:c r="N266" s="349" t="inlineStr">
        <x:is>
          <x:t xml:space="preserve">Godot PackedScene；根=Node3D；碰撞节点=1</x:t>
        </x:is>
      </x:c>
      <x:c r="O266" s="349" t="inlineStr">
        <x:is>
          <x:t xml:space="preserve">assets/art/props/dungeon_3d/prp_room_rooftop_stair_frame_lintel_v001.tscn</x:t>
        </x:is>
      </x:c>
      <x:c r="P266" s="349" t="inlineStr">
        <x:is>
          <x:t xml:space="preserve">assets/art/3D模型资产目录与命名规范.md</x:t>
        </x:is>
      </x:c>
      <x:c r="Q266" s="349" t="inlineStr">
        <x:is>
          <x:t xml:space="preserve">楼顶楼梯框架门楣;3D;Prefab;场景通用组件;room_rooftop_stair_frame_lintel</x:t>
        </x:is>
      </x:c>
      <x:c r="R266" s="349" t="str">
        <x:f>LOWER(TRIM(C266)&amp;"|"&amp;TRIM(D266)&amp;"|"&amp;TRIM(E266)&amp;"|"&amp;TRIM(F266)&amp;"|"&amp;TRIM(H266)&amp;"|"&amp;TRIM(I266))</x:f>
        <x:v>场景|environment_module_3d|room_rooftop_stair_frame_lintel|root_3d|top3d / local -z 正面|default / prefab</x:v>
      </x:c>
      <x:c r="S266" s="349" t="str">
        <x:f>IF(COUNTIF($R$6:$R$423,R266)&gt;1,"重复","唯一")</x:f>
        <x:v>唯一</x:v>
      </x:c>
      <x:c r="T266" s="349" t="inlineStr">
        <x:is>
          <x:t xml:space="preserve">efb05f11a02bf2c4c4b3e455cfaa5de8ae3c9dc50d29e0b67fd7e78b6e8a73f9</x:t>
        </x:is>
      </x:c>
      <x:c r="U266" s="349" t="inlineStr">
        <x:is>
          <x:t xml:space="preserve">Codex</x:t>
        </x:is>
      </x:c>
      <x:c r="V266" s="348" t="n">
        <x:v>46264</x:v>
      </x:c>
      <x:c r="W266" s="349" t="inlineStr">
        <x:is>
          <x:t xml:space="preserve">项目现有Godot资产</x:t>
        </x:is>
      </x:c>
      <x:c r="X266" s="375" t="inlineStr">
        <x:is>
          <x:t xml:space="preserve">—</x:t>
        </x:is>
      </x:c>
      <x:c r="Y266" s="349" t="inlineStr">
        <x:is>
          <x:t xml:space="preserve"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x:t>
        </x:is>
      </x:c>
    </x:row>
    <x:row r="267">
      <x:c r="A267" s="349" t="inlineStr">
        <x:is>
          <x:t xml:space="preserve">ENV-TOWER-ROOFTOP-STAIR-FRAME-POST</x:t>
        </x:is>
      </x:c>
      <x:c r="B267" s="349" t="inlineStr">
        <x:is>
          <x:t xml:space="preserve">楼顶楼梯框架立柱</x:t>
        </x:is>
      </x:c>
      <x:c r="C267" s="349" t="inlineStr">
        <x:is>
          <x:t xml:space="preserve">场景</x:t>
        </x:is>
      </x:c>
      <x:c r="D267" s="349" t="inlineStr">
        <x:is>
          <x:t xml:space="preserve">environment_module_3d</x:t>
        </x:is>
      </x:c>
      <x:c r="E267" s="349" t="inlineStr">
        <x:is>
          <x:t xml:space="preserve">room_rooftop_stair_frame_post</x:t>
        </x:is>
      </x:c>
      <x:c r="F267" s="349" t="inlineStr">
        <x:is>
          <x:t xml:space="preserve">root_3d</x:t>
        </x:is>
      </x:c>
      <x:c r="G267" s="349" t="inlineStr">
        <x:is>
          <x:t xml:space="preserve">ENV-TOWER-DESCENT-KIT-3D</x:t>
        </x:is>
      </x:c>
      <x:c r="H267" s="349" t="inlineStr">
        <x:is>
          <x:t xml:space="preserve">Top3D / local -Z 正面</x:t>
        </x:is>
      </x:c>
      <x:c r="I267" s="349" t="inlineStr">
        <x:is>
          <x:t xml:space="preserve">default / prefab</x:t>
        </x:is>
      </x:c>
      <x:c r="J267" s="349" t="inlineStr">
        <x:is>
          <x:t xml:space="preserve">场景通用组件</x:t>
        </x:is>
      </x:c>
      <x:c r="K267" s="349" t="inlineStr">
        <x:is>
          <x:t xml:space="preserve">程序占位</x:t>
        </x:is>
      </x:c>
      <x:c r="L267" s="349" t="inlineStr">
        <x:is>
          <x:t xml:space="preserve">P1</x:t>
        </x:is>
      </x:c>
      <x:c r="M267" s="349" t="inlineStr">
        <x:is>
          <x:t xml:space="preserve">v001</x:t>
        </x:is>
      </x:c>
      <x:c r="N267" s="349" t="inlineStr">
        <x:is>
          <x:t xml:space="preserve">Godot PackedScene；根=Node3D；碰撞节点=1</x:t>
        </x:is>
      </x:c>
      <x:c r="O267" s="349" t="inlineStr">
        <x:is>
          <x:t xml:space="preserve">assets/art/props/dungeon_3d/prp_room_rooftop_stair_frame_post_v001.tscn</x:t>
        </x:is>
      </x:c>
      <x:c r="P267" s="349" t="inlineStr">
        <x:is>
          <x:t xml:space="preserve">assets/art/3D模型资产目录与命名规范.md</x:t>
        </x:is>
      </x:c>
      <x:c r="Q267" s="349" t="inlineStr">
        <x:is>
          <x:t xml:space="preserve">楼顶楼梯框架立柱;3D;Prefab;场景通用组件;room_rooftop_stair_frame_post</x:t>
        </x:is>
      </x:c>
      <x:c r="R267" s="349" t="str">
        <x:f>LOWER(TRIM(C267)&amp;"|"&amp;TRIM(D267)&amp;"|"&amp;TRIM(E267)&amp;"|"&amp;TRIM(F267)&amp;"|"&amp;TRIM(H267)&amp;"|"&amp;TRIM(I267))</x:f>
        <x:v>场景|environment_module_3d|room_rooftop_stair_frame_post|root_3d|top3d / local -z 正面|default / prefab</x:v>
      </x:c>
      <x:c r="S267" s="349" t="str">
        <x:f>IF(COUNTIF($R$6:$R$423,R267)&gt;1,"重复","唯一")</x:f>
        <x:v>唯一</x:v>
      </x:c>
      <x:c r="T267" s="349" t="inlineStr">
        <x:is>
          <x:t xml:space="preserve">bba2d303ea0a6e2b795d0e2b31dbcf5c24db579d19203c5c5a7fe84a85b46977</x:t>
        </x:is>
      </x:c>
      <x:c r="U267" s="349" t="inlineStr">
        <x:is>
          <x:t xml:space="preserve">Codex</x:t>
        </x:is>
      </x:c>
      <x:c r="V267" s="348" t="n">
        <x:v>46264</x:v>
      </x:c>
      <x:c r="W267" s="349" t="inlineStr">
        <x:is>
          <x:t xml:space="preserve">项目现有Godot资产</x:t>
        </x:is>
      </x:c>
      <x:c r="X267" s="375" t="inlineStr">
        <x:is>
          <x:t xml:space="preserve">—</x:t>
        </x:is>
      </x:c>
      <x:c r="Y267" s="349" t="inlineStr">
        <x:is>
          <x:t xml:space="preserve"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x:t>
        </x:is>
      </x:c>
    </x:row>
    <x:row r="268">
      <x:c r="A268" s="349" t="inlineStr">
        <x:is>
          <x:t xml:space="preserve">ENV-DUNGEON-STAIR-LOBBY-ROUTE-GUIDE</x:t>
        </x:is>
      </x:c>
      <x:c r="B268" s="349" t="inlineStr">
        <x:is>
          <x:t xml:space="preserve">楼梯厅路线引导</x:t>
        </x:is>
      </x:c>
      <x:c r="C268" s="349" t="inlineStr">
        <x:is>
          <x:t xml:space="preserve">场景</x:t>
        </x:is>
      </x:c>
      <x:c r="D268" s="349" t="inlineStr">
        <x:is>
          <x:t xml:space="preserve">environment_module_3d</x:t>
        </x:is>
      </x:c>
      <x:c r="E268" s="349" t="inlineStr">
        <x:is>
          <x:t xml:space="preserve">room_stair_lobby_route_guide</x:t>
        </x:is>
      </x:c>
      <x:c r="F268" s="349" t="inlineStr">
        <x:is>
          <x:t xml:space="preserve">root_3d</x:t>
        </x:is>
      </x:c>
      <x:c r="G268" s="349" t="inlineStr">
        <x:is>
          <x:t xml:space="preserve">ENV-DUNGEON-RUNTIME-3D</x:t>
        </x:is>
      </x:c>
      <x:c r="H268" s="349" t="inlineStr">
        <x:is>
          <x:t xml:space="preserve">Top3D / local -Z 正面</x:t>
        </x:is>
      </x:c>
      <x:c r="I268" s="349" t="inlineStr">
        <x:is>
          <x:t xml:space="preserve">default / prefab</x:t>
        </x:is>
      </x:c>
      <x:c r="J268" s="349" t="inlineStr">
        <x:is>
          <x:t xml:space="preserve">场景通用组件</x:t>
        </x:is>
      </x:c>
      <x:c r="K268" s="349" t="inlineStr">
        <x:is>
          <x:t xml:space="preserve">程序占位</x:t>
        </x:is>
      </x:c>
      <x:c r="L268" s="349" t="inlineStr">
        <x:is>
          <x:t xml:space="preserve">P1</x:t>
        </x:is>
      </x:c>
      <x:c r="M268" s="349" t="inlineStr">
        <x:is>
          <x:t xml:space="preserve">v001</x:t>
        </x:is>
      </x:c>
      <x:c r="N268" s="349" t="inlineStr">
        <x:is>
          <x:t xml:space="preserve">Godot PackedScene；根=Node3D；碰撞节点=0</x:t>
        </x:is>
      </x:c>
      <x:c r="O268" s="349" t="inlineStr">
        <x:is>
          <x:t xml:space="preserve">assets/art/props/dungeon_3d/prp_room_stair_lobby_route_guide_v001.tscn</x:t>
        </x:is>
      </x:c>
      <x:c r="P268" s="349" t="inlineStr">
        <x:is>
          <x:t xml:space="preserve">assets/art/3D模型资产目录与命名规范.md</x:t>
        </x:is>
      </x:c>
      <x:c r="Q268" s="349" t="inlineStr">
        <x:is>
          <x:t xml:space="preserve">楼梯厅路线引导;3D;Prefab;场景通用组件;room_stair_lobby_route_guide</x:t>
        </x:is>
      </x:c>
      <x:c r="R268" s="349" t="str">
        <x:f>LOWER(TRIM(C268)&amp;"|"&amp;TRIM(D268)&amp;"|"&amp;TRIM(E268)&amp;"|"&amp;TRIM(F268)&amp;"|"&amp;TRIM(H268)&amp;"|"&amp;TRIM(I268))</x:f>
        <x:v>场景|environment_module_3d|room_stair_lobby_route_guide|root_3d|top3d / local -z 正面|default / prefab</x:v>
      </x:c>
      <x:c r="S268" s="349" t="str">
        <x:f>IF(COUNTIF($R$6:$R$423,R268)&gt;1,"重复","唯一")</x:f>
        <x:v>唯一</x:v>
      </x:c>
      <x:c r="T268" s="349" t="inlineStr">
        <x:is>
          <x:t xml:space="preserve">406e49ff720685c2ff9057e51871925c8f003645dfda340294aece7c1e2642ec</x:t>
        </x:is>
      </x:c>
      <x:c r="U268" s="349" t="inlineStr">
        <x:is>
          <x:t xml:space="preserve">Codex</x:t>
        </x:is>
      </x:c>
      <x:c r="V268" s="348" t="n">
        <x:v>46264</x:v>
      </x:c>
      <x:c r="W268" s="349" t="inlineStr">
        <x:is>
          <x:t xml:space="preserve">项目现有Godot资产</x:t>
        </x:is>
      </x:c>
      <x:c r="X268" s="375" t="inlineStr">
        <x:is>
          <x:t xml:space="preserve">—</x:t>
        </x:is>
      </x:c>
      <x:c r="Y268" s="349" t="inlineStr">
        <x:is>
          <x:t xml:space="preserve"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x:t>
        </x:is>
      </x:c>
    </x:row>
    <x:row r="269">
      <x:c r="A269" s="349" t="inlineStr">
        <x:is>
          <x:t xml:space="preserve">ENV-DUNGEON-STAIR-LOBBY-THRESHOLD-GUIDE</x:t>
        </x:is>
      </x:c>
      <x:c r="B269" s="349" t="inlineStr">
        <x:is>
          <x:t xml:space="preserve">楼梯厅门槛引导</x:t>
        </x:is>
      </x:c>
      <x:c r="C269" s="349" t="inlineStr">
        <x:is>
          <x:t xml:space="preserve">场景</x:t>
        </x:is>
      </x:c>
      <x:c r="D269" s="349" t="inlineStr">
        <x:is>
          <x:t xml:space="preserve">environment_module_3d</x:t>
        </x:is>
      </x:c>
      <x:c r="E269" s="349" t="inlineStr">
        <x:is>
          <x:t xml:space="preserve">room_stair_lobby_threshold_guide</x:t>
        </x:is>
      </x:c>
      <x:c r="F269" s="349" t="inlineStr">
        <x:is>
          <x:t xml:space="preserve">root_3d</x:t>
        </x:is>
      </x:c>
      <x:c r="G269" s="349" t="inlineStr">
        <x:is>
          <x:t xml:space="preserve">ENV-DUNGEON-RUNTIME-3D</x:t>
        </x:is>
      </x:c>
      <x:c r="H269" s="349" t="inlineStr">
        <x:is>
          <x:t xml:space="preserve">Top3D / local -Z 正面</x:t>
        </x:is>
      </x:c>
      <x:c r="I269" s="349" t="inlineStr">
        <x:is>
          <x:t xml:space="preserve">default / prefab</x:t>
        </x:is>
      </x:c>
      <x:c r="J269" s="349" t="inlineStr">
        <x:is>
          <x:t xml:space="preserve">场景通用组件</x:t>
        </x:is>
      </x:c>
      <x:c r="K269" s="349" t="inlineStr">
        <x:is>
          <x:t xml:space="preserve">程序占位</x:t>
        </x:is>
      </x:c>
      <x:c r="L269" s="349" t="inlineStr">
        <x:is>
          <x:t xml:space="preserve">P1</x:t>
        </x:is>
      </x:c>
      <x:c r="M269" s="349" t="inlineStr">
        <x:is>
          <x:t xml:space="preserve">v001</x:t>
        </x:is>
      </x:c>
      <x:c r="N269" s="349" t="inlineStr">
        <x:is>
          <x:t xml:space="preserve">Godot PackedScene；根=Node3D；碰撞节点=0</x:t>
        </x:is>
      </x:c>
      <x:c r="O269" s="349" t="inlineStr">
        <x:is>
          <x:t xml:space="preserve">assets/art/props/dungeon_3d/prp_room_stair_lobby_threshold_guide_v001.tscn</x:t>
        </x:is>
      </x:c>
      <x:c r="P269" s="349" t="inlineStr">
        <x:is>
          <x:t xml:space="preserve">assets/art/3D模型资产目录与命名规范.md</x:t>
        </x:is>
      </x:c>
      <x:c r="Q269" s="349" t="inlineStr">
        <x:is>
          <x:t xml:space="preserve">楼梯厅门槛引导;3D;Prefab;场景通用组件;room_stair_lobby_threshold_guide</x:t>
        </x:is>
      </x:c>
      <x:c r="R269" s="349" t="str">
        <x:f>LOWER(TRIM(C269)&amp;"|"&amp;TRIM(D269)&amp;"|"&amp;TRIM(E269)&amp;"|"&amp;TRIM(F269)&amp;"|"&amp;TRIM(H269)&amp;"|"&amp;TRIM(I269))</x:f>
        <x:v>场景|environment_module_3d|room_stair_lobby_threshold_guide|root_3d|top3d / local -z 正面|default / prefab</x:v>
      </x:c>
      <x:c r="S269" s="349" t="str">
        <x:f>IF(COUNTIF($R$6:$R$423,R269)&gt;1,"重复","唯一")</x:f>
        <x:v>唯一</x:v>
      </x:c>
      <x:c r="T269" s="349" t="inlineStr">
        <x:is>
          <x:t xml:space="preserve">434b6b0d6e3cf99062101cc2b1e9f2caa7d8270e1f642afed7397a6939734927</x:t>
        </x:is>
      </x:c>
      <x:c r="U269" s="349" t="inlineStr">
        <x:is>
          <x:t xml:space="preserve">Codex</x:t>
        </x:is>
      </x:c>
      <x:c r="V269" s="348" t="n">
        <x:v>46264</x:v>
      </x:c>
      <x:c r="W269" s="349" t="inlineStr">
        <x:is>
          <x:t xml:space="preserve">项目现有Godot资产</x:t>
        </x:is>
      </x:c>
      <x:c r="X269" s="375" t="inlineStr">
        <x:is>
          <x:t xml:space="preserve">—</x:t>
        </x:is>
      </x:c>
      <x:c r="Y269" s="349" t="inlineStr">
        <x:is>
          <x:t xml:space="preserve"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x:t>
        </x:is>
      </x:c>
    </x:row>
    <x:row r="270">
      <x:c r="A270" s="349" t="inlineStr">
        <x:is>
          <x:t xml:space="preserve">ENV-DUNGEON-VERTICAL-ACCESS-MARKER</x:t>
        </x:is>
      </x:c>
      <x:c r="B270" s="349" t="inlineStr">
        <x:is>
          <x:t xml:space="preserve">垂直通行标记</x:t>
        </x:is>
      </x:c>
      <x:c r="C270" s="349" t="inlineStr">
        <x:is>
          <x:t xml:space="preserve">场景</x:t>
        </x:is>
      </x:c>
      <x:c r="D270" s="349" t="inlineStr">
        <x:is>
          <x:t xml:space="preserve">environment_module_3d</x:t>
        </x:is>
      </x:c>
      <x:c r="E270" s="349" t="inlineStr">
        <x:is>
          <x:t xml:space="preserve">room_vertical_access_marker_label</x:t>
        </x:is>
      </x:c>
      <x:c r="F270" s="349" t="inlineStr">
        <x:is>
          <x:t xml:space="preserve">root_3d</x:t>
        </x:is>
      </x:c>
      <x:c r="G270" s="349" t="inlineStr">
        <x:is>
          <x:t xml:space="preserve">ENV-DUNGEON-RUNTIME-3D</x:t>
        </x:is>
      </x:c>
      <x:c r="H270" s="349" t="inlineStr">
        <x:is>
          <x:t xml:space="preserve">Top3D / local -Z 正面</x:t>
        </x:is>
      </x:c>
      <x:c r="I270" s="349" t="inlineStr">
        <x:is>
          <x:t xml:space="preserve">default / prefab</x:t>
        </x:is>
      </x:c>
      <x:c r="J270" s="349" t="inlineStr">
        <x:is>
          <x:t xml:space="preserve">场景通用组件</x:t>
        </x:is>
      </x:c>
      <x:c r="K270" s="349" t="inlineStr">
        <x:is>
          <x:t xml:space="preserve">程序占位</x:t>
        </x:is>
      </x:c>
      <x:c r="L270" s="349" t="inlineStr">
        <x:is>
          <x:t xml:space="preserve">P1</x:t>
        </x:is>
      </x:c>
      <x:c r="M270" s="349" t="inlineStr">
        <x:is>
          <x:t xml:space="preserve">v001</x:t>
        </x:is>
      </x:c>
      <x:c r="N270" s="349" t="inlineStr">
        <x:is>
          <x:t xml:space="preserve">Godot PackedScene；根=Node3D；碰撞节点=0</x:t>
        </x:is>
      </x:c>
      <x:c r="O270" s="349" t="inlineStr">
        <x:is>
          <x:t xml:space="preserve">assets/art/props/dungeon_3d/prp_room_vertical_access_marker_label_v001.tscn</x:t>
        </x:is>
      </x:c>
      <x:c r="P270" s="349" t="inlineStr">
        <x:is>
          <x:t xml:space="preserve">assets/art/3D模型资产目录与命名规范.md</x:t>
        </x:is>
      </x:c>
      <x:c r="Q270" s="349" t="inlineStr">
        <x:is>
          <x:t xml:space="preserve">垂直通行标记;3D;Prefab;场景通用组件;room_vertical_access_marker_label</x:t>
        </x:is>
      </x:c>
      <x:c r="R270" s="349" t="str">
        <x:f>LOWER(TRIM(C270)&amp;"|"&amp;TRIM(D270)&amp;"|"&amp;TRIM(E270)&amp;"|"&amp;TRIM(F270)&amp;"|"&amp;TRIM(H270)&amp;"|"&amp;TRIM(I270))</x:f>
        <x:v>场景|environment_module_3d|room_vertical_access_marker_label|root_3d|top3d / local -z 正面|default / prefab</x:v>
      </x:c>
      <x:c r="S270" s="349" t="str">
        <x:f>IF(COUNTIF($R$6:$R$423,R270)&gt;1,"重复","唯一")</x:f>
        <x:v>唯一</x:v>
      </x:c>
      <x:c r="T270" s="349" t="inlineStr">
        <x:is>
          <x:t xml:space="preserve">d16dba271384f6d34a5426fe8060e6ebf08bec99acb2c227d480f1749482eb9a</x:t>
        </x:is>
      </x:c>
      <x:c r="U270" s="349" t="inlineStr">
        <x:is>
          <x:t xml:space="preserve">Codex</x:t>
        </x:is>
      </x:c>
      <x:c r="V270" s="348" t="n">
        <x:v>46264</x:v>
      </x:c>
      <x:c r="W270" s="349" t="inlineStr">
        <x:is>
          <x:t xml:space="preserve">项目现有Godot资产</x:t>
        </x:is>
      </x:c>
      <x:c r="X270" s="375" t="inlineStr">
        <x:is>
          <x:t xml:space="preserve">—</x:t>
        </x:is>
      </x:c>
      <x:c r="Y270" s="349" t="inlineStr">
        <x:is>
          <x:t xml:space="preserve"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x:t>
        </x:is>
      </x:c>
    </x:row>
    <x:row r="271">
      <x:c r="A271" s="349" t="inlineStr">
        <x:is>
          <x:t xml:space="preserve">ENV-DUNGEON-ROOM-WALL-DOOR-SEGMENT</x:t>
        </x:is>
      </x:c>
      <x:c r="B271" s="349" t="inlineStr">
        <x:is>
          <x:t xml:space="preserve">房间带门墙段</x:t>
        </x:is>
      </x:c>
      <x:c r="C271" s="349" t="inlineStr">
        <x:is>
          <x:t xml:space="preserve">场景</x:t>
        </x:is>
      </x:c>
      <x:c r="D271" s="349" t="inlineStr">
        <x:is>
          <x:t xml:space="preserve">environment_module_3d</x:t>
        </x:is>
      </x:c>
      <x:c r="E271" s="349" t="inlineStr">
        <x:is>
          <x:t xml:space="preserve">room_wall_door_segment</x:t>
        </x:is>
      </x:c>
      <x:c r="F271" s="349" t="inlineStr">
        <x:is>
          <x:t xml:space="preserve">root_3d</x:t>
        </x:is>
      </x:c>
      <x:c r="G271" s="349" t="inlineStr">
        <x:is>
          <x:t xml:space="preserve">ENV-DUNGEON-RUNTIME-3D</x:t>
        </x:is>
      </x:c>
      <x:c r="H271" s="349" t="inlineStr">
        <x:is>
          <x:t xml:space="preserve">Top3D / local -Z 正面</x:t>
        </x:is>
      </x:c>
      <x:c r="I271" s="349" t="inlineStr">
        <x:is>
          <x:t xml:space="preserve">default / prefab</x:t>
        </x:is>
      </x:c>
      <x:c r="J271" s="349" t="inlineStr">
        <x:is>
          <x:t xml:space="preserve">场景通用组件</x:t>
        </x:is>
      </x:c>
      <x:c r="K271" s="349" t="inlineStr">
        <x:is>
          <x:t xml:space="preserve">程序占位</x:t>
        </x:is>
      </x:c>
      <x:c r="L271" s="349" t="inlineStr">
        <x:is>
          <x:t xml:space="preserve">P1</x:t>
        </x:is>
      </x:c>
      <x:c r="M271" s="349" t="inlineStr">
        <x:is>
          <x:t xml:space="preserve">v001</x:t>
        </x:is>
      </x:c>
      <x:c r="N271" s="349" t="inlineStr">
        <x:is>
          <x:t xml:space="preserve">Godot PackedScene；根=Node3D；碰撞节点=1</x:t>
        </x:is>
      </x:c>
      <x:c r="O271" s="349" t="inlineStr">
        <x:is>
          <x:t xml:space="preserve">assets/art/props/dungeon_3d/prp_room_wall_door_segment_v001.tscn</x:t>
        </x:is>
      </x:c>
      <x:c r="P271" s="349" t="inlineStr">
        <x:is>
          <x:t xml:space="preserve">assets/art/3D模型资产目录与命名规范.md</x:t>
        </x:is>
      </x:c>
      <x:c r="Q271" s="349" t="inlineStr">
        <x:is>
          <x:t xml:space="preserve">房间带门墙段;3D;Prefab;场景通用组件;room_wall_door_segment</x:t>
        </x:is>
      </x:c>
      <x:c r="R271" s="349" t="str">
        <x:f>LOWER(TRIM(C271)&amp;"|"&amp;TRIM(D271)&amp;"|"&amp;TRIM(E271)&amp;"|"&amp;TRIM(F271)&amp;"|"&amp;TRIM(H271)&amp;"|"&amp;TRIM(I271))</x:f>
        <x:v>场景|environment_module_3d|room_wall_door_segment|root_3d|top3d / local -z 正面|default / prefab</x:v>
      </x:c>
      <x:c r="S271" s="349" t="str">
        <x:f>IF(COUNTIF($R$6:$R$423,R271)&gt;1,"重复","唯一")</x:f>
        <x:v>唯一</x:v>
      </x:c>
      <x:c r="T271" s="349" t="inlineStr">
        <x:is>
          <x:t xml:space="preserve">2b8f588e1fddcfe785d72bf14786fa3b3757733bcca2b4517f93c89c0c9cd299</x:t>
        </x:is>
      </x:c>
      <x:c r="U271" s="349" t="inlineStr">
        <x:is>
          <x:t xml:space="preserve">Codex</x:t>
        </x:is>
      </x:c>
      <x:c r="V271" s="348" t="n">
        <x:v>46264</x:v>
      </x:c>
      <x:c r="W271" s="349" t="inlineStr">
        <x:is>
          <x:t xml:space="preserve">项目现有Godot资产</x:t>
        </x:is>
      </x:c>
      <x:c r="X271" s="375" t="inlineStr">
        <x:is>
          <x:t xml:space="preserve">—</x:t>
        </x:is>
      </x:c>
      <x:c r="Y271" s="349" t="inlineStr">
        <x:is>
          <x:t xml:space="preserve"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x:t>
        </x:is>
      </x:c>
    </x:row>
    <x:row r="272">
      <x:c r="A272" s="349" t="inlineStr">
        <x:is>
          <x:t xml:space="preserve">ENV-DUNGEON-ROOM-WALL-SEGMENT</x:t>
        </x:is>
      </x:c>
      <x:c r="B272" s="349" t="inlineStr">
        <x:is>
          <x:t xml:space="preserve">房间普通墙段</x:t>
        </x:is>
      </x:c>
      <x:c r="C272" s="349" t="inlineStr">
        <x:is>
          <x:t xml:space="preserve">场景</x:t>
        </x:is>
      </x:c>
      <x:c r="D272" s="349" t="inlineStr">
        <x:is>
          <x:t xml:space="preserve">environment_module_3d</x:t>
        </x:is>
      </x:c>
      <x:c r="E272" s="349" t="inlineStr">
        <x:is>
          <x:t xml:space="preserve">room_wall_segment</x:t>
        </x:is>
      </x:c>
      <x:c r="F272" s="349" t="inlineStr">
        <x:is>
          <x:t xml:space="preserve">root_3d</x:t>
        </x:is>
      </x:c>
      <x:c r="G272" s="349" t="inlineStr">
        <x:is>
          <x:t xml:space="preserve">ENV-DUNGEON-RUNTIME-3D</x:t>
        </x:is>
      </x:c>
      <x:c r="H272" s="349" t="inlineStr">
        <x:is>
          <x:t xml:space="preserve">Top3D / local -Z 正面</x:t>
        </x:is>
      </x:c>
      <x:c r="I272" s="349" t="inlineStr">
        <x:is>
          <x:t xml:space="preserve">default / prefab</x:t>
        </x:is>
      </x:c>
      <x:c r="J272" s="349" t="inlineStr">
        <x:is>
          <x:t xml:space="preserve">场景通用组件</x:t>
        </x:is>
      </x:c>
      <x:c r="K272" s="349" t="inlineStr">
        <x:is>
          <x:t xml:space="preserve">程序占位</x:t>
        </x:is>
      </x:c>
      <x:c r="L272" s="349" t="inlineStr">
        <x:is>
          <x:t xml:space="preserve">P1</x:t>
        </x:is>
      </x:c>
      <x:c r="M272" s="349" t="inlineStr">
        <x:is>
          <x:t xml:space="preserve">v001</x:t>
        </x:is>
      </x:c>
      <x:c r="N272" s="349" t="inlineStr">
        <x:is>
          <x:t xml:space="preserve">Godot PackedScene；根=Node3D；碰撞节点=1</x:t>
        </x:is>
      </x:c>
      <x:c r="O272" s="349" t="inlineStr">
        <x:is>
          <x:t xml:space="preserve">assets/art/props/dungeon_3d/prp_room_wall_segment_v001.tscn</x:t>
        </x:is>
      </x:c>
      <x:c r="P272" s="349" t="inlineStr">
        <x:is>
          <x:t xml:space="preserve">assets/art/3D模型资产目录与命名规范.md</x:t>
        </x:is>
      </x:c>
      <x:c r="Q272" s="349" t="inlineStr">
        <x:is>
          <x:t xml:space="preserve">房间普通墙段;3D;Prefab;场景通用组件;room_wall_segment</x:t>
        </x:is>
      </x:c>
      <x:c r="R272" s="349" t="str">
        <x:f>LOWER(TRIM(C272)&amp;"|"&amp;TRIM(D272)&amp;"|"&amp;TRIM(E272)&amp;"|"&amp;TRIM(F272)&amp;"|"&amp;TRIM(H272)&amp;"|"&amp;TRIM(I272))</x:f>
        <x:v>场景|environment_module_3d|room_wall_segment|root_3d|top3d / local -z 正面|default / prefab</x:v>
      </x:c>
      <x:c r="S272" s="349" t="str">
        <x:f>IF(COUNTIF($R$6:$R$423,R272)&gt;1,"重复","唯一")</x:f>
        <x:v>唯一</x:v>
      </x:c>
      <x:c r="T272" s="349" t="inlineStr">
        <x:is>
          <x:t xml:space="preserve">abaad0806ec2da25df27bec88720515e194cf409a53a507606f73494a9cd2e6a</x:t>
        </x:is>
      </x:c>
      <x:c r="U272" s="349" t="inlineStr">
        <x:is>
          <x:t xml:space="preserve">Codex</x:t>
        </x:is>
      </x:c>
      <x:c r="V272" s="348" t="n">
        <x:v>46264</x:v>
      </x:c>
      <x:c r="W272" s="349" t="inlineStr">
        <x:is>
          <x:t xml:space="preserve">项目现有Godot资产</x:t>
        </x:is>
      </x:c>
      <x:c r="X272" s="375" t="inlineStr">
        <x:is>
          <x:t xml:space="preserve">—</x:t>
        </x:is>
      </x:c>
      <x:c r="Y272" s="349" t="inlineStr">
        <x:is>
          <x:t xml:space="preserve"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x:t>
        </x:is>
      </x:c>
    </x:row>
    <x:row r="273">
      <x:c r="A273" s="349" t="inlineStr">
        <x:is>
          <x:t xml:space="preserve">ENV-TOWER-WALL-PARAPET-DOOR-5M</x:t>
        </x:is>
      </x:c>
      <x:c r="B273" s="349" t="inlineStr">
        <x:is>
          <x:t xml:space="preserve">塔楼带门女儿墙5米</x:t>
        </x:is>
      </x:c>
      <x:c r="C273" s="349" t="inlineStr">
        <x:is>
          <x:t xml:space="preserve">场景</x:t>
        </x:is>
      </x:c>
      <x:c r="D273" s="349" t="inlineStr">
        <x:is>
          <x:t xml:space="preserve">environment_module_3d</x:t>
        </x:is>
      </x:c>
      <x:c r="E273" s="349" t="inlineStr">
        <x:is>
          <x:t xml:space="preserve">tower_wall_parapet_door_5m</x:t>
        </x:is>
      </x:c>
      <x:c r="F273" s="349" t="inlineStr">
        <x:is>
          <x:t xml:space="preserve">root_3d</x:t>
        </x:is>
      </x:c>
      <x:c r="G273" s="349" t="inlineStr">
        <x:is>
          <x:t xml:space="preserve">ENV-TOWER-DESCENT-KIT-3D</x:t>
        </x:is>
      </x:c>
      <x:c r="H273" s="349" t="inlineStr">
        <x:is>
          <x:t xml:space="preserve">Top3D / local -Z 正面</x:t>
        </x:is>
      </x:c>
      <x:c r="I273" s="349" t="inlineStr">
        <x:is>
          <x:t xml:space="preserve">default / prefab</x:t>
        </x:is>
      </x:c>
      <x:c r="J273" s="349" t="inlineStr">
        <x:is>
          <x:t xml:space="preserve">场景通用组件</x:t>
        </x:is>
      </x:c>
      <x:c r="K273" s="349" t="inlineStr">
        <x:is>
          <x:t xml:space="preserve">程序占位</x:t>
        </x:is>
      </x:c>
      <x:c r="L273" s="349" t="inlineStr">
        <x:is>
          <x:t xml:space="preserve">P1</x:t>
        </x:is>
      </x:c>
      <x:c r="M273" s="349" t="inlineStr">
        <x:is>
          <x:t xml:space="preserve">v001</x:t>
        </x:is>
      </x:c>
      <x:c r="N273" s="349" t="inlineStr">
        <x:is>
          <x:t xml:space="preserve">Godot PackedScene；根=Node3D；碰撞节点=2</x:t>
        </x:is>
      </x:c>
      <x:c r="O273" s="349" t="inlineStr">
        <x:is>
          <x:t xml:space="preserve">assets/art/props/dungeon_3d/prp_tower_wall_parapet_door_5m_v001.tscn</x:t>
        </x:is>
      </x:c>
      <x:c r="P273" s="349" t="inlineStr">
        <x:is>
          <x:t xml:space="preserve">assets/art/3D模型资产目录与命名规范.md</x:t>
        </x:is>
      </x:c>
      <x:c r="Q273" s="349" t="inlineStr">
        <x:is>
          <x:t xml:space="preserve">塔楼带门女儿墙5米;3D;Prefab;场景通用组件;tower_wall_parapet_door_5m</x:t>
        </x:is>
      </x:c>
      <x:c r="R273" s="349" t="str">
        <x:f>LOWER(TRIM(C273)&amp;"|"&amp;TRIM(D273)&amp;"|"&amp;TRIM(E273)&amp;"|"&amp;TRIM(F273)&amp;"|"&amp;TRIM(H273)&amp;"|"&amp;TRIM(I273))</x:f>
        <x:v>场景|environment_module_3d|tower_wall_parapet_door_5m|root_3d|top3d / local -z 正面|default / prefab</x:v>
      </x:c>
      <x:c r="S273" s="349" t="str">
        <x:f>IF(COUNTIF($R$6:$R$423,R273)&gt;1,"重复","唯一")</x:f>
        <x:v>唯一</x:v>
      </x:c>
      <x:c r="T273" s="349" t="inlineStr">
        <x:is>
          <x:t xml:space="preserve">5112789a1c06ea2d2da1b5da68f0ca07a2f65903ace288956a3de8aa10b22aa3</x:t>
        </x:is>
      </x:c>
      <x:c r="U273" s="349" t="inlineStr">
        <x:is>
          <x:t xml:space="preserve">Codex</x:t>
        </x:is>
      </x:c>
      <x:c r="V273" s="348" t="n">
        <x:v>46264</x:v>
      </x:c>
      <x:c r="W273" s="349" t="inlineStr">
        <x:is>
          <x:t xml:space="preserve">项目现有Godot资产</x:t>
        </x:is>
      </x:c>
      <x:c r="X273" s="375" t="inlineStr">
        <x:is>
          <x:t xml:space="preserve">—</x:t>
        </x:is>
      </x:c>
      <x:c r="Y273" s="349" t="inlineStr">
        <x:is>
          <x:t xml:space="preserve"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x:t>
        </x:is>
      </x:c>
    </x:row>
    <x:row r="274">
      <x:c r="A274" s="349" t="inlineStr">
        <x:is>
          <x:t xml:space="preserve">PRP-BASE-FACILITY-LIGHT-GRID-3D</x:t>
        </x:is>
      </x:c>
      <x:c r="B274" s="349" t="inlineStr">
        <x:is>
          <x:t xml:space="preserve">基地设施灯光网格</x:t>
        </x:is>
      </x:c>
      <x:c r="C274" s="349" t="inlineStr">
        <x:is>
          <x:t xml:space="preserve">场景道具</x:t>
        </x:is>
      </x:c>
      <x:c r="D274" s="349" t="inlineStr">
        <x:is>
          <x:t xml:space="preserve">facility</x:t>
        </x:is>
      </x:c>
      <x:c r="E274" s="349" t="inlineStr">
        <x:is>
          <x:t xml:space="preserve">base_facility_light_grid</x:t>
        </x:is>
      </x:c>
      <x:c r="F274" s="349" t="inlineStr">
        <x:is>
          <x:t xml:space="preserve">root_3d</x:t>
        </x:is>
      </x:c>
      <x:c r="G274" s="349" t="inlineStr">
        <x:is>
          <x:t xml:space="preserve">PRP-BASE-FACILITY-3D</x:t>
        </x:is>
      </x:c>
      <x:c r="H274" s="349" t="inlineStr">
        <x:is>
          <x:t xml:space="preserve">Top3D / local -Z 正面</x:t>
        </x:is>
      </x:c>
      <x:c r="I274" s="349" t="inlineStr">
        <x:is>
          <x:t xml:space="preserve">default / prefab</x:t>
        </x:is>
      </x:c>
      <x:c r="J274" s="349" t="inlineStr">
        <x:is>
          <x:t xml:space="preserve">设施组件</x:t>
        </x:is>
      </x:c>
      <x:c r="K274" s="349" t="inlineStr">
        <x:is>
          <x:t xml:space="preserve">程序占位</x:t>
        </x:is>
      </x:c>
      <x:c r="L274" s="349" t="inlineStr">
        <x:is>
          <x:t xml:space="preserve">P1</x:t>
        </x:is>
      </x:c>
      <x:c r="M274" s="349" t="inlineStr">
        <x:is>
          <x:t xml:space="preserve">v001</x:t>
        </x:is>
      </x:c>
      <x:c r="N274" s="349" t="inlineStr">
        <x:is>
          <x:t xml:space="preserve">Godot PackedScene；根=Node3D；碰撞节点=0</x:t>
        </x:is>
      </x:c>
      <x:c r="O274" s="349" t="inlineStr">
        <x:is>
          <x:t xml:space="preserve">assets/art/props/dungeon_3d/prp_base_facility_light_grid_root_top3d_v001.tscn</x:t>
        </x:is>
      </x:c>
      <x:c r="P274" s="349" t="inlineStr">
        <x:is>
          <x:t xml:space="preserve">assets/art/props/dungeon_3d/prp_wasteland_light_root_top3d_v001.tscn; assets/art/3D模型资产目录与命名规范.md</x:t>
        </x:is>
      </x:c>
      <x:c r="Q274" s="349" t="inlineStr">
        <x:is>
          <x:t xml:space="preserve">基地设施灯光网格;3D;Prefab;设施组件;base_facility_light_grid</x:t>
        </x:is>
      </x:c>
      <x:c r="R274" s="349" t="str">
        <x:f>LOWER(TRIM(C274)&amp;"|"&amp;TRIM(D274)&amp;"|"&amp;TRIM(E274)&amp;"|"&amp;TRIM(F274)&amp;"|"&amp;TRIM(H274)&amp;"|"&amp;TRIM(I274))</x:f>
        <x:v>场景道具|facility|base_facility_light_grid|root_3d|top3d / local -z 正面|default / prefab</x:v>
      </x:c>
      <x:c r="S274" s="349" t="str">
        <x:f>IF(COUNTIF($R$6:$R$423,R274)&gt;1,"重复","唯一")</x:f>
        <x:v>唯一</x:v>
      </x:c>
      <x:c r="T274" s="349" t="inlineStr">
        <x:is>
          <x:t xml:space="preserve">830cd5af5cdbad6e744ebb2eaaa2508aeb70a618f790a9c4edec23d59b5c7043</x:t>
        </x:is>
      </x:c>
      <x:c r="U274" s="349" t="inlineStr">
        <x:is>
          <x:t xml:space="preserve">Codex</x:t>
        </x:is>
      </x:c>
      <x:c r="V274" s="348" t="n">
        <x:v>46252</x:v>
      </x:c>
      <x:c r="W274" s="349" t="inlineStr">
        <x:is>
          <x:t xml:space="preserve">项目现有Godot资产</x:t>
        </x:is>
      </x:c>
      <x:c r="X274" s="375" t="inlineStr">
        <x:is>
          <x:t xml:space="preserve">—</x:t>
        </x:is>
      </x:c>
      <x:c r="Y274" s="349" t="inlineStr">
        <x:is>
          <x:t xml:space="preserve">2026-08-18项目扫描补登记；按Prefab独立身份管理；根节点=BaseFacilityLightGrid(Node3D)；子Prefab=1；2026-08-18扫描补登记资产主表</x:t>
        </x:is>
      </x:c>
    </x:row>
    <x:row r="275">
      <x:c r="A275" s="349" t="str">
        <x:v>ENV-BASE99-WALL-WINDOW-5X12</x:v>
      </x:c>
      <x:c r="B275" s="349" t="str">
        <x:v>基地99层带窗墙体5×12米</x:v>
      </x:c>
      <x:c r="C275" s="349" t="inlineStr">
        <x:is>
          <x:t xml:space="preserve">场景</x:t>
        </x:is>
      </x:c>
      <x:c r="D275" s="349" t="inlineStr">
        <x:is>
          <x:t xml:space="preserve">environment_module_3d</x:t>
        </x:is>
      </x:c>
      <x:c r="E275" s="349" t="str">
        <x:v>base99_wall_window_5x12</x:v>
      </x:c>
      <x:c r="F275" s="349" t="inlineStr">
        <x:is>
          <x:t xml:space="preserve">wall_window</x:t>
        </x:is>
      </x:c>
      <x:c r="G275" s="349" t="inlineStr">
        <x:is>
          <x:t xml:space="preserve">ENV-BASE99-MODULAR-KIT-3D</x:t>
        </x:is>
      </x:c>
      <x:c r="H275" s="349" t="inlineStr">
        <x:is>
          <x:t xml:space="preserve">Top3D / local -Z 正面</x:t>
        </x:is>
      </x:c>
      <x:c r="I275" s="349" t="inlineStr">
        <x:is>
          <x:t xml:space="preserve">default / visual_only</x:t>
        </x:is>
      </x:c>
      <x:c r="J275" s="349" t="inlineStr">
        <x:is>
          <x:t xml:space="preserve">99层基地模块化结构</x:t>
        </x:is>
      </x:c>
      <x:c r="K275" s="349" t="inlineStr">
        <x:is>
          <x:t xml:space="preserve">已完成</x:t>
        </x:is>
      </x:c>
      <x:c r="L275" s="349" t="inlineStr">
        <x:is>
          <x:t xml:space="preserve">P0</x:t>
        </x:is>
      </x:c>
      <x:c r="M275" s="349" t="str">
        <x:v>v002</x:v>
      </x:c>
      <x:c r="N275" s="349" t="str">
        <x:v>5×12×0.60m逻辑外廓；11.9m可见墙；底边中心原点</x:v>
      </x:c>
      <x:c r="O275" s="349" t="str">
        <x:v>assets/art/environments/base_facility_3d/runtime/env_base99_wall_window_5x12/env_base99_wall_window_5x12_root_top3d_v002.tscn</x:v>
      </x:c>
      <x:c r="P275" s="349" t="str">
        <x:v>assets/art/environments/base_facility_3d/source/wall_height12/env_base99_wall_window_5x12_source_v002.blend; scripts/blender/extend_wall_glb_to_11p9_v001.py</x:v>
      </x:c>
      <x:c r="Q275" s="349" t="str">
        <x:v>基地99层带窗墙体5×12米;base99;11.9米可见墙;PaletteUV</x:v>
      </x:c>
      <x:c r="R275" s="349" t="str">
        <x:f>LOWER(TRIM(C275)&amp;"|"&amp;TRIM(D275)&amp;"|"&amp;TRIM(E275)&amp;"|"&amp;TRIM(F275)&amp;"|"&amp;TRIM(H275)&amp;"|"&amp;TRIM(I275))</x:f>
        <x:v>场景|environment_module_3d|base99_wall_window_5x12|wall_window|top3d / local -z 正面|default / visual_only</x:v>
      </x:c>
      <x:c r="S275" s="349" t="str">
        <x:f>IF(COUNTIF($R$6:$R$423,R275)&gt;1,"重复","唯一")</x:f>
        <x:v>唯一</x:v>
      </x:c>
      <x:c r="T275" s="349" t="str">
        <x:v>f6d6c25d9d438daa18f5425cea6cacfdfd86151276aa4b159a407bb18ff0fd64</x:v>
      </x:c>
      <x:c r="U275" s="349" t="inlineStr">
        <x:is>
          <x:t xml:space="preserve">Codex</x:t>
        </x:is>
      </x:c>
      <x:c r="V275" s="349" t="n">
        <x:v>46277</x:v>
      </x:c>
      <x:c r="W275" s="349" t="inlineStr">
        <x:is>
          <x:t xml:space="preserve">用户自制Blender资产</x:t>
        </x:is>
      </x:c>
      <x:c r="X275" s="375" t="inlineStr">
        <x:is>
          <x:t xml:space="preserve">—</x:t>
        </x:is>
      </x:c>
      <x:c r="Y275" s="349" t="inlineStr">
        <x:is>
          <x:t xml:space="preserve"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x:t>
        </x:is>
      </x:c>
    </x:row>
    <x:row r="276">
      <x:c r="A276" s="349" t="inlineStr">
        <x:is>
          <x:t xml:space="preserve">ENV-BASE99-MEZZANINE-20X10-Z7</x:t>
        </x:is>
      </x:c>
      <x:c r="B276" s="349" t="inlineStr">
        <x:is>
          <x:t xml:space="preserve">基地99层7米楼中楼楼板</x:t>
        </x:is>
      </x:c>
      <x:c r="C276" s="349" t="inlineStr">
        <x:is>
          <x:t xml:space="preserve">场景</x:t>
        </x:is>
      </x:c>
      <x:c r="D276" s="349" t="inlineStr">
        <x:is>
          <x:t xml:space="preserve">environment_module_3d</x:t>
        </x:is>
      </x:c>
      <x:c r="E276" s="349" t="inlineStr">
        <x:is>
          <x:t xml:space="preserve">base99_mezzanine_20x10_z7</x:t>
        </x:is>
      </x:c>
      <x:c r="F276" s="349" t="inlineStr">
        <x:is>
          <x:t xml:space="preserve">mezzanine</x:t>
        </x:is>
      </x:c>
      <x:c r="G276" s="349" t="inlineStr">
        <x:is>
          <x:t xml:space="preserve">ENV-BASE99-MODULAR-KIT-3D</x:t>
        </x:is>
      </x:c>
      <x:c r="H276" s="349" t="inlineStr">
        <x:is>
          <x:t xml:space="preserve">Top3D / local -Z 正面</x:t>
        </x:is>
      </x:c>
      <x:c r="I276" s="349" t="inlineStr">
        <x:is>
          <x:t xml:space="preserve">default / visual_only</x:t>
        </x:is>
      </x:c>
      <x:c r="J276" s="349" t="inlineStr">
        <x:is>
          <x:t xml:space="preserve">99层基地模块化结构</x:t>
        </x:is>
      </x:c>
      <x:c r="K276" s="349" t="inlineStr">
        <x:is>
          <x:t xml:space="preserve">已完成</x:t>
        </x:is>
      </x:c>
      <x:c r="L276" s="349" t="inlineStr">
        <x:is>
          <x:t xml:space="preserve">P0</x:t>
        </x:is>
      </x:c>
      <x:c r="M276" s="349" t="inlineStr">
        <x:is>
          <x:t xml:space="preserve">v001</x:t>
        </x:is>
      </x:c>
      <x:c r="N276" s="349" t="inlineStr">
        <x:is>
          <x:t xml:space="preserve">约20.25×10.25m外廓；完成面7m；底部中心原点</x:t>
        </x:is>
      </x:c>
      <x:c r="O276" s="349" t="inlineStr">
        <x:is>
          <x:t xml:space="preserve">assets/art/environments/base_facility_3d/runtime/env_base99_mezzanine_20x10_z7/env_base99_mezzanine_20x10_z7_root_top3d_v001.tscn</x:t>
        </x:is>
      </x:c>
      <x:c r="P276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6" s="349" t="inlineStr">
        <x:is>
          <x:t xml:space="preserve">基地99层7米楼中楼楼板;base99;PaletteUV;cast_and_receive</x:t>
        </x:is>
      </x:c>
      <x:c r="R276" s="349" t="str">
        <x:f>LOWER(TRIM(C276)&amp;"|"&amp;TRIM(D276)&amp;"|"&amp;TRIM(E276)&amp;"|"&amp;TRIM(F276)&amp;"|"&amp;TRIM(H276)&amp;"|"&amp;TRIM(I276))</x:f>
        <x:v>场景|environment_module_3d|base99_mezzanine_20x10_z7|mezzanine|top3d / local -z 正面|default / visual_only</x:v>
      </x:c>
      <x:c r="S276" s="349" t="str">
        <x:f>IF(COUNTIF($R$6:$R$423,R276)&gt;1,"重复","唯一")</x:f>
        <x:v>唯一</x:v>
      </x:c>
      <x:c r="T276" s="349" t="inlineStr">
        <x:is>
          <x:t xml:space="preserve">e4a736764edfe29345bddc85c226360e7cd4ad0c44474c715b704b8521c9a8ac</x:t>
        </x:is>
      </x:c>
      <x:c r="U276" s="349" t="inlineStr">
        <x:is>
          <x:t xml:space="preserve">Codex</x:t>
        </x:is>
      </x:c>
      <x:c r="V276" s="349" t="n">
        <x:v>46264</x:v>
      </x:c>
      <x:c r="W276" s="349" t="inlineStr">
        <x:is>
          <x:t xml:space="preserve">用户自制Blender资产</x:t>
        </x:is>
      </x:c>
      <x:c r="X276" s="375" t="inlineStr">
        <x:is>
          <x:t xml:space="preserve">—</x:t>
        </x:is>
      </x:c>
      <x:c r="Y276" s="349" t="inlineStr">
        <x:is>
          <x:t xml:space="preserve"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x:t>
        </x:is>
      </x:c>
    </x:row>
    <x:row r="277">
      <x:c r="A277" s="349" t="inlineStr">
        <x:is>
          <x:t xml:space="preserve">ENV-BASE99-STAIR-L-Z7</x:t>
        </x:is>
      </x:c>
      <x:c r="B277" s="349" t="inlineStr">
        <x:is>
          <x:t xml:space="preserve">基地99层7米L型楼梯</x:t>
        </x:is>
      </x:c>
      <x:c r="C277" s="349" t="inlineStr">
        <x:is>
          <x:t xml:space="preserve">场景</x:t>
        </x:is>
      </x:c>
      <x:c r="D277" s="349" t="inlineStr">
        <x:is>
          <x:t xml:space="preserve">environment_module_3d</x:t>
        </x:is>
      </x:c>
      <x:c r="E277" s="349" t="inlineStr">
        <x:is>
          <x:t xml:space="preserve">base99_stair_l_z7</x:t>
        </x:is>
      </x:c>
      <x:c r="F277" s="349" t="inlineStr">
        <x:is>
          <x:t xml:space="preserve">stair_l</x:t>
        </x:is>
      </x:c>
      <x:c r="G277" s="349" t="inlineStr">
        <x:is>
          <x:t xml:space="preserve">ENV-BASE99-MODULAR-KIT-3D</x:t>
        </x:is>
      </x:c>
      <x:c r="H277" s="349" t="inlineStr">
        <x:is>
          <x:t xml:space="preserve">Top3D / local -Z 正面</x:t>
        </x:is>
      </x:c>
      <x:c r="I277" s="349" t="inlineStr">
        <x:is>
          <x:t xml:space="preserve">default / visual_only</x:t>
        </x:is>
      </x:c>
      <x:c r="J277" s="349" t="inlineStr">
        <x:is>
          <x:t xml:space="preserve">99层基地模块化结构</x:t>
        </x:is>
      </x:c>
      <x:c r="K277" s="349" t="inlineStr">
        <x:is>
          <x:t xml:space="preserve">已完成</x:t>
        </x:is>
      </x:c>
      <x:c r="L277" s="349" t="inlineStr">
        <x:is>
          <x:t xml:space="preserve">P0</x:t>
        </x:is>
      </x:c>
      <x:c r="M277" s="349" t="inlineStr">
        <x:is>
          <x:t xml:space="preserve">v001</x:t>
        </x:is>
      </x:c>
      <x:c r="N277" s="349" t="inlineStr">
        <x:is>
          <x:t xml:space="preserve">约9.22×10.54×7.94m外廓；一楼至7m楼板</x:t>
        </x:is>
      </x:c>
      <x:c r="O277" s="349" t="inlineStr">
        <x:is>
          <x:t xml:space="preserve">assets/art/environments/base_facility_3d/runtime/env_base99_stair_l_z7/env_base99_stair_l_z7_root_top3d_v001.tscn</x:t>
        </x:is>
      </x:c>
      <x:c r="P277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7" s="349" t="inlineStr">
        <x:is>
          <x:t xml:space="preserve">基地99层7米L型楼梯;base99;PaletteUV;cast_and_receive</x:t>
        </x:is>
      </x:c>
      <x:c r="R277" s="349" t="str">
        <x:f>LOWER(TRIM(C277)&amp;"|"&amp;TRIM(D277)&amp;"|"&amp;TRIM(E277)&amp;"|"&amp;TRIM(F277)&amp;"|"&amp;TRIM(H277)&amp;"|"&amp;TRIM(I277))</x:f>
        <x:v>场景|environment_module_3d|base99_stair_l_z7|stair_l|top3d / local -z 正面|default / visual_only</x:v>
      </x:c>
      <x:c r="S277" s="349" t="str">
        <x:f>IF(COUNTIF($R$6:$R$423,R277)&gt;1,"重复","唯一")</x:f>
        <x:v>唯一</x:v>
      </x:c>
      <x:c r="T277" s="349" t="inlineStr">
        <x:is>
          <x:t xml:space="preserve">fa7d1d7f9745050ba7e584a2d8908b6eec256dfdeb5b22cf934b065096425254</x:t>
        </x:is>
      </x:c>
      <x:c r="U277" s="349" t="inlineStr">
        <x:is>
          <x:t xml:space="preserve">Codex</x:t>
        </x:is>
      </x:c>
      <x:c r="V277" s="349" t="n">
        <x:v>46264</x:v>
      </x:c>
      <x:c r="W277" s="349" t="inlineStr">
        <x:is>
          <x:t xml:space="preserve">用户自制Blender资产</x:t>
        </x:is>
      </x:c>
      <x:c r="X277" s="375" t="inlineStr">
        <x:is>
          <x:t xml:space="preserve">—</x:t>
        </x:is>
      </x:c>
      <x:c r="Y277" s="349" t="inlineStr">
        <x:is>
          <x:t xml:space="preserve"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x:t>
        </x:is>
      </x:c>
    </x:row>
    <x:row r="278">
      <x:c r="A278" s="349" t="inlineStr">
        <x:is>
          <x:t xml:space="preserve">ENV-BASE99-STAIR-EXTERIOR-H2</x:t>
        </x:is>
      </x:c>
      <x:c r="B278" s="349" t="inlineStr">
        <x:is>
          <x:t xml:space="preserve">基地99层二楼外门2米小楼梯</x:t>
        </x:is>
      </x:c>
      <x:c r="C278" s="349" t="inlineStr">
        <x:is>
          <x:t xml:space="preserve">场景</x:t>
        </x:is>
      </x:c>
      <x:c r="D278" s="349" t="inlineStr">
        <x:is>
          <x:t xml:space="preserve">environment_module_3d</x:t>
        </x:is>
      </x:c>
      <x:c r="E278" s="349" t="inlineStr">
        <x:is>
          <x:t xml:space="preserve">base99_stair_exterior_h2</x:t>
        </x:is>
      </x:c>
      <x:c r="F278" s="349" t="inlineStr">
        <x:is>
          <x:t xml:space="preserve">stair_exterior</x:t>
        </x:is>
      </x:c>
      <x:c r="G278" s="349" t="inlineStr">
        <x:is>
          <x:t xml:space="preserve">ENV-BASE99-MODULAR-KIT-3D</x:t>
        </x:is>
      </x:c>
      <x:c r="H278" s="349" t="inlineStr">
        <x:is>
          <x:t xml:space="preserve">Top3D / local -Z 正面</x:t>
        </x:is>
      </x:c>
      <x:c r="I278" s="349" t="inlineStr">
        <x:is>
          <x:t xml:space="preserve">default / visual_only</x:t>
        </x:is>
      </x:c>
      <x:c r="J278" s="349" t="inlineStr">
        <x:is>
          <x:t xml:space="preserve">99层基地模块化结构</x:t>
        </x:is>
      </x:c>
      <x:c r="K278" s="349" t="inlineStr">
        <x:is>
          <x:t xml:space="preserve">已完成</x:t>
        </x:is>
      </x:c>
      <x:c r="L278" s="349" t="inlineStr">
        <x:is>
          <x:t xml:space="preserve">P0</x:t>
        </x:is>
      </x:c>
      <x:c r="M278" s="349" t="inlineStr">
        <x:is>
          <x:t xml:space="preserve">v001</x:t>
        </x:is>
      </x:c>
      <x:c r="N278" s="349" t="inlineStr">
        <x:is>
          <x:t xml:space="preserve">4.515×2.80×2.00m；7m楼板至9m外门门槛</x:t>
        </x:is>
      </x:c>
      <x:c r="O278" s="349" t="inlineStr">
        <x:is>
          <x:t xml:space="preserve">assets/art/environments/base_facility_3d/runtime/env_base99_stair_exterior_h2/env_base99_stair_exterior_h2_root_top3d_v001.tscn</x:t>
        </x:is>
      </x:c>
      <x:c r="P27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8" s="349" t="inlineStr">
        <x:is>
          <x:t xml:space="preserve">基地99层二楼外门2米小楼梯;base99;PaletteUV;cast_and_receive</x:t>
        </x:is>
      </x:c>
      <x:c r="R278" s="349" t="str">
        <x:f>LOWER(TRIM(C278)&amp;"|"&amp;TRIM(D278)&amp;"|"&amp;TRIM(E278)&amp;"|"&amp;TRIM(F278)&amp;"|"&amp;TRIM(H278)&amp;"|"&amp;TRIM(I278))</x:f>
        <x:v>场景|environment_module_3d|base99_stair_exterior_h2|stair_exterior|top3d / local -z 正面|default / visual_only</x:v>
      </x:c>
      <x:c r="S278" s="349" t="str">
        <x:f>IF(COUNTIF($R$6:$R$423,R278)&gt;1,"重复","唯一")</x:f>
        <x:v>唯一</x:v>
      </x:c>
      <x:c r="T278" s="349" t="inlineStr">
        <x:is>
          <x:t xml:space="preserve">7f7ba660bd28cad7f71605f7d2b2aa15726bbe19047e69a871efc0c21e93b73d</x:t>
        </x:is>
      </x:c>
      <x:c r="U278" s="349" t="inlineStr">
        <x:is>
          <x:t xml:space="preserve">Codex</x:t>
        </x:is>
      </x:c>
      <x:c r="V278" s="349" t="n">
        <x:v>46264</x:v>
      </x:c>
      <x:c r="W278" s="349" t="inlineStr">
        <x:is>
          <x:t xml:space="preserve">用户自制Blender资产</x:t>
        </x:is>
      </x:c>
      <x:c r="X278" s="375" t="inlineStr">
        <x:is>
          <x:t xml:space="preserve">—</x:t>
        </x:is>
      </x:c>
      <x:c r="Y278" s="349" t="inlineStr">
        <x:is>
          <x:t xml:space="preserve"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x:t>
        </x:is>
      </x:c>
    </x:row>
    <x:row r="279">
      <x:c r="A279" s="349" t="inlineStr">
        <x:is>
          <x:t xml:space="preserve">ENV-BASE99-DOOR-LIFT-22X25</x:t>
        </x:is>
      </x:c>
      <x:c r="B279" s="349" t="inlineStr">
        <x:is>
          <x:t xml:space="preserve">基地99层2.2×2.5米滑升门扇</x:t>
        </x:is>
      </x:c>
      <x:c r="C279" s="349" t="inlineStr">
        <x:is>
          <x:t xml:space="preserve">场景</x:t>
        </x:is>
      </x:c>
      <x:c r="D279" s="349" t="inlineStr">
        <x:is>
          <x:t xml:space="preserve">facility_visual_3d</x:t>
        </x:is>
      </x:c>
      <x:c r="E279" s="349" t="inlineStr">
        <x:is>
          <x:t xml:space="preserve">base99_door_lift_2p2x2p5</x:t>
        </x:is>
      </x:c>
      <x:c r="F279" s="349" t="inlineStr">
        <x:is>
          <x:t xml:space="preserve">door_leaf</x:t>
        </x:is>
      </x:c>
      <x:c r="G279" s="349" t="inlineStr">
        <x:is>
          <x:t xml:space="preserve">ENV-BASE99-MODULAR-KIT-3D</x:t>
        </x:is>
      </x:c>
      <x:c r="H279" s="349" t="inlineStr">
        <x:is>
          <x:t xml:space="preserve">Top3D / local -Z 正面</x:t>
        </x:is>
      </x:c>
      <x:c r="I279" s="349" t="inlineStr">
        <x:is>
          <x:t xml:space="preserve">default / visual_only</x:t>
        </x:is>
      </x:c>
      <x:c r="J279" s="349" t="inlineStr">
        <x:is>
          <x:t xml:space="preserve">99层基地东/西滑升门</x:t>
        </x:is>
      </x:c>
      <x:c r="K279" s="349" t="inlineStr">
        <x:is>
          <x:t xml:space="preserve">已完成</x:t>
        </x:is>
      </x:c>
      <x:c r="L279" s="349" t="inlineStr">
        <x:is>
          <x:t xml:space="preserve">P0</x:t>
        </x:is>
      </x:c>
      <x:c r="M279" s="349" t="inlineStr">
        <x:is>
          <x:t xml:space="preserve">v001</x:t>
        </x:is>
      </x:c>
      <x:c r="N279" s="349" t="inlineStr">
        <x:is>
          <x:t xml:space="preserve">2.2×0.325×2.5m；底边中心原点</x:t>
        </x:is>
      </x:c>
      <x:c r="O279" s="349" t="inlineStr">
        <x:is>
          <x:t xml:space="preserve">assets/art/environments/base_facility_3d/runtime/env_base99_door_lift_2p2x2p5/env_base99_door_lift_2p2x2p5_root_top3d_v001.tscn</x:t>
        </x:is>
      </x:c>
      <x:c r="P279" s="349" t="inlineStr">
        <x:is>
          <x:t xml:space="preserve">assets/art/environments/base_facility_3d/source/env_base99_modular_room/env_base99_modular_room_assets_clean_v001.blend; scripts/blender/export_base99_runtime_modules.py; src/world3d/RoomDoor3D.gd</x:t>
        </x:is>
      </x:c>
      <x:c r="Q279" s="349" t="inlineStr">
        <x:is>
          <x:t xml:space="preserve">基地99层2.2×2.5米滑升门扇;base99;PaletteUV;cast_and_receive</x:t>
        </x:is>
      </x:c>
      <x:c r="R279" s="349" t="str">
        <x:f>LOWER(TRIM(C279)&amp;"|"&amp;TRIM(D279)&amp;"|"&amp;TRIM(E279)&amp;"|"&amp;TRIM(F279)&amp;"|"&amp;TRIM(H279)&amp;"|"&amp;TRIM(I279))</x:f>
        <x:v>场景|facility_visual_3d|base99_door_lift_2p2x2p5|door_leaf|top3d / local -z 正面|default / visual_only</x:v>
      </x:c>
      <x:c r="S279" s="349" t="str">
        <x:f>IF(COUNTIF($R$6:$R$423,R279)&gt;1,"重复","唯一")</x:f>
        <x:v>唯一</x:v>
      </x:c>
      <x:c r="T279" s="349" t="inlineStr">
        <x:is>
          <x:t xml:space="preserve">3d818286df5334e4f4b8ea9b27413a9c68d68b576adfed199e162d18c6be0b38</x:t>
        </x:is>
      </x:c>
      <x:c r="U279" s="349" t="inlineStr">
        <x:is>
          <x:t xml:space="preserve">Codex</x:t>
        </x:is>
      </x:c>
      <x:c r="V279" s="349" t="n">
        <x:v>46264</x:v>
      </x:c>
      <x:c r="W279" s="349" t="inlineStr">
        <x:is>
          <x:t xml:space="preserve">用户自制Blender资产</x:t>
        </x:is>
      </x:c>
      <x:c r="X279" s="375" t="inlineStr">
        <x:is>
          <x:t xml:space="preserve">—</x:t>
        </x:is>
      </x:c>
      <x:c r="Y279" s="349" t="inlineStr">
        <x:is>
          <x:t xml:space="preserve"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x:t>
        </x:is>
      </x:c>
    </x:row>
    <x:row r="280">
      <x:c r="A280" t="str">
        <x:v>ENV-BASE100-UPPER-SHELL-30X30-H12</x:v>
      </x:c>
      <x:c r="B280" t="str">
        <x:v>基地100层上层围护与24米封顶</x:v>
      </x:c>
      <x:c r="C280" t="inlineStr">
        <x:is>
          <x:t xml:space="preserve">场景</x:t>
        </x:is>
      </x:c>
      <x:c r="D280" t="inlineStr">
        <x:is>
          <x:t xml:space="preserve">environment_kit_3d</x:t>
        </x:is>
      </x:c>
      <x:c r="E280" t="str">
        <x:v>base100_upper_shell_30x30_h12</x:v>
      </x:c>
      <x:c r="F280" t="inlineStr">
        <x:is>
          <x:t xml:space="preserve">root_3d</x:t>
        </x:is>
      </x:c>
      <x:c r="G280" t="inlineStr">
        <x:is>
          <x:t xml:space="preserve">ENV-BASE99-MODULAR-KIT-3D</x:t>
        </x:is>
      </x:c>
      <x:c r="H280" t="inlineStr">
        <x:is>
          <x:t xml:space="preserve">Top3D / local -Z 正面</x:t>
        </x:is>
      </x:c>
      <x:c r="I280" t="inlineStr">
        <x:is>
          <x:t xml:space="preserve">default / prefab</x:t>
        </x:is>
      </x:c>
      <x:c r="J280" t="inlineStr">
        <x:is>
          <x:t xml:space="preserve">场景通用组件</x:t>
        </x:is>
      </x:c>
      <x:c r="K280" t="inlineStr">
        <x:is>
          <x:t xml:space="preserve">已完成</x:t>
        </x:is>
      </x:c>
      <x:c r="L280" t="inlineStr">
        <x:is>
          <x:t xml:space="preserve">P0</x:t>
        </x:is>
      </x:c>
      <x:c r="M280" t="str">
        <x:v>v002</x:v>
      </x:c>
      <x:c r="N280" t="str">
        <x:v>30×30m围护；本地12—24m墙体；24m封顶；墙视觉11.9m</x:v>
      </x:c>
      <x:c r="O280" t="str">
        <x:v>assets/art/environments/base_facility_3d/runtime/env_base100_upper_shell_30x30_h12/env_base100_upper_shell_30x30_h12_root_top3d_v002.tscn</x:v>
      </x:c>
      <x:c r="P280" t="str">
        <x:v>src/world3d/Base100UpperShell3D.gd; assets/art/environments/base_facility_3d/source/wall_height12/</x:v>
      </x:c>
      <x:c r="Q280" t="str">
        <x:v>基地100层;上层围护;北侧窗墙;24米封顶;12米层高</x:v>
      </x:c>
      <x:c r="R280" t="str">
        <x:f>LOWER(TRIM(C280)&amp;"|"&amp;TRIM(D280)&amp;"|"&amp;TRIM(E280)&amp;"|"&amp;TRIM(F280)&amp;"|"&amp;TRIM(H280)&amp;"|"&amp;TRIM(I280))</x:f>
        <x:v>场景|environment_kit_3d|base100_upper_shell_30x30_h12|root_3d|top3d / local -z 正面|default / prefab</x:v>
      </x:c>
      <x:c r="S280" t="str">
        <x:f>IF(COUNTIF($R$6:$R$423,R280)&gt;1,"重复","唯一")</x:f>
        <x:v>唯一</x:v>
      </x:c>
      <x:c r="T280" t="str">
        <x:v>3c44b2bdd1cf204da495cc7d4196af7fe943b1a0ebd5110b3776f57b0c5e12ae</x:v>
      </x:c>
      <x:c r="U280" t="inlineStr">
        <x:is>
          <x:t xml:space="preserve">Codex</x:t>
        </x:is>
      </x:c>
      <x:c r="V280" t="n">
        <x:v>46277</x:v>
      </x:c>
      <x:c r="W280" t="inlineStr">
        <x:is>
          <x:t xml:space="preserve">用户自制Blender资产</x:t>
        </x:is>
      </x:c>
      <x:c r="X280" s="375" t="inlineStr">
        <x:is>
          <x:t xml:space="preserve">—</x:t>
        </x:is>
      </x:c>
      <x:c r="Y280" t="inlineStr">
        <x:is>
          <x:t xml:space="preserve"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x:t>
        </x:is>
      </x:c>
    </x:row>
    <x:row r="281" ht="66" customHeight="1">
      <x:c r="A281" s="349" t="inlineStr">
        <x:is>
          <x:t xml:space="preserve">ENV-BASE99-MEZZANINE-20X10-Z5</x:t>
        </x:is>
      </x:c>
      <x:c r="B281" s="349" t="inlineStr">
        <x:is>
          <x:t xml:space="preserve">基地99层5米楼中楼楼板</x:t>
        </x:is>
      </x:c>
      <x:c r="C281" s="349" t="inlineStr">
        <x:is>
          <x:t xml:space="preserve">场景</x:t>
        </x:is>
      </x:c>
      <x:c r="D281" s="349" t="inlineStr">
        <x:is>
          <x:t xml:space="preserve">environment_module</x:t>
        </x:is>
      </x:c>
      <x:c r="E281" s="349" t="inlineStr">
        <x:is>
          <x:t xml:space="preserve">base99_mezzanine_20x10_z5</x:t>
        </x:is>
      </x:c>
      <x:c r="F281" s="349" t="inlineStr">
        <x:is>
          <x:t xml:space="preserve">platform</x:t>
        </x:is>
      </x:c>
      <x:c r="G281" s="349" t="inlineStr">
        <x:is>
          <x:t xml:space="preserve">ENV-BASE99-MODULAR-ROOM</x:t>
        </x:is>
      </x:c>
      <x:c r="H281" s="349" t="inlineStr">
        <x:is>
          <x:t xml:space="preserve">俯视3D</x:t>
        </x:is>
      </x:c>
      <x:c r="I281" s="349" t="inlineStr">
        <x:is>
          <x:t xml:space="preserve">default</x:t>
        </x:is>
      </x:c>
      <x:c r="J281" s="349" t="inlineStr">
        <x:is>
          <x:t xml:space="preserve">基地99F</x:t>
        </x:is>
      </x:c>
      <x:c r="K281" s="349" t="inlineStr">
        <x:is>
          <x:t xml:space="preserve">旧资产已从正式基地移除</x:t>
        </x:is>
      </x:c>
      <x:c r="L281" s="349" t="inlineStr">
        <x:is>
          <x:t xml:space="preserve">P0</x:t>
        </x:is>
      </x:c>
      <x:c r="M281" s="349" t="inlineStr">
        <x:is>
          <x:t xml:space="preserve">v003</x:t>
        </x:is>
      </x:c>
      <x:c r="N281" s="349" t="inlineStr">
        <x:is>
          <x:t xml:space="preserve">20.2475×10.2475×5.93m外廓；5m完成面；承重皮四边内收0.15m；边缘共面0</x:t>
        </x:is>
      </x:c>
      <x:c r="O281" s="349" t="inlineStr">
        <x:is>
          <x:t xml:space="preserve">assets/art/environments/base_facility_3d/runtime/env_base99_mezzanine_20x10_z5/env_base99_mezzanine_20x10_z5_root_top3d_v003.tscn</x:t>
        </x:is>
      </x:c>
      <x:c r="P281" s="349" t="inlineStr">
        <x:is>
          <x:t xml:space="preserve"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x:t>
        </x:is>
      </x:c>
      <x:c r="Q281" s="349" t="inlineStr">
        <x:is>
          <x:t xml:space="preserve">5米楼板; 栏杆; 投影; Blender母版; 边缘共面0; PaletteUV</x:t>
        </x:is>
      </x:c>
      <x:c r="R281" s="349" t="str">
        <x:f>LOWER(TRIM(C281)&amp;"|"&amp;TRIM(D281)&amp;"|"&amp;TRIM(E281)&amp;"|"&amp;TRIM(F281)&amp;"|"&amp;TRIM(H281)&amp;"|"&amp;TRIM(I281))</x:f>
        <x:v>场景|environment_module|base99_mezzanine_20x10_z5|platform|俯视3d|default</x:v>
      </x:c>
      <x:c r="S281" s="349" t="str">
        <x:f>IF(COUNTIF($R$6:$R$423,R281)&gt;1,"重复","唯一")</x:f>
        <x:v>唯一</x:v>
      </x:c>
      <x:c r="T281" s="349" t="inlineStr">
        <x:is>
          <x:t xml:space="preserve">bf889cc27c104d45f3826c3260530e2b676648c4a8689fb3305a26c444f326b4</x:t>
        </x:is>
      </x:c>
      <x:c r="U281" s="349" t="inlineStr">
        <x:is>
          <x:t xml:space="preserve">Codex</x:t>
        </x:is>
      </x:c>
      <x:c r="V281" s="348" t="n">
        <x:v>46264</x:v>
      </x:c>
      <x:c r="W281" s="349" t="inlineStr">
        <x:is>
          <x:t xml:space="preserve">用户自制/项目内资产</x:t>
        </x:is>
      </x:c>
      <x:c r="X281" s="375" t="inlineStr">
        <x:is>
          <x:t xml:space="preserve">—</x:t>
        </x:is>
      </x:c>
      <x:c r="Y281" s="349" t="inlineStr">
        <x:is>
          <x:t xml:space="preserve"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x:t>
        </x:is>
      </x:c>
    </x:row>
    <x:row r="282" ht="66" customHeight="1">
      <x:c r="A282" s="349" t="inlineStr">
        <x:is>
          <x:t xml:space="preserve">ENV-BASE99-STAIR-L-Z5</x:t>
        </x:is>
      </x:c>
      <x:c r="B282" s="349" t="inlineStr">
        <x:is>
          <x:t xml:space="preserve">基地99层5米L型楼梯</x:t>
        </x:is>
      </x:c>
      <x:c r="C282" s="349" t="inlineStr">
        <x:is>
          <x:t xml:space="preserve">场景</x:t>
        </x:is>
      </x:c>
      <x:c r="D282" s="349" t="inlineStr">
        <x:is>
          <x:t xml:space="preserve">environment_module</x:t>
        </x:is>
      </x:c>
      <x:c r="E282" s="349" t="inlineStr">
        <x:is>
          <x:t xml:space="preserve">base99_stair_l_z5</x:t>
        </x:is>
      </x:c>
      <x:c r="F282" s="349" t="inlineStr">
        <x:is>
          <x:t xml:space="preserve">stair</x:t>
        </x:is>
      </x:c>
      <x:c r="G282" s="349" t="inlineStr">
        <x:is>
          <x:t xml:space="preserve">ENV-BASE99-MODULAR-ROOM</x:t>
        </x:is>
      </x:c>
      <x:c r="H282" s="349" t="inlineStr">
        <x:is>
          <x:t xml:space="preserve">俯视3D</x:t>
        </x:is>
      </x:c>
      <x:c r="I282" s="349" t="inlineStr">
        <x:is>
          <x:t xml:space="preserve">default</x:t>
        </x:is>
      </x:c>
      <x:c r="J282" s="349" t="inlineStr">
        <x:is>
          <x:t xml:space="preserve">基地99F</x:t>
        </x:is>
      </x:c>
      <x:c r="K282" s="349" t="inlineStr">
        <x:is>
          <x:t xml:space="preserve">旧资产已从正式基地移除</x:t>
        </x:is>
      </x:c>
      <x:c r="L282" s="349" t="inlineStr">
        <x:is>
          <x:t xml:space="preserve">P0</x:t>
        </x:is>
      </x:c>
      <x:c r="M282" s="349" t="inlineStr">
        <x:is>
          <x:t xml:space="preserve">v004</x:t>
        </x:is>
      </x:c>
      <x:c r="N282" s="349" t="inlineStr">
        <x:is>
          <x:t xml:space="preserve">0→2.5→5m；单一行走体</x:t>
        </x:is>
      </x:c>
      <x:c r="O282" s="349" t="inlineStr">
        <x:is>
          <x:t xml:space="preserve">assets/art/environments/base_facility_3d/runtime/env_base99_stair_l_z5/env_base99_stair_l_z5_root_top3d_v004.tscn</x:t>
        </x:is>
      </x:c>
      <x:c r="P282" s="349" t="inlineStr">
        <x:is>
          <x:t xml:space="preserve">assets/art/environments/base_facility_3d/source/env_base99_modular_room/env_base99_modular_room_assets_clean_v004.blend</x:t>
        </x:is>
      </x:c>
      <x:c r="Q282" s="349" t="inlineStr">
        <x:is>
          <x:t xml:space="preserve">L梯; 连续坡面; 单一行走体; 转角扶手收口</x:t>
        </x:is>
      </x:c>
      <x:c r="R282" s="349" t="str">
        <x:f>LOWER(TRIM(C282)&amp;"|"&amp;TRIM(D282)&amp;"|"&amp;TRIM(E282)&amp;"|"&amp;TRIM(F282)&amp;"|"&amp;TRIM(H282)&amp;"|"&amp;TRIM(I282))</x:f>
        <x:v>场景|environment_module|base99_stair_l_z5|stair|俯视3d|default</x:v>
      </x:c>
      <x:c r="S282" s="349" t="str">
        <x:f>IF(COUNTIF($R$6:$R$423,R282)&gt;1,"重复","唯一")</x:f>
        <x:v>唯一</x:v>
      </x:c>
      <x:c r="T282" s="349" t="inlineStr">
        <x:is>
          <x:t xml:space="preserve">de5190a9cd57ef7319bffbf95bbec8625acb23b730254b05f6f98cfc1e82b02e</x:t>
        </x:is>
      </x:c>
      <x:c r="U282" s="349" t="inlineStr">
        <x:is>
          <x:t xml:space="preserve">Codex</x:t>
        </x:is>
      </x:c>
      <x:c r="V282" s="348" t="n">
        <x:v>46264</x:v>
      </x:c>
      <x:c r="W282" s="349" t="inlineStr">
        <x:is>
          <x:t xml:space="preserve">用户自制/项目内资产</x:t>
        </x:is>
      </x:c>
      <x:c r="X282" s="375" t="inlineStr">
        <x:is>
          <x:t xml:space="preserve">—</x:t>
        </x:is>
      </x:c>
      <x:c r="Y282" s="349" t="inlineStr">
        <x:is>
          <x:t xml:space="preserve"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x:t>
        </x:is>
      </x:c>
    </x:row>
    <x:row r="283" ht="66" customHeight="1">
      <x:c r="A283" s="349" t="inlineStr">
        <x:is>
          <x:t xml:space="preserve">ENV-BASE99-STAIR-EXTERIOR-H4</x:t>
        </x:is>
      </x:c>
      <x:c r="B283" s="349" t="inlineStr">
        <x:is>
          <x:t xml:space="preserve">基地99至100层4米外梯</x:t>
        </x:is>
      </x:c>
      <x:c r="C283" s="349" t="inlineStr">
        <x:is>
          <x:t xml:space="preserve">场景</x:t>
        </x:is>
      </x:c>
      <x:c r="D283" s="349" t="inlineStr">
        <x:is>
          <x:t xml:space="preserve">environment_module</x:t>
        </x:is>
      </x:c>
      <x:c r="E283" s="349" t="inlineStr">
        <x:is>
          <x:t xml:space="preserve">base99_stair_exterior_h4</x:t>
        </x:is>
      </x:c>
      <x:c r="F283" s="349" t="inlineStr">
        <x:is>
          <x:t xml:space="preserve">stair_exterior</x:t>
        </x:is>
      </x:c>
      <x:c r="G283" s="349" t="inlineStr">
        <x:is>
          <x:t xml:space="preserve">ENV-BASE99-MODULAR-ROOM</x:t>
        </x:is>
      </x:c>
      <x:c r="H283" s="349" t="inlineStr">
        <x:is>
          <x:t xml:space="preserve">俯视3D</x:t>
        </x:is>
      </x:c>
      <x:c r="I283" s="349" t="inlineStr">
        <x:is>
          <x:t xml:space="preserve">default</x:t>
        </x:is>
      </x:c>
      <x:c r="J283" s="349" t="inlineStr">
        <x:is>
          <x:t xml:space="preserve">基地99F/100F</x:t>
        </x:is>
      </x:c>
      <x:c r="K283" s="349" t="inlineStr">
        <x:is>
          <x:t xml:space="preserve">旧资产已从正式基地移除</x:t>
        </x:is>
      </x:c>
      <x:c r="L283" s="349" t="inlineStr">
        <x:is>
          <x:t xml:space="preserve">P0</x:t>
        </x:is>
      </x:c>
      <x:c r="M283" s="349" t="inlineStr">
        <x:is>
          <x:t xml:space="preserve">v002</x:t>
        </x:is>
      </x:c>
      <x:c r="N283" s="349" t="inlineStr">
        <x:is>
          <x:t xml:space="preserve">5→9m；8.515m包络</x:t>
        </x:is>
      </x:c>
      <x:c r="O283" s="349" t="inlineStr">
        <x:is>
          <x:t xml:space="preserve">assets/art/environments/base_facility_3d/runtime/env_base99_stair_exterior_h4/env_base99_stair_exterior_h4_root_top3d_v002.tscn</x:t>
        </x:is>
      </x:c>
      <x:c r="P283" s="349" t="inlineStr">
        <x:is>
          <x:t xml:space="preserve">assets/art/environments/base_facility_3d/source/env_base99_modular_room/env_base99_modular_room_assets_clean_v002.blend</x:t>
        </x:is>
      </x:c>
      <x:c r="Q283" s="349" t="inlineStr">
        <x:is>
          <x:t xml:space="preserve">外梯; H4; 连续坡面</x:t>
        </x:is>
      </x:c>
      <x:c r="R283" s="349" t="str">
        <x:f>LOWER(TRIM(C283)&amp;"|"&amp;TRIM(D283)&amp;"|"&amp;TRIM(E283)&amp;"|"&amp;TRIM(F283)&amp;"|"&amp;TRIM(H283)&amp;"|"&amp;TRIM(I283))</x:f>
        <x:v>场景|environment_module|base99_stair_exterior_h4|stair_exterior|俯视3d|default</x:v>
      </x:c>
      <x:c r="S283" s="349" t="str">
        <x:f>IF(COUNTIF($R$6:$R$423,R283)&gt;1,"重复","唯一")</x:f>
        <x:v>唯一</x:v>
      </x:c>
      <x:c r="T283" s="349" t="inlineStr">
        <x:is>
          <x:t xml:space="preserve">5a4c81bcb729e09f33dbafdb34acfdad63ee1583b0046dbd26cd77c2f6eb37b6</x:t>
        </x:is>
      </x:c>
      <x:c r="U283" s="349" t="inlineStr">
        <x:is>
          <x:t xml:space="preserve">Codex</x:t>
        </x:is>
      </x:c>
      <x:c r="V283" s="348" t="n">
        <x:v>46264</x:v>
      </x:c>
      <x:c r="W283" s="349" t="inlineStr">
        <x:is>
          <x:t xml:space="preserve">用户自制/项目内资产</x:t>
        </x:is>
      </x:c>
      <x:c r="X283" s="375" t="inlineStr">
        <x:is>
          <x:t xml:space="preserve">—</x:t>
        </x:is>
      </x:c>
      <x:c r="Y283" s="349" t="inlineStr">
        <x:is>
          <x:t xml:space="preserve"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x:t>
        </x:is>
      </x:c>
    </x:row>
    <x:row r="284" ht="66" customHeight="1">
      <x:c r="A284" s="349" t="inlineStr">
        <x:is>
          <x:t xml:space="preserve">ENV-BASE99-MEZZANINE-UNDERDECK-BLOCKER</x:t>
        </x:is>
      </x:c>
      <x:c r="B284" s="349" t="inlineStr">
        <x:is>
          <x:t xml:space="preserve">基地99层楼中楼下方工业仓库挡板</x:t>
        </x:is>
      </x:c>
      <x:c r="C284" s="349" t="inlineStr">
        <x:is>
          <x:t xml:space="preserve">场景</x:t>
        </x:is>
      </x:c>
      <x:c r="D284" s="349" t="inlineStr">
        <x:is>
          <x:t xml:space="preserve">environment_module</x:t>
        </x:is>
      </x:c>
      <x:c r="E284" s="349" t="inlineStr">
        <x:is>
          <x:t xml:space="preserve">base99_mezzanine_underdeck_blocker</x:t>
        </x:is>
      </x:c>
      <x:c r="F284" s="349" t="inlineStr">
        <x:is>
          <x:t xml:space="preserve">underdeck_blocker</x:t>
        </x:is>
      </x:c>
      <x:c r="G284" s="349" t="inlineStr">
        <x:is>
          <x:t xml:space="preserve">ENV-BASE99-MODULAR-ROOM</x:t>
        </x:is>
      </x:c>
      <x:c r="H284" s="349" t="inlineStr">
        <x:is>
          <x:t xml:space="preserve">俯视3D / local -Z 正面</x:t>
        </x:is>
      </x:c>
      <x:c r="I284" s="349" t="inlineStr">
        <x:is>
          <x:t xml:space="preserve">default / permanent solid enclosure</x:t>
        </x:is>
      </x:c>
      <x:c r="J284" s="349" t="inlineStr">
        <x:is>
          <x:t xml:space="preserve">基地99F楼中楼下方</x:t>
        </x:is>
      </x:c>
      <x:c r="K284" s="349" t="inlineStr">
        <x:is>
          <x:t xml:space="preserve">旧资产已从正式基地移除</x:t>
        </x:is>
      </x:c>
      <x:c r="L284" s="349" t="inlineStr">
        <x:is>
          <x:t xml:space="preserve">P0</x:t>
        </x:is>
      </x:c>
      <x:c r="M284" s="349" t="inlineStr">
        <x:is>
          <x:t xml:space="preserve">v003</x:t>
        </x:is>
      </x:c>
      <x:c r="N284" s="349" t="inlineStr">
        <x:is>
          <x:t xml:space="preserve">19.31×9.11×4.65m视觉；0.55m内收；三面横向冷灰门板；碰撞顶4.95m</x:t>
        </x:is>
      </x:c>
      <x:c r="O284" s="349" t="inlineStr">
        <x:is>
          <x:t xml:space="preserve">assets/art/environments/base_facility_3d/runtime/env_base99_mezzanine_underdeck_blocker/env_base99_mezzanine_underdeck_blocker_root_top3d_v003.tscn</x:t>
        </x:is>
      </x:c>
      <x:c r="P284" s="349" t="inlineStr">
        <x:is>
          <x:t xml:space="preserve">assets/art/environments/base_facility_3d/source/env_base99_mezzanine_underdeck_blocker/env_base99_mezzanine_underdeck_blocker_source_v003.blend; scripts/blender/build_base99_mezzanine_underdeck_blocker_v003.py; src/world3d/Base99MezzanineUnderdeckBlocker3D.gd</x:t>
        </x:is>
      </x:c>
      <x:c r="Q284" s="349" t="inlineStr">
        <x:is>
          <x:t xml:space="preserve">基地99层; 楼中楼; 横向门板; Blender母版; PaletteUV; 三面永久阻挡; 0.55米内收; 物理射线验收</x:t>
        </x:is>
      </x:c>
      <x:c r="R284" s="349" t="str">
        <x:f>LOWER(TRIM(C284)&amp;"|"&amp;TRIM(D284)&amp;"|"&amp;TRIM(E284)&amp;"|"&amp;TRIM(F284)&amp;"|"&amp;TRIM(H284)&amp;"|"&amp;TRIM(I284))</x:f>
        <x:v>场景|environment_module|base99_mezzanine_underdeck_blocker|underdeck_blocker|俯视3d / local -z 正面|default / permanent solid enclosure</x:v>
      </x:c>
      <x:c r="S284" s="349" t="str">
        <x:f>IF(COUNTIF($R$6:$R$423,R284)&gt;1,"重复","唯一")</x:f>
        <x:v>唯一</x:v>
      </x:c>
      <x:c r="T284" s="349" t="inlineStr">
        <x:is>
          <x:t xml:space="preserve">30bdd1491da3170e49719496dff7a8d0a7e856cabe7bdc4ec1e01fc53f6a5746</x:t>
        </x:is>
      </x:c>
      <x:c r="U284" s="349" t="inlineStr">
        <x:is>
          <x:t xml:space="preserve">Codex</x:t>
        </x:is>
      </x:c>
      <x:c r="V284" s="348" t="n">
        <x:v>46264</x:v>
      </x:c>
      <x:c r="W284" s="349" t="inlineStr">
        <x:is>
          <x:t xml:space="preserve">用户自制Blender资产</x:t>
        </x:is>
      </x:c>
      <x:c r="X284" s="375" t="inlineStr">
        <x:is>
          <x:t xml:space="preserve">—</x:t>
        </x:is>
      </x:c>
      <x:c r="Y284" s="349" t="inlineStr">
        <x:is>
          <x:t xml:space="preserve"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x:t>
        </x:is>
      </x:c>
    </x:row>
    <x:row r="285" ht="66" customHeight="1">
      <x:c r="A285" s="349" t="inlineStr">
        <x:is>
          <x:t xml:space="preserve">PRP-BASE-AVATAR-WARDROBE-001</x:t>
        </x:is>
      </x:c>
      <x:c r="B285" s="349" t="inlineStr">
        <x:is>
          <x:t xml:space="preserve">基地角色衣柜</x:t>
        </x:is>
      </x:c>
      <x:c r="C285" s="349" t="inlineStr">
        <x:is>
          <x:t xml:space="preserve">场景道具</x:t>
        </x:is>
      </x:c>
      <x:c r="D285" s="349" t="inlineStr">
        <x:is>
          <x:t xml:space="preserve">base_facility</x:t>
        </x:is>
      </x:c>
      <x:c r="E285" s="349" t="inlineStr">
        <x:is>
          <x:t xml:space="preserve">avatar_wardrobe</x:t>
        </x:is>
      </x:c>
      <x:c r="F285" s="349" t="inlineStr">
        <x:is>
          <x:t xml:space="preserve">root</x:t>
        </x:is>
      </x:c>
      <x:c r="G285" s="349" t="n"/>
      <x:c r="H285" s="349" t="inlineStr">
        <x:is>
          <x:t xml:space="preserve">俯视3D</x:t>
        </x:is>
      </x:c>
      <x:c r="I285" s="349" t="inlineStr">
        <x:is>
          <x:t xml:space="preserve">default</x:t>
        </x:is>
      </x:c>
      <x:c r="J285" s="349" t="inlineStr">
        <x:is>
          <x:t xml:space="preserve">主基地/99F</x:t>
        </x:is>
      </x:c>
      <x:c r="K285" s="349" t="inlineStr">
        <x:is>
          <x:t xml:space="preserve">原型已接入</x:t>
        </x:is>
      </x:c>
      <x:c r="L285" s="349" t="inlineStr">
        <x:is>
          <x:t xml:space="preserve">P0</x:t>
        </x:is>
      </x:c>
      <x:c r="M285" s="349" t="inlineStr">
        <x:is>
          <x:t xml:space="preserve">v001</x:t>
        </x:is>
      </x:c>
      <x:c r="N285" s="349" t="inlineStr">
        <x:is>
          <x:t xml:space="preserve">根缩放1</x:t>
        </x:is>
      </x:c>
      <x:c r="O285" s="349" t="inlineStr">
        <x:is>
          <x:t xml:space="preserve">assets/art/props/base_world_3d/runtime/avatar_wardrobe/prp_base_avatar_wardrobe_root_top3d_v001.tscn</x:t>
        </x:is>
      </x:c>
      <x:c r="P285" s="349" t="inlineStr">
        <x:is>
          <x:t xml:space="preserve">src/ui/wardrobe/WardrobeMenu3D.gd</x:t>
        </x:is>
      </x:c>
      <x:c r="Q285" s="349" t="inlineStr">
        <x:is>
          <x:t xml:space="preserve">衣柜; avatar; 换装; 6分类</x:t>
        </x:is>
      </x:c>
      <x:c r="R285" s="349" t="str">
        <x:f>LOWER(TRIM(C285)&amp;"|"&amp;TRIM(D285)&amp;"|"&amp;TRIM(E285)&amp;"|"&amp;TRIM(F285)&amp;"|"&amp;TRIM(H285)&amp;"|"&amp;TRIM(I285))</x:f>
        <x:v>场景道具|base_facility|avatar_wardrobe|root|俯视3d|default</x:v>
      </x:c>
      <x:c r="S285" s="349" t="str">
        <x:f>IF(COUNTIF($R$6:$R$423,R285)&gt;1,"重复","唯一")</x:f>
        <x:v>唯一</x:v>
      </x:c>
      <x:c r="T285" s="349" t="inlineStr">
        <x:is>
          <x:t xml:space="preserve">6204010a604d138b4f5b797bfdc7b4701a3a2a086c80f69c9a749196dbc01c51</x:t>
        </x:is>
      </x:c>
      <x:c r="U285" s="349" t="inlineStr">
        <x:is>
          <x:t xml:space="preserve">Codex</x:t>
        </x:is>
      </x:c>
      <x:c r="V285" s="348" t="n">
        <x:v>46264</x:v>
      </x:c>
      <x:c r="W285" s="349" t="inlineStr">
        <x:is>
          <x:t xml:space="preserve">用户自制/项目内资产</x:t>
        </x:is>
      </x:c>
      <x:c r="X285" s="375" t="inlineStr">
        <x:is>
          <x:t xml:space="preserve">—</x:t>
        </x:is>
      </x:c>
      <x:c r="Y285" s="349" t="inlineStr">
        <x:is>
          <x:t xml:space="preserve"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x:t>
        </x:is>
      </x:c>
    </x:row>
    <x:row r="286" ht="66" customHeight="1">
      <x:c r="A286" s="349" t="inlineStr">
        <x:is>
          <x:t xml:space="preserve">CHR-PLAYER-AVATAR-TEMPLATE-001</x:t>
        </x:is>
      </x:c>
      <x:c r="B286" s="349" t="inlineStr">
        <x:is>
          <x:t xml:space="preserve">玩家角色1.5米制作母版</x:t>
        </x:is>
      </x:c>
      <x:c r="C286" s="349" t="inlineStr">
        <x:is>
          <x:t xml:space="preserve">角色</x:t>
        </x:is>
      </x:c>
      <x:c r="D286" s="349" t="inlineStr">
        <x:is>
          <x:t xml:space="preserve">authoring_template</x:t>
        </x:is>
      </x:c>
      <x:c r="E286" s="349" t="inlineStr">
        <x:is>
          <x:t xml:space="preserve">player_avatar_template</x:t>
        </x:is>
      </x:c>
      <x:c r="F286" s="349" t="inlineStr">
        <x:is>
          <x:t xml:space="preserve">root</x:t>
        </x:is>
      </x:c>
      <x:c r="G286" s="349" t="inlineStr">
        <x:is>
          <x:t xml:space="preserve">CHR-PLY-CAPSULE01</x:t>
        </x:is>
      </x:c>
      <x:c r="H286" s="349" t="inlineStr">
        <x:is>
          <x:t xml:space="preserve">全向3D</x:t>
        </x:is>
      </x:c>
      <x:c r="I286" s="349" t="inlineStr">
        <x:is>
          <x:t xml:space="preserve">template</x:t>
        </x:is>
      </x:c>
      <x:c r="J286" s="349" t="inlineStr">
        <x:is>
          <x:t xml:space="preserve">角色制作</x:t>
        </x:is>
      </x:c>
      <x:c r="K286" s="349" t="inlineStr">
        <x:is>
          <x:t xml:space="preserve">已完成</x:t>
        </x:is>
      </x:c>
      <x:c r="L286" s="349" t="inlineStr">
        <x:is>
          <x:t xml:space="preserve">P0</x:t>
        </x:is>
      </x:c>
      <x:c r="M286" s="349" t="inlineStr">
        <x:is>
          <x:t xml:space="preserve">v001</x:t>
        </x:is>
      </x:c>
      <x:c r="N286" s="349" t="inlineStr">
        <x:is>
          <x:t xml:space="preserve">1.50m；根缩放1</x:t>
        </x:is>
      </x:c>
      <x:c r="O286" s="349" t="inlineStr">
        <x:is>
          <x:t xml:space="preserve">assets/art/characters/player/chr_player_avatar_template_3d/source/chr_player_avatar_template_source_v001.blend</x:t>
        </x:is>
      </x:c>
      <x:c r="P286" s="349" t="inlineStr">
        <x:is>
          <x:t xml:space="preserve">scripts/blender/validate_player_avatar_asset_template.py</x:t>
        </x:is>
      </x:c>
      <x:c r="Q286" s="349" t="inlineStr">
        <x:is>
          <x:t xml:space="preserve">角色母版; 1.5米; 挂点; 配件</x:t>
        </x:is>
      </x:c>
      <x:c r="R286" s="349" t="str">
        <x:f>LOWER(TRIM(C286)&amp;"|"&amp;TRIM(D286)&amp;"|"&amp;TRIM(E286)&amp;"|"&amp;TRIM(F286)&amp;"|"&amp;TRIM(H286)&amp;"|"&amp;TRIM(I286))</x:f>
        <x:v>角色|authoring_template|player_avatar_template|root|全向3d|template</x:v>
      </x:c>
      <x:c r="S286" s="349" t="str">
        <x:f>IF(COUNTIF($R$6:$R$423,R286)&gt;1,"重复","唯一")</x:f>
        <x:v>唯一</x:v>
      </x:c>
      <x:c r="T286" s="349" t="inlineStr">
        <x:is>
          <x:t xml:space="preserve">8bb17309f5dac5a5b8c4d3917193042213c64ff566486abdfff0aeafdc893117</x:t>
        </x:is>
      </x:c>
      <x:c r="U286" s="349" t="inlineStr">
        <x:is>
          <x:t xml:space="preserve">Codex</x:t>
        </x:is>
      </x:c>
      <x:c r="V286" s="348" t="n">
        <x:v>46264</x:v>
      </x:c>
      <x:c r="W286" s="349" t="inlineStr">
        <x:is>
          <x:t xml:space="preserve">用户自制/项目内资产</x:t>
        </x:is>
      </x:c>
      <x:c r="X286" s="375" t="inlineStr">
        <x:is>
          <x:t xml:space="preserve">—</x:t>
        </x:is>
      </x:c>
      <x:c r="Y286" s="349" t="inlineStr">
        <x:is>
          <x:t xml:space="preserve">2026-08-20：本轮基地系统、角色母版与资产流程登记。
2026-08-30 AST-01规范化（原制作状态：正式制作母版）
2026-08-30 AST-02：补齐单一生产路径SHA；验收：scripts/blender/validate_player_avatar_asset_template.py；SHA 8bb17309f5da。</x:t>
        </x:is>
      </x:c>
    </x:row>
    <x:row r="287" ht="56" customHeight="1">
      <x:c r="A287" s="349" t="inlineStr">
        <x:is>
          <x:t xml:space="preserve">ENM-ELITE-RIFT-BOAR-ARMED-3D</x:t>
        </x:is>
      </x:c>
      <x:c r="B287" s="349" t="inlineStr">
        <x:is>
          <x:t xml:space="preserve">背枪的裂口爬虫3D精英根</x:t>
        </x:is>
      </x:c>
      <x:c r="C287" s="349" t="inlineStr">
        <x:is>
          <x:t xml:space="preserve">敌人</x:t>
        </x:is>
      </x:c>
      <x:c r="D287" s="349" t="inlineStr">
        <x:is>
          <x:t xml:space="preserve">elite</x:t>
        </x:is>
      </x:c>
      <x:c r="E287" s="349" t="inlineStr">
        <x:is>
          <x:t xml:space="preserve">elite_rift_boar_armed</x:t>
        </x:is>
      </x:c>
      <x:c r="F287" s="349" t="inlineStr">
        <x:is>
          <x:t xml:space="preserve">root_3d</x:t>
        </x:is>
      </x:c>
      <x:c r="G287" s="349" t="inlineStr">
        <x:is>
          <x:t xml:space="preserve">ENM-ECOSYSTEM-KIT-3D</x:t>
        </x:is>
      </x:c>
      <x:c r="H287" s="349" t="inlineStr">
        <x:is>
          <x:t xml:space="preserve">Top3D / local -Z 正面</x:t>
        </x:is>
      </x:c>
      <x:c r="I287" s="349" t="inlineStr">
        <x:is>
          <x:t xml:space="preserve">default / armed_rush</x:t>
        </x:is>
      </x:c>
      <x:c r="J287" s="349" t="inlineStr">
        <x:is>
          <x:t xml:space="preserve">每次行动98—96F三选一；目标层随机ELITE房</x:t>
        </x:is>
      </x:c>
      <x:c r="K287" s="349" t="inlineStr">
        <x:is>
          <x:t xml:space="preserve">已完成</x:t>
        </x:is>
      </x:c>
      <x:c r="L287" s="349" t="inlineStr">
        <x:is>
          <x:t xml:space="preserve">P0</x:t>
        </x:is>
      </x:c>
      <x:c r="M287" s="349" t="inlineStr">
        <x:is>
          <x:t xml:space="preserve">v001</x:t>
        </x:is>
      </x:c>
      <x:c r="N287" s="349" t="inlineStr">
        <x:is>
          <x:t xml:space="preserve">1.970×1.843×1.345m；18 Mesh；4材质</x:t>
        </x:is>
      </x:c>
      <x:c r="O287" s="349" t="inlineStr">
        <x:is>
          <x:t xml:space="preserve">assets/art/enemies/elite_3d/rift_boar_armed/runtime/enm_elite_rift_boar_armed_root_top3d_v001.tscn</x:t>
        </x:is>
      </x:c>
      <x:c r="P287" s="349" t="inlineStr">
        <x:is>
          <x:t xml:space="preserve"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x:t>
        </x:is>
      </x:c>
      <x:c r="Q287" s="349" t="inlineStr">
        <x:is>
          <x:t xml:space="preserve">唯一精英;背枪;裂口爬虫;elite_rift_boar_armed;armed_rush;98F;97F;96F;命名血条</x:t>
        </x:is>
      </x:c>
      <x:c r="R287" s="349" t="str">
        <x:f>LOWER(TRIM(C287)&amp;"|"&amp;TRIM(D287)&amp;"|"&amp;TRIM(E287)&amp;"|"&amp;TRIM(F287)&amp;"|"&amp;TRIM(H287)&amp;"|"&amp;TRIM(I287))</x:f>
        <x:v>敌人|elite|elite_rift_boar_armed|root_3d|top3d / local -z 正面|default / armed_rush</x:v>
      </x:c>
      <x:c r="S287" s="349" t="str">
        <x:f>IF(COUNTIF($R$6:$R$423,R287)&gt;1,"重复","唯一")</x:f>
        <x:v>唯一</x:v>
      </x:c>
      <x:c r="T287" s="349" t="inlineStr">
        <x:is>
          <x:t xml:space="preserve">ec19ed6bda41e2a5d9ace78f28150ccdb1a646e0bd0bb9051e61ed374579e6e8</x:t>
        </x:is>
      </x:c>
      <x:c r="U287" s="349" t="inlineStr">
        <x:is>
          <x:t xml:space="preserve">Codex</x:t>
        </x:is>
      </x:c>
      <x:c r="V287" s="348" t="n">
        <x:v>46264</x:v>
      </x:c>
      <x:c r="W287" s="349" t="inlineStr">
        <x:is>
          <x:t xml:space="preserve">原创 Blender/Godot 组合</x:t>
        </x:is>
      </x:c>
      <x:c r="X287" s="375" t="inlineStr">
        <x:is>
          <x:t xml:space="preserve">—</x:t>
        </x:is>
      </x:c>
      <x:c r="Y287" s="349" t="inlineStr">
        <x:is>
          <x:t xml:space="preserve"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x:t>
        </x:is>
      </x:c>
    </x:row>
    <x:row r="288">
      <x:c r="A288" t="inlineStr">
        <x:is>
          <x:t xml:space="preserve">AUD-BGM-BASE-PASSION-A</x:t>
        </x:is>
      </x:c>
      <x:c r="B288" t="inlineStr">
        <x:is>
          <x:t xml:space="preserve">基地热血激情 BGM A</x:t>
        </x:is>
      </x:c>
      <x:c r="C288" t="inlineStr">
        <x:is>
          <x:t xml:space="preserve">音频</x:t>
        </x:is>
      </x:c>
      <x:c r="D288" t="inlineStr">
        <x:is>
          <x:t xml:space="preserve">bgm</x:t>
        </x:is>
      </x:c>
      <x:c r="E288" t="inlineStr">
        <x:is>
          <x:t xml:space="preserve">base_passion</x:t>
        </x:is>
      </x:c>
      <x:c r="F288" t="inlineStr">
        <x:is>
          <x:t xml:space="preserve">track_a</x:t>
        </x:is>
      </x:c>
      <x:c r="H288" t="inlineStr">
        <x:is>
          <x:t xml:space="preserve">不适用</x:t>
        </x:is>
      </x:c>
      <x:c r="I288" t="inlineStr">
        <x:is>
          <x:t xml:space="preserve">loop</x:t>
        </x:is>
      </x:c>
      <x:c r="J288" t="inlineStr">
        <x:is>
          <x:t xml:space="preserve">按场景复用</x:t>
        </x:is>
      </x:c>
      <x:c r="K288" t="inlineStr">
        <x:is>
          <x:t xml:space="preserve">原型已接入</x:t>
        </x:is>
      </x:c>
      <x:c r="L288" t="inlineStr">
        <x:is>
          <x:t xml:space="preserve">P1</x:t>
        </x:is>
      </x:c>
      <x:c r="M288" t="inlineStr">
        <x:is>
          <x:t xml:space="preserve">v001</x:t>
        </x:is>
      </x:c>
      <x:c r="N288" t="inlineStr">
        <x:is>
          <x:t xml:space="preserve">OGG/Vorbis；循环；Music 总线</x:t>
        </x:is>
      </x:c>
      <x:c r="O288" t="inlineStr">
        <x:is>
          <x:t xml:space="preserve">assets/audio/music/base_passion/base_passion_a_v001.ogg</x:t>
        </x:is>
      </x:c>
      <x:c r="P288" t="inlineStr">
        <x:is>
          <x:t xml:space="preserve">src/audio/MusicCatalog.gd；docs/v0.1/14.8_音乐系统与配乐资产.md；tests/verification/verify_music_system.tscn</x:t>
        </x:is>
      </x:c>
      <x:c r="Q288" t="inlineStr">
        <x:is>
          <x:t xml:space="preserve">base_passion track_a</x:t>
        </x:is>
      </x:c>
      <x:c r="R288" t="str">
        <x:f>LOWER(TRIM(C288)&amp;"|"&amp;TRIM(D288)&amp;"|"&amp;TRIM(E288)&amp;"|"&amp;TRIM(F288)&amp;"|"&amp;TRIM(H288)&amp;"|"&amp;TRIM(I288))</x:f>
        <x:v>音频|bgm|base_passion|track_a|不适用|loop</x:v>
      </x:c>
      <x:c r="S288" t="str">
        <x:f>IF(COUNTIF($R$6:$R$423,R288)&gt;1,"重复","唯一")</x:f>
        <x:v>唯一</x:v>
      </x:c>
      <x:c r="T288" t="inlineStr">
        <x:is>
          <x:t xml:space="preserve">e841cd4e93112d1be28859c2431aade46c52dff27165135e9991cdae6fac5967</x:t>
        </x:is>
      </x:c>
      <x:c r="U288" t="inlineStr">
        <x:is>
          <x:t xml:space="preserve">音频</x:t>
        </x:is>
      </x:c>
      <x:c r="V288" t="n">
        <x:v>46264</x:v>
      </x:c>
      <x:c r="W288" t="inlineStr">
        <x:is>
          <x:t xml:space="preserve">Suno.cn 任务 2092992444135116800；商业使用授权须由项目方按生成账户订阅证明复核</x:t>
        </x:is>
      </x:c>
      <x:c r="X288" s="375" t="inlineStr">
        <x:is>
          <x:t xml:space="preserve">—</x:t>
        </x:is>
      </x:c>
      <x:c r="Y288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89">
      <x:c r="A289" t="inlineStr">
        <x:is>
          <x:t xml:space="preserve">AUD-BGM-BASE-PASSION-B</x:t>
        </x:is>
      </x:c>
      <x:c r="B289" t="inlineStr">
        <x:is>
          <x:t xml:space="preserve">基地热血激情 BGM B</x:t>
        </x:is>
      </x:c>
      <x:c r="C289" t="inlineStr">
        <x:is>
          <x:t xml:space="preserve">音频</x:t>
        </x:is>
      </x:c>
      <x:c r="D289" t="inlineStr">
        <x:is>
          <x:t xml:space="preserve">bgm</x:t>
        </x:is>
      </x:c>
      <x:c r="E289" t="inlineStr">
        <x:is>
          <x:t xml:space="preserve">base_passion</x:t>
        </x:is>
      </x:c>
      <x:c r="F289" t="inlineStr">
        <x:is>
          <x:t xml:space="preserve">track_b</x:t>
        </x:is>
      </x:c>
      <x:c r="H289" t="inlineStr">
        <x:is>
          <x:t xml:space="preserve">不适用</x:t>
        </x:is>
      </x:c>
      <x:c r="I289" t="inlineStr">
        <x:is>
          <x:t xml:space="preserve">loop</x:t>
        </x:is>
      </x:c>
      <x:c r="J289" t="inlineStr">
        <x:is>
          <x:t xml:space="preserve">按场景复用</x:t>
        </x:is>
      </x:c>
      <x:c r="K289" t="inlineStr">
        <x:is>
          <x:t xml:space="preserve">原型已接入</x:t>
        </x:is>
      </x:c>
      <x:c r="L289" t="inlineStr">
        <x:is>
          <x:t xml:space="preserve">P1</x:t>
        </x:is>
      </x:c>
      <x:c r="M289" t="inlineStr">
        <x:is>
          <x:t xml:space="preserve">v001</x:t>
        </x:is>
      </x:c>
      <x:c r="N289" t="inlineStr">
        <x:is>
          <x:t xml:space="preserve">OGG/Vorbis；循环；Music 总线</x:t>
        </x:is>
      </x:c>
      <x:c r="O289" t="inlineStr">
        <x:is>
          <x:t xml:space="preserve">assets/audio/music/base_passion/base_passion_b_v001.ogg</x:t>
        </x:is>
      </x:c>
      <x:c r="P289" t="inlineStr">
        <x:is>
          <x:t xml:space="preserve">src/audio/MusicCatalog.gd；docs/v0.1/14.8_音乐系统与配乐资产.md；tests/verification/verify_music_system.tscn</x:t>
        </x:is>
      </x:c>
      <x:c r="Q289" t="inlineStr">
        <x:is>
          <x:t xml:space="preserve">base_passion track_b</x:t>
        </x:is>
      </x:c>
      <x:c r="R289" t="str">
        <x:f>LOWER(TRIM(C289)&amp;"|"&amp;TRIM(D289)&amp;"|"&amp;TRIM(E289)&amp;"|"&amp;TRIM(F289)&amp;"|"&amp;TRIM(H289)&amp;"|"&amp;TRIM(I289))</x:f>
        <x:v>音频|bgm|base_passion|track_b|不适用|loop</x:v>
      </x:c>
      <x:c r="S289" t="str">
        <x:f>IF(COUNTIF($R$6:$R$423,R289)&gt;1,"重复","唯一")</x:f>
        <x:v>唯一</x:v>
      </x:c>
      <x:c r="T289" t="inlineStr">
        <x:is>
          <x:t xml:space="preserve">4a6c1e9aca3fee17f168fb92be212e14cdf252a155c729fc11763c140aaa230f</x:t>
        </x:is>
      </x:c>
      <x:c r="U289" t="inlineStr">
        <x:is>
          <x:t xml:space="preserve">音频</x:t>
        </x:is>
      </x:c>
      <x:c r="V289" t="n">
        <x:v>46264</x:v>
      </x:c>
      <x:c r="W289" t="inlineStr">
        <x:is>
          <x:t xml:space="preserve">Suno.cn 任务 2092992444135116801；商业使用授权须由项目方按生成账户订阅证明复核</x:t>
        </x:is>
      </x:c>
      <x:c r="X289" s="375" t="inlineStr">
        <x:is>
          <x:t xml:space="preserve">—</x:t>
        </x:is>
      </x:c>
      <x:c r="Y289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0">
      <x:c r="A290" t="inlineStr">
        <x:is>
          <x:t xml:space="preserve">AUD-BGM-ROOFTOP-RELAX-A</x:t>
        </x:is>
      </x:c>
      <x:c r="B290" t="inlineStr">
        <x:is>
          <x:t xml:space="preserve">天台放松 BGM A</x:t>
        </x:is>
      </x:c>
      <x:c r="C290" t="inlineStr">
        <x:is>
          <x:t xml:space="preserve">音频</x:t>
        </x:is>
      </x:c>
      <x:c r="D290" t="inlineStr">
        <x:is>
          <x:t xml:space="preserve">bgm</x:t>
        </x:is>
      </x:c>
      <x:c r="E290" t="inlineStr">
        <x:is>
          <x:t xml:space="preserve">rooftop_relax</x:t>
        </x:is>
      </x:c>
      <x:c r="F290" t="inlineStr">
        <x:is>
          <x:t xml:space="preserve">track_a</x:t>
        </x:is>
      </x:c>
      <x:c r="H290" t="inlineStr">
        <x:is>
          <x:t xml:space="preserve">不适用</x:t>
        </x:is>
      </x:c>
      <x:c r="I290" t="inlineStr">
        <x:is>
          <x:t xml:space="preserve">loop</x:t>
        </x:is>
      </x:c>
      <x:c r="J290" t="inlineStr">
        <x:is>
          <x:t xml:space="preserve">按场景复用</x:t>
        </x:is>
      </x:c>
      <x:c r="K290" t="inlineStr">
        <x:is>
          <x:t xml:space="preserve">原型已接入</x:t>
        </x:is>
      </x:c>
      <x:c r="L290" t="inlineStr">
        <x:is>
          <x:t xml:space="preserve">P1</x:t>
        </x:is>
      </x:c>
      <x:c r="M290" t="inlineStr">
        <x:is>
          <x:t xml:space="preserve">v001</x:t>
        </x:is>
      </x:c>
      <x:c r="N290" t="inlineStr">
        <x:is>
          <x:t xml:space="preserve">OGG/Vorbis；循环；Music 总线</x:t>
        </x:is>
      </x:c>
      <x:c r="O290" t="inlineStr">
        <x:is>
          <x:t xml:space="preserve">assets/audio/music/rooftop_relax/rooftop_relax_a_v001.ogg</x:t>
        </x:is>
      </x:c>
      <x:c r="P290" t="inlineStr">
        <x:is>
          <x:t xml:space="preserve">src/audio/MusicCatalog.gd；docs/v0.1/14.8_音乐系统与配乐资产.md；tests/verification/verify_music_system.tscn</x:t>
        </x:is>
      </x:c>
      <x:c r="Q290" t="inlineStr">
        <x:is>
          <x:t xml:space="preserve">rooftop_relax track_a</x:t>
        </x:is>
      </x:c>
      <x:c r="R290" t="str">
        <x:f>LOWER(TRIM(C290)&amp;"|"&amp;TRIM(D290)&amp;"|"&amp;TRIM(E290)&amp;"|"&amp;TRIM(F290)&amp;"|"&amp;TRIM(H290)&amp;"|"&amp;TRIM(I290))</x:f>
        <x:v>音频|bgm|rooftop_relax|track_a|不适用|loop</x:v>
      </x:c>
      <x:c r="S290" t="str">
        <x:f>IF(COUNTIF($R$6:$R$423,R290)&gt;1,"重复","唯一")</x:f>
        <x:v>唯一</x:v>
      </x:c>
      <x:c r="T290" t="inlineStr">
        <x:is>
          <x:t xml:space="preserve">370497df60c3ae7ea51beadd897193c4aaddc72eef829aa51ba179d0ba239605</x:t>
        </x:is>
      </x:c>
      <x:c r="U290" t="inlineStr">
        <x:is>
          <x:t xml:space="preserve">音频</x:t>
        </x:is>
      </x:c>
      <x:c r="V290" t="n">
        <x:v>46264</x:v>
      </x:c>
      <x:c r="W290" t="inlineStr">
        <x:is>
          <x:t xml:space="preserve">Suno.cn 任务 2092992535981985792；商业使用授权须由项目方按生成账户订阅证明复核</x:t>
        </x:is>
      </x:c>
      <x:c r="X290" s="375" t="inlineStr">
        <x:is>
          <x:t xml:space="preserve">—</x:t>
        </x:is>
      </x:c>
      <x:c r="Y290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1">
      <x:c r="A291" t="inlineStr">
        <x:is>
          <x:t xml:space="preserve">AUD-BGM-ROOFTOP-RELAX-B</x:t>
        </x:is>
      </x:c>
      <x:c r="B291" t="inlineStr">
        <x:is>
          <x:t xml:space="preserve">天台放松 BGM B</x:t>
        </x:is>
      </x:c>
      <x:c r="C291" t="inlineStr">
        <x:is>
          <x:t xml:space="preserve">音频</x:t>
        </x:is>
      </x:c>
      <x:c r="D291" t="inlineStr">
        <x:is>
          <x:t xml:space="preserve">bgm</x:t>
        </x:is>
      </x:c>
      <x:c r="E291" t="inlineStr">
        <x:is>
          <x:t xml:space="preserve">rooftop_relax</x:t>
        </x:is>
      </x:c>
      <x:c r="F291" t="inlineStr">
        <x:is>
          <x:t xml:space="preserve">track_b</x:t>
        </x:is>
      </x:c>
      <x:c r="H291" t="inlineStr">
        <x:is>
          <x:t xml:space="preserve">不适用</x:t>
        </x:is>
      </x:c>
      <x:c r="I291" t="inlineStr">
        <x:is>
          <x:t xml:space="preserve">loop</x:t>
        </x:is>
      </x:c>
      <x:c r="J291" t="inlineStr">
        <x:is>
          <x:t xml:space="preserve">按场景复用</x:t>
        </x:is>
      </x:c>
      <x:c r="K291" t="inlineStr">
        <x:is>
          <x:t xml:space="preserve">原型已接入</x:t>
        </x:is>
      </x:c>
      <x:c r="L291" t="inlineStr">
        <x:is>
          <x:t xml:space="preserve">P1</x:t>
        </x:is>
      </x:c>
      <x:c r="M291" t="inlineStr">
        <x:is>
          <x:t xml:space="preserve">v001</x:t>
        </x:is>
      </x:c>
      <x:c r="N291" t="inlineStr">
        <x:is>
          <x:t xml:space="preserve">OGG/Vorbis；循环；Music 总线</x:t>
        </x:is>
      </x:c>
      <x:c r="O291" t="inlineStr">
        <x:is>
          <x:t xml:space="preserve">assets/audio/music/rooftop_relax/rooftop_relax_b_v001.ogg</x:t>
        </x:is>
      </x:c>
      <x:c r="P291" t="inlineStr">
        <x:is>
          <x:t xml:space="preserve">src/audio/MusicCatalog.gd；docs/v0.1/14.8_音乐系统与配乐资产.md；tests/verification/verify_music_system.tscn</x:t>
        </x:is>
      </x:c>
      <x:c r="Q291" t="inlineStr">
        <x:is>
          <x:t xml:space="preserve">rooftop_relax track_b</x:t>
        </x:is>
      </x:c>
      <x:c r="R291" t="str">
        <x:f>LOWER(TRIM(C291)&amp;"|"&amp;TRIM(D291)&amp;"|"&amp;TRIM(E291)&amp;"|"&amp;TRIM(F291)&amp;"|"&amp;TRIM(H291)&amp;"|"&amp;TRIM(I291))</x:f>
        <x:v>音频|bgm|rooftop_relax|track_b|不适用|loop</x:v>
      </x:c>
      <x:c r="S291" t="str">
        <x:f>IF(COUNTIF($R$6:$R$423,R291)&gt;1,"重复","唯一")</x:f>
        <x:v>唯一</x:v>
      </x:c>
      <x:c r="T291" t="inlineStr">
        <x:is>
          <x:t xml:space="preserve">acda8101b0afc82ca9f127284816d0e54ec1e7f7aa5da7d5808a0f7b6dde7505</x:t>
        </x:is>
      </x:c>
      <x:c r="U291" t="inlineStr">
        <x:is>
          <x:t xml:space="preserve">音频</x:t>
        </x:is>
      </x:c>
      <x:c r="V291" t="n">
        <x:v>46264</x:v>
      </x:c>
      <x:c r="W291" t="inlineStr">
        <x:is>
          <x:t xml:space="preserve">Suno.cn 任务 2092992535981985793；商业使用授权须由项目方按生成账户订阅证明复核</x:t>
        </x:is>
      </x:c>
      <x:c r="X291" s="375" t="inlineStr">
        <x:is>
          <x:t xml:space="preserve">—</x:t>
        </x:is>
      </x:c>
      <x:c r="Y291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2">
      <x:c r="A292" t="inlineStr">
        <x:is>
          <x:t xml:space="preserve">AUD-BGM-DESCENT-SUSPENSE-A</x:t>
        </x:is>
      </x:c>
      <x:c r="B292" t="inlineStr">
        <x:is>
          <x:t xml:space="preserve">下塔悬疑 BGM A</x:t>
        </x:is>
      </x:c>
      <x:c r="C292" t="inlineStr">
        <x:is>
          <x:t xml:space="preserve">音频</x:t>
        </x:is>
      </x:c>
      <x:c r="D292" t="inlineStr">
        <x:is>
          <x:t xml:space="preserve">bgm</x:t>
        </x:is>
      </x:c>
      <x:c r="E292" t="inlineStr">
        <x:is>
          <x:t xml:space="preserve">descent_suspense</x:t>
        </x:is>
      </x:c>
      <x:c r="F292" t="inlineStr">
        <x:is>
          <x:t xml:space="preserve">track_a</x:t>
        </x:is>
      </x:c>
      <x:c r="H292" t="inlineStr">
        <x:is>
          <x:t xml:space="preserve">不适用</x:t>
        </x:is>
      </x:c>
      <x:c r="I292" t="inlineStr">
        <x:is>
          <x:t xml:space="preserve">loop</x:t>
        </x:is>
      </x:c>
      <x:c r="J292" t="inlineStr">
        <x:is>
          <x:t xml:space="preserve">按场景复用</x:t>
        </x:is>
      </x:c>
      <x:c r="K292" t="inlineStr">
        <x:is>
          <x:t xml:space="preserve">原型已接入</x:t>
        </x:is>
      </x:c>
      <x:c r="L292" t="inlineStr">
        <x:is>
          <x:t xml:space="preserve">P1</x:t>
        </x:is>
      </x:c>
      <x:c r="M292" t="inlineStr">
        <x:is>
          <x:t xml:space="preserve">v001</x:t>
        </x:is>
      </x:c>
      <x:c r="N292" t="inlineStr">
        <x:is>
          <x:t xml:space="preserve">OGG/Vorbis；循环；Music 总线</x:t>
        </x:is>
      </x:c>
      <x:c r="O292" t="inlineStr">
        <x:is>
          <x:t xml:space="preserve">assets/audio/music/descent_suspense/descent_suspense_a_v001.ogg</x:t>
        </x:is>
      </x:c>
      <x:c r="P292" t="inlineStr">
        <x:is>
          <x:t xml:space="preserve">src/audio/MusicCatalog.gd；docs/v0.1/14.8_音乐系统与配乐资产.md；tests/verification/verify_music_system.tscn</x:t>
        </x:is>
      </x:c>
      <x:c r="Q292" t="inlineStr">
        <x:is>
          <x:t xml:space="preserve">descent_suspense track_a</x:t>
        </x:is>
      </x:c>
      <x:c r="R292" t="str">
        <x:f>LOWER(TRIM(C292)&amp;"|"&amp;TRIM(D292)&amp;"|"&amp;TRIM(E292)&amp;"|"&amp;TRIM(F292)&amp;"|"&amp;TRIM(H292)&amp;"|"&amp;TRIM(I292))</x:f>
        <x:v>音频|bgm|descent_suspense|track_a|不适用|loop</x:v>
      </x:c>
      <x:c r="S292" t="str">
        <x:f>IF(COUNTIF($R$6:$R$423,R292)&gt;1,"重复","唯一")</x:f>
        <x:v>唯一</x:v>
      </x:c>
      <x:c r="T292" t="inlineStr">
        <x:is>
          <x:t xml:space="preserve">924de9ddc3c0bc2700fee9c37771a94888c220afd5bd812e8d8b55880da2fa2a</x:t>
        </x:is>
      </x:c>
      <x:c r="U292" t="inlineStr">
        <x:is>
          <x:t xml:space="preserve">音频</x:t>
        </x:is>
      </x:c>
      <x:c r="V292" t="n">
        <x:v>46264</x:v>
      </x:c>
      <x:c r="W292" t="inlineStr">
        <x:is>
          <x:t xml:space="preserve">Suno.cn 任务 2092992639673569280；商业使用授权须由项目方按生成账户订阅证明复核</x:t>
        </x:is>
      </x:c>
      <x:c r="X292" s="375" t="inlineStr">
        <x:is>
          <x:t xml:space="preserve">—</x:t>
        </x:is>
      </x:c>
      <x:c r="Y292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3">
      <x:c r="A293" t="inlineStr">
        <x:is>
          <x:t xml:space="preserve">AUD-BGM-DESCENT-SUSPENSE-B</x:t>
        </x:is>
      </x:c>
      <x:c r="B293" t="inlineStr">
        <x:is>
          <x:t xml:space="preserve">下塔悬疑 BGM B</x:t>
        </x:is>
      </x:c>
      <x:c r="C293" t="inlineStr">
        <x:is>
          <x:t xml:space="preserve">音频</x:t>
        </x:is>
      </x:c>
      <x:c r="D293" t="inlineStr">
        <x:is>
          <x:t xml:space="preserve">bgm</x:t>
        </x:is>
      </x:c>
      <x:c r="E293" t="inlineStr">
        <x:is>
          <x:t xml:space="preserve">descent_suspense</x:t>
        </x:is>
      </x:c>
      <x:c r="F293" t="inlineStr">
        <x:is>
          <x:t xml:space="preserve">track_b</x:t>
        </x:is>
      </x:c>
      <x:c r="H293" t="inlineStr">
        <x:is>
          <x:t xml:space="preserve">不适用</x:t>
        </x:is>
      </x:c>
      <x:c r="I293" t="inlineStr">
        <x:is>
          <x:t xml:space="preserve">loop</x:t>
        </x:is>
      </x:c>
      <x:c r="J293" t="inlineStr">
        <x:is>
          <x:t xml:space="preserve">按场景复用</x:t>
        </x:is>
      </x:c>
      <x:c r="K293" t="inlineStr">
        <x:is>
          <x:t xml:space="preserve">原型已接入</x:t>
        </x:is>
      </x:c>
      <x:c r="L293" t="inlineStr">
        <x:is>
          <x:t xml:space="preserve">P1</x:t>
        </x:is>
      </x:c>
      <x:c r="M293" t="inlineStr">
        <x:is>
          <x:t xml:space="preserve">v001</x:t>
        </x:is>
      </x:c>
      <x:c r="N293" t="inlineStr">
        <x:is>
          <x:t xml:space="preserve">OGG/Vorbis；循环；Music 总线</x:t>
        </x:is>
      </x:c>
      <x:c r="O293" t="inlineStr">
        <x:is>
          <x:t xml:space="preserve">assets/audio/music/descent_suspense/descent_suspense_b_v001.ogg</x:t>
        </x:is>
      </x:c>
      <x:c r="P293" t="inlineStr">
        <x:is>
          <x:t xml:space="preserve">src/audio/MusicCatalog.gd；docs/v0.1/14.8_音乐系统与配乐资产.md；tests/verification/verify_music_system.tscn</x:t>
        </x:is>
      </x:c>
      <x:c r="Q293" t="inlineStr">
        <x:is>
          <x:t xml:space="preserve">descent_suspense track_b</x:t>
        </x:is>
      </x:c>
      <x:c r="R293" t="str">
        <x:f>LOWER(TRIM(C293)&amp;"|"&amp;TRIM(D293)&amp;"|"&amp;TRIM(E293)&amp;"|"&amp;TRIM(F293)&amp;"|"&amp;TRIM(H293)&amp;"|"&amp;TRIM(I293))</x:f>
        <x:v>音频|bgm|descent_suspense|track_b|不适用|loop</x:v>
      </x:c>
      <x:c r="S293" t="str">
        <x:f>IF(COUNTIF($R$6:$R$423,R293)&gt;1,"重复","唯一")</x:f>
        <x:v>唯一</x:v>
      </x:c>
      <x:c r="T293" t="inlineStr">
        <x:is>
          <x:t xml:space="preserve">864f0c644af3a88e0e67c0b69154421c39d74081a4774232f65f1467d2b286d4</x:t>
        </x:is>
      </x:c>
      <x:c r="U293" t="inlineStr">
        <x:is>
          <x:t xml:space="preserve">音频</x:t>
        </x:is>
      </x:c>
      <x:c r="V293" t="n">
        <x:v>46264</x:v>
      </x:c>
      <x:c r="W293" t="inlineStr">
        <x:is>
          <x:t xml:space="preserve">Suno.cn 任务 2092992639673569281；商业使用授权须由项目方按生成账户订阅证明复核</x:t>
        </x:is>
      </x:c>
      <x:c r="X293" s="375" t="inlineStr">
        <x:is>
          <x:t xml:space="preserve">—</x:t>
        </x:is>
      </x:c>
      <x:c r="Y293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4">
      <x:c r="A294" t="inlineStr">
        <x:is>
          <x:t xml:space="preserve">AUD-BGM-BOSS-INTENSE-A</x:t>
        </x:is>
      </x:c>
      <x:c r="B294" t="inlineStr">
        <x:is>
          <x:t xml:space="preserve">Boss 激战 BGM A</x:t>
        </x:is>
      </x:c>
      <x:c r="C294" t="inlineStr">
        <x:is>
          <x:t xml:space="preserve">音频</x:t>
        </x:is>
      </x:c>
      <x:c r="D294" t="inlineStr">
        <x:is>
          <x:t xml:space="preserve">bgm</x:t>
        </x:is>
      </x:c>
      <x:c r="E294" t="inlineStr">
        <x:is>
          <x:t xml:space="preserve">boss_intense</x:t>
        </x:is>
      </x:c>
      <x:c r="F294" t="inlineStr">
        <x:is>
          <x:t xml:space="preserve">track_a</x:t>
        </x:is>
      </x:c>
      <x:c r="H294" t="inlineStr">
        <x:is>
          <x:t xml:space="preserve">不适用</x:t>
        </x:is>
      </x:c>
      <x:c r="I294" t="inlineStr">
        <x:is>
          <x:t xml:space="preserve">loop</x:t>
        </x:is>
      </x:c>
      <x:c r="J294" t="inlineStr">
        <x:is>
          <x:t xml:space="preserve">按场景复用</x:t>
        </x:is>
      </x:c>
      <x:c r="K294" t="inlineStr">
        <x:is>
          <x:t xml:space="preserve">原型已接入</x:t>
        </x:is>
      </x:c>
      <x:c r="L294" t="inlineStr">
        <x:is>
          <x:t xml:space="preserve">P1</x:t>
        </x:is>
      </x:c>
      <x:c r="M294" t="inlineStr">
        <x:is>
          <x:t xml:space="preserve">v001</x:t>
        </x:is>
      </x:c>
      <x:c r="N294" t="inlineStr">
        <x:is>
          <x:t xml:space="preserve">OGG/Vorbis；循环；Music 总线</x:t>
        </x:is>
      </x:c>
      <x:c r="O294" t="inlineStr">
        <x:is>
          <x:t xml:space="preserve">assets/audio/music/boss_intense/boss_intense_a_v001.ogg</x:t>
        </x:is>
      </x:c>
      <x:c r="P294" t="inlineStr">
        <x:is>
          <x:t xml:space="preserve">src/audio/MusicCatalog.gd；docs/v0.1/14.8_音乐系统与配乐资产.md；tests/verification/verify_music_system.tscn</x:t>
        </x:is>
      </x:c>
      <x:c r="Q294" t="inlineStr">
        <x:is>
          <x:t xml:space="preserve">boss_intense track_a</x:t>
        </x:is>
      </x:c>
      <x:c r="R294" t="str">
        <x:f>LOWER(TRIM(C294)&amp;"|"&amp;TRIM(D294)&amp;"|"&amp;TRIM(E294)&amp;"|"&amp;TRIM(F294)&amp;"|"&amp;TRIM(H294)&amp;"|"&amp;TRIM(I294))</x:f>
        <x:v>音频|bgm|boss_intense|track_a|不适用|loop</x:v>
      </x:c>
      <x:c r="S294" t="str">
        <x:f>IF(COUNTIF($R$6:$R$423,R294)&gt;1,"重复","唯一")</x:f>
        <x:v>唯一</x:v>
      </x:c>
      <x:c r="T294" t="inlineStr">
        <x:is>
          <x:t xml:space="preserve">55d230a2cf549d656e842650d6120e2da274c6f5903f1e036cab64c8e9a35f5a</x:t>
        </x:is>
      </x:c>
      <x:c r="U294" t="inlineStr">
        <x:is>
          <x:t xml:space="preserve">音频</x:t>
        </x:is>
      </x:c>
      <x:c r="V294" t="n">
        <x:v>46264</x:v>
      </x:c>
      <x:c r="W294" t="inlineStr">
        <x:is>
          <x:t xml:space="preserve">Suno.cn 任务 2092992454658625536；商业使用授权须由项目方按生成账户订阅证明复核</x:t>
        </x:is>
      </x:c>
      <x:c r="X294" s="375" t="inlineStr">
        <x:is>
          <x:t xml:space="preserve">—</x:t>
        </x:is>
      </x:c>
      <x:c r="Y294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5">
      <x:c r="A295" t="inlineStr">
        <x:is>
          <x:t xml:space="preserve">AUD-BGM-BOSS-INTENSE-B</x:t>
        </x:is>
      </x:c>
      <x:c r="B295" t="inlineStr">
        <x:is>
          <x:t xml:space="preserve">Boss 激战 BGM B</x:t>
        </x:is>
      </x:c>
      <x:c r="C295" t="inlineStr">
        <x:is>
          <x:t xml:space="preserve">音频</x:t>
        </x:is>
      </x:c>
      <x:c r="D295" t="inlineStr">
        <x:is>
          <x:t xml:space="preserve">bgm</x:t>
        </x:is>
      </x:c>
      <x:c r="E295" t="inlineStr">
        <x:is>
          <x:t xml:space="preserve">boss_intense</x:t>
        </x:is>
      </x:c>
      <x:c r="F295" t="inlineStr">
        <x:is>
          <x:t xml:space="preserve">track_b</x:t>
        </x:is>
      </x:c>
      <x:c r="H295" t="inlineStr">
        <x:is>
          <x:t xml:space="preserve">不适用</x:t>
        </x:is>
      </x:c>
      <x:c r="I295" t="inlineStr">
        <x:is>
          <x:t xml:space="preserve">loop</x:t>
        </x:is>
      </x:c>
      <x:c r="J295" t="inlineStr">
        <x:is>
          <x:t xml:space="preserve">按场景复用</x:t>
        </x:is>
      </x:c>
      <x:c r="K295" t="inlineStr">
        <x:is>
          <x:t xml:space="preserve">原型已接入</x:t>
        </x:is>
      </x:c>
      <x:c r="L295" t="inlineStr">
        <x:is>
          <x:t xml:space="preserve">P1</x:t>
        </x:is>
      </x:c>
      <x:c r="M295" t="inlineStr">
        <x:is>
          <x:t xml:space="preserve">v001</x:t>
        </x:is>
      </x:c>
      <x:c r="N295" t="inlineStr">
        <x:is>
          <x:t xml:space="preserve">OGG/Vorbis；循环；Music 总线</x:t>
        </x:is>
      </x:c>
      <x:c r="O295" t="inlineStr">
        <x:is>
          <x:t xml:space="preserve">assets/audio/music/boss_intense/boss_intense_b_v001.ogg</x:t>
        </x:is>
      </x:c>
      <x:c r="P295" t="inlineStr">
        <x:is>
          <x:t xml:space="preserve">src/audio/MusicCatalog.gd；docs/v0.1/14.8_音乐系统与配乐资产.md；tests/verification/verify_music_system.tscn</x:t>
        </x:is>
      </x:c>
      <x:c r="Q295" t="inlineStr">
        <x:is>
          <x:t xml:space="preserve">boss_intense track_b</x:t>
        </x:is>
      </x:c>
      <x:c r="R295" t="str">
        <x:f>LOWER(TRIM(C295)&amp;"|"&amp;TRIM(D295)&amp;"|"&amp;TRIM(E295)&amp;"|"&amp;TRIM(F295)&amp;"|"&amp;TRIM(H295)&amp;"|"&amp;TRIM(I295))</x:f>
        <x:v>音频|bgm|boss_intense|track_b|不适用|loop</x:v>
      </x:c>
      <x:c r="S295" t="str">
        <x:f>IF(COUNTIF($R$6:$R$423,R295)&gt;1,"重复","唯一")</x:f>
        <x:v>唯一</x:v>
      </x:c>
      <x:c r="T295" t="inlineStr">
        <x:is>
          <x:t xml:space="preserve">70b13c9c0c1974a4c7bbee53de4cca7b05e8d0f6396f70505b7e8a1105fd6c63</x:t>
        </x:is>
      </x:c>
      <x:c r="U295" t="inlineStr">
        <x:is>
          <x:t xml:space="preserve">音频</x:t>
        </x:is>
      </x:c>
      <x:c r="V295" t="n">
        <x:v>46264</x:v>
      </x:c>
      <x:c r="W295" t="inlineStr">
        <x:is>
          <x:t xml:space="preserve">Suno.cn 任务 2092992454658625537；商业使用授权须由项目方按生成账户订阅证明复核</x:t>
        </x:is>
      </x:c>
      <x:c r="X295" s="375" t="inlineStr">
        <x:is>
          <x:t xml:space="preserve">—</x:t>
        </x:is>
      </x:c>
      <x:c r="Y295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6">
      <x:c r="A296" t="inlineStr">
        <x:is>
          <x:t xml:space="preserve">ART-PALETTE-FACILITY-LOWLIGHT-DOPAMINE</x:t>
        </x:is>
      </x:c>
      <x:c r="B296" t="inlineStr">
        <x:is>
          <x:t xml:space="preserve">设施低亮多巴胺共享色盘</x:t>
        </x:is>
      </x:c>
      <x:c r="C296" t="inlineStr">
        <x:is>
          <x:t xml:space="preserve">场景</x:t>
        </x:is>
      </x:c>
      <x:c r="D296" t="inlineStr">
        <x:is>
          <x:t xml:space="preserve">shared_palette</x:t>
        </x:is>
      </x:c>
      <x:c r="E296" t="inlineStr">
        <x:is>
          <x:t xml:space="preserve">palette_facility_lowlight_dopamine</x:t>
        </x:is>
      </x:c>
      <x:c r="F296" t="inlineStr">
        <x:is>
          <x:t xml:space="preserve">root</x:t>
        </x:is>
      </x:c>
      <x:c r="H296" t="inlineStr">
        <x:is>
          <x:t xml:space="preserve">不适用</x:t>
        </x:is>
      </x:c>
      <x:c r="I296" t="inlineStr">
        <x:is>
          <x:t xml:space="preserve">default</x:t>
        </x:is>
      </x:c>
      <x:c r="J296" t="inlineStr">
        <x:is>
          <x:t xml:space="preserve">场景/设施/固定装饰共享</x:t>
        </x:is>
      </x:c>
      <x:c r="K296" t="inlineStr">
        <x:is>
          <x:t xml:space="preserve">已完成</x:t>
        </x:is>
      </x:c>
      <x:c r="L296" t="inlineStr">
        <x:is>
          <x:t xml:space="preserve">P0</x:t>
        </x:is>
      </x:c>
      <x:c r="M296" t="inlineStr">
        <x:is>
          <x:t xml:space="preserve">v001</x:t>
        </x:is>
      </x:c>
      <x:c r="N296" t="inlineStr">
        <x:is>
          <x:t xml:space="preserve">512×512 PNG；10×10 色格；VRAM 压缩</x:t>
        </x:is>
      </x:c>
      <x:c r="O296" t="inlineStr">
        <x:is>
          <x:t xml:space="preserve">assets/art/shared/palette/设施低亮多巴胺色盘_10x10_512.png</x:t>
        </x:is>
      </x:c>
      <x:c r="P296" t="inlineStr">
        <x:is>
          <x:t xml:space="preserve">assets/art/shared/palette/palette_dopamine_10x10_512_v001.psd；tools/asset_pipeline/scene_facility_shared_palette_post_import.gd；tests/verification/verify_scene_facility_shared_palette.tscn</x:t>
        </x:is>
      </x:c>
      <x:c r="Q296" t="inlineStr">
        <x:is>
          <x:t xml:space="preserve">facility palette dopamine lowlight shared</x:t>
        </x:is>
      </x:c>
      <x:c r="R296" t="str">
        <x:f>LOWER(TRIM(C296)&amp;"|"&amp;TRIM(D296)&amp;"|"&amp;TRIM(E296)&amp;"|"&amp;TRIM(F296)&amp;"|"&amp;TRIM(H296)&amp;"|"&amp;TRIM(I296))</x:f>
        <x:v>场景|shared_palette|palette_facility_lowlight_dopamine|root|不适用|default</x:v>
      </x:c>
      <x:c r="S296" t="str">
        <x:f>IF(COUNTIF($R$6:$R$423,R296)&gt;1,"重复","唯一")</x:f>
        <x:v>唯一</x:v>
      </x:c>
      <x:c r="T296" t="inlineStr">
        <x:is>
          <x:t xml:space="preserve">a6b1838fb80ad3ce7764e998bb1dfb70edf2b9315a4282da0fb2ae35ed266ce3</x:t>
        </x:is>
      </x:c>
      <x:c r="U296" t="inlineStr">
        <x:is>
          <x:t xml:space="preserve">美术</x:t>
        </x:is>
      </x:c>
      <x:c r="V296" t="n">
        <x:v>46264</x:v>
      </x:c>
      <x:c r="W296" t="inlineStr">
        <x:is>
          <x:t xml:space="preserve">项目自制/内部使用</x:t>
        </x:is>
      </x:c>
      <x:c r="X296" s="375" t="inlineStr">
        <x:is>
          <x:t xml:space="preserve">—</x:t>
        </x:is>
      </x:c>
      <x:c r="Y296" t="inlineStr">
        <x:is>
          <x:t xml:space="preserve"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x:t>
        </x:is>
      </x:c>
    </x:row>
    <x:row r="297">
      <x:c r="A297" t="inlineStr">
        <x:is>
          <x:t xml:space="preserve">CHR-PLY-BUNNY01-HEAD-CHIBI-ANIME-3D</x:t>
        </x:is>
      </x:c>
      <x:c r="B297" t="inlineStr">
        <x:is>
          <x:t xml:space="preserve">Bunny 二次元女仆头部配件</x:t>
        </x:is>
      </x:c>
      <x:c r="C297" t="inlineStr">
        <x:is>
          <x:t xml:space="preserve">角色</x:t>
        </x:is>
      </x:c>
      <x:c r="D297" t="inlineStr">
        <x:is>
          <x:t xml:space="preserve">头部配件</x:t>
        </x:is>
      </x:c>
      <x:c r="E297" t="inlineStr">
        <x:is>
          <x:t xml:space="preserve">chibi_anime</x:t>
        </x:is>
      </x:c>
      <x:c r="F297" t="inlineStr">
        <x:is>
          <x:t xml:space="preserve">head</x:t>
        </x:is>
      </x:c>
      <x:c r="G297" t="inlineStr">
        <x:is>
          <x:t xml:space="preserve">CHR-PLY-CAPSULE01-3D-BUNNY01</x:t>
        </x:is>
      </x:c>
      <x:c r="H297" t="inlineStr">
        <x:is>
          <x:t xml:space="preserve">3D</x:t>
        </x:is>
      </x:c>
      <x:c r="I297" t="inlineStr">
        <x:is>
          <x:t xml:space="preserve">default</x:t>
        </x:is>
      </x:c>
      <x:c r="J297" t="inlineStr">
        <x:is>
          <x:t xml:space="preserve">玩家换装</x:t>
        </x:is>
      </x:c>
      <x:c r="K297" t="inlineStr">
        <x:is>
          <x:t xml:space="preserve">原型已接入</x:t>
        </x:is>
      </x:c>
      <x:c r="L297" t="inlineStr">
        <x:is>
          <x:t xml:space="preserve">P1</x:t>
        </x:is>
      </x:c>
      <x:c r="M297" t="inlineStr">
        <x:is>
          <x:t xml:space="preserve">v021</x:t>
        </x:is>
      </x:c>
      <x:c r="N297" t="inlineStr">
        <x:is>
          <x:t xml:space="preserve">0.777×0.771×0.723m；HeadJoint 原点；root scale 1</x:t>
        </x:is>
      </x:c>
      <x:c r="O297" t="inlineStr">
        <x:is>
          <x:t xml:space="preserve">assets/art/characters/player/chr_player_capsule01_3d/variants/bunny01/production/v021/runtime/chr_bunny01_chibi_anime_root_v021.tscn</x:t>
        </x:is>
      </x:c>
      <x:c r="P297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97" t="inlineStr">
        <x:is>
          <x:t xml:space="preserve">chibi anime maid head</x:t>
        </x:is>
      </x:c>
      <x:c r="R297" t="str">
        <x:f>LOWER(TRIM(C297)&amp;"|"&amp;TRIM(D297)&amp;"|"&amp;TRIM(E297)&amp;"|"&amp;TRIM(F297)&amp;"|"&amp;TRIM(H297)&amp;"|"&amp;TRIM(I297))</x:f>
        <x:v>角色|头部配件|chibi_anime|head|3d|default</x:v>
      </x:c>
      <x:c r="S297" t="str">
        <x:f>IF(COUNTIF($R$6:$R$423,R297)&gt;1,"重复","唯一")</x:f>
        <x:v>唯一</x:v>
      </x:c>
      <x:c r="T297" t="inlineStr">
        <x:is>
          <x:t xml:space="preserve">7f01db18d3f93d33567589bdf93f3b966930df9221a571dea8cf99d0ca005d9c</x:t>
        </x:is>
      </x:c>
      <x:c r="U297" t="inlineStr">
        <x:is>
          <x:t xml:space="preserve">美术</x:t>
        </x:is>
      </x:c>
      <x:c r="V297" t="n">
        <x:v>46264</x:v>
      </x:c>
      <x:c r="W297" t="inlineStr">
        <x:is>
          <x:t xml:space="preserve">项目现有；原始模型商业使用许可须由项目方复核</x:t>
        </x:is>
      </x:c>
      <x:c r="X297" s="375" t="inlineStr">
        <x:is>
          <x:t xml:space="preserve">—</x:t>
        </x:is>
      </x:c>
      <x:c r="Y297" t="inlineStr">
        <x:is>
          <x:t xml:space="preserve">2026-08-30 AST-04：当前 Bunny v008 正式消费 v002 头部包装场景；新增稳定子 AssetID；碰撞仍由 Player3D 独占；动画继承 HeadJoint；Blender v008 审计通过；asset_guard PASS。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98">
      <x:c r="A298" t="inlineStr">
        <x:is>
          <x:t xml:space="preserve">PRP-BASE-RECOVERY-STATION-3D</x:t>
        </x:is>
      </x:c>
      <x:c r="B298" t="inlineStr">
        <x:is>
          <x:t xml:space="preserve">基地恢复站</x:t>
        </x:is>
      </x:c>
      <x:c r="C298" t="inlineStr">
        <x:is>
          <x:t xml:space="preserve">场景道具</x:t>
        </x:is>
      </x:c>
      <x:c r="D298" t="inlineStr">
        <x:is>
          <x:t xml:space="preserve">基地设施</x:t>
        </x:is>
      </x:c>
      <x:c r="E298" t="inlineStr">
        <x:is>
          <x:t xml:space="preserve">recovery_station</x:t>
        </x:is>
      </x:c>
      <x:c r="F298" t="inlineStr">
        <x:is>
          <x:t xml:space="preserve">root</x:t>
        </x:is>
      </x:c>
      <x:c r="H298" t="inlineStr">
        <x:is>
          <x:t xml:space="preserve">3D</x:t>
        </x:is>
      </x:c>
      <x:c r="I298" t="inlineStr">
        <x:is>
          <x:t xml:space="preserve">default</x:t>
        </x:is>
      </x:c>
      <x:c r="J298" t="inlineStr">
        <x:is>
          <x:t xml:space="preserve">基地复用</x:t>
        </x:is>
      </x:c>
      <x:c r="K298" t="inlineStr">
        <x:is>
          <x:t xml:space="preserve">原型已接入</x:t>
        </x:is>
      </x:c>
      <x:c r="L298" t="inlineStr">
        <x:is>
          <x:t xml:space="preserve">P1</x:t>
        </x:is>
      </x:c>
      <x:c r="M298" t="inlineStr">
        <x:is>
          <x:t xml:space="preserve">v001</x:t>
        </x:is>
      </x:c>
      <x:c r="N298" t="inlineStr">
        <x:is>
          <x:t xml:space="preserve">PackedScene；固定设施；独立碰撞</x:t>
        </x:is>
      </x:c>
      <x:c r="O298" t="inlineStr">
        <x:is>
          <x:t xml:space="preserve">assets/art/props/base_world_3d/runtime/recovery_station/prp_base_recovery_station_root_top3d_v001.tscn</x:t>
        </x:is>
      </x:c>
      <x:c r="P298" t="inlineStr">
        <x:is>
          <x:t xml:space="preserve">scenes/BaseWorld3D.tscn；assets/art/environments/base_facility_3d/runtime/env_base_facility_art_layout_top3d_v001.tscn；3D-设施!A20</x:t>
        </x:is>
      </x:c>
      <x:c r="Q298" t="inlineStr">
        <x:is>
          <x:t xml:space="preserve">base recovery station</x:t>
        </x:is>
      </x:c>
      <x:c r="R298" t="str">
        <x:f>LOWER(TRIM(C298)&amp;"|"&amp;TRIM(D298)&amp;"|"&amp;TRIM(E298)&amp;"|"&amp;TRIM(F298)&amp;"|"&amp;TRIM(H298)&amp;"|"&amp;TRIM(I298))</x:f>
        <x:v>场景道具|基地设施|recovery_station|root|3d|default</x:v>
      </x:c>
      <x:c r="S298" t="str">
        <x:f>IF(COUNTIF($R$6:$R$423,R298)&gt;1,"重复","唯一")</x:f>
        <x:v>唯一</x:v>
      </x:c>
      <x:c r="T298" t="inlineStr">
        <x:is>
          <x:t xml:space="preserve">76906ebbed0b1de64105ea4e31f85887f6437ecb9819ae3d47c558173a667237</x:t>
        </x:is>
      </x:c>
      <x:c r="U298" t="inlineStr">
        <x:is>
          <x:t xml:space="preserve">美术</x:t>
        </x:is>
      </x:c>
      <x:c r="V298" t="n">
        <x:v>46264</x:v>
      </x:c>
      <x:c r="W298" t="inlineStr">
        <x:is>
          <x:t xml:space="preserve">项目现有/内部制作</x:t>
        </x:is>
      </x:c>
      <x:c r="X298" s="375" t="inlineStr">
        <x:is>
          <x:t xml:space="preserve">—</x:t>
        </x:is>
      </x:c>
      <x:c r="Y298" t="inlineStr">
        <x:is>
          <x:t xml:space="preserve">2026-08-30 AST-04：从3D-设施分表提升为主表权威根资产；asset_guard PASS；运行时由BaseWorld3D与基地美术布局直接消费。</x:t>
        </x:is>
      </x:c>
    </x:row>
    <x:row r="299">
      <x:c r="A299" t="inlineStr">
        <x:is>
          <x:t xml:space="preserve">PRP-TOWER-ROOM-DOOR-3D</x:t>
        </x:is>
      </x:c>
      <x:c r="B299" t="inlineStr">
        <x:is>
          <x:t xml:space="preserve">塔楼房间交互门</x:t>
        </x:is>
      </x:c>
      <x:c r="C299" t="inlineStr">
        <x:is>
          <x:t xml:space="preserve">场景道具</x:t>
        </x:is>
      </x:c>
      <x:c r="D299" t="inlineStr">
        <x:is>
          <x:t xml:space="preserve">门</x:t>
        </x:is>
      </x:c>
      <x:c r="E299" t="inlineStr">
        <x:is>
          <x:t xml:space="preserve">room_door</x:t>
        </x:is>
      </x:c>
      <x:c r="F299" t="inlineStr">
        <x:is>
          <x:t xml:space="preserve">root</x:t>
        </x:is>
      </x:c>
      <x:c r="H299" t="inlineStr">
        <x:is>
          <x:t xml:space="preserve">3D</x:t>
        </x:is>
      </x:c>
      <x:c r="I299" t="inlineStr">
        <x:is>
          <x:t xml:space="preserve">closed/open/locked</x:t>
        </x:is>
      </x:c>
      <x:c r="J299" t="inlineStr">
        <x:is>
          <x:t xml:space="preserve">塔楼房间复用</x:t>
        </x:is>
      </x:c>
      <x:c r="K299" t="inlineStr">
        <x:is>
          <x:t xml:space="preserve">原型已接入</x:t>
        </x:is>
      </x:c>
      <x:c r="L299" t="inlineStr">
        <x:is>
          <x:t xml:space="preserve">P0</x:t>
        </x:is>
      </x:c>
      <x:c r="M299" t="inlineStr">
        <x:is>
          <x:t xml:space="preserve">v001</x:t>
        </x:is>
      </x:c>
      <x:c r="N299" t="inlineStr">
        <x:is>
          <x:t xml:space="preserve">StaticBody3D；脚本驱动开关与碰撞</x:t>
        </x:is>
      </x:c>
      <x:c r="O299" t="inlineStr">
        <x:is>
          <x:t xml:space="preserve">assets/art/props/dungeon_3d/prp_room_door_3d_v001.tscn</x:t>
        </x:is>
      </x:c>
      <x:c r="P299" t="inlineStr">
        <x:is>
          <x:t xml:space="preserve">src/world3d/RoomDoor3D.gd；src/world3d/DungeonRoom3D.gd；src/world3d/TowerDescent3D.gd；tests/verification/verify_door_passability.tscn</x:t>
        </x:is>
      </x:c>
      <x:c r="Q299" t="inlineStr">
        <x:is>
          <x:t xml:space="preserve">tower room interactive door</x:t>
        </x:is>
      </x:c>
      <x:c r="R299" t="str">
        <x:f>LOWER(TRIM(C299)&amp;"|"&amp;TRIM(D299)&amp;"|"&amp;TRIM(E299)&amp;"|"&amp;TRIM(F299)&amp;"|"&amp;TRIM(H299)&amp;"|"&amp;TRIM(I299))</x:f>
        <x:v>场景道具|门|room_door|root|3d|closed/open/locked</x:v>
      </x:c>
      <x:c r="S299" t="str">
        <x:f>IF(COUNTIF($R$6:$R$423,R299)&gt;1,"重复","唯一")</x:f>
        <x:v>唯一</x:v>
      </x:c>
      <x:c r="T299" t="inlineStr">
        <x:is>
          <x:t xml:space="preserve">6ab7516a40ca661264ceebe59973b3790640e3495230c25e70a38eb0b267d22f</x:t>
        </x:is>
      </x:c>
      <x:c r="U299" t="inlineStr">
        <x:is>
          <x:t xml:space="preserve">程序/美术</x:t>
        </x:is>
      </x:c>
      <x:c r="V299" t="n">
        <x:v>46264</x:v>
      </x:c>
      <x:c r="W299" t="inlineStr">
        <x:is>
          <x:t xml:space="preserve">项目现有/内部制作</x:t>
        </x:is>
      </x:c>
      <x:c r="X299" s="375" t="inlineStr">
        <x:is>
          <x:t xml:space="preserve">—</x:t>
        </x:is>
      </x:c>
      <x:c r="Y299" t="inlineStr">
        <x:is>
          <x:t xml:space="preserve">2026-08-30 AST-04：运行时正式房门包装场景补登记；路径规范化为小写 snake_case v001；asset_guard PASS；不改变门行为、碰撞或塔楼围护；验收 verify_door_passability / verify_full_3d_game_flow。</x:t>
        </x:is>
      </x:c>
    </x:row>
    <x:row r="300">
      <x:c r="A300" t="inlineStr">
        <x:is>
          <x:t xml:space="preserve">ENV-ROOFTOP-SHELTER-50M-3D</x:t>
        </x:is>
      </x:c>
      <x:c r="B300" t="inlineStr">
        <x:is>
          <x:t xml:space="preserve">50米屋顶避难所场景</x:t>
        </x:is>
      </x:c>
      <x:c r="C300" t="inlineStr">
        <x:is>
          <x:t xml:space="preserve">场景</x:t>
        </x:is>
      </x:c>
      <x:c r="D300" t="inlineStr">
        <x:is>
          <x:t xml:space="preserve">屋顶环境</x:t>
        </x:is>
      </x:c>
      <x:c r="E300" t="inlineStr">
        <x:is>
          <x:t xml:space="preserve">rooftop_shelter_50m</x:t>
        </x:is>
      </x:c>
      <x:c r="F300" t="inlineStr">
        <x:is>
          <x:t xml:space="preserve">root</x:t>
        </x:is>
      </x:c>
      <x:c r="H300" t="inlineStr">
        <x:is>
          <x:t xml:space="preserve">3D</x:t>
        </x:is>
      </x:c>
      <x:c r="I300" t="inlineStr">
        <x:is>
          <x:t xml:space="preserve">default</x:t>
        </x:is>
      </x:c>
      <x:c r="J300" t="inlineStr">
        <x:is>
          <x:t xml:space="preserve">独立场景/待玩法映射</x:t>
        </x:is>
      </x:c>
      <x:c r="K300" t="inlineStr">
        <x:is>
          <x:t xml:space="preserve">已完成</x:t>
        </x:is>
      </x:c>
      <x:c r="L300" t="inlineStr">
        <x:is>
          <x:t xml:space="preserve">P1</x:t>
        </x:is>
      </x:c>
      <x:c r="M300" t="inlineStr">
        <x:is>
          <x:t xml:space="preserve">v011</x:t>
        </x:is>
      </x:c>
      <x:c r="N300" t="inlineStr">
        <x:is>
          <x:t xml:space="preserve">50m场景；4032输出网格；30219面；4共享材质</x:t>
        </x:is>
      </x:c>
      <x:c r="O300" t="inlineStr">
        <x:is>
          <x:t xml:space="preserve">assets/art/environments/rooftop_shelter_3d/runtime/env_rooftop_shelter_50m_game_v011.glb</x:t>
        </x:is>
      </x:c>
      <x:c r="P300" t="inlineStr">
        <x:is>
          <x:t xml:space="preserve">assets/art/environments/rooftop_shelter_3d/source/env_rooftop_shelter_50m_top3d_v011.blend；assets/art/environments/rooftop_shelter_3d/reports/asset_manifest_v011.json；assets/art/environments/rooftop_shelter_3d/reports/validation_v011.json</x:t>
        </x:is>
      </x:c>
      <x:c r="Q300" t="inlineStr">
        <x:is>
          <x:t xml:space="preserve">rooftop shelter 50m survival scene</x:t>
        </x:is>
      </x:c>
      <x:c r="R300" t="str">
        <x:f>LOWER(TRIM(C300)&amp;"|"&amp;TRIM(D300)&amp;"|"&amp;TRIM(E300)&amp;"|"&amp;TRIM(F300)&amp;"|"&amp;TRIM(H300)&amp;"|"&amp;TRIM(I300))</x:f>
        <x:v>场景|屋顶环境|rooftop_shelter_50m|root|3d|default</x:v>
      </x:c>
      <x:c r="S300" t="str">
        <x:f>IF(COUNTIF($R$6:$R$423,R300)&gt;1,"重复","唯一")</x:f>
        <x:v>唯一</x:v>
      </x:c>
      <x:c r="T300" t="inlineStr">
        <x:is>
          <x:t xml:space="preserve">f8b3bc333d1bdca175a870d47a20e256a3f04f70bb2dc32c7241a67d5505e981</x:t>
        </x:is>
      </x:c>
      <x:c r="U300" t="inlineStr">
        <x:is>
          <x:t xml:space="preserve">美术</x:t>
        </x:is>
      </x:c>
      <x:c r="V300" t="n">
        <x:v>46264</x:v>
      </x:c>
      <x:c r="W300" t="inlineStr">
        <x:is>
          <x:t xml:space="preserve">项目自制/内部使用</x:t>
        </x:is>
      </x:c>
      <x:c r="X300" s="375" t="inlineStr">
        <x:is>
          <x:t xml:space="preserve">—</x:t>
        </x:is>
      </x:c>
      <x:c r="Y300" t="inlineStr">
        <x:is>
          <x:t xml:space="preserve">2026-08-30 AST-04：独立正式场景资产补登记，暂未接入游戏玩法；asset_guard PASS；Blender严格验收通过：4032/4032输出网格、30219/30219面色盘UV有效、4材质、公共色盘唯一外链、无展示地面/混合自发光。</x:t>
        </x:is>
      </x:c>
    </x:row>
    <x:row r="301" ht="132" customHeight="1">
      <x:c r="A301" t="inlineStr">
        <x:is>
          <x:t xml:space="preserve">ENV-ROOFTOP-SHELTER-90X80</x:t>
        </x:is>
      </x:c>
      <x:c r="B301" t="str">
        <x:v>天台区美术</x:v>
      </x:c>
      <x:c r="C301" t="inlineStr">
        <x:is>
          <x:t xml:space="preserve">场景</x:t>
        </x:is>
      </x:c>
      <x:c r="D301" t="inlineStr">
        <x:is>
          <x:t xml:space="preserve">屋顶环境</x:t>
        </x:is>
      </x:c>
      <x:c r="E301" t="inlineStr">
        <x:is>
          <x:t xml:space="preserve">rooftop_shelter_90x80</x:t>
        </x:is>
      </x:c>
      <x:c r="F301" t="inlineStr">
        <x:is>
          <x:t xml:space="preserve">root</x:t>
        </x:is>
      </x:c>
      <x:c r="G301" t="inlineStr">
        <x:is>
          <x:t xml:space="preserve">ENV-ROOFTOP-SHELTER-50M-3D</x:t>
        </x:is>
      </x:c>
      <x:c r="H301" t="inlineStr">
        <x:is>
          <x:t xml:space="preserve">3D</x:t>
        </x:is>
      </x:c>
      <x:c r="I301" t="inlineStr">
        <x:is>
          <x:t xml:space="preserve">default</x:t>
        </x:is>
      </x:c>
      <x:c r="J301" t="str">
        <x:v>Blocks/Rooftop；100F天台区</x:v>
      </x:c>
      <x:c r="K301" t="inlineStr">
        <x:is>
          <x:t xml:space="preserve">正式美术已接入</x:t>
        </x:is>
      </x:c>
      <x:c r="L301" t="inlineStr">
        <x:is>
          <x:t xml:space="preserve">P0</x:t>
        </x:is>
      </x:c>
      <x:c r="M301" t="inlineStr">
        <x:is>
          <x:t xml:space="preserve">v021</x:t>
        </x:is>
      </x:c>
      <x:c r="N301" s="364" t="inlineStr">
        <x:is>
          <x:t xml:space="preserve">1167源节点；29组Blender环境动画；3盏无阴影串灯；既有碰撞不变</x:t>
        </x:is>
      </x:c>
      <x:c r="O301" t="str">
        <x:v>assets/art/environments/tower_zones/rooftop/runtime/zone_rooftop_v021.tscn</x:v>
      </x:c>
      <x:c r="P301" t="str">
        <x:v>assets/art/environments/rooftop_shelter_3d/source/env_rooftop_shelter_90x80m_top3d_v021.blend; src/world3d/RooftopAmbience3D.gd; docs/v0.1/05.1_关卡区块设计.md</x:v>
      </x:c>
      <x:c r="Q301" t="str">
        <x:v>天台区;Rooftop;100F;生活聚落;场景区块</x:v>
      </x:c>
      <x:c r="R301" t="str">
        <x:f>LOWER(TRIM(C301)&amp;"|"&amp;TRIM(D301)&amp;"|"&amp;TRIM(E301)&amp;"|"&amp;TRIM(F301)&amp;"|"&amp;TRIM(H301)&amp;"|"&amp;TRIM(I301))</x:f>
        <x:v>场景|屋顶环境|rooftop_shelter_90x80|root|3d|default</x:v>
      </x:c>
      <x:c r="S301" t="str">
        <x:f>IF(COUNTIF($R$6:$R$423,R301)&gt;1,"重复","唯一")</x:f>
        <x:v>唯一</x:v>
      </x:c>
      <x:c r="T301" t="str">
        <x:v>3aca5e1d10dc25a000bbcf51855a1e64275629783d4b9e848c18180343bd235f</x:v>
      </x:c>
      <x:c r="U301" t="inlineStr">
        <x:is>
          <x:t xml:space="preserve">美术/程序</x:t>
        </x:is>
      </x:c>
      <x:c r="V301" t="n">
        <x:v>46278</x:v>
      </x:c>
      <x:c r="W301" t="inlineStr">
        <x:is>
          <x:t xml:space="preserve">项目自制/内部使用</x:t>
        </x:is>
      </x:c>
      <x:c r="X301" s="375" t="inlineStr">
        <x:is>
          <x:t xml:space="preserve">—</x:t>
        </x:is>
      </x:c>
      <x:c r="Y301" t="str">
        <x:v>2026-08-31 v015：生活棚整体北移并以木平台贴合天台边缘，平台高0.5m且设三块踏步/连续坡面碰撞；黄色门前动线阻挡0；种植区与通信区按标注分离。TowerFloorStage3D已正式实例化v015并隐藏旧程序化视觉；68个语义目录待归类对象0，36项主要物体各有独立阻挡；v014保留回滚。
2026-09-06：台账追齐正式v021引用，未重制聚落布局。29组已制作动画合并循环播放，离层停算；原串灯绑定3盏昼夜暖光。
2026-09-13 WORLD-BLOCKS r1：PackedScene迁入 tower_zones/rooftop/runtime/zone_rooftop_v021.tscn，归属 Blocks/Rooftop；Blender v021仅补Godot区块映射元数据，GLB未重新导入。</x:v>
      </x:c>
    </x:row>
    <x:row r="302" ht="54" customHeight="1">
      <x:c r="A302" t="inlineStr">
        <x:is>
          <x:t xml:space="preserve">BPK-BASE99-EAST-MEZZANINE-STRUCTURE</x:t>
        </x:is>
      </x:c>
      <x:c r="B302" t="inlineStr">
        <x:is>
          <x:t xml:space="preserve">基地99层 · 东墙阁楼主体结构</x:t>
        </x:is>
      </x:c>
      <x:c r="C302" t="inlineStr">
        <x:is>
          <x:t xml:space="preserve">基地资产包</x:t>
        </x:is>
      </x:c>
      <x:c r="D302" t="inlineStr">
        <x:is>
          <x:t xml:space="preserve">建筑结构包</x:t>
        </x:is>
      </x:c>
      <x:c r="E302" t="inlineStr">
        <x:is>
          <x:t xml:space="preserve">base99_package_east_mezzanine_structure</x:t>
        </x:is>
      </x:c>
      <x:c r="F302" t="inlineStr">
        <x:is>
          <x:t xml:space="preserve">package_root</x:t>
        </x:is>
      </x:c>
      <x:c r="G302" t="inlineStr">
        <x:is>
          <x:t xml:space="preserve">ENV-BASE99-ART-LAYOUT-3D</x:t>
        </x:is>
      </x:c>
      <x:c r="H302" t="inlineStr">
        <x:is>
          <x:t xml:space="preserve">Top3D / Blender +Y北</x:t>
        </x:is>
      </x:c>
      <x:c r="I302" t="inlineStr">
        <x:is>
          <x:t xml:space="preserve">static / default</x:t>
        </x:is>
      </x:c>
      <x:c r="J302" t="inlineStr">
        <x:is>
          <x:t xml:space="preserve">3D-设施 / 基地99层独立资产包</x:t>
        </x:is>
      </x:c>
      <x:c r="K302" t="inlineStr">
        <x:is>
          <x:t xml:space="preserve">已优化并正式接入</x:t>
        </x:is>
      </x:c>
      <x:c r="L302" t="inlineStr">
        <x:is>
          <x:t xml:space="preserve">P0</x:t>
        </x:is>
      </x:c>
      <x:c r="M302" t="inlineStr">
        <x:is>
          <x:t xml:space="preserve">v017</x:t>
        </x:is>
      </x:c>
      <x:c r="N302" s="349" t="inlineStr">
        <x:is>
          <x:t xml:space="preserve">优化输出包络 20.069×9.993×7.315m；3440 三角面</x:t>
        </x:is>
      </x:c>
      <x:c r="O302" s="349" t="inlineStr">
        <x:is>
          <x:t xml:space="preserve">source/art/blender/base_facility_layout/component_packages/architecture/east_mezzanine_structure/asset_manifest.json</x:t>
        </x:is>
      </x:c>
      <x:c r="P302" s="349" t="inlineStr">
        <x:is>
          <x:t xml:space="preserve">source/art/blender/base_facility_layout/source/base_facility_runtime_layout_hq_v026.blend; source/art/blender/base_facility_layout/component_packages/architecture/east_mezzanine_structure/asset_manifest.json</x:t>
        </x:is>
      </x:c>
      <x:c r="Q302" s="349" t="inlineStr">
        <x:is>
          <x:t xml:space="preserve">基地99层;基地资产包;3D设施;建筑结构包;east_mezzanine_structure;PaletteUV</x:t>
        </x:is>
      </x:c>
      <x:c r="R302" s="349" t="str">
        <x:f>LOWER(TRIM(C302)&amp;"|"&amp;TRIM(D302)&amp;"|"&amp;TRIM(E302)&amp;"|"&amp;TRIM(F302)&amp;"|"&amp;TRIM(H302)&amp;"|"&amp;TRIM(I302))</x:f>
        <x:v>基地资产包|建筑结构包|base99_package_east_mezzanine_structure|package_root|top3d / blender +y北|static / default</x:v>
      </x:c>
      <x:c r="S302" s="349" t="str">
        <x:f>IF(COUNTIF($R$6:$R$423,R302)&gt;1,"重复","唯一")</x:f>
        <x:v>唯一</x:v>
      </x:c>
      <x:c r="T302" s="349" t="inlineStr">
        <x:is>
          <x:t xml:space="preserve">b6757e1229b9394b9d29a5f3cef24473c04580c1cb864e13cfb76d04e6a7ae4f</x:t>
        </x:is>
      </x:c>
      <x:c r="U302" s="349" t="inlineStr">
        <x:is>
          <x:t xml:space="preserve">Codex</x:t>
        </x:is>
      </x:c>
      <x:c r="V302" s="348" t="n">
        <x:v>46269</x:v>
      </x:c>
      <x:c r="W302" s="349" t="inlineStr">
        <x:is>
          <x:t xml:space="preserve">用户自制Blender资产</x:t>
        </x:is>
      </x:c>
      <x:c r="X302" s="375" t="inlineStr">
        <x:is>
          <x:t xml:space="preserve">12</x:t>
        </x:is>
      </x:c>
      <x:c r="Y302" s="349" t="inlineStr">
        <x:is>
          <x:t xml:space="preserve"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x:t>
        </x:is>
      </x:c>
    </x:row>
    <x:row r="303" ht="54" customHeight="1">
      <x:c r="A303" t="inlineStr">
        <x:is>
          <x:t xml:space="preserve">BPK-BASE99-EAST-UPPER-TRANSITION-STAIR</x:t>
        </x:is>
      </x:c>
      <x:c r="B303" t="str">
        <x:v>基地99层 · 东侧5米至12米上行楼梯</x:v>
      </x:c>
      <x:c r="C303" t="inlineStr">
        <x:is>
          <x:t xml:space="preserve">基地资产包</x:t>
        </x:is>
      </x:c>
      <x:c r="D303" t="inlineStr">
        <x:is>
          <x:t xml:space="preserve">建筑结构包</x:t>
        </x:is>
      </x:c>
      <x:c r="E303" t="inlineStr">
        <x:is>
          <x:t xml:space="preserve">base99_package_east_upper_transition_stair</x:t>
        </x:is>
      </x:c>
      <x:c r="F303" t="inlineStr">
        <x:is>
          <x:t xml:space="preserve">package_root</x:t>
        </x:is>
      </x:c>
      <x:c r="G303" t="inlineStr">
        <x:is>
          <x:t xml:space="preserve">ENV-BASE99-ART-LAYOUT-3D</x:t>
        </x:is>
      </x:c>
      <x:c r="H303" t="inlineStr">
        <x:is>
          <x:t xml:space="preserve">Top3D / Blender +Y北</x:t>
        </x:is>
      </x:c>
      <x:c r="I303" t="inlineStr">
        <x:is>
          <x:t xml:space="preserve">static / default</x:t>
        </x:is>
      </x:c>
      <x:c r="J303" t="inlineStr">
        <x:is>
          <x:t xml:space="preserve">3D-设施 / 基地99层独立资产包</x:t>
        </x:is>
      </x:c>
      <x:c r="K303" t="inlineStr">
        <x:is>
          <x:t xml:space="preserve">已优化并正式接入</x:t>
        </x:is>
      </x:c>
      <x:c r="L303" t="inlineStr">
        <x:is>
          <x:t xml:space="preserve">P0</x:t>
        </x:is>
      </x:c>
      <x:c r="M303" t="str">
        <x:v>v002</x:v>
      </x:c>
      <x:c r="N303" s="349" t="str">
        <x:v>5→12m连续坡面；20级；0.35m级高；2.2m净宽；平面门位不变</x:v>
      </x:c>
      <x:c r="O303" s="349" t="str">
        <x:v>assets/art/environments/base_facility_3d/runtime/env_base99_structural_v021/east_upper_transition_stair/east_upper_transition_stair_root_top3d_v002.tscn</x:v>
      </x:c>
      <x:c r="P303" s="349" t="str">
        <x:v>assets/art/environments/base_facility_3d/source/wall_height12/env_base99_east_upper_transition_stair_12m_source_v001.blend; scripts/blender/build_base99_upper_transition_stair_12m_v001.py</x:v>
      </x:c>
      <x:c r="Q303" s="349" t="str">
        <x:v>基地99层;建筑结构包;上行楼梯;5米平台;12米门槛;20级</x:v>
      </x:c>
      <x:c r="R303" s="349" t="str">
        <x:f>LOWER(TRIM(C303)&amp;"|"&amp;TRIM(D303)&amp;"|"&amp;TRIM(E303)&amp;"|"&amp;TRIM(F303)&amp;"|"&amp;TRIM(H303)&amp;"|"&amp;TRIM(I303))</x:f>
        <x:v>基地资产包|建筑结构包|base99_package_east_upper_transition_stair|package_root|top3d / blender +y北|static / default</x:v>
      </x:c>
      <x:c r="S303" s="349" t="str">
        <x:f>IF(COUNTIF($R$6:$R$423,R303)&gt;1,"重复","唯一")</x:f>
        <x:v>唯一</x:v>
      </x:c>
      <x:c r="T303" s="349" t="str">
        <x:v>bd9de7e71c24ac4f5629ee25f394ed8c5db2e3788d82b1fff8ad320a4c1a44ad</x:v>
      </x:c>
      <x:c r="U303" s="349" t="inlineStr">
        <x:is>
          <x:t xml:space="preserve">Codex</x:t>
        </x:is>
      </x:c>
      <x:c r="V303" s="348" t="n">
        <x:v>46277</x:v>
      </x:c>
      <x:c r="W303" s="349" t="inlineStr">
        <x:is>
          <x:t xml:space="preserve">用户自制Blender资产</x:t>
        </x:is>
      </x:c>
      <x:c r="X303" s="375" t="inlineStr">
        <x:is>
          <x:t xml:space="preserve">51</x:t>
        </x:is>
      </x:c>
      <x:c r="Y303" s="349" t="str">
        <x:v>2026-09-13：随标准层高升级，保留5米平台起点与东门平面坐标，重制为20级、0.35米级高并以连续坡面碰撞接至12米门槛。T列为v002运行包装SHA-256。</x:v>
      </x:c>
    </x:row>
    <x:row r="304" ht="54" customHeight="1">
      <x:c r="A304" t="inlineStr">
        <x:is>
          <x:t xml:space="preserve">BPK-BASE99-NORTHWEST-L-STAIR</x:t>
        </x:is>
      </x:c>
      <x:c r="B304" t="inlineStr">
        <x:is>
          <x:t xml:space="preserve">基地99层 · 西北贴墙L型楼梯</x:t>
        </x:is>
      </x:c>
      <x:c r="C304" t="inlineStr">
        <x:is>
          <x:t xml:space="preserve">基地资产包</x:t>
        </x:is>
      </x:c>
      <x:c r="D304" t="inlineStr">
        <x:is>
          <x:t xml:space="preserve">建筑结构包</x:t>
        </x:is>
      </x:c>
      <x:c r="E304" t="inlineStr">
        <x:is>
          <x:t xml:space="preserve">base99_package_northwest_l_stair</x:t>
        </x:is>
      </x:c>
      <x:c r="F304" t="inlineStr">
        <x:is>
          <x:t xml:space="preserve">package_root</x:t>
        </x:is>
      </x:c>
      <x:c r="G304" t="inlineStr">
        <x:is>
          <x:t xml:space="preserve">ENV-BASE99-ART-LAYOUT-3D</x:t>
        </x:is>
      </x:c>
      <x:c r="H304" t="inlineStr">
        <x:is>
          <x:t xml:space="preserve">Top3D / Blender +Y北</x:t>
        </x:is>
      </x:c>
      <x:c r="I304" t="inlineStr">
        <x:is>
          <x:t xml:space="preserve">static / default</x:t>
        </x:is>
      </x:c>
      <x:c r="J304" t="inlineStr">
        <x:is>
          <x:t xml:space="preserve">3D-设施 / 基地99层独立资产包</x:t>
        </x:is>
      </x:c>
      <x:c r="K304" t="inlineStr">
        <x:is>
          <x:t xml:space="preserve">已优化并正式接入</x:t>
        </x:is>
      </x:c>
      <x:c r="L304" t="inlineStr">
        <x:is>
          <x:t xml:space="preserve">P0</x:t>
        </x:is>
      </x:c>
      <x:c r="M304" t="inlineStr">
        <x:is>
          <x:t xml:space="preserve">v022</x:t>
        </x:is>
      </x:c>
      <x:c r="N304" s="349" t="inlineStr">
        <x:is>
          <x:t xml:space="preserve">优化输出包络 10.082×7.908×7.124m；20310 三角面</x:t>
        </x:is>
      </x:c>
      <x:c r="O304" s="349" t="inlineStr">
        <x:is>
          <x:t xml:space="preserve">source/art/blender/base_facility_layout/component_packages/architecture/northwest_l_stair/asset_manifest.json</x:t>
        </x:is>
      </x:c>
      <x:c r="P304" s="349" t="inlineStr">
        <x:is>
          <x:t xml:space="preserve">source/art/blender/base_facility_layout/source/base_facility_runtime_layout_hq_v026.blend; source/art/blender/base_facility_layout/component_packages/architecture/northwest_l_stair/asset_manifest.json</x:t>
        </x:is>
      </x:c>
      <x:c r="Q304" s="349" t="inlineStr">
        <x:is>
          <x:t xml:space="preserve">基地99层;基地资产包;3D设施;建筑结构包;northwest_l_stair;PaletteUV</x:t>
        </x:is>
      </x:c>
      <x:c r="R304" s="349" t="str">
        <x:f>LOWER(TRIM(C304)&amp;"|"&amp;TRIM(D304)&amp;"|"&amp;TRIM(E304)&amp;"|"&amp;TRIM(F304)&amp;"|"&amp;TRIM(H304)&amp;"|"&amp;TRIM(I304))</x:f>
        <x:v>基地资产包|建筑结构包|base99_package_northwest_l_stair|package_root|top3d / blender +y北|static / default</x:v>
      </x:c>
      <x:c r="S304" s="349" t="str">
        <x:f>IF(COUNTIF($R$6:$R$423,R304)&gt;1,"重复","唯一")</x:f>
        <x:v>唯一</x:v>
      </x:c>
      <x:c r="T304" s="349" t="inlineStr">
        <x:is>
          <x:t xml:space="preserve">0ea9d373b5ee6bec5c73c4c0e1eef330af2c5937838e3019a703437fa7de7a30</x:t>
        </x:is>
      </x:c>
      <x:c r="U304" s="349" t="inlineStr">
        <x:is>
          <x:t xml:space="preserve">Codex</x:t>
        </x:is>
      </x:c>
      <x:c r="V304" s="348" t="n">
        <x:v>46269</x:v>
      </x:c>
      <x:c r="W304" s="349" t="inlineStr">
        <x:is>
          <x:t xml:space="preserve">用户自制Blender资产</x:t>
        </x:is>
      </x:c>
      <x:c r="X304" s="375" t="inlineStr">
        <x:is>
          <x:t xml:space="preserve">14</x:t>
        </x:is>
      </x:c>
      <x:c r="Y304" s="349" t="inlineStr">
        <x:is>
          <x:t xml:space="preserve"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x:t>
        </x:is>
      </x:c>
    </x:row>
    <x:row r="305" ht="54" customHeight="1">
      <x:c r="A305" t="inlineStr">
        <x:is>
          <x:t xml:space="preserve">BPK-BASE99-RETAINED-WALL-SYSTEM</x:t>
        </x:is>
      </x:c>
      <x:c r="B305" t="inlineStr">
        <x:is>
          <x:t xml:space="preserve">基地99层 · 四向保留墙体系统</x:t>
        </x:is>
      </x:c>
      <x:c r="C305" t="inlineStr">
        <x:is>
          <x:t xml:space="preserve">基地资产包</x:t>
        </x:is>
      </x:c>
      <x:c r="D305" t="inlineStr">
        <x:is>
          <x:t xml:space="preserve">建筑结构包</x:t>
        </x:is>
      </x:c>
      <x:c r="E305" t="inlineStr">
        <x:is>
          <x:t xml:space="preserve">base99_package_retained_wall_system</x:t>
        </x:is>
      </x:c>
      <x:c r="F305" t="inlineStr">
        <x:is>
          <x:t xml:space="preserve">package_root</x:t>
        </x:is>
      </x:c>
      <x:c r="G305" t="inlineStr">
        <x:is>
          <x:t xml:space="preserve">ENV-BASE99-ART-LAYOUT-3D</x:t>
        </x:is>
      </x:c>
      <x:c r="H305" t="inlineStr">
        <x:is>
          <x:t xml:space="preserve">Top3D / Blender +Y北</x:t>
        </x:is>
      </x:c>
      <x:c r="I305" t="inlineStr">
        <x:is>
          <x:t xml:space="preserve">static / default</x:t>
        </x:is>
      </x:c>
      <x:c r="J305" t="inlineStr">
        <x:is>
          <x:t xml:space="preserve">3D-设施 / 基地99层独立资产包</x:t>
        </x:is>
      </x:c>
      <x:c r="K305" t="inlineStr">
        <x:is>
          <x:t xml:space="preserve">Blender源已完成</x:t>
        </x:is>
      </x:c>
      <x:c r="L305" t="inlineStr">
        <x:is>
          <x:t xml:space="preserve">P0</x:t>
        </x:is>
      </x:c>
      <x:c r="M305" t="inlineStr">
        <x:is>
          <x:t xml:space="preserve">v017</x:t>
        </x:is>
      </x:c>
      <x:c r="N305" s="349" t="inlineStr">
        <x:is>
          <x:t xml:space="preserve">包络 31.171×30.360×9.000m；24 网格；0 灯</x:t>
        </x:is>
      </x:c>
      <x:c r="O305" s="349" t="inlineStr">
        <x:is>
          <x:t xml:space="preserve">source/art/blender/base_facility_layout/component_packages/architecture/retained_wall_system/asset_manifest.json</x:t>
        </x:is>
      </x:c>
      <x:c r="P305" s="349" t="inlineStr">
        <x:is>
          <x:t xml:space="preserve">source/art/blender/base_facility_layout/source/base_facility_runtime_layout_hq_v026.blend; source/art/blender/base_facility_layout/component_packages/architecture/retained_wall_system/asset_manifest.json</x:t>
        </x:is>
      </x:c>
      <x:c r="Q305" s="349" t="inlineStr">
        <x:is>
          <x:t xml:space="preserve">基地99层;基地资产包;3D设施;建筑结构包;retained_wall_system;PaletteUV</x:t>
        </x:is>
      </x:c>
      <x:c r="R305" s="349" t="str">
        <x:f>LOWER(TRIM(C305)&amp;"|"&amp;TRIM(D305)&amp;"|"&amp;TRIM(E305)&amp;"|"&amp;TRIM(F305)&amp;"|"&amp;TRIM(H305)&amp;"|"&amp;TRIM(I305))</x:f>
        <x:v>基地资产包|建筑结构包|base99_package_retained_wall_system|package_root|top3d / blender +y北|static / default</x:v>
      </x:c>
      <x:c r="S305" s="349" t="str">
        <x:f>IF(COUNTIF($R$6:$R$423,R305)&gt;1,"重复","唯一")</x:f>
        <x:v>唯一</x:v>
      </x:c>
      <x:c r="T305" s="349" t="inlineStr">
        <x:is>
          <x:t xml:space="preserve">1757151e65d8c0d147dacfa2e0efac8fe420eef2130340a4371d2a9a452edcf6</x:t>
        </x:is>
      </x:c>
      <x:c r="U305" s="349" t="inlineStr">
        <x:is>
          <x:t xml:space="preserve">Codex</x:t>
        </x:is>
      </x:c>
      <x:c r="V305" s="348" t="n">
        <x:v>46269</x:v>
      </x:c>
      <x:c r="W305" s="349" t="inlineStr">
        <x:is>
          <x:t xml:space="preserve">用户自制Blender资产</x:t>
        </x:is>
      </x:c>
      <x:c r="X305" s="375" t="inlineStr">
        <x:is>
          <x:t xml:space="preserve">11</x:t>
        </x:is>
      </x:c>
      <x:c r="Y305" s="349" t="inlineStr">
        <x:is>
          <x:t xml:space="preserve"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x:t>
        </x:is>
      </x:c>
    </x:row>
    <x:row r="306" ht="54" customHeight="1">
      <x:c r="A306" t="inlineStr">
        <x:is>
          <x:t xml:space="preserve">BPK-BASE99-UNDERDECK-SHEET-BLOCKER</x:t>
        </x:is>
      </x:c>
      <x:c r="B306" t="inlineStr">
        <x:is>
          <x:t xml:space="preserve">基地99层 · 阁楼下方铁皮封闭体</x:t>
        </x:is>
      </x:c>
      <x:c r="C306" t="inlineStr">
        <x:is>
          <x:t xml:space="preserve">基地资产包</x:t>
        </x:is>
      </x:c>
      <x:c r="D306" t="inlineStr">
        <x:is>
          <x:t xml:space="preserve">建筑结构包</x:t>
        </x:is>
      </x:c>
      <x:c r="E306" t="inlineStr">
        <x:is>
          <x:t xml:space="preserve">base99_package_underdeck_sheet_blocker</x:t>
        </x:is>
      </x:c>
      <x:c r="F306" t="inlineStr">
        <x:is>
          <x:t xml:space="preserve">package_root</x:t>
        </x:is>
      </x:c>
      <x:c r="G306" t="inlineStr">
        <x:is>
          <x:t xml:space="preserve">ENV-BASE99-ART-LAYOUT-3D</x:t>
        </x:is>
      </x:c>
      <x:c r="H306" t="inlineStr">
        <x:is>
          <x:t xml:space="preserve">Top3D / Blender +Y北</x:t>
        </x:is>
      </x:c>
      <x:c r="I306" t="inlineStr">
        <x:is>
          <x:t xml:space="preserve">static / fixture_light</x:t>
        </x:is>
      </x:c>
      <x:c r="J306" t="inlineStr">
        <x:is>
          <x:t xml:space="preserve">3D-设施 / 基地99层独立资产包</x:t>
        </x:is>
      </x:c>
      <x:c r="K306" t="inlineStr">
        <x:is>
          <x:t xml:space="preserve">已优化并正式接入</x:t>
        </x:is>
      </x:c>
      <x:c r="L306" t="inlineStr">
        <x:is>
          <x:t xml:space="preserve">P0</x:t>
        </x:is>
      </x:c>
      <x:c r="M306" t="inlineStr">
        <x:is>
          <x:t xml:space="preserve">v017</x:t>
        </x:is>
      </x:c>
      <x:c r="N306" s="349" t="inlineStr">
        <x:is>
          <x:t xml:space="preserve">优化输出包络 19.315×9.500×5.393m；2630 三角面</x:t>
        </x:is>
      </x:c>
      <x:c r="O306" s="349" t="inlineStr">
        <x:is>
          <x:t xml:space="preserve">source/art/blender/base_facility_layout/component_packages/architecture/underdeck_sheet_blocker/asset_manifest.json</x:t>
        </x:is>
      </x:c>
      <x:c r="P306" s="349" t="inlineStr">
        <x:is>
          <x:t xml:space="preserve">source/art/blender/base_facility_layout/source/base_facility_runtime_layout_hq_v026.blend; source/art/blender/base_facility_layout/component_packages/architecture/underdeck_sheet_blocker/asset_manifest.json</x:t>
        </x:is>
      </x:c>
      <x:c r="Q306" s="349" t="inlineStr">
        <x:is>
          <x:t xml:space="preserve">基地99层;基地资产包;3D设施;建筑结构包;underdeck_sheet_blocker;PaletteUV</x:t>
        </x:is>
      </x:c>
      <x:c r="R306" s="349" t="str">
        <x:f>LOWER(TRIM(C306)&amp;"|"&amp;TRIM(D306)&amp;"|"&amp;TRIM(E306)&amp;"|"&amp;TRIM(F306)&amp;"|"&amp;TRIM(H306)&amp;"|"&amp;TRIM(I306))</x:f>
        <x:v>基地资产包|建筑结构包|base99_package_underdeck_sheet_blocker|package_root|top3d / blender +y北|static / fixture_light</x:v>
      </x:c>
      <x:c r="S306" s="349" t="str">
        <x:f>IF(COUNTIF($R$6:$R$423,R306)&gt;1,"重复","唯一")</x:f>
        <x:v>唯一</x:v>
      </x:c>
      <x:c r="T306" s="349" t="inlineStr">
        <x:is>
          <x:t xml:space="preserve">df9b6eff39e247df5282cea02660cf273b246090473f6269e5a0b2334943ac85</x:t>
        </x:is>
      </x:c>
      <x:c r="U306" s="349" t="inlineStr">
        <x:is>
          <x:t xml:space="preserve">Codex</x:t>
        </x:is>
      </x:c>
      <x:c r="V306" s="348" t="n">
        <x:v>46269</x:v>
      </x:c>
      <x:c r="W306" s="349" t="inlineStr">
        <x:is>
          <x:t xml:space="preserve">用户自制Blender资产</x:t>
        </x:is>
      </x:c>
      <x:c r="X306" s="375" t="inlineStr">
        <x:is>
          <x:t xml:space="preserve">13</x:t>
        </x:is>
      </x:c>
      <x:c r="Y306" s="349" t="inlineStr">
        <x:is>
          <x:t xml:space="preserve"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x:t>
        </x:is>
      </x:c>
    </x:row>
    <x:row r="307" ht="54" customHeight="1">
      <x:c r="A307" t="inlineStr">
        <x:is>
          <x:t xml:space="preserve">BPK-BASE99-EAST-FLAMMABLE-BIN</x:t>
        </x:is>
      </x:c>
      <x:c r="B307" t="inlineStr">
        <x:is>
          <x:t xml:space="preserve">基地99层 · FLAMMABLE可燃垃圾设施</x:t>
        </x:is>
      </x:c>
      <x:c r="C307" t="inlineStr">
        <x:is>
          <x:t xml:space="preserve">基地资产包</x:t>
        </x:is>
      </x:c>
      <x:c r="D307" t="inlineStr">
        <x:is>
          <x:t xml:space="preserve">东侧固定设施包</x:t>
        </x:is>
      </x:c>
      <x:c r="E307" t="inlineStr">
        <x:is>
          <x:t xml:space="preserve">base99_package_east_flammable_bin</x:t>
        </x:is>
      </x:c>
      <x:c r="F307" t="inlineStr">
        <x:is>
          <x:t xml:space="preserve">package_root</x:t>
        </x:is>
      </x:c>
      <x:c r="G307" t="inlineStr">
        <x:is>
          <x:t xml:space="preserve">ENV-BASE99-ART-LAYOUT-3D</x:t>
        </x:is>
      </x:c>
      <x:c r="H307" t="inlineStr">
        <x:is>
          <x:t xml:space="preserve">Top3D / Blender +Y北</x:t>
        </x:is>
      </x:c>
      <x:c r="I307" t="inlineStr">
        <x:is>
          <x:t xml:space="preserve">static / default</x:t>
        </x:is>
      </x:c>
      <x:c r="J307" t="inlineStr">
        <x:is>
          <x:t xml:space="preserve">3D-设施 / 基地99层独立资产包</x:t>
        </x:is>
      </x:c>
      <x:c r="K307" t="inlineStr">
        <x:is>
          <x:t xml:space="preserve">Blender源已完成</x:t>
        </x:is>
      </x:c>
      <x:c r="L307" t="inlineStr">
        <x:is>
          <x:t xml:space="preserve">P1</x:t>
        </x:is>
      </x:c>
      <x:c r="M307" t="inlineStr">
        <x:is>
          <x:t xml:space="preserve">v017</x:t>
        </x:is>
      </x:c>
      <x:c r="N307" s="349" t="inlineStr">
        <x:is>
          <x:t xml:space="preserve">包络 1.298×1.100×1.460m；12 网格；0 灯</x:t>
        </x:is>
      </x:c>
      <x:c r="O307" s="349" t="inlineStr">
        <x:is>
          <x:t xml:space="preserve">source/art/blender/base_facility_layout/component_packages/east_facilities/east_flammable_bin/asset_manifest.json</x:t>
        </x:is>
      </x:c>
      <x:c r="P307" s="349" t="inlineStr">
        <x:is>
          <x:t xml:space="preserve">source/art/blender/base_facility_layout/source/base_facility_runtime_layout_hq_v026.blend; source/art/blender/base_facility_layout/component_packages/east_facilities/east_flammable_bin/asset_manifest.json</x:t>
        </x:is>
      </x:c>
      <x:c r="Q307" s="349" t="inlineStr">
        <x:is>
          <x:t xml:space="preserve">基地99层;基地资产包;3D设施;东侧固定设施包;east_flammable_bin;PaletteUV</x:t>
        </x:is>
      </x:c>
      <x:c r="R307" s="349" t="str">
        <x:f>LOWER(TRIM(C307)&amp;"|"&amp;TRIM(D307)&amp;"|"&amp;TRIM(E307)&amp;"|"&amp;TRIM(F307)&amp;"|"&amp;TRIM(H307)&amp;"|"&amp;TRIM(I307))</x:f>
        <x:v>基地资产包|东侧固定设施包|base99_package_east_flammable_bin|package_root|top3d / blender +y北|static / default</x:v>
      </x:c>
      <x:c r="S307" s="349" t="str">
        <x:f>IF(COUNTIF($R$6:$R$423,R307)&gt;1,"重复","唯一")</x:f>
        <x:v>唯一</x:v>
      </x:c>
      <x:c r="T307" s="349" t="inlineStr">
        <x:is>
          <x:t xml:space="preserve">d67856f7054de69177c719bb95fb60f3840f92a162bfcdfbda06263ea1a12480</x:t>
        </x:is>
      </x:c>
      <x:c r="U307" s="349" t="inlineStr">
        <x:is>
          <x:t xml:space="preserve">Codex</x:t>
        </x:is>
      </x:c>
      <x:c r="V307" s="348" t="n">
        <x:v>46269</x:v>
      </x:c>
      <x:c r="W307" s="349" t="inlineStr">
        <x:is>
          <x:t xml:space="preserve">用户自制Blender资产</x:t>
        </x:is>
      </x:c>
      <x:c r="X307" s="375" t="inlineStr">
        <x:is>
          <x:t xml:space="preserve">76</x:t>
        </x:is>
      </x:c>
      <x:c r="Y307" s="349" t="inlineStr">
        <x:is>
          <x:t xml:space="preserve"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x:t>
        </x:is>
      </x:c>
    </x:row>
    <x:row r="308" ht="54" customHeight="1">
      <x:c r="A308" t="inlineStr">
        <x:is>
          <x:t xml:space="preserve">BPK-BASE99-EAST-INDUSTRIAL-PIPELINE-SYSTEM</x:t>
        </x:is>
      </x:c>
      <x:c r="B308" t="inlineStr">
        <x:is>
          <x:t xml:space="preserve">基地99层 · 东墙工业管线系统</x:t>
        </x:is>
      </x:c>
      <x:c r="C308" t="inlineStr">
        <x:is>
          <x:t xml:space="preserve">基地资产包</x:t>
        </x:is>
      </x:c>
      <x:c r="D308" t="inlineStr">
        <x:is>
          <x:t xml:space="preserve">东侧固定设施包</x:t>
        </x:is>
      </x:c>
      <x:c r="E308" t="inlineStr">
        <x:is>
          <x:t xml:space="preserve">base99_package_east_industrial_pipeline_system</x:t>
        </x:is>
      </x:c>
      <x:c r="F308" t="inlineStr">
        <x:is>
          <x:t xml:space="preserve">package_root</x:t>
        </x:is>
      </x:c>
      <x:c r="G308" t="inlineStr">
        <x:is>
          <x:t xml:space="preserve">ENV-BASE99-ART-LAYOUT-3D</x:t>
        </x:is>
      </x:c>
      <x:c r="H308" t="inlineStr">
        <x:is>
          <x:t xml:space="preserve">Top3D / Blender +Y北</x:t>
        </x:is>
      </x:c>
      <x:c r="I308" t="inlineStr">
        <x:is>
          <x:t xml:space="preserve">static / default</x:t>
        </x:is>
      </x:c>
      <x:c r="J308" t="inlineStr">
        <x:is>
          <x:t xml:space="preserve">3D-设施 / 基地99层独立资产包</x:t>
        </x:is>
      </x:c>
      <x:c r="K308" t="inlineStr">
        <x:is>
          <x:t xml:space="preserve">Blender源已完成</x:t>
        </x:is>
      </x:c>
      <x:c r="L308" t="inlineStr">
        <x:is>
          <x:t xml:space="preserve">P1</x:t>
        </x:is>
      </x:c>
      <x:c r="M308" t="inlineStr">
        <x:is>
          <x:t xml:space="preserve">v022</x:t>
        </x:is>
      </x:c>
      <x:c r="N308" s="349" t="inlineStr">
        <x:is>
          <x:t xml:space="preserve">包络 0.578×17.600×5.460m；57 网格；0 灯</x:t>
        </x:is>
      </x:c>
      <x:c r="O308" s="349" t="inlineStr">
        <x:is>
          <x:t xml:space="preserve">source/art/blender/base_facility_layout/component_packages/east_facilities/east_industrial_pipeline_system/asset_manifest.json</x:t>
        </x:is>
      </x:c>
      <x:c r="P308" s="349" t="inlineStr">
        <x:is>
          <x:t xml:space="preserve">source/art/blender/base_facility_layout/source/base_facility_runtime_layout_hq_v026.blend; source/art/blender/base_facility_layout/component_packages/east_facilities/east_industrial_pipeline_system/asset_manifest.json</x:t>
        </x:is>
      </x:c>
      <x:c r="Q308" s="349" t="inlineStr">
        <x:is>
          <x:t xml:space="preserve">基地99层;基地资产包;3D设施;东侧固定设施包;east_industrial_pipeline_system;PaletteUV</x:t>
        </x:is>
      </x:c>
      <x:c r="R308" s="349" t="str">
        <x:f>LOWER(TRIM(C308)&amp;"|"&amp;TRIM(D308)&amp;"|"&amp;TRIM(E308)&amp;"|"&amp;TRIM(F308)&amp;"|"&amp;TRIM(H308)&amp;"|"&amp;TRIM(I308))</x:f>
        <x:v>基地资产包|东侧固定设施包|base99_package_east_industrial_pipeline_system|package_root|top3d / blender +y北|static / default</x:v>
      </x:c>
      <x:c r="S308" s="349" t="str">
        <x:f>IF(COUNTIF($R$6:$R$423,R308)&gt;1,"重复","唯一")</x:f>
        <x:v>唯一</x:v>
      </x:c>
      <x:c r="T308" s="349" t="inlineStr">
        <x:is>
          <x:t xml:space="preserve">17131b6c007c19a68cbfa9840985791cde68ac938e59b14d960c27d164a391f3</x:t>
        </x:is>
      </x:c>
      <x:c r="U308" s="349" t="inlineStr">
        <x:is>
          <x:t xml:space="preserve">Codex</x:t>
        </x:is>
      </x:c>
      <x:c r="V308" s="348" t="n">
        <x:v>46269</x:v>
      </x:c>
      <x:c r="W308" s="349" t="inlineStr">
        <x:is>
          <x:t xml:space="preserve">用户自制Blender资产</x:t>
        </x:is>
      </x:c>
      <x:c r="X308" s="375" t="inlineStr">
        <x:is>
          <x:t xml:space="preserve">74</x:t>
        </x:is>
      </x:c>
      <x:c r="Y308" s="349" t="inlineStr">
        <x:is>
          <x:t xml:space="preserve"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x:t>
        </x:is>
      </x:c>
    </x:row>
    <x:row r="309" ht="54" customHeight="1">
      <x:c r="A309" t="inlineStr">
        <x:is>
          <x:t xml:space="preserve">BPK-BASE99-EAST-LOW-STORAGE-BENCH</x:t>
        </x:is>
      </x:c>
      <x:c r="B309" t="inlineStr">
        <x:is>
          <x:t xml:space="preserve">基地99层 · 低矮储物收纳区</x:t>
        </x:is>
      </x:c>
      <x:c r="C309" t="inlineStr">
        <x:is>
          <x:t xml:space="preserve">基地资产包</x:t>
        </x:is>
      </x:c>
      <x:c r="D309" t="inlineStr">
        <x:is>
          <x:t xml:space="preserve">东侧固定设施包</x:t>
        </x:is>
      </x:c>
      <x:c r="E309" t="inlineStr">
        <x:is>
          <x:t xml:space="preserve">base99_package_east_low_storage_bench</x:t>
        </x:is>
      </x:c>
      <x:c r="F309" t="inlineStr">
        <x:is>
          <x:t xml:space="preserve">package_root</x:t>
        </x:is>
      </x:c>
      <x:c r="G309" t="inlineStr">
        <x:is>
          <x:t xml:space="preserve">ENV-BASE99-ART-LAYOUT-3D</x:t>
        </x:is>
      </x:c>
      <x:c r="H309" t="inlineStr">
        <x:is>
          <x:t xml:space="preserve">Top3D / Blender +Y北</x:t>
        </x:is>
      </x:c>
      <x:c r="I309" t="inlineStr">
        <x:is>
          <x:t xml:space="preserve">static / default</x:t>
        </x:is>
      </x:c>
      <x:c r="J309" t="inlineStr">
        <x:is>
          <x:t xml:space="preserve">3D-设施 / 基地99层独立资产包</x:t>
        </x:is>
      </x:c>
      <x:c r="K309" t="inlineStr">
        <x:is>
          <x:t xml:space="preserve">Blender源已完成</x:t>
        </x:is>
      </x:c>
      <x:c r="L309" t="inlineStr">
        <x:is>
          <x:t xml:space="preserve">P1</x:t>
        </x:is>
      </x:c>
      <x:c r="M309" t="inlineStr">
        <x:is>
          <x:t xml:space="preserve">v017</x:t>
        </x:is>
      </x:c>
      <x:c r="N309" s="349" t="inlineStr">
        <x:is>
          <x:t xml:space="preserve">包络 2.900×1.225×1.690m；10 网格；0 灯</x:t>
        </x:is>
      </x:c>
      <x:c r="O309" s="349" t="inlineStr">
        <x:is>
          <x:t xml:space="preserve">source/art/blender/base_facility_layout/component_packages/east_facilities/east_low_storage_bench/asset_manifest.json</x:t>
        </x:is>
      </x:c>
      <x:c r="P309" s="349" t="inlineStr">
        <x:is>
          <x:t xml:space="preserve">source/art/blender/base_facility_layout/source/base_facility_runtime_layout_hq_v026.blend; source/art/blender/base_facility_layout/component_packages/east_facilities/east_low_storage_bench/asset_manifest.json</x:t>
        </x:is>
      </x:c>
      <x:c r="Q309" s="349" t="inlineStr">
        <x:is>
          <x:t xml:space="preserve">基地99层;基地资产包;3D设施;东侧固定设施包;east_low_storage_bench;PaletteUV</x:t>
        </x:is>
      </x:c>
      <x:c r="R309" s="349" t="str">
        <x:f>LOWER(TRIM(C309)&amp;"|"&amp;TRIM(D309)&amp;"|"&amp;TRIM(E309)&amp;"|"&amp;TRIM(F309)&amp;"|"&amp;TRIM(H309)&amp;"|"&amp;TRIM(I309))</x:f>
        <x:v>基地资产包|东侧固定设施包|base99_package_east_low_storage_bench|package_root|top3d / blender +y北|static / default</x:v>
      </x:c>
      <x:c r="S309" s="349" t="str">
        <x:f>IF(COUNTIF($R$6:$R$423,R309)&gt;1,"重复","唯一")</x:f>
        <x:v>唯一</x:v>
      </x:c>
      <x:c r="T309" s="349" t="inlineStr">
        <x:is>
          <x:t xml:space="preserve">425f3923fe553cac17dbb350477207a41015df2ae7aac88fe578e3737db1f438</x:t>
        </x:is>
      </x:c>
      <x:c r="U309" s="349" t="inlineStr">
        <x:is>
          <x:t xml:space="preserve">Codex</x:t>
        </x:is>
      </x:c>
      <x:c r="V309" s="348" t="n">
        <x:v>46269</x:v>
      </x:c>
      <x:c r="W309" s="349" t="inlineStr">
        <x:is>
          <x:t xml:space="preserve">用户自制Blender资产</x:t>
        </x:is>
      </x:c>
      <x:c r="X309" s="375" t="inlineStr">
        <x:is>
          <x:t xml:space="preserve">80</x:t>
        </x:is>
      </x:c>
      <x:c r="Y309" s="349" t="inlineStr">
        <x:is>
          <x:t xml:space="preserve"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x:t>
        </x:is>
      </x:c>
    </x:row>
    <x:row r="310" ht="54" customHeight="1">
      <x:c r="A310" t="inlineStr">
        <x:is>
          <x:t xml:space="preserve">BPK-BASE99-EAST-MAINTENANCE-WORKSTATION</x:t>
        </x:is>
      </x:c>
      <x:c r="B310" t="inlineStr">
        <x:is>
          <x:t xml:space="preserve">基地99层 · 维修工作台与工具墙</x:t>
        </x:is>
      </x:c>
      <x:c r="C310" t="inlineStr">
        <x:is>
          <x:t xml:space="preserve">基地资产包</x:t>
        </x:is>
      </x:c>
      <x:c r="D310" t="inlineStr">
        <x:is>
          <x:t xml:space="preserve">东侧固定设施包</x:t>
        </x:is>
      </x:c>
      <x:c r="E310" t="inlineStr">
        <x:is>
          <x:t xml:space="preserve">base99_package_east_maintenance_workstation</x:t>
        </x:is>
      </x:c>
      <x:c r="F310" t="inlineStr">
        <x:is>
          <x:t xml:space="preserve">package_root</x:t>
        </x:is>
      </x:c>
      <x:c r="G310" t="inlineStr">
        <x:is>
          <x:t xml:space="preserve">ENV-BASE99-ART-LAYOUT-3D</x:t>
        </x:is>
      </x:c>
      <x:c r="H310" t="inlineStr">
        <x:is>
          <x:t xml:space="preserve">Top3D / Blender +Y北</x:t>
        </x:is>
      </x:c>
      <x:c r="I310" t="inlineStr">
        <x:is>
          <x:t xml:space="preserve">static / default</x:t>
        </x:is>
      </x:c>
      <x:c r="J310" t="inlineStr">
        <x:is>
          <x:t xml:space="preserve">3D-设施 / 基地99层独立资产包</x:t>
        </x:is>
      </x:c>
      <x:c r="K310" t="inlineStr">
        <x:is>
          <x:t xml:space="preserve">Blender源已完成</x:t>
        </x:is>
      </x:c>
      <x:c r="L310" t="inlineStr">
        <x:is>
          <x:t xml:space="preserve">P1</x:t>
        </x:is>
      </x:c>
      <x:c r="M310" t="inlineStr">
        <x:is>
          <x:t xml:space="preserve">v022</x:t>
        </x:is>
      </x:c>
      <x:c r="N310" s="349" t="inlineStr">
        <x:is>
          <x:t xml:space="preserve">包络 5.000×2.560×4.220m；115 网格；0 灯</x:t>
        </x:is>
      </x:c>
      <x:c r="O310" s="349" t="inlineStr">
        <x:is>
          <x:t xml:space="preserve">source/art/blender/base_facility_layout/component_packages/east_facilities/east_maintenance_workstation/asset_manifest.json</x:t>
        </x:is>
      </x:c>
      <x:c r="P310" s="349" t="inlineStr">
        <x:is>
          <x:t xml:space="preserve">source/art/blender/base_facility_layout/source/base_facility_runtime_layout_hq_v026.blend; source/art/blender/base_facility_layout/component_packages/east_facilities/east_maintenance_workstation/asset_manifest.json</x:t>
        </x:is>
      </x:c>
      <x:c r="Q310" s="349" t="inlineStr">
        <x:is>
          <x:t xml:space="preserve">基地99层;基地资产包;3D设施;东侧固定设施包;east_maintenance_workstation;PaletteUV</x:t>
        </x:is>
      </x:c>
      <x:c r="R310" s="349" t="str">
        <x:f>LOWER(TRIM(C310)&amp;"|"&amp;TRIM(D310)&amp;"|"&amp;TRIM(E310)&amp;"|"&amp;TRIM(F310)&amp;"|"&amp;TRIM(H310)&amp;"|"&amp;TRIM(I310))</x:f>
        <x:v>基地资产包|东侧固定设施包|base99_package_east_maintenance_workstation|package_root|top3d / blender +y北|static / default</x:v>
      </x:c>
      <x:c r="S310" s="349" t="str">
        <x:f>IF(COUNTIF($R$6:$R$423,R310)&gt;1,"重复","唯一")</x:f>
        <x:v>唯一</x:v>
      </x:c>
      <x:c r="T310" s="349" t="inlineStr">
        <x:is>
          <x:t xml:space="preserve">8175ece5f3b1bea66004ebbca23a7c807b63e555eb1981feda6e1c564175ccc4</x:t>
        </x:is>
      </x:c>
      <x:c r="U310" s="349" t="inlineStr">
        <x:is>
          <x:t xml:space="preserve">Codex</x:t>
        </x:is>
      </x:c>
      <x:c r="V310" s="348" t="n">
        <x:v>46269</x:v>
      </x:c>
      <x:c r="W310" s="349" t="inlineStr">
        <x:is>
          <x:t xml:space="preserve">用户自制Blender资产</x:t>
        </x:is>
      </x:c>
      <x:c r="X310" s="375" t="inlineStr">
        <x:is>
          <x:t xml:space="preserve">78</x:t>
        </x:is>
      </x:c>
      <x:c r="Y310" s="349" t="inlineStr">
        <x:is>
          <x:t xml:space="preserve"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x:t>
        </x:is>
      </x:c>
    </x:row>
    <x:row r="311" ht="72" customHeight="1">
      <x:c r="A311" t="inlineStr">
        <x:is>
          <x:t xml:space="preserve">BPK-BASE99-EAST-PERSONNEL-SECURITY-DOOR</x:t>
        </x:is>
      </x:c>
      <x:c r="B311" t="inlineStr">
        <x:is>
          <x:t xml:space="preserve">基地99层 · 正式人员安全门</x:t>
        </x:is>
      </x:c>
      <x:c r="C311" t="inlineStr">
        <x:is>
          <x:t xml:space="preserve">基地资产包</x:t>
        </x:is>
      </x:c>
      <x:c r="D311" t="inlineStr">
        <x:is>
          <x:t xml:space="preserve">东侧固定设施包</x:t>
        </x:is>
      </x:c>
      <x:c r="E311" t="inlineStr">
        <x:is>
          <x:t xml:space="preserve">base99_package_east_personnel_security_door</x:t>
        </x:is>
      </x:c>
      <x:c r="F311" t="inlineStr">
        <x:is>
          <x:t xml:space="preserve">package_root</x:t>
        </x:is>
      </x:c>
      <x:c r="G311" t="inlineStr">
        <x:is>
          <x:t xml:space="preserve">ENV-BASE99-ART-LAYOUT-3D</x:t>
        </x:is>
      </x:c>
      <x:c r="H311" t="inlineStr">
        <x:is>
          <x:t xml:space="preserve">Top3D / Blender +Y北</x:t>
        </x:is>
      </x:c>
      <x:c r="I311" t="inlineStr">
        <x:is>
          <x:t xml:space="preserve">static / fixture_light</x:t>
        </x:is>
      </x:c>
      <x:c r="J311" t="inlineStr">
        <x:is>
          <x:t xml:space="preserve">3D-设施 / 基地99层独立资产包</x:t>
        </x:is>
      </x:c>
      <x:c r="K311" t="inlineStr">
        <x:is>
          <x:t xml:space="preserve">Blender源已完成</x:t>
        </x:is>
      </x:c>
      <x:c r="L311" t="inlineStr">
        <x:is>
          <x:t xml:space="preserve">P1</x:t>
        </x:is>
      </x:c>
      <x:c r="M311" t="inlineStr">
        <x:is>
          <x:t xml:space="preserve">v021</x:t>
        </x:is>
      </x:c>
      <x:c r="N311" s="349" t="inlineStr">
        <x:is>
          <x:t xml:space="preserve">包络 0.898×2.040×2.340m；2 网格；1 灯</x:t>
        </x:is>
      </x:c>
      <x:c r="O311" s="349" t="inlineStr">
        <x:is>
          <x:t xml:space="preserve">source/art/blender/base_facility_layout/component_packages/east_facilities/east_personnel_security_door/asset_manifest.json</x:t>
        </x:is>
      </x:c>
      <x:c r="P311" s="349" t="inlineStr">
        <x:is>
          <x:t xml:space="preserve">source/art/blender/base_facility_layout/source/base_facility_runtime_layout_hq_v026.blend; source/art/blender/base_facility_layout/component_packages/east_facilities/east_personnel_security_door/asset_manifest.json</x:t>
        </x:is>
      </x:c>
      <x:c r="Q311" s="349" t="inlineStr">
        <x:is>
          <x:t xml:space="preserve">基地99层;基地资产包;3D设施;东侧固定设施包;east_personnel_security_door;PaletteUV</x:t>
        </x:is>
      </x:c>
      <x:c r="R311" s="349" t="str">
        <x:f>LOWER(TRIM(C311)&amp;"|"&amp;TRIM(D311)&amp;"|"&amp;TRIM(E311)&amp;"|"&amp;TRIM(F311)&amp;"|"&amp;TRIM(H311)&amp;"|"&amp;TRIM(I311))</x:f>
        <x:v>基地资产包|东侧固定设施包|base99_package_east_personnel_security_door|package_root|top3d / blender +y北|static / fixture_light</x:v>
      </x:c>
      <x:c r="S311" s="349" t="str">
        <x:f>IF(COUNTIF($R$6:$R$423,R311)&gt;1,"重复","唯一")</x:f>
        <x:v>唯一</x:v>
      </x:c>
      <x:c r="T311" s="349" t="inlineStr">
        <x:is>
          <x:t xml:space="preserve">c5e08f9aa4fd858444a8622de401cf99106cd0af57ef8cb25f235bc05fdf3f20</x:t>
        </x:is>
      </x:c>
      <x:c r="U311" s="349" t="inlineStr">
        <x:is>
          <x:t xml:space="preserve">Codex</x:t>
        </x:is>
      </x:c>
      <x:c r="V311" s="348" t="n">
        <x:v>46269</x:v>
      </x:c>
      <x:c r="W311" s="349" t="inlineStr">
        <x:is>
          <x:t xml:space="preserve">用户自制Blender资产</x:t>
        </x:is>
      </x:c>
      <x:c r="X311" s="375" t="inlineStr">
        <x:is>
          <x:t xml:space="preserve">71</x:t>
        </x:is>
      </x:c>
      <x:c r="Y311" s="349" t="inlineStr">
        <x:is>
          <x:t xml:space="preserve"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x:t>
        </x:is>
      </x:c>
    </x:row>
    <x:row r="312" ht="54" customHeight="1">
      <x:c r="A312" t="inlineStr">
        <x:is>
          <x:t xml:space="preserve">BPK-BASE99-EAST-PLANT-GROUP</x:t>
        </x:is>
      </x:c>
      <x:c r="B312" t="inlineStr">
        <x:is>
          <x:t xml:space="preserve">基地99层 · 东面植物点缀组</x:t>
        </x:is>
      </x:c>
      <x:c r="C312" t="inlineStr">
        <x:is>
          <x:t xml:space="preserve">基地资产包</x:t>
        </x:is>
      </x:c>
      <x:c r="D312" t="inlineStr">
        <x:is>
          <x:t xml:space="preserve">东侧固定设施包</x:t>
        </x:is>
      </x:c>
      <x:c r="E312" t="inlineStr">
        <x:is>
          <x:t xml:space="preserve">base99_package_east_plant_group</x:t>
        </x:is>
      </x:c>
      <x:c r="F312" t="inlineStr">
        <x:is>
          <x:t xml:space="preserve">package_root</x:t>
        </x:is>
      </x:c>
      <x:c r="G312" t="inlineStr">
        <x:is>
          <x:t xml:space="preserve">ENV-BASE99-ART-LAYOUT-3D</x:t>
        </x:is>
      </x:c>
      <x:c r="H312" t="inlineStr">
        <x:is>
          <x:t xml:space="preserve">Top3D / Blender +Y北</x:t>
        </x:is>
      </x:c>
      <x:c r="I312" t="inlineStr">
        <x:is>
          <x:t xml:space="preserve">static / default</x:t>
        </x:is>
      </x:c>
      <x:c r="J312" t="inlineStr">
        <x:is>
          <x:t xml:space="preserve">3D-设施 / 基地99层独立资产包</x:t>
        </x:is>
      </x:c>
      <x:c r="K312" t="inlineStr">
        <x:is>
          <x:t xml:space="preserve">Blender源已完成</x:t>
        </x:is>
      </x:c>
      <x:c r="L312" t="inlineStr">
        <x:is>
          <x:t xml:space="preserve">P1</x:t>
        </x:is>
      </x:c>
      <x:c r="M312" t="inlineStr">
        <x:is>
          <x:t xml:space="preserve">v017</x:t>
        </x:is>
      </x:c>
      <x:c r="N312" s="349" t="inlineStr">
        <x:is>
          <x:t xml:space="preserve">包络 1.364×17.030×2.000m；15 网格；0 灯</x:t>
        </x:is>
      </x:c>
      <x:c r="O312" s="349" t="inlineStr">
        <x:is>
          <x:t xml:space="preserve">source/art/blender/base_facility_layout/component_packages/east_facilities/east_plant_group/asset_manifest.json</x:t>
        </x:is>
      </x:c>
      <x:c r="P312" s="349" t="inlineStr">
        <x:is>
          <x:t xml:space="preserve">source/art/blender/base_facility_layout/source/base_facility_runtime_layout_hq_v026.blend; source/art/blender/base_facility_layout/component_packages/east_facilities/east_plant_group/asset_manifest.json</x:t>
        </x:is>
      </x:c>
      <x:c r="Q312" s="349" t="inlineStr">
        <x:is>
          <x:t xml:space="preserve">基地99层;基地资产包;3D设施;东侧固定设施包;east_plant_group;PaletteUV</x:t>
        </x:is>
      </x:c>
      <x:c r="R312" s="349" t="str">
        <x:f>LOWER(TRIM(C312)&amp;"|"&amp;TRIM(D312)&amp;"|"&amp;TRIM(E312)&amp;"|"&amp;TRIM(F312)&amp;"|"&amp;TRIM(H312)&amp;"|"&amp;TRIM(I312))</x:f>
        <x:v>基地资产包|东侧固定设施包|base99_package_east_plant_group|package_root|top3d / blender +y北|static / default</x:v>
      </x:c>
      <x:c r="S312" s="349" t="str">
        <x:f>IF(COUNTIF($R$6:$R$423,R312)&gt;1,"重复","唯一")</x:f>
        <x:v>唯一</x:v>
      </x:c>
      <x:c r="T312" s="349" t="inlineStr">
        <x:is>
          <x:t xml:space="preserve">e776728d1d2cef6a575f5e32916f80050c3ee88c5cf2a160d64f7389d2285564</x:t>
        </x:is>
      </x:c>
      <x:c r="U312" s="349" t="inlineStr">
        <x:is>
          <x:t xml:space="preserve">Codex</x:t>
        </x:is>
      </x:c>
      <x:c r="V312" s="348" t="n">
        <x:v>46269</x:v>
      </x:c>
      <x:c r="W312" s="349" t="inlineStr">
        <x:is>
          <x:t xml:space="preserve">用户自制Blender资产</x:t>
        </x:is>
      </x:c>
      <x:c r="X312" s="375" t="inlineStr">
        <x:is>
          <x:t xml:space="preserve">83</x:t>
        </x:is>
      </x:c>
      <x:c r="Y312" s="349" t="inlineStr">
        <x:is>
          <x:t xml:space="preserve"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x:t>
        </x:is>
      </x:c>
    </x:row>
    <x:row r="313" ht="54" customHeight="1">
      <x:c r="A313" t="inlineStr">
        <x:is>
          <x:t xml:space="preserve">BPK-BASE99-EAST-POWER-DISTRIBUTION</x:t>
        </x:is>
      </x:c>
      <x:c r="B313" t="inlineStr">
        <x:is>
          <x:t xml:space="preserve">基地99层 · POWER工业配电系统</x:t>
        </x:is>
      </x:c>
      <x:c r="C313" t="inlineStr">
        <x:is>
          <x:t xml:space="preserve">基地资产包</x:t>
        </x:is>
      </x:c>
      <x:c r="D313" t="inlineStr">
        <x:is>
          <x:t xml:space="preserve">东侧固定设施包</x:t>
        </x:is>
      </x:c>
      <x:c r="E313" t="inlineStr">
        <x:is>
          <x:t xml:space="preserve">base99_package_east_power_distribution</x:t>
        </x:is>
      </x:c>
      <x:c r="F313" t="inlineStr">
        <x:is>
          <x:t xml:space="preserve">package_root</x:t>
        </x:is>
      </x:c>
      <x:c r="G313" t="inlineStr">
        <x:is>
          <x:t xml:space="preserve">ENV-BASE99-ART-LAYOUT-3D</x:t>
        </x:is>
      </x:c>
      <x:c r="H313" t="inlineStr">
        <x:is>
          <x:t xml:space="preserve">Top3D / Blender +Y北</x:t>
        </x:is>
      </x:c>
      <x:c r="I313" t="inlineStr">
        <x:is>
          <x:t xml:space="preserve">static / default</x:t>
        </x:is>
      </x:c>
      <x:c r="J313" t="inlineStr">
        <x:is>
          <x:t xml:space="preserve">3D-设施 / 基地99层独立资产包</x:t>
        </x:is>
      </x:c>
      <x:c r="K313" t="inlineStr">
        <x:is>
          <x:t xml:space="preserve">Blender源已完成</x:t>
        </x:is>
      </x:c>
      <x:c r="L313" t="inlineStr">
        <x:is>
          <x:t xml:space="preserve">P1</x:t>
        </x:is>
      </x:c>
      <x:c r="M313" t="inlineStr">
        <x:is>
          <x:t xml:space="preserve">v022</x:t>
        </x:is>
      </x:c>
      <x:c r="N313" s="349" t="inlineStr">
        <x:is>
          <x:t xml:space="preserve">包络 0.828×1.550×2.690m；25 网格；0 灯</x:t>
        </x:is>
      </x:c>
      <x:c r="O313" s="349" t="inlineStr">
        <x:is>
          <x:t xml:space="preserve">source/art/blender/base_facility_layout/component_packages/east_facilities/east_power_distribution/asset_manifest.json</x:t>
        </x:is>
      </x:c>
      <x:c r="P313" s="349" t="inlineStr">
        <x:is>
          <x:t xml:space="preserve">source/art/blender/base_facility_layout/source/base_facility_runtime_layout_hq_v026.blend; source/art/blender/base_facility_layout/component_packages/east_facilities/east_power_distribution/asset_manifest.json</x:t>
        </x:is>
      </x:c>
      <x:c r="Q313" s="349" t="inlineStr">
        <x:is>
          <x:t xml:space="preserve">基地99层;基地资产包;3D设施;东侧固定设施包;east_power_distribution;PaletteUV</x:t>
        </x:is>
      </x:c>
      <x:c r="R313" s="349" t="str">
        <x:f>LOWER(TRIM(C313)&amp;"|"&amp;TRIM(D313)&amp;"|"&amp;TRIM(E313)&amp;"|"&amp;TRIM(F313)&amp;"|"&amp;TRIM(H313)&amp;"|"&amp;TRIM(I313))</x:f>
        <x:v>基地资产包|东侧固定设施包|base99_package_east_power_distribution|package_root|top3d / blender +y北|static / default</x:v>
      </x:c>
      <x:c r="S313" s="349" t="str">
        <x:f>IF(COUNTIF($R$6:$R$423,R313)&gt;1,"重复","唯一")</x:f>
        <x:v>唯一</x:v>
      </x:c>
      <x:c r="T313" s="349" t="inlineStr">
        <x:is>
          <x:t xml:space="preserve">414ce80873bfafe62cbdab687819652bf7f5a851fbdda34d059c73e9a6a0ee5c</x:t>
        </x:is>
      </x:c>
      <x:c r="U313" s="349" t="inlineStr">
        <x:is>
          <x:t xml:space="preserve">Codex</x:t>
        </x:is>
      </x:c>
      <x:c r="V313" s="348" t="n">
        <x:v>46269</x:v>
      </x:c>
      <x:c r="W313" s="349" t="inlineStr">
        <x:is>
          <x:t xml:space="preserve">用户自制Blender资产</x:t>
        </x:is>
      </x:c>
      <x:c r="X313" s="375" t="inlineStr">
        <x:is>
          <x:t xml:space="preserve">73</x:t>
        </x:is>
      </x:c>
      <x:c r="Y313" s="349" t="inlineStr">
        <x:is>
          <x:t xml:space="preserve"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x:t>
        </x:is>
      </x:c>
    </x:row>
    <x:row r="314" ht="54" customHeight="1">
      <x:c r="A314" t="inlineStr">
        <x:is>
          <x:t xml:space="preserve">BPK-BASE99-EAST-RECYCLE-BIN</x:t>
        </x:is>
      </x:c>
      <x:c r="B314" t="inlineStr">
        <x:is>
          <x:t xml:space="preserve">基地99层 · RECYCLE回收垃圾设施</x:t>
        </x:is>
      </x:c>
      <x:c r="C314" t="inlineStr">
        <x:is>
          <x:t xml:space="preserve">基地资产包</x:t>
        </x:is>
      </x:c>
      <x:c r="D314" t="inlineStr">
        <x:is>
          <x:t xml:space="preserve">东侧固定设施包</x:t>
        </x:is>
      </x:c>
      <x:c r="E314" t="inlineStr">
        <x:is>
          <x:t xml:space="preserve">base99_package_east_recycle_bin</x:t>
        </x:is>
      </x:c>
      <x:c r="F314" t="inlineStr">
        <x:is>
          <x:t xml:space="preserve">package_root</x:t>
        </x:is>
      </x:c>
      <x:c r="G314" t="inlineStr">
        <x:is>
          <x:t xml:space="preserve">ENV-BASE99-ART-LAYOUT-3D</x:t>
        </x:is>
      </x:c>
      <x:c r="H314" t="inlineStr">
        <x:is>
          <x:t xml:space="preserve">Top3D / Blender +Y北</x:t>
        </x:is>
      </x:c>
      <x:c r="I314" t="inlineStr">
        <x:is>
          <x:t xml:space="preserve">static / default</x:t>
        </x:is>
      </x:c>
      <x:c r="J314" t="inlineStr">
        <x:is>
          <x:t xml:space="preserve">3D-设施 / 基地99层独立资产包</x:t>
        </x:is>
      </x:c>
      <x:c r="K314" t="inlineStr">
        <x:is>
          <x:t xml:space="preserve">Blender源已完成</x:t>
        </x:is>
      </x:c>
      <x:c r="L314" t="inlineStr">
        <x:is>
          <x:t xml:space="preserve">P1</x:t>
        </x:is>
      </x:c>
      <x:c r="M314" t="inlineStr">
        <x:is>
          <x:t xml:space="preserve">v017</x:t>
        </x:is>
      </x:c>
      <x:c r="N314" s="349" t="inlineStr">
        <x:is>
          <x:t xml:space="preserve">包络 1.298×1.100×1.460m；12 网格；0 灯</x:t>
        </x:is>
      </x:c>
      <x:c r="O314" s="349" t="inlineStr">
        <x:is>
          <x:t xml:space="preserve">source/art/blender/base_facility_layout/component_packages/east_facilities/east_recycle_bin/asset_manifest.json</x:t>
        </x:is>
      </x:c>
      <x:c r="P314" s="349" t="inlineStr">
        <x:is>
          <x:t xml:space="preserve">source/art/blender/base_facility_layout/source/base_facility_runtime_layout_hq_v026.blend; source/art/blender/base_facility_layout/component_packages/east_facilities/east_recycle_bin/asset_manifest.json</x:t>
        </x:is>
      </x:c>
      <x:c r="Q314" s="349" t="inlineStr">
        <x:is>
          <x:t xml:space="preserve">基地99层;基地资产包;3D设施;东侧固定设施包;east_recycle_bin;PaletteUV</x:t>
        </x:is>
      </x:c>
      <x:c r="R314" s="349" t="str">
        <x:f>LOWER(TRIM(C314)&amp;"|"&amp;TRIM(D314)&amp;"|"&amp;TRIM(E314)&amp;"|"&amp;TRIM(F314)&amp;"|"&amp;TRIM(H314)&amp;"|"&amp;TRIM(I314))</x:f>
        <x:v>基地资产包|东侧固定设施包|base99_package_east_recycle_bin|package_root|top3d / blender +y北|static / default</x:v>
      </x:c>
      <x:c r="S314" s="349" t="str">
        <x:f>IF(COUNTIF($R$6:$R$423,R314)&gt;1,"重复","唯一")</x:f>
        <x:v>唯一</x:v>
      </x:c>
      <x:c r="T314" s="349" t="inlineStr">
        <x:is>
          <x:t xml:space="preserve">cebdf92cb4adefa25ee23460d4f7c09ed6a14c2ebd54c08604f890dfb2ab8b98</x:t>
        </x:is>
      </x:c>
      <x:c r="U314" s="349" t="inlineStr">
        <x:is>
          <x:t xml:space="preserve">Codex</x:t>
        </x:is>
      </x:c>
      <x:c r="V314" s="348" t="n">
        <x:v>46269</x:v>
      </x:c>
      <x:c r="W314" s="349" t="inlineStr">
        <x:is>
          <x:t xml:space="preserve">用户自制Blender资产</x:t>
        </x:is>
      </x:c>
      <x:c r="X314" s="375" t="inlineStr">
        <x:is>
          <x:t xml:space="preserve">77</x:t>
        </x:is>
      </x:c>
      <x:c r="Y314" s="349" t="inlineStr">
        <x:is>
          <x:t xml:space="preserve"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x:t>
        </x:is>
      </x:c>
    </x:row>
    <x:row r="315" ht="54" customHeight="1">
      <x:c r="A315" t="inlineStr">
        <x:is>
          <x:t xml:space="preserve">BPK-BASE99-EAST-ROUND-PENDANT-LIGHT</x:t>
        </x:is>
      </x:c>
      <x:c r="B315" t="inlineStr">
        <x:is>
          <x:t xml:space="preserve">基地99层 · 东面圆形工业吊灯</x:t>
        </x:is>
      </x:c>
      <x:c r="C315" t="inlineStr">
        <x:is>
          <x:t xml:space="preserve">基地资产包</x:t>
        </x:is>
      </x:c>
      <x:c r="D315" t="inlineStr">
        <x:is>
          <x:t xml:space="preserve">东侧固定设施包</x:t>
        </x:is>
      </x:c>
      <x:c r="E315" t="inlineStr">
        <x:is>
          <x:t xml:space="preserve">base99_package_east_round_pendant_light</x:t>
        </x:is>
      </x:c>
      <x:c r="F315" t="inlineStr">
        <x:is>
          <x:t xml:space="preserve">package_root</x:t>
        </x:is>
      </x:c>
      <x:c r="G315" t="inlineStr">
        <x:is>
          <x:t xml:space="preserve">ENV-BASE99-ART-LAYOUT-3D</x:t>
        </x:is>
      </x:c>
      <x:c r="H315" t="inlineStr">
        <x:is>
          <x:t xml:space="preserve">Top3D / Blender +Y北</x:t>
        </x:is>
      </x:c>
      <x:c r="I315" t="inlineStr">
        <x:is>
          <x:t xml:space="preserve">static / fixture_light</x:t>
        </x:is>
      </x:c>
      <x:c r="J315" t="inlineStr">
        <x:is>
          <x:t xml:space="preserve">3D-设施 / 基地99层独立资产包</x:t>
        </x:is>
      </x:c>
      <x:c r="K315" t="inlineStr">
        <x:is>
          <x:t xml:space="preserve">Blender源已完成</x:t>
        </x:is>
      </x:c>
      <x:c r="L315" t="inlineStr">
        <x:is>
          <x:t xml:space="preserve">P1</x:t>
        </x:is>
      </x:c>
      <x:c r="M315" t="inlineStr">
        <x:is>
          <x:t xml:space="preserve">v017</x:t>
        </x:is>
      </x:c>
      <x:c r="N315" s="349" t="inlineStr">
        <x:is>
          <x:t xml:space="preserve">包络 1.242×1.243×1.560m；10 网格；2 灯</x:t>
        </x:is>
      </x:c>
      <x:c r="O315" s="349" t="inlineStr">
        <x:is>
          <x:t xml:space="preserve">source/art/blender/base_facility_layout/component_packages/east_facilities/east_round_pendant_light/asset_manifest.json</x:t>
        </x:is>
      </x:c>
      <x:c r="P315" s="349" t="inlineStr">
        <x:is>
          <x:t xml:space="preserve">source/art/blender/base_facility_layout/source/base_facility_runtime_layout_hq_v026.blend; source/art/blender/base_facility_layout/component_packages/east_facilities/east_round_pendant_light/asset_manifest.json</x:t>
        </x:is>
      </x:c>
      <x:c r="Q315" s="349" t="inlineStr">
        <x:is>
          <x:t xml:space="preserve">基地99层;基地资产包;3D设施;东侧固定设施包;east_round_pendant_light;PaletteUV</x:t>
        </x:is>
      </x:c>
      <x:c r="R315" s="349" t="str">
        <x:f>LOWER(TRIM(C315)&amp;"|"&amp;TRIM(D315)&amp;"|"&amp;TRIM(E315)&amp;"|"&amp;TRIM(F315)&amp;"|"&amp;TRIM(H315)&amp;"|"&amp;TRIM(I315))</x:f>
        <x:v>基地资产包|东侧固定设施包|base99_package_east_round_pendant_light|package_root|top3d / blender +y北|static / fixture_light</x:v>
      </x:c>
      <x:c r="S315" s="349" t="str">
        <x:f>IF(COUNTIF($R$6:$R$423,R315)&gt;1,"重复","唯一")</x:f>
        <x:v>唯一</x:v>
      </x:c>
      <x:c r="T315" s="349" t="inlineStr">
        <x:is>
          <x:t xml:space="preserve">97e280af194980156a0cdd900717a63adee22d679f0c9f7193e3b900d1d7e832</x:t>
        </x:is>
      </x:c>
      <x:c r="U315" s="349" t="inlineStr">
        <x:is>
          <x:t xml:space="preserve">Codex</x:t>
        </x:is>
      </x:c>
      <x:c r="V315" s="348" t="n">
        <x:v>46269</x:v>
      </x:c>
      <x:c r="W315" s="349" t="inlineStr">
        <x:is>
          <x:t xml:space="preserve">用户自制Blender资产</x:t>
        </x:is>
      </x:c>
      <x:c r="X315" s="375" t="inlineStr">
        <x:is>
          <x:t xml:space="preserve">84</x:t>
        </x:is>
      </x:c>
      <x:c r="Y315" s="349" t="inlineStr">
        <x:is>
          <x:t xml:space="preserve"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x:t>
        </x:is>
      </x:c>
    </x:row>
    <x:row r="316" ht="54" customHeight="1">
      <x:c r="A316" t="inlineStr">
        <x:is>
          <x:t xml:space="preserve">BPK-BASE99-EAST-SMALL-SAFETY-DEVICES</x:t>
        </x:is>
      </x:c>
      <x:c r="B316" t="inlineStr">
        <x:is>
          <x:t xml:space="preserve">基地99层 · 东墙小型安全设备</x:t>
        </x:is>
      </x:c>
      <x:c r="C316" t="inlineStr">
        <x:is>
          <x:t xml:space="preserve">基地资产包</x:t>
        </x:is>
      </x:c>
      <x:c r="D316" t="inlineStr">
        <x:is>
          <x:t xml:space="preserve">东侧固定设施包</x:t>
        </x:is>
      </x:c>
      <x:c r="E316" t="inlineStr">
        <x:is>
          <x:t xml:space="preserve">base99_package_east_small_safety_devices</x:t>
        </x:is>
      </x:c>
      <x:c r="F316" t="inlineStr">
        <x:is>
          <x:t xml:space="preserve">package_root</x:t>
        </x:is>
      </x:c>
      <x:c r="G316" t="inlineStr">
        <x:is>
          <x:t xml:space="preserve">ENV-BASE99-ART-LAYOUT-3D</x:t>
        </x:is>
      </x:c>
      <x:c r="H316" t="inlineStr">
        <x:is>
          <x:t xml:space="preserve">Top3D / Blender +Y北</x:t>
        </x:is>
      </x:c>
      <x:c r="I316" t="inlineStr">
        <x:is>
          <x:t xml:space="preserve">static / default</x:t>
        </x:is>
      </x:c>
      <x:c r="J316" t="inlineStr">
        <x:is>
          <x:t xml:space="preserve">3D-设施 / 基地99层独立资产包</x:t>
        </x:is>
      </x:c>
      <x:c r="K316" t="inlineStr">
        <x:is>
          <x:t xml:space="preserve">Blender源已完成</x:t>
        </x:is>
      </x:c>
      <x:c r="L316" t="inlineStr">
        <x:is>
          <x:t xml:space="preserve">P1</x:t>
        </x:is>
      </x:c>
      <x:c r="M316" t="inlineStr">
        <x:is>
          <x:t xml:space="preserve">v022</x:t>
        </x:is>
      </x:c>
      <x:c r="N316" s="349" t="inlineStr">
        <x:is>
          <x:t xml:space="preserve">包络 0.430×12.470×3.790m；28 网格；0 灯</x:t>
        </x:is>
      </x:c>
      <x:c r="O316" s="349" t="inlineStr">
        <x:is>
          <x:t xml:space="preserve">source/art/blender/base_facility_layout/component_packages/east_facilities/east_small_safety_devices/asset_manifest.json</x:t>
        </x:is>
      </x:c>
      <x:c r="P316" s="349" t="inlineStr">
        <x:is>
          <x:t xml:space="preserve">source/art/blender/base_facility_layout/source/base_facility_runtime_layout_hq_v026.blend; source/art/blender/base_facility_layout/component_packages/east_facilities/east_small_safety_devices/asset_manifest.json</x:t>
        </x:is>
      </x:c>
      <x:c r="Q316" s="349" t="inlineStr">
        <x:is>
          <x:t xml:space="preserve">基地99层;基地资产包;3D设施;东侧固定设施包;east_small_safety_devices;PaletteUV</x:t>
        </x:is>
      </x:c>
      <x:c r="R316" s="349" t="str">
        <x:f>LOWER(TRIM(C316)&amp;"|"&amp;TRIM(D316)&amp;"|"&amp;TRIM(E316)&amp;"|"&amp;TRIM(F316)&amp;"|"&amp;TRIM(H316)&amp;"|"&amp;TRIM(I316))</x:f>
        <x:v>基地资产包|东侧固定设施包|base99_package_east_small_safety_devices|package_root|top3d / blender +y北|static / default</x:v>
      </x:c>
      <x:c r="S316" s="349" t="str">
        <x:f>IF(COUNTIF($R$6:$R$423,R316)&gt;1,"重复","唯一")</x:f>
        <x:v>唯一</x:v>
      </x:c>
      <x:c r="T316" s="349" t="inlineStr">
        <x:is>
          <x:t xml:space="preserve">04104b58b3411162a65f90065f2c54f8cef5254413b0b4dfb4f59f12ee0ce0a5</x:t>
        </x:is>
      </x:c>
      <x:c r="U316" s="349" t="inlineStr">
        <x:is>
          <x:t xml:space="preserve">Codex</x:t>
        </x:is>
      </x:c>
      <x:c r="V316" s="348" t="n">
        <x:v>46269</x:v>
      </x:c>
      <x:c r="W316" s="349" t="inlineStr">
        <x:is>
          <x:t xml:space="preserve">用户自制Blender资产</x:t>
        </x:is>
      </x:c>
      <x:c r="X316" s="375" t="inlineStr">
        <x:is>
          <x:t xml:space="preserve">82</x:t>
        </x:is>
      </x:c>
      <x:c r="Y316" s="349" t="inlineStr">
        <x:is>
          <x:t xml:space="preserve"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x:t>
        </x:is>
      </x:c>
    </x:row>
    <x:row r="317" ht="54" customHeight="1">
      <x:c r="A317" t="inlineStr">
        <x:is>
          <x:t xml:space="preserve">BPK-BASE99-EAST-SUPPLY-24H-STATION</x:t>
        </x:is>
      </x:c>
      <x:c r="B317" t="inlineStr">
        <x:is>
          <x:t xml:space="preserve">基地99层 · SUPPLY24H自动补给机</x:t>
        </x:is>
      </x:c>
      <x:c r="C317" t="inlineStr">
        <x:is>
          <x:t xml:space="preserve">基地资产包</x:t>
        </x:is>
      </x:c>
      <x:c r="D317" t="inlineStr">
        <x:is>
          <x:t xml:space="preserve">东侧固定设施包</x:t>
        </x:is>
      </x:c>
      <x:c r="E317" t="inlineStr">
        <x:is>
          <x:t xml:space="preserve">base99_package_east_supply_24h_station</x:t>
        </x:is>
      </x:c>
      <x:c r="F317" t="inlineStr">
        <x:is>
          <x:t xml:space="preserve">package_root</x:t>
        </x:is>
      </x:c>
      <x:c r="G317" t="inlineStr">
        <x:is>
          <x:t xml:space="preserve">ENV-BASE99-ART-LAYOUT-3D</x:t>
        </x:is>
      </x:c>
      <x:c r="H317" t="inlineStr">
        <x:is>
          <x:t xml:space="preserve">Top3D / Blender +Y北</x:t>
        </x:is>
      </x:c>
      <x:c r="I317" t="inlineStr">
        <x:is>
          <x:t xml:space="preserve">static / default</x:t>
        </x:is>
      </x:c>
      <x:c r="J317" t="inlineStr">
        <x:is>
          <x:t xml:space="preserve">3D-设施 / 基地99层独立资产包</x:t>
        </x:is>
      </x:c>
      <x:c r="K317" t="inlineStr">
        <x:is>
          <x:t xml:space="preserve">正式美术已接入</x:t>
        </x:is>
      </x:c>
      <x:c r="L317" t="inlineStr">
        <x:is>
          <x:t xml:space="preserve">P1</x:t>
        </x:is>
      </x:c>
      <x:c r="M317" t="inlineStr">
        <x:is>
          <x:t xml:space="preserve">v017</x:t>
        </x:is>
      </x:c>
      <x:c r="N317" s="349" t="inlineStr">
        <x:is>
          <x:t xml:space="preserve">包络 2.478×2.337×4.720m；50 网格；0 灯</x:t>
        </x:is>
      </x:c>
      <x:c r="O317" s="349" t="inlineStr">
        <x:is>
          <x:t xml:space="preserve">source/art/blender/base_facility_layout/component_packages/east_facilities/east_supply_24h_station/asset_manifest.json</x:t>
        </x:is>
      </x:c>
      <x:c r="P317" s="349" t="inlineStr">
        <x:is>
          <x:t xml:space="preserve">source/art/blender/base_facility_layout/source/base_facility_runtime_layout_hq_v026.blend; source/art/blender/base_facility_layout/component_packages/east_facilities/east_supply_24h_station/asset_manifest.json</x:t>
        </x:is>
      </x:c>
      <x:c r="Q317" s="349" t="inlineStr">
        <x:is>
          <x:t xml:space="preserve">基地99层;基地资产包;3D设施;东侧固定设施包;east_supply_24h_station;PaletteUV; base_vending</x:t>
        </x:is>
      </x:c>
      <x:c r="R317" s="349" t="str">
        <x:f>LOWER(TRIM(C317)&amp;"|"&amp;TRIM(D317)&amp;"|"&amp;TRIM(E317)&amp;"|"&amp;TRIM(F317)&amp;"|"&amp;TRIM(H317)&amp;"|"&amp;TRIM(I317))</x:f>
        <x:v>基地资产包|东侧固定设施包|base99_package_east_supply_24h_station|package_root|top3d / blender +y北|static / default</x:v>
      </x:c>
      <x:c r="S317" s="349" t="str">
        <x:f>IF(COUNTIF($R$6:$R$423,R317)&gt;1,"重复","唯一")</x:f>
        <x:v>唯一</x:v>
      </x:c>
      <x:c r="T317" s="349" t="inlineStr">
        <x:is>
          <x:t xml:space="preserve">8aaec3764c331a2fe56f5645483c66e60b3f9b4d2e2fa2faccc794f03034f95d</x:t>
        </x:is>
      </x:c>
      <x:c r="U317" s="349" t="inlineStr">
        <x:is>
          <x:t xml:space="preserve">Codex</x:t>
        </x:is>
      </x:c>
      <x:c r="V317" s="348" t="n">
        <x:v>46269</x:v>
      </x:c>
      <x:c r="W317" s="349" t="inlineStr">
        <x:is>
          <x:t xml:space="preserve">用户自制Blender资产</x:t>
        </x:is>
      </x:c>
      <x:c r="X317" s="375" t="inlineStr">
        <x:is>
          <x:t xml:space="preserve">72</x:t>
        </x:is>
      </x:c>
      <x:c r="Y317" s="349" t="inlineStr">
        <x:is>
          <x:t xml:space="preserve"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x:t>
        </x:is>
      </x:c>
    </x:row>
    <x:row r="318" ht="54" customHeight="1">
      <x:c r="A318" t="inlineStr">
        <x:is>
          <x:t xml:space="preserve">BPK-BASE99-EAST-WASTE-BIN</x:t>
        </x:is>
      </x:c>
      <x:c r="B318" t="inlineStr">
        <x:is>
          <x:t xml:space="preserve">基地99层 · WASTE普通垃圾设施</x:t>
        </x:is>
      </x:c>
      <x:c r="C318" t="inlineStr">
        <x:is>
          <x:t xml:space="preserve">基地资产包</x:t>
        </x:is>
      </x:c>
      <x:c r="D318" t="inlineStr">
        <x:is>
          <x:t xml:space="preserve">东侧固定设施包</x:t>
        </x:is>
      </x:c>
      <x:c r="E318" t="inlineStr">
        <x:is>
          <x:t xml:space="preserve">base99_package_east_waste_bin</x:t>
        </x:is>
      </x:c>
      <x:c r="F318" t="inlineStr">
        <x:is>
          <x:t xml:space="preserve">package_root</x:t>
        </x:is>
      </x:c>
      <x:c r="G318" t="inlineStr">
        <x:is>
          <x:t xml:space="preserve">ENV-BASE99-ART-LAYOUT-3D</x:t>
        </x:is>
      </x:c>
      <x:c r="H318" t="inlineStr">
        <x:is>
          <x:t xml:space="preserve">Top3D / Blender +Y北</x:t>
        </x:is>
      </x:c>
      <x:c r="I318" t="inlineStr">
        <x:is>
          <x:t xml:space="preserve">static / default</x:t>
        </x:is>
      </x:c>
      <x:c r="J318" t="inlineStr">
        <x:is>
          <x:t xml:space="preserve">3D-设施 / 基地99层独立资产包</x:t>
        </x:is>
      </x:c>
      <x:c r="K318" t="inlineStr">
        <x:is>
          <x:t xml:space="preserve">Blender源已完成</x:t>
        </x:is>
      </x:c>
      <x:c r="L318" t="inlineStr">
        <x:is>
          <x:t xml:space="preserve">P1</x:t>
        </x:is>
      </x:c>
      <x:c r="M318" t="inlineStr">
        <x:is>
          <x:t xml:space="preserve">v017</x:t>
        </x:is>
      </x:c>
      <x:c r="N318" s="349" t="inlineStr">
        <x:is>
          <x:t xml:space="preserve">包络 1.298×1.100×1.460m；11 网格；0 灯</x:t>
        </x:is>
      </x:c>
      <x:c r="O318" s="349" t="inlineStr">
        <x:is>
          <x:t xml:space="preserve">source/art/blender/base_facility_layout/component_packages/east_facilities/east_waste_bin/asset_manifest.json</x:t>
        </x:is>
      </x:c>
      <x:c r="P318" s="349" t="inlineStr">
        <x:is>
          <x:t xml:space="preserve">source/art/blender/base_facility_layout/source/base_facility_runtime_layout_hq_v026.blend; source/art/blender/base_facility_layout/component_packages/east_facilities/east_waste_bin/asset_manifest.json</x:t>
        </x:is>
      </x:c>
      <x:c r="Q318" s="349" t="inlineStr">
        <x:is>
          <x:t xml:space="preserve">基地99层;基地资产包;3D设施;东侧固定设施包;east_waste_bin;PaletteUV</x:t>
        </x:is>
      </x:c>
      <x:c r="R318" s="349" t="str">
        <x:f>LOWER(TRIM(C318)&amp;"|"&amp;TRIM(D318)&amp;"|"&amp;TRIM(E318)&amp;"|"&amp;TRIM(F318)&amp;"|"&amp;TRIM(H318)&amp;"|"&amp;TRIM(I318))</x:f>
        <x:v>基地资产包|东侧固定设施包|base99_package_east_waste_bin|package_root|top3d / blender +y北|static / default</x:v>
      </x:c>
      <x:c r="S318" s="349" t="str">
        <x:f>IF(COUNTIF($R$6:$R$423,R318)&gt;1,"重复","唯一")</x:f>
        <x:v>唯一</x:v>
      </x:c>
      <x:c r="T318" s="349" t="inlineStr">
        <x:is>
          <x:t xml:space="preserve">7b49265dd096d1b51188f479eda5b4239755543c917f3d8e1cb757ffa633533e</x:t>
        </x:is>
      </x:c>
      <x:c r="U318" s="349" t="inlineStr">
        <x:is>
          <x:t xml:space="preserve">Codex</x:t>
        </x:is>
      </x:c>
      <x:c r="V318" s="348" t="n">
        <x:v>46269</x:v>
      </x:c>
      <x:c r="W318" s="349" t="inlineStr">
        <x:is>
          <x:t xml:space="preserve">用户自制Blender资产</x:t>
        </x:is>
      </x:c>
      <x:c r="X318" s="375" t="inlineStr">
        <x:is>
          <x:t xml:space="preserve">75</x:t>
        </x:is>
      </x:c>
      <x:c r="Y318" s="349" t="inlineStr">
        <x:is>
          <x:t xml:space="preserve"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x:t>
        </x:is>
      </x:c>
    </x:row>
    <x:row r="319" ht="54" customHeight="1">
      <x:c r="A319" t="inlineStr">
        <x:is>
          <x:t xml:space="preserve">BPK-BASE99-EAST-WORK-TOGETHER-POSTER</x:t>
        </x:is>
      </x:c>
      <x:c r="B319" t="inlineStr">
        <x:is>
          <x:t xml:space="preserve">基地99层 · WORK_TOGETHER工业海报</x:t>
        </x:is>
      </x:c>
      <x:c r="C319" t="inlineStr">
        <x:is>
          <x:t xml:space="preserve">基地资产包</x:t>
        </x:is>
      </x:c>
      <x:c r="D319" t="inlineStr">
        <x:is>
          <x:t xml:space="preserve">东侧固定设施包</x:t>
        </x:is>
      </x:c>
      <x:c r="E319" t="inlineStr">
        <x:is>
          <x:t xml:space="preserve">base99_package_east_work_together_poster</x:t>
        </x:is>
      </x:c>
      <x:c r="F319" t="inlineStr">
        <x:is>
          <x:t xml:space="preserve">package_root</x:t>
        </x:is>
      </x:c>
      <x:c r="G319" t="inlineStr">
        <x:is>
          <x:t xml:space="preserve">ENV-BASE99-ART-LAYOUT-3D</x:t>
        </x:is>
      </x:c>
      <x:c r="H319" t="inlineStr">
        <x:is>
          <x:t xml:space="preserve">Top3D / Blender +Y北</x:t>
        </x:is>
      </x:c>
      <x:c r="I319" t="inlineStr">
        <x:is>
          <x:t xml:space="preserve">static / default</x:t>
        </x:is>
      </x:c>
      <x:c r="J319" t="inlineStr">
        <x:is>
          <x:t xml:space="preserve">3D-设施 / 基地99层独立资产包</x:t>
        </x:is>
      </x:c>
      <x:c r="K319" t="inlineStr">
        <x:is>
          <x:t xml:space="preserve">Blender源已完成</x:t>
        </x:is>
      </x:c>
      <x:c r="L319" t="inlineStr">
        <x:is>
          <x:t xml:space="preserve">P1</x:t>
        </x:is>
      </x:c>
      <x:c r="M319" t="inlineStr">
        <x:is>
          <x:t xml:space="preserve">v022</x:t>
        </x:is>
      </x:c>
      <x:c r="N319" s="349" t="inlineStr">
        <x:is>
          <x:t xml:space="preserve">包络 0.544×2.360×1.620m；15 网格；0 灯</x:t>
        </x:is>
      </x:c>
      <x:c r="O319" s="349" t="inlineStr">
        <x:is>
          <x:t xml:space="preserve">source/art/blender/base_facility_layout/component_packages/east_facilities/east_work_together_poster/asset_manifest.json</x:t>
        </x:is>
      </x:c>
      <x:c r="P319" s="349" t="inlineStr">
        <x:is>
          <x:t xml:space="preserve">source/art/blender/base_facility_layout/source/base_facility_runtime_layout_hq_v026.blend; source/art/blender/base_facility_layout/component_packages/east_facilities/east_work_together_poster/asset_manifest.json</x:t>
        </x:is>
      </x:c>
      <x:c r="Q319" s="349" t="inlineStr">
        <x:is>
          <x:t xml:space="preserve">基地99层;基地资产包;3D设施;东侧固定设施包;east_work_together_poster;PaletteUV</x:t>
        </x:is>
      </x:c>
      <x:c r="R319" s="349" t="str">
        <x:f>LOWER(TRIM(C319)&amp;"|"&amp;TRIM(D319)&amp;"|"&amp;TRIM(E319)&amp;"|"&amp;TRIM(F319)&amp;"|"&amp;TRIM(H319)&amp;"|"&amp;TRIM(I319))</x:f>
        <x:v>基地资产包|东侧固定设施包|base99_package_east_work_together_poster|package_root|top3d / blender +y北|static / default</x:v>
      </x:c>
      <x:c r="S319" s="349" t="str">
        <x:f>IF(COUNTIF($R$6:$R$423,R319)&gt;1,"重复","唯一")</x:f>
        <x:v>唯一</x:v>
      </x:c>
      <x:c r="T319" s="349" t="inlineStr">
        <x:is>
          <x:t xml:space="preserve">862f766c8d48f7ef6ea4b6c5c918cc279e4e234c5680dda9f261b9f59943a8ec</x:t>
        </x:is>
      </x:c>
      <x:c r="U319" s="349" t="inlineStr">
        <x:is>
          <x:t xml:space="preserve">Codex</x:t>
        </x:is>
      </x:c>
      <x:c r="V319" s="348" t="n">
        <x:v>46269</x:v>
      </x:c>
      <x:c r="W319" s="349" t="inlineStr">
        <x:is>
          <x:t xml:space="preserve">用户自制Blender资产</x:t>
        </x:is>
      </x:c>
      <x:c r="X319" s="375" t="inlineStr">
        <x:is>
          <x:t xml:space="preserve">81</x:t>
        </x:is>
      </x:c>
      <x:c r="Y319" s="349" t="inlineStr">
        <x:is>
          <x:t xml:space="preserve"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x:t>
        </x:is>
      </x:c>
    </x:row>
    <x:row r="320" ht="54" customHeight="1">
      <x:c r="A320" t="inlineStr">
        <x:is>
          <x:t xml:space="preserve">BPK-BASE99-TILE-R01-C01</x:t>
        </x:is>
      </x:c>
      <x:c r="B320" t="inlineStr">
        <x:is>
          <x:t xml:space="preserve">基地99层 · 地砖_R01C01_原砖与深化内容</x:t>
        </x:is>
      </x:c>
      <x:c r="C320" t="inlineStr">
        <x:is>
          <x:t xml:space="preserve">基地资产包</x:t>
        </x:is>
      </x:c>
      <x:c r="D320" t="inlineStr">
        <x:is>
          <x:t xml:space="preserve">地面系统包</x:t>
        </x:is>
      </x:c>
      <x:c r="E320" t="inlineStr">
        <x:is>
          <x:t xml:space="preserve">base99_package_tile_r01_c01</x:t>
        </x:is>
      </x:c>
      <x:c r="F320" t="inlineStr">
        <x:is>
          <x:t xml:space="preserve">package_root</x:t>
        </x:is>
      </x:c>
      <x:c r="G320" t="inlineStr">
        <x:is>
          <x:t xml:space="preserve">ENV-BASE99-ART-LAYOUT-3D</x:t>
        </x:is>
      </x:c>
      <x:c r="H320" t="inlineStr">
        <x:is>
          <x:t xml:space="preserve">Top3D / Blender +Y北</x:t>
        </x:is>
      </x:c>
      <x:c r="I320" t="inlineStr">
        <x:is>
          <x:t xml:space="preserve">static / default</x:t>
        </x:is>
      </x:c>
      <x:c r="J320" t="inlineStr">
        <x:is>
          <x:t xml:space="preserve">3D-设施 / 基地99层独立资产包</x:t>
        </x:is>
      </x:c>
      <x:c r="K320" t="inlineStr">
        <x:is>
          <x:t xml:space="preserve">正式美术已接入</x:t>
        </x:is>
      </x:c>
      <x:c r="L320" t="inlineStr">
        <x:is>
          <x:t xml:space="preserve">P0</x:t>
        </x:is>
      </x:c>
      <x:c r="M320" t="inlineStr">
        <x:is>
          <x:t xml:space="preserve">v017</x:t>
        </x:is>
      </x:c>
      <x:c r="N320" s="349" t="inlineStr">
        <x:is>
          <x:t xml:space="preserve">包络 5.000×5.000×0.448m；20 网格；0 灯</x:t>
        </x:is>
      </x:c>
      <x:c r="O320" s="349" t="inlineStr">
        <x:is>
          <x:t xml:space="preserve">source/art/blender/base_facility_layout/component_packages/floor/tile_r01_c01/asset_manifest.json</x:t>
        </x:is>
      </x:c>
      <x:c r="P320" s="349" t="inlineStr">
        <x:is>
          <x:t xml:space="preserve">source/art/blender/base_facility_layout/source/base_facility_runtime_layout_hq_v026.blend; source/art/blender/base_facility_layout/component_packages/floor/tile_r01_c01/asset_manifest.json</x:t>
        </x:is>
      </x:c>
      <x:c r="Q320" s="349" t="inlineStr">
        <x:is>
          <x:t xml:space="preserve">基地99层;基地资产包;3D设施;地面系统包;tile_r01_c01;PaletteUV</x:t>
        </x:is>
      </x:c>
      <x:c r="R320" s="349" t="str">
        <x:f>LOWER(TRIM(C320)&amp;"|"&amp;TRIM(D320)&amp;"|"&amp;TRIM(E320)&amp;"|"&amp;TRIM(F320)&amp;"|"&amp;TRIM(H320)&amp;"|"&amp;TRIM(I320))</x:f>
        <x:v>基地资产包|地面系统包|base99_package_tile_r01_c01|package_root|top3d / blender +y北|static / default</x:v>
      </x:c>
      <x:c r="S320" s="349" t="str">
        <x:f>IF(COUNTIF($R$6:$R$423,R320)&gt;1,"重复","唯一")</x:f>
        <x:v>唯一</x:v>
      </x:c>
      <x:c r="T320" s="349" t="inlineStr">
        <x:is>
          <x:t xml:space="preserve">2d1bd5a9a5b1532ddfcd6b80d711b764255f4205abb334905a325ab2c72c1404</x:t>
        </x:is>
      </x:c>
      <x:c r="U320" s="349" t="inlineStr">
        <x:is>
          <x:t xml:space="preserve">Codex</x:t>
        </x:is>
      </x:c>
      <x:c r="V320" s="348" t="n">
        <x:v>46269</x:v>
      </x:c>
      <x:c r="W320" s="349" t="inlineStr">
        <x:is>
          <x:t xml:space="preserve">用户自制Blender资产</x:t>
        </x:is>
      </x:c>
      <x:c r="X320" s="375" t="inlineStr">
        <x:is>
          <x:t xml:space="preserve">—</x:t>
        </x:is>
      </x:c>
      <x:c r="Y320" s="349" t="inlineStr">
        <x:is>
          <x:t xml:space="preserve"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1" ht="54" customHeight="1">
      <x:c r="A321" t="inlineStr">
        <x:is>
          <x:t xml:space="preserve">BPK-BASE99-TILE-R01-C02</x:t>
        </x:is>
      </x:c>
      <x:c r="B321" t="inlineStr">
        <x:is>
          <x:t xml:space="preserve">基地99层 · 地砖_R01C02_原砖与深化内容</x:t>
        </x:is>
      </x:c>
      <x:c r="C321" t="inlineStr">
        <x:is>
          <x:t xml:space="preserve">基地资产包</x:t>
        </x:is>
      </x:c>
      <x:c r="D321" t="inlineStr">
        <x:is>
          <x:t xml:space="preserve">地面系统包</x:t>
        </x:is>
      </x:c>
      <x:c r="E321" t="inlineStr">
        <x:is>
          <x:t xml:space="preserve">base99_package_tile_r01_c02</x:t>
        </x:is>
      </x:c>
      <x:c r="F321" t="inlineStr">
        <x:is>
          <x:t xml:space="preserve">package_root</x:t>
        </x:is>
      </x:c>
      <x:c r="G321" t="inlineStr">
        <x:is>
          <x:t xml:space="preserve">ENV-BASE99-ART-LAYOUT-3D</x:t>
        </x:is>
      </x:c>
      <x:c r="H321" t="inlineStr">
        <x:is>
          <x:t xml:space="preserve">Top3D / Blender +Y北</x:t>
        </x:is>
      </x:c>
      <x:c r="I321" t="inlineStr">
        <x:is>
          <x:t xml:space="preserve">static / default</x:t>
        </x:is>
      </x:c>
      <x:c r="J321" t="inlineStr">
        <x:is>
          <x:t xml:space="preserve">3D-设施 / 基地99层独立资产包</x:t>
        </x:is>
      </x:c>
      <x:c r="K321" t="inlineStr">
        <x:is>
          <x:t xml:space="preserve">正式美术已接入</x:t>
        </x:is>
      </x:c>
      <x:c r="L321" t="inlineStr">
        <x:is>
          <x:t xml:space="preserve">P0</x:t>
        </x:is>
      </x:c>
      <x:c r="M321" t="inlineStr">
        <x:is>
          <x:t xml:space="preserve">v017</x:t>
        </x:is>
      </x:c>
      <x:c r="N321" s="349" t="inlineStr">
        <x:is>
          <x:t xml:space="preserve">包络 5.035×5.000×0.468m；33 网格；0 灯</x:t>
        </x:is>
      </x:c>
      <x:c r="O321" s="349" t="inlineStr">
        <x:is>
          <x:t xml:space="preserve">source/art/blender/base_facility_layout/component_packages/floor/tile_r01_c02/asset_manifest.json</x:t>
        </x:is>
      </x:c>
      <x:c r="P321" s="349" t="inlineStr">
        <x:is>
          <x:t xml:space="preserve">source/art/blender/base_facility_layout/source/base_facility_runtime_layout_hq_v026.blend; source/art/blender/base_facility_layout/component_packages/floor/tile_r01_c02/asset_manifest.json</x:t>
        </x:is>
      </x:c>
      <x:c r="Q321" s="349" t="inlineStr">
        <x:is>
          <x:t xml:space="preserve">基地99层;基地资产包;3D设施;地面系统包;tile_r01_c02;PaletteUV</x:t>
        </x:is>
      </x:c>
      <x:c r="R321" s="349" t="str">
        <x:f>LOWER(TRIM(C321)&amp;"|"&amp;TRIM(D321)&amp;"|"&amp;TRIM(E321)&amp;"|"&amp;TRIM(F321)&amp;"|"&amp;TRIM(H321)&amp;"|"&amp;TRIM(I321))</x:f>
        <x:v>基地资产包|地面系统包|base99_package_tile_r01_c02|package_root|top3d / blender +y北|static / default</x:v>
      </x:c>
      <x:c r="S321" s="349" t="str">
        <x:f>IF(COUNTIF($R$6:$R$423,R321)&gt;1,"重复","唯一")</x:f>
        <x:v>唯一</x:v>
      </x:c>
      <x:c r="T321" s="349" t="inlineStr">
        <x:is>
          <x:t xml:space="preserve">5559ec023d166cae6a8b5155b696f5bd9998693f7f4ad9fbfea00136b490bcab</x:t>
        </x:is>
      </x:c>
      <x:c r="U321" s="349" t="inlineStr">
        <x:is>
          <x:t xml:space="preserve">Codex</x:t>
        </x:is>
      </x:c>
      <x:c r="V321" s="348" t="n">
        <x:v>46269</x:v>
      </x:c>
      <x:c r="W321" s="349" t="inlineStr">
        <x:is>
          <x:t xml:space="preserve">用户自制Blender资产</x:t>
        </x:is>
      </x:c>
      <x:c r="X321" s="375" t="inlineStr">
        <x:is>
          <x:t xml:space="preserve">—</x:t>
        </x:is>
      </x:c>
      <x:c r="Y321" s="349" t="inlineStr">
        <x:is>
          <x:t xml:space="preserve"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2" ht="54" customHeight="1">
      <x:c r="A322" t="inlineStr">
        <x:is>
          <x:t xml:space="preserve">BPK-BASE99-TILE-R01-C03</x:t>
        </x:is>
      </x:c>
      <x:c r="B322" t="inlineStr">
        <x:is>
          <x:t xml:space="preserve">基地99层 · 地砖_R01C03_原砖与深化内容</x:t>
        </x:is>
      </x:c>
      <x:c r="C322" t="inlineStr">
        <x:is>
          <x:t xml:space="preserve">基地资产包</x:t>
        </x:is>
      </x:c>
      <x:c r="D322" t="inlineStr">
        <x:is>
          <x:t xml:space="preserve">地面系统包</x:t>
        </x:is>
      </x:c>
      <x:c r="E322" t="inlineStr">
        <x:is>
          <x:t xml:space="preserve">base99_package_tile_r01_c03</x:t>
        </x:is>
      </x:c>
      <x:c r="F322" t="inlineStr">
        <x:is>
          <x:t xml:space="preserve">package_root</x:t>
        </x:is>
      </x:c>
      <x:c r="G322" t="inlineStr">
        <x:is>
          <x:t xml:space="preserve">ENV-BASE99-ART-LAYOUT-3D</x:t>
        </x:is>
      </x:c>
      <x:c r="H322" t="inlineStr">
        <x:is>
          <x:t xml:space="preserve">Top3D / Blender +Y北</x:t>
        </x:is>
      </x:c>
      <x:c r="I322" t="inlineStr">
        <x:is>
          <x:t xml:space="preserve">static / default</x:t>
        </x:is>
      </x:c>
      <x:c r="J322" t="inlineStr">
        <x:is>
          <x:t xml:space="preserve">3D-设施 / 基地99层独立资产包</x:t>
        </x:is>
      </x:c>
      <x:c r="K322" t="inlineStr">
        <x:is>
          <x:t xml:space="preserve">正式美术已接入</x:t>
        </x:is>
      </x:c>
      <x:c r="L322" t="inlineStr">
        <x:is>
          <x:t xml:space="preserve">P0</x:t>
        </x:is>
      </x:c>
      <x:c r="M322" t="inlineStr">
        <x:is>
          <x:t xml:space="preserve">v017</x:t>
        </x:is>
      </x:c>
      <x:c r="N322" s="349" t="inlineStr">
        <x:is>
          <x:t xml:space="preserve">包络 5.035×5.000×0.465m；31 网格；0 灯</x:t>
        </x:is>
      </x:c>
      <x:c r="O322" s="349" t="inlineStr">
        <x:is>
          <x:t xml:space="preserve">source/art/blender/base_facility_layout/component_packages/floor/tile_r01_c03/asset_manifest.json</x:t>
        </x:is>
      </x:c>
      <x:c r="P322" s="349" t="inlineStr">
        <x:is>
          <x:t xml:space="preserve">source/art/blender/base_facility_layout/source/base_facility_runtime_layout_hq_v026.blend; source/art/blender/base_facility_layout/component_packages/floor/tile_r01_c03/asset_manifest.json</x:t>
        </x:is>
      </x:c>
      <x:c r="Q322" s="349" t="inlineStr">
        <x:is>
          <x:t xml:space="preserve">基地99层;基地资产包;3D设施;地面系统包;tile_r01_c03;PaletteUV</x:t>
        </x:is>
      </x:c>
      <x:c r="R322" s="349" t="str">
        <x:f>LOWER(TRIM(C322)&amp;"|"&amp;TRIM(D322)&amp;"|"&amp;TRIM(E322)&amp;"|"&amp;TRIM(F322)&amp;"|"&amp;TRIM(H322)&amp;"|"&amp;TRIM(I322))</x:f>
        <x:v>基地资产包|地面系统包|base99_package_tile_r01_c03|package_root|top3d / blender +y北|static / default</x:v>
      </x:c>
      <x:c r="S322" s="349" t="str">
        <x:f>IF(COUNTIF($R$6:$R$423,R322)&gt;1,"重复","唯一")</x:f>
        <x:v>唯一</x:v>
      </x:c>
      <x:c r="T322" s="349" t="inlineStr">
        <x:is>
          <x:t xml:space="preserve">e0e599a8f2798876cd7e29a52d4393d6b799bccf13aa46e25996cad94ee89836</x:t>
        </x:is>
      </x:c>
      <x:c r="U322" s="349" t="inlineStr">
        <x:is>
          <x:t xml:space="preserve">Codex</x:t>
        </x:is>
      </x:c>
      <x:c r="V322" s="348" t="n">
        <x:v>46269</x:v>
      </x:c>
      <x:c r="W322" s="349" t="inlineStr">
        <x:is>
          <x:t xml:space="preserve">用户自制Blender资产</x:t>
        </x:is>
      </x:c>
      <x:c r="X322" s="375" t="inlineStr">
        <x:is>
          <x:t xml:space="preserve">—</x:t>
        </x:is>
      </x:c>
      <x:c r="Y322" s="349" t="inlineStr">
        <x:is>
          <x:t xml:space="preserve"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3" ht="54" customHeight="1">
      <x:c r="A323" t="inlineStr">
        <x:is>
          <x:t xml:space="preserve">BPK-BASE99-TILE-R01-C04</x:t>
        </x:is>
      </x:c>
      <x:c r="B323" t="inlineStr">
        <x:is>
          <x:t xml:space="preserve">基地99层 · 地砖_R01C04_原砖与深化内容</x:t>
        </x:is>
      </x:c>
      <x:c r="C323" t="inlineStr">
        <x:is>
          <x:t xml:space="preserve">基地资产包</x:t>
        </x:is>
      </x:c>
      <x:c r="D323" t="inlineStr">
        <x:is>
          <x:t xml:space="preserve">地面系统包</x:t>
        </x:is>
      </x:c>
      <x:c r="E323" t="inlineStr">
        <x:is>
          <x:t xml:space="preserve">base99_package_tile_r01_c04</x:t>
        </x:is>
      </x:c>
      <x:c r="F323" t="inlineStr">
        <x:is>
          <x:t xml:space="preserve">package_root</x:t>
        </x:is>
      </x:c>
      <x:c r="G323" t="inlineStr">
        <x:is>
          <x:t xml:space="preserve">ENV-BASE99-ART-LAYOUT-3D</x:t>
        </x:is>
      </x:c>
      <x:c r="H323" t="inlineStr">
        <x:is>
          <x:t xml:space="preserve">Top3D / Blender +Y北</x:t>
        </x:is>
      </x:c>
      <x:c r="I323" t="inlineStr">
        <x:is>
          <x:t xml:space="preserve">static / default</x:t>
        </x:is>
      </x:c>
      <x:c r="J323" t="inlineStr">
        <x:is>
          <x:t xml:space="preserve">3D-设施 / 基地99层独立资产包</x:t>
        </x:is>
      </x:c>
      <x:c r="K323" t="inlineStr">
        <x:is>
          <x:t xml:space="preserve">正式美术已接入</x:t>
        </x:is>
      </x:c>
      <x:c r="L323" t="inlineStr">
        <x:is>
          <x:t xml:space="preserve">P0</x:t>
        </x:is>
      </x:c>
      <x:c r="M323" t="inlineStr">
        <x:is>
          <x:t xml:space="preserve">v017</x:t>
        </x:is>
      </x:c>
      <x:c r="N323" s="349" t="inlineStr">
        <x:is>
          <x:t xml:space="preserve">包络 5.035×5.000×0.448m；21 网格；0 灯</x:t>
        </x:is>
      </x:c>
      <x:c r="O323" s="349" t="inlineStr">
        <x:is>
          <x:t xml:space="preserve">source/art/blender/base_facility_layout/component_packages/floor/tile_r01_c04/asset_manifest.json</x:t>
        </x:is>
      </x:c>
      <x:c r="P323" s="349" t="inlineStr">
        <x:is>
          <x:t xml:space="preserve">source/art/blender/base_facility_layout/source/base_facility_runtime_layout_hq_v026.blend; source/art/blender/base_facility_layout/component_packages/floor/tile_r01_c04/asset_manifest.json</x:t>
        </x:is>
      </x:c>
      <x:c r="Q323" s="349" t="inlineStr">
        <x:is>
          <x:t xml:space="preserve">基地99层;基地资产包;3D设施;地面系统包;tile_r01_c04;PaletteUV</x:t>
        </x:is>
      </x:c>
      <x:c r="R323" s="349" t="str">
        <x:f>LOWER(TRIM(C323)&amp;"|"&amp;TRIM(D323)&amp;"|"&amp;TRIM(E323)&amp;"|"&amp;TRIM(F323)&amp;"|"&amp;TRIM(H323)&amp;"|"&amp;TRIM(I323))</x:f>
        <x:v>基地资产包|地面系统包|base99_package_tile_r01_c04|package_root|top3d / blender +y北|static / default</x:v>
      </x:c>
      <x:c r="S323" s="349" t="str">
        <x:f>IF(COUNTIF($R$6:$R$423,R323)&gt;1,"重复","唯一")</x:f>
        <x:v>唯一</x:v>
      </x:c>
      <x:c r="T323" s="349" t="inlineStr">
        <x:is>
          <x:t xml:space="preserve">9991ac680ebbae80ea9b8b18305d51525090dd9aa55686ab78ef00437feccdb2</x:t>
        </x:is>
      </x:c>
      <x:c r="U323" s="349" t="inlineStr">
        <x:is>
          <x:t xml:space="preserve">Codex</x:t>
        </x:is>
      </x:c>
      <x:c r="V323" s="348" t="n">
        <x:v>46269</x:v>
      </x:c>
      <x:c r="W323" s="349" t="inlineStr">
        <x:is>
          <x:t xml:space="preserve">用户自制Blender资产</x:t>
        </x:is>
      </x:c>
      <x:c r="X323" s="375" t="inlineStr">
        <x:is>
          <x:t xml:space="preserve">—</x:t>
        </x:is>
      </x:c>
      <x:c r="Y323" s="349" t="inlineStr">
        <x:is>
          <x:t xml:space="preserve"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4" ht="54" customHeight="1">
      <x:c r="A324" t="inlineStr">
        <x:is>
          <x:t xml:space="preserve">BPK-BASE99-TILE-R01-C05</x:t>
        </x:is>
      </x:c>
      <x:c r="B324" t="inlineStr">
        <x:is>
          <x:t xml:space="preserve">基地99层 · 地砖_R01C05_原砖与深化内容</x:t>
        </x:is>
      </x:c>
      <x:c r="C324" t="inlineStr">
        <x:is>
          <x:t xml:space="preserve">基地资产包</x:t>
        </x:is>
      </x:c>
      <x:c r="D324" t="inlineStr">
        <x:is>
          <x:t xml:space="preserve">地面系统包</x:t>
        </x:is>
      </x:c>
      <x:c r="E324" t="inlineStr">
        <x:is>
          <x:t xml:space="preserve">base99_package_tile_r01_c05</x:t>
        </x:is>
      </x:c>
      <x:c r="F324" t="inlineStr">
        <x:is>
          <x:t xml:space="preserve">package_root</x:t>
        </x:is>
      </x:c>
      <x:c r="G324" t="inlineStr">
        <x:is>
          <x:t xml:space="preserve">ENV-BASE99-ART-LAYOUT-3D</x:t>
        </x:is>
      </x:c>
      <x:c r="H324" t="inlineStr">
        <x:is>
          <x:t xml:space="preserve">Top3D / Blender +Y北</x:t>
        </x:is>
      </x:c>
      <x:c r="I324" t="inlineStr">
        <x:is>
          <x:t xml:space="preserve">static / default</x:t>
        </x:is>
      </x:c>
      <x:c r="J324" t="inlineStr">
        <x:is>
          <x:t xml:space="preserve">3D-设施 / 基地99层独立资产包</x:t>
        </x:is>
      </x:c>
      <x:c r="K324" t="inlineStr">
        <x:is>
          <x:t xml:space="preserve">正式美术已接入</x:t>
        </x:is>
      </x:c>
      <x:c r="L324" t="inlineStr">
        <x:is>
          <x:t xml:space="preserve">P0</x:t>
        </x:is>
      </x:c>
      <x:c r="M324" t="inlineStr">
        <x:is>
          <x:t xml:space="preserve">v017</x:t>
        </x:is>
      </x:c>
      <x:c r="N324" s="349" t="inlineStr">
        <x:is>
          <x:t xml:space="preserve">包络 5.035×5.000×0.468m；33 网格；0 灯</x:t>
        </x:is>
      </x:c>
      <x:c r="O324" s="349" t="inlineStr">
        <x:is>
          <x:t xml:space="preserve">source/art/blender/base_facility_layout/component_packages/floor/tile_r01_c05/asset_manifest.json</x:t>
        </x:is>
      </x:c>
      <x:c r="P324" s="349" t="inlineStr">
        <x:is>
          <x:t xml:space="preserve">source/art/blender/base_facility_layout/source/base_facility_runtime_layout_hq_v026.blend; source/art/blender/base_facility_layout/component_packages/floor/tile_r01_c05/asset_manifest.json</x:t>
        </x:is>
      </x:c>
      <x:c r="Q324" s="349" t="inlineStr">
        <x:is>
          <x:t xml:space="preserve">基地99层;基地资产包;3D设施;地面系统包;tile_r01_c05;PaletteUV</x:t>
        </x:is>
      </x:c>
      <x:c r="R324" s="349" t="str">
        <x:f>LOWER(TRIM(C324)&amp;"|"&amp;TRIM(D324)&amp;"|"&amp;TRIM(E324)&amp;"|"&amp;TRIM(F324)&amp;"|"&amp;TRIM(H324)&amp;"|"&amp;TRIM(I324))</x:f>
        <x:v>基地资产包|地面系统包|base99_package_tile_r01_c05|package_root|top3d / blender +y北|static / default</x:v>
      </x:c>
      <x:c r="S324" s="349" t="str">
        <x:f>IF(COUNTIF($R$6:$R$423,R324)&gt;1,"重复","唯一")</x:f>
        <x:v>唯一</x:v>
      </x:c>
      <x:c r="T324" s="349" t="inlineStr">
        <x:is>
          <x:t xml:space="preserve">d45ec20535d6cca0824c5c248ed49b5c3c0d381291e72aed3a0af3617e3a5a8a</x:t>
        </x:is>
      </x:c>
      <x:c r="U324" s="349" t="inlineStr">
        <x:is>
          <x:t xml:space="preserve">Codex</x:t>
        </x:is>
      </x:c>
      <x:c r="V324" s="348" t="n">
        <x:v>46269</x:v>
      </x:c>
      <x:c r="W324" s="349" t="inlineStr">
        <x:is>
          <x:t xml:space="preserve">用户自制Blender资产</x:t>
        </x:is>
      </x:c>
      <x:c r="X324" s="375" t="inlineStr">
        <x:is>
          <x:t xml:space="preserve">—</x:t>
        </x:is>
      </x:c>
      <x:c r="Y324" s="349" t="inlineStr">
        <x:is>
          <x:t xml:space="preserve"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5" ht="54" customHeight="1">
      <x:c r="A325" t="inlineStr">
        <x:is>
          <x:t xml:space="preserve">BPK-BASE99-TILE-R01-C06</x:t>
        </x:is>
      </x:c>
      <x:c r="B325" t="inlineStr">
        <x:is>
          <x:t xml:space="preserve">基地99层 · 地砖_R01C06_原砖与深化内容</x:t>
        </x:is>
      </x:c>
      <x:c r="C325" t="inlineStr">
        <x:is>
          <x:t xml:space="preserve">基地资产包</x:t>
        </x:is>
      </x:c>
      <x:c r="D325" t="inlineStr">
        <x:is>
          <x:t xml:space="preserve">地面系统包</x:t>
        </x:is>
      </x:c>
      <x:c r="E325" t="inlineStr">
        <x:is>
          <x:t xml:space="preserve">base99_package_tile_r01_c06</x:t>
        </x:is>
      </x:c>
      <x:c r="F325" t="inlineStr">
        <x:is>
          <x:t xml:space="preserve">package_root</x:t>
        </x:is>
      </x:c>
      <x:c r="G325" t="inlineStr">
        <x:is>
          <x:t xml:space="preserve">ENV-BASE99-ART-LAYOUT-3D</x:t>
        </x:is>
      </x:c>
      <x:c r="H325" t="inlineStr">
        <x:is>
          <x:t xml:space="preserve">Top3D / Blender +Y北</x:t>
        </x:is>
      </x:c>
      <x:c r="I325" t="inlineStr">
        <x:is>
          <x:t xml:space="preserve">static / default</x:t>
        </x:is>
      </x:c>
      <x:c r="J325" t="inlineStr">
        <x:is>
          <x:t xml:space="preserve">3D-设施 / 基地99层独立资产包</x:t>
        </x:is>
      </x:c>
      <x:c r="K325" t="inlineStr">
        <x:is>
          <x:t xml:space="preserve">正式美术已接入</x:t>
        </x:is>
      </x:c>
      <x:c r="L325" t="inlineStr">
        <x:is>
          <x:t xml:space="preserve">P0</x:t>
        </x:is>
      </x:c>
      <x:c r="M325" t="inlineStr">
        <x:is>
          <x:t xml:space="preserve">v017</x:t>
        </x:is>
      </x:c>
      <x:c r="N325" s="349" t="inlineStr">
        <x:is>
          <x:t xml:space="preserve">包络 5.035×5.000×0.448m；21 网格；0 灯</x:t>
        </x:is>
      </x:c>
      <x:c r="O325" s="349" t="inlineStr">
        <x:is>
          <x:t xml:space="preserve">source/art/blender/base_facility_layout/component_packages/floor/tile_r01_c06/asset_manifest.json</x:t>
        </x:is>
      </x:c>
      <x:c r="P325" s="349" t="inlineStr">
        <x:is>
          <x:t xml:space="preserve">source/art/blender/base_facility_layout/source/base_facility_runtime_layout_hq_v026.blend; source/art/blender/base_facility_layout/component_packages/floor/tile_r01_c06/asset_manifest.json</x:t>
        </x:is>
      </x:c>
      <x:c r="Q325" s="349" t="inlineStr">
        <x:is>
          <x:t xml:space="preserve">基地99层;基地资产包;3D设施;地面系统包;tile_r01_c06;PaletteUV</x:t>
        </x:is>
      </x:c>
      <x:c r="R325" s="349" t="str">
        <x:f>LOWER(TRIM(C325)&amp;"|"&amp;TRIM(D325)&amp;"|"&amp;TRIM(E325)&amp;"|"&amp;TRIM(F325)&amp;"|"&amp;TRIM(H325)&amp;"|"&amp;TRIM(I325))</x:f>
        <x:v>基地资产包|地面系统包|base99_package_tile_r01_c06|package_root|top3d / blender +y北|static / default</x:v>
      </x:c>
      <x:c r="S325" s="349" t="str">
        <x:f>IF(COUNTIF($R$6:$R$423,R325)&gt;1,"重复","唯一")</x:f>
        <x:v>唯一</x:v>
      </x:c>
      <x:c r="T325" s="349" t="inlineStr">
        <x:is>
          <x:t xml:space="preserve">a3a61202fa7c06c7204854319288c1f0c5e60fef93e2c1f755a4f06f379a4a90</x:t>
        </x:is>
      </x:c>
      <x:c r="U325" s="349" t="inlineStr">
        <x:is>
          <x:t xml:space="preserve">Codex</x:t>
        </x:is>
      </x:c>
      <x:c r="V325" s="348" t="n">
        <x:v>46269</x:v>
      </x:c>
      <x:c r="W325" s="349" t="inlineStr">
        <x:is>
          <x:t xml:space="preserve">用户自制Blender资产</x:t>
        </x:is>
      </x:c>
      <x:c r="X325" s="375" t="inlineStr">
        <x:is>
          <x:t xml:space="preserve">—</x:t>
        </x:is>
      </x:c>
      <x:c r="Y325" s="349" t="inlineStr">
        <x:is>
          <x:t xml:space="preserve"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6" ht="54" customHeight="1">
      <x:c r="A326" t="inlineStr">
        <x:is>
          <x:t xml:space="preserve">BPK-BASE99-TILE-R02-C01</x:t>
        </x:is>
      </x:c>
      <x:c r="B326" t="inlineStr">
        <x:is>
          <x:t xml:space="preserve">基地99层 · 地砖_R02C01_原砖与深化内容</x:t>
        </x:is>
      </x:c>
      <x:c r="C326" t="inlineStr">
        <x:is>
          <x:t xml:space="preserve">基地资产包</x:t>
        </x:is>
      </x:c>
      <x:c r="D326" t="inlineStr">
        <x:is>
          <x:t xml:space="preserve">地面系统包</x:t>
        </x:is>
      </x:c>
      <x:c r="E326" t="inlineStr">
        <x:is>
          <x:t xml:space="preserve">base99_package_tile_r02_c01</x:t>
        </x:is>
      </x:c>
      <x:c r="F326" t="inlineStr">
        <x:is>
          <x:t xml:space="preserve">package_root</x:t>
        </x:is>
      </x:c>
      <x:c r="G326" t="inlineStr">
        <x:is>
          <x:t xml:space="preserve">ENV-BASE99-ART-LAYOUT-3D</x:t>
        </x:is>
      </x:c>
      <x:c r="H326" t="inlineStr">
        <x:is>
          <x:t xml:space="preserve">Top3D / Blender +Y北</x:t>
        </x:is>
      </x:c>
      <x:c r="I326" t="inlineStr">
        <x:is>
          <x:t xml:space="preserve">static / default</x:t>
        </x:is>
      </x:c>
      <x:c r="J326" t="inlineStr">
        <x:is>
          <x:t xml:space="preserve">3D-设施 / 基地99层独立资产包</x:t>
        </x:is>
      </x:c>
      <x:c r="K326" t="inlineStr">
        <x:is>
          <x:t xml:space="preserve">正式美术已接入</x:t>
        </x:is>
      </x:c>
      <x:c r="L326" t="inlineStr">
        <x:is>
          <x:t xml:space="preserve">P0</x:t>
        </x:is>
      </x:c>
      <x:c r="M326" t="inlineStr">
        <x:is>
          <x:t xml:space="preserve">v017</x:t>
        </x:is>
      </x:c>
      <x:c r="N326" s="349" t="inlineStr">
        <x:is>
          <x:t xml:space="preserve">包络 5.000×5.035×0.448m；22 网格；0 灯</x:t>
        </x:is>
      </x:c>
      <x:c r="O326" s="349" t="inlineStr">
        <x:is>
          <x:t xml:space="preserve">source/art/blender/base_facility_layout/component_packages/floor/tile_r02_c01/asset_manifest.json</x:t>
        </x:is>
      </x:c>
      <x:c r="P326" s="349" t="inlineStr">
        <x:is>
          <x:t xml:space="preserve">source/art/blender/base_facility_layout/source/base_facility_runtime_layout_hq_v026.blend; source/art/blender/base_facility_layout/component_packages/floor/tile_r02_c01/asset_manifest.json</x:t>
        </x:is>
      </x:c>
      <x:c r="Q326" s="349" t="inlineStr">
        <x:is>
          <x:t xml:space="preserve">基地99层;基地资产包;3D设施;地面系统包;tile_r02_c01;PaletteUV</x:t>
        </x:is>
      </x:c>
      <x:c r="R326" s="349" t="str">
        <x:f>LOWER(TRIM(C326)&amp;"|"&amp;TRIM(D326)&amp;"|"&amp;TRIM(E326)&amp;"|"&amp;TRIM(F326)&amp;"|"&amp;TRIM(H326)&amp;"|"&amp;TRIM(I326))</x:f>
        <x:v>基地资产包|地面系统包|base99_package_tile_r02_c01|package_root|top3d / blender +y北|static / default</x:v>
      </x:c>
      <x:c r="S326" s="349" t="str">
        <x:f>IF(COUNTIF($R$6:$R$423,R326)&gt;1,"重复","唯一")</x:f>
        <x:v>唯一</x:v>
      </x:c>
      <x:c r="T326" s="349" t="inlineStr">
        <x:is>
          <x:t xml:space="preserve">05143a649b91d046c2c09dafe705d94f0346d0770c39b1ae526ee52a046582e8</x:t>
        </x:is>
      </x:c>
      <x:c r="U326" s="349" t="inlineStr">
        <x:is>
          <x:t xml:space="preserve">Codex</x:t>
        </x:is>
      </x:c>
      <x:c r="V326" s="348" t="n">
        <x:v>46269</x:v>
      </x:c>
      <x:c r="W326" s="349" t="inlineStr">
        <x:is>
          <x:t xml:space="preserve">用户自制Blender资产</x:t>
        </x:is>
      </x:c>
      <x:c r="X326" s="375" t="inlineStr">
        <x:is>
          <x:t xml:space="preserve">—</x:t>
        </x:is>
      </x:c>
      <x:c r="Y326" s="349" t="inlineStr">
        <x:is>
          <x:t xml:space="preserve"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7" ht="54" customHeight="1">
      <x:c r="A327" t="inlineStr">
        <x:is>
          <x:t xml:space="preserve">BPK-BASE99-TILE-R02-C02</x:t>
        </x:is>
      </x:c>
      <x:c r="B327" t="inlineStr">
        <x:is>
          <x:t xml:space="preserve">基地99层 · 地砖_R02C02_原砖与深化内容</x:t>
        </x:is>
      </x:c>
      <x:c r="C327" t="inlineStr">
        <x:is>
          <x:t xml:space="preserve">基地资产包</x:t>
        </x:is>
      </x:c>
      <x:c r="D327" t="inlineStr">
        <x:is>
          <x:t xml:space="preserve">地面系统包</x:t>
        </x:is>
      </x:c>
      <x:c r="E327" t="inlineStr">
        <x:is>
          <x:t xml:space="preserve">base99_package_tile_r02_c02</x:t>
        </x:is>
      </x:c>
      <x:c r="F327" t="inlineStr">
        <x:is>
          <x:t xml:space="preserve">package_root</x:t>
        </x:is>
      </x:c>
      <x:c r="G327" t="inlineStr">
        <x:is>
          <x:t xml:space="preserve">ENV-BASE99-ART-LAYOUT-3D</x:t>
        </x:is>
      </x:c>
      <x:c r="H327" t="inlineStr">
        <x:is>
          <x:t xml:space="preserve">Top3D / Blender +Y北</x:t>
        </x:is>
      </x:c>
      <x:c r="I327" t="inlineStr">
        <x:is>
          <x:t xml:space="preserve">static / default</x:t>
        </x:is>
      </x:c>
      <x:c r="J327" t="inlineStr">
        <x:is>
          <x:t xml:space="preserve">3D-设施 / 基地99层独立资产包</x:t>
        </x:is>
      </x:c>
      <x:c r="K327" t="inlineStr">
        <x:is>
          <x:t xml:space="preserve">正式美术已接入</x:t>
        </x:is>
      </x:c>
      <x:c r="L327" t="inlineStr">
        <x:is>
          <x:t xml:space="preserve">P0</x:t>
        </x:is>
      </x:c>
      <x:c r="M327" t="inlineStr">
        <x:is>
          <x:t xml:space="preserve">v017</x:t>
        </x:is>
      </x:c>
      <x:c r="N327" s="349" t="inlineStr">
        <x:is>
          <x:t xml:space="preserve">包络 5.035×5.035×0.448m；36 网格；0 灯</x:t>
        </x:is>
      </x:c>
      <x:c r="O327" s="349" t="inlineStr">
        <x:is>
          <x:t xml:space="preserve">source/art/blender/base_facility_layout/component_packages/floor/tile_r02_c02/asset_manifest.json</x:t>
        </x:is>
      </x:c>
      <x:c r="P327" s="349" t="inlineStr">
        <x:is>
          <x:t xml:space="preserve">source/art/blender/base_facility_layout/source/base_facility_runtime_layout_hq_v026.blend; source/art/blender/base_facility_layout/component_packages/floor/tile_r02_c02/asset_manifest.json</x:t>
        </x:is>
      </x:c>
      <x:c r="Q327" s="349" t="inlineStr">
        <x:is>
          <x:t xml:space="preserve">基地99层;基地资产包;3D设施;地面系统包;tile_r02_c02;PaletteUV</x:t>
        </x:is>
      </x:c>
      <x:c r="R327" s="349" t="str">
        <x:f>LOWER(TRIM(C327)&amp;"|"&amp;TRIM(D327)&amp;"|"&amp;TRIM(E327)&amp;"|"&amp;TRIM(F327)&amp;"|"&amp;TRIM(H327)&amp;"|"&amp;TRIM(I327))</x:f>
        <x:v>基地资产包|地面系统包|base99_package_tile_r02_c02|package_root|top3d / blender +y北|static / default</x:v>
      </x:c>
      <x:c r="S327" s="349" t="str">
        <x:f>IF(COUNTIF($R$6:$R$423,R327)&gt;1,"重复","唯一")</x:f>
        <x:v>唯一</x:v>
      </x:c>
      <x:c r="T327" s="349" t="inlineStr">
        <x:is>
          <x:t xml:space="preserve">22b9e407b68836896207ea49099214bcf7aaa7efb8736162bb2722ebf00734a4</x:t>
        </x:is>
      </x:c>
      <x:c r="U327" s="349" t="inlineStr">
        <x:is>
          <x:t xml:space="preserve">Codex</x:t>
        </x:is>
      </x:c>
      <x:c r="V327" s="348" t="n">
        <x:v>46269</x:v>
      </x:c>
      <x:c r="W327" s="349" t="inlineStr">
        <x:is>
          <x:t xml:space="preserve">用户自制Blender资产</x:t>
        </x:is>
      </x:c>
      <x:c r="X327" s="375" t="inlineStr">
        <x:is>
          <x:t xml:space="preserve">—</x:t>
        </x:is>
      </x:c>
      <x:c r="Y327" s="349" t="inlineStr">
        <x:is>
          <x:t xml:space="preserve"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8" ht="54" customHeight="1">
      <x:c r="A328" t="inlineStr">
        <x:is>
          <x:t xml:space="preserve">BPK-BASE99-TILE-R02-C03</x:t>
        </x:is>
      </x:c>
      <x:c r="B328" t="inlineStr">
        <x:is>
          <x:t xml:space="preserve">基地99层 · 地砖_R02C03_原砖与深化内容</x:t>
        </x:is>
      </x:c>
      <x:c r="C328" t="inlineStr">
        <x:is>
          <x:t xml:space="preserve">基地资产包</x:t>
        </x:is>
      </x:c>
      <x:c r="D328" t="inlineStr">
        <x:is>
          <x:t xml:space="preserve">地面系统包</x:t>
        </x:is>
      </x:c>
      <x:c r="E328" t="inlineStr">
        <x:is>
          <x:t xml:space="preserve">base99_package_tile_r02_c03</x:t>
        </x:is>
      </x:c>
      <x:c r="F328" t="inlineStr">
        <x:is>
          <x:t xml:space="preserve">package_root</x:t>
        </x:is>
      </x:c>
      <x:c r="G328" t="inlineStr">
        <x:is>
          <x:t xml:space="preserve">ENV-BASE99-ART-LAYOUT-3D</x:t>
        </x:is>
      </x:c>
      <x:c r="H328" t="inlineStr">
        <x:is>
          <x:t xml:space="preserve">Top3D / Blender +Y北</x:t>
        </x:is>
      </x:c>
      <x:c r="I328" t="inlineStr">
        <x:is>
          <x:t xml:space="preserve">static / default</x:t>
        </x:is>
      </x:c>
      <x:c r="J328" t="inlineStr">
        <x:is>
          <x:t xml:space="preserve">3D-设施 / 基地99层独立资产包</x:t>
        </x:is>
      </x:c>
      <x:c r="K328" t="inlineStr">
        <x:is>
          <x:t xml:space="preserve">正式美术已接入</x:t>
        </x:is>
      </x:c>
      <x:c r="L328" t="inlineStr">
        <x:is>
          <x:t xml:space="preserve">P0</x:t>
        </x:is>
      </x:c>
      <x:c r="M328" t="inlineStr">
        <x:is>
          <x:t xml:space="preserve">v017</x:t>
        </x:is>
      </x:c>
      <x:c r="N328" s="349" t="inlineStr">
        <x:is>
          <x:t xml:space="preserve">包络 5.035×5.035×0.468m；42 网格；0 灯</x:t>
        </x:is>
      </x:c>
      <x:c r="O328" s="349" t="inlineStr">
        <x:is>
          <x:t xml:space="preserve">source/art/blender/base_facility_layout/component_packages/floor/tile_r02_c03/asset_manifest.json</x:t>
        </x:is>
      </x:c>
      <x:c r="P328" s="349" t="inlineStr">
        <x:is>
          <x:t xml:space="preserve">source/art/blender/base_facility_layout/source/base_facility_runtime_layout_hq_v026.blend; source/art/blender/base_facility_layout/component_packages/floor/tile_r02_c03/asset_manifest.json</x:t>
        </x:is>
      </x:c>
      <x:c r="Q328" s="349" t="inlineStr">
        <x:is>
          <x:t xml:space="preserve">基地99层;基地资产包;3D设施;地面系统包;tile_r02_c03;PaletteUV</x:t>
        </x:is>
      </x:c>
      <x:c r="R328" s="349" t="str">
        <x:f>LOWER(TRIM(C328)&amp;"|"&amp;TRIM(D328)&amp;"|"&amp;TRIM(E328)&amp;"|"&amp;TRIM(F328)&amp;"|"&amp;TRIM(H328)&amp;"|"&amp;TRIM(I328))</x:f>
        <x:v>基地资产包|地面系统包|base99_package_tile_r02_c03|package_root|top3d / blender +y北|static / default</x:v>
      </x:c>
      <x:c r="S328" s="349" t="str">
        <x:f>IF(COUNTIF($R$6:$R$423,R328)&gt;1,"重复","唯一")</x:f>
        <x:v>唯一</x:v>
      </x:c>
      <x:c r="T328" s="349" t="inlineStr">
        <x:is>
          <x:t xml:space="preserve">2f6a8782942233e2926c6f31281f5d98fa50e858b72995eca6c74eb7198cc4db</x:t>
        </x:is>
      </x:c>
      <x:c r="U328" s="349" t="inlineStr">
        <x:is>
          <x:t xml:space="preserve">Codex</x:t>
        </x:is>
      </x:c>
      <x:c r="V328" s="348" t="n">
        <x:v>46269</x:v>
      </x:c>
      <x:c r="W328" s="349" t="inlineStr">
        <x:is>
          <x:t xml:space="preserve">用户自制Blender资产</x:t>
        </x:is>
      </x:c>
      <x:c r="X328" s="375" t="inlineStr">
        <x:is>
          <x:t xml:space="preserve">—</x:t>
        </x:is>
      </x:c>
      <x:c r="Y328" s="349" t="inlineStr">
        <x:is>
          <x:t xml:space="preserve"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9" ht="54" customHeight="1">
      <x:c r="A329" t="inlineStr">
        <x:is>
          <x:t xml:space="preserve">BPK-BASE99-TILE-R02-C04</x:t>
        </x:is>
      </x:c>
      <x:c r="B329" t="inlineStr">
        <x:is>
          <x:t xml:space="preserve">基地99层 · 地砖_R02C04_原砖与深化内容</x:t>
        </x:is>
      </x:c>
      <x:c r="C329" t="inlineStr">
        <x:is>
          <x:t xml:space="preserve">基地资产包</x:t>
        </x:is>
      </x:c>
      <x:c r="D329" t="inlineStr">
        <x:is>
          <x:t xml:space="preserve">地面系统包</x:t>
        </x:is>
      </x:c>
      <x:c r="E329" t="inlineStr">
        <x:is>
          <x:t xml:space="preserve">base99_package_tile_r02_c04</x:t>
        </x:is>
      </x:c>
      <x:c r="F329" t="inlineStr">
        <x:is>
          <x:t xml:space="preserve">package_root</x:t>
        </x:is>
      </x:c>
      <x:c r="G329" t="inlineStr">
        <x:is>
          <x:t xml:space="preserve">ENV-BASE99-ART-LAYOUT-3D</x:t>
        </x:is>
      </x:c>
      <x:c r="H329" t="inlineStr">
        <x:is>
          <x:t xml:space="preserve">Top3D / Blender +Y北</x:t>
        </x:is>
      </x:c>
      <x:c r="I329" t="inlineStr">
        <x:is>
          <x:t xml:space="preserve">static / default</x:t>
        </x:is>
      </x:c>
      <x:c r="J329" t="inlineStr">
        <x:is>
          <x:t xml:space="preserve">3D-设施 / 基地99层独立资产包</x:t>
        </x:is>
      </x:c>
      <x:c r="K329" t="inlineStr">
        <x:is>
          <x:t xml:space="preserve">正式美术已接入</x:t>
        </x:is>
      </x:c>
      <x:c r="L329" t="inlineStr">
        <x:is>
          <x:t xml:space="preserve">P0</x:t>
        </x:is>
      </x:c>
      <x:c r="M329" t="inlineStr">
        <x:is>
          <x:t xml:space="preserve">v017</x:t>
        </x:is>
      </x:c>
      <x:c r="N329" s="349" t="inlineStr">
        <x:is>
          <x:t xml:space="preserve">包络 5.190×5.035×0.468m；34 网格；0 灯</x:t>
        </x:is>
      </x:c>
      <x:c r="O329" s="349" t="inlineStr">
        <x:is>
          <x:t xml:space="preserve">source/art/blender/base_facility_layout/component_packages/floor/tile_r02_c04/asset_manifest.json</x:t>
        </x:is>
      </x:c>
      <x:c r="P329" s="349" t="inlineStr">
        <x:is>
          <x:t xml:space="preserve">source/art/blender/base_facility_layout/source/base_facility_runtime_layout_hq_v026.blend; source/art/blender/base_facility_layout/component_packages/floor/tile_r02_c04/asset_manifest.json</x:t>
        </x:is>
      </x:c>
      <x:c r="Q329" s="349" t="inlineStr">
        <x:is>
          <x:t xml:space="preserve">基地99层;基地资产包;3D设施;地面系统包;tile_r02_c04;PaletteUV</x:t>
        </x:is>
      </x:c>
      <x:c r="R329" s="349" t="str">
        <x:f>LOWER(TRIM(C329)&amp;"|"&amp;TRIM(D329)&amp;"|"&amp;TRIM(E329)&amp;"|"&amp;TRIM(F329)&amp;"|"&amp;TRIM(H329)&amp;"|"&amp;TRIM(I329))</x:f>
        <x:v>基地资产包|地面系统包|base99_package_tile_r02_c04|package_root|top3d / blender +y北|static / default</x:v>
      </x:c>
      <x:c r="S329" s="349" t="str">
        <x:f>IF(COUNTIF($R$6:$R$423,R329)&gt;1,"重复","唯一")</x:f>
        <x:v>唯一</x:v>
      </x:c>
      <x:c r="T329" s="349" t="inlineStr">
        <x:is>
          <x:t xml:space="preserve">d90d14028c3f434be09acf88ef6b467aefaecdf5fa76a206d370c98c0603d555</x:t>
        </x:is>
      </x:c>
      <x:c r="U329" s="349" t="inlineStr">
        <x:is>
          <x:t xml:space="preserve">Codex</x:t>
        </x:is>
      </x:c>
      <x:c r="V329" s="348" t="n">
        <x:v>46269</x:v>
      </x:c>
      <x:c r="W329" s="349" t="inlineStr">
        <x:is>
          <x:t xml:space="preserve">用户自制Blender资产</x:t>
        </x:is>
      </x:c>
      <x:c r="X329" s="375" t="inlineStr">
        <x:is>
          <x:t xml:space="preserve">—</x:t>
        </x:is>
      </x:c>
      <x:c r="Y329" s="349" t="inlineStr">
        <x:is>
          <x:t xml:space="preserve"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0" ht="54" customHeight="1">
      <x:c r="A330" t="inlineStr">
        <x:is>
          <x:t xml:space="preserve">BPK-BASE99-TILE-R02-C05</x:t>
        </x:is>
      </x:c>
      <x:c r="B330" t="inlineStr">
        <x:is>
          <x:t xml:space="preserve">基地99层 · 地砖_R02C05_原砖与深化内容</x:t>
        </x:is>
      </x:c>
      <x:c r="C330" t="inlineStr">
        <x:is>
          <x:t xml:space="preserve">基地资产包</x:t>
        </x:is>
      </x:c>
      <x:c r="D330" t="inlineStr">
        <x:is>
          <x:t xml:space="preserve">地面系统包</x:t>
        </x:is>
      </x:c>
      <x:c r="E330" t="inlineStr">
        <x:is>
          <x:t xml:space="preserve">base99_package_tile_r02_c05</x:t>
        </x:is>
      </x:c>
      <x:c r="F330" t="inlineStr">
        <x:is>
          <x:t xml:space="preserve">package_root</x:t>
        </x:is>
      </x:c>
      <x:c r="G330" t="inlineStr">
        <x:is>
          <x:t xml:space="preserve">ENV-BASE99-ART-LAYOUT-3D</x:t>
        </x:is>
      </x:c>
      <x:c r="H330" t="inlineStr">
        <x:is>
          <x:t xml:space="preserve">Top3D / Blender +Y北</x:t>
        </x:is>
      </x:c>
      <x:c r="I330" t="inlineStr">
        <x:is>
          <x:t xml:space="preserve">static / default</x:t>
        </x:is>
      </x:c>
      <x:c r="J330" t="inlineStr">
        <x:is>
          <x:t xml:space="preserve">3D-设施 / 基地99层独立资产包</x:t>
        </x:is>
      </x:c>
      <x:c r="K330" t="inlineStr">
        <x:is>
          <x:t xml:space="preserve">正式美术已接入</x:t>
        </x:is>
      </x:c>
      <x:c r="L330" t="inlineStr">
        <x:is>
          <x:t xml:space="preserve">P0</x:t>
        </x:is>
      </x:c>
      <x:c r="M330" t="inlineStr">
        <x:is>
          <x:t xml:space="preserve">v017</x:t>
        </x:is>
      </x:c>
      <x:c r="N330" s="349" t="inlineStr">
        <x:is>
          <x:t xml:space="preserve">包络 5.035×5.035×0.465m；44 网格；0 灯</x:t>
        </x:is>
      </x:c>
      <x:c r="O330" s="349" t="inlineStr">
        <x:is>
          <x:t xml:space="preserve">source/art/blender/base_facility_layout/component_packages/floor/tile_r02_c05/asset_manifest.json</x:t>
        </x:is>
      </x:c>
      <x:c r="P330" s="349" t="inlineStr">
        <x:is>
          <x:t xml:space="preserve">source/art/blender/base_facility_layout/source/base_facility_runtime_layout_hq_v026.blend; source/art/blender/base_facility_layout/component_packages/floor/tile_r02_c05/asset_manifest.json</x:t>
        </x:is>
      </x:c>
      <x:c r="Q330" s="349" t="inlineStr">
        <x:is>
          <x:t xml:space="preserve">基地99层;基地资产包;3D设施;地面系统包;tile_r02_c05;PaletteUV</x:t>
        </x:is>
      </x:c>
      <x:c r="R330" s="349" t="str">
        <x:f>LOWER(TRIM(C330)&amp;"|"&amp;TRIM(D330)&amp;"|"&amp;TRIM(E330)&amp;"|"&amp;TRIM(F330)&amp;"|"&amp;TRIM(H330)&amp;"|"&amp;TRIM(I330))</x:f>
        <x:v>基地资产包|地面系统包|base99_package_tile_r02_c05|package_root|top3d / blender +y北|static / default</x:v>
      </x:c>
      <x:c r="S330" s="349" t="str">
        <x:f>IF(COUNTIF($R$6:$R$423,R330)&gt;1,"重复","唯一")</x:f>
        <x:v>唯一</x:v>
      </x:c>
      <x:c r="T330" s="349" t="inlineStr">
        <x:is>
          <x:t xml:space="preserve">61200762c6e6e04e040bb6105dce32fda5f1bd9d69c357ec7cc539bce9754e3b</x:t>
        </x:is>
      </x:c>
      <x:c r="U330" s="349" t="inlineStr">
        <x:is>
          <x:t xml:space="preserve">Codex</x:t>
        </x:is>
      </x:c>
      <x:c r="V330" s="348" t="n">
        <x:v>46269</x:v>
      </x:c>
      <x:c r="W330" s="349" t="inlineStr">
        <x:is>
          <x:t xml:space="preserve">用户自制Blender资产</x:t>
        </x:is>
      </x:c>
      <x:c r="X330" s="375" t="inlineStr">
        <x:is>
          <x:t xml:space="preserve">—</x:t>
        </x:is>
      </x:c>
      <x:c r="Y330" s="349" t="inlineStr">
        <x:is>
          <x:t xml:space="preserve"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1" ht="54" customHeight="1">
      <x:c r="A331" t="inlineStr">
        <x:is>
          <x:t xml:space="preserve">BPK-BASE99-TILE-R02-C06</x:t>
        </x:is>
      </x:c>
      <x:c r="B331" t="inlineStr">
        <x:is>
          <x:t xml:space="preserve">基地99层 · 地砖_R02C06_原砖与深化内容</x:t>
        </x:is>
      </x:c>
      <x:c r="C331" t="inlineStr">
        <x:is>
          <x:t xml:space="preserve">基地资产包</x:t>
        </x:is>
      </x:c>
      <x:c r="D331" t="inlineStr">
        <x:is>
          <x:t xml:space="preserve">地面系统包</x:t>
        </x:is>
      </x:c>
      <x:c r="E331" t="inlineStr">
        <x:is>
          <x:t xml:space="preserve">base99_package_tile_r02_c06</x:t>
        </x:is>
      </x:c>
      <x:c r="F331" t="inlineStr">
        <x:is>
          <x:t xml:space="preserve">package_root</x:t>
        </x:is>
      </x:c>
      <x:c r="G331" t="inlineStr">
        <x:is>
          <x:t xml:space="preserve">ENV-BASE99-ART-LAYOUT-3D</x:t>
        </x:is>
      </x:c>
      <x:c r="H331" t="inlineStr">
        <x:is>
          <x:t xml:space="preserve">Top3D / Blender +Y北</x:t>
        </x:is>
      </x:c>
      <x:c r="I331" t="inlineStr">
        <x:is>
          <x:t xml:space="preserve">static / default</x:t>
        </x:is>
      </x:c>
      <x:c r="J331" t="inlineStr">
        <x:is>
          <x:t xml:space="preserve">3D-设施 / 基地99层独立资产包</x:t>
        </x:is>
      </x:c>
      <x:c r="K331" t="inlineStr">
        <x:is>
          <x:t xml:space="preserve">正式美术已接入</x:t>
        </x:is>
      </x:c>
      <x:c r="L331" t="inlineStr">
        <x:is>
          <x:t xml:space="preserve">P0</x:t>
        </x:is>
      </x:c>
      <x:c r="M331" t="inlineStr">
        <x:is>
          <x:t xml:space="preserve">v017</x:t>
        </x:is>
      </x:c>
      <x:c r="N331" s="349" t="inlineStr">
        <x:is>
          <x:t xml:space="preserve">包络 5.035×5.035×0.468m；35 网格；0 灯</x:t>
        </x:is>
      </x:c>
      <x:c r="O331" s="349" t="inlineStr">
        <x:is>
          <x:t xml:space="preserve">source/art/blender/base_facility_layout/component_packages/floor/tile_r02_c06/asset_manifest.json</x:t>
        </x:is>
      </x:c>
      <x:c r="P331" s="349" t="inlineStr">
        <x:is>
          <x:t xml:space="preserve">source/art/blender/base_facility_layout/source/base_facility_runtime_layout_hq_v026.blend; source/art/blender/base_facility_layout/component_packages/floor/tile_r02_c06/asset_manifest.json</x:t>
        </x:is>
      </x:c>
      <x:c r="Q331" s="349" t="inlineStr">
        <x:is>
          <x:t xml:space="preserve">基地99层;基地资产包;3D设施;地面系统包;tile_r02_c06;PaletteUV</x:t>
        </x:is>
      </x:c>
      <x:c r="R331" s="349" t="str">
        <x:f>LOWER(TRIM(C331)&amp;"|"&amp;TRIM(D331)&amp;"|"&amp;TRIM(E331)&amp;"|"&amp;TRIM(F331)&amp;"|"&amp;TRIM(H331)&amp;"|"&amp;TRIM(I331))</x:f>
        <x:v>基地资产包|地面系统包|base99_package_tile_r02_c06|package_root|top3d / blender +y北|static / default</x:v>
      </x:c>
      <x:c r="S331" s="349" t="str">
        <x:f>IF(COUNTIF($R$6:$R$423,R331)&gt;1,"重复","唯一")</x:f>
        <x:v>唯一</x:v>
      </x:c>
      <x:c r="T331" s="349" t="inlineStr">
        <x:is>
          <x:t xml:space="preserve">5202b82292620f369443fa36ec4ba3b8b62ad620c4d74a797bbf69fb829c7ed1</x:t>
        </x:is>
      </x:c>
      <x:c r="U331" s="349" t="inlineStr">
        <x:is>
          <x:t xml:space="preserve">Codex</x:t>
        </x:is>
      </x:c>
      <x:c r="V331" s="348" t="n">
        <x:v>46269</x:v>
      </x:c>
      <x:c r="W331" s="349" t="inlineStr">
        <x:is>
          <x:t xml:space="preserve">用户自制Blender资产</x:t>
        </x:is>
      </x:c>
      <x:c r="X331" s="375" t="inlineStr">
        <x:is>
          <x:t xml:space="preserve">—</x:t>
        </x:is>
      </x:c>
      <x:c r="Y331" s="349" t="inlineStr">
        <x:is>
          <x:t xml:space="preserve"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2" ht="54" customHeight="1">
      <x:c r="A332" t="inlineStr">
        <x:is>
          <x:t xml:space="preserve">BPK-BASE99-TILE-R03-C01</x:t>
        </x:is>
      </x:c>
      <x:c r="B332" t="inlineStr">
        <x:is>
          <x:t xml:space="preserve">基地99层 · 地砖_R03C01_原砖与深化内容</x:t>
        </x:is>
      </x:c>
      <x:c r="C332" t="inlineStr">
        <x:is>
          <x:t xml:space="preserve">基地资产包</x:t>
        </x:is>
      </x:c>
      <x:c r="D332" t="inlineStr">
        <x:is>
          <x:t xml:space="preserve">地面系统包</x:t>
        </x:is>
      </x:c>
      <x:c r="E332" t="inlineStr">
        <x:is>
          <x:t xml:space="preserve">base99_package_tile_r03_c01</x:t>
        </x:is>
      </x:c>
      <x:c r="F332" t="inlineStr">
        <x:is>
          <x:t xml:space="preserve">package_root</x:t>
        </x:is>
      </x:c>
      <x:c r="G332" t="inlineStr">
        <x:is>
          <x:t xml:space="preserve">ENV-BASE99-ART-LAYOUT-3D</x:t>
        </x:is>
      </x:c>
      <x:c r="H332" t="inlineStr">
        <x:is>
          <x:t xml:space="preserve">Top3D / Blender +Y北</x:t>
        </x:is>
      </x:c>
      <x:c r="I332" t="inlineStr">
        <x:is>
          <x:t xml:space="preserve">static / default</x:t>
        </x:is>
      </x:c>
      <x:c r="J332" t="inlineStr">
        <x:is>
          <x:t xml:space="preserve">3D-设施 / 基地99层独立资产包</x:t>
        </x:is>
      </x:c>
      <x:c r="K332" t="inlineStr">
        <x:is>
          <x:t xml:space="preserve">正式美术已接入</x:t>
        </x:is>
      </x:c>
      <x:c r="L332" t="inlineStr">
        <x:is>
          <x:t xml:space="preserve">P0</x:t>
        </x:is>
      </x:c>
      <x:c r="M332" t="inlineStr">
        <x:is>
          <x:t xml:space="preserve">v017</x:t>
        </x:is>
      </x:c>
      <x:c r="N332" s="349" t="inlineStr">
        <x:is>
          <x:t xml:space="preserve">包络 5.000×5.035×0.468m；37 网格；0 灯</x:t>
        </x:is>
      </x:c>
      <x:c r="O332" s="349" t="inlineStr">
        <x:is>
          <x:t xml:space="preserve">source/art/blender/base_facility_layout/component_packages/floor/tile_r03_c01/asset_manifest.json</x:t>
        </x:is>
      </x:c>
      <x:c r="P332" s="349" t="inlineStr">
        <x:is>
          <x:t xml:space="preserve">source/art/blender/base_facility_layout/source/base_facility_runtime_layout_hq_v026.blend; source/art/blender/base_facility_layout/component_packages/floor/tile_r03_c01/asset_manifest.json</x:t>
        </x:is>
      </x:c>
      <x:c r="Q332" s="349" t="inlineStr">
        <x:is>
          <x:t xml:space="preserve">基地99层;基地资产包;3D设施;地面系统包;tile_r03_c01;PaletteUV</x:t>
        </x:is>
      </x:c>
      <x:c r="R332" s="349" t="str">
        <x:f>LOWER(TRIM(C332)&amp;"|"&amp;TRIM(D332)&amp;"|"&amp;TRIM(E332)&amp;"|"&amp;TRIM(F332)&amp;"|"&amp;TRIM(H332)&amp;"|"&amp;TRIM(I332))</x:f>
        <x:v>基地资产包|地面系统包|base99_package_tile_r03_c01|package_root|top3d / blender +y北|static / default</x:v>
      </x:c>
      <x:c r="S332" s="349" t="str">
        <x:f>IF(COUNTIF($R$6:$R$423,R332)&gt;1,"重复","唯一")</x:f>
        <x:v>唯一</x:v>
      </x:c>
      <x:c r="T332" s="349" t="inlineStr">
        <x:is>
          <x:t xml:space="preserve">a71e85e45cc4d1a72e7875cc410843e8dfe193dfb676c9680d66c63a62aa0453</x:t>
        </x:is>
      </x:c>
      <x:c r="U332" s="349" t="inlineStr">
        <x:is>
          <x:t xml:space="preserve">Codex</x:t>
        </x:is>
      </x:c>
      <x:c r="V332" s="348" t="n">
        <x:v>46269</x:v>
      </x:c>
      <x:c r="W332" s="349" t="inlineStr">
        <x:is>
          <x:t xml:space="preserve">用户自制Blender资产</x:t>
        </x:is>
      </x:c>
      <x:c r="X332" s="375" t="inlineStr">
        <x:is>
          <x:t xml:space="preserve">—</x:t>
        </x:is>
      </x:c>
      <x:c r="Y332" s="349" t="inlineStr">
        <x:is>
          <x:t xml:space="preserve"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3" ht="54" customHeight="1">
      <x:c r="A333" t="inlineStr">
        <x:is>
          <x:t xml:space="preserve">BPK-BASE99-TILE-R03-C02</x:t>
        </x:is>
      </x:c>
      <x:c r="B333" t="inlineStr">
        <x:is>
          <x:t xml:space="preserve">基地99层 · 地砖_R03C02_原砖与深化内容</x:t>
        </x:is>
      </x:c>
      <x:c r="C333" t="inlineStr">
        <x:is>
          <x:t xml:space="preserve">基地资产包</x:t>
        </x:is>
      </x:c>
      <x:c r="D333" t="inlineStr">
        <x:is>
          <x:t xml:space="preserve">地面系统包</x:t>
        </x:is>
      </x:c>
      <x:c r="E333" t="inlineStr">
        <x:is>
          <x:t xml:space="preserve">base99_package_tile_r03_c02</x:t>
        </x:is>
      </x:c>
      <x:c r="F333" t="inlineStr">
        <x:is>
          <x:t xml:space="preserve">package_root</x:t>
        </x:is>
      </x:c>
      <x:c r="G333" t="inlineStr">
        <x:is>
          <x:t xml:space="preserve">ENV-BASE99-ART-LAYOUT-3D</x:t>
        </x:is>
      </x:c>
      <x:c r="H333" t="inlineStr">
        <x:is>
          <x:t xml:space="preserve">Top3D / Blender +Y北</x:t>
        </x:is>
      </x:c>
      <x:c r="I333" t="inlineStr">
        <x:is>
          <x:t xml:space="preserve">static / default</x:t>
        </x:is>
      </x:c>
      <x:c r="J333" t="inlineStr">
        <x:is>
          <x:t xml:space="preserve">3D-设施 / 基地99层独立资产包</x:t>
        </x:is>
      </x:c>
      <x:c r="K333" t="inlineStr">
        <x:is>
          <x:t xml:space="preserve">正式美术已接入</x:t>
        </x:is>
      </x:c>
      <x:c r="L333" t="inlineStr">
        <x:is>
          <x:t xml:space="preserve">P0</x:t>
        </x:is>
      </x:c>
      <x:c r="M333" t="inlineStr">
        <x:is>
          <x:t xml:space="preserve">v017</x:t>
        </x:is>
      </x:c>
      <x:c r="N333" s="349" t="inlineStr">
        <x:is>
          <x:t xml:space="preserve">包络 5.035×5.035×0.465m；41 网格；0 灯</x:t>
        </x:is>
      </x:c>
      <x:c r="O333" s="349" t="inlineStr">
        <x:is>
          <x:t xml:space="preserve">source/art/blender/base_facility_layout/component_packages/floor/tile_r03_c02/asset_manifest.json</x:t>
        </x:is>
      </x:c>
      <x:c r="P333" s="349" t="inlineStr">
        <x:is>
          <x:t xml:space="preserve">source/art/blender/base_facility_layout/source/base_facility_runtime_layout_hq_v026.blend; source/art/blender/base_facility_layout/component_packages/floor/tile_r03_c02/asset_manifest.json</x:t>
        </x:is>
      </x:c>
      <x:c r="Q333" s="349" t="inlineStr">
        <x:is>
          <x:t xml:space="preserve">基地99层;基地资产包;3D设施;地面系统包;tile_r03_c02;PaletteUV</x:t>
        </x:is>
      </x:c>
      <x:c r="R333" s="349" t="str">
        <x:f>LOWER(TRIM(C333)&amp;"|"&amp;TRIM(D333)&amp;"|"&amp;TRIM(E333)&amp;"|"&amp;TRIM(F333)&amp;"|"&amp;TRIM(H333)&amp;"|"&amp;TRIM(I333))</x:f>
        <x:v>基地资产包|地面系统包|base99_package_tile_r03_c02|package_root|top3d / blender +y北|static / default</x:v>
      </x:c>
      <x:c r="S333" s="349" t="str">
        <x:f>IF(COUNTIF($R$6:$R$423,R333)&gt;1,"重复","唯一")</x:f>
        <x:v>唯一</x:v>
      </x:c>
      <x:c r="T333" s="349" t="inlineStr">
        <x:is>
          <x:t xml:space="preserve">f8dd8e763276ff2635af0ff614361bddd2930ef68c160cc229aaf2e0c54c9dd3</x:t>
        </x:is>
      </x:c>
      <x:c r="U333" s="349" t="inlineStr">
        <x:is>
          <x:t xml:space="preserve">Codex</x:t>
        </x:is>
      </x:c>
      <x:c r="V333" s="348" t="n">
        <x:v>46269</x:v>
      </x:c>
      <x:c r="W333" s="349" t="inlineStr">
        <x:is>
          <x:t xml:space="preserve">用户自制Blender资产</x:t>
        </x:is>
      </x:c>
      <x:c r="X333" s="375" t="inlineStr">
        <x:is>
          <x:t xml:space="preserve">—</x:t>
        </x:is>
      </x:c>
      <x:c r="Y333" s="349" t="inlineStr">
        <x:is>
          <x:t xml:space="preserve"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4" ht="54" customHeight="1">
      <x:c r="A334" t="inlineStr">
        <x:is>
          <x:t xml:space="preserve">BPK-BASE99-TILE-R03-C03</x:t>
        </x:is>
      </x:c>
      <x:c r="B334" t="inlineStr">
        <x:is>
          <x:t xml:space="preserve">基地99层 · 地砖_R03C03_原砖与深化内容</x:t>
        </x:is>
      </x:c>
      <x:c r="C334" t="inlineStr">
        <x:is>
          <x:t xml:space="preserve">基地资产包</x:t>
        </x:is>
      </x:c>
      <x:c r="D334" t="inlineStr">
        <x:is>
          <x:t xml:space="preserve">地面系统包</x:t>
        </x:is>
      </x:c>
      <x:c r="E334" t="inlineStr">
        <x:is>
          <x:t xml:space="preserve">base99_package_tile_r03_c03</x:t>
        </x:is>
      </x:c>
      <x:c r="F334" t="inlineStr">
        <x:is>
          <x:t xml:space="preserve">package_root</x:t>
        </x:is>
      </x:c>
      <x:c r="G334" t="inlineStr">
        <x:is>
          <x:t xml:space="preserve">ENV-BASE99-ART-LAYOUT-3D</x:t>
        </x:is>
      </x:c>
      <x:c r="H334" t="inlineStr">
        <x:is>
          <x:t xml:space="preserve">Top3D / Blender +Y北</x:t>
        </x:is>
      </x:c>
      <x:c r="I334" t="inlineStr">
        <x:is>
          <x:t xml:space="preserve">static / default</x:t>
        </x:is>
      </x:c>
      <x:c r="J334" t="inlineStr">
        <x:is>
          <x:t xml:space="preserve">3D-设施 / 基地99层独立资产包</x:t>
        </x:is>
      </x:c>
      <x:c r="K334" t="inlineStr">
        <x:is>
          <x:t xml:space="preserve">正式美术已接入</x:t>
        </x:is>
      </x:c>
      <x:c r="L334" t="inlineStr">
        <x:is>
          <x:t xml:space="preserve">P0</x:t>
        </x:is>
      </x:c>
      <x:c r="M334" t="inlineStr">
        <x:is>
          <x:t xml:space="preserve">v017</x:t>
        </x:is>
      </x:c>
      <x:c r="N334" s="349" t="inlineStr">
        <x:is>
          <x:t xml:space="preserve">包络 5.035×5.035×0.448m；22 网格；0 灯</x:t>
        </x:is>
      </x:c>
      <x:c r="O334" s="349" t="inlineStr">
        <x:is>
          <x:t xml:space="preserve">source/art/blender/base_facility_layout/component_packages/floor/tile_r03_c03/asset_manifest.json</x:t>
        </x:is>
      </x:c>
      <x:c r="P334" s="349" t="inlineStr">
        <x:is>
          <x:t xml:space="preserve">source/art/blender/base_facility_layout/source/base_facility_runtime_layout_hq_v026.blend; source/art/blender/base_facility_layout/component_packages/floor/tile_r03_c03/asset_manifest.json</x:t>
        </x:is>
      </x:c>
      <x:c r="Q334" s="349" t="inlineStr">
        <x:is>
          <x:t xml:space="preserve">基地99层;基地资产包;3D设施;地面系统包;tile_r03_c03;PaletteUV</x:t>
        </x:is>
      </x:c>
      <x:c r="R334" s="349" t="str">
        <x:f>LOWER(TRIM(C334)&amp;"|"&amp;TRIM(D334)&amp;"|"&amp;TRIM(E334)&amp;"|"&amp;TRIM(F334)&amp;"|"&amp;TRIM(H334)&amp;"|"&amp;TRIM(I334))</x:f>
        <x:v>基地资产包|地面系统包|base99_package_tile_r03_c03|package_root|top3d / blender +y北|static / default</x:v>
      </x:c>
      <x:c r="S334" s="349" t="str">
        <x:f>IF(COUNTIF($R$6:$R$423,R334)&gt;1,"重复","唯一")</x:f>
        <x:v>唯一</x:v>
      </x:c>
      <x:c r="T334" s="349" t="inlineStr">
        <x:is>
          <x:t xml:space="preserve">2cd8e29242ecf121d91d5a44126c672b8d1d93529fef0ad1a3eab230cab3ee91</x:t>
        </x:is>
      </x:c>
      <x:c r="U334" s="349" t="inlineStr">
        <x:is>
          <x:t xml:space="preserve">Codex</x:t>
        </x:is>
      </x:c>
      <x:c r="V334" s="348" t="n">
        <x:v>46269</x:v>
      </x:c>
      <x:c r="W334" s="349" t="inlineStr">
        <x:is>
          <x:t xml:space="preserve">用户自制Blender资产</x:t>
        </x:is>
      </x:c>
      <x:c r="X334" s="375" t="inlineStr">
        <x:is>
          <x:t xml:space="preserve">—</x:t>
        </x:is>
      </x:c>
      <x:c r="Y334" s="349" t="inlineStr">
        <x:is>
          <x:t xml:space="preserve"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5" ht="54" customHeight="1">
      <x:c r="A335" t="inlineStr">
        <x:is>
          <x:t xml:space="preserve">BPK-BASE99-TILE-R03-C04</x:t>
        </x:is>
      </x:c>
      <x:c r="B335" t="inlineStr">
        <x:is>
          <x:t xml:space="preserve">基地99层 · 地砖_R03C04_原砖与深化内容</x:t>
        </x:is>
      </x:c>
      <x:c r="C335" t="inlineStr">
        <x:is>
          <x:t xml:space="preserve">基地资产包</x:t>
        </x:is>
      </x:c>
      <x:c r="D335" t="inlineStr">
        <x:is>
          <x:t xml:space="preserve">地面系统包</x:t>
        </x:is>
      </x:c>
      <x:c r="E335" t="inlineStr">
        <x:is>
          <x:t xml:space="preserve">base99_package_tile_r03_c04</x:t>
        </x:is>
      </x:c>
      <x:c r="F335" t="inlineStr">
        <x:is>
          <x:t xml:space="preserve">package_root</x:t>
        </x:is>
      </x:c>
      <x:c r="G335" t="inlineStr">
        <x:is>
          <x:t xml:space="preserve">ENV-BASE99-ART-LAYOUT-3D</x:t>
        </x:is>
      </x:c>
      <x:c r="H335" t="inlineStr">
        <x:is>
          <x:t xml:space="preserve">Top3D / Blender +Y北</x:t>
        </x:is>
      </x:c>
      <x:c r="I335" t="inlineStr">
        <x:is>
          <x:t xml:space="preserve">static / default</x:t>
        </x:is>
      </x:c>
      <x:c r="J335" t="inlineStr">
        <x:is>
          <x:t xml:space="preserve">3D-设施 / 基地99层独立资产包</x:t>
        </x:is>
      </x:c>
      <x:c r="K335" t="inlineStr">
        <x:is>
          <x:t xml:space="preserve">正式美术已接入</x:t>
        </x:is>
      </x:c>
      <x:c r="L335" t="inlineStr">
        <x:is>
          <x:t xml:space="preserve">P0</x:t>
        </x:is>
      </x:c>
      <x:c r="M335" t="inlineStr">
        <x:is>
          <x:t xml:space="preserve">v017</x:t>
        </x:is>
      </x:c>
      <x:c r="N335" s="349" t="inlineStr">
        <x:is>
          <x:t xml:space="preserve">包络 5.035×5.035×0.468m；40 网格；0 灯</x:t>
        </x:is>
      </x:c>
      <x:c r="O335" s="349" t="inlineStr">
        <x:is>
          <x:t xml:space="preserve">source/art/blender/base_facility_layout/component_packages/floor/tile_r03_c04/asset_manifest.json</x:t>
        </x:is>
      </x:c>
      <x:c r="P335" s="349" t="inlineStr">
        <x:is>
          <x:t xml:space="preserve">source/art/blender/base_facility_layout/source/base_facility_runtime_layout_hq_v026.blend; source/art/blender/base_facility_layout/component_packages/floor/tile_r03_c04/asset_manifest.json</x:t>
        </x:is>
      </x:c>
      <x:c r="Q335" s="349" t="inlineStr">
        <x:is>
          <x:t xml:space="preserve">基地99层;基地资产包;3D设施;地面系统包;tile_r03_c04;PaletteUV</x:t>
        </x:is>
      </x:c>
      <x:c r="R335" s="349" t="str">
        <x:f>LOWER(TRIM(C335)&amp;"|"&amp;TRIM(D335)&amp;"|"&amp;TRIM(E335)&amp;"|"&amp;TRIM(F335)&amp;"|"&amp;TRIM(H335)&amp;"|"&amp;TRIM(I335))</x:f>
        <x:v>基地资产包|地面系统包|base99_package_tile_r03_c04|package_root|top3d / blender +y北|static / default</x:v>
      </x:c>
      <x:c r="S335" s="349" t="str">
        <x:f>IF(COUNTIF($R$6:$R$423,R335)&gt;1,"重复","唯一")</x:f>
        <x:v>唯一</x:v>
      </x:c>
      <x:c r="T335" s="349" t="inlineStr">
        <x:is>
          <x:t xml:space="preserve">5859d50bb04a09c0cf7b3fe6151193c51737b2118f3f5584bbedade814d66b6c</x:t>
        </x:is>
      </x:c>
      <x:c r="U335" s="349" t="inlineStr">
        <x:is>
          <x:t xml:space="preserve">Codex</x:t>
        </x:is>
      </x:c>
      <x:c r="V335" s="348" t="n">
        <x:v>46269</x:v>
      </x:c>
      <x:c r="W335" s="349" t="inlineStr">
        <x:is>
          <x:t xml:space="preserve">用户自制Blender资产</x:t>
        </x:is>
      </x:c>
      <x:c r="X335" s="375" t="inlineStr">
        <x:is>
          <x:t xml:space="preserve">—</x:t>
        </x:is>
      </x:c>
      <x:c r="Y335" s="349" t="inlineStr">
        <x:is>
          <x:t xml:space="preserve"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6" ht="54" customHeight="1">
      <x:c r="A336" t="inlineStr">
        <x:is>
          <x:t xml:space="preserve">BPK-BASE99-TILE-R03-C05</x:t>
        </x:is>
      </x:c>
      <x:c r="B336" t="inlineStr">
        <x:is>
          <x:t xml:space="preserve">基地99层 · 地砖_R03C05_原砖与深化内容</x:t>
        </x:is>
      </x:c>
      <x:c r="C336" t="inlineStr">
        <x:is>
          <x:t xml:space="preserve">基地资产包</x:t>
        </x:is>
      </x:c>
      <x:c r="D336" t="inlineStr">
        <x:is>
          <x:t xml:space="preserve">地面系统包</x:t>
        </x:is>
      </x:c>
      <x:c r="E336" t="inlineStr">
        <x:is>
          <x:t xml:space="preserve">base99_package_tile_r03_c05</x:t>
        </x:is>
      </x:c>
      <x:c r="F336" t="inlineStr">
        <x:is>
          <x:t xml:space="preserve">package_root</x:t>
        </x:is>
      </x:c>
      <x:c r="G336" t="inlineStr">
        <x:is>
          <x:t xml:space="preserve">ENV-BASE99-ART-LAYOUT-3D</x:t>
        </x:is>
      </x:c>
      <x:c r="H336" t="inlineStr">
        <x:is>
          <x:t xml:space="preserve">Top3D / Blender +Y北</x:t>
        </x:is>
      </x:c>
      <x:c r="I336" t="inlineStr">
        <x:is>
          <x:t xml:space="preserve">static / default</x:t>
        </x:is>
      </x:c>
      <x:c r="J336" t="inlineStr">
        <x:is>
          <x:t xml:space="preserve">3D-设施 / 基地99层独立资产包</x:t>
        </x:is>
      </x:c>
      <x:c r="K336" t="inlineStr">
        <x:is>
          <x:t xml:space="preserve">正式美术已接入</x:t>
        </x:is>
      </x:c>
      <x:c r="L336" t="inlineStr">
        <x:is>
          <x:t xml:space="preserve">P0</x:t>
        </x:is>
      </x:c>
      <x:c r="M336" t="inlineStr">
        <x:is>
          <x:t xml:space="preserve">v017</x:t>
        </x:is>
      </x:c>
      <x:c r="N336" s="349" t="inlineStr">
        <x:is>
          <x:t xml:space="preserve">包络 5.035×5.035×0.448m；43 网格；0 灯</x:t>
        </x:is>
      </x:c>
      <x:c r="O336" s="349" t="inlineStr">
        <x:is>
          <x:t xml:space="preserve">source/art/blender/base_facility_layout/component_packages/floor/tile_r03_c05/asset_manifest.json</x:t>
        </x:is>
      </x:c>
      <x:c r="P336" s="349" t="inlineStr">
        <x:is>
          <x:t xml:space="preserve">source/art/blender/base_facility_layout/source/base_facility_runtime_layout_hq_v026.blend; source/art/blender/base_facility_layout/component_packages/floor/tile_r03_c05/asset_manifest.json</x:t>
        </x:is>
      </x:c>
      <x:c r="Q336" s="349" t="inlineStr">
        <x:is>
          <x:t xml:space="preserve">基地99层;基地资产包;3D设施;地面系统包;tile_r03_c05;PaletteUV</x:t>
        </x:is>
      </x:c>
      <x:c r="R336" s="349" t="str">
        <x:f>LOWER(TRIM(C336)&amp;"|"&amp;TRIM(D336)&amp;"|"&amp;TRIM(E336)&amp;"|"&amp;TRIM(F336)&amp;"|"&amp;TRIM(H336)&amp;"|"&amp;TRIM(I336))</x:f>
        <x:v>基地资产包|地面系统包|base99_package_tile_r03_c05|package_root|top3d / blender +y北|static / default</x:v>
      </x:c>
      <x:c r="S336" s="349" t="str">
        <x:f>IF(COUNTIF($R$6:$R$423,R336)&gt;1,"重复","唯一")</x:f>
        <x:v>唯一</x:v>
      </x:c>
      <x:c r="T336" s="349" t="inlineStr">
        <x:is>
          <x:t xml:space="preserve">e329b1e52e214692364ebf810abca7fc4fe6d0b67b0174eb2a6f418004ff6b8c</x:t>
        </x:is>
      </x:c>
      <x:c r="U336" s="349" t="inlineStr">
        <x:is>
          <x:t xml:space="preserve">Codex</x:t>
        </x:is>
      </x:c>
      <x:c r="V336" s="348" t="n">
        <x:v>46269</x:v>
      </x:c>
      <x:c r="W336" s="349" t="inlineStr">
        <x:is>
          <x:t xml:space="preserve">用户自制Blender资产</x:t>
        </x:is>
      </x:c>
      <x:c r="X336" s="375" t="inlineStr">
        <x:is>
          <x:t xml:space="preserve">—</x:t>
        </x:is>
      </x:c>
      <x:c r="Y336" s="349" t="inlineStr">
        <x:is>
          <x:t xml:space="preserve"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7" ht="54" customHeight="1">
      <x:c r="A337" t="inlineStr">
        <x:is>
          <x:t xml:space="preserve">BPK-BASE99-TILE-R03-C06</x:t>
        </x:is>
      </x:c>
      <x:c r="B337" t="inlineStr">
        <x:is>
          <x:t xml:space="preserve">基地99层 · 地砖_R03C06_原砖与深化内容</x:t>
        </x:is>
      </x:c>
      <x:c r="C337" t="inlineStr">
        <x:is>
          <x:t xml:space="preserve">基地资产包</x:t>
        </x:is>
      </x:c>
      <x:c r="D337" t="inlineStr">
        <x:is>
          <x:t xml:space="preserve">地面系统包</x:t>
        </x:is>
      </x:c>
      <x:c r="E337" t="inlineStr">
        <x:is>
          <x:t xml:space="preserve">base99_package_tile_r03_c06</x:t>
        </x:is>
      </x:c>
      <x:c r="F337" t="inlineStr">
        <x:is>
          <x:t xml:space="preserve">package_root</x:t>
        </x:is>
      </x:c>
      <x:c r="G337" t="inlineStr">
        <x:is>
          <x:t xml:space="preserve">ENV-BASE99-ART-LAYOUT-3D</x:t>
        </x:is>
      </x:c>
      <x:c r="H337" t="inlineStr">
        <x:is>
          <x:t xml:space="preserve">Top3D / Blender +Y北</x:t>
        </x:is>
      </x:c>
      <x:c r="I337" t="inlineStr">
        <x:is>
          <x:t xml:space="preserve">static / default</x:t>
        </x:is>
      </x:c>
      <x:c r="J337" t="inlineStr">
        <x:is>
          <x:t xml:space="preserve">3D-设施 / 基地99层独立资产包</x:t>
        </x:is>
      </x:c>
      <x:c r="K337" t="inlineStr">
        <x:is>
          <x:t xml:space="preserve">正式美术已接入</x:t>
        </x:is>
      </x:c>
      <x:c r="L337" t="inlineStr">
        <x:is>
          <x:t xml:space="preserve">P0</x:t>
        </x:is>
      </x:c>
      <x:c r="M337" t="inlineStr">
        <x:is>
          <x:t xml:space="preserve">v017</x:t>
        </x:is>
      </x:c>
      <x:c r="N337" s="349" t="inlineStr">
        <x:is>
          <x:t xml:space="preserve">包络 5.035×5.035×0.448m；22 网格；0 灯</x:t>
        </x:is>
      </x:c>
      <x:c r="O337" s="349" t="inlineStr">
        <x:is>
          <x:t xml:space="preserve">source/art/blender/base_facility_layout/component_packages/floor/tile_r03_c06/asset_manifest.json</x:t>
        </x:is>
      </x:c>
      <x:c r="P337" s="349" t="inlineStr">
        <x:is>
          <x:t xml:space="preserve">source/art/blender/base_facility_layout/source/base_facility_runtime_layout_hq_v026.blend; source/art/blender/base_facility_layout/component_packages/floor/tile_r03_c06/asset_manifest.json</x:t>
        </x:is>
      </x:c>
      <x:c r="Q337" s="349" t="inlineStr">
        <x:is>
          <x:t xml:space="preserve">基地99层;基地资产包;3D设施;地面系统包;tile_r03_c06;PaletteUV</x:t>
        </x:is>
      </x:c>
      <x:c r="R337" s="349" t="str">
        <x:f>LOWER(TRIM(C337)&amp;"|"&amp;TRIM(D337)&amp;"|"&amp;TRIM(E337)&amp;"|"&amp;TRIM(F337)&amp;"|"&amp;TRIM(H337)&amp;"|"&amp;TRIM(I337))</x:f>
        <x:v>基地资产包|地面系统包|base99_package_tile_r03_c06|package_root|top3d / blender +y北|static / default</x:v>
      </x:c>
      <x:c r="S337" s="349" t="str">
        <x:f>IF(COUNTIF($R$6:$R$423,R337)&gt;1,"重复","唯一")</x:f>
        <x:v>唯一</x:v>
      </x:c>
      <x:c r="T337" s="349" t="inlineStr">
        <x:is>
          <x:t xml:space="preserve">e8eaa3e6e43e5b1ee450aee2ea8d502b34db6c300199466b2d90e919796fe00b</x:t>
        </x:is>
      </x:c>
      <x:c r="U337" s="349" t="inlineStr">
        <x:is>
          <x:t xml:space="preserve">Codex</x:t>
        </x:is>
      </x:c>
      <x:c r="V337" s="348" t="n">
        <x:v>46269</x:v>
      </x:c>
      <x:c r="W337" s="349" t="inlineStr">
        <x:is>
          <x:t xml:space="preserve">用户自制Blender资产</x:t>
        </x:is>
      </x:c>
      <x:c r="X337" s="375" t="inlineStr">
        <x:is>
          <x:t xml:space="preserve">—</x:t>
        </x:is>
      </x:c>
      <x:c r="Y337" s="349" t="inlineStr">
        <x:is>
          <x:t xml:space="preserve"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8" ht="54" customHeight="1">
      <x:c r="A338" t="inlineStr">
        <x:is>
          <x:t xml:space="preserve">BPK-BASE99-TILE-R04-C01</x:t>
        </x:is>
      </x:c>
      <x:c r="B338" t="inlineStr">
        <x:is>
          <x:t xml:space="preserve">基地99层 · 地砖_R04C01_原砖与深化内容</x:t>
        </x:is>
      </x:c>
      <x:c r="C338" t="inlineStr">
        <x:is>
          <x:t xml:space="preserve">基地资产包</x:t>
        </x:is>
      </x:c>
      <x:c r="D338" t="inlineStr">
        <x:is>
          <x:t xml:space="preserve">地面系统包</x:t>
        </x:is>
      </x:c>
      <x:c r="E338" t="inlineStr">
        <x:is>
          <x:t xml:space="preserve">base99_package_tile_r04_c01</x:t>
        </x:is>
      </x:c>
      <x:c r="F338" t="inlineStr">
        <x:is>
          <x:t xml:space="preserve">package_root</x:t>
        </x:is>
      </x:c>
      <x:c r="G338" t="inlineStr">
        <x:is>
          <x:t xml:space="preserve">ENV-BASE99-ART-LAYOUT-3D</x:t>
        </x:is>
      </x:c>
      <x:c r="H338" t="inlineStr">
        <x:is>
          <x:t xml:space="preserve">Top3D / Blender +Y北</x:t>
        </x:is>
      </x:c>
      <x:c r="I338" t="inlineStr">
        <x:is>
          <x:t xml:space="preserve">static / default</x:t>
        </x:is>
      </x:c>
      <x:c r="J338" t="inlineStr">
        <x:is>
          <x:t xml:space="preserve">3D-设施 / 基地99层独立资产包</x:t>
        </x:is>
      </x:c>
      <x:c r="K338" t="inlineStr">
        <x:is>
          <x:t xml:space="preserve">正式美术已接入</x:t>
        </x:is>
      </x:c>
      <x:c r="L338" t="inlineStr">
        <x:is>
          <x:t xml:space="preserve">P0</x:t>
        </x:is>
      </x:c>
      <x:c r="M338" t="inlineStr">
        <x:is>
          <x:t xml:space="preserve">v017</x:t>
        </x:is>
      </x:c>
      <x:c r="N338" s="349" t="inlineStr">
        <x:is>
          <x:t xml:space="preserve">包络 5.000×5.035×0.448m；21 网格；0 灯</x:t>
        </x:is>
      </x:c>
      <x:c r="O338" s="349" t="inlineStr">
        <x:is>
          <x:t xml:space="preserve">source/art/blender/base_facility_layout/component_packages/floor/tile_r04_c01/asset_manifest.json</x:t>
        </x:is>
      </x:c>
      <x:c r="P338" s="349" t="inlineStr">
        <x:is>
          <x:t xml:space="preserve">source/art/blender/base_facility_layout/source/base_facility_runtime_layout_hq_v026.blend; source/art/blender/base_facility_layout/component_packages/floor/tile_r04_c01/asset_manifest.json</x:t>
        </x:is>
      </x:c>
      <x:c r="Q338" s="349" t="inlineStr">
        <x:is>
          <x:t xml:space="preserve">基地99层;基地资产包;3D设施;地面系统包;tile_r04_c01;PaletteUV</x:t>
        </x:is>
      </x:c>
      <x:c r="R338" s="349" t="str">
        <x:f>LOWER(TRIM(C338)&amp;"|"&amp;TRIM(D338)&amp;"|"&amp;TRIM(E338)&amp;"|"&amp;TRIM(F338)&amp;"|"&amp;TRIM(H338)&amp;"|"&amp;TRIM(I338))</x:f>
        <x:v>基地资产包|地面系统包|base99_package_tile_r04_c01|package_root|top3d / blender +y北|static / default</x:v>
      </x:c>
      <x:c r="S338" s="349" t="str">
        <x:f>IF(COUNTIF($R$6:$R$423,R338)&gt;1,"重复","唯一")</x:f>
        <x:v>唯一</x:v>
      </x:c>
      <x:c r="T338" s="349" t="inlineStr">
        <x:is>
          <x:t xml:space="preserve">b06fd80bf8c9725277500eaa6994ab44b64c0d0b57262ac5920e79bc56960650</x:t>
        </x:is>
      </x:c>
      <x:c r="U338" s="349" t="inlineStr">
        <x:is>
          <x:t xml:space="preserve">Codex</x:t>
        </x:is>
      </x:c>
      <x:c r="V338" s="348" t="n">
        <x:v>46269</x:v>
      </x:c>
      <x:c r="W338" s="349" t="inlineStr">
        <x:is>
          <x:t xml:space="preserve">用户自制Blender资产</x:t>
        </x:is>
      </x:c>
      <x:c r="X338" s="375" t="inlineStr">
        <x:is>
          <x:t xml:space="preserve">—</x:t>
        </x:is>
      </x:c>
      <x:c r="Y338" s="349" t="inlineStr">
        <x:is>
          <x:t xml:space="preserve"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9" ht="54" customHeight="1">
      <x:c r="A339" t="inlineStr">
        <x:is>
          <x:t xml:space="preserve">BPK-BASE99-TILE-R04-C02</x:t>
        </x:is>
      </x:c>
      <x:c r="B339" t="inlineStr">
        <x:is>
          <x:t xml:space="preserve">基地99层 · 地砖_R04C02_原砖与深化内容</x:t>
        </x:is>
      </x:c>
      <x:c r="C339" t="inlineStr">
        <x:is>
          <x:t xml:space="preserve">基地资产包</x:t>
        </x:is>
      </x:c>
      <x:c r="D339" t="inlineStr">
        <x:is>
          <x:t xml:space="preserve">地面系统包</x:t>
        </x:is>
      </x:c>
      <x:c r="E339" t="inlineStr">
        <x:is>
          <x:t xml:space="preserve">base99_package_tile_r04_c02</x:t>
        </x:is>
      </x:c>
      <x:c r="F339" t="inlineStr">
        <x:is>
          <x:t xml:space="preserve">package_root</x:t>
        </x:is>
      </x:c>
      <x:c r="G339" t="inlineStr">
        <x:is>
          <x:t xml:space="preserve">ENV-BASE99-ART-LAYOUT-3D</x:t>
        </x:is>
      </x:c>
      <x:c r="H339" t="inlineStr">
        <x:is>
          <x:t xml:space="preserve">Top3D / Blender +Y北</x:t>
        </x:is>
      </x:c>
      <x:c r="I339" t="inlineStr">
        <x:is>
          <x:t xml:space="preserve">static / default</x:t>
        </x:is>
      </x:c>
      <x:c r="J339" t="inlineStr">
        <x:is>
          <x:t xml:space="preserve">3D-设施 / 基地99层独立资产包</x:t>
        </x:is>
      </x:c>
      <x:c r="K339" t="inlineStr">
        <x:is>
          <x:t xml:space="preserve">正式美术已接入</x:t>
        </x:is>
      </x:c>
      <x:c r="L339" t="inlineStr">
        <x:is>
          <x:t xml:space="preserve">P0</x:t>
        </x:is>
      </x:c>
      <x:c r="M339" t="inlineStr">
        <x:is>
          <x:t xml:space="preserve">v017</x:t>
        </x:is>
      </x:c>
      <x:c r="N339" s="349" t="inlineStr">
        <x:is>
          <x:t xml:space="preserve">包络 5.035×5.035×0.468m；40 网格；0 灯</x:t>
        </x:is>
      </x:c>
      <x:c r="O339" s="349" t="inlineStr">
        <x:is>
          <x:t xml:space="preserve">source/art/blender/base_facility_layout/component_packages/floor/tile_r04_c02/asset_manifest.json</x:t>
        </x:is>
      </x:c>
      <x:c r="P339" s="349" t="inlineStr">
        <x:is>
          <x:t xml:space="preserve">source/art/blender/base_facility_layout/source/base_facility_runtime_layout_hq_v026.blend; source/art/blender/base_facility_layout/component_packages/floor/tile_r04_c02/asset_manifest.json</x:t>
        </x:is>
      </x:c>
      <x:c r="Q339" s="349" t="inlineStr">
        <x:is>
          <x:t xml:space="preserve">基地99层;基地资产包;3D设施;地面系统包;tile_r04_c02;PaletteUV</x:t>
        </x:is>
      </x:c>
      <x:c r="R339" s="349" t="str">
        <x:f>LOWER(TRIM(C339)&amp;"|"&amp;TRIM(D339)&amp;"|"&amp;TRIM(E339)&amp;"|"&amp;TRIM(F339)&amp;"|"&amp;TRIM(H339)&amp;"|"&amp;TRIM(I339))</x:f>
        <x:v>基地资产包|地面系统包|base99_package_tile_r04_c02|package_root|top3d / blender +y北|static / default</x:v>
      </x:c>
      <x:c r="S339" s="349" t="str">
        <x:f>IF(COUNTIF($R$6:$R$423,R339)&gt;1,"重复","唯一")</x:f>
        <x:v>唯一</x:v>
      </x:c>
      <x:c r="T339" s="349" t="inlineStr">
        <x:is>
          <x:t xml:space="preserve">e8b84767dce8656c366c381fbc131452d8019be4581fb4f1892625d5909d3f97</x:t>
        </x:is>
      </x:c>
      <x:c r="U339" s="349" t="inlineStr">
        <x:is>
          <x:t xml:space="preserve">Codex</x:t>
        </x:is>
      </x:c>
      <x:c r="V339" s="348" t="n">
        <x:v>46269</x:v>
      </x:c>
      <x:c r="W339" s="349" t="inlineStr">
        <x:is>
          <x:t xml:space="preserve">用户自制Blender资产</x:t>
        </x:is>
      </x:c>
      <x:c r="X339" s="375" t="inlineStr">
        <x:is>
          <x:t xml:space="preserve">—</x:t>
        </x:is>
      </x:c>
      <x:c r="Y339" s="349" t="inlineStr">
        <x:is>
          <x:t xml:space="preserve"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0" ht="54" customHeight="1">
      <x:c r="A340" t="inlineStr">
        <x:is>
          <x:t xml:space="preserve">BPK-BASE99-TILE-R04-C03</x:t>
        </x:is>
      </x:c>
      <x:c r="B340" t="inlineStr">
        <x:is>
          <x:t xml:space="preserve">基地99层 · 地砖_R04C03_原砖与深化内容</x:t>
        </x:is>
      </x:c>
      <x:c r="C340" t="inlineStr">
        <x:is>
          <x:t xml:space="preserve">基地资产包</x:t>
        </x:is>
      </x:c>
      <x:c r="D340" t="inlineStr">
        <x:is>
          <x:t xml:space="preserve">地面系统包</x:t>
        </x:is>
      </x:c>
      <x:c r="E340" t="inlineStr">
        <x:is>
          <x:t xml:space="preserve">base99_package_tile_r04_c03</x:t>
        </x:is>
      </x:c>
      <x:c r="F340" t="inlineStr">
        <x:is>
          <x:t xml:space="preserve">package_root</x:t>
        </x:is>
      </x:c>
      <x:c r="G340" t="inlineStr">
        <x:is>
          <x:t xml:space="preserve">ENV-BASE99-ART-LAYOUT-3D</x:t>
        </x:is>
      </x:c>
      <x:c r="H340" t="inlineStr">
        <x:is>
          <x:t xml:space="preserve">Top3D / Blender +Y北</x:t>
        </x:is>
      </x:c>
      <x:c r="I340" t="inlineStr">
        <x:is>
          <x:t xml:space="preserve">static / default</x:t>
        </x:is>
      </x:c>
      <x:c r="J340" t="inlineStr">
        <x:is>
          <x:t xml:space="preserve">3D-设施 / 基地99层独立资产包</x:t>
        </x:is>
      </x:c>
      <x:c r="K340" t="inlineStr">
        <x:is>
          <x:t xml:space="preserve">正式美术已接入</x:t>
        </x:is>
      </x:c>
      <x:c r="L340" t="inlineStr">
        <x:is>
          <x:t xml:space="preserve">P0</x:t>
        </x:is>
      </x:c>
      <x:c r="M340" t="inlineStr">
        <x:is>
          <x:t xml:space="preserve">v017</x:t>
        </x:is>
      </x:c>
      <x:c r="N340" s="349" t="inlineStr">
        <x:is>
          <x:t xml:space="preserve">包络 5.035×5.035×0.448m；24 网格；0 灯</x:t>
        </x:is>
      </x:c>
      <x:c r="O340" s="349" t="inlineStr">
        <x:is>
          <x:t xml:space="preserve">source/art/blender/base_facility_layout/component_packages/floor/tile_r04_c03/asset_manifest.json</x:t>
        </x:is>
      </x:c>
      <x:c r="P340" s="349" t="inlineStr">
        <x:is>
          <x:t xml:space="preserve">source/art/blender/base_facility_layout/source/base_facility_runtime_layout_hq_v026.blend; source/art/blender/base_facility_layout/component_packages/floor/tile_r04_c03/asset_manifest.json</x:t>
        </x:is>
      </x:c>
      <x:c r="Q340" s="349" t="inlineStr">
        <x:is>
          <x:t xml:space="preserve">基地99层;基地资产包;3D设施;地面系统包;tile_r04_c03;PaletteUV</x:t>
        </x:is>
      </x:c>
      <x:c r="R340" s="349" t="str">
        <x:f>LOWER(TRIM(C340)&amp;"|"&amp;TRIM(D340)&amp;"|"&amp;TRIM(E340)&amp;"|"&amp;TRIM(F340)&amp;"|"&amp;TRIM(H340)&amp;"|"&amp;TRIM(I340))</x:f>
        <x:v>基地资产包|地面系统包|base99_package_tile_r04_c03|package_root|top3d / blender +y北|static / default</x:v>
      </x:c>
      <x:c r="S340" s="349" t="str">
        <x:f>IF(COUNTIF($R$6:$R$423,R340)&gt;1,"重复","唯一")</x:f>
        <x:v>唯一</x:v>
      </x:c>
      <x:c r="T340" s="349" t="inlineStr">
        <x:is>
          <x:t xml:space="preserve">9a66cc637b1abd89d06434949aa19b6b38be017d2a6dad9454cf6403ba22b4ea</x:t>
        </x:is>
      </x:c>
      <x:c r="U340" s="349" t="inlineStr">
        <x:is>
          <x:t xml:space="preserve">Codex</x:t>
        </x:is>
      </x:c>
      <x:c r="V340" s="348" t="n">
        <x:v>46269</x:v>
      </x:c>
      <x:c r="W340" s="349" t="inlineStr">
        <x:is>
          <x:t xml:space="preserve">用户自制Blender资产</x:t>
        </x:is>
      </x:c>
      <x:c r="X340" s="375" t="inlineStr">
        <x:is>
          <x:t xml:space="preserve">—</x:t>
        </x:is>
      </x:c>
      <x:c r="Y340" s="349" t="inlineStr">
        <x:is>
          <x:t xml:space="preserve"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1" ht="54" customHeight="1">
      <x:c r="A341" t="inlineStr">
        <x:is>
          <x:t xml:space="preserve">BPK-BASE99-TILE-R04-C04</x:t>
        </x:is>
      </x:c>
      <x:c r="B341" t="inlineStr">
        <x:is>
          <x:t xml:space="preserve">基地99层 · 地砖_R04C04_原砖与深化内容</x:t>
        </x:is>
      </x:c>
      <x:c r="C341" t="inlineStr">
        <x:is>
          <x:t xml:space="preserve">基地资产包</x:t>
        </x:is>
      </x:c>
      <x:c r="D341" t="inlineStr">
        <x:is>
          <x:t xml:space="preserve">地面系统包</x:t>
        </x:is>
      </x:c>
      <x:c r="E341" t="inlineStr">
        <x:is>
          <x:t xml:space="preserve">base99_package_tile_r04_c04</x:t>
        </x:is>
      </x:c>
      <x:c r="F341" t="inlineStr">
        <x:is>
          <x:t xml:space="preserve">package_root</x:t>
        </x:is>
      </x:c>
      <x:c r="G341" t="inlineStr">
        <x:is>
          <x:t xml:space="preserve">ENV-BASE99-ART-LAYOUT-3D</x:t>
        </x:is>
      </x:c>
      <x:c r="H341" t="inlineStr">
        <x:is>
          <x:t xml:space="preserve">Top3D / Blender +Y北</x:t>
        </x:is>
      </x:c>
      <x:c r="I341" t="inlineStr">
        <x:is>
          <x:t xml:space="preserve">static / default</x:t>
        </x:is>
      </x:c>
      <x:c r="J341" t="inlineStr">
        <x:is>
          <x:t xml:space="preserve">3D-设施 / 基地99层独立资产包</x:t>
        </x:is>
      </x:c>
      <x:c r="K341" t="inlineStr">
        <x:is>
          <x:t xml:space="preserve">正式美术已接入</x:t>
        </x:is>
      </x:c>
      <x:c r="L341" t="inlineStr">
        <x:is>
          <x:t xml:space="preserve">P0</x:t>
        </x:is>
      </x:c>
      <x:c r="M341" t="inlineStr">
        <x:is>
          <x:t xml:space="preserve">v017</x:t>
        </x:is>
      </x:c>
      <x:c r="N341" s="349" t="inlineStr">
        <x:is>
          <x:t xml:space="preserve">包络 5.035×5.035×0.492m；60 网格；0 灯</x:t>
        </x:is>
      </x:c>
      <x:c r="O341" s="349" t="inlineStr">
        <x:is>
          <x:t xml:space="preserve">source/art/blender/base_facility_layout/component_packages/floor/tile_r04_c04/asset_manifest.json</x:t>
        </x:is>
      </x:c>
      <x:c r="P341" s="349" t="inlineStr">
        <x:is>
          <x:t xml:space="preserve">source/art/blender/base_facility_layout/source/base_facility_runtime_layout_hq_v026.blend; source/art/blender/base_facility_layout/component_packages/floor/tile_r04_c04/asset_manifest.json</x:t>
        </x:is>
      </x:c>
      <x:c r="Q341" s="349" t="inlineStr">
        <x:is>
          <x:t xml:space="preserve">基地99层;基地资产包;3D设施;地面系统包;tile_r04_c04;PaletteUV</x:t>
        </x:is>
      </x:c>
      <x:c r="R341" s="349" t="str">
        <x:f>LOWER(TRIM(C341)&amp;"|"&amp;TRIM(D341)&amp;"|"&amp;TRIM(E341)&amp;"|"&amp;TRIM(F341)&amp;"|"&amp;TRIM(H341)&amp;"|"&amp;TRIM(I341))</x:f>
        <x:v>基地资产包|地面系统包|base99_package_tile_r04_c04|package_root|top3d / blender +y北|static / default</x:v>
      </x:c>
      <x:c r="S341" s="349" t="str">
        <x:f>IF(COUNTIF($R$6:$R$423,R341)&gt;1,"重复","唯一")</x:f>
        <x:v>唯一</x:v>
      </x:c>
      <x:c r="T341" s="349" t="inlineStr">
        <x:is>
          <x:t xml:space="preserve">9b962f6d003e082f33dc44ba251f5d5d1be141ffb69d6b056899e8ad9ef06c4f</x:t>
        </x:is>
      </x:c>
      <x:c r="U341" s="349" t="inlineStr">
        <x:is>
          <x:t xml:space="preserve">Codex</x:t>
        </x:is>
      </x:c>
      <x:c r="V341" s="348" t="n">
        <x:v>46269</x:v>
      </x:c>
      <x:c r="W341" s="349" t="inlineStr">
        <x:is>
          <x:t xml:space="preserve">用户自制Blender资产</x:t>
        </x:is>
      </x:c>
      <x:c r="X341" s="375" t="inlineStr">
        <x:is>
          <x:t xml:space="preserve">—</x:t>
        </x:is>
      </x:c>
      <x:c r="Y341" s="349" t="inlineStr">
        <x:is>
          <x:t xml:space="preserve"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2" ht="54" customHeight="1">
      <x:c r="A342" t="inlineStr">
        <x:is>
          <x:t xml:space="preserve">BPK-BASE99-TILE-R04-C05</x:t>
        </x:is>
      </x:c>
      <x:c r="B342" t="inlineStr">
        <x:is>
          <x:t xml:space="preserve">基地99层 · 地砖_R04C05_原砖与深化内容</x:t>
        </x:is>
      </x:c>
      <x:c r="C342" t="inlineStr">
        <x:is>
          <x:t xml:space="preserve">基地资产包</x:t>
        </x:is>
      </x:c>
      <x:c r="D342" t="inlineStr">
        <x:is>
          <x:t xml:space="preserve">地面系统包</x:t>
        </x:is>
      </x:c>
      <x:c r="E342" t="inlineStr">
        <x:is>
          <x:t xml:space="preserve">base99_package_tile_r04_c05</x:t>
        </x:is>
      </x:c>
      <x:c r="F342" t="inlineStr">
        <x:is>
          <x:t xml:space="preserve">package_root</x:t>
        </x:is>
      </x:c>
      <x:c r="G342" t="inlineStr">
        <x:is>
          <x:t xml:space="preserve">ENV-BASE99-ART-LAYOUT-3D</x:t>
        </x:is>
      </x:c>
      <x:c r="H342" t="inlineStr">
        <x:is>
          <x:t xml:space="preserve">Top3D / Blender +Y北</x:t>
        </x:is>
      </x:c>
      <x:c r="I342" t="inlineStr">
        <x:is>
          <x:t xml:space="preserve">static / default</x:t>
        </x:is>
      </x:c>
      <x:c r="J342" t="inlineStr">
        <x:is>
          <x:t xml:space="preserve">3D-设施 / 基地99层独立资产包</x:t>
        </x:is>
      </x:c>
      <x:c r="K342" t="inlineStr">
        <x:is>
          <x:t xml:space="preserve">正式美术已接入</x:t>
        </x:is>
      </x:c>
      <x:c r="L342" t="inlineStr">
        <x:is>
          <x:t xml:space="preserve">P0</x:t>
        </x:is>
      </x:c>
      <x:c r="M342" t="inlineStr">
        <x:is>
          <x:t xml:space="preserve">v017</x:t>
        </x:is>
      </x:c>
      <x:c r="N342" s="349" t="inlineStr">
        <x:is>
          <x:t xml:space="preserve">包络 6.180×5.035×0.493m；61 网格；0 灯</x:t>
        </x:is>
      </x:c>
      <x:c r="O342" s="349" t="inlineStr">
        <x:is>
          <x:t xml:space="preserve">source/art/blender/base_facility_layout/component_packages/floor/tile_r04_c05/asset_manifest.json</x:t>
        </x:is>
      </x:c>
      <x:c r="P342" s="349" t="inlineStr">
        <x:is>
          <x:t xml:space="preserve">source/art/blender/base_facility_layout/source/base_facility_runtime_layout_hq_v026.blend; source/art/blender/base_facility_layout/component_packages/floor/tile_r04_c05/asset_manifest.json</x:t>
        </x:is>
      </x:c>
      <x:c r="Q342" s="349" t="inlineStr">
        <x:is>
          <x:t xml:space="preserve">基地99层;基地资产包;3D设施;地面系统包;tile_r04_c05;PaletteUV</x:t>
        </x:is>
      </x:c>
      <x:c r="R342" s="349" t="str">
        <x:f>LOWER(TRIM(C342)&amp;"|"&amp;TRIM(D342)&amp;"|"&amp;TRIM(E342)&amp;"|"&amp;TRIM(F342)&amp;"|"&amp;TRIM(H342)&amp;"|"&amp;TRIM(I342))</x:f>
        <x:v>基地资产包|地面系统包|base99_package_tile_r04_c05|package_root|top3d / blender +y北|static / default</x:v>
      </x:c>
      <x:c r="S342" s="349" t="str">
        <x:f>IF(COUNTIF($R$6:$R$423,R342)&gt;1,"重复","唯一")</x:f>
        <x:v>唯一</x:v>
      </x:c>
      <x:c r="T342" s="349" t="inlineStr">
        <x:is>
          <x:t xml:space="preserve">7865cb437e32dfb271918f2c09c14fd1864d17233a1f932563227af201e72374</x:t>
        </x:is>
      </x:c>
      <x:c r="U342" s="349" t="inlineStr">
        <x:is>
          <x:t xml:space="preserve">Codex</x:t>
        </x:is>
      </x:c>
      <x:c r="V342" s="348" t="n">
        <x:v>46269</x:v>
      </x:c>
      <x:c r="W342" s="349" t="inlineStr">
        <x:is>
          <x:t xml:space="preserve">用户自制Blender资产</x:t>
        </x:is>
      </x:c>
      <x:c r="X342" s="375" t="inlineStr">
        <x:is>
          <x:t xml:space="preserve">—</x:t>
        </x:is>
      </x:c>
      <x:c r="Y342" s="349" t="inlineStr">
        <x:is>
          <x:t xml:space="preserve"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3" ht="54" customHeight="1">
      <x:c r="A343" t="inlineStr">
        <x:is>
          <x:t xml:space="preserve">BPK-BASE99-TILE-R04-C06</x:t>
        </x:is>
      </x:c>
      <x:c r="B343" t="inlineStr">
        <x:is>
          <x:t xml:space="preserve">基地99层 · 地砖_R04C06_原砖与深化内容</x:t>
        </x:is>
      </x:c>
      <x:c r="C343" t="inlineStr">
        <x:is>
          <x:t xml:space="preserve">基地资产包</x:t>
        </x:is>
      </x:c>
      <x:c r="D343" t="inlineStr">
        <x:is>
          <x:t xml:space="preserve">地面系统包</x:t>
        </x:is>
      </x:c>
      <x:c r="E343" t="inlineStr">
        <x:is>
          <x:t xml:space="preserve">base99_package_tile_r04_c06</x:t>
        </x:is>
      </x:c>
      <x:c r="F343" t="inlineStr">
        <x:is>
          <x:t xml:space="preserve">package_root</x:t>
        </x:is>
      </x:c>
      <x:c r="G343" t="inlineStr">
        <x:is>
          <x:t xml:space="preserve">ENV-BASE99-ART-LAYOUT-3D</x:t>
        </x:is>
      </x:c>
      <x:c r="H343" t="inlineStr">
        <x:is>
          <x:t xml:space="preserve">Top3D / Blender +Y北</x:t>
        </x:is>
      </x:c>
      <x:c r="I343" t="inlineStr">
        <x:is>
          <x:t xml:space="preserve">static / default</x:t>
        </x:is>
      </x:c>
      <x:c r="J343" t="inlineStr">
        <x:is>
          <x:t xml:space="preserve">3D-设施 / 基地99层独立资产包</x:t>
        </x:is>
      </x:c>
      <x:c r="K343" t="inlineStr">
        <x:is>
          <x:t xml:space="preserve">正式美术已接入</x:t>
        </x:is>
      </x:c>
      <x:c r="L343" t="inlineStr">
        <x:is>
          <x:t xml:space="preserve">P0</x:t>
        </x:is>
      </x:c>
      <x:c r="M343" t="inlineStr">
        <x:is>
          <x:t xml:space="preserve">v017</x:t>
        </x:is>
      </x:c>
      <x:c r="N343" s="349" t="inlineStr">
        <x:is>
          <x:t xml:space="preserve">包络 5.035×5.035×0.468m；39 网格；0 灯</x:t>
        </x:is>
      </x:c>
      <x:c r="O343" s="349" t="inlineStr">
        <x:is>
          <x:t xml:space="preserve">source/art/blender/base_facility_layout/component_packages/floor/tile_r04_c06/asset_manifest.json</x:t>
        </x:is>
      </x:c>
      <x:c r="P343" s="349" t="inlineStr">
        <x:is>
          <x:t xml:space="preserve">source/art/blender/base_facility_layout/source/base_facility_runtime_layout_hq_v026.blend; source/art/blender/base_facility_layout/component_packages/floor/tile_r04_c06/asset_manifest.json</x:t>
        </x:is>
      </x:c>
      <x:c r="Q343" s="349" t="inlineStr">
        <x:is>
          <x:t xml:space="preserve">基地99层;基地资产包;3D设施;地面系统包;tile_r04_c06;PaletteUV</x:t>
        </x:is>
      </x:c>
      <x:c r="R343" s="349" t="str">
        <x:f>LOWER(TRIM(C343)&amp;"|"&amp;TRIM(D343)&amp;"|"&amp;TRIM(E343)&amp;"|"&amp;TRIM(F343)&amp;"|"&amp;TRIM(H343)&amp;"|"&amp;TRIM(I343))</x:f>
        <x:v>基地资产包|地面系统包|base99_package_tile_r04_c06|package_root|top3d / blender +y北|static / default</x:v>
      </x:c>
      <x:c r="S343" s="349" t="str">
        <x:f>IF(COUNTIF($R$6:$R$423,R343)&gt;1,"重复","唯一")</x:f>
        <x:v>唯一</x:v>
      </x:c>
      <x:c r="T343" s="349" t="inlineStr">
        <x:is>
          <x:t xml:space="preserve">a727a84f59506e36ae549fafca03cd986e900c1fb0626ff7201158f492f2730b</x:t>
        </x:is>
      </x:c>
      <x:c r="U343" s="349" t="inlineStr">
        <x:is>
          <x:t xml:space="preserve">Codex</x:t>
        </x:is>
      </x:c>
      <x:c r="V343" s="348" t="n">
        <x:v>46269</x:v>
      </x:c>
      <x:c r="W343" s="349" t="inlineStr">
        <x:is>
          <x:t xml:space="preserve">用户自制Blender资产</x:t>
        </x:is>
      </x:c>
      <x:c r="X343" s="375" t="inlineStr">
        <x:is>
          <x:t xml:space="preserve">—</x:t>
        </x:is>
      </x:c>
      <x:c r="Y343" s="349" t="inlineStr">
        <x:is>
          <x:t xml:space="preserve"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4" ht="54" customHeight="1">
      <x:c r="A344" t="inlineStr">
        <x:is>
          <x:t xml:space="preserve">BPK-BASE99-TILE-R05-C01</x:t>
        </x:is>
      </x:c>
      <x:c r="B344" t="inlineStr">
        <x:is>
          <x:t xml:space="preserve">基地99层 · 地砖_R05C01_原砖与深化内容</x:t>
        </x:is>
      </x:c>
      <x:c r="C344" t="inlineStr">
        <x:is>
          <x:t xml:space="preserve">基地资产包</x:t>
        </x:is>
      </x:c>
      <x:c r="D344" t="inlineStr">
        <x:is>
          <x:t xml:space="preserve">地面系统包</x:t>
        </x:is>
      </x:c>
      <x:c r="E344" t="inlineStr">
        <x:is>
          <x:t xml:space="preserve">base99_package_tile_r05_c01</x:t>
        </x:is>
      </x:c>
      <x:c r="F344" t="inlineStr">
        <x:is>
          <x:t xml:space="preserve">package_root</x:t>
        </x:is>
      </x:c>
      <x:c r="G344" t="inlineStr">
        <x:is>
          <x:t xml:space="preserve">ENV-BASE99-ART-LAYOUT-3D</x:t>
        </x:is>
      </x:c>
      <x:c r="H344" t="inlineStr">
        <x:is>
          <x:t xml:space="preserve">Top3D / Blender +Y北</x:t>
        </x:is>
      </x:c>
      <x:c r="I344" t="inlineStr">
        <x:is>
          <x:t xml:space="preserve">static / default</x:t>
        </x:is>
      </x:c>
      <x:c r="J344" t="inlineStr">
        <x:is>
          <x:t xml:space="preserve">3D-设施 / 基地99层独立资产包</x:t>
        </x:is>
      </x:c>
      <x:c r="K344" t="inlineStr">
        <x:is>
          <x:t xml:space="preserve">正式美术已接入</x:t>
        </x:is>
      </x:c>
      <x:c r="L344" t="inlineStr">
        <x:is>
          <x:t xml:space="preserve">P0</x:t>
        </x:is>
      </x:c>
      <x:c r="M344" t="inlineStr">
        <x:is>
          <x:t xml:space="preserve">v017</x:t>
        </x:is>
      </x:c>
      <x:c r="N344" s="349" t="inlineStr">
        <x:is>
          <x:t xml:space="preserve">包络 5.000×5.035×0.448m；21 网格；0 灯</x:t>
        </x:is>
      </x:c>
      <x:c r="O344" s="349" t="inlineStr">
        <x:is>
          <x:t xml:space="preserve">source/art/blender/base_facility_layout/component_packages/floor/tile_r05_c01/asset_manifest.json</x:t>
        </x:is>
      </x:c>
      <x:c r="P344" s="349" t="inlineStr">
        <x:is>
          <x:t xml:space="preserve">source/art/blender/base_facility_layout/source/base_facility_runtime_layout_hq_v026.blend; source/art/blender/base_facility_layout/component_packages/floor/tile_r05_c01/asset_manifest.json</x:t>
        </x:is>
      </x:c>
      <x:c r="Q344" s="349" t="inlineStr">
        <x:is>
          <x:t xml:space="preserve">基地99层;基地资产包;3D设施;地面系统包;tile_r05_c01;PaletteUV</x:t>
        </x:is>
      </x:c>
      <x:c r="R344" s="349" t="str">
        <x:f>LOWER(TRIM(C344)&amp;"|"&amp;TRIM(D344)&amp;"|"&amp;TRIM(E344)&amp;"|"&amp;TRIM(F344)&amp;"|"&amp;TRIM(H344)&amp;"|"&amp;TRIM(I344))</x:f>
        <x:v>基地资产包|地面系统包|base99_package_tile_r05_c01|package_root|top3d / blender +y北|static / default</x:v>
      </x:c>
      <x:c r="S344" s="349" t="str">
        <x:f>IF(COUNTIF($R$6:$R$423,R344)&gt;1,"重复","唯一")</x:f>
        <x:v>唯一</x:v>
      </x:c>
      <x:c r="T344" s="349" t="inlineStr">
        <x:is>
          <x:t xml:space="preserve">25ce320949596cebbe75797299a65b576438bc04be76cc4e7f9a8d8a8a942e2d</x:t>
        </x:is>
      </x:c>
      <x:c r="U344" s="349" t="inlineStr">
        <x:is>
          <x:t xml:space="preserve">Codex</x:t>
        </x:is>
      </x:c>
      <x:c r="V344" s="348" t="n">
        <x:v>46269</x:v>
      </x:c>
      <x:c r="W344" s="349" t="inlineStr">
        <x:is>
          <x:t xml:space="preserve">用户自制Blender资产</x:t>
        </x:is>
      </x:c>
      <x:c r="X344" s="375" t="inlineStr">
        <x:is>
          <x:t xml:space="preserve">—</x:t>
        </x:is>
      </x:c>
      <x:c r="Y344" s="349" t="inlineStr">
        <x:is>
          <x:t xml:space="preserve"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5" ht="54" customHeight="1">
      <x:c r="A345" t="inlineStr">
        <x:is>
          <x:t xml:space="preserve">BPK-BASE99-TILE-R05-C02</x:t>
        </x:is>
      </x:c>
      <x:c r="B345" t="inlineStr">
        <x:is>
          <x:t xml:space="preserve">基地99层 · 地砖_R05C02_原砖与深化内容</x:t>
        </x:is>
      </x:c>
      <x:c r="C345" t="inlineStr">
        <x:is>
          <x:t xml:space="preserve">基地资产包</x:t>
        </x:is>
      </x:c>
      <x:c r="D345" t="inlineStr">
        <x:is>
          <x:t xml:space="preserve">地面系统包</x:t>
        </x:is>
      </x:c>
      <x:c r="E345" t="inlineStr">
        <x:is>
          <x:t xml:space="preserve">base99_package_tile_r05_c02</x:t>
        </x:is>
      </x:c>
      <x:c r="F345" t="inlineStr">
        <x:is>
          <x:t xml:space="preserve">package_root</x:t>
        </x:is>
      </x:c>
      <x:c r="G345" t="inlineStr">
        <x:is>
          <x:t xml:space="preserve">ENV-BASE99-ART-LAYOUT-3D</x:t>
        </x:is>
      </x:c>
      <x:c r="H345" t="inlineStr">
        <x:is>
          <x:t xml:space="preserve">Top3D / Blender +Y北</x:t>
        </x:is>
      </x:c>
      <x:c r="I345" t="inlineStr">
        <x:is>
          <x:t xml:space="preserve">static / default</x:t>
        </x:is>
      </x:c>
      <x:c r="J345" t="inlineStr">
        <x:is>
          <x:t xml:space="preserve">3D-设施 / 基地99层独立资产包</x:t>
        </x:is>
      </x:c>
      <x:c r="K345" t="inlineStr">
        <x:is>
          <x:t xml:space="preserve">正式美术已接入</x:t>
        </x:is>
      </x:c>
      <x:c r="L345" t="inlineStr">
        <x:is>
          <x:t xml:space="preserve">P0</x:t>
        </x:is>
      </x:c>
      <x:c r="M345" t="inlineStr">
        <x:is>
          <x:t xml:space="preserve">v017</x:t>
        </x:is>
      </x:c>
      <x:c r="N345" s="349" t="inlineStr">
        <x:is>
          <x:t xml:space="preserve">包络 5.035×5.035×0.448m；22 网格；0 灯</x:t>
        </x:is>
      </x:c>
      <x:c r="O345" s="349" t="inlineStr">
        <x:is>
          <x:t xml:space="preserve">source/art/blender/base_facility_layout/component_packages/floor/tile_r05_c02/asset_manifest.json</x:t>
        </x:is>
      </x:c>
      <x:c r="P345" s="349" t="inlineStr">
        <x:is>
          <x:t xml:space="preserve">source/art/blender/base_facility_layout/source/base_facility_runtime_layout_hq_v026.blend; source/art/blender/base_facility_layout/component_packages/floor/tile_r05_c02/asset_manifest.json</x:t>
        </x:is>
      </x:c>
      <x:c r="Q345" s="349" t="inlineStr">
        <x:is>
          <x:t xml:space="preserve">基地99层;基地资产包;3D设施;地面系统包;tile_r05_c02;PaletteUV</x:t>
        </x:is>
      </x:c>
      <x:c r="R345" s="349" t="str">
        <x:f>LOWER(TRIM(C345)&amp;"|"&amp;TRIM(D345)&amp;"|"&amp;TRIM(E345)&amp;"|"&amp;TRIM(F345)&amp;"|"&amp;TRIM(H345)&amp;"|"&amp;TRIM(I345))</x:f>
        <x:v>基地资产包|地面系统包|base99_package_tile_r05_c02|package_root|top3d / blender +y北|static / default</x:v>
      </x:c>
      <x:c r="S345" s="349" t="str">
        <x:f>IF(COUNTIF($R$6:$R$423,R345)&gt;1,"重复","唯一")</x:f>
        <x:v>唯一</x:v>
      </x:c>
      <x:c r="T345" s="349" t="inlineStr">
        <x:is>
          <x:t xml:space="preserve">c1e0cf57455c9162fa4db66615695f1bcce722fb9a4bf371884be2c28015b44f</x:t>
        </x:is>
      </x:c>
      <x:c r="U345" s="349" t="inlineStr">
        <x:is>
          <x:t xml:space="preserve">Codex</x:t>
        </x:is>
      </x:c>
      <x:c r="V345" s="348" t="n">
        <x:v>46269</x:v>
      </x:c>
      <x:c r="W345" s="349" t="inlineStr">
        <x:is>
          <x:t xml:space="preserve">用户自制Blender资产</x:t>
        </x:is>
      </x:c>
      <x:c r="X345" s="375" t="inlineStr">
        <x:is>
          <x:t xml:space="preserve">—</x:t>
        </x:is>
      </x:c>
      <x:c r="Y345" s="349" t="inlineStr">
        <x:is>
          <x:t xml:space="preserve"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6" ht="54" customHeight="1">
      <x:c r="A346" t="inlineStr">
        <x:is>
          <x:t xml:space="preserve">BPK-BASE99-TILE-R05-C03</x:t>
        </x:is>
      </x:c>
      <x:c r="B346" t="inlineStr">
        <x:is>
          <x:t xml:space="preserve">基地99层 · 地砖_R05C03_原砖与深化内容</x:t>
        </x:is>
      </x:c>
      <x:c r="C346" t="inlineStr">
        <x:is>
          <x:t xml:space="preserve">基地资产包</x:t>
        </x:is>
      </x:c>
      <x:c r="D346" t="inlineStr">
        <x:is>
          <x:t xml:space="preserve">地面系统包</x:t>
        </x:is>
      </x:c>
      <x:c r="E346" t="inlineStr">
        <x:is>
          <x:t xml:space="preserve">base99_package_tile_r05_c03</x:t>
        </x:is>
      </x:c>
      <x:c r="F346" t="inlineStr">
        <x:is>
          <x:t xml:space="preserve">package_root</x:t>
        </x:is>
      </x:c>
      <x:c r="G346" t="inlineStr">
        <x:is>
          <x:t xml:space="preserve">ENV-BASE99-ART-LAYOUT-3D</x:t>
        </x:is>
      </x:c>
      <x:c r="H346" t="inlineStr">
        <x:is>
          <x:t xml:space="preserve">Top3D / Blender +Y北</x:t>
        </x:is>
      </x:c>
      <x:c r="I346" t="inlineStr">
        <x:is>
          <x:t xml:space="preserve">static / default</x:t>
        </x:is>
      </x:c>
      <x:c r="J346" t="inlineStr">
        <x:is>
          <x:t xml:space="preserve">3D-设施 / 基地99层独立资产包</x:t>
        </x:is>
      </x:c>
      <x:c r="K346" t="inlineStr">
        <x:is>
          <x:t xml:space="preserve">正式美术已接入</x:t>
        </x:is>
      </x:c>
      <x:c r="L346" t="inlineStr">
        <x:is>
          <x:t xml:space="preserve">P0</x:t>
        </x:is>
      </x:c>
      <x:c r="M346" t="inlineStr">
        <x:is>
          <x:t xml:space="preserve">v017</x:t>
        </x:is>
      </x:c>
      <x:c r="N346" s="349" t="inlineStr">
        <x:is>
          <x:t xml:space="preserve">包络 5.035×5.035×0.448m；22 网格；0 灯</x:t>
        </x:is>
      </x:c>
      <x:c r="O346" s="349" t="inlineStr">
        <x:is>
          <x:t xml:space="preserve">source/art/blender/base_facility_layout/component_packages/floor/tile_r05_c03/asset_manifest.json</x:t>
        </x:is>
      </x:c>
      <x:c r="P346" s="349" t="inlineStr">
        <x:is>
          <x:t xml:space="preserve">source/art/blender/base_facility_layout/source/base_facility_runtime_layout_hq_v026.blend; source/art/blender/base_facility_layout/component_packages/floor/tile_r05_c03/asset_manifest.json</x:t>
        </x:is>
      </x:c>
      <x:c r="Q346" s="349" t="inlineStr">
        <x:is>
          <x:t xml:space="preserve">基地99层;基地资产包;3D设施;地面系统包;tile_r05_c03;PaletteUV</x:t>
        </x:is>
      </x:c>
      <x:c r="R346" s="349" t="str">
        <x:f>LOWER(TRIM(C346)&amp;"|"&amp;TRIM(D346)&amp;"|"&amp;TRIM(E346)&amp;"|"&amp;TRIM(F346)&amp;"|"&amp;TRIM(H346)&amp;"|"&amp;TRIM(I346))</x:f>
        <x:v>基地资产包|地面系统包|base99_package_tile_r05_c03|package_root|top3d / blender +y北|static / default</x:v>
      </x:c>
      <x:c r="S346" s="349" t="str">
        <x:f>IF(COUNTIF($R$6:$R$423,R346)&gt;1,"重复","唯一")</x:f>
        <x:v>唯一</x:v>
      </x:c>
      <x:c r="T346" s="349" t="inlineStr">
        <x:is>
          <x:t xml:space="preserve">9963472468273a6ed85fd89256f4c5bfafa28b3bc881a663f698d1ede44168bf</x:t>
        </x:is>
      </x:c>
      <x:c r="U346" s="349" t="inlineStr">
        <x:is>
          <x:t xml:space="preserve">Codex</x:t>
        </x:is>
      </x:c>
      <x:c r="V346" s="348" t="n">
        <x:v>46269</x:v>
      </x:c>
      <x:c r="W346" s="349" t="inlineStr">
        <x:is>
          <x:t xml:space="preserve">用户自制Blender资产</x:t>
        </x:is>
      </x:c>
      <x:c r="X346" s="375" t="inlineStr">
        <x:is>
          <x:t xml:space="preserve">—</x:t>
        </x:is>
      </x:c>
      <x:c r="Y346" s="349" t="inlineStr">
        <x:is>
          <x:t xml:space="preserve"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7" ht="54" customHeight="1">
      <x:c r="A347" t="inlineStr">
        <x:is>
          <x:t xml:space="preserve">BPK-BASE99-TILE-R05-C04</x:t>
        </x:is>
      </x:c>
      <x:c r="B347" t="inlineStr">
        <x:is>
          <x:t xml:space="preserve">基地99层 · 地砖_R05C04_原砖与深化内容</x:t>
        </x:is>
      </x:c>
      <x:c r="C347" t="inlineStr">
        <x:is>
          <x:t xml:space="preserve">基地资产包</x:t>
        </x:is>
      </x:c>
      <x:c r="D347" t="inlineStr">
        <x:is>
          <x:t xml:space="preserve">地面系统包</x:t>
        </x:is>
      </x:c>
      <x:c r="E347" t="inlineStr">
        <x:is>
          <x:t xml:space="preserve">base99_package_tile_r05_c04</x:t>
        </x:is>
      </x:c>
      <x:c r="F347" t="inlineStr">
        <x:is>
          <x:t xml:space="preserve">package_root</x:t>
        </x:is>
      </x:c>
      <x:c r="G347" t="inlineStr">
        <x:is>
          <x:t xml:space="preserve">ENV-BASE99-ART-LAYOUT-3D</x:t>
        </x:is>
      </x:c>
      <x:c r="H347" t="inlineStr">
        <x:is>
          <x:t xml:space="preserve">Top3D / Blender +Y北</x:t>
        </x:is>
      </x:c>
      <x:c r="I347" t="inlineStr">
        <x:is>
          <x:t xml:space="preserve">static / default</x:t>
        </x:is>
      </x:c>
      <x:c r="J347" t="inlineStr">
        <x:is>
          <x:t xml:space="preserve">3D-设施 / 基地99层独立资产包</x:t>
        </x:is>
      </x:c>
      <x:c r="K347" t="inlineStr">
        <x:is>
          <x:t xml:space="preserve">正式美术已接入</x:t>
        </x:is>
      </x:c>
      <x:c r="L347" t="inlineStr">
        <x:is>
          <x:t xml:space="preserve">P0</x:t>
        </x:is>
      </x:c>
      <x:c r="M347" t="inlineStr">
        <x:is>
          <x:t xml:space="preserve">v017</x:t>
        </x:is>
      </x:c>
      <x:c r="N347" s="349" t="inlineStr">
        <x:is>
          <x:t xml:space="preserve">包络 5.035×5.035×0.448m；22 网格；0 灯</x:t>
        </x:is>
      </x:c>
      <x:c r="O347" s="349" t="inlineStr">
        <x:is>
          <x:t xml:space="preserve">source/art/blender/base_facility_layout/component_packages/floor/tile_r05_c04/asset_manifest.json</x:t>
        </x:is>
      </x:c>
      <x:c r="P347" s="349" t="inlineStr">
        <x:is>
          <x:t xml:space="preserve">source/art/blender/base_facility_layout/source/base_facility_runtime_layout_hq_v026.blend; source/art/blender/base_facility_layout/component_packages/floor/tile_r05_c04/asset_manifest.json</x:t>
        </x:is>
      </x:c>
      <x:c r="Q347" s="349" t="inlineStr">
        <x:is>
          <x:t xml:space="preserve">基地99层;基地资产包;3D设施;地面系统包;tile_r05_c04;PaletteUV</x:t>
        </x:is>
      </x:c>
      <x:c r="R347" s="349" t="str">
        <x:f>LOWER(TRIM(C347)&amp;"|"&amp;TRIM(D347)&amp;"|"&amp;TRIM(E347)&amp;"|"&amp;TRIM(F347)&amp;"|"&amp;TRIM(H347)&amp;"|"&amp;TRIM(I347))</x:f>
        <x:v>基地资产包|地面系统包|base99_package_tile_r05_c04|package_root|top3d / blender +y北|static / default</x:v>
      </x:c>
      <x:c r="S347" s="349" t="str">
        <x:f>IF(COUNTIF($R$6:$R$423,R347)&gt;1,"重复","唯一")</x:f>
        <x:v>唯一</x:v>
      </x:c>
      <x:c r="T347" s="349" t="inlineStr">
        <x:is>
          <x:t xml:space="preserve">40018cec7389eec3fc60e519d46d2f568d92d4d6c95e8078efefd1fc52ddc952</x:t>
        </x:is>
      </x:c>
      <x:c r="U347" s="349" t="inlineStr">
        <x:is>
          <x:t xml:space="preserve">Codex</x:t>
        </x:is>
      </x:c>
      <x:c r="V347" s="348" t="n">
        <x:v>46269</x:v>
      </x:c>
      <x:c r="W347" s="349" t="inlineStr">
        <x:is>
          <x:t xml:space="preserve">用户自制Blender资产</x:t>
        </x:is>
      </x:c>
      <x:c r="X347" s="375" t="inlineStr">
        <x:is>
          <x:t xml:space="preserve">—</x:t>
        </x:is>
      </x:c>
      <x:c r="Y347" s="349" t="inlineStr">
        <x:is>
          <x:t xml:space="preserve"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8" ht="54" customHeight="1">
      <x:c r="A348" t="inlineStr">
        <x:is>
          <x:t xml:space="preserve">BPK-BASE99-TILE-R05-C05</x:t>
        </x:is>
      </x:c>
      <x:c r="B348" t="inlineStr">
        <x:is>
          <x:t xml:space="preserve">基地99层 · 地砖_R05C05_原砖与深化内容</x:t>
        </x:is>
      </x:c>
      <x:c r="C348" t="inlineStr">
        <x:is>
          <x:t xml:space="preserve">基地资产包</x:t>
        </x:is>
      </x:c>
      <x:c r="D348" t="inlineStr">
        <x:is>
          <x:t xml:space="preserve">地面系统包</x:t>
        </x:is>
      </x:c>
      <x:c r="E348" t="inlineStr">
        <x:is>
          <x:t xml:space="preserve">base99_package_tile_r05_c05</x:t>
        </x:is>
      </x:c>
      <x:c r="F348" t="inlineStr">
        <x:is>
          <x:t xml:space="preserve">package_root</x:t>
        </x:is>
      </x:c>
      <x:c r="G348" t="inlineStr">
        <x:is>
          <x:t xml:space="preserve">ENV-BASE99-ART-LAYOUT-3D</x:t>
        </x:is>
      </x:c>
      <x:c r="H348" t="inlineStr">
        <x:is>
          <x:t xml:space="preserve">Top3D / Blender +Y北</x:t>
        </x:is>
      </x:c>
      <x:c r="I348" t="inlineStr">
        <x:is>
          <x:t xml:space="preserve">static / default</x:t>
        </x:is>
      </x:c>
      <x:c r="J348" t="inlineStr">
        <x:is>
          <x:t xml:space="preserve">3D-设施 / 基地99层独立资产包</x:t>
        </x:is>
      </x:c>
      <x:c r="K348" t="inlineStr">
        <x:is>
          <x:t xml:space="preserve">正式美术已接入</x:t>
        </x:is>
      </x:c>
      <x:c r="L348" t="inlineStr">
        <x:is>
          <x:t xml:space="preserve">P0</x:t>
        </x:is>
      </x:c>
      <x:c r="M348" t="inlineStr">
        <x:is>
          <x:t xml:space="preserve">v017</x:t>
        </x:is>
      </x:c>
      <x:c r="N348" s="349" t="inlineStr">
        <x:is>
          <x:t xml:space="preserve">包络 5.035×5.035×0.448m；22 网格；0 灯</x:t>
        </x:is>
      </x:c>
      <x:c r="O348" s="349" t="inlineStr">
        <x:is>
          <x:t xml:space="preserve">source/art/blender/base_facility_layout/component_packages/floor/tile_r05_c05/asset_manifest.json</x:t>
        </x:is>
      </x:c>
      <x:c r="P348" s="349" t="inlineStr">
        <x:is>
          <x:t xml:space="preserve">source/art/blender/base_facility_layout/source/base_facility_runtime_layout_hq_v026.blend; source/art/blender/base_facility_layout/component_packages/floor/tile_r05_c05/asset_manifest.json</x:t>
        </x:is>
      </x:c>
      <x:c r="Q348" s="349" t="inlineStr">
        <x:is>
          <x:t xml:space="preserve">基地99层;基地资产包;3D设施;地面系统包;tile_r05_c05;PaletteUV</x:t>
        </x:is>
      </x:c>
      <x:c r="R348" s="349" t="str">
        <x:f>LOWER(TRIM(C348)&amp;"|"&amp;TRIM(D348)&amp;"|"&amp;TRIM(E348)&amp;"|"&amp;TRIM(F348)&amp;"|"&amp;TRIM(H348)&amp;"|"&amp;TRIM(I348))</x:f>
        <x:v>基地资产包|地面系统包|base99_package_tile_r05_c05|package_root|top3d / blender +y北|static / default</x:v>
      </x:c>
      <x:c r="S348" s="349" t="str">
        <x:f>IF(COUNTIF($R$6:$R$423,R348)&gt;1,"重复","唯一")</x:f>
        <x:v>唯一</x:v>
      </x:c>
      <x:c r="T348" s="349" t="inlineStr">
        <x:is>
          <x:t xml:space="preserve">35cc3a0eaeeec55f2589501c960a46def1cfdf7a0cbc7a5514888399729cc3cf</x:t>
        </x:is>
      </x:c>
      <x:c r="U348" s="349" t="inlineStr">
        <x:is>
          <x:t xml:space="preserve">Codex</x:t>
        </x:is>
      </x:c>
      <x:c r="V348" s="348" t="n">
        <x:v>46269</x:v>
      </x:c>
      <x:c r="W348" s="349" t="inlineStr">
        <x:is>
          <x:t xml:space="preserve">用户自制Blender资产</x:t>
        </x:is>
      </x:c>
      <x:c r="X348" s="375" t="inlineStr">
        <x:is>
          <x:t xml:space="preserve">—</x:t>
        </x:is>
      </x:c>
      <x:c r="Y348" s="349" t="inlineStr">
        <x:is>
          <x:t xml:space="preserve"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9" ht="54" customHeight="1">
      <x:c r="A349" t="inlineStr">
        <x:is>
          <x:t xml:space="preserve">BPK-BASE99-TILE-R05-C06</x:t>
        </x:is>
      </x:c>
      <x:c r="B349" t="inlineStr">
        <x:is>
          <x:t xml:space="preserve">基地99层 · 地砖_R05C06_原砖与深化内容</x:t>
        </x:is>
      </x:c>
      <x:c r="C349" t="inlineStr">
        <x:is>
          <x:t xml:space="preserve">基地资产包</x:t>
        </x:is>
      </x:c>
      <x:c r="D349" t="inlineStr">
        <x:is>
          <x:t xml:space="preserve">地面系统包</x:t>
        </x:is>
      </x:c>
      <x:c r="E349" t="inlineStr">
        <x:is>
          <x:t xml:space="preserve">base99_package_tile_r05_c06</x:t>
        </x:is>
      </x:c>
      <x:c r="F349" t="inlineStr">
        <x:is>
          <x:t xml:space="preserve">package_root</x:t>
        </x:is>
      </x:c>
      <x:c r="G349" t="inlineStr">
        <x:is>
          <x:t xml:space="preserve">ENV-BASE99-ART-LAYOUT-3D</x:t>
        </x:is>
      </x:c>
      <x:c r="H349" t="inlineStr">
        <x:is>
          <x:t xml:space="preserve">Top3D / Blender +Y北</x:t>
        </x:is>
      </x:c>
      <x:c r="I349" t="inlineStr">
        <x:is>
          <x:t xml:space="preserve">static / default</x:t>
        </x:is>
      </x:c>
      <x:c r="J349" t="inlineStr">
        <x:is>
          <x:t xml:space="preserve">3D-设施 / 基地99层独立资产包</x:t>
        </x:is>
      </x:c>
      <x:c r="K349" t="inlineStr">
        <x:is>
          <x:t xml:space="preserve">正式美术已接入</x:t>
        </x:is>
      </x:c>
      <x:c r="L349" t="inlineStr">
        <x:is>
          <x:t xml:space="preserve">P0</x:t>
        </x:is>
      </x:c>
      <x:c r="M349" t="inlineStr">
        <x:is>
          <x:t xml:space="preserve">v017</x:t>
        </x:is>
      </x:c>
      <x:c r="N349" s="349" t="inlineStr">
        <x:is>
          <x:t xml:space="preserve">包络 5.035×5.035×0.448m；22 网格；0 灯</x:t>
        </x:is>
      </x:c>
      <x:c r="O349" s="349" t="inlineStr">
        <x:is>
          <x:t xml:space="preserve">source/art/blender/base_facility_layout/component_packages/floor/tile_r05_c06/asset_manifest.json</x:t>
        </x:is>
      </x:c>
      <x:c r="P349" s="349" t="inlineStr">
        <x:is>
          <x:t xml:space="preserve">source/art/blender/base_facility_layout/source/base_facility_runtime_layout_hq_v026.blend; source/art/blender/base_facility_layout/component_packages/floor/tile_r05_c06/asset_manifest.json</x:t>
        </x:is>
      </x:c>
      <x:c r="Q349" s="349" t="inlineStr">
        <x:is>
          <x:t xml:space="preserve">基地99层;基地资产包;3D设施;地面系统包;tile_r05_c06;PaletteUV</x:t>
        </x:is>
      </x:c>
      <x:c r="R349" s="349" t="str">
        <x:f>LOWER(TRIM(C349)&amp;"|"&amp;TRIM(D349)&amp;"|"&amp;TRIM(E349)&amp;"|"&amp;TRIM(F349)&amp;"|"&amp;TRIM(H349)&amp;"|"&amp;TRIM(I349))</x:f>
        <x:v>基地资产包|地面系统包|base99_package_tile_r05_c06|package_root|top3d / blender +y北|static / default</x:v>
      </x:c>
      <x:c r="S349" s="349" t="str">
        <x:f>IF(COUNTIF($R$6:$R$423,R349)&gt;1,"重复","唯一")</x:f>
        <x:v>唯一</x:v>
      </x:c>
      <x:c r="T349" s="349" t="inlineStr">
        <x:is>
          <x:t xml:space="preserve">1ffb43895468ba8454caf8cd96736a43b23c4bfa7f1c5a7ce90045ab79b0cda1</x:t>
        </x:is>
      </x:c>
      <x:c r="U349" s="349" t="inlineStr">
        <x:is>
          <x:t xml:space="preserve">Codex</x:t>
        </x:is>
      </x:c>
      <x:c r="V349" s="348" t="n">
        <x:v>46269</x:v>
      </x:c>
      <x:c r="W349" s="349" t="inlineStr">
        <x:is>
          <x:t xml:space="preserve">用户自制Blender资产</x:t>
        </x:is>
      </x:c>
      <x:c r="X349" s="375" t="inlineStr">
        <x:is>
          <x:t xml:space="preserve">—</x:t>
        </x:is>
      </x:c>
      <x:c r="Y349" s="349" t="inlineStr">
        <x:is>
          <x:t xml:space="preserve"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0" ht="54" customHeight="1">
      <x:c r="A350" t="inlineStr">
        <x:is>
          <x:t xml:space="preserve">BPK-BASE99-TILE-R06-C01</x:t>
        </x:is>
      </x:c>
      <x:c r="B350" t="inlineStr">
        <x:is>
          <x:t xml:space="preserve">基地99层 · 地砖_R06C01_原砖与深化内容</x:t>
        </x:is>
      </x:c>
      <x:c r="C350" t="inlineStr">
        <x:is>
          <x:t xml:space="preserve">基地资产包</x:t>
        </x:is>
      </x:c>
      <x:c r="D350" t="inlineStr">
        <x:is>
          <x:t xml:space="preserve">地面系统包</x:t>
        </x:is>
      </x:c>
      <x:c r="E350" t="inlineStr">
        <x:is>
          <x:t xml:space="preserve">base99_package_tile_r06_c01</x:t>
        </x:is>
      </x:c>
      <x:c r="F350" t="inlineStr">
        <x:is>
          <x:t xml:space="preserve">package_root</x:t>
        </x:is>
      </x:c>
      <x:c r="G350" t="inlineStr">
        <x:is>
          <x:t xml:space="preserve">ENV-BASE99-ART-LAYOUT-3D</x:t>
        </x:is>
      </x:c>
      <x:c r="H350" t="inlineStr">
        <x:is>
          <x:t xml:space="preserve">Top3D / Blender +Y北</x:t>
        </x:is>
      </x:c>
      <x:c r="I350" t="inlineStr">
        <x:is>
          <x:t xml:space="preserve">static / default</x:t>
        </x:is>
      </x:c>
      <x:c r="J350" t="inlineStr">
        <x:is>
          <x:t xml:space="preserve">3D-设施 / 基地99层独立资产包</x:t>
        </x:is>
      </x:c>
      <x:c r="K350" t="inlineStr">
        <x:is>
          <x:t xml:space="preserve">正式美术已接入</x:t>
        </x:is>
      </x:c>
      <x:c r="L350" t="inlineStr">
        <x:is>
          <x:t xml:space="preserve">P0</x:t>
        </x:is>
      </x:c>
      <x:c r="M350" t="inlineStr">
        <x:is>
          <x:t xml:space="preserve">v017</x:t>
        </x:is>
      </x:c>
      <x:c r="N350" s="349" t="inlineStr">
        <x:is>
          <x:t xml:space="preserve">包络 5.000×5.035×0.448m；21 网格；0 灯</x:t>
        </x:is>
      </x:c>
      <x:c r="O350" s="349" t="inlineStr">
        <x:is>
          <x:t xml:space="preserve">source/art/blender/base_facility_layout/component_packages/floor/tile_r06_c01/asset_manifest.json</x:t>
        </x:is>
      </x:c>
      <x:c r="P350" s="349" t="inlineStr">
        <x:is>
          <x:t xml:space="preserve">source/art/blender/base_facility_layout/source/base_facility_runtime_layout_hq_v026.blend; source/art/blender/base_facility_layout/component_packages/floor/tile_r06_c01/asset_manifest.json</x:t>
        </x:is>
      </x:c>
      <x:c r="Q350" s="349" t="inlineStr">
        <x:is>
          <x:t xml:space="preserve">基地99层;基地资产包;3D设施;地面系统包;tile_r06_c01;PaletteUV</x:t>
        </x:is>
      </x:c>
      <x:c r="R350" s="349" t="str">
        <x:f>LOWER(TRIM(C350)&amp;"|"&amp;TRIM(D350)&amp;"|"&amp;TRIM(E350)&amp;"|"&amp;TRIM(F350)&amp;"|"&amp;TRIM(H350)&amp;"|"&amp;TRIM(I350))</x:f>
        <x:v>基地资产包|地面系统包|base99_package_tile_r06_c01|package_root|top3d / blender +y北|static / default</x:v>
      </x:c>
      <x:c r="S350" s="349" t="str">
        <x:f>IF(COUNTIF($R$6:$R$423,R350)&gt;1,"重复","唯一")</x:f>
        <x:v>唯一</x:v>
      </x:c>
      <x:c r="T350" s="349" t="inlineStr">
        <x:is>
          <x:t xml:space="preserve">93355c7c277d68051bf8f57cbe647724040947ea3ef62fb303eb6156bcc3330a</x:t>
        </x:is>
      </x:c>
      <x:c r="U350" s="349" t="inlineStr">
        <x:is>
          <x:t xml:space="preserve">Codex</x:t>
        </x:is>
      </x:c>
      <x:c r="V350" s="348" t="n">
        <x:v>46269</x:v>
      </x:c>
      <x:c r="W350" s="349" t="inlineStr">
        <x:is>
          <x:t xml:space="preserve">用户自制Blender资产</x:t>
        </x:is>
      </x:c>
      <x:c r="X350" s="375" t="inlineStr">
        <x:is>
          <x:t xml:space="preserve">—</x:t>
        </x:is>
      </x:c>
      <x:c r="Y350" s="349" t="inlineStr">
        <x:is>
          <x:t xml:space="preserve"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1" ht="54" customHeight="1">
      <x:c r="A351" t="inlineStr">
        <x:is>
          <x:t xml:space="preserve">BPK-BASE99-TILE-R06-C02</x:t>
        </x:is>
      </x:c>
      <x:c r="B351" t="inlineStr">
        <x:is>
          <x:t xml:space="preserve">基地99层 · 地砖_R06C02_原砖与深化内容</x:t>
        </x:is>
      </x:c>
      <x:c r="C351" t="inlineStr">
        <x:is>
          <x:t xml:space="preserve">基地资产包</x:t>
        </x:is>
      </x:c>
      <x:c r="D351" t="inlineStr">
        <x:is>
          <x:t xml:space="preserve">地面系统包</x:t>
        </x:is>
      </x:c>
      <x:c r="E351" t="inlineStr">
        <x:is>
          <x:t xml:space="preserve">base99_package_tile_r06_c02</x:t>
        </x:is>
      </x:c>
      <x:c r="F351" t="inlineStr">
        <x:is>
          <x:t xml:space="preserve">package_root</x:t>
        </x:is>
      </x:c>
      <x:c r="G351" t="inlineStr">
        <x:is>
          <x:t xml:space="preserve">ENV-BASE99-ART-LAYOUT-3D</x:t>
        </x:is>
      </x:c>
      <x:c r="H351" t="inlineStr">
        <x:is>
          <x:t xml:space="preserve">Top3D / Blender +Y北</x:t>
        </x:is>
      </x:c>
      <x:c r="I351" t="inlineStr">
        <x:is>
          <x:t xml:space="preserve">static / default</x:t>
        </x:is>
      </x:c>
      <x:c r="J351" t="inlineStr">
        <x:is>
          <x:t xml:space="preserve">3D-设施 / 基地99层独立资产包</x:t>
        </x:is>
      </x:c>
      <x:c r="K351" t="inlineStr">
        <x:is>
          <x:t xml:space="preserve">正式美术已接入</x:t>
        </x:is>
      </x:c>
      <x:c r="L351" t="inlineStr">
        <x:is>
          <x:t xml:space="preserve">P0</x:t>
        </x:is>
      </x:c>
      <x:c r="M351" t="inlineStr">
        <x:is>
          <x:t xml:space="preserve">v017</x:t>
        </x:is>
      </x:c>
      <x:c r="N351" s="349" t="inlineStr">
        <x:is>
          <x:t xml:space="preserve">包络 5.035×5.035×0.448m；22 网格；0 灯</x:t>
        </x:is>
      </x:c>
      <x:c r="O351" s="349" t="inlineStr">
        <x:is>
          <x:t xml:space="preserve">source/art/blender/base_facility_layout/component_packages/floor/tile_r06_c02/asset_manifest.json</x:t>
        </x:is>
      </x:c>
      <x:c r="P351" s="349" t="inlineStr">
        <x:is>
          <x:t xml:space="preserve">source/art/blender/base_facility_layout/source/base_facility_runtime_layout_hq_v026.blend; source/art/blender/base_facility_layout/component_packages/floor/tile_r06_c02/asset_manifest.json</x:t>
        </x:is>
      </x:c>
      <x:c r="Q351" s="349" t="inlineStr">
        <x:is>
          <x:t xml:space="preserve">基地99层;基地资产包;3D设施;地面系统包;tile_r06_c02;PaletteUV</x:t>
        </x:is>
      </x:c>
      <x:c r="R351" s="349" t="str">
        <x:f>LOWER(TRIM(C351)&amp;"|"&amp;TRIM(D351)&amp;"|"&amp;TRIM(E351)&amp;"|"&amp;TRIM(F351)&amp;"|"&amp;TRIM(H351)&amp;"|"&amp;TRIM(I351))</x:f>
        <x:v>基地资产包|地面系统包|base99_package_tile_r06_c02|package_root|top3d / blender +y北|static / default</x:v>
      </x:c>
      <x:c r="S351" s="349" t="str">
        <x:f>IF(COUNTIF($R$6:$R$423,R351)&gt;1,"重复","唯一")</x:f>
        <x:v>唯一</x:v>
      </x:c>
      <x:c r="T351" s="349" t="inlineStr">
        <x:is>
          <x:t xml:space="preserve">8b1d9e1c00926068b1a766bf9b06cd77c8564494a9e53a737cce499e8700299c</x:t>
        </x:is>
      </x:c>
      <x:c r="U351" s="349" t="inlineStr">
        <x:is>
          <x:t xml:space="preserve">Codex</x:t>
        </x:is>
      </x:c>
      <x:c r="V351" s="348" t="n">
        <x:v>46269</x:v>
      </x:c>
      <x:c r="W351" s="349" t="inlineStr">
        <x:is>
          <x:t xml:space="preserve">用户自制Blender资产</x:t>
        </x:is>
      </x:c>
      <x:c r="X351" s="375" t="inlineStr">
        <x:is>
          <x:t xml:space="preserve">—</x:t>
        </x:is>
      </x:c>
      <x:c r="Y351" s="349" t="inlineStr">
        <x:is>
          <x:t xml:space="preserve"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2" ht="54" customHeight="1">
      <x:c r="A352" t="inlineStr">
        <x:is>
          <x:t xml:space="preserve">BPK-BASE99-TILE-R06-C03</x:t>
        </x:is>
      </x:c>
      <x:c r="B352" t="inlineStr">
        <x:is>
          <x:t xml:space="preserve">基地99层 · 地砖_R06C03_原砖与深化内容</x:t>
        </x:is>
      </x:c>
      <x:c r="C352" t="inlineStr">
        <x:is>
          <x:t xml:space="preserve">基地资产包</x:t>
        </x:is>
      </x:c>
      <x:c r="D352" t="inlineStr">
        <x:is>
          <x:t xml:space="preserve">地面系统包</x:t>
        </x:is>
      </x:c>
      <x:c r="E352" t="inlineStr">
        <x:is>
          <x:t xml:space="preserve">base99_package_tile_r06_c03</x:t>
        </x:is>
      </x:c>
      <x:c r="F352" t="inlineStr">
        <x:is>
          <x:t xml:space="preserve">package_root</x:t>
        </x:is>
      </x:c>
      <x:c r="G352" t="inlineStr">
        <x:is>
          <x:t xml:space="preserve">ENV-BASE99-ART-LAYOUT-3D</x:t>
        </x:is>
      </x:c>
      <x:c r="H352" t="inlineStr">
        <x:is>
          <x:t xml:space="preserve">Top3D / Blender +Y北</x:t>
        </x:is>
      </x:c>
      <x:c r="I352" t="inlineStr">
        <x:is>
          <x:t xml:space="preserve">static / default</x:t>
        </x:is>
      </x:c>
      <x:c r="J352" t="inlineStr">
        <x:is>
          <x:t xml:space="preserve">3D-设施 / 基地99层独立资产包</x:t>
        </x:is>
      </x:c>
      <x:c r="K352" t="inlineStr">
        <x:is>
          <x:t xml:space="preserve">正式美术已接入</x:t>
        </x:is>
      </x:c>
      <x:c r="L352" t="inlineStr">
        <x:is>
          <x:t xml:space="preserve">P0</x:t>
        </x:is>
      </x:c>
      <x:c r="M352" t="inlineStr">
        <x:is>
          <x:t xml:space="preserve">v017</x:t>
        </x:is>
      </x:c>
      <x:c r="N352" s="349" t="inlineStr">
        <x:is>
          <x:t xml:space="preserve">包络 5.035×5.035×0.448m；22 网格；0 灯</x:t>
        </x:is>
      </x:c>
      <x:c r="O352" s="349" t="inlineStr">
        <x:is>
          <x:t xml:space="preserve">source/art/blender/base_facility_layout/component_packages/floor/tile_r06_c03/asset_manifest.json</x:t>
        </x:is>
      </x:c>
      <x:c r="P352" s="349" t="inlineStr">
        <x:is>
          <x:t xml:space="preserve">source/art/blender/base_facility_layout/source/base_facility_runtime_layout_hq_v026.blend; source/art/blender/base_facility_layout/component_packages/floor/tile_r06_c03/asset_manifest.json</x:t>
        </x:is>
      </x:c>
      <x:c r="Q352" s="349" t="inlineStr">
        <x:is>
          <x:t xml:space="preserve">基地99层;基地资产包;3D设施;地面系统包;tile_r06_c03;PaletteUV</x:t>
        </x:is>
      </x:c>
      <x:c r="R352" s="349" t="str">
        <x:f>LOWER(TRIM(C352)&amp;"|"&amp;TRIM(D352)&amp;"|"&amp;TRIM(E352)&amp;"|"&amp;TRIM(F352)&amp;"|"&amp;TRIM(H352)&amp;"|"&amp;TRIM(I352))</x:f>
        <x:v>基地资产包|地面系统包|base99_package_tile_r06_c03|package_root|top3d / blender +y北|static / default</x:v>
      </x:c>
      <x:c r="S352" s="349" t="str">
        <x:f>IF(COUNTIF($R$6:$R$423,R352)&gt;1,"重复","唯一")</x:f>
        <x:v>唯一</x:v>
      </x:c>
      <x:c r="T352" s="349" t="inlineStr">
        <x:is>
          <x:t xml:space="preserve">587528fa866f3c611502ec6a25302b42a151003b4e9ce7f006bd333bef94df28</x:t>
        </x:is>
      </x:c>
      <x:c r="U352" s="349" t="inlineStr">
        <x:is>
          <x:t xml:space="preserve">Codex</x:t>
        </x:is>
      </x:c>
      <x:c r="V352" s="348" t="n">
        <x:v>46269</x:v>
      </x:c>
      <x:c r="W352" s="349" t="inlineStr">
        <x:is>
          <x:t xml:space="preserve">用户自制Blender资产</x:t>
        </x:is>
      </x:c>
      <x:c r="X352" s="375" t="inlineStr">
        <x:is>
          <x:t xml:space="preserve">—</x:t>
        </x:is>
      </x:c>
      <x:c r="Y352" s="349" t="inlineStr">
        <x:is>
          <x:t xml:space="preserve"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3" ht="54" customHeight="1">
      <x:c r="A353" t="inlineStr">
        <x:is>
          <x:t xml:space="preserve">BPK-BASE99-TILE-R06-C04</x:t>
        </x:is>
      </x:c>
      <x:c r="B353" t="inlineStr">
        <x:is>
          <x:t xml:space="preserve">基地99层 · 地砖_R06C04_原砖与深化内容</x:t>
        </x:is>
      </x:c>
      <x:c r="C353" t="inlineStr">
        <x:is>
          <x:t xml:space="preserve">基地资产包</x:t>
        </x:is>
      </x:c>
      <x:c r="D353" t="inlineStr">
        <x:is>
          <x:t xml:space="preserve">地面系统包</x:t>
        </x:is>
      </x:c>
      <x:c r="E353" t="inlineStr">
        <x:is>
          <x:t xml:space="preserve">base99_package_tile_r06_c04</x:t>
        </x:is>
      </x:c>
      <x:c r="F353" t="inlineStr">
        <x:is>
          <x:t xml:space="preserve">package_root</x:t>
        </x:is>
      </x:c>
      <x:c r="G353" t="inlineStr">
        <x:is>
          <x:t xml:space="preserve">ENV-BASE99-ART-LAYOUT-3D</x:t>
        </x:is>
      </x:c>
      <x:c r="H353" t="inlineStr">
        <x:is>
          <x:t xml:space="preserve">Top3D / Blender +Y北</x:t>
        </x:is>
      </x:c>
      <x:c r="I353" t="inlineStr">
        <x:is>
          <x:t xml:space="preserve">static / default</x:t>
        </x:is>
      </x:c>
      <x:c r="J353" t="inlineStr">
        <x:is>
          <x:t xml:space="preserve">3D-设施 / 基地99层独立资产包</x:t>
        </x:is>
      </x:c>
      <x:c r="K353" t="inlineStr">
        <x:is>
          <x:t xml:space="preserve">正式美术已接入</x:t>
        </x:is>
      </x:c>
      <x:c r="L353" t="inlineStr">
        <x:is>
          <x:t xml:space="preserve">P0</x:t>
        </x:is>
      </x:c>
      <x:c r="M353" t="inlineStr">
        <x:is>
          <x:t xml:space="preserve">v017</x:t>
        </x:is>
      </x:c>
      <x:c r="N353" s="349" t="inlineStr">
        <x:is>
          <x:t xml:space="preserve">包络 5.035×5.035×0.448m；22 网格；0 灯</x:t>
        </x:is>
      </x:c>
      <x:c r="O353" s="349" t="inlineStr">
        <x:is>
          <x:t xml:space="preserve">source/art/blender/base_facility_layout/component_packages/floor/tile_r06_c04/asset_manifest.json</x:t>
        </x:is>
      </x:c>
      <x:c r="P353" s="349" t="inlineStr">
        <x:is>
          <x:t xml:space="preserve">source/art/blender/base_facility_layout/source/base_facility_runtime_layout_hq_v026.blend; source/art/blender/base_facility_layout/component_packages/floor/tile_r06_c04/asset_manifest.json</x:t>
        </x:is>
      </x:c>
      <x:c r="Q353" s="349" t="inlineStr">
        <x:is>
          <x:t xml:space="preserve">基地99层;基地资产包;3D设施;地面系统包;tile_r06_c04;PaletteUV</x:t>
        </x:is>
      </x:c>
      <x:c r="R353" s="349" t="str">
        <x:f>LOWER(TRIM(C353)&amp;"|"&amp;TRIM(D353)&amp;"|"&amp;TRIM(E353)&amp;"|"&amp;TRIM(F353)&amp;"|"&amp;TRIM(H353)&amp;"|"&amp;TRIM(I353))</x:f>
        <x:v>基地资产包|地面系统包|base99_package_tile_r06_c04|package_root|top3d / blender +y北|static / default</x:v>
      </x:c>
      <x:c r="S353" s="349" t="str">
        <x:f>IF(COUNTIF($R$6:$R$423,R353)&gt;1,"重复","唯一")</x:f>
        <x:v>唯一</x:v>
      </x:c>
      <x:c r="T353" s="349" t="inlineStr">
        <x:is>
          <x:t xml:space="preserve">642031fcb2150bb66acdf355c66a4c306df7dd33f72608668ff15c9577a46e38</x:t>
        </x:is>
      </x:c>
      <x:c r="U353" s="349" t="inlineStr">
        <x:is>
          <x:t xml:space="preserve">Codex</x:t>
        </x:is>
      </x:c>
      <x:c r="V353" s="348" t="n">
        <x:v>46269</x:v>
      </x:c>
      <x:c r="W353" s="349" t="inlineStr">
        <x:is>
          <x:t xml:space="preserve">用户自制Blender资产</x:t>
        </x:is>
      </x:c>
      <x:c r="X353" s="375" t="inlineStr">
        <x:is>
          <x:t xml:space="preserve">—</x:t>
        </x:is>
      </x:c>
      <x:c r="Y353" s="349" t="inlineStr">
        <x:is>
          <x:t xml:space="preserve"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4" ht="54" customHeight="1">
      <x:c r="A354" t="inlineStr">
        <x:is>
          <x:t xml:space="preserve">BPK-BASE99-TILE-R06-C05</x:t>
        </x:is>
      </x:c>
      <x:c r="B354" t="inlineStr">
        <x:is>
          <x:t xml:space="preserve">基地99层 · 地砖_R06C05_原砖与深化内容</x:t>
        </x:is>
      </x:c>
      <x:c r="C354" t="inlineStr">
        <x:is>
          <x:t xml:space="preserve">基地资产包</x:t>
        </x:is>
      </x:c>
      <x:c r="D354" t="inlineStr">
        <x:is>
          <x:t xml:space="preserve">地面系统包</x:t>
        </x:is>
      </x:c>
      <x:c r="E354" t="inlineStr">
        <x:is>
          <x:t xml:space="preserve">base99_package_tile_r06_c05</x:t>
        </x:is>
      </x:c>
      <x:c r="F354" t="inlineStr">
        <x:is>
          <x:t xml:space="preserve">package_root</x:t>
        </x:is>
      </x:c>
      <x:c r="G354" t="inlineStr">
        <x:is>
          <x:t xml:space="preserve">ENV-BASE99-ART-LAYOUT-3D</x:t>
        </x:is>
      </x:c>
      <x:c r="H354" t="inlineStr">
        <x:is>
          <x:t xml:space="preserve">Top3D / Blender +Y北</x:t>
        </x:is>
      </x:c>
      <x:c r="I354" t="inlineStr">
        <x:is>
          <x:t xml:space="preserve">static / default</x:t>
        </x:is>
      </x:c>
      <x:c r="J354" t="inlineStr">
        <x:is>
          <x:t xml:space="preserve">3D-设施 / 基地99层独立资产包</x:t>
        </x:is>
      </x:c>
      <x:c r="K354" t="inlineStr">
        <x:is>
          <x:t xml:space="preserve">正式美术已接入</x:t>
        </x:is>
      </x:c>
      <x:c r="L354" t="inlineStr">
        <x:is>
          <x:t xml:space="preserve">P0</x:t>
        </x:is>
      </x:c>
      <x:c r="M354" t="inlineStr">
        <x:is>
          <x:t xml:space="preserve">v017</x:t>
        </x:is>
      </x:c>
      <x:c r="N354" s="349" t="inlineStr">
        <x:is>
          <x:t xml:space="preserve">包络 5.035×5.035×0.448m；22 网格；0 灯</x:t>
        </x:is>
      </x:c>
      <x:c r="O354" s="349" t="inlineStr">
        <x:is>
          <x:t xml:space="preserve">source/art/blender/base_facility_layout/component_packages/floor/tile_r06_c05/asset_manifest.json</x:t>
        </x:is>
      </x:c>
      <x:c r="P354" s="349" t="inlineStr">
        <x:is>
          <x:t xml:space="preserve">source/art/blender/base_facility_layout/source/base_facility_runtime_layout_hq_v026.blend; source/art/blender/base_facility_layout/component_packages/floor/tile_r06_c05/asset_manifest.json</x:t>
        </x:is>
      </x:c>
      <x:c r="Q354" s="349" t="inlineStr">
        <x:is>
          <x:t xml:space="preserve">基地99层;基地资产包;3D设施;地面系统包;tile_r06_c05;PaletteUV</x:t>
        </x:is>
      </x:c>
      <x:c r="R354" s="349" t="str">
        <x:f>LOWER(TRIM(C354)&amp;"|"&amp;TRIM(D354)&amp;"|"&amp;TRIM(E354)&amp;"|"&amp;TRIM(F354)&amp;"|"&amp;TRIM(H354)&amp;"|"&amp;TRIM(I354))</x:f>
        <x:v>基地资产包|地面系统包|base99_package_tile_r06_c05|package_root|top3d / blender +y北|static / default</x:v>
      </x:c>
      <x:c r="S354" s="349" t="str">
        <x:f>IF(COUNTIF($R$6:$R$423,R354)&gt;1,"重复","唯一")</x:f>
        <x:v>唯一</x:v>
      </x:c>
      <x:c r="T354" s="349" t="inlineStr">
        <x:is>
          <x:t xml:space="preserve">c0329eb9daf7da1934787930e05ca0bc66ec0f0de0e513bb38f7522c3afa085d</x:t>
        </x:is>
      </x:c>
      <x:c r="U354" s="349" t="inlineStr">
        <x:is>
          <x:t xml:space="preserve">Codex</x:t>
        </x:is>
      </x:c>
      <x:c r="V354" s="348" t="n">
        <x:v>46269</x:v>
      </x:c>
      <x:c r="W354" s="349" t="inlineStr">
        <x:is>
          <x:t xml:space="preserve">用户自制Blender资产</x:t>
        </x:is>
      </x:c>
      <x:c r="X354" s="375" t="inlineStr">
        <x:is>
          <x:t xml:space="preserve">—</x:t>
        </x:is>
      </x:c>
      <x:c r="Y354" s="349" t="inlineStr">
        <x:is>
          <x:t xml:space="preserve"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5" ht="54" customHeight="1">
      <x:c r="A355" t="inlineStr">
        <x:is>
          <x:t xml:space="preserve">BPK-BASE99-TILE-R06-C06</x:t>
        </x:is>
      </x:c>
      <x:c r="B355" t="inlineStr">
        <x:is>
          <x:t xml:space="preserve">基地99层 · 地砖_R06C06_原砖与深化内容</x:t>
        </x:is>
      </x:c>
      <x:c r="C355" t="inlineStr">
        <x:is>
          <x:t xml:space="preserve">基地资产包</x:t>
        </x:is>
      </x:c>
      <x:c r="D355" t="inlineStr">
        <x:is>
          <x:t xml:space="preserve">地面系统包</x:t>
        </x:is>
      </x:c>
      <x:c r="E355" t="inlineStr">
        <x:is>
          <x:t xml:space="preserve">base99_package_tile_r06_c06</x:t>
        </x:is>
      </x:c>
      <x:c r="F355" t="inlineStr">
        <x:is>
          <x:t xml:space="preserve">package_root</x:t>
        </x:is>
      </x:c>
      <x:c r="G355" t="inlineStr">
        <x:is>
          <x:t xml:space="preserve">ENV-BASE99-ART-LAYOUT-3D</x:t>
        </x:is>
      </x:c>
      <x:c r="H355" t="inlineStr">
        <x:is>
          <x:t xml:space="preserve">Top3D / Blender +Y北</x:t>
        </x:is>
      </x:c>
      <x:c r="I355" t="inlineStr">
        <x:is>
          <x:t xml:space="preserve">static / default</x:t>
        </x:is>
      </x:c>
      <x:c r="J355" t="inlineStr">
        <x:is>
          <x:t xml:space="preserve">3D-设施 / 基地99层独立资产包</x:t>
        </x:is>
      </x:c>
      <x:c r="K355" t="inlineStr">
        <x:is>
          <x:t xml:space="preserve">正式美术已接入</x:t>
        </x:is>
      </x:c>
      <x:c r="L355" t="inlineStr">
        <x:is>
          <x:t xml:space="preserve">P0</x:t>
        </x:is>
      </x:c>
      <x:c r="M355" t="inlineStr">
        <x:is>
          <x:t xml:space="preserve">v017</x:t>
        </x:is>
      </x:c>
      <x:c r="N355" s="349" t="inlineStr">
        <x:is>
          <x:t xml:space="preserve">包络 5.035×5.035×0.448m；22 网格；0 灯</x:t>
        </x:is>
      </x:c>
      <x:c r="O355" s="349" t="inlineStr">
        <x:is>
          <x:t xml:space="preserve">source/art/blender/base_facility_layout/component_packages/floor/tile_r06_c06/asset_manifest.json</x:t>
        </x:is>
      </x:c>
      <x:c r="P355" s="349" t="inlineStr">
        <x:is>
          <x:t xml:space="preserve">source/art/blender/base_facility_layout/source/base_facility_runtime_layout_hq_v026.blend; source/art/blender/base_facility_layout/component_packages/floor/tile_r06_c06/asset_manifest.json</x:t>
        </x:is>
      </x:c>
      <x:c r="Q355" s="349" t="inlineStr">
        <x:is>
          <x:t xml:space="preserve">基地99层;基地资产包;3D设施;地面系统包;tile_r06_c06;PaletteUV</x:t>
        </x:is>
      </x:c>
      <x:c r="R355" s="349" t="str">
        <x:f>LOWER(TRIM(C355)&amp;"|"&amp;TRIM(D355)&amp;"|"&amp;TRIM(E355)&amp;"|"&amp;TRIM(F355)&amp;"|"&amp;TRIM(H355)&amp;"|"&amp;TRIM(I355))</x:f>
        <x:v>基地资产包|地面系统包|base99_package_tile_r06_c06|package_root|top3d / blender +y北|static / default</x:v>
      </x:c>
      <x:c r="S355" s="349" t="str">
        <x:f>IF(COUNTIF($R$6:$R$423,R355)&gt;1,"重复","唯一")</x:f>
        <x:v>唯一</x:v>
      </x:c>
      <x:c r="T355" s="349" t="inlineStr">
        <x:is>
          <x:t xml:space="preserve">4410eb7cee5e0420ed07525523ffd0ab0f340cc8f801a9c98419ff3b903e6a5a</x:t>
        </x:is>
      </x:c>
      <x:c r="U355" s="349" t="inlineStr">
        <x:is>
          <x:t xml:space="preserve">Codex</x:t>
        </x:is>
      </x:c>
      <x:c r="V355" s="348" t="n">
        <x:v>46269</x:v>
      </x:c>
      <x:c r="W355" s="349" t="inlineStr">
        <x:is>
          <x:t xml:space="preserve">用户自制Blender资产</x:t>
        </x:is>
      </x:c>
      <x:c r="X355" s="375" t="inlineStr">
        <x:is>
          <x:t xml:space="preserve">—</x:t>
        </x:is>
      </x:c>
      <x:c r="Y355" s="349" t="inlineStr">
        <x:is>
          <x:t xml:space="preserve"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6" ht="54" customHeight="1">
      <x:c r="A356" t="inlineStr">
        <x:is>
          <x:t xml:space="preserve">BPK-BASE99-LOFT-BACKWALL-FUNCTION-PANEL-SYSTEM</x:t>
        </x:is>
      </x:c>
      <x:c r="B356" t="inlineStr">
        <x:is>
          <x:t xml:space="preserve">基地99层 · 二楼后墙功能面板系统</x:t>
        </x:is>
      </x:c>
      <x:c r="C356" t="inlineStr">
        <x:is>
          <x:t xml:space="preserve">基地资产包</x:t>
        </x:is>
      </x:c>
      <x:c r="D356" t="inlineStr">
        <x:is>
          <x:t xml:space="preserve">二楼/阁楼设施包</x:t>
        </x:is>
      </x:c>
      <x:c r="E356" t="inlineStr">
        <x:is>
          <x:t xml:space="preserve">base99_package_loft_backwall_function_panel_system</x:t>
        </x:is>
      </x:c>
      <x:c r="F356" t="inlineStr">
        <x:is>
          <x:t xml:space="preserve">package_root</x:t>
        </x:is>
      </x:c>
      <x:c r="G356" t="inlineStr">
        <x:is>
          <x:t xml:space="preserve">ENV-BASE99-ART-LAYOUT-3D</x:t>
        </x:is>
      </x:c>
      <x:c r="H356" t="inlineStr">
        <x:is>
          <x:t xml:space="preserve">Top3D / Blender +Y北</x:t>
        </x:is>
      </x:c>
      <x:c r="I356" t="inlineStr">
        <x:is>
          <x:t xml:space="preserve">static / default</x:t>
        </x:is>
      </x:c>
      <x:c r="J356" t="inlineStr">
        <x:is>
          <x:t xml:space="preserve">3D-设施 / 基地99层独立资产包</x:t>
        </x:is>
      </x:c>
      <x:c r="K356" t="inlineStr">
        <x:is>
          <x:t xml:space="preserve">Blender源已完成</x:t>
        </x:is>
      </x:c>
      <x:c r="L356" t="inlineStr">
        <x:is>
          <x:t xml:space="preserve">P1</x:t>
        </x:is>
      </x:c>
      <x:c r="M356" t="inlineStr">
        <x:is>
          <x:t xml:space="preserve">v017</x:t>
        </x:is>
      </x:c>
      <x:c r="N356" s="349" t="inlineStr">
        <x:is>
          <x:t xml:space="preserve">包络 28.800×0.292×2.750m；77 网格；0 灯</x:t>
        </x:is>
      </x:c>
      <x:c r="O356" s="349" t="inlineStr">
        <x:is>
          <x:t xml:space="preserve">source/art/blender/base_facility_layout/component_packages/loft/loft_backwall_function_panel_system/asset_manifest.json</x:t>
        </x:is>
      </x:c>
      <x:c r="P356" s="349" t="inlineStr">
        <x:is>
          <x:t xml:space="preserve">source/art/blender/base_facility_layout/source/base_facility_runtime_layout_hq_v026.blend; source/art/blender/base_facility_layout/component_packages/loft/loft_backwall_function_panel_system/asset_manifest.json</x:t>
        </x:is>
      </x:c>
      <x:c r="Q356" s="349" t="inlineStr">
        <x:is>
          <x:t xml:space="preserve">基地99层;基地资产包;3D设施;二楼/阁楼设施包;loft_backwall_function_panel_system;PaletteUV</x:t>
        </x:is>
      </x:c>
      <x:c r="R356" s="349" t="str">
        <x:f>LOWER(TRIM(C356)&amp;"|"&amp;TRIM(D356)&amp;"|"&amp;TRIM(E356)&amp;"|"&amp;TRIM(F356)&amp;"|"&amp;TRIM(H356)&amp;"|"&amp;TRIM(I356))</x:f>
        <x:v>基地资产包|二楼/阁楼设施包|base99_package_loft_backwall_function_panel_system|package_root|top3d / blender +y北|static / default</x:v>
      </x:c>
      <x:c r="S356" s="349" t="str">
        <x:f>IF(COUNTIF($R$6:$R$423,R356)&gt;1,"重复","唯一")</x:f>
        <x:v>唯一</x:v>
      </x:c>
      <x:c r="T356" s="349" t="inlineStr">
        <x:is>
          <x:t xml:space="preserve">e97ed4ea9b8bdf13e8c0accd7f2453cc0120175ee02d6f2d9051723d67239570</x:t>
        </x:is>
      </x:c>
      <x:c r="U356" s="349" t="inlineStr">
        <x:is>
          <x:t xml:space="preserve">Codex</x:t>
        </x:is>
      </x:c>
      <x:c r="V356" s="348" t="n">
        <x:v>46269</x:v>
      </x:c>
      <x:c r="W356" s="349" t="inlineStr">
        <x:is>
          <x:t xml:space="preserve">用户自制Blender资产</x:t>
        </x:is>
      </x:c>
      <x:c r="X356" s="375" t="inlineStr">
        <x:is>
          <x:t xml:space="preserve">51</x:t>
        </x:is>
      </x:c>
      <x:c r="Y356" s="349" t="inlineStr">
        <x:is>
          <x:t xml:space="preserve"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x:t>
        </x:is>
      </x:c>
    </x:row>
    <x:row r="357" ht="54" customHeight="1">
      <x:c r="A357" t="inlineStr">
        <x:is>
          <x:t xml:space="preserve">BPK-BASE99-LOFT-BACKWALL-SERVICES</x:t>
        </x:is>
      </x:c>
      <x:c r="B357" t="inlineStr">
        <x:is>
          <x:t xml:space="preserve">基地99层 · 二楼后墙服务管线与应急盒</x:t>
        </x:is>
      </x:c>
      <x:c r="C357" t="inlineStr">
        <x:is>
          <x:t xml:space="preserve">基地资产包</x:t>
        </x:is>
      </x:c>
      <x:c r="D357" t="inlineStr">
        <x:is>
          <x:t xml:space="preserve">二楼/阁楼设施包</x:t>
        </x:is>
      </x:c>
      <x:c r="E357" t="inlineStr">
        <x:is>
          <x:t xml:space="preserve">base99_package_loft_backwall_services</x:t>
        </x:is>
      </x:c>
      <x:c r="F357" t="inlineStr">
        <x:is>
          <x:t xml:space="preserve">package_root</x:t>
        </x:is>
      </x:c>
      <x:c r="G357" t="inlineStr">
        <x:is>
          <x:t xml:space="preserve">ENV-BASE99-ART-LAYOUT-3D</x:t>
        </x:is>
      </x:c>
      <x:c r="H357" t="inlineStr">
        <x:is>
          <x:t xml:space="preserve">Top3D / Blender +Y北</x:t>
        </x:is>
      </x:c>
      <x:c r="I357" t="inlineStr">
        <x:is>
          <x:t xml:space="preserve">static / fixture_light</x:t>
        </x:is>
      </x:c>
      <x:c r="J357" t="inlineStr">
        <x:is>
          <x:t xml:space="preserve">3D-设施 / 基地99层独立资产包</x:t>
        </x:is>
      </x:c>
      <x:c r="K357" t="inlineStr">
        <x:is>
          <x:t xml:space="preserve">Blender源已完成</x:t>
        </x:is>
      </x:c>
      <x:c r="L357" t="inlineStr">
        <x:is>
          <x:t xml:space="preserve">P1</x:t>
        </x:is>
      </x:c>
      <x:c r="M357" t="inlineStr">
        <x:is>
          <x:t xml:space="preserve">v017</x:t>
        </x:is>
      </x:c>
      <x:c r="N357" s="349" t="inlineStr">
        <x:is>
          <x:t xml:space="preserve">包络 25.600×0.818×2.350m；66 网格；6 灯</x:t>
        </x:is>
      </x:c>
      <x:c r="O357" s="349" t="inlineStr">
        <x:is>
          <x:t xml:space="preserve">source/art/blender/base_facility_layout/component_packages/loft/loft_backwall_services/asset_manifest.json</x:t>
        </x:is>
      </x:c>
      <x:c r="P357" s="349" t="inlineStr">
        <x:is>
          <x:t xml:space="preserve">source/art/blender/base_facility_layout/source/base_facility_runtime_layout_hq_v026.blend; source/art/blender/base_facility_layout/component_packages/loft/loft_backwall_services/asset_manifest.json</x:t>
        </x:is>
      </x:c>
      <x:c r="Q357" s="349" t="inlineStr">
        <x:is>
          <x:t xml:space="preserve">基地99层;基地资产包;3D设施;二楼/阁楼设施包;loft_backwall_services;PaletteUV</x:t>
        </x:is>
      </x:c>
      <x:c r="R357" s="349" t="str">
        <x:f>LOWER(TRIM(C357)&amp;"|"&amp;TRIM(D357)&amp;"|"&amp;TRIM(E357)&amp;"|"&amp;TRIM(F357)&amp;"|"&amp;TRIM(H357)&amp;"|"&amp;TRIM(I357))</x:f>
        <x:v>基地资产包|二楼/阁楼设施包|base99_package_loft_backwall_services|package_root|top3d / blender +y北|static / fixture_light</x:v>
      </x:c>
      <x:c r="S357" s="349" t="str">
        <x:f>IF(COUNTIF($R$6:$R$423,R357)&gt;1,"重复","唯一")</x:f>
        <x:v>唯一</x:v>
      </x:c>
      <x:c r="T357" s="349" t="inlineStr">
        <x:is>
          <x:t xml:space="preserve">176002fd29433831e3b0e5dc30d1ffc32abacb6a4f2c893ef9edeb4c5868fa0c</x:t>
        </x:is>
      </x:c>
      <x:c r="U357" s="349" t="inlineStr">
        <x:is>
          <x:t xml:space="preserve">Codex</x:t>
        </x:is>
      </x:c>
      <x:c r="V357" s="348" t="n">
        <x:v>46269</x:v>
      </x:c>
      <x:c r="W357" s="349" t="inlineStr">
        <x:is>
          <x:t xml:space="preserve">用户自制Blender资产</x:t>
        </x:is>
      </x:c>
      <x:c r="X357" s="375" t="inlineStr">
        <x:is>
          <x:t xml:space="preserve">50</x:t>
        </x:is>
      </x:c>
      <x:c r="Y357" s="349" t="inlineStr">
        <x:is>
          <x:t xml:space="preserve"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x:t>
        </x:is>
      </x:c>
    </x:row>
    <x:row r="358" ht="54" customHeight="1">
      <x:c r="A358" t="inlineStr">
        <x:is>
          <x:t xml:space="preserve">BPK-BASE99-LOFT-BATTERY-CABINET</x:t>
        </x:is>
      </x:c>
      <x:c r="B358" t="inlineStr">
        <x:is>
          <x:t xml:space="preserve">基地99层 · BATTERY模块收纳箱</x:t>
        </x:is>
      </x:c>
      <x:c r="C358" t="inlineStr">
        <x:is>
          <x:t xml:space="preserve">基地资产包</x:t>
        </x:is>
      </x:c>
      <x:c r="D358" t="inlineStr">
        <x:is>
          <x:t xml:space="preserve">二楼/阁楼设施包</x:t>
        </x:is>
      </x:c>
      <x:c r="E358" t="inlineStr">
        <x:is>
          <x:t xml:space="preserve">base99_package_loft_battery_cabinet</x:t>
        </x:is>
      </x:c>
      <x:c r="F358" t="inlineStr">
        <x:is>
          <x:t xml:space="preserve">package_root</x:t>
        </x:is>
      </x:c>
      <x:c r="G358" t="inlineStr">
        <x:is>
          <x:t xml:space="preserve">ENV-BASE99-ART-LAYOUT-3D</x:t>
        </x:is>
      </x:c>
      <x:c r="H358" t="inlineStr">
        <x:is>
          <x:t xml:space="preserve">Top3D / Blender +Y北</x:t>
        </x:is>
      </x:c>
      <x:c r="I358" t="inlineStr">
        <x:is>
          <x:t xml:space="preserve">static / default</x:t>
        </x:is>
      </x:c>
      <x:c r="J358" t="inlineStr">
        <x:is>
          <x:t xml:space="preserve">3D-设施 / 基地99层独立资产包</x:t>
        </x:is>
      </x:c>
      <x:c r="K358" t="inlineStr">
        <x:is>
          <x:t xml:space="preserve">Blender源已完成</x:t>
        </x:is>
      </x:c>
      <x:c r="L358" t="inlineStr">
        <x:is>
          <x:t xml:space="preserve">P1</x:t>
        </x:is>
      </x:c>
      <x:c r="M358" t="inlineStr">
        <x:is>
          <x:t xml:space="preserve">v017</x:t>
        </x:is>
      </x:c>
      <x:c r="N358" s="349" t="inlineStr">
        <x:is>
          <x:t xml:space="preserve">包络 1.200×0.993×0.850m；12 网格；0 灯</x:t>
        </x:is>
      </x:c>
      <x:c r="O358" s="349" t="inlineStr">
        <x:is>
          <x:t xml:space="preserve">source/art/blender/base_facility_layout/component_packages/loft/loft_battery_cabinet/asset_manifest.json</x:t>
        </x:is>
      </x:c>
      <x:c r="P358" s="349" t="inlineStr">
        <x:is>
          <x:t xml:space="preserve">source/art/blender/base_facility_layout/source/base_facility_runtime_layout_hq_v026.blend; source/art/blender/base_facility_layout/component_packages/loft/loft_battery_cabinet/asset_manifest.json</x:t>
        </x:is>
      </x:c>
      <x:c r="Q358" s="349" t="inlineStr">
        <x:is>
          <x:t xml:space="preserve">基地99层;基地资产包;3D设施;二楼/阁楼设施包;loft_battery_cabinet;PaletteUV</x:t>
        </x:is>
      </x:c>
      <x:c r="R358" s="349" t="str">
        <x:f>LOWER(TRIM(C358)&amp;"|"&amp;TRIM(D358)&amp;"|"&amp;TRIM(E358)&amp;"|"&amp;TRIM(F358)&amp;"|"&amp;TRIM(H358)&amp;"|"&amp;TRIM(I358))</x:f>
        <x:v>基地资产包|二楼/阁楼设施包|base99_package_loft_battery_cabinet|package_root|top3d / blender +y北|static / default</x:v>
      </x:c>
      <x:c r="S358" s="349" t="str">
        <x:f>IF(COUNTIF($R$6:$R$423,R358)&gt;1,"重复","唯一")</x:f>
        <x:v>唯一</x:v>
      </x:c>
      <x:c r="T358" s="349" t="inlineStr">
        <x:is>
          <x:t xml:space="preserve">35982945ea521268c8c3d232ef47bc175f652eae1ced10c42efcb806623fde73</x:t>
        </x:is>
      </x:c>
      <x:c r="U358" s="349" t="inlineStr">
        <x:is>
          <x:t xml:space="preserve">Codex</x:t>
        </x:is>
      </x:c>
      <x:c r="V358" s="348" t="n">
        <x:v>46269</x:v>
      </x:c>
      <x:c r="W358" s="349" t="inlineStr">
        <x:is>
          <x:t xml:space="preserve">用户自制Blender资产</x:t>
        </x:is>
      </x:c>
      <x:c r="X358" s="375" t="inlineStr">
        <x:is>
          <x:t xml:space="preserve">46</x:t>
        </x:is>
      </x:c>
      <x:c r="Y358" s="349" t="inlineStr">
        <x:is>
          <x:t xml:space="preserve"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59" ht="72" customHeight="1">
      <x:c r="A359" t="inlineStr">
        <x:is>
          <x:t xml:space="preserve">BPK-BASE99-LOFT-BED-AND-BEDDING</x:t>
        </x:is>
      </x:c>
      <x:c r="B359" t="inlineStr">
        <x:is>
          <x:t xml:space="preserve">基地99层 · 二楼床铺与床品</x:t>
        </x:is>
      </x:c>
      <x:c r="C359" t="inlineStr">
        <x:is>
          <x:t xml:space="preserve">基地资产包</x:t>
        </x:is>
      </x:c>
      <x:c r="D359" t="inlineStr">
        <x:is>
          <x:t xml:space="preserve">二楼/阁楼设施包</x:t>
        </x:is>
      </x:c>
      <x:c r="E359" t="inlineStr">
        <x:is>
          <x:t xml:space="preserve">base99_package_loft_bed_and_bedding</x:t>
        </x:is>
      </x:c>
      <x:c r="F359" t="inlineStr">
        <x:is>
          <x:t xml:space="preserve">package_root</x:t>
        </x:is>
      </x:c>
      <x:c r="G359" t="inlineStr">
        <x:is>
          <x:t xml:space="preserve">ENV-BASE99-ART-LAYOUT-3D</x:t>
        </x:is>
      </x:c>
      <x:c r="H359" t="inlineStr">
        <x:is>
          <x:t xml:space="preserve">Top3D / Blender +Y北</x:t>
        </x:is>
      </x:c>
      <x:c r="I359" t="inlineStr">
        <x:is>
          <x:t xml:space="preserve">static / default</x:t>
        </x:is>
      </x:c>
      <x:c r="J359" t="inlineStr">
        <x:is>
          <x:t xml:space="preserve">3D-设施 / 基地99层独立资产包</x:t>
        </x:is>
      </x:c>
      <x:c r="K359" t="inlineStr">
        <x:is>
          <x:t xml:space="preserve">Blender源已完成</x:t>
        </x:is>
      </x:c>
      <x:c r="L359" t="inlineStr">
        <x:is>
          <x:t xml:space="preserve">P1</x:t>
        </x:is>
      </x:c>
      <x:c r="M359" t="inlineStr">
        <x:is>
          <x:t xml:space="preserve">v022</x:t>
        </x:is>
      </x:c>
      <x:c r="N359" s="349" t="inlineStr">
        <x:is>
          <x:t xml:space="preserve">包络 4.750×2.906×1.318m；37 对象；源镜像 37 对象</x:t>
        </x:is>
      </x:c>
      <x:c r="O359" s="349" t="inlineStr">
        <x:is>
          <x:t xml:space="preserve">source/art/blender/base_facility_layout/component_packages/loft/loft_bed_and_bedding/asset_manifest.json</x:t>
        </x:is>
      </x:c>
      <x:c r="P359" s="349" t="inlineStr">
        <x:is>
          <x:t xml:space="preserve">source/art/blender/base_facility_layout/source/base_facility_runtime_layout_hq_v026.blend; source/art/blender/base_facility_layout/component_packages/loft/loft_bed_and_bedding/asset_manifest.json</x:t>
        </x:is>
      </x:c>
      <x:c r="Q359" s="349" t="inlineStr">
        <x:is>
          <x:t xml:space="preserve">基地99层;基地资产包;3D设施;二楼/阁楼设施包;loft_bed_and_bedding;PaletteUV</x:t>
        </x:is>
      </x:c>
      <x:c r="R359" s="349" t="str">
        <x:f>LOWER(TRIM(C359)&amp;"|"&amp;TRIM(D359)&amp;"|"&amp;TRIM(E359)&amp;"|"&amp;TRIM(F359)&amp;"|"&amp;TRIM(H359)&amp;"|"&amp;TRIM(I359))</x:f>
        <x:v>基地资产包|二楼/阁楼设施包|base99_package_loft_bed_and_bedding|package_root|top3d / blender +y北|static / default</x:v>
      </x:c>
      <x:c r="S359" s="349" t="str">
        <x:f>IF(COUNTIF($R$6:$R$423,R359)&gt;1,"重复","唯一")</x:f>
        <x:v>唯一</x:v>
      </x:c>
      <x:c r="T359" s="349" t="inlineStr">
        <x:is>
          <x:t xml:space="preserve">9752c9cdd1e599e96b2aeb15bb787731a36ece66d7cde48db6747856c4542b41</x:t>
        </x:is>
      </x:c>
      <x:c r="U359" s="349" t="inlineStr">
        <x:is>
          <x:t xml:space="preserve">Codex</x:t>
        </x:is>
      </x:c>
      <x:c r="V359" s="348" t="n">
        <x:v>46269</x:v>
      </x:c>
      <x:c r="W359" s="349" t="inlineStr">
        <x:is>
          <x:t xml:space="preserve">用户自制Blender资产</x:t>
        </x:is>
      </x:c>
      <x:c r="X359" s="375" t="inlineStr">
        <x:is>
          <x:t xml:space="preserve">—</x:t>
        </x:is>
      </x:c>
      <x:c r="Y359" s="349" t="inlineStr">
        <x:is>
          <x:t xml:space="preserve"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x:t>
        </x:is>
      </x:c>
    </x:row>
    <x:row r="360" ht="54" customHeight="1">
      <x:c r="A360" t="inlineStr">
        <x:is>
          <x:t xml:space="preserve">BPK-BASE99-LOFT-BEDSIDE-LAMP</x:t>
        </x:is>
      </x:c>
      <x:c r="B360" t="inlineStr">
        <x:is>
          <x:t xml:space="preserve">基地99层 · 暖橙床头灯</x:t>
        </x:is>
      </x:c>
      <x:c r="C360" t="inlineStr">
        <x:is>
          <x:t xml:space="preserve">基地资产包</x:t>
        </x:is>
      </x:c>
      <x:c r="D360" t="inlineStr">
        <x:is>
          <x:t xml:space="preserve">二楼/阁楼设施包</x:t>
        </x:is>
      </x:c>
      <x:c r="E360" t="inlineStr">
        <x:is>
          <x:t xml:space="preserve">base99_package_loft_bedside_lamp</x:t>
        </x:is>
      </x:c>
      <x:c r="F360" t="inlineStr">
        <x:is>
          <x:t xml:space="preserve">package_root</x:t>
        </x:is>
      </x:c>
      <x:c r="G360" t="inlineStr">
        <x:is>
          <x:t xml:space="preserve">ENV-BASE99-ART-LAYOUT-3D</x:t>
        </x:is>
      </x:c>
      <x:c r="H360" t="inlineStr">
        <x:is>
          <x:t xml:space="preserve">Top3D / Blender +Y北</x:t>
        </x:is>
      </x:c>
      <x:c r="I360" t="inlineStr">
        <x:is>
          <x:t xml:space="preserve">static / fixture_light</x:t>
        </x:is>
      </x:c>
      <x:c r="J360" t="inlineStr">
        <x:is>
          <x:t xml:space="preserve">3D-设施 / 基地99层独立资产包</x:t>
        </x:is>
      </x:c>
      <x:c r="K360" t="inlineStr">
        <x:is>
          <x:t xml:space="preserve">Blender源已完成</x:t>
        </x:is>
      </x:c>
      <x:c r="L360" t="inlineStr">
        <x:is>
          <x:t xml:space="preserve">P1</x:t>
        </x:is>
      </x:c>
      <x:c r="M360" t="inlineStr">
        <x:is>
          <x:t xml:space="preserve">v022</x:t>
        </x:is>
      </x:c>
      <x:c r="N360" s="349" t="inlineStr">
        <x:is>
          <x:t xml:space="preserve">包络 0.407×0.407×0.895m；3 网格；1 灯</x:t>
        </x:is>
      </x:c>
      <x:c r="O360" s="349" t="inlineStr">
        <x:is>
          <x:t xml:space="preserve">source/art/blender/base_facility_layout/component_packages/loft/loft_bedside_lamp/asset_manifest.json</x:t>
        </x:is>
      </x:c>
      <x:c r="P360" s="349" t="inlineStr">
        <x:is>
          <x:t xml:space="preserve">source/art/blender/base_facility_layout/source/base_facility_runtime_layout_hq_v026.blend; source/art/blender/base_facility_layout/component_packages/loft/loft_bedside_lamp/asset_manifest.json</x:t>
        </x:is>
      </x:c>
      <x:c r="Q360" s="349" t="inlineStr">
        <x:is>
          <x:t xml:space="preserve">基地99层;基地资产包;3D设施;二楼/阁楼设施包;loft_bedside_lamp;PaletteUV</x:t>
        </x:is>
      </x:c>
      <x:c r="R360" s="349" t="str">
        <x:f>LOWER(TRIM(C360)&amp;"|"&amp;TRIM(D360)&amp;"|"&amp;TRIM(E360)&amp;"|"&amp;TRIM(F360)&amp;"|"&amp;TRIM(H360)&amp;"|"&amp;TRIM(I360))</x:f>
        <x:v>基地资产包|二楼/阁楼设施包|base99_package_loft_bedside_lamp|package_root|top3d / blender +y北|static / fixture_light</x:v>
      </x:c>
      <x:c r="S360" s="349" t="str">
        <x:f>IF(COUNTIF($R$6:$R$423,R360)&gt;1,"重复","唯一")</x:f>
        <x:v>唯一</x:v>
      </x:c>
      <x:c r="T360" s="349" t="inlineStr">
        <x:is>
          <x:t xml:space="preserve">dfa62a3159a7ffce0ca1d8dd098818ab648b2e5804ec339550a5dc2b69b877da</x:t>
        </x:is>
      </x:c>
      <x:c r="U360" s="349" t="inlineStr">
        <x:is>
          <x:t xml:space="preserve">Codex</x:t>
        </x:is>
      </x:c>
      <x:c r="V360" s="348" t="n">
        <x:v>46269</x:v>
      </x:c>
      <x:c r="W360" s="349" t="inlineStr">
        <x:is>
          <x:t xml:space="preserve">用户自制Blender资产</x:t>
        </x:is>
      </x:c>
      <x:c r="X360" s="375" t="inlineStr">
        <x:is>
          <x:t xml:space="preserve">—</x:t>
        </x:is>
      </x:c>
      <x:c r="Y360" s="349" t="inlineStr">
        <x:is>
          <x:t xml:space="preserve"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1" ht="54" customHeight="1">
      <x:c r="A361" t="inlineStr">
        <x:is>
          <x:t xml:space="preserve">BPK-BASE99-LOFT-BEDSIDE-RUG</x:t>
        </x:is>
      </x:c>
      <x:c r="B361" t="inlineStr">
        <x:is>
          <x:t xml:space="preserve">基地99层 · 床边暖灰地毯</x:t>
        </x:is>
      </x:c>
      <x:c r="C361" t="inlineStr">
        <x:is>
          <x:t xml:space="preserve">基地资产包</x:t>
        </x:is>
      </x:c>
      <x:c r="D361" t="inlineStr">
        <x:is>
          <x:t xml:space="preserve">二楼/阁楼设施包</x:t>
        </x:is>
      </x:c>
      <x:c r="E361" t="inlineStr">
        <x:is>
          <x:t xml:space="preserve">base99_package_loft_bedside_rug</x:t>
        </x:is>
      </x:c>
      <x:c r="F361" t="inlineStr">
        <x:is>
          <x:t xml:space="preserve">package_root</x:t>
        </x:is>
      </x:c>
      <x:c r="G361" t="inlineStr">
        <x:is>
          <x:t xml:space="preserve">ENV-BASE99-ART-LAYOUT-3D</x:t>
        </x:is>
      </x:c>
      <x:c r="H361" t="inlineStr">
        <x:is>
          <x:t xml:space="preserve">Top3D / Blender +Y北</x:t>
        </x:is>
      </x:c>
      <x:c r="I361" t="inlineStr">
        <x:is>
          <x:t xml:space="preserve">static / default</x:t>
        </x:is>
      </x:c>
      <x:c r="J361" t="inlineStr">
        <x:is>
          <x:t xml:space="preserve">3D-设施 / 基地99层独立资产包</x:t>
        </x:is>
      </x:c>
      <x:c r="K361" t="inlineStr">
        <x:is>
          <x:t xml:space="preserve">Blender源已完成</x:t>
        </x:is>
      </x:c>
      <x:c r="L361" t="inlineStr">
        <x:is>
          <x:t xml:space="preserve">P1</x:t>
        </x:is>
      </x:c>
      <x:c r="M361" t="inlineStr">
        <x:is>
          <x:t xml:space="preserve">v017</x:t>
        </x:is>
      </x:c>
      <x:c r="N361" s="349" t="inlineStr">
        <x:is>
          <x:t xml:space="preserve">包络 4.250×0.840×0.056m；6 网格；0 灯</x:t>
        </x:is>
      </x:c>
      <x:c r="O361" s="349" t="inlineStr">
        <x:is>
          <x:t xml:space="preserve">source/art/blender/base_facility_layout/component_packages/loft/loft_bedside_rug/asset_manifest.json</x:t>
        </x:is>
      </x:c>
      <x:c r="P361" s="349" t="inlineStr">
        <x:is>
          <x:t xml:space="preserve">source/art/blender/base_facility_layout/source/base_facility_runtime_layout_hq_v026.blend; source/art/blender/base_facility_layout/component_packages/loft/loft_bedside_rug/asset_manifest.json</x:t>
        </x:is>
      </x:c>
      <x:c r="Q361" s="349" t="inlineStr">
        <x:is>
          <x:t xml:space="preserve">基地99层;基地资产包;3D设施;二楼/阁楼设施包;loft_bedside_rug;PaletteUV</x:t>
        </x:is>
      </x:c>
      <x:c r="R361" s="349" t="str">
        <x:f>LOWER(TRIM(C361)&amp;"|"&amp;TRIM(D361)&amp;"|"&amp;TRIM(E361)&amp;"|"&amp;TRIM(F361)&amp;"|"&amp;TRIM(H361)&amp;"|"&amp;TRIM(I361))</x:f>
        <x:v>基地资产包|二楼/阁楼设施包|base99_package_loft_bedside_rug|package_root|top3d / blender +y北|static / default</x:v>
      </x:c>
      <x:c r="S361" s="349" t="str">
        <x:f>IF(COUNTIF($R$6:$R$423,R361)&gt;1,"重复","唯一")</x:f>
        <x:v>唯一</x:v>
      </x:c>
      <x:c r="T361" s="349" t="inlineStr">
        <x:is>
          <x:t xml:space="preserve">c425070885081f74727ab40c783cd109cc5d52c65986d3dfe990665712bfaacd</x:t>
        </x:is>
      </x:c>
      <x:c r="U361" s="349" t="inlineStr">
        <x:is>
          <x:t xml:space="preserve">Codex</x:t>
        </x:is>
      </x:c>
      <x:c r="V361" s="348" t="n">
        <x:v>46269</x:v>
      </x:c>
      <x:c r="W361" s="349" t="inlineStr">
        <x:is>
          <x:t xml:space="preserve">用户自制Blender资产</x:t>
        </x:is>
      </x:c>
      <x:c r="X361" s="375" t="inlineStr">
        <x:is>
          <x:t xml:space="preserve">—</x:t>
        </x:is>
      </x:c>
      <x:c r="Y361" s="349" t="inlineStr">
        <x:is>
          <x:t xml:space="preserve"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2" ht="54" customHeight="1">
      <x:c r="A362" t="inlineStr">
        <x:is>
          <x:t xml:space="preserve">BPK-BASE99-LOFT-COFFEE-TABLE</x:t>
        </x:is>
      </x:c>
      <x:c r="B362" t="inlineStr">
        <x:is>
          <x:t xml:space="preserve">基地99层 · 红棕茶几与生活物件</x:t>
        </x:is>
      </x:c>
      <x:c r="C362" t="inlineStr">
        <x:is>
          <x:t xml:space="preserve">基地资产包</x:t>
        </x:is>
      </x:c>
      <x:c r="D362" t="inlineStr">
        <x:is>
          <x:t xml:space="preserve">二楼/阁楼设施包</x:t>
        </x:is>
      </x:c>
      <x:c r="E362" t="inlineStr">
        <x:is>
          <x:t xml:space="preserve">base99_package_loft_coffee_table</x:t>
        </x:is>
      </x:c>
      <x:c r="F362" t="inlineStr">
        <x:is>
          <x:t xml:space="preserve">package_root</x:t>
        </x:is>
      </x:c>
      <x:c r="G362" t="inlineStr">
        <x:is>
          <x:t xml:space="preserve">ENV-BASE99-ART-LAYOUT-3D</x:t>
        </x:is>
      </x:c>
      <x:c r="H362" t="inlineStr">
        <x:is>
          <x:t xml:space="preserve">Top3D / Blender +Y北</x:t>
        </x:is>
      </x:c>
      <x:c r="I362" t="inlineStr">
        <x:is>
          <x:t xml:space="preserve">static / default</x:t>
        </x:is>
      </x:c>
      <x:c r="J362" t="inlineStr">
        <x:is>
          <x:t xml:space="preserve">3D-设施 / 基地99层独立资产包</x:t>
        </x:is>
      </x:c>
      <x:c r="K362" t="inlineStr">
        <x:is>
          <x:t xml:space="preserve">Blender源已完成</x:t>
        </x:is>
      </x:c>
      <x:c r="L362" t="inlineStr">
        <x:is>
          <x:t xml:space="preserve">P1</x:t>
        </x:is>
      </x:c>
      <x:c r="M362" t="inlineStr">
        <x:is>
          <x:t xml:space="preserve">v021</x:t>
        </x:is>
      </x:c>
      <x:c r="N362" s="349" t="inlineStr">
        <x:is>
          <x:t xml:space="preserve">包络 2.850×1.280×0.910m；15 网格；0 灯</x:t>
        </x:is>
      </x:c>
      <x:c r="O362" s="349" t="inlineStr">
        <x:is>
          <x:t xml:space="preserve">source/art/blender/base_facility_layout/component_packages/loft/loft_coffee_table/asset_manifest.json</x:t>
        </x:is>
      </x:c>
      <x:c r="P362" s="349" t="inlineStr">
        <x:is>
          <x:t xml:space="preserve">source/art/blender/base_facility_layout/source/base_facility_runtime_layout_hq_v026.blend; source/art/blender/base_facility_layout/component_packages/loft/loft_coffee_table/asset_manifest.json</x:t>
        </x:is>
      </x:c>
      <x:c r="Q362" s="349" t="inlineStr">
        <x:is>
          <x:t xml:space="preserve">基地99层;基地资产包;3D设施;二楼/阁楼设施包;loft_coffee_table;PaletteUV</x:t>
        </x:is>
      </x:c>
      <x:c r="R362" s="349" t="str">
        <x:f>LOWER(TRIM(C362)&amp;"|"&amp;TRIM(D362)&amp;"|"&amp;TRIM(E362)&amp;"|"&amp;TRIM(F362)&amp;"|"&amp;TRIM(H362)&amp;"|"&amp;TRIM(I362))</x:f>
        <x:v>基地资产包|二楼/阁楼设施包|base99_package_loft_coffee_table|package_root|top3d / blender +y北|static / default</x:v>
      </x:c>
      <x:c r="S362" s="349" t="str">
        <x:f>IF(COUNTIF($R$6:$R$423,R362)&gt;1,"重复","唯一")</x:f>
        <x:v>唯一</x:v>
      </x:c>
      <x:c r="T362" s="349" t="inlineStr">
        <x:is>
          <x:t xml:space="preserve">41b9b97f112c9f2e7b666edb68ebc21dda17e8904b1c31ed14392e840f81e202</x:t>
        </x:is>
      </x:c>
      <x:c r="U362" s="349" t="inlineStr">
        <x:is>
          <x:t xml:space="preserve">Codex</x:t>
        </x:is>
      </x:c>
      <x:c r="V362" s="348" t="n">
        <x:v>46269</x:v>
      </x:c>
      <x:c r="W362" s="349" t="inlineStr">
        <x:is>
          <x:t xml:space="preserve">用户自制Blender资产</x:t>
        </x:is>
      </x:c>
      <x:c r="X362" s="375" t="inlineStr">
        <x:is>
          <x:t xml:space="preserve">—</x:t>
        </x:is>
      </x:c>
      <x:c r="Y362" s="349" t="inlineStr">
        <x:is>
          <x:t xml:space="preserve"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3" ht="54" customHeight="1">
      <x:c r="A363" t="inlineStr">
        <x:is>
          <x:t xml:space="preserve">BPK-BASE99-LOFT-COMPUTER-WORKSTATION</x:t>
        </x:is>
      </x:c>
      <x:c r="B363" t="inlineStr">
        <x:is>
          <x:t xml:space="preserve">基地99层 · 双屏电脑完整工位</x:t>
        </x:is>
      </x:c>
      <x:c r="C363" t="inlineStr">
        <x:is>
          <x:t xml:space="preserve">基地资产包</x:t>
        </x:is>
      </x:c>
      <x:c r="D363" t="inlineStr">
        <x:is>
          <x:t xml:space="preserve">二楼/阁楼设施包</x:t>
        </x:is>
      </x:c>
      <x:c r="E363" t="inlineStr">
        <x:is>
          <x:t xml:space="preserve">base99_package_loft_computer_workstation</x:t>
        </x:is>
      </x:c>
      <x:c r="F363" t="inlineStr">
        <x:is>
          <x:t xml:space="preserve">package_root</x:t>
        </x:is>
      </x:c>
      <x:c r="G363" t="inlineStr">
        <x:is>
          <x:t xml:space="preserve">ENV-BASE99-ART-LAYOUT-3D</x:t>
        </x:is>
      </x:c>
      <x:c r="H363" t="inlineStr">
        <x:is>
          <x:t xml:space="preserve">Top3D / Blender +Y北</x:t>
        </x:is>
      </x:c>
      <x:c r="I363" t="inlineStr">
        <x:is>
          <x:t xml:space="preserve">static / default</x:t>
        </x:is>
      </x:c>
      <x:c r="J363" t="inlineStr">
        <x:is>
          <x:t xml:space="preserve">3D-设施 / 基地99层独立资产包</x:t>
        </x:is>
      </x:c>
      <x:c r="K363" t="inlineStr">
        <x:is>
          <x:t xml:space="preserve">正式美术已接入</x:t>
        </x:is>
      </x:c>
      <x:c r="L363" t="inlineStr">
        <x:is>
          <x:t xml:space="preserve">P1</x:t>
        </x:is>
      </x:c>
      <x:c r="M363" t="inlineStr">
        <x:is>
          <x:t xml:space="preserve">v017</x:t>
        </x:is>
      </x:c>
      <x:c r="N363" s="349" t="inlineStr">
        <x:is>
          <x:t xml:space="preserve">包络 6.015×1.468×3.040m；85 网格；0 灯</x:t>
        </x:is>
      </x:c>
      <x:c r="O363" s="349" t="inlineStr">
        <x:is>
          <x:t xml:space="preserve">source/art/blender/base_facility_layout/component_packages/loft/loft_computer_workstation/asset_manifest.json</x:t>
        </x:is>
      </x:c>
      <x:c r="P363" s="349" t="inlineStr">
        <x:is>
          <x:t xml:space="preserve">source/art/blender/base_facility_layout/source/base_facility_runtime_layout_hq_v026.blend; source/art/blender/base_facility_layout/component_packages/loft/loft_computer_workstation/asset_manifest.json</x:t>
        </x:is>
      </x:c>
      <x:c r="Q363" s="349" t="inlineStr">
        <x:is>
          <x:t xml:space="preserve">基地99层;基地资产包;3D设施;二楼/阁楼设施包;loft_computer_workstation;PaletteUV; fate_collection</x:t>
        </x:is>
      </x:c>
      <x:c r="R363" s="349" t="str">
        <x:f>LOWER(TRIM(C363)&amp;"|"&amp;TRIM(D363)&amp;"|"&amp;TRIM(E363)&amp;"|"&amp;TRIM(F363)&amp;"|"&amp;TRIM(H363)&amp;"|"&amp;TRIM(I363))</x:f>
        <x:v>基地资产包|二楼/阁楼设施包|base99_package_loft_computer_workstation|package_root|top3d / blender +y北|static / default</x:v>
      </x:c>
      <x:c r="S363" s="349" t="str">
        <x:f>IF(COUNTIF($R$6:$R$423,R363)&gt;1,"重复","唯一")</x:f>
        <x:v>唯一</x:v>
      </x:c>
      <x:c r="T363" s="349" t="inlineStr">
        <x:is>
          <x:t xml:space="preserve">ae8512dc8d445075a9a334b6366d8595e635ce7c75a7c745497ba0bc4f6e31eb</x:t>
        </x:is>
      </x:c>
      <x:c r="U363" s="349" t="inlineStr">
        <x:is>
          <x:t xml:space="preserve">Codex</x:t>
        </x:is>
      </x:c>
      <x:c r="V363" s="348" t="n">
        <x:v>46269</x:v>
      </x:c>
      <x:c r="W363" s="349" t="inlineStr">
        <x:is>
          <x:t xml:space="preserve">用户自制Blender资产</x:t>
        </x:is>
      </x:c>
      <x:c r="X363" s="375" t="inlineStr">
        <x:is>
          <x:t xml:space="preserve">—</x:t>
        </x:is>
      </x:c>
      <x:c r="Y363" s="349" t="inlineStr">
        <x:is>
          <x:t xml:space="preserve"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x:t>
        </x:is>
      </x:c>
    </x:row>
    <x:row r="364" ht="54" customHeight="1">
      <x:c r="A364" t="inlineStr">
        <x:is>
          <x:t xml:space="preserve">BPK-BASE99-LOFT-EXPLORE-POSTER</x:t>
        </x:is>
      </x:c>
      <x:c r="B364" t="inlineStr">
        <x:is>
          <x:t xml:space="preserve">基地99层 · EXPLORE独立海报</x:t>
        </x:is>
      </x:c>
      <x:c r="C364" t="inlineStr">
        <x:is>
          <x:t xml:space="preserve">基地资产包</x:t>
        </x:is>
      </x:c>
      <x:c r="D364" t="inlineStr">
        <x:is>
          <x:t xml:space="preserve">二楼/阁楼设施包</x:t>
        </x:is>
      </x:c>
      <x:c r="E364" t="inlineStr">
        <x:is>
          <x:t xml:space="preserve">base99_package_loft_explore_poster</x:t>
        </x:is>
      </x:c>
      <x:c r="F364" t="inlineStr">
        <x:is>
          <x:t xml:space="preserve">package_root</x:t>
        </x:is>
      </x:c>
      <x:c r="G364" t="inlineStr">
        <x:is>
          <x:t xml:space="preserve">ENV-BASE99-ART-LAYOUT-3D</x:t>
        </x:is>
      </x:c>
      <x:c r="H364" t="inlineStr">
        <x:is>
          <x:t xml:space="preserve">Top3D / Blender +Y北</x:t>
        </x:is>
      </x:c>
      <x:c r="I364" t="inlineStr">
        <x:is>
          <x:t xml:space="preserve">static / default</x:t>
        </x:is>
      </x:c>
      <x:c r="J364" t="inlineStr">
        <x:is>
          <x:t xml:space="preserve">3D-设施 / 基地99层独立资产包</x:t>
        </x:is>
      </x:c>
      <x:c r="K364" t="inlineStr">
        <x:is>
          <x:t xml:space="preserve">Blender源已完成</x:t>
        </x:is>
      </x:c>
      <x:c r="L364" t="inlineStr">
        <x:is>
          <x:t xml:space="preserve">P1</x:t>
        </x:is>
      </x:c>
      <x:c r="M364" t="inlineStr">
        <x:is>
          <x:t xml:space="preserve">v017</x:t>
        </x:is>
      </x:c>
      <x:c r="N364" s="349" t="inlineStr">
        <x:is>
          <x:t xml:space="preserve">包络 1.460×0.536×1.755m；14 网格；0 灯</x:t>
        </x:is>
      </x:c>
      <x:c r="O364" s="349" t="inlineStr">
        <x:is>
          <x:t xml:space="preserve">source/art/blender/base_facility_layout/component_packages/loft/loft_explore_poster/asset_manifest.json</x:t>
        </x:is>
      </x:c>
      <x:c r="P364" s="349" t="inlineStr">
        <x:is>
          <x:t xml:space="preserve">source/art/blender/base_facility_layout/source/base_facility_runtime_layout_hq_v026.blend; source/art/blender/base_facility_layout/component_packages/loft/loft_explore_poster/asset_manifest.json</x:t>
        </x:is>
      </x:c>
      <x:c r="Q364" s="349" t="inlineStr">
        <x:is>
          <x:t xml:space="preserve">基地99层;基地资产包;3D设施;二楼/阁楼设施包;loft_explore_poster;PaletteUV</x:t>
        </x:is>
      </x:c>
      <x:c r="R364" s="349" t="str">
        <x:f>LOWER(TRIM(C364)&amp;"|"&amp;TRIM(D364)&amp;"|"&amp;TRIM(E364)&amp;"|"&amp;TRIM(F364)&amp;"|"&amp;TRIM(H364)&amp;"|"&amp;TRIM(I364))</x:f>
        <x:v>基地资产包|二楼/阁楼设施包|base99_package_loft_explore_poster|package_root|top3d / blender +y北|static / default</x:v>
      </x:c>
      <x:c r="S364" s="349" t="str">
        <x:f>IF(COUNTIF($R$6:$R$423,R364)&gt;1,"重复","唯一")</x:f>
        <x:v>唯一</x:v>
      </x:c>
      <x:c r="T364" s="349" t="inlineStr">
        <x:is>
          <x:t xml:space="preserve">3e6f3503232b8bf78b103a606d626169d02fdaf368bed59a62fedae9ae7e882b</x:t>
        </x:is>
      </x:c>
      <x:c r="U364" s="349" t="inlineStr">
        <x:is>
          <x:t xml:space="preserve">Codex</x:t>
        </x:is>
      </x:c>
      <x:c r="V364" s="348" t="n">
        <x:v>46269</x:v>
      </x:c>
      <x:c r="W364" s="349" t="inlineStr">
        <x:is>
          <x:t xml:space="preserve">用户自制Blender资产</x:t>
        </x:is>
      </x:c>
      <x:c r="X364" s="375" t="inlineStr">
        <x:is>
          <x:t xml:space="preserve">—</x:t>
        </x:is>
      </x:c>
      <x:c r="Y364" s="349" t="inlineStr">
        <x:is>
          <x:t xml:space="preserve"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x:t>
        </x:is>
      </x:c>
    </x:row>
    <x:row r="365" ht="54" customHeight="1">
      <x:c r="A365" t="inlineStr">
        <x:is>
          <x:t xml:space="preserve">BPK-BASE99-LOFT-FOOD-CABINET</x:t>
        </x:is>
      </x:c>
      <x:c r="B365" t="inlineStr">
        <x:is>
          <x:t xml:space="preserve">基地99层 · FOOD模块收纳箱</x:t>
        </x:is>
      </x:c>
      <x:c r="C365" t="inlineStr">
        <x:is>
          <x:t xml:space="preserve">基地资产包</x:t>
        </x:is>
      </x:c>
      <x:c r="D365" t="inlineStr">
        <x:is>
          <x:t xml:space="preserve">二楼/阁楼设施包</x:t>
        </x:is>
      </x:c>
      <x:c r="E365" t="inlineStr">
        <x:is>
          <x:t xml:space="preserve">base99_package_loft_food_cabinet</x:t>
        </x:is>
      </x:c>
      <x:c r="F365" t="inlineStr">
        <x:is>
          <x:t xml:space="preserve">package_root</x:t>
        </x:is>
      </x:c>
      <x:c r="G365" t="inlineStr">
        <x:is>
          <x:t xml:space="preserve">ENV-BASE99-ART-LAYOUT-3D</x:t>
        </x:is>
      </x:c>
      <x:c r="H365" t="inlineStr">
        <x:is>
          <x:t xml:space="preserve">Top3D / Blender +Y北</x:t>
        </x:is>
      </x:c>
      <x:c r="I365" t="inlineStr">
        <x:is>
          <x:t xml:space="preserve">static / default</x:t>
        </x:is>
      </x:c>
      <x:c r="J365" t="inlineStr">
        <x:is>
          <x:t xml:space="preserve">3D-设施 / 基地99层独立资产包</x:t>
        </x:is>
      </x:c>
      <x:c r="K365" t="inlineStr">
        <x:is>
          <x:t xml:space="preserve">Blender源已完成</x:t>
        </x:is>
      </x:c>
      <x:c r="L365" t="inlineStr">
        <x:is>
          <x:t xml:space="preserve">P1</x:t>
        </x:is>
      </x:c>
      <x:c r="M365" t="inlineStr">
        <x:is>
          <x:t xml:space="preserve">v017</x:t>
        </x:is>
      </x:c>
      <x:c r="N365" s="349" t="inlineStr">
        <x:is>
          <x:t xml:space="preserve">包络 1.200×0.996×0.870m；9 网格；0 灯</x:t>
        </x:is>
      </x:c>
      <x:c r="O365" s="349" t="inlineStr">
        <x:is>
          <x:t xml:space="preserve">source/art/blender/base_facility_layout/component_packages/loft/loft_food_cabinet/asset_manifest.json</x:t>
        </x:is>
      </x:c>
      <x:c r="P365" s="349" t="inlineStr">
        <x:is>
          <x:t xml:space="preserve">source/art/blender/base_facility_layout/source/base_facility_runtime_layout_hq_v026.blend; source/art/blender/base_facility_layout/component_packages/loft/loft_food_cabinet/asset_manifest.json</x:t>
        </x:is>
      </x:c>
      <x:c r="Q365" s="349" t="inlineStr">
        <x:is>
          <x:t xml:space="preserve">基地99层;基地资产包;3D设施;二楼/阁楼设施包;loft_food_cabinet;PaletteUV</x:t>
        </x:is>
      </x:c>
      <x:c r="R365" s="349" t="str">
        <x:f>LOWER(TRIM(C365)&amp;"|"&amp;TRIM(D365)&amp;"|"&amp;TRIM(E365)&amp;"|"&amp;TRIM(F365)&amp;"|"&amp;TRIM(H365)&amp;"|"&amp;TRIM(I365))</x:f>
        <x:v>基地资产包|二楼/阁楼设施包|base99_package_loft_food_cabinet|package_root|top3d / blender +y北|static / default</x:v>
      </x:c>
      <x:c r="S365" s="349" t="str">
        <x:f>IF(COUNTIF($R$6:$R$423,R365)&gt;1,"重复","唯一")</x:f>
        <x:v>唯一</x:v>
      </x:c>
      <x:c r="T365" s="349" t="inlineStr">
        <x:is>
          <x:t xml:space="preserve">47f07c66ca448d78584fc1a2c255f7e68b7431c9e017bd2896084fb5c1d0ded9</x:t>
        </x:is>
      </x:c>
      <x:c r="U365" s="349" t="inlineStr">
        <x:is>
          <x:t xml:space="preserve">Codex</x:t>
        </x:is>
      </x:c>
      <x:c r="V365" s="348" t="n">
        <x:v>46269</x:v>
      </x:c>
      <x:c r="W365" s="349" t="inlineStr">
        <x:is>
          <x:t xml:space="preserve">用户自制Blender资产</x:t>
        </x:is>
      </x:c>
      <x:c r="X365" s="375" t="inlineStr">
        <x:is>
          <x:t xml:space="preserve">47</x:t>
        </x:is>
      </x:c>
      <x:c r="Y365" s="349" t="inlineStr">
        <x:is>
          <x:t xml:space="preserve"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6" ht="54" customHeight="1">
      <x:c r="A366" t="inlineStr">
        <x:is>
          <x:t xml:space="preserve">BPK-BASE99-LOFT-GOOD-VIBES-NEON</x:t>
        </x:is>
      </x:c>
      <x:c r="B366" t="inlineStr">
        <x:is>
          <x:t xml:space="preserve">基地99层 · GOOD VIBES霓虹</x:t>
        </x:is>
      </x:c>
      <x:c r="C366" t="inlineStr">
        <x:is>
          <x:t xml:space="preserve">基地资产包</x:t>
        </x:is>
      </x:c>
      <x:c r="D366" t="inlineStr">
        <x:is>
          <x:t xml:space="preserve">二楼/阁楼设施包</x:t>
        </x:is>
      </x:c>
      <x:c r="E366" t="inlineStr">
        <x:is>
          <x:t xml:space="preserve">base99_package_loft_good_vibes_neon</x:t>
        </x:is>
      </x:c>
      <x:c r="F366" t="inlineStr">
        <x:is>
          <x:t xml:space="preserve">package_root</x:t>
        </x:is>
      </x:c>
      <x:c r="G366" t="inlineStr">
        <x:is>
          <x:t xml:space="preserve">ENV-BASE99-ART-LAYOUT-3D</x:t>
        </x:is>
      </x:c>
      <x:c r="H366" t="inlineStr">
        <x:is>
          <x:t xml:space="preserve">Top3D / Blender +Y北</x:t>
        </x:is>
      </x:c>
      <x:c r="I366" t="inlineStr">
        <x:is>
          <x:t xml:space="preserve">static / fixture_light</x:t>
        </x:is>
      </x:c>
      <x:c r="J366" t="inlineStr">
        <x:is>
          <x:t xml:space="preserve">3D-设施 / 基地99层独立资产包</x:t>
        </x:is>
      </x:c>
      <x:c r="K366" t="inlineStr">
        <x:is>
          <x:t xml:space="preserve">Blender源已完成</x:t>
        </x:is>
      </x:c>
      <x:c r="L366" t="inlineStr">
        <x:is>
          <x:t xml:space="preserve">P1</x:t>
        </x:is>
      </x:c>
      <x:c r="M366" t="inlineStr">
        <x:is>
          <x:t xml:space="preserve">v017</x:t>
        </x:is>
      </x:c>
      <x:c r="N366" s="349" t="inlineStr">
        <x:is>
          <x:t xml:space="preserve">包络 1.580×0.915×0.840m；15 网格；3 灯</x:t>
        </x:is>
      </x:c>
      <x:c r="O366" s="349" t="inlineStr">
        <x:is>
          <x:t xml:space="preserve">source/art/blender/base_facility_layout/component_packages/loft/loft_good_vibes_neon/asset_manifest.json</x:t>
        </x:is>
      </x:c>
      <x:c r="P366" s="349" t="inlineStr">
        <x:is>
          <x:t xml:space="preserve">source/art/blender/base_facility_layout/source/base_facility_runtime_layout_hq_v026.blend; source/art/blender/base_facility_layout/component_packages/loft/loft_good_vibes_neon/asset_manifest.json</x:t>
        </x:is>
      </x:c>
      <x:c r="Q366" s="349" t="inlineStr">
        <x:is>
          <x:t xml:space="preserve">基地99层;基地资产包;3D设施;二楼/阁楼设施包;loft_good_vibes_neon;PaletteUV</x:t>
        </x:is>
      </x:c>
      <x:c r="R366" s="349" t="str">
        <x:f>LOWER(TRIM(C366)&amp;"|"&amp;TRIM(D366)&amp;"|"&amp;TRIM(E366)&amp;"|"&amp;TRIM(F366)&amp;"|"&amp;TRIM(H366)&amp;"|"&amp;TRIM(I366))</x:f>
        <x:v>基地资产包|二楼/阁楼设施包|base99_package_loft_good_vibes_neon|package_root|top3d / blender +y北|static / fixture_light</x:v>
      </x:c>
      <x:c r="S366" s="349" t="str">
        <x:f>IF(COUNTIF($R$6:$R$423,R366)&gt;1,"重复","唯一")</x:f>
        <x:v>唯一</x:v>
      </x:c>
      <x:c r="T366" s="349" t="inlineStr">
        <x:is>
          <x:t xml:space="preserve">d80f55a362a7f865b32988bfab3466cd054ac41ea5319f07541e39dea39dda0d</x:t>
        </x:is>
      </x:c>
      <x:c r="U366" s="349" t="inlineStr">
        <x:is>
          <x:t xml:space="preserve">Codex</x:t>
        </x:is>
      </x:c>
      <x:c r="V366" s="348" t="n">
        <x:v>46269</x:v>
      </x:c>
      <x:c r="W366" s="349" t="inlineStr">
        <x:is>
          <x:t xml:space="preserve">用户自制Blender资产</x:t>
        </x:is>
      </x:c>
      <x:c r="X366" s="375" t="inlineStr">
        <x:is>
          <x:t xml:space="preserve">44</x:t>
        </x:is>
      </x:c>
      <x:c r="Y366" s="349" t="inlineStr">
        <x:is>
          <x:t xml:space="preserve"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x:t>
        </x:is>
      </x:c>
    </x:row>
    <x:row r="367" ht="54" customHeight="1">
      <x:c r="A367" t="inlineStr">
        <x:is>
          <x:t xml:space="preserve">BPK-BASE99-LOFT-HANGING-PLANT</x:t>
        </x:is>
      </x:c>
      <x:c r="B367" t="inlineStr">
        <x:is>
          <x:t xml:space="preserve">基地99层 · 后墙吊挂植物</x:t>
        </x:is>
      </x:c>
      <x:c r="C367" t="inlineStr">
        <x:is>
          <x:t xml:space="preserve">基地资产包</x:t>
        </x:is>
      </x:c>
      <x:c r="D367" t="inlineStr">
        <x:is>
          <x:t xml:space="preserve">二楼/阁楼设施包</x:t>
        </x:is>
      </x:c>
      <x:c r="E367" t="inlineStr">
        <x:is>
          <x:t xml:space="preserve">base99_package_loft_hanging_plant</x:t>
        </x:is>
      </x:c>
      <x:c r="F367" t="inlineStr">
        <x:is>
          <x:t xml:space="preserve">package_root</x:t>
        </x:is>
      </x:c>
      <x:c r="G367" t="inlineStr">
        <x:is>
          <x:t xml:space="preserve">ENV-BASE99-ART-LAYOUT-3D</x:t>
        </x:is>
      </x:c>
      <x:c r="H367" t="inlineStr">
        <x:is>
          <x:t xml:space="preserve">Top3D / Blender +Y北</x:t>
        </x:is>
      </x:c>
      <x:c r="I367" t="inlineStr">
        <x:is>
          <x:t xml:space="preserve">static / default</x:t>
        </x:is>
      </x:c>
      <x:c r="J367" t="inlineStr">
        <x:is>
          <x:t xml:space="preserve">3D-设施 / 基地99层独立资产包</x:t>
        </x:is>
      </x:c>
      <x:c r="K367" t="inlineStr">
        <x:is>
          <x:t xml:space="preserve">Blender源已完成</x:t>
        </x:is>
      </x:c>
      <x:c r="L367" t="inlineStr">
        <x:is>
          <x:t xml:space="preserve">P1</x:t>
        </x:is>
      </x:c>
      <x:c r="M367" t="inlineStr">
        <x:is>
          <x:t xml:space="preserve">v017</x:t>
        </x:is>
      </x:c>
      <x:c r="N367" s="349" t="inlineStr">
        <x:is>
          <x:t xml:space="preserve">包络 0.606×0.503×1.649m；12 网格；0 灯</x:t>
        </x:is>
      </x:c>
      <x:c r="O367" s="349" t="inlineStr">
        <x:is>
          <x:t xml:space="preserve">source/art/blender/base_facility_layout/component_packages/loft/loft_hanging_plant/asset_manifest.json</x:t>
        </x:is>
      </x:c>
      <x:c r="P367" s="349" t="inlineStr">
        <x:is>
          <x:t xml:space="preserve">source/art/blender/base_facility_layout/source/base_facility_runtime_layout_hq_v026.blend; source/art/blender/base_facility_layout/component_packages/loft/loft_hanging_plant/asset_manifest.json</x:t>
        </x:is>
      </x:c>
      <x:c r="Q367" s="349" t="inlineStr">
        <x:is>
          <x:t xml:space="preserve">基地99层;基地资产包;3D设施;二楼/阁楼设施包;loft_hanging_plant;PaletteUV</x:t>
        </x:is>
      </x:c>
      <x:c r="R367" s="349" t="str">
        <x:f>LOWER(TRIM(C367)&amp;"|"&amp;TRIM(D367)&amp;"|"&amp;TRIM(E367)&amp;"|"&amp;TRIM(F367)&amp;"|"&amp;TRIM(H367)&amp;"|"&amp;TRIM(I367))</x:f>
        <x:v>基地资产包|二楼/阁楼设施包|base99_package_loft_hanging_plant|package_root|top3d / blender +y北|static / default</x:v>
      </x:c>
      <x:c r="S367" s="349" t="str">
        <x:f>IF(COUNTIF($R$6:$R$423,R367)&gt;1,"重复","唯一")</x:f>
        <x:v>唯一</x:v>
      </x:c>
      <x:c r="T367" s="349" t="inlineStr">
        <x:is>
          <x:t xml:space="preserve">ec3b5a9fe2c042eac25147940cef9cf1f3644d3c50a2fa70e6fb740c136e056a</x:t>
        </x:is>
      </x:c>
      <x:c r="U367" s="349" t="inlineStr">
        <x:is>
          <x:t xml:space="preserve">Codex</x:t>
        </x:is>
      </x:c>
      <x:c r="V367" s="348" t="n">
        <x:v>46269</x:v>
      </x:c>
      <x:c r="W367" s="349" t="inlineStr">
        <x:is>
          <x:t xml:space="preserve">用户自制Blender资产</x:t>
        </x:is>
      </x:c>
      <x:c r="X367" s="375" t="inlineStr">
        <x:is>
          <x:t xml:space="preserve">—</x:t>
        </x:is>
      </x:c>
      <x:c r="Y367" s="349" t="inlineStr">
        <x:is>
          <x:t xml:space="preserve"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x:t>
        </x:is>
      </x:c>
    </x:row>
    <x:row r="368" ht="72" customHeight="1">
      <x:c r="A368" t="inlineStr">
        <x:is>
          <x:t xml:space="preserve">BPK-BASE99-LOFT-LOUNGE-RUG</x:t>
        </x:is>
      </x:c>
      <x:c r="B368" t="inlineStr">
        <x:is>
          <x:t xml:space="preserve">基地99层 · 二楼休闲区多色桌毯</x:t>
        </x:is>
      </x:c>
      <x:c r="C368" t="inlineStr">
        <x:is>
          <x:t xml:space="preserve">基地资产包</x:t>
        </x:is>
      </x:c>
      <x:c r="D368" t="inlineStr">
        <x:is>
          <x:t xml:space="preserve">二楼/阁楼设施包</x:t>
        </x:is>
      </x:c>
      <x:c r="E368" t="inlineStr">
        <x:is>
          <x:t xml:space="preserve">base99_package_loft_lounge_rug</x:t>
        </x:is>
      </x:c>
      <x:c r="F368" t="inlineStr">
        <x:is>
          <x:t xml:space="preserve">package_root</x:t>
        </x:is>
      </x:c>
      <x:c r="G368" t="inlineStr">
        <x:is>
          <x:t xml:space="preserve">ENV-BASE99-ART-LAYOUT-3D</x:t>
        </x:is>
      </x:c>
      <x:c r="H368" t="inlineStr">
        <x:is>
          <x:t xml:space="preserve">Top3D / Blender +Y北</x:t>
        </x:is>
      </x:c>
      <x:c r="I368" t="inlineStr">
        <x:is>
          <x:t xml:space="preserve">static / default</x:t>
        </x:is>
      </x:c>
      <x:c r="J368" t="inlineStr">
        <x:is>
          <x:t xml:space="preserve">3D-设施 / 基地99层独立资产包</x:t>
        </x:is>
      </x:c>
      <x:c r="K368" t="inlineStr">
        <x:is>
          <x:t xml:space="preserve">Blender源已完成</x:t>
        </x:is>
      </x:c>
      <x:c r="L368" t="inlineStr">
        <x:is>
          <x:t xml:space="preserve">P1</x:t>
        </x:is>
      </x:c>
      <x:c r="M368" t="inlineStr">
        <x:is>
          <x:t xml:space="preserve">v017</x:t>
        </x:is>
      </x:c>
      <x:c r="N368" s="349" t="inlineStr">
        <x:is>
          <x:t xml:space="preserve">包络 4.900×2.450×0.070m；13 对象；源镜像 13 对象</x:t>
        </x:is>
      </x:c>
      <x:c r="O368" s="349" t="inlineStr">
        <x:is>
          <x:t xml:space="preserve">source/art/blender/base_facility_layout/component_packages/loft/loft_lounge_rug/asset_manifest.json</x:t>
        </x:is>
      </x:c>
      <x:c r="P368" s="349" t="inlineStr">
        <x:is>
          <x:t xml:space="preserve">source/art/blender/base_facility_layout/source/base_facility_runtime_layout_hq_v026.blend; source/art/blender/base_facility_layout/component_packages/loft/loft_lounge_rug/asset_manifest.json</x:t>
        </x:is>
      </x:c>
      <x:c r="Q368" s="349" t="inlineStr">
        <x:is>
          <x:t xml:space="preserve">基地99层;基地资产包;3D设施;二楼/阁楼设施包;loft_lounge_rug;PaletteUV</x:t>
        </x:is>
      </x:c>
      <x:c r="R368" s="349" t="str">
        <x:f>LOWER(TRIM(C368)&amp;"|"&amp;TRIM(D368)&amp;"|"&amp;TRIM(E368)&amp;"|"&amp;TRIM(F368)&amp;"|"&amp;TRIM(H368)&amp;"|"&amp;TRIM(I368))</x:f>
        <x:v>基地资产包|二楼/阁楼设施包|base99_package_loft_lounge_rug|package_root|top3d / blender +y北|static / default</x:v>
      </x:c>
      <x:c r="S368" s="349" t="str">
        <x:f>IF(COUNTIF($R$6:$R$423,R368)&gt;1,"重复","唯一")</x:f>
        <x:v>唯一</x:v>
      </x:c>
      <x:c r="T368" s="349" t="inlineStr">
        <x:is>
          <x:t xml:space="preserve">e78f61c3ad775e6d8f8c39cf945e9520953ba172268e18dc49fb4559dea30710</x:t>
        </x:is>
      </x:c>
      <x:c r="U368" s="349" t="inlineStr">
        <x:is>
          <x:t xml:space="preserve">Codex</x:t>
        </x:is>
      </x:c>
      <x:c r="V368" s="348" t="n">
        <x:v>46269</x:v>
      </x:c>
      <x:c r="W368" s="349" t="inlineStr">
        <x:is>
          <x:t xml:space="preserve">用户自制Blender资产</x:t>
        </x:is>
      </x:c>
      <x:c r="X368" s="375" t="inlineStr">
        <x:is>
          <x:t xml:space="preserve">—</x:t>
        </x:is>
      </x:c>
      <x:c r="Y368" s="349" t="inlineStr">
        <x:is>
          <x:t xml:space="preserve"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x:t>
        </x:is>
      </x:c>
    </x:row>
    <x:row r="369" ht="54" customHeight="1">
      <x:c r="A369" t="inlineStr">
        <x:is>
          <x:t xml:space="preserve">BPK-BASE99-LOFT-LOUNGE-SOFA</x:t>
        </x:is>
      </x:c>
      <x:c r="B369" t="inlineStr">
        <x:is>
          <x:t xml:space="preserve">基地99层 · 墨绿三人休闲沙发</x:t>
        </x:is>
      </x:c>
      <x:c r="C369" t="inlineStr">
        <x:is>
          <x:t xml:space="preserve">基地资产包</x:t>
        </x:is>
      </x:c>
      <x:c r="D369" t="inlineStr">
        <x:is>
          <x:t xml:space="preserve">二楼/阁楼设施包</x:t>
        </x:is>
      </x:c>
      <x:c r="E369" t="inlineStr">
        <x:is>
          <x:t xml:space="preserve">base99_package_loft_lounge_sofa</x:t>
        </x:is>
      </x:c>
      <x:c r="F369" t="inlineStr">
        <x:is>
          <x:t xml:space="preserve">package_root</x:t>
        </x:is>
      </x:c>
      <x:c r="G369" t="inlineStr">
        <x:is>
          <x:t xml:space="preserve">ENV-BASE99-ART-LAYOUT-3D</x:t>
        </x:is>
      </x:c>
      <x:c r="H369" t="inlineStr">
        <x:is>
          <x:t xml:space="preserve">Top3D / Blender +Y北</x:t>
        </x:is>
      </x:c>
      <x:c r="I369" t="inlineStr">
        <x:is>
          <x:t xml:space="preserve">static / default</x:t>
        </x:is>
      </x:c>
      <x:c r="J369" t="inlineStr">
        <x:is>
          <x:t xml:space="preserve">3D-设施 / 基地99层独立资产包</x:t>
        </x:is>
      </x:c>
      <x:c r="K369" t="inlineStr">
        <x:is>
          <x:t xml:space="preserve">正式美术已接入</x:t>
        </x:is>
      </x:c>
      <x:c r="L369" t="inlineStr">
        <x:is>
          <x:t xml:space="preserve">P1</x:t>
        </x:is>
      </x:c>
      <x:c r="M369" t="inlineStr">
        <x:is>
          <x:t xml:space="preserve">v017</x:t>
        </x:is>
      </x:c>
      <x:c r="N369" s="349" t="inlineStr">
        <x:is>
          <x:t xml:space="preserve">包络 4.820×1.890×1.844m；35 网格；0 灯</x:t>
        </x:is>
      </x:c>
      <x:c r="O369" s="349" t="inlineStr">
        <x:is>
          <x:t xml:space="preserve">source/art/blender/base_facility_layout/component_packages/loft/loft_lounge_sofa/asset_manifest.json</x:t>
        </x:is>
      </x:c>
      <x:c r="P369" s="349" t="inlineStr">
        <x:is>
          <x:t xml:space="preserve">source/art/blender/base_facility_layout/source/base_facility_runtime_layout_hq_v026.blend; source/art/blender/base_facility_layout/component_packages/loft/loft_lounge_sofa/asset_manifest.json</x:t>
        </x:is>
      </x:c>
      <x:c r="Q369" s="349" t="inlineStr">
        <x:is>
          <x:t xml:space="preserve">基地99层;基地资产包;3D设施;二楼/阁楼设施包;loft_lounge_sofa;PaletteUV; avatar_wardrobe</x:t>
        </x:is>
      </x:c>
      <x:c r="R369" s="349" t="str">
        <x:f>LOWER(TRIM(C369)&amp;"|"&amp;TRIM(D369)&amp;"|"&amp;TRIM(E369)&amp;"|"&amp;TRIM(F369)&amp;"|"&amp;TRIM(H369)&amp;"|"&amp;TRIM(I369))</x:f>
        <x:v>基地资产包|二楼/阁楼设施包|base99_package_loft_lounge_sofa|package_root|top3d / blender +y北|static / default</x:v>
      </x:c>
      <x:c r="S369" s="349" t="str">
        <x:f>IF(COUNTIF($R$6:$R$423,R369)&gt;1,"重复","唯一")</x:f>
        <x:v>唯一</x:v>
      </x:c>
      <x:c r="T369" s="349" t="inlineStr">
        <x:is>
          <x:t xml:space="preserve">0ea576fd93a4e4cfaab99f5fa628b2561954259a5cf0badcadfd0ed711dc711d</x:t>
        </x:is>
      </x:c>
      <x:c r="U369" s="349" t="inlineStr">
        <x:is>
          <x:t xml:space="preserve">Codex</x:t>
        </x:is>
      </x:c>
      <x:c r="V369" s="348" t="n">
        <x:v>46269</x:v>
      </x:c>
      <x:c r="W369" s="349" t="inlineStr">
        <x:is>
          <x:t xml:space="preserve">用户自制Blender资产</x:t>
        </x:is>
      </x:c>
      <x:c r="X369" s="375" t="inlineStr">
        <x:is>
          <x:t xml:space="preserve">—</x:t>
        </x:is>
      </x:c>
      <x:c r="Y369" s="349" t="inlineStr">
        <x:is>
          <x:t xml:space="preserve"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x:t>
        </x:is>
      </x:c>
    </x:row>
    <x:row r="370" ht="54" customHeight="1">
      <x:c r="A370" t="inlineStr">
        <x:is>
          <x:t xml:space="preserve">BPK-BASE99-LOFT-MEDICAL-CABINET</x:t>
        </x:is>
      </x:c>
      <x:c r="B370" t="inlineStr">
        <x:is>
          <x:t xml:space="preserve">基地99层 · MEDICAL模块收纳箱</x:t>
        </x:is>
      </x:c>
      <x:c r="C370" t="inlineStr">
        <x:is>
          <x:t xml:space="preserve">基地资产包</x:t>
        </x:is>
      </x:c>
      <x:c r="D370" t="inlineStr">
        <x:is>
          <x:t xml:space="preserve">二楼/阁楼设施包</x:t>
        </x:is>
      </x:c>
      <x:c r="E370" t="inlineStr">
        <x:is>
          <x:t xml:space="preserve">base99_package_loft_medical_cabinet</x:t>
        </x:is>
      </x:c>
      <x:c r="F370" t="inlineStr">
        <x:is>
          <x:t xml:space="preserve">package_root</x:t>
        </x:is>
      </x:c>
      <x:c r="G370" t="inlineStr">
        <x:is>
          <x:t xml:space="preserve">ENV-BASE99-ART-LAYOUT-3D</x:t>
        </x:is>
      </x:c>
      <x:c r="H370" t="inlineStr">
        <x:is>
          <x:t xml:space="preserve">Top3D / Blender +Y北</x:t>
        </x:is>
      </x:c>
      <x:c r="I370" t="inlineStr">
        <x:is>
          <x:t xml:space="preserve">static / default</x:t>
        </x:is>
      </x:c>
      <x:c r="J370" t="inlineStr">
        <x:is>
          <x:t xml:space="preserve">3D-设施 / 基地99层独立资产包</x:t>
        </x:is>
      </x:c>
      <x:c r="K370" t="inlineStr">
        <x:is>
          <x:t xml:space="preserve">Blender源已完成</x:t>
        </x:is>
      </x:c>
      <x:c r="L370" t="inlineStr">
        <x:is>
          <x:t xml:space="preserve">P1</x:t>
        </x:is>
      </x:c>
      <x:c r="M370" t="inlineStr">
        <x:is>
          <x:t xml:space="preserve">v017</x:t>
        </x:is>
      </x:c>
      <x:c r="N370" s="349" t="inlineStr">
        <x:is>
          <x:t xml:space="preserve">包络 1.200×0.979×0.850m；9 网格；0 灯</x:t>
        </x:is>
      </x:c>
      <x:c r="O370" s="349" t="inlineStr">
        <x:is>
          <x:t xml:space="preserve">source/art/blender/base_facility_layout/component_packages/loft/loft_medical_cabinet/asset_manifest.json</x:t>
        </x:is>
      </x:c>
      <x:c r="P370" s="349" t="inlineStr">
        <x:is>
          <x:t xml:space="preserve">source/art/blender/base_facility_layout/source/base_facility_runtime_layout_hq_v026.blend; source/art/blender/base_facility_layout/component_packages/loft/loft_medical_cabinet/asset_manifest.json</x:t>
        </x:is>
      </x:c>
      <x:c r="Q370" s="349" t="inlineStr">
        <x:is>
          <x:t xml:space="preserve">基地99层;基地资产包;3D设施;二楼/阁楼设施包;loft_medical_cabinet;PaletteUV</x:t>
        </x:is>
      </x:c>
      <x:c r="R370" s="349" t="str">
        <x:f>LOWER(TRIM(C370)&amp;"|"&amp;TRIM(D370)&amp;"|"&amp;TRIM(E370)&amp;"|"&amp;TRIM(F370)&amp;"|"&amp;TRIM(H370)&amp;"|"&amp;TRIM(I370))</x:f>
        <x:v>基地资产包|二楼/阁楼设施包|base99_package_loft_medical_cabinet|package_root|top3d / blender +y北|static / default</x:v>
      </x:c>
      <x:c r="S370" s="349" t="str">
        <x:f>IF(COUNTIF($R$6:$R$423,R370)&gt;1,"重复","唯一")</x:f>
        <x:v>唯一</x:v>
      </x:c>
      <x:c r="T370" s="349" t="inlineStr">
        <x:is>
          <x:t xml:space="preserve">90a440b55dfe8b8de10f0e4be29b60f4563b4659fea46da390a619131cc1466c</x:t>
        </x:is>
      </x:c>
      <x:c r="U370" s="349" t="inlineStr">
        <x:is>
          <x:t xml:space="preserve">Codex</x:t>
        </x:is>
      </x:c>
      <x:c r="V370" s="348" t="n">
        <x:v>46269</x:v>
      </x:c>
      <x:c r="W370" s="349" t="inlineStr">
        <x:is>
          <x:t xml:space="preserve">用户自制Blender资产</x:t>
        </x:is>
      </x:c>
      <x:c r="X370" s="375" t="inlineStr">
        <x:is>
          <x:t xml:space="preserve">—</x:t>
        </x:is>
      </x:c>
      <x:c r="Y370" s="349" t="inlineStr">
        <x:is>
          <x:t xml:space="preserve"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1" ht="54" customHeight="1">
      <x:c r="A371" t="inlineStr">
        <x:is>
          <x:t xml:space="preserve">BPK-BASE99-LOFT-NIGHTSTAND</x:t>
        </x:is>
      </x:c>
      <x:c r="B371" t="inlineStr">
        <x:is>
          <x:t xml:space="preserve">基地99层 · 参考床头柜与生活物件</x:t>
        </x:is>
      </x:c>
      <x:c r="C371" t="inlineStr">
        <x:is>
          <x:t xml:space="preserve">基地资产包</x:t>
        </x:is>
      </x:c>
      <x:c r="D371" t="inlineStr">
        <x:is>
          <x:t xml:space="preserve">二楼/阁楼设施包</x:t>
        </x:is>
      </x:c>
      <x:c r="E371" t="inlineStr">
        <x:is>
          <x:t xml:space="preserve">base99_package_loft_nightstand</x:t>
        </x:is>
      </x:c>
      <x:c r="F371" t="inlineStr">
        <x:is>
          <x:t xml:space="preserve">package_root</x:t>
        </x:is>
      </x:c>
      <x:c r="G371" t="inlineStr">
        <x:is>
          <x:t xml:space="preserve">ENV-BASE99-ART-LAYOUT-3D</x:t>
        </x:is>
      </x:c>
      <x:c r="H371" t="inlineStr">
        <x:is>
          <x:t xml:space="preserve">Top3D / Blender +Y北</x:t>
        </x:is>
      </x:c>
      <x:c r="I371" t="inlineStr">
        <x:is>
          <x:t xml:space="preserve">static / default</x:t>
        </x:is>
      </x:c>
      <x:c r="J371" t="inlineStr">
        <x:is>
          <x:t xml:space="preserve">3D-设施 / 基地99层独立资产包</x:t>
        </x:is>
      </x:c>
      <x:c r="K371" t="inlineStr">
        <x:is>
          <x:t xml:space="preserve">Blender源已完成</x:t>
        </x:is>
      </x:c>
      <x:c r="L371" t="inlineStr">
        <x:is>
          <x:t xml:space="preserve">P1</x:t>
        </x:is>
      </x:c>
      <x:c r="M371" t="inlineStr">
        <x:is>
          <x:t xml:space="preserve">v021</x:t>
        </x:is>
      </x:c>
      <x:c r="N371" s="349" t="inlineStr">
        <x:is>
          <x:t xml:space="preserve">包络 1.100×1.060×1.465m；10 网格；0 灯</x:t>
        </x:is>
      </x:c>
      <x:c r="O371" s="349" t="inlineStr">
        <x:is>
          <x:t xml:space="preserve">source/art/blender/base_facility_layout/component_packages/loft/loft_nightstand/asset_manifest.json</x:t>
        </x:is>
      </x:c>
      <x:c r="P371" s="349" t="inlineStr">
        <x:is>
          <x:t xml:space="preserve">source/art/blender/base_facility_layout/source/base_facility_runtime_layout_hq_v026.blend; source/art/blender/base_facility_layout/component_packages/loft/loft_nightstand/asset_manifest.json</x:t>
        </x:is>
      </x:c>
      <x:c r="Q371" s="349" t="inlineStr">
        <x:is>
          <x:t xml:space="preserve">基地99层;基地资产包;3D设施;二楼/阁楼设施包;loft_nightstand;PaletteUV</x:t>
        </x:is>
      </x:c>
      <x:c r="R371" s="349" t="str">
        <x:f>LOWER(TRIM(C371)&amp;"|"&amp;TRIM(D371)&amp;"|"&amp;TRIM(E371)&amp;"|"&amp;TRIM(F371)&amp;"|"&amp;TRIM(H371)&amp;"|"&amp;TRIM(I371))</x:f>
        <x:v>基地资产包|二楼/阁楼设施包|base99_package_loft_nightstand|package_root|top3d / blender +y北|static / default</x:v>
      </x:c>
      <x:c r="S371" s="349" t="str">
        <x:f>IF(COUNTIF($R$6:$R$423,R371)&gt;1,"重复","唯一")</x:f>
        <x:v>唯一</x:v>
      </x:c>
      <x:c r="T371" s="349" t="inlineStr">
        <x:is>
          <x:t xml:space="preserve">a671d85e1ea271fc63803ef03491d6e963024cabedf4c795d2709e629d15a6f1</x:t>
        </x:is>
      </x:c>
      <x:c r="U371" s="349" t="inlineStr">
        <x:is>
          <x:t xml:space="preserve">Codex</x:t>
        </x:is>
      </x:c>
      <x:c r="V371" s="348" t="n">
        <x:v>46269</x:v>
      </x:c>
      <x:c r="W371" s="349" t="inlineStr">
        <x:is>
          <x:t xml:space="preserve">用户自制Blender资产</x:t>
        </x:is>
      </x:c>
      <x:c r="X371" s="375" t="inlineStr">
        <x:is>
          <x:t xml:space="preserve">—</x:t>
        </x:is>
      </x:c>
      <x:c r="Y371" s="349" t="inlineStr">
        <x:is>
          <x:t xml:space="preserve"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2" ht="54" customHeight="1">
      <x:c r="A372" t="inlineStr">
        <x:is>
          <x:t xml:space="preserve">BPK-BASE99-LOFT-OFFICE-CHAIR</x:t>
        </x:is>
      </x:c>
      <x:c r="B372" t="inlineStr">
        <x:is>
          <x:t xml:space="preserve">基地99层 · 带扶手办公椅</x:t>
        </x:is>
      </x:c>
      <x:c r="C372" t="inlineStr">
        <x:is>
          <x:t xml:space="preserve">基地资产包</x:t>
        </x:is>
      </x:c>
      <x:c r="D372" t="inlineStr">
        <x:is>
          <x:t xml:space="preserve">二楼/阁楼设施包</x:t>
        </x:is>
      </x:c>
      <x:c r="E372" t="inlineStr">
        <x:is>
          <x:t xml:space="preserve">base99_package_loft_office_chair</x:t>
        </x:is>
      </x:c>
      <x:c r="F372" t="inlineStr">
        <x:is>
          <x:t xml:space="preserve">package_root</x:t>
        </x:is>
      </x:c>
      <x:c r="G372" t="inlineStr">
        <x:is>
          <x:t xml:space="preserve">ENV-BASE99-ART-LAYOUT-3D</x:t>
        </x:is>
      </x:c>
      <x:c r="H372" t="inlineStr">
        <x:is>
          <x:t xml:space="preserve">Top3D / Blender +Y北</x:t>
        </x:is>
      </x:c>
      <x:c r="I372" t="inlineStr">
        <x:is>
          <x:t xml:space="preserve">static / default</x:t>
        </x:is>
      </x:c>
      <x:c r="J372" t="inlineStr">
        <x:is>
          <x:t xml:space="preserve">3D-设施 / 基地99层独立资产包</x:t>
        </x:is>
      </x:c>
      <x:c r="K372" t="inlineStr">
        <x:is>
          <x:t xml:space="preserve">Blender源已完成</x:t>
        </x:is>
      </x:c>
      <x:c r="L372" t="inlineStr">
        <x:is>
          <x:t xml:space="preserve">P1</x:t>
        </x:is>
      </x:c>
      <x:c r="M372" t="inlineStr">
        <x:is>
          <x:t xml:space="preserve">v017</x:t>
        </x:is>
      </x:c>
      <x:c r="N372" s="349" t="inlineStr">
        <x:is>
          <x:t xml:space="preserve">包络 1.280×1.127×2.021m；18 网格；0 灯</x:t>
        </x:is>
      </x:c>
      <x:c r="O372" s="349" t="inlineStr">
        <x:is>
          <x:t xml:space="preserve">source/art/blender/base_facility_layout/component_packages/loft/loft_office_chair/asset_manifest.json</x:t>
        </x:is>
      </x:c>
      <x:c r="P372" s="349" t="inlineStr">
        <x:is>
          <x:t xml:space="preserve">source/art/blender/base_facility_layout/source/base_facility_runtime_layout_hq_v026.blend; source/art/blender/base_facility_layout/component_packages/loft/loft_office_chair/asset_manifest.json</x:t>
        </x:is>
      </x:c>
      <x:c r="Q372" s="349" t="inlineStr">
        <x:is>
          <x:t xml:space="preserve">基地99层;基地资产包;3D设施;二楼/阁楼设施包;loft_office_chair;PaletteUV</x:t>
        </x:is>
      </x:c>
      <x:c r="R372" s="349" t="str">
        <x:f>LOWER(TRIM(C372)&amp;"|"&amp;TRIM(D372)&amp;"|"&amp;TRIM(E372)&amp;"|"&amp;TRIM(F372)&amp;"|"&amp;TRIM(H372)&amp;"|"&amp;TRIM(I372))</x:f>
        <x:v>基地资产包|二楼/阁楼设施包|base99_package_loft_office_chair|package_root|top3d / blender +y北|static / default</x:v>
      </x:c>
      <x:c r="S372" s="349" t="str">
        <x:f>IF(COUNTIF($R$6:$R$423,R372)&gt;1,"重复","唯一")</x:f>
        <x:v>唯一</x:v>
      </x:c>
      <x:c r="T372" s="349" t="inlineStr">
        <x:is>
          <x:t xml:space="preserve">cebb026db98f698673e2758ee5b887a5d2108a277298e8fdd3dde9e2fa06704e</x:t>
        </x:is>
      </x:c>
      <x:c r="U372" s="349" t="inlineStr">
        <x:is>
          <x:t xml:space="preserve">Codex</x:t>
        </x:is>
      </x:c>
      <x:c r="V372" s="348" t="n">
        <x:v>46269</x:v>
      </x:c>
      <x:c r="W372" s="349" t="inlineStr">
        <x:is>
          <x:t xml:space="preserve">用户自制Blender资产</x:t>
        </x:is>
      </x:c>
      <x:c r="X372" s="375" t="inlineStr">
        <x:is>
          <x:t xml:space="preserve">—</x:t>
        </x:is>
      </x:c>
      <x:c r="Y372" s="349" t="inlineStr">
        <x:is>
          <x:t xml:space="preserve"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3" ht="54" customHeight="1">
      <x:c r="A373" t="inlineStr">
        <x:is>
          <x:t xml:space="preserve">BPK-BASE99-LOFT-POUF-01</x:t>
        </x:is>
      </x:c>
      <x:c r="B373" t="inlineStr">
        <x:is>
          <x:t xml:space="preserve">基地99层 · 青绿圆形坐墩01</x:t>
        </x:is>
      </x:c>
      <x:c r="C373" t="inlineStr">
        <x:is>
          <x:t xml:space="preserve">基地资产包</x:t>
        </x:is>
      </x:c>
      <x:c r="D373" t="inlineStr">
        <x:is>
          <x:t xml:space="preserve">二楼/阁楼设施包</x:t>
        </x:is>
      </x:c>
      <x:c r="E373" t="inlineStr">
        <x:is>
          <x:t xml:space="preserve">base99_package_loft_pouf_01</x:t>
        </x:is>
      </x:c>
      <x:c r="F373" t="inlineStr">
        <x:is>
          <x:t xml:space="preserve">package_root</x:t>
        </x:is>
      </x:c>
      <x:c r="G373" t="inlineStr">
        <x:is>
          <x:t xml:space="preserve">ENV-BASE99-ART-LAYOUT-3D</x:t>
        </x:is>
      </x:c>
      <x:c r="H373" t="inlineStr">
        <x:is>
          <x:t xml:space="preserve">Top3D / Blender +Y北</x:t>
        </x:is>
      </x:c>
      <x:c r="I373" t="inlineStr">
        <x:is>
          <x:t xml:space="preserve">static / default</x:t>
        </x:is>
      </x:c>
      <x:c r="J373" t="inlineStr">
        <x:is>
          <x:t xml:space="preserve">3D-设施 / 基地99层独立资产包</x:t>
        </x:is>
      </x:c>
      <x:c r="K373" t="inlineStr">
        <x:is>
          <x:t xml:space="preserve">Blender源已完成</x:t>
        </x:is>
      </x:c>
      <x:c r="L373" t="inlineStr">
        <x:is>
          <x:t xml:space="preserve">P1</x:t>
        </x:is>
      </x:c>
      <x:c r="M373" t="inlineStr">
        <x:is>
          <x:t xml:space="preserve">v017</x:t>
        </x:is>
      </x:c>
      <x:c r="N373" s="349" t="inlineStr">
        <x:is>
          <x:t xml:space="preserve">包络 0.880×0.880×0.570m；3 网格；0 灯</x:t>
        </x:is>
      </x:c>
      <x:c r="O373" s="349" t="inlineStr">
        <x:is>
          <x:t xml:space="preserve">source/art/blender/base_facility_layout/component_packages/loft/loft_pouf_01/asset_manifest.json</x:t>
        </x:is>
      </x:c>
      <x:c r="P373" s="349" t="inlineStr">
        <x:is>
          <x:t xml:space="preserve">source/art/blender/base_facility_layout/source/base_facility_runtime_layout_hq_v026.blend; source/art/blender/base_facility_layout/component_packages/loft/loft_pouf_01/asset_manifest.json</x:t>
        </x:is>
      </x:c>
      <x:c r="Q373" s="349" t="inlineStr">
        <x:is>
          <x:t xml:space="preserve">基地99层;基地资产包;3D设施;二楼/阁楼设施包;loft_pouf_01;PaletteUV</x:t>
        </x:is>
      </x:c>
      <x:c r="R373" s="349" t="str">
        <x:f>LOWER(TRIM(C373)&amp;"|"&amp;TRIM(D373)&amp;"|"&amp;TRIM(E373)&amp;"|"&amp;TRIM(F373)&amp;"|"&amp;TRIM(H373)&amp;"|"&amp;TRIM(I373))</x:f>
        <x:v>基地资产包|二楼/阁楼设施包|base99_package_loft_pouf_01|package_root|top3d / blender +y北|static / default</x:v>
      </x:c>
      <x:c r="S373" s="349" t="str">
        <x:f>IF(COUNTIF($R$6:$R$423,R373)&gt;1,"重复","唯一")</x:f>
        <x:v>唯一</x:v>
      </x:c>
      <x:c r="T373" s="349" t="inlineStr">
        <x:is>
          <x:t xml:space="preserve">eefc2ff2071498076d80babd04c265a339885c872298e33ac1032f7ba16affde</x:t>
        </x:is>
      </x:c>
      <x:c r="U373" s="349" t="inlineStr">
        <x:is>
          <x:t xml:space="preserve">Codex</x:t>
        </x:is>
      </x:c>
      <x:c r="V373" s="348" t="n">
        <x:v>46269</x:v>
      </x:c>
      <x:c r="W373" s="349" t="inlineStr">
        <x:is>
          <x:t xml:space="preserve">用户自制Blender资产</x:t>
        </x:is>
      </x:c>
      <x:c r="X373" s="375" t="inlineStr">
        <x:is>
          <x:t xml:space="preserve">—</x:t>
        </x:is>
      </x:c>
      <x:c r="Y373" s="349" t="inlineStr">
        <x:is>
          <x:t xml:space="preserve"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4" ht="54" customHeight="1">
      <x:c r="A374" t="inlineStr">
        <x:is>
          <x:t xml:space="preserve">BPK-BASE99-LOFT-POUF-02</x:t>
        </x:is>
      </x:c>
      <x:c r="B374" t="inlineStr">
        <x:is>
          <x:t xml:space="preserve">基地99层 · 深绿圆形坐墩02</x:t>
        </x:is>
      </x:c>
      <x:c r="C374" t="inlineStr">
        <x:is>
          <x:t xml:space="preserve">基地资产包</x:t>
        </x:is>
      </x:c>
      <x:c r="D374" t="inlineStr">
        <x:is>
          <x:t xml:space="preserve">二楼/阁楼设施包</x:t>
        </x:is>
      </x:c>
      <x:c r="E374" t="inlineStr">
        <x:is>
          <x:t xml:space="preserve">base99_package_loft_pouf_02</x:t>
        </x:is>
      </x:c>
      <x:c r="F374" t="inlineStr">
        <x:is>
          <x:t xml:space="preserve">package_root</x:t>
        </x:is>
      </x:c>
      <x:c r="G374" t="inlineStr">
        <x:is>
          <x:t xml:space="preserve">ENV-BASE99-ART-LAYOUT-3D</x:t>
        </x:is>
      </x:c>
      <x:c r="H374" t="inlineStr">
        <x:is>
          <x:t xml:space="preserve">Top3D / Blender +Y北</x:t>
        </x:is>
      </x:c>
      <x:c r="I374" t="inlineStr">
        <x:is>
          <x:t xml:space="preserve">static / default</x:t>
        </x:is>
      </x:c>
      <x:c r="J374" t="inlineStr">
        <x:is>
          <x:t xml:space="preserve">3D-设施 / 基地99层独立资产包</x:t>
        </x:is>
      </x:c>
      <x:c r="K374" t="inlineStr">
        <x:is>
          <x:t xml:space="preserve">Blender源已完成</x:t>
        </x:is>
      </x:c>
      <x:c r="L374" t="inlineStr">
        <x:is>
          <x:t xml:space="preserve">P1</x:t>
        </x:is>
      </x:c>
      <x:c r="M374" t="inlineStr">
        <x:is>
          <x:t xml:space="preserve">v017</x:t>
        </x:is>
      </x:c>
      <x:c r="N374" s="349" t="inlineStr">
        <x:is>
          <x:t xml:space="preserve">包络 0.880×0.880×0.570m；3 网格；0 灯</x:t>
        </x:is>
      </x:c>
      <x:c r="O374" s="349" t="inlineStr">
        <x:is>
          <x:t xml:space="preserve">source/art/blender/base_facility_layout/component_packages/loft/loft_pouf_02/asset_manifest.json</x:t>
        </x:is>
      </x:c>
      <x:c r="P374" s="349" t="inlineStr">
        <x:is>
          <x:t xml:space="preserve">source/art/blender/base_facility_layout/source/base_facility_runtime_layout_hq_v026.blend; source/art/blender/base_facility_layout/component_packages/loft/loft_pouf_02/asset_manifest.json</x:t>
        </x:is>
      </x:c>
      <x:c r="Q374" s="349" t="inlineStr">
        <x:is>
          <x:t xml:space="preserve">基地99层;基地资产包;3D设施;二楼/阁楼设施包;loft_pouf_02;PaletteUV</x:t>
        </x:is>
      </x:c>
      <x:c r="R374" s="349" t="str">
        <x:f>LOWER(TRIM(C374)&amp;"|"&amp;TRIM(D374)&amp;"|"&amp;TRIM(E374)&amp;"|"&amp;TRIM(F374)&amp;"|"&amp;TRIM(H374)&amp;"|"&amp;TRIM(I374))</x:f>
        <x:v>基地资产包|二楼/阁楼设施包|base99_package_loft_pouf_02|package_root|top3d / blender +y北|static / default</x:v>
      </x:c>
      <x:c r="S374" s="349" t="str">
        <x:f>IF(COUNTIF($R$6:$R$423,R374)&gt;1,"重复","唯一")</x:f>
        <x:v>唯一</x:v>
      </x:c>
      <x:c r="T374" s="349" t="inlineStr">
        <x:is>
          <x:t xml:space="preserve">12605eb5bd72bfcf95a6681defcf7f3bf10c433598bdc573bf88ba7c45988f01</x:t>
        </x:is>
      </x:c>
      <x:c r="U374" s="349" t="inlineStr">
        <x:is>
          <x:t xml:space="preserve">Codex</x:t>
        </x:is>
      </x:c>
      <x:c r="V374" s="348" t="n">
        <x:v>46269</x:v>
      </x:c>
      <x:c r="W374" s="349" t="inlineStr">
        <x:is>
          <x:t xml:space="preserve">用户自制Blender资产</x:t>
        </x:is>
      </x:c>
      <x:c r="X374" s="375" t="inlineStr">
        <x:is>
          <x:t xml:space="preserve">—</x:t>
        </x:is>
      </x:c>
      <x:c r="Y374" s="349" t="inlineStr">
        <x:is>
          <x:t xml:space="preserve"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5" ht="54" customHeight="1">
      <x:c r="A375" t="inlineStr">
        <x:is>
          <x:t xml:space="preserve">BPK-BASE99-LOFT-SIDE-TABLE</x:t>
        </x:is>
      </x:c>
      <x:c r="B375" t="inlineStr">
        <x:is>
          <x:t xml:space="preserve">基地99层 · 床前辅助小桌</x:t>
        </x:is>
      </x:c>
      <x:c r="C375" t="inlineStr">
        <x:is>
          <x:t xml:space="preserve">基地资产包</x:t>
        </x:is>
      </x:c>
      <x:c r="D375" t="inlineStr">
        <x:is>
          <x:t xml:space="preserve">二楼/阁楼设施包</x:t>
        </x:is>
      </x:c>
      <x:c r="E375" t="inlineStr">
        <x:is>
          <x:t xml:space="preserve">base99_package_loft_side_table</x:t>
        </x:is>
      </x:c>
      <x:c r="F375" t="inlineStr">
        <x:is>
          <x:t xml:space="preserve">package_root</x:t>
        </x:is>
      </x:c>
      <x:c r="G375" t="inlineStr">
        <x:is>
          <x:t xml:space="preserve">ENV-BASE99-ART-LAYOUT-3D</x:t>
        </x:is>
      </x:c>
      <x:c r="H375" t="inlineStr">
        <x:is>
          <x:t xml:space="preserve">Top3D / Blender +Y北</x:t>
        </x:is>
      </x:c>
      <x:c r="I375" t="inlineStr">
        <x:is>
          <x:t xml:space="preserve">static / default</x:t>
        </x:is>
      </x:c>
      <x:c r="J375" t="inlineStr">
        <x:is>
          <x:t xml:space="preserve">3D-设施 / 基地99层独立资产包</x:t>
        </x:is>
      </x:c>
      <x:c r="K375" t="inlineStr">
        <x:is>
          <x:t xml:space="preserve">Blender源已完成</x:t>
        </x:is>
      </x:c>
      <x:c r="L375" t="inlineStr">
        <x:is>
          <x:t xml:space="preserve">P1</x:t>
        </x:is>
      </x:c>
      <x:c r="M375" t="inlineStr">
        <x:is>
          <x:t xml:space="preserve">v017</x:t>
        </x:is>
      </x:c>
      <x:c r="N375" s="349" t="inlineStr">
        <x:is>
          <x:t xml:space="preserve">包络 1.120×0.760×0.765m；7 网格；0 灯</x:t>
        </x:is>
      </x:c>
      <x:c r="O375" s="349" t="inlineStr">
        <x:is>
          <x:t xml:space="preserve">source/art/blender/base_facility_layout/component_packages/loft/loft_side_table/asset_manifest.json</x:t>
        </x:is>
      </x:c>
      <x:c r="P375" s="349" t="inlineStr">
        <x:is>
          <x:t xml:space="preserve">source/art/blender/base_facility_layout/source/base_facility_runtime_layout_hq_v026.blend; source/art/blender/base_facility_layout/component_packages/loft/loft_side_table/asset_manifest.json</x:t>
        </x:is>
      </x:c>
      <x:c r="Q375" s="349" t="inlineStr">
        <x:is>
          <x:t xml:space="preserve">基地99层;基地资产包;3D设施;二楼/阁楼设施包;loft_side_table;PaletteUV</x:t>
        </x:is>
      </x:c>
      <x:c r="R375" s="349" t="str">
        <x:f>LOWER(TRIM(C375)&amp;"|"&amp;TRIM(D375)&amp;"|"&amp;TRIM(E375)&amp;"|"&amp;TRIM(F375)&amp;"|"&amp;TRIM(H375)&amp;"|"&amp;TRIM(I375))</x:f>
        <x:v>基地资产包|二楼/阁楼设施包|base99_package_loft_side_table|package_root|top3d / blender +y北|static / default</x:v>
      </x:c>
      <x:c r="S375" s="349" t="str">
        <x:f>IF(COUNTIF($R$6:$R$423,R375)&gt;1,"重复","唯一")</x:f>
        <x:v>唯一</x:v>
      </x:c>
      <x:c r="T375" s="349" t="inlineStr">
        <x:is>
          <x:t xml:space="preserve">196228330020639583b065ab7356611b6ec416c887ed0cb2ea8a691979a94a43</x:t>
        </x:is>
      </x:c>
      <x:c r="U375" s="349" t="inlineStr">
        <x:is>
          <x:t xml:space="preserve">Codex</x:t>
        </x:is>
      </x:c>
      <x:c r="V375" s="348" t="n">
        <x:v>46269</x:v>
      </x:c>
      <x:c r="W375" s="349" t="inlineStr">
        <x:is>
          <x:t xml:space="preserve">用户自制Blender资产</x:t>
        </x:is>
      </x:c>
      <x:c r="X375" s="375" t="inlineStr">
        <x:is>
          <x:t xml:space="preserve">—</x:t>
        </x:is>
      </x:c>
      <x:c r="Y375" s="349" t="inlineStr">
        <x:is>
          <x:t xml:space="preserve"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6" ht="54" customHeight="1">
      <x:c r="A376" t="inlineStr">
        <x:is>
          <x:t xml:space="preserve">BPK-BASE99-LOFT-STAY-CURIOUS-NEON</x:t>
        </x:is>
      </x:c>
      <x:c r="B376" t="inlineStr">
        <x:is>
          <x:t xml:space="preserve">基地99层 · STAY_CURIOUS楼梯墙标识</x:t>
        </x:is>
      </x:c>
      <x:c r="C376" t="inlineStr">
        <x:is>
          <x:t xml:space="preserve">基地资产包</x:t>
        </x:is>
      </x:c>
      <x:c r="D376" t="inlineStr">
        <x:is>
          <x:t xml:space="preserve">二楼/阁楼设施包</x:t>
        </x:is>
      </x:c>
      <x:c r="E376" t="inlineStr">
        <x:is>
          <x:t xml:space="preserve">base99_package_loft_stay_curious_neon</x:t>
        </x:is>
      </x:c>
      <x:c r="F376" t="inlineStr">
        <x:is>
          <x:t xml:space="preserve">package_root</x:t>
        </x:is>
      </x:c>
      <x:c r="G376" t="inlineStr">
        <x:is>
          <x:t xml:space="preserve">ENV-BASE99-ART-LAYOUT-3D</x:t>
        </x:is>
      </x:c>
      <x:c r="H376" t="inlineStr">
        <x:is>
          <x:t xml:space="preserve">Top3D / Blender +Y北</x:t>
        </x:is>
      </x:c>
      <x:c r="I376" t="inlineStr">
        <x:is>
          <x:t xml:space="preserve">static / fixture_light</x:t>
        </x:is>
      </x:c>
      <x:c r="J376" t="inlineStr">
        <x:is>
          <x:t xml:space="preserve">3D-设施 / 基地99层独立资产包</x:t>
        </x:is>
      </x:c>
      <x:c r="K376" t="inlineStr">
        <x:is>
          <x:t xml:space="preserve">Blender源已完成</x:t>
        </x:is>
      </x:c>
      <x:c r="L376" t="inlineStr">
        <x:is>
          <x:t xml:space="preserve">P1</x:t>
        </x:is>
      </x:c>
      <x:c r="M376" t="inlineStr">
        <x:is>
          <x:t xml:space="preserve">v017</x:t>
        </x:is>
      </x:c>
      <x:c r="N376" s="349" t="inlineStr">
        <x:is>
          <x:t xml:space="preserve">包络 0.608×1.500×0.844m；2 网格；2 灯</x:t>
        </x:is>
      </x:c>
      <x:c r="O376" s="349" t="inlineStr">
        <x:is>
          <x:t xml:space="preserve">source/art/blender/base_facility_layout/component_packages/loft/loft_stay_curious_neon/asset_manifest.json</x:t>
        </x:is>
      </x:c>
      <x:c r="P376" s="349" t="inlineStr">
        <x:is>
          <x:t xml:space="preserve">source/art/blender/base_facility_layout/source/base_facility_runtime_layout_hq_v026.blend; source/art/blender/base_facility_layout/component_packages/loft/loft_stay_curious_neon/asset_manifest.json</x:t>
        </x:is>
      </x:c>
      <x:c r="Q376" s="349" t="inlineStr">
        <x:is>
          <x:t xml:space="preserve">基地99层;基地资产包;3D设施;二楼/阁楼设施包;loft_stay_curious_neon;PaletteUV</x:t>
        </x:is>
      </x:c>
      <x:c r="R376" s="349" t="str">
        <x:f>LOWER(TRIM(C376)&amp;"|"&amp;TRIM(D376)&amp;"|"&amp;TRIM(E376)&amp;"|"&amp;TRIM(F376)&amp;"|"&amp;TRIM(H376)&amp;"|"&amp;TRIM(I376))</x:f>
        <x:v>基地资产包|二楼/阁楼设施包|base99_package_loft_stay_curious_neon|package_root|top3d / blender +y北|static / fixture_light</x:v>
      </x:c>
      <x:c r="S376" s="349" t="str">
        <x:f>IF(COUNTIF($R$6:$R$423,R376)&gt;1,"重复","唯一")</x:f>
        <x:v>唯一</x:v>
      </x:c>
      <x:c r="T376" s="349" t="inlineStr">
        <x:is>
          <x:t xml:space="preserve">839a14265dd791c3f75a3db2366d5f6ae3231711710ff2d37294e08852eab7d2</x:t>
        </x:is>
      </x:c>
      <x:c r="U376" s="349" t="inlineStr">
        <x:is>
          <x:t xml:space="preserve">Codex</x:t>
        </x:is>
      </x:c>
      <x:c r="V376" s="348" t="n">
        <x:v>46269</x:v>
      </x:c>
      <x:c r="W376" s="349" t="inlineStr">
        <x:is>
          <x:t xml:space="preserve">用户自制Blender资产</x:t>
        </x:is>
      </x:c>
      <x:c r="X376" s="375" t="inlineStr">
        <x:is>
          <x:t xml:space="preserve">52</x:t>
        </x:is>
      </x:c>
      <x:c r="Y376" s="349" t="inlineStr">
        <x:is>
          <x:t xml:space="preserve"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x:t>
        </x:is>
      </x:c>
    </x:row>
    <x:row r="377" ht="54" customHeight="1">
      <x:c r="A377" t="inlineStr">
        <x:is>
          <x:t xml:space="preserve">BPK-BASE99-LOFT-STRIPED-PRIVACY-CURTAIN</x:t>
        </x:is>
      </x:c>
      <x:c r="B377" t="inlineStr">
        <x:is>
          <x:t xml:space="preserve">基地99层 · 红紫条纹隔断帘</x:t>
        </x:is>
      </x:c>
      <x:c r="C377" t="inlineStr">
        <x:is>
          <x:t xml:space="preserve">基地资产包</x:t>
        </x:is>
      </x:c>
      <x:c r="D377" t="inlineStr">
        <x:is>
          <x:t xml:space="preserve">二楼/阁楼设施包</x:t>
        </x:is>
      </x:c>
      <x:c r="E377" t="inlineStr">
        <x:is>
          <x:t xml:space="preserve">base99_package_loft_striped_privacy_curtain</x:t>
        </x:is>
      </x:c>
      <x:c r="F377" t="inlineStr">
        <x:is>
          <x:t xml:space="preserve">package_root</x:t>
        </x:is>
      </x:c>
      <x:c r="G377" t="inlineStr">
        <x:is>
          <x:t xml:space="preserve">ENV-BASE99-ART-LAYOUT-3D</x:t>
        </x:is>
      </x:c>
      <x:c r="H377" t="inlineStr">
        <x:is>
          <x:t xml:space="preserve">Top3D / Blender +Y北</x:t>
        </x:is>
      </x:c>
      <x:c r="I377" t="inlineStr">
        <x:is>
          <x:t xml:space="preserve">static / default</x:t>
        </x:is>
      </x:c>
      <x:c r="J377" t="inlineStr">
        <x:is>
          <x:t xml:space="preserve">3D-设施 / 基地99层独立资产包</x:t>
        </x:is>
      </x:c>
      <x:c r="K377" t="inlineStr">
        <x:is>
          <x:t xml:space="preserve">Blender源已完成</x:t>
        </x:is>
      </x:c>
      <x:c r="L377" t="inlineStr">
        <x:is>
          <x:t xml:space="preserve">P1</x:t>
        </x:is>
      </x:c>
      <x:c r="M377" t="inlineStr">
        <x:is>
          <x:t xml:space="preserve">v017</x:t>
        </x:is>
      </x:c>
      <x:c r="N377" s="349" t="inlineStr">
        <x:is>
          <x:t xml:space="preserve">包络 0.263×2.875×2.328m；29 网格；0 灯</x:t>
        </x:is>
      </x:c>
      <x:c r="O377" s="349" t="inlineStr">
        <x:is>
          <x:t xml:space="preserve">source/art/blender/base_facility_layout/component_packages/loft/loft_striped_privacy_curtain/asset_manifest.json</x:t>
        </x:is>
      </x:c>
      <x:c r="P377" s="349" t="inlineStr">
        <x:is>
          <x:t xml:space="preserve">source/art/blender/base_facility_layout/source/base_facility_runtime_layout_hq_v026.blend; source/art/blender/base_facility_layout/component_packages/loft/loft_striped_privacy_curtain/asset_manifest.json</x:t>
        </x:is>
      </x:c>
      <x:c r="Q377" s="349" t="inlineStr">
        <x:is>
          <x:t xml:space="preserve">基地99层;基地资产包;3D设施;二楼/阁楼设施包;loft_striped_privacy_curtain;PaletteUV</x:t>
        </x:is>
      </x:c>
      <x:c r="R377" s="349" t="str">
        <x:f>LOWER(TRIM(C377)&amp;"|"&amp;TRIM(D377)&amp;"|"&amp;TRIM(E377)&amp;"|"&amp;TRIM(F377)&amp;"|"&amp;TRIM(H377)&amp;"|"&amp;TRIM(I377))</x:f>
        <x:v>基地资产包|二楼/阁楼设施包|base99_package_loft_striped_privacy_curtain|package_root|top3d / blender +y北|static / default</x:v>
      </x:c>
      <x:c r="S377" s="349" t="str">
        <x:f>IF(COUNTIF($R$6:$R$423,R377)&gt;1,"重复","唯一")</x:f>
        <x:v>唯一</x:v>
      </x:c>
      <x:c r="T377" s="349" t="inlineStr">
        <x:is>
          <x:t xml:space="preserve">314bae326f34e948dddfa42d0e73b70b79743095bcb218ec4ae96970f07cf656</x:t>
        </x:is>
      </x:c>
      <x:c r="U377" s="349" t="inlineStr">
        <x:is>
          <x:t xml:space="preserve">Codex</x:t>
        </x:is>
      </x:c>
      <x:c r="V377" s="348" t="n">
        <x:v>46269</x:v>
      </x:c>
      <x:c r="W377" s="349" t="inlineStr">
        <x:is>
          <x:t xml:space="preserve">用户自制Blender资产</x:t>
        </x:is>
      </x:c>
      <x:c r="X377" s="375" t="inlineStr">
        <x:is>
          <x:t xml:space="preserve">—</x:t>
        </x:is>
      </x:c>
      <x:c r="Y377" s="349" t="inlineStr">
        <x:is>
          <x:t xml:space="preserve"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8" ht="54" customHeight="1">
      <x:c r="A378" t="inlineStr">
        <x:is>
          <x:t xml:space="preserve">BPK-BASE99-LOFT-TOOL-PEGBOARD</x:t>
        </x:is>
      </x:c>
      <x:c r="B378" t="inlineStr">
        <x:is>
          <x:t xml:space="preserve">基地99层 · 工具洞洞板与固定工具</x:t>
        </x:is>
      </x:c>
      <x:c r="C378" t="inlineStr">
        <x:is>
          <x:t xml:space="preserve">基地资产包</x:t>
        </x:is>
      </x:c>
      <x:c r="D378" t="inlineStr">
        <x:is>
          <x:t xml:space="preserve">二楼/阁楼设施包</x:t>
        </x:is>
      </x:c>
      <x:c r="E378" t="inlineStr">
        <x:is>
          <x:t xml:space="preserve">base99_package_loft_tool_pegboard</x:t>
        </x:is>
      </x:c>
      <x:c r="F378" t="inlineStr">
        <x:is>
          <x:t xml:space="preserve">package_root</x:t>
        </x:is>
      </x:c>
      <x:c r="G378" t="inlineStr">
        <x:is>
          <x:t xml:space="preserve">ENV-BASE99-ART-LAYOUT-3D</x:t>
        </x:is>
      </x:c>
      <x:c r="H378" t="inlineStr">
        <x:is>
          <x:t xml:space="preserve">Top3D / Blender +Y北</x:t>
        </x:is>
      </x:c>
      <x:c r="I378" t="inlineStr">
        <x:is>
          <x:t xml:space="preserve">static / default</x:t>
        </x:is>
      </x:c>
      <x:c r="J378" t="inlineStr">
        <x:is>
          <x:t xml:space="preserve">3D-设施 / 基地99层独立资产包</x:t>
        </x:is>
      </x:c>
      <x:c r="K378" t="inlineStr">
        <x:is>
          <x:t xml:space="preserve">Blender源已完成</x:t>
        </x:is>
      </x:c>
      <x:c r="L378" t="inlineStr">
        <x:is>
          <x:t xml:space="preserve">P1</x:t>
        </x:is>
      </x:c>
      <x:c r="M378" t="inlineStr">
        <x:is>
          <x:t xml:space="preserve">v017</x:t>
        </x:is>
      </x:c>
      <x:c r="N378" s="349" t="inlineStr">
        <x:is>
          <x:t xml:space="preserve">包络 2.550×0.177×1.340m；41 网格；0 灯</x:t>
        </x:is>
      </x:c>
      <x:c r="O378" s="349" t="inlineStr">
        <x:is>
          <x:t xml:space="preserve">source/art/blender/base_facility_layout/component_packages/loft/loft_tool_pegboard/asset_manifest.json</x:t>
        </x:is>
      </x:c>
      <x:c r="P378" s="349" t="inlineStr">
        <x:is>
          <x:t xml:space="preserve">source/art/blender/base_facility_layout/source/base_facility_runtime_layout_hq_v026.blend; source/art/blender/base_facility_layout/component_packages/loft/loft_tool_pegboard/asset_manifest.json</x:t>
        </x:is>
      </x:c>
      <x:c r="Q378" s="349" t="inlineStr">
        <x:is>
          <x:t xml:space="preserve">基地99层;基地资产包;3D设施;二楼/阁楼设施包;loft_tool_pegboard;PaletteUV</x:t>
        </x:is>
      </x:c>
      <x:c r="R378" s="349" t="str">
        <x:f>LOWER(TRIM(C378)&amp;"|"&amp;TRIM(D378)&amp;"|"&amp;TRIM(E378)&amp;"|"&amp;TRIM(F378)&amp;"|"&amp;TRIM(H378)&amp;"|"&amp;TRIM(I378))</x:f>
        <x:v>基地资产包|二楼/阁楼设施包|base99_package_loft_tool_pegboard|package_root|top3d / blender +y北|static / default</x:v>
      </x:c>
      <x:c r="S378" s="349" t="str">
        <x:f>IF(COUNTIF($R$6:$R$423,R378)&gt;1,"重复","唯一")</x:f>
        <x:v>唯一</x:v>
      </x:c>
      <x:c r="T378" s="349" t="inlineStr">
        <x:is>
          <x:t xml:space="preserve">680345a4a3adf2fc74a5395e7105033c8633e411e57dfc61f7c98474fa70d5e7</x:t>
        </x:is>
      </x:c>
      <x:c r="U378" s="349" t="inlineStr">
        <x:is>
          <x:t xml:space="preserve">Codex</x:t>
        </x:is>
      </x:c>
      <x:c r="V378" s="348" t="n">
        <x:v>46269</x:v>
      </x:c>
      <x:c r="W378" s="349" t="inlineStr">
        <x:is>
          <x:t xml:space="preserve">用户自制Blender资产</x:t>
        </x:is>
      </x:c>
      <x:c r="X378" s="375" t="inlineStr">
        <x:is>
          <x:t xml:space="preserve">—</x:t>
        </x:is>
      </x:c>
      <x:c r="Y378" s="349" t="inlineStr">
        <x:is>
          <x:t xml:space="preserve"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x:t>
        </x:is>
      </x:c>
    </x:row>
    <x:row r="379" ht="54" customHeight="1">
      <x:c r="A379" t="inlineStr">
        <x:is>
          <x:t xml:space="preserve">BPK-BASE99-CORRIDOR-EMERGENCY-LIGHT-GROUP</x:t>
        </x:is>
      </x:c>
      <x:c r="B379" t="inlineStr">
        <x:is>
          <x:t xml:space="preserve">基地99层 · 主通道应急灯组</x:t>
        </x:is>
      </x:c>
      <x:c r="C379" t="inlineStr">
        <x:is>
          <x:t xml:space="preserve">基地资产包</x:t>
        </x:is>
      </x:c>
      <x:c r="D379" t="inlineStr">
        <x:is>
          <x:t xml:space="preserve">环境支持包</x:t>
        </x:is>
      </x:c>
      <x:c r="E379" t="inlineStr">
        <x:is>
          <x:t xml:space="preserve">base99_package_corridor_emergency_light_group</x:t>
        </x:is>
      </x:c>
      <x:c r="F379" t="inlineStr">
        <x:is>
          <x:t xml:space="preserve">package_root</x:t>
        </x:is>
      </x:c>
      <x:c r="G379" t="inlineStr">
        <x:is>
          <x:t xml:space="preserve">ENV-BASE99-ART-LAYOUT-3D</x:t>
        </x:is>
      </x:c>
      <x:c r="H379" t="inlineStr">
        <x:is>
          <x:t xml:space="preserve">Top3D / Blender +Y北</x:t>
        </x:is>
      </x:c>
      <x:c r="I379" t="inlineStr">
        <x:is>
          <x:t xml:space="preserve">static / fixture_light</x:t>
        </x:is>
      </x:c>
      <x:c r="J379" t="inlineStr">
        <x:is>
          <x:t xml:space="preserve">3D-设施 / 基地99层独立资产包</x:t>
        </x:is>
      </x:c>
      <x:c r="K379" t="inlineStr">
        <x:is>
          <x:t xml:space="preserve">Blender源已完成</x:t>
        </x:is>
      </x:c>
      <x:c r="L379" t="inlineStr">
        <x:is>
          <x:t xml:space="preserve">P1</x:t>
        </x:is>
      </x:c>
      <x:c r="M379" t="inlineStr">
        <x:is>
          <x:t xml:space="preserve">v022</x:t>
        </x:is>
      </x:c>
      <x:c r="N379" s="349" t="inlineStr">
        <x:is>
          <x:t xml:space="preserve">包络 27.820×0.750×0.320m；2 网格；2 灯</x:t>
        </x:is>
      </x:c>
      <x:c r="O379" s="349" t="inlineStr">
        <x:is>
          <x:t xml:space="preserve">source/art/blender/base_facility_layout/component_packages/support/corridor_emergency_light_group/asset_manifest.json</x:t>
        </x:is>
      </x:c>
      <x:c r="P379" s="349" t="inlineStr">
        <x:is>
          <x:t xml:space="preserve">source/art/blender/base_facility_layout/source/base_facility_runtime_layout_hq_v026.blend; source/art/blender/base_facility_layout/component_packages/support/corridor_emergency_light_group/asset_manifest.json</x:t>
        </x:is>
      </x:c>
      <x:c r="Q379" s="349" t="inlineStr">
        <x:is>
          <x:t xml:space="preserve">基地99层;基地资产包;3D设施;环境支持包;corridor_emergency_light_group;PaletteUV</x:t>
        </x:is>
      </x:c>
      <x:c r="R379" s="349" t="str">
        <x:f>LOWER(TRIM(C379)&amp;"|"&amp;TRIM(D379)&amp;"|"&amp;TRIM(E379)&amp;"|"&amp;TRIM(F379)&amp;"|"&amp;TRIM(H379)&amp;"|"&amp;TRIM(I379))</x:f>
        <x:v>基地资产包|环境支持包|base99_package_corridor_emergency_light_group|package_root|top3d / blender +y北|static / fixture_light</x:v>
      </x:c>
      <x:c r="S379" s="349" t="str">
        <x:f>IF(COUNTIF($R$6:$R$423,R379)&gt;1,"重复","唯一")</x:f>
        <x:v>唯一</x:v>
      </x:c>
      <x:c r="T379" s="349" t="inlineStr">
        <x:is>
          <x:t xml:space="preserve">91a2188f0a0819488332d5384088e7d4eba0c6043421a93b18c444260e1d9701</x:t>
        </x:is>
      </x:c>
      <x:c r="U379" s="349" t="inlineStr">
        <x:is>
          <x:t xml:space="preserve">Codex</x:t>
        </x:is>
      </x:c>
      <x:c r="V379" s="348" t="n">
        <x:v>46269</x:v>
      </x:c>
      <x:c r="W379" s="349" t="inlineStr">
        <x:is>
          <x:t xml:space="preserve">用户自制Blender资产</x:t>
        </x:is>
      </x:c>
      <x:c r="X379" s="375" t="inlineStr">
        <x:is>
          <x:t xml:space="preserve">62</x:t>
        </x:is>
      </x:c>
      <x:c r="Y379" s="349" t="inlineStr">
        <x:is>
          <x:t xml:space="preserve"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x:t>
        </x:is>
      </x:c>
    </x:row>
    <x:row r="380" ht="54" customHeight="1">
      <x:c r="A380" t="inlineStr">
        <x:is>
          <x:t xml:space="preserve">BPK-BASE99-LOFT-LIGHTING-SUPPORT</x:t>
        </x:is>
      </x:c>
      <x:c r="B380" t="inlineStr">
        <x:is>
          <x:t xml:space="preserve">基地99层 · 二楼分层照明支持</x:t>
        </x:is>
      </x:c>
      <x:c r="C380" t="inlineStr">
        <x:is>
          <x:t xml:space="preserve">基地资产包</x:t>
        </x:is>
      </x:c>
      <x:c r="D380" t="inlineStr">
        <x:is>
          <x:t xml:space="preserve">环境支持包</x:t>
        </x:is>
      </x:c>
      <x:c r="E380" t="inlineStr">
        <x:is>
          <x:t xml:space="preserve">base99_package_loft_lighting_support</x:t>
        </x:is>
      </x:c>
      <x:c r="F380" t="inlineStr">
        <x:is>
          <x:t xml:space="preserve">package_root</x:t>
        </x:is>
      </x:c>
      <x:c r="G380" t="inlineStr">
        <x:is>
          <x:t xml:space="preserve">ENV-BASE99-ART-LAYOUT-3D</x:t>
        </x:is>
      </x:c>
      <x:c r="H380" t="inlineStr">
        <x:is>
          <x:t xml:space="preserve">Top3D / Blender +Y北</x:t>
        </x:is>
      </x:c>
      <x:c r="I380" t="inlineStr">
        <x:is>
          <x:t xml:space="preserve">static / fixture_light</x:t>
        </x:is>
      </x:c>
      <x:c r="J380" t="inlineStr">
        <x:is>
          <x:t xml:space="preserve">3D-设施 / 基地99层独立资产包</x:t>
        </x:is>
      </x:c>
      <x:c r="K380" t="inlineStr">
        <x:is>
          <x:t xml:space="preserve">Blender源已完成</x:t>
        </x:is>
      </x:c>
      <x:c r="L380" t="inlineStr">
        <x:is>
          <x:t xml:space="preserve">P1</x:t>
        </x:is>
      </x:c>
      <x:c r="M380" t="inlineStr">
        <x:is>
          <x:t xml:space="preserve">v017</x:t>
        </x:is>
      </x:c>
      <x:c r="N380" s="349" t="inlineStr">
        <x:is>
          <x:t xml:space="preserve">包络 18.321×9.467×5.292m；8 网格；4 灯</x:t>
        </x:is>
      </x:c>
      <x:c r="O380" s="349" t="inlineStr">
        <x:is>
          <x:t xml:space="preserve">source/art/blender/base_facility_layout/component_packages/support/loft_lighting_support/asset_manifest.json</x:t>
        </x:is>
      </x:c>
      <x:c r="P380" s="349" t="inlineStr">
        <x:is>
          <x:t xml:space="preserve">source/art/blender/base_facility_layout/source/base_facility_runtime_layout_hq_v026.blend; source/art/blender/base_facility_layout/component_packages/support/loft_lighting_support/asset_manifest.json</x:t>
        </x:is>
      </x:c>
      <x:c r="Q380" s="349" t="inlineStr">
        <x:is>
          <x:t xml:space="preserve">基地99层;基地资产包;3D设施;环境支持包;loft_lighting_support;PaletteUV</x:t>
        </x:is>
      </x:c>
      <x:c r="R380" s="349" t="str">
        <x:f>LOWER(TRIM(C380)&amp;"|"&amp;TRIM(D380)&amp;"|"&amp;TRIM(E380)&amp;"|"&amp;TRIM(F380)&amp;"|"&amp;TRIM(H380)&amp;"|"&amp;TRIM(I380))</x:f>
        <x:v>基地资产包|环境支持包|base99_package_loft_lighting_support|package_root|top3d / blender +y北|static / fixture_light</x:v>
      </x:c>
      <x:c r="S380" s="349" t="str">
        <x:f>IF(COUNTIF($R$6:$R$423,R380)&gt;1,"重复","唯一")</x:f>
        <x:v>唯一</x:v>
      </x:c>
      <x:c r="T380" s="349" t="inlineStr">
        <x:is>
          <x:t xml:space="preserve">abe38c11684b2be621edcb448b12850da7d3472d215e9f18c78a0a9592948f23</x:t>
        </x:is>
      </x:c>
      <x:c r="U380" s="349" t="inlineStr">
        <x:is>
          <x:t xml:space="preserve">Codex</x:t>
        </x:is>
      </x:c>
      <x:c r="V380" s="348" t="n">
        <x:v>46269</x:v>
      </x:c>
      <x:c r="W380" s="349" t="inlineStr">
        <x:is>
          <x:t xml:space="preserve">用户自制Blender资产</x:t>
        </x:is>
      </x:c>
      <x:c r="X380" s="375" t="inlineStr">
        <x:is>
          <x:t xml:space="preserve">50</x:t>
        </x:is>
      </x:c>
      <x:c r="Y380" s="349" t="inlineStr">
        <x:is>
          <x:t xml:space="preserve"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81" ht="54" customHeight="1">
      <x:c r="A381" t="inlineStr">
        <x:is>
          <x:t xml:space="preserve">BPK-BASE99-VOLUMETRIC-DUST-FX</x:t>
        </x:is>
      </x:c>
      <x:c r="B381" t="inlineStr">
        <x:is>
          <x:t xml:space="preserve">基地99层 · 光束尘埃动效组</x:t>
        </x:is>
      </x:c>
      <x:c r="C381" t="inlineStr">
        <x:is>
          <x:t xml:space="preserve">基地资产包</x:t>
        </x:is>
      </x:c>
      <x:c r="D381" t="inlineStr">
        <x:is>
          <x:t xml:space="preserve">环境支持包</x:t>
        </x:is>
      </x:c>
      <x:c r="E381" t="inlineStr">
        <x:is>
          <x:t xml:space="preserve">base99_package_volumetric_dust_fx</x:t>
        </x:is>
      </x:c>
      <x:c r="F381" t="inlineStr">
        <x:is>
          <x:t xml:space="preserve">package_root</x:t>
        </x:is>
      </x:c>
      <x:c r="G381" t="inlineStr">
        <x:is>
          <x:t xml:space="preserve">ENV-BASE99-ART-LAYOUT-3D</x:t>
        </x:is>
      </x:c>
      <x:c r="H381" t="inlineStr">
        <x:is>
          <x:t xml:space="preserve">Top3D / Blender +Y北</x:t>
        </x:is>
      </x:c>
      <x:c r="I381" t="inlineStr">
        <x:is>
          <x:t xml:space="preserve">static / default</x:t>
        </x:is>
      </x:c>
      <x:c r="J381" t="inlineStr">
        <x:is>
          <x:t xml:space="preserve">3D-设施 / 基地99层独立资产包</x:t>
        </x:is>
      </x:c>
      <x:c r="K381" t="inlineStr">
        <x:is>
          <x:t xml:space="preserve">Blender源已完成</x:t>
        </x:is>
      </x:c>
      <x:c r="L381" t="inlineStr">
        <x:is>
          <x:t xml:space="preserve">P1</x:t>
        </x:is>
      </x:c>
      <x:c r="M381" t="inlineStr">
        <x:is>
          <x:t xml:space="preserve">v017</x:t>
        </x:is>
      </x:c>
      <x:c r="N381" s="349" t="inlineStr">
        <x:is>
          <x:t xml:space="preserve">包络 23.750×12.014×6.494m；28 网格；0 灯</x:t>
        </x:is>
      </x:c>
      <x:c r="O381" s="349" t="inlineStr">
        <x:is>
          <x:t xml:space="preserve">source/art/blender/base_facility_layout/component_packages/support/volumetric_dust_fx/asset_manifest.json</x:t>
        </x:is>
      </x:c>
      <x:c r="P381" s="349" t="inlineStr">
        <x:is>
          <x:t xml:space="preserve">source/art/blender/base_facility_layout/source/base_facility_runtime_layout_hq_v026.blend; source/art/blender/base_facility_layout/component_packages/support/volumetric_dust_fx/asset_manifest.json</x:t>
        </x:is>
      </x:c>
      <x:c r="Q381" s="349" t="inlineStr">
        <x:is>
          <x:t xml:space="preserve">基地99层;基地资产包;3D设施;环境支持包;volumetric_dust_fx;PaletteUV</x:t>
        </x:is>
      </x:c>
      <x:c r="R381" s="349" t="str">
        <x:f>LOWER(TRIM(C381)&amp;"|"&amp;TRIM(D381)&amp;"|"&amp;TRIM(E381)&amp;"|"&amp;TRIM(F381)&amp;"|"&amp;TRIM(H381)&amp;"|"&amp;TRIM(I381))</x:f>
        <x:v>基地资产包|环境支持包|base99_package_volumetric_dust_fx|package_root|top3d / blender +y北|static / default</x:v>
      </x:c>
      <x:c r="S381" s="349" t="str">
        <x:f>IF(COUNTIF($R$6:$R$423,R381)&gt;1,"重复","唯一")</x:f>
        <x:v>唯一</x:v>
      </x:c>
      <x:c r="T381" s="349" t="inlineStr">
        <x:is>
          <x:t xml:space="preserve">70a699d6ddb5c3005b0c982960be90e7997595c76c6b22110d635452f3fde467</x:t>
        </x:is>
      </x:c>
      <x:c r="U381" s="349" t="inlineStr">
        <x:is>
          <x:t xml:space="preserve">Codex</x:t>
        </x:is>
      </x:c>
      <x:c r="V381" s="348" t="n">
        <x:v>46269</x:v>
      </x:c>
      <x:c r="W381" s="349" t="inlineStr">
        <x:is>
          <x:t xml:space="preserve">用户自制Blender资产</x:t>
        </x:is>
      </x:c>
      <x:c r="X381" s="375" t="inlineStr">
        <x:is>
          <x:t xml:space="preserve">64</x:t>
        </x:is>
      </x:c>
      <x:c r="Y381" s="349" t="inlineStr">
        <x:is>
          <x:t xml:space="preserve"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x:t>
        </x:is>
      </x:c>
    </x:row>
    <x:row r="382" ht="54" customHeight="1">
      <x:c r="A382" t="inlineStr">
        <x:is>
          <x:t xml:space="preserve">BPK-BASE99-WAREHOUSE-PENDANT-LIGHT-GROUP</x:t>
        </x:is>
      </x:c>
      <x:c r="B382" t="inlineStr">
        <x:is>
          <x:t xml:space="preserve">基地99层 · 仓库防爆吊灯组</x:t>
        </x:is>
      </x:c>
      <x:c r="C382" t="inlineStr">
        <x:is>
          <x:t xml:space="preserve">基地资产包</x:t>
        </x:is>
      </x:c>
      <x:c r="D382" t="inlineStr">
        <x:is>
          <x:t xml:space="preserve">环境支持包</x:t>
        </x:is>
      </x:c>
      <x:c r="E382" t="inlineStr">
        <x:is>
          <x:t xml:space="preserve">base99_package_warehouse_pendant_light_group</x:t>
        </x:is>
      </x:c>
      <x:c r="F382" t="inlineStr">
        <x:is>
          <x:t xml:space="preserve">package_root</x:t>
        </x:is>
      </x:c>
      <x:c r="G382" t="inlineStr">
        <x:is>
          <x:t xml:space="preserve">ENV-BASE99-ART-LAYOUT-3D</x:t>
        </x:is>
      </x:c>
      <x:c r="H382" t="inlineStr">
        <x:is>
          <x:t xml:space="preserve">Top3D / Blender +Y北</x:t>
        </x:is>
      </x:c>
      <x:c r="I382" t="inlineStr">
        <x:is>
          <x:t xml:space="preserve">static / fixture_light</x:t>
        </x:is>
      </x:c>
      <x:c r="J382" t="inlineStr">
        <x:is>
          <x:t xml:space="preserve">3D-设施 / 基地99层独立资产包</x:t>
        </x:is>
      </x:c>
      <x:c r="K382" t="inlineStr">
        <x:is>
          <x:t xml:space="preserve">Blender源已完成</x:t>
        </x:is>
      </x:c>
      <x:c r="L382" t="inlineStr">
        <x:is>
          <x:t xml:space="preserve">P1</x:t>
        </x:is>
      </x:c>
      <x:c r="M382" t="inlineStr">
        <x:is>
          <x:t xml:space="preserve">v017</x:t>
        </x:is>
      </x:c>
      <x:c r="N382" s="349" t="inlineStr">
        <x:is>
          <x:t xml:space="preserve">包络 21.242×8.043×1.220m；15 网格；5 灯</x:t>
        </x:is>
      </x:c>
      <x:c r="O382" s="349" t="inlineStr">
        <x:is>
          <x:t xml:space="preserve">source/art/blender/base_facility_layout/component_packages/support/warehouse_pendant_light_group/asset_manifest.json</x:t>
        </x:is>
      </x:c>
      <x:c r="P382" s="349" t="inlineStr">
        <x:is>
          <x:t xml:space="preserve">source/art/blender/base_facility_layout/source/base_facility_runtime_layout_hq_v026.blend; source/art/blender/base_facility_layout/component_packages/support/warehouse_pendant_light_group/asset_manifest.json</x:t>
        </x:is>
      </x:c>
      <x:c r="Q382" s="349" t="inlineStr">
        <x:is>
          <x:t xml:space="preserve">基地99层;基地资产包;3D设施;环境支持包;warehouse_pendant_light_group;PaletteUV</x:t>
        </x:is>
      </x:c>
      <x:c r="R382" s="349" t="str">
        <x:f>LOWER(TRIM(C382)&amp;"|"&amp;TRIM(D382)&amp;"|"&amp;TRIM(E382)&amp;"|"&amp;TRIM(F382)&amp;"|"&amp;TRIM(H382)&amp;"|"&amp;TRIM(I382))</x:f>
        <x:v>基地资产包|环境支持包|base99_package_warehouse_pendant_light_group|package_root|top3d / blender +y北|static / fixture_light</x:v>
      </x:c>
      <x:c r="S382" s="349" t="str">
        <x:f>IF(COUNTIF($R$6:$R$423,R382)&gt;1,"重复","唯一")</x:f>
        <x:v>唯一</x:v>
      </x:c>
      <x:c r="T382" s="349" t="inlineStr">
        <x:is>
          <x:t xml:space="preserve">543f336c346e31fd89c4cf60b28a843e41023b7cd8be1b1d1036b3e28b711343</x:t>
        </x:is>
      </x:c>
      <x:c r="U382" s="349" t="inlineStr">
        <x:is>
          <x:t xml:space="preserve">Codex</x:t>
        </x:is>
      </x:c>
      <x:c r="V382" s="348" t="n">
        <x:v>46269</x:v>
      </x:c>
      <x:c r="W382" s="349" t="inlineStr">
        <x:is>
          <x:t xml:space="preserve">用户自制Blender资产</x:t>
        </x:is>
      </x:c>
      <x:c r="X382" s="375" t="inlineStr">
        <x:is>
          <x:t xml:space="preserve">61</x:t>
        </x:is>
      </x:c>
      <x:c r="Y382" s="349" t="inlineStr">
        <x:is>
          <x:t xml:space="preserve"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x:t>
        </x:is>
      </x:c>
    </x:row>
    <x:row r="383" ht="54" customHeight="1">
      <x:c r="A383" t="inlineStr">
        <x:is>
          <x:t xml:space="preserve">BPK-BASE99-ACCESS-TERMINAL</x:t>
        </x:is>
      </x:c>
      <x:c r="B383" t="inlineStr">
        <x:is>
          <x:t xml:space="preserve">基地99层 · ACCESS门禁终端</x:t>
        </x:is>
      </x:c>
      <x:c r="C383" t="inlineStr">
        <x:is>
          <x:t xml:space="preserve">基地资产包</x:t>
        </x:is>
      </x:c>
      <x:c r="D383" t="inlineStr">
        <x:is>
          <x:t xml:space="preserve">阁楼下方固定设施包</x:t>
        </x:is>
      </x:c>
      <x:c r="E383" t="inlineStr">
        <x:is>
          <x:t xml:space="preserve">base99_package_access_terminal</x:t>
        </x:is>
      </x:c>
      <x:c r="F383" t="inlineStr">
        <x:is>
          <x:t xml:space="preserve">package_root</x:t>
        </x:is>
      </x:c>
      <x:c r="G383" t="inlineStr">
        <x:is>
          <x:t xml:space="preserve">ENV-BASE99-ART-LAYOUT-3D</x:t>
        </x:is>
      </x:c>
      <x:c r="H383" t="inlineStr">
        <x:is>
          <x:t xml:space="preserve">Top3D / Blender +Y北</x:t>
        </x:is>
      </x:c>
      <x:c r="I383" t="inlineStr">
        <x:is>
          <x:t xml:space="preserve">static / default</x:t>
        </x:is>
      </x:c>
      <x:c r="J383" t="inlineStr">
        <x:is>
          <x:t xml:space="preserve">3D-设施 / 基地99层独立资产包</x:t>
        </x:is>
      </x:c>
      <x:c r="K383" t="inlineStr">
        <x:is>
          <x:t xml:space="preserve">Blender源已完成</x:t>
        </x:is>
      </x:c>
      <x:c r="L383" t="inlineStr">
        <x:is>
          <x:t xml:space="preserve">P1</x:t>
        </x:is>
      </x:c>
      <x:c r="M383" t="inlineStr">
        <x:is>
          <x:t xml:space="preserve">v017</x:t>
        </x:is>
      </x:c>
      <x:c r="N383" s="349" t="inlineStr">
        <x:is>
          <x:t xml:space="preserve">包络 0.560×0.383×1.030m；9 网格；0 灯</x:t>
        </x:is>
      </x:c>
      <x:c r="O383" s="349" t="inlineStr">
        <x:is>
          <x:t xml:space="preserve">source/art/blender/base_facility_layout/component_packages/underloft/access_terminal/asset_manifest.json</x:t>
        </x:is>
      </x:c>
      <x:c r="P383" s="349" t="inlineStr">
        <x:is>
          <x:t xml:space="preserve">source/art/blender/base_facility_layout/source/base_facility_runtime_layout_hq_v026.blend; source/art/blender/base_facility_layout/component_packages/underloft/access_terminal/asset_manifest.json</x:t>
        </x:is>
      </x:c>
      <x:c r="Q383" s="349" t="inlineStr">
        <x:is>
          <x:t xml:space="preserve">基地99层;基地资产包;3D设施;阁楼下方固定设施包;access_terminal;PaletteUV</x:t>
        </x:is>
      </x:c>
      <x:c r="R383" s="349" t="str">
        <x:f>LOWER(TRIM(C383)&amp;"|"&amp;TRIM(D383)&amp;"|"&amp;TRIM(E383)&amp;"|"&amp;TRIM(F383)&amp;"|"&amp;TRIM(H383)&amp;"|"&amp;TRIM(I383))</x:f>
        <x:v>基地资产包|阁楼下方固定设施包|base99_package_access_terminal|package_root|top3d / blender +y北|static / default</x:v>
      </x:c>
      <x:c r="S383" s="349" t="str">
        <x:f>IF(COUNTIF($R$6:$R$423,R383)&gt;1,"重复","唯一")</x:f>
        <x:v>唯一</x:v>
      </x:c>
      <x:c r="T383" s="349" t="inlineStr">
        <x:is>
          <x:t xml:space="preserve">36db763dbbc616a69a135d71b83b094d1773b8196858c2340505527cf8574f1f</x:t>
        </x:is>
      </x:c>
      <x:c r="U383" s="349" t="inlineStr">
        <x:is>
          <x:t xml:space="preserve">Codex</x:t>
        </x:is>
      </x:c>
      <x:c r="V383" s="348" t="n">
        <x:v>46269</x:v>
      </x:c>
      <x:c r="W383" s="349" t="inlineStr">
        <x:is>
          <x:t xml:space="preserve">用户自制Blender资产</x:t>
        </x:is>
      </x:c>
      <x:c r="X383" s="375" t="inlineStr">
        <x:is>
          <x:t xml:space="preserve">52</x:t>
        </x:is>
      </x:c>
      <x:c r="Y383" s="349" t="inlineStr">
        <x:is>
          <x:t xml:space="preserve"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x:t>
        </x:is>
      </x:c>
    </x:row>
    <x:row r="384" ht="54" customHeight="1">
      <x:c r="A384" t="inlineStr">
        <x:is>
          <x:t xml:space="preserve">BPK-BASE99-BASE-CAMP-NEON-SIGN</x:t>
        </x:is>
      </x:c>
      <x:c r="B384" t="inlineStr">
        <x:is>
          <x:t xml:space="preserve">基地99层 · BASE_CAMP立体霓虹标识</x:t>
        </x:is>
      </x:c>
      <x:c r="C384" t="inlineStr">
        <x:is>
          <x:t xml:space="preserve">基地资产包</x:t>
        </x:is>
      </x:c>
      <x:c r="D384" t="inlineStr">
        <x:is>
          <x:t xml:space="preserve">阁楼下方固定设施包</x:t>
        </x:is>
      </x:c>
      <x:c r="E384" t="inlineStr">
        <x:is>
          <x:t xml:space="preserve">base99_package_base_camp_neon_sign</x:t>
        </x:is>
      </x:c>
      <x:c r="F384" t="inlineStr">
        <x:is>
          <x:t xml:space="preserve">package_root</x:t>
        </x:is>
      </x:c>
      <x:c r="G384" t="inlineStr">
        <x:is>
          <x:t xml:space="preserve">ENV-BASE99-ART-LAYOUT-3D</x:t>
        </x:is>
      </x:c>
      <x:c r="H384" t="inlineStr">
        <x:is>
          <x:t xml:space="preserve">Top3D / Blender +Y北</x:t>
        </x:is>
      </x:c>
      <x:c r="I384" t="inlineStr">
        <x:is>
          <x:t xml:space="preserve">static / fixture_light</x:t>
        </x:is>
      </x:c>
      <x:c r="J384" t="inlineStr">
        <x:is>
          <x:t xml:space="preserve">3D-设施 / 基地99层独立资产包</x:t>
        </x:is>
      </x:c>
      <x:c r="K384" t="inlineStr">
        <x:is>
          <x:t xml:space="preserve">Blender源已完成</x:t>
        </x:is>
      </x:c>
      <x:c r="L384" t="inlineStr">
        <x:is>
          <x:t xml:space="preserve">P1</x:t>
        </x:is>
      </x:c>
      <x:c r="M384" t="inlineStr">
        <x:is>
          <x:t xml:space="preserve">v017</x:t>
        </x:is>
      </x:c>
      <x:c r="N384" s="349" t="inlineStr">
        <x:is>
          <x:t xml:space="preserve">包络 7.800×0.845×0.998m；17 网格；2 灯</x:t>
        </x:is>
      </x:c>
      <x:c r="O384" s="349" t="inlineStr">
        <x:is>
          <x:t xml:space="preserve">source/art/blender/base_facility_layout/component_packages/underloft/base_camp_neon_sign/asset_manifest.json</x:t>
        </x:is>
      </x:c>
      <x:c r="P384" s="349" t="inlineStr">
        <x:is>
          <x:t xml:space="preserve">source/art/blender/base_facility_layout/source/base_facility_runtime_layout_hq_v026.blend; source/art/blender/base_facility_layout/component_packages/underloft/base_camp_neon_sign/asset_manifest.json</x:t>
        </x:is>
      </x:c>
      <x:c r="Q384" s="349" t="inlineStr">
        <x:is>
          <x:t xml:space="preserve">基地99层;基地资产包;3D设施;阁楼下方固定设施包;base_camp_neon_sign;PaletteUV</x:t>
        </x:is>
      </x:c>
      <x:c r="R384" s="349" t="str">
        <x:f>LOWER(TRIM(C384)&amp;"|"&amp;TRIM(D384)&amp;"|"&amp;TRIM(E384)&amp;"|"&amp;TRIM(F384)&amp;"|"&amp;TRIM(H384)&amp;"|"&amp;TRIM(I384))</x:f>
        <x:v>基地资产包|阁楼下方固定设施包|base99_package_base_camp_neon_sign|package_root|top3d / blender +y北|static / fixture_light</x:v>
      </x:c>
      <x:c r="S384" s="349" t="str">
        <x:f>IF(COUNTIF($R$6:$R$423,R384)&gt;1,"重复","唯一")</x:f>
        <x:v>唯一</x:v>
      </x:c>
      <x:c r="T384" s="349" t="inlineStr">
        <x:is>
          <x:t xml:space="preserve">ba7d0fb2dbba09a1b860340c6b59b47c6b1eb598ab8b502ee36e288272de2e45</x:t>
        </x:is>
      </x:c>
      <x:c r="U384" s="349" t="inlineStr">
        <x:is>
          <x:t xml:space="preserve">Codex</x:t>
        </x:is>
      </x:c>
      <x:c r="V384" s="348" t="n">
        <x:v>46269</x:v>
      </x:c>
      <x:c r="W384" s="349" t="inlineStr">
        <x:is>
          <x:t xml:space="preserve">用户自制Blender资产</x:t>
        </x:is>
      </x:c>
      <x:c r="X384" s="375" t="inlineStr">
        <x:is>
          <x:t xml:space="preserve">44</x:t>
        </x:is>
      </x:c>
      <x:c r="Y384" s="349" t="inlineStr">
        <x:is>
          <x:t xml:space="preserve"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x:t>
        </x:is>
      </x:c>
    </x:row>
    <x:row r="385" ht="54" customHeight="1">
      <x:c r="A385" t="inlineStr">
        <x:is>
          <x:t xml:space="preserve">BPK-BASE99-BASE-CAMP-ROLLUP-MAIN-DOOR</x:t>
        </x:is>
      </x:c>
      <x:c r="B385" t="inlineStr">
        <x:is>
          <x:t xml:space="preserve">基地99层 · BASE_CAMP大型卷帘主门</x:t>
        </x:is>
      </x:c>
      <x:c r="C385" t="inlineStr">
        <x:is>
          <x:t xml:space="preserve">基地资产包</x:t>
        </x:is>
      </x:c>
      <x:c r="D385" t="inlineStr">
        <x:is>
          <x:t xml:space="preserve">阁楼下方固定设施包</x:t>
        </x:is>
      </x:c>
      <x:c r="E385" t="inlineStr">
        <x:is>
          <x:t xml:space="preserve">base99_package_base_camp_rollup_main_door</x:t>
        </x:is>
      </x:c>
      <x:c r="F385" t="inlineStr">
        <x:is>
          <x:t xml:space="preserve">package_root</x:t>
        </x:is>
      </x:c>
      <x:c r="G385" t="inlineStr">
        <x:is>
          <x:t xml:space="preserve">ENV-BASE99-ART-LAYOUT-3D</x:t>
        </x:is>
      </x:c>
      <x:c r="H385" t="inlineStr">
        <x:is>
          <x:t xml:space="preserve">Top3D / Blender +Y北</x:t>
        </x:is>
      </x:c>
      <x:c r="I385" t="inlineStr">
        <x:is>
          <x:t xml:space="preserve">static / fixture_light</x:t>
        </x:is>
      </x:c>
      <x:c r="J385" t="inlineStr">
        <x:is>
          <x:t xml:space="preserve">3D-设施 / 基地99层独立资产包</x:t>
        </x:is>
      </x:c>
      <x:c r="K385" t="inlineStr">
        <x:is>
          <x:t xml:space="preserve">已优化并正式接入</x:t>
        </x:is>
      </x:c>
      <x:c r="L385" t="inlineStr">
        <x:is>
          <x:t xml:space="preserve">P1</x:t>
        </x:is>
      </x:c>
      <x:c r="M385" t="inlineStr">
        <x:is>
          <x:t xml:space="preserve">v024</x:t>
        </x:is>
      </x:c>
      <x:c r="N385" s="349" t="inlineStr">
        <x:is>
          <x:t xml:space="preserve">包络 6.440×0.910×2.920m；顶视角优化；向下朝向面已剔除；单一盒体阻挡</x:t>
        </x:is>
      </x:c>
      <x:c r="O385" s="349" t="inlineStr">
        <x:is>
          <x:t xml:space="preserve">source/art/blender/base_facility_layout/component_packages/underloft/base_camp_rollup_main_door/asset_manifest.json</x:t>
        </x:is>
      </x:c>
      <x:c r="P385" s="349" t="inlineStr">
        <x:is>
          <x:t xml:space="preserve">source/art/blender/base_facility_layout/source/base_facility_runtime_layout_hq_v026.blend; source/art/blender/base_facility_layout/component_packages/underloft/base_camp_rollup_main_door/asset_manifest.json</x:t>
        </x:is>
      </x:c>
      <x:c r="Q385" s="349" t="inlineStr">
        <x:is>
          <x:t xml:space="preserve">基地99层;基地资产包;3D设施;阁楼下方固定设施包;base_camp_rollup_main_door;PaletteUV</x:t>
        </x:is>
      </x:c>
      <x:c r="R385" s="349" t="str">
        <x:f>LOWER(TRIM(C385)&amp;"|"&amp;TRIM(D385)&amp;"|"&amp;TRIM(E385)&amp;"|"&amp;TRIM(F385)&amp;"|"&amp;TRIM(H385)&amp;"|"&amp;TRIM(I385))</x:f>
        <x:v>基地资产包|阁楼下方固定设施包|base99_package_base_camp_rollup_main_door|package_root|top3d / blender +y北|static / fixture_light</x:v>
      </x:c>
      <x:c r="S385" s="349" t="str">
        <x:f>IF(COUNTIF($R$6:$R$423,R385)&gt;1,"重复","唯一")</x:f>
        <x:v>唯一</x:v>
      </x:c>
      <x:c r="T385" s="349" t="inlineStr">
        <x:is>
          <x:t xml:space="preserve">10136ee036092b66b19780625e92a9f7bc808770838a285a8f1c52bc44e88581</x:t>
        </x:is>
      </x:c>
      <x:c r="U385" s="349" t="inlineStr">
        <x:is>
          <x:t xml:space="preserve">Codex</x:t>
        </x:is>
      </x:c>
      <x:c r="V385" s="348" t="n">
        <x:v>46269</x:v>
      </x:c>
      <x:c r="W385" s="349" t="inlineStr">
        <x:is>
          <x:t xml:space="preserve">用户自制Blender资产</x:t>
        </x:is>
      </x:c>
      <x:c r="X385" s="375" t="inlineStr">
        <x:is>
          <x:t xml:space="preserve">42</x:t>
        </x:is>
      </x:c>
      <x:c r="Y385" s="349" t="inlineStr">
        <x:is>
          <x:t xml:space="preserve"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x:t>
        </x:is>
      </x:c>
    </x:row>
    <x:row r="386" ht="54" customHeight="1">
      <x:c r="A386" t="inlineStr">
        <x:is>
          <x:t xml:space="preserve">BPK-BASE99-BASE-STATUS-TERMINAL</x:t>
        </x:is>
      </x:c>
      <x:c r="B386" t="inlineStr">
        <x:is>
          <x:t xml:space="preserve">基地99层 · BASE_STATUS状态终端</x:t>
        </x:is>
      </x:c>
      <x:c r="C386" t="inlineStr">
        <x:is>
          <x:t xml:space="preserve">基地资产包</x:t>
        </x:is>
      </x:c>
      <x:c r="D386" t="inlineStr">
        <x:is>
          <x:t xml:space="preserve">阁楼下方固定设施包</x:t>
        </x:is>
      </x:c>
      <x:c r="E386" t="inlineStr">
        <x:is>
          <x:t xml:space="preserve">base99_package_base_status_terminal</x:t>
        </x:is>
      </x:c>
      <x:c r="F386" t="inlineStr">
        <x:is>
          <x:t xml:space="preserve">package_root</x:t>
        </x:is>
      </x:c>
      <x:c r="G386" t="inlineStr">
        <x:is>
          <x:t xml:space="preserve">ENV-BASE99-ART-LAYOUT-3D</x:t>
        </x:is>
      </x:c>
      <x:c r="H386" t="inlineStr">
        <x:is>
          <x:t xml:space="preserve">Top3D / Blender +Y北</x:t>
        </x:is>
      </x:c>
      <x:c r="I386" t="inlineStr">
        <x:is>
          <x:t xml:space="preserve">static / default</x:t>
        </x:is>
      </x:c>
      <x:c r="J386" t="inlineStr">
        <x:is>
          <x:t xml:space="preserve">3D-设施 / 基地99层独立资产包</x:t>
        </x:is>
      </x:c>
      <x:c r="K386" t="inlineStr">
        <x:is>
          <x:t xml:space="preserve">Blender源已完成</x:t>
        </x:is>
      </x:c>
      <x:c r="L386" t="inlineStr">
        <x:is>
          <x:t xml:space="preserve">P1</x:t>
        </x:is>
      </x:c>
      <x:c r="M386" t="inlineStr">
        <x:is>
          <x:t xml:space="preserve">v017</x:t>
        </x:is>
      </x:c>
      <x:c r="N386" s="349" t="inlineStr">
        <x:is>
          <x:t xml:space="preserve">包络 0.620×0.520×0.940m；10 网格；0 灯</x:t>
        </x:is>
      </x:c>
      <x:c r="O386" s="349" t="inlineStr">
        <x:is>
          <x:t xml:space="preserve">source/art/blender/base_facility_layout/component_packages/underloft/base_status_terminal/asset_manifest.json</x:t>
        </x:is>
      </x:c>
      <x:c r="P386" s="349" t="inlineStr">
        <x:is>
          <x:t xml:space="preserve">source/art/blender/base_facility_layout/source/base_facility_runtime_layout_hq_v026.blend; source/art/blender/base_facility_layout/component_packages/underloft/base_status_terminal/asset_manifest.json</x:t>
        </x:is>
      </x:c>
      <x:c r="Q386" s="349" t="inlineStr">
        <x:is>
          <x:t xml:space="preserve">基地99层;基地资产包;3D设施;阁楼下方固定设施包;base_status_terminal;PaletteUV</x:t>
        </x:is>
      </x:c>
      <x:c r="R386" s="349" t="str">
        <x:f>LOWER(TRIM(C386)&amp;"|"&amp;TRIM(D386)&amp;"|"&amp;TRIM(E386)&amp;"|"&amp;TRIM(F386)&amp;"|"&amp;TRIM(H386)&amp;"|"&amp;TRIM(I386))</x:f>
        <x:v>基地资产包|阁楼下方固定设施包|base99_package_base_status_terminal|package_root|top3d / blender +y北|static / default</x:v>
      </x:c>
      <x:c r="S386" s="349" t="str">
        <x:f>IF(COUNTIF($R$6:$R$423,R386)&gt;1,"重复","唯一")</x:f>
        <x:v>唯一</x:v>
      </x:c>
      <x:c r="T386" s="349" t="inlineStr">
        <x:is>
          <x:t xml:space="preserve">f5083ec93792056dedf834c275351c144170c170e265c45907654bab1a2e2d18</x:t>
        </x:is>
      </x:c>
      <x:c r="U386" s="349" t="inlineStr">
        <x:is>
          <x:t xml:space="preserve">Codex</x:t>
        </x:is>
      </x:c>
      <x:c r="V386" s="348" t="n">
        <x:v>46269</x:v>
      </x:c>
      <x:c r="W386" s="349" t="inlineStr">
        <x:is>
          <x:t xml:space="preserve">用户自制Blender资产</x:t>
        </x:is>
      </x:c>
      <x:c r="X386" s="375" t="inlineStr">
        <x:is>
          <x:t xml:space="preserve">53</x:t>
        </x:is>
      </x:c>
      <x:c r="Y386" s="349" t="inlineStr">
        <x:is>
          <x:t xml:space="preserve"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x:t>
        </x:is>
      </x:c>
    </x:row>
    <x:row r="387" ht="54" customHeight="1">
      <x:c r="A387" t="inlineStr">
        <x:is>
          <x:t xml:space="preserve">BPK-BASE99-HOLOGRAM-TERMINAL-PLATFORM</x:t>
        </x:is>
      </x:c>
      <x:c r="B387" t="inlineStr">
        <x:is>
          <x:t xml:space="preserve">基地99层 · 圆形全息设备平台</x:t>
        </x:is>
      </x:c>
      <x:c r="C387" t="inlineStr">
        <x:is>
          <x:t xml:space="preserve">基地资产包</x:t>
        </x:is>
      </x:c>
      <x:c r="D387" t="inlineStr">
        <x:is>
          <x:t xml:space="preserve">阁楼下方固定设施包</x:t>
        </x:is>
      </x:c>
      <x:c r="E387" t="inlineStr">
        <x:is>
          <x:t xml:space="preserve">base99_package_hologram_terminal_platform</x:t>
        </x:is>
      </x:c>
      <x:c r="F387" t="inlineStr">
        <x:is>
          <x:t xml:space="preserve">package_root</x:t>
        </x:is>
      </x:c>
      <x:c r="G387" t="inlineStr">
        <x:is>
          <x:t xml:space="preserve">ENV-BASE99-ART-LAYOUT-3D</x:t>
        </x:is>
      </x:c>
      <x:c r="H387" t="inlineStr">
        <x:is>
          <x:t xml:space="preserve">Top3D / Blender +Y北</x:t>
        </x:is>
      </x:c>
      <x:c r="I387" t="inlineStr">
        <x:is>
          <x:t xml:space="preserve">static / fixture_light</x:t>
        </x:is>
      </x:c>
      <x:c r="J387" t="inlineStr">
        <x:is>
          <x:t xml:space="preserve">3D-设施 / 基地99层独立资产包</x:t>
        </x:is>
      </x:c>
      <x:c r="K387" t="inlineStr">
        <x:is>
          <x:t xml:space="preserve">Blender源已完成</x:t>
        </x:is>
      </x:c>
      <x:c r="L387" t="inlineStr">
        <x:is>
          <x:t xml:space="preserve">P1</x:t>
        </x:is>
      </x:c>
      <x:c r="M387" t="inlineStr">
        <x:is>
          <x:t xml:space="preserve">v022</x:t>
        </x:is>
      </x:c>
      <x:c r="N387" s="349" t="inlineStr">
        <x:is>
          <x:t xml:space="preserve">包络 2.409×2.409×1.825m；38 网格；1 灯</x:t>
        </x:is>
      </x:c>
      <x:c r="O387" s="349" t="inlineStr">
        <x:is>
          <x:t xml:space="preserve">source/art/blender/base_facility_layout/component_packages/underloft/hologram_terminal_platform/asset_manifest.json</x:t>
        </x:is>
      </x:c>
      <x:c r="P387" s="349" t="inlineStr">
        <x:is>
          <x:t xml:space="preserve">source/art/blender/base_facility_layout/source/base_facility_runtime_layout_hq_v026.blend; source/art/blender/base_facility_layout/component_packages/underloft/hologram_terminal_platform/asset_manifest.json</x:t>
        </x:is>
      </x:c>
      <x:c r="Q387" s="349" t="inlineStr">
        <x:is>
          <x:t xml:space="preserve">基地99层;基地资产包;3D设施;阁楼下方固定设施包;hologram_terminal_platform;PaletteUV</x:t>
        </x:is>
      </x:c>
      <x:c r="R387" s="349" t="str">
        <x:f>LOWER(TRIM(C387)&amp;"|"&amp;TRIM(D387)&amp;"|"&amp;TRIM(E387)&amp;"|"&amp;TRIM(F387)&amp;"|"&amp;TRIM(H387)&amp;"|"&amp;TRIM(I387))</x:f>
        <x:v>基地资产包|阁楼下方固定设施包|base99_package_hologram_terminal_platform|package_root|top3d / blender +y北|static / fixture_light</x:v>
      </x:c>
      <x:c r="S387" s="349" t="str">
        <x:f>IF(COUNTIF($R$6:$R$423,R387)&gt;1,"重复","唯一")</x:f>
        <x:v>唯一</x:v>
      </x:c>
      <x:c r="T387" s="349" t="inlineStr">
        <x:is>
          <x:t xml:space="preserve">761b1591ee608316a47fa06e85a5a7f2a18d87dac3cb80f5294b54c47813852d</x:t>
        </x:is>
      </x:c>
      <x:c r="U387" s="349" t="inlineStr">
        <x:is>
          <x:t xml:space="preserve">Codex</x:t>
        </x:is>
      </x:c>
      <x:c r="V387" s="348" t="n">
        <x:v>46269</x:v>
      </x:c>
      <x:c r="W387" s="349" t="inlineStr">
        <x:is>
          <x:t xml:space="preserve">用户自制Blender资产</x:t>
        </x:is>
      </x:c>
      <x:c r="X387" s="375" t="inlineStr">
        <x:is>
          <x:t xml:space="preserve">51</x:t>
        </x:is>
      </x:c>
      <x:c r="Y387" s="349" t="inlineStr">
        <x:is>
          <x:t xml:space="preserve"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x:t>
        </x:is>
      </x:c>
    </x:row>
    <x:row r="388" ht="54" customHeight="1">
      <x:c r="A388" t="inlineStr">
        <x:is>
          <x:t xml:space="preserve">BPK-BASE99-MAIN-DOOR-LOW-STORAGE-CABINET</x:t>
        </x:is>
      </x:c>
      <x:c r="B388" t="inlineStr">
        <x:is>
          <x:t xml:space="preserve">基地99层 · 主门下方低矮设备柜</x:t>
        </x:is>
      </x:c>
      <x:c r="C388" t="inlineStr">
        <x:is>
          <x:t xml:space="preserve">基地资产包</x:t>
        </x:is>
      </x:c>
      <x:c r="D388" t="inlineStr">
        <x:is>
          <x:t xml:space="preserve">阁楼下方固定设施包</x:t>
        </x:is>
      </x:c>
      <x:c r="E388" t="inlineStr">
        <x:is>
          <x:t xml:space="preserve">base99_package_main_door_low_storage_cabinet</x:t>
        </x:is>
      </x:c>
      <x:c r="F388" t="inlineStr">
        <x:is>
          <x:t xml:space="preserve">package_root</x:t>
        </x:is>
      </x:c>
      <x:c r="G388" t="inlineStr">
        <x:is>
          <x:t xml:space="preserve">ENV-BASE99-ART-LAYOUT-3D</x:t>
        </x:is>
      </x:c>
      <x:c r="H388" t="inlineStr">
        <x:is>
          <x:t xml:space="preserve">Top3D / Blender +Y北</x:t>
        </x:is>
      </x:c>
      <x:c r="I388" t="inlineStr">
        <x:is>
          <x:t xml:space="preserve">static / default</x:t>
        </x:is>
      </x:c>
      <x:c r="J388" t="inlineStr">
        <x:is>
          <x:t xml:space="preserve">3D-设施 / 基地99层独立资产包</x:t>
        </x:is>
      </x:c>
      <x:c r="K388" t="inlineStr">
        <x:is>
          <x:t xml:space="preserve">Blender源已完成</x:t>
        </x:is>
      </x:c>
      <x:c r="L388" t="inlineStr">
        <x:is>
          <x:t xml:space="preserve">P1</x:t>
        </x:is>
      </x:c>
      <x:c r="M388" t="inlineStr">
        <x:is>
          <x:t xml:space="preserve">v017</x:t>
        </x:is>
      </x:c>
      <x:c r="N388" s="349" t="inlineStr">
        <x:is>
          <x:t xml:space="preserve">包络 6.280×1.230×2.060m；31 网格；0 灯</x:t>
        </x:is>
      </x:c>
      <x:c r="O388" s="349" t="inlineStr">
        <x:is>
          <x:t xml:space="preserve">source/art/blender/base_facility_layout/component_packages/underloft/main_door_low_storage_cabinet/asset_manifest.json</x:t>
        </x:is>
      </x:c>
      <x:c r="P388" s="349" t="inlineStr">
        <x:is>
          <x:t xml:space="preserve">source/art/blender/base_facility_layout/source/base_facility_runtime_layout_hq_v026.blend; source/art/blender/base_facility_layout/component_packages/underloft/main_door_low_storage_cabinet/asset_manifest.json</x:t>
        </x:is>
      </x:c>
      <x:c r="Q388" s="349" t="inlineStr">
        <x:is>
          <x:t xml:space="preserve">基地99层;基地资产包;3D设施;阁楼下方固定设施包;main_door_low_storage_cabinet;PaletteUV</x:t>
        </x:is>
      </x:c>
      <x:c r="R388" s="349" t="str">
        <x:f>LOWER(TRIM(C388)&amp;"|"&amp;TRIM(D388)&amp;"|"&amp;TRIM(E388)&amp;"|"&amp;TRIM(F388)&amp;"|"&amp;TRIM(H388)&amp;"|"&amp;TRIM(I388))</x:f>
        <x:v>基地资产包|阁楼下方固定设施包|base99_package_main_door_low_storage_cabinet|package_root|top3d / blender +y北|static / default</x:v>
      </x:c>
      <x:c r="S388" s="349" t="str">
        <x:f>IF(COUNTIF($R$6:$R$423,R388)&gt;1,"重复","唯一")</x:f>
        <x:v>唯一</x:v>
      </x:c>
      <x:c r="T388" s="349" t="inlineStr">
        <x:is>
          <x:t xml:space="preserve">5fa3be4b090c09f631db5d18960be6180696449b04bcba402aba6d34674fb928</x:t>
        </x:is>
      </x:c>
      <x:c r="U388" s="349" t="inlineStr">
        <x:is>
          <x:t xml:space="preserve">Codex</x:t>
        </x:is>
      </x:c>
      <x:c r="V388" s="348" t="n">
        <x:v>46269</x:v>
      </x:c>
      <x:c r="W388" s="349" t="inlineStr">
        <x:is>
          <x:t xml:space="preserve">用户自制Blender资产</x:t>
        </x:is>
      </x:c>
      <x:c r="X388" s="375" t="inlineStr">
        <x:is>
          <x:t xml:space="preserve">43</x:t>
        </x:is>
      </x:c>
      <x:c r="Y388" s="349" t="inlineStr">
        <x:is>
          <x:t xml:space="preserve"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x:t>
        </x:is>
      </x:c>
    </x:row>
    <x:row r="389" ht="54" customHeight="1">
      <x:c r="A389" t="inlineStr">
        <x:is>
          <x:t xml:space="preserve">BPK-BASE99-MEDICAL-CABINET</x:t>
        </x:is>
      </x:c>
      <x:c r="B389" t="inlineStr">
        <x:is>
          <x:t xml:space="preserve">基地99层 · MEDICAL医疗柜</x:t>
        </x:is>
      </x:c>
      <x:c r="C389" t="inlineStr">
        <x:is>
          <x:t xml:space="preserve">基地资产包</x:t>
        </x:is>
      </x:c>
      <x:c r="D389" t="inlineStr">
        <x:is>
          <x:t xml:space="preserve">阁楼下方固定设施包</x:t>
        </x:is>
      </x:c>
      <x:c r="E389" t="inlineStr">
        <x:is>
          <x:t xml:space="preserve">base99_package_medical_cabinet</x:t>
        </x:is>
      </x:c>
      <x:c r="F389" t="inlineStr">
        <x:is>
          <x:t xml:space="preserve">package_root</x:t>
        </x:is>
      </x:c>
      <x:c r="G389" t="inlineStr">
        <x:is>
          <x:t xml:space="preserve">ENV-BASE99-ART-LAYOUT-3D</x:t>
        </x:is>
      </x:c>
      <x:c r="H389" t="inlineStr">
        <x:is>
          <x:t xml:space="preserve">Top3D / Blender +Y北</x:t>
        </x:is>
      </x:c>
      <x:c r="I389" t="inlineStr">
        <x:is>
          <x:t xml:space="preserve">static / default</x:t>
        </x:is>
      </x:c>
      <x:c r="J389" t="inlineStr">
        <x:is>
          <x:t xml:space="preserve">3D-设施 / 基地99层独立资产包</x:t>
        </x:is>
      </x:c>
      <x:c r="K389" t="inlineStr">
        <x:is>
          <x:t xml:space="preserve">正式美术已接入</x:t>
        </x:is>
      </x:c>
      <x:c r="L389" t="inlineStr">
        <x:is>
          <x:t xml:space="preserve">P1</x:t>
        </x:is>
      </x:c>
      <x:c r="M389" t="inlineStr">
        <x:is>
          <x:t xml:space="preserve">v017</x:t>
        </x:is>
      </x:c>
      <x:c r="N389" s="349" t="inlineStr">
        <x:is>
          <x:t xml:space="preserve">包络 1.580×0.973×3.330m；28 网格；0 灯</x:t>
        </x:is>
      </x:c>
      <x:c r="O389" s="349" t="inlineStr">
        <x:is>
          <x:t xml:space="preserve">source/art/blender/base_facility_layout/component_packages/underloft/medical_cabinet/asset_manifest.json</x:t>
        </x:is>
      </x:c>
      <x:c r="P389" s="349" t="inlineStr">
        <x:is>
          <x:t xml:space="preserve">source/art/blender/base_facility_layout/source/base_facility_runtime_layout_hq_v026.blend; source/art/blender/base_facility_layout/component_packages/underloft/medical_cabinet/asset_manifest.json</x:t>
        </x:is>
      </x:c>
      <x:c r="Q389" s="349" t="inlineStr">
        <x:is>
          <x:t xml:space="preserve">基地99层;基地资产包;3D设施;阁楼下方固定设施包;medical_cabinet;PaletteUV; base_recovery</x:t>
        </x:is>
      </x:c>
      <x:c r="R389" s="349" t="str">
        <x:f>LOWER(TRIM(C389)&amp;"|"&amp;TRIM(D389)&amp;"|"&amp;TRIM(E389)&amp;"|"&amp;TRIM(F389)&amp;"|"&amp;TRIM(H389)&amp;"|"&amp;TRIM(I389))</x:f>
        <x:v>基地资产包|阁楼下方固定设施包|base99_package_medical_cabinet|package_root|top3d / blender +y北|static / default</x:v>
      </x:c>
      <x:c r="S389" s="349" t="str">
        <x:f>IF(COUNTIF($R$6:$R$423,R389)&gt;1,"重复","唯一")</x:f>
        <x:v>唯一</x:v>
      </x:c>
      <x:c r="T389" s="349" t="inlineStr">
        <x:is>
          <x:t xml:space="preserve">e5d0bcd80ad4c56e60e6e5ead83154e036d46f6b3e7c7fd691c8d2eb12073f79</x:t>
        </x:is>
      </x:c>
      <x:c r="U389" s="349" t="inlineStr">
        <x:is>
          <x:t xml:space="preserve">Codex</x:t>
        </x:is>
      </x:c>
      <x:c r="V389" s="348" t="n">
        <x:v>46269</x:v>
      </x:c>
      <x:c r="W389" s="349" t="inlineStr">
        <x:is>
          <x:t xml:space="preserve">用户自制Blender资产</x:t>
        </x:is>
      </x:c>
      <x:c r="X389" s="375" t="inlineStr">
        <x:is>
          <x:t xml:space="preserve">45</x:t>
        </x:is>
      </x:c>
      <x:c r="Y389" s="349" t="inlineStr">
        <x:is>
          <x:t xml:space="preserve"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x:t>
        </x:is>
      </x:c>
    </x:row>
    <x:row r="390" ht="54" customHeight="1">
      <x:c r="A390" t="inlineStr">
        <x:is>
          <x:t xml:space="preserve">BPK-BASE99-NARROW-BATTERY-CABINET</x:t>
        </x:is>
      </x:c>
      <x:c r="B390" t="inlineStr">
        <x:is>
          <x:t xml:space="preserve">基地99层 · 窄型电池柜</x:t>
        </x:is>
      </x:c>
      <x:c r="C390" t="inlineStr">
        <x:is>
          <x:t xml:space="preserve">基地资产包</x:t>
        </x:is>
      </x:c>
      <x:c r="D390" t="inlineStr">
        <x:is>
          <x:t xml:space="preserve">阁楼下方固定设施包</x:t>
        </x:is>
      </x:c>
      <x:c r="E390" t="inlineStr">
        <x:is>
          <x:t xml:space="preserve">base99_package_narrow_battery_cabinet</x:t>
        </x:is>
      </x:c>
      <x:c r="F390" t="inlineStr">
        <x:is>
          <x:t xml:space="preserve">package_root</x:t>
        </x:is>
      </x:c>
      <x:c r="G390" t="inlineStr">
        <x:is>
          <x:t xml:space="preserve">ENV-BASE99-ART-LAYOUT-3D</x:t>
        </x:is>
      </x:c>
      <x:c r="H390" t="inlineStr">
        <x:is>
          <x:t xml:space="preserve">Top3D / Blender +Y北</x:t>
        </x:is>
      </x:c>
      <x:c r="I390" t="inlineStr">
        <x:is>
          <x:t xml:space="preserve">static / default</x:t>
        </x:is>
      </x:c>
      <x:c r="J390" t="inlineStr">
        <x:is>
          <x:t xml:space="preserve">3D-设施 / 基地99层独立资产包</x:t>
        </x:is>
      </x:c>
      <x:c r="K390" t="inlineStr">
        <x:is>
          <x:t xml:space="preserve">正式美术已接入</x:t>
        </x:is>
      </x:c>
      <x:c r="L390" t="inlineStr">
        <x:is>
          <x:t xml:space="preserve">P1</x:t>
        </x:is>
      </x:c>
      <x:c r="M390" t="inlineStr">
        <x:is>
          <x:t xml:space="preserve">v017</x:t>
        </x:is>
      </x:c>
      <x:c r="N390" s="349" t="inlineStr">
        <x:is>
          <x:t xml:space="preserve">包络 1.580×0.983×3.220m；23 网格；0 灯</x:t>
        </x:is>
      </x:c>
      <x:c r="O390" s="349" t="inlineStr">
        <x:is>
          <x:t xml:space="preserve">source/art/blender/base_facility_layout/component_packages/underloft/narrow_battery_cabinet/asset_manifest.json</x:t>
        </x:is>
      </x:c>
      <x:c r="P390" s="349" t="inlineStr">
        <x:is>
          <x:t xml:space="preserve">source/art/blender/base_facility_layout/source/base_facility_runtime_layout_hq_v026.blend; source/art/blender/base_facility_layout/component_packages/underloft/narrow_battery_cabinet/asset_manifest.json</x:t>
        </x:is>
      </x:c>
      <x:c r="Q390" s="349" t="inlineStr">
        <x:is>
          <x:t xml:space="preserve">基地99层;基地资产包;3D设施;阁楼下方固定设施包;narrow_battery_cabinet;PaletteUV; vault</x:t>
        </x:is>
      </x:c>
      <x:c r="R390" s="349" t="str">
        <x:f>LOWER(TRIM(C390)&amp;"|"&amp;TRIM(D390)&amp;"|"&amp;TRIM(E390)&amp;"|"&amp;TRIM(F390)&amp;"|"&amp;TRIM(H390)&amp;"|"&amp;TRIM(I390))</x:f>
        <x:v>基地资产包|阁楼下方固定设施包|base99_package_narrow_battery_cabinet|package_root|top3d / blender +y北|static / default</x:v>
      </x:c>
      <x:c r="S390" s="349" t="str">
        <x:f>IF(COUNTIF($R$6:$R$423,R390)&gt;1,"重复","唯一")</x:f>
        <x:v>唯一</x:v>
      </x:c>
      <x:c r="T390" s="349" t="inlineStr">
        <x:is>
          <x:t xml:space="preserve">8d0866fc43cd1c50b0977d3b37c81ec27ad5203055dec4da99117ff788d45f2e</x:t>
        </x:is>
      </x:c>
      <x:c r="U390" s="349" t="inlineStr">
        <x:is>
          <x:t xml:space="preserve">Codex</x:t>
        </x:is>
      </x:c>
      <x:c r="V390" s="348" t="n">
        <x:v>46269</x:v>
      </x:c>
      <x:c r="W390" s="349" t="inlineStr">
        <x:is>
          <x:t xml:space="preserve">用户自制Blender资产</x:t>
        </x:is>
      </x:c>
      <x:c r="X390" s="375" t="inlineStr">
        <x:is>
          <x:t xml:space="preserve">47</x:t>
        </x:is>
      </x:c>
      <x:c r="Y390" s="349" t="inlineStr">
        <x:is>
          <x:t xml:space="preserve"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x:t>
        </x:is>
      </x:c>
    </x:row>
    <x:row r="391" ht="54" customHeight="1">
      <x:c r="A391" t="inlineStr">
        <x:is>
          <x:t xml:space="preserve">BPK-BASE99-NARROW-EMERGENCY-CABINET</x:t>
        </x:is>
      </x:c>
      <x:c r="B391" t="inlineStr">
        <x:is>
          <x:t xml:space="preserve">基地99层 · 窄型应急柜</x:t>
        </x:is>
      </x:c>
      <x:c r="C391" t="inlineStr">
        <x:is>
          <x:t xml:space="preserve">基地资产包</x:t>
        </x:is>
      </x:c>
      <x:c r="D391" t="inlineStr">
        <x:is>
          <x:t xml:space="preserve">阁楼下方固定设施包</x:t>
        </x:is>
      </x:c>
      <x:c r="E391" t="inlineStr">
        <x:is>
          <x:t xml:space="preserve">base99_package_narrow_emergency_cabinet</x:t>
        </x:is>
      </x:c>
      <x:c r="F391" t="inlineStr">
        <x:is>
          <x:t xml:space="preserve">package_root</x:t>
        </x:is>
      </x:c>
      <x:c r="G391" t="inlineStr">
        <x:is>
          <x:t xml:space="preserve">ENV-BASE99-ART-LAYOUT-3D</x:t>
        </x:is>
      </x:c>
      <x:c r="H391" t="inlineStr">
        <x:is>
          <x:t xml:space="preserve">Top3D / Blender +Y北</x:t>
        </x:is>
      </x:c>
      <x:c r="I391" t="inlineStr">
        <x:is>
          <x:t xml:space="preserve">static / default</x:t>
        </x:is>
      </x:c>
      <x:c r="J391" t="inlineStr">
        <x:is>
          <x:t xml:space="preserve">3D-设施 / 基地99层独立资产包</x:t>
        </x:is>
      </x:c>
      <x:c r="K391" t="inlineStr">
        <x:is>
          <x:t xml:space="preserve">Blender源已完成</x:t>
        </x:is>
      </x:c>
      <x:c r="L391" t="inlineStr">
        <x:is>
          <x:t xml:space="preserve">P1</x:t>
        </x:is>
      </x:c>
      <x:c r="M391" t="inlineStr">
        <x:is>
          <x:t xml:space="preserve">v017</x:t>
        </x:is>
      </x:c>
      <x:c r="N391" s="349" t="inlineStr">
        <x:is>
          <x:t xml:space="preserve">包络 1.580×0.985×3.220m；24 网格；0 灯</x:t>
        </x:is>
      </x:c>
      <x:c r="O391" s="349" t="inlineStr">
        <x:is>
          <x:t xml:space="preserve">source/art/blender/base_facility_layout/component_packages/underloft/narrow_emergency_cabinet/asset_manifest.json</x:t>
        </x:is>
      </x:c>
      <x:c r="P391" s="349" t="inlineStr">
        <x:is>
          <x:t xml:space="preserve">source/art/blender/base_facility_layout/source/base_facility_runtime_layout_hq_v026.blend; source/art/blender/base_facility_layout/component_packages/underloft/narrow_emergency_cabinet/asset_manifest.json</x:t>
        </x:is>
      </x:c>
      <x:c r="Q391" s="349" t="inlineStr">
        <x:is>
          <x:t xml:space="preserve">基地99层;基地资产包;3D设施;阁楼下方固定设施包;narrow_emergency_cabinet;PaletteUV</x:t>
        </x:is>
      </x:c>
      <x:c r="R391" s="349" t="str">
        <x:f>LOWER(TRIM(C391)&amp;"|"&amp;TRIM(D391)&amp;"|"&amp;TRIM(E391)&amp;"|"&amp;TRIM(F391)&amp;"|"&amp;TRIM(H391)&amp;"|"&amp;TRIM(I391))</x:f>
        <x:v>基地资产包|阁楼下方固定设施包|base99_package_narrow_emergency_cabinet|package_root|top3d / blender +y北|static / default</x:v>
      </x:c>
      <x:c r="S391" s="349" t="str">
        <x:f>IF(COUNTIF($R$6:$R$423,R391)&gt;1,"重复","唯一")</x:f>
        <x:v>唯一</x:v>
      </x:c>
      <x:c r="T391" s="349" t="inlineStr">
        <x:is>
          <x:t xml:space="preserve">2d3e67ae01fb8d2722d637fd58c007ced90f44746aec4301eb762814acb1ed45</x:t>
        </x:is>
      </x:c>
      <x:c r="U391" s="349" t="inlineStr">
        <x:is>
          <x:t xml:space="preserve">Codex</x:t>
        </x:is>
      </x:c>
      <x:c r="V391" s="348" t="n">
        <x:v>46269</x:v>
      </x:c>
      <x:c r="W391" s="349" t="inlineStr">
        <x:is>
          <x:t xml:space="preserve">用户自制Blender资产</x:t>
        </x:is>
      </x:c>
      <x:c r="X391" s="375" t="inlineStr">
        <x:is>
          <x:t xml:space="preserve">48</x:t>
        </x:is>
      </x:c>
      <x:c r="Y391" s="349" t="inlineStr">
        <x:is>
          <x:t xml:space="preserve"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x:t>
        </x:is>
      </x:c>
    </x:row>
    <x:row r="392" ht="54" customHeight="1">
      <x:c r="A392" t="inlineStr">
        <x:is>
          <x:t xml:space="preserve">BPK-BASE99-SOUTH-INDUSTRIAL-WALL-DETAILS</x:t>
        </x:is>
      </x:c>
      <x:c r="B392" t="inlineStr">
        <x:is>
          <x:t xml:space="preserve">基地99层 · 南墙工业墙板附着结构</x:t>
        </x:is>
      </x:c>
      <x:c r="C392" t="inlineStr">
        <x:is>
          <x:t xml:space="preserve">基地资产包</x:t>
        </x:is>
      </x:c>
      <x:c r="D392" t="inlineStr">
        <x:is>
          <x:t xml:space="preserve">阁楼下方固定设施包</x:t>
        </x:is>
      </x:c>
      <x:c r="E392" t="inlineStr">
        <x:is>
          <x:t xml:space="preserve">base99_package_south_industrial_wall_details</x:t>
        </x:is>
      </x:c>
      <x:c r="F392" t="inlineStr">
        <x:is>
          <x:t xml:space="preserve">package_root</x:t>
        </x:is>
      </x:c>
      <x:c r="G392" t="inlineStr">
        <x:is>
          <x:t xml:space="preserve">ENV-BASE99-ART-LAYOUT-3D</x:t>
        </x:is>
      </x:c>
      <x:c r="H392" t="inlineStr">
        <x:is>
          <x:t xml:space="preserve">Top3D / Blender +Y北</x:t>
        </x:is>
      </x:c>
      <x:c r="I392" t="inlineStr">
        <x:is>
          <x:t xml:space="preserve">static / default</x:t>
        </x:is>
      </x:c>
      <x:c r="J392" t="inlineStr">
        <x:is>
          <x:t xml:space="preserve">3D-设施 / 基地99层独立资产包</x:t>
        </x:is>
      </x:c>
      <x:c r="K392" t="inlineStr">
        <x:is>
          <x:t xml:space="preserve">Blender源已完成</x:t>
        </x:is>
      </x:c>
      <x:c r="L392" t="inlineStr">
        <x:is>
          <x:t xml:space="preserve">P1</x:t>
        </x:is>
      </x:c>
      <x:c r="M392" t="inlineStr">
        <x:is>
          <x:t xml:space="preserve">v017</x:t>
        </x:is>
      </x:c>
      <x:c r="N392" s="349" t="inlineStr">
        <x:is>
          <x:t xml:space="preserve">包络 19.500×0.530×4.785m；53 网格；0 灯</x:t>
        </x:is>
      </x:c>
      <x:c r="O392" s="349" t="inlineStr">
        <x:is>
          <x:t xml:space="preserve">source/art/blender/base_facility_layout/component_packages/underloft/south_industrial_wall_details/asset_manifest.json</x:t>
        </x:is>
      </x:c>
      <x:c r="P392" s="349" t="inlineStr">
        <x:is>
          <x:t xml:space="preserve">source/art/blender/base_facility_layout/source/base_facility_runtime_layout_hq_v026.blend; source/art/blender/base_facility_layout/component_packages/underloft/south_industrial_wall_details/asset_manifest.json</x:t>
        </x:is>
      </x:c>
      <x:c r="Q392" s="349" t="inlineStr">
        <x:is>
          <x:t xml:space="preserve">基地99层;基地资产包;3D设施;阁楼下方固定设施包;south_industrial_wall_details;PaletteUV</x:t>
        </x:is>
      </x:c>
      <x:c r="R392" s="349" t="str">
        <x:f>LOWER(TRIM(C392)&amp;"|"&amp;TRIM(D392)&amp;"|"&amp;TRIM(E392)&amp;"|"&amp;TRIM(F392)&amp;"|"&amp;TRIM(H392)&amp;"|"&amp;TRIM(I392))</x:f>
        <x:v>基地资产包|阁楼下方固定设施包|base99_package_south_industrial_wall_details|package_root|top3d / blender +y北|static / default</x:v>
      </x:c>
      <x:c r="S392" s="349" t="str">
        <x:f>IF(COUNTIF($R$6:$R$423,R392)&gt;1,"重复","唯一")</x:f>
        <x:v>唯一</x:v>
      </x:c>
      <x:c r="T392" s="349" t="inlineStr">
        <x:is>
          <x:t xml:space="preserve">b5c165d27e34d5e679129345e0a8fc19d716535f818f59946544275bbe2078df</x:t>
        </x:is>
      </x:c>
      <x:c r="U392" s="349" t="inlineStr">
        <x:is>
          <x:t xml:space="preserve">Codex</x:t>
        </x:is>
      </x:c>
      <x:c r="V392" s="348" t="n">
        <x:v>46269</x:v>
      </x:c>
      <x:c r="W392" s="349" t="inlineStr">
        <x:is>
          <x:t xml:space="preserve">用户自制Blender资产</x:t>
        </x:is>
      </x:c>
      <x:c r="X392" s="375" t="inlineStr">
        <x:is>
          <x:t xml:space="preserve">41</x:t>
        </x:is>
      </x:c>
      <x:c r="Y392" s="349" t="inlineStr">
        <x:is>
          <x:t xml:space="preserve"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x:t>
        </x:is>
      </x:c>
    </x:row>
    <x:row r="393" ht="54" customHeight="1">
      <x:c r="A393" t="inlineStr">
        <x:is>
          <x:t xml:space="preserve">BPK-BASE99-SOUTH-UPPER-RAILING-DETAILS</x:t>
        </x:is>
      </x:c>
      <x:c r="B393" t="inlineStr">
        <x:is>
          <x:t xml:space="preserve">基地99层 · 二层栏杆附着细节</x:t>
        </x:is>
      </x:c>
      <x:c r="C393" t="inlineStr">
        <x:is>
          <x:t xml:space="preserve">基地资产包</x:t>
        </x:is>
      </x:c>
      <x:c r="D393" t="inlineStr">
        <x:is>
          <x:t xml:space="preserve">阁楼下方固定设施包</x:t>
        </x:is>
      </x:c>
      <x:c r="E393" t="inlineStr">
        <x:is>
          <x:t xml:space="preserve">base99_package_south_upper_railing_details</x:t>
        </x:is>
      </x:c>
      <x:c r="F393" t="inlineStr">
        <x:is>
          <x:t xml:space="preserve">package_root</x:t>
        </x:is>
      </x:c>
      <x:c r="G393" t="inlineStr">
        <x:is>
          <x:t xml:space="preserve">ENV-BASE99-ART-LAYOUT-3D</x:t>
        </x:is>
      </x:c>
      <x:c r="H393" t="inlineStr">
        <x:is>
          <x:t xml:space="preserve">Top3D / Blender +Y北</x:t>
        </x:is>
      </x:c>
      <x:c r="I393" t="inlineStr">
        <x:is>
          <x:t xml:space="preserve">static / default</x:t>
        </x:is>
      </x:c>
      <x:c r="J393" t="inlineStr">
        <x:is>
          <x:t xml:space="preserve">3D-设施 / 基地99层独立资产包</x:t>
        </x:is>
      </x:c>
      <x:c r="K393" t="inlineStr">
        <x:is>
          <x:t xml:space="preserve">Blender源已完成</x:t>
        </x:is>
      </x:c>
      <x:c r="L393" t="inlineStr">
        <x:is>
          <x:t xml:space="preserve">P1</x:t>
        </x:is>
      </x:c>
      <x:c r="M393" t="inlineStr">
        <x:is>
          <x:t xml:space="preserve">v017</x:t>
        </x:is>
      </x:c>
      <x:c r="N393" s="349" t="inlineStr">
        <x:is>
          <x:t xml:space="preserve">包络 18.500×0.443×0.783m；26 网格；0 灯</x:t>
        </x:is>
      </x:c>
      <x:c r="O393" s="349" t="inlineStr">
        <x:is>
          <x:t xml:space="preserve">source/art/blender/base_facility_layout/component_packages/underloft/south_upper_railing_details/asset_manifest.json</x:t>
        </x:is>
      </x:c>
      <x:c r="P393" s="349" t="inlineStr">
        <x:is>
          <x:t xml:space="preserve">source/art/blender/base_facility_layout/source/base_facility_runtime_layout_hq_v026.blend; source/art/blender/base_facility_layout/component_packages/underloft/south_upper_railing_details/asset_manifest.json</x:t>
        </x:is>
      </x:c>
      <x:c r="Q393" s="349" t="inlineStr">
        <x:is>
          <x:t xml:space="preserve">基地99层;基地资产包;3D设施;阁楼下方固定设施包;south_upper_railing_details;PaletteUV</x:t>
        </x:is>
      </x:c>
      <x:c r="R393" s="349" t="str">
        <x:f>LOWER(TRIM(C393)&amp;"|"&amp;TRIM(D393)&amp;"|"&amp;TRIM(E393)&amp;"|"&amp;TRIM(F393)&amp;"|"&amp;TRIM(H393)&amp;"|"&amp;TRIM(I393))</x:f>
        <x:v>基地资产包|阁楼下方固定设施包|base99_package_south_upper_railing_details|package_root|top3d / blender +y北|static / default</x:v>
      </x:c>
      <x:c r="S393" s="349" t="str">
        <x:f>IF(COUNTIF($R$6:$R$423,R393)&gt;1,"重复","唯一")</x:f>
        <x:v>唯一</x:v>
      </x:c>
      <x:c r="T393" s="349" t="inlineStr">
        <x:is>
          <x:t xml:space="preserve">a6ed0e3a365744c2d7ddc23b44f6db88a87e05ae3af5d8c4c049880fd02e6030</x:t>
        </x:is>
      </x:c>
      <x:c r="U393" s="349" t="inlineStr">
        <x:is>
          <x:t xml:space="preserve">Codex</x:t>
        </x:is>
      </x:c>
      <x:c r="V393" s="348" t="n">
        <x:v>46269</x:v>
      </x:c>
      <x:c r="W393" s="349" t="inlineStr">
        <x:is>
          <x:t xml:space="preserve">用户自制Blender资产</x:t>
        </x:is>
      </x:c>
      <x:c r="X393" s="375" t="inlineStr">
        <x:is>
          <x:t xml:space="preserve">56</x:t>
        </x:is>
      </x:c>
      <x:c r="Y393" s="349" t="inlineStr">
        <x:is>
          <x:t xml:space="preserve"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x:t>
        </x:is>
      </x:c>
    </x:row>
    <x:row r="394" ht="54" customHeight="1">
      <x:c r="A394" t="inlineStr">
        <x:is>
          <x:t xml:space="preserve">BPK-BASE99-SOUTH-WALL-PIPELINE-SYSTEM</x:t>
        </x:is>
      </x:c>
      <x:c r="B394" t="inlineStr">
        <x:is>
          <x:t xml:space="preserve">基地99层 · 南墙工业管线系统</x:t>
        </x:is>
      </x:c>
      <x:c r="C394" t="inlineStr">
        <x:is>
          <x:t xml:space="preserve">基地资产包</x:t>
        </x:is>
      </x:c>
      <x:c r="D394" t="inlineStr">
        <x:is>
          <x:t xml:space="preserve">阁楼下方固定设施包</x:t>
        </x:is>
      </x:c>
      <x:c r="E394" t="inlineStr">
        <x:is>
          <x:t xml:space="preserve">base99_package_south_wall_pipeline_system</x:t>
        </x:is>
      </x:c>
      <x:c r="F394" t="inlineStr">
        <x:is>
          <x:t xml:space="preserve">package_root</x:t>
        </x:is>
      </x:c>
      <x:c r="G394" t="inlineStr">
        <x:is>
          <x:t xml:space="preserve">ENV-BASE99-ART-LAYOUT-3D</x:t>
        </x:is>
      </x:c>
      <x:c r="H394" t="inlineStr">
        <x:is>
          <x:t xml:space="preserve">Top3D / Blender +Y北</x:t>
        </x:is>
      </x:c>
      <x:c r="I394" t="inlineStr">
        <x:is>
          <x:t xml:space="preserve">static / default</x:t>
        </x:is>
      </x:c>
      <x:c r="J394" t="inlineStr">
        <x:is>
          <x:t xml:space="preserve">3D-设施 / 基地99层独立资产包</x:t>
        </x:is>
      </x:c>
      <x:c r="K394" t="inlineStr">
        <x:is>
          <x:t xml:space="preserve">Blender源已完成</x:t>
        </x:is>
      </x:c>
      <x:c r="L394" t="inlineStr">
        <x:is>
          <x:t xml:space="preserve">P1</x:t>
        </x:is>
      </x:c>
      <x:c r="M394" t="inlineStr">
        <x:is>
          <x:t xml:space="preserve">v017</x:t>
        </x:is>
      </x:c>
      <x:c r="N394" s="349" t="inlineStr">
        <x:is>
          <x:t xml:space="preserve">包络 18.600×0.580×4.950m；21 网格；0 灯</x:t>
        </x:is>
      </x:c>
      <x:c r="O394" s="349" t="inlineStr">
        <x:is>
          <x:t xml:space="preserve">source/art/blender/base_facility_layout/component_packages/underloft/south_wall_pipeline_system/asset_manifest.json</x:t>
        </x:is>
      </x:c>
      <x:c r="P394" s="349" t="inlineStr">
        <x:is>
          <x:t xml:space="preserve">source/art/blender/base_facility_layout/source/base_facility_runtime_layout_hq_v026.blend; source/art/blender/base_facility_layout/component_packages/underloft/south_wall_pipeline_system/asset_manifest.json</x:t>
        </x:is>
      </x:c>
      <x:c r="Q394" s="349" t="inlineStr">
        <x:is>
          <x:t xml:space="preserve">基地99层;基地资产包;3D设施;阁楼下方固定设施包;south_wall_pipeline_system;PaletteUV</x:t>
        </x:is>
      </x:c>
      <x:c r="R394" s="349" t="str">
        <x:f>LOWER(TRIM(C394)&amp;"|"&amp;TRIM(D394)&amp;"|"&amp;TRIM(E394)&amp;"|"&amp;TRIM(F394)&amp;"|"&amp;TRIM(H394)&amp;"|"&amp;TRIM(I394))</x:f>
        <x:v>基地资产包|阁楼下方固定设施包|base99_package_south_wall_pipeline_system|package_root|top3d / blender +y北|static / default</x:v>
      </x:c>
      <x:c r="S394" s="349" t="str">
        <x:f>IF(COUNTIF($R$6:$R$423,R394)&gt;1,"重复","唯一")</x:f>
        <x:v>唯一</x:v>
      </x:c>
      <x:c r="T394" s="349" t="inlineStr">
        <x:is>
          <x:t xml:space="preserve">4df099890e491380d7579c1a423144c6065aaceb8fc7aeb359b8dc12a45beb8e</x:t>
        </x:is>
      </x:c>
      <x:c r="U394" s="349" t="inlineStr">
        <x:is>
          <x:t xml:space="preserve">Codex</x:t>
        </x:is>
      </x:c>
      <x:c r="V394" s="348" t="n">
        <x:v>46269</x:v>
      </x:c>
      <x:c r="W394" s="349" t="inlineStr">
        <x:is>
          <x:t xml:space="preserve">用户自制Blender资产</x:t>
        </x:is>
      </x:c>
      <x:c r="X394" s="375" t="inlineStr">
        <x:is>
          <x:t xml:space="preserve">55</x:t>
        </x:is>
      </x:c>
      <x:c r="Y394" s="349" t="inlineStr">
        <x:is>
          <x:t xml:space="preserve"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x:t>
        </x:is>
      </x:c>
    </x:row>
    <x:row r="395" ht="54" customHeight="1">
      <x:c r="A395" t="inlineStr">
        <x:is>
          <x:t xml:space="preserve">BPK-BASE99-STORAGE-TERMINAL</x:t>
        </x:is>
      </x:c>
      <x:c r="B395" t="inlineStr">
        <x:is>
          <x:t xml:space="preserve">基地99层 · STORAGE储物终端</x:t>
        </x:is>
      </x:c>
      <x:c r="C395" t="inlineStr">
        <x:is>
          <x:t xml:space="preserve">基地资产包</x:t>
        </x:is>
      </x:c>
      <x:c r="D395" t="inlineStr">
        <x:is>
          <x:t xml:space="preserve">阁楼下方固定设施包</x:t>
        </x:is>
      </x:c>
      <x:c r="E395" t="inlineStr">
        <x:is>
          <x:t xml:space="preserve">base99_package_storage_terminal</x:t>
        </x:is>
      </x:c>
      <x:c r="F395" t="inlineStr">
        <x:is>
          <x:t xml:space="preserve">package_root</x:t>
        </x:is>
      </x:c>
      <x:c r="G395" t="inlineStr">
        <x:is>
          <x:t xml:space="preserve">ENV-BASE99-ART-LAYOUT-3D</x:t>
        </x:is>
      </x:c>
      <x:c r="H395" t="inlineStr">
        <x:is>
          <x:t xml:space="preserve">Top3D / Blender +Y北</x:t>
        </x:is>
      </x:c>
      <x:c r="I395" t="inlineStr">
        <x:is>
          <x:t xml:space="preserve">static / default</x:t>
        </x:is>
      </x:c>
      <x:c r="J395" t="inlineStr">
        <x:is>
          <x:t xml:space="preserve">3D-设施 / 基地99层独立资产包</x:t>
        </x:is>
      </x:c>
      <x:c r="K395" t="inlineStr">
        <x:is>
          <x:t xml:space="preserve">Blender源已完成</x:t>
        </x:is>
      </x:c>
      <x:c r="L395" t="inlineStr">
        <x:is>
          <x:t xml:space="preserve">P1</x:t>
        </x:is>
      </x:c>
      <x:c r="M395" t="inlineStr">
        <x:is>
          <x:t xml:space="preserve">v017</x:t>
        </x:is>
      </x:c>
      <x:c r="N395" s="349" t="inlineStr">
        <x:is>
          <x:t xml:space="preserve">包络 0.560×0.383×1.030m；9 网格；0 灯</x:t>
        </x:is>
      </x:c>
      <x:c r="O395" s="349" t="inlineStr">
        <x:is>
          <x:t xml:space="preserve">source/art/blender/base_facility_layout/component_packages/underloft/storage_terminal/asset_manifest.json</x:t>
        </x:is>
      </x:c>
      <x:c r="P395" s="349" t="inlineStr">
        <x:is>
          <x:t xml:space="preserve">source/art/blender/base_facility_layout/source/base_facility_runtime_layout_hq_v026.blend; source/art/blender/base_facility_layout/component_packages/underloft/storage_terminal/asset_manifest.json</x:t>
        </x:is>
      </x:c>
      <x:c r="Q395" s="349" t="inlineStr">
        <x:is>
          <x:t xml:space="preserve">基地99层;基地资产包;3D设施;阁楼下方固定设施包;storage_terminal;PaletteUV</x:t>
        </x:is>
      </x:c>
      <x:c r="R395" s="349" t="str">
        <x:f>LOWER(TRIM(C395)&amp;"|"&amp;TRIM(D395)&amp;"|"&amp;TRIM(E395)&amp;"|"&amp;TRIM(F395)&amp;"|"&amp;TRIM(H395)&amp;"|"&amp;TRIM(I395))</x:f>
        <x:v>基地资产包|阁楼下方固定设施包|base99_package_storage_terminal|package_root|top3d / blender +y北|static / default</x:v>
      </x:c>
      <x:c r="S395" s="349" t="str">
        <x:f>IF(COUNTIF($R$6:$R$423,R395)&gt;1,"重复","唯一")</x:f>
        <x:v>唯一</x:v>
      </x:c>
      <x:c r="T395" s="349" t="inlineStr">
        <x:is>
          <x:t xml:space="preserve">9a3bcdb47187783f355dd37fe4127d98e38672a1d597ee68e97fa7dde5bfe180</x:t>
        </x:is>
      </x:c>
      <x:c r="U395" s="349" t="inlineStr">
        <x:is>
          <x:t xml:space="preserve">Codex</x:t>
        </x:is>
      </x:c>
      <x:c r="V395" s="348" t="n">
        <x:v>46269</x:v>
      </x:c>
      <x:c r="W395" s="349" t="inlineStr">
        <x:is>
          <x:t xml:space="preserve">用户自制Blender资产</x:t>
        </x:is>
      </x:c>
      <x:c r="X395" s="375" t="inlineStr">
        <x:is>
          <x:t xml:space="preserve">54</x:t>
        </x:is>
      </x:c>
      <x:c r="Y395" s="349" t="inlineStr">
        <x:is>
          <x:t xml:space="preserve"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x:t>
        </x:is>
      </x:c>
    </x:row>
    <x:row r="396" ht="54" customHeight="1">
      <x:c r="A396" t="inlineStr">
        <x:is>
          <x:t xml:space="preserve">BPK-BASE99-TOOLS-CABINET</x:t>
        </x:is>
      </x:c>
      <x:c r="B396" t="inlineStr">
        <x:is>
          <x:t xml:space="preserve">基地99层 · TOOLS工具柜</x:t>
        </x:is>
      </x:c>
      <x:c r="C396" t="inlineStr">
        <x:is>
          <x:t xml:space="preserve">基地资产包</x:t>
        </x:is>
      </x:c>
      <x:c r="D396" t="inlineStr">
        <x:is>
          <x:t xml:space="preserve">阁楼下方固定设施包</x:t>
        </x:is>
      </x:c>
      <x:c r="E396" t="inlineStr">
        <x:is>
          <x:t xml:space="preserve">base99_package_tools_cabinet</x:t>
        </x:is>
      </x:c>
      <x:c r="F396" t="inlineStr">
        <x:is>
          <x:t xml:space="preserve">package_root</x:t>
        </x:is>
      </x:c>
      <x:c r="G396" t="inlineStr">
        <x:is>
          <x:t xml:space="preserve">ENV-BASE99-ART-LAYOUT-3D</x:t>
        </x:is>
      </x:c>
      <x:c r="H396" t="inlineStr">
        <x:is>
          <x:t xml:space="preserve">Top3D / Blender +Y北</x:t>
        </x:is>
      </x:c>
      <x:c r="I396" t="inlineStr">
        <x:is>
          <x:t xml:space="preserve">static / default</x:t>
        </x:is>
      </x:c>
      <x:c r="J396" t="inlineStr">
        <x:is>
          <x:t xml:space="preserve">3D-设施 / 基地99层独立资产包</x:t>
        </x:is>
      </x:c>
      <x:c r="K396" t="inlineStr">
        <x:is>
          <x:t xml:space="preserve">Blender源已完成</x:t>
        </x:is>
      </x:c>
      <x:c r="L396" t="inlineStr">
        <x:is>
          <x:t xml:space="preserve">P1</x:t>
        </x:is>
      </x:c>
      <x:c r="M396" t="inlineStr">
        <x:is>
          <x:t xml:space="preserve">v017</x:t>
        </x:is>
      </x:c>
      <x:c r="N396" s="349" t="inlineStr">
        <x:is>
          <x:t xml:space="preserve">包络 1.970×1.015×3.220m；25 网格；0 灯</x:t>
        </x:is>
      </x:c>
      <x:c r="O396" s="349" t="inlineStr">
        <x:is>
          <x:t xml:space="preserve">source/art/blender/base_facility_layout/component_packages/underloft/tools_cabinet/asset_manifest.json</x:t>
        </x:is>
      </x:c>
      <x:c r="P396" s="349" t="inlineStr">
        <x:is>
          <x:t xml:space="preserve">source/art/blender/base_facility_layout/source/base_facility_runtime_layout_hq_v026.blend; source/art/blender/base_facility_layout/component_packages/underloft/tools_cabinet/asset_manifest.json</x:t>
        </x:is>
      </x:c>
      <x:c r="Q396" s="349" t="inlineStr">
        <x:is>
          <x:t xml:space="preserve">基地99层;基地资产包;3D设施;阁楼下方固定设施包;tools_cabinet;PaletteUV</x:t>
        </x:is>
      </x:c>
      <x:c r="R396" s="349" t="str">
        <x:f>LOWER(TRIM(C396)&amp;"|"&amp;TRIM(D396)&amp;"|"&amp;TRIM(E396)&amp;"|"&amp;TRIM(F396)&amp;"|"&amp;TRIM(H396)&amp;"|"&amp;TRIM(I396))</x:f>
        <x:v>基地资产包|阁楼下方固定设施包|base99_package_tools_cabinet|package_root|top3d / blender +y北|static / default</x:v>
      </x:c>
      <x:c r="S396" s="349" t="str">
        <x:f>IF(COUNTIF($R$6:$R$423,R396)&gt;1,"重复","唯一")</x:f>
        <x:v>唯一</x:v>
      </x:c>
      <x:c r="T396" s="349" t="inlineStr">
        <x:is>
          <x:t xml:space="preserve">02c3f0b47847e989ae88a803b2e91cb9557fd60c776f69752d866d16c8a2a389</x:t>
        </x:is>
      </x:c>
      <x:c r="U396" s="349" t="inlineStr">
        <x:is>
          <x:t xml:space="preserve">Codex</x:t>
        </x:is>
      </x:c>
      <x:c r="V396" s="348" t="n">
        <x:v>46269</x:v>
      </x:c>
      <x:c r="W396" s="349" t="inlineStr">
        <x:is>
          <x:t xml:space="preserve">用户自制Blender资产</x:t>
        </x:is>
      </x:c>
      <x:c r="X396" s="375" t="inlineStr">
        <x:is>
          <x:t xml:space="preserve">46</x:t>
        </x:is>
      </x:c>
      <x:c r="Y396" s="349" t="inlineStr">
        <x:is>
          <x:t xml:space="preserve"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x:t>
        </x:is>
      </x:c>
    </x:row>
    <x:row r="397" ht="54" customHeight="1">
      <x:c r="A397" t="inlineStr">
        <x:is>
          <x:t xml:space="preserve">BPK-BASE99-UNDERSTAIR-BULLETIN-BOARD</x:t>
        </x:is>
      </x:c>
      <x:c r="B397" t="inlineStr">
        <x:is>
          <x:t xml:space="preserve">基地99层 · 梯下公告留言板</x:t>
        </x:is>
      </x:c>
      <x:c r="C397" t="inlineStr">
        <x:is>
          <x:t xml:space="preserve">基地资产包</x:t>
        </x:is>
      </x:c>
      <x:c r="D397" t="inlineStr">
        <x:is>
          <x:t xml:space="preserve">阁楼下方固定设施包</x:t>
        </x:is>
      </x:c>
      <x:c r="E397" t="inlineStr">
        <x:is>
          <x:t xml:space="preserve">base99_package_understair_bulletin_board</x:t>
        </x:is>
      </x:c>
      <x:c r="F397" t="inlineStr">
        <x:is>
          <x:t xml:space="preserve">package_root</x:t>
        </x:is>
      </x:c>
      <x:c r="G397" t="inlineStr">
        <x:is>
          <x:t xml:space="preserve">ENV-BASE99-ART-LAYOUT-3D</x:t>
        </x:is>
      </x:c>
      <x:c r="H397" t="inlineStr">
        <x:is>
          <x:t xml:space="preserve">Top3D / Blender +Y北</x:t>
        </x:is>
      </x:c>
      <x:c r="I397" t="inlineStr">
        <x:is>
          <x:t xml:space="preserve">static / default</x:t>
        </x:is>
      </x:c>
      <x:c r="J397" t="inlineStr">
        <x:is>
          <x:t xml:space="preserve">3D-设施 / 基地99层独立资产包</x:t>
        </x:is>
      </x:c>
      <x:c r="K397" t="inlineStr">
        <x:is>
          <x:t xml:space="preserve">Blender源已完成</x:t>
        </x:is>
      </x:c>
      <x:c r="L397" t="inlineStr">
        <x:is>
          <x:t xml:space="preserve">P1</x:t>
        </x:is>
      </x:c>
      <x:c r="M397" t="inlineStr">
        <x:is>
          <x:t xml:space="preserve">v017</x:t>
        </x:is>
      </x:c>
      <x:c r="N397" s="349" t="inlineStr">
        <x:is>
          <x:t xml:space="preserve">包络 1.900×0.149×1.420m；1 网格；0 灯</x:t>
        </x:is>
      </x:c>
      <x:c r="O397" s="349" t="inlineStr">
        <x:is>
          <x:t xml:space="preserve">source/art/blender/base_facility_layout/component_packages/underloft/understair_bulletin_board/asset_manifest.json</x:t>
        </x:is>
      </x:c>
      <x:c r="P397" s="349" t="inlineStr">
        <x:is>
          <x:t xml:space="preserve">source/art/blender/base_facility_layout/source/base_facility_runtime_layout_hq_v026.blend; source/art/blender/base_facility_layout/component_packages/underloft/understair_bulletin_board/asset_manifest.json</x:t>
        </x:is>
      </x:c>
      <x:c r="Q397" s="349" t="inlineStr">
        <x:is>
          <x:t xml:space="preserve">基地99层;基地资产包;3D设施;阁楼下方固定设施包;understair_bulletin_board;PaletteUV</x:t>
        </x:is>
      </x:c>
      <x:c r="R397" s="349" t="str">
        <x:f>LOWER(TRIM(C397)&amp;"|"&amp;TRIM(D397)&amp;"|"&amp;TRIM(E397)&amp;"|"&amp;TRIM(F397)&amp;"|"&amp;TRIM(H397)&amp;"|"&amp;TRIM(I397))</x:f>
        <x:v>基地资产包|阁楼下方固定设施包|base99_package_understair_bulletin_board|package_root|top3d / blender +y北|static / default</x:v>
      </x:c>
      <x:c r="S397" s="349" t="str">
        <x:f>IF(COUNTIF($R$6:$R$423,R397)&gt;1,"重复","唯一")</x:f>
        <x:v>唯一</x:v>
      </x:c>
      <x:c r="T397" s="349" t="inlineStr">
        <x:is>
          <x:t xml:space="preserve">09b8e426a88a07d63b81fddfe5c60678c9a36795e7724ef7596b2a861784075f</x:t>
        </x:is>
      </x:c>
      <x:c r="U397" s="349" t="inlineStr">
        <x:is>
          <x:t xml:space="preserve">Codex</x:t>
        </x:is>
      </x:c>
      <x:c r="V397" s="348" t="n">
        <x:v>46269</x:v>
      </x:c>
      <x:c r="W397" s="349" t="inlineStr">
        <x:is>
          <x:t xml:space="preserve">用户自制Blender资产</x:t>
        </x:is>
      </x:c>
      <x:c r="X397" s="375" t="inlineStr">
        <x:is>
          <x:t xml:space="preserve">58</x:t>
        </x:is>
      </x:c>
      <x:c r="Y397" s="349" t="inlineStr">
        <x:is>
          <x:t xml:space="preserve"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x:t>
        </x:is>
      </x:c>
    </x:row>
    <x:row r="398" ht="54" customHeight="1">
      <x:c r="A398" t="inlineStr">
        <x:is>
          <x:t xml:space="preserve">BPK-BASE99-UNDERSTAIR-EQUIPMENT-CABINET</x:t>
        </x:is>
      </x:c>
      <x:c r="B398" t="inlineStr">
        <x:is>
          <x:t xml:space="preserve">基地99层 · 梯下立式设备柜</x:t>
        </x:is>
      </x:c>
      <x:c r="C398" t="inlineStr">
        <x:is>
          <x:t xml:space="preserve">基地资产包</x:t>
        </x:is>
      </x:c>
      <x:c r="D398" t="inlineStr">
        <x:is>
          <x:t xml:space="preserve">阁楼下方固定设施包</x:t>
        </x:is>
      </x:c>
      <x:c r="E398" t="inlineStr">
        <x:is>
          <x:t xml:space="preserve">base99_package_understair_equipment_cabinet</x:t>
        </x:is>
      </x:c>
      <x:c r="F398" t="inlineStr">
        <x:is>
          <x:t xml:space="preserve">package_root</x:t>
        </x:is>
      </x:c>
      <x:c r="G398" t="inlineStr">
        <x:is>
          <x:t xml:space="preserve">ENV-BASE99-ART-LAYOUT-3D</x:t>
        </x:is>
      </x:c>
      <x:c r="H398" t="inlineStr">
        <x:is>
          <x:t xml:space="preserve">Top3D / Blender +Y北</x:t>
        </x:is>
      </x:c>
      <x:c r="I398" t="inlineStr">
        <x:is>
          <x:t xml:space="preserve">static / default</x:t>
        </x:is>
      </x:c>
      <x:c r="J398" t="inlineStr">
        <x:is>
          <x:t xml:space="preserve">3D-设施 / 基地99层独立资产包</x:t>
        </x:is>
      </x:c>
      <x:c r="K398" t="inlineStr">
        <x:is>
          <x:t xml:space="preserve">Blender源已完成</x:t>
        </x:is>
      </x:c>
      <x:c r="L398" t="inlineStr">
        <x:is>
          <x:t xml:space="preserve">P1</x:t>
        </x:is>
      </x:c>
      <x:c r="M398" t="inlineStr">
        <x:is>
          <x:t xml:space="preserve">v017</x:t>
        </x:is>
      </x:c>
      <x:c r="N398" s="349" t="inlineStr">
        <x:is>
          <x:t xml:space="preserve">包络 1.100×0.927×3.130m；3 网格；0 灯</x:t>
        </x:is>
      </x:c>
      <x:c r="O398" s="349" t="inlineStr">
        <x:is>
          <x:t xml:space="preserve">source/art/blender/base_facility_layout/component_packages/underloft/understair_equipment_cabinet/asset_manifest.json</x:t>
        </x:is>
      </x:c>
      <x:c r="P398" s="349" t="inlineStr">
        <x:is>
          <x:t xml:space="preserve">source/art/blender/base_facility_layout/source/base_facility_runtime_layout_hq_v026.blend; source/art/blender/base_facility_layout/component_packages/underloft/understair_equipment_cabinet/asset_manifest.json</x:t>
        </x:is>
      </x:c>
      <x:c r="Q398" s="349" t="inlineStr">
        <x:is>
          <x:t xml:space="preserve">基地99层;基地资产包;3D设施;阁楼下方固定设施包;understair_equipment_cabinet;PaletteUV</x:t>
        </x:is>
      </x:c>
      <x:c r="R398" s="349" t="str">
        <x:f>LOWER(TRIM(C398)&amp;"|"&amp;TRIM(D398)&amp;"|"&amp;TRIM(E398)&amp;"|"&amp;TRIM(F398)&amp;"|"&amp;TRIM(H398)&amp;"|"&amp;TRIM(I398))</x:f>
        <x:v>基地资产包|阁楼下方固定设施包|base99_package_understair_equipment_cabinet|package_root|top3d / blender +y北|static / default</x:v>
      </x:c>
      <x:c r="S398" s="349" t="str">
        <x:f>IF(COUNTIF($R$6:$R$423,R398)&gt;1,"重复","唯一")</x:f>
        <x:v>唯一</x:v>
      </x:c>
      <x:c r="T398" s="349" t="inlineStr">
        <x:is>
          <x:t xml:space="preserve">1aa9bb72dcf2d2937ff7d26c1df1e1886258ecbcc27d1a62dc3584b2ecc2ff80</x:t>
        </x:is>
      </x:c>
      <x:c r="U398" s="349" t="inlineStr">
        <x:is>
          <x:t xml:space="preserve">Codex</x:t>
        </x:is>
      </x:c>
      <x:c r="V398" s="348" t="n">
        <x:v>46269</x:v>
      </x:c>
      <x:c r="W398" s="349" t="inlineStr">
        <x:is>
          <x:t xml:space="preserve">用户自制Blender资产</x:t>
        </x:is>
      </x:c>
      <x:c r="X398" s="375" t="inlineStr">
        <x:is>
          <x:t xml:space="preserve">59</x:t>
        </x:is>
      </x:c>
      <x:c r="Y398" s="349" t="inlineStr">
        <x:is>
          <x:t xml:space="preserve"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x:t>
        </x:is>
      </x:c>
    </x:row>
    <x:row r="399" ht="54" customHeight="1">
      <x:c r="A399" t="inlineStr">
        <x:is>
          <x:t xml:space="preserve">BPK-BASE99-UNDERSTAIR-GREEN-BENCH</x:t>
        </x:is>
      </x:c>
      <x:c r="B399" t="inlineStr">
        <x:is>
          <x:t xml:space="preserve">基地99层 · 梯下绿色软垫长凳</x:t>
        </x:is>
      </x:c>
      <x:c r="C399" t="inlineStr">
        <x:is>
          <x:t xml:space="preserve">基地资产包</x:t>
        </x:is>
      </x:c>
      <x:c r="D399" t="inlineStr">
        <x:is>
          <x:t xml:space="preserve">阁楼下方固定设施包</x:t>
        </x:is>
      </x:c>
      <x:c r="E399" t="inlineStr">
        <x:is>
          <x:t xml:space="preserve">base99_package_understair_green_bench</x:t>
        </x:is>
      </x:c>
      <x:c r="F399" t="inlineStr">
        <x:is>
          <x:t xml:space="preserve">package_root</x:t>
        </x:is>
      </x:c>
      <x:c r="G399" t="inlineStr">
        <x:is>
          <x:t xml:space="preserve">ENV-BASE99-ART-LAYOUT-3D</x:t>
        </x:is>
      </x:c>
      <x:c r="H399" t="inlineStr">
        <x:is>
          <x:t xml:space="preserve">Top3D / Blender +Y北</x:t>
        </x:is>
      </x:c>
      <x:c r="I399" t="inlineStr">
        <x:is>
          <x:t xml:space="preserve">static / default</x:t>
        </x:is>
      </x:c>
      <x:c r="J399" t="inlineStr">
        <x:is>
          <x:t xml:space="preserve">3D-设施 / 基地99层独立资产包</x:t>
        </x:is>
      </x:c>
      <x:c r="K399" t="inlineStr">
        <x:is>
          <x:t xml:space="preserve">Blender源已完成</x:t>
        </x:is>
      </x:c>
      <x:c r="L399" t="inlineStr">
        <x:is>
          <x:t xml:space="preserve">P1</x:t>
        </x:is>
      </x:c>
      <x:c r="M399" t="inlineStr">
        <x:is>
          <x:t xml:space="preserve">v017</x:t>
        </x:is>
      </x:c>
      <x:c r="N399" s="349" t="inlineStr">
        <x:is>
          <x:t xml:space="preserve">包络 2.580×0.912×1.660m；2 网格；0 灯</x:t>
        </x:is>
      </x:c>
      <x:c r="O399" s="349" t="inlineStr">
        <x:is>
          <x:t xml:space="preserve">source/art/blender/base_facility_layout/component_packages/underloft/understair_green_bench/asset_manifest.json</x:t>
        </x:is>
      </x:c>
      <x:c r="P399" s="349" t="inlineStr">
        <x:is>
          <x:t xml:space="preserve">source/art/blender/base_facility_layout/source/base_facility_runtime_layout_hq_v026.blend; source/art/blender/base_facility_layout/component_packages/underloft/understair_green_bench/asset_manifest.json</x:t>
        </x:is>
      </x:c>
      <x:c r="Q399" s="349" t="inlineStr">
        <x:is>
          <x:t xml:space="preserve">基地99层;基地资产包;3D设施;阁楼下方固定设施包;understair_green_bench;PaletteUV</x:t>
        </x:is>
      </x:c>
      <x:c r="R399" s="349" t="str">
        <x:f>LOWER(TRIM(C399)&amp;"|"&amp;TRIM(D399)&amp;"|"&amp;TRIM(E399)&amp;"|"&amp;TRIM(F399)&amp;"|"&amp;TRIM(H399)&amp;"|"&amp;TRIM(I399))</x:f>
        <x:v>基地资产包|阁楼下方固定设施包|base99_package_understair_green_bench|package_root|top3d / blender +y北|static / default</x:v>
      </x:c>
      <x:c r="S399" s="349" t="str">
        <x:f>IF(COUNTIF($R$6:$R$423,R399)&gt;1,"重复","唯一")</x:f>
        <x:v>唯一</x:v>
      </x:c>
      <x:c r="T399" s="349" t="inlineStr">
        <x:is>
          <x:t xml:space="preserve">5ac9a6343b67f5515d37eafb1feb9057d6809890c184a48acd90df6aa868964c</x:t>
        </x:is>
      </x:c>
      <x:c r="U399" s="349" t="inlineStr">
        <x:is>
          <x:t xml:space="preserve">Codex</x:t>
        </x:is>
      </x:c>
      <x:c r="V399" s="348" t="n">
        <x:v>46269</x:v>
      </x:c>
      <x:c r="W399" s="349" t="inlineStr">
        <x:is>
          <x:t xml:space="preserve">用户自制Blender资产</x:t>
        </x:is>
      </x:c>
      <x:c r="X399" s="375" t="inlineStr">
        <x:is>
          <x:t xml:space="preserve">57</x:t>
        </x:is>
      </x:c>
      <x:c r="Y399" s="349" t="inlineStr">
        <x:is>
          <x:t xml:space="preserve"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x:t>
        </x:is>
      </x:c>
    </x:row>
    <x:row r="400" ht="54" customHeight="1">
      <x:c r="A400" t="inlineStr">
        <x:is>
          <x:t xml:space="preserve">BPK-BASE99-UNDERSTAIR-LIGHTING-LIVING-SUPPORT</x:t>
        </x:is>
      </x:c>
      <x:c r="B400" t="inlineStr">
        <x:is>
          <x:t xml:space="preserve">基地99层 · 梯下暖光与生活点缀</x:t>
        </x:is>
      </x:c>
      <x:c r="C400" t="inlineStr">
        <x:is>
          <x:t xml:space="preserve">基地资产包</x:t>
        </x:is>
      </x:c>
      <x:c r="D400" t="inlineStr">
        <x:is>
          <x:t xml:space="preserve">阁楼下方固定设施包</x:t>
        </x:is>
      </x:c>
      <x:c r="E400" t="inlineStr">
        <x:is>
          <x:t xml:space="preserve">base99_package_understair_lighting_living_support</x:t>
        </x:is>
      </x:c>
      <x:c r="F400" t="inlineStr">
        <x:is>
          <x:t xml:space="preserve">package_root</x:t>
        </x:is>
      </x:c>
      <x:c r="G400" t="inlineStr">
        <x:is>
          <x:t xml:space="preserve">ENV-BASE99-ART-LAYOUT-3D</x:t>
        </x:is>
      </x:c>
      <x:c r="H400" t="inlineStr">
        <x:is>
          <x:t xml:space="preserve">Top3D / Blender +Y北</x:t>
        </x:is>
      </x:c>
      <x:c r="I400" t="inlineStr">
        <x:is>
          <x:t xml:space="preserve">static / fixture_light</x:t>
        </x:is>
      </x:c>
      <x:c r="J400" t="inlineStr">
        <x:is>
          <x:t xml:space="preserve">3D-设施 / 基地99层独立资产包</x:t>
        </x:is>
      </x:c>
      <x:c r="K400" t="inlineStr">
        <x:is>
          <x:t xml:space="preserve">Blender源已完成</x:t>
        </x:is>
      </x:c>
      <x:c r="L400" t="inlineStr">
        <x:is>
          <x:t xml:space="preserve">P1</x:t>
        </x:is>
      </x:c>
      <x:c r="M400" t="inlineStr">
        <x:is>
          <x:t xml:space="preserve">v017</x:t>
        </x:is>
      </x:c>
      <x:c r="N400" s="349" t="inlineStr">
        <x:is>
          <x:t xml:space="preserve">包络 3.100×1.030×3.690m；3 网格；2 灯</x:t>
        </x:is>
      </x:c>
      <x:c r="O400" s="349" t="inlineStr">
        <x:is>
          <x:t xml:space="preserve">source/art/blender/base_facility_layout/component_packages/underloft/understair_lighting_living_support/asset_manifest.json</x:t>
        </x:is>
      </x:c>
      <x:c r="P400" s="349" t="inlineStr">
        <x:is>
          <x:t xml:space="preserve">source/art/blender/base_facility_layout/source/base_facility_runtime_layout_hq_v026.blend; source/art/blender/base_facility_layout/component_packages/underloft/understair_lighting_living_support/asset_manifest.json</x:t>
        </x:is>
      </x:c>
      <x:c r="Q400" s="349" t="inlineStr">
        <x:is>
          <x:t xml:space="preserve">基地99层;基地资产包;3D设施;阁楼下方固定设施包;understair_lighting_living_support;PaletteUV</x:t>
        </x:is>
      </x:c>
      <x:c r="R400" s="349" t="str">
        <x:f>LOWER(TRIM(C400)&amp;"|"&amp;TRIM(D400)&amp;"|"&amp;TRIM(E400)&amp;"|"&amp;TRIM(F400)&amp;"|"&amp;TRIM(H400)&amp;"|"&amp;TRIM(I400))</x:f>
        <x:v>基地资产包|阁楼下方固定设施包|base99_package_understair_lighting_living_support|package_root|top3d / blender +y北|static / fixture_light</x:v>
      </x:c>
      <x:c r="S400" s="349" t="str">
        <x:f>IF(COUNTIF($R$6:$R$423,R400)&gt;1,"重复","唯一")</x:f>
        <x:v>唯一</x:v>
      </x:c>
      <x:c r="T400" s="349" t="inlineStr">
        <x:is>
          <x:t xml:space="preserve">45b9c9bf88b00892b8ebf61ba99fafee68c80caee3307bcd7b52ab687069394d</x:t>
        </x:is>
      </x:c>
      <x:c r="U400" s="349" t="inlineStr">
        <x:is>
          <x:t xml:space="preserve">Codex</x:t>
        </x:is>
      </x:c>
      <x:c r="V400" s="348" t="n">
        <x:v>46269</x:v>
      </x:c>
      <x:c r="W400" s="349" t="inlineStr">
        <x:is>
          <x:t xml:space="preserve">用户自制Blender资产</x:t>
        </x:is>
      </x:c>
      <x:c r="X400" s="375" t="inlineStr">
        <x:is>
          <x:t xml:space="preserve">61</x:t>
        </x:is>
      </x:c>
      <x:c r="Y400" s="349" t="inlineStr">
        <x:is>
          <x:t xml:space="preserve"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x:t>
        </x:is>
      </x:c>
    </x:row>
    <x:row r="401" ht="54" customHeight="1">
      <x:c r="A401" t="inlineStr">
        <x:is>
          <x:t xml:space="preserve">BPK-BASE99-UNDERSTAIR-STORAGE-SHELF</x:t>
        </x:is>
      </x:c>
      <x:c r="B401" t="inlineStr">
        <x:is>
          <x:t xml:space="preserve">基地99层 · 梯下层架与收纳</x:t>
        </x:is>
      </x:c>
      <x:c r="C401" t="inlineStr">
        <x:is>
          <x:t xml:space="preserve">基地资产包</x:t>
        </x:is>
      </x:c>
      <x:c r="D401" t="inlineStr">
        <x:is>
          <x:t xml:space="preserve">阁楼下方固定设施包</x:t>
        </x:is>
      </x:c>
      <x:c r="E401" t="inlineStr">
        <x:is>
          <x:t xml:space="preserve">base99_package_understair_storage_shelf</x:t>
        </x:is>
      </x:c>
      <x:c r="F401" t="inlineStr">
        <x:is>
          <x:t xml:space="preserve">package_root</x:t>
        </x:is>
      </x:c>
      <x:c r="G401" t="inlineStr">
        <x:is>
          <x:t xml:space="preserve">ENV-BASE99-ART-LAYOUT-3D</x:t>
        </x:is>
      </x:c>
      <x:c r="H401" t="inlineStr">
        <x:is>
          <x:t xml:space="preserve">Top3D / Blender +Y北</x:t>
        </x:is>
      </x:c>
      <x:c r="I401" t="inlineStr">
        <x:is>
          <x:t xml:space="preserve">static / default</x:t>
        </x:is>
      </x:c>
      <x:c r="J401" t="inlineStr">
        <x:is>
          <x:t xml:space="preserve">3D-设施 / 基地99层独立资产包</x:t>
        </x:is>
      </x:c>
      <x:c r="K401" t="inlineStr">
        <x:is>
          <x:t xml:space="preserve">Blender源已完成</x:t>
        </x:is>
      </x:c>
      <x:c r="L401" t="inlineStr">
        <x:is>
          <x:t xml:space="preserve">P1</x:t>
        </x:is>
      </x:c>
      <x:c r="M401" t="inlineStr">
        <x:is>
          <x:t xml:space="preserve">v017</x:t>
        </x:is>
      </x:c>
      <x:c r="N401" s="349" t="inlineStr">
        <x:is>
          <x:t xml:space="preserve">包络 1.240×0.934×2.600m；2 网格；0 灯</x:t>
        </x:is>
      </x:c>
      <x:c r="O401" s="349" t="inlineStr">
        <x:is>
          <x:t xml:space="preserve">source/art/blender/base_facility_layout/component_packages/underloft/understair_storage_shelf/asset_manifest.json</x:t>
        </x:is>
      </x:c>
      <x:c r="P401" s="349" t="inlineStr">
        <x:is>
          <x:t xml:space="preserve">source/art/blender/base_facility_layout/source/base_facility_runtime_layout_hq_v026.blend; source/art/blender/base_facility_layout/component_packages/underloft/understair_storage_shelf/asset_manifest.json</x:t>
        </x:is>
      </x:c>
      <x:c r="Q401" s="349" t="inlineStr">
        <x:is>
          <x:t xml:space="preserve">基地99层;基地资产包;3D设施;阁楼下方固定设施包;understair_storage_shelf;PaletteUV</x:t>
        </x:is>
      </x:c>
      <x:c r="R401" s="349" t="str">
        <x:f>LOWER(TRIM(C401)&amp;"|"&amp;TRIM(D401)&amp;"|"&amp;TRIM(E401)&amp;"|"&amp;TRIM(F401)&amp;"|"&amp;TRIM(H401)&amp;"|"&amp;TRIM(I401))</x:f>
        <x:v>基地资产包|阁楼下方固定设施包|base99_package_understair_storage_shelf|package_root|top3d / blender +y北|static / default</x:v>
      </x:c>
      <x:c r="S401" s="349" t="str">
        <x:f>IF(COUNTIF($R$6:$R$423,R401)&gt;1,"重复","唯一")</x:f>
        <x:v>唯一</x:v>
      </x:c>
      <x:c r="T401" s="349" t="inlineStr">
        <x:is>
          <x:t xml:space="preserve">2e7e296aec13638562542154a7e6c0f60864c65de6baa6f6dd51a33d1146849e</x:t>
        </x:is>
      </x:c>
      <x:c r="U401" s="349" t="inlineStr">
        <x:is>
          <x:t xml:space="preserve">Codex</x:t>
        </x:is>
      </x:c>
      <x:c r="V401" s="348" t="n">
        <x:v>46269</x:v>
      </x:c>
      <x:c r="W401" s="349" t="inlineStr">
        <x:is>
          <x:t xml:space="preserve">用户自制Blender资产</x:t>
        </x:is>
      </x:c>
      <x:c r="X401" s="375" t="inlineStr">
        <x:is>
          <x:t xml:space="preserve">60</x:t>
        </x:is>
      </x:c>
      <x:c r="Y401" s="349" t="inlineStr">
        <x:is>
          <x:t xml:space="preserve"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x:t>
        </x:is>
      </x:c>
    </x:row>
    <x:row r="402" ht="54" customHeight="1">
      <x:c r="A402" t="inlineStr">
        <x:is>
          <x:t xml:space="preserve">BPK-BASE99-WEAPON-WORKSHOP-STATION</x:t>
        </x:is>
      </x:c>
      <x:c r="B402" t="inlineStr">
        <x:is>
          <x:t xml:space="preserve">基地99层 · 武器工作台与弹药附件</x:t>
        </x:is>
      </x:c>
      <x:c r="C402" t="inlineStr">
        <x:is>
          <x:t xml:space="preserve">基地资产包</x:t>
        </x:is>
      </x:c>
      <x:c r="D402" t="inlineStr">
        <x:is>
          <x:t xml:space="preserve">阁楼下方固定设施包</x:t>
        </x:is>
      </x:c>
      <x:c r="E402" t="inlineStr">
        <x:is>
          <x:t xml:space="preserve">base99_package_weapon_workshop_station</x:t>
        </x:is>
      </x:c>
      <x:c r="F402" t="inlineStr">
        <x:is>
          <x:t xml:space="preserve">package_root</x:t>
        </x:is>
      </x:c>
      <x:c r="G402" t="inlineStr">
        <x:is>
          <x:t xml:space="preserve">ENV-BASE99-ART-LAYOUT-3D</x:t>
        </x:is>
      </x:c>
      <x:c r="H402" t="inlineStr">
        <x:is>
          <x:t xml:space="preserve">Top3D / Blender +Y北</x:t>
        </x:is>
      </x:c>
      <x:c r="I402" t="inlineStr">
        <x:is>
          <x:t xml:space="preserve">static / fixture_light</x:t>
        </x:is>
      </x:c>
      <x:c r="J402" t="inlineStr">
        <x:is>
          <x:t xml:space="preserve">3D-设施 / 基地99层独立资产包</x:t>
        </x:is>
      </x:c>
      <x:c r="K402" t="inlineStr">
        <x:is>
          <x:t xml:space="preserve">正式美术已接入</x:t>
        </x:is>
      </x:c>
      <x:c r="L402" t="inlineStr">
        <x:is>
          <x:t xml:space="preserve">P1</x:t>
        </x:is>
      </x:c>
      <x:c r="M402" t="inlineStr">
        <x:is>
          <x:t xml:space="preserve">v022</x:t>
        </x:is>
      </x:c>
      <x:c r="N402" s="349" t="inlineStr">
        <x:is>
          <x:t xml:space="preserve">包络 2.330×6.000×4.491m；12 网格；1 灯</x:t>
        </x:is>
      </x:c>
      <x:c r="O402" s="349" t="inlineStr">
        <x:is>
          <x:t xml:space="preserve">source/art/blender/base_facility_layout/component_packages/underloft/weapon_workshop_station/asset_manifest.json</x:t>
        </x:is>
      </x:c>
      <x:c r="P402" s="349" t="inlineStr">
        <x:is>
          <x:t xml:space="preserve">source/art/blender/base_facility_layout/source/base_facility_runtime_layout_hq_v026.blend; source/art/blender/base_facility_layout/component_packages/underloft/weapon_workshop_station/asset_manifest.json</x:t>
        </x:is>
      </x:c>
      <x:c r="Q402" s="349" t="inlineStr">
        <x:is>
          <x:t xml:space="preserve">基地99层;基地资产包;3D设施;阁楼下方固定设施包;weapon_workshop_station;PaletteUV; monster_archive</x:t>
        </x:is>
      </x:c>
      <x:c r="R402" s="349" t="str">
        <x:f>LOWER(TRIM(C402)&amp;"|"&amp;TRIM(D402)&amp;"|"&amp;TRIM(E402)&amp;"|"&amp;TRIM(F402)&amp;"|"&amp;TRIM(H402)&amp;"|"&amp;TRIM(I402))</x:f>
        <x:v>基地资产包|阁楼下方固定设施包|base99_package_weapon_workshop_station|package_root|top3d / blender +y北|static / fixture_light</x:v>
      </x:c>
      <x:c r="S402" s="349" t="str">
        <x:f>IF(COUNTIF($R$6:$R$423,R402)&gt;1,"重复","唯一")</x:f>
        <x:v>唯一</x:v>
      </x:c>
      <x:c r="T402" s="349" t="inlineStr">
        <x:is>
          <x:t xml:space="preserve">f568e54a20f9da78496f14a7dc6b5a2480e8d06ae1444556e67eaf1714e52eed</x:t>
        </x:is>
      </x:c>
      <x:c r="U402" s="349" t="inlineStr">
        <x:is>
          <x:t xml:space="preserve">Codex</x:t>
        </x:is>
      </x:c>
      <x:c r="V402" s="348" t="n">
        <x:v>46269</x:v>
      </x:c>
      <x:c r="W402" s="349" t="inlineStr">
        <x:is>
          <x:t xml:space="preserve">用户自制Blender资产</x:t>
        </x:is>
      </x:c>
      <x:c r="X402" s="375" t="inlineStr">
        <x:is>
          <x:t xml:space="preserve">49</x:t>
        </x:is>
      </x:c>
      <x:c r="Y402" s="349" t="inlineStr">
        <x:is>
          <x:t xml:space="preserve"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x:t>
        </x:is>
      </x:c>
    </x:row>
    <x:row r="403" ht="54" customHeight="1">
      <x:c r="A403" t="inlineStr">
        <x:is>
          <x:t xml:space="preserve">BPK-BASE99-AIR-COMPRESSOR</x:t>
        </x:is>
      </x:c>
      <x:c r="B403" t="inlineStr">
        <x:is>
          <x:t xml:space="preserve">基地99层 · 空气压缩机</x:t>
        </x:is>
      </x:c>
      <x:c r="C403" t="inlineStr">
        <x:is>
          <x:t xml:space="preserve">基地资产包</x:t>
        </x:is>
      </x:c>
      <x:c r="D403" t="inlineStr">
        <x:is>
          <x:t xml:space="preserve">仓库设施包</x:t>
        </x:is>
      </x:c>
      <x:c r="E403" t="inlineStr">
        <x:is>
          <x:t xml:space="preserve">base99_package_air_compressor</x:t>
        </x:is>
      </x:c>
      <x:c r="F403" t="inlineStr">
        <x:is>
          <x:t xml:space="preserve">package_root</x:t>
        </x:is>
      </x:c>
      <x:c r="G403" t="inlineStr">
        <x:is>
          <x:t xml:space="preserve">ENV-BASE99-ART-LAYOUT-3D</x:t>
        </x:is>
      </x:c>
      <x:c r="H403" t="inlineStr">
        <x:is>
          <x:t xml:space="preserve">Top3D / Blender +Y北</x:t>
        </x:is>
      </x:c>
      <x:c r="I403" t="inlineStr">
        <x:is>
          <x:t xml:space="preserve">static / default</x:t>
        </x:is>
      </x:c>
      <x:c r="J403" t="inlineStr">
        <x:is>
          <x:t xml:space="preserve">3D-设施 / 基地99层独立资产包</x:t>
        </x:is>
      </x:c>
      <x:c r="K403" t="inlineStr">
        <x:is>
          <x:t xml:space="preserve">Blender源已完成</x:t>
        </x:is>
      </x:c>
      <x:c r="L403" t="inlineStr">
        <x:is>
          <x:t xml:space="preserve">P1</x:t>
        </x:is>
      </x:c>
      <x:c r="M403" t="inlineStr">
        <x:is>
          <x:t xml:space="preserve">v017</x:t>
        </x:is>
      </x:c>
      <x:c r="N403" s="349" t="inlineStr">
        <x:is>
          <x:t xml:space="preserve">包络 2.000×1.450×1.200m；2 网格；0 灯</x:t>
        </x:is>
      </x:c>
      <x:c r="O403" s="349" t="inlineStr">
        <x:is>
          <x:t xml:space="preserve">source/art/blender/base_facility_layout/component_packages/warehouse/air_compressor/asset_manifest.json</x:t>
        </x:is>
      </x:c>
      <x:c r="P403" s="349" t="inlineStr">
        <x:is>
          <x:t xml:space="preserve">source/art/blender/base_facility_layout/source/base_facility_runtime_layout_hq_v026.blend; source/art/blender/base_facility_layout/component_packages/warehouse/air_compressor/asset_manifest.json</x:t>
        </x:is>
      </x:c>
      <x:c r="Q403" s="349" t="inlineStr">
        <x:is>
          <x:t xml:space="preserve">基地99层;基地资产包;3D设施;仓库设施包;air_compressor;PaletteUV</x:t>
        </x:is>
      </x:c>
      <x:c r="R403" s="349" t="str">
        <x:f>LOWER(TRIM(C403)&amp;"|"&amp;TRIM(D403)&amp;"|"&amp;TRIM(E403)&amp;"|"&amp;TRIM(F403)&amp;"|"&amp;TRIM(H403)&amp;"|"&amp;TRIM(I403))</x:f>
        <x:v>基地资产包|仓库设施包|base99_package_air_compressor|package_root|top3d / blender +y北|static / default</x:v>
      </x:c>
      <x:c r="S403" s="349" t="str">
        <x:f>IF(COUNTIF($R$6:$R$423,R403)&gt;1,"重复","唯一")</x:f>
        <x:v>唯一</x:v>
      </x:c>
      <x:c r="T403" s="349" t="inlineStr">
        <x:is>
          <x:t xml:space="preserve">fe223a3c61fefa41112c53d0db19456b7fe7fa7a1b96c344dd3731890f520abf</x:t>
        </x:is>
      </x:c>
      <x:c r="U403" s="349" t="inlineStr">
        <x:is>
          <x:t xml:space="preserve">Codex</x:t>
        </x:is>
      </x:c>
      <x:c r="V403" s="348" t="n">
        <x:v>46269</x:v>
      </x:c>
      <x:c r="W403" s="349" t="inlineStr">
        <x:is>
          <x:t xml:space="preserve">用户自制Blender资产</x:t>
        </x:is>
      </x:c>
      <x:c r="X403" s="375" t="inlineStr">
        <x:is>
          <x:t xml:space="preserve">58</x:t>
        </x:is>
      </x:c>
      <x:c r="Y403" s="349" t="inlineStr">
        <x:is>
          <x:t xml:space="preserve"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x:t>
        </x:is>
      </x:c>
    </x:row>
    <x:row r="404" ht="54" customHeight="1">
      <x:c r="A404" t="inlineStr">
        <x:is>
          <x:t xml:space="preserve">BPK-BASE99-BACKUP-GENERATOR</x:t>
        </x:is>
      </x:c>
      <x:c r="B404" t="inlineStr">
        <x:is>
          <x:t xml:space="preserve">基地99层 · 备用发电机</x:t>
        </x:is>
      </x:c>
      <x:c r="C404" t="inlineStr">
        <x:is>
          <x:t xml:space="preserve">基地资产包</x:t>
        </x:is>
      </x:c>
      <x:c r="D404" t="inlineStr">
        <x:is>
          <x:t xml:space="preserve">仓库设施包</x:t>
        </x:is>
      </x:c>
      <x:c r="E404" t="inlineStr">
        <x:is>
          <x:t xml:space="preserve">base99_package_backup_generator</x:t>
        </x:is>
      </x:c>
      <x:c r="F404" t="inlineStr">
        <x:is>
          <x:t xml:space="preserve">package_root</x:t>
        </x:is>
      </x:c>
      <x:c r="G404" t="inlineStr">
        <x:is>
          <x:t xml:space="preserve">ENV-BASE99-ART-LAYOUT-3D</x:t>
        </x:is>
      </x:c>
      <x:c r="H404" t="inlineStr">
        <x:is>
          <x:t xml:space="preserve">Top3D / Blender +Y北</x:t>
        </x:is>
      </x:c>
      <x:c r="I404" t="inlineStr">
        <x:is>
          <x:t xml:space="preserve">static / default</x:t>
        </x:is>
      </x:c>
      <x:c r="J404" t="inlineStr">
        <x:is>
          <x:t xml:space="preserve">3D-设施 / 基地99层独立资产包</x:t>
        </x:is>
      </x:c>
      <x:c r="K404" t="inlineStr">
        <x:is>
          <x:t xml:space="preserve">Blender源已完成</x:t>
        </x:is>
      </x:c>
      <x:c r="L404" t="inlineStr">
        <x:is>
          <x:t xml:space="preserve">P1</x:t>
        </x:is>
      </x:c>
      <x:c r="M404" t="inlineStr">
        <x:is>
          <x:t xml:space="preserve">v017</x:t>
        </x:is>
      </x:c>
      <x:c r="N404" s="349" t="inlineStr">
        <x:is>
          <x:t xml:space="preserve">包络 2.325×3.100×1.655m；3 网格；0 灯</x:t>
        </x:is>
      </x:c>
      <x:c r="O404" s="349" t="inlineStr">
        <x:is>
          <x:t xml:space="preserve">source/art/blender/base_facility_layout/component_packages/warehouse/backup_generator/asset_manifest.json</x:t>
        </x:is>
      </x:c>
      <x:c r="P404" s="349" t="inlineStr">
        <x:is>
          <x:t xml:space="preserve">source/art/blender/base_facility_layout/source/base_facility_runtime_layout_hq_v026.blend; source/art/blender/base_facility_layout/component_packages/warehouse/backup_generator/asset_manifest.json</x:t>
        </x:is>
      </x:c>
      <x:c r="Q404" s="349" t="inlineStr">
        <x:is>
          <x:t xml:space="preserve">基地99层;基地资产包;3D设施;仓库设施包;backup_generator;PaletteUV</x:t>
        </x:is>
      </x:c>
      <x:c r="R404" s="349" t="str">
        <x:f>LOWER(TRIM(C404)&amp;"|"&amp;TRIM(D404)&amp;"|"&amp;TRIM(E404)&amp;"|"&amp;TRIM(F404)&amp;"|"&amp;TRIM(H404)&amp;"|"&amp;TRIM(I404))</x:f>
        <x:v>基地资产包|仓库设施包|base99_package_backup_generator|package_root|top3d / blender +y北|static / default</x:v>
      </x:c>
      <x:c r="S404" s="349" t="str">
        <x:f>IF(COUNTIF($R$6:$R$423,R404)&gt;1,"重复","唯一")</x:f>
        <x:v>唯一</x:v>
      </x:c>
      <x:c r="T404" s="349" t="inlineStr">
        <x:is>
          <x:t xml:space="preserve">46365109119549947bf83b6ce9dc5f6f437615a351fe9170e75fa25c7c9bd99a</x:t>
        </x:is>
      </x:c>
      <x:c r="U404" s="349" t="inlineStr">
        <x:is>
          <x:t xml:space="preserve">Codex</x:t>
        </x:is>
      </x:c>
      <x:c r="V404" s="348" t="n">
        <x:v>46269</x:v>
      </x:c>
      <x:c r="W404" s="349" t="inlineStr">
        <x:is>
          <x:t xml:space="preserve">用户自制Blender资产</x:t>
        </x:is>
      </x:c>
      <x:c r="X404" s="375" t="inlineStr">
        <x:is>
          <x:t xml:space="preserve">53</x:t>
        </x:is>
      </x:c>
      <x:c r="Y404" s="349" t="inlineStr">
        <x:is>
          <x:t xml:space="preserve"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x:t>
        </x:is>
      </x:c>
    </x:row>
    <x:row r="405" ht="54" customHeight="1">
      <x:c r="A405" t="inlineStr">
        <x:is>
          <x:t xml:space="preserve">BPK-BASE99-BATTERY-BANK</x:t>
        </x:is>
      </x:c>
      <x:c r="B405" t="inlineStr">
        <x:is>
          <x:t xml:space="preserve">基地99层 · 蓄电池组</x:t>
        </x:is>
      </x:c>
      <x:c r="C405" t="inlineStr">
        <x:is>
          <x:t xml:space="preserve">基地资产包</x:t>
        </x:is>
      </x:c>
      <x:c r="D405" t="inlineStr">
        <x:is>
          <x:t xml:space="preserve">仓库设施包</x:t>
        </x:is>
      </x:c>
      <x:c r="E405" t="inlineStr">
        <x:is>
          <x:t xml:space="preserve">base99_package_battery_bank</x:t>
        </x:is>
      </x:c>
      <x:c r="F405" t="inlineStr">
        <x:is>
          <x:t xml:space="preserve">package_root</x:t>
        </x:is>
      </x:c>
      <x:c r="G405" t="inlineStr">
        <x:is>
          <x:t xml:space="preserve">ENV-BASE99-ART-LAYOUT-3D</x:t>
        </x:is>
      </x:c>
      <x:c r="H405" t="inlineStr">
        <x:is>
          <x:t xml:space="preserve">Top3D / Blender +Y北</x:t>
        </x:is>
      </x:c>
      <x:c r="I405" t="inlineStr">
        <x:is>
          <x:t xml:space="preserve">static / default</x:t>
        </x:is>
      </x:c>
      <x:c r="J405" t="inlineStr">
        <x:is>
          <x:t xml:space="preserve">3D-设施 / 基地99层独立资产包</x:t>
        </x:is>
      </x:c>
      <x:c r="K405" t="inlineStr">
        <x:is>
          <x:t xml:space="preserve">Blender源已完成</x:t>
        </x:is>
      </x:c>
      <x:c r="L405" t="inlineStr">
        <x:is>
          <x:t xml:space="preserve">P1</x:t>
        </x:is>
      </x:c>
      <x:c r="M405" t="inlineStr">
        <x:is>
          <x:t xml:space="preserve">v017</x:t>
        </x:is>
      </x:c>
      <x:c r="N405" s="349" t="inlineStr">
        <x:is>
          <x:t xml:space="preserve">包络 1.320×2.280×0.820m；6 网格；0 灯</x:t>
        </x:is>
      </x:c>
      <x:c r="O405" s="349" t="inlineStr">
        <x:is>
          <x:t xml:space="preserve">source/art/blender/base_facility_layout/component_packages/warehouse/battery_bank/asset_manifest.json</x:t>
        </x:is>
      </x:c>
      <x:c r="P405" s="349" t="inlineStr">
        <x:is>
          <x:t xml:space="preserve">source/art/blender/base_facility_layout/source/base_facility_runtime_layout_hq_v026.blend; source/art/blender/base_facility_layout/component_packages/warehouse/battery_bank/asset_manifest.json</x:t>
        </x:is>
      </x:c>
      <x:c r="Q405" s="349" t="inlineStr">
        <x:is>
          <x:t xml:space="preserve">基地99层;基地资产包;3D设施;仓库设施包;battery_bank;PaletteUV</x:t>
        </x:is>
      </x:c>
      <x:c r="R405" s="349" t="str">
        <x:f>LOWER(TRIM(C405)&amp;"|"&amp;TRIM(D405)&amp;"|"&amp;TRIM(E405)&amp;"|"&amp;TRIM(F405)&amp;"|"&amp;TRIM(H405)&amp;"|"&amp;TRIM(I405))</x:f>
        <x:v>基地资产包|仓库设施包|base99_package_battery_bank|package_root|top3d / blender +y北|static / default</x:v>
      </x:c>
      <x:c r="S405" s="349" t="str">
        <x:f>IF(COUNTIF($R$6:$R$423,R405)&gt;1,"重复","唯一")</x:f>
        <x:v>唯一</x:v>
      </x:c>
      <x:c r="T405" s="349" t="inlineStr">
        <x:is>
          <x:t xml:space="preserve">6fdffb163e8c09d489b9b6e8a016ee9f5a2966d88c59210a2631904733bf0417</x:t>
        </x:is>
      </x:c>
      <x:c r="U405" s="349" t="inlineStr">
        <x:is>
          <x:t xml:space="preserve">Codex</x:t>
        </x:is>
      </x:c>
      <x:c r="V405" s="348" t="n">
        <x:v>46269</x:v>
      </x:c>
      <x:c r="W405" s="349" t="inlineStr">
        <x:is>
          <x:t xml:space="preserve">用户自制Blender资产</x:t>
        </x:is>
      </x:c>
      <x:c r="X405" s="375" t="inlineStr">
        <x:is>
          <x:t xml:space="preserve">54</x:t>
        </x:is>
      </x:c>
      <x:c r="Y405" s="349" t="inlineStr">
        <x:is>
          <x:t xml:space="preserve">package_id=ENV-BASE99-ART-LAYOUT-3D::battery_bank；对象 6；中心 (12.865, -12.120, 0.520)m；朝向 Blender +Y north；预期导出 battery_bank_visual_top3d_v001.glb；当前 not_exported；碰撞 not_authored_in_this_collection_only_pass；母版SHA-256=65ea9b7e5a75。</x:t>
        </x:is>
      </x:c>
    </x:row>
    <x:row r="406" ht="54" customHeight="1">
      <x:c r="A406" t="inlineStr">
        <x:is>
          <x:t xml:space="preserve">BPK-BASE99-HEAVY-SUPPLY-SHELF</x:t>
        </x:is>
      </x:c>
      <x:c r="B406" t="inlineStr">
        <x:is>
          <x:t xml:space="preserve">基地99层 · 重型货架与补给箱</x:t>
        </x:is>
      </x:c>
      <x:c r="C406" t="inlineStr">
        <x:is>
          <x:t xml:space="preserve">基地资产包</x:t>
        </x:is>
      </x:c>
      <x:c r="D406" t="inlineStr">
        <x:is>
          <x:t xml:space="preserve">仓库设施包</x:t>
        </x:is>
      </x:c>
      <x:c r="E406" t="inlineStr">
        <x:is>
          <x:t xml:space="preserve">base99_package_heavy_supply_shelf</x:t>
        </x:is>
      </x:c>
      <x:c r="F406" t="inlineStr">
        <x:is>
          <x:t xml:space="preserve">package_root</x:t>
        </x:is>
      </x:c>
      <x:c r="G406" t="inlineStr">
        <x:is>
          <x:t xml:space="preserve">ENV-BASE99-ART-LAYOUT-3D</x:t>
        </x:is>
      </x:c>
      <x:c r="H406" t="inlineStr">
        <x:is>
          <x:t xml:space="preserve">Top3D / Blender +Y北</x:t>
        </x:is>
      </x:c>
      <x:c r="I406" t="inlineStr">
        <x:is>
          <x:t xml:space="preserve">static / default</x:t>
        </x:is>
      </x:c>
      <x:c r="J406" t="inlineStr">
        <x:is>
          <x:t xml:space="preserve">3D-设施 / 基地99层独立资产包</x:t>
        </x:is>
      </x:c>
      <x:c r="K406" t="inlineStr">
        <x:is>
          <x:t xml:space="preserve">Blender源已完成</x:t>
        </x:is>
      </x:c>
      <x:c r="L406" t="inlineStr">
        <x:is>
          <x:t xml:space="preserve">P1</x:t>
        </x:is>
      </x:c>
      <x:c r="M406" t="inlineStr">
        <x:is>
          <x:t xml:space="preserve">v022</x:t>
        </x:is>
      </x:c>
      <x:c r="N406" s="349" t="inlineStr">
        <x:is>
          <x:t xml:space="preserve">包络 5.340×0.820×3.640m；22 网格；0 灯</x:t>
        </x:is>
      </x:c>
      <x:c r="O406" s="349" t="inlineStr">
        <x:is>
          <x:t xml:space="preserve">source/art/blender/base_facility_layout/component_packages/warehouse/heavy_supply_shelf/asset_manifest.json</x:t>
        </x:is>
      </x:c>
      <x:c r="P406" s="349" t="inlineStr">
        <x:is>
          <x:t xml:space="preserve">source/art/blender/base_facility_layout/source/base_facility_runtime_layout_hq_v026.blend; source/art/blender/base_facility_layout/component_packages/warehouse/heavy_supply_shelf/asset_manifest.json</x:t>
        </x:is>
      </x:c>
      <x:c r="Q406" s="349" t="inlineStr">
        <x:is>
          <x:t xml:space="preserve">基地99层;基地资产包;3D设施;仓库设施包;heavy_supply_shelf;PaletteUV</x:t>
        </x:is>
      </x:c>
      <x:c r="R406" s="349" t="str">
        <x:f>LOWER(TRIM(C406)&amp;"|"&amp;TRIM(D406)&amp;"|"&amp;TRIM(E406)&amp;"|"&amp;TRIM(F406)&amp;"|"&amp;TRIM(H406)&amp;"|"&amp;TRIM(I406))</x:f>
        <x:v>基地资产包|仓库设施包|base99_package_heavy_supply_shelf|package_root|top3d / blender +y北|static / default</x:v>
      </x:c>
      <x:c r="S406" s="349" t="str">
        <x:f>IF(COUNTIF($R$6:$R$423,R406)&gt;1,"重复","唯一")</x:f>
        <x:v>唯一</x:v>
      </x:c>
      <x:c r="T406" s="349" t="inlineStr">
        <x:is>
          <x:t xml:space="preserve">0d2048acc401d5580c86cb36de4f34b7e3787150cff3eb1ae8051c37a026e8e7</x:t>
        </x:is>
      </x:c>
      <x:c r="U406" s="349" t="inlineStr">
        <x:is>
          <x:t xml:space="preserve">Codex</x:t>
        </x:is>
      </x:c>
      <x:c r="V406" s="348" t="n">
        <x:v>46269</x:v>
      </x:c>
      <x:c r="W406" s="349" t="inlineStr">
        <x:is>
          <x:t xml:space="preserve">用户自制Blender资产</x:t>
        </x:is>
      </x:c>
      <x:c r="X406" s="375" t="inlineStr">
        <x:is>
          <x:t xml:space="preserve">51</x:t>
        </x:is>
      </x:c>
      <x:c r="Y406" s="349" t="inlineStr">
        <x:is>
          <x:t xml:space="preserve"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x:t>
        </x:is>
      </x:c>
    </x:row>
    <x:row r="407" ht="54" customHeight="1">
      <x:c r="A407" t="inlineStr">
        <x:is>
          <x:t xml:space="preserve">BPK-BASE99-HOSE-REEL</x:t>
        </x:is>
      </x:c>
      <x:c r="B407" t="inlineStr">
        <x:is>
          <x:t xml:space="preserve">基地99层 · 水管卷盘</x:t>
        </x:is>
      </x:c>
      <x:c r="C407" t="inlineStr">
        <x:is>
          <x:t xml:space="preserve">基地资产包</x:t>
        </x:is>
      </x:c>
      <x:c r="D407" t="inlineStr">
        <x:is>
          <x:t xml:space="preserve">仓库设施包</x:t>
        </x:is>
      </x:c>
      <x:c r="E407" t="inlineStr">
        <x:is>
          <x:t xml:space="preserve">base99_package_hose_reel</x:t>
        </x:is>
      </x:c>
      <x:c r="F407" t="inlineStr">
        <x:is>
          <x:t xml:space="preserve">package_root</x:t>
        </x:is>
      </x:c>
      <x:c r="G407" t="inlineStr">
        <x:is>
          <x:t xml:space="preserve">ENV-BASE99-ART-LAYOUT-3D</x:t>
        </x:is>
      </x:c>
      <x:c r="H407" t="inlineStr">
        <x:is>
          <x:t xml:space="preserve">Top3D / Blender +Y北</x:t>
        </x:is>
      </x:c>
      <x:c r="I407" t="inlineStr">
        <x:is>
          <x:t xml:space="preserve">static / default</x:t>
        </x:is>
      </x:c>
      <x:c r="J407" t="inlineStr">
        <x:is>
          <x:t xml:space="preserve">3D-设施 / 基地99层独立资产包</x:t>
        </x:is>
      </x:c>
      <x:c r="K407" t="inlineStr">
        <x:is>
          <x:t xml:space="preserve">Blender源已完成</x:t>
        </x:is>
      </x:c>
      <x:c r="L407" t="inlineStr">
        <x:is>
          <x:t xml:space="preserve">P1</x:t>
        </x:is>
      </x:c>
      <x:c r="M407" t="inlineStr">
        <x:is>
          <x:t xml:space="preserve">v017</x:t>
        </x:is>
      </x:c>
      <x:c r="N407" s="349" t="inlineStr">
        <x:is>
          <x:t xml:space="preserve">包络 1.240×0.250×1.240m；1 网格；0 灯</x:t>
        </x:is>
      </x:c>
      <x:c r="O407" s="349" t="inlineStr">
        <x:is>
          <x:t xml:space="preserve">source/art/blender/base_facility_layout/component_packages/warehouse/hose_reel/asset_manifest.json</x:t>
        </x:is>
      </x:c>
      <x:c r="P407" s="349" t="inlineStr">
        <x:is>
          <x:t xml:space="preserve">source/art/blender/base_facility_layout/source/base_facility_runtime_layout_hq_v026.blend; source/art/blender/base_facility_layout/component_packages/warehouse/hose_reel/asset_manifest.json</x:t>
        </x:is>
      </x:c>
      <x:c r="Q407" s="349" t="inlineStr">
        <x:is>
          <x:t xml:space="preserve">基地99层;基地资产包;3D设施;仓库设施包;hose_reel;PaletteUV</x:t>
        </x:is>
      </x:c>
      <x:c r="R407" s="349" t="str">
        <x:f>LOWER(TRIM(C407)&amp;"|"&amp;TRIM(D407)&amp;"|"&amp;TRIM(E407)&amp;"|"&amp;TRIM(F407)&amp;"|"&amp;TRIM(H407)&amp;"|"&amp;TRIM(I407))</x:f>
        <x:v>基地资产包|仓库设施包|base99_package_hose_reel|package_root|top3d / blender +y北|static / default</x:v>
      </x:c>
      <x:c r="S407" s="349" t="str">
        <x:f>IF(COUNTIF($R$6:$R$423,R407)&gt;1,"重复","唯一")</x:f>
        <x:v>唯一</x:v>
      </x:c>
      <x:c r="T407" s="349" t="inlineStr">
        <x:is>
          <x:t xml:space="preserve">0824feeb2d04559927f281f0718fec54324bcd89a2a89a7adfbb9647a0e5778f</x:t>
        </x:is>
      </x:c>
      <x:c r="U407" s="349" t="inlineStr">
        <x:is>
          <x:t xml:space="preserve">Codex</x:t>
        </x:is>
      </x:c>
      <x:c r="V407" s="348" t="n">
        <x:v>46269</x:v>
      </x:c>
      <x:c r="W407" s="349" t="inlineStr">
        <x:is>
          <x:t xml:space="preserve">用户自制Blender资产</x:t>
        </x:is>
      </x:c>
      <x:c r="X407" s="375" t="inlineStr">
        <x:is>
          <x:t xml:space="preserve">59</x:t>
        </x:is>
      </x:c>
      <x:c r="Y407" s="349" t="inlineStr">
        <x:is>
          <x:t xml:space="preserve">package_id=ENV-BASE99-ART-LAYOUT-3D::hose_reel；对象 1；中心 (-14.050, -10.600, 2.650)m；朝向 Blender +Y north；预期导出 hose_reel_visual_top3d_v001.glb；当前 not_exported；碰撞 not_authored_in_this_collection_only_pass；母版SHA-256=65ea9b7e5a75。</x:t>
        </x:is>
      </x:c>
    </x:row>
    <x:row r="408" ht="54" customHeight="1">
      <x:c r="A408" t="inlineStr">
        <x:is>
          <x:t xml:space="preserve">BPK-BASE99-INDUSTRIAL-WATER-TANK</x:t>
        </x:is>
      </x:c>
      <x:c r="B408" t="inlineStr">
        <x:is>
          <x:t xml:space="preserve">基地99层 · 工业水箱</x:t>
        </x:is>
      </x:c>
      <x:c r="C408" t="inlineStr">
        <x:is>
          <x:t xml:space="preserve">基地资产包</x:t>
        </x:is>
      </x:c>
      <x:c r="D408" t="inlineStr">
        <x:is>
          <x:t xml:space="preserve">仓库设施包</x:t>
        </x:is>
      </x:c>
      <x:c r="E408" t="inlineStr">
        <x:is>
          <x:t xml:space="preserve">base99_package_industrial_water_tank</x:t>
        </x:is>
      </x:c>
      <x:c r="F408" t="inlineStr">
        <x:is>
          <x:t xml:space="preserve">package_root</x:t>
        </x:is>
      </x:c>
      <x:c r="G408" t="inlineStr">
        <x:is>
          <x:t xml:space="preserve">ENV-BASE99-ART-LAYOUT-3D</x:t>
        </x:is>
      </x:c>
      <x:c r="H408" t="inlineStr">
        <x:is>
          <x:t xml:space="preserve">Top3D / Blender +Y北</x:t>
        </x:is>
      </x:c>
      <x:c r="I408" t="inlineStr">
        <x:is>
          <x:t xml:space="preserve">static / default</x:t>
        </x:is>
      </x:c>
      <x:c r="J408" t="inlineStr">
        <x:is>
          <x:t xml:space="preserve">3D-设施 / 基地99层独立资产包</x:t>
        </x:is>
      </x:c>
      <x:c r="K408" t="inlineStr">
        <x:is>
          <x:t xml:space="preserve">Blender源已完成</x:t>
        </x:is>
      </x:c>
      <x:c r="L408" t="inlineStr">
        <x:is>
          <x:t xml:space="preserve">P1</x:t>
        </x:is>
      </x:c>
      <x:c r="M408" t="inlineStr">
        <x:is>
          <x:t xml:space="preserve">v017</x:t>
        </x:is>
      </x:c>
      <x:c r="N408" s="349" t="inlineStr">
        <x:is>
          <x:t xml:space="preserve">包络 2.000×2.000×2.550m；1 网格；0 灯</x:t>
        </x:is>
      </x:c>
      <x:c r="O408" s="349" t="inlineStr">
        <x:is>
          <x:t xml:space="preserve">source/art/blender/base_facility_layout/component_packages/warehouse/industrial_water_tank/asset_manifest.json</x:t>
        </x:is>
      </x:c>
      <x:c r="P408" s="349" t="inlineStr">
        <x:is>
          <x:t xml:space="preserve">source/art/blender/base_facility_layout/source/base_facility_runtime_layout_hq_v026.blend; source/art/blender/base_facility_layout/component_packages/warehouse/industrial_water_tank/asset_manifest.json</x:t>
        </x:is>
      </x:c>
      <x:c r="Q408" s="349" t="inlineStr">
        <x:is>
          <x:t xml:space="preserve">基地99层;基地资产包;3D设施;仓库设施包;industrial_water_tank;PaletteUV</x:t>
        </x:is>
      </x:c>
      <x:c r="R408" s="349" t="str">
        <x:f>LOWER(TRIM(C408)&amp;"|"&amp;TRIM(D408)&amp;"|"&amp;TRIM(E408)&amp;"|"&amp;TRIM(F408)&amp;"|"&amp;TRIM(H408)&amp;"|"&amp;TRIM(I408))</x:f>
        <x:v>基地资产包|仓库设施包|base99_package_industrial_water_tank|package_root|top3d / blender +y北|static / default</x:v>
      </x:c>
      <x:c r="S408" s="349" t="str">
        <x:f>IF(COUNTIF($R$6:$R$423,R408)&gt;1,"重复","唯一")</x:f>
        <x:v>唯一</x:v>
      </x:c>
      <x:c r="T408" s="349" t="inlineStr">
        <x:is>
          <x:t xml:space="preserve">dc9600c8d886f01da3ae3155cc834dc3be57a2ce1694443882cde146b37eea1f</x:t>
        </x:is>
      </x:c>
      <x:c r="U408" s="349" t="inlineStr">
        <x:is>
          <x:t xml:space="preserve">Codex</x:t>
        </x:is>
      </x:c>
      <x:c r="V408" s="348" t="n">
        <x:v>46269</x:v>
      </x:c>
      <x:c r="W408" s="349" t="inlineStr">
        <x:is>
          <x:t xml:space="preserve">用户自制Blender资产</x:t>
        </x:is>
      </x:c>
      <x:c r="X408" s="375" t="inlineStr">
        <x:is>
          <x:t xml:space="preserve">56</x:t>
        </x:is>
      </x:c>
      <x:c r="Y408" s="349" t="inlineStr">
        <x:is>
          <x:t xml:space="preserve"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x:t>
        </x:is>
      </x:c>
    </x:row>
    <x:row r="409" ht="54" customHeight="1">
      <x:c r="A409" t="inlineStr">
        <x:is>
          <x:t xml:space="preserve">BPK-BASE99-SOUTH-WALL-INFORMATION-BOARDS</x:t>
        </x:is>
      </x:c>
      <x:c r="B409" t="inlineStr">
        <x:is>
          <x:t xml:space="preserve">基地99层 · 南墙资料板组</x:t>
        </x:is>
      </x:c>
      <x:c r="C409" t="inlineStr">
        <x:is>
          <x:t xml:space="preserve">基地资产包</x:t>
        </x:is>
      </x:c>
      <x:c r="D409" t="inlineStr">
        <x:is>
          <x:t xml:space="preserve">仓库设施包</x:t>
        </x:is>
      </x:c>
      <x:c r="E409" t="inlineStr">
        <x:is>
          <x:t xml:space="preserve">base99_package_south_wall_information_boards</x:t>
        </x:is>
      </x:c>
      <x:c r="F409" t="inlineStr">
        <x:is>
          <x:t xml:space="preserve">package_root</x:t>
        </x:is>
      </x:c>
      <x:c r="G409" t="inlineStr">
        <x:is>
          <x:t xml:space="preserve">ENV-BASE99-ART-LAYOUT-3D</x:t>
        </x:is>
      </x:c>
      <x:c r="H409" t="inlineStr">
        <x:is>
          <x:t xml:space="preserve">Top3D / Blender +Y北</x:t>
        </x:is>
      </x:c>
      <x:c r="I409" t="inlineStr">
        <x:is>
          <x:t xml:space="preserve">static / default</x:t>
        </x:is>
      </x:c>
      <x:c r="J409" t="inlineStr">
        <x:is>
          <x:t xml:space="preserve">3D-设施 / 基地99层独立资产包</x:t>
        </x:is>
      </x:c>
      <x:c r="K409" t="inlineStr">
        <x:is>
          <x:t xml:space="preserve">Blender源已完成</x:t>
        </x:is>
      </x:c>
      <x:c r="L409" t="inlineStr">
        <x:is>
          <x:t xml:space="preserve">P1</x:t>
        </x:is>
      </x:c>
      <x:c r="M409" t="inlineStr">
        <x:is>
          <x:t xml:space="preserve">v022</x:t>
        </x:is>
      </x:c>
      <x:c r="N409" s="349" t="inlineStr">
        <x:is>
          <x:t xml:space="preserve">包络 16.200×0.200×1.300m；6 网格；0 灯</x:t>
        </x:is>
      </x:c>
      <x:c r="O409" s="349" t="inlineStr">
        <x:is>
          <x:t xml:space="preserve">source/art/blender/base_facility_layout/component_packages/warehouse/south_wall_information_boards/asset_manifest.json</x:t>
        </x:is>
      </x:c>
      <x:c r="P409" s="349" t="inlineStr">
        <x:is>
          <x:t xml:space="preserve">source/art/blender/base_facility_layout/source/base_facility_runtime_layout_hq_v026.blend; source/art/blender/base_facility_layout/component_packages/warehouse/south_wall_information_boards/asset_manifest.json</x:t>
        </x:is>
      </x:c>
      <x:c r="Q409" s="349" t="inlineStr">
        <x:is>
          <x:t xml:space="preserve">基地99层;基地资产包;3D设施;仓库设施包;south_wall_information_boards;PaletteUV</x:t>
        </x:is>
      </x:c>
      <x:c r="R409" s="349" t="str">
        <x:f>LOWER(TRIM(C409)&amp;"|"&amp;TRIM(D409)&amp;"|"&amp;TRIM(E409)&amp;"|"&amp;TRIM(F409)&amp;"|"&amp;TRIM(H409)&amp;"|"&amp;TRIM(I409))</x:f>
        <x:v>基地资产包|仓库设施包|base99_package_south_wall_information_boards|package_root|top3d / blender +y北|static / default</x:v>
      </x:c>
      <x:c r="S409" s="349" t="str">
        <x:f>IF(COUNTIF($R$6:$R$423,R409)&gt;1,"重复","唯一")</x:f>
        <x:v>唯一</x:v>
      </x:c>
      <x:c r="T409" s="349" t="inlineStr">
        <x:is>
          <x:t xml:space="preserve">34a301ac94e1f61fe04e6ecbaf7cfd2ac7eba947bfffe534a361ee6f2fd70fa2</x:t>
        </x:is>
      </x:c>
      <x:c r="U409" s="349" t="inlineStr">
        <x:is>
          <x:t xml:space="preserve">Codex</x:t>
        </x:is>
      </x:c>
      <x:c r="V409" s="348" t="n">
        <x:v>46269</x:v>
      </x:c>
      <x:c r="W409" s="349" t="inlineStr">
        <x:is>
          <x:t xml:space="preserve">用户自制Blender资产</x:t>
        </x:is>
      </x:c>
      <x:c r="X409" s="375" t="inlineStr">
        <x:is>
          <x:t xml:space="preserve">61</x:t>
        </x:is>
      </x:c>
      <x:c r="Y409" s="349" t="inlineStr">
        <x:is>
          <x:t xml:space="preserve"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x:t>
        </x:is>
      </x:c>
    </x:row>
    <x:row r="410" ht="54" customHeight="1">
      <x:c r="A410" t="inlineStr">
        <x:is>
          <x:t xml:space="preserve">BPK-BASE99-WATER-PURIFIER</x:t>
        </x:is>
      </x:c>
      <x:c r="B410" t="inlineStr">
        <x:is>
          <x:t xml:space="preserve">基地99层 · 净水器</x:t>
        </x:is>
      </x:c>
      <x:c r="C410" t="inlineStr">
        <x:is>
          <x:t xml:space="preserve">基地资产包</x:t>
        </x:is>
      </x:c>
      <x:c r="D410" t="inlineStr">
        <x:is>
          <x:t xml:space="preserve">仓库设施包</x:t>
        </x:is>
      </x:c>
      <x:c r="E410" t="inlineStr">
        <x:is>
          <x:t xml:space="preserve">base99_package_water_purifier</x:t>
        </x:is>
      </x:c>
      <x:c r="F410" t="inlineStr">
        <x:is>
          <x:t xml:space="preserve">package_root</x:t>
        </x:is>
      </x:c>
      <x:c r="G410" t="inlineStr">
        <x:is>
          <x:t xml:space="preserve">ENV-BASE99-ART-LAYOUT-3D</x:t>
        </x:is>
      </x:c>
      <x:c r="H410" t="inlineStr">
        <x:is>
          <x:t xml:space="preserve">Top3D / Blender +Y北</x:t>
        </x:is>
      </x:c>
      <x:c r="I410" t="inlineStr">
        <x:is>
          <x:t xml:space="preserve">static / default</x:t>
        </x:is>
      </x:c>
      <x:c r="J410" t="inlineStr">
        <x:is>
          <x:t xml:space="preserve">3D-设施 / 基地99层独立资产包</x:t>
        </x:is>
      </x:c>
      <x:c r="K410" t="inlineStr">
        <x:is>
          <x:t xml:space="preserve">Blender源已完成</x:t>
        </x:is>
      </x:c>
      <x:c r="L410" t="inlineStr">
        <x:is>
          <x:t xml:space="preserve">P1</x:t>
        </x:is>
      </x:c>
      <x:c r="M410" t="inlineStr">
        <x:is>
          <x:t xml:space="preserve">v022</x:t>
        </x:is>
      </x:c>
      <x:c r="N410" s="349" t="inlineStr">
        <x:is>
          <x:t xml:space="preserve">包络 1.992×1.500×2.450m；3 网格；0 灯</x:t>
        </x:is>
      </x:c>
      <x:c r="O410" s="349" t="inlineStr">
        <x:is>
          <x:t xml:space="preserve">source/art/blender/base_facility_layout/component_packages/warehouse/water_purifier/asset_manifest.json</x:t>
        </x:is>
      </x:c>
      <x:c r="P410" s="349" t="inlineStr">
        <x:is>
          <x:t xml:space="preserve">source/art/blender/base_facility_layout/source/base_facility_runtime_layout_hq_v026.blend; source/art/blender/base_facility_layout/component_packages/warehouse/water_purifier/asset_manifest.json</x:t>
        </x:is>
      </x:c>
      <x:c r="Q410" s="349" t="inlineStr">
        <x:is>
          <x:t xml:space="preserve">基地99层;基地资产包;3D设施;仓库设施包;water_purifier;PaletteUV</x:t>
        </x:is>
      </x:c>
      <x:c r="R410" s="349" t="str">
        <x:f>LOWER(TRIM(C410)&amp;"|"&amp;TRIM(D410)&amp;"|"&amp;TRIM(E410)&amp;"|"&amp;TRIM(F410)&amp;"|"&amp;TRIM(H410)&amp;"|"&amp;TRIM(I410))</x:f>
        <x:v>基地资产包|仓库设施包|base99_package_water_purifier|package_root|top3d / blender +y北|static / default</x:v>
      </x:c>
      <x:c r="S410" s="349" t="str">
        <x:f>IF(COUNTIF($R$6:$R$423,R410)&gt;1,"重复","唯一")</x:f>
        <x:v>唯一</x:v>
      </x:c>
      <x:c r="T410" s="349" t="inlineStr">
        <x:is>
          <x:t xml:space="preserve">ce901e1145a3d1f7c0ee20ba57e89ee224ce84c9d3057e001903b84e4ffad0ad</x:t>
        </x:is>
      </x:c>
      <x:c r="U410" s="349" t="inlineStr">
        <x:is>
          <x:t xml:space="preserve">Codex</x:t>
        </x:is>
      </x:c>
      <x:c r="V410" s="348" t="n">
        <x:v>46269</x:v>
      </x:c>
      <x:c r="W410" s="349" t="inlineStr">
        <x:is>
          <x:t xml:space="preserve">用户自制Blender资产</x:t>
        </x:is>
      </x:c>
      <x:c r="X410" s="375" t="inlineStr">
        <x:is>
          <x:t xml:space="preserve">57</x:t>
        </x:is>
      </x:c>
      <x:c r="Y410" s="349" t="inlineStr">
        <x:is>
          <x:t xml:space="preserve"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x:t>
        </x:is>
      </x:c>
    </x:row>
    <x:row r="411" ht="54" customHeight="1">
      <x:c r="A411" t="inlineStr">
        <x:is>
          <x:t xml:space="preserve">BPK-BASE99-EAST-DOOR-ACCESS-CONTROL</x:t>
        </x:is>
      </x:c>
      <x:c r="B411" t="inlineStr">
        <x:is>
          <x:t xml:space="preserve">基地99层 · 东墙门禁外围控制</x:t>
        </x:is>
      </x:c>
      <x:c r="C411" t="inlineStr">
        <x:is>
          <x:t xml:space="preserve">基地资产包</x:t>
        </x:is>
      </x:c>
      <x:c r="D411" t="inlineStr">
        <x:is>
          <x:t xml:space="preserve">东侧固定设施包</x:t>
        </x:is>
      </x:c>
      <x:c r="E411" t="inlineStr">
        <x:is>
          <x:t xml:space="preserve">base99_package_east_door_access_control</x:t>
        </x:is>
      </x:c>
      <x:c r="F411" t="inlineStr">
        <x:is>
          <x:t xml:space="preserve">package_root</x:t>
        </x:is>
      </x:c>
      <x:c r="G411" t="inlineStr">
        <x:is>
          <x:t xml:space="preserve">ENV-BASE99-ART-LAYOUT-3D</x:t>
        </x:is>
      </x:c>
      <x:c r="H411" t="inlineStr">
        <x:is>
          <x:t xml:space="preserve">Top3D / Blender +Y北</x:t>
        </x:is>
      </x:c>
      <x:c r="I411" t="inlineStr">
        <x:is>
          <x:t xml:space="preserve">static / default</x:t>
        </x:is>
      </x:c>
      <x:c r="J411" t="inlineStr">
        <x:is>
          <x:t xml:space="preserve">3D-设施 / 基地99层独立资产包</x:t>
        </x:is>
      </x:c>
      <x:c r="K411" t="inlineStr">
        <x:is>
          <x:t xml:space="preserve">Blender源已完成</x:t>
        </x:is>
      </x:c>
      <x:c r="L411" t="inlineStr">
        <x:is>
          <x:t xml:space="preserve">P1</x:t>
        </x:is>
      </x:c>
      <x:c r="M411" t="inlineStr">
        <x:is>
          <x:t xml:space="preserve">v017</x:t>
        </x:is>
      </x:c>
      <x:c r="N411" s="349" t="inlineStr">
        <x:is>
          <x:t xml:space="preserve">包络 0.410×1.835×2.731m；17 网格；0 灯</x:t>
        </x:is>
      </x:c>
      <x:c r="O411" s="349" t="inlineStr">
        <x:is>
          <x:t xml:space="preserve">source/art/blender/base_facility_layout/component_packages/east_facilities/east_door_access_control/asset_manifest.json</x:t>
        </x:is>
      </x:c>
      <x:c r="P411" s="349" t="inlineStr">
        <x:is>
          <x:t xml:space="preserve">source/art/blender/base_facility_layout/source/base_facility_runtime_layout_hq_v026.blend; source/art/blender/base_facility_layout/component_packages/east_facilities/east_door_access_control/asset_manifest.json</x:t>
        </x:is>
      </x:c>
      <x:c r="Q411" s="349" t="inlineStr">
        <x:is>
          <x:t xml:space="preserve">基地99层;基地资产包;3D设施;东侧固定设施包;east_door_access_control;PaletteUV</x:t>
        </x:is>
      </x:c>
      <x:c r="R411" s="349" t="str">
        <x:f>LOWER(TRIM(C411)&amp;"|"&amp;TRIM(D411)&amp;"|"&amp;TRIM(E411)&amp;"|"&amp;TRIM(F411)&amp;"|"&amp;TRIM(H411)&amp;"|"&amp;TRIM(I411))</x:f>
        <x:v>基地资产包|东侧固定设施包|base99_package_east_door_access_control|package_root|top3d / blender +y北|static / default</x:v>
      </x:c>
      <x:c r="S411" s="349" t="str">
        <x:f>IF(COUNTIF($R$6:$R$423,R411)&gt;1,"重复","唯一")</x:f>
        <x:v>唯一</x:v>
      </x:c>
      <x:c r="T411" s="349" t="inlineStr">
        <x:is>
          <x:t xml:space="preserve">a2ae13595d1301377c215e354641f74116c7e7935a2369ddf4f2fb1d2fd681c0</x:t>
        </x:is>
      </x:c>
      <x:c r="U411" s="349" t="inlineStr">
        <x:is>
          <x:t xml:space="preserve">Codex</x:t>
        </x:is>
      </x:c>
      <x:c r="V411" s="348" t="n">
        <x:v>46269</x:v>
      </x:c>
      <x:c r="W411" s="349" t="inlineStr">
        <x:is>
          <x:t xml:space="preserve">用户自制Blender资产</x:t>
        </x:is>
      </x:c>
      <x:c r="X411" s="375" t="inlineStr">
        <x:is>
          <x:t xml:space="preserve">73</x:t>
        </x:is>
      </x:c>
      <x:c r="Y411" s="349" t="inlineStr">
        <x:is>
          <x:t xml:space="preserve"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x:t>
        </x:is>
      </x:c>
    </x:row>
    <x:row r="412" ht="54" customHeight="1">
      <x:c r="A412" t="inlineStr">
        <x:is>
          <x:t xml:space="preserve">BPK-BASE99-EAST-DOOR-WALL-MODULE</x:t>
        </x:is>
      </x:c>
      <x:c r="B412" t="inlineStr">
        <x:is>
          <x:t xml:space="preserve">基地99层 · 北段带门墙模块</x:t>
        </x:is>
      </x:c>
      <x:c r="C412" t="inlineStr">
        <x:is>
          <x:t xml:space="preserve">基地资产包</x:t>
        </x:is>
      </x:c>
      <x:c r="D412" t="inlineStr">
        <x:is>
          <x:t xml:space="preserve">建筑结构包</x:t>
        </x:is>
      </x:c>
      <x:c r="E412" t="inlineStr">
        <x:is>
          <x:t xml:space="preserve">base99_package_east_door_wall_module</x:t>
        </x:is>
      </x:c>
      <x:c r="F412" t="inlineStr">
        <x:is>
          <x:t xml:space="preserve">package_root</x:t>
        </x:is>
      </x:c>
      <x:c r="G412" t="inlineStr">
        <x:is>
          <x:t xml:space="preserve">ENV-BASE99-ART-LAYOUT-3D</x:t>
        </x:is>
      </x:c>
      <x:c r="H412" t="inlineStr">
        <x:is>
          <x:t xml:space="preserve">Top3D / Blender +Y北</x:t>
        </x:is>
      </x:c>
      <x:c r="I412" t="inlineStr">
        <x:is>
          <x:t xml:space="preserve">static / wall_owned_frame</x:t>
        </x:is>
      </x:c>
      <x:c r="J412" t="inlineStr">
        <x:is>
          <x:t xml:space="preserve">3D-设施 / 基地99层独立资产包</x:t>
        </x:is>
      </x:c>
      <x:c r="K412" t="inlineStr">
        <x:is>
          <x:t xml:space="preserve">Blender源已完成</x:t>
        </x:is>
      </x:c>
      <x:c r="L412" t="inlineStr">
        <x:is>
          <x:t xml:space="preserve">P1</x:t>
        </x:is>
      </x:c>
      <x:c r="M412" t="inlineStr">
        <x:is>
          <x:t xml:space="preserve">v025</x:t>
        </x:is>
      </x:c>
      <x:c r="N412" s="349" t="inlineStr">
        <x:is>
          <x:t xml:space="preserve">包络 1.051×5.000×9.000m；1 网格；0 灯</x:t>
        </x:is>
      </x:c>
      <x:c r="O412" s="349" t="inlineStr">
        <x:is>
          <x:t xml:space="preserve">source/art/blender/base_facility_layout/component_packages/architecture/east_door_wall_module/asset_manifest.json</x:t>
        </x:is>
      </x:c>
      <x:c r="P412" s="349" t="inlineStr">
        <x:is>
          <x:t xml:space="preserve">source/art/blender/base_facility_layout/source/base_facility_runtime_layout_hq_v026.blend; source/art/blender/base_facility_layout/component_packages/architecture/east_door_wall_module/asset_manifest.json</x:t>
        </x:is>
      </x:c>
      <x:c r="Q412" s="349" t="inlineStr">
        <x:is>
          <x:t xml:space="preserve">基地99层;基地资产包;3D设施;建筑结构包;east_door_wall_module;PaletteUV</x:t>
        </x:is>
      </x:c>
      <x:c r="R412" s="349" t="str">
        <x:f>LOWER(TRIM(C412)&amp;"|"&amp;TRIM(D412)&amp;"|"&amp;TRIM(E412)&amp;"|"&amp;TRIM(F412)&amp;"|"&amp;TRIM(H412)&amp;"|"&amp;TRIM(I412))</x:f>
        <x:v>基地资产包|建筑结构包|base99_package_east_door_wall_module|package_root|top3d / blender +y北|static / wall_owned_frame</x:v>
      </x:c>
      <x:c r="S412" s="349" t="str">
        <x:f>IF(COUNTIF($R$6:$R$423,R412)&gt;1,"重复","唯一")</x:f>
        <x:v>唯一</x:v>
      </x:c>
      <x:c r="T412" s="349" t="inlineStr">
        <x:is>
          <x:t xml:space="preserve">87bf2ab81c6713c2fcfc96fa83303389400b30df878ac64967d95d8c80578f21</x:t>
        </x:is>
      </x:c>
      <x:c r="U412" s="349" t="inlineStr">
        <x:is>
          <x:t xml:space="preserve">Codex</x:t>
        </x:is>
      </x:c>
      <x:c r="V412" s="348" t="n">
        <x:v>46269</x:v>
      </x:c>
      <x:c r="W412" s="349" t="inlineStr">
        <x:is>
          <x:t xml:space="preserve">用户自制Blender资产</x:t>
        </x:is>
      </x:c>
      <x:c r="X412" s="375" t="inlineStr">
        <x:is>
          <x:t xml:space="preserve">12</x:t>
        </x:is>
      </x:c>
      <x:c r="Y412" s="349" t="inlineStr">
        <x:is>
          <x:t xml:space="preserve"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x:t>
        </x:is>
      </x:c>
    </x:row>
    <x:row r="413" ht="76" customHeight="1">
      <x:c r="A413" t="inlineStr">
        <x:is>
          <x:t xml:space="preserve">BPK-BASE99-WEST-DOOR-WALL-MODULE</x:t>
        </x:is>
      </x:c>
      <x:c r="B413" t="inlineStr">
        <x:is>
          <x:t xml:space="preserve">基地99层 · 西侧第三段带门墙模块</x:t>
        </x:is>
      </x:c>
      <x:c r="C413" t="inlineStr">
        <x:is>
          <x:t xml:space="preserve">基地资产包</x:t>
        </x:is>
      </x:c>
      <x:c r="D413" t="inlineStr">
        <x:is>
          <x:t xml:space="preserve">建筑结构包</x:t>
        </x:is>
      </x:c>
      <x:c r="E413" t="inlineStr">
        <x:is>
          <x:t xml:space="preserve">base99_package_west_door_wall_module</x:t>
        </x:is>
      </x:c>
      <x:c r="F413" t="inlineStr">
        <x:is>
          <x:t xml:space="preserve">package_root</x:t>
        </x:is>
      </x:c>
      <x:c r="G413" t="inlineStr">
        <x:is>
          <x:t xml:space="preserve">ENV-BASE99-WALL-DOOR-5X9</x:t>
        </x:is>
      </x:c>
      <x:c r="H413" t="inlineStr">
        <x:is>
          <x:t xml:space="preserve">Top3D / Blender +Y北</x:t>
        </x:is>
      </x:c>
      <x:c r="I413" t="inlineStr">
        <x:is>
          <x:t xml:space="preserve">static / wall_owned_frame</x:t>
        </x:is>
      </x:c>
      <x:c r="J413" t="inlineStr">
        <x:is>
          <x:t xml:space="preserve">3D-设施 / 基地99层独立资产包</x:t>
        </x:is>
      </x:c>
      <x:c r="K413" t="inlineStr">
        <x:is>
          <x:t xml:space="preserve">Blender源已完成</x:t>
        </x:is>
      </x:c>
      <x:c r="L413" t="inlineStr">
        <x:is>
          <x:t xml:space="preserve">P1</x:t>
        </x:is>
      </x:c>
      <x:c r="M413" t="inlineStr">
        <x:is>
          <x:t xml:space="preserve">v025</x:t>
        </x:is>
      </x:c>
      <x:c r="N413" s="349" t="inlineStr">
        <x:is>
          <x:t xml:space="preserve">包络 1.051×5.000×9.000m；1 网格；0 灯</x:t>
        </x:is>
      </x:c>
      <x:c r="O413" s="349" t="inlineStr">
        <x:is>
          <x:t xml:space="preserve">source/art/blender/base_facility_layout/component_packages/architecture/west_door_wall_module/asset_manifest.json</x:t>
        </x:is>
      </x:c>
      <x:c r="P413" s="349" t="inlineStr">
        <x:is>
          <x:t xml:space="preserve">source/art/blender/base_facility_layout/source/base_facility_runtime_layout_hq_v026.blend; source/art/blender/base_facility_layout/component_packages/architecture/west_door_wall_module/asset_manifest.json</x:t>
        </x:is>
      </x:c>
      <x:c r="Q413" s="349" t="inlineStr">
        <x:is>
          <x:t xml:space="preserve">基地99层;基地资产包;3D设施;建筑结构包;west_door_wall_module;ENV-BASE99-WALL-DOOR-5X9;PaletteUV</x:t>
        </x:is>
      </x:c>
      <x:c r="R413" s="349" t="str">
        <x:f>LOWER(TRIM(C413)&amp;"|"&amp;TRIM(D413)&amp;"|"&amp;TRIM(E413)&amp;"|"&amp;TRIM(F413)&amp;"|"&amp;TRIM(H413)&amp;"|"&amp;TRIM(I413))</x:f>
        <x:v>基地资产包|建筑结构包|base99_package_west_door_wall_module|package_root|top3d / blender +y北|static / wall_owned_frame</x:v>
      </x:c>
      <x:c r="S413" s="349" t="str">
        <x:f>IF(COUNTIF($R$6:$R$423,R413)&gt;1,"重复","唯一")</x:f>
        <x:v>唯一</x:v>
      </x:c>
      <x:c r="T413" s="349" t="inlineStr">
        <x:is>
          <x:t xml:space="preserve">561879c23a51a6aa3482596abb7ec85b58610759b734bf2d563aac18eee72f65</x:t>
        </x:is>
      </x:c>
      <x:c r="U413" s="349" t="inlineStr">
        <x:is>
          <x:t xml:space="preserve">Codex</x:t>
        </x:is>
      </x:c>
      <x:c r="V413" s="348" t="n">
        <x:v>46269</x:v>
      </x:c>
      <x:c r="W413" s="349" t="inlineStr">
        <x:is>
          <x:t xml:space="preserve">用户自制Blender资产</x:t>
        </x:is>
      </x:c>
      <x:c r="X413" s="375" t="inlineStr">
        <x:is>
          <x:t xml:space="preserve">114</x:t>
        </x:is>
      </x:c>
      <x:c r="Y413" s="349" t="inlineStr">
        <x:is>
          <x:t xml:space="preserve"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x:t>
        </x:is>
      </x:c>
    </x:row>
    <x:row r="414" ht="72" customHeight="1">
      <x:c r="A414" t="inlineStr">
        <x:is>
          <x:t xml:space="preserve">BPK-BASE99-WEST-DOOR-LIFT-INSTANCE</x:t>
        </x:is>
      </x:c>
      <x:c r="B414" t="inlineStr">
        <x:is>
          <x:t xml:space="preserve">基地99层 · 西侧第三段通用滑升门实例</x:t>
        </x:is>
      </x:c>
      <x:c r="C414" t="inlineStr">
        <x:is>
          <x:t xml:space="preserve">基地资产包</x:t>
        </x:is>
      </x:c>
      <x:c r="D414" t="inlineStr">
        <x:is>
          <x:t xml:space="preserve">西侧固定设施实例</x:t>
        </x:is>
      </x:c>
      <x:c r="E414" t="inlineStr">
        <x:is>
          <x:t xml:space="preserve">base99_placement_west_door_lift_instance</x:t>
        </x:is>
      </x:c>
      <x:c r="F414" t="inlineStr">
        <x:is>
          <x:t xml:space="preserve">package_root</x:t>
        </x:is>
      </x:c>
      <x:c r="G414" t="inlineStr">
        <x:is>
          <x:t xml:space="preserve">ENV-BASE99-DOOR-LIFT-22X25</x:t>
        </x:is>
      </x:c>
      <x:c r="H414" t="inlineStr">
        <x:is>
          <x:t xml:space="preserve">Top3D / Blender +Y北</x:t>
        </x:is>
      </x:c>
      <x:c r="I414" t="inlineStr">
        <x:is>
          <x:t xml:space="preserve">static / fixture_light / shared_runtime_asset</x:t>
        </x:is>
      </x:c>
      <x:c r="J414" t="inlineStr">
        <x:is>
          <x:t xml:space="preserve">3D-设施 / 基地99层独立资产包</x:t>
        </x:is>
      </x:c>
      <x:c r="K414" t="inlineStr">
        <x:is>
          <x:t xml:space="preserve">Blender源已完成</x:t>
        </x:is>
      </x:c>
      <x:c r="L414" t="inlineStr">
        <x:is>
          <x:t xml:space="preserve">P1</x:t>
        </x:is>
      </x:c>
      <x:c r="M414" t="inlineStr">
        <x:is>
          <x:t xml:space="preserve">v021</x:t>
        </x:is>
      </x:c>
      <x:c r="N414" s="349" t="inlineStr">
        <x:is>
          <x:t xml:space="preserve">包络 0.898×2.040×2.340m；2 网格；1 灯</x:t>
        </x:is>
      </x:c>
      <x:c r="O414" s="349" t="inlineStr">
        <x:is>
          <x:t xml:space="preserve">source/art/blender/base_facility_layout/component_packages/west_facilities/west_door_lift_instance/asset_manifest.json</x:t>
        </x:is>
      </x:c>
      <x:c r="P414" s="349" t="inlineStr">
        <x:is>
          <x:t xml:space="preserve">source/art/blender/base_facility_layout/source/base_facility_runtime_layout_hq_v026.blend; source/art/blender/base_facility_layout/component_packages/west_facilities/west_door_lift_instance/asset_manifest.json</x:t>
        </x:is>
      </x:c>
      <x:c r="Q414" s="349" t="inlineStr">
        <x:is>
          <x:t xml:space="preserve">基地99层;基地资产包;3D设施;西侧固定设施实例;west_door_lift_instance;ENV-BASE99-DOOR-LIFT-22X25;PaletteUV</x:t>
        </x:is>
      </x:c>
      <x:c r="R414" s="349" t="str">
        <x:f>LOWER(TRIM(C414)&amp;"|"&amp;TRIM(D414)&amp;"|"&amp;TRIM(E414)&amp;"|"&amp;TRIM(F414)&amp;"|"&amp;TRIM(H414)&amp;"|"&amp;TRIM(I414))</x:f>
        <x:v>基地资产包|西侧固定设施实例|base99_placement_west_door_lift_instance|package_root|top3d / blender +y北|static / fixture_light / shared_runtime_asset</x:v>
      </x:c>
      <x:c r="S414" s="349" t="str">
        <x:f>IF(COUNTIF($R$6:$R$423,R414)&gt;1,"重复","唯一")</x:f>
        <x:v>唯一</x:v>
      </x:c>
      <x:c r="T414" s="349" t="inlineStr">
        <x:is>
          <x:t xml:space="preserve">8476b5676a9345cef4f7eb9ac64694a546609f71770ff84b548d897f0e53907f</x:t>
        </x:is>
      </x:c>
      <x:c r="U414" s="349" t="inlineStr">
        <x:is>
          <x:t xml:space="preserve">Codex</x:t>
        </x:is>
      </x:c>
      <x:c r="V414" s="348" t="n">
        <x:v>46269</x:v>
      </x:c>
      <x:c r="W414" s="349" t="inlineStr">
        <x:is>
          <x:t xml:space="preserve">用户自制Blender资产</x:t>
        </x:is>
      </x:c>
      <x:c r="X414" s="375" t="inlineStr">
        <x:is>
          <x:t xml:space="preserve">115</x:t>
        </x:is>
      </x:c>
      <x:c r="Y414" s="349" t="inlineStr">
        <x:is>
          <x:t xml:space="preserve"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x:t>
        </x:is>
      </x:c>
    </x:row>
    <x:row r="415" ht="72" customHeight="1">
      <x:c r="A415" t="inlineStr">
        <x:is>
          <x:t xml:space="preserve">BPK-BASE99-LOFT-FLOOR-FINISH</x:t>
        </x:is>
      </x:c>
      <x:c r="B415" t="inlineStr">
        <x:is>
          <x:t xml:space="preserve">基地99层 · 二楼地板色彩深化</x:t>
        </x:is>
      </x:c>
      <x:c r="C415" t="inlineStr">
        <x:is>
          <x:t xml:space="preserve">基地资产包</x:t>
        </x:is>
      </x:c>
      <x:c r="D415" t="inlineStr">
        <x:is>
          <x:t xml:space="preserve">地面系统包</x:t>
        </x:is>
      </x:c>
      <x:c r="E415" t="inlineStr">
        <x:is>
          <x:t xml:space="preserve">base99_package_loft_floor_finish</x:t>
        </x:is>
      </x:c>
      <x:c r="F415" t="inlineStr">
        <x:is>
          <x:t xml:space="preserve">package_root</x:t>
        </x:is>
      </x:c>
      <x:c r="G415" t="inlineStr">
        <x:is>
          <x:t xml:space="preserve">ENV-BASE99-ART-LAYOUT-3D</x:t>
        </x:is>
      </x:c>
      <x:c r="H415" t="inlineStr">
        <x:is>
          <x:t xml:space="preserve">Top3D / Blender +Y北</x:t>
        </x:is>
      </x:c>
      <x:c r="I415" t="inlineStr">
        <x:is>
          <x:t xml:space="preserve">static / default</x:t>
        </x:is>
      </x:c>
      <x:c r="J415" t="inlineStr">
        <x:is>
          <x:t xml:space="preserve">3D-设施 / 基地99层独立资产包</x:t>
        </x:is>
      </x:c>
      <x:c r="K415" t="inlineStr">
        <x:is>
          <x:t xml:space="preserve">正式美术已接入</x:t>
        </x:is>
      </x:c>
      <x:c r="L415" t="inlineStr">
        <x:is>
          <x:t xml:space="preserve">P0</x:t>
        </x:is>
      </x:c>
      <x:c r="M415" t="inlineStr">
        <x:is>
          <x:t xml:space="preserve">v017</x:t>
        </x:is>
      </x:c>
      <x:c r="N415" s="349" t="inlineStr">
        <x:is>
          <x:t xml:space="preserve">包络 19.600×9.600×0.108m；11 对象；源镜像 11 对象</x:t>
        </x:is>
      </x:c>
      <x:c r="O415" s="349" t="inlineStr">
        <x:is>
          <x:t xml:space="preserve">source/art/blender/base_facility_layout/component_packages/floor/loft_floor_finish/asset_manifest.json</x:t>
        </x:is>
      </x:c>
      <x:c r="P415" s="349" t="inlineStr">
        <x:is>
          <x:t xml:space="preserve">source/art/blender/base_facility_layout/source/base_facility_runtime_layout_hq_v026.blend; source/art/blender/base_facility_layout/component_packages/floor/loft_floor_finish/asset_manifest.json</x:t>
        </x:is>
      </x:c>
      <x:c r="Q415" s="349" t="inlineStr">
        <x:is>
          <x:t xml:space="preserve">基地99层;基地资产包;3D设施;地面系统包;loft_floor_finish;PaletteUV</x:t>
        </x:is>
      </x:c>
      <x:c r="R415" s="349" t="str">
        <x:f>LOWER(TRIM(C415)&amp;"|"&amp;TRIM(D415)&amp;"|"&amp;TRIM(E415)&amp;"|"&amp;TRIM(F415)&amp;"|"&amp;TRIM(H415)&amp;"|"&amp;TRIM(I415))</x:f>
        <x:v>基地资产包|地面系统包|base99_package_loft_floor_finish|package_root|top3d / blender +y北|static / default</x:v>
      </x:c>
      <x:c r="S415" s="349" t="str">
        <x:f>IF(COUNTIF($R$6:$R$423,R415)&gt;1,"重复","唯一")</x:f>
        <x:v>唯一</x:v>
      </x:c>
      <x:c r="T415" s="349" t="inlineStr">
        <x:is>
          <x:t xml:space="preserve">cdbab0f3c5bc3a4cb41c97cc1522fa2abff0943bcb3e4495d09e323b2552c15b</x:t>
        </x:is>
      </x:c>
      <x:c r="U415" s="349" t="inlineStr">
        <x:is>
          <x:t xml:space="preserve">Codex</x:t>
        </x:is>
      </x:c>
      <x:c r="V415" s="348" t="n">
        <x:v>46269</x:v>
      </x:c>
      <x:c r="W415" s="349" t="inlineStr">
        <x:is>
          <x:t xml:space="preserve">用户自制Blender资产</x:t>
        </x:is>
      </x:c>
      <x:c r="X415" s="375" t="inlineStr">
        <x:is>
          <x:t xml:space="preserve">—</x:t>
        </x:is>
      </x:c>
      <x:c r="Y415" s="349" t="inlineStr">
        <x:is>
          <x:t xml:space="preserve"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x:t>
        </x:is>
      </x:c>
    </x:row>
    <x:row r="416" ht="72" customHeight="1">
      <x:c r="A416" t="inlineStr">
        <x:is>
          <x:t xml:space="preserve">ENV-BASE99-WALL-CONTENTS-V021</x:t>
        </x:is>
      </x:c>
      <x:c r="B416" t="inlineStr">
        <x:is>
          <x:t xml:space="preserve">基地99层非门墙面内容资产包</x:t>
        </x:is>
      </x:c>
      <x:c r="C416" t="inlineStr">
        <x:is>
          <x:t xml:space="preserve">场景</x:t>
        </x:is>
      </x:c>
      <x:c r="D416" t="inlineStr">
        <x:is>
          <x:t xml:space="preserve">environment_module_3d</x:t>
        </x:is>
      </x:c>
      <x:c r="E416" t="inlineStr">
        <x:is>
          <x:t xml:space="preserve">base99_wall_contents_v021</x:t>
        </x:is>
      </x:c>
      <x:c r="F416" t="inlineStr">
        <x:is>
          <x:t xml:space="preserve">wall_content_visual_bundle</x:t>
        </x:is>
      </x:c>
      <x:c r="G416" t="inlineStr">
        <x:is>
          <x:t xml:space="preserve">ENV-BASE99-ART-LAYOUT-3D</x:t>
        </x:is>
      </x:c>
      <x:c r="H416" t="inlineStr">
        <x:is>
          <x:t xml:space="preserve">Top3D / Blender烘焙布局</x:t>
        </x:is>
      </x:c>
      <x:c r="I416" t="inlineStr">
        <x:is>
          <x:t xml:space="preserve">default / visual_only</x:t>
        </x:is>
      </x:c>
      <x:c r="J416" t="inlineStr">
        <x:is>
          <x:t xml:space="preserve">99层基地墙面内容</x:t>
        </x:is>
      </x:c>
      <x:c r="K416" t="inlineStr">
        <x:is>
          <x:t xml:space="preserve">已导入；优化完成</x:t>
        </x:is>
      </x:c>
      <x:c r="L416" t="inlineStr">
        <x:is>
          <x:t xml:space="preserve">P0</x:t>
        </x:is>
      </x:c>
      <x:c r="M416" t="inlineStr">
        <x:is>
          <x:t xml:space="preserve">v003</x:t>
        </x:is>
      </x:c>
      <x:c r="N416" t="inlineStr">
        <x:is>
          <x:t xml:space="preserve">18包；18网格；86,538三角面；无内置碰撞</x:t>
        </x:is>
      </x:c>
      <x:c r="O416" t="inlineStr">
        <x:is>
          <x:t xml:space="preserve">assets/art/environments/base_facility_3d/runtime/env_base99_wall_contents_v021/env_base99_wall_contents_root_top3d_v003.tscn</x:t>
        </x:is>
      </x:c>
      <x:c r="P416" t="inlineStr">
        <x:is>
          <x:t xml:space="preserve">source/art/blender/base_facility_layout/source/base_facility_runtime_layout_hq_v026.blend; assets/art/environments/base_facility_3d/source/env_base99_wall_contents_v021_manifest.json</x:t>
        </x:is>
      </x:c>
      <x:c r="Q416" t="inlineStr">
        <x:is>
          <x:t xml:space="preserve">基地99层;墙面内容;V021;非门;visual_only;无新增碰撞;Blender坐标复用</x:t>
        </x:is>
      </x:c>
      <x:c r="R416" t="str">
        <x:f>LOWER(TRIM(C416)&amp;"|"&amp;TRIM(D416)&amp;"|"&amp;TRIM(E416)&amp;"|"&amp;TRIM(F416)&amp;"|"&amp;TRIM(H416)&amp;"|"&amp;TRIM(I416))</x:f>
        <x:v>场景|environment_module_3d|base99_wall_contents_v021|wall_content_visual_bundle|top3d / blender烘焙布局|default / visual_only</x:v>
      </x:c>
      <x:c r="S416" t="str">
        <x:f>IF(COUNTIF($R$6:$R$423,R416)&gt;1,"重复","唯一")</x:f>
        <x:v>唯一</x:v>
      </x:c>
      <x:c r="T416" t="inlineStr">
        <x:is>
          <x:t xml:space="preserve">f2e4c10d268036cd78fdefe1812a203b22bbf05e210f437bb7cd02ed2389f77d</x:t>
        </x:is>
      </x:c>
      <x:c r="U416" t="inlineStr">
        <x:is>
          <x:t xml:space="preserve">Codex</x:t>
        </x:is>
      </x:c>
      <x:c r="V416" s="350" t="n">
        <x:v>46270</x:v>
      </x:c>
      <x:c r="W416" t="inlineStr">
        <x:is>
          <x:t xml:space="preserve">用户自制Blender资产</x:t>
        </x:is>
      </x:c>
      <x:c r="X416" s="375" t="inlineStr">
        <x:is>
          <x:t xml:space="preserve">—</x:t>
        </x:is>
      </x:c>
      <x:c r="Y416" t="inlineStr">
        <x:is>
          <x:t xml:space="preserve"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x:t>
        </x:is>
      </x:c>
    </x:row>
    <x:row r="417">
      <x:c r="A417" t="inlineStr">
        <x:is>
          <x:t xml:space="preserve">ENV-BASE99-REMAINING-FACILITIES-V021</x:t>
        </x:is>
      </x:c>
      <x:c r="B417" t="inlineStr">
        <x:is>
          <x:t xml:space="preserve">基地99层剩余非门非墙独立设施资产包</x:t>
        </x:is>
      </x:c>
      <x:c r="C417" t="inlineStr">
        <x:is>
          <x:t xml:space="preserve">场景</x:t>
        </x:is>
      </x:c>
      <x:c r="D417" t="inlineStr">
        <x:is>
          <x:t xml:space="preserve">environment_facility_bundle</x:t>
        </x:is>
      </x:c>
      <x:c r="E417" t="inlineStr">
        <x:is>
          <x:t xml:space="preserve">base99_remaining_facilities_v021</x:t>
        </x:is>
      </x:c>
      <x:c r="F417" t="inlineStr">
        <x:is>
          <x:t xml:space="preserve">facility_bundle</x:t>
        </x:is>
      </x:c>
      <x:c r="G417" t="inlineStr">
        <x:is>
          <x:t xml:space="preserve">ENV-BASE99-ART-LAYOUT-3D</x:t>
        </x:is>
      </x:c>
      <x:c r="H417" t="inlineStr">
        <x:is>
          <x:t xml:space="preserve">Top3D / Blender烘焙布局</x:t>
        </x:is>
      </x:c>
      <x:c r="I417" t="inlineStr">
        <x:is>
          <x:t xml:space="preserve">default / static + visual_only</x:t>
        </x:is>
      </x:c>
      <x:c r="J417" t="inlineStr">
        <x:is>
          <x:t xml:space="preserve">99层基地</x:t>
        </x:is>
      </x:c>
      <x:c r="K417" t="inlineStr">
        <x:is>
          <x:t xml:space="preserve">已导入；优化完成</x:t>
        </x:is>
      </x:c>
      <x:c r="L417" t="inlineStr">
        <x:is>
          <x:t xml:space="preserve">P0</x:t>
        </x:is>
      </x:c>
      <x:c r="M417" t="inlineStr">
        <x:is>
          <x:t xml:space="preserve">v004</x:t>
        </x:is>
      </x:c>
      <x:c r="N417" t="inlineStr">
        <x:is>
          <x:t xml:space="preserve">45独立包；45运行时网格；84,274三角面；34包逐物件简化阻挡，11包仅视觉</x:t>
        </x:is>
      </x:c>
      <x:c r="O417" t="inlineStr">
        <x:is>
          <x:t xml:space="preserve">assets/art/environments/base_facility_3d/runtime/env_base99_remaining_facilities_v021/env_base99_remaining_facilities_root_top3d_v004.tscn</x:t>
        </x:is>
      </x:c>
      <x:c r="P417" t="inlineStr">
        <x:is>
          <x:t xml:space="preserve">source/art/blender/base_facility_layout/source/base_facility_runtime_layout_hq_v026.blend; assets/art/environments/base_facility_3d/source/env_base99_remaining_facilities_v021_manifest.json</x:t>
        </x:is>
      </x:c>
      <x:c r="Q417" t="inlineStr">
        <x:is>
          <x:t xml:space="preserve">基地99层；仓储；阁楼家具；环境支持；排除门/墙/地板</x:t>
        </x:is>
      </x:c>
      <x:c r="R417" t="str">
        <x:f>LOWER(TRIM(C417)&amp;"|"&amp;TRIM(D417)&amp;"|"&amp;TRIM(E417)&amp;"|"&amp;TRIM(F417)&amp;"|"&amp;TRIM(H417)&amp;"|"&amp;TRIM(I417))</x:f>
        <x:v>场景|environment_facility_bundle|base99_remaining_facilities_v021|facility_bundle|top3d / blender烘焙布局|default / static + visual_only</x:v>
      </x:c>
      <x:c r="S417" t="str">
        <x:f>IF(COUNTIF($R$6:$R$423,R417)&gt;1,"重复","唯一")</x:f>
        <x:v>唯一</x:v>
      </x:c>
      <x:c r="T417" t="inlineStr">
        <x:is>
          <x:t xml:space="preserve">a5dfe6a7bf658ab2f66eb5bdd8044f68a0ce788ebbca6a654a5ea15a67440ba4</x:t>
        </x:is>
      </x:c>
      <x:c r="U417" t="inlineStr">
        <x:is>
          <x:t xml:space="preserve">Codex</x:t>
        </x:is>
      </x:c>
      <x:c r="V417" t="inlineStr">
        <x:is>
          <x:t xml:space="preserve">2026-09-05</x:t>
        </x:is>
      </x:c>
      <x:c r="W417" t="inlineStr">
        <x:is>
          <x:t xml:space="preserve">base_facility_runtime_layout_hq_v017.blend</x:t>
        </x:is>
      </x:c>
      <x:c r="X417" s="375" t="inlineStr">
        <x:is>
          <x:t xml:space="preserve">—</x:t>
        </x:is>
      </x:c>
      <x:c r="Y417" t="inlineStr">
        <x:is>
          <x:t xml:space="preserve">Godot正式导入完成；45个GLB均公共色盘、无嵌入贴图；基地美术布局已实例化</x:t>
        </x:is>
      </x:c>
    </x:row>
    <x:row r="418">
      <x:c r="A418" t="inlineStr">
        <x:is>
          <x:t xml:space="preserve">PRP-BASE99-EAST-SUPPLY-24H-STATION-FACILITY-3D</x:t>
        </x:is>
      </x:c>
      <x:c r="B418" t="inlineStr">
        <x:is>
          <x:t xml:space="preserve">99F SUPPLY24H自动补给机（自动贩卖机）</x:t>
        </x:is>
      </x:c>
      <x:c r="C418" t="inlineStr">
        <x:is>
          <x:t xml:space="preserve">道具</x:t>
        </x:is>
      </x:c>
      <x:c r="D418" t="inlineStr">
        <x:is>
          <x:t xml:space="preserve">base_facility</x:t>
        </x:is>
      </x:c>
      <x:c r="E418" t="inlineStr">
        <x:is>
          <x:t xml:space="preserve">base_vending</x:t>
        </x:is>
      </x:c>
      <x:c r="F418" t="inlineStr">
        <x:is>
          <x:t xml:space="preserve">root</x:t>
        </x:is>
      </x:c>
      <x:c r="G418" t="inlineStr">
        <x:is>
          <x:t xml:space="preserve">PRP-BASE-FACILITY-3D</x:t>
        </x:is>
      </x:c>
      <x:c r="H418" t="inlineStr">
        <x:is>
          <x:t xml:space="preserve">Top3D / 模型包围盒外扩0.8m</x:t>
        </x:is>
      </x:c>
      <x:c r="I418" t="inlineStr">
        <x:is>
          <x:t xml:space="preserve">default / 99F正式交互设施</x:t>
        </x:is>
      </x:c>
      <x:c r="J418" t="inlineStr">
        <x:is>
          <x:t xml:space="preserve">TowerDescent99F / base_vending</x:t>
        </x:is>
      </x:c>
      <x:c r="K418" t="inlineStr">
        <x:is>
          <x:t xml:space="preserve">正式美术已接入</x:t>
        </x:is>
      </x:c>
      <x:c r="L418" t="inlineStr">
        <x:is>
          <x:t xml:space="preserve">P1</x:t>
        </x:is>
      </x:c>
      <x:c r="M418" t="inlineStr">
        <x:is>
          <x:t xml:space="preserve">v001</x:t>
        </x:is>
      </x:c>
      <x:c r="N418" t="inlineStr">
        <x:is>
          <x:t xml:space="preserve">交互盒 4.720001×6.05×4.7m；模型包围盒+0.8m</x:t>
        </x:is>
      </x:c>
      <x:c r="O418" t="inlineStr">
        <x:is>
          <x:t xml:space="preserve">assets/art/environments/base_facility_3d/runtime/env_base99_remaining_facilities_v021/east_supply_24h_station/east_supply_24h_station_facility_top3d_v001.tscn</x:t>
        </x:is>
      </x:c>
      <x:c r="P418" t="inlineStr">
        <x:is>
          <x:t xml:space="preserve">assets/art/environments/base_facility_3d/runtime/env_base99_remaining_facilities_v021/east_supply_24h_station/east_supply_24h_station_root_top3d_v001.tscn; src/base3d/BaseFacility3D.gd; src/world3d/TowerDescent3D.gd</x:t>
        </x:is>
      </x:c>
      <x:c r="Q418" t="inlineStr">
        <x:is>
          <x:t xml:space="preserve">base_vending; 自动贩卖机; SUPPLY24H; BaseFacility3D; 0.8m</x:t>
        </x:is>
      </x:c>
      <x:c r="R418" t="str">
        <x:f>LOWER(TRIM(C418)&amp;"|"&amp;TRIM(D418)&amp;"|"&amp;TRIM(E418)&amp;"|"&amp;TRIM(F418)&amp;"|"&amp;TRIM(H418)&amp;"|"&amp;TRIM(I418))</x:f>
        <x:v>道具|base_facility|base_vending|root|top3d / 模型包围盒外扩0.8m|default / 99f正式交互设施</x:v>
      </x:c>
      <x:c r="S418" t="str">
        <x:f>IF(COUNTIF($R$6:$R$423,R418)&gt;1,"重复","唯一")</x:f>
        <x:v>唯一</x:v>
      </x:c>
      <x:c r="T418" t="inlineStr">
        <x:is>
          <x:t xml:space="preserve">6b3ecf421b15f460ba50fd4691a8038b8a1ec7f4b5c485a5808f3f4ed86d1491</x:t>
        </x:is>
      </x:c>
      <x:c r="U418" t="inlineStr">
        <x:is>
          <x:t xml:space="preserve">Codex</x:t>
        </x:is>
      </x:c>
      <x:c r="V418" t="n">
        <x:v>46276</x:v>
      </x:c>
      <x:c r="W418" t="inlineStr">
        <x:is>
          <x:t xml:space="preserve">用户自制Blender资产</x:t>
        </x:is>
      </x:c>
      <x:c r="X418" t="inlineStr">
        <x:is>
          <x:t xml:space="preserve">72</x:t>
        </x:is>
      </x:c>
      <x:c r="Y418" t="inlineStr">
        <x:is>
          <x:t xml:space="preserve">2026-09-12台账补登：TowerDescent99F的base_vending已从旧自动贩卖机迁移到SUPPLY24H补给机；包装场景保持源包世界坐标与碰撞，打开BaseVendingMenu，交互区锁定为源包碰撞包围盒+0.8m。BaseWorld3D旧模型保留用于独立基地。</x:t>
        </x:is>
      </x:c>
    </x:row>
    <x:row r="419">
      <x:c r="A419" t="inlineStr">
        <x:is>
          <x:t xml:space="preserve">PRP-BASE99-NARROW-BATTERY-CABINET-FACILITY-3D</x:t>
        </x:is>
      </x:c>
      <x:c r="B419" t="inlineStr">
        <x:is>
          <x:t xml:space="preserve">99F 窄型电池柜（保险柜）</x:t>
        </x:is>
      </x:c>
      <x:c r="C419" t="inlineStr">
        <x:is>
          <x:t xml:space="preserve">道具</x:t>
        </x:is>
      </x:c>
      <x:c r="D419" t="inlineStr">
        <x:is>
          <x:t xml:space="preserve">base_facility</x:t>
        </x:is>
      </x:c>
      <x:c r="E419" t="inlineStr">
        <x:is>
          <x:t xml:space="preserve">vault</x:t>
        </x:is>
      </x:c>
      <x:c r="F419" t="inlineStr">
        <x:is>
          <x:t xml:space="preserve">root</x:t>
        </x:is>
      </x:c>
      <x:c r="G419" t="inlineStr">
        <x:is>
          <x:t xml:space="preserve">PRP-BASE-FACILITY-3D</x:t>
        </x:is>
      </x:c>
      <x:c r="H419" t="inlineStr">
        <x:is>
          <x:t xml:space="preserve">Top3D / 模型包围盒外扩0.8m</x:t>
        </x:is>
      </x:c>
      <x:c r="I419" t="inlineStr">
        <x:is>
          <x:t xml:space="preserve">default / 99F正式交互设施</x:t>
        </x:is>
      </x:c>
      <x:c r="J419" t="inlineStr">
        <x:is>
          <x:t xml:space="preserve">TowerDescent99F / vault</x:t>
        </x:is>
      </x:c>
      <x:c r="K419" t="inlineStr">
        <x:is>
          <x:t xml:space="preserve">正式美术已接入</x:t>
        </x:is>
      </x:c>
      <x:c r="L419" t="inlineStr">
        <x:is>
          <x:t xml:space="preserve">P1</x:t>
        </x:is>
      </x:c>
      <x:c r="M419" t="inlineStr">
        <x:is>
          <x:t xml:space="preserve">v001</x:t>
        </x:is>
      </x:c>
      <x:c r="N419" t="inlineStr">
        <x:is>
          <x:t xml:space="preserve">交互盒 3.18×4.82×2.39m；模型包围盒+0.8m</x:t>
        </x:is>
      </x:c>
      <x:c r="O419" t="inlineStr">
        <x:is>
          <x:t xml:space="preserve">assets/art/environments/base_facility_3d/runtime/env_base99_remaining_facilities_v021/narrow_battery_cabinet/narrow_battery_cabinet_facility_top3d_v001.tscn</x:t>
        </x:is>
      </x:c>
      <x:c r="P419" t="inlineStr">
        <x:is>
          <x:t xml:space="preserve">assets/art/environments/base_facility_3d/runtime/env_base99_remaining_facilities_v021/narrow_battery_cabinet/narrow_battery_cabinet_root_top3d_v001.tscn; src/base3d/BaseFacility3D.gd; src/world3d/TowerDescent3D.gd</x:t>
        </x:is>
      </x:c>
      <x:c r="Q419" t="inlineStr">
        <x:is>
          <x:t xml:space="preserve">vault; 保险柜; 窄型电池柜; BaseFacility3D; 0.8m</x:t>
        </x:is>
      </x:c>
      <x:c r="R419" t="str">
        <x:f>LOWER(TRIM(C419)&amp;"|"&amp;TRIM(D419)&amp;"|"&amp;TRIM(E419)&amp;"|"&amp;TRIM(F419)&amp;"|"&amp;TRIM(H419)&amp;"|"&amp;TRIM(I419))</x:f>
        <x:v>道具|base_facility|vault|root|top3d / 模型包围盒外扩0.8m|default / 99f正式交互设施</x:v>
      </x:c>
      <x:c r="S419" t="str">
        <x:f>IF(COUNTIF($R$6:$R$423,R419)&gt;1,"重复","唯一")</x:f>
        <x:v>唯一</x:v>
      </x:c>
      <x:c r="T419" t="inlineStr">
        <x:is>
          <x:t xml:space="preserve">27e61debb65f3771981b3095b6bcd8c9f58b369cf31c79245c53718225cfae15</x:t>
        </x:is>
      </x:c>
      <x:c r="U419" t="inlineStr">
        <x:is>
          <x:t xml:space="preserve">Codex</x:t>
        </x:is>
      </x:c>
      <x:c r="V419" t="n">
        <x:v>46276</x:v>
      </x:c>
      <x:c r="W419" t="inlineStr">
        <x:is>
          <x:t xml:space="preserve">用户自制Blender资产</x:t>
        </x:is>
      </x:c>
      <x:c r="X419" t="inlineStr">
        <x:is>
          <x:t xml:space="preserve">47</x:t>
        </x:is>
      </x:c>
      <x:c r="Y419" t="inlineStr">
        <x:is>
          <x:t xml:space="preserve">2026-09-12：TowerDescent99F的vault迁移到47_窄型电池柜_资产包；包装场景保持源包世界坐标与碰撞，打开VaultMenu，交互区锁定为源包碰撞包围盒+0.8m。BaseWorld3D的赛博储物站映射保留。</x:t>
        </x:is>
      </x:c>
    </x:row>
    <x:row r="420">
      <x:c r="A420" t="inlineStr">
        <x:is>
          <x:t xml:space="preserve">PRP-BASE99-WEAPON-WORKSHOP-STATION-FACILITY-3D</x:t>
        </x:is>
      </x:c>
      <x:c r="B420" t="inlineStr">
        <x:is>
          <x:t xml:space="preserve">99F 武器工作台（怪物档案室）</x:t>
        </x:is>
      </x:c>
      <x:c r="C420" t="inlineStr">
        <x:is>
          <x:t xml:space="preserve">道具</x:t>
        </x:is>
      </x:c>
      <x:c r="D420" t="inlineStr">
        <x:is>
          <x:t xml:space="preserve">base_facility</x:t>
        </x:is>
      </x:c>
      <x:c r="E420" t="inlineStr">
        <x:is>
          <x:t xml:space="preserve">monster_archive</x:t>
        </x:is>
      </x:c>
      <x:c r="F420" t="inlineStr">
        <x:is>
          <x:t xml:space="preserve">root</x:t>
        </x:is>
      </x:c>
      <x:c r="G420" t="inlineStr">
        <x:is>
          <x:t xml:space="preserve">PRP-BASE-FACILITY-3D</x:t>
        </x:is>
      </x:c>
      <x:c r="H420" t="inlineStr">
        <x:is>
          <x:t xml:space="preserve">Top3D / 模型包围盒外扩0.8m</x:t>
        </x:is>
      </x:c>
      <x:c r="I420" t="inlineStr">
        <x:is>
          <x:t xml:space="preserve">default / 99F正式交互设施</x:t>
        </x:is>
      </x:c>
      <x:c r="J420" t="inlineStr">
        <x:is>
          <x:t xml:space="preserve">TowerDescent99F / monster_archive</x:t>
        </x:is>
      </x:c>
      <x:c r="K420" t="inlineStr">
        <x:is>
          <x:t xml:space="preserve">正式美术已接入</x:t>
        </x:is>
      </x:c>
      <x:c r="L420" t="inlineStr">
        <x:is>
          <x:t xml:space="preserve">P1</x:t>
        </x:is>
      </x:c>
      <x:c r="M420" t="inlineStr">
        <x:is>
          <x:t xml:space="preserve">v001</x:t>
        </x:is>
      </x:c>
      <x:c r="N420" t="inlineStr">
        <x:is>
          <x:t xml:space="preserve">交互盒 3.523101×5.31×7.35m；模型包围盒+0.8m</x:t>
        </x:is>
      </x:c>
      <x:c r="O420" t="inlineStr">
        <x:is>
          <x:t xml:space="preserve">assets/art/environments/base_facility_3d/runtime/env_base99_remaining_facilities_v021/weapon_workshop_station/weapon_workshop_station_facility_top3d_v001.tscn</x:t>
        </x:is>
      </x:c>
      <x:c r="P420" t="inlineStr">
        <x:is>
          <x:t xml:space="preserve">assets/art/environments/base_facility_3d/runtime/env_base99_remaining_facilities_v021/weapon_workshop_station/weapon_workshop_station_root_top3d_v003.tscn; src/base3d/BaseFacility3D.gd; src/world3d/TowerDescent3D.gd</x:t>
        </x:is>
      </x:c>
      <x:c r="Q420" t="inlineStr">
        <x:is>
          <x:t xml:space="preserve">monster_archive; 怪物档案室; 49_02_游戏输出; BaseFacility3D; 0.8m</x:t>
        </x:is>
      </x:c>
      <x:c r="R420" t="str">
        <x:f>LOWER(TRIM(C420)&amp;"|"&amp;TRIM(D420)&amp;"|"&amp;TRIM(E420)&amp;"|"&amp;TRIM(F420)&amp;"|"&amp;TRIM(H420)&amp;"|"&amp;TRIM(I420))</x:f>
        <x:v>道具|base_facility|monster_archive|root|top3d / 模型包围盒外扩0.8m|default / 99f正式交互设施</x:v>
      </x:c>
      <x:c r="S420" t="str">
        <x:f>IF(COUNTIF($R$6:$R$423,R420)&gt;1,"重复","唯一")</x:f>
        <x:v>唯一</x:v>
      </x:c>
      <x:c r="T420" t="inlineStr">
        <x:is>
          <x:t xml:space="preserve">cf079d204306326036dea7da2ce8198963724da5d55fe784cbf2ddc1f55cc23b</x:t>
        </x:is>
      </x:c>
      <x:c r="U420" t="inlineStr">
        <x:is>
          <x:t xml:space="preserve">Codex</x:t>
        </x:is>
      </x:c>
      <x:c r="V420" t="n">
        <x:v>46276</x:v>
      </x:c>
      <x:c r="W420" t="inlineStr">
        <x:is>
          <x:t xml:space="preserve">用户自制Blender资产</x:t>
        </x:is>
      </x:c>
      <x:c r="X420" t="inlineStr">
        <x:is>
          <x:t xml:space="preserve">49</x:t>
        </x:is>
      </x:c>
      <x:c r="Y420" t="inlineStr">
        <x:is>
          <x:t xml:space="preserve">2026-09-12：TowerDescent99F新增monster_archive实体入口，绑定49_02_游戏输出_整合模型_v020；包装场景保持源包世界坐标与碰撞，打开MonsterArchiveMenu，交互区锁定为源包碰撞包围盒+0.8m。</x:t>
        </x:is>
      </x:c>
    </x:row>
    <x:row r="421">
      <x:c r="A421" t="inlineStr">
        <x:is>
          <x:t xml:space="preserve">PRP-BASE99-LOFT-COMPUTER-WORKSTATION-FACILITY-3D</x:t>
        </x:is>
      </x:c>
      <x:c r="B421" t="inlineStr">
        <x:is>
          <x:t xml:space="preserve">99F 双屏电脑工位（命运卡收藏室）</x:t>
        </x:is>
      </x:c>
      <x:c r="C421" t="inlineStr">
        <x:is>
          <x:t xml:space="preserve">道具</x:t>
        </x:is>
      </x:c>
      <x:c r="D421" t="inlineStr">
        <x:is>
          <x:t xml:space="preserve">base_facility</x:t>
        </x:is>
      </x:c>
      <x:c r="E421" t="inlineStr">
        <x:is>
          <x:t xml:space="preserve">fate_collection</x:t>
        </x:is>
      </x:c>
      <x:c r="F421" t="inlineStr">
        <x:is>
          <x:t xml:space="preserve">root</x:t>
        </x:is>
      </x:c>
      <x:c r="G421" t="inlineStr">
        <x:is>
          <x:t xml:space="preserve">PRP-BASE-FACILITY-3D</x:t>
        </x:is>
      </x:c>
      <x:c r="H421" t="inlineStr">
        <x:is>
          <x:t xml:space="preserve">Top3D / 模型包围盒外扩0.8m</x:t>
        </x:is>
      </x:c>
      <x:c r="I421" t="inlineStr">
        <x:is>
          <x:t xml:space="preserve">default / 99F正式交互设施</x:t>
        </x:is>
      </x:c>
      <x:c r="J421" t="inlineStr">
        <x:is>
          <x:t xml:space="preserve">TowerDescent99F / fate_collection</x:t>
        </x:is>
      </x:c>
      <x:c r="K421" t="inlineStr">
        <x:is>
          <x:t xml:space="preserve">正式美术已接入</x:t>
        </x:is>
      </x:c>
      <x:c r="L421" t="inlineStr">
        <x:is>
          <x:t xml:space="preserve">P1</x:t>
        </x:is>
      </x:c>
      <x:c r="M421" t="inlineStr">
        <x:is>
          <x:t xml:space="preserve">v001</x:t>
        </x:is>
      </x:c>
      <x:c r="N421" t="inlineStr">
        <x:is>
          <x:t xml:space="preserve">交互盒 9.134999×4.64×3.005m；模型包围盒+0.8m</x:t>
        </x:is>
      </x:c>
      <x:c r="O421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P421" t="inlineStr">
        <x:is>
          <x:t xml:space="preserve">assets/art/environments/base_facility_3d/runtime/env_base99_remaining_facilities_v021/loft_computer_workstation/loft_computer_workstation_root_top3d_v002.tscn; src/base3d/BaseFacility3D.gd; src/world3d/TowerDescent3D.gd</x:t>
        </x:is>
      </x:c>
      <x:c r="Q421" t="inlineStr">
        <x:is>
          <x:t xml:space="preserve">fate_collection; 命运卡收藏室; 42__02_游戏输出; BaseFacility3D; 0.8m</x:t>
        </x:is>
      </x:c>
      <x:c r="R421" t="str">
        <x:f>LOWER(TRIM(C421)&amp;"|"&amp;TRIM(D421)&amp;"|"&amp;TRIM(E421)&amp;"|"&amp;TRIM(F421)&amp;"|"&amp;TRIM(H421)&amp;"|"&amp;TRIM(I421))</x:f>
        <x:v>道具|base_facility|fate_collection|root|top3d / 模型包围盒外扩0.8m|default / 99f正式交互设施</x:v>
      </x:c>
      <x:c r="S421" t="str">
        <x:f>IF(COUNTIF($R$6:$R$423,R421)&gt;1,"重复","唯一")</x:f>
        <x:v>唯一</x:v>
      </x:c>
      <x:c r="T421" t="inlineStr">
        <x:is>
          <x:t xml:space="preserve">69213c5fec7807c005d8ac7d3d9d033469ebd526154cfd41c7b3d4d6007a8f05</x:t>
        </x:is>
      </x:c>
      <x:c r="U421" t="inlineStr">
        <x:is>
          <x:t xml:space="preserve">Codex</x:t>
        </x:is>
      </x:c>
      <x:c r="V421" t="n">
        <x:v>46276</x:v>
      </x:c>
      <x:c r="W421" t="inlineStr">
        <x:is>
          <x:t xml:space="preserve">用户自制Blender资产</x:t>
        </x:is>
      </x:c>
      <x:c r="X421" t="inlineStr">
        <x:is>
          <x:t xml:space="preserve">42</x:t>
        </x:is>
      </x:c>
      <x:c r="Y421" t="inlineStr">
        <x:is>
          <x:t xml:space="preserve">2026-09-12：TowerDescent99F的fate_collection迁移到42__02_游戏输出_整合模型；包装场景保持源包世界坐标与碰撞，打开FateCardCollectionMenu，交互区锁定为源包碰撞包围盒+0.8m。BaseWorld3D的复古电视站映射保留。</x:t>
        </x:is>
      </x:c>
    </x:row>
    <x:row r="422">
      <x:c r="A422" t="inlineStr">
        <x:is>
          <x:t xml:space="preserve">PRP-BASE99-MEDICAL-CABINET-FACILITY-3D</x:t>
        </x:is>
      </x:c>
      <x:c r="B422" t="inlineStr">
        <x:is>
          <x:t xml:space="preserve">99F MEDICAL医疗柜（状态恢复舱）</x:t>
        </x:is>
      </x:c>
      <x:c r="C422" t="inlineStr">
        <x:is>
          <x:t xml:space="preserve">道具</x:t>
        </x:is>
      </x:c>
      <x:c r="D422" t="inlineStr">
        <x:is>
          <x:t xml:space="preserve">base_facility</x:t>
        </x:is>
      </x:c>
      <x:c r="E422" t="inlineStr">
        <x:is>
          <x:t xml:space="preserve">base_recovery</x:t>
        </x:is>
      </x:c>
      <x:c r="F422" t="inlineStr">
        <x:is>
          <x:t xml:space="preserve">root</x:t>
        </x:is>
      </x:c>
      <x:c r="G422" t="inlineStr">
        <x:is>
          <x:t xml:space="preserve">PRP-BASE-FACILITY-3D</x:t>
        </x:is>
      </x:c>
      <x:c r="H422" t="inlineStr">
        <x:is>
          <x:t xml:space="preserve">Top3D / 模型包围盒外扩0.8m</x:t>
        </x:is>
      </x:c>
      <x:c r="I422" t="inlineStr">
        <x:is>
          <x:t xml:space="preserve">default / 99F正式交互设施</x:t>
        </x:is>
      </x:c>
      <x:c r="J422" t="inlineStr">
        <x:is>
          <x:t xml:space="preserve">TowerDescent99F / base_recovery</x:t>
        </x:is>
      </x:c>
      <x:c r="K422" t="inlineStr">
        <x:is>
          <x:t xml:space="preserve">正式美术已接入</x:t>
        </x:is>
      </x:c>
      <x:c r="L422" t="inlineStr">
        <x:is>
          <x:t xml:space="preserve">P1</x:t>
        </x:is>
      </x:c>
      <x:c r="M422" t="inlineStr">
        <x:is>
          <x:t xml:space="preserve">v001</x:t>
        </x:is>
      </x:c>
      <x:c r="N422" t="inlineStr">
        <x:is>
          <x:t xml:space="preserve">交互盒 3.18×4.93×2.39m；模型包围盒+0.8m</x:t>
        </x:is>
      </x:c>
      <x:c r="O422" t="inlineStr">
        <x:is>
          <x:t xml:space="preserve">assets/art/environments/base_facility_3d/runtime/env_base99_remaining_facilities_v021/medical_cabinet/medical_cabinet_facility_top3d_v001.tscn</x:t>
        </x:is>
      </x:c>
      <x:c r="P422" t="inlineStr">
        <x:is>
          <x:t xml:space="preserve">assets/art/environments/base_facility_3d/runtime/env_base99_remaining_facilities_v021/medical_cabinet/medical_cabinet_root_top3d_v001.tscn; src/base3d/BaseFacility3D.gd; src/world3d/TowerDescent3D.gd</x:t>
        </x:is>
      </x:c>
      <x:c r="Q422" t="inlineStr">
        <x:is>
          <x:t xml:space="preserve">base_recovery; 状态恢复舱; MEDICAL医疗柜; BaseFacility3D; 0.8m</x:t>
        </x:is>
      </x:c>
      <x:c r="R422" t="str">
        <x:f>LOWER(TRIM(C422)&amp;"|"&amp;TRIM(D422)&amp;"|"&amp;TRIM(E422)&amp;"|"&amp;TRIM(F422)&amp;"|"&amp;TRIM(H422)&amp;"|"&amp;TRIM(I422))</x:f>
        <x:v>道具|base_facility|base_recovery|root|top3d / 模型包围盒外扩0.8m|default / 99f正式交互设施</x:v>
      </x:c>
      <x:c r="S422" t="str">
        <x:f>IF(COUNTIF($R$6:$R$423,R422)&gt;1,"重复","唯一")</x:f>
        <x:v>唯一</x:v>
      </x:c>
      <x:c r="T422" t="inlineStr">
        <x:is>
          <x:t xml:space="preserve">c9c31d295dbc786abc3a1ac377b8232fc4e6babf4b767778d4a8e91a645117a1</x:t>
        </x:is>
      </x:c>
      <x:c r="U422" t="inlineStr">
        <x:is>
          <x:t xml:space="preserve">Codex</x:t>
        </x:is>
      </x:c>
      <x:c r="V422" t="n">
        <x:v>46276</x:v>
      </x:c>
      <x:c r="W422" t="inlineStr">
        <x:is>
          <x:t xml:space="preserve">用户自制Blender资产</x:t>
        </x:is>
      </x:c>
      <x:c r="X422" t="inlineStr">
        <x:is>
          <x:t xml:space="preserve">45</x:t>
        </x:is>
      </x:c>
      <x:c r="Y422" t="inlineStr">
        <x:is>
          <x:t xml:space="preserve">2026-09-12：TowerDescent99F的base_recovery迁移到45_MEDICAL医疗柜_资产包；包装场景保持源包世界坐标与碰撞，打开BaseRecoveryMenu，交互区锁定为源包碰撞包围盒+0.8m。</x:t>
        </x:is>
      </x:c>
    </x:row>
    <x:row r="423">
      <x:c r="A423" t="inlineStr">
        <x:is>
          <x:t xml:space="preserve">PRP-BASE99-LOFT-LOUNGE-SOFA-FACILITY-3D</x:t>
        </x:is>
      </x:c>
      <x:c r="B423" t="inlineStr">
        <x:is>
          <x:t xml:space="preserve">99F 墨绿三人沙发（角色衣柜）</x:t>
        </x:is>
      </x:c>
      <x:c r="C423" t="inlineStr">
        <x:is>
          <x:t xml:space="preserve">道具</x:t>
        </x:is>
      </x:c>
      <x:c r="D423" t="inlineStr">
        <x:is>
          <x:t xml:space="preserve">base_facility</x:t>
        </x:is>
      </x:c>
      <x:c r="E423" t="inlineStr">
        <x:is>
          <x:t xml:space="preserve">avatar_wardrobe</x:t>
        </x:is>
      </x:c>
      <x:c r="F423" t="inlineStr">
        <x:is>
          <x:t xml:space="preserve">root</x:t>
        </x:is>
      </x:c>
      <x:c r="G423" t="inlineStr">
        <x:is>
          <x:t xml:space="preserve">PRP-BASE-FACILITY-3D</x:t>
        </x:is>
      </x:c>
      <x:c r="H423" t="inlineStr">
        <x:is>
          <x:t xml:space="preserve">Top3D / 模型包围盒外扩0.8m</x:t>
        </x:is>
      </x:c>
      <x:c r="I423" t="inlineStr">
        <x:is>
          <x:t xml:space="preserve">default / 99F正式交互设施</x:t>
        </x:is>
      </x:c>
      <x:c r="J423" t="inlineStr">
        <x:is>
          <x:t xml:space="preserve">TowerDescent99F / avatar_wardrobe</x:t>
        </x:is>
      </x:c>
      <x:c r="K423" t="inlineStr">
        <x:is>
          <x:t xml:space="preserve">正式美术已接入</x:t>
        </x:is>
      </x:c>
      <x:c r="L423" t="inlineStr">
        <x:is>
          <x:t xml:space="preserve">P1</x:t>
        </x:is>
      </x:c>
      <x:c r="M423" t="inlineStr">
        <x:is>
          <x:t xml:space="preserve">v001</x:t>
        </x:is>
      </x:c>
      <x:c r="N423" t="inlineStr">
        <x:is>
          <x:t xml:space="preserve">交互盒 6.42×3.431646×3.481379m；模型包围盒+0.8m</x:t>
        </x:is>
      </x:c>
      <x:c r="O423" t="inlineStr">
        <x:is>
          <x:t xml:space="preserve">assets/art/environments/base_facility_3d/runtime/env_base99_remaining_facilities_v021/loft_lounge_sofa/loft_lounge_sofa_facility_top3d_v001.tscn</x:t>
        </x:is>
      </x:c>
      <x:c r="P423" t="inlineStr">
        <x:is>
          <x:t xml:space="preserve">assets/art/environments/base_facility_3d/runtime/env_base99_remaining_facilities_v021/loft_lounge_sofa/loft_lounge_sofa_root_top3d_v002.tscn; src/base3d/BaseFacility3D.gd; src/world3d/TowerDescent3D.gd</x:t>
        </x:is>
      </x:c>
      <x:c r="Q423" t="inlineStr">
        <x:is>
          <x:t xml:space="preserve">avatar_wardrobe; 角色衣柜; 墨绿三人休闲沙发; BaseFacility3D; 0.8m</x:t>
        </x:is>
      </x:c>
      <x:c r="R423" t="str">
        <x:f>LOWER(TRIM(C423)&amp;"|"&amp;TRIM(D423)&amp;"|"&amp;TRIM(E423)&amp;"|"&amp;TRIM(F423)&amp;"|"&amp;TRIM(H423)&amp;"|"&amp;TRIM(I423))</x:f>
        <x:v>道具|base_facility|avatar_wardrobe|root|top3d / 模型包围盒外扩0.8m|default / 99f正式交互设施</x:v>
      </x:c>
      <x:c r="S423" t="str">
        <x:f>IF(COUNTIF($R$6:$R$423,R423)&gt;1,"重复","唯一")</x:f>
        <x:v>唯一</x:v>
      </x:c>
      <x:c r="T423" t="inlineStr">
        <x:is>
          <x:t xml:space="preserve">bd63e4d8199b0da307845a61741a66659f2449854f647993fc165fb8a2aae7ed</x:t>
        </x:is>
      </x:c>
      <x:c r="U423" t="inlineStr">
        <x:is>
          <x:t xml:space="preserve">Codex</x:t>
        </x:is>
      </x:c>
      <x:c r="V423" t="n">
        <x:v>46276</x:v>
      </x:c>
      <x:c r="W423" t="inlineStr">
        <x:is>
          <x:t xml:space="preserve">用户自制Blender资产</x:t>
        </x:is>
      </x:c>
      <x:c r="X423" t="inlineStr">
        <x:is>
          <x:t xml:space="preserve">36</x:t>
        </x:is>
      </x:c>
      <x:c r="Y423" t="inlineStr">
        <x:is>
          <x:t xml:space="preserve">2026-09-12：TowerDescent99F的avatar_wardrobe迁移到36_墨绿三人休闲沙发_资产包；包装场景保持源包世界坐标与碰撞，打开WardrobeMenu3D，交互区锁定为源包碰撞包围盒+0.8m。</x:t>
        </x:is>
      </x:c>
    </x:row>
    <x:row r="424" ht="85" customHeight="1">
      <x:c r="A424" t="str">
        <x:v>ENV-TOWER-STAIR-FLOOR-LOWER</x:v>
      </x:c>
      <x:c r="B424" t="str">
        <x:v>楼梯间下层楼板</x:v>
      </x:c>
      <x:c r="C424" t="str">
        <x:v>场景</x:v>
      </x:c>
      <x:c r="D424" t="str">
        <x:v>environment_module_3d</x:v>
      </x:c>
      <x:c r="E424" t="str">
        <x:v>tower_stair_floor_lower</x:v>
      </x:c>
      <x:c r="F424" t="str">
        <x:v>floor_lower</x:v>
      </x:c>
      <x:c r="G424"/>
      <x:c r="H424" t="str">
        <x:v>Top3D / Blender Z-up</x:v>
      </x:c>
      <x:c r="I424" t="str">
        <x:v>whitebox / default</x:v>
      </x:c>
      <x:c r="J424" t="str">
        <x:v>楼梯区专用</x:v>
      </x:c>
      <x:c r="K424" t="str">
        <x:v>白盒组件</x:v>
      </x:c>
      <x:c r="L424" t="str">
        <x:v>P1</x:v>
      </x:c>
      <x:c r="M424" t="str">
        <x:v>v001</x:v>
      </x:c>
      <x:c r="N424" s="392" t="str">
        <x:v>每间下层18块5×5×0.3m固定地砖，完成面+0.1m</x:v>
      </x:c>
      <x:c r="O424" s="392" t="str">
        <x:v>source/art/whitebox/tower_zones/v015/data/whitebox_tower_stairs_v015.json</x:v>
      </x:c>
      <x:c r="P424" s="392" t="str">
        <x:v>source/art/whitebox/tower_zones/v015/blender/whitebox_tower_stairs_v015.blend</x:v>
      </x:c>
      <x:c r="Q424" t="str">
        <x:v>楼梯间;下层楼板;白盒</x:v>
      </x:c>
      <x:c r="R424" t="str">
        <x:v>场景|environment_module_3d|tower_stair_floor_lower|floor_lower|top3d / blender z-up|whitebox / default</x:v>
      </x:c>
      <x:c r="S424" t="str">
        <x:v>唯一</x:v>
      </x:c>
      <x:c r="T424"/>
      <x:c r="U424" t="str">
        <x:v>Codex</x:v>
      </x:c>
      <x:c r="V424" t="str">
        <x:v>2026-09-14</x:v>
      </x:c>
      <x:c r="W424" t="str">
        <x:v>用户设计</x:v>
      </x:c>
      <x:c r="X424" t="str">
        <x:v>—</x:v>
      </x:c>
      <x:c r="Y424" t="str">
        <x:v>v015原位组件拼装；墙板固定模数+收边件；楼梯高度/坡度参数编辑；Scale=1。</x:v>
      </x:c>
    </x:row>
    <x:row r="425" ht="85" customHeight="1">
      <x:c r="A425" t="str">
        <x:v>ENV-TOWER-STAIR-FLOOR-MID</x:v>
      </x:c>
      <x:c r="B425" t="str">
        <x:v>楼梯间中层楼板</x:v>
      </x:c>
      <x:c r="C425" t="str">
        <x:v>场景</x:v>
      </x:c>
      <x:c r="D425" t="str">
        <x:v>environment_module_3d</x:v>
      </x:c>
      <x:c r="E425" t="str">
        <x:v>tower_stair_floor_mid</x:v>
      </x:c>
      <x:c r="F425" t="str">
        <x:v>floor_mid</x:v>
      </x:c>
      <x:c r="G425"/>
      <x:c r="H425" t="str">
        <x:v>Top3D / Blender Z-up</x:v>
      </x:c>
      <x:c r="I425" t="str">
        <x:v>whitebox / default</x:v>
      </x:c>
      <x:c r="J425" t="str">
        <x:v>楼梯区专用</x:v>
      </x:c>
      <x:c r="K425" t="str">
        <x:v>白盒组件</x:v>
      </x:c>
      <x:c r="L425" t="str">
        <x:v>P1</x:v>
      </x:c>
      <x:c r="M425" t="str">
        <x:v>v001</x:v>
      </x:c>
      <x:c r="N425" s="392" t="str">
        <x:v>每间中层6块固定拼接件，沿原平台边界收边</x:v>
      </x:c>
      <x:c r="O425" s="392" t="str">
        <x:v>source/art/whitebox/tower_zones/v015/data/whitebox_tower_stairs_v015.json</x:v>
      </x:c>
      <x:c r="P425" s="392" t="str">
        <x:v>source/art/whitebox/tower_zones/v015/blender/whitebox_tower_stairs_v015.blend</x:v>
      </x:c>
      <x:c r="Q425" t="str">
        <x:v>楼梯间;中层楼板;转角平台;白盒</x:v>
      </x:c>
      <x:c r="R425" t="str">
        <x:v>场景|environment_module_3d|tower_stair_floor_mid|floor_mid|top3d / blender z-up|whitebox / default</x:v>
      </x:c>
      <x:c r="S425" t="str">
        <x:v>唯一</x:v>
      </x:c>
      <x:c r="T425"/>
      <x:c r="U425" t="str">
        <x:v>Codex</x:v>
      </x:c>
      <x:c r="V425" t="str">
        <x:v>2026-09-14</x:v>
      </x:c>
      <x:c r="W425" t="str">
        <x:v>用户设计</x:v>
      </x:c>
      <x:c r="X425" t="str">
        <x:v>—</x:v>
      </x:c>
      <x:c r="Y425" t="str">
        <x:v>v015原位组件拼装；墙板固定模数+收边件；楼梯高度/坡度参数编辑；Scale=1。</x:v>
      </x:c>
    </x:row>
    <x:row r="426" ht="85" customHeight="1">
      <x:c r="A426" t="str">
        <x:v>ENV-TOWER-STAIR-FLOOR-UPPER</x:v>
      </x:c>
      <x:c r="B426" t="str">
        <x:v>楼梯间上层楼板</x:v>
      </x:c>
      <x:c r="C426" t="str">
        <x:v>场景</x:v>
      </x:c>
      <x:c r="D426" t="str">
        <x:v>environment_module_3d</x:v>
      </x:c>
      <x:c r="E426" t="str">
        <x:v>tower_stair_floor_upper</x:v>
      </x:c>
      <x:c r="F426" t="str">
        <x:v>floor_upper</x:v>
      </x:c>
      <x:c r="G426"/>
      <x:c r="H426" t="str">
        <x:v>Top3D / Blender Z-up</x:v>
      </x:c>
      <x:c r="I426" t="str">
        <x:v>whitebox / default</x:v>
      </x:c>
      <x:c r="J426" t="str">
        <x:v>楼梯区专用</x:v>
      </x:c>
      <x:c r="K426" t="str">
        <x:v>白盒组件</x:v>
      </x:c>
      <x:c r="L426" t="str">
        <x:v>P1</x:v>
      </x:c>
      <x:c r="M426" t="str">
        <x:v>v001</x:v>
      </x:c>
      <x:c r="N426" s="392" t="str">
        <x:v>每间上层6块固定拼接件，另有2块门口连接板</x:v>
      </x:c>
      <x:c r="O426" s="392" t="str">
        <x:v>source/art/whitebox/tower_zones/v015/data/whitebox_tower_stairs_v015.json</x:v>
      </x:c>
      <x:c r="P426" s="392" t="str">
        <x:v>source/art/whitebox/tower_zones/v015/blender/whitebox_tower_stairs_v015.blend</x:v>
      </x:c>
      <x:c r="Q426" t="str">
        <x:v>楼梯间;上层楼板;白盒</x:v>
      </x:c>
      <x:c r="R426" t="str">
        <x:v>场景|environment_module_3d|tower_stair_floor_upper|floor_upper|top3d / blender z-up|whitebox / default</x:v>
      </x:c>
      <x:c r="S426" t="str">
        <x:v>唯一</x:v>
      </x:c>
      <x:c r="T426"/>
      <x:c r="U426" t="str">
        <x:v>Codex</x:v>
      </x:c>
      <x:c r="V426" t="str">
        <x:v>2026-09-14</x:v>
      </x:c>
      <x:c r="W426" t="str">
        <x:v>用户设计</x:v>
      </x:c>
      <x:c r="X426" t="str">
        <x:v>—</x:v>
      </x:c>
      <x:c r="Y426" t="str">
        <x:v>v015原位组件拼装；墙板固定模数+收边件；楼梯高度/坡度参数编辑；Scale=1。</x:v>
      </x:c>
    </x:row>
    <x:row r="427" ht="85" customHeight="1">
      <x:c r="A427" t="str">
        <x:v>ENV-TOWER-STAIR-FLIGHT-ADJUSTABLE</x:v>
      </x:c>
      <x:c r="B427" t="str">
        <x:v>楼梯间可调直梯母组件</x:v>
      </x:c>
      <x:c r="C427" t="str">
        <x:v>场景</x:v>
      </x:c>
      <x:c r="D427" t="str">
        <x:v>environment_module_3d</x:v>
      </x:c>
      <x:c r="E427" t="str">
        <x:v>tower_stair_flight_adjustable</x:v>
      </x:c>
      <x:c r="F427" t="str">
        <x:v>stair_flight</x:v>
      </x:c>
      <x:c r="G427"/>
      <x:c r="H427" t="str">
        <x:v>Top3D / Blender Z-up</x:v>
      </x:c>
      <x:c r="I427" t="str">
        <x:v>whitebox / default</x:v>
      </x:c>
      <x:c r="J427" t="str">
        <x:v>楼梯区专用</x:v>
      </x:c>
      <x:c r="K427" t="str">
        <x:v>白盒组件</x:v>
      </x:c>
      <x:c r="L427" t="str">
        <x:v>P1</x:v>
      </x:c>
      <x:c r="M427" t="str">
        <x:v>v002</x:v>
      </x:c>
      <x:c r="N427" s="392" t="str">
        <x:v>单母组件；每跑6m高/15m水平长度/21.8014°；20级；另一跑180°；高度/角度可调</x:v>
      </x:c>
      <x:c r="O427" s="392" t="str">
        <x:v>source/art/whitebox/tower_zones/v015/data/whitebox_tower_stairs_v015.json</x:v>
      </x:c>
      <x:c r="P427" s="392" t="str">
        <x:v>source/art/whitebox/tower_zones/v015/blender/whitebox_tower_stairs_v015.blend</x:v>
      </x:c>
      <x:c r="Q427" t="str">
        <x:v>楼梯间;直梯;可调坡度;可调长度;白盒</x:v>
      </x:c>
      <x:c r="R427" t="str">
        <x:v>场景|environment_module_3d|tower_stair_flight_adjustable|stair_flight|top3d / blender z-up|whitebox / default</x:v>
      </x:c>
      <x:c r="S427" t="str">
        <x:v>唯一</x:v>
      </x:c>
      <x:c r="T427"/>
      <x:c r="U427" t="str">
        <x:v>Codex</x:v>
      </x:c>
      <x:c r="V427" t="str">
        <x:v>2026-09-14</x:v>
      </x:c>
      <x:c r="W427" t="str">
        <x:v>用户设计</x:v>
      </x:c>
      <x:c r="X427" t="str">
        <x:v>—</x:v>
      </x:c>
      <x:c r="Y427" t="str">
        <x:v>v015原位组件拼装；墙板固定模数+收边件；楼梯高度/坡度参数编辑；Scale=1。</x:v>
      </x:c>
    </x:row>
    <x:row r="428">
      <x:c r="A428" t="str">
        <x:v>ENV-TOWER-CORNER-COLUMN-05M</x:v>
      </x:c>
      <x:c r="B428" t="str">
        <x:v>塔楼通用拐角柱</x:v>
      </x:c>
      <x:c r="C428" t="str">
        <x:v>场景</x:v>
      </x:c>
      <x:c r="D428" t="str">
        <x:v>environment_module_3d</x:v>
      </x:c>
      <x:c r="E428" t="str">
        <x:v>tower_corner_column_05m</x:v>
      </x:c>
      <x:c r="F428" t="str">
        <x:v>corner_column</x:v>
      </x:c>
      <x:c r="G428"/>
      <x:c r="H428" t="str">
        <x:v>Top3D / Blender Z-up</x:v>
      </x:c>
      <x:c r="I428" t="str">
        <x:v>whitebox / default</x:v>
      </x:c>
      <x:c r="J428" t="str">
        <x:v>全区块通用</x:v>
      </x:c>
      <x:c r="K428" t="str">
        <x:v>白盒组件</x:v>
      </x:c>
      <x:c r="L428" t="str">
        <x:v>P1</x:v>
      </x:c>
      <x:c r="M428" t="str">
        <x:v>v001</x:v>
      </x:c>
      <x:c r="N428" t="str">
        <x:v>0.5×0.5×12.9m</x:v>
      </x:c>
      <x:c r="O428" t="str">
        <x:v>source/art/whitebox/tower_zones/v013/data/stair_component_library_v001.json</x:v>
      </x:c>
      <x:c r="P428" t="str">
        <x:v>tools/3Dgame-design/src/main.js</x:v>
      </x:c>
      <x:c r="Q428" t="str">
        <x:v>拐角柱;角柱;通用组件;白盒</x:v>
      </x:c>
      <x:c r="R428" t="str">
        <x:v>场景|environment_module_3d|tower_corner_column_05m|corner_column|top3d / blender z-up|whitebox / default</x:v>
      </x:c>
      <x:c r="S428" t="str">
        <x:v>唯一</x:v>
      </x:c>
      <x:c r="T428"/>
      <x:c r="U428" t="str">
        <x:v>Codex</x:v>
      </x:c>
      <x:c r="V428" t="str">
        <x:v>2026-09-14</x:v>
      </x:c>
      <x:c r="W428" t="str">
        <x:v>用户设计</x:v>
      </x:c>
      <x:c r="X428" t="str">
        <x:v>—</x:v>
      </x:c>
      <x:c r="Y428" t="str">
        <x:v>3Dgame-design通用组件；未重新导入Godot。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21">
    <x:dataValidation type="list" allowBlank="0" showDropDown="0" showInputMessage="0" showErrorMessage="0" sqref="C6:C112">
      <x:formula1>"角色,敌人,枪械,道具,场景,场景道具,UI,特效,音频"</x:formula1>
    </x:dataValidation>
    <x:dataValidation type="list" allowBlank="0" showDropDown="0" showInputMessage="0" showErrorMessage="0" sqref="K6:K132">
      <x:formula1>"已完成,原型已接入,程序占位,待制作,待核对,弃用"</x:formula1>
    </x:dataValidation>
    <x:dataValidation type="list" allowBlank="0" showDropDown="0" showInputMessage="0" showErrorMessage="0" sqref="L6:L132">
      <x:formula1>"P0,P1,P2,P3"</x:formula1>
    </x:dataValidation>
    <x:dataValidation type="list" allowBlank="0" showDropDown="0" showInputMessage="0" showErrorMessage="0" sqref="C6:C287">
      <x:formula1>"角色,敌人,武器,道具,场景,场景道具,UI,特效,音频"</x:formula1>
    </x:dataValidation>
    <x:dataValidation type="list" allowBlank="0" showDropDown="0" showInputMessage="0" showErrorMessage="0" sqref="K6:K287">
      <x:formula1>"待制作,程序占位,已完成,原型已接入,弃用"</x:formula1>
    </x:dataValidation>
    <x:dataValidation type="list" allowBlank="0" showDropDown="0" showInputMessage="0" showErrorMessage="0" sqref="L6:L287">
      <x:formula1>"P0,P1,P2"</x:formula1>
    </x:dataValidation>
    <x:dataValidation type="list" allowBlank="0" showDropDown="0" showInputMessage="0" showErrorMessage="0" sqref="C6:C295">
      <x:formula1>"角色,敌人,武器,道具,场景,场景道具,UI,特效,音频"</x:formula1>
    </x:dataValidation>
    <x:dataValidation type="list" allowBlank="0" showDropDown="0" showInputMessage="0" showErrorMessage="0" sqref="K6:K295">
      <x:formula1>"待制作,程序占位,已完成,原型已接入,弃用"</x:formula1>
    </x:dataValidation>
    <x:dataValidation type="list" allowBlank="0" showDropDown="0" showInputMessage="0" showErrorMessage="0" sqref="L6:L295">
      <x:formula1>"P0,P1,P2"</x:formula1>
    </x:dataValidation>
    <x:dataValidation type="list" allowBlank="0" showDropDown="0" showInputMessage="0" showErrorMessage="0" sqref="C6:C296">
      <x:formula1>"角色,敌人,武器,道具,场景,场景道具,UI,特效,音频"</x:formula1>
    </x:dataValidation>
    <x:dataValidation type="list" allowBlank="0" showDropDown="0" showInputMessage="0" showErrorMessage="0" sqref="K6:K296">
      <x:formula1>"待制作,程序占位,已完成,原型已接入,弃用"</x:formula1>
    </x:dataValidation>
    <x:dataValidation type="list" allowBlank="0" showDropDown="0" showInputMessage="0" showErrorMessage="0" sqref="L6:L296">
      <x:formula1>"P0,P1,P2"</x:formula1>
    </x:dataValidation>
    <x:dataValidation type="list" allowBlank="0" showDropDown="0" showInputMessage="0" showErrorMessage="0" sqref="C6:C298">
      <x:formula1>"角色,敌人,武器,道具,场景,场景道具,UI,特效,音频"</x:formula1>
    </x:dataValidation>
    <x:dataValidation type="list" allowBlank="0" showDropDown="0" showInputMessage="0" showErrorMessage="0" sqref="K6:K298">
      <x:formula1>"待制作,程序占位,已完成,原型已接入,弃用"</x:formula1>
    </x:dataValidation>
    <x:dataValidation type="list" allowBlank="0" showDropDown="0" showInputMessage="0" showErrorMessage="0" sqref="L6:L298">
      <x:formula1>"P0,P1,P2"</x:formula1>
    </x:dataValidation>
    <x:dataValidation type="list" allowBlank="0" showDropDown="0" showInputMessage="0" showErrorMessage="0" sqref="C6:C299">
      <x:formula1>"角色,敌人,武器,道具,场景,场景道具,UI,特效,音频"</x:formula1>
    </x:dataValidation>
    <x:dataValidation type="list" allowBlank="0" showDropDown="0" showInputMessage="0" showErrorMessage="0" sqref="K6:K299">
      <x:formula1>"待制作,程序占位,已完成,原型已接入,弃用"</x:formula1>
    </x:dataValidation>
    <x:dataValidation type="list" allowBlank="0" showDropDown="0" showInputMessage="0" showErrorMessage="0" sqref="L6:L299">
      <x:formula1>"P0,P1,P2"</x:formula1>
    </x:dataValidation>
    <x:dataValidation type="list" allowBlank="0" showDropDown="0" showInputMessage="0" showErrorMessage="0" sqref="C6:C300">
      <x:formula1>"角色,敌人,武器,道具,场景,场景道具,UI,特效,音频"</x:formula1>
    </x:dataValidation>
    <x:dataValidation type="list" allowBlank="0" showDropDown="0" showInputMessage="0" showErrorMessage="0" sqref="K6:K300">
      <x:formula1>"待制作,程序占位,已完成,原型已接入,弃用"</x:formula1>
    </x:dataValidation>
    <x:dataValidation type="list" allowBlank="0" showDropDown="0" showInputMessage="0" showErrorMessage="0" sqref="L6:L3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c6f7e5ba354a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42" customWidth="1"/>
    <x:col min="4" max="4" width="15" customWidth="1"/>
    <x:col min="5" max="5" width="44" customWidth="1"/>
    <x:col min="6" max="6" width="14" customWidth="1"/>
    <x:col min="7" max="7" width="34" customWidth="1"/>
    <x:col min="8" max="8" width="19" customWidth="1"/>
    <x:col min="9" max="9" width="6" customWidth="1"/>
    <x:col min="10" max="10" width="26" customWidth="1"/>
    <x:col min="11" max="11" width="20" customWidth="1"/>
    <x:col min="12" max="12" width="8" customWidth="1"/>
    <x:col min="13" max="13" width="42" customWidth="1"/>
  </x:cols>
  <x:sheetData>
    <x:row r="1" ht="25" customHeight="1">
      <x:c r="A1" s="3" t="inlineStr">
        <x:is>
          <x:t xml:space="preserve">角色组件与挂点契约</x:t>
        </x:is>
      </x:c>
    </x:row>
    <x:row r="2" ht="12" customHeight="1"/>
    <x:row r="3" ht="23" customHeight="1">
      <x:c r="A3" s="6" t="inlineStr">
        <x:is>
          <x:t xml:space="preserve">每个角色优先复用这些槽；允许缺少某槽，但禁止把手臂烘焙回 body，武器永远挂 weapon_socket</x:t>
        </x:is>
      </x:c>
    </x:row>
    <x:row r="5" ht="32" customHeight="1">
      <x:c r="A5" s="298" t="inlineStr">
        <x:is>
          <x:t xml:space="preserve">角色ID</x:t>
        </x:is>
      </x:c>
      <x:c r="B5" s="299" t="inlineStr">
        <x:is>
          <x:t xml:space="preserve">组件槽</x:t>
        </x:is>
      </x:c>
      <x:c r="C5" s="299" t="inlineStr">
        <x:is>
          <x:t xml:space="preserve">节点路径</x:t>
        </x:is>
      </x:c>
      <x:c r="D5" s="299" t="inlineStr">
        <x:is>
          <x:t xml:space="preserve">父槽</x:t>
        </x:is>
      </x:c>
      <x:c r="E5" s="299" t="inlineStr">
        <x:is>
          <x:t xml:space="preserve">纹理路径</x:t>
        </x:is>
      </x:c>
      <x:c r="F5" s="299" t="inlineStr">
        <x:is>
          <x:t xml:space="preserve">运行时尺寸</x:t>
        </x:is>
      </x:c>
      <x:c r="G5" s="299" t="inlineStr">
        <x:is>
          <x:t xml:space="preserve">局部位置</x:t>
        </x:is>
      </x:c>
      <x:c r="H5" s="299" t="inlineStr">
        <x:is>
          <x:t xml:space="preserve">旋转/翻转</x:t>
        </x:is>
      </x:c>
      <x:c r="I5" s="299" t="inlineStr">
        <x:is>
          <x:t xml:space="preserve">Z</x:t>
        </x:is>
      </x:c>
      <x:c r="J5" s="299" t="inlineStr">
        <x:is>
          <x:t xml:space="preserve">动画职责</x:t>
        </x:is>
      </x:c>
      <x:c r="K5" s="299" t="inlineStr">
        <x:is>
          <x:t xml:space="preserve">换装边界</x:t>
        </x:is>
      </x:c>
      <x:c r="L5" s="299" t="inlineStr">
        <x:is>
          <x:t xml:space="preserve">必需</x:t>
        </x:is>
      </x:c>
      <x:c r="M5" s="300" t="inlineStr">
        <x:is>
          <x:t xml:space="preserve">备注</x:t>
        </x:is>
      </x:c>
    </x:row>
    <x:row r="6">
      <x:c r="A6" s="301" t="inlineStr">
        <x:is>
          <x:t xml:space="preserve">player_capsule01</x:t>
        </x:is>
      </x:c>
      <x:c r="B6" s="301" t="inlineStr">
        <x:is>
          <x:t xml:space="preserve">body</x:t>
        </x:is>
      </x:c>
      <x:c r="C6" s="301" t="inlineStr">
        <x:is>
          <x:t xml:space="preserve">PixelComponents/Body</x:t>
        </x:is>
      </x:c>
      <x:c r="D6" s="301" t="inlineStr">
        <x:is>
          <x:t xml:space="preserve">root</x:t>
        </x:is>
      </x:c>
      <x:c r="E6" s="301" t="inlineStr">
        <x:is>
          <x:t xml:space="preserve">assets/art/characters/player/chr_player_capsule01/components/chr_player_capsule01_body_side_v001.png</x:t>
        </x:is>
      </x:c>
      <x:c r="F6" s="301" t="inlineStr">
        <x:is>
          <x:t xml:space="preserve">32×35</x:t>
        </x:is>
      </x:c>
      <x:c r="G6" s="301" t="inlineStr">
        <x:is>
          <x:t xml:space="preserve">(0, 7)</x:t>
        </x:is>
      </x:c>
      <x:c r="H6" s="301" t="inlineStr">
        <x:is>
          <x:t xml:space="preserve">随朝向 flip_h</x:t>
        </x:is>
      </x:c>
      <x:c r="I6" s="301" t="n">
        <x:v>1</x:v>
      </x:c>
      <x:c r="J6" s="301" t="inlineStr">
        <x:is>
          <x:t xml:space="preserve">呼吸/移动压缩/死亡倾倒</x:t>
        </x:is>
      </x:c>
      <x:c r="K6" s="301" t="inlineStr">
        <x:is>
          <x:t xml:space="preserve">防护服主体</x:t>
        </x:is>
      </x:c>
      <x:c r="L6" s="301" t="inlineStr">
        <x:is>
          <x:t xml:space="preserve">是</x:t>
        </x:is>
      </x:c>
      <x:c r="M6" s="301" t="inlineStr">
        <x:is>
          <x:t xml:space="preserve">已退役（2026-08-09）：旧2D节点/纹理/Marker2D已删除；仅作历史组件记录，禁止运行时引用。</x:t>
        </x:is>
      </x:c>
    </x:row>
    <x:row r="7">
      <x:c r="A7" s="138" t="inlineStr">
        <x:is>
          <x:t xml:space="preserve">player_capsule01</x:t>
        </x:is>
      </x:c>
      <x:c r="B7" s="138" t="inlineStr">
        <x:is>
          <x:t xml:space="preserve">scarf</x:t>
        </x:is>
      </x:c>
      <x:c r="C7" s="138" t="inlineStr">
        <x:is>
          <x:t xml:space="preserve">PixelComponents/Scarf</x:t>
        </x:is>
      </x:c>
      <x:c r="D7" s="138" t="inlineStr">
        <x:is>
          <x:t xml:space="preserve">root</x:t>
        </x:is>
      </x:c>
      <x:c r="E7" s="138" t="inlineStr">
        <x:is>
          <x:t xml:space="preserve">assets/art/characters/player/chr_player_capsule01/components/chr_player_capsule01_scarf_side_v001.png</x:t>
        </x:is>
      </x:c>
      <x:c r="F7" s="138" t="inlineStr">
        <x:is>
          <x:t xml:space="preserve">26×14</x:t>
        </x:is>
      </x:c>
      <x:c r="G7" s="138" t="inlineStr">
        <x:is>
          <x:t xml:space="preserve">(0, -8)</x:t>
        </x:is>
      </x:c>
      <x:c r="H7" s="138" t="inlineStr">
        <x:is>
          <x:t xml:space="preserve">flip_h + 轻摆</x:t>
        </x:is>
      </x:c>
      <x:c r="I7" s="138" t="n">
        <x:v>2</x:v>
      </x:c>
      <x:c r="J7" s="138" t="inlineStr">
        <x:is>
          <x:t xml:space="preserve">移动滞后/冲刺飘动</x:t>
        </x:is>
      </x:c>
      <x:c r="K7" s="138" t="inlineStr">
        <x:is>
          <x:t xml:space="preserve">身份配件</x:t>
        </x:is>
      </x:c>
      <x:c r="L7" s="138" t="inlineStr">
        <x:is>
          <x:t xml:space="preserve">否</x:t>
        </x:is>
      </x:c>
      <x:c r="M7" s="138" t="inlineStr">
        <x:is>
          <x:t xml:space="preserve">已退役（2026-08-09）：旧2D节点/纹理/Marker2D已删除；仅作历史组件记录，禁止运行时引用。</x:t>
        </x:is>
      </x:c>
    </x:row>
    <x:row r="8">
      <x:c r="A8" s="138" t="inlineStr">
        <x:is>
          <x:t xml:space="preserve">player_capsule01</x:t>
        </x:is>
      </x:c>
      <x:c r="B8" s="138" t="inlineStr">
        <x:is>
          <x:t xml:space="preserve">head</x:t>
        </x:is>
      </x:c>
      <x:c r="C8" s="138" t="inlineStr">
        <x:is>
          <x:t xml:space="preserve">PixelComponents/Head</x:t>
        </x:is>
      </x:c>
      <x:c r="D8" s="138" t="inlineStr">
        <x:is>
          <x:t xml:space="preserve">root</x:t>
        </x:is>
      </x:c>
      <x:c r="E8" s="138" t="inlineStr">
        <x:is>
          <x:t xml:space="preserve">assets/art/characters/player/chr_player_capsule01/components/chr_player_capsule01_head_side_v001.png</x:t>
        </x:is>
      </x:c>
      <x:c r="F8" s="138" t="inlineStr">
        <x:is>
          <x:t xml:space="preserve">28×24</x:t>
        </x:is>
      </x:c>
      <x:c r="G8" s="138" t="inlineStr">
        <x:is>
          <x:t xml:space="preserve">(0, -19)</x:t>
        </x:is>
      </x:c>
      <x:c r="H8" s="138" t="inlineStr">
        <x:is>
          <x:t xml:space="preserve">随朝向 flip_h</x:t>
        </x:is>
      </x:c>
      <x:c r="I8" s="138" t="n">
        <x:v>3</x:v>
      </x:c>
      <x:c r="J8" s="138" t="inlineStr">
        <x:is>
          <x:t xml:space="preserve">朝向/受击/死亡</x:t>
        </x:is>
      </x:c>
      <x:c r="K8" s="138" t="inlineStr">
        <x:is>
          <x:t xml:space="preserve">头壳/传感器</x:t>
        </x:is>
      </x:c>
      <x:c r="L8" s="138" t="inlineStr">
        <x:is>
          <x:t xml:space="preserve">是</x:t>
        </x:is>
      </x:c>
      <x:c r="M8" s="138" t="inlineStr">
        <x:is>
          <x:t xml:space="preserve">已退役（2026-08-09）：旧2D节点/纹理/Marker2D已删除；仅作历史组件记录，禁止运行时引用。</x:t>
        </x:is>
      </x:c>
    </x:row>
    <x:row r="9">
      <x:c r="A9" s="138" t="inlineStr">
        <x:is>
          <x:t xml:space="preserve">player_capsule01</x:t>
        </x:is>
      </x:c>
      <x:c r="B9" s="138" t="inlineStr">
        <x:is>
          <x:t xml:space="preserve">hand_l_source</x:t>
        </x:is>
      </x:c>
      <x:c r="C9" s="138" t="inlineStr">
        <x:is>
          <x:t xml:space="preserve">不实例化</x:t>
        </x:is>
      </x:c>
      <x:c r="D9" s="138" t="inlineStr">
        <x:is>
          <x:t xml:space="preserve">root</x:t>
        </x:is>
      </x:c>
      <x:c r="E9" s="138" t="inlineStr">
        <x:is>
          <x:t xml:space="preserve">assets/art/characters/player/chr_player_capsule01/components/chr_player_capsule01_hand_l_side_v001.png</x:t>
        </x:is>
      </x:c>
      <x:c r="F9" s="138" t="inlineStr">
        <x:is>
          <x:t xml:space="preserve">22×21</x:t>
        </x:is>
      </x:c>
      <x:c r="G9" s="138" t="inlineStr">
        <x:is>
          <x:t xml:space="preserve">不适用</x:t>
        </x:is>
      </x:c>
      <x:c r="H9" s="138" t="inlineStr">
        <x:is>
          <x:t xml:space="preserve">不适用</x:t>
        </x:is>
      </x:c>
      <x:c r="I9" s="138" t="n">
        <x:v>4</x:v>
      </x:c>
      <x:c r="J9" s="138" t="inlineStr">
        <x:is>
          <x:t xml:space="preserve">停用；仅保留源文件</x:t>
        </x:is>
      </x:c>
      <x:c r="K9" s="138" t="inlineStr">
        <x:is>
          <x:t xml:space="preserve">历史副手源</x:t>
        </x:is>
      </x:c>
      <x:c r="L9" s="138" t="inlineStr">
        <x:is>
          <x:t xml:space="preserve">否</x:t>
        </x:is>
      </x:c>
      <x:c r="M9" s="138" t="inlineStr">
        <x:is>
          <x:t xml:space="preserve">已退役（2026-08-09）：旧2D节点/纹理/Marker2D已删除；仅作历史组件记录，禁止运行时引用。</x:t>
        </x:is>
      </x:c>
    </x:row>
    <x:row r="10">
      <x:c r="A10" s="138" t="inlineStr">
        <x:is>
          <x:t xml:space="preserve">player_capsule01</x:t>
        </x:is>
      </x:c>
      <x:c r="B10" s="138" t="inlineStr">
        <x:is>
          <x:t xml:space="preserve">hand</x:t>
        </x:is>
      </x:c>
      <x:c r="C10" s="138" t="inlineStr">
        <x:is>
          <x:t xml:space="preserve">PixelComponents/Hand</x:t>
        </x:is>
      </x:c>
      <x:c r="D10" s="138" t="inlineStr">
        <x:is>
          <x:t xml:space="preserve">root</x:t>
        </x:is>
      </x:c>
      <x:c r="E10" s="138" t="inlineStr">
        <x:is>
          <x:t xml:space="preserve">assets/art/characters/player/chr_player_capsule01/components/chr_player_capsule01_hand_r_side_v001.png</x:t>
        </x:is>
      </x:c>
      <x:c r="F10" s="138" t="inlineStr">
        <x:is>
          <x:t xml:space="preserve">22×17</x:t>
        </x:is>
      </x:c>
      <x:c r="G10" s="138" t="inlineStr">
        <x:is>
          <x:t xml:space="preserve">(-19, 0)/(19, 0)</x:t>
        </x:is>
      </x:c>
      <x:c r="H10" s="138" t="inlineStr">
        <x:is>
          <x:t xml:space="preserve">随身体 flip_h；不连续旋转</x:t>
        </x:is>
      </x:c>
      <x:c r="I10" s="138" t="n">
        <x:v>5</x:v>
      </x:c>
      <x:c r="J10" s="138" t="inlineStr">
        <x:is>
          <x:t xml:space="preserve">随身体左右换边；局部距离固定</x:t>
        </x:is>
      </x:c>
      <x:c r="K10" s="138" t="inlineStr">
        <x:is>
          <x:t xml:space="preserve">唯一握持手</x:t>
        </x:is>
      </x:c>
      <x:c r="L10" s="138" t="inlineStr">
        <x:is>
          <x:t xml:space="preserve">是</x:t>
        </x:is>
      </x:c>
      <x:c r="M10" s="138" t="inlineStr">
        <x:is>
          <x:t xml:space="preserve">已退役（2026-08-09）：旧2D节点/纹理/Marker2D已删除；仅作历史组件记录，禁止运行时引用。</x:t>
        </x:is>
      </x:c>
    </x:row>
    <x:row r="11">
      <x:c r="A11" s="138" t="inlineStr">
        <x:is>
          <x:t xml:space="preserve">player_capsule01</x:t>
        </x:is>
      </x:c>
      <x:c r="B11" s="138" t="inlineStr">
        <x:is>
          <x:t xml:space="preserve">weapon_socket</x:t>
        </x:is>
      </x:c>
      <x:c r="C11" s="138" t="inlineStr">
        <x:is>
          <x:t xml:space="preserve">Player/WeaponAnchor</x:t>
        </x:is>
      </x:c>
      <x:c r="D11" s="138" t="inlineStr">
        <x:is>
          <x:t xml:space="preserve">player_root</x:t>
        </x:is>
      </x:c>
      <x:c r="E11" s="138" t="inlineStr">
        <x:is>
          <x:t xml:space="preserve">无纹理</x:t>
        </x:is>
      </x:c>
      <x:c r="F11" s="138" t="inlineStr">
        <x:is>
          <x:t xml:space="preserve">Marker2D</x:t>
        </x:is>
      </x:c>
      <x:c r="G11" s="138" t="inlineStr">
        <x:is>
          <x:t xml:space="preserve">(-24, 0)/(24, 0)</x:t>
        </x:is>
      </x:c>
      <x:c r="H11" s="138" t="inlineStr">
        <x:is>
          <x:t xml:space="preserve">挂点随身体换边；枪械跟随 aim_direction</x:t>
        </x:is>
      </x:c>
      <x:c r="I11" s="138" t="n">
        <x:v>6</x:v>
      </x:c>
      <x:c r="J11" s="138" t="inlineStr">
        <x:is>
          <x:t xml:space="preserve">枪械挂载/枪口特效</x:t>
        </x:is>
      </x:c>
      <x:c r="K11" s="138" t="inlineStr">
        <x:is>
          <x:t xml:space="preserve">武器系统</x:t>
        </x:is>
      </x:c>
      <x:c r="L11" s="138" t="inlineStr">
        <x:is>
          <x:t xml:space="preserve">是</x:t>
        </x:is>
      </x:c>
      <x:c r="M11" s="138" t="inlineStr">
        <x:is>
          <x:t xml:space="preserve">已退役（2026-08-09）：旧2D节点/纹理/Marker2D已删除；仅作历史组件记录，禁止运行时引用。</x:t>
        </x:is>
      </x:c>
    </x:row>
    <x:row r="12">
      <x:c r="A12" s="138" t="inlineStr">
        <x:is>
          <x:t xml:space="preserve">template</x:t>
        </x:is>
      </x:c>
      <x:c r="B12" s="138" t="inlineStr">
        <x:is>
          <x:t xml:space="preserve">accessory_back</x:t>
        </x:is>
      </x:c>
      <x:c r="C12" s="138" t="inlineStr">
        <x:is>
          <x:t xml:space="preserve">PixelComponents/AccessoryBack</x:t>
        </x:is>
      </x:c>
      <x:c r="D12" s="138" t="inlineStr">
        <x:is>
          <x:t xml:space="preserve">root</x:t>
        </x:is>
      </x:c>
      <x:c r="E12" s="138" t="inlineStr">
        <x:is>
          <x:t xml:space="preserve">按需</x:t>
        </x:is>
      </x:c>
      <x:c r="F12" s="138" t="inlineStr">
        <x:is>
          <x:t xml:space="preserve">按需</x:t>
        </x:is>
      </x:c>
      <x:c r="G12" s="138" t="inlineStr">
        <x:is>
          <x:t xml:space="preserve">按需</x:t>
        </x:is>
      </x:c>
      <x:c r="H12" s="138" t="inlineStr">
        <x:is>
          <x:t xml:space="preserve">随朝向</x:t>
        </x:is>
      </x:c>
      <x:c r="I12" s="138" t="n">
        <x:v>0</x:v>
      </x:c>
      <x:c r="J12" s="138" t="inlineStr">
        <x:is>
          <x:t xml:space="preserve">披风/背包/长围巾尾</x:t>
        </x:is>
      </x:c>
      <x:c r="K12" s="138" t="inlineStr">
        <x:is>
          <x:t xml:space="preserve">背部配件</x:t>
        </x:is>
      </x:c>
      <x:c r="L12" s="138" t="inlineStr">
        <x:is>
          <x:t xml:space="preserve">否</x:t>
        </x:is>
      </x:c>
      <x:c r="M12" s="138" t="inlineStr">
        <x:is>
          <x:t xml:space="preserve">避免与 body 合图</x:t>
        </x:is>
      </x:c>
    </x:row>
    <x:row r="13">
      <x:c r="A13" s="138" t="inlineStr">
        <x:is>
          <x:t xml:space="preserve">template</x:t>
        </x:is>
      </x:c>
      <x:c r="B13" s="138" t="inlineStr">
        <x:is>
          <x:t xml:space="preserve">accessory_front</x:t>
        </x:is>
      </x:c>
      <x:c r="C13" s="138" t="inlineStr">
        <x:is>
          <x:t xml:space="preserve">PixelComponents/AccessoryFront</x:t>
        </x:is>
      </x:c>
      <x:c r="D13" s="138" t="inlineStr">
        <x:is>
          <x:t xml:space="preserve">root</x:t>
        </x:is>
      </x:c>
      <x:c r="E13" s="138" t="inlineStr">
        <x:is>
          <x:t xml:space="preserve">按需</x:t>
        </x:is>
      </x:c>
      <x:c r="F13" s="138" t="inlineStr">
        <x:is>
          <x:t xml:space="preserve">按需</x:t>
        </x:is>
      </x:c>
      <x:c r="G13" s="138" t="inlineStr">
        <x:is>
          <x:t xml:space="preserve">按需</x:t>
        </x:is>
      </x:c>
      <x:c r="H13" s="138" t="inlineStr">
        <x:is>
          <x:t xml:space="preserve">随朝向</x:t>
        </x:is>
      </x:c>
      <x:c r="I13" s="138" t="n">
        <x:v>6</x:v>
      </x:c>
      <x:c r="J13" s="138" t="inlineStr">
        <x:is>
          <x:t xml:space="preserve">徽章/护盾/前景饰物</x:t>
        </x:is>
      </x:c>
      <x:c r="K13" s="138" t="inlineStr">
        <x:is>
          <x:t xml:space="preserve">前景配件</x:t>
        </x:is>
      </x:c>
      <x:c r="L13" s="138" t="inlineStr">
        <x:is>
          <x:t xml:space="preserve">否</x:t>
        </x:is>
      </x:c>
      <x:c r="M13" s="138" t="inlineStr">
        <x:is>
          <x:t xml:space="preserve">必要时高于双手</x:t>
        </x:is>
      </x:c>
    </x:row>
    <x:row r="14" ht="38" customHeight="1">
      <x:c r="A14" s="349" t="inlineStr">
        <x:is>
          <x:t xml:space="preserve">player_capsule01_3d</x:t>
        </x:is>
      </x:c>
      <x:c r="B14" s="349" t="inlineStr">
        <x:is>
          <x:t xml:space="preserve">root</x:t>
        </x:is>
      </x:c>
      <x:c r="C14" s="349" t="inlineStr">
        <x:is>
          <x:t xml:space="preserve">Avatar3D/CapsuleAvatar3D/VisualRoot</x:t>
        </x:is>
      </x:c>
      <x:c r="D14" s="349" t="inlineStr">
        <x:is>
          <x:t xml:space="preserve">player_root</x:t>
        </x:is>
      </x:c>
      <x:c r="E14" s="349" t="inlineStr">
        <x:is>
          <x:t xml:space="preserve">assets/art/characters/player/chr_player_capsule01_3d/chr_player_capsule01_root_top3d_v001.tscn</x:t>
        </x:is>
      </x:c>
      <x:c r="F14" s="349" t="inlineStr">
        <x:is>
          <x:t xml:space="preserve">Node3D</x:t>
        </x:is>
      </x:c>
      <x:c r="G14" s="349" t="inlineStr">
        <x:is>
          <x:t xml:space="preserve">(0,0,0)</x:t>
        </x:is>
      </x:c>
      <x:c r="H14" s="349" t="inlineStr">
        <x:is>
          <x:t xml:space="preserve">整体随准星绕Y轴</x:t>
        </x:is>
      </x:c>
      <x:c r="I14" s="349" t="n">
        <x:v>0</x:v>
      </x:c>
      <x:c r="J14" s="349" t="inlineStr">
        <x:is>
          <x:t xml:space="preserve">六态整体 + reloading/firing/charging/knockback覆盖</x:t>
        </x:is>
      </x:c>
      <x:c r="K14" s="349" t="inlineStr">
        <x:is>
          <x:t xml:space="preserve">3D表现根</x:t>
        </x:is>
      </x:c>
      <x:c r="L14" s="349" t="inlineStr">
        <x:is>
          <x:t xml:space="preserve">是</x:t>
        </x:is>
      </x:c>
      <x:c r="M14" s="349" t="inlineStr">
        <x:is>
          <x:t xml:space="preserve">正式3D表现根；旧2D胶囊已完成退役，不再属于兼容范围。</x:t>
        </x:is>
      </x:c>
    </x:row>
    <x:row r="15" ht="38" customHeight="1">
      <x:c r="A15" s="349" t="inlineStr">
        <x:is>
          <x:t xml:space="preserve">player_capsule01_3d</x:t>
        </x:is>
      </x:c>
      <x:c r="B15" s="349" t="inlineStr">
        <x:is>
          <x:t xml:space="preserve">body</x:t>
        </x:is>
      </x:c>
      <x:c r="C15" s="349" t="inlineStr">
        <x:is>
          <x:t xml:space="preserve">VisualRoot/Body</x:t>
        </x:is>
      </x:c>
      <x:c r="D15" s="349" t="inlineStr">
        <x:is>
          <x:t xml:space="preserve">root</x:t>
        </x:is>
      </x:c>
      <x:c r="E15" s="349" t="inlineStr">
        <x:is>
          <x:t xml:space="preserve">assets/art/characters/player/chr_player_capsule01_3d/chr_player_capsule01_root_top3d_v001.tscn</x:t>
        </x:is>
      </x:c>
      <x:c r="F15" s="349" t="inlineStr">
        <x:is>
          <x:t xml:space="preserve">BoxMesh + 子件</x:t>
        </x:is>
      </x:c>
      <x:c r="G15" s="349" t="inlineStr">
        <x:is>
          <x:t xml:space="preserve">(0,0.76,0.02)</x:t>
        </x:is>
      </x:c>
      <x:c r="H15" s="349" t="inlineStr">
        <x:is>
          <x:t xml:space="preserve">随root</x:t>
        </x:is>
      </x:c>
      <x:c r="I15" s="349" t="n">
        <x:v>1</x:v>
      </x:c>
      <x:c r="J15" s="349" t="inlineStr">
        <x:is>
          <x:t xml:space="preserve">呼吸/移动压缩/射击前探/死亡倾倒</x:t>
        </x:is>
      </x:c>
      <x:c r="K15" s="349" t="inlineStr">
        <x:is>
          <x:t xml:space="preserve">方形猫身</x:t>
        </x:is>
      </x:c>
      <x:c r="L15" s="349" t="inlineStr">
        <x:is>
          <x:t xml:space="preserve">是</x:t>
        </x:is>
      </x:c>
      <x:c r="M15" s="349" t="inlineStr">
        <x:is>
          <x:t xml:space="preserve">BodyShell + BellyPatch；方形主轮廓</x:t>
        </x:is>
      </x:c>
    </x:row>
    <x:row r="16" ht="38" customHeight="1">
      <x:c r="A16" s="349" t="inlineStr">
        <x:is>
          <x:t xml:space="preserve">player_capsule01_3d</x:t>
        </x:is>
      </x:c>
      <x:c r="B16" s="349" t="inlineStr">
        <x:is>
          <x:t xml:space="preserve">head</x:t>
        </x:is>
      </x:c>
      <x:c r="C16" s="349" t="inlineStr">
        <x:is>
          <x:t xml:space="preserve">VisualRoot/Head</x:t>
        </x:is>
      </x:c>
      <x:c r="D16" s="349" t="inlineStr">
        <x:is>
          <x:t xml:space="preserve">root</x:t>
        </x:is>
      </x:c>
      <x:c r="E16" s="349" t="inlineStr">
        <x:is>
          <x:t xml:space="preserve">assets/art/characters/player/chr_player_capsule01_3d/chr_player_capsule01_root_top3d_v001.tscn</x:t>
        </x:is>
      </x:c>
      <x:c r="F16" s="349" t="inlineStr">
        <x:is>
          <x:t xml:space="preserve">BoxMesh + 子件</x:t>
        </x:is>
      </x:c>
      <x:c r="G16" s="349" t="inlineStr">
        <x:is>
          <x:t xml:space="preserve">(0,1.72,-0.08)</x:t>
        </x:is>
      </x:c>
      <x:c r="H16" s="349" t="inlineStr">
        <x:is>
          <x:t xml:space="preserve">随root</x:t>
        </x:is>
      </x:c>
      <x:c r="I16" s="349" t="n">
        <x:v>3</x:v>
      </x:c>
      <x:c r="J16" s="349" t="inlineStr">
        <x:is>
          <x:t xml:space="preserve">移动反相滞后/后坐/受击/死亡</x:t>
        </x:is>
      </x:c>
      <x:c r="K16" s="349" t="inlineStr">
        <x:is>
          <x:t xml:space="preserve">方形猫头</x:t>
        </x:is>
      </x:c>
      <x:c r="L16" s="349" t="inlineStr">
        <x:is>
          <x:t xml:space="preserve">是</x:t>
        </x:is>
      </x:c>
      <x:c r="M16" s="349" t="inlineStr">
        <x:is>
          <x:t xml:space="preserve">无嘴无鼻；Eyes与Ears固定归Head</x:t>
        </x:is>
      </x:c>
    </x:row>
    <x:row r="17" ht="38" customHeight="1">
      <x:c r="A17" s="349" t="inlineStr">
        <x:is>
          <x:t xml:space="preserve">player_capsule01_3d</x:t>
        </x:is>
      </x:c>
      <x:c r="B17" s="349" t="inlineStr">
        <x:is>
          <x:t xml:space="preserve">hand</x:t>
        </x:is>
      </x:c>
      <x:c r="C17" s="349" t="inlineStr">
        <x:is>
          <x:t xml:space="preserve">VisualRoot/Hand</x:t>
        </x:is>
      </x:c>
      <x:c r="D17" s="349" t="inlineStr">
        <x:is>
          <x:t xml:space="preserve">root</x:t>
        </x:is>
      </x:c>
      <x:c r="E17" s="349" t="inlineStr">
        <x:is>
          <x:t xml:space="preserve">assets/art/characters/player/chr_player_capsule01_3d/chr_player_capsule01_root_top3d_v001.tscn</x:t>
        </x:is>
      </x:c>
      <x:c r="F17" s="349" t="inlineStr">
        <x:is>
          <x:t xml:space="preserve">BoxMesh</x:t>
        </x:is>
      </x:c>
      <x:c r="G17" s="349" t="inlineStr">
        <x:is>
          <x:t xml:space="preserve">(0.60,1.10,-0.30)</x:t>
        </x:is>
      </x:c>
      <x:c r="H17" s="349" t="inlineStr">
        <x:is>
          <x:t xml:space="preserve">随root；动作同相</x:t>
        </x:is>
      </x:c>
      <x:c r="I17" s="349" t="n">
        <x:v>4</x:v>
      </x:c>
      <x:c r="J17" s="349" t="inlineStr">
        <x:is>
          <x:t xml:space="preserve">移动/换弹/射击/蓄力/击飞保持握持</x:t>
        </x:is>
      </x:c>
      <x:c r="K17" s="349" t="inlineStr">
        <x:is>
          <x:t xml:space="preserve">唯一悬浮手</x:t>
        </x:is>
      </x:c>
      <x:c r="L17" s="349" t="inlineStr">
        <x:is>
          <x:t xml:space="preserve">是</x:t>
        </x:is>
      </x:c>
      <x:c r="M17" s="349" t="inlineStr">
        <x:is>
          <x:t xml:space="preserve">无手臂、无第二手；与WeaponSocket固定相对向量</x:t>
        </x:is>
      </x:c>
    </x:row>
    <x:row r="18" ht="38" customHeight="1">
      <x:c r="A18" s="349" t="inlineStr">
        <x:is>
          <x:t xml:space="preserve">player_capsule01_3d</x:t>
        </x:is>
      </x:c>
      <x:c r="B18" s="349" t="inlineStr">
        <x:is>
          <x:t xml:space="preserve">feet</x:t>
        </x:is>
      </x:c>
      <x:c r="C18" s="349" t="inlineStr">
        <x:is>
          <x:t xml:space="preserve">VisualRoot/Feet</x:t>
        </x:is>
      </x:c>
      <x:c r="D18" s="349" t="inlineStr">
        <x:is>
          <x:t xml:space="preserve">root</x:t>
        </x:is>
      </x:c>
      <x:c r="E18" s="349" t="inlineStr">
        <x:is>
          <x:t xml:space="preserve">assets/art/characters/player/chr_player_capsule01_3d/chr_player_capsule01_root_top3d_v001.tscn</x:t>
        </x:is>
      </x:c>
      <x:c r="F18" s="349" t="inlineStr">
        <x:is>
          <x:t xml:space="preserve">BoxMesh×2</x:t>
        </x:is>
      </x:c>
      <x:c r="G18" s="349" t="inlineStr">
        <x:is>
          <x:t xml:space="preserve">(0,0.22,-0.02)</x:t>
        </x:is>
      </x:c>
      <x:c r="H18" s="349" t="inlineStr">
        <x:is>
          <x:t xml:space="preserve">随root；FootL/R交替</x:t>
        </x:is>
      </x:c>
      <x:c r="I18" s="349" t="n">
        <x:v>1</x:v>
      </x:c>
      <x:c r="J18" s="349" t="inlineStr">
        <x:is>
          <x:t xml:space="preserve">moving交替抬脚；冲刺/受击/死亡随整体</x:t>
        </x:is>
      </x:c>
      <x:c r="K18" s="349" t="inlineStr">
        <x:is>
          <x:t xml:space="preserve">双脚主模块</x:t>
        </x:is>
      </x:c>
      <x:c r="L18" s="349" t="inlineStr">
        <x:is>
          <x:t xml:space="preserve">是</x:t>
        </x:is>
      </x:c>
      <x:c r="M18" s="349" t="inlineStr">
        <x:is>
          <x:t xml:space="preserve">FootL/FootR属于同一可替换Feet模块</x:t>
        </x:is>
      </x:c>
    </x:row>
    <x:row r="19" ht="38" customHeight="1">
      <x:c r="A19" s="349" t="inlineStr">
        <x:is>
          <x:t xml:space="preserve">player_capsule01_3d</x:t>
        </x:is>
      </x:c>
      <x:c r="B19" s="349" t="inlineStr">
        <x:is>
          <x:t xml:space="preserve">eyes</x:t>
        </x:is>
      </x:c>
      <x:c r="C19" s="349" t="inlineStr">
        <x:is>
          <x:t xml:space="preserve">VisualRoot/Head/Eyes</x:t>
        </x:is>
      </x:c>
      <x:c r="D19" s="349" t="inlineStr">
        <x:is>
          <x:t xml:space="preserve">head</x:t>
        </x:is>
      </x:c>
      <x:c r="E19" s="349" t="inlineStr">
        <x:is>
          <x:t xml:space="preserve">assets/art/characters/player/chr_player_capsule01_3d/chr_player_capsule01_root_top3d_v001.tscn</x:t>
        </x:is>
      </x:c>
      <x:c r="F19" s="349" t="inlineStr">
        <x:is>
          <x:t xml:space="preserve">BoxMesh×2</x:t>
        </x:is>
      </x:c>
      <x:c r="G19" s="349" t="inlineStr">
        <x:is>
          <x:t xml:space="preserve">(0,-0.03,-0.56)</x:t>
        </x:is>
      </x:c>
      <x:c r="H19" s="349" t="inlineStr">
        <x:is>
          <x:t xml:space="preserve">继承Head</x:t>
        </x:is>
      </x:c>
      <x:c r="I19" s="349" t="n">
        <x:v>4</x:v>
      </x:c>
      <x:c r="J19" s="349" t="inlineStr">
        <x:is>
          <x:t xml:space="preserve">随头部滞后/后坐/受击</x:t>
        </x:is>
      </x:c>
      <x:c r="K19" s="349" t="inlineStr">
        <x:is>
          <x:t xml:space="preserve">面部配件</x:t>
        </x:is>
      </x:c>
      <x:c r="L19" s="349" t="inlineStr">
        <x:is>
          <x:t xml:space="preserve">是</x:t>
        </x:is>
      </x:c>
      <x:c r="M19" s="349" t="inlineStr">
        <x:is>
          <x:t xml:space="preserve">EyeL/EyeR；深色窄矩形豆豆眼；无嘴</x:t>
        </x:is>
      </x:c>
    </x:row>
    <x:row r="20" ht="38" customHeight="1">
      <x:c r="A20" s="349" t="inlineStr">
        <x:is>
          <x:t xml:space="preserve">player_capsule01_3d</x:t>
        </x:is>
      </x:c>
      <x:c r="B20" s="349" t="inlineStr">
        <x:is>
          <x:t xml:space="preserve">ears</x:t>
        </x:is>
      </x:c>
      <x:c r="C20" s="349" t="inlineStr">
        <x:is>
          <x:t xml:space="preserve">VisualRoot/Head/Ears</x:t>
        </x:is>
      </x:c>
      <x:c r="D20" s="349" t="inlineStr">
        <x:is>
          <x:t xml:space="preserve">head</x:t>
        </x:is>
      </x:c>
      <x:c r="E20" s="349" t="inlineStr">
        <x:is>
          <x:t xml:space="preserve">assets/art/characters/player/chr_player_capsule01_3d/chr_player_capsule01_root_top3d_v001.tscn</x:t>
        </x:is>
      </x:c>
      <x:c r="F20" s="349" t="inlineStr">
        <x:is>
          <x:t xml:space="preserve">三边CylinderMesh×4</x:t>
        </x:is>
      </x:c>
      <x:c r="G20" s="349" t="inlineStr">
        <x:is>
          <x:t xml:space="preserve">沿Head顶部</x:t>
        </x:is>
      </x:c>
      <x:c r="H20" s="349" t="inlineStr">
        <x:is>
          <x:t xml:space="preserve">继承Head</x:t>
        </x:is>
      </x:c>
      <x:c r="I20" s="349" t="n">
        <x:v>4</x:v>
      </x:c>
      <x:c r="J20" s="349" t="inlineStr">
        <x:is>
          <x:t xml:space="preserve">随头部滞后/后坐/受击</x:t>
        </x:is>
      </x:c>
      <x:c r="K20" s="349" t="inlineStr">
        <x:is>
          <x:t xml:space="preserve">头部配件</x:t>
        </x:is>
      </x:c>
      <x:c r="L20" s="349" t="inlineStr">
        <x:is>
          <x:t xml:space="preserve">是</x:t>
        </x:is>
      </x:c>
      <x:c r="M20" s="349" t="inlineStr">
        <x:is>
          <x:t xml:space="preserve">EarL/EarR各含Inner；三角形语言</x:t>
        </x:is>
      </x:c>
    </x:row>
    <x:row r="21" ht="38" customHeight="1">
      <x:c r="A21" s="349" t="inlineStr">
        <x:is>
          <x:t xml:space="preserve">player_capsule01_3d</x:t>
        </x:is>
      </x:c>
      <x:c r="B21" s="349" t="inlineStr">
        <x:is>
          <x:t xml:space="preserve">tail_stub</x:t>
        </x:is>
      </x:c>
      <x:c r="C21" s="349" t="inlineStr">
        <x:is>
          <x:t xml:space="preserve">VisualRoot/Body/TailStub</x:t>
        </x:is>
      </x:c>
      <x:c r="D21" s="349" t="inlineStr">
        <x:is>
          <x:t xml:space="preserve">body</x:t>
        </x:is>
      </x:c>
      <x:c r="E21" s="349" t="inlineStr">
        <x:is>
          <x:t xml:space="preserve">assets/art/characters/player/chr_player_capsule01_3d/chr_player_capsule01_root_top3d_v001.tscn</x:t>
        </x:is>
      </x:c>
      <x:c r="F21" s="349" t="inlineStr">
        <x:is>
          <x:t xml:space="preserve">SphereMesh</x:t>
        </x:is>
      </x:c>
      <x:c r="G21" s="349" t="inlineStr">
        <x:is>
          <x:t xml:space="preserve">(-0.51,-0.02,0.24)</x:t>
        </x:is>
      </x:c>
      <x:c r="H21" s="349" t="inlineStr">
        <x:is>
          <x:t xml:space="preserve">继承Body + 轻摆</x:t>
        </x:is>
      </x:c>
      <x:c r="I21" s="349" t="n">
        <x:v>2</x:v>
      </x:c>
      <x:c r="J21" s="349" t="inlineStr">
        <x:is>
          <x:t xml:space="preserve">moving轻摆/弹性缩放</x:t>
        </x:is>
      </x:c>
      <x:c r="K21" s="349" t="inlineStr">
        <x:is>
          <x:t xml:space="preserve">身体配件</x:t>
        </x:is>
      </x:c>
      <x:c r="L21" s="349" t="inlineStr">
        <x:is>
          <x:t xml:space="preserve">是</x:t>
        </x:is>
      </x:c>
      <x:c r="M21" s="349" t="inlineStr">
        <x:is>
          <x:t xml:space="preserve">唯一圆形例外；短圆尾团，禁止长尾</x:t>
        </x:is>
      </x:c>
    </x:row>
    <x:row r="22" ht="38" customHeight="1">
      <x:c r="A22" s="349" t="inlineStr">
        <x:is>
          <x:t xml:space="preserve">player_capsule01_3d</x:t>
        </x:is>
      </x:c>
      <x:c r="B22" s="349" t="inlineStr">
        <x:is>
          <x:t xml:space="preserve">weapon_socket</x:t>
        </x:is>
      </x:c>
      <x:c r="C22" s="349" t="inlineStr">
        <x:is>
          <x:t xml:space="preserve">VisualRoot/WeaponSocket</x:t>
        </x:is>
      </x:c>
      <x:c r="D22" s="349" t="inlineStr">
        <x:is>
          <x:t xml:space="preserve">root</x:t>
        </x:is>
      </x:c>
      <x:c r="E22" s="349" t="inlineStr">
        <x:is>
          <x:t xml:space="preserve">无纹理</x:t>
        </x:is>
      </x:c>
      <x:c r="F22" s="349" t="inlineStr">
        <x:is>
          <x:t xml:space="preserve">Marker3D</x:t>
        </x:is>
      </x:c>
      <x:c r="G22" s="349" t="inlineStr">
        <x:is>
          <x:t xml:space="preserve">(0.60,1.15,-0.42)</x:t>
        </x:is>
      </x:c>
      <x:c r="H22" s="349" t="inlineStr">
        <x:is>
          <x:t xml:space="preserve">随root；动作同相</x:t>
        </x:is>
      </x:c>
      <x:c r="I22" s="349" t="n">
        <x:v>5</x:v>
      </x:c>
      <x:c r="J22" s="349" t="inlineStr">
        <x:is>
          <x:t xml:space="preserve">枪械挂载/枪口特效</x:t>
        </x:is>
      </x:c>
      <x:c r="K22" s="349" t="inlineStr">
        <x:is>
          <x:t xml:space="preserve">武器系统</x:t>
        </x:is>
      </x:c>
      <x:c r="L22" s="349" t="inlineStr">
        <x:is>
          <x:t xml:space="preserve">是</x:t>
        </x:is>
      </x:c>
      <x:c r="M22" s="349" t="inlineStr">
        <x:is>
          <x:t xml:space="preserve">与唯一手全动作固定局部关系；枪模layer 2</x:t>
        </x:is>
      </x:c>
    </x:row>
    <x:row r="23" ht="38" customHeight="1">
      <x:c r="A23" s="349" t="inlineStr">
        <x:is>
          <x:t xml:space="preserve">player_capsule01_3d</x:t>
        </x:is>
      </x:c>
      <x:c r="B23" s="349" t="inlineStr">
        <x:is>
          <x:t xml:space="preserve">reload_progress</x:t>
        </x:is>
      </x:c>
      <x:c r="C23" s="349" t="inlineStr">
        <x:is>
          <x:t xml:space="preserve">ReloadProgress3D</x:t>
        </x:is>
      </x:c>
      <x:c r="D23" s="349" t="inlineStr">
        <x:is>
          <x:t xml:space="preserve">player_root</x:t>
        </x:is>
      </x:c>
      <x:c r="E23" s="349" t="inlineStr">
        <x:is>
          <x:t xml:space="preserve">assets/art/characters/player/chr_player_capsule01_3d/chr_player_capsule01_root_top3d_v001.tscn</x:t>
        </x:is>
      </x:c>
      <x:c r="F23" s="349" t="inlineStr">
        <x:is>
          <x:t xml:space="preserve">QuadMesh×2</x:t>
        </x:is>
      </x:c>
      <x:c r="G23" s="349" t="inlineStr">
        <x:is>
          <x:t xml:space="preserve">(0,2.92,0.06)</x:t>
        </x:is>
      </x:c>
      <x:c r="H23" s="349" t="inlineStr">
        <x:is>
          <x:t xml:space="preserve">朝向相机；不随VisualRoot旋转</x:t>
        </x:is>
      </x:c>
      <x:c r="I23" s="349" t="n">
        <x:v>6</x:v>
      </x:c>
      <x:c r="J23" s="349" t="inlineStr">
        <x:is>
          <x:t xml:space="preserve">读取真实换弹进度</x:t>
        </x:is>
      </x:c>
      <x:c r="K23" s="349" t="inlineStr">
        <x:is>
          <x:t xml:space="preserve">状态UI子组件</x:t>
        </x:is>
      </x:c>
      <x:c r="L23" s="349" t="inlineStr">
        <x:is>
          <x:t xml:space="preserve">是</x:t>
        </x:is>
      </x:c>
      <x:c r="M23" s="349" t="inlineStr">
        <x:is>
          <x:t xml:space="preserve">高于猫耳；无独立计时器/SubViewport</x:t>
        </x:is>
      </x:c>
    </x:row>
    <x:row r="24" ht="38" customHeight="1">
      <x:c r="A24" s="349" t="inlineStr">
        <x:is>
          <x:t xml:space="preserve">player_capsule01_3d</x:t>
        </x:is>
      </x:c>
      <x:c r="B24" s="349" t="inlineStr">
        <x:is>
          <x:t xml:space="preserve">body_diy</x:t>
        </x:is>
      </x:c>
      <x:c r="C24" s="349" t="inlineStr">
        <x:is>
          <x:t xml:space="preserve">VisualRoot/Body</x:t>
        </x:is>
      </x:c>
      <x:c r="D24" s="349" t="inlineStr">
        <x:is>
          <x:t xml:space="preserve">root</x:t>
        </x:is>
      </x:c>
      <x:c r="E24" s="349" t="inlineStr">
        <x:is>
          <x:t xml:space="preserve">无独立纹理/程序材质</x:t>
        </x:is>
      </x:c>
      <x:c r="F24" s="349" t="inlineStr">
        <x:is>
          <x:t xml:space="preserve">4种配色</x:t>
        </x:is>
      </x:c>
      <x:c r="G24" s="349" t="inlineStr">
        <x:is>
          <x:t xml:space="preserve">沿Body</x:t>
        </x:is>
      </x:c>
      <x:c r="H24" s="349" t="inlineStr">
        <x:is>
          <x:t xml:space="preserve">随root</x:t>
        </x:is>
      </x:c>
      <x:c r="I24" s="349" t="n">
        <x:v>1</x:v>
      </x:c>
      <x:c r="J24" s="349" t="inlineStr">
        <x:is>
          <x:t xml:space="preserve">继承身体动态</x:t>
        </x:is>
      </x:c>
      <x:c r="K24" s="349" t="inlineStr">
        <x:is>
          <x:t xml:space="preserve">身体外观</x:t>
        </x:is>
      </x:c>
      <x:c r="L24" s="349" t="inlineStr">
        <x:is>
          <x:t xml:space="preserve">是</x:t>
        </x:is>
      </x:c>
      <x:c r="M24" s="349" t="inlineStr">
        <x:is>
          <x:t xml:space="preserve">cat_orange + 旧三色兼容</x:t>
        </x:is>
      </x:c>
    </x:row>
    <x:row r="25" ht="38" customHeight="1">
      <x:c r="A25" s="349" t="inlineStr">
        <x:is>
          <x:t xml:space="preserve">player_capsule01_3d</x:t>
        </x:is>
      </x:c>
      <x:c r="B25" s="349" t="inlineStr">
        <x:is>
          <x:t xml:space="preserve">head_diy</x:t>
        </x:is>
      </x:c>
      <x:c r="C25" s="349" t="inlineStr">
        <x:is>
          <x:t xml:space="preserve">VisualRoot/Head</x:t>
        </x:is>
      </x:c>
      <x:c r="D25" s="349" t="inlineStr">
        <x:is>
          <x:t xml:space="preserve">root</x:t>
        </x:is>
      </x:c>
      <x:c r="E25" s="349" t="inlineStr">
        <x:is>
          <x:t xml:space="preserve">无独立纹理/程序材质</x:t>
        </x:is>
      </x:c>
      <x:c r="F25" s="349" t="inlineStr">
        <x:is>
          <x:t xml:space="preserve">4种配色</x:t>
        </x:is>
      </x:c>
      <x:c r="G25" s="349" t="inlineStr">
        <x:is>
          <x:t xml:space="preserve">沿Head</x:t>
        </x:is>
      </x:c>
      <x:c r="H25" s="349" t="inlineStr">
        <x:is>
          <x:t xml:space="preserve">随root</x:t>
        </x:is>
      </x:c>
      <x:c r="I25" s="349" t="n">
        <x:v>3</x:v>
      </x:c>
      <x:c r="J25" s="349" t="inlineStr">
        <x:is>
          <x:t xml:space="preserve">继承头部动态</x:t>
        </x:is>
      </x:c>
      <x:c r="K25" s="349" t="inlineStr">
        <x:is>
          <x:t xml:space="preserve">头部外观</x:t>
        </x:is>
      </x:c>
      <x:c r="L25" s="349" t="inlineStr">
        <x:is>
          <x:t xml:space="preserve">是</x:t>
        </x:is>
      </x:c>
      <x:c r="M25" s="349" t="inlineStr">
        <x:is>
          <x:t xml:space="preserve">cat_orange + 旧三色兼容；双眼/双耳节点不变</x:t>
        </x:is>
      </x:c>
    </x:row>
    <x:row r="26" ht="38" customHeight="1">
      <x:c r="A26" s="349" t="inlineStr">
        <x:is>
          <x:t xml:space="preserve">player_capsule01_3d</x:t>
        </x:is>
      </x:c>
      <x:c r="B26" s="349" t="inlineStr">
        <x:is>
          <x:t xml:space="preserve">hand_diy</x:t>
        </x:is>
      </x:c>
      <x:c r="C26" s="349" t="inlineStr">
        <x:is>
          <x:t xml:space="preserve">VisualRoot/Hand</x:t>
        </x:is>
      </x:c>
      <x:c r="D26" s="349" t="inlineStr">
        <x:is>
          <x:t xml:space="preserve">root</x:t>
        </x:is>
      </x:c>
      <x:c r="E26" s="349" t="inlineStr">
        <x:is>
          <x:t xml:space="preserve">无独立纹理/程序材质</x:t>
        </x:is>
      </x:c>
      <x:c r="F26" s="349" t="inlineStr">
        <x:is>
          <x:t xml:space="preserve">4种配色</x:t>
        </x:is>
      </x:c>
      <x:c r="G26" s="349" t="inlineStr">
        <x:is>
          <x:t xml:space="preserve">(0.60,1.10,-0.30)</x:t>
        </x:is>
      </x:c>
      <x:c r="H26" s="349" t="inlineStr">
        <x:is>
          <x:t xml:space="preserve">随root+同相动作</x:t>
        </x:is>
      </x:c>
      <x:c r="I26" s="349" t="n">
        <x:v>4</x:v>
      </x:c>
      <x:c r="J26" s="349" t="inlineStr">
        <x:is>
          <x:t xml:space="preserve">抓握压缩；与socket同相</x:t>
        </x:is>
      </x:c>
      <x:c r="K26" s="349" t="inlineStr">
        <x:is>
          <x:t xml:space="preserve">唯一手外观</x:t>
        </x:is>
      </x:c>
      <x:c r="L26" s="349" t="inlineStr">
        <x:is>
          <x:t xml:space="preserve">是</x:t>
        </x:is>
      </x:c>
      <x:c r="M26" s="349" t="inlineStr">
        <x:is>
          <x:t xml:space="preserve">cat_orange + 旧三色兼容</x:t>
        </x:is>
      </x:c>
    </x:row>
    <x:row r="27" ht="38" customHeight="1">
      <x:c r="A27" s="349" t="inlineStr">
        <x:is>
          <x:t xml:space="preserve">player_capsule01_3d</x:t>
        </x:is>
      </x:c>
      <x:c r="B27" s="349" t="inlineStr">
        <x:is>
          <x:t xml:space="preserve">feet_diy</x:t>
        </x:is>
      </x:c>
      <x:c r="C27" s="349" t="inlineStr">
        <x:is>
          <x:t xml:space="preserve">VisualRoot/Feet</x:t>
        </x:is>
      </x:c>
      <x:c r="D27" s="349" t="inlineStr">
        <x:is>
          <x:t xml:space="preserve">root</x:t>
        </x:is>
      </x:c>
      <x:c r="E27" s="349" t="inlineStr">
        <x:is>
          <x:t xml:space="preserve">无独立纹理/程序材质</x:t>
        </x:is>
      </x:c>
      <x:c r="F27" s="349" t="inlineStr">
        <x:is>
          <x:t xml:space="preserve">4种配色</x:t>
        </x:is>
      </x:c>
      <x:c r="G27" s="349" t="inlineStr">
        <x:is>
          <x:t xml:space="preserve">沿Feet</x:t>
        </x:is>
      </x:c>
      <x:c r="H27" s="349" t="inlineStr">
        <x:is>
          <x:t xml:space="preserve">随root+交替步态</x:t>
        </x:is>
      </x:c>
      <x:c r="I27" s="349" t="n">
        <x:v>1</x:v>
      </x:c>
      <x:c r="J27" s="349" t="inlineStr">
        <x:is>
          <x:t xml:space="preserve">FootL/R交替抬起</x:t>
        </x:is>
      </x:c>
      <x:c r="K27" s="349" t="inlineStr">
        <x:is>
          <x:t xml:space="preserve">脚部外观</x:t>
        </x:is>
      </x:c>
      <x:c r="L27" s="349" t="inlineStr">
        <x:is>
          <x:t xml:space="preserve">是</x:t>
        </x:is>
      </x:c>
      <x:c r="M27" s="349" t="inlineStr">
        <x:is>
          <x:t xml:space="preserve">cat_orange / boot_sand / boot_cobalt / boot_teal</x:t>
        </x:is>
      </x:c>
    </x:row>
    <x:row r="28" ht="38" customHeight="1">
      <x:c r="A28" s="349" t="inlineStr">
        <x:is>
          <x:t xml:space="preserve">player_capsule01_3d</x:t>
        </x:is>
      </x:c>
      <x:c r="B28" s="349" t="inlineStr">
        <x:is>
          <x:t xml:space="preserve">hat</x:t>
        </x:is>
      </x:c>
      <x:c r="C28" s="349" t="inlineStr">
        <x:is>
          <x:t xml:space="preserve">VisualRoot/Head/Wearables/Hat*</x:t>
        </x:is>
      </x:c>
      <x:c r="D28" s="349" t="inlineStr">
        <x:is>
          <x:t xml:space="preserve">head</x:t>
        </x:is>
      </x:c>
      <x:c r="E28" s="349" t="inlineStr">
        <x:is>
          <x:t xml:space="preserve">无独立纹理/程序网格</x:t>
        </x:is>
      </x:c>
      <x:c r="F28" s="349" t="inlineStr">
        <x:is>
          <x:t xml:space="preserve">3种帽型</x:t>
        </x:is>
      </x:c>
      <x:c r="G28" s="349" t="inlineStr">
        <x:is>
          <x:t xml:space="preserve">沿Head</x:t>
        </x:is>
      </x:c>
      <x:c r="H28" s="349" t="inlineStr">
        <x:is>
          <x:t xml:space="preserve">继承Head</x:t>
        </x:is>
      </x:c>
      <x:c r="I28" s="349" t="n">
        <x:v>5</x:v>
      </x:c>
      <x:c r="J28" s="349" t="inlineStr">
        <x:is>
          <x:t xml:space="preserve">头部滞后/受击/死亡</x:t>
        </x:is>
      </x:c>
      <x:c r="K28" s="349" t="inlineStr">
        <x:is>
          <x:t xml:space="preserve">头部外戴件</x:t>
        </x:is>
      </x:c>
      <x:c r="L28" s="349" t="inlineStr">
        <x:is>
          <x:t xml:space="preserve">否</x:t>
        </x:is>
      </x:c>
      <x:c r="M28" s="349" t="inlineStr">
        <x:is>
          <x:t xml:space="preserve">可选；layer2，禁投影/GI；不得替代猫耳节点</x:t>
        </x:is>
      </x:c>
    </x:row>
    <x:row r="29" ht="38" customHeight="1">
      <x:c r="A29" s="349" t="inlineStr">
        <x:is>
          <x:t xml:space="preserve">player_capsule01_3d</x:t>
        </x:is>
      </x:c>
      <x:c r="B29" s="349" t="inlineStr">
        <x:is>
          <x:t xml:space="preserve">glasses</x:t>
        </x:is>
      </x:c>
      <x:c r="C29" s="349" t="inlineStr">
        <x:is>
          <x:t xml:space="preserve">VisualRoot/Head/Wearables/Glasses*</x:t>
        </x:is>
      </x:c>
      <x:c r="D29" s="349" t="inlineStr">
        <x:is>
          <x:t xml:space="preserve">head</x:t>
        </x:is>
      </x:c>
      <x:c r="E29" s="349" t="inlineStr">
        <x:is>
          <x:t xml:space="preserve">无独立纹理/程序网格</x:t>
        </x:is>
      </x:c>
      <x:c r="F29" s="349" t="inlineStr">
        <x:is>
          <x:t xml:space="preserve">3种护目件</x:t>
        </x:is>
      </x:c>
      <x:c r="G29" s="349" t="inlineStr">
        <x:is>
          <x:t xml:space="preserve">沿Head前侧</x:t>
        </x:is>
      </x:c>
      <x:c r="H29" s="349" t="inlineStr">
        <x:is>
          <x:t xml:space="preserve">继承Head</x:t>
        </x:is>
      </x:c>
      <x:c r="I29" s="349" t="n">
        <x:v>5</x:v>
      </x:c>
      <x:c r="J29" s="349" t="inlineStr">
        <x:is>
          <x:t xml:space="preserve">头部滞后/受击/死亡</x:t>
        </x:is>
      </x:c>
      <x:c r="K29" s="349" t="inlineStr">
        <x:is>
          <x:t xml:space="preserve">护目件</x:t>
        </x:is>
      </x:c>
      <x:c r="L29" s="349" t="inlineStr">
        <x:is>
          <x:t xml:space="preserve">否</x:t>
        </x:is>
      </x:c>
      <x:c r="M29" s="349" t="inlineStr">
        <x:is>
          <x:t xml:space="preserve">可选；layer2；允许太阳/室内灯外部投影；玩家三灯不产生自身投影；GI禁用。</x:t>
        </x:is>
      </x:c>
    </x:row>
    <x:row r="30" ht="38" customHeight="1">
      <x:c r="A30" s="349" t="inlineStr">
        <x:is>
          <x:t xml:space="preserve">player_capsule01_3d</x:t>
        </x:is>
      </x:c>
      <x:c r="B30" s="349" t="inlineStr">
        <x:is>
          <x:t xml:space="preserve">scarf_legacy</x:t>
        </x:is>
      </x:c>
      <x:c r="C30" s="349" t="inlineStr">
        <x:is>
          <x:t xml:space="preserve">VisualRoot/Scarf</x:t>
        </x:is>
      </x:c>
      <x:c r="D30" s="349" t="inlineStr">
        <x:is>
          <x:t xml:space="preserve">root</x:t>
        </x:is>
      </x:c>
      <x:c r="E30" s="349" t="inlineStr">
        <x:is>
          <x:t xml:space="preserve">assets/art/characters/player/chr_player_capsule01_3d/chr_player_capsule01_root_top3d_v001.tscn</x:t>
        </x:is>
      </x:c>
      <x:c r="F30" s="349" t="inlineStr">
        <x:is>
          <x:t xml:space="preserve">隐藏兼容节点</x:t>
        </x:is>
      </x:c>
      <x:c r="G30" s="349" t="inlineStr">
        <x:is>
          <x:t xml:space="preserve">(0,1.32,0)</x:t>
        </x:is>
      </x:c>
      <x:c r="H30" s="349" t="inlineStr">
        <x:is>
          <x:t xml:space="preserve">随root</x:t>
        </x:is>
      </x:c>
      <x:c r="I30" s="349" t="n">
        <x:v>2</x:v>
      </x:c>
      <x:c r="J30" s="349" t="inlineStr">
        <x:is>
          <x:t xml:space="preserve">不参与当前轮廓</x:t>
        </x:is>
      </x:c>
      <x:c r="K30" s="349" t="inlineStr">
        <x:is>
          <x:t xml:space="preserve">旧场景兼容</x:t>
        </x:is>
      </x:c>
      <x:c r="L30" s="349" t="inlineStr">
        <x:is>
          <x:t xml:space="preserve">否</x:t>
        </x:is>
      </x:c>
      <x:c r="M30" s="349" t="inlineStr">
        <x:is>
          <x:t xml:space="preserve">可选；layer2；允许太阳/室内灯外部投影；玩家三灯不产生自身投影；GI禁用。</x:t>
        </x:is>
      </x:c>
    </x:row>
    <x:row r="31" ht="104" customHeight="1">
      <x:c r="A31" s="364" t="inlineStr">
        <x:is>
          <x:t xml:space="preserve">player_capsule01_bunny01_3d</x:t>
        </x:is>
      </x:c>
      <x:c r="B31" s="364" t="inlineStr">
        <x:is>
          <x:t xml:space="preserve">root</x:t>
        </x:is>
      </x:c>
      <x:c r="C31" s="364" t="inlineStr">
        <x:is>
          <x:t xml:space="preserve">Avatar3D/VisualRoot/BunnyRig</x:t>
        </x:is>
      </x:c>
      <x:c r="D31" s="364" t="inlineStr">
        <x:is>
          <x:t xml:space="preserve">player_root</x:t>
        </x:is>
      </x:c>
      <x:c r="E31" s="364" t="inlineStr">
        <x:is>
          <x:t xml:space="preserve">assets/art/characters/player/chr_player_capsule01_3d/variants/bunny01/production/v021/runtime/chr_bunny01_root_v021.tscn</x:t>
        </x:is>
      </x:c>
      <x:c r="F31" s="364" t="inlineStr">
        <x:is>
          <x:t xml:space="preserve">刚性分件骨动作适配；创作高1.5m，运行可见高1.05m；玩法碰撞独立。</x:t>
        </x:is>
      </x:c>
      <x:c r="G31" s="364" t="inlineStr">
        <x:is>
          <x:t xml:space="preserve">(0,0,0)</x:t>
        </x:is>
      </x:c>
      <x:c r="H31" s="364" t="inlineStr">
        <x:is>
          <x:t xml:space="preserve">整体随准星绕Y轴</x:t>
        </x:is>
      </x:c>
      <x:c r="I31" s="364" t="n">
        <x:v>0</x:v>
      </x:c>
      <x:c r="J31" s="364" t="inlineStr">
        <x:is>
          <x:t xml:space="preserve">八态整体 + falling收束/landing压缩回弹 + 动作覆盖</x:t>
        </x:is>
      </x:c>
      <x:c r="K31" s="364" t="inlineStr">
        <x:is>
          <x:t xml:space="preserve">Godot骨架根</x:t>
        </x:is>
      </x:c>
      <x:c r="L31" s="364" t="inlineStr">
        <x:is>
          <x:t xml:space="preserve">是</x:t>
        </x:is>
      </x:c>
      <x:c r="M31" s="364" t="inlineStr">
        <x:is>
          <x:t xml:space="preserve">v008 运行时根；基础组件实际复用 v007，头部二次元配件为 v002；Player3D/VirtualCollisionCapsule（height=1.5m、radius=0.34m）继续拥有玩法碰撞。</x:t>
        </x:is>
      </x:c>
    </x:row>
    <x:row r="32" ht="104" customHeight="1">
      <x:c r="A32" s="364" t="inlineStr">
        <x:is>
          <x:t xml:space="preserve">player_capsule01_bunny01_3d</x:t>
        </x:is>
      </x:c>
      <x:c r="B32" s="364" t="inlineStr">
        <x:is>
          <x:t xml:space="preserve">body</x:t>
        </x:is>
      </x:c>
      <x:c r="C32" s="364" t="inlineStr">
        <x:is>
          <x:t xml:space="preserve">VisualRoot/BunnyRig/BodyJoint/Model</x:t>
        </x:is>
      </x:c>
      <x:c r="D32" s="364" t="inlineStr">
        <x:is>
          <x:t xml:space="preserve">BunnyRig</x:t>
        </x:is>
      </x:c>
      <x:c r="E32" s="364" t="inlineStr">
        <x:is>
          <x:t xml:space="preserve">assets/art/characters/player/chr_player_capsule01_3d/variants/bunny01/production/v021/exports/chr_bunny01_body_v021.glb</x:t>
        </x:is>
      </x:c>
      <x:c r="F32" s="364" t="inlineStr">
        <x:is>
          <x:t xml:space="preserve">pivot-local GLB / 1.5m比例</x:t>
        </x:is>
      </x:c>
      <x:c r="G32" s="364" t="inlineStr">
        <x:is>
          <x:t xml:space="preserve">(-0.000030,0.155022,-0.000635)</x:t>
        </x:is>
      </x:c>
      <x:c r="H32" s="364" t="inlineStr">
        <x:is>
          <x:t xml:space="preserve">BodyJoint</x:t>
        </x:is>
      </x:c>
      <x:c r="I32" s="364" t="n">
        <x:v>1</x:v>
      </x:c>
      <x:c r="J32" s="364" t="inlineStr">
        <x:is>
          <x:t xml:space="preserve">呼吸/移动挤压/突进翻滚/受击</x:t>
        </x:is>
      </x:c>
      <x:c r="K32" s="364" t="inlineStr">
        <x:is>
          <x:t xml:space="preserve">身体组件</x:t>
        </x:is>
      </x:c>
      <x:c r="L32" s="364" t="inlineStr">
        <x:is>
          <x:t xml:space="preserve">是</x:t>
        </x:is>
      </x:c>
      <x:c r="M32" s="364" t="inlineStr">
        <x:is>
          <x:t xml:space="preserve">v021：body 兼容部件原点导出；共享模型/动作骨架；状态 active。</x:t>
        </x:is>
      </x:c>
    </x:row>
    <x:row r="33" ht="104" customHeight="1">
      <x:c r="A33" s="364" t="inlineStr">
        <x:is>
          <x:t xml:space="preserve">player_capsule01_bunny01_3d</x:t>
        </x:is>
      </x:c>
      <x:c r="B33" s="364" t="inlineStr">
        <x:is>
          <x:t xml:space="preserve">head</x:t>
        </x:is>
      </x:c>
      <x:c r="C33" s="364" t="inlineStr">
        <x:is>
          <x:t xml:space="preserve">VisualRoot/BunnyRig/HeadJoint/Model</x:t>
        </x:is>
      </x:c>
      <x:c r="D33" s="364" t="inlineStr">
        <x:is>
          <x:t xml:space="preserve">BunnyRig</x:t>
        </x:is>
      </x:c>
      <x:c r="E33" s="364" t="inlineStr">
        <x:is>
          <x:t xml:space="preserve">assets/art/characters/player/chr_player_capsule01_3d/variants/bunny01/production/v021/exports/chr_bunny01_head_v021.glb</x:t>
        </x:is>
      </x:c>
      <x:c r="F33" s="364" t="inlineStr">
        <x:is>
          <x:t xml:space="preserve">pivot-local GLB / 1.5m比例</x:t>
        </x:is>
      </x:c>
      <x:c r="G33" s="364" t="inlineStr">
        <x:is>
          <x:t xml:space="preserve">(-0.000028,0.477110,0.026431)</x:t>
        </x:is>
      </x:c>
      <x:c r="H33" s="364" t="inlineStr">
        <x:is>
          <x:t xml:space="preserve">HeadJoint</x:t>
        </x:is>
      </x:c>
      <x:c r="I33" s="364" t="n">
        <x:v>3</x:v>
      </x:c>
      <x:c r="J33" s="364" t="inlineStr">
        <x:is>
          <x:t xml:space="preserve">移动反相滞后/后坐/受击甩头</x:t>
        </x:is>
      </x:c>
      <x:c r="K33" s="364" t="inlineStr">
        <x:is>
          <x:t xml:space="preserve">头部组件</x:t>
        </x:is>
      </x:c>
      <x:c r="L33" s="364" t="inlineStr">
        <x:is>
          <x:t xml:space="preserve">是</x:t>
        </x:is>
      </x:c>
      <x:c r="M33" s="364" t="inlineStr">
        <x:is>
          <x:t xml:space="preserve">v021：head 兼容部件原点导出；共享模型/动作骨架；状态 active。</x:t>
        </x:is>
      </x:c>
    </x:row>
    <x:row r="34" ht="104" customHeight="1">
      <x:c r="A34" s="364" t="inlineStr">
        <x:is>
          <x:t xml:space="preserve">player_capsule01_bunny01_3d</x:t>
        </x:is>
      </x:c>
      <x:c r="B34" s="364" t="inlineStr">
        <x:is>
          <x:t xml:space="preserve">ear_l</x:t>
        </x:is>
      </x:c>
      <x:c r="C34" s="364" t="inlineStr">
        <x:is>
          <x:t xml:space="preserve">VisualRoot/BunnyRig/HeadJoint/Ears/EarSocketL/EarAccessory</x:t>
        </x:is>
      </x:c>
      <x:c r="D34" s="364" t="inlineStr">
        <x:is>
          <x:t xml:space="preserve">head</x:t>
        </x:is>
      </x:c>
      <x:c r="E34" s="364" t="inlineStr">
        <x:is>
          <x:t xml:space="preserve">assets/art/characters/player/chr_player_capsule01_3d/variants/bunny01/production/v021/exports/chr_bunny01_ear_l_v021.glb</x:t>
        </x:is>
      </x:c>
      <x:c r="F34" s="364" t="inlineStr">
        <x:is>
          <x:t xml:space="preserve">骨局部 GLB / 左耳独立网格</x:t>
        </x:is>
      </x:c>
      <x:c r="G34" s="364" t="inlineStr">
        <x:is>
          <x:t xml:space="preserve">Head local (-0.245056,0.499653,-0.001671)</x:t>
        </x:is>
      </x:c>
      <x:c r="H34" s="364" t="inlineStr">
        <x:is>
          <x:t xml:space="preserve">继承HeadJoint</x:t>
        </x:is>
      </x:c>
      <x:c r="I34" s="364" t="n">
        <x:v>4</x:v>
      </x:c>
      <x:c r="J34" s="364" t="inlineStr">
        <x:is>
          <x:t xml:space="preserve">移动跟随/冲刺后压/受击收耳</x:t>
        </x:is>
      </x:c>
      <x:c r="K34" s="364" t="inlineStr">
        <x:is>
          <x:t xml:space="preserve">头部配件</x:t>
        </x:is>
      </x:c>
      <x:c r="L34" s="364" t="inlineStr">
        <x:is>
          <x:t xml:space="preserve">是</x:t>
        </x:is>
      </x:c>
      <x:c r="M34" s="364" t="inlineStr">
        <x:is>
          <x:t xml:space="preserve">v021：ear_l 兼容部件原点导出；共享模型/动作骨架；状态 active。</x:t>
        </x:is>
      </x:c>
    </x:row>
    <x:row r="35" ht="104" customHeight="1">
      <x:c r="A35" s="364" t="inlineStr">
        <x:is>
          <x:t xml:space="preserve">player_capsule01_bunny01_3d</x:t>
        </x:is>
      </x:c>
      <x:c r="B35" s="364" t="inlineStr">
        <x:is>
          <x:t xml:space="preserve">ear_r</x:t>
        </x:is>
      </x:c>
      <x:c r="C35" s="364" t="inlineStr">
        <x:is>
          <x:t xml:space="preserve">VisualRoot/BunnyRig/HeadJoint/Ears/EarSocketR/EarAccessory</x:t>
        </x:is>
      </x:c>
      <x:c r="D35" s="364" t="inlineStr">
        <x:is>
          <x:t xml:space="preserve">head</x:t>
        </x:is>
      </x:c>
      <x:c r="E35" s="364" t="inlineStr">
        <x:is>
          <x:t xml:space="preserve">assets/art/characters/player/chr_player_capsule01_3d/variants/bunny01/production/v021/exports/chr_bunny01_ear_r_v021.glb</x:t>
        </x:is>
      </x:c>
      <x:c r="F35" s="364" t="inlineStr">
        <x:is>
          <x:t xml:space="preserve">骨局部 GLB / 右耳独立网格</x:t>
        </x:is>
      </x:c>
      <x:c r="G35" s="364" t="inlineStr">
        <x:is>
          <x:t xml:space="preserve">Head local (0.245112,0.499653,-0.001671)</x:t>
        </x:is>
      </x:c>
      <x:c r="H35" s="364" t="inlineStr">
        <x:is>
          <x:t xml:space="preserve">继承HeadJoint</x:t>
        </x:is>
      </x:c>
      <x:c r="I35" s="364" t="n">
        <x:v>4</x:v>
      </x:c>
      <x:c r="J35" s="364" t="inlineStr">
        <x:is>
          <x:t xml:space="preserve">移动跟随/冲刺后压/受击收耳</x:t>
        </x:is>
      </x:c>
      <x:c r="K35" s="364" t="inlineStr">
        <x:is>
          <x:t xml:space="preserve">头部配件</x:t>
        </x:is>
      </x:c>
      <x:c r="L35" s="364" t="inlineStr">
        <x:is>
          <x:t xml:space="preserve">是</x:t>
        </x:is>
      </x:c>
      <x:c r="M35" s="364" t="inlineStr">
        <x:is>
          <x:t xml:space="preserve">v021：ear_r 兼容部件原点导出；共享模型/动作骨架；状态 active。</x:t>
        </x:is>
      </x:c>
    </x:row>
    <x:row r="36" ht="104" customHeight="1">
      <x:c r="A36" s="364" t="inlineStr">
        <x:is>
          <x:t xml:space="preserve">player_capsule01_bunny01_3d</x:t>
        </x:is>
      </x:c>
      <x:c r="B36" s="364" t="inlineStr">
        <x:is>
          <x:t xml:space="preserve">hand_l</x:t>
        </x:is>
      </x:c>
      <x:c r="C36" s="364" t="inlineStr">
        <x:is>
          <x:t xml:space="preserve">VisualRoot/BunnyRig/HandRoot/HandJointL/Model</x:t>
        </x:is>
      </x:c>
      <x:c r="D36" s="364" t="inlineStr">
        <x:is>
          <x:t xml:space="preserve">BunnyRig</x:t>
        </x:is>
      </x:c>
      <x:c r="E36" s="364" t="inlineStr">
        <x:is>
          <x:t xml:space="preserve">assets/art/characters/player/chr_player_capsule01_3d/variants/bunny01/production/v021/exports/chr_bunny01_hand_l_v021.glb</x:t>
        </x:is>
      </x:c>
      <x:c r="F36" s="364" t="inlineStr">
        <x:is>
          <x:t xml:space="preserve">pivot-local GLB / 1.5m比例</x:t>
        </x:is>
      </x:c>
      <x:c r="G36" s="364" t="inlineStr">
        <x:is>
          <x:t xml:space="preserve">Authored (-0.285833,0.321773,-0.014435); sidearm ready (-0.145455,0.333333,-0.351515); longgun support (0.121212,0.315152,-0.387879)</x:t>
        </x:is>
      </x:c>
      <x:c r="H36" s="364" t="inlineStr">
        <x:is>
          <x:t xml:space="preserve">HandRoot 独立左腕</x:t>
        </x:is>
      </x:c>
      <x:c r="I36" s="364" t="n">
        <x:v>4</x:v>
      </x:c>
      <x:c r="J36" s="364" t="inlineStr">
        <x:is>
          <x:t xml:space="preserve">手枪待机前伸警戒/移动自由摆臂；长枪托举；换弹服务；双手枪后坐</x:t>
        </x:is>
      </x:c>
      <x:c r="K36" s="364" t="inlineStr">
        <x:is>
          <x:t xml:space="preserve">左手组件</x:t>
        </x:is>
      </x:c>
      <x:c r="L36" s="364" t="inlineStr">
        <x:is>
          <x:t xml:space="preserve">是</x:t>
        </x:is>
      </x:c>
      <x:c r="M36" s="364" t="inlineStr">
        <x:is>
          <x:t xml:space="preserve">v021：hand_l 兼容部件原点导出；共享模型/动作骨架；状态 active。</x:t>
        </x:is>
      </x:c>
    </x:row>
    <x:row r="37" ht="104" customHeight="1">
      <x:c r="A37" s="364" t="inlineStr">
        <x:is>
          <x:t xml:space="preserve">player_capsule01_bunny01_3d</x:t>
        </x:is>
      </x:c>
      <x:c r="B37" s="364" t="inlineStr">
        <x:is>
          <x:t xml:space="preserve">hand_r</x:t>
        </x:is>
      </x:c>
      <x:c r="C37" s="364" t="inlineStr">
        <x:is>
          <x:t xml:space="preserve">VisualRoot/BunnyRig/HandRoot/HandJointR/Model</x:t>
        </x:is>
      </x:c>
      <x:c r="D37" s="364" t="inlineStr">
        <x:is>
          <x:t xml:space="preserve">BunnyRig</x:t>
        </x:is>
      </x:c>
      <x:c r="E37" s="364" t="inlineStr">
        <x:is>
          <x:t xml:space="preserve">assets/art/characters/player/chr_player_capsule01_3d/variants/bunny01/production/v021/exports/chr_bunny01_hand_r_v021.glb</x:t>
        </x:is>
      </x:c>
      <x:c r="F37" s="364" t="inlineStr">
        <x:is>
          <x:t xml:space="preserve">pivot-local GLB / 1.5m比例</x:t>
        </x:is>
      </x:c>
      <x:c r="G37" s="364" t="inlineStr">
        <x:is>
          <x:t xml:space="preserve">Authored joint (0.285833,0.321773,-0.014435); Model pivot correction (-0.135996,0.038999,0.018441); sidearm/longgun HandJointR follows GripSocket exactly; hair-dryer visible grip center corrected by Prefab offset (0,-0.122838,-0.168785)</x:t>
        </x:is>
      </x:c>
      <x:c r="H37" s="364" t="inlineStr">
        <x:is>
          <x:t xml:space="preserve">HandRoot 独立右腕 / WeaponSocket 跟随</x:t>
        </x:is>
      </x:c>
      <x:c r="I37" s="364" t="n">
        <x:v>4</x:v>
      </x:c>
      <x:c r="J37" s="364" t="inlineStr">
        <x:is>
          <x:t xml:space="preserve">手枪/长枪主握把；掌球中心锁定握把；待机低位警戒；独立跑步；武器差异射击后坐</x:t>
        </x:is>
      </x:c>
      <x:c r="K37" s="364" t="inlineStr">
        <x:is>
          <x:t xml:space="preserve">右手组件</x:t>
        </x:is>
      </x:c>
      <x:c r="L37" s="364" t="inlineStr">
        <x:is>
          <x:t xml:space="preserve">是</x:t>
        </x:is>
      </x:c>
      <x:c r="M37" s="364" t="inlineStr">
        <x:is>
          <x:t xml:space="preserve">v021：hand_r 兼容部件原点导出；共享模型/动作骨架；状态 active。</x:t>
        </x:is>
      </x:c>
    </x:row>
    <x:row r="38" ht="104" customHeight="1">
      <x:c r="A38" s="364" t="inlineStr">
        <x:is>
          <x:t xml:space="preserve">player_capsule01_bunny01_3d</x:t>
        </x:is>
      </x:c>
      <x:c r="B38" s="364" t="inlineStr">
        <x:is>
          <x:t xml:space="preserve">foot_l</x:t>
        </x:is>
      </x:c>
      <x:c r="C38" s="364" t="inlineStr">
        <x:is>
          <x:t xml:space="preserve">VisualRoot/BunnyRig/FeetRoot/FootJointL/Model</x:t>
        </x:is>
      </x:c>
      <x:c r="D38" s="364" t="inlineStr">
        <x:is>
          <x:t xml:space="preserve">FeetRoot</x:t>
        </x:is>
      </x:c>
      <x:c r="E38" s="364" t="inlineStr">
        <x:is>
          <x:t xml:space="preserve">assets/art/characters/player/chr_player_capsule01_3d/variants/bunny01/production/v021/exports/chr_bunny01_foot_l_v021.glb</x:t>
        </x:is>
      </x:c>
      <x:c r="F38" s="364" t="inlineStr">
        <x:is>
          <x:t xml:space="preserve">pivot-local GLB / 1.5m比例</x:t>
        </x:is>
      </x:c>
      <x:c r="G38" s="364" t="inlineStr">
        <x:is>
          <x:t xml:space="preserve">(-0.129002,0,-0.010887)</x:t>
        </x:is>
      </x:c>
      <x:c r="H38" s="364" t="inlineStr">
        <x:is>
          <x:t xml:space="preserve">独立FootJointL</x:t>
        </x:is>
      </x:c>
      <x:c r="I38" s="364" t="n">
        <x:v>1</x:v>
      </x:c>
      <x:c r="J38" s="364" t="inlineStr">
        <x:is>
          <x:t xml:space="preserve">moving左脚/翻滚收腿/受击甩脚/falling收腿/landing压缩</x:t>
        </x:is>
      </x:c>
      <x:c r="K38" s="364" t="inlineStr">
        <x:is>
          <x:t xml:space="preserve">左脚组件</x:t>
        </x:is>
      </x:c>
      <x:c r="L38" s="364" t="inlineStr">
        <x:is>
          <x:t xml:space="preserve">是</x:t>
        </x:is>
      </x:c>
      <x:c r="M38" s="364" t="inlineStr">
        <x:is>
          <x:t xml:space="preserve">v021：foot_l 兼容部件原点导出；共享模型/动作骨架；状态 active。</x:t>
        </x:is>
      </x:c>
    </x:row>
    <x:row r="39" ht="104" customHeight="1">
      <x:c r="A39" s="364" t="inlineStr">
        <x:is>
          <x:t xml:space="preserve">player_capsule01_bunny01_3d</x:t>
        </x:is>
      </x:c>
      <x:c r="B39" s="364" t="inlineStr">
        <x:is>
          <x:t xml:space="preserve">foot_r</x:t>
        </x:is>
      </x:c>
      <x:c r="C39" s="364" t="inlineStr">
        <x:is>
          <x:t xml:space="preserve">VisualRoot/BunnyRig/FeetRoot/FootJointR/Model</x:t>
        </x:is>
      </x:c>
      <x:c r="D39" s="364" t="inlineStr">
        <x:is>
          <x:t xml:space="preserve">FeetRoot</x:t>
        </x:is>
      </x:c>
      <x:c r="E39" s="364" t="inlineStr">
        <x:is>
          <x:t xml:space="preserve">assets/art/characters/player/chr_player_capsule01_3d/variants/bunny01/production/v021/exports/chr_bunny01_foot_r_v021.glb</x:t>
        </x:is>
      </x:c>
      <x:c r="F39" s="364" t="inlineStr">
        <x:is>
          <x:t xml:space="preserve">pivot-local GLB / 1.5m比例</x:t>
        </x:is>
      </x:c>
      <x:c r="G39" s="364" t="inlineStr">
        <x:is>
          <x:t xml:space="preserve">(0.129002,0,-0.010887)</x:t>
        </x:is>
      </x:c>
      <x:c r="H39" s="364" t="inlineStr">
        <x:is>
          <x:t xml:space="preserve">独立FootJointR</x:t>
        </x:is>
      </x:c>
      <x:c r="I39" s="364" t="n">
        <x:v>1</x:v>
      </x:c>
      <x:c r="J39" s="364" t="inlineStr">
        <x:is>
          <x:t xml:space="preserve">moving右脚/翻滚收腿/受击甩脚/falling收腿/landing压缩</x:t>
        </x:is>
      </x:c>
      <x:c r="K39" s="364" t="inlineStr">
        <x:is>
          <x:t xml:space="preserve">右脚组件</x:t>
        </x:is>
      </x:c>
      <x:c r="L39" s="364" t="inlineStr">
        <x:is>
          <x:t xml:space="preserve">是</x:t>
        </x:is>
      </x:c>
      <x:c r="M39" s="364" t="inlineStr">
        <x:is>
          <x:t xml:space="preserve">v021：foot_r 兼容部件原点导出；共享模型/动作骨架；状态 active。</x:t>
        </x:is>
      </x:c>
    </x:row>
    <x:row r="40">
      <x:c r="A40" t="inlineStr">
        <x:is>
          <x:t xml:space="preserve">player_capsule01_3d</x:t>
        </x:is>
      </x:c>
      <x:c r="B40" t="inlineStr">
        <x:is>
          <x:t xml:space="preserve">weapon_stow_primary</x:t>
        </x:is>
      </x:c>
      <x:c r="C40" t="inlineStr">
        <x:is>
          <x:t xml:space="preserve">VisualRoot/BunnyRig/StowedWeaponSocketPrimary</x:t>
        </x:is>
      </x:c>
      <x:c r="D40" t="inlineStr">
        <x:is>
          <x:t xml:space="preserve">root</x:t>
        </x:is>
      </x:c>
      <x:c r="E40" t="inlineStr">
        <x:is>
          <x:t xml:space="preserve">无纹理</x:t>
        </x:is>
      </x:c>
      <x:c r="F40" t="inlineStr">
        <x:is>
          <x:t xml:space="preserve">Marker3D</x:t>
        </x:is>
      </x:c>
      <x:c r="G40" t="inlineStr">
        <x:is>
          <x:t xml:space="preserve">(-0.42,1.12,0.25)</x:t>
        </x:is>
      </x:c>
      <x:c r="H40" t="inlineStr">
        <x:is>
          <x:t xml:space="preserve">随root；local -Z枪口轴转向世界下方</x:t>
        </x:is>
      </x:c>
      <x:c r="I40" t="inlineStr">
        <x:is>
          <x:t xml:space="preserve">5</x:t>
        </x:is>
      </x:c>
      <x:c r="J40" t="inlineStr">
        <x:is>
          <x:t xml:space="preserve">主武器未激活时背部左侧收纳</x:t>
        </x:is>
      </x:c>
      <x:c r="K40" t="inlineStr">
        <x:is>
          <x:t xml:space="preserve">武器系统</x:t>
        </x:is>
      </x:c>
      <x:c r="L40" t="inlineStr">
        <x:is>
          <x:t xml:space="preserve">是</x:t>
        </x:is>
      </x:c>
      <x:c r="M40" t="inlineStr">
        <x:is>
          <x:t xml:space="preserve">主武器槽0专属；枪口朝下；回退节点VisualRoot/StowedWeaponSocketPrimary</x:t>
        </x:is>
      </x:c>
    </x:row>
    <x:row r="41">
      <x:c r="A41" t="inlineStr">
        <x:is>
          <x:t xml:space="preserve">player_capsule01_3d</x:t>
        </x:is>
      </x:c>
      <x:c r="B41" t="inlineStr">
        <x:is>
          <x:t xml:space="preserve">weapon_stow_secondary</x:t>
        </x:is>
      </x:c>
      <x:c r="C41" t="inlineStr">
        <x:is>
          <x:t xml:space="preserve">VisualRoot/BunnyRig/StowedWeaponSocketSecondary</x:t>
        </x:is>
      </x:c>
      <x:c r="D41" t="inlineStr">
        <x:is>
          <x:t xml:space="preserve">root</x:t>
        </x:is>
      </x:c>
      <x:c r="E41" t="inlineStr">
        <x:is>
          <x:t xml:space="preserve">无纹理</x:t>
        </x:is>
      </x:c>
      <x:c r="F41" t="inlineStr">
        <x:is>
          <x:t xml:space="preserve">Marker3D</x:t>
        </x:is>
      </x:c>
      <x:c r="G41" t="inlineStr">
        <x:is>
          <x:t xml:space="preserve">(0.42,1.12,0.25)</x:t>
        </x:is>
      </x:c>
      <x:c r="H41" t="inlineStr">
        <x:is>
          <x:t xml:space="preserve">随root；local -Z枪口轴转向世界下方</x:t>
        </x:is>
      </x:c>
      <x:c r="I41" t="inlineStr">
        <x:is>
          <x:t xml:space="preserve">5</x:t>
        </x:is>
      </x:c>
      <x:c r="J41" t="inlineStr">
        <x:is>
          <x:t xml:space="preserve">副武器未激活时背部右侧收纳</x:t>
        </x:is>
      </x:c>
      <x:c r="K41" t="inlineStr">
        <x:is>
          <x:t xml:space="preserve">武器系统</x:t>
        </x:is>
      </x:c>
      <x:c r="L41" t="inlineStr">
        <x:is>
          <x:t xml:space="preserve">是</x:t>
        </x:is>
      </x:c>
      <x:c r="M41" t="inlineStr">
        <x:is>
          <x:t xml:space="preserve">副武器槽1专属；枪口朝下；回退节点VisualRoot/StowedWeaponSocketSecondary</x:t>
        </x:is>
      </x:c>
    </x:row>
    <x:row r="42">
      <x:c r="A42" t="inlineStr">
        <x:is>
          <x:t xml:space="preserve">player_capsule01_3d</x:t>
        </x:is>
      </x:c>
      <x:c r="B42" t="inlineStr">
        <x:is>
          <x:t xml:space="preserve">backpack_socket</x:t>
        </x:is>
      </x:c>
      <x:c r="C42" t="inlineStr">
        <x:is>
          <x:t xml:space="preserve">VisualRoot/BunnyRig/BackpackSocket（fallback: VisualRoot/BackpackSocket）</x:t>
        </x:is>
      </x:c>
      <x:c r="D42" t="inlineStr">
        <x:is>
          <x:t xml:space="preserve">root</x:t>
        </x:is>
      </x:c>
      <x:c r="E42" t="inlineStr">
        <x:is>
          <x:t xml:space="preserve">无纹理；子模型来自ItemModelFactory3D</x:t>
        </x:is>
      </x:c>
      <x:c r="F42" t="inlineStr">
        <x:is>
          <x:t xml:space="preserve">Marker3D + 程序Mesh</x:t>
        </x:is>
      </x:c>
      <x:c r="G42" t="inlineStr">
        <x:is>
          <x:t xml:space="preserve">bunny (0,0.74,0.30)；fallback (0,1.25,0.48)</x:t>
        </x:is>
      </x:c>
      <x:c r="H42" t="inlineStr">
        <x:is>
          <x:t xml:space="preserve">继承VisualRoot朝向</x:t>
        </x:is>
      </x:c>
      <x:c r="I42" t="n">
        <x:v>3</x:v>
      </x:c>
      <x:c r="J42" t="inlineStr">
        <x:is>
          <x:t xml:space="preserve">装备时生成背包占位Mesh；卸下时移除</x:t>
        </x:is>
      </x:c>
      <x:c r="K42" t="inlineStr">
        <x:is>
          <x:t xml:space="preserve">背包装备系统</x:t>
        </x:is>
      </x:c>
      <x:c r="L42" t="inlineStr">
        <x:is>
          <x:t xml:space="preserve">是</x:t>
        </x:is>
      </x:c>
      <x:c r="M42" t="inlineStr">
        <x:is>
          <x:t xml:space="preserve">与StowedWeaponSocketPrimary/Secondary分离；2/4/8格共用模型工厂；无碰撞；verify_backpack_equipment_flow与Metal/OpenGL实机渲染通过。</x:t>
        </x:is>
      </x:c>
    </x:row>
    <x:row r="43">
      <x:c r="A43" t="inlineStr">
        <x:is>
          <x:t xml:space="preserve">player_capsule01_bunny01_3d</x:t>
        </x:is>
      </x:c>
      <x:c r="B43" t="inlineStr">
        <x:is>
          <x:t xml:space="preserve">lower_body_socket</x:t>
        </x:is>
      </x:c>
      <x:c r="C43" t="inlineStr">
        <x:is>
          <x:t xml:space="preserve">VisualRoot/BunnyRig/BodyJoint/LowerBodySocket（fallback: VisualRoot/Body/LowerBodySocket）</x:t>
        </x:is>
      </x:c>
      <x:c r="D43" t="inlineStr">
        <x:is>
          <x:t xml:space="preserve">body</x:t>
        </x:is>
      </x:c>
      <x:c r="E43" t="inlineStr">
        <x:is>
          <x:t xml:space="preserve">无纹理</x:t>
        </x:is>
      </x:c>
      <x:c r="F43" t="inlineStr">
        <x:is>
          <x:t xml:space="preserve">Marker3D</x:t>
        </x:is>
      </x:c>
      <x:c r="G43" t="inlineStr">
        <x:is>
          <x:t xml:space="preserve">bunny Body local (0,0.14,0)；fallback Body local (0,-0.36,0)</x:t>
        </x:is>
      </x:c>
      <x:c r="H43" t="inlineStr">
        <x:is>
          <x:t xml:space="preserve">继承BodyJoint位置/旋转/缩放</x:t>
        </x:is>
      </x:c>
      <x:c r="I43" t="n">
        <x:v>2</x:v>
      </x:c>
      <x:c r="J43" t="inlineStr">
        <x:is>
          <x:t xml:space="preserve">裙摆/腰甲/下摆继承全部身体状态与动作覆盖</x:t>
        </x:is>
      </x:c>
      <x:c r="K43" t="inlineStr">
        <x:is>
          <x:t xml:space="preserve">下身配件挂点</x:t>
        </x:is>
      </x:c>
      <x:c r="L43" t="inlineStr">
        <x:is>
          <x:t xml:space="preserve">是</x:t>
        </x:is>
      </x:c>
      <x:c r="M43" t="inlineStr">
        <x:is>
          <x:t xml:space="preserve">presentation_only；无碰撞；不改变玩法；专项验证 verify_player3d_lower_body_socket_flow.tscn。</x:t>
        </x:is>
      </x:c>
    </x:row>
  </x:sheetData>
  <x:mergeCells>
    <x:mergeCell ref="A1:M2"/>
    <x:mergeCell ref="A3:M3"/>
  </x:mergeCells>
  <x:dataValidations count="1">
    <x:dataValidation type="list" allowBlank="0" showDropDown="0" showInputMessage="0" showErrorMessage="0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6" customWidth="1"/>
    <x:col min="3" max="3" width="14" customWidth="1"/>
    <x:col min="4" max="4" width="24" customWidth="1"/>
    <x:col min="5" max="5" width="30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42" customWidth="1"/>
  </x:cols>
  <x:sheetData>
    <x:row r="1" ht="25" customHeight="1">
      <x:c r="A1" s="3" t="inlineStr">
        <x:is>
          <x:t xml:space="preserve">玩家状态机 × 美术组件映射</x:t>
        </x:is>
      </x:c>
    </x:row>
    <x:row r="2" ht="12" customHeight="1"/>
    <x:row r="3" ht="74" customHeight="1">
      <x:c r="A3" s="297" t="inlineStr">
        <x:is>
          <x:t xml:space="preserve">Player3D 八态状态机 × 组件表现（falling/landing为真实垂直物理顶层状态）</x:t>
        </x:is>
      </x:c>
    </x:row>
    <x:row r="4">
      <x:c r="A4" s="364" t="n"/>
      <x:c r="B4" s="364" t="n"/>
      <x:c r="C4" s="364" t="n"/>
      <x:c r="D4" s="364" t="n"/>
      <x:c r="E4" s="364" t="n"/>
      <x:c r="F4" s="364" t="n"/>
      <x:c r="G4" s="364" t="n"/>
      <x:c r="H4" s="364" t="n"/>
      <x:c r="I4" s="364" t="n"/>
      <x:c r="J4" s="364" t="n"/>
      <x:c r="K4" s="364" t="n"/>
      <x:c r="L4" s="364" t="n"/>
    </x:row>
    <x:row r="5" ht="32" customHeight="1">
      <x:c r="A5" s="298" t="inlineStr">
        <x:is>
          <x:t xml:space="preserve">层级</x:t>
        </x:is>
      </x:c>
      <x:c r="B5" s="299" t="inlineStr">
        <x:is>
          <x:t xml:space="preserve">状态ID</x:t>
        </x:is>
      </x:c>
      <x:c r="C5" s="299" t="inlineStr">
        <x:is>
          <x:t xml:space="preserve">中文名</x:t>
        </x:is>
      </x:c>
      <x:c r="D5" s="299" t="inlineStr">
        <x:is>
          <x:t xml:space="preserve">允许来源</x:t>
        </x:is>
      </x:c>
      <x:c r="E5" s="299" t="inlineStr">
        <x:is>
          <x:t xml:space="preserve">允许去向</x:t>
        </x:is>
      </x:c>
      <x:c r="F5" s="299" t="inlineStr">
        <x:is>
          <x:t xml:space="preserve">Body</x:t>
        </x:is>
      </x:c>
      <x:c r="G5" s="299" t="inlineStr">
        <x:is>
          <x:t xml:space="preserve">Head</x:t>
        </x:is>
      </x:c>
      <x:c r="H5" s="299" t="inlineStr">
        <x:is>
          <x:t xml:space="preserve">Hand L</x:t>
        </x:is>
      </x:c>
      <x:c r="I5" s="299" t="inlineStr">
        <x:is>
          <x:t xml:space="preserve">Hand R / WeaponSocket</x:t>
        </x:is>
      </x:c>
      <x:c r="J5" s="299" t="inlineStr">
        <x:is>
          <x:t xml:space="preserve">Scarf</x:t>
        </x:is>
      </x:c>
      <x:c r="K5" s="299" t="inlineStr">
        <x:is>
          <x:t xml:space="preserve">VFX/UI</x:t>
        </x:is>
      </x:c>
      <x:c r="L5" s="300" t="inlineStr">
        <x:is>
          <x:t xml:space="preserve">首版实现</x:t>
        </x:is>
      </x:c>
    </x:row>
    <x:row r="6" ht="58" customHeight="1">
      <x:c r="A6" s="347" t="inlineStr">
        <x:is>
          <x:t xml:space="preserve">顶层</x:t>
        </x:is>
      </x:c>
      <x:c r="B6" s="347" t="inlineStr">
        <x:is>
          <x:t xml:space="preserve">idle</x:t>
        </x:is>
      </x:c>
      <x:c r="C6" s="347" t="inlineStr">
        <x:is>
          <x:t xml:space="preserve">待命</x:t>
        </x:is>
      </x:c>
      <x:c r="D6" s="347" t="inlineStr">
        <x:is>
          <x:t xml:space="preserve">start/moving/hurt/locked/landing</x:t>
        </x:is>
      </x:c>
      <x:c r="E6" s="347" t="inlineStr">
        <x:is>
          <x:t xml:space="preserve">moving,dashing,hurt,locked,falling,dead</x:t>
        </x:is>
      </x:c>
      <x:c r="F6" s="347" t="inlineStr">
        <x:is>
          <x:t xml:space="preserve">v021：纯Blender 3.2秒循环待机；持枪使用armed_idle，禁用玩家程序姿势。</x:t>
        </x:is>
      </x:c>
      <x:c r="G6" s="347" t="inlineStr">
        <x:is>
          <x:t xml:space="preserve">刚性头部，不缩放；低幅反向滞后保持重量感。</x:t>
        </x:is>
      </x:c>
      <x:c r="H6" s="347" t="inlineStr">
        <x:is>
          <x:t xml:space="preserve">手枪自由左手前伸胸前警戒；长枪左手保持托举</x:t>
        </x:is>
      </x:c>
      <x:c r="I6" s="347" t="inlineStr">
        <x:is>
          <x:t xml:space="preserve">手枪/长枪右手掌球中心、HandJointR与GripSocket三点重合；手枪WeaponSocket待机右前下移，枪管local -Z保持瞄准同向</x:t>
        </x:is>
      </x:c>
      <x:c r="J6" s="347" t="inlineStr">
        <x:is>
          <x:t xml:space="preserve">低频错相轻摆</x:t>
        </x:is>
      </x:c>
      <x:c r="K6" s="347" t="inlineStr">
        <x:is>
          <x:t xml:space="preserve">HUD 待命；无新增VFX</x:t>
        </x:is>
      </x:c>
      <x:c r="L6" s="347" t="inlineStr">
        <x:is>
          <x:t xml:space="preserve">八态StateMachine的idle唯一驱动；sidearm_hold保持低位警戒与面部净空，但取消整枪俯仰/偏航/侧滚；右手刚性追随GripSocket且掌球中心0mm对齐，左手前伸但不计第二握持。</x:t>
        </x:is>
      </x:c>
    </x:row>
    <x:row r="7">
      <x:c r="A7" s="304" t="inlineStr">
        <x:is>
          <x:t xml:space="preserve">顶层</x:t>
        </x:is>
      </x:c>
      <x:c r="B7" s="304" t="inlineStr">
        <x:is>
          <x:t xml:space="preserve">moving</x:t>
        </x:is>
      </x:c>
      <x:c r="C7" s="304" t="inlineStr">
        <x:is>
          <x:t xml:space="preserve">机动</x:t>
        </x:is>
      </x:c>
      <x:c r="D7" s="304" t="inlineStr">
        <x:is>
          <x:t xml:space="preserve">idle/dashing/hurt/locked/landing</x:t>
        </x:is>
      </x:c>
      <x:c r="E7" s="304" t="inlineStr">
        <x:is>
          <x:t xml:space="preserve">idle,dashing,hurt,locked,falling,dead</x:t>
        </x:is>
      </x:c>
      <x:c r="F7" s="304" t="inlineStr">
        <x:is>
          <x:t xml:space="preserve">v021：正常速度0.8秒小跑，慢速1秒慢走；按速度选择moving/walking及对应armed变体。</x:t>
        </x:is>
      </x:c>
      <x:c r="G7" s="304" t="inlineStr">
        <x:is>
          <x:t xml:space="preserve">较小反相滞后</x:t>
        </x:is>
      </x:c>
      <x:c r="H7" s="304" t="inlineStr">
        <x:is>
          <x:t xml:space="preserve">手枪自由左手大幅反摆；长枪左手锁定托举</x:t>
        </x:is>
      </x:c>
      <x:c r="I7" s="304" t="inlineStr">
        <x:is>
          <x:t xml:space="preserve">手枪右手与右侧挂点紧凑起伏；长枪双手/挂点收胸跑</x:t>
        </x:is>
      </x:c>
      <x:c r="J7" s="304" t="inlineStr">
        <x:is>
          <x:t xml:space="preserve">周期滞后</x:t>
        </x:is>
      </x:c>
      <x:c r="K7" s="304" t="inlineStr">
        <x:is>
          <x:t xml:space="preserve">地面划痕</x:t>
        </x:is>
      </x:c>
      <x:c r="L7" s="304" t="inlineStr">
        <x:is>
          <x:t xml:space="preserve">位移驱动独立循环；WeaponPoseFSM 进入 sidearm_run 或 longgun_run；双脚交替，单手/双手剪影分离</x:t>
        </x:is>
      </x:c>
    </x:row>
    <x:row r="8" ht="56" customHeight="1">
      <x:c r="A8" s="304" t="inlineStr">
        <x:is>
          <x:t xml:space="preserve">顶层</x:t>
        </x:is>
      </x:c>
      <x:c r="B8" s="304" t="inlineStr">
        <x:is>
          <x:t xml:space="preserve">dashing</x:t>
        </x:is>
      </x:c>
      <x:c r="C8" s="304" t="inlineStr">
        <x:is>
          <x:t xml:space="preserve">突进</x:t>
        </x:is>
      </x:c>
      <x:c r="D8" s="304" t="inlineStr">
        <x:is>
          <x:t xml:space="preserve">idle/moving</x:t>
        </x:is>
      </x:c>
      <x:c r="E8" s="304" t="inlineStr">
        <x:is>
          <x:t xml:space="preserve">idle,moving,hurt,locked,falling,dead</x:t>
        </x:is>
      </x:c>
      <x:c r="F8" s="304" t="inlineStr">
        <x:is>
          <x:t xml:space="preserve">v021：0.4秒收身前翻一周后展开；root不驱动玩法位移。</x:t>
        </x:is>
      </x:c>
      <x:c r="G8" s="304" t="inlineStr">
        <x:is>
          <x:t xml:space="preserve">随翻滚形成清晰弧线，耳朵延迟跟随。</x:t>
        </x:is>
      </x:c>
      <x:c r="H8" s="304" t="inlineStr">
        <x:is>
          <x:t xml:space="preserve">按当前武器握持数收束；自由左手随整体抱团</x:t>
        </x:is>
      </x:c>
      <x:c r="I8" s="304" t="inlineStr">
        <x:is>
          <x:t xml:space="preserve">右手握把与 WeaponSocket 同轴完整翻滚</x:t>
        </x:is>
      </x:c>
      <x:c r="J8" s="304" t="inlineStr">
        <x:is>
          <x:t xml:space="preserve">随整体收束</x:t>
        </x:is>
      </x:c>
      <x:c r="K8" s="304" t="inlineStr">
        <x:is>
          <x:t xml:space="preserve">青色尾迹</x:t>
        </x:is>
      </x:c>
      <x:c r="L8" s="304" t="inlineStr">
        <x:is>
          <x:t xml:space="preserve">0.17s 内完成 360° 本地X前滚；用半高轴心补偿避免钻地；夸张压缩与抛物线位移</x:t>
        </x:is>
      </x:c>
    </x:row>
    <x:row r="9" ht="56" customHeight="1">
      <x:c r="A9" s="304" t="inlineStr">
        <x:is>
          <x:t xml:space="preserve">顶层</x:t>
        </x:is>
      </x:c>
      <x:c r="B9" s="304" t="inlineStr">
        <x:is>
          <x:t xml:space="preserve">hurt</x:t>
        </x:is>
      </x:c>
      <x:c r="C9" s="304" t="inlineStr">
        <x:is>
          <x:t xml:space="preserve">受创</x:t>
        </x:is>
      </x:c>
      <x:c r="D9" s="304" t="inlineStr">
        <x:is>
          <x:t xml:space="preserve">任意存活态</x:t>
        </x:is>
      </x:c>
      <x:c r="E9" s="304" t="inlineStr">
        <x:is>
          <x:t xml:space="preserve">idle,moving,locked,falling,dead</x:t>
        </x:is>
      </x:c>
      <x:c r="F9" s="304" t="inlineStr">
        <x:is>
          <x:t xml:space="preserve">v021：0.55秒后仰失衡、反向回弹并收稳。</x:t>
        </x:is>
      </x:c>
      <x:c r="G9" s="304" t="inlineStr">
        <x:is>
          <x:t xml:space="preserve">头部甩动与耳朵拖曳形成受击重点。</x:t>
        </x:is>
      </x:c>
      <x:c r="H9" s="304" t="inlineStr">
        <x:is>
          <x:t xml:space="preserve">手枪左手自由外甩；长枪左手回护木</x:t>
        </x:is>
      </x:c>
      <x:c r="I9" s="304" t="inlineStr">
        <x:is>
          <x:t xml:space="preserve">右手/WeaponSocket 同相后退，握把不脱离</x:t>
        </x:is>
      </x:c>
      <x:c r="J9" s="304" t="inlineStr">
        <x:is>
          <x:t xml:space="preserve">冲击滞后</x:t>
        </x:is>
      </x:c>
      <x:c r="K9" s="304" t="inlineStr">
        <x:is>
          <x:t xml:space="preserve">红闪/击退轨迹</x:t>
        </x:is>
      </x:c>
      <x:c r="L9" s="304" t="inlineStr">
        <x:is>
          <x:t xml:space="preserve">真实命中方向 + 受击进度关键姿势；头、双脚、双耳使用独立夸张回弹</x:t>
        </x:is>
      </x:c>
    </x:row>
    <x:row r="10">
      <x:c r="A10" s="304" t="inlineStr">
        <x:is>
          <x:t xml:space="preserve">顶层</x:t>
        </x:is>
      </x:c>
      <x:c r="B10" s="304" t="inlineStr">
        <x:is>
          <x:t xml:space="preserve">locked</x:t>
        </x:is>
      </x:c>
      <x:c r="C10" s="304" t="inlineStr">
        <x:is>
          <x:t xml:space="preserve">交互锁定</x:t>
        </x:is>
      </x:c>
      <x:c r="D10" s="304" t="inlineStr">
        <x:is>
          <x:t xml:space="preserve">任意存活态/landing</x:t>
        </x:is>
      </x:c>
      <x:c r="E10" s="304" t="inlineStr">
        <x:is>
          <x:t xml:space="preserve">idle,moving,hurt,falling,dead</x:t>
        </x:is>
      </x:c>
      <x:c r="F10" s="304" t="inlineStr">
        <x:is>
          <x:t xml:space="preserve">v021：1.8秒循环警觉重心交换。</x:t>
        </x:is>
      </x:c>
      <x:c r="G10" s="304" t="inlineStr">
        <x:is>
          <x:t xml:space="preserve">小幅警觉转头，保持瞄准可读性。</x:t>
        </x:is>
      </x:c>
      <x:c r="H10" s="304" t="inlineStr">
        <x:is>
          <x:t xml:space="preserve">稳定</x:t>
        </x:is>
      </x:c>
      <x:c r="I10" s="304" t="inlineStr">
        <x:is>
          <x:t xml:space="preserve">保持握持</x:t>
        </x:is>
      </x:c>
      <x:c r="J10" s="304" t="inlineStr">
        <x:is>
          <x:t xml:space="preserve">低摆</x:t>
        </x:is>
      </x:c>
      <x:c r="K10" s="304" t="inlineStr">
        <x:is>
          <x:t xml:space="preserve">琥珀锁定环</x:t>
        </x:is>
      </x:c>
      <x:c r="L10" s="304" t="inlineStr">
        <x:is>
          <x:t xml:space="preserve">降亮 + 锁定环；保持刚性层级</x:t>
        </x:is>
      </x:c>
    </x:row>
    <x:row r="11" ht="92" customHeight="1">
      <x:c r="A11" s="304" t="inlineStr">
        <x:is>
          <x:t xml:space="preserve">顶层</x:t>
        </x:is>
      </x:c>
      <x:c r="B11" s="304" t="inlineStr">
        <x:is>
          <x:t xml:space="preserve">falling</x:t>
        </x:is>
      </x:c>
      <x:c r="C11" s="304" t="inlineStr">
        <x:is>
          <x:t xml:space="preserve">下落</x:t>
        </x:is>
      </x:c>
      <x:c r="D11" s="304" t="inlineStr">
        <x:is>
          <x:t xml:space="preserve">idle/moving/dashing/hurt/locked</x:t>
        </x:is>
      </x:c>
      <x:c r="E11" s="304" t="inlineStr">
        <x:is>
          <x:t xml:space="preserve">landing,hurt,dead</x:t>
        </x:is>
      </x:c>
      <x:c r="F11" s="304" t="inlineStr">
        <x:is>
          <x:t xml:space="preserve">v021：0.65秒张臂失衡，下落末帧保持。</x:t>
        </x:is>
      </x:c>
      <x:c r="G11" s="304" t="inlineStr">
        <x:is>
          <x:t xml:space="preserve">头部及耳朵表现向上拖曳。</x:t>
        </x:is>
      </x:c>
      <x:c r="H11" s="304" t="inlineStr">
        <x:is>
          <x:t xml:space="preserve">手枪自由手收束；长枪托举手不脱离</x:t>
        </x:is>
      </x:c>
      <x:c r="I11" s="304" t="inlineStr">
        <x:is>
          <x:t xml:space="preserve">握持手与WeaponSocket保持同相</x:t>
        </x:is>
      </x:c>
      <x:c r="J11" s="304" t="inlineStr">
        <x:is>
          <x:t xml:space="preserve">向上滞后</x:t>
        </x:is>
      </x:c>
      <x:c r="K11" s="304" t="inlineStr">
        <x:is>
          <x:t xml:space="preserve">无新增VFX</x:t>
        </x:is>
      </x:c>
      <x:c r="L11" s="304" t="inlineStr">
        <x:is>
          <x:t xml:space="preserve">真实重力+0.10s离地容错；双脚收起、双耳后压；楼梯接缝不误触发</x:t>
        </x:is>
      </x:c>
    </x:row>
    <x:row r="12" ht="92" customHeight="1">
      <x:c r="A12" s="304" t="inlineStr">
        <x:is>
          <x:t xml:space="preserve">顶层</x:t>
        </x:is>
      </x:c>
      <x:c r="B12" s="304" t="inlineStr">
        <x:is>
          <x:t xml:space="preserve">landing</x:t>
        </x:is>
      </x:c>
      <x:c r="C12" s="304" t="inlineStr">
        <x:is>
          <x:t xml:space="preserve">落地</x:t>
        </x:is>
      </x:c>
      <x:c r="D12" s="304" t="inlineStr">
        <x:is>
          <x:t xml:space="preserve">falling</x:t>
        </x:is>
      </x:c>
      <x:c r="E12" s="304" t="inlineStr">
        <x:is>
          <x:t xml:space="preserve">idle,moving,locked,falling,hurt,dead</x:t>
        </x:is>
      </x:c>
      <x:c r="F12" s="304" t="inlineStr">
        <x:is>
          <x:t xml:space="preserve">v021：0.45秒下沉缓冲、回弹并稳定。</x:t>
        </x:is>
      </x:c>
      <x:c r="G12" s="304" t="inlineStr">
        <x:is>
          <x:t xml:space="preserve">承接下落末姿后抬头恢复。</x:t>
        </x:is>
      </x:c>
      <x:c r="H12" s="304" t="inlineStr">
        <x:is>
          <x:t xml:space="preserve">随整体吸收冲击</x:t>
        </x:is>
      </x:c>
      <x:c r="I12" s="304" t="inlineStr">
        <x:is>
          <x:t xml:space="preserve">握持手与WeaponSocket同相稳定</x:t>
        </x:is>
      </x:c>
      <x:c r="J12" s="304" t="inlineStr">
        <x:is>
          <x:t xml:space="preserve">短促回摆</x:t>
        </x:is>
      </x:c>
      <x:c r="K12" s="304" t="inlineStr">
        <x:is>
          <x:t xml:space="preserve">落地停顿</x:t>
        </x:is>
      </x:c>
      <x:c r="L12" s="304" t="inlineStr">
        <x:is>
          <x:t xml:space="preserve">冲击速度映射0.12—0.30s硬直；状态计时结束后恢复地面移动</x:t>
        </x:is>
      </x:c>
    </x:row>
    <x:row r="13">
      <x:c r="A13" s="304" t="inlineStr">
        <x:is>
          <x:t xml:space="preserve">顶层</x:t>
        </x:is>
      </x:c>
      <x:c r="B13" s="304" t="inlineStr">
        <x:is>
          <x:t xml:space="preserve">dead</x:t>
        </x:is>
      </x:c>
      <x:c r="C13" s="304" t="inlineStr">
        <x:is>
          <x:t xml:space="preserve">生命终止</x:t>
        </x:is>
      </x:c>
      <x:c r="D13" s="304" t="inlineStr">
        <x:is>
          <x:t xml:space="preserve">任意存活态</x:t>
        </x:is>
      </x:c>
      <x:c r="E13" s="304" t="inlineStr">
        <x:is>
          <x:t xml:space="preserve">无（终态）</x:t>
        </x:is>
      </x:c>
      <x:c r="F13" s="304" t="inlineStr">
        <x:is>
          <x:t xml:space="preserve">v021：1.6秒空中前翻一周，正面朝下趴地，弹一次后保持。</x:t>
        </x:is>
      </x:c>
      <x:c r="G13" s="304" t="inlineStr">
        <x:is>
          <x:t xml:space="preserve">头部随整身落地；双臂向头顶两侧伸出。</x:t>
        </x:is>
      </x:c>
      <x:c r="H13" s="304" t="inlineStr">
        <x:is>
          <x:t xml:space="preserve">随击飞惯性展开，回弹时收束</x:t>
        </x:is>
      </x:c>
      <x:c r="I13" s="304" t="inlineStr">
        <x:is>
          <x:t xml:space="preserve">武器握持层随整体击飞/回弹/侧倒</x:t>
        </x:is>
      </x:c>
      <x:c r="J13" s="304" t="inlineStr">
        <x:is>
          <x:t xml:space="preserve">惯性拖尾后停止</x:t>
        </x:is>
      </x:c>
      <x:c r="K13" s="304" t="inlineStr">
        <x:is>
          <x:t xml:space="preserve">1.35秒后显示点击返99F确认框</x:t>
        </x:is>
      </x:c>
      <x:c r="L13" s="304" t="inlineStr">
        <x:is>
          <x:t xml:space="preserve">真实CharacterBody3D速度+重力；death_animation_finished仅通知表现完成，点击后结算</x:t>
        </x:is>
      </x:c>
    </x:row>
    <x:row r="14">
      <x:c r="A14" s="304" t="inlineStr">
        <x:is>
          <x:t xml:space="preserve">叠加</x:t>
        </x:is>
      </x:c>
      <x:c r="B14" s="304" t="inlineStr">
        <x:is>
          <x:t xml:space="preserve">low_health</x:t>
        </x:is>
      </x:c>
      <x:c r="C14" s="304" t="inlineStr">
        <x:is>
          <x:t xml:space="preserve">低血</x:t>
        </x:is>
      </x:c>
      <x:c r="D14" s="304" t="inlineStr">
        <x:is>
          <x:t xml:space="preserve">任意存活态</x:t>
        </x:is>
      </x:c>
      <x:c r="E14" s="304" t="inlineStr">
        <x:is>
          <x:t xml:space="preserve">不改变顶层</x:t>
        </x:is>
      </x:c>
      <x:c r="F14" s="304" t="inlineStr">
        <x:is>
          <x:t xml:space="preserve">不变</x:t>
        </x:is>
      </x:c>
      <x:c r="G14" s="304" t="inlineStr">
        <x:is>
          <x:t xml:space="preserve">不变</x:t>
        </x:is>
      </x:c>
      <x:c r="H14" s="304" t="inlineStr">
        <x:is>
          <x:t xml:space="preserve">保持当前动作</x:t>
        </x:is>
      </x:c>
      <x:c r="I14" s="304" t="inlineStr">
        <x:is>
          <x:t xml:space="preserve">保持当前动作</x:t>
        </x:is>
      </x:c>
      <x:c r="J14" s="304" t="inlineStr">
        <x:is>
          <x:t xml:space="preserve">不变</x:t>
        </x:is>
      </x:c>
      <x:c r="K14" s="304" t="inlineStr">
        <x:is>
          <x:t xml:space="preserve">红色呼吸环</x:t>
        </x:is>
      </x:c>
      <x:c r="L14" s="304" t="inlineStr">
        <x:is>
          <x:t xml:space="preserve">HP≤30%</x:t>
        </x:is>
      </x:c>
    </x:row>
    <x:row r="15" ht="56" customHeight="1">
      <x:c r="A15" s="364" t="inlineStr">
        <x:is>
          <x:t xml:space="preserve">叠加</x:t>
        </x:is>
      </x:c>
      <x:c r="B15" s="364" t="inlineStr">
        <x:is>
          <x:t xml:space="preserve">silenced</x:t>
        </x:is>
      </x:c>
      <x:c r="C15" s="364" t="inlineStr">
        <x:is>
          <x:t xml:space="preserve">沉默</x:t>
        </x:is>
      </x:c>
      <x:c r="D15" s="364" t="inlineStr">
        <x:is>
          <x:t xml:space="preserve">任意存活态</x:t>
        </x:is>
      </x:c>
      <x:c r="E15" s="364" t="inlineStr">
        <x:is>
          <x:t xml:space="preserve">不改变顶层</x:t>
        </x:is>
      </x:c>
      <x:c r="F15" s="364" t="inlineStr">
        <x:is>
          <x:t xml:space="preserve">降饱和可选</x:t>
        </x:is>
      </x:c>
      <x:c r="G15" s="364" t="inlineStr">
        <x:is>
          <x:t xml:space="preserve">传感器干扰</x:t>
        </x:is>
      </x:c>
      <x:c r="H15" s="364" t="inlineStr">
        <x:is>
          <x:t xml:space="preserve">保持当前动作</x:t>
        </x:is>
      </x:c>
      <x:c r="I15" s="364" t="inlineStr">
        <x:is>
          <x:t xml:space="preserve">保持当前动作</x:t>
        </x:is>
      </x:c>
      <x:c r="J15" s="364" t="inlineStr">
        <x:is>
          <x:t xml:space="preserve">不变</x:t>
        </x:is>
      </x:c>
      <x:c r="K15" s="364" t="inlineStr">
        <x:is>
          <x:t xml:space="preserve">紫色干扰环</x:t>
        </x:is>
      </x:c>
      <x:c r="L15" s="364" t="inlineStr">
        <x:is>
          <x:t xml:space="preserve">计时标志</x:t>
        </x:is>
      </x:c>
    </x:row>
    <x:row r="16" ht="28" customHeight="1">
      <x:c r="A16" s="97" t="inlineStr">
        <x:is>
          <x:t xml:space="preserve">叠加</x:t>
        </x:is>
      </x:c>
      <x:c r="B16" s="97" t="inlineStr">
        <x:is>
          <x:t xml:space="preserve">invincible</x:t>
        </x:is>
      </x:c>
      <x:c r="C16" s="97" t="inlineStr">
        <x:is>
          <x:t xml:space="preserve">无敌</x:t>
        </x:is>
      </x:c>
      <x:c r="D16" s="97" t="inlineStr">
        <x:is>
          <x:t xml:space="preserve">dash/hurt</x:t>
        </x:is>
      </x:c>
      <x:c r="E16" s="97" t="inlineStr">
        <x:is>
          <x:t xml:space="preserve">不改变顶层</x:t>
        </x:is>
      </x:c>
      <x:c r="F16" s="97" t="inlineStr">
        <x:is>
          <x:t xml:space="preserve">闪烁</x:t>
        </x:is>
      </x:c>
      <x:c r="G16" s="97" t="inlineStr">
        <x:is>
          <x:t xml:space="preserve">闪烁</x:t>
        </x:is>
      </x:c>
      <x:c r="H16" s="97" t="inlineStr">
        <x:is>
          <x:t xml:space="preserve">保持当前动作</x:t>
        </x:is>
      </x:c>
      <x:c r="I16" s="97" t="inlineStr">
        <x:is>
          <x:t xml:space="preserve">保持当前动作</x:t>
        </x:is>
      </x:c>
      <x:c r="J16" s="97" t="inlineStr">
        <x:is>
          <x:t xml:space="preserve">闪烁</x:t>
        </x:is>
      </x:c>
      <x:c r="K16" s="97" t="inlineStr">
        <x:is>
          <x:t xml:space="preserve">透明闪烁</x:t>
        </x:is>
      </x:c>
      <x:c r="L16" s="97" t="inlineStr">
        <x:is>
          <x:t xml:space="preserve">InvincibleTimer 唯一解除</x:t>
        </x:is>
      </x:c>
    </x:row>
    <x:row r="17" ht="92" customHeight="1">
      <x:c r="A17" s="364" t="inlineStr">
        <x:is>
          <x:t xml:space="preserve">叠加</x:t>
        </x:is>
      </x:c>
      <x:c r="B17" s="364" t="inlineStr">
        <x:is>
          <x:t xml:space="preserve">reloading</x:t>
        </x:is>
      </x:c>
      <x:c r="C17" s="364" t="inlineStr">
        <x:is>
          <x:t xml:space="preserve">换弹</x:t>
        </x:is>
      </x:c>
      <x:c r="D17" s="364" t="inlineStr">
        <x:is>
          <x:t xml:space="preserve">任意持枪存活态</x:t>
        </x:is>
      </x:c>
      <x:c r="E17" s="364" t="inlineStr">
        <x:is>
          <x:t xml:space="preserve">不改变顶层；完成/取消退出</x:t>
        </x:is>
      </x:c>
      <x:c r="F17" s="364" t="inlineStr">
        <x:is>
          <x:t xml:space="preserve">单手持枪以手枪动作为母版，手枪/长枪可共用。待制作：single_hand fire、reload、charge；长枪双手idle/walking/moving。</x:t>
        </x:is>
      </x:c>
      <x:c r="G17" s="364" t="inlineStr">
        <x:is>
          <x:t xml:space="preserve">待制作：heavy_melee windup/active/recovery。完成前长枪复用手枪单手armed动作；怪物程序动画暂留，后续分批替换。</x:t>
        </x:is>
      </x:c>
      <x:c r="H17" s="364" t="inlineStr">
        <x:is>
          <x:t xml:space="preserve">手枪左手近身取弹但不计握持；长枪左手离开护木服务</x:t>
        </x:is>
      </x:c>
      <x:c r="I17" s="364" t="inlineStr">
        <x:is>
          <x:t xml:space="preserve">右手持续握把并跟随 WeaponSocket 下压/回位</x:t>
        </x:is>
      </x:c>
      <x:c r="J17" s="364" t="inlineStr">
        <x:is>
          <x:t xml:space="preserve">保持当前顶层</x:t>
        </x:is>
      </x:c>
      <x:c r="K17" s="364" t="inlineStr">
        <x:is>
          <x:t xml:space="preserve">3D头顶billboard进度条；HUD弹药栏</x:t>
        </x:is>
      </x:c>
      <x:c r="L17" s="364" t="inlineStr">
        <x:is>
          <x:t xml:space="preserve">WeaponModel3D 唯一计时源；WeaponPoseFSM 进入 sidearm_reload/longgun_reload；右手保持握把，左手按武器类型服务</x:t>
        </x:is>
      </x:c>
    </x:row>
    <x:row r="18" ht="72" customHeight="1">
      <x:c r="A18" s="368" t="n"/>
    </x:row>
    <x:row r="19" ht="42" customHeight="1">
      <x:c r="A19" s="364" t="inlineStr">
        <x:is>
          <x:t xml:space="preserve">层级</x:t>
        </x:is>
      </x:c>
      <x:c r="B19" s="364" t="inlineStr">
        <x:is>
          <x:t xml:space="preserve">状态ID</x:t>
        </x:is>
      </x:c>
      <x:c r="C19" s="364" t="inlineStr">
        <x:is>
          <x:t xml:space="preserve">中文名</x:t>
        </x:is>
      </x:c>
      <x:c r="D19" s="364" t="inlineStr">
        <x:is>
          <x:t xml:space="preserve">允许来源</x:t>
        </x:is>
      </x:c>
      <x:c r="E19" s="364" t="inlineStr">
        <x:is>
          <x:t xml:space="preserve">允许去向</x:t>
        </x:is>
      </x:c>
      <x:c r="F19" s="364" t="inlineStr">
        <x:is>
          <x:t xml:space="preserve">Core</x:t>
        </x:is>
      </x:c>
      <x:c r="G19" s="364" t="inlineStr">
        <x:is>
          <x:t xml:space="preserve">Shell</x:t>
        </x:is>
      </x:c>
      <x:c r="H19" s="364" t="inlineStr">
        <x:is>
          <x:t xml:space="preserve">Appendages</x:t>
        </x:is>
      </x:c>
      <x:c r="I19" s="364" t="inlineStr">
        <x:is>
          <x:t xml:space="preserve">StateVFX</x:t>
        </x:is>
      </x:c>
      <x:c r="J19" s="364" t="inlineStr">
        <x:is>
          <x:t xml:space="preserve">行为职责</x:t>
        </x:is>
      </x:c>
      <x:c r="K19" s="364" t="inlineStr">
        <x:is>
          <x:t xml:space="preserve">验收</x:t>
        </x:is>
      </x:c>
      <x:c r="L19" s="364" t="inlineStr">
        <x:is>
          <x:t xml:space="preserve">首版实现</x:t>
        </x:is>
      </x:c>
    </x:row>
    <x:row r="20" ht="42" customHeight="1">
      <x:c r="A20" s="364" t="inlineStr">
        <x:is>
          <x:t xml:space="preserve">顶层</x:t>
        </x:is>
      </x:c>
      <x:c r="B20" s="364" t="inlineStr">
        <x:is>
          <x:t xml:space="preserve">idle</x:t>
        </x:is>
      </x:c>
      <x:c r="C20" s="364" t="inlineStr">
        <x:is>
          <x:t xml:space="preserve">待机</x:t>
        </x:is>
      </x:c>
      <x:c r="D20" s="364" t="inlineStr">
        <x:is>
          <x:t xml:space="preserve">start/patrol/stagger</x:t>
        </x:is>
      </x:c>
      <x:c r="E20" s="364" t="inlineStr">
        <x:is>
          <x:t xml:space="preserve">patrol/alert/dead</x:t>
        </x:is>
      </x:c>
      <x:c r="F20" s="364" t="inlineStr">
        <x:is>
          <x:t xml:space="preserve">低频脉冲</x:t>
        </x:is>
      </x:c>
      <x:c r="G20" s="364" t="inlineStr">
        <x:is>
          <x:t xml:space="preserve">轻浮动</x:t>
        </x:is>
      </x:c>
      <x:c r="H20" s="364" t="inlineStr">
        <x:is>
          <x:t xml:space="preserve">低速</x:t>
        </x:is>
      </x:c>
      <x:c r="I20" s="364" t="inlineStr">
        <x:is>
          <x:t xml:space="preserve">关闭</x:t>
        </x:is>
      </x:c>
      <x:c r="J20" s="364" t="inlineStr">
        <x:is>
          <x:t xml:space="preserve">等待目标</x:t>
        </x:is>
      </x:c>
      <x:c r="K20" s="364" t="inlineStr">
        <x:is>
          <x:t xml:space="preserve">静态轮廓可读</x:t>
        </x:is>
      </x:c>
      <x:c r="L20" s="364" t="inlineStr">
        <x:is>
          <x:t xml:space="preserve">模块变换</x:t>
        </x:is>
      </x:c>
    </x:row>
    <x:row r="21" ht="42" customHeight="1">
      <x:c r="A21" s="364" t="inlineStr">
        <x:is>
          <x:t xml:space="preserve">顶层</x:t>
        </x:is>
      </x:c>
      <x:c r="B21" s="364" t="inlineStr">
        <x:is>
          <x:t xml:space="preserve">patrol</x:t>
        </x:is>
      </x:c>
      <x:c r="C21" s="364" t="inlineStr">
        <x:is>
          <x:t xml:space="preserve">巡逻</x:t>
        </x:is>
      </x:c>
      <x:c r="D21" s="364" t="inlineStr">
        <x:is>
          <x:t xml:space="preserve">idle/search</x:t>
        </x:is>
      </x:c>
      <x:c r="E21" s="364" t="inlineStr">
        <x:is>
          <x:t xml:space="preserve">idle/alert/stagger/dead</x:t>
        </x:is>
      </x:c>
      <x:c r="F21" s="364" t="inlineStr">
        <x:is>
          <x:t xml:space="preserve">低频脉冲</x:t>
        </x:is>
      </x:c>
      <x:c r="G21" s="364" t="inlineStr">
        <x:is>
          <x:t xml:space="preserve">朝巡逻点</x:t>
        </x:is>
      </x:c>
      <x:c r="H21" s="364" t="inlineStr">
        <x:is>
          <x:t xml:space="preserve">慢速步态</x:t>
        </x:is>
      </x:c>
      <x:c r="I21" s="364" t="inlineStr">
        <x:is>
          <x:t xml:space="preserve">关闭</x:t>
        </x:is>
      </x:c>
      <x:c r="J21" s="364" t="inlineStr">
        <x:is>
          <x:t xml:space="preserve">出生点附近巡逻</x:t>
        </x:is>
      </x:c>
      <x:c r="K21" s="364" t="inlineStr">
        <x:is>
          <x:t xml:space="preserve">无目标不原地僵住</x:t>
        </x:is>
      </x:c>
      <x:c r="L21" s="364" t="inlineStr">
        <x:is>
          <x:t xml:space="preserve">CharacterBody3D</x:t>
        </x:is>
      </x:c>
    </x:row>
    <x:row r="22" ht="42" customHeight="1">
      <x:c r="A22" s="364" t="inlineStr">
        <x:is>
          <x:t xml:space="preserve">顶层</x:t>
        </x:is>
      </x:c>
      <x:c r="B22" s="364" t="inlineStr">
        <x:is>
          <x:t xml:space="preserve">alert</x:t>
        </x:is>
      </x:c>
      <x:c r="C22" s="364" t="inlineStr">
        <x:is>
          <x:t xml:space="preserve">警觉</x:t>
        </x:is>
      </x:c>
      <x:c r="D22" s="364" t="inlineStr">
        <x:is>
          <x:t xml:space="preserve">idle/patrol/search</x:t>
        </x:is>
      </x:c>
      <x:c r="E22" s="364" t="inlineStr">
        <x:is>
          <x:t xml:space="preserve">chase/stagger/dead</x:t>
        </x:is>
      </x:c>
      <x:c r="F22" s="364" t="inlineStr">
        <x:is>
          <x:t xml:space="preserve">加速</x:t>
        </x:is>
      </x:c>
      <x:c r="G22" s="364" t="inlineStr">
        <x:is>
          <x:t xml:space="preserve">抬升</x:t>
        </x:is>
      </x:c>
      <x:c r="H22" s="364" t="inlineStr">
        <x:is>
          <x:t xml:space="preserve">展开</x:t>
        </x:is>
      </x:c>
      <x:c r="I22" s="364" t="inlineStr">
        <x:is>
          <x:t xml:space="preserve">关闭</x:t>
        </x:is>
      </x:c>
      <x:c r="J22" s="364" t="inlineStr">
        <x:is>
          <x:t xml:space="preserve">发现玩家</x:t>
        </x:is>
      </x:c>
      <x:c r="K22" s="364" t="inlineStr">
        <x:is>
          <x:t xml:space="preserve">0.28s响应</x:t>
        </x:is>
      </x:c>
      <x:c r="L22" s="364" t="inlineStr">
        <x:is>
          <x:t xml:space="preserve">模块变换</x:t>
        </x:is>
      </x:c>
    </x:row>
    <x:row r="23" ht="42" customHeight="1">
      <x:c r="A23" s="364" t="inlineStr">
        <x:is>
          <x:t xml:space="preserve">顶层</x:t>
        </x:is>
      </x:c>
      <x:c r="B23" s="364" t="inlineStr">
        <x:is>
          <x:t xml:space="preserve">chase</x:t>
        </x:is>
      </x:c>
      <x:c r="C23" s="364" t="inlineStr">
        <x:is>
          <x:t xml:space="preserve">追击</x:t>
        </x:is>
      </x:c>
      <x:c r="D23" s="364" t="inlineStr">
        <x:is>
          <x:t xml:space="preserve">alert/attack/stagger</x:t>
        </x:is>
      </x:c>
      <x:c r="E23" s="364" t="inlineStr">
        <x:is>
          <x:t xml:space="preserve">search/telegraph/stagger/dead</x:t>
        </x:is>
      </x:c>
      <x:c r="F23" s="364" t="inlineStr">
        <x:is>
          <x:t xml:space="preserve">稳定</x:t>
        </x:is>
      </x:c>
      <x:c r="G23" s="364" t="inlineStr">
        <x:is>
          <x:t xml:space="preserve">朝目标</x:t>
        </x:is>
      </x:c>
      <x:c r="H23" s="364" t="inlineStr">
        <x:is>
          <x:t xml:space="preserve">步态</x:t>
        </x:is>
      </x:c>
      <x:c r="I23" s="364" t="inlineStr">
        <x:is>
          <x:t xml:space="preserve">关闭</x:t>
        </x:is>
      </x:c>
      <x:c r="J23" s="364" t="inlineStr">
        <x:is>
          <x:t xml:space="preserve">距离控制</x:t>
        </x:is>
      </x:c>
      <x:c r="K23" s="364" t="inlineStr">
        <x:is>
          <x:t xml:space="preserve">七类速度差</x:t>
        </x:is>
      </x:c>
      <x:c r="L23" s="364" t="inlineStr">
        <x:is>
          <x:t xml:space="preserve">CharacterBody3D</x:t>
        </x:is>
      </x:c>
    </x:row>
    <x:row r="24" ht="42" customHeight="1">
      <x:c r="A24" s="364" t="inlineStr">
        <x:is>
          <x:t xml:space="preserve">顶层</x:t>
        </x:is>
      </x:c>
      <x:c r="B24" s="364" t="inlineStr">
        <x:is>
          <x:t xml:space="preserve">search</x:t>
        </x:is>
      </x:c>
      <x:c r="C24" s="364" t="inlineStr">
        <x:is>
          <x:t xml:space="preserve">搜索</x:t>
        </x:is>
      </x:c>
      <x:c r="D24" s="364" t="inlineStr">
        <x:is>
          <x:t xml:space="preserve">chase</x:t>
        </x:is>
      </x:c>
      <x:c r="E24" s="364" t="inlineStr">
        <x:is>
          <x:t xml:space="preserve">patrol/alert/stagger/dead</x:t>
        </x:is>
      </x:c>
      <x:c r="F24" s="364" t="inlineStr">
        <x:is>
          <x:t xml:space="preserve">渐缓</x:t>
        </x:is>
      </x:c>
      <x:c r="G24" s="364" t="inlineStr">
        <x:is>
          <x:t xml:space="preserve">朝最后位置</x:t>
        </x:is>
      </x:c>
      <x:c r="H24" s="364" t="inlineStr">
        <x:is>
          <x:t xml:space="preserve">搜索步态</x:t>
        </x:is>
      </x:c>
      <x:c r="I24" s="364" t="inlineStr">
        <x:is>
          <x:t xml:space="preserve">搜索提示</x:t>
        </x:is>
      </x:c>
      <x:c r="J24" s="364" t="inlineStr">
        <x:is>
          <x:t xml:space="preserve">失去视线后搜索</x:t>
        </x:is>
      </x:c>
      <x:c r="K24" s="364" t="inlineStr">
        <x:is>
          <x:t xml:space="preserve">2.4s后回巡逻</x:t>
        </x:is>
      </x:c>
      <x:c r="L24" s="364" t="inlineStr">
        <x:is>
          <x:t xml:space="preserve">射线+最后位置</x:t>
        </x:is>
      </x:c>
    </x:row>
    <x:row r="25">
      <x:c r="A25" s="364" t="inlineStr">
        <x:is>
          <x:t xml:space="preserve">顶层</x:t>
        </x:is>
      </x:c>
      <x:c r="B25" s="364" t="inlineStr">
        <x:is>
          <x:t xml:space="preserve">telegraph</x:t>
        </x:is>
      </x:c>
      <x:c r="C25" s="364" t="inlineStr">
        <x:is>
          <x:t xml:space="preserve">预警</x:t>
        </x:is>
      </x:c>
      <x:c r="D25" s="364" t="inlineStr">
        <x:is>
          <x:t xml:space="preserve">chase</x:t>
        </x:is>
      </x:c>
      <x:c r="E25" s="364" t="inlineStr">
        <x:is>
          <x:t xml:space="preserve">attack/stagger/dead</x:t>
        </x:is>
      </x:c>
      <x:c r="F25" s="364" t="inlineStr">
        <x:is>
          <x:t xml:space="preserve">高频脉冲</x:t>
        </x:is>
      </x:c>
      <x:c r="G25" s="364" t="inlineStr">
        <x:is>
          <x:t xml:space="preserve">稳定</x:t>
        </x:is>
      </x:c>
      <x:c r="H25" s="364" t="inlineStr">
        <x:is>
          <x:t xml:space="preserve">蓄势</x:t>
        </x:is>
      </x:c>
      <x:c r="I25" s="364" t="inlineStr">
        <x:is>
          <x:t xml:space="preserve">红色预警环</x:t>
        </x:is>
      </x:c>
      <x:c r="J25" s="364" t="inlineStr">
        <x:is>
          <x:t xml:space="preserve">攻击前摇</x:t>
        </x:is>
      </x:c>
      <x:c r="K25" s="364" t="inlineStr">
        <x:is>
          <x:t xml:space="preserve">不可省略</x:t>
        </x:is>
      </x:c>
      <x:c r="L25" s="364" t="inlineStr">
        <x:is>
          <x:t xml:space="preserve">计时状态</x:t>
        </x:is>
      </x:c>
    </x:row>
    <x:row r="26">
      <x:c r="A26" s="364" t="inlineStr">
        <x:is>
          <x:t xml:space="preserve">顶层</x:t>
        </x:is>
      </x:c>
      <x:c r="B26" s="364" t="inlineStr">
        <x:is>
          <x:t xml:space="preserve">attack</x:t>
        </x:is>
      </x:c>
      <x:c r="C26" s="364" t="inlineStr">
        <x:is>
          <x:t xml:space="preserve">攻击</x:t>
        </x:is>
      </x:c>
      <x:c r="D26" s="364" t="inlineStr">
        <x:is>
          <x:t xml:space="preserve">telegraph</x:t>
        </x:is>
      </x:c>
      <x:c r="E26" s="364" t="inlineStr">
        <x:is>
          <x:t xml:space="preserve">chase/stagger/dead</x:t>
        </x:is>
      </x:c>
      <x:c r="F26" s="364" t="inlineStr">
        <x:is>
          <x:t xml:space="preserve">峰值</x:t>
        </x:is>
      </x:c>
      <x:c r="G26" s="364" t="inlineStr">
        <x:is>
          <x:t xml:space="preserve">反冲</x:t>
        </x:is>
      </x:c>
      <x:c r="H26" s="364" t="inlineStr">
        <x:is>
          <x:t xml:space="preserve">执行</x:t>
        </x:is>
      </x:c>
      <x:c r="I26" s="364" t="inlineStr">
        <x:is>
          <x:t xml:space="preserve">按攻击类型</x:t>
        </x:is>
      </x:c>
      <x:c r="J26" s="364" t="inlineStr">
        <x:is>
          <x:t xml:space="preserve">近战/远程/召唤/爆炸</x:t>
        </x:is>
      </x:c>
      <x:c r="K26" s="364" t="inlineStr">
        <x:is>
          <x:t xml:space="preserve">七类差异</x:t>
        </x:is>
      </x:c>
      <x:c r="L26" s="364" t="inlineStr">
        <x:is>
          <x:t xml:space="preserve">profile策略</x:t>
        </x:is>
      </x:c>
    </x:row>
    <x:row r="27">
      <x:c r="A27" s="364" t="inlineStr">
        <x:is>
          <x:t xml:space="preserve">顶层</x:t>
        </x:is>
      </x:c>
      <x:c r="B27" s="364" t="inlineStr">
        <x:is>
          <x:t xml:space="preserve">stagger</x:t>
        </x:is>
      </x:c>
      <x:c r="C27" s="364" t="inlineStr">
        <x:is>
          <x:t xml:space="preserve">硬直</x:t>
        </x:is>
      </x:c>
      <x:c r="D27" s="364" t="inlineStr">
        <x:is>
          <x:t xml:space="preserve">任意存活态</x:t>
        </x:is>
      </x:c>
      <x:c r="E27" s="364" t="inlineStr">
        <x:is>
          <x:t xml:space="preserve">chase/dead</x:t>
        </x:is>
      </x:c>
      <x:c r="F27" s="364" t="inlineStr">
        <x:is>
          <x:t xml:space="preserve">闪色</x:t>
        </x:is>
      </x:c>
      <x:c r="G27" s="364" t="inlineStr">
        <x:is>
          <x:t xml:space="preserve">冲击</x:t>
        </x:is>
      </x:c>
      <x:c r="H27" s="364" t="inlineStr">
        <x:is>
          <x:t xml:space="preserve">暂停</x:t>
        </x:is>
      </x:c>
      <x:c r="I27" s="364" t="inlineStr">
        <x:is>
          <x:t xml:space="preserve">伤害反馈</x:t>
        </x:is>
      </x:c>
      <x:c r="J27" s="364" t="inlineStr">
        <x:is>
          <x:t xml:space="preserve">受击窗口</x:t>
        </x:is>
      </x:c>
      <x:c r="K27" s="364" t="inlineStr">
        <x:is>
          <x:t xml:space="preserve">方向可读</x:t>
        </x:is>
      </x:c>
      <x:c r="L27" s="364" t="inlineStr">
        <x:is>
          <x:t xml:space="preserve">统一伤害入口</x:t>
        </x:is>
      </x:c>
    </x:row>
    <x:row r="28" ht="38" customHeight="1">
      <x:c r="A28" s="102" t="inlineStr">
        <x:is>
          <x:t xml:space="preserve">顶层</x:t>
        </x:is>
      </x:c>
      <x:c r="B28" s="102" t="inlineStr">
        <x:is>
          <x:t xml:space="preserve">dead</x:t>
        </x:is>
      </x:c>
      <x:c r="C28" s="102" t="inlineStr">
        <x:is>
          <x:t xml:space="preserve">死亡</x:t>
        </x:is>
      </x:c>
      <x:c r="D28" s="102" t="inlineStr">
        <x:is>
          <x:t xml:space="preserve">任意存活态</x:t>
        </x:is>
      </x:c>
      <x:c r="E28" s="102" t="inlineStr">
        <x:is>
          <x:t xml:space="preserve">无（终态）</x:t>
        </x:is>
      </x:c>
      <x:c r="F28" s="102" t="inlineStr">
        <x:is>
          <x:t xml:space="preserve">熄灭</x:t>
        </x:is>
      </x:c>
      <x:c r="G28" s="102" t="inlineStr">
        <x:is>
          <x:t xml:space="preserve">压扁</x:t>
        </x:is>
      </x:c>
      <x:c r="H28" s="102" t="inlineStr">
        <x:is>
          <x:t xml:space="preserve">停止</x:t>
        </x:is>
      </x:c>
      <x:c r="I28" s="102" t="inlineStr">
        <x:is>
          <x:t xml:space="preserve">爆散/淡出</x:t>
        </x:is>
      </x:c>
      <x:c r="J28" s="102" t="inlineStr">
        <x:is>
          <x:t xml:space="preserve">掉落与计数</x:t>
        </x:is>
      </x:c>
      <x:c r="K28" s="102" t="inlineStr">
        <x:is>
          <x:t xml:space="preserve">不可回存活态</x:t>
        </x:is>
      </x:c>
      <x:c r="L28" s="102" t="inlineStr">
        <x:is>
          <x:t xml:space="preserve">终态 + Tween</x:t>
        </x:is>
      </x:c>
    </x:row>
    <x:row r="29" ht="38" customHeight="1">
      <x:c r="A29" s="103" t="n"/>
      <x:c r="B29" s="103" t="n"/>
      <x:c r="C29" s="103" t="n"/>
      <x:c r="D29" s="103" t="n"/>
      <x:c r="E29" s="103" t="n"/>
      <x:c r="F29" s="103" t="n"/>
      <x:c r="G29" s="103" t="n"/>
      <x:c r="H29" s="103" t="n"/>
      <x:c r="I29" s="103" t="n"/>
      <x:c r="J29" s="103" t="n"/>
      <x:c r="K29" s="103" t="n"/>
      <x:c r="L29" s="103" t="n"/>
    </x:row>
    <x:row r="30" ht="56" customHeight="1">
      <x:c r="A30" s="364" t="inlineStr">
        <x:is>
          <x:t xml:space="preserve">Player3D 动作覆盖层 × 组件表现（不新增顶层状态）</x:t>
        </x:is>
      </x:c>
    </x:row>
    <x:row r="31" ht="56" customHeight="1">
      <x:c r="A31" s="364" t="inlineStr">
        <x:is>
          <x:t xml:space="preserve">层级｜状态ID｜中文名｜唯一来源｜退出｜Body｜Head｜Hand L（停用）｜Hand（握持）｜Scarf｜VFX/UI｜首版实现</x:t>
        </x:is>
      </x:c>
    </x:row>
    <x:row r="32" ht="56" customHeight="1">
      <x:c r="A32" s="364" t="inlineStr">
        <x:is>
          <x:t xml:space="preserve">叠加</x:t>
        </x:is>
      </x:c>
      <x:c r="B32" s="364" t="inlineStr">
        <x:is>
          <x:t xml:space="preserve">firing</x:t>
        </x:is>
      </x:c>
      <x:c r="C32" s="364" t="inlineStr">
        <x:is>
          <x:t xml:space="preserve">射击</x:t>
        </x:is>
      </x:c>
      <x:c r="D32" s="364" t="inlineStr">
        <x:is>
          <x:t xml:space="preserve">WeaponModel3D.shot_fired</x:t>
        </x:is>
      </x:c>
      <x:c r="E32" s="364" t="inlineStr">
        <x:is>
          <x:t xml:space="preserve">短时回弹后退出</x:t>
        </x:is>
      </x:c>
      <x:c r="F32" s="364" t="inlineStr">
        <x:is>
          <x:t xml:space="preserve">前探/压缩/弹性回弹</x:t>
        </x:is>
      </x:c>
      <x:c r="G32" s="364" t="inlineStr">
        <x:is>
          <x:t xml:space="preserve">小幅前探</x:t>
        </x:is>
      </x:c>
      <x:c r="H32" s="364" t="inlineStr">
        <x:is>
          <x:t xml:space="preserve">手枪左手不继承后坐；长枪左手托举并小幅刚性回弹</x:t>
        </x:is>
      </x:c>
      <x:c r="I32" s="364" t="inlineStr">
        <x:is>
          <x:t xml:space="preserve">右手握把跟随WeaponSocket；枪身只沿枪轴平移后坐，local -Z不离开真实弹道；腕部/躯干继续承担枪型差异回弹</x:t>
        </x:is>
      </x:c>
      <x:c r="J32" s="364" t="inlineStr">
        <x:is>
          <x:t xml:space="preserve">受冲量轻摆</x:t>
        </x:is>
      </x:c>
      <x:c r="K32" s="364" t="inlineStr">
        <x:is>
          <x:t xml:space="preserve">枪口闪光/后坐</x:t>
        </x:is>
      </x:c>
      <x:c r="L32" s="364" t="inlineStr">
        <x:is>
          <x:t xml:space="preserve">真实shot_fired信号；WeaponPoseFSM进入sidearm_fire/longgun_fire。七枪仍读取独立fire_style/kick/pitch/roll/lift，但远程枪身开火旋转被锁为0，仅手腕/身体使用角度参数；MuzzleSocket -Z与aim_direction误差≤0.5度。</x:t>
        </x:is>
      </x:c>
    </x:row>
    <x:row r="33">
      <x:c r="A33" s="364" t="inlineStr">
        <x:is>
          <x:t xml:space="preserve">叠加</x:t>
        </x:is>
      </x:c>
      <x:c r="B33" s="364" t="inlineStr">
        <x:is>
          <x:t xml:space="preserve">charging</x:t>
        </x:is>
      </x:c>
      <x:c r="C33" s="364" t="inlineStr">
        <x:is>
          <x:t xml:space="preserve">蓄力</x:t>
        </x:is>
      </x:c>
      <x:c r="D33" s="364" t="inlineStr">
        <x:is>
          <x:t xml:space="preserve">WeaponModel3D.charge_active / charge_ratio</x:t>
        </x:is>
      </x:c>
      <x:c r="E33" s="364" t="inlineStr">
        <x:is>
          <x:t xml:space="preserve">释放/取消/换枪/死亡</x:t>
        </x:is>
      </x:c>
      <x:c r="F33" s="364" t="inlineStr">
        <x:is>
          <x:t xml:space="preserve">下压蓄势</x:t>
        </x:is>
      </x:c>
      <x:c r="G33" s="364" t="inlineStr">
        <x:is>
          <x:t xml:space="preserve">轻微压低</x:t>
        </x:is>
      </x:c>
      <x:c r="H33" s="364" t="inlineStr">
        <x:is>
          <x:t xml:space="preserve">长枪左手向内压入形成张力；手枪保持自由手</x:t>
        </x:is>
      </x:c>
      <x:c r="I33" s="364" t="inlineStr">
        <x:is>
          <x:t xml:space="preserve">右手握把与 WeaponSocket 同相蓄势</x:t>
        </x:is>
      </x:c>
      <x:c r="J33" s="364" t="inlineStr">
        <x:is>
          <x:t xml:space="preserve">低频张力摆动</x:t>
        </x:is>
      </x:c>
      <x:c r="K33" s="364" t="inlineStr">
        <x:is>
          <x:t xml:space="preserve">紫色能量提示（可选）</x:t>
        </x:is>
      </x:c>
      <x:c r="L33" s="364" t="inlineStr">
        <x:is>
          <x:t xml:space="preserve">读取真实蓄力进度；WeaponPoseFSM 进入对应 charge 状态；释放后按枪体 profile 回弹</x:t>
        </x:is>
      </x:c>
    </x:row>
    <x:row r="34" ht="34" customHeight="1">
      <x:c r="A34" s="102" t="inlineStr">
        <x:is>
          <x:t xml:space="preserve">叠加</x:t>
        </x:is>
      </x:c>
      <x:c r="B34" s="102" t="inlineStr">
        <x:is>
          <x:t xml:space="preserve">knockback</x:t>
        </x:is>
      </x:c>
      <x:c r="C34" s="102" t="inlineStr">
        <x:is>
          <x:t xml:space="preserve">受击击飞</x:t>
        </x:is>
      </x:c>
      <x:c r="D34" s="102" t="inlineStr">
        <x:is>
          <x:t xml:space="preserve">Player3D 命中方向/强度/时长</x:t>
        </x:is>
      </x:c>
      <x:c r="E34" s="102" t="inlineStr">
        <x:is>
          <x:t xml:space="preserve">冲量归零或死亡</x:t>
        </x:is>
      </x:c>
      <x:c r="F34" s="102" t="inlineStr">
        <x:is>
          <x:t xml:space="preserve">反向位移/压缩/弹回</x:t>
        </x:is>
      </x:c>
      <x:c r="G34" s="102" t="inlineStr">
        <x:is>
          <x:t xml:space="preserve">夸张后仰甩头/回正</x:t>
        </x:is>
      </x:c>
      <x:c r="H34" s="102" t="inlineStr">
        <x:is>
          <x:t xml:space="preserve">手枪自由左手外甩；长枪左手回护木</x:t>
        </x:is>
      </x:c>
      <x:c r="I34" s="102" t="inlineStr">
        <x:is>
          <x:t xml:space="preserve">右手与 WeaponSocket 同相后退/回正</x:t>
        </x:is>
      </x:c>
      <x:c r="J34" s="102" t="inlineStr">
        <x:is>
          <x:t xml:space="preserve">滞后甩动</x:t>
        </x:is>
      </x:c>
      <x:c r="K34" s="102" t="inlineStr">
        <x:is>
          <x:t xml:space="preserve">红闪/短轨迹</x:t>
        </x:is>
      </x:c>
      <x:c r="L34" s="102" t="inlineStr">
        <x:is>
          <x:t xml:space="preserve">hurt 消费递减XZ冲量；双耳/双脚/双手分层过冲，不新增顶层状态</x:t>
        </x:is>
      </x:c>
    </x:row>
    <x:row r="35" ht="34" customHeight="1">
      <x:c r="A35" s="103" t="n"/>
      <x:c r="B35" s="103" t="n"/>
      <x:c r="C35" s="103" t="n"/>
      <x:c r="D35" s="103" t="n"/>
      <x:c r="E35" s="103" t="n"/>
      <x:c r="F35" s="103" t="n"/>
      <x:c r="G35" s="103" t="n"/>
      <x:c r="H35" s="103" t="n"/>
      <x:c r="I35" s="103" t="n"/>
      <x:c r="J35" s="103" t="n"/>
      <x:c r="K35" s="103" t="n"/>
      <x:c r="L35" s="103" t="n"/>
    </x:row>
    <x:row r="36" ht="34" customHeight="1">
      <x:c r="A36" s="364" t="inlineStr">
        <x:is>
          <x:t xml:space="preserve">Player3D DIY 外观槽 × 动态继承（不影响八态/玩法）</x:t>
        </x:is>
      </x:c>
    </x:row>
    <x:row r="37">
      <x:c r="A37" s="364" t="inlineStr">
        <x:is>
          <x:t xml:space="preserve">槽位｜候选变体｜父组件｜移动｜射击/蓄力｜受击/击飞｜换弹｜死亡｜挂点契约｜验收｜复用范围｜首版实现</x:t>
        </x:is>
      </x:c>
    </x:row>
    <x:row r="38" ht="38" customHeight="1">
      <x:c r="A38" s="364" t="inlineStr">
        <x:is>
          <x:t xml:space="preserve">body/head/hand/feet/hat/glasses</x:t>
        </x:is>
      </x:c>
      <x:c r="B38" s="364" t="inlineStr">
        <x:is>
          <x:t xml:space="preserve">5+5+5+5+4+4</x:t>
        </x:is>
      </x:c>
      <x:c r="C38" s="364" t="inlineStr">
        <x:is>
          <x:t xml:space="preserve">BunnyRig Body/Head/Hands/Feet/Wearables</x:t>
        </x:is>
      </x:c>
      <x:c r="D38" s="364" t="inlineStr">
        <x:is>
          <x:t xml:space="preserve">身体弹性+双脚交替+双耳摆动</x:t>
        </x:is>
      </x:c>
      <x:c r="E38" s="364" t="inlineStr">
        <x:is>
          <x:t xml:space="preserve">按武器类型单/双手后坐；头前探</x:t>
        </x:is>
      </x:c>
      <x:c r="F38" s="364" t="inlineStr">
        <x:is>
          <x:t xml:space="preserve">整体后仰/脚随根回正</x:t>
        </x:is>
      </x:c>
      <x:c r="G38" s="364" t="inlineStr">
        <x:is>
          <x:t xml:space="preserve">主握手+WeaponSocket同相；长枪左手托举</x:t>
        </x:is>
      </x:c>
      <x:c r="H38" s="364" t="inlineStr">
        <x:is>
          <x:t xml:space="preserve">全部模块随根倾倒</x:t>
        </x:is>
      </x:c>
      <x:c r="I38" s="364" t="inlineStr">
        <x:is>
          <x:t xml:space="preserve">LowerBodySocket随BodyJoint；武器握持按枪型</x:t>
        </x:is>
      </x:c>
      <x:c r="J38" s="364" t="inlineStr">
        <x:is>
          <x:t xml:space="preserve">可见GLB材质+双耳+双手+双脚+八态覆盖</x:t>
        </x:is>
      </x:c>
      <x:c r="K38" s="364" t="inlineStr">
        <x:is>
          <x:t xml:space="preserve">3D玩家/预览场</x:t>
        </x:is>
      </x:c>
      <x:c r="L38" s="364" t="inlineStr">
        <x:is>
          <x:t xml:space="preserve">Bunny GLB材质/程序挂点；Player3D.set_avatar_customization</x:t>
        </x:is>
      </x:c>
    </x:row>
    <x:row r="39" ht="38" customHeight="1">
      <x:c r="A39" s="364" t="n"/>
      <x:c r="B39" s="364" t="n"/>
      <x:c r="C39" s="364" t="n"/>
      <x:c r="D39" s="364" t="n"/>
      <x:c r="E39" s="364" t="n"/>
      <x:c r="F39" s="364" t="n"/>
      <x:c r="G39" s="364" t="n"/>
      <x:c r="H39" s="364" t="n"/>
      <x:c r="I39" s="364" t="n"/>
      <x:c r="J39" s="364" t="n"/>
      <x:c r="K39" s="364" t="n"/>
      <x:c r="L39" s="364" t="n"/>
    </x:row>
    <x:row r="40" ht="38" customHeight="1">
      <x:c r="A40" s="364" t="inlineStr">
        <x:is>
          <x:t xml:space="preserve">v0.1 兔子组件与动作归属（不新增状态）</x:t>
        </x:is>
      </x:c>
    </x:row>
    <x:row r="41">
      <x:c r="A41" s="364" t="inlineStr">
        <x:is>
          <x:t xml:space="preserve">父模块｜子组件｜节点数量｜Idle｜Moving｜Dashing｜Hurt/Knockback｜Reload/Fire｜Dead｜图形语言｜禁止事项｜验收</x:t>
        </x:is>
      </x:c>
    </x:row>
    <x:row r="42">
      <x:c r="A42" s="364" t="inlineStr">
        <x:is>
          <x:t xml:space="preserve">Head / Body / Hands / Feet</x:t>
        </x:is>
      </x:c>
      <x:c r="B42" s="364" t="inlineStr">
        <x:is>
          <x:t xml:space="preserve">Ears / LowerBodySocket / HandL / HandR / FootL / FootR</x:t>
        </x:is>
      </x:c>
      <x:c r="C42" s="364" t="inlineStr">
        <x:is>
          <x:t xml:space="preserve">2 / 1 / 1 / 1 / 1 / 1</x:t>
        </x:is>
      </x:c>
      <x:c r="D42" s="364" t="inlineStr">
        <x:is>
          <x:t xml:space="preserve">双耳错相呼吸；下身挂点随Body</x:t>
        </x:is>
      </x:c>
      <x:c r="E42" s="364" t="inlineStr">
        <x:is>
          <x:t xml:space="preserve">双脚交替；双手按武器类型；挂点随Body</x:t>
        </x:is>
      </x:c>
      <x:c r="F42" s="364" t="inlineStr">
        <x:is>
          <x:t xml:space="preserve">随VisualRoot压缩翻滚</x:t>
        </x:is>
      </x:c>
      <x:c r="G42" s="364" t="inlineStr">
        <x:is>
          <x:t xml:space="preserve">手/耳/脚分别回弹；挂点继承Body</x:t>
        </x:is>
      </x:c>
      <x:c r="H42" s="364" t="inlineStr">
        <x:is>
          <x:t xml:space="preserve">手枪右手/长枪双手；下身挂件不参与枪姿</x:t>
        </x:is>
      </x:c>
      <x:c r="I42" s="364" t="inlineStr">
        <x:is>
          <x:t xml:space="preserve">全部随VisualRoot倾倒</x:t>
        </x:is>
      </x:c>
      <x:c r="J42" s="364" t="inlineStr">
        <x:is>
          <x:t xml:space="preserve">兔子刚性节点骨架；GLB分件</x:t>
        </x:is>
      </x:c>
      <x:c r="K42" s="364" t="inlineStr">
        <x:is>
          <x:t xml:space="preserve">禁止把下身附件烘焙进Body或加入玩法碰撞</x:t>
        </x:is>
      </x:c>
      <x:c r="L42" s="364" t="inlineStr">
        <x:is>
          <x:t xml:space="preserve">节点路径+材质换色+步态+持枪+LowerBodySocket专项验证</x:t>
        </x:is>
      </x:c>
    </x:row>
    <x:row r="44">
      <x:c r="A44" t="inlineStr">
        <x:is>
          <x:t xml:space="preserve">Player3D 近战动作子状态机 × 三段上下文（不新增顶层状态）</x:t>
        </x:is>
      </x:c>
    </x:row>
    <x:row r="45">
      <x:c r="A45" t="inlineStr">
        <x:is>
          <x:t xml:space="preserve">层级｜状态ID｜中文名｜唯一来源｜退出｜Body｜Head｜Hand L｜Hand R / WeaponSocket｜Scarf｜VFX/UI｜首版实现</x:t>
        </x:is>
      </x:c>
    </x:row>
    <x:row r="46">
      <x:c r="A46" t="inlineStr">
        <x:is>
          <x:t xml:space="preserve">动作子状态</x:t>
        </x:is>
      </x:c>
      <x:c r="B46" t="inlineStr">
        <x:is>
          <x:t xml:space="preserve">ready</x:t>
        </x:is>
      </x:c>
      <x:c r="C46" t="inlineStr">
        <x:is>
          <x:t xml:space="preserve">近战就绪</x:t>
        </x:is>
      </x:c>
      <x:c r="D46" t="inlineStr">
        <x:is>
          <x:t xml:space="preserve">PlayerMeleeCombat3D</x:t>
        </x:is>
      </x:c>
      <x:c r="E46" t="inlineStr">
        <x:is>
          <x:t xml:space="preserve">主攻击→windup</x:t>
        </x:is>
      </x:c>
      <x:c r="F46" t="inlineStr">
        <x:is>
          <x:t xml:space="preserve">保持当前idle/moving</x:t>
        </x:is>
      </x:c>
      <x:c r="G46" t="inlineStr">
        <x:is>
          <x:t xml:space="preserve">保持瞄准</x:t>
        </x:is>
      </x:c>
      <x:c r="H46" t="inlineStr">
        <x:is>
          <x:t xml:space="preserve">双手重型握持</x:t>
        </x:is>
      </x:c>
      <x:c r="I46" t="inlineStr">
        <x:is>
          <x:t xml:space="preserve">WeaponSocket稳定持械</x:t>
        </x:is>
      </x:c>
      <x:c r="J46" t="inlineStr">
        <x:is>
          <x:t xml:space="preserve">低频随动</x:t>
        </x:is>
      </x:c>
      <x:c r="K46" t="inlineStr">
        <x:is>
          <x:t xml:space="preserve">HUD显示近战·三段</x:t>
        </x:is>
      </x:c>
      <x:c r="L46" t="inlineStr">
        <x:is>
          <x:t xml:space="preserve">近战动作机初态/复位态；连段=-1；无命中许可</x:t>
        </x:is>
      </x:c>
    </x:row>
    <x:row r="47">
      <x:c r="A47" t="inlineStr">
        <x:is>
          <x:t xml:space="preserve">动作子状态</x:t>
        </x:is>
      </x:c>
      <x:c r="B47" t="inlineStr">
        <x:is>
          <x:t xml:space="preserve">windup</x:t>
        </x:is>
      </x:c>
      <x:c r="C47" t="inlineStr">
        <x:is>
          <x:t xml:space="preserve">挥砍前摇</x:t>
        </x:is>
      </x:c>
      <x:c r="D47" t="inlineStr">
        <x:is>
          <x:t xml:space="preserve">ready或连段recovery</x:t>
        </x:is>
      </x:c>
      <x:c r="E47" t="inlineStr">
        <x:is>
          <x:t xml:space="preserve">计时结束→active；非法顶层→ready</x:t>
        </x:is>
      </x:c>
      <x:c r="F47" t="inlineStr">
        <x:is>
          <x:t xml:space="preserve">侧拧/下压蓄势</x:t>
        </x:is>
      </x:c>
      <x:c r="G47" t="inlineStr">
        <x:is>
          <x:t xml:space="preserve">随躯干反向预备</x:t>
        </x:is>
      </x:c>
      <x:c r="H47" t="inlineStr">
        <x:is>
          <x:t xml:space="preserve">前手锁住长柄</x:t>
        </x:is>
      </x:c>
      <x:c r="I47" t="inlineStr">
        <x:is>
          <x:t xml:space="preserve">后手带WeaponSocket蓄势</x:t>
        </x:is>
      </x:c>
      <x:c r="J47" t="inlineStr">
        <x:is>
          <x:t xml:space="preserve">滞后拉伸</x:t>
        </x:is>
      </x:c>
      <x:c r="K47" t="inlineStr">
        <x:is>
          <x:t xml:space="preserve">动作阶段/连段编号</x:t>
        </x:is>
      </x:c>
      <x:c r="L47" t="inlineStr">
        <x:is>
          <x:t xml:space="preserve">三段分别为左横斩、右回斩、过顶重劈前摇；输入可缓存下一段</x:t>
        </x:is>
      </x:c>
    </x:row>
    <x:row r="48">
      <x:c r="A48" t="inlineStr">
        <x:is>
          <x:t xml:space="preserve">动作子状态</x:t>
        </x:is>
      </x:c>
      <x:c r="B48" t="inlineStr">
        <x:is>
          <x:t xml:space="preserve">active</x:t>
        </x:is>
      </x:c>
      <x:c r="C48" t="inlineStr">
        <x:is>
          <x:t xml:space="preserve">命中窗口</x:t>
        </x:is>
      </x:c>
      <x:c r="D48" t="inlineStr">
        <x:is>
          <x:t xml:space="preserve">windup计时完成</x:t>
        </x:is>
      </x:c>
      <x:c r="E48" t="inlineStr">
        <x:is>
          <x:t xml:space="preserve">计时结束→recovery；非法顶层→ready</x:t>
        </x:is>
      </x:c>
      <x:c r="F48" t="inlineStr">
        <x:is>
          <x:t xml:space="preserve">跨侧扭转/第三段前压</x:t>
        </x:is>
      </x:c>
      <x:c r="G48" t="inlineStr">
        <x:is>
          <x:t xml:space="preserve">跟随挥砍方向</x:t>
        </x:is>
      </x:c>
      <x:c r="H48" t="inlineStr">
        <x:is>
          <x:t xml:space="preserve">双手沿长柄同步扫过</x:t>
        </x:is>
      </x:c>
      <x:c r="I48" t="inlineStr">
        <x:is>
          <x:t xml:space="preserve">WeaponSocket执行横扫或过顶弧</x:t>
        </x:is>
      </x:c>
      <x:c r="J48" t="inlineStr">
        <x:is>
          <x:t xml:space="preserve">受冲量甩动</x:t>
        </x:is>
      </x:c>
      <x:c r="K48" t="inlineStr">
        <x:is>
          <x:t xml:space="preserve">池化slash弧光/逐目标melee_impact/伤害飘字/挥砍与冲击音频</x:t>
        </x:is>
      </x:c>
      <x:c r="L48" t="inlineStr">
        <x:is>
          <x:t xml:space="preserve">进入时唯一一次扇区查询；每段一弧光一挥砍音；逐目标爆点，多目标冲击主音去重；距离+夹角+墙体+目标去重</x:t>
        </x:is>
      </x:c>
    </x:row>
    <x:row r="49">
      <x:c r="A49" t="inlineStr">
        <x:is>
          <x:t xml:space="preserve">动作子状态</x:t>
        </x:is>
      </x:c>
      <x:c r="B49" t="inlineStr">
        <x:is>
          <x:t xml:space="preserve">recovery</x:t>
        </x:is>
      </x:c>
      <x:c r="C49" t="inlineStr">
        <x:is>
          <x:t xml:space="preserve">挥砍后摇</x:t>
        </x:is>
      </x:c>
      <x:c r="D49" t="inlineStr">
        <x:is>
          <x:t xml:space="preserve">active计时完成</x:t>
        </x:is>
      </x:c>
      <x:c r="E49" t="inlineStr">
        <x:is>
          <x:t xml:space="preserve">有缓存→下一段windup；否则→ready</x:t>
        </x:is>
      </x:c>
      <x:c r="F49" t="inlineStr">
        <x:is>
          <x:t xml:space="preserve">重心回收</x:t>
        </x:is>
      </x:c>
      <x:c r="G49" t="inlineStr">
        <x:is>
          <x:t xml:space="preserve">回正</x:t>
        </x:is>
      </x:c>
      <x:c r="H49" t="inlineStr">
        <x:is>
          <x:t xml:space="preserve">双手恢复握持间距</x:t>
        </x:is>
      </x:c>
      <x:c r="I49" t="inlineStr">
        <x:is>
          <x:t xml:space="preserve">WeaponSocket回到持械位</x:t>
        </x:is>
      </x:c>
      <x:c r="J49" t="inlineStr">
        <x:is>
          <x:t xml:space="preserve">余振衰减</x:t>
        </x:is>
      </x:c>
      <x:c r="K49" t="inlineStr">
        <x:is>
          <x:t xml:space="preserve">连段缓存提示</x:t>
        </x:is>
      </x:c>
      <x:c r="L49" t="inlineStr">
        <x:is>
          <x:t xml:space="preserve">第三段结束强制复位；受伤/冲刺/坠落/锁定/死亡/换武器全部取消</x:t>
        </x:is>
      </x:c>
    </x:row>
  </x:sheetData>
  <x:mergeCells>
    <x:mergeCell ref="A30:L30"/>
    <x:mergeCell ref="A41:L41"/>
    <x:mergeCell ref="A45:L45"/>
    <x:mergeCell ref="A37:L37"/>
    <x:mergeCell ref="A1:L2"/>
    <x:mergeCell ref="A36:L36"/>
    <x:mergeCell ref="A31:L31"/>
    <x:mergeCell ref="A44:L44"/>
    <x:mergeCell ref="A40:L40"/>
    <x:mergeCell ref="A18:L18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34" customWidth="1"/>
    <x:col min="4" max="4" width="36" customWidth="1"/>
    <x:col min="5" max="5" width="52" customWidth="1"/>
    <x:col min="6" max="6" width="34" customWidth="1"/>
    <x:col min="8" max="8" width="18" customWidth="1"/>
    <x:col min="9" max="9" width="52" customWidth="1"/>
    <x:col min="10" max="10" width="20" customWidth="1"/>
  </x:cols>
  <x:sheetData>
    <x:row r="1" ht="25" customHeight="1">
      <x:c r="A1" s="3" t="inlineStr">
        <x:is>
          <x:t xml:space="preserve">分类、前缀与目录</x:t>
        </x:is>
      </x:c>
    </x:row>
    <x:row r="2" ht="12" customHeight="1"/>
    <x:row r="3" ht="23" customHeight="1">
      <x:c r="A3" s="6" t="inlineStr">
        <x:is>
          <x:t xml:space="preserve">新增资产必须从本表选择分类；如果找不到子类，先扩展本表再建文件，禁止临时随意命名</x:t>
        </x:is>
      </x:c>
    </x:row>
    <x:row r="4">
      <x:c r="H4" s="292" t="inlineStr">
        <x:is>
          <x:t xml:space="preserve">3D Prefab分类与分页</x:t>
        </x:is>
      </x:c>
    </x:row>
    <x:row r="5" ht="32" customHeight="1">
      <x:c r="A5" s="298" t="inlineStr">
        <x:is>
          <x:t xml:space="preserve">前缀</x:t>
        </x:is>
      </x:c>
      <x:c r="B5" s="299" t="inlineStr">
        <x:is>
          <x:t xml:space="preserve">大类</x:t>
        </x:is>
      </x:c>
      <x:c r="C5" s="299" t="inlineStr">
        <x:is>
          <x:t xml:space="preserve">推荐子类</x:t>
        </x:is>
      </x:c>
      <x:c r="D5" s="299" t="inlineStr">
        <x:is>
          <x:t xml:space="preserve">标准目录</x:t>
        </x:is>
      </x:c>
      <x:c r="E5" s="299" t="inlineStr">
        <x:is>
          <x:t xml:space="preserve">文件名模式</x:t>
        </x:is>
      </x:c>
      <x:c r="F5" s="300" t="inlineStr">
        <x:is>
          <x:t xml:space="preserve">AssetID 示例</x:t>
        </x:is>
      </x:c>
      <x:c r="H5" s="273" t="inlineStr">
        <x:is>
          <x:t xml:space="preserve">Prefab分类</x:t>
        </x:is>
      </x:c>
      <x:c r="I5" s="273" t="inlineStr">
        <x:is>
          <x:t xml:space="preserve">归类标准</x:t>
        </x:is>
      </x:c>
      <x:c r="J5" s="273" t="inlineStr">
        <x:is>
          <x:t xml:space="preserve">分页</x:t>
        </x:is>
      </x:c>
    </x:row>
    <x:row r="6" ht="34" customHeight="1">
      <x:c r="A6" s="301" t="inlineStr">
        <x:is>
          <x:t xml:space="preserve">CHR</x:t>
        </x:is>
      </x:c>
      <x:c r="B6" s="301" t="inlineStr">
        <x:is>
          <x:t xml:space="preserve">角色</x:t>
        </x:is>
      </x:c>
      <x:c r="C6" s="301" t="inlineStr">
        <x:is>
          <x:t xml:space="preserve">player / npc / companion</x:t>
        </x:is>
      </x:c>
      <x:c r="D6" s="301" t="inlineStr">
        <x:is>
          <x:t xml:space="preserve">assets/art/characters/</x:t>
        </x:is>
      </x:c>
      <x:c r="E6" s="301" t="inlineStr">
        <x:is>
          <x:t xml:space="preserve">chr_{role}_{name}{nn}_{component}_{view}_v{nnn}.{png|glb|tscn}</x:t>
        </x:is>
      </x:c>
      <x:c r="F6" s="301" t="inlineStr">
        <x:is>
          <x:t xml:space="preserve">CHR-PLY-CAPSULE01-HEAD-SIDE</x:t>
        </x:is>
      </x:c>
      <x:c r="H6" s="276" t="inlineStr">
        <x:is>
          <x:t xml:space="preserve">场景通用组件</x:t>
        </x:is>
      </x:c>
      <x:c r="I6" s="277" t="inlineStr">
        <x:is>
          <x:t xml:space="preserve">关卡结构、地板、墙体、走廊、楼梯、楼板与环境套件</x:t>
        </x:is>
      </x:c>
      <x:c r="J6" s="278" t="inlineStr">
        <x:is>
          <x:t xml:space="preserve">3D-场景通用</x:t>
        </x:is>
      </x:c>
    </x:row>
    <x:row r="7" ht="34" customHeight="1">
      <x:c r="A7" s="138" t="inlineStr">
        <x:is>
          <x:t xml:space="preserve">ENM</x:t>
        </x:is>
      </x:c>
      <x:c r="B7" s="138" t="inlineStr">
        <x:is>
          <x:t xml:space="preserve">敌人</x:t>
        </x:is>
      </x:c>
      <x:c r="C7" s="138" t="inlineStr">
        <x:is>
          <x:t xml:space="preserve">normal / elite / boss</x:t>
        </x:is>
      </x:c>
      <x:c r="D7" s="138" t="inlineStr">
        <x:is>
          <x:t xml:space="preserve">assets/art/enemies/</x:t>
        </x:is>
      </x:c>
      <x:c r="E7" s="138" t="inlineStr">
        <x:is>
          <x:t xml:space="preserve">enm_{archetype}_{name}{nn}_{part}_{view}_v{nnn}.{png|glb|tscn}</x:t>
        </x:is>
      </x:c>
      <x:c r="F7" s="138" t="inlineStr">
        <x:is>
          <x:t xml:space="preserve">ENM-MELEE-FUNGBOAR01-BODY</x:t>
        </x:is>
      </x:c>
      <x:c r="H7" s="279" t="inlineStr">
        <x:is>
          <x:t xml:space="preserve">设施组件</x:t>
        </x:is>
      </x:c>
      <x:c r="I7" s="280" t="inlineStr">
        <x:is>
          <x:t xml:space="preserve">门扇、灯具、开关、终端、工作台、储物与服务设施</x:t>
        </x:is>
      </x:c>
      <x:c r="J7" s="281" t="inlineStr">
        <x:is>
          <x:t xml:space="preserve">3D-设施</x:t>
        </x:is>
      </x:c>
    </x:row>
    <x:row r="8" ht="34" customHeight="1">
      <x:c r="A8" s="138" t="inlineStr">
        <x:is>
          <x:t xml:space="preserve">WPN</x:t>
        </x:is>
      </x:c>
      <x:c r="B8" s="138" t="inlineStr">
        <x:is>
          <x:t xml:space="preserve">武器</x:t>
        </x:is>
      </x:c>
      <x:c r="C8" s="138" t="inlineStr">
        <x:is>
          <x:t xml:space="preserve">gunbody / melee / bullet / attachment</x:t>
        </x:is>
      </x:c>
      <x:c r="D8" s="138" t="inlineStr">
        <x:is>
          <x:t xml:space="preserve">assets/art/weapons/</x:t>
        </x:is>
      </x:c>
      <x:c r="E8" s="138" t="inlineStr">
        <x:is>
          <x:t xml:space="preserve">wpn_{family}_{logic_id}_{view}_v{nnn}.{png|glb|tscn}</x:t>
        </x:is>
      </x:c>
      <x:c r="F8" s="138" t="inlineStr">
        <x:is>
          <x:t xml:space="preserve">WPN-MELEE-BP-GREATBLADE</x:t>
        </x:is>
      </x:c>
      <x:c r="H8" s="279" t="inlineStr">
        <x:is>
          <x:t xml:space="preserve">道具</x:t>
        </x:is>
      </x:c>
      <x:c r="I8" s="280" t="inlineStr">
        <x:is>
          <x:t xml:space="preserve">桌椅、家具、容器和摆放装饰物</x:t>
        </x:is>
      </x:c>
      <x:c r="J8" s="281" t="inlineStr">
        <x:is>
          <x:t xml:space="preserve">3D-道具</x:t>
        </x:is>
      </x:c>
    </x:row>
    <x:row r="9" ht="34" customHeight="1">
      <x:c r="A9" s="138" t="inlineStr">
        <x:is>
          <x:t xml:space="preserve">ITM</x:t>
        </x:is>
      </x:c>
      <x:c r="B9" s="138" t="inlineStr">
        <x:is>
          <x:t xml:space="preserve">道具</x:t>
        </x:is>
      </x:c>
      <x:c r="C9" s="138" t="inlineStr">
        <x:is>
          <x:t xml:space="preserve">pickup / consumable / key / loot</x:t>
        </x:is>
      </x:c>
      <x:c r="D9" s="138" t="inlineStr">
        <x:is>
          <x:t xml:space="preserve">assets/art/items/</x:t>
        </x:is>
      </x:c>
      <x:c r="E9" s="138" t="inlineStr">
        <x:is>
          <x:t xml:space="preserve">itm_{type}_{logic_id}_{state}_v{nnn}.png</x:t>
        </x:is>
      </x:c>
      <x:c r="F9" s="138" t="inlineStr">
        <x:is>
          <x:t xml:space="preserve">ITM-KEY-ROOM-DEFAULT</x:t>
        </x:is>
      </x:c>
      <x:c r="H9" s="279" t="inlineStr">
        <x:is>
          <x:t xml:space="preserve">角色</x:t>
        </x:is>
      </x:c>
      <x:c r="I9" s="280" t="inlineStr">
        <x:is>
          <x:t xml:space="preserve">玩家、NPC与角色表现/玩法根</x:t>
        </x:is>
      </x:c>
      <x:c r="J9" s="281" t="inlineStr">
        <x:is>
          <x:t xml:space="preserve">3D-角色</x:t>
        </x:is>
      </x:c>
    </x:row>
    <x:row r="10" ht="34" customHeight="1">
      <x:c r="A10" s="138" t="inlineStr">
        <x:is>
          <x:t xml:space="preserve">ENV</x:t>
        </x:is>
      </x:c>
      <x:c r="B10" s="138" t="inlineStr">
        <x:is>
          <x:t xml:space="preserve">场景</x:t>
        </x:is>
      </x:c>
      <x:c r="C10" s="138" t="inlineStr">
        <x:is>
          <x:t xml:space="preserve">biome / room / environment_kit_3d / environment_module_3d / floor / wall / door / stair</x:t>
        </x:is>
      </x:c>
      <x:c r="D10" s="138" t="inlineStr">
        <x:is>
          <x:t xml:space="preserve">assets/art/environments/&lt;kit&gt;/{source,components,runtime}/</x:t>
        </x:is>
      </x:c>
      <x:c r="E10" s="138" t="inlineStr">
        <x:is>
          <x:t xml:space="preserve">env_{set}_{piece}_{source|visual_top3d|root_top3d}_v{nnn}.{blend|glb|tres|tscn}</x:t>
        </x:is>
      </x:c>
      <x:c r="F10" s="138" t="inlineStr">
        <x:is>
          <x:t xml:space="preserve">ENV-BASE99-WALL-PLAIN-5X9</x:t>
        </x:is>
      </x:c>
      <x:c r="H10" s="279" t="inlineStr">
        <x:is>
          <x:t xml:space="preserve">敌人</x:t>
        </x:is>
      </x:c>
      <x:c r="I10" s="280" t="inlineStr">
        <x:is>
          <x:t xml:space="preserve">普通敌人、精英、Boss与敌人共用根</x:t>
        </x:is>
      </x:c>
      <x:c r="J10" s="281" t="inlineStr">
        <x:is>
          <x:t xml:space="preserve">3D-敌人</x:t>
        </x:is>
      </x:c>
    </x:row>
    <x:row r="11" ht="34" customHeight="1">
      <x:c r="A11" s="138" t="inlineStr">
        <x:is>
          <x:t xml:space="preserve">PRP</x:t>
        </x:is>
      </x:c>
      <x:c r="B11" s="138" t="inlineStr">
        <x:is>
          <x:t xml:space="preserve">场景道具</x:t>
        </x:is>
      </x:c>
      <x:c r="C11" s="138" t="inlineStr">
        <x:is>
          <x:t xml:space="preserve">facility / container / door / debris / light / switch</x:t>
        </x:is>
      </x:c>
      <x:c r="D11" s="138" t="inlineStr">
        <x:is>
          <x:t xml:space="preserve">assets/art/props/</x:t>
        </x:is>
      </x:c>
      <x:c r="E11" s="138" t="inlineStr">
        <x:is>
          <x:t xml:space="preserve">prp_{set}_{logic_id}_{state}_v{nnn}.{png|glb|tscn}</x:t>
        </x:is>
      </x:c>
      <x:c r="F11" s="138" t="inlineStr">
        <x:is>
          <x:t xml:space="preserve">PRP-BASE-WORKBENCH-IDLE</x:t>
        </x:is>
      </x:c>
      <x:c r="H11" s="279" t="inlineStr">
        <x:is>
          <x:t xml:space="preserve">武器</x:t>
        </x:is>
      </x:c>
      <x:c r="I11" s="280" t="inlineStr">
        <x:is>
          <x:t xml:space="preserve">枪械、近战武器与武器装配根</x:t>
        </x:is>
      </x:c>
      <x:c r="J11" s="281" t="inlineStr">
        <x:is>
          <x:t xml:space="preserve">3D-武器</x:t>
        </x:is>
      </x:c>
    </x:row>
    <x:row r="12" ht="34" customHeight="1">
      <x:c r="A12" s="138" t="inlineStr">
        <x:is>
          <x:t xml:space="preserve">UI</x:t>
        </x:is>
      </x:c>
      <x:c r="B12" s="138" t="inlineStr">
        <x:is>
          <x:t xml:space="preserve">UI</x:t>
        </x:is>
      </x:c>
      <x:c r="C12" s="138" t="inlineStr">
        <x:is>
          <x:t xml:space="preserve">screen / panel / icon / cursor</x:t>
        </x:is>
      </x:c>
      <x:c r="D12" s="138" t="inlineStr">
        <x:is>
          <x:t xml:space="preserve">assets/art/ui/</x:t>
        </x:is>
      </x:c>
      <x:c r="E12" s="138" t="inlineStr">
        <x:is>
          <x:t xml:space="preserve">ui_{screen}_{element}_{state}_v{nnn}.png</x:t>
        </x:is>
      </x:c>
      <x:c r="F12" s="138" t="inlineStr">
        <x:is>
          <x:t xml:space="preserve">UI-HUD-HP-CRITICAL</x:t>
        </x:is>
      </x:c>
      <x:c r="H12" s="279" t="inlineStr">
        <x:is>
          <x:t xml:space="preserve">物品</x:t>
        </x:is>
      </x:c>
      <x:c r="I12" s="280" t="inlineStr">
        <x:is>
          <x:t xml:space="preserve">拥有独立PackedScene的拾取物、消耗品、钥匙和掉落物</x:t>
        </x:is>
      </x:c>
      <x:c r="J12" s="281" t="inlineStr">
        <x:is>
          <x:t xml:space="preserve">3D-物品</x:t>
        </x:is>
      </x:c>
    </x:row>
    <x:row r="13" ht="34" customHeight="1">
      <x:c r="A13" s="138" t="inlineStr">
        <x:is>
          <x:t xml:space="preserve">VFX</x:t>
        </x:is>
      </x:c>
      <x:c r="B13" s="138" t="inlineStr">
        <x:is>
          <x:t xml:space="preserve">特效</x:t>
        </x:is>
      </x:c>
      <x:c r="C13" s="138" t="inlineStr">
        <x:is>
          <x:t xml:space="preserve">combat / status / environment</x:t>
        </x:is>
      </x:c>
      <x:c r="D13" s="138" t="inlineStr">
        <x:is>
          <x:t xml:space="preserve">assets/art/vfx/</x:t>
        </x:is>
      </x:c>
      <x:c r="E13" s="138" t="inlineStr">
        <x:is>
          <x:t xml:space="preserve">vfx_{system}_{effect}_{variant}_v{nnn}.{png|glb|tscn}</x:t>
        </x:is>
      </x:c>
      <x:c r="F13" s="138" t="inlineStr">
        <x:is>
          <x:t xml:space="preserve">VFX-PLAYER-DASH-TRAIL-A</x:t>
        </x:is>
      </x:c>
      <x:c r="H13" s="279" t="inlineStr">
        <x:is>
          <x:t xml:space="preserve">特效</x:t>
        </x:is>
      </x:c>
      <x:c r="I13" s="280" t="inlineStr">
        <x:is>
          <x:t xml:space="preserve">可独立实例化的3D战斗、环境和可见性特效</x:t>
        </x:is>
      </x:c>
      <x:c r="J13" s="281" t="inlineStr">
        <x:is>
          <x:t xml:space="preserve">3D-特效</x:t>
        </x:is>
      </x:c>
    </x:row>
    <x:row r="14" ht="34" customHeight="1">
      <x:c r="A14" s="138" t="inlineStr">
        <x:is>
          <x:t xml:space="preserve">AUD</x:t>
        </x:is>
      </x:c>
      <x:c r="B14" s="138" t="inlineStr">
        <x:is>
          <x:t xml:space="preserve">音频</x:t>
        </x:is>
      </x:c>
      <x:c r="C14" s="138" t="inlineStr">
        <x:is>
          <x:t xml:space="preserve">bgm / sfx / ambience / ui</x:t>
        </x:is>
      </x:c>
      <x:c r="D14" s="138" t="inlineStr">
        <x:is>
          <x:t xml:space="preserve">src/assets/audio/sfx/</x:t>
        </x:is>
      </x:c>
      <x:c r="E14" s="138" t="inlineStr">
        <x:is>
          <x:t xml:space="preserve">{event}_v{nnn}.{ogg|wav}</x:t>
        </x:is>
      </x:c>
      <x:c r="F14" s="138" t="inlineStr">
        <x:is>
          <x:t xml:space="preserve">AUD-SFX-PLAYER-DASH</x:t>
        </x:is>
      </x:c>
      <x:c r="H14" s="293" t="inlineStr">
        <x:is>
          <x:t xml:space="preserve">其他</x:t>
        </x:is>
      </x:c>
      <x:c r="I14" s="294" t="inlineStr">
        <x:is>
          <x:t xml:space="preserve">无法归入以上分类的独立3D Prefab</x:t>
        </x:is>
      </x:c>
      <x:c r="J14" s="295" t="inlineStr">
        <x:is>
          <x:t xml:space="preserve">3D-其他</x:t>
        </x:is>
      </x:c>
    </x:row>
    <x:row r="15" ht="48" customHeight="1">
      <x:c r="A15" s="349" t="inlineStr">
        <x:is>
          <x:t xml:space="preserve">BPK</x:t>
        </x:is>
      </x:c>
      <x:c r="B15" s="349" t="inlineStr">
        <x:is>
          <x:t xml:space="preserve">基地资产包</x:t>
        </x:is>
      </x:c>
      <x:c r="C15" s="349" t="inlineStr">
        <x:is>
          <x:t xml:space="preserve">建筑结构包 / 地面系统包 / 东侧固定设施包 / 二楼阁楼设施包 / 阁楼下方固定设施包 / 仓库设施包 / 环境支持包</x:t>
        </x:is>
      </x:c>
      <x:c r="D15" s="349" t="inlineStr">
        <x:is>
          <x:t xml:space="preserve">source/art/blender/base_facility_layout/component_packages_v017/&lt;category&gt;/&lt;asset_slug&gt;/</x:t>
        </x:is>
      </x:c>
      <x:c r="E15" s="349" t="inlineStr">
        <x:is>
          <x:t xml:space="preserve">bpk_base99_{asset_slug}_visual_top3d_v001.{blend|glb|json}</x:t>
        </x:is>
      </x:c>
      <x:c r="F15" s="349" t="inlineStr">
        <x:is>
          <x:t xml:space="preserve">BPK-BASE99-ROLLUP-MAIN-DOOR</x:t>
        </x:is>
      </x:c>
      <x:c r="G15" s="349" t="n"/>
      <x:c r="H15" s="349" t="inlineStr">
        <x:is>
          <x:t xml:space="preserve">基地资产包</x:t>
        </x:is>
      </x:c>
      <x:c r="I15" s="349" t="inlineStr">
        <x:is>
          <x:t xml:space="preserve">基地99层可独立导入、替换、导出或维护的 Blender 设施包；实体灯随所属设施包</x:t>
        </x:is>
      </x:c>
      <x:c r="J15" s="349" t="inlineStr">
        <x:is>
          <x:t xml:space="preserve">3D-设施</x:t>
        </x:is>
      </x:c>
    </x:row>
  </x:sheetData>
  <x:mergeCells>
    <x:mergeCell ref="A3:F3"/>
    <x:mergeCell ref="A1:F2"/>
    <x:mergeCell ref="H4:J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34" customWidth="1"/>
    <x:col min="4" max="4" width="34" customWidth="1"/>
    <x:col min="5" max="5" width="32" customWidth="1"/>
    <x:col min="6" max="6" width="28" customWidth="1"/>
    <x:col min="7" max="7" width="44" customWidth="1"/>
    <x:col min="8" max="8" width="12" customWidth="1"/>
  </x:cols>
  <x:sheetData>
    <x:row r="1" ht="25" customHeight="1">
      <x:c r="A1" s="3" t="inlineStr">
        <x:is>
          <x:t xml:space="preserve">新增、变体与弃用流程</x:t>
        </x:is>
      </x:c>
    </x:row>
    <x:row r="2" ht="12" customHeight="1"/>
    <x:row r="3" ht="23" customHeight="1">
      <x:c r="A3" s="6" t="inlineStr">
        <x:is>
          <x:t xml:space="preserve">目标：同一个逻辑对象只有一个稳定 AssetID；组件、状态和版本通过字段表达，不靠复制文件夹</x:t>
        </x:is>
      </x:c>
    </x:row>
    <x:row r="5" ht="32" customHeight="1">
      <x:c r="A5" s="298" t="inlineStr">
        <x:is>
          <x:t xml:space="preserve">步骤</x:t>
        </x:is>
      </x:c>
      <x:c r="B5" s="299" t="inlineStr">
        <x:is>
          <x:t xml:space="preserve">动作</x:t>
        </x:is>
      </x:c>
      <x:c r="C5" s="299" t="inlineStr">
        <x:is>
          <x:t xml:space="preserve">必须查询</x:t>
        </x:is>
      </x:c>
      <x:c r="D5" s="299" t="inlineStr">
        <x:is>
          <x:t xml:space="preserve">通过标准</x:t>
        </x:is>
      </x:c>
      <x:c r="E5" s="299" t="inlineStr">
        <x:is>
          <x:t xml:space="preserve">禁止事项</x:t>
        </x:is>
      </x:c>
      <x:c r="F5" s="299" t="inlineStr">
        <x:is>
          <x:t xml:space="preserve">示例输入</x:t>
        </x:is>
      </x:c>
      <x:c r="G5" s="299" t="inlineStr">
        <x:is>
          <x:t xml:space="preserve">示例输出</x:t>
        </x:is>
      </x:c>
      <x:c r="H5" s="300" t="inlineStr">
        <x:is>
          <x:t xml:space="preserve">责任字段</x:t>
        </x:is>
      </x:c>
    </x:row>
    <x:row r="6">
      <x:c r="A6" s="301" t="n">
        <x:v>1</x:v>
      </x:c>
      <x:c r="B6" s="301" t="inlineStr">
        <x:is>
          <x:t xml:space="preserve">需求归一化</x:t>
        </x:is>
      </x:c>
      <x:c r="C6" s="301" t="inlineStr">
        <x:is>
          <x:t xml:space="preserve">逻辑ID、中文名、别名</x:t>
        </x:is>
      </x:c>
      <x:c r="D6" s="301" t="inlineStr">
        <x:is>
          <x:t xml:space="preserve">能写出唯一用途与复用范围</x:t>
        </x:is>
      </x:c>
      <x:c r="E6" s="301" t="inlineStr">
        <x:is>
          <x:t xml:space="preserve">只凭外观起名</x:t>
        </x:is>
      </x:c>
      <x:c r="F6" s="301" t="inlineStr">
        <x:is>
          <x:t xml:space="preserve">新的玩家右手</x:t>
        </x:is>
      </x:c>
      <x:c r="G6" s="301" t="inlineStr">
        <x:is>
          <x:t xml:space="preserve">logic=player_capsule01; slot=hand_r</x:t>
        </x:is>
      </x:c>
      <x:c r="H6" s="301" t="inlineStr">
        <x:is>
          <x:t xml:space="preserve">E/F/Q</x:t>
        </x:is>
      </x:c>
    </x:row>
    <x:row r="7">
      <x:c r="A7" s="138" t="n">
        <x:v>2</x:v>
      </x:c>
      <x:c r="B7" s="138" t="inlineStr">
        <x:is>
          <x:t xml:space="preserve">四重查重</x:t>
        </x:is>
      </x:c>
      <x:c r="C7" s="138" t="inlineStr">
        <x:is>
          <x:t xml:space="preserve">AssetID、查重键、文件名、SHA-256</x:t>
        </x:is>
      </x:c>
      <x:c r="D7" s="138" t="inlineStr">
        <x:is>
          <x:t xml:space="preserve">S列=唯一；无同哈希</x:t>
        </x:is>
      </x:c>
      <x:c r="E7" s="138" t="inlineStr">
        <x:is>
          <x:t xml:space="preserve">看到不同文件名就重做</x:t>
        </x:is>
      </x:c>
      <x:c r="F7" s="138" t="inlineStr">
        <x:is>
          <x:t xml:space="preserve">hand_r / 主手 / 枪手</x:t>
        </x:is>
      </x:c>
      <x:c r="G7" s="138" t="inlineStr">
        <x:is>
          <x:t xml:space="preserve">复用 CHR-PLY-CAPSULE01-HAND-R-SIDE</x:t>
        </x:is>
      </x:c>
      <x:c r="H7" s="138" t="inlineStr">
        <x:is>
          <x:t xml:space="preserve">A/R/S/T</x:t>
        </x:is>
      </x:c>
    </x:row>
    <x:row r="8">
      <x:c r="A8" s="138" t="n">
        <x:v>3</x:v>
      </x:c>
      <x:c r="B8" s="138" t="inlineStr">
        <x:is>
          <x:t xml:space="preserve">分类与父子关系</x:t>
        </x:is>
      </x:c>
      <x:c r="C8" s="138" t="inlineStr">
        <x:is>
          <x:t xml:space="preserve">分类码表、变体父ID</x:t>
        </x:is>
      </x:c>
      <x:c r="D8" s="138" t="inlineStr">
        <x:is>
          <x:t xml:space="preserve">只有一个大类；变体指向父ID</x:t>
        </x:is>
      </x:c>
      <x:c r="E8" s="138" t="inlineStr">
        <x:is>
          <x:t xml:space="preserve">跨目录复制同图</x:t>
        </x:is>
      </x:c>
      <x:c r="F8" s="138" t="inlineStr">
        <x:is>
          <x:t xml:space="preserve">受伤版头壳</x:t>
        </x:is>
      </x:c>
      <x:c r="G8" s="138" t="inlineStr">
        <x:is>
          <x:t xml:space="preserve">同 AssetID + state=hurt 或父子变体</x:t>
        </x:is>
      </x:c>
      <x:c r="H8" s="138" t="inlineStr">
        <x:is>
          <x:t xml:space="preserve">C/D/G/I</x:t>
        </x:is>
      </x:c>
    </x:row>
    <x:row r="9">
      <x:c r="A9" s="138" t="n">
        <x:v>4</x:v>
      </x:c>
      <x:c r="B9" s="138" t="inlineStr">
        <x:is>
          <x:t xml:space="preserve">命名</x:t>
        </x:is>
      </x:c>
      <x:c r="C9" s="138" t="inlineStr">
        <x:is>
          <x:t xml:space="preserve">前缀、逻辑ID、组件、视角、版本</x:t>
        </x:is>
      </x:c>
      <x:c r="D9" s="138" t="inlineStr">
        <x:is>
          <x:t xml:space="preserve">小写 snake_case 文件名；ID稳定</x:t>
        </x:is>
      </x:c>
      <x:c r="E9" s="138" t="inlineStr">
        <x:is>
          <x:t xml:space="preserve">空格/中文文件名/final_final</x:t>
        </x:is>
      </x:c>
      <x:c r="F9" s="138" t="inlineStr">
        <x:is>
          <x:t xml:space="preserve">玩家头壳 v2</x:t>
        </x:is>
      </x:c>
      <x:c r="G9" s="138" t="inlineStr">
        <x:is>
          <x:t xml:space="preserve">chr_player_capsule01_head_side_v002.png</x:t>
        </x:is>
      </x:c>
      <x:c r="H9" s="138" t="inlineStr">
        <x:is>
          <x:t xml:space="preserve">A/M/O</x:t>
        </x:is>
      </x:c>
    </x:row>
    <x:row r="10">
      <x:c r="A10" s="138" t="n">
        <x:v>5</x:v>
      </x:c>
      <x:c r="B10" s="138" t="inlineStr">
        <x:is>
          <x:t xml:space="preserve">组件制作</x:t>
        </x:is>
      </x:c>
      <x:c r="C10" s="138" t="inlineStr">
        <x:is>
          <x:t xml:space="preserve">角色/房间/家具尺寸/枪械/怪物/灯具共用根</x:t>
        </x:is>
      </x:c>
      <x:c r="D10" s="138" t="inlineStr">
        <x:is>
          <x:t xml:space="preserve">组件独立；3D用配置与父子变体</x:t>
        </x:is>
      </x:c>
      <x:c r="E10" s="138" t="inlineStr">
        <x:is>
          <x:t xml:space="preserve">关卡内复制枪表/房间/怪物根</x:t>
        </x:is>
      </x:c>
      <x:c r="F10" s="138" t="inlineStr">
        <x:is>
          <x:t xml:space="preserve">large可搜索柜</x:t>
        </x:is>
      </x:c>
      <x:c r="G10" s="138" t="inlineStr">
        <x:is>
          <x:t xml:space="preserve">seed/暗室开关/遮挡视野/七怪/59组合/撤离 PASS</x:t>
        </x:is>
      </x:c>
      <x:c r="H10" s="138" t="inlineStr">
        <x:is>
          <x:t xml:space="preserve">F/N/O/X</x:t>
        </x:is>
      </x:c>
    </x:row>
    <x:row r="11">
      <x:c r="A11" s="138" t="n">
        <x:v>6</x:v>
      </x:c>
      <x:c r="B11" s="138" t="inlineStr">
        <x:is>
          <x:t xml:space="preserve">验收</x:t>
        </x:is>
      </x:c>
      <x:c r="C11" s="138" t="inlineStr">
        <x:is>
          <x:t xml:space="preserve">透明边缘或3D灯光/雾/碰撞/状态/玩法逻辑/节点预算</x:t>
        </x:is>
      </x:c>
      <x:c r="D11" s="138" t="inlineStr">
        <x:is>
          <x:t xml:space="preserve">真实游戏镜头 + 玩法专项 + 性能专项通过</x:t>
        </x:is>
      </x:c>
      <x:c r="E11" s="138" t="inlineStr">
        <x:is>
          <x:t xml:space="preserve">只看母版或编辑器预览</x:t>
        </x:is>
      </x:c>
      <x:c r="F11" s="138" t="inlineStr">
        <x:is>
          <x:t xml:space="preserve">3D主题关卡</x:t>
        </x:is>
      </x:c>
      <x:c r="G11" s="138" t="inlineStr">
        <x:is>
          <x:t xml:space="preserve">seed/暗室开关/遮挡视野/七怪/56组合/撤离 PASS</x:t>
        </x:is>
      </x:c>
      <x:c r="H11" s="138" t="inlineStr">
        <x:is>
          <x:t xml:space="preserve">K/P/X</x:t>
        </x:is>
      </x:c>
    </x:row>
    <x:row r="12">
      <x:c r="A12" s="138" t="n">
        <x:v>7</x:v>
      </x:c>
      <x:c r="B12" s="138" t="inlineStr">
        <x:is>
          <x:t xml:space="preserve">登记与发布</x:t>
        </x:is>
      </x:c>
      <x:c r="C12" s="138" t="inlineStr">
        <x:is>
          <x:t xml:space="preserve">路径、尺寸、版本、哈希、许可</x:t>
        </x:is>
      </x:c>
      <x:c r="D12" s="138" t="inlineStr">
        <x:is>
          <x:t xml:space="preserve">字段齐全；更新时间为当天</x:t>
        </x:is>
      </x:c>
      <x:c r="E12" s="138" t="inlineStr">
        <x:is>
          <x:t xml:space="preserve">覆盖旧版本；删除历史来源</x:t>
        </x:is>
      </x:c>
      <x:c r="F12" s="138" t="inlineStr">
        <x:is>
          <x:t xml:space="preserve">通过的 PNG</x:t>
        </x:is>
      </x:c>
      <x:c r="G12" s="138" t="inlineStr">
        <x:is>
          <x:t xml:space="preserve">K=已完成，登记 SHA-256</x:t>
        </x:is>
      </x:c>
      <x:c r="H12" s="138" t="inlineStr">
        <x:is>
          <x:t xml:space="preserve">K–W</x:t>
        </x:is>
      </x:c>
    </x:row>
    <x:row r="13">
      <x:c r="A13" s="138" t="n">
        <x:v>8</x:v>
      </x:c>
      <x:c r="B13" s="138" t="inlineStr">
        <x:is>
          <x:t xml:space="preserve">弃用</x:t>
        </x:is>
      </x:c>
      <x:c r="C13" s="138" t="inlineStr">
        <x:is>
          <x:t xml:space="preserve">引用搜索、替代 AssetID</x:t>
        </x:is>
      </x:c>
      <x:c r="D13" s="138" t="inlineStr">
        <x:is>
          <x:t xml:space="preserve">K=弃用；备注写替代项</x:t>
        </x:is>
      </x:c>
      <x:c r="E13" s="138" t="inlineStr">
        <x:is>
          <x:t xml:space="preserve">直接删除仍被引用文件</x:t>
        </x:is>
      </x:c>
      <x:c r="F13" s="138" t="inlineStr">
        <x:is>
          <x:t xml:space="preserve">旧人类草案</x:t>
        </x:is>
      </x:c>
      <x:c r="G13" s="138" t="inlineStr">
        <x:is>
          <x:t xml:space="preserve">不入库或标弃用；不得误用</x:t>
        </x:is>
      </x:c>
      <x:c r="H13" s="138" t="inlineStr">
        <x:is>
          <x:t xml:space="preserve">K/X</x:t>
        </x:is>
      </x:c>
    </x:row>
    <x:row r="17">
      <x:c r="A17" s="56" t="inlineStr">
        <x:is>
          <x:t xml:space="preserve">命名正则：文件名 ^[a-z0-9]+(?:_[a-z0-9]+)*_v[0-9]{3}\.(png|webp|svg|wav|ogg|glb|gltf|tres|tscn)$ ｜ AssetID ^[A-Z0-9]+(?:-[A-Z0-9]+)+$</x:t>
        </x:is>
      </x:c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11" customWidth="1"/>
    <x:col min="4" max="4" width="24" customWidth="1"/>
    <x:col min="5" max="5" width="58" customWidth="1"/>
    <x:col min="6" max="6" width="18" customWidth="1"/>
    <x:col min="7" max="7" width="24" customWidth="1"/>
    <x:col min="8" max="8" width="12" customWidth="1"/>
  </x:cols>
  <x:sheetData>
    <x:row r="1" ht="25" customHeight="1">
      <x:c r="A1" s="3" t="inlineStr">
        <x:is>
          <x:t xml:space="preserve">当前角色原型 · 兔子组件角色</x:t>
        </x:is>
      </x:c>
    </x:row>
    <x:row r="2" ht="12" customHeight="1"/>
    <x:row r="3" ht="23" customHeight="1">
      <x:c r="A3" s="6" t="inlineStr">
        <x:is>
          <x:t xml:space="preserve">1.5m 俯视3D角色；逻辑根、虚拟碰撞胶囊、视觉组件和 WeaponSocket 相互独立</x:t>
        </x:is>
      </x:c>
    </x:row>
    <x:row r="5" ht="32" customHeight="1">
      <x:c r="A5" s="298" t="inlineStr">
        <x:is>
          <x:t xml:space="preserve">组件</x:t>
        </x:is>
      </x:c>
      <x:c r="B5" s="299" t="inlineStr">
        <x:is>
          <x:t xml:space="preserve">AssetID</x:t>
        </x:is>
      </x:c>
      <x:c r="C5" s="299" t="inlineStr">
        <x:is>
          <x:t xml:space="preserve">尺寸</x:t>
        </x:is>
      </x:c>
      <x:c r="D5" s="299" t="inlineStr">
        <x:is>
          <x:t xml:space="preserve">用途</x:t>
        </x:is>
      </x:c>
      <x:c r="E5" s="299" t="inlineStr">
        <x:is>
          <x:t xml:space="preserve">文件</x:t>
        </x:is>
      </x:c>
      <x:c r="F5" s="299" t="inlineStr">
        <x:is>
          <x:t xml:space="preserve">哈希前12位</x:t>
        </x:is>
      </x:c>
      <x:c r="G5" s="299" t="inlineStr">
        <x:is>
          <x:t xml:space="preserve">动作方式</x:t>
        </x:is>
      </x:c>
      <x:c r="H5" s="300" t="inlineStr">
        <x:is>
          <x:t xml:space="preserve">验收</x:t>
        </x:is>
      </x:c>
    </x:row>
    <x:row r="6" ht="42" customHeight="1">
      <x:c r="A6" s="301" t="inlineStr">
        <x:is>
          <x:t xml:space="preserve">root</x:t>
        </x:is>
      </x:c>
      <x:c r="B6" s="301" t="inlineStr">
        <x:is>
          <x:t xml:space="preserve">CHR-PLY-CAPSULE01-3D-BUNNY01</x:t>
        </x:is>
      </x:c>
      <x:c r="C6" s="301" t="inlineStr">
        <x:is>
          <x:t xml:space="preserve">1.034×1.500×0.645m</x:t>
        </x:is>
      </x:c>
      <x:c r="D6" s="301" t="inlineStr">
        <x:is>
          <x:t xml:space="preserve">视觉组件根</x:t>
        </x:is>
      </x:c>
      <x:c r="E6" s="301" t="inlineStr">
        <x:is>
          <x:t xml:space="preserve">assets/art/characters/player/chr_player_capsule01_3d/variants/bunny01/chr_player_capsule01_bunny01_root_top3d_v006.tscn</x:t>
        </x:is>
      </x:c>
      <x:c r="F6" s="301" t="inlineStr">
        <x:is>
          <x:t xml:space="preserve">b894e9fe05f8</x:t>
        </x:is>
      </x:c>
      <x:c r="G6" s="301" t="inlineStr">
        <x:is>
          <x:t xml:space="preserve">八态 + 动作覆盖层</x:t>
        </x:is>
      </x:c>
      <x:c r="H6" s="301" t="inlineStr">
        <x:is>
          <x:t xml:space="preserve">通过</x:t>
        </x:is>
      </x:c>
    </x:row>
    <x:row r="7" ht="42" customHeight="1">
      <x:c r="A7" s="138" t="inlineStr">
        <x:is>
          <x:t xml:space="preserve">body</x:t>
        </x:is>
      </x:c>
      <x:c r="B7" s="138" t="inlineStr">
        <x:is>
          <x:t xml:space="preserve">CHR-PLY-CAPSULE01-3D-BUNNY01-BODY</x:t>
        </x:is>
      </x:c>
      <x:c r="C7" s="138" t="inlineStr">
        <x:is>
          <x:t xml:space="preserve">1.5m角色比例</x:t>
        </x:is>
      </x:c>
      <x:c r="D7" s="138" t="inlineStr">
        <x:is>
          <x:t xml:space="preserve">身体组件</x:t>
        </x:is>
      </x:c>
      <x:c r="E7" s="138" t="inlineStr">
        <x:is>
          <x:t xml:space="preserve">assets/art/characters/player/chr_player_capsule01_3d/variants/bunny01/components/chr_player_capsule01_bunny01_body_top3d_v006.glb</x:t>
        </x:is>
      </x:c>
      <x:c r="F7" s="138" t="inlineStr">
        <x:is>
          <x:t xml:space="preserve">c574d76e0f19</x:t>
        </x:is>
      </x:c>
      <x:c r="G7" s="138" t="inlineStr">
        <x:is>
          <x:t xml:space="preserve">呼吸/移动/受击</x:t>
        </x:is>
      </x:c>
      <x:c r="H7" s="138" t="inlineStr">
        <x:is>
          <x:t xml:space="preserve">通过</x:t>
        </x:is>
      </x:c>
    </x:row>
    <x:row r="8" ht="42" customHeight="1">
      <x:c r="A8" s="138" t="inlineStr">
        <x:is>
          <x:t xml:space="preserve">head</x:t>
        </x:is>
      </x:c>
      <x:c r="B8" s="138" t="inlineStr">
        <x:is>
          <x:t xml:space="preserve">CHR-PLY-CAPSULE01-3D-BUNNY01-HEAD</x:t>
        </x:is>
      </x:c>
      <x:c r="C8" s="138" t="inlineStr">
        <x:is>
          <x:t xml:space="preserve">头顶1.103390m</x:t>
        </x:is>
      </x:c>
      <x:c r="D8" s="138" t="inlineStr">
        <x:is>
          <x:t xml:space="preserve">头部组件</x:t>
        </x:is>
      </x:c>
      <x:c r="E8" s="138" t="inlineStr">
        <x:is>
          <x:t xml:space="preserve">assets/art/characters/player/chr_player_capsule01_3d/variants/bunny01/components/chr_player_capsule01_bunny01_head_top3d_v006.glb</x:t>
        </x:is>
      </x:c>
      <x:c r="F8" s="138" t="inlineStr">
        <x:is>
          <x:t xml:space="preserve">b8db86c722bb</x:t>
        </x:is>
      </x:c>
      <x:c r="G8" s="138" t="inlineStr">
        <x:is>
          <x:t xml:space="preserve">延迟跟随/受击</x:t>
        </x:is>
      </x:c>
      <x:c r="H8" s="138" t="inlineStr">
        <x:is>
          <x:t xml:space="preserve">通过</x:t>
        </x:is>
      </x:c>
    </x:row>
    <x:row r="9" ht="42" customHeight="1">
      <x:c r="A9" s="138" t="inlineStr">
        <x:is>
          <x:t xml:space="preserve">ears</x:t>
        </x:is>
      </x:c>
      <x:c r="B9" s="138" t="inlineStr">
        <x:is>
          <x:t xml:space="preserve">CHR-PLY-CAPSULE01-3D-BUNNY01-EARS</x:t>
        </x:is>
      </x:c>
      <x:c r="C9" s="138" t="inlineStr">
        <x:is>
          <x:t xml:space="preserve">单GLB双实例</x:t>
        </x:is>
      </x:c>
      <x:c r="D9" s="138" t="inlineStr">
        <x:is>
          <x:t xml:space="preserve">双耳配件</x:t>
        </x:is>
      </x:c>
      <x:c r="E9" s="138" t="inlineStr">
        <x:is>
          <x:t xml:space="preserve">assets/art/characters/player/chr_player_capsule01_3d/variants/bunny01/components/chr_player_capsule01_bunny01_ear_top3d_v006.glb</x:t>
        </x:is>
      </x:c>
      <x:c r="F9" s="138" t="inlineStr">
        <x:is>
          <x:t xml:space="preserve">ed3c7abe2831</x:t>
        </x:is>
      </x:c>
      <x:c r="G9" s="138" t="inlineStr">
        <x:is>
          <x:t xml:space="preserve">跟随/摆动</x:t>
        </x:is>
      </x:c>
      <x:c r="H9" s="138" t="inlineStr">
        <x:is>
          <x:t xml:space="preserve">通过</x:t>
        </x:is>
      </x:c>
    </x:row>
    <x:row r="10" ht="42" customHeight="1">
      <x:c r="A10" s="138" t="inlineStr">
        <x:is>
          <x:t xml:space="preserve">hands</x:t>
        </x:is>
      </x:c>
      <x:c r="B10" s="138" t="inlineStr">
        <x:is>
          <x:t xml:space="preserve">CHR-PLY-CAPSULE01-3D-BUNNY01-HAND</x:t>
        </x:is>
      </x:c>
      <x:c r="C10" s="138" t="inlineStr">
        <x:is>
          <x:t xml:space="preserve">左右独立GLB</x:t>
        </x:is>
      </x:c>
      <x:c r="D10" s="138" t="inlineStr">
        <x:is>
          <x:t xml:space="preserve">握持与支撑手</x:t>
        </x:is>
      </x:c>
      <x:c r="E10" s="138" t="inlineStr">
        <x:is>
          <x:t xml:space="preserve">assets/art/characters/player/chr_player_capsule01_3d/variants/bunny01/components/chr_player_capsule01_bunny01_hand_l_top3d_v006.glb; ...hand_r...v006.glb</x:t>
        </x:is>
      </x:c>
      <x:c r="F10" s="138" t="inlineStr">
        <x:is>
          <x:t xml:space="preserve">2c6647c0e4f2</x:t>
        </x:is>
      </x:c>
      <x:c r="G10" s="138" t="inlineStr">
        <x:is>
          <x:t xml:space="preserve">单手/双手握持</x:t>
        </x:is>
      </x:c>
      <x:c r="H10" s="138" t="inlineStr">
        <x:is>
          <x:t xml:space="preserve">通过</x:t>
        </x:is>
      </x:c>
    </x:row>
    <x:row r="11" ht="42" customHeight="1">
      <x:c r="A11" t="inlineStr">
        <x:is>
          <x:t xml:space="preserve">foot_l</x:t>
        </x:is>
      </x:c>
      <x:c r="B11" s="349" t="inlineStr">
        <x:is>
          <x:t xml:space="preserve">CHR-PLY-CAPSULE01-3D-BUNNY01-FOOT-L</x:t>
        </x:is>
      </x:c>
      <x:c r="C11" t="inlineStr">
        <x:is>
          <x:t xml:space="preserve">1.5m角色比例</x:t>
        </x:is>
      </x:c>
      <x:c r="D11" t="inlineStr">
        <x:is>
          <x:t xml:space="preserve">左脚组件</x:t>
        </x:is>
      </x:c>
      <x:c r="E11" s="349" t="inlineStr">
        <x:is>
          <x:t xml:space="preserve">assets/art/characters/player/chr_player_capsule01_3d/variants/bunny01/components/chr_player_capsule01_bunny01_foot_l_top3d_v006.glb</x:t>
        </x:is>
      </x:c>
      <x:c r="F11" t="inlineStr">
        <x:is>
          <x:t xml:space="preserve">52051cba0db7</x:t>
        </x:is>
      </x:c>
      <x:c r="G11" t="inlineStr">
        <x:is>
          <x:t xml:space="preserve">步态/下落/落地</x:t>
        </x:is>
      </x:c>
      <x:c r="H11" t="inlineStr">
        <x:is>
          <x:t xml:space="preserve">通过</x:t>
        </x:is>
      </x:c>
    </x:row>
    <x:row r="12" ht="42" customHeight="1">
      <x:c r="A12" t="inlineStr">
        <x:is>
          <x:t xml:space="preserve">foot_r</x:t>
        </x:is>
      </x:c>
      <x:c r="B12" s="349" t="inlineStr">
        <x:is>
          <x:t xml:space="preserve">CHR-PLY-CAPSULE01-3D-BUNNY01-FOOT-R</x:t>
        </x:is>
      </x:c>
      <x:c r="C12" t="inlineStr">
        <x:is>
          <x:t xml:space="preserve">1.5m角色比例</x:t>
        </x:is>
      </x:c>
      <x:c r="D12" t="inlineStr">
        <x:is>
          <x:t xml:space="preserve">右脚组件</x:t>
        </x:is>
      </x:c>
      <x:c r="E12" s="349" t="inlineStr">
        <x:is>
          <x:t xml:space="preserve">assets/art/characters/player/chr_player_capsule01_3d/variants/bunny01/components/chr_player_capsule01_bunny01_foot_r_top3d_v006.glb</x:t>
        </x:is>
      </x:c>
      <x:c r="F12" t="inlineStr">
        <x:is>
          <x:t xml:space="preserve">d81e840f5c08</x:t>
        </x:is>
      </x:c>
      <x:c r="G12" t="inlineStr">
        <x:is>
          <x:t xml:space="preserve">步态/下落/落地</x:t>
        </x:is>
      </x:c>
      <x:c r="H12" t="inlineStr">
        <x:is>
          <x:t xml:space="preserve">通过</x:t>
        </x:is>
      </x:c>
    </x:row>
    <x:row r="13">
      <x:c r="A13" s="57" t="inlineStr">
        <x:is>
          <x:t xml:space="preserve">八态游戏内验收（Idle / Moving / Dashing / Hurt / Locked / Falling / Landing / Dead）</x:t>
        </x:is>
      </x:c>
    </x:row>
    <x:row r="15" ht="32" customHeight="1">
      <x:c r="A15" s="298" t="inlineStr">
        <x:is>
          <x:t xml:space="preserve">IDLE</x:t>
        </x:is>
      </x:c>
      <x:c r="B15" s="299" t="inlineStr">
        <x:is>
          <x:t xml:space="preserve">MOVING</x:t>
        </x:is>
      </x:c>
      <x:c r="C15" s="299" t="inlineStr">
        <x:is>
          <x:t xml:space="preserve">DASHING</x:t>
        </x:is>
      </x:c>
      <x:c r="D15" s="299" t="inlineStr">
        <x:is>
          <x:t xml:space="preserve">HURT</x:t>
        </x:is>
      </x:c>
      <x:c r="E15" s="299" t="inlineStr">
        <x:is>
          <x:t xml:space="preserve">LOCKED</x:t>
        </x:is>
      </x:c>
      <x:c r="F15" s="300" t="inlineStr">
        <x:is>
          <x:t xml:space="preserve">FALLING</x:t>
        </x:is>
      </x:c>
      <x:c r="G15" s="108" t="inlineStr">
        <x:is>
          <x:t xml:space="preserve">LANDING</x:t>
        </x:is>
      </x:c>
      <x:c r="H15" s="108" t="inlineStr">
        <x:is>
          <x:t xml:space="preserve">DEAD</x:t>
        </x:is>
      </x:c>
    </x:row>
    <x:row r="16">
      <x:c r="A16" s="301" t="inlineStr">
        <x:is>
          <x:t xml:space="preserve">待命</x:t>
        </x:is>
      </x:c>
      <x:c r="B16" s="301" t="inlineStr">
        <x:is>
          <x:t xml:space="preserve">移动</x:t>
        </x:is>
      </x:c>
      <x:c r="C16" s="301" t="inlineStr">
        <x:is>
          <x:t xml:space="preserve">突进</x:t>
        </x:is>
      </x:c>
      <x:c r="D16" s="301" t="inlineStr">
        <x:is>
          <x:t xml:space="preserve">受创</x:t>
        </x:is>
      </x:c>
      <x:c r="E16" s="301" t="inlineStr">
        <x:is>
          <x:t xml:space="preserve">交互锁定</x:t>
        </x:is>
      </x:c>
      <x:c r="F16" s="301" t="inlineStr">
        <x:is>
          <x:t xml:space="preserve">下落</x:t>
        </x:is>
      </x:c>
      <x:c r="G16" t="inlineStr">
        <x:is>
          <x:t xml:space="preserve">落地</x:t>
        </x:is>
      </x:c>
      <x:c r="H16" t="inlineStr">
        <x:is>
          <x:t xml:space="preserve">生命终止</x:t>
        </x:is>
      </x:c>
    </x:row>
    <x:row r="17">
      <x:c r="A17" s="138" t="inlineStr">
        <x:is>
          <x:t xml:space="preserve">呼吸/重心</x:t>
        </x:is>
      </x:c>
      <x:c r="B17" s="138" t="inlineStr">
        <x:is>
          <x:t xml:space="preserve">双脚交替</x:t>
        </x:is>
      </x:c>
      <x:c r="C17" s="138" t="inlineStr">
        <x:is>
          <x:t xml:space="preserve">翻滚收束</x:t>
        </x:is>
      </x:c>
      <x:c r="D17" s="138" t="inlineStr">
        <x:is>
          <x:t xml:space="preserve">反向冲击</x:t>
        </x:is>
      </x:c>
      <x:c r="E17" s="138" t="inlineStr">
        <x:is>
          <x:t xml:space="preserve">姿态稳定</x:t>
        </x:is>
      </x:c>
      <x:c r="F17" s="138" t="inlineStr">
        <x:is>
          <x:t xml:space="preserve">收腿下落</x:t>
        </x:is>
      </x:c>
      <x:c r="G17" t="inlineStr">
        <x:is>
          <x:t xml:space="preserve">压缩回弹</x:t>
        </x:is>
      </x:c>
      <x:c r="H17" t="inlineStr">
        <x:is>
          <x:t xml:space="preserve">整体倒伏</x:t>
        </x:is>
      </x:c>
    </x:row>
    <x:row r="18">
      <x:c r="A18" s="138" t="inlineStr">
        <x:is>
          <x:t xml:space="preserve">可进移动/突进</x:t>
        </x:is>
      </x:c>
      <x:c r="B18" s="138" t="inlineStr">
        <x:is>
          <x:t xml:space="preserve">可进待命/突进</x:t>
        </x:is>
      </x:c>
      <x:c r="C18" s="138" t="inlineStr">
        <x:is>
          <x:t xml:space="preserve">回到待命或移动</x:t>
        </x:is>
      </x:c>
      <x:c r="D18" s="138" t="inlineStr">
        <x:is>
          <x:t xml:space="preserve">恢复原状态</x:t>
        </x:is>
      </x:c>
      <x:c r="E18" s="138" t="inlineStr">
        <x:is>
          <x:t xml:space="preserve">由交互释放</x:t>
        </x:is>
      </x:c>
      <x:c r="F18" s="138" t="inlineStr">
        <x:is>
          <x:t xml:space="preserve">只进落地或死亡</x:t>
        </x:is>
      </x:c>
      <x:c r="G18" t="inlineStr">
        <x:is>
          <x:t xml:space="preserve">回到可控态</x:t>
        </x:is>
      </x:c>
      <x:c r="H18" t="inlineStr">
        <x:is>
          <x:t xml:space="preserve">终态</x:t>
        </x:is>
      </x:c>
    </x:row>
    <x:row r="19">
      <x:c r="A19" s="138" t="inlineStr">
        <x:is>
          <x:t xml:space="preserve">允许射击覆盖</x:t>
        </x:is>
      </x:c>
      <x:c r="B19" s="138" t="inlineStr">
        <x:is>
          <x:t xml:space="preserve">允许射击覆盖</x:t>
        </x:is>
      </x:c>
      <x:c r="C19" s="138" t="inlineStr">
        <x:is>
          <x:t xml:space="preserve">无敌窗</x:t>
        </x:is>
      </x:c>
      <x:c r="D19" s="138" t="inlineStr">
        <x:is>
          <x:t xml:space="preserve">受击反馈</x:t>
        </x:is>
      </x:c>
      <x:c r="E19" s="138" t="inlineStr">
        <x:is>
          <x:t xml:space="preserve">输入锁定</x:t>
        </x:is>
      </x:c>
      <x:c r="F19" s="138" t="inlineStr">
        <x:is>
          <x:t xml:space="preserve">关闭地面步态</x:t>
        </x:is>
      </x:c>
      <x:c r="G19" t="inlineStr">
        <x:is>
          <x:t xml:space="preserve">短时落地冲击</x:t>
        </x:is>
      </x:c>
      <x:c r="H19" t="inlineStr">
        <x:is>
          <x:t xml:space="preserve">停止动作</x:t>
        </x:is>
      </x:c>
    </x:row>
    <x:row r="21">
      <x:c r="A21" s="58" t="inlineStr">
        <x:is>
          <x:t xml:space="preserve">视觉输出：outputs/verification/player3d_state_gallery.png</x:t>
        </x:is>
      </x:c>
    </x:row>
    <x:row r="23">
      <x:c r="A23" s="61" t="inlineStr">
        <x:is>
          <x:t xml:space="preserve">验证命令：./scripts/run_verification_suite.sh scene verify_player3d_state_gallery_flow</x:t>
        </x:is>
      </x:c>
    </x:row>
    <x:row r="24" ht="24" customHeight="1">
      <x:c r="A24" s="73" t="inlineStr">
        <x:is>
          <x:t xml:space="preserve">换弹覆盖层：唯一手 + WeaponSocket 同相动作；测试 tests/verification/verify_3d_reload_state_flow.tscn</x:t>
        </x:is>
      </x:c>
    </x:row>
    <x:row r="25" ht="30" customHeight="1">
      <x:c r="A25" s="349" t="inlineStr">
        <x:is>
          <x:t xml:space="preserve">独立3D验收：scenes/Player3DStateGallery.tscn；验证位于 tests/verification/</x:t>
        </x:is>
      </x:c>
    </x:row>
    <x:row r="26" ht="32" customHeight="1">
      <x:c r="A26" s="83" t="inlineStr">
        <x:is>
          <x:t xml:space="preserve">动作覆盖层：firing / charging / knockback 不新增顶层状态；测试 tests/verification/verify_player3d_state_gallery_flow.tscn</x:t>
        </x:is>
      </x:c>
    </x:row>
    <x:row r="28" ht="34" customHeight="1">
      <x:c r="A28" s="95" t="inlineStr">
        <x:is>
          <x:t xml:space="preserve">DIY：body / head / hand / feet / hat / glasses 只改表现；测试 tests/verification/verify_player3d_diy_flow.tscn</x:t>
        </x:is>
      </x:c>
    </x:row>
    <x:row r="29" ht="38" customHeight="1">
      <x:c r="A29" t="inlineStr">
        <x:is>
          <x:t xml:space="preserve">v0.1 兔子组件：Body / Head / Ears / HandL / HandR / FootL / FootR；视觉根不含玩法碰撞。</x:t>
        </x:is>
      </x:c>
    </x:row>
  </x:sheetData>
  <x:mergeCells>
    <x:mergeCell ref="A1:N2"/>
    <x:mergeCell ref="A21:H21"/>
    <x:mergeCell ref="A3:N3"/>
    <x:mergeCell ref="A26:N26"/>
    <x:mergeCell ref="A24:N24"/>
    <x:mergeCell ref="A29:N29"/>
    <x:mergeCell ref="A25:N25"/>
    <x:mergeCell ref="A13:H13"/>
    <x:mergeCell ref="A23:H23"/>
    <x:mergeCell ref="A28:N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24" customWidth="1"/>
    <x:col min="4" max="4" width="28" customWidth="1"/>
    <x:col min="5" max="5" width="60" customWidth="1"/>
    <x:col min="6" max="6" width="48" customWidth="1"/>
    <x:col min="7" max="7" width="12" customWidth="1"/>
    <x:col min="8" max="8" width="24" customWidth="1"/>
  </x:cols>
  <x:sheetData>
    <x:row r="1" ht="25" customHeight="1">
      <x:c r="A1" s="296" t="inlineStr">
        <x:is>
          <x:t xml:space="preserve">资产台账版本记录 · 游戏设计文档 v0.1</x:t>
        </x:is>
      </x:c>
    </x:row>
    <x:row r="2" ht="12" customHeight="1"/>
    <x:row r="3" ht="23" customHeight="1">
      <x:c r="A3" s="297" t="inlineStr">
        <x:is>
          <x:t xml:space="preserve">只记录当前有效基线；历史变更通过版本控制追溯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</x:row>
    <x:row r="5" ht="32" customHeight="1">
      <x:c r="A5" s="298" t="inlineStr">
        <x:is>
          <x:t xml:space="preserve">台账版本</x:t>
        </x:is>
      </x:c>
      <x:c r="B5" s="299" t="inlineStr">
        <x:is>
          <x:t xml:space="preserve">日期</x:t>
        </x:is>
      </x:c>
      <x:c r="C5" s="299" t="inlineStr">
        <x:is>
          <x:t xml:space="preserve">变更类型</x:t>
        </x:is>
      </x:c>
      <x:c r="D5" s="299" t="inlineStr">
        <x:is>
          <x:t xml:space="preserve">范围</x:t>
        </x:is>
      </x:c>
      <x:c r="E5" s="299" t="inlineStr">
        <x:is>
          <x:t xml:space="preserve">说明</x:t>
        </x:is>
      </x:c>
      <x:c r="F5" s="299" t="inlineStr">
        <x:is>
          <x:t xml:space="preserve">兼容性</x:t>
        </x:is>
      </x:c>
      <x:c r="G5" s="300" t="inlineStr">
        <x:is>
          <x:t xml:space="preserve">负责人</x:t>
        </x:is>
      </x:c>
    </x:row>
    <x:row r="6" ht="46" customHeight="1">
      <x:c r="A6" s="301" t="inlineStr">
        <x:is>
          <x:t xml:space="preserve">v0.1.0</x:t>
        </x:is>
      </x:c>
      <x:c r="B6" s="302" t="n">
        <x:v>46236</x:v>
      </x:c>
      <x:c r="C6" s="301" t="inlineStr">
        <x:is>
          <x:t xml:space="preserve">游戏设计文档 v0.1</x:t>
        </x:is>
      </x:c>
      <x:c r="D6" s="301" t="inlineStr">
        <x:is>
          <x:t xml:space="preserve">全项目</x:t>
        </x:is>
      </x:c>
      <x:c r="E6" s="301" t="inlineStr">
        <x:is>
          <x:t xml:space="preserve">统一3D塔楼主线、测试目录、当前资产路径、状态口径和投影契约；清理历史制作版本。</x:t>
        </x:is>
      </x:c>
      <x:c r="F6" s="301" t="inlineStr">
        <x:is>
          <x:t xml:space="preserve">只保留当前运行资产；历史追溯使用版本控制。</x:t>
        </x:is>
      </x:c>
      <x:c r="G6" s="301" t="inlineStr">
        <x:is>
          <x:t xml:space="preserve">Codex</x:t>
        </x:is>
      </x:c>
    </x:row>
    <x:row r="7" ht="46" customHeight="1">
      <x:c r="A7" s="349" t="inlineStr">
        <x:is>
          <x:t xml:space="preserve">v0.1.1</x:t>
        </x:is>
      </x:c>
      <x:c r="B7" s="348" t="n">
        <x:v>46240</x:v>
      </x:c>
      <x:c r="C7" s="349" t="inlineStr">
        <x:is>
          <x:t xml:space="preserve">角色武器表现调整</x:t>
        </x:is>
      </x:c>
      <x:c r="D7" s="349" t="inlineStr">
        <x:is>
          <x:t xml:space="preserve">player_capsule01_3d</x:t>
        </x:is>
      </x:c>
      <x:c r="E7" s="349" t="inlineStr">
        <x:is>
          <x:t xml:space="preserve">新增主左/副右背部收纳挂点，枪口统一朝下；复用既有武器模型与AssetID。</x:t>
        </x:is>
      </x:c>
      <x:c r="F7" s="349" t="inlineStr">
        <x:is>
          <x:t xml:space="preserve">不改武器实例、碰撞、伤害或切枪规则。</x:t>
        </x:is>
      </x:c>
      <x:c r="G7" s="349" t="inlineStr">
        <x:is>
          <x:t xml:space="preserve">Codex</x:t>
        </x:is>
      </x:c>
    </x:row>
    <x:row r="8" ht="46" customHeight="1">
      <x:c r="A8" s="349" t="inlineStr">
        <x:is>
          <x:t xml:space="preserve">v0.1.2</x:t>
        </x:is>
      </x:c>
      <x:c r="B8" s="348" t="n">
        <x:v>46241</x:v>
      </x:c>
      <x:c r="C8" s="349" t="inlineStr">
        <x:is>
          <x:t xml:space="preserve">音频与体验一致性</x:t>
        </x:is>
      </x:c>
      <x:c r="D8" s="349" t="inlineStr">
        <x:is>
          <x:t xml:space="preserve">31项音效/UI/玩家死亡</x:t>
        </x:is>
      </x:c>
      <x:c r="E8" s="349" t="inlineStr">
        <x:is>
          <x:t xml:space="preserve">登记OGG运行资产与哈希；更新包裹/贩卖机UI版本和死亡击飞回弹状态。</x:t>
        </x:is>
      </x:c>
      <x:c r="F8" s="349" t="inlineStr">
        <x:is>
          <x:t xml:space="preserve">WAV母版保留；运行时改用版本化OGG；不改变稳定事件键和AssetID。</x:t>
        </x:is>
      </x:c>
      <x:c r="G8" s="349" t="inlineStr">
        <x:is>
          <x:t xml:space="preserve">Codex</x:t>
        </x:is>
      </x:c>
    </x:row>
    <x:row r="9" ht="48" customHeight="1">
      <x:c r="A9" s="349" t="inlineStr">
        <x:is>
          <x:t xml:space="preserve">v0.1.6</x:t>
        </x:is>
      </x:c>
      <x:c r="B9" s="348" t="n">
        <x:v>46244</x:v>
      </x:c>
      <x:c r="C9" s="349" t="inlineStr">
        <x:is>
          <x:t xml:space="preserve">大型近战与动作状态机</x:t>
        </x:is>
      </x:c>
      <x:c r="D9" s="349" t="inlineStr">
        <x:is>
          <x:t xml:space="preserve">2武器/4动作态/三段连击</x:t>
        </x:is>
      </x:c>
      <x:c r="E9" s="349" t="inlineStr">
        <x:is>
          <x:t xml:space="preserve">登记巨型工业断刃、攻城裂甲斧程序原型；新增近战ready/windup/active/recovery动作契约与专项验收。</x:t>
        </x:is>
      </x:c>
      <x:c r="F9" s="349" t="inlineStr">
        <x:is>
          <x:t xml:space="preserve">不改变玩家八态移动机、碰撞体或WeaponInstance稳定身份；近战根无子弹槽。</x:t>
        </x:is>
      </x:c>
      <x:c r="G9" s="349" t="inlineStr">
        <x:is>
          <x:t xml:space="preserve">Codex</x:t>
        </x:is>
      </x:c>
    </x:row>
    <x:row r="10" ht="58" customHeight="1">
      <x:c r="A10" s="349" t="inlineStr">
        <x:is>
          <x:t xml:space="preserve">v0.1.7</x:t>
        </x:is>
      </x:c>
      <x:c r="B10" s="348" t="n">
        <x:v>46244</x:v>
      </x:c>
      <x:c r="C10" s="349" t="inlineStr">
        <x:is>
          <x:t xml:space="preserve">近战打击VFX与音频反馈</x:t>
        </x:is>
      </x:c>
      <x:c r="D10" s="349" t="inlineStr">
        <x:is>
          <x:t xml:space="preserve">战斗VFX/2音频/2近战</x:t>
        </x:is>
      </x:c>
      <x:c r="E10" s="349" t="inlineStr">
        <x:is>
          <x:t xml:space="preserve">复用VFX-COMBAT-KIT-3D扩展slash/melee_impact；登记melee_swing/melee_impact OGG与母版哈希；同步动作状态、武器反馈和专项验收。</x:t>
        </x:is>
      </x:c>
      <x:c r="F10" s="349" t="inlineStr">
        <x:is>
          <x:t xml:space="preserve">不改命中判定、伤害或稳定武器ID；VFX无碰撞；多目标冲击主音去重。</x:t>
        </x:is>
      </x:c>
      <x:c r="G10" s="349" t="inlineStr">
        <x:is>
          <x:t xml:space="preserve">Codex</x:t>
        </x:is>
      </x:c>
    </x:row>
    <x:row r="11" ht="58" customHeight="1">
      <x:c r="A11" s="349" t="inlineStr">
        <x:is>
          <x:t xml:space="preserve">v0.1.8</x:t>
        </x:is>
      </x:c>
      <x:c r="B11" s="348" t="n">
        <x:v>46244</x:v>
      </x:c>
      <x:c r="C11" s="349" t="inlineStr">
        <x:is>
          <x:t xml:space="preserve">初级近战与统一枪械配件槽</x:t>
        </x:is>
      </x:c>
      <x:c r="D11" s="349" t="inlineStr">
        <x:is>
          <x:t xml:space="preserve">1武器/6公共槽/7枪兼容矩阵</x:t>
        </x:is>
      </x:c>
      <x:c r="E11" s="349" t="inlineStr">
        <x:is>
          <x:t xml:space="preserve">登记基地初级棒球棍；所有枪显示瞄具/枪口/弹匣/枪托/战术/特性统一位置，不支持槽禁用；配件可单拆，整枪移动保留装配树。</x:t>
        </x:is>
      </x:c>
      <x:c r="F11" s="349" t="inlineStr">
        <x:is>
          <x:t xml:space="preserve">WeaponInstance schema v2兼容v1 MOUNT旧快照；不改命运永久槽或内部递归挂载。</x:t>
        </x:is>
      </x:c>
      <x:c r="G11" s="349" t="inlineStr">
        <x:is>
          <x:t xml:space="preserve">Codex</x:t>
        </x:is>
      </x:c>
    </x:row>
    <x:row r="12">
      <x:c r="A12" s="349" t="inlineStr">
        <x:is>
          <x:t xml:space="preserve">v0.1.9</x:t>
        </x:is>
      </x:c>
      <x:c r="B12" s="332" t="n">
        <x:v>46244</x:v>
      </x:c>
      <x:c r="C12" s="349" t="inlineStr">
        <x:is>
          <x:t xml:space="preserve">正式基地设施与独立枪械美术接入</x:t>
        </x:is>
      </x:c>
      <x:c r="D12" s="349" t="inlineStr">
        <x:is>
          <x:t xml:space="preserve">5设施/18枪/统一挂点</x:t>
        </x:is>
      </x:c>
      <x:c r="E12" s="349" t="inlineStr">
        <x:is>
          <x:t xml:space="preserve">基地接入贩卖机、情报台、工作台；18把枪拆为独立资产，7把映射现有蓝图，其余入未来资产池。</x:t>
        </x:is>
      </x:c>
      <x:c r="F12" s="349" t="inlineStr">
        <x:is>
          <x:t xml:space="preserve">不改玩法稳定ID；枪械统一Grip原点/local -Z枪口与8类挂点；旧程序模型保留为回退。</x:t>
        </x:is>
      </x:c>
      <x:c r="G12" s="349" t="inlineStr">
        <x:is>
          <x:t xml:space="preserve">Codex</x:t>
        </x:is>
      </x:c>
    </x:row>
    <x:row r="13" ht="60" customHeight="1">
      <x:c r="A13" s="349" t="inlineStr">
        <x:is>
          <x:t xml:space="preserve">v0.1.8</x:t>
        </x:is>
      </x:c>
      <x:c r="B13" s="332" t="n">
        <x:v>46245</x:v>
      </x:c>
      <x:c r="C13" s="349" t="inlineStr">
        <x:is>
          <x:t xml:space="preserve">??????????</x:t>
        </x:is>
      </x:c>
      <x:c r="D13" s="349" t="inlineStr">
        <x:is>
          <x:t xml:space="preserve">vault / fate_collection</x:t>
        </x:is>
      </x:c>
      <x:c r="E13" s="349" t="inlineStr">
        <x:is>
          <x:t xml:space="preserve">????????????????????????????????????????????????</x:t>
        </x:is>
      </x:c>
      <x:c r="F13" s="349" t="inlineStr">
        <x:is>
          <x:t xml:space="preserve">??facility_id???????????????????????</x:t>
        </x:is>
      </x:c>
      <x:c r="G13" s="349" t="inlineStr">
        <x:is>
          <x:t xml:space="preserve">Codex</x:t>
        </x:is>
      </x:c>
    </x:row>
    <x:row r="14" ht="54" customHeight="1">
      <x:c r="A14" s="349" t="inlineStr">
        <x:is>
          <x:t xml:space="preserve">v0.1.10</x:t>
        </x:is>
      </x:c>
      <x:c r="B14" s="349" t="n">
        <x:v>46247</x:v>
      </x:c>
      <x:c r="C14" s="349" t="inlineStr">
        <x:is>
          <x:t xml:space="preserve">Boss/场地/手电筒资产收口</x:t>
        </x:is>
      </x:c>
      <x:c r="D14" s="349" t="inlineStr">
        <x:is>
          <x:t xml:space="preserve">3 Boss / 3场地 / 3音频</x:t>
        </x:is>
      </x:c>
      <x:c r="E14" s="349" t="inlineStr">
        <x:is>
          <x:t xml:space="preserve">登记95/90/85层独立Boss和竞技场GLB、三条手电筒OGG及母版；记录永久结构代理与高模流式边界。</x:t>
        </x:is>
      </x:c>
      <x:c r="F14" s="349" t="inlineStr">
        <x:is>
          <x:t xml:space="preserve">稳定玩法ID不变；楼板、关卡墙和塔楼外墙永久可见；仅正式高模视野外流式。</x:t>
        </x:is>
      </x:c>
      <x:c r="G14" s="349" t="inlineStr">
        <x:is>
          <x:t xml:space="preserve">Codex</x:t>
        </x:is>
      </x:c>
    </x:row>
    <x:row r="15" ht="72" customHeight="1">
      <x:c r="A15" s="349" t="inlineStr">
        <x:is>
          <x:t xml:space="preserve">v0.1.11</x:t>
        </x:is>
      </x:c>
      <x:c r="B15" s="348" t="n">
        <x:v>46252</x:v>
      </x:c>
      <x:c r="C15" s="349" t="inlineStr">
        <x:is>
          <x:t xml:space="preserve">基地99层3D模块资产管理</x:t>
        </x:is>
      </x:c>
      <x:c r="D15" s="349" t="inlineStr">
        <x:is>
          <x:t xml:space="preserve">模块目录/5项资产/普通墙表现替换</x:t>
        </x:is>
      </x:c>
      <x:c r="E15" s="349" t="inlineStr">
        <x:is>
          <x:t xml:space="preserve">建立3D source/components/runtime目录与命名契约；登记基地套件、普通墙、带门墙和两种基地地板；普通墙切换为正式GLB。</x:t>
        </x:is>
      </x:c>
      <x:c r="F15" s="349" t="inlineStr">
        <x:is>
          <x:t xml:space="preserve">只替换99F普通墙表现；14段槽位、0.30m碰撞、两个带门墙、门状态机、寻路和摄像机逻辑不变。</x:t>
        </x:is>
      </x:c>
      <x:c r="G15" s="349" t="inlineStr">
        <x:is>
          <x:t xml:space="preserve">Codex</x:t>
        </x:is>
      </x:c>
    </x:row>
    <x:row r="16" ht="72" customHeight="1">
      <x:c r="A16" s="349" t="inlineStr">
        <x:is>
          <x:t xml:space="preserve">v0.1.12</x:t>
        </x:is>
      </x:c>
      <x:c r="B16" s="348" t="n">
        <x:v>46252</x:v>
      </x:c>
      <x:c r="C16" s="349" t="inlineStr">
        <x:is>
          <x:t xml:space="preserve">3D Prefab总控与原生组合规则</x:t>
        </x:is>
      </x:c>
      <x:c r="D16" s="349" t="inlineStr">
        <x:is>
          <x:t xml:space="preserve">3D资产管理/基地99层4项Prefab映射</x:t>
        </x:is>
      </x:c>
      <x:c r="E16" s="349" t="inlineStr">
        <x:is>
          <x:t xml:space="preserve">新增简化3D Prefab总控，记录Prefab、GLB、功能脚本与碰撞归属；现有3D规范补充Godot原生组合和按需建模规则。</x:t>
        </x:is>
      </x:c>
      <x:c r="F16" s="349" t="inlineStr">
        <x:is>
          <x:t xml:space="preserve">不改变Godot运行结构；不新增未来空壳模块；当前基地普通墙、门墙和地板引用保持不变。</x:t>
        </x:is>
      </x:c>
      <x:c r="G16" s="349" t="inlineStr">
        <x:is>
          <x:t xml:space="preserve">Codex</x:t>
        </x:is>
      </x:c>
    </x:row>
    <x:row r="17" ht="52" customHeight="1">
      <x:c r="A17" s="349" t="inlineStr">
        <x:is>
          <x:t xml:space="preserve">v0.1.13</x:t>
        </x:is>
      </x:c>
      <x:c r="B17" s="348" t="n">
        <x:v>46252</x:v>
      </x:c>
      <x:c r="C17" s="349" t="inlineStr">
        <x:is>
          <x:t xml:space="preserve">3D Prefab资产分类</x:t>
        </x:is>
      </x:c>
      <x:c r="D17" s="349" t="inlineStr">
        <x:is>
          <x:t xml:space="preserve">Prefab总控/分类与编码/基地99层4项</x:t>
        </x:is>
      </x:c>
      <x:c r="E17" s="349" t="inlineStr">
        <x:is>
          <x:t xml:space="preserve">Prefab总控新增独立分类列和下拉规则；分类与编码页登记场景通用组件、设施组件、道具等固定分类；现有基地模块归入场景通用组件。</x:t>
        </x:is>
      </x:c>
      <x:c r="F17" s="349" t="inlineStr">
        <x:is>
          <x:t xml:space="preserve">只更新资产管理分类，不改变AssetID、Prefab路径、模型、脚本、碰撞或Godot运行逻辑。</x:t>
        </x:is>
      </x:c>
      <x:c r="G17" s="349" t="inlineStr">
        <x:is>
          <x:t xml:space="preserve">Codex</x:t>
        </x:is>
      </x:c>
    </x:row>
    <x:row r="18" ht="50" customHeight="1">
      <x:c r="A18" s="349" t="inlineStr">
        <x:is>
          <x:t xml:space="preserve">v0.1.14</x:t>
        </x:is>
      </x:c>
      <x:c r="B18" s="348" t="n">
        <x:v>46252</x:v>
      </x:c>
      <x:c r="C18" s="349" t="inlineStr">
        <x:is>
          <x:t xml:space="preserve">全项目3D Prefab扫描与分类分页</x:t>
        </x:is>
      </x:c>
      <x:c r="D18" s="349" t="inlineStr">
        <x:is>
          <x:t xml:space="preserve">90个Prefab/9分类分页/补登记35项</x:t>
        </x:is>
      </x:c>
      <x:c r="E18" s="349" t="inlineStr">
        <x:is>
          <x:t xml:space="preserve">扫描项目实际3D PackedScene；总控改为索引；按场景通用、设施、道具、角色、敌人、武器、物品、特效、其他建立独立分页；补齐未登记Prefab身份。</x:t>
        </x:is>
      </x:c>
      <x:c r="F18" s="349" t="inlineStr">
        <x:is>
          <x:t xml:space="preserve">只更新资产账本与管理规则；不修改Prefab、GLB、脚本、碰撞或Godot运行逻辑。</x:t>
        </x:is>
      </x:c>
      <x:c r="G18" s="349" t="inlineStr">
        <x:is>
          <x:t xml:space="preserve">Codex</x:t>
        </x:is>
      </x:c>
    </x:row>
    <x:row r="19" ht="52" customHeight="1">
      <x:c r="A19" s="349" t="inlineStr">
        <x:is>
          <x:t xml:space="preserve">v0.1.15</x:t>
        </x:is>
      </x:c>
      <x:c r="B19" s="349" t="n">
        <x:v>46252</x:v>
      </x:c>
      <x:c r="C19" s="349" t="inlineStr">
        <x:is>
          <x:t xml:space="preserve">基地99层九件模块正式接入</x:t>
        </x:is>
      </x:c>
      <x:c r="D19" s="349" t="inlineStr">
        <x:is>
          <x:t xml:space="preserve">9 Prefab / 9 GLB / 98个3D Prefab</x:t>
        </x:is>
      </x:c>
      <x:c r="E19" s="349" t="inlineStr">
        <x:is>
          <x:t xml:space="preserve">接入两种地板、三种墙、滑升门、7米楼板、L型楼梯和外门小楼梯；记录外部碰撞、门逻辑、不投影及底部摄像机净空规则。</x:t>
        </x:is>
      </x:c>
      <x:c r="F19" s="349" t="inlineStr">
        <x:is>
          <x:t xml:space="preserve">只替换表现并复用Godot原生组合；门、房间、碰撞和99→98层摄像机规则保持稳定。</x:t>
        </x:is>
      </x:c>
      <x:c r="G19" s="349" t="inlineStr">
        <x:is>
          <x:t xml:space="preserve">Codex</x:t>
        </x:is>
      </x:c>
    </x:row>
    <x:row r="20" ht="90" customHeight="1">
      <x:c r="A20" s="349" t="inlineStr">
        <x:is>
          <x:t xml:space="preserve">v0.1.16</x:t>
        </x:is>
      </x:c>
      <x:c r="B20" s="349" t="n">
        <x:v>46252</x:v>
      </x:c>
      <x:c r="C20" s="349" t="inlineStr">
        <x:is>
          <x:t xml:space="preserve">基地99/100层布局与楼梯碰撞校正</x:t>
        </x:is>
      </x:c>
      <x:c r="D20" s="349" t="inlineStr">
        <x:is>
          <x:t xml:space="preserve">99层14普通墙/100层开洞36块/3个可编辑结构Prefab</x:t>
        </x:is>
      </x:c>
      <x:c r="E20" s="349" t="inlineStr">
        <x:is>
          <x:t xml:space="preserve">按Blender母版校正楼板、L梯和外门小梯坐标；99层移除窗墙；100层楼板与承重碰撞开6×6中庭；楼梯改为可行走简化坡面。</x:t>
        </x:is>
      </x:c>
      <x:c r="F20" s="349" t="inlineStr">
        <x:is>
          <x:t xml:space="preserve">表现与碰撞保留Prefab分工；门、设施、房间与99→98层逻辑不改；结构组件可在主场景tscn直接摆放。</x:t>
        </x:is>
      </x:c>
      <x:c r="G20" s="349" t="inlineStr">
        <x:is>
          <x:t xml:space="preserve">Codex</x:t>
        </x:is>
      </x:c>
    </x:row>
    <x:row r="21" ht="86" customHeight="1">
      <x:c r="A21" s="349" t="inlineStr">
        <x:is>
          <x:t xml:space="preserve">v0.1.17</x:t>
        </x:is>
      </x:c>
      <x:c r="B21" s="349" t="n">
        <x:v>46252</x:v>
      </x:c>
      <x:c r="C21" s="349" t="inlineStr">
        <x:is>
          <x:t xml:space="preserve">基地100层上层围护与18米封顶</x:t>
        </x:is>
      </x:c>
      <x:c r="D21" s="349" t="inlineStr">
        <x:is>
          <x:t xml:space="preserve">1个组合Prefab/24块墙/36块封顶/9片结构碰撞</x:t>
        </x:is>
      </x:c>
      <x:c r="E21" s="349" t="inlineStr">
        <x:is>
          <x:t xml:space="preserve">按Blender母版加入9—18米上层围护：北侧中间4窗、其余19普通墙、东侧1门墙；18米复用5米地板模块封顶。</x:t>
        </x:is>
      </x:c>
      <x:c r="F21" s="349" t="inlineStr">
        <x:is>
          <x:t xml:space="preserve">新增组合仅负责表现与结构碰撞；99层14普通墙、2功能门、设施、中庭开洞和摄像机规则不变；全部不投影。</x:t>
        </x:is>
      </x:c>
      <x:c r="G21" s="349" t="inlineStr">
        <x:is>
          <x:t xml:space="preserve">Codex</x:t>
        </x:is>
      </x:c>
    </x:row>
    <x:row r="22" ht="72" customHeight="1">
      <x:c r="A22" s="349" t="inlineStr">
        <x:is>
          <x:t xml:space="preserve">v0.1.18</x:t>
        </x:is>
      </x:c>
      <x:c r="B22" s="349" t="n">
        <x:v>46252</x:v>
      </x:c>
      <x:c r="C22" s="349" t="inlineStr">
        <x:is>
          <x:t xml:space="preserve">场景组件真实投影规则</x:t>
        </x:is>
      </x:c>
      <x:c r="D22" s="349" t="inlineStr">
        <x:is>
          <x:t xml:space="preserve">基地墙/地板/门/楼板/楼梯/封顶/设施模型</x:t>
        </x:is>
      </x:c>
      <x:c r="E22" s="349" t="inlineStr">
        <x:is>
          <x:t xml:space="preserve">统一cast_shadow=ON；封顶阻挡室外光；中央灯开关形成真实明暗切换。</x:t>
        </x:is>
      </x:c>
      <x:c r="F22" s="349" t="inlineStr">
        <x:is>
          <x:t xml:space="preserve">只改渲染投影，不改碰撞、门、设施、楼层功能；纯VFX/光池/玩家/UI不纳入场景模型规则。</x:t>
        </x:is>
      </x:c>
      <x:c r="G22" s="349" t="inlineStr">
        <x:is>
          <x:t xml:space="preserve">Codex</x:t>
        </x:is>
      </x:c>
    </x:row>
    <x:row r="23" ht="78" customHeight="1">
      <x:c r="A23" s="349" t="inlineStr">
        <x:is>
          <x:t xml:space="preserve">v0.1.19</x:t>
        </x:is>
      </x:c>
      <x:c r="B23" s="348" t="n">
        <x:v>46254</x:v>
      </x:c>
      <x:c r="C23" s="349" t="inlineStr">
        <x:is>
          <x:t xml:space="preserve">基地系统/时间/Avatar/3D流程收口</x:t>
        </x:is>
      </x:c>
      <x:c r="D23" s="349" t="inlineStr">
        <x:is>
          <x:t xml:space="preserve">6项资产/3项Skill/5米结构/11设施</x:t>
        </x:is>
      </x:c>
      <x:c r="E23" s="349" t="inlineStr">
        <x:is>
          <x:t xml:space="preserve">平台改为5米并联动两类楼梯与栏杆碰撞；新增物理楼层权威、时间日夜、基地能源恢复舱、主页面、衣柜、脱困和1.5米角色母版。</x:t>
        </x:is>
      </x:c>
      <x:c r="F23" s="349" t="inlineStr">
        <x:is>
          <x:t xml:space="preserve">视觉替换不改变原门、设施、玩家碰撞和战斗脚本；旧Z7/H2资产保留回滚；新Skill草稿未安装。</x:t>
        </x:is>
      </x:c>
      <x:c r="G23" s="349" t="inlineStr">
        <x:is>
          <x:t xml:space="preserve">Codex</x:t>
        </x:is>
      </x:c>
    </x:row>
    <x:row r="24" ht="100" customHeight="1">
      <x:c r="A24" s="349" t="inlineStr">
        <x:is>
          <x:t xml:space="preserve">v0.1.20</x:t>
        </x:is>
      </x:c>
      <x:c r="B24" s="348" t="n">
        <x:v>46261</x:v>
      </x:c>
      <x:c r="C24" s="349" t="inlineStr">
        <x:is>
          <x:t xml:space="preserve">首只唯一精英正式资产</x:t>
        </x:is>
      </x:c>
      <x:c r="D24" s="349" t="inlineStr">
        <x:is>
          <x:t xml:space="preserve">1 Blend / 1 GLB / 1 Prefab / 98—96F投放</x:t>
        </x:is>
      </x:c>
      <x:c r="E24" s="349" t="inlineStr">
        <x:is>
          <x:t xml:space="preserve">登记背枪的裂口爬虫独立模型、四材质、五类语义组件、命名血条和表现/碰撞解耦。</x:t>
        </x:is>
      </x:c>
      <x:c r="F24" s="349" t="inlineStr">
        <x:is>
          <x:t xml:space="preserve">稳定elite_id、AI、生命、伤害、掉落、跨局档案与基础碰撞不变；其余11只不投放。</x:t>
        </x:is>
      </x:c>
      <x:c r="G24" s="349" t="inlineStr">
        <x:is>
          <x:t xml:space="preserve">Codex</x:t>
        </x:is>
      </x:c>
    </x:row>
    <x:row r="25" ht="115" customHeight="1">
      <x:c r="A25" s="349" t="inlineStr">
        <x:is>
          <x:t xml:space="preserve">v0.1.21</x:t>
        </x:is>
      </x:c>
      <x:c r="B25" s="348" t="n">
        <x:v>46262</x:v>
      </x:c>
      <x:c r="C25" s="349" t="inlineStr">
        <x:is>
          <x:t xml:space="preserve">99F阁楼平台闪面与横向门板阻挡源资产修复</x:t>
        </x:is>
      </x:c>
      <x:c r="D25" s="349" t="inlineStr">
        <x:is>
          <x:t xml:space="preserve">2 Blend / 2 GLB / 2 Prefab / 2资产登记</x:t>
        </x:is>
      </x:c>
      <x:c r="E25" s="349" t="inlineStr">
        <x:is>
          <x:t xml:space="preserve">平台承重皮内收0.15米消除四边共面；横向门板显式保存三面永久碰撞并通过六条物理射线。</x:t>
        </x:is>
      </x:c>
      <x:c r="F25" s="349" t="inlineStr">
        <x:is>
          <x:t xml:space="preserve">保留5米行走面、既有楼板/栏杆碰撞、位置与旋转；v002全套保留回滚。</x:t>
        </x:is>
      </x:c>
      <x:c r="G25" s="349" t="inlineStr">
        <x:is>
          <x:t xml:space="preserve">Codex</x:t>
        </x:is>
      </x:c>
    </x:row>
    <x:row r="26" ht="118" customHeight="1">
      <x:c r="A26" s="349" t="inlineStr">
        <x:is>
          <x:t xml:space="preserve">v0.1.22</x:t>
        </x:is>
      </x:c>
      <x:c r="B26" s="349" t="n">
        <x:v>46262</x:v>
      </x:c>
      <x:c r="C26" s="349" t="inlineStr">
        <x:is>
          <x:t xml:space="preserve">场景与设施公共色盘合并</x:t>
        </x:is>
      </x:c>
      <x:c r="D26" s="349" t="inlineStr">
        <x:is>
          <x:t xml:space="preserve">35个Blend / 44个GLB / 51份重复贴图 / 2项Skill</x:t>
        </x:is>
      </x:c>
      <x:c r="E26" s="349" t="inlineStr">
        <x:is>
          <x:t xml:space="preserve">Blender母版统一外链固定色盘；GLB移除嵌图；Godot后导入脚本统一绑定；删除组件目录重复PNG。</x:t>
        </x:is>
      </x:c>
      <x:c r="F26" s="349" t="inlineStr">
        <x:is>
          <x:t xml:space="preserve">不改网格、UV、碰撞、Prefab、AssetID与玩法逻辑；旧版本GLB同样采用统一运行时贴图。</x:t>
        </x:is>
      </x:c>
      <x:c r="G26" s="349" t="inlineStr">
        <x:is>
          <x:t xml:space="preserve">Codex</x:t>
        </x:is>
      </x:c>
    </x:row>
    <x:row r="27" ht="118" customHeight="1">
      <x:c r="A27" s="349" t="inlineStr">
        <x:is>
          <x:t xml:space="preserve">v0.1.23</x:t>
        </x:is>
      </x:c>
      <x:c r="B27" s="349" t="n">
        <x:v>46265</x:v>
      </x:c>
      <x:c r="C27" s="349" t="inlineStr">
        <x:is>
          <x:t xml:space="preserve">基地设施交互与天台90×80资产对齐</x:t>
        </x:is>
      </x:c>
      <x:c r="D27" s="349" t="inlineStr">
        <x:is>
          <x:t xml:space="preserve">2项交互修复 / 2项设施移除 / 1个Blend / 1个GLB / 1个Prefab</x:t>
        </x:is>
      </x:c>
      <x:c r="E27" s="349" t="inlineStr">
        <x:is>
          <x:t xml:space="preserve">交互区域改向房间中央；移除命运占卜屋和基地管理终端；按100F真实18×16网格重制天台并为基地与楼梯间留空。</x:t>
        </x:is>
      </x:c>
      <x:c r="F27" s="349" t="inlineStr">
        <x:is>
          <x:t xml:space="preserve">不改变远征情报室与枪械工坊的位置、旋转和缩放；天台玩法碰撞继续由TowerFloorStage3D持有；v011保留回滚。</x:t>
        </x:is>
      </x:c>
      <x:c r="G27" s="349" t="inlineStr">
        <x:is>
          <x:t xml:space="preserve">Codex</x:t>
        </x:is>
      </x:c>
    </x:row>
    <x:row r="28" ht="118" customHeight="1">
      <x:c r="A28" s="349" t="inlineStr">
        <x:is>
          <x:t xml:space="preserve">v0.1.24</x:t>
        </x:is>
      </x:c>
      <x:c r="B28" s="349" t="n">
        <x:v>46265</x:v>
      </x:c>
      <x:c r="C28" s="349" t="inlineStr">
        <x:is>
          <x:t xml:space="preserve">天台东侧生活聚落集中布局</x:t>
        </x:is>
      </x:c>
      <x:c r="D28" s="349" t="inlineStr">
        <x:is>
          <x:t xml:space="preserve">1个Blend / 1个GLB / 1个Prefab / 1项聚落范围门禁</x:t>
        </x:is>
      </x:c>
      <x:c r="E28" s="349" t="inlineStr">
        <x:is>
          <x:t xml:space="preserve">将生活、种植、能源、供水、通信和杂物集中到东侧24×67米区域；增加餐食、洗衣、晾晒、串灯、盆栽和木板生活动线。</x:t>
        </x:is>
      </x:c>
      <x:c r="F28" s="349" t="inlineStr">
        <x:is>
          <x:t xml:space="preserve">不改90×80米地表、234格、基地中庭、西侧楼梯间、根缩放及碰撞归属；v012保留回滚。</x:t>
        </x:is>
      </x:c>
      <x:c r="G28" s="349" t="inlineStr">
        <x:is>
          <x:t xml:space="preserve">Codex</x:t>
        </x:is>
      </x:c>
    </x:row>
    <x:row r="29" ht="84" customHeight="1">
      <x:c r="A29" s="349" t="inlineStr">
        <x:is>
          <x:t xml:space="preserve">v0.1.25</x:t>
        </x:is>
      </x:c>
      <x:c r="B29" s="349" t="n">
        <x:v>46265</x:v>
      </x:c>
      <x:c r="C29" s="349" t="inlineStr">
        <x:is>
          <x:t xml:space="preserve">天台部件细分与独立阻挡</x:t>
        </x:is>
      </x:c>
      <x:c r="D29" s="349" t="inlineStr">
        <x:is>
          <x:t xml:space="preserve">1个Blend / 1个GLB / 1个Prefab / 64个组件目录 / 34个独立阻挡</x:t>
        </x:is>
      </x:c>
      <x:c r="E29" s="349" t="inlineStr">
        <x:is>
          <x:t xml:space="preserve">将沙发、桌子、桌面收音机及能源/种植/通信设施拆分到独立语义目录；增加Blender阻挡代理与Godot独立StaticBody3D。</x:t>
        </x:is>
      </x:c>
      <x:c r="F29" s="349" t="inlineStr">
        <x:is>
          <x:t xml:space="preserve">不改东侧聚落布局、90×80米地表、234格、基地中庭、西侧楼梯间及根缩放；v013保留回滚。</x:t>
        </x:is>
      </x:c>
      <x:c r="G29" s="349" t="inlineStr">
        <x:is>
          <x:t xml:space="preserve">Codex</x:t>
        </x:is>
      </x:c>
    </x:row>
    <x:row r="30" ht="118" customHeight="1">
      <x:c r="A30" s="349" t="inlineStr">
        <x:is>
          <x:t xml:space="preserve">v0.1.26</x:t>
        </x:is>
      </x:c>
      <x:c r="B30" s="349" t="n">
        <x:v>46265</x:v>
      </x:c>
      <x:c r="C30" s="349" t="inlineStr">
        <x:is>
          <x:t xml:space="preserve">天台贴边棚屋与标注分区</x:t>
        </x:is>
      </x:c>
      <x:c r="D30" s="349" t="inlineStr">
        <x:is>
          <x:t xml:space="preserve">1个Blend / 1个GLB / 1个Prefab / 68个组件目录 / 36个独立阻挡</x:t>
        </x:is>
      </x:c>
      <x:c r="E30" s="349" t="inlineStr">
        <x:is>
          <x:t xml:space="preserve">将0.5米抬高生活棚整体北移至天台边缘，补充小木梯、小风车与风铃；种植区、通信区按标注重新布置，黄色门前动线保持零阻挡。</x:t>
        </x:is>
      </x:c>
      <x:c r="F30" s="349" t="inlineStr">
        <x:is>
          <x:t xml:space="preserve">不改90×80米地表、234格、基地中庭、西侧楼梯间及根缩放；v014保留回滚。</x:t>
        </x:is>
      </x:c>
      <x:c r="G30" s="349" t="inlineStr">
        <x:is>
          <x:t xml:space="preserve">Codex</x:t>
        </x:is>
      </x:c>
    </x:row>
    <x:row r="31" ht="118" customHeight="1">
      <x:c r="A31" s="349" t="inlineStr">
        <x:is>
          <x:t xml:space="preserve">v0.1.27</x:t>
        </x:is>
      </x:c>
      <x:c r="B31" s="349" t="n">
        <x:v>46265</x:v>
      </x:c>
      <x:c r="C31" s="349" t="inlineStr">
        <x:is>
          <x:t xml:space="preserve">天台TSCN可编辑布局与组合碰撞</x:t>
        </x:is>
      </x:c>
      <x:c r="D31" s="349" t="inlineStr">
        <x:is>
          <x:t xml:space="preserve">1个Blend / 70个GLB / 1个Prefab / 68个可编辑组件 / 39组82形状阻挡</x:t>
        </x:is>
      </x:c>
      <x:c r="E31" s="349" t="inlineStr">
        <x:is>
          <x:t xml:space="preserve">将通信高台移至东北角、棚屋置于其西侧并保留2米净距；组件拆分到TSCN五组层级，阻挡随组件移动并按结构细分。</x:t>
        </x:is>
      </x:c>
      <x:c r="F31" s="349" t="inlineStr">
        <x:is>
          <x:t xml:space="preserve">不改90×80米地表、234格、基地中庭、西楼梯、黄色门前动线及根缩放；v015保留回滚。</x:t>
        </x:is>
      </x:c>
      <x:c r="G31" s="349" t="inlineStr">
        <x:is>
          <x:t xml:space="preserve">Codex</x:t>
        </x:is>
      </x:c>
    </x:row>
    <x:row r="32" ht="118" customHeight="1">
      <x:c r="A32" s="349" t="inlineStr">
        <x:is>
          <x:t xml:space="preserve">v0.1.28</x:t>
        </x:is>
      </x:c>
      <x:c r="B32" s="349" t="n">
        <x:v>46265</x:v>
      </x:c>
      <x:c r="C32" s="349" t="inlineStr">
        <x:is>
          <x:t xml:space="preserve">天台v017仅设施导入与原生地板恢复</x:t>
        </x:is>
      </x:c>
      <x:c r="D32" s="349" t="inlineStr">
        <x:is>
          <x:t xml:space="preserve">1个Blend / 69个GLB / 1个设施Prefab / 68个可编辑组件 / 39组82形状阻挡</x:t>
        </x:is>
      </x:c>
      <x:c r="E32" s="349" t="inlineStr">
        <x:is>
          <x:t xml:space="preserve">正式包装改为facilities_only，排除Blender地板与围护；恢复100F原生地砖、围栏和门洞；设施布局下移0.34米对齐原生地面。</x:t>
        </x:is>
      </x:c>
      <x:c r="F32" s="349" t="inlineStr">
        <x:is>
          <x:t xml:space="preserve">不改100F原生90×80米地表、234格、基地中庭、西楼梯、承重面、外围边界碰撞和设施平面布局；v016保留回滚。</x:t>
        </x:is>
      </x:c>
      <x:c r="G32" s="349" t="inlineStr">
        <x:is>
          <x:t xml:space="preserve">Codex</x:t>
        </x:is>
      </x:c>
    </x:row>
    <x:row r="33" ht="128" customHeight="1">
      <x:c r="A33" s="349" t="inlineStr">
        <x:is>
          <x:t xml:space="preserve">v0.1.29</x:t>
        </x:is>
      </x:c>
      <x:c r="B33" s="348" t="n">
        <x:v>46267</x:v>
      </x:c>
      <x:c r="C33" s="349" t="inlineStr">
        <x:is>
          <x:t xml:space="preserve">基地99F高品质微缩布局Blender母版</x:t>
        </x:is>
      </x:c>
      <x:c r="D33" s="349" t="inlineStr">
        <x:is>
          <x:t xml:space="preserve">1个Blend / 3张预览 / 4共享材质 / 240帧循环动效</x:t>
        </x:is>
      </x:c>
      <x:c r="E33" s="349" t="inlineStr">
        <x:is>
          <x:t xml:space="preserve">建立30×30米切角可视基地；北侧6米阁楼与L梯、阁楼生活区、BASE CAMP电视墙/储物/武器台/贩卖机、中央15×30米净空通道及南侧仓库设施全部细化。</x:t>
        </x:is>
      </x:c>
      <x:c r="F33" s="349" t="inlineStr">
        <x:is>
          <x:t xml:space="preserve">仅完成Blender源与视觉验收；未替换Godot TSCN/GLB、碰撞、交互和玩法；既有运行时与v002保留回滚。</x:t>
        </x:is>
      </x:c>
      <x:c r="G33" s="349" t="inlineStr">
        <x:is>
          <x:t xml:space="preserve">Codex</x:t>
        </x:is>
      </x:c>
    </x:row>
    <x:row r="34" ht="86" customHeight="1">
      <x:c r="A34" s="349" t="inlineStr">
        <x:is>
          <x:t xml:space="preserve">v0.1.30</x:t>
        </x:is>
      </x:c>
      <x:c r="B34" s="348" t="n">
        <x:v>46268</x:v>
      </x:c>
      <x:c r="C34" s="349" t="inlineStr">
        <x:is>
          <x:t xml:space="preserve">ENV-BASE99-ART-LAYOUT-3D</x:t>
        </x:is>
      </x:c>
      <x:c r="D34" s="349" t="inlineStr">
        <x:is>
          <x:t xml:space="preserve">基地99层Blender高品质布局v004</x:t>
        </x:is>
      </x:c>
      <x:c r="E34" s="349" t="inlineStr">
        <x:is>
          <x:t xml:space="preserve">阁楼贴东墙；铁皮封闭体内部清空；重做西侧L梯；设施从南区分散到东西墙与阁楼；移除通道箭头覆层。</x:t>
        </x:is>
      </x:c>
      <x:c r="F34" s="349" t="inlineStr">
        <x:is>
          <x:t xml:space="preserve">Blender 4.2严格验证通过：4材质，928网格，200052/200052有效PaletteUV面；三张预览人工复核通过。</x:t>
        </x:is>
      </x:c>
      <x:c r="G34" s="349" t="inlineStr">
        <x:is>
          <x:t xml:space="preserve">Codex</x:t>
        </x:is>
      </x:c>
      <x:c r="H34" s="349" t="inlineStr">
        <x:is>
          <x:t xml:space="preserve">仅更新Blender源场景与资产台账，未修改Godot运行时。</x:t>
        </x:is>
      </x:c>
    </x:row>
    <x:row r="35" ht="96" customHeight="1">
      <x:c r="A35" s="349" t="inlineStr">
        <x:is>
          <x:t xml:space="preserve">v0.1.31</x:t>
        </x:is>
      </x:c>
      <x:c r="B35" s="348" t="n">
        <x:v>46268</x:v>
      </x:c>
      <x:c r="C35" s="349" t="inlineStr">
        <x:is>
          <x:t xml:space="preserve">ENV-BASE99-ART-LAYOUT-3D</x:t>
        </x:is>
      </x:c>
      <x:c r="D35" s="349" t="inlineStr">
        <x:is>
          <x:t xml:space="preserve">基地99层西北贴墙L梯布局v005</x:t>
        </x:is>
      </x:c>
      <x:c r="E35" s="349" t="inlineStr">
        <x:is>
          <x:t xml:space="preserve">按红框将L梯移至西北墙角：第一跑贴西墙向北、转角平台贴西北角、第二跑贴北墙向东，顶层平台接入阁楼西北入口；冲突武器台移至西墙南段。</x:t>
        </x:is>
      </x:c>
      <x:c r="F35" s="349" t="inlineStr">
        <x:is>
          <x:t xml:space="preserve">接口脚本验收通过：墙边2cm安装缝；20级总高6.09m；踏步、转角、顶层平台和阁楼完成面逐边/逐高程一致；4材质，952网格，201348/201348有效PaletteUV面。</x:t>
        </x:is>
      </x:c>
      <x:c r="G35" s="349" t="inlineStr">
        <x:is>
          <x:t xml:space="preserve">Codex</x:t>
        </x:is>
      </x:c>
      <x:c r="H35" s="349" t="inlineStr">
        <x:is>
          <x:t xml:space="preserve">Blender源场景版本增量；未修改Godot运行时、碰撞或玩法。</x:t>
        </x:is>
      </x:c>
    </x:row>
    <x:row r="36" ht="116" customHeight="1">
      <x:c r="A36" s="349" t="inlineStr">
        <x:is>
          <x:t xml:space="preserve">v0.1.32</x:t>
        </x:is>
      </x:c>
      <x:c r="B36" s="348" t="n">
        <x:v>46268</x:v>
      </x:c>
      <x:c r="C36" s="349" t="inlineStr">
        <x:is>
          <x:t xml:space="preserve">ENV-BASE99-ART-LAYOUT-3D</x:t>
        </x:is>
      </x:c>
      <x:c r="D36" s="349" t="inlineStr">
        <x:is>
          <x:t xml:space="preserve">基地99层参考图地板系统深化v006</x:t>
        </x:is>
      </x:c>
      <x:c r="E36" s="349" t="inlineStr">
        <x:is>
          <x:t xml:space="preserve">严格锁定30×30m、36块5×5m原地板与全部分缝/高低/方向；仅新增地板压边、内阴影唇、六角固定件、卡扣、编号、9组浅层检修盖、4组格栅、设备端口、全息平台地面接口、青蓝导视、橙白功能标识及轻微使用痕迹。</x:t>
        </x:is>
      </x:c>
      <x:c r="F36" s="349" t="inlineStr">
        <x:is>
          <x:t xml:space="preserve">参考图优先视觉验收及脚本结构锁定通过；地板附着结构均在Z≤0.32m，9/36检修盖为25%；4材质，3048网格，778326/778326有效PaletteUV面；三张预览人工复核通过。</x:t>
        </x:is>
      </x:c>
      <x:c r="G36" s="349" t="inlineStr">
        <x:is>
          <x:t xml:space="preserve">Codex</x:t>
        </x:is>
      </x:c>
      <x:c r="H36" s="349" t="inlineStr">
        <x:is>
          <x:t xml:space="preserve">Blender源场景版本增量；南/东墙设施未重做，楼梯、墙体、设备位置与Godot运行时/碰撞/玩法均未修改。</x:t>
        </x:is>
      </x:c>
    </x:row>
    <x:row r="37" ht="132" customHeight="1">
      <x:c r="A37" s="349" t="inlineStr">
        <x:is>
          <x:t xml:space="preserve">v0.1.33</x:t>
        </x:is>
      </x:c>
      <x:c r="B37" s="348" t="n">
        <x:v>46268</x:v>
      </x:c>
      <x:c r="C37" s="349" t="inlineStr">
        <x:is>
          <x:t xml:space="preserve">ENV-BASE99-ART-LAYOUT-3D</x:t>
        </x:is>
      </x:c>
      <x:c r="D37" s="349" t="inlineStr">
        <x:is>
          <x:t xml:space="preserve">基地99层资产包文件夹归类v007</x:t>
        </x:is>
      </x:c>
      <x:c r="E37" s="349" t="inlineStr">
        <x:is>
          <x:t xml:space="preserve">在不修改模型外观、坐标、父子关系、材质与动画的前提下，将游戏输出重组为6个一级分类、76个独立资产包。地面统一归入地面系统，36块5×5m地砖分别包含原砖及其深化内容；阁楼、阁楼外侧视觉中心、仓库设施均按功能拆分，散件、商品、灯光和动效迁回所属设施包。</x:t>
        </x:is>
      </x:c>
      <x:c r="F37" s="349" t="inlineStr">
        <x:is>
          <x:t xml:space="preserve">严格验收通过：1696个输出对象全部唯一归属；36个地砖包、76个磁盘资产目录与清单齐全；无空包、无旧总集合残留；3211对象、3048网格、22灯光、3相机、4材质与v006一致；全部1552个输出网格保留PaletteUV；对象/变换/网格/材质/动画签名一致。</x:t>
        </x:is>
      </x:c>
      <x:c r="G37" s="349" t="inlineStr">
        <x:is>
          <x:t xml:space="preserve">Codex</x:t>
        </x:is>
      </x:c>
      <x:c r="H37" s="349" t="inlineStr">
        <x:is>
          <x:t xml:space="preserve">仅整理Blender Collection与未来独立导出目录；资产ID保持ENV-BASE99-ART-LAYOUT-3D，不新增重复ID；未导出独立GLB/碰撞/PackedScene，未修改Godot运行时、碰撞或玩法。</x:t>
        </x:is>
      </x:c>
    </x:row>
    <x:row r="38" ht="150" customHeight="1">
      <x:c r="A38" s="349" t="inlineStr">
        <x:is>
          <x:t xml:space="preserve">v0.1.34</x:t>
        </x:is>
      </x:c>
      <x:c r="B38" s="348" t="n">
        <x:v>46268</x:v>
      </x:c>
      <x:c r="C38" s="349" t="inlineStr">
        <x:is>
          <x:t xml:space="preserve">ENV-BASE99-ART-LAYOUT-3D</x:t>
        </x:is>
      </x:c>
      <x:c r="D38" s="349" t="inlineStr">
        <x:is>
          <x:t xml:space="preserve">基地99层南面设施高还原深化v008</x:t>
        </x:is>
      </x:c>
      <x:c r="E38" s="349" t="inlineStr">
        <x:is>
          <x:t xml:space="preserve">以参考效果图为视觉真值，仅深化BASE CAMP所在南面设施区域：将原误读电视墙修正为原包络内青绿色分段卷帘主门，并深化大型立体标识、主门下方低矮设备柜、MEDICAL与TOOLS柜、窄型电池/应急柜、圆形全息设备平台、三台功能终端、墙面工业管线及二层栏杆附着细节。各设施独立归档，未改变非本批结构。</x:t>
        </x:is>
      </x:c>
      <x:c r="F38" s="349" t="inlineStr">
        <x:is>
          <x:t xml:space="preserve">严格验收通过：v007/v008锁区签名一致；82个独立资产包、36个地砖包、82份磁盘清单，无空包或跨包混挂；主门中心(5.0,4.64,2.20)、包络5.80×0.40×2.55m，全息平台中心(5.0,1.72)；2038个输出对象、3728网格、914462/914462有效PaletteUV面、4材质；旧电视对象为0。</x:t>
        </x:is>
      </x:c>
      <x:c r="G38" s="349" t="inlineStr">
        <x:is>
          <x:t xml:space="preserve">Codex</x:t>
        </x:is>
      </x:c>
      <x:c r="H38" s="349" t="inlineStr">
        <x:is>
          <x:t xml:space="preserve">资产ID保持ENV-BASE99-ART-LAYOUT-3D；仅更新Blender源场景、独立设施目录和验收资料。未生成独立GLB/碰撞/PackedScene，未修改Godot运行时、碰撞或玩法。</x:t>
        </x:is>
      </x:c>
    </x:row>
    <x:row r="39" ht="165" customHeight="1">
      <x:c r="A39" s="349" t="inlineStr">
        <x:is>
          <x:t xml:space="preserve">v0.1.35</x:t>
        </x:is>
      </x:c>
      <x:c r="B39" s="348" t="n">
        <x:v>46268</x:v>
      </x:c>
      <x:c r="C39" s="349" t="inlineStr">
        <x:is>
          <x:t xml:space="preserve">ENV-BASE99-ART-LAYOUT-3D</x:t>
        </x:is>
      </x:c>
      <x:c r="D39" s="349" t="inlineStr">
        <x:is>
          <x:t xml:space="preserve">基地99层东面设施高还原深化v009</x:t>
        </x:is>
      </x:c>
      <x:c r="E39" s="349" t="inlineStr">
        <x:is>
          <x:t xml:space="preserve">以参考效果图为视觉真值，仅深化东面设施区域：正式人员安全门、SUPPLY 24H自动补给机、POWER工业配电系统、墙顶工业管线、WASTE/FLAMMABLE/RECYCLE三套独立分类设施、维修工作台与工具墙、低矮收纳、团结海报、小型安全设备、植物和圆形工业吊灯。修正所有东墙文字朝向，保持墙体、地砖、阁楼、栏杆和非目标设施不变。</x:t>
        </x:is>
      </x:c>
      <x:c r="F39" s="349" t="inlineStr">
        <x:is>
          <x:t xml:space="preserve">严格验收通过：v008/v009共1988个锁定对象逐对象一致；91个独立资产包、36个地砖包、91份磁盘清单，无空包或跨包混挂；403个v009局部对象；4438个网格、1089839/1089839有效PaletteUV面、4材质；门框中心(14.38,-2.50,1.32)，SUPPLY主机(13.52,1.55,1.78)，POWER主箱(14.15,-5.55,2.35)。</x:t>
        </x:is>
      </x:c>
      <x:c r="G39" s="349" t="inlineStr">
        <x:is>
          <x:t xml:space="preserve">Codex</x:t>
        </x:is>
      </x:c>
      <x:c r="H39" s="349" t="inlineStr">
        <x:is>
          <x:t xml:space="preserve">资产ID保持ENV-BASE99-ART-LAYOUT-3D；仅更新Blender源场景、独立设施目录、资产目录与验收资料。未生成独立GLB、碰撞或PackedScene，未修改Godot运行时、碰撞及玩法。</x:t>
        </x:is>
      </x:c>
    </x:row>
    <x:row r="40" ht="175" customHeight="1">
      <x:c r="A40" s="349" t="inlineStr">
        <x:is>
          <x:t xml:space="preserve">v0.1.36</x:t>
        </x:is>
      </x:c>
      <x:c r="B40" s="348" t="n">
        <x:v>46268</x:v>
      </x:c>
      <x:c r="C40" s="349" t="inlineStr">
        <x:is>
          <x:t xml:space="preserve">ENV-BASE99-ART-LAYOUT-3D</x:t>
        </x:is>
      </x:c>
      <x:c r="D40" s="349" t="inlineStr">
        <x:is>
          <x:t xml:space="preserve">基地99层二楼设施与楼梯高还原深化v010</x:t>
        </x:is>
      </x:c>
      <x:c r="E40" s="349" t="inlineStr">
        <x:is>
          <x:t xml:space="preserve">以参考效果图为视觉真值，仅深化二楼生活/休闲/工位/收纳设施及楼梯：重制床与床品、床头柜和暖灯、地毯、条纹隔断、三人沙发、茶几、坐墩、双屏工位、办公椅、GOOD VIBES霓虹、三类收纳柜、箱体、墙面工具板和植物；保留西北L梯原结构并增加防滑与暖光细节，新增参考图东侧上行过渡梯。</x:t>
        </x:is>
      </x:c>
      <x:c r="F40" s="349" t="inlineStr">
        <x:is>
          <x:t xml:space="preserve">严格验收通过：v009/v010共2332个锁定对象逐对象一致；102个独立资产包、36个地砖包、102份磁盘清单；294个v010范围对象；东侧楼梯与收纳净距0.215m；4909个网格、1190533/1190533有效PaletteUV面、4材质；西北转角与顶层接驳平台坐标未变。</x:t>
        </x:is>
      </x:c>
      <x:c r="G40" s="349" t="inlineStr">
        <x:is>
          <x:t xml:space="preserve">Codex</x:t>
        </x:is>
      </x:c>
      <x:c r="H40" s="349" t="inlineStr">
        <x:is>
          <x:t xml:space="preserve">资产ID保持ENV-BASE99-ART-LAYOUT-3D；只更新Blender源场景、独立设施目录和验收资料。未生成独立GLB、碰撞、LOD或PackedScene，未修改Godot运行时、玩法或一楼资产。</x:t>
        </x:is>
      </x:c>
    </x:row>
    <x:row r="41" ht="205" customHeight="1">
      <x:c r="A41" s="349" t="inlineStr">
        <x:is>
          <x:t xml:space="preserve">v0.1.37</x:t>
        </x:is>
      </x:c>
      <x:c r="B41" s="348" t="n">
        <x:v>46268</x:v>
      </x:c>
      <x:c r="C41" s="349" t="inlineStr">
        <x:is>
          <x:t xml:space="preserve">ENV-BASE99-ART-LAYOUT-3D</x:t>
        </x:is>
      </x:c>
      <x:c r="D41" s="349" t="inlineStr">
        <x:is>
          <x:t xml:space="preserve">基地99层二楼与楼梯参考图高还原迭代v011</x:t>
        </x:is>
      </x:c>
      <x:c r="E41" s="349" t="inlineStr">
        <x:is>
          <x:t xml:space="preserve">针对v010未达到视觉验收标准的问题，以同一参考镜头重新校准二楼设施：重做床与床品、床头柜、条纹隔断、三人沙发、茶几、坐墩、完整双屏工位、办公椅和紧凑分类收纳；调整东侧楼梯轮廓与接口，深化西侧L梯踏步、转角和顶层接缝；增加前沿暖橙灯带、后墙三路管线、工具区、植物、GOOD VIBES霓虹、屏幕扫描线和克制生活物件。</x:t>
        </x:is>
      </x:c>
      <x:c r="F41" s="349" t="inlineStr">
        <x:is>
          <x:t xml:space="preserve">验收通过：参考镜头第一眼结构顺序、主色块、设施间距和冷暖灯光关系均已重新核对；v010/v011共2332个锁定对象完全一致；101个独立资产包、36个地砖包、101份manifest；383个v011范围对象；工位至东梯净距1.46m、前沿通行深度3.40m；5075网格、1198313/1198313有效PaletteUV面、4材质。</x:t>
        </x:is>
      </x:c>
      <x:c r="G41" s="349" t="inlineStr">
        <x:is>
          <x:t xml:space="preserve">Codex</x:t>
        </x:is>
      </x:c>
      <x:c r="H41" s="349" t="inlineStr">
        <x:is>
          <x:t xml:space="preserve">沿用稳定资产ID ENV-BASE99-ART-LAYOUT-3D，Blend SHA-256=eb92c8383f5b86d8d8e4226b9f4da2416a5903ab4ba8668f6a7639161de8dca1。仅更新Blender源、独立资产包和验收资料；未生成独立GLB、碰撞、LOD或PackedScene，未修改Godot运行时和锁定区域。</x:t>
        </x:is>
      </x:c>
    </x:row>
    <x:row r="42" ht="54" customHeight="1">
      <x:c r="A42" t="inlineStr">
        <x:is>
          <x:t xml:space="preserve">v0.1.38</x:t>
        </x:is>
      </x:c>
      <x:c r="B42" s="350" t="n">
        <x:v>46269</x:v>
      </x:c>
      <x:c r="C42" t="inlineStr">
        <x:is>
          <x:t xml:space="preserve">ENV-BASE99-ART-LAYOUT-3D</x:t>
        </x:is>
      </x:c>
      <x:c r="D42" t="inlineStr">
        <x:is>
          <x:t xml:space="preserve">Blender 基地设施布局 v016</x:t>
        </x:is>
      </x:c>
      <x:c r="E42" s="349" t="inlineStr">
        <x:is>
          <x:t xml:space="preserve">基于用户手改 v015 的纯新增二楼与楼梯细节补完；5870 个既有对象逐项锁定零改动。新增 89 个成品组件及 89 个可编辑源组件，均按独立设施资产包镜像归类；101 个资产包、36 个地砖包、101 份磁盘清单。</x:t>
        </x:is>
      </x:c>
      <x:c r="F42" s="349" t="inlineStr">
        <x:is>
          <x:t xml:space="preserve">Blender Game Prop Standard：任务验收 PASS；v016 新增范围 PaletteUV 14072/14072 面通过；4 个共享材质；楼梯四处接口精确通过。全场严格命名报告仍含 v012-v015 继承警告，锁定未改。</x:t>
        </x:is>
      </x:c>
      <x:c r="G42" s="349" t="inlineStr">
        <x:is>
          <x:t xml:space="preserve">Codex</x:t>
        </x:is>
      </x:c>
      <x:c r="H42" t="inlineStr">
        <x:is>
          <x:t xml:space="preserve">仅更新 Blender 源、独立设施资产包和验收资料；文件：source/art/blender/base_facility_layout/base_facility_runtime_layout_hq_v016.blend。未生成 GLB、碰撞、LOD 或 PackedScene，未修改 Godot 运行时。</x:t>
        </x:is>
      </x:c>
    </x:row>
    <x:row r="43" ht="66" customHeight="1">
      <x:c r="A43" t="inlineStr">
        <x:is>
          <x:t xml:space="preserve">v0.1.39</x:t>
        </x:is>
      </x:c>
      <x:c r="B43" s="350" t="n">
        <x:v>46269</x:v>
      </x:c>
      <x:c r="C43" t="inlineStr">
        <x:is>
          <x:t xml:space="preserve">ENV-BASE99-ART-LAYOUT-3D</x:t>
        </x:is>
      </x:c>
      <x:c r="D43" t="inlineStr">
        <x:is>
          <x:t xml:space="preserve">Blender 基地设施归类与灯光归属 v017</x:t>
        </x:is>
      </x:c>
      <x:c r="E43" s="349" t="inlineStr">
        <x:is>
          <x:t xml:space="preserve">仅对 v016 进行 Collection 与资产清单归类，不改网格、材质、坐标、旋转、缩放或动画。旧区域总集合已拆为独立资产包；110 个成品包、36 个地砖包、110 份磁盘清单；2,954 个制作源组件全部镜像归入对应独立设施包。</x:t>
        </x:is>
      </x:c>
      <x:c r="F43" s="349" t="inlineStr">
        <x:is>
          <x:t xml:space="preserve">组件归类审计 PASS：空包/未归包/多包归属/清单错配/未镜像源组件均为 0。灯光归属验收 PASS：55 个 LIGHT；33 个实体灯随实体设施包、12 个源灯随源资产包；4 个无实体全局补光与 6 个预览验收灯均为显式例外。</x:t>
        </x:is>
      </x:c>
      <x:c r="G43" s="349" t="inlineStr">
        <x:is>
          <x:t xml:space="preserve">Codex</x:t>
        </x:is>
      </x:c>
      <x:c r="H43" s="349" t="inlineStr">
        <x:is>
          <x:t xml:space="preserve">文件：source/art/blender/base_facility_layout/base_facility_runtime_layout_hq_v017.blend。v016 的 6,048 个既有对象签名保持一致；仅对象 Collection 归属及 manifest/catalog 更新。未生成 GLB、碰撞、LOD 或 PackedScene，未修改 Godot 运行时。</x:t>
        </x:is>
      </x:c>
    </x:row>
    <x:row r="44" ht="66" customHeight="1">
      <x:c r="A44" t="inlineStr">
        <x:is>
          <x:t xml:space="preserve">v0.1.40</x:t>
        </x:is>
      </x:c>
      <x:c r="B44" s="350" t="n">
        <x:v>46269</x:v>
      </x:c>
      <x:c r="C44" t="inlineStr">
        <x:is>
          <x:t xml:space="preserve">ENV-BASE99-ART-LAYOUT-3D</x:t>
        </x:is>
      </x:c>
      <x:c r="D44" t="inlineStr">
        <x:is>
          <x:t xml:space="preserve">基地99层独立资产包逐项登记</x:t>
        </x:is>
      </x:c>
      <x:c r="E44" s="349" t="inlineStr">
        <x:is>
          <x:t xml:space="preserve">新增大类“基地资产包”，并按 3D-设施口径将 v017 的 110 个独立包逐条写入资产主表：7 类（建筑结构、地面、东侧固定设施、二楼/阁楼、阁楼下方固定设施、仓库、环境支持），36 个为独立地砖包。</x:t>
        </x:is>
      </x:c>
      <x:c r="F44" s="349" t="inlineStr">
        <x:is>
          <x:t xml:space="preserve">每条记录关联 v017 manifest、目录、世界中心、包络、对象/网格/灯光计数、预期导出名与 manifest SHA-256；不改变 Blender 模型、运行时资产或 Godot 引用。</x:t>
        </x:is>
      </x:c>
      <x:c r="G44" s="349" t="inlineStr">
        <x:is>
          <x:t xml:space="preserve">Codex</x:t>
        </x:is>
      </x:c>
      <x:c r="H44" s="349" t="inlineStr">
        <x:is>
          <x:t xml:space="preserve">资产包用于未来独立导入、替换、导出与维护；当前仅完成 Blender 源及目录/清单登记，仍未生成独立 GLB、碰撞、LOD 或 PackedScene。</x:t>
        </x:is>
      </x:c>
    </x:row>
    <x:row r="45" ht="72" customHeight="1">
      <x:c r="A45" t="inlineStr">
        <x:is>
          <x:t xml:space="preserve">v0.1.41</x:t>
        </x:is>
      </x:c>
      <x:c r="B45" s="350" t="n">
        <x:v>46269</x:v>
      </x:c>
      <x:c r="C45" t="inlineStr">
        <x:is>
          <x:t xml:space="preserve">ENV-BASE99-ART-LAYOUT-3D</x:t>
        </x:is>
      </x:c>
      <x:c r="D45" t="inlineStr">
        <x:is>
          <x:t xml:space="preserve">v017 东墙门体规格与 SUPPLY 24H 位置纠正</x:t>
        </x:is>
      </x:c>
      <x:c r="E45" s="349" t="inlineStr">
        <x:is>
          <x:t xml:space="preserve">依据参考图互换东墙标准人员门与 SUPPLY 24H 自动补给机的位置；门体改为直接复用游戏资产 ENV-BASE99-DOOR-LIFT-22X25，并新建独立‘东墙门禁外围控制’资产包。基地资产包总数由 110 增至 111。</x:t>
        </x:is>
      </x:c>
      <x:c r="F45" s="349" t="inlineStr">
        <x:is>
          <x:t xml:space="preserve">除东墙人员门、SUPPLY 24H 与新增门禁外围控制包外，5,855 个既有对象锁定签名一致。门体场景包络为 0.325×2.200×2.500m；实体状态灯及其源镜像均随门体资产包归属。</x:t>
        </x:is>
      </x:c>
      <x:c r="G45" s="349" t="inlineStr">
        <x:is>
          <x:t xml:space="preserve">Codex</x:t>
        </x:is>
      </x:c>
      <x:c r="H45" s="349" t="inlineStr">
        <x:is>
          <x:t xml:space="preserve">Blender 源场景和目录/manifest/资产账本已更新；未新增独立 GLB、碰撞、LOD 或 PackedScene，运行时门碰撞仍归 RoomDoor3D。</x:t>
        </x:is>
      </x:c>
    </x:row>
    <x:row r="46" ht="72" customHeight="1">
      <x:c r="A46" t="inlineStr">
        <x:is>
          <x:t xml:space="preserve">v0.1.42</x:t>
        </x:is>
      </x:c>
      <x:c r="B46" s="350" t="n">
        <x:v>46269</x:v>
      </x:c>
      <x:c r="C46" t="inlineStr">
        <x:is>
          <x:t xml:space="preserve">ENV-BASE99-ART-LAYOUT-3D</x:t>
        </x:is>
      </x:c>
      <x:c r="D46" t="inlineStr">
        <x:is>
          <x:t xml:space="preserve">v017 东墙带门组件组纠正</x:t>
        </x:is>
      </x:c>
      <x:c r="E46" s="349" t="inlineStr">
        <x:is>
          <x:t xml:space="preserve">将东墙门洞恢复为游戏成套组件：新增独立带门墙模块包，标准滑升门与门禁外围控制嵌入同一门洞；SUPPLY 24H 恢复为相邻设施。基地资产包总数由 111 增至 112。</x:t>
        </x:is>
      </x:c>
      <x:c r="F46" s="349" t="inlineStr">
        <x:is>
          <x:t xml:space="preserve">东墙带门墙模块、滑升门、门禁外围控制均分别保留独立源/输出包，并以 base99_east_door_wall_set 组装清单绑定；范围外 5,853 个既有对象锁定签名一致。</x:t>
        </x:is>
      </x:c>
      <x:c r="G46" s="349" t="inlineStr">
        <x:is>
          <x:t xml:space="preserve">Codex</x:t>
        </x:is>
      </x:c>
      <x:c r="H46" s="349" t="inlineStr">
        <x:is>
          <x:t xml:space="preserve">仅更新 Blender 源场景、资产包目录/清单和台账；未新增独立 GLB、碰撞、LOD 或 PackedScene。运行时碰撞仍由 DungeonRoom3D + RoomDoor3D 负责。</x:t>
        </x:is>
      </x:c>
    </x:row>
    <x:row r="47" ht="78" customHeight="1">
      <x:c r="A47" t="inlineStr">
        <x:is>
          <x:t xml:space="preserve">v0.1.43</x:t>
        </x:is>
      </x:c>
      <x:c r="B47" s="350" t="n">
        <x:v>46269</x:v>
      </x:c>
      <x:c r="C47" t="inlineStr">
        <x:is>
          <x:t xml:space="preserve">ENV-BASE99-ART-LAYOUT-3D</x:t>
        </x:is>
      </x:c>
      <x:c r="D47" t="inlineStr">
        <x:is>
          <x:t xml:space="preserve">v017 东墙北南墙格与 SUPPLY 24H 位置交换</x:t>
        </x:is>
      </x:c>
      <x:c r="E47" s="349" t="inlineStr">
        <x:is>
          <x:t xml:space="preserve">依据参考图，将带门墙组件组由保留东墙_02（南段）换至保留东墙_03（北段）；门、门禁外围控制随门洞北移。SUPPLY 24H 自动补给机仅自身包南移，不携带电池柜与 Emergency 柜。基地资产包总数保持 112。</x:t>
        </x:is>
      </x:c>
      <x:c r="F47" s="349" t="inlineStr">
        <x:is>
          <x:t xml:space="preserve">东墙带门墙模块、标准滑升门、门禁外围控制继续以 base99_east_door_wall_set 绑定；目标外 5,850 个对象锁定签名一致。门墙中心 (15.000, 2.500, 4.500)m，门中心 (15.000, 2.500, 1.250)m，SUPPLY 24H 主体锚点 (13.520, -3.450, 1.780)m。</x:t>
        </x:is>
      </x:c>
      <x:c r="G47" s="349" t="inlineStr">
        <x:is>
          <x:t xml:space="preserve">Codex</x:t>
        </x:is>
      </x:c>
      <x:c r="H47" s="349" t="inlineStr">
        <x:is>
          <x:t xml:space="preserve">仅更新 Blender 源场景、资产包清单、组装清单与资产账本；未新增独立 GLB、碰撞、LOD 或 PackedScene。运行时碰撞仍由 DungeonRoom3D + RoomDoor3D 负责。</x:t>
        </x:is>
      </x:c>
    </x:row>
    <x:row r="48" ht="76" customHeight="1">
      <x:c r="A48" t="inlineStr">
        <x:is>
          <x:t xml:space="preserve">v0.1.44</x:t>
        </x:is>
      </x:c>
      <x:c r="B48" s="350" t="n">
        <x:v>46269</x:v>
      </x:c>
      <x:c r="C48" t="inlineStr">
        <x:is>
          <x:t xml:space="preserve">ENV-BASE99-ART-LAYOUT-3D</x:t>
        </x:is>
      </x:c>
      <x:c r="D48" t="inlineStr">
        <x:is>
          <x:t xml:space="preserve">v017 北段人员门参考图高还原深化</x:t>
        </x:is>
      </x:c>
      <x:c r="E48" s="349" t="inlineStr">
        <x:is>
          <x:t xml:space="preserve">依据参考图重制北段标准人员滑升门的可见结构：八角金属框、冷灰分层门板、橙色锁扣和冷青状态条。门洞坐标与规格保持不变，基地资产包总数保持 112。</x:t>
        </x:is>
      </x:c>
      <x:c r="F48" s="349" t="inlineStr">
        <x:is>
          <x:t xml:space="preserve">仅 east_personnel_security_door 的输出/源网格及其两盏归属门体的状态照明可修改。其余 5,997 个对象锁定签名一致；门包与源镜像各 3 个对象，严格 PaletteUV 校验通过。</x:t>
        </x:is>
      </x:c>
      <x:c r="G48" s="349" t="inlineStr">
        <x:is>
          <x:t xml:space="preserve">Codex</x:t>
        </x:is>
      </x:c>
      <x:c r="H48" s="349" t="inlineStr">
        <x:is>
          <x:t xml:space="preserve">仅更新 Blender 源场景、门资产包清单、catalog 与资产账本；未新增独立 GLB、碰撞、LOD 或 PackedScene。运行时门碰撞仍归 RoomDoor3D。</x:t>
        </x:is>
      </x:c>
    </x:row>
    <x:row r="49" ht="76" customHeight="1">
      <x:c r="A49" t="inlineStr">
        <x:is>
          <x:t xml:space="preserve">v0.1.45</x:t>
        </x:is>
      </x:c>
      <x:c r="B49" s="350" t="n">
        <x:v>46269</x:v>
      </x:c>
      <x:c r="C49" t="inlineStr">
        <x:is>
          <x:t xml:space="preserve">ENV-BASE99-ART-LAYOUT-3D</x:t>
        </x:is>
      </x:c>
      <x:c r="D49" t="inlineStr">
        <x:is>
          <x:t xml:space="preserve">v017 北段带门墙模块门框深化</x:t>
        </x:is>
      </x:c>
      <x:c r="E49" s="349" t="inlineStr">
        <x:is>
          <x:t xml:space="preserve">依据参考图补足北段带门墙模块的墙体归属门框：八角外轮廓、双层冷灰门洞饰条、顶部橙色服务铭牌和紧固件。门扇、门灯与门禁继续维持独立资产包，基地资产包总数保持 112。</x:t>
        </x:is>
      </x:c>
      <x:c r="F49" s="349" t="inlineStr">
        <x:is>
          <x:t xml:space="preserve">仅 east_door_wall_module 的输出/源墙体网格可修改。其余 5,997 个对象锁定签名一致；墙包与源镜像各 3 个对象，严格 PaletteUV、共享材质和灯光归属校验通过。</x:t>
        </x:is>
      </x:c>
      <x:c r="G49" s="349" t="inlineStr">
        <x:is>
          <x:t xml:space="preserve">Codex</x:t>
        </x:is>
      </x:c>
      <x:c r="H49" s="349" t="inlineStr">
        <x:is>
          <x:t xml:space="preserve">仅更新 Blender 源场景、墙模块资产包清单、catalog 与资产账本；未新增独立 GLB、碰撞、LOD 或 PackedScene。运行时门碰撞仍归 RoomDoor3D。</x:t>
        </x:is>
      </x:c>
    </x:row>
    <x:row r="50" ht="76" customHeight="1">
      <x:c r="A50" t="inlineStr">
        <x:is>
          <x:t xml:space="preserve">v0.1.46</x:t>
        </x:is>
      </x:c>
      <x:c r="B50" s="350" t="n">
        <x:v>46269</x:v>
      </x:c>
      <x:c r="C50" t="inlineStr">
        <x:is>
          <x:t xml:space="preserve">ENV-BASE99-WALL-DOOR-5X9 / ENV-BASE99-DOOR-LIFT-22X25</x:t>
        </x:is>
      </x:c>
      <x:c r="D50" t="inlineStr">
        <x:is>
          <x:t xml:space="preserve">v017 西侧第三段带门组件对齐</x:t>
        </x:is>
      </x:c>
      <x:c r="E50" s="349" t="inlineStr">
        <x:is>
          <x:t xml:space="preserve">西侧带门墙由北向南第四段修正至第三段：Blender (-15,+2.5,0) 对应游戏 (-15,-9,+2.5)。墙模块复用已验收东侧门框，门扇复用既有通用滑升门。</x:t>
        </x:is>
      </x:c>
      <x:c r="F50" s="349" t="inlineStr">
        <x:is>
          <x:t xml:space="preserve">新增两个独立 Blender 资产包记录和源镜像。组合严格对应 DungeonRoom3D 的 ENV-BASE99-WALL-DOOR-5X9 与 RoomDoor3D 的 ENV-BASE99-DOOR-LIFT-22X25；不含东侧专属门禁。114 包、6 网格、1,068 个有效 PaletteUV 面通过。</x:t>
        </x:is>
      </x:c>
      <x:c r="G50" s="349" t="inlineStr">
        <x:is>
          <x:t xml:space="preserve">Codex</x:t>
        </x:is>
      </x:c>
      <x:c r="H50" s="349" t="inlineStr">
        <x:is>
          <x:t xml:space="preserve">仅更新 v017 Blender 源场景、资产包目录、组件组清单、catalog 与台账；未覆盖正式 GLB 或 PackedScene，现有运行时路径保留作为后续替换目标。</x:t>
        </x:is>
      </x:c>
    </x:row>
    <x:row r="51" ht="80" customHeight="1">
      <x:c r="A51" t="inlineStr">
        <x:is>
          <x:t xml:space="preserve">v0.1.47</x:t>
        </x:is>
      </x:c>
      <x:c r="B51" s="350" t="n">
        <x:v>46269</x:v>
      </x:c>
      <x:c r="C51" t="inlineStr">
        <x:is>
          <x:t xml:space="preserve">ENV-BASE99-WALL-DOOR-5X9 / ENV-BASE99-DOOR-LIFT-22X25</x:t>
        </x:is>
      </x:c>
      <x:c r="D51" t="inlineStr">
        <x:is>
          <x:t xml:space="preserve">v017 西侧带门墙双面对齐模型迭代</x:t>
        </x:is>
      </x:c>
      <x:c r="E51" s="349" t="inlineStr">
        <x:is>
          <x:t xml:space="preserve">修复西侧门墙中心偏移与门框脱离：5×9m墙芯回归相邻西墙共用中心线；门框改为归属墙模块的双面闭合结构，门扇改为双面加厚滑升门。</x:t>
        </x:is>
      </x:c>
      <x:c r="F51" s="349" t="inlineStr">
        <x:is>
          <x:t xml:space="preserve">仅调整 west_door_wall_module 与 west_door_lift_instance 及其源镜像；6,000 个范围外对象签名不变。114 包、6 网格、764 个有效 PaletteUV 面、双面厚度与归属检查通过。</x:t>
        </x:is>
      </x:c>
      <x:c r="G51" s="349" t="inlineStr">
        <x:is>
          <x:t xml:space="preserve">Codex</x:t>
        </x:is>
      </x:c>
      <x:c r="H51" s="349" t="inlineStr">
        <x:is>
          <x:t xml:space="preserve">仅更新 v017 Blender 源场景、两套资产包清单、组件组清单、catalog 与台账；未覆盖正式 GLB 或 PackedScene。</x:t>
        </x:is>
      </x:c>
    </x:row>
    <x:row r="52" ht="80" customHeight="1">
      <x:c r="A52" t="inlineStr">
        <x:is>
          <x:t xml:space="preserve">v0.1.48</x:t>
        </x:is>
      </x:c>
      <x:c r="B52" s="350" t="n">
        <x:v>46269</x:v>
      </x:c>
      <x:c r="C52" t="inlineStr">
        <x:is>
          <x:t xml:space="preserve">ENV-BASE99-WALL-DOOR-5X9 / ENV-BASE99-DOOR-LIFT-22X25</x:t>
        </x:is>
      </x:c>
      <x:c r="D52" t="inlineStr">
        <x:is>
          <x:t xml:space="preserve">v017 东侧复用西侧双面带门墙</x:t>
        </x:is>
      </x:c>
      <x:c r="E52" s="349" t="inlineStr">
        <x:is>
          <x:t xml:space="preserve">东侧带门墙模块与滑升门改为西侧已验收双面模型的独立网格副本；保持东侧反向墙朝向、中心线和运行时组件映射。</x:t>
        </x:is>
      </x:c>
      <x:c r="F52" s="349" t="inlineStr">
        <x:is>
          <x:t xml:space="preserve">只更新 east_door_wall_module 与 east_personnel_security_door 及源镜像；东侧门禁包、自动补给机和其余设施未改。114 包、双面厚度、PaletteUV、灯光归属和组件组验收通过。</x:t>
        </x:is>
      </x:c>
      <x:c r="G52" s="349" t="inlineStr">
        <x:is>
          <x:t xml:space="preserve">Codex</x:t>
        </x:is>
      </x:c>
      <x:c r="H52" s="349" t="inlineStr">
        <x:is>
          <x:t xml:space="preserve">仅更新 v017 Blender 源场景、两个既有资产包清单、东侧组件组清单、catalog 与台账；未覆盖正式 GLB 或 PackedScene。</x:t>
        </x:is>
      </x:c>
    </x:row>
    <x:row r="53" ht="80" customHeight="1">
      <x:c r="A53" t="inlineStr">
        <x:is>
          <x:t xml:space="preserve">v0.1.49</x:t>
        </x:is>
      </x:c>
      <x:c r="B53" s="350" t="n">
        <x:v>46269</x:v>
      </x:c>
      <x:c r="C53" t="inlineStr">
        <x:is>
          <x:t xml:space="preserve">ENV-BASE99-WALL-DOOR-5X9</x:t>
        </x:is>
      </x:c>
      <x:c r="D53" t="inlineStr">
        <x:is>
          <x:t xml:space="preserve">v017 东侧带门墙 PaletteUV 对齐</x:t>
        </x:is>
      </x:c>
      <x:c r="E53" s="349" t="inlineStr">
        <x:is>
          <x:t xml:space="preserve">仅将 east_door_wall_module 的50个主体哑光墙面从 PaletteUV (9,5) 对齐到相邻东墙使用的 (9,9)，消除偏白色差。</x:t>
        </x:is>
      </x:c>
      <x:c r="F53" s="349" t="inlineStr">
        <x:is>
          <x:t xml:space="preserve">门框、门扇、灯光、结构、坐标、朝向、独立资产包与其他设施不变；输出和源镜像同步，范围外 6,008 个对象的变换及 PaletteUV 不变。</x:t>
        </x:is>
      </x:c>
      <x:c r="G53" s="349" t="inlineStr">
        <x:is>
          <x:t xml:space="preserve">Codex</x:t>
        </x:is>
      </x:c>
      <x:c r="H53" s="349" t="inlineStr">
        <x:is>
          <x:t xml:space="preserve">仅更新 v017 Blender 源场景、东侧门墙资产清单、catalog 与台账；未覆盖正式 GLB 或 PackedScene。</x:t>
        </x:is>
      </x:c>
    </x:row>
    <x:row r="54" ht="84" customHeight="1">
      <x:c r="A54" t="inlineStr">
        <x:is>
          <x:t xml:space="preserve">v0.1.50</x:t>
        </x:is>
      </x:c>
      <x:c r="B54" s="350" t="n">
        <x:v>46269</x:v>
      </x:c>
      <x:c r="C54" t="inlineStr">
        <x:is>
          <x:t xml:space="preserve">BPK-BASE99-LOFT-BED-AND-BEDDING / BPK-BASE99-LOFT-LOUNGE-RUG / BPK-BASE99-LOFT-FLOOR-FINISH</x:t>
        </x:is>
      </x:c>
      <x:c r="D54" t="inlineStr">
        <x:is>
          <x:t xml:space="preserve">v017 二楼床铺、桌毯与可见地板局部深化</x:t>
        </x:is>
      </x:c>
      <x:c r="E54" s="349" t="inlineStr">
        <x:is>
          <x:t xml:space="preserve">床铺加宽至床架5.45m、床垫5.20m；桌毯改为暖红、青绿、紫灰、暖橙多色层次；二楼可见地板从阁楼主体拆为独立地面系统包。</x:t>
        </x:is>
      </x:c>
      <x:c r="F54" s="349" t="inlineStr">
        <x:is>
          <x:t xml:space="preserve">仅3个资产包及其源镜像；床37、桌毯13、地板11对象，源输出数量一致；PaletteUV、独占归属和范围锁均验收通过。</x:t>
        </x:is>
      </x:c>
      <x:c r="G54" s="349" t="inlineStr">
        <x:is>
          <x:t xml:space="preserve">Codex</x:t>
        </x:is>
      </x:c>
      <x:c r="H54" s="349" t="inlineStr">
        <x:is>
          <x:t xml:space="preserve">未改楼梯、栏杆、沙发、工位、咖啡桌本体或一楼资产；未导出GLB/PackedScene。</x:t>
        </x:is>
      </x:c>
    </x:row>
    <x:row r="55" ht="84" customHeight="1">
      <x:c r="A55" t="inlineStr">
        <x:is>
          <x:t xml:space="preserve">v0.1.51</x:t>
        </x:is>
      </x:c>
      <x:c r="B55" s="350" t="n">
        <x:v>46269</x:v>
      </x:c>
      <x:c r="C55" t="inlineStr">
        <x:is>
          <x:t xml:space="preserve">BPK-BASE99-LOFT-BED-AND-BEDDING / BPK-BASE99-LOFT-LOUNGE-RUG / BPK-BASE99-LOFT-FLOOR-FINISH</x:t>
        </x:is>
      </x:c>
      <x:c r="D55" t="inlineStr">
        <x:is>
          <x:t xml:space="preserve">v017 二楼床铺、桌毯与地板参考图纠正</x:t>
        </x:is>
      </x:c>
      <x:c r="E55" s="349" t="inlineStr">
        <x:is>
          <x:t xml:space="preserve">纠正上一轮床轴向误读：恢复X向长度4.75m，仅将Y向床架加宽至2.55m、床垫加宽至2.30m。桌毯恢复暗紫红、紫灰、暖棕配色，二楼地面恢复深红棕主色并移除绿色大面。</x:t>
        </x:is>
      </x:c>
      <x:c r="F55" s="349" t="inlineStr">
        <x:is>
          <x:t xml:space="preserve">仅重做3个资产包及其源镜像。床37、桌毯13、地板11对象，源输出数量一致；桌毯未再被地面分区覆盖；PaletteUV、独占归属和范围锁通过。</x:t>
        </x:is>
      </x:c>
      <x:c r="G55" s="349" t="inlineStr">
        <x:is>
          <x:t xml:space="preserve">Codex</x:t>
        </x:is>
      </x:c>
      <x:c r="H55" s="349" t="inlineStr">
        <x:is>
          <x:t xml:space="preserve">未改楼梯、栏杆、沙发、工位、咖啡桌本体或一楼资产。未导出GLB/PackedScene。</x:t>
        </x:is>
      </x:c>
    </x:row>
    <x:row r="56">
      <x:c r="A56" t="inlineStr">
        <x:is>
          <x:t xml:space="preserve">v0.1.52</x:t>
        </x:is>
      </x:c>
      <x:c r="B56" t="n">
        <x:v>46276</x:v>
      </x:c>
      <x:c r="C56" t="inlineStr">
        <x:is>
          <x:t xml:space="preserve">99F基地设施功能资产转移与台账回填</x:t>
        </x:is>
      </x:c>
      <x:c r="D56" t="inlineStr">
        <x:is>
          <x:t xml:space="preserve">6设施 / 6包装Prefab / 6源资产包</x:t>
        </x:is>
      </x:c>
      <x:c r="E56" t="inlineStr">
        <x:is>
          <x:t xml:space="preserve">自动贩卖机、保险柜、怪物档案室、命运卡收藏室、状态恢复舱、角色衣柜迁移到场景内目标资产包；统一使用BaseFacility3D包装，交互区域锁定为源碰撞包围盒+0.8m。</x:t>
        </x:is>
      </x:c>
      <x:c r="F56" t="inlineStr">
        <x:is>
          <x:t xml:space="preserve">不改菜单、交易、恢复、换装和存档逻辑；BaseWorld3D旧设施模型保留；TowerDescent99F使用新包装。</x:t>
        </x:is>
      </x:c>
      <x:c r="G56" t="inlineStr">
        <x:is>
          <x:t xml:space="preserve">Codex</x:t>
        </x:is>
      </x:c>
      <x:c r="H56" t="inlineStr">
        <x:is>
          <x:t xml:space="preserve">验收：verify_tower_base_facility_persistent_flow；verify_tower_facility_inventory_binding；verify_formal_asset_placement_visual；Godot编辑器无头编译。</x:t>
        </x:is>
      </x:c>
    </x:row>
  </x:sheetData>
  <x:mergeCells>
    <x:mergeCell ref="A3:G3"/>
    <x:mergeCell ref="A1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3" customWidth="1"/>
    <x:col min="4" max="4" width="15" customWidth="1"/>
    <x:col min="5" max="5" width="15" customWidth="1"/>
    <x:col min="6" max="6" width="13" customWidth="1"/>
    <x:col min="7" max="7" width="58" customWidth="1"/>
    <x:col min="8" max="8" width="34" customWidth="1"/>
    <x:col min="9" max="9" width="10" customWidth="1"/>
    <x:col min="10" max="10" width="12" customWidth="1"/>
    <x:col min="11" max="11" width="15" customWidth="1"/>
    <x:col min="12" max="12" width="25" customWidth="1"/>
    <x:col min="13" max="13" width="26" customWidth="1"/>
    <x:col min="14" max="14" width="28" customWidth="1"/>
    <x:col min="15" max="15" width="22" customWidth="1"/>
    <x:col min="16" max="16" width="10" customWidth="1"/>
    <x:col min="17" max="17" width="42" customWidth="1"/>
  </x:cols>
  <x:sheetData>
    <x:row r="1" ht="30" customHeight="1">
      <x:c r="A1" s="311" t="inlineStr">
        <x:is>
          <x:t xml:space="preserve">ShellStorm2 · 3D Prefab 分类索引</x:t>
        </x:is>
      </x:c>
      <x:c r="H1" s="349" t="n"/>
      <x:c r="I1" s="349" t="n"/>
      <x:c r="J1" s="349" t="n"/>
      <x:c r="K1" s="349" t="n"/>
      <x:c r="L1" s="349" t="n"/>
      <x:c r="M1" s="349" t="n"/>
      <x:c r="N1" s="349" t="n"/>
      <x:c r="O1" s="349" t="n"/>
      <x:c r="P1" s="349" t="n"/>
      <x:c r="Q1" s="349" t="n"/>
    </x:row>
    <x:row r="2" ht="34" customHeight="1">
      <x:c r="A2" s="312" t="inlineStr">
        <x:is>
          <x:t xml:space="preserve">详细Prefab按分类进入独立分页；场景与固定设施统一使用项目公共色盘，不在模型目录复制贴图。</x:t>
        </x:is>
      </x:c>
      <x:c r="H2" s="349" t="n"/>
      <x:c r="I2" s="349" t="n"/>
      <x:c r="J2" s="349" t="n"/>
      <x:c r="K2" s="349" t="n"/>
      <x:c r="L2" s="349" t="n"/>
      <x:c r="M2" s="349" t="n"/>
      <x:c r="N2" s="349" t="n"/>
      <x:c r="O2" s="349" t="n"/>
      <x:c r="P2" s="349" t="n"/>
      <x:c r="Q2" s="349" t="n"/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  <x:c r="Q3" s="349" t="n"/>
    </x:row>
    <x:row r="4" ht="28" customHeight="1">
      <x:c r="A4" s="313" t="inlineStr">
        <x:is>
          <x:t xml:space="preserve">分类</x:t>
        </x:is>
      </x:c>
      <x:c r="B4" s="313" t="inlineStr">
        <x:is>
          <x:t xml:space="preserve">分页</x:t>
        </x:is>
      </x:c>
      <x:c r="C4" s="313" t="inlineStr">
        <x:is>
          <x:t xml:space="preserve">Prefab数量</x:t>
        </x:is>
      </x:c>
      <x:c r="D4" s="313" t="inlineStr">
        <x:is>
          <x:t xml:space="preserve">直接引用GLB</x:t>
        </x:is>
      </x:c>
      <x:c r="E4" s="313" t="inlineStr">
        <x:is>
          <x:t xml:space="preserve">有功能脚本</x:t>
        </x:is>
      </x:c>
      <x:c r="F4" s="313" t="inlineStr">
        <x:is>
          <x:t xml:space="preserve">碰撞开启</x:t>
        </x:is>
      </x:c>
      <x:c r="G4" s="313" t="inlineStr">
        <x:is>
          <x:t xml:space="preserve">说明</x:t>
        </x:is>
      </x:c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</x:row>
    <x:row r="5" ht="32" customHeight="1">
      <x:c r="A5" s="276" t="inlineStr">
        <x:is>
          <x:t xml:space="preserve">场景通用组件</x:t>
        </x:is>
      </x:c>
      <x:c r="B5" s="277" t="inlineStr">
        <x:is>
          <x:t xml:space="preserve">3D-场景通用</x:t>
        </x:is>
      </x:c>
      <x:c r="C5" s="277" t="n">
        <x:v>55</x:v>
      </x:c>
      <x:c r="D5" s="277" t="n">
        <x:v>13</x:v>
      </x:c>
      <x:c r="E5" s="277" t="n">
        <x:v>55</x:v>
      </x:c>
      <x:c r="F5" s="277" t="n">
        <x:v>39</x:v>
      </x:c>
      <x:c r="G5" s="278" t="inlineStr">
        <x:is>
          <x:t xml:space="preserve">关卡结构、地板、墙体、走廊、楼梯、楼板与环境套件</x:t>
        </x:is>
      </x:c>
      <x:c r="H5" s="349" t="n"/>
      <x:c r="I5" s="349" t="n"/>
      <x:c r="J5" s="349" t="n"/>
      <x:c r="K5" s="349" t="n"/>
      <x:c r="L5" s="349" t="n"/>
      <x:c r="M5" s="349" t="n"/>
      <x:c r="N5" s="349" t="n"/>
      <x:c r="O5" s="349" t="n"/>
      <x:c r="P5" s="349" t="n"/>
      <x:c r="Q5" s="349" t="n"/>
    </x:row>
    <x:row r="6" ht="32" customHeight="1">
      <x:c r="A6" s="279" t="inlineStr">
        <x:is>
          <x:t xml:space="preserve">设施组件</x:t>
        </x:is>
      </x:c>
      <x:c r="B6" s="280" t="inlineStr">
        <x:is>
          <x:t xml:space="preserve">3D-设施</x:t>
        </x:is>
      </x:c>
      <x:c r="C6" s="280" t="n">
        <x:v>23</x:v>
      </x:c>
      <x:c r="D6" s="280" t="n">
        <x:v>13</x:v>
      </x:c>
      <x:c r="E6" s="280" t="n">
        <x:v>22</x:v>
      </x:c>
      <x:c r="F6" s="280" t="n">
        <x:v>21</x:v>
      </x:c>
      <x:c r="G6" s="281" t="inlineStr">
        <x:is>
          <x:t xml:space="preserve">门扇、灯具、开关、终端、工作台、储物与服务设施</x:t>
        </x:is>
      </x:c>
      <x:c r="H6" s="349" t="n"/>
      <x:c r="I6" s="349" t="n"/>
      <x:c r="J6" s="349" t="n"/>
      <x:c r="K6" s="349" t="n"/>
      <x:c r="L6" s="349" t="n"/>
      <x:c r="M6" s="349" t="n"/>
      <x:c r="N6" s="349" t="n"/>
      <x:c r="O6" s="349" t="n"/>
      <x:c r="P6" s="349" t="n"/>
      <x:c r="Q6" s="349" t="n"/>
    </x:row>
    <x:row r="7" ht="32" customHeight="1">
      <x:c r="A7" s="279" t="inlineStr">
        <x:is>
          <x:t xml:space="preserve">道具</x:t>
        </x:is>
      </x:c>
      <x:c r="B7" s="280" t="inlineStr">
        <x:is>
          <x:t xml:space="preserve">3D-道具</x:t>
        </x:is>
      </x:c>
      <x:c r="C7" s="280" t="n">
        <x:f>COUNTA('3D-道具'!$A$5:$A$204)</x:f>
        <x:v>3</x:v>
      </x:c>
      <x:c r="D7" s="280" t="n">
        <x:f>COUNTIF('3D-道具'!$D$5:$D$204,"&lt;&gt;")</x:f>
        <x:v>2</x:v>
      </x:c>
      <x:c r="E7" s="280" t="n">
        <x:f>COUNTIF('3D-道具'!$G$5:$G$204,"&lt;&gt;")</x:f>
        <x:v>1</x:v>
      </x:c>
      <x:c r="F7" s="280" t="n">
        <x:f>COUNTIF('3D-道具'!$H$5:$H$204,"开")</x:f>
        <x:v>1</x:v>
      </x:c>
      <x:c r="G7" s="281" t="inlineStr">
        <x:is>
          <x:t xml:space="preserve">桌椅、家具、容器和摆放装饰物</x:t>
        </x:is>
      </x:c>
      <x:c r="H7" s="349" t="n"/>
      <x:c r="I7" s="349" t="n"/>
      <x:c r="J7" s="349" t="n"/>
      <x:c r="K7" s="349" t="n"/>
      <x:c r="L7" s="349" t="n"/>
      <x:c r="M7" s="349" t="n"/>
      <x:c r="N7" s="349" t="n"/>
      <x:c r="O7" s="349" t="n"/>
      <x:c r="P7" s="349" t="n"/>
      <x:c r="Q7" s="349" t="n"/>
    </x:row>
    <x:row r="8" ht="32" customHeight="1">
      <x:c r="A8" s="279" t="inlineStr">
        <x:is>
          <x:t xml:space="preserve">角色</x:t>
        </x:is>
      </x:c>
      <x:c r="B8" s="280" t="inlineStr">
        <x:is>
          <x:t xml:space="preserve">3D-角色</x:t>
        </x:is>
      </x:c>
      <x:c r="C8" s="280" t="n">
        <x:v>4</x:v>
      </x:c>
      <x:c r="D8" s="280" t="n">
        <x:v>1</x:v>
      </x:c>
      <x:c r="E8" s="280" t="n">
        <x:v>3</x:v>
      </x:c>
      <x:c r="F8" s="280" t="n">
        <x:v>1</x:v>
      </x:c>
      <x:c r="G8" s="281" t="inlineStr">
        <x:is>
          <x:t xml:space="preserve">玩家、NPC与角色表现/玩法根</x:t>
        </x:is>
      </x:c>
      <x:c r="H8" s="349" t="n"/>
      <x:c r="I8" s="349" t="n"/>
      <x:c r="J8" s="349" t="n"/>
      <x:c r="K8" s="349" t="n"/>
      <x:c r="L8" s="349" t="n"/>
      <x:c r="M8" s="349" t="n"/>
      <x:c r="N8" s="349" t="n"/>
      <x:c r="O8" s="349" t="n"/>
      <x:c r="P8" s="349" t="n"/>
      <x:c r="Q8" s="349" t="n"/>
    </x:row>
    <x:row r="9" ht="32" customHeight="1">
      <x:c r="A9" s="279" t="inlineStr">
        <x:is>
          <x:t xml:space="preserve">敌人</x:t>
        </x:is>
      </x:c>
      <x:c r="B9" s="280" t="inlineStr">
        <x:is>
          <x:t xml:space="preserve">3D-敌人</x:t>
        </x:is>
      </x:c>
      <x:c r="C9" s="280" t="n">
        <x:f>COUNTA('3D-敌人'!$A$5:$A$204)</x:f>
        <x:v>2</x:v>
      </x:c>
      <x:c r="D9" s="280" t="n">
        <x:f>COUNTIF('3D-敌人'!$D$5:$D$204,"&lt;&gt;")</x:f>
        <x:v>1</x:v>
      </x:c>
      <x:c r="E9" s="280" t="n">
        <x:f>COUNTIF('3D-敌人'!$G$5:$G$204,"&lt;&gt;")</x:f>
        <x:v>2</x:v>
      </x:c>
      <x:c r="F9" s="280" t="n">
        <x:f>COUNTIF('3D-敌人'!$H$5:$H$204,"开")</x:f>
        <x:v>1</x:v>
      </x:c>
      <x:c r="G9" s="281" t="inlineStr">
        <x:is>
          <x:t xml:space="preserve">普通敌人、精英、Boss与敌人共用根</x:t>
        </x:is>
      </x:c>
      <x:c r="H9" s="349" t="n"/>
      <x:c r="I9" s="349" t="n"/>
      <x:c r="J9" s="349" t="n"/>
      <x:c r="K9" s="349" t="n"/>
      <x:c r="L9" s="349" t="n"/>
      <x:c r="M9" s="349" t="n"/>
      <x:c r="N9" s="349" t="n"/>
      <x:c r="O9" s="349" t="n"/>
      <x:c r="P9" s="349" t="n"/>
      <x:c r="Q9" s="349" t="n"/>
    </x:row>
    <x:row r="10" ht="32" customHeight="1">
      <x:c r="A10" s="279" t="inlineStr">
        <x:is>
          <x:t xml:space="preserve">武器</x:t>
        </x:is>
      </x:c>
      <x:c r="B10" s="280" t="inlineStr">
        <x:is>
          <x:t xml:space="preserve">3D-武器</x:t>
        </x:is>
      </x:c>
      <x:c r="C10" s="280" t="n">
        <x:f>COUNTA('3D-武器'!$A$5:$A$204)</x:f>
        <x:v>22</x:v>
      </x:c>
      <x:c r="D10" s="280" t="n">
        <x:f>COUNTIF('3D-武器'!$D$5:$D$204,"&lt;&gt;")</x:f>
        <x:v>18</x:v>
      </x:c>
      <x:c r="E10" s="280" t="n">
        <x:f>COUNTIF('3D-武器'!$G$5:$G$204,"&lt;&gt;")</x:f>
        <x:v>22</x:v>
      </x:c>
      <x:c r="F10" s="280" t="n">
        <x:f>COUNTIF('3D-武器'!$H$5:$H$204,"开")</x:f>
        <x:v>0</x:v>
      </x:c>
      <x:c r="G10" s="281" t="inlineStr">
        <x:is>
          <x:t xml:space="preserve">枪械、近战武器与武器装配根</x:t>
        </x:is>
      </x:c>
      <x:c r="H10" s="349" t="n"/>
      <x:c r="I10" s="349" t="n"/>
      <x:c r="J10" s="349" t="n"/>
      <x:c r="K10" s="349" t="n"/>
      <x:c r="L10" s="349" t="n"/>
      <x:c r="M10" s="349" t="n"/>
      <x:c r="N10" s="349" t="n"/>
      <x:c r="O10" s="349" t="n"/>
      <x:c r="P10" s="349" t="n"/>
      <x:c r="Q10" s="349" t="n"/>
    </x:row>
    <x:row r="11" ht="32" customHeight="1">
      <x:c r="A11" s="279" t="inlineStr">
        <x:is>
          <x:t xml:space="preserve">物品</x:t>
        </x:is>
      </x:c>
      <x:c r="B11" s="280" t="inlineStr">
        <x:is>
          <x:t xml:space="preserve">3D-物品</x:t>
        </x:is>
      </x:c>
      <x:c r="C11" s="280" t="n">
        <x:f>COUNTA('3D-物品'!$A$5:$A$204)</x:f>
        <x:v>0</x:v>
      </x:c>
      <x:c r="D11" s="280" t="n">
        <x:f>COUNTIF('3D-物品'!$D$5:$D$204,"&lt;&gt;")</x:f>
        <x:v>0</x:v>
      </x:c>
      <x:c r="E11" s="280" t="n">
        <x:f>COUNTIF('3D-物品'!$G$5:$G$204,"&lt;&gt;")</x:f>
        <x:v>0</x:v>
      </x:c>
      <x:c r="F11" s="280" t="n">
        <x:f>COUNTIF('3D-物品'!$H$5:$H$204,"开")</x:f>
        <x:v>0</x:v>
      </x:c>
      <x:c r="G11" s="281" t="inlineStr">
        <x:is>
          <x:t xml:space="preserve">拥有独立PackedScene的拾取物、消耗品、钥匙和掉落物</x:t>
        </x:is>
      </x:c>
      <x:c r="H11" s="349" t="n"/>
      <x:c r="I11" s="349" t="n"/>
      <x:c r="J11" s="349" t="n"/>
      <x:c r="K11" s="349" t="n"/>
      <x:c r="L11" s="349" t="n"/>
      <x:c r="M11" s="349" t="n"/>
      <x:c r="N11" s="349" t="n"/>
      <x:c r="O11" s="349" t="n"/>
      <x:c r="P11" s="349" t="n"/>
      <x:c r="Q11" s="349" t="n"/>
    </x:row>
    <x:row r="12" ht="32" customHeight="1">
      <x:c r="A12" s="279" t="inlineStr">
        <x:is>
          <x:t xml:space="preserve">特效</x:t>
        </x:is>
      </x:c>
      <x:c r="B12" s="280" t="inlineStr">
        <x:is>
          <x:t xml:space="preserve">3D-特效</x:t>
        </x:is>
      </x:c>
      <x:c r="C12" s="280" t="n">
        <x:f>COUNTA('3D-特效'!$A$5:$A$204)</x:f>
        <x:v>15</x:v>
      </x:c>
      <x:c r="D12" s="280" t="n">
        <x:f>COUNTIF('3D-特效'!$D$5:$D$204,"&lt;&gt;")</x:f>
        <x:v>10</x:v>
      </x:c>
      <x:c r="E12" s="280" t="n">
        <x:f>COUNTIF('3D-特效'!$G$5:$G$204,"&lt;&gt;")</x:f>
        <x:v>10</x:v>
      </x:c>
      <x:c r="F12" s="280" t="n">
        <x:f>COUNTIF('3D-特效'!$H$5:$H$204,"开")</x:f>
        <x:v>0</x:v>
      </x:c>
      <x:c r="G12" s="281" t="inlineStr">
        <x:is>
          <x:t xml:space="preserve">可独立实例化的3D战斗、环境和可见性特效</x:t>
        </x:is>
      </x:c>
      <x:c r="H12" s="349" t="n"/>
      <x:c r="I12" s="349" t="n"/>
      <x:c r="J12" s="349" t="n"/>
      <x:c r="K12" s="349" t="n"/>
      <x:c r="L12" s="349" t="n"/>
      <x:c r="M12" s="349" t="n"/>
      <x:c r="N12" s="349" t="n"/>
      <x:c r="O12" s="349" t="n"/>
      <x:c r="P12" s="349" t="n"/>
      <x:c r="Q12" s="349" t="n"/>
    </x:row>
    <x:row r="13" ht="32" customHeight="1">
      <x:c r="A13" s="279" t="inlineStr">
        <x:is>
          <x:t xml:space="preserve">其他</x:t>
        </x:is>
      </x:c>
      <x:c r="B13" s="280" t="inlineStr">
        <x:is>
          <x:t xml:space="preserve">3D-其他</x:t>
        </x:is>
      </x:c>
      <x:c r="C13" s="280" t="n">
        <x:f>COUNTA('3D-其他'!$A$5:$A$204)</x:f>
        <x:v>0</x:v>
      </x:c>
      <x:c r="D13" s="280" t="n">
        <x:f>COUNTIF('3D-其他'!$D$5:$D$204,"&lt;&gt;")</x:f>
        <x:v>0</x:v>
      </x:c>
      <x:c r="E13" s="280" t="n">
        <x:f>COUNTIF('3D-其他'!$G$5:$G$204,"&lt;&gt;")</x:f>
        <x:v>0</x:v>
      </x:c>
      <x:c r="F13" s="280" t="n">
        <x:f>COUNTIF('3D-其他'!$H$5:$H$204,"开")</x:f>
        <x:v>0</x:v>
      </x:c>
      <x:c r="G13" s="281" t="inlineStr">
        <x:is>
          <x:t xml:space="preserve">无法归入以上分类的独立3D Prefab</x:t>
        </x:is>
      </x:c>
      <x:c r="H13" s="349" t="n"/>
      <x:c r="I13" s="349" t="n"/>
      <x:c r="J13" s="349" t="n"/>
      <x:c r="K13" s="349" t="n"/>
      <x:c r="L13" s="349" t="n"/>
      <x:c r="M13" s="349" t="n"/>
      <x:c r="N13" s="349" t="n"/>
      <x:c r="O13" s="349" t="n"/>
      <x:c r="P13" s="349" t="n"/>
      <x:c r="Q13" s="349" t="n"/>
    </x:row>
    <x:row r="14" ht="32" customHeight="1">
      <x:c r="A14" s="314" t="inlineStr">
        <x:is>
          <x:t xml:space="preserve">合计</x:t>
        </x:is>
      </x:c>
      <x:c r="B14" s="315" t="inlineStr">
        <x:is>
          <x:t xml:space="preserve">9个分类分页</x:t>
        </x:is>
      </x:c>
      <x:c r="C14" s="315" t="n">
        <x:v>119</x:v>
      </x:c>
      <x:c r="D14" s="315" t="n">
        <x:v>47</x:v>
      </x:c>
      <x:c r="E14" s="315" t="n">
        <x:v>107</x:v>
      </x:c>
      <x:c r="F14" s="315" t="n">
        <x:v>64</x:v>
      </x:c>
      <x:c r="G14" s="316" t="inlineStr">
        <x:is>
          <x:t xml:space="preserve">更新日期：2026-09-12；新增6个99F设施玩法包装（自动贩卖机、保险柜、怪物档案室、命运卡收藏室、状态恢复舱、角色衣柜）；合计 119</x:t>
        </x:is>
      </x:c>
      <x:c r="H14" s="349" t="n"/>
      <x:c r="I14" s="349" t="n"/>
      <x:c r="J14" s="349" t="n"/>
      <x:c r="K14" s="349" t="n"/>
      <x:c r="L14" s="349" t="n"/>
      <x:c r="M14" s="349" t="n"/>
      <x:c r="N14" s="349" t="n"/>
      <x:c r="O14" s="349" t="n"/>
      <x:c r="P14" s="349" t="n"/>
      <x:c r="Q14" s="349" t="n"/>
    </x:row>
  </x:sheetData>
  <x:mergeCells>
    <x:mergeCell ref="A2:G2"/>
    <x:mergeCell ref="A1:G1"/>
  </x:mergeCells>
  <x:dataValidations count="6">
    <x:dataValidation type="list" allowBlank="0" showDropDown="0" showInputMessage="0" showErrorMessage="0" sqref="H5:H200">
      <x:formula1>"开,关,无"</x:formula1>
    </x:dataValidation>
    <x:dataValidation type="list" allowBlank="0" showDropDown="0" showInputMessage="0" showErrorMessage="0" sqref="I5:I200">
      <x:formula1>"开,关,无"</x:formula1>
    </x:dataValidation>
    <x:dataValidation type="list" allowBlank="0" showDropDown="0" showInputMessage="0" showErrorMessage="0" sqref="N5:N200">
      <x:formula1>"待制作,程序占位,正式美术已入库/待接入,原型已接入,正式美术已接入,已完成,弃用"</x:formula1>
    </x:dataValidation>
    <x:dataValidation type="list" allowBlank="0" showDropDown="0" showInputMessage="0" showErrorMessage="0" sqref="C5:C200">
      <x:formula1>"场景通用组件,设施组件,道具,角色,敌人,武器,物品,特效,其他"</x:formula1>
    </x:dataValidation>
    <x:dataValidation type="list" allowBlank="0" showDropDown="0" showInputMessage="0" showErrorMessage="0" sqref="J5:J200">
      <x:formula1>"Prefab自身,外部脚本,混合,无"</x:formula1>
    </x:dataValidation>
    <x:dataValidation type="list" allowBlank="0" showDropDown="0" showInputMessage="0" showErrorMessage="0" sqref="O5:O20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场景通用组件 3D Prefab</x:t>
        </x:is>
      </x:c>
    </x:row>
    <x:row r="2" ht="34" customHeight="1">
      <x:c r="A2" s="145" t="inlineStr">
        <x:is>
          <x:t xml:space="preserve">关卡结构、地板、墙体、走廊、楼梯与楼板；场景模型统一引用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ENV-BASE99-ART-LAYOUT-3D</x:t>
        </x:is>
      </x:c>
      <x:c r="B5" s="189" t="str">
        <x:v>基地区美术</x:v>
      </x:c>
      <x:c r="C5" s="189" t="str">
        <x:v>assets/art/environments/tower_zones/base/runtime/zone_base_v002.tscn</x:v>
      </x:c>
      <x:c r="D5" s="189"/>
      <x:c r="E5" s="189" t="str">
        <x:v>source/art/blender/base_facility_layout/source/base_facility_runtime_layout_hq_v026.blend; source/art/blender/base_facility_layout/source/base_facility_runtime_layout_hq_v026.godot.json</x:v>
      </x:c>
      <x:c r="F5" s="189" t="str">
        <x:v>Blocks/Base/Art区块入口；运行时桥接基地设施与美术布局</x:v>
      </x:c>
      <x:c r="G5" s="189" t="inlineStr">
        <x:is>
          <x:t xml:space="preserve">src/world3d/DungeonRoom3D.gd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未声明</x:t>
        </x:is>
      </x:c>
      <x:c r="L5" s="189" t="inlineStr">
        <x:is>
          <x:t xml:space="preserve">未声明</x:t>
        </x:is>
      </x:c>
      <x:c r="M5" s="189" t="str">
        <x:v>Blocks/Base；99F</x:v>
      </x:c>
      <x:c r="N5" s="189" t="str">
        <x:v>原型已接入</x:v>
      </x:c>
      <x:c r="O5" s="189" t="str">
        <x:v>v002</x:v>
      </x:c>
      <x:c r="P5" s="190" t="str">
        <x:v>根节点=Art(Node3D)；Godot短名和Blender v026源通过账本映射；未重新导入GLB。</x:v>
      </x:c>
    </x:row>
    <x:row r="6" ht="66" customHeight="1">
      <x:c r="A6" s="191" t="str">
        <x:v>ENV-BASE99-WALL-PLAIN-5X12</x:v>
      </x:c>
      <x:c r="B6" s="192" t="str">
        <x:v>基地99层普通墙体5×12米</x:v>
      </x:c>
      <x:c r="C6" s="192" t="str">
        <x:v>assets/art/environments/base_facility_3d/runtime/env_base99_wall_plain_5x12/env_base99_wall_plain_5x12_root_top3d_v002.tscn</x:v>
      </x:c>
      <x:c r="D6" s="192" t="str">
        <x:v>assets/art/environments/base_facility_3d/components/env_base99_wall_plain_5x12/env_base99_wall_plain_5x12_visual_top3d_v002.glb</x:v>
      </x:c>
      <x:c r="E6" s="192" t="str">
        <x:v>assets/art/environments/base_facility_3d/source/wall_height12/env_base99_wall_plain_5x12_source_v002.blend</x:v>
      </x:c>
      <x:c r="F6" s="192" t="str">
        <x:v>5米网格墙视觉；逻辑高12米，可见高11.9米；共享色盘由Godot导入后处理绑定</x:v>
      </x:c>
      <x:c r="G6" s="192" t="str">
        <x:v>src/world3d/DungeonRoom3D.gd</x:v>
      </x:c>
      <x:c r="H6" s="192" t="str">
        <x:v>开</x:v>
      </x:c>
      <x:c r="I6" s="192" t="str">
        <x:v>外部脚本</x:v>
      </x:c>
      <x:c r="J6" s="192" t="str">
        <x:v>BoxShape3D</x:v>
      </x:c>
      <x:c r="K6" s="192" t="str">
        <x:v>5×12×0.36m逻辑外廓；11.9m可见墙；无自带碰撞</x:v>
      </x:c>
      <x:c r="L6" s="192" t="str">
        <x:v>bottom_center；-Z</x:v>
      </x:c>
      <x:c r="M6" s="192" t="str">
        <x:v>99/100层基地普通直墙</x:v>
      </x:c>
      <x:c r="N6" s="192" t="str">
        <x:v>正式美术已接入</x:v>
      </x:c>
      <x:c r="O6" s="192" t="str">
        <x:v>v002</x:v>
      </x:c>
      <x:c r="P6" s="193" t="str">
        <x:v>根节点=基地99层普通墙体5x12米(Node3D)；PaletteUV共享色盘；碰撞归DungeonRoom3D</x:v>
      </x:c>
    </x:row>
    <x:row r="7" ht="66" customHeight="1">
      <x:c r="A7" s="191" t="inlineStr">
        <x:is>
          <x:t xml:space="preserve">ENV-BASE-WORLD-KIT-3D</x:t>
        </x:is>
      </x:c>
      <x:c r="B7" s="192" t="inlineStr">
        <x:is>
          <x:t xml:space="preserve">入口基地3D环境套件</x:t>
        </x:is>
      </x:c>
      <x:c r="C7" s="192" t="inlineStr">
        <x:is>
          <x:t xml:space="preserve">assets/art/environments/base_world_3d/env_base_world_kit_top3d_v001.tscn</x:t>
        </x:is>
      </x:c>
      <x:c r="D7" s="192" t="str"/>
      <x:c r="E7" s="192" t="str"/>
      <x:c r="F7" s="192" t="inlineStr">
        <x:is>
          <x:t xml:space="preserve">Godot原生场景结构Prefab；由关卡脚本按模块实例化</x:t>
        </x:is>
      </x:c>
      <x:c r="G7" s="192" t="inlineStr">
        <x:is>
          <x:t xml:space="preserve">src/base3d/BaseWorld3DEnvironment.gd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脚本生成</x:t>
        </x:is>
      </x:c>
      <x:c r="K7" s="192" t="inlineStr">
        <x:is>
          <x:t xml:space="preserve">约1:100迁移/程序几何</x:t>
        </x:is>
      </x:c>
      <x:c r="L7" s="192" t="inlineStr">
        <x:is>
          <x:t xml:space="preserve">未声明</x:t>
        </x:is>
      </x:c>
      <x:c r="M7" s="192" t="inlineStr">
        <x:is>
          <x:t xml:space="preserve">入口基地地图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根节点=BaseWorld3DEnvironment(Node3D)</x:t>
        </x:is>
      </x:c>
    </x:row>
    <x:row r="8" ht="66" customHeight="1">
      <x:c r="A8" s="191" t="inlineStr">
        <x:is>
          <x:t xml:space="preserve">ENV-DUNGEON-RUNTIME-3D</x:t>
        </x:is>
      </x:c>
      <x:c r="B8" s="192" t="inlineStr">
        <x:is>
          <x:t xml:space="preserve">3D随机关卡通用房间套件</x:t>
        </x:is>
      </x:c>
      <x:c r="C8" s="192" t="inlineStr">
        <x:is>
          <x:t xml:space="preserve">assets/art/environments/dungeon_3d/env_dungeon_runtime_kit_top3d_v001.tscn</x:t>
        </x:is>
      </x:c>
      <x:c r="D8" s="192" t="str"/>
      <x:c r="E8" s="192" t="str"/>
      <x:c r="F8" s="192" t="inlineStr">
        <x:is>
          <x:t xml:space="preserve">Godot原生场景结构Prefab；由关卡脚本按模块实例化</x:t>
        </x:is>
      </x:c>
      <x:c r="G8" s="192" t="inlineStr">
        <x:is>
          <x:t xml:space="preserve">src/world3d/DungeonRoom3D.gd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脚本生成</x:t>
        </x:is>
      </x:c>
      <x:c r="K8" s="192" t="inlineStr">
        <x:is>
          <x:t xml:space="preserve">PackedScene/三档程序几何</x:t>
        </x:is>
      </x:c>
      <x:c r="L8" s="192" t="inlineStr">
        <x:is>
          <x:t xml:space="preserve">未声明</x:t>
        </x:is>
      </x:c>
      <x:c r="M8" s="192" t="inlineStr">
        <x:is>
          <x:t xml:space="preserve">四主题副本/随机房间</x:t>
        </x:is>
      </x:c>
      <x:c r="N8" s="192" t="inlineStr">
        <x:is>
          <x:t xml:space="preserve">原型已接入</x:t>
        </x:is>
      </x:c>
      <x:c r="O8" s="192" t="inlineStr">
        <x:is>
          <x:t xml:space="preserve">v001</x:t>
        </x:is>
      </x:c>
      <x:c r="P8" s="193" t="inlineStr">
        <x:is>
          <x:t xml:space="preserve">根节点=DungeonRoom3D(Node3D)</x:t>
        </x:is>
      </x:c>
    </x:row>
    <x:row r="9" ht="66" customHeight="1">
      <x:c r="A9" s="191" t="inlineStr">
        <x:is>
          <x:t xml:space="preserve">ENV-TRAINING-RANGE-KIT-3D</x:t>
        </x:is>
      </x:c>
      <x:c r="B9" s="192" t="inlineStr">
        <x:is>
          <x:t xml:space="preserve">独立3D训练靶场套件</x:t>
        </x:is>
      </x:c>
      <x:c r="C9" s="192" t="inlineStr">
        <x:is>
          <x:t xml:space="preserve">assets/art/environments/training_range_3d/env_training_range_kit_top3d_v001.tscn</x:t>
        </x:is>
      </x:c>
      <x:c r="D9" s="192" t="str"/>
      <x:c r="E9" s="192" t="str"/>
      <x:c r="F9" s="192" t="inlineStr">
        <x:is>
          <x:t xml:space="preserve">Godot原生场景结构Prefab；由关卡脚本按模块实例化</x:t>
        </x:is>
      </x:c>
      <x:c r="G9" s="192" t="inlineStr">
        <x:is>
          <x:t xml:space="preserve">src/training3d/TrainingRangeEnvironment3D.gd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脚本生成</x:t>
        </x:is>
      </x:c>
      <x:c r="K9" s="192" t="inlineStr">
        <x:is>
          <x:t xml:space="preserve">PackedScene/程序环境</x:t>
        </x:is>
      </x:c>
      <x:c r="L9" s="192" t="inlineStr">
        <x:is>
          <x:t xml:space="preserve">未声明</x:t>
        </x:is>
      </x:c>
      <x:c r="M9" s="192" t="inlineStr">
        <x:is>
          <x:t xml:space="preserve">独立训练地图</x:t>
        </x:is>
      </x:c>
      <x:c r="N9" s="192" t="inlineStr">
        <x:is>
          <x:t xml:space="preserve">原型已接入</x:t>
        </x:is>
      </x:c>
      <x:c r="O9" s="192" t="inlineStr">
        <x:is>
          <x:t xml:space="preserve">v001</x:t>
        </x:is>
      </x:c>
      <x:c r="P9" s="193" t="inlineStr">
        <x:is>
          <x:t xml:space="preserve">根节点=TrainingRangeEnvironment3D(Node3D)</x:t>
        </x:is>
      </x:c>
    </x:row>
    <x:row r="10" ht="66" customHeight="1">
      <x:c r="A10" s="191" t="str">
        <x:v>ENV-TOWER-CORNER-L-5M</x:v>
      </x:c>
      <x:c r="B10" s="192" t="str">
        <x:v>塔楼L型转角5米</x:v>
      </x:c>
      <x:c r="C10" s="192" t="str">
        <x:v>assets/art/environments/base_facility_3d/runtime/env_base99_corner_l_5m/env_base99_corner_l_5m_root_top3d_v004.tscn</x:v>
      </x:c>
      <x:c r="D10" s="192" t="str">
        <x:v>assets/art/environments/base_facility_3d/components/env_base99_corner_l_5m/env_base99_corner_l_5m_visual_top3d_v002.glb</x:v>
      </x:c>
      <x:c r="E10" s="192" t="str">
        <x:v>assets/art/environments/base_facility_3d/source/wall_height12/env_base99_corner_l_5m_source_v002.blend</x:v>
      </x:c>
      <x:c r="F10" s="192" t="str">
        <x:v>基地转角视觉包；逻辑高12米，可见高11.9米；共享色盘由Godot导入后处理绑定</x:v>
      </x:c>
      <x:c r="G10" s="192" t="str">
        <x:v>src/world3d/DungeonRoom3D.gd</x:v>
      </x:c>
      <x:c r="H10" s="192" t="str">
        <x:v>开</x:v>
      </x:c>
      <x:c r="I10" s="192" t="str">
        <x:v>外部脚本</x:v>
      </x:c>
      <x:c r="J10" s="192" t="str">
        <x:v>BoxShape3D双墙臂</x:v>
      </x:c>
      <x:c r="K10" s="192" t="str">
        <x:v>5×5×12m逻辑体；11.9m可见墙</x:v>
      </x:c>
      <x:c r="L10" s="192" t="str">
        <x:v>inside_corner_floor；-Z</x:v>
      </x:c>
      <x:c r="M10" s="192" t="str">
        <x:v>99层基地内外围转角</x:v>
      </x:c>
      <x:c r="N10" s="192" t="str">
        <x:v>正式美术已接入</x:v>
      </x:c>
      <x:c r="O10" s="192" t="str">
        <x:v>v004</x:v>
      </x:c>
      <x:c r="P10" s="193" t="str">
        <x:v>稳定AssetID；视觉包无重复碰撞；12m双臂碰撞归DungeonRoom3D；PaletteUV共享色盘</x:v>
      </x:c>
    </x:row>
    <x:row r="11" ht="66" customHeight="1">
      <x:c r="A11" s="191" t="inlineStr">
        <x:is>
          <x:t xml:space="preserve">ENV-TOWER-CORNER-L-PARAPET-5M</x:t>
        </x:is>
      </x:c>
      <x:c r="B11" s="192" t="inlineStr">
        <x:is>
          <x:t xml:space="preserve">塔楼L型女儿墙转角5米</x:t>
        </x:is>
      </x:c>
      <x:c r="C11" s="192" t="inlineStr">
        <x:is>
          <x:t xml:space="preserve">assets/art/props/dungeon_3d/prp_corner_L_parapet_5m.tscn</x:t>
        </x:is>
      </x:c>
      <x:c r="D11" s="192" t="str"/>
      <x:c r="E11" s="192" t="str"/>
      <x:c r="F11" s="192" t="inlineStr">
        <x:is>
          <x:t xml:space="preserve">Godot原生场景结构Prefab；由关卡脚本按模块实例化</x:t>
        </x:is>
      </x:c>
      <x:c r="G11" s="192" t="inlineStr">
        <x:is>
          <x:t xml:space="preserve">src/world3d/TowerFloorStage3D.gd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未声明</x:t>
        </x:is>
      </x:c>
      <x:c r="L11" s="192" t="inlineStr">
        <x:is>
          <x:t xml:space="preserve">未声明</x:t>
        </x:is>
      </x:c>
      <x:c r="M11" s="192" t="inlineStr">
        <x:is>
          <x:t xml:space="preserve">场景通用组件</x:t>
        </x:is>
      </x:c>
      <x:c r="N11" s="192" t="inlineStr">
        <x:is>
          <x:t xml:space="preserve">程序占位</x:t>
        </x:is>
      </x:c>
      <x:c r="O11" s="192" t="inlineStr">
        <x:is>
          <x:t xml:space="preserve">v001</x:t>
        </x:is>
      </x:c>
      <x:c r="P11" s="193" t="inlineStr">
        <x:is>
          <x:t xml:space="preserve">根节点=PrpCornerLParapet5m(Node3D)；2026-08-18扫描补登记资产主表</x:t>
        </x:is>
      </x:c>
    </x:row>
    <x:row r="12" ht="66" customHeight="1">
      <x:c r="A12" s="191" t="inlineStr">
        <x:is>
          <x:t xml:space="preserve">ENV-TOWER-CORNER-T-5M</x:t>
        </x:is>
      </x:c>
      <x:c r="B12" s="192" t="inlineStr">
        <x:is>
          <x:t xml:space="preserve">塔楼T型转角5米</x:t>
        </x:is>
      </x:c>
      <x:c r="C12" s="192" t="inlineStr">
        <x:is>
          <x:t xml:space="preserve">assets/art/props/dungeon_3d/prp_corner_T_5m.tscn</x:t>
        </x:is>
      </x:c>
      <x:c r="D12" s="192" t="str"/>
      <x:c r="E12" s="192" t="str"/>
      <x:c r="F12" s="192" t="inlineStr">
        <x:is>
          <x:t xml:space="preserve">Godot原生场景结构Prefab；由关卡脚本按模块实例化</x:t>
        </x:is>
      </x:c>
      <x:c r="G12" s="192" t="inlineStr">
        <x:is>
          <x:t xml:space="preserve">src/world3d/DungeonRoom3D.gd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未声明</x:t>
        </x:is>
      </x:c>
      <x:c r="L12" s="192" t="inlineStr">
        <x:is>
          <x:t xml:space="preserve">未声明</x:t>
        </x:is>
      </x:c>
      <x:c r="M12" s="192" t="inlineStr">
        <x:is>
          <x:t xml:space="preserve">场景通用组件</x:t>
        </x:is>
      </x:c>
      <x:c r="N12" s="192" t="inlineStr">
        <x:is>
          <x:t xml:space="preserve">程序占位</x:t>
        </x:is>
      </x:c>
      <x:c r="O12" s="192" t="inlineStr">
        <x:is>
          <x:t xml:space="preserve">v001</x:t>
        </x:is>
      </x:c>
      <x:c r="P12" s="193" t="inlineStr">
        <x:is>
          <x:t xml:space="preserve">根节点=PrpCornerT5m(Node3D)；2026-08-18扫描补登记资产主表</x:t>
        </x:is>
      </x:c>
    </x:row>
    <x:row r="13" ht="66" customHeight="1">
      <x:c r="A13" s="191" t="inlineStr">
        <x:is>
          <x:t xml:space="preserve">ENV-TOWER-CORNER-X-5M</x:t>
        </x:is>
      </x:c>
      <x:c r="B13" s="192" t="inlineStr">
        <x:is>
          <x:t xml:space="preserve">塔楼十字转角5米</x:t>
        </x:is>
      </x:c>
      <x:c r="C13" s="192" t="inlineStr">
        <x:is>
          <x:t xml:space="preserve">assets/art/props/dungeon_3d/prp_corner_X_5m.tscn</x:t>
        </x:is>
      </x:c>
      <x:c r="D13" s="192" t="str"/>
      <x:c r="E13" s="192" t="str"/>
      <x:c r="F13" s="192" t="inlineStr">
        <x:is>
          <x:t xml:space="preserve">Godot原生场景结构Prefab；由关卡脚本按模块实例化</x:t>
        </x:is>
      </x:c>
      <x:c r="G13" s="192" t="inlineStr">
        <x:is>
          <x:t xml:space="preserve">src/world3d/DungeonRoom3D.gd</x:t>
        </x:is>
      </x:c>
      <x:c r="H13" s="192" t="inlineStr">
        <x:is>
          <x:t xml:space="preserve">开</x:t>
        </x:is>
      </x:c>
      <x:c r="I13" s="192" t="inlineStr">
        <x:is>
          <x:t xml:space="preserve">Prefab自身</x:t>
        </x:is>
      </x:c>
      <x:c r="J13" s="192" t="inlineStr">
        <x:is>
          <x:t xml:space="preserve">BoxShape3D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场景通用组件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根节点=PrpCornerX5m(Node3D)；2026-08-18扫描补登记资产主表</x:t>
        </x:is>
      </x:c>
    </x:row>
    <x:row r="14" ht="66" customHeight="1">
      <x:c r="A14" s="191" t="inlineStr">
        <x:is>
          <x:t xml:space="preserve">ENV-DUNGEON-CORRIDOR-CEILING-SEGMENT</x:t>
        </x:is>
      </x:c>
      <x:c r="B14" s="192" t="inlineStr">
        <x:is>
          <x:t xml:space="preserve">地牢走廊天花段</x:t>
        </x:is>
      </x:c>
      <x:c r="C14" s="192" t="inlineStr">
        <x:is>
          <x:t xml:space="preserve">assets/art/props/dungeon_3d/prp_corridor_ceiling_segment.tscn</x:t>
        </x:is>
      </x:c>
      <x:c r="D14" s="192" t="str"/>
      <x:c r="E14" s="192" t="str"/>
      <x:c r="F14" s="192" t="inlineStr">
        <x:is>
          <x:t xml:space="preserve">Godot原生场景结构Prefab；由关卡脚本按模块实例化</x:t>
        </x:is>
      </x:c>
      <x:c r="G14" s="192" t="inlineStr">
        <x:is>
          <x:t xml:space="preserve">src/world3d/DungeonRoom3D.gd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BoxShape3D</x:t>
        </x:is>
      </x:c>
      <x:c r="K14" s="192" t="inlineStr">
        <x:is>
          <x:t xml:space="preserve">未声明</x:t>
        </x:is>
      </x:c>
      <x:c r="L14" s="192" t="inlineStr">
        <x:is>
          <x:t xml:space="preserve">未声明</x:t>
        </x:is>
      </x:c>
      <x:c r="M14" s="192" t="inlineStr">
        <x:is>
          <x:t xml:space="preserve">场景通用组件</x:t>
        </x:is>
      </x:c>
      <x:c r="N14" s="192" t="inlineStr">
        <x:is>
          <x:t xml:space="preserve">程序占位</x:t>
        </x:is>
      </x:c>
      <x:c r="O14" s="192" t="inlineStr">
        <x:is>
          <x:t xml:space="preserve">v001</x:t>
        </x:is>
      </x:c>
      <x:c r="P14" s="193" t="inlineStr">
        <x:is>
          <x:t xml:space="preserve">根节点=PrpCorridorCeilingSegment(Node3D)；2026-08-18扫描补登记资产主表</x:t>
        </x:is>
      </x:c>
    </x:row>
    <x:row r="15" ht="66" customHeight="1">
      <x:c r="A15" s="191" t="inlineStr">
        <x:is>
          <x:t xml:space="preserve">ENV-DUNGEON-CORRIDOR-FLOOR-SEGMENT</x:t>
        </x:is>
      </x:c>
      <x:c r="B15" s="192" t="inlineStr">
        <x:is>
          <x:t xml:space="preserve">地牢走廊地板段</x:t>
        </x:is>
      </x:c>
      <x:c r="C15" s="192" t="inlineStr">
        <x:is>
          <x:t xml:space="preserve">assets/art/props/dungeon_3d/prp_corridor_floor_segment.tscn</x:t>
        </x:is>
      </x:c>
      <x:c r="D15" s="192" t="str"/>
      <x:c r="E15" s="192" t="str"/>
      <x:c r="F15" s="192" t="inlineStr">
        <x:is>
          <x:t xml:space="preserve">Godot原生场景结构Prefab；由关卡脚本按模块实例化</x:t>
        </x:is>
      </x:c>
      <x:c r="G15" s="192" t="inlineStr">
        <x:is>
          <x:t xml:space="preserve">src/world3d/DungeonRoom3D.gd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BoxShape3D</x:t>
        </x:is>
      </x:c>
      <x:c r="K15" s="192" t="inlineStr">
        <x:is>
          <x:t xml:space="preserve">未声明</x:t>
        </x:is>
      </x:c>
      <x:c r="L15" s="192" t="inlineStr">
        <x:is>
          <x:t xml:space="preserve">未声明</x:t>
        </x:is>
      </x:c>
      <x:c r="M15" s="192" t="inlineStr">
        <x:is>
          <x:t xml:space="preserve">场景通用组件</x:t>
        </x:is>
      </x:c>
      <x:c r="N15" s="192" t="inlineStr">
        <x:is>
          <x:t xml:space="preserve">程序占位</x:t>
        </x:is>
      </x:c>
      <x:c r="O15" s="192" t="inlineStr">
        <x:is>
          <x:t xml:space="preserve">v001</x:t>
        </x:is>
      </x:c>
      <x:c r="P15" s="193" t="inlineStr">
        <x:is>
          <x:t xml:space="preserve">根节点=PrpCorridorFloorSegment(Node3D)；2026-08-18扫描补登记资产主表</x:t>
        </x:is>
      </x:c>
    </x:row>
    <x:row r="16" ht="66" customHeight="1">
      <x:c r="A16" s="191" t="inlineStr">
        <x:is>
          <x:t xml:space="preserve">ENV-DUNGEON-CORRIDOR-STAIR-TREAD</x:t>
        </x:is>
      </x:c>
      <x:c r="B16" s="192" t="inlineStr">
        <x:is>
          <x:t xml:space="preserve">地牢走廊楼梯踏步</x:t>
        </x:is>
      </x:c>
      <x:c r="C16" s="192" t="inlineStr">
        <x:is>
          <x:t xml:space="preserve">assets/art/props/dungeon_3d/prp_corridor_stair_tread.tscn</x:t>
        </x:is>
      </x:c>
      <x:c r="D16" s="192" t="str"/>
      <x:c r="E16" s="192" t="str"/>
      <x:c r="F16" s="192" t="inlineStr">
        <x:is>
          <x:t xml:space="preserve">Godot原生场景结构Prefab；由关卡脚本按模块实例化</x:t>
        </x:is>
      </x:c>
      <x:c r="G16" s="192" t="inlineStr">
        <x:is>
          <x:t xml:space="preserve">src/world3d/DungeonRoom3D.gd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未声明</x:t>
        </x:is>
      </x:c>
      <x:c r="L16" s="192" t="inlineStr">
        <x:is>
          <x:t xml:space="preserve">未声明</x:t>
        </x:is>
      </x:c>
      <x:c r="M16" s="192" t="inlineStr">
        <x:is>
          <x:t xml:space="preserve">场景通用组件</x:t>
        </x:is>
      </x:c>
      <x:c r="N16" s="192" t="inlineStr">
        <x:is>
          <x:t xml:space="preserve">程序占位</x:t>
        </x:is>
      </x:c>
      <x:c r="O16" s="192" t="inlineStr">
        <x:is>
          <x:t xml:space="preserve">v001</x:t>
        </x:is>
      </x:c>
      <x:c r="P16" s="193" t="inlineStr">
        <x:is>
          <x:t xml:space="preserve">根节点=PrpCorridorStairTread(Node3D)；2026-08-18扫描补登记资产主表</x:t>
        </x:is>
      </x:c>
    </x:row>
    <x:row r="17" ht="66" customHeight="1">
      <x:c r="A17" s="191" t="inlineStr">
        <x:is>
          <x:t xml:space="preserve">ENV-DUNGEON-CORRIDOR-WALL-SEGMENT</x:t>
        </x:is>
      </x:c>
      <x:c r="B17" s="192" t="inlineStr">
        <x:is>
          <x:t xml:space="preserve">地牢走廊墙段</x:t>
        </x:is>
      </x:c>
      <x:c r="C17" s="192" t="inlineStr">
        <x:is>
          <x:t xml:space="preserve">assets/art/props/dungeon_3d/prp_corridor_wall_segment.tscn</x:t>
        </x:is>
      </x:c>
      <x:c r="D17" s="192" t="str"/>
      <x:c r="E17" s="192" t="str"/>
      <x:c r="F17" s="192" t="inlineStr">
        <x:is>
          <x:t xml:space="preserve">Godot原生场景结构Prefab；由关卡脚本按模块实例化</x:t>
        </x:is>
      </x:c>
      <x:c r="G17" s="192" t="inlineStr">
        <x:is>
          <x:t xml:space="preserve">src/world3d/DungeonRoom3D.gd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BoxShape3D</x:t>
        </x:is>
      </x:c>
      <x:c r="K17" s="192" t="inlineStr">
        <x:is>
          <x:t xml:space="preserve">未声明</x:t>
        </x:is>
      </x:c>
      <x:c r="L17" s="192" t="inlineStr">
        <x:is>
          <x:t xml:space="preserve">未声明</x:t>
        </x:is>
      </x:c>
      <x:c r="M17" s="192" t="inlineStr">
        <x:is>
          <x:t xml:space="preserve">场景通用组件</x:t>
        </x:is>
      </x:c>
      <x:c r="N17" s="192" t="inlineStr">
        <x:is>
          <x:t xml:space="preserve">程序占位</x:t>
        </x:is>
      </x:c>
      <x:c r="O17" s="192" t="inlineStr">
        <x:is>
          <x:t xml:space="preserve">v001</x:t>
        </x:is>
      </x:c>
      <x:c r="P17" s="193" t="inlineStr">
        <x:is>
          <x:t xml:space="preserve">根节点=PrpCorridorWallSegment(Node3D)；2026-08-18扫描补登记资产主表</x:t>
        </x:is>
      </x:c>
    </x:row>
    <x:row r="18" ht="66" customHeight="1">
      <x:c r="A18" s="191" t="inlineStr">
        <x:is>
          <x:t xml:space="preserve">ENV-DUNGEON-ROOM-ACCESS-STEP</x:t>
        </x:is>
      </x:c>
      <x:c r="B18" s="192" t="inlineStr">
        <x:is>
          <x:t xml:space="preserve">房间接入台阶</x:t>
        </x:is>
      </x:c>
      <x:c r="C18" s="192" t="inlineStr">
        <x:is>
          <x:t xml:space="preserve">assets/art/props/dungeon_3d/prp_room_access_step.tscn</x:t>
        </x:is>
      </x:c>
      <x:c r="D18" s="192" t="str"/>
      <x:c r="E18" s="192" t="str"/>
      <x:c r="F18" s="192" t="inlineStr">
        <x:is>
          <x:t xml:space="preserve">Godot原生场景结构Prefab；由关卡脚本按模块实例化</x:t>
        </x:is>
      </x:c>
      <x:c r="G18" s="192" t="inlineStr">
        <x:is>
          <x:t xml:space="preserve">src/world3d/DungeonRoom3D.gd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未声明</x:t>
        </x:is>
      </x:c>
      <x:c r="L18" s="192" t="inlineStr">
        <x:is>
          <x:t xml:space="preserve">未声明</x:t>
        </x:is>
      </x:c>
      <x:c r="M18" s="192" t="inlineStr">
        <x:is>
          <x:t xml:space="preserve">场景通用组件</x:t>
        </x:is>
      </x:c>
      <x:c r="N18" s="192" t="inlineStr">
        <x:is>
          <x:t xml:space="preserve">程序占位</x:t>
        </x:is>
      </x:c>
      <x:c r="O18" s="192" t="inlineStr">
        <x:is>
          <x:t xml:space="preserve">v001</x:t>
        </x:is>
      </x:c>
      <x:c r="P18" s="193" t="inlineStr">
        <x:is>
          <x:t xml:space="preserve">根节点=PrpRoomAccessStep(Node3D)；2026-08-18扫描补登记资产主表</x:t>
        </x:is>
      </x:c>
    </x:row>
    <x:row r="19" ht="66" customHeight="1">
      <x:c r="A19" s="191" t="inlineStr">
        <x:is>
          <x:t xml:space="preserve">ENV-DUNGEON-ROOM-CORNER-POST</x:t>
        </x:is>
      </x:c>
      <x:c r="B19" s="192" t="inlineStr">
        <x:is>
          <x:t xml:space="preserve">房间转角立柱</x:t>
        </x:is>
      </x:c>
      <x:c r="C19" s="192" t="inlineStr">
        <x:is>
          <x:t xml:space="preserve">assets/art/props/dungeon_3d/prp_room_corner_post.tscn</x:t>
        </x:is>
      </x:c>
      <x:c r="D19" s="192" t="str"/>
      <x:c r="E19" s="192" t="str"/>
      <x:c r="F19" s="192" t="inlineStr">
        <x:is>
          <x:t xml:space="preserve">Godot原生场景结构Prefab；由关卡脚本按模块实例化</x:t>
        </x:is>
      </x:c>
      <x:c r="G19" s="192" t="inlineStr">
        <x:is>
          <x:t xml:space="preserve">src/world3d/DungeonRoom3D.gd</x:t>
        </x:is>
      </x:c>
      <x:c r="H19" s="192" t="inlineStr">
        <x:is>
          <x:t xml:space="preserve">开</x:t>
        </x:is>
      </x:c>
      <x:c r="I19" s="192" t="inlineStr">
        <x:is>
          <x:t xml:space="preserve">Prefab自身</x:t>
        </x:is>
      </x:c>
      <x:c r="J19" s="192" t="inlineStr">
        <x:is>
          <x:t xml:space="preserve">BoxShape3D</x:t>
        </x:is>
      </x:c>
      <x:c r="K19" s="192" t="inlineStr">
        <x:is>
          <x:t xml:space="preserve">未声明</x:t>
        </x:is>
      </x:c>
      <x:c r="L19" s="192" t="inlineStr">
        <x:is>
          <x:t xml:space="preserve">未声明</x:t>
        </x:is>
      </x:c>
      <x:c r="M19" s="192" t="inlineStr">
        <x:is>
          <x:t xml:space="preserve">场景通用组件</x:t>
        </x:is>
      </x:c>
      <x:c r="N19" s="192" t="inlineStr">
        <x:is>
          <x:t xml:space="preserve">程序占位</x:t>
        </x:is>
      </x:c>
      <x:c r="O19" s="192" t="inlineStr">
        <x:is>
          <x:t xml:space="preserve">v001</x:t>
        </x:is>
      </x:c>
      <x:c r="P19" s="193" t="inlineStr">
        <x:is>
          <x:t xml:space="preserve">根节点=PrpRoomCornerPost(Node3D)；2026-08-18扫描补登记资产主表</x:t>
        </x:is>
      </x:c>
    </x:row>
    <x:row r="20" ht="66" customHeight="1">
      <x:c r="A20" s="191" t="inlineStr">
        <x:is>
          <x:t xml:space="preserve">ENV-DUNGEON-ROOM-DOOR-LINTEL</x:t>
        </x:is>
      </x:c>
      <x:c r="B20" s="192" t="inlineStr">
        <x:is>
          <x:t xml:space="preserve">房间门楣</x:t>
        </x:is>
      </x:c>
      <x:c r="C20" s="192" t="inlineStr">
        <x:is>
          <x:t xml:space="preserve">assets/art/props/dungeon_3d/prp_room_door_lintel.tscn</x:t>
        </x:is>
      </x:c>
      <x:c r="D20" s="192" t="str"/>
      <x:c r="E20" s="192" t="str"/>
      <x:c r="F20" s="192" t="inlineStr">
        <x:is>
          <x:t xml:space="preserve">Godot原生场景结构Prefab；由关卡脚本按模块实例化</x:t>
        </x:is>
      </x:c>
      <x:c r="G20" s="192" t="inlineStr">
        <x:is>
          <x:t xml:space="preserve">src/world3d/DungeonRoom3D.gd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未声明</x:t>
        </x:is>
      </x:c>
      <x:c r="L20" s="192" t="inlineStr">
        <x:is>
          <x:t xml:space="preserve">未声明</x:t>
        </x:is>
      </x:c>
      <x:c r="M20" s="192" t="inlineStr">
        <x:is>
          <x:t xml:space="preserve">场景通用组件</x:t>
        </x:is>
      </x:c>
      <x:c r="N20" s="192" t="inlineStr">
        <x:is>
          <x:t xml:space="preserve">程序占位</x:t>
        </x:is>
      </x:c>
      <x:c r="O20" s="192" t="inlineStr">
        <x:is>
          <x:t xml:space="preserve">v001</x:t>
        </x:is>
      </x:c>
      <x:c r="P20" s="193" t="inlineStr">
        <x:is>
          <x:t xml:space="preserve">根节点=PrpRoomDoorLintel(Node3D)；2026-08-18扫描补登记资产主表</x:t>
        </x:is>
      </x:c>
    </x:row>
    <x:row r="21" ht="66" customHeight="1">
      <x:c r="A21" s="191" t="inlineStr">
        <x:is>
          <x:t xml:space="preserve">ENV-DUNGEON-FACILITY-WALL-DOOR-SIDE</x:t>
        </x:is>
      </x:c>
      <x:c r="B21" s="192" t="inlineStr">
        <x:is>
          <x:t xml:space="preserve">基地设施门墙侧柱</x:t>
        </x:is>
      </x:c>
      <x:c r="C21" s="192" t="inlineStr">
        <x:is>
          <x:t xml:space="preserve">assets/art/props/dungeon_3d/prp_room_facility_base_wall_door_side.tscn</x:t>
        </x:is>
      </x:c>
      <x:c r="D21" s="192" t="str"/>
      <x:c r="E21" s="192" t="str"/>
      <x:c r="F21" s="192" t="inlineStr">
        <x:is>
          <x:t xml:space="preserve">Godot原生场景结构Prefab；由关卡脚本按模块实例化</x:t>
        </x:is>
      </x:c>
      <x:c r="G21" s="192" t="inlineStr">
        <x:is>
          <x:t xml:space="preserve">src/world3d/DungeonRoom3D.gd</x:t>
        </x:is>
      </x:c>
      <x:c r="H21" s="192" t="inlineStr">
        <x:is>
          <x:t xml:space="preserve">开</x:t>
        </x:is>
      </x:c>
      <x:c r="I21" s="192" t="inlineStr">
        <x:is>
          <x:t xml:space="preserve">Prefab自身</x:t>
        </x:is>
      </x:c>
      <x:c r="J21" s="192" t="inlineStr">
        <x:is>
          <x:t xml:space="preserve">BoxShape3D</x:t>
        </x:is>
      </x:c>
      <x:c r="K21" s="192" t="inlineStr">
        <x:is>
          <x:t xml:space="preserve">未声明</x:t>
        </x:is>
      </x:c>
      <x:c r="L21" s="192" t="inlineStr">
        <x:is>
          <x:t xml:space="preserve">未声明</x:t>
        </x:is>
      </x:c>
      <x:c r="M21" s="192" t="inlineStr">
        <x:is>
          <x:t xml:space="preserve">场景通用组件</x:t>
        </x:is>
      </x:c>
      <x:c r="N21" s="192" t="inlineStr">
        <x:is>
          <x:t xml:space="preserve">程序占位</x:t>
        </x:is>
      </x:c>
      <x:c r="O21" s="192" t="inlineStr">
        <x:is>
          <x:t xml:space="preserve">v001</x:t>
        </x:is>
      </x:c>
      <x:c r="P21" s="193" t="inlineStr">
        <x:is>
          <x:t xml:space="preserve">根节点=PrpRoomFacilityBaseWallDoorSide(Node3D)；2026-08-18扫描补登记资产主表</x:t>
        </x:is>
      </x:c>
    </x:row>
    <x:row r="22" ht="66" customHeight="1">
      <x:c r="A22" s="191" t="inlineStr">
        <x:is>
          <x:t xml:space="preserve">ENV-DUNGEON-FACILITY-WALL-LINTEL</x:t>
        </x:is>
      </x:c>
      <x:c r="B22" s="192" t="inlineStr">
        <x:is>
          <x:t xml:space="preserve">基地设施墙门楣</x:t>
        </x:is>
      </x:c>
      <x:c r="C22" s="192" t="inlineStr">
        <x:is>
          <x:t xml:space="preserve">assets/art/props/dungeon_3d/prp_room_facility_base_wall_lintel.tscn</x:t>
        </x:is>
      </x:c>
      <x:c r="D22" s="192" t="str"/>
      <x:c r="E22" s="192" t="str"/>
      <x:c r="F22" s="192" t="inlineStr">
        <x:is>
          <x:t xml:space="preserve">Godot原生场景结构Prefab；由关卡脚本按模块实例化</x:t>
        </x:is>
      </x:c>
      <x:c r="G22" s="192" t="inlineStr">
        <x:is>
          <x:t xml:space="preserve">src/world3d/DungeonRoom3D.gd</x:t>
        </x:is>
      </x:c>
      <x:c r="H22" s="192" t="inlineStr">
        <x:is>
          <x:t xml:space="preserve">开</x:t>
        </x:is>
      </x:c>
      <x:c r="I22" s="192" t="inlineStr">
        <x:is>
          <x:t xml:space="preserve">Prefab自身</x:t>
        </x:is>
      </x:c>
      <x:c r="J22" s="192" t="inlineStr">
        <x:is>
          <x:t xml:space="preserve">BoxShape3D</x:t>
        </x:is>
      </x:c>
      <x:c r="K22" s="192" t="inlineStr">
        <x:is>
          <x:t xml:space="preserve">未声明</x:t>
        </x:is>
      </x:c>
      <x:c r="L22" s="192" t="inlineStr">
        <x:is>
          <x:t xml:space="preserve">未声明</x:t>
        </x:is>
      </x:c>
      <x:c r="M22" s="192" t="inlineStr">
        <x:is>
          <x:t xml:space="preserve">场景通用组件</x:t>
        </x:is>
      </x:c>
      <x:c r="N22" s="192" t="inlineStr">
        <x:is>
          <x:t xml:space="preserve">程序占位</x:t>
        </x:is>
      </x:c>
      <x:c r="O22" s="192" t="inlineStr">
        <x:is>
          <x:t xml:space="preserve">v001</x:t>
        </x:is>
      </x:c>
      <x:c r="P22" s="193" t="inlineStr">
        <x:is>
          <x:t xml:space="preserve">根节点=PrpRoomFacilityBaseWallLintel(Node3D)；2026-08-18扫描补登记资产主表</x:t>
        </x:is>
      </x:c>
    </x:row>
    <x:row r="23" ht="66" customHeight="1">
      <x:c r="A23" s="191" t="inlineStr">
        <x:is>
          <x:t xml:space="preserve">ENV-DUNGEON-FACILITY-WALL</x:t>
        </x:is>
      </x:c>
      <x:c r="B23" s="192" t="inlineStr">
        <x:is>
          <x:t xml:space="preserve">基地设施墙段</x:t>
        </x:is>
      </x:c>
      <x:c r="C23" s="192" t="inlineStr">
        <x:is>
          <x:t xml:space="preserve">assets/art/props/dungeon_3d/prp_room_facility_base_wall.tscn</x:t>
        </x:is>
      </x:c>
      <x:c r="D23" s="192" t="str"/>
      <x:c r="E23" s="192" t="str"/>
      <x:c r="F23" s="192" t="inlineStr">
        <x:is>
          <x:t xml:space="preserve">Godot原生场景结构Prefab；由关卡脚本按模块实例化</x:t>
        </x:is>
      </x:c>
      <x:c r="G23" s="192" t="inlineStr">
        <x:is>
          <x:t xml:space="preserve">src/world3d/DungeonRoom3D.gd</x:t>
        </x:is>
      </x:c>
      <x:c r="H23" s="192" t="inlineStr">
        <x:is>
          <x:t xml:space="preserve">开</x:t>
        </x:is>
      </x:c>
      <x:c r="I23" s="192" t="inlineStr">
        <x:is>
          <x:t xml:space="preserve">Prefab自身</x:t>
        </x:is>
      </x:c>
      <x:c r="J23" s="192" t="inlineStr">
        <x:is>
          <x:t xml:space="preserve">BoxShape3D</x:t>
        </x:is>
      </x:c>
      <x:c r="K23" s="192" t="inlineStr">
        <x:is>
          <x:t xml:space="preserve">未声明</x:t>
        </x:is>
      </x:c>
      <x:c r="L23" s="192" t="inlineStr">
        <x:is>
          <x:t xml:space="preserve">未声明</x:t>
        </x:is>
      </x:c>
      <x:c r="M23" s="192" t="inlineStr">
        <x:is>
          <x:t xml:space="preserve">场景通用组件</x:t>
        </x:is>
      </x:c>
      <x:c r="N23" s="192" t="inlineStr">
        <x:is>
          <x:t xml:space="preserve">程序占位</x:t>
        </x:is>
      </x:c>
      <x:c r="O23" s="192" t="inlineStr">
        <x:is>
          <x:t xml:space="preserve">v001</x:t>
        </x:is>
      </x:c>
      <x:c r="P23" s="193" t="inlineStr">
        <x:is>
          <x:t xml:space="preserve">根节点=PrpRoomFacilityBaseWall(Node3D)；2026-08-18扫描补登记资产主表</x:t>
        </x:is>
      </x:c>
    </x:row>
    <x:row r="24" ht="66" customHeight="1">
      <x:c r="A24" s="191" t="inlineStr">
        <x:is>
          <x:t xml:space="preserve">ENV-DUNGEON-ROOM-FLOOR-INSET</x:t>
        </x:is>
      </x:c>
      <x:c r="B24" s="192" t="inlineStr">
        <x:is>
          <x:t xml:space="preserve">房间地板内嵌块</x:t>
        </x:is>
      </x:c>
      <x:c r="C24" s="192" t="inlineStr">
        <x:is>
          <x:t xml:space="preserve">assets/art/props/dungeon_3d/prp_room_floor_inset.tscn</x:t>
        </x:is>
      </x:c>
      <x:c r="D24" s="192" t="str"/>
      <x:c r="E24" s="192" t="str"/>
      <x:c r="F24" s="192" t="inlineStr">
        <x:is>
          <x:t xml:space="preserve">Godot原生场景结构Prefab；由关卡脚本按模块实例化</x:t>
        </x:is>
      </x:c>
      <x:c r="G24" s="192" t="inlineStr">
        <x:is>
          <x:t xml:space="preserve">src/world3d/DungeonRoom3D.gd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未声明</x:t>
        </x:is>
      </x:c>
      <x:c r="L24" s="192" t="inlineStr">
        <x:is>
          <x:t xml:space="preserve">未声明</x:t>
        </x:is>
      </x:c>
      <x:c r="M24" s="192" t="inlineStr">
        <x:is>
          <x:t xml:space="preserve">场景通用组件</x:t>
        </x:is>
      </x:c>
      <x:c r="N24" s="192" t="inlineStr">
        <x:is>
          <x:t xml:space="preserve">程序占位</x:t>
        </x:is>
      </x:c>
      <x:c r="O24" s="192" t="inlineStr">
        <x:is>
          <x:t xml:space="preserve">v001</x:t>
        </x:is>
      </x:c>
      <x:c r="P24" s="193" t="inlineStr">
        <x:is>
          <x:t xml:space="preserve">根节点=PrpRoomFloorInset(Node3D)；2026-08-18扫描补登记资产主表</x:t>
        </x:is>
      </x:c>
    </x:row>
    <x:row r="25" ht="66" customHeight="1">
      <x:c r="A25" s="191" t="inlineStr">
        <x:is>
          <x:t xml:space="preserve">ENV-DUNGEON-ROOM-FLOOR-PARTITION-H</x:t>
        </x:is>
      </x:c>
      <x:c r="B25" s="192" t="inlineStr">
        <x:is>
          <x:t xml:space="preserve">房间地板水平分隔</x:t>
        </x:is>
      </x:c>
      <x:c r="C25" s="192" t="inlineStr">
        <x:is>
          <x:t xml:space="preserve">assets/art/props/dungeon_3d/prp_room_floor_partition_horizontal.tscn</x:t>
        </x:is>
      </x:c>
      <x:c r="D25" s="192" t="str"/>
      <x:c r="E25" s="192" t="str"/>
      <x:c r="F25" s="192" t="inlineStr">
        <x:is>
          <x:t xml:space="preserve">Godot原生场景结构Prefab；由关卡脚本按模块实例化</x:t>
        </x:is>
      </x:c>
      <x:c r="G25" s="192" t="inlineStr">
        <x:is>
          <x:t xml:space="preserve">src/world3d/DungeonRoom3D.gd</x:t>
        </x:is>
      </x:c>
      <x:c r="H25" s="192" t="inlineStr">
        <x:is>
          <x:t xml:space="preserve">开</x:t>
        </x:is>
      </x:c>
      <x:c r="I25" s="192" t="inlineStr">
        <x:is>
          <x:t xml:space="preserve">Prefab自身</x:t>
        </x:is>
      </x:c>
      <x:c r="J25" s="192" t="inlineStr">
        <x:is>
          <x:t xml:space="preserve">BoxShape3D</x:t>
        </x:is>
      </x:c>
      <x:c r="K25" s="192" t="inlineStr">
        <x:is>
          <x:t xml:space="preserve">未声明</x:t>
        </x:is>
      </x:c>
      <x:c r="L25" s="192" t="inlineStr">
        <x:is>
          <x:t xml:space="preserve">未声明</x:t>
        </x:is>
      </x:c>
      <x:c r="M25" s="192" t="inlineStr">
        <x:is>
          <x:t xml:space="preserve">场景通用组件</x:t>
        </x:is>
      </x:c>
      <x:c r="N25" s="192" t="inlineStr">
        <x:is>
          <x:t xml:space="preserve">程序占位</x:t>
        </x:is>
      </x:c>
      <x:c r="O25" s="192" t="inlineStr">
        <x:is>
          <x:t xml:space="preserve">v001</x:t>
        </x:is>
      </x:c>
      <x:c r="P25" s="193" t="inlineStr">
        <x:is>
          <x:t xml:space="preserve">根节点=PrpRoomFloorPartitionHorizontal(Node3D)；2026-08-18扫描补登记资产主表</x:t>
        </x:is>
      </x:c>
    </x:row>
    <x:row r="26" ht="66" customHeight="1">
      <x:c r="A26" s="191" t="inlineStr">
        <x:is>
          <x:t xml:space="preserve">ENV-DUNGEON-ROOM-FLOOR-PARTITION-V</x:t>
        </x:is>
      </x:c>
      <x:c r="B26" s="192" t="inlineStr">
        <x:is>
          <x:t xml:space="preserve">房间地板垂直分隔</x:t>
        </x:is>
      </x:c>
      <x:c r="C26" s="192" t="inlineStr">
        <x:is>
          <x:t xml:space="preserve">assets/art/props/dungeon_3d/prp_room_floor_partition_vertical.tscn</x:t>
        </x:is>
      </x:c>
      <x:c r="D26" s="192" t="str"/>
      <x:c r="E26" s="192" t="str"/>
      <x:c r="F26" s="192" t="inlineStr">
        <x:is>
          <x:t xml:space="preserve">Godot原生场景结构Prefab；由关卡脚本按模块实例化</x:t>
        </x:is>
      </x:c>
      <x:c r="G26" s="192" t="inlineStr">
        <x:is>
          <x:t xml:space="preserve">src/world3d/DungeonRoom3D.gd</x:t>
        </x:is>
      </x:c>
      <x:c r="H26" s="192" t="inlineStr">
        <x:is>
          <x:t xml:space="preserve">开</x:t>
        </x:is>
      </x:c>
      <x:c r="I26" s="192" t="inlineStr">
        <x:is>
          <x:t xml:space="preserve">Prefab自身</x:t>
        </x:is>
      </x:c>
      <x:c r="J26" s="192" t="inlineStr">
        <x:is>
          <x:t xml:space="preserve">BoxShape3D</x:t>
        </x:is>
      </x:c>
      <x:c r="K26" s="192" t="inlineStr">
        <x:is>
          <x:t xml:space="preserve">未声明</x:t>
        </x:is>
      </x:c>
      <x:c r="L26" s="192" t="inlineStr">
        <x:is>
          <x:t xml:space="preserve">未声明</x:t>
        </x:is>
      </x:c>
      <x:c r="M26" s="192" t="inlineStr">
        <x:is>
          <x:t xml:space="preserve">场景通用组件</x:t>
        </x:is>
      </x:c>
      <x:c r="N26" s="192" t="inlineStr">
        <x:is>
          <x:t xml:space="preserve">程序占位</x:t>
        </x:is>
      </x:c>
      <x:c r="O26" s="192" t="inlineStr">
        <x:is>
          <x:t xml:space="preserve">v001</x:t>
        </x:is>
      </x:c>
      <x:c r="P26" s="193" t="inlineStr">
        <x:is>
          <x:t xml:space="preserve">根节点=PrpRoomFloorPartitionVertical(Node3D)；2026-08-18扫描补登记资产主表</x:t>
        </x:is>
      </x:c>
    </x:row>
    <x:row r="27" ht="66" customHeight="1">
      <x:c r="A27" s="191" t="inlineStr">
        <x:is>
          <x:t xml:space="preserve">ENV-DUNGEON-ROOM-FLOOR-SEAM</x:t>
        </x:is>
      </x:c>
      <x:c r="B27" s="192" t="inlineStr">
        <x:is>
          <x:t xml:space="preserve">房间地板接缝条</x:t>
        </x:is>
      </x:c>
      <x:c r="C27" s="192" t="inlineStr">
        <x:is>
          <x:t xml:space="preserve">assets/art/props/dungeon_3d/prp_room_floor_seam_strip.tscn</x:t>
        </x:is>
      </x:c>
      <x:c r="D27" s="192" t="str"/>
      <x:c r="E27" s="192" t="str"/>
      <x:c r="F27" s="192" t="inlineStr">
        <x:is>
          <x:t xml:space="preserve">Godot原生场景结构Prefab；由关卡脚本按模块实例化</x:t>
        </x:is>
      </x:c>
      <x:c r="G27" s="192" t="inlineStr">
        <x:is>
          <x:t xml:space="preserve">src/world3d/DungeonRoom3D.gd</x:t>
        </x:is>
      </x:c>
      <x:c r="H27" s="192" t="inlineStr">
        <x:is>
          <x:t xml:space="preserve">无</x:t>
        </x:is>
      </x:c>
      <x:c r="I27" s="192" t="inlineStr">
        <x:is>
          <x:t xml:space="preserve">无</x:t>
        </x:is>
      </x:c>
      <x:c r="J27" s="192" t="inlineStr">
        <x:is>
          <x:t xml:space="preserve">无</x:t>
        </x:is>
      </x:c>
      <x:c r="K27" s="192" t="inlineStr">
        <x:is>
          <x:t xml:space="preserve">未声明</x:t>
        </x:is>
      </x:c>
      <x:c r="L27" s="192" t="inlineStr">
        <x:is>
          <x:t xml:space="preserve">未声明</x:t>
        </x:is>
      </x:c>
      <x:c r="M27" s="192" t="inlineStr">
        <x:is>
          <x:t xml:space="preserve">场景通用组件</x:t>
        </x:is>
      </x:c>
      <x:c r="N27" s="192" t="inlineStr">
        <x:is>
          <x:t xml:space="preserve">程序占位</x:t>
        </x:is>
      </x:c>
      <x:c r="O27" s="192" t="inlineStr">
        <x:is>
          <x:t xml:space="preserve">v001</x:t>
        </x:is>
      </x:c>
      <x:c r="P27" s="193" t="inlineStr">
        <x:is>
          <x:t xml:space="preserve">根节点=PrpRoomFloorSeamStrip(Node3D)；2026-08-18扫描补登记资产主表</x:t>
        </x:is>
      </x:c>
    </x:row>
    <x:row r="28" ht="66" customHeight="1">
      <x:c r="A28" s="191" t="inlineStr">
        <x:is>
          <x:t xml:space="preserve">ENV-DUNGEON-ROOM-FLOOR</x:t>
        </x:is>
      </x:c>
      <x:c r="B28" s="192" t="inlineStr">
        <x:is>
          <x:t xml:space="preserve">地牢房间地板</x:t>
        </x:is>
      </x:c>
      <x:c r="C28" s="192" t="inlineStr">
        <x:is>
          <x:t xml:space="preserve">assets/art/props/dungeon_3d/prp_room_floor.tscn</x:t>
        </x:is>
      </x:c>
      <x:c r="D28" s="192" t="str"/>
      <x:c r="E28" s="192" t="str"/>
      <x:c r="F28" s="192" t="inlineStr">
        <x:is>
          <x:t xml:space="preserve">Godot原生场景结构Prefab；由关卡脚本按模块实例化</x:t>
        </x:is>
      </x:c>
      <x:c r="G28" s="192" t="inlineStr">
        <x:is>
          <x:t xml:space="preserve">src/world3d/DungeonRoom3D.gd</x:t>
        </x:is>
      </x:c>
      <x:c r="H28" s="192" t="inlineStr">
        <x:is>
          <x:t xml:space="preserve">开</x:t>
        </x:is>
      </x:c>
      <x:c r="I28" s="192" t="inlineStr">
        <x:is>
          <x:t xml:space="preserve">Prefab自身</x:t>
        </x:is>
      </x:c>
      <x:c r="J28" s="192" t="inlineStr">
        <x:is>
          <x:t xml:space="preserve">BoxShape3D</x:t>
        </x:is>
      </x:c>
      <x:c r="K28" s="192" t="inlineStr">
        <x:is>
          <x:t xml:space="preserve">未声明</x:t>
        </x:is>
      </x:c>
      <x:c r="L28" s="192" t="inlineStr">
        <x:is>
          <x:t xml:space="preserve">未声明</x:t>
        </x:is>
      </x:c>
      <x:c r="M28" s="192" t="inlineStr">
        <x:is>
          <x:t xml:space="preserve">场景通用组件</x:t>
        </x:is>
      </x:c>
      <x:c r="N28" s="192" t="inlineStr">
        <x:is>
          <x:t xml:space="preserve">程序占位</x:t>
        </x:is>
      </x:c>
      <x:c r="O28" s="192" t="inlineStr">
        <x:is>
          <x:t xml:space="preserve">v001</x:t>
        </x:is>
      </x:c>
      <x:c r="P28" s="193" t="inlineStr">
        <x:is>
          <x:t xml:space="preserve">根节点=PrpRoomFloor(Node3D)；2026-08-18扫描补登记资产主表</x:t>
        </x:is>
      </x:c>
    </x:row>
    <x:row r="29" ht="66" customHeight="1">
      <x:c r="A29" s="191" t="inlineStr">
        <x:is>
          <x:t xml:space="preserve">ENV-TOWER-ROOFTOP-DESCENT-MARKER</x:t>
        </x:is>
      </x:c>
      <x:c r="B29" s="192" t="inlineStr">
        <x:is>
          <x:t xml:space="preserve">楼顶下降入口标记</x:t>
        </x:is>
      </x:c>
      <x:c r="C29" s="192" t="inlineStr">
        <x:is>
          <x:t xml:space="preserve">assets/art/props/dungeon_3d/prp_room_rooftop_descent_marker.tscn</x:t>
        </x:is>
      </x:c>
      <x:c r="D29" s="192" t="str"/>
      <x:c r="E29" s="192" t="str"/>
      <x:c r="F29" s="192" t="inlineStr">
        <x:is>
          <x:t xml:space="preserve">Godot原生场景结构Prefab；由关卡脚本按模块实例化</x:t>
        </x:is>
      </x:c>
      <x:c r="G29" s="192" t="inlineStr">
        <x:is>
          <x:t xml:space="preserve">src/world3d/TowerFloorStage3D.gd</x:t>
        </x:is>
      </x:c>
      <x:c r="H29" s="192" t="inlineStr">
        <x:is>
          <x:t xml:space="preserve">无</x:t>
        </x:is>
      </x:c>
      <x:c r="I29" s="192" t="inlineStr">
        <x:is>
          <x:t xml:space="preserve">无</x:t>
        </x:is>
      </x:c>
      <x:c r="J29" s="192" t="inlineStr">
        <x:is>
          <x:t xml:space="preserve">无</x:t>
        </x:is>
      </x:c>
      <x:c r="K29" s="192" t="inlineStr">
        <x:is>
          <x:t xml:space="preserve">未声明</x:t>
        </x:is>
      </x:c>
      <x:c r="L29" s="192" t="inlineStr">
        <x:is>
          <x:t xml:space="preserve">未声明</x:t>
        </x:is>
      </x:c>
      <x:c r="M29" s="192" t="inlineStr">
        <x:is>
          <x:t xml:space="preserve">场景通用组件</x:t>
        </x:is>
      </x:c>
      <x:c r="N29" s="192" t="inlineStr">
        <x:is>
          <x:t xml:space="preserve">程序占位</x:t>
        </x:is>
      </x:c>
      <x:c r="O29" s="192" t="inlineStr">
        <x:is>
          <x:t xml:space="preserve">v001</x:t>
        </x:is>
      </x:c>
      <x:c r="P29" s="193" t="inlineStr">
        <x:is>
          <x:t xml:space="preserve">根节点=PrpRoomRooftopDescentMarker(Node3D)；2026-08-18扫描补登记资产主表</x:t>
        </x:is>
      </x:c>
    </x:row>
    <x:row r="30" ht="66" customHeight="1">
      <x:c r="A30" s="191" t="inlineStr">
        <x:is>
          <x:t xml:space="preserve">ENV-TOWER-ROOFTOP-FACADE-BAND</x:t>
        </x:is>
      </x:c>
      <x:c r="B30" s="192" t="inlineStr">
        <x:is>
          <x:t xml:space="preserve">楼顶外立面饰带</x:t>
        </x:is>
      </x:c>
      <x:c r="C30" s="192" t="inlineStr">
        <x:is>
          <x:t xml:space="preserve">assets/art/props/dungeon_3d/prp_room_rooftop_facade_band.tscn</x:t>
        </x:is>
      </x:c>
      <x:c r="D30" s="192" t="str"/>
      <x:c r="E30" s="192" t="str"/>
      <x:c r="F30" s="192" t="inlineStr">
        <x:is>
          <x:t xml:space="preserve">Godot原生场景结构Prefab；由关卡脚本按模块实例化</x:t>
        </x:is>
      </x:c>
      <x:c r="G30" s="192" t="inlineStr">
        <x:is>
          <x:t xml:space="preserve">src/world3d/TowerFloorStage3D.gd</x:t>
        </x:is>
      </x:c>
      <x:c r="H30" s="192" t="inlineStr">
        <x:is>
          <x:t xml:space="preserve">无</x:t>
        </x:is>
      </x:c>
      <x:c r="I30" s="192" t="inlineStr">
        <x:is>
          <x:t xml:space="preserve">无</x:t>
        </x:is>
      </x:c>
      <x:c r="J30" s="192" t="inlineStr">
        <x:is>
          <x:t xml:space="preserve">无</x:t>
        </x:is>
      </x:c>
      <x:c r="K30" s="192" t="inlineStr">
        <x:is>
          <x:t xml:space="preserve">未声明</x:t>
        </x:is>
      </x:c>
      <x:c r="L30" s="192" t="inlineStr">
        <x:is>
          <x:t xml:space="preserve">未声明</x:t>
        </x:is>
      </x:c>
      <x:c r="M30" s="192" t="inlineStr">
        <x:is>
          <x:t xml:space="preserve">场景通用组件</x:t>
        </x:is>
      </x:c>
      <x:c r="N30" s="192" t="inlineStr">
        <x:is>
          <x:t xml:space="preserve">程序占位</x:t>
        </x:is>
      </x:c>
      <x:c r="O30" s="192" t="inlineStr">
        <x:is>
          <x:t xml:space="preserve">v001</x:t>
        </x:is>
      </x:c>
      <x:c r="P30" s="193" t="inlineStr">
        <x:is>
          <x:t xml:space="preserve">根节点=PrpRoomRooftopFacadeBand(Node3D)；2026-08-18扫描补登记资产主表</x:t>
        </x:is>
      </x:c>
    </x:row>
    <x:row r="31" ht="66" customHeight="1">
      <x:c r="A31" s="191" t="inlineStr">
        <x:is>
          <x:t xml:space="preserve">ENV-TOWER-ROOFTOP-FACADE</x:t>
        </x:is>
      </x:c>
      <x:c r="B31" s="192" t="inlineStr">
        <x:is>
          <x:t xml:space="preserve">楼顶外立面</x:t>
        </x:is>
      </x:c>
      <x:c r="C31" s="192" t="inlineStr">
        <x:is>
          <x:t xml:space="preserve">assets/art/props/dungeon_3d/prp_room_rooftop_facade.tscn</x:t>
        </x:is>
      </x:c>
      <x:c r="D31" s="192" t="str"/>
      <x:c r="E31" s="192" t="str"/>
      <x:c r="F31" s="192" t="inlineStr">
        <x:is>
          <x:t xml:space="preserve">Godot原生场景结构Prefab；由关卡脚本按模块实例化</x:t>
        </x:is>
      </x:c>
      <x:c r="G31" s="192" t="inlineStr">
        <x:is>
          <x:t xml:space="preserve">src/world3d/TowerFloorStage3D.gd</x:t>
        </x:is>
      </x:c>
      <x:c r="H31" s="192" t="inlineStr">
        <x:is>
          <x:t xml:space="preserve">无</x:t>
        </x:is>
      </x:c>
      <x:c r="I31" s="192" t="inlineStr">
        <x:is>
          <x:t xml:space="preserve">无</x:t>
        </x:is>
      </x:c>
      <x:c r="J31" s="192" t="inlineStr">
        <x:is>
          <x:t xml:space="preserve">无</x:t>
        </x:is>
      </x:c>
      <x:c r="K31" s="192" t="inlineStr">
        <x:is>
          <x:t xml:space="preserve">未声明</x:t>
        </x:is>
      </x:c>
      <x:c r="L31" s="192" t="inlineStr">
        <x:is>
          <x:t xml:space="preserve">未声明</x:t>
        </x:is>
      </x:c>
      <x:c r="M31" s="192" t="inlineStr">
        <x:is>
          <x:t xml:space="preserve">场景通用组件</x:t>
        </x:is>
      </x:c>
      <x:c r="N31" s="192" t="inlineStr">
        <x:is>
          <x:t xml:space="preserve">程序占位</x:t>
        </x:is>
      </x:c>
      <x:c r="O31" s="192" t="inlineStr">
        <x:is>
          <x:t xml:space="preserve">v001</x:t>
        </x:is>
      </x:c>
      <x:c r="P31" s="193" t="inlineStr">
        <x:is>
          <x:t xml:space="preserve">根节点=PrpRoomRooftopFacade(Node3D)；2026-08-18扫描补登记资产主表</x:t>
        </x:is>
      </x:c>
    </x:row>
    <x:row r="32" ht="66" customHeight="1">
      <x:c r="A32" s="191" t="inlineStr">
        <x:is>
          <x:t xml:space="preserve">ENV-TOWER-ROOFTOP-RAIL-POST</x:t>
        </x:is>
      </x:c>
      <x:c r="B32" s="192" t="inlineStr">
        <x:is>
          <x:t xml:space="preserve">楼顶栏杆立柱</x:t>
        </x:is>
      </x:c>
      <x:c r="C32" s="192" t="inlineStr">
        <x:is>
          <x:t xml:space="preserve">assets/art/props/dungeon_3d/prp_room_rooftop_rail_post.tscn</x:t>
        </x:is>
      </x:c>
      <x:c r="D32" s="192" t="str"/>
      <x:c r="E32" s="192" t="str"/>
      <x:c r="F32" s="192" t="inlineStr">
        <x:is>
          <x:t xml:space="preserve">Godot原生场景结构Prefab；由关卡脚本按模块实例化</x:t>
        </x:is>
      </x:c>
      <x:c r="G32" s="192" t="inlineStr">
        <x:is>
          <x:t xml:space="preserve">src/world3d/TowerFloorStage3D.gd</x:t>
        </x:is>
      </x:c>
      <x:c r="H32" s="192" t="inlineStr">
        <x:is>
          <x:t xml:space="preserve">无</x:t>
        </x:is>
      </x:c>
      <x:c r="I32" s="192" t="inlineStr">
        <x:is>
          <x:t xml:space="preserve">无</x:t>
        </x:is>
      </x:c>
      <x:c r="J32" s="192" t="inlineStr">
        <x:is>
          <x:t xml:space="preserve">无</x:t>
        </x:is>
      </x:c>
      <x:c r="K32" s="192" t="inlineStr">
        <x:is>
          <x:t xml:space="preserve">未声明</x:t>
        </x:is>
      </x:c>
      <x:c r="L32" s="192" t="inlineStr">
        <x:is>
          <x:t xml:space="preserve">未声明</x:t>
        </x:is>
      </x:c>
      <x:c r="M32" s="192" t="inlineStr">
        <x:is>
          <x:t xml:space="preserve">场景通用组件</x:t>
        </x:is>
      </x:c>
      <x:c r="N32" s="192" t="inlineStr">
        <x:is>
          <x:t xml:space="preserve">程序占位</x:t>
        </x:is>
      </x:c>
      <x:c r="O32" s="192" t="inlineStr">
        <x:is>
          <x:t xml:space="preserve">v001</x:t>
        </x:is>
      </x:c>
      <x:c r="P32" s="193" t="inlineStr">
        <x:is>
          <x:t xml:space="preserve">根节点=PrpRoomRooftopRailPost(Node3D)；2026-08-18扫描补登记资产主表</x:t>
        </x:is>
      </x:c>
    </x:row>
    <x:row r="33" ht="66" customHeight="1">
      <x:c r="A33" s="191" t="inlineStr">
        <x:is>
          <x:t xml:space="preserve">ENV-TOWER-ROOFTOP-RAILING-LOWER</x:t>
        </x:is>
      </x:c>
      <x:c r="B33" s="192" t="inlineStr">
        <x:is>
          <x:t xml:space="preserve">楼顶下层栏杆</x:t>
        </x:is>
      </x:c>
      <x:c r="C33" s="192" t="inlineStr">
        <x:is>
          <x:t xml:space="preserve">assets/art/props/dungeon_3d/prp_room_rooftop_railing_lower.tscn</x:t>
        </x:is>
      </x:c>
      <x:c r="D33" s="192" t="str"/>
      <x:c r="E33" s="192" t="str"/>
      <x:c r="F33" s="192" t="inlineStr">
        <x:is>
          <x:t xml:space="preserve">Godot原生场景结构Prefab；由关卡脚本按模块实例化</x:t>
        </x:is>
      </x:c>
      <x:c r="G33" s="192" t="inlineStr">
        <x:is>
          <x:t xml:space="preserve">src/world3d/TowerFloorStage3D.gd</x:t>
        </x:is>
      </x:c>
      <x:c r="H33" s="192" t="inlineStr">
        <x:is>
          <x:t xml:space="preserve">开</x:t>
        </x:is>
      </x:c>
      <x:c r="I33" s="192" t="inlineStr">
        <x:is>
          <x:t xml:space="preserve">Prefab自身</x:t>
        </x:is>
      </x:c>
      <x:c r="J33" s="192" t="inlineStr">
        <x:is>
          <x:t xml:space="preserve">BoxShape3D</x:t>
        </x:is>
      </x:c>
      <x:c r="K33" s="192" t="inlineStr">
        <x:is>
          <x:t xml:space="preserve">未声明</x:t>
        </x:is>
      </x:c>
      <x:c r="L33" s="192" t="inlineStr">
        <x:is>
          <x:t xml:space="preserve">未声明</x:t>
        </x:is>
      </x:c>
      <x:c r="M33" s="192" t="inlineStr">
        <x:is>
          <x:t xml:space="preserve">场景通用组件</x:t>
        </x:is>
      </x:c>
      <x:c r="N33" s="192" t="inlineStr">
        <x:is>
          <x:t xml:space="preserve">程序占位</x:t>
        </x:is>
      </x:c>
      <x:c r="O33" s="192" t="inlineStr">
        <x:is>
          <x:t xml:space="preserve">v001</x:t>
        </x:is>
      </x:c>
      <x:c r="P33" s="193" t="inlineStr">
        <x:is>
          <x:t xml:space="preserve">根节点=PrpRoomRooftopRailingLower(Node3D)；2026-08-18扫描补登记资产主表</x:t>
        </x:is>
      </x:c>
    </x:row>
    <x:row r="34" ht="66" customHeight="1">
      <x:c r="A34" s="191" t="inlineStr">
        <x:is>
          <x:t xml:space="preserve">ENV-TOWER-ROOFTOP-RAILING-UPPER</x:t>
        </x:is>
      </x:c>
      <x:c r="B34" s="192" t="inlineStr">
        <x:is>
          <x:t xml:space="preserve">楼顶上层栏杆</x:t>
        </x:is>
      </x:c>
      <x:c r="C34" s="192" t="inlineStr">
        <x:is>
          <x:t xml:space="preserve">assets/art/props/dungeon_3d/prp_room_rooftop_railing_upper.tscn</x:t>
        </x:is>
      </x:c>
      <x:c r="D34" s="192" t="str"/>
      <x:c r="E34" s="192" t="str"/>
      <x:c r="F34" s="192" t="inlineStr">
        <x:is>
          <x:t xml:space="preserve">Godot原生场景结构Prefab；由关卡脚本按模块实例化</x:t>
        </x:is>
      </x:c>
      <x:c r="G34" s="192" t="inlineStr">
        <x:is>
          <x:t xml:space="preserve">src/world3d/TowerFloorStage3D.gd</x:t>
        </x:is>
      </x:c>
      <x:c r="H34" s="192" t="inlineStr">
        <x:is>
          <x:t xml:space="preserve">无</x:t>
        </x:is>
      </x:c>
      <x:c r="I34" s="192" t="inlineStr">
        <x:is>
          <x:t xml:space="preserve">无</x:t>
        </x:is>
      </x:c>
      <x:c r="J34" s="192" t="inlineStr">
        <x:is>
          <x:t xml:space="preserve">无</x:t>
        </x:is>
      </x:c>
      <x:c r="K34" s="192" t="inlineStr">
        <x:is>
          <x:t xml:space="preserve">未声明</x:t>
        </x:is>
      </x:c>
      <x:c r="L34" s="192" t="inlineStr">
        <x:is>
          <x:t xml:space="preserve">未声明</x:t>
        </x:is>
      </x:c>
      <x:c r="M34" s="192" t="inlineStr">
        <x:is>
          <x:t xml:space="preserve">场景通用组件</x:t>
        </x:is>
      </x:c>
      <x:c r="N34" s="192" t="inlineStr">
        <x:is>
          <x:t xml:space="preserve">程序占位</x:t>
        </x:is>
      </x:c>
      <x:c r="O34" s="192" t="inlineStr">
        <x:is>
          <x:t xml:space="preserve">v001</x:t>
        </x:is>
      </x:c>
      <x:c r="P34" s="193" t="inlineStr">
        <x:is>
          <x:t xml:space="preserve">根节点=PrpRoomRooftopRailingUpper(Node3D)；2026-08-18扫描补登记资产主表</x:t>
        </x:is>
      </x:c>
    </x:row>
    <x:row r="35" ht="66" customHeight="1">
      <x:c r="A35" s="191" t="inlineStr">
        <x:is>
          <x:t xml:space="preserve">ENV-TOWER-ROOFTOP-STAIR-FRAME-LINTEL</x:t>
        </x:is>
      </x:c>
      <x:c r="B35" s="192" t="inlineStr">
        <x:is>
          <x:t xml:space="preserve">楼顶楼梯框架门楣</x:t>
        </x:is>
      </x:c>
      <x:c r="C35" s="192" t="inlineStr">
        <x:is>
          <x:t xml:space="preserve">assets/art/props/dungeon_3d/prp_room_rooftop_stair_frame_lintel.tscn</x:t>
        </x:is>
      </x:c>
      <x:c r="D35" s="192" t="str"/>
      <x:c r="E35" s="192" t="str"/>
      <x:c r="F35" s="192" t="inlineStr">
        <x:is>
          <x:t xml:space="preserve">Godot原生场景结构Prefab；由关卡脚本按模块实例化</x:t>
        </x:is>
      </x:c>
      <x:c r="G35" s="192" t="inlineStr">
        <x:is>
          <x:t xml:space="preserve">src/world3d/TowerFloorStage3D.gd</x:t>
        </x:is>
      </x:c>
      <x:c r="H35" s="192" t="inlineStr">
        <x:is>
          <x:t xml:space="preserve">开</x:t>
        </x:is>
      </x:c>
      <x:c r="I35" s="192" t="inlineStr">
        <x:is>
          <x:t xml:space="preserve">Prefab自身</x:t>
        </x:is>
      </x:c>
      <x:c r="J35" s="192" t="inlineStr">
        <x:is>
          <x:t xml:space="preserve">BoxShape3D</x:t>
        </x:is>
      </x:c>
      <x:c r="K35" s="192" t="inlineStr">
        <x:is>
          <x:t xml:space="preserve">未声明</x:t>
        </x:is>
      </x:c>
      <x:c r="L35" s="192" t="inlineStr">
        <x:is>
          <x:t xml:space="preserve">未声明</x:t>
        </x:is>
      </x:c>
      <x:c r="M35" s="192" t="inlineStr">
        <x:is>
          <x:t xml:space="preserve">场景通用组件</x:t>
        </x:is>
      </x:c>
      <x:c r="N35" s="192" t="inlineStr">
        <x:is>
          <x:t xml:space="preserve">程序占位</x:t>
        </x:is>
      </x:c>
      <x:c r="O35" s="192" t="inlineStr">
        <x:is>
          <x:t xml:space="preserve">v001</x:t>
        </x:is>
      </x:c>
      <x:c r="P35" s="193" t="inlineStr">
        <x:is>
          <x:t xml:space="preserve">根节点=PrpRoomRooftopStairFrameLintel(Node3D)；2026-08-18扫描补登记资产主表</x:t>
        </x:is>
      </x:c>
    </x:row>
    <x:row r="36" ht="66" customHeight="1">
      <x:c r="A36" s="191" t="inlineStr">
        <x:is>
          <x:t xml:space="preserve">ENV-TOWER-ROOFTOP-STAIR-FRAME-POST</x:t>
        </x:is>
      </x:c>
      <x:c r="B36" s="192" t="inlineStr">
        <x:is>
          <x:t xml:space="preserve">楼顶楼梯框架立柱</x:t>
        </x:is>
      </x:c>
      <x:c r="C36" s="192" t="inlineStr">
        <x:is>
          <x:t xml:space="preserve">assets/art/props/dungeon_3d/prp_room_rooftop_stair_frame_post.tscn</x:t>
        </x:is>
      </x:c>
      <x:c r="D36" s="192" t="str"/>
      <x:c r="E36" s="192" t="str"/>
      <x:c r="F36" s="192" t="inlineStr">
        <x:is>
          <x:t xml:space="preserve">Godot原生场景结构Prefab；由关卡脚本按模块实例化</x:t>
        </x:is>
      </x:c>
      <x:c r="G36" s="192" t="inlineStr">
        <x:is>
          <x:t xml:space="preserve">src/world3d/TowerFloorStage3D.gd</x:t>
        </x:is>
      </x:c>
      <x:c r="H36" s="192" t="inlineStr">
        <x:is>
          <x:t xml:space="preserve">开</x:t>
        </x:is>
      </x:c>
      <x:c r="I36" s="192" t="inlineStr">
        <x:is>
          <x:t xml:space="preserve">Prefab自身</x:t>
        </x:is>
      </x:c>
      <x:c r="J36" s="192" t="inlineStr">
        <x:is>
          <x:t xml:space="preserve">BoxShape3D</x:t>
        </x:is>
      </x:c>
      <x:c r="K36" s="192" t="inlineStr">
        <x:is>
          <x:t xml:space="preserve">未声明</x:t>
        </x:is>
      </x:c>
      <x:c r="L36" s="192" t="inlineStr">
        <x:is>
          <x:t xml:space="preserve">未声明</x:t>
        </x:is>
      </x:c>
      <x:c r="M36" s="192" t="inlineStr">
        <x:is>
          <x:t xml:space="preserve">场景通用组件</x:t>
        </x:is>
      </x:c>
      <x:c r="N36" s="192" t="inlineStr">
        <x:is>
          <x:t xml:space="preserve">程序占位</x:t>
        </x:is>
      </x:c>
      <x:c r="O36" s="192" t="inlineStr">
        <x:is>
          <x:t xml:space="preserve">v001</x:t>
        </x:is>
      </x:c>
      <x:c r="P36" s="193" t="inlineStr">
        <x:is>
          <x:t xml:space="preserve">根节点=PrpRoomRooftopStairFramePost(Node3D)；2026-08-18扫描补登记资产主表</x:t>
        </x:is>
      </x:c>
    </x:row>
    <x:row r="37" ht="66" customHeight="1">
      <x:c r="A37" s="191" t="inlineStr">
        <x:is>
          <x:t xml:space="preserve">ENV-DUNGEON-STAIR-LOBBY-ROUTE-GUIDE</x:t>
        </x:is>
      </x:c>
      <x:c r="B37" s="192" t="inlineStr">
        <x:is>
          <x:t xml:space="preserve">楼梯厅路线引导</x:t>
        </x:is>
      </x:c>
      <x:c r="C37" s="192" t="inlineStr">
        <x:is>
          <x:t xml:space="preserve">assets/art/props/dungeon_3d/prp_room_stair_lobby_route_guide.tscn</x:t>
        </x:is>
      </x:c>
      <x:c r="D37" s="192" t="str"/>
      <x:c r="E37" s="192" t="str"/>
      <x:c r="F37" s="192" t="inlineStr">
        <x:is>
          <x:t xml:space="preserve">Godot原生场景结构Prefab；由关卡脚本按模块实例化</x:t>
        </x:is>
      </x:c>
      <x:c r="G37" s="192" t="inlineStr">
        <x:is>
          <x:t xml:space="preserve">src/world3d/DungeonRoom3D.gd</x:t>
        </x:is>
      </x:c>
      <x:c r="H37" s="192" t="inlineStr">
        <x:is>
          <x:t xml:space="preserve">无</x:t>
        </x:is>
      </x:c>
      <x:c r="I37" s="192" t="inlineStr">
        <x:is>
          <x:t xml:space="preserve">无</x:t>
        </x:is>
      </x:c>
      <x:c r="J37" s="192" t="inlineStr">
        <x:is>
          <x:t xml:space="preserve">无</x:t>
        </x:is>
      </x:c>
      <x:c r="K37" s="192" t="inlineStr">
        <x:is>
          <x:t xml:space="preserve">未声明</x:t>
        </x:is>
      </x:c>
      <x:c r="L37" s="192" t="inlineStr">
        <x:is>
          <x:t xml:space="preserve">未声明</x:t>
        </x:is>
      </x:c>
      <x:c r="M37" s="192" t="inlineStr">
        <x:is>
          <x:t xml:space="preserve">场景通用组件</x:t>
        </x:is>
      </x:c>
      <x:c r="N37" s="192" t="inlineStr">
        <x:is>
          <x:t xml:space="preserve">程序占位</x:t>
        </x:is>
      </x:c>
      <x:c r="O37" s="192" t="inlineStr">
        <x:is>
          <x:t xml:space="preserve">v001</x:t>
        </x:is>
      </x:c>
      <x:c r="P37" s="193" t="inlineStr">
        <x:is>
          <x:t xml:space="preserve">根节点=PrpRoomStairLobbyRouteGuide(Node3D)；2026-08-18扫描补登记资产主表</x:t>
        </x:is>
      </x:c>
    </x:row>
    <x:row r="38" ht="66" customHeight="1">
      <x:c r="A38" s="191" t="inlineStr">
        <x:is>
          <x:t xml:space="preserve">ENV-DUNGEON-STAIR-LOBBY-THRESHOLD-GUIDE</x:t>
        </x:is>
      </x:c>
      <x:c r="B38" s="192" t="inlineStr">
        <x:is>
          <x:t xml:space="preserve">楼梯厅门槛引导</x:t>
        </x:is>
      </x:c>
      <x:c r="C38" s="192" t="inlineStr">
        <x:is>
          <x:t xml:space="preserve">assets/art/props/dungeon_3d/prp_room_stair_lobby_threshold_guide.tscn</x:t>
        </x:is>
      </x:c>
      <x:c r="D38" s="192" t="str"/>
      <x:c r="E38" s="192" t="str"/>
      <x:c r="F38" s="192" t="inlineStr">
        <x:is>
          <x:t xml:space="preserve">Godot原生场景结构Prefab；由关卡脚本按模块实例化</x:t>
        </x:is>
      </x:c>
      <x:c r="G38" s="192" t="inlineStr">
        <x:is>
          <x:t xml:space="preserve">src/world3d/DungeonRoom3D.gd</x:t>
        </x:is>
      </x:c>
      <x:c r="H38" s="192" t="inlineStr">
        <x:is>
          <x:t xml:space="preserve">无</x:t>
        </x:is>
      </x:c>
      <x:c r="I38" s="192" t="inlineStr">
        <x:is>
          <x:t xml:space="preserve">无</x:t>
        </x:is>
      </x:c>
      <x:c r="J38" s="192" t="inlineStr">
        <x:is>
          <x:t xml:space="preserve">无</x:t>
        </x:is>
      </x:c>
      <x:c r="K38" s="192" t="inlineStr">
        <x:is>
          <x:t xml:space="preserve">未声明</x:t>
        </x:is>
      </x:c>
      <x:c r="L38" s="192" t="inlineStr">
        <x:is>
          <x:t xml:space="preserve">未声明</x:t>
        </x:is>
      </x:c>
      <x:c r="M38" s="192" t="inlineStr">
        <x:is>
          <x:t xml:space="preserve">场景通用组件</x:t>
        </x:is>
      </x:c>
      <x:c r="N38" s="192" t="inlineStr">
        <x:is>
          <x:t xml:space="preserve">程序占位</x:t>
        </x:is>
      </x:c>
      <x:c r="O38" s="192" t="inlineStr">
        <x:is>
          <x:t xml:space="preserve">v001</x:t>
        </x:is>
      </x:c>
      <x:c r="P38" s="193" t="inlineStr">
        <x:is>
          <x:t xml:space="preserve">根节点=PrpRoomStairLobbyThresholdGuide(Node3D)；2026-08-18扫描补登记资产主表</x:t>
        </x:is>
      </x:c>
    </x:row>
    <x:row r="39" ht="66" customHeight="1">
      <x:c r="A39" s="191" t="inlineStr">
        <x:is>
          <x:t xml:space="preserve">ENV-DUNGEON-VERTICAL-ACCESS-MARKER</x:t>
        </x:is>
      </x:c>
      <x:c r="B39" s="192" t="inlineStr">
        <x:is>
          <x:t xml:space="preserve">垂直通行标记</x:t>
        </x:is>
      </x:c>
      <x:c r="C39" s="192" t="inlineStr">
        <x:is>
          <x:t xml:space="preserve">assets/art/props/dungeon_3d/prp_room_vertical_access_marker_label.tscn</x:t>
        </x:is>
      </x:c>
      <x:c r="D39" s="192" t="str"/>
      <x:c r="E39" s="192" t="str"/>
      <x:c r="F39" s="192" t="inlineStr">
        <x:is>
          <x:t xml:space="preserve">Godot原生场景结构Prefab；由关卡脚本按模块实例化</x:t>
        </x:is>
      </x:c>
      <x:c r="G39" s="192" t="inlineStr">
        <x:is>
          <x:t xml:space="preserve">src/world3d/DungeonRoom3D.gd</x:t>
        </x:is>
      </x:c>
      <x:c r="H39" s="192" t="inlineStr">
        <x:is>
          <x:t xml:space="preserve">无</x:t>
        </x:is>
      </x:c>
      <x:c r="I39" s="192" t="inlineStr">
        <x:is>
          <x:t xml:space="preserve">无</x:t>
        </x:is>
      </x:c>
      <x:c r="J39" s="192" t="inlineStr">
        <x:is>
          <x:t xml:space="preserve">无</x:t>
        </x:is>
      </x:c>
      <x:c r="K39" s="192" t="inlineStr">
        <x:is>
          <x:t xml:space="preserve">未声明</x:t>
        </x:is>
      </x:c>
      <x:c r="L39" s="192" t="inlineStr">
        <x:is>
          <x:t xml:space="preserve">未声明</x:t>
        </x:is>
      </x:c>
      <x:c r="M39" s="192" t="inlineStr">
        <x:is>
          <x:t xml:space="preserve">场景通用组件</x:t>
        </x:is>
      </x:c>
      <x:c r="N39" s="192" t="inlineStr">
        <x:is>
          <x:t xml:space="preserve">程序占位</x:t>
        </x:is>
      </x:c>
      <x:c r="O39" s="192" t="inlineStr">
        <x:is>
          <x:t xml:space="preserve">v001</x:t>
        </x:is>
      </x:c>
      <x:c r="P39" s="193" t="inlineStr">
        <x:is>
          <x:t xml:space="preserve">根节点=PrpRoomVerticalAccessMarkerLabel(Node3D)；2026-08-18扫描补登记资产主表</x:t>
        </x:is>
      </x:c>
    </x:row>
    <x:row r="40" ht="66" customHeight="1">
      <x:c r="A40" s="191" t="inlineStr">
        <x:is>
          <x:t xml:space="preserve">ENV-DUNGEON-ROOM-WALL-DOOR-SEGMENT</x:t>
        </x:is>
      </x:c>
      <x:c r="B40" s="192" t="inlineStr">
        <x:is>
          <x:t xml:space="preserve">房间带门墙段</x:t>
        </x:is>
      </x:c>
      <x:c r="C40" s="192" t="inlineStr">
        <x:is>
          <x:t xml:space="preserve">assets/art/props/dungeon_3d/prp_room_wall_door_segment.tscn</x:t>
        </x:is>
      </x:c>
      <x:c r="D40" s="192" t="str"/>
      <x:c r="E40" s="192" t="str"/>
      <x:c r="F40" s="192" t="inlineStr">
        <x:is>
          <x:t xml:space="preserve">Godot原生场景结构Prefab；由关卡脚本按模块实例化</x:t>
        </x:is>
      </x:c>
      <x:c r="G40" s="192" t="inlineStr">
        <x:is>
          <x:t xml:space="preserve">src/world3d/DungeonRoom3D.gd</x:t>
        </x:is>
      </x:c>
      <x:c r="H40" s="192" t="inlineStr">
        <x:is>
          <x:t xml:space="preserve">开</x:t>
        </x:is>
      </x:c>
      <x:c r="I40" s="192" t="inlineStr">
        <x:is>
          <x:t xml:space="preserve">Prefab自身</x:t>
        </x:is>
      </x:c>
      <x:c r="J40" s="192" t="inlineStr">
        <x:is>
          <x:t xml:space="preserve">BoxShape3D</x:t>
        </x:is>
      </x:c>
      <x:c r="K40" s="192" t="inlineStr">
        <x:is>
          <x:t xml:space="preserve">未声明</x:t>
        </x:is>
      </x:c>
      <x:c r="L40" s="192" t="inlineStr">
        <x:is>
          <x:t xml:space="preserve">未声明</x:t>
        </x:is>
      </x:c>
      <x:c r="M40" s="192" t="inlineStr">
        <x:is>
          <x:t xml:space="preserve">场景通用组件</x:t>
        </x:is>
      </x:c>
      <x:c r="N40" s="192" t="inlineStr">
        <x:is>
          <x:t xml:space="preserve">程序占位</x:t>
        </x:is>
      </x:c>
      <x:c r="O40" s="192" t="inlineStr">
        <x:is>
          <x:t xml:space="preserve">v001</x:t>
        </x:is>
      </x:c>
      <x:c r="P40" s="193" t="inlineStr">
        <x:is>
          <x:t xml:space="preserve">根节点=PrpRoomWallDoorSegment(Node3D)；2026-08-18扫描补登记资产主表</x:t>
        </x:is>
      </x:c>
    </x:row>
    <x:row r="41" ht="66" customHeight="1">
      <x:c r="A41" s="191" t="inlineStr">
        <x:is>
          <x:t xml:space="preserve">ENV-DUNGEON-ROOM-WALL-SEGMENT</x:t>
        </x:is>
      </x:c>
      <x:c r="B41" s="192" t="inlineStr">
        <x:is>
          <x:t xml:space="preserve">房间普通墙段</x:t>
        </x:is>
      </x:c>
      <x:c r="C41" s="192" t="inlineStr">
        <x:is>
          <x:t xml:space="preserve">assets/art/props/dungeon_3d/prp_room_wall_segment.tscn</x:t>
        </x:is>
      </x:c>
      <x:c r="D41" s="192" t="str"/>
      <x:c r="E41" s="192" t="str"/>
      <x:c r="F41" s="192" t="inlineStr">
        <x:is>
          <x:t xml:space="preserve">Godot原生场景结构Prefab；由关卡脚本按模块实例化</x:t>
        </x:is>
      </x:c>
      <x:c r="G41" s="192" t="inlineStr">
        <x:is>
          <x:t xml:space="preserve">src/world3d/DungeonRoom3D.gd</x:t>
        </x:is>
      </x:c>
      <x:c r="H41" s="192" t="inlineStr">
        <x:is>
          <x:t xml:space="preserve">开</x:t>
        </x:is>
      </x:c>
      <x:c r="I41" s="192" t="inlineStr">
        <x:is>
          <x:t xml:space="preserve">Prefab自身</x:t>
        </x:is>
      </x:c>
      <x:c r="J41" s="192" t="inlineStr">
        <x:is>
          <x:t xml:space="preserve">BoxShape3D</x:t>
        </x:is>
      </x:c>
      <x:c r="K41" s="192" t="inlineStr">
        <x:is>
          <x:t xml:space="preserve">未声明</x:t>
        </x:is>
      </x:c>
      <x:c r="L41" s="192" t="inlineStr">
        <x:is>
          <x:t xml:space="preserve">未声明</x:t>
        </x:is>
      </x:c>
      <x:c r="M41" s="192" t="inlineStr">
        <x:is>
          <x:t xml:space="preserve">场景通用组件</x:t>
        </x:is>
      </x:c>
      <x:c r="N41" s="192" t="inlineStr">
        <x:is>
          <x:t xml:space="preserve">程序占位</x:t>
        </x:is>
      </x:c>
      <x:c r="O41" s="192" t="inlineStr">
        <x:is>
          <x:t xml:space="preserve">v001</x:t>
        </x:is>
      </x:c>
      <x:c r="P41" s="193" t="inlineStr">
        <x:is>
          <x:t xml:space="preserve">根节点=PrpRoomWallSegment(Node3D)；2026-08-18扫描补登记资产主表</x:t>
        </x:is>
      </x:c>
    </x:row>
    <x:row r="42" ht="66" customHeight="1">
      <x:c r="A42" s="191" t="inlineStr">
        <x:is>
          <x:t xml:space="preserve">ENV-TOWER-FLOOR-TILE-5M</x:t>
        </x:is>
      </x:c>
      <x:c r="B42" s="192" t="inlineStr">
        <x:is>
          <x:t xml:space="preserve">塔楼5米地砖模块</x:t>
        </x:is>
      </x:c>
      <x:c r="C42" s="192" t="inlineStr">
        <x:is>
          <x:t xml:space="preserve">assets/art/props/dungeon_3d/prp_tower_floor_tile_5m.tscn</x:t>
        </x:is>
      </x:c>
      <x:c r="D42" s="192" t="str"/>
      <x:c r="E42" s="192" t="str"/>
      <x:c r="F42" s="192" t="inlineStr">
        <x:is>
          <x:t xml:space="preserve">Godot原生场景结构Prefab；由关卡脚本按模块实例化</x:t>
        </x:is>
      </x:c>
      <x:c r="G42" s="192" t="inlineStr">
        <x:is>
          <x:t xml:space="preserve">src/world3d/TowerFloorStage3D.gd</x:t>
        </x:is>
      </x:c>
      <x:c r="H42" s="192" t="inlineStr">
        <x:is>
          <x:t xml:space="preserve">开</x:t>
        </x:is>
      </x:c>
      <x:c r="I42" s="192" t="inlineStr">
        <x:is>
          <x:t xml:space="preserve">Prefab自身</x:t>
        </x:is>
      </x:c>
      <x:c r="J42" s="192" t="inlineStr">
        <x:is>
          <x:t xml:space="preserve">BoxShape3D</x:t>
        </x:is>
      </x:c>
      <x:c r="K42" s="192" t="inlineStr">
        <x:is>
          <x:t xml:space="preserve">GLB / 5×5×0.30m / 共享Mesh / MultiMesh平铺</x:t>
        </x:is>
      </x:c>
      <x:c r="L42" s="192" t="inlineStr">
        <x:is>
          <x:t xml:space="preserve">未声明</x:t>
        </x:is>
      </x:c>
      <x:c r="M42" s="192" t="inlineStr">
        <x:is>
          <x:t xml:space="preserve">塔楼六个物理层楼板/335m MultiMesh网格/动态水平通道</x:t>
        </x:is>
      </x:c>
      <x:c r="N42" s="192" t="inlineStr">
        <x:is>
          <x:t xml:space="preserve">原型已接入</x:t>
        </x:is>
      </x:c>
      <x:c r="O42" s="192" t="inlineStr">
        <x:is>
          <x:t xml:space="preserve">v001</x:t>
        </x:is>
      </x:c>
      <x:c r="P42" s="193" t="inlineStr">
        <x:is>
          <x:t xml:space="preserve">根节点=PrpTowerFloorTile5m(Node3D)；资产主表模型=assets/art/environments/tower_descent_3d/components/env_tower_floor_tile_5m_top3d_v001.glb；当前Prefab尚未直接引用</x:t>
        </x:is>
      </x:c>
    </x:row>
    <x:row r="43" ht="115" customHeight="1">
      <x:c r="A43" s="191" t="str">
        <x:v>ENV-TOWER-STAIRWELL-GENERIC-12M</x:v>
      </x:c>
      <x:c r="B43" s="192" t="str">
        <x:v>楼梯B（99→98通用）</x:v>
      </x:c>
      <x:c r="C43" s="192" t="str">
        <x:v>assets/art/environments/tower_descent_3d/runtime/env_tower_stairwell_generic_12m/env_tower_stairwell_generic_12m_root_top3d_v002.tscn</x:v>
      </x:c>
      <x:c r="D43" s="192" t="str">
        <x:v>assets/art/environments/tower_descent_3d/components/env_tower_stairwell_generic_12m_top3d_v002.glb</x:v>
      </x:c>
      <x:c r="E43" s="192" t="str">
        <x:v>assets/art/environments/tower_descent_3d/source/stairs_12m/stairwell_art_v021/env_tower_stairwell_dual_art_source_v021.blend</x:v>
      </x:c>
      <x:c r="F43" s="192" t="str">
        <x:v>Blocks/Stairs/Stair_B；PackedScene v002实例化3个优化网格，保持v021完整视觉与楼层接口</x:v>
      </x:c>
      <x:c r="G43" s="192" t="str">
        <x:v>src/world3d/TowerDescent3D.gd</x:v>
      </x:c>
      <x:c r="H43" s="192" t="str">
        <x:v>开</x:v>
      </x:c>
      <x:c r="I43" s="192" t="str">
        <x:v>TowerDescent3D运行时包装</x:v>
      </x:c>
      <x:c r="J43" s="192" t="str">
        <x:v>ConcavePolygonShape3D（1个Walkable + 1个EnclosureWall）</x:v>
      </x:c>
      <x:c r="K43" s="192" t="str">
        <x:v>15×30m占地 / 12m层差 / v021完整墙地楼梯与装饰</x:v>
      </x:c>
      <x:c r="L43" s="192" t="str">
        <x:v>v002；Z-up；米制；楼层合同原点</x:v>
      </x:c>
      <x:c r="M43" s="192" t="str">
        <x:v>塔楼跨层楼梯间</x:v>
      </x:c>
      <x:c r="N43" s="192" t="str">
        <x:v>正式美术已接入</x:v>
      </x:c>
      <x:c r="O43" s="192" t="str">
        <x:v>v002</x:v>
      </x:c>
      <x:c r="P43" s="193" t="str">
        <x:v>2026-09-15：v021正式美术已导出、共享色盘导入并替换临时资产；3网格运行优化，结构/流程/真实渲染验收通过；v001保留回滚。</x:v>
      </x:c>
    </x:row>
    <x:row r="44" ht="115" customHeight="1">
      <x:c r="A44" s="191" t="str">
        <x:v>ENV-TOWER-STAIRWELL-ROOFTOP-12M</x:v>
      </x:c>
      <x:c r="B44" s="192" t="str">
        <x:v>楼梯A（100→99天台）</x:v>
      </x:c>
      <x:c r="C44" s="192" t="str">
        <x:v>assets/art/environments/tower_descent_3d/runtime/env_tower_stairwell_rooftop_12m/env_tower_stairwell_rooftop_12m_root_top3d_v002.tscn</x:v>
      </x:c>
      <x:c r="D44" s="192" t="str">
        <x:v>assets/art/environments/tower_descent_3d/components/env_tower_stairwell_rooftop_12m_top3d_v002.glb</x:v>
      </x:c>
      <x:c r="E44" s="192" t="str">
        <x:v>assets/art/environments/tower_descent_3d/source/stairs_12m/stairwell_art_v021/env_tower_stairwell_dual_art_source_v021.blend</x:v>
      </x:c>
      <x:c r="F44" s="192" t="str">
        <x:v>Blocks/Stairs/Stair_A；PackedScene v002实例化3个优化网格，保持v021完整视觉与楼层接口</x:v>
      </x:c>
      <x:c r="G44" s="192" t="str">
        <x:v>src/world3d/TowerDescent3D.gd</x:v>
      </x:c>
      <x:c r="H44" s="192" t="str">
        <x:v>开</x:v>
      </x:c>
      <x:c r="I44" s="192" t="str">
        <x:v>TowerDescent3D运行时包装</x:v>
      </x:c>
      <x:c r="J44" s="192" t="str">
        <x:v>ConcavePolygonShape3D（1个Walkable + 1个EnclosureWall）</x:v>
      </x:c>
      <x:c r="K44" s="192" t="str">
        <x:v>15×30m占地 / 12m层差 / v021完整墙地楼梯与装饰</x:v>
      </x:c>
      <x:c r="L44" s="192" t="str">
        <x:v>v002；Z-up；米制；楼层合同原点</x:v>
      </x:c>
      <x:c r="M44" s="192" t="str">
        <x:v>塔楼跨层楼梯间</x:v>
      </x:c>
      <x:c r="N44" s="192" t="str">
        <x:v>正式美术已接入</x:v>
      </x:c>
      <x:c r="O44" s="192" t="str">
        <x:v>v002</x:v>
      </x:c>
      <x:c r="P44" s="193" t="str">
        <x:v>2026-09-15：v021正式美术已导出、共享色盘导入并替换临时资产；3网格运行优化，结构/流程/真实渲染验收通过；v001保留回滚。</x:v>
      </x:c>
    </x:row>
    <x:row r="45" ht="66" customHeight="1">
      <x:c r="A45" s="191" t="inlineStr">
        <x:is>
          <x:t xml:space="preserve">ENV-TOWER-WALL-DOOR-5M</x:t>
        </x:is>
      </x:c>
      <x:c r="B45" s="192" t="inlineStr">
        <x:is>
          <x:t xml:space="preserve">塔楼5米带门墙模块</x:t>
        </x:is>
      </x:c>
      <x:c r="C45" s="192" t="inlineStr">
        <x:is>
          <x:t xml:space="preserve">assets/art/props/dungeon_3d/prp_tower_wall_door_5m.tscn</x:t>
        </x:is>
      </x:c>
      <x:c r="D45" s="192" t="str">
        <x:v>assets/art/environments/tower_descent_3d/components/env_tower_wall_door_5m_top3d_v003.glb</x:v>
      </x:c>
      <x:c r="E45" s="192" t="str">
        <x:v>assets/art/environments/tower_descent_3d/source/wall_height12/env_tower_wall_door_5m_source_v003.blend</x:v>
      </x:c>
      <x:c r="F45" s="192" t="inlineStr">
        <x:is>
          <x:t xml:space="preserve">Godot原生场景结构Prefab；由关卡脚本按模块实例化</x:t>
        </x:is>
      </x:c>
      <x:c r="G45" s="192" t="inlineStr">
        <x:is>
          <x:t xml:space="preserve">src/world3d/DungeonRoom3D.gd</x:t>
        </x:is>
      </x:c>
      <x:c r="H45" s="192" t="inlineStr">
        <x:is>
          <x:t xml:space="preserve">开</x:t>
        </x:is>
      </x:c>
      <x:c r="I45" s="192" t="inlineStr">
        <x:is>
          <x:t xml:space="preserve">Prefab自身</x:t>
        </x:is>
      </x:c>
      <x:c r="J45" s="192" t="inlineStr">
        <x:is>
          <x:t xml:space="preserve">BoxShape3D</x:t>
        </x:is>
      </x:c>
      <x:c r="K45" s="192" t="str">
        <x:v>5×0.30×11.9m可见墙；12m逻辑碰撞；2.2×2.5m净开口</x:v>
      </x:c>
      <x:c r="L45" s="192" t="str">
        <x:v>v003</x:v>
      </x:c>
      <x:c r="M45" s="192" t="inlineStr">
        <x:is>
          <x:t xml:space="preserve">5m墙位/2.2m净宽/2.5m净高/独立门扇</x:t>
        </x:is>
      </x:c>
      <x:c r="N45" s="192" t="inlineStr">
        <x:is>
          <x:t xml:space="preserve">原型已接入</x:t>
        </x:is>
      </x:c>
      <x:c r="O45" s="192" t="inlineStr">
        <x:is>
          <x:t xml:space="preserve">v002</x:t>
        </x:is>
      </x:c>
      <x:c r="P45" s="193" t="inlineStr">
        <x:is>
          <x:t xml:space="preserve">根节点=PrpTowerWallDoor5m(Node3D)；资产主表模型=assets/art/environments/tower_descent_3d/components/env_tower_wall_door_5m_top3d_v002.glb；当前Prefab尚未直接引用</x:t>
        </x:is>
      </x:c>
    </x:row>
    <x:row r="46" ht="66" customHeight="1">
      <x:c r="A46" s="191" t="inlineStr">
        <x:is>
          <x:t xml:space="preserve">ENV-TOWER-WALL-PARAPET-5M</x:t>
        </x:is>
      </x:c>
      <x:c r="B46" s="192" t="inlineStr">
        <x:is>
          <x:t xml:space="preserve">塔楼5米楼顶女儿墙模块</x:t>
        </x:is>
      </x:c>
      <x:c r="C46" s="192" t="inlineStr">
        <x:is>
          <x:t xml:space="preserve">assets/art/props/dungeon_3d/prp_tower_wall_parapet_5m.tscn</x:t>
        </x:is>
      </x:c>
      <x:c r="D46" s="192" t="str"/>
      <x:c r="E46" s="192" t="str"/>
      <x:c r="F46" s="192" t="inlineStr">
        <x:is>
          <x:t xml:space="preserve">Godot原生场景结构Prefab；由关卡脚本按模块实例化</x:t>
        </x:is>
      </x:c>
      <x:c r="G46" s="192" t="inlineStr">
        <x:is>
          <x:t xml:space="preserve">src/world3d/TowerFloorStage3D.gd</x:t>
        </x:is>
      </x:c>
      <x:c r="H46" s="192" t="inlineStr">
        <x:is>
          <x:t xml:space="preserve">开</x:t>
        </x:is>
      </x:c>
      <x:c r="I46" s="192" t="inlineStr">
        <x:is>
          <x:t xml:space="preserve">Prefab自身</x:t>
        </x:is>
      </x:c>
      <x:c r="J46" s="192" t="inlineStr">
        <x:is>
          <x:t xml:space="preserve">BoxShape3D</x:t>
        </x:is>
      </x:c>
      <x:c r="K46" s="192" t="inlineStr">
        <x:is>
          <x:t xml:space="preserve">GLB / 5×0.30×1.50m / 共享Mesh</x:t>
        </x:is>
      </x:c>
      <x:c r="L46" s="192" t="inlineStr">
        <x:is>
          <x:t xml:space="preserve">未声明</x:t>
        </x:is>
      </x:c>
      <x:c r="M46" s="192" t="inlineStr">
        <x:is>
          <x:t xml:space="preserve">335m楼顶四周边界/268段MultiMesh围栏</x:t>
        </x:is>
      </x:c>
      <x:c r="N46" s="192" t="inlineStr">
        <x:is>
          <x:t xml:space="preserve">原型已接入</x:t>
        </x:is>
      </x:c>
      <x:c r="O46" s="192" t="inlineStr">
        <x:is>
          <x:t xml:space="preserve">v001</x:t>
        </x:is>
      </x:c>
      <x:c r="P46" s="193" t="inlineStr">
        <x:is>
          <x:t xml:space="preserve">根节点=PrpTowerWallParapet5m(Node3D)；资产主表模型=assets/art/environments/tower_descent_3d/components/env_tower_wall_parapet_5m_top3d_v001.glb；当前Prefab尚未直接引用</x:t>
        </x:is>
      </x:c>
    </x:row>
    <x:row r="47" ht="66" customHeight="1">
      <x:c r="A47" s="191" t="inlineStr">
        <x:is>
          <x:t xml:space="preserve">ENV-TOWER-WALL-PARAPET-DOOR-5M</x:t>
        </x:is>
      </x:c>
      <x:c r="B47" s="192" t="inlineStr">
        <x:is>
          <x:t xml:space="preserve">塔楼带门女儿墙5米</x:t>
        </x:is>
      </x:c>
      <x:c r="C47" s="192" t="inlineStr">
        <x:is>
          <x:t xml:space="preserve">assets/art/props/dungeon_3d/prp_tower_wall_parapet_door_5m.tscn</x:t>
        </x:is>
      </x:c>
      <x:c r="D47" s="192" t="str"/>
      <x:c r="E47" s="192" t="str"/>
      <x:c r="F47" s="192" t="inlineStr">
        <x:is>
          <x:t xml:space="preserve">Godot原生场景结构Prefab；由关卡脚本按模块实例化</x:t>
        </x:is>
      </x:c>
      <x:c r="G47" s="192" t="inlineStr">
        <x:is>
          <x:t xml:space="preserve">src/world3d/TowerFloorStage3D.gd</x:t>
        </x:is>
      </x:c>
      <x:c r="H47" s="192" t="inlineStr">
        <x:is>
          <x:t xml:space="preserve">开</x:t>
        </x:is>
      </x:c>
      <x:c r="I47" s="192" t="inlineStr">
        <x:is>
          <x:t xml:space="preserve">Prefab自身</x:t>
        </x:is>
      </x:c>
      <x:c r="J47" s="192" t="inlineStr">
        <x:is>
          <x:t xml:space="preserve">BoxShape3D</x:t>
        </x:is>
      </x:c>
      <x:c r="K47" s="192" t="inlineStr">
        <x:is>
          <x:t xml:space="preserve">未声明</x:t>
        </x:is>
      </x:c>
      <x:c r="L47" s="192" t="inlineStr">
        <x:is>
          <x:t xml:space="preserve">未声明</x:t>
        </x:is>
      </x:c>
      <x:c r="M47" s="192" t="inlineStr">
        <x:is>
          <x:t xml:space="preserve">场景通用组件</x:t>
        </x:is>
      </x:c>
      <x:c r="N47" s="192" t="inlineStr">
        <x:is>
          <x:t xml:space="preserve">程序占位</x:t>
        </x:is>
      </x:c>
      <x:c r="O47" s="192" t="inlineStr">
        <x:is>
          <x:t xml:space="preserve">v001</x:t>
        </x:is>
      </x:c>
      <x:c r="P47" s="193" t="inlineStr">
        <x:is>
          <x:t xml:space="preserve">根节点=PrpTowerWallParapetDoor5m(Node3D)；2026-08-18扫描补登记资产主表</x:t>
        </x:is>
      </x:c>
    </x:row>
    <x:row r="48" ht="66" customHeight="1">
      <x:c r="A48" s="194" t="inlineStr">
        <x:is>
          <x:t xml:space="preserve">ENV-TOWER-WALL-SOLID-5M</x:t>
        </x:is>
      </x:c>
      <x:c r="B48" s="195" t="inlineStr">
        <x:is>
          <x:t xml:space="preserve">塔楼5米满高实墙模块</x:t>
        </x:is>
      </x:c>
      <x:c r="C48" s="195" t="inlineStr">
        <x:is>
          <x:t xml:space="preserve">assets/art/props/dungeon_3d/prp_tower_wall_solid_5m.tscn</x:t>
        </x:is>
      </x:c>
      <x:c r="D48" s="195" t="str">
        <x:v>assets/art/environments/tower_descent_3d/components/env_tower_wall_solid_5m_top3d_v003.glb</x:v>
      </x:c>
      <x:c r="E48" s="195" t="str">
        <x:v>source/art/whitebox/tower_zones/v011/blender/whitebox_tower_battle_stairs_v011.blend</x:v>
      </x:c>
      <x:c r="F48" s="195" t="inlineStr">
        <x:is>
          <x:t xml:space="preserve">Godot原生场景结构Prefab；由关卡脚本按模块实例化</x:t>
        </x:is>
      </x:c>
      <x:c r="G48" s="195" t="inlineStr">
        <x:is>
          <x:t xml:space="preserve">src/world3d/DungeonRoom3D.gd</x:t>
        </x:is>
      </x:c>
      <x:c r="H48" s="195" t="inlineStr">
        <x:is>
          <x:t xml:space="preserve">开</x:t>
        </x:is>
      </x:c>
      <x:c r="I48" s="195" t="inlineStr">
        <x:is>
          <x:t xml:space="preserve">Prefab自身</x:t>
        </x:is>
      </x:c>
      <x:c r="J48" s="195" t="inlineStr">
        <x:is>
          <x:t xml:space="preserve">BoxShape3D</x:t>
        </x:is>
      </x:c>
      <x:c r="K48" s="195" t="str">
        <x:v>GLB / 5×0.30×11.9m可见墙 / 12m逻辑碰撞 / 共享Mesh</x:v>
      </x:c>
      <x:c r="L48" s="195" t="str">
        <x:v>v003</x:v>
      </x:c>
      <x:c r="M48" s="195" t="inlineStr">
        <x:is>
          <x:t xml:space="preserve">整层外墙/65m核心/探索房内墙/5m正交走廊</x:t>
        </x:is>
      </x:c>
      <x:c r="N48" s="195" t="inlineStr">
        <x:is>
          <x:t xml:space="preserve">原型已接入</x:t>
        </x:is>
      </x:c>
      <x:c r="O48" s="195" t="inlineStr">
        <x:is>
          <x:t xml:space="preserve">v001</x:t>
        </x:is>
      </x:c>
      <x:c r="P48" s="196" t="inlineStr">
        <x:is>
          <x:t xml:space="preserve">根节点=PrpTowerWallSolid5m(Node3D)；资产主表模型=assets/art/environments/tower_descent_3d/components/env_tower_wall_solid_5m_top3d_v001.glb；当前Prefab尚未直接引用</x:t>
        </x:is>
      </x:c>
    </x:row>
    <x:row r="49">
      <x:c r="A49" s="349" t="str">
        <x:v>ENV-BASE99-WALL-DOOR-5X12</x:v>
      </x:c>
      <x:c r="B49" s="349" t="str">
        <x:v>基地99层带门墙体5×12米</x:v>
      </x:c>
      <x:c r="C49" s="349" t="str">
        <x:v>assets/art/environments/base_facility_3d/runtime/env_base99_wall_door_5x12/env_base99_wall_door_5x12_root_top3d_v004.tscn</x:v>
      </x:c>
      <x:c r="D49" s="349" t="str">
        <x:v>assets/art/environments/base_facility_3d/components/env_base99_wall_door_5x12/env_base99_wall_door_5x12_visual_top3d_v004.glb</x:v>
      </x:c>
      <x:c r="E49" s="349" t="str">
        <x:v>assets/art/environments/base_facility_3d/source/wall_height12/env_base99_wall_door_5x12_source_v004.blend</x:v>
      </x:c>
      <x:c r="F49" s="349" t="inlineStr">
        <x:is>
          <x:t xml:space="preserve">仅表现；墙体由DungeonRoom3D按5米槽位组合</x:t>
        </x:is>
      </x:c>
      <x:c r="G49" s="349" t="inlineStr">
        <x:is>
          <x:t xml:space="preserve">src/world3d/DungeonRoom3D.gd</x:t>
        </x:is>
      </x:c>
      <x:c r="H49" s="349" t="inlineStr">
        <x:is>
          <x:t xml:space="preserve">开</x:t>
        </x:is>
      </x:c>
      <x:c r="I49" s="349" t="inlineStr">
        <x:is>
          <x:t xml:space="preserve">外部脚本</x:t>
        </x:is>
      </x:c>
      <x:c r="J49" s="349" t="inlineStr">
        <x:is>
          <x:t xml:space="preserve">DungeonRoom3D BoxShape3D</x:t>
        </x:is>
      </x:c>
      <x:c r="K49" s="349" t="str">
        <x:v>5×12m逻辑外廓；11.9m可见墙；2.2×2.5m门洞</x:v>
      </x:c>
      <x:c r="L49" s="349" t="str">
        <x:v>bottom_center；-Z</x:v>
      </x:c>
      <x:c r="M49" s="349" t="inlineStr">
        <x:is>
          <x:t xml:space="preserve">99层基地</x:t>
        </x:is>
      </x:c>
      <x:c r="N49" s="349" t="inlineStr">
        <x:is>
          <x:t xml:space="preserve">正式美术已接入</x:t>
        </x:is>
      </x:c>
      <x:c r="O49" s="349" t="str">
        <x:v>v004；GLB无玩法碰撞；DungeonRoom3D持有12m阻挡</x:v>
      </x:c>
      <x:c r="P49" s="349" t="inlineStr">
        <x:is>
          <x:t xml:space="preserve">GLB无玩法碰撞；cast_and_receive；替换同路径GLB不改变功能。</x:t>
        </x:is>
      </x:c>
    </x:row>
    <x:row r="50">
      <x:c r="A50" s="349" t="inlineStr">
        <x:is>
          <x:t xml:space="preserve">ENV-BASE99-FLOOR-PLAIN-5M</x:t>
        </x:is>
      </x:c>
      <x:c r="B50" s="349" t="inlineStr">
        <x:is>
          <x:t xml:space="preserve">基地99层普通地板5×5米</x:t>
        </x:is>
      </x:c>
      <x:c r="C50" s="349" t="inlineStr">
        <x:is>
          <x:t xml:space="preserve">assets/art/environments/base_facility_3d/runtime/env_base99_floor_plain_5m/env_base99_floor_plain_5m_root_top3d_v001.tscn</x:t>
        </x:is>
      </x:c>
      <x:c r="D50" s="349" t="inlineStr">
        <x:is>
          <x:t xml:space="preserve">assets/art/environments/base_facility_3d/components/env_base99_floor_plain_5m/env_base99_floor_plain_5m_visual_top3d_v001.glb</x:t>
        </x:is>
      </x:c>
      <x:c r="E50" s="349" t="inlineStr">
        <x:is>
          <x:t xml:space="preserve">assets/art/environments/base_facility_3d/source/env_base99_modular_room/env_base99_modular_room_assets_clean_v001.blend</x:t>
        </x:is>
      </x:c>
      <x:c r="F50" s="349" t="inlineStr">
        <x:is>
          <x:t xml:space="preserve">仅表现；5米网格由DungeonRoom3D组合</x:t>
        </x:is>
      </x:c>
      <x:c r="G50" s="349" t="inlineStr">
        <x:is>
          <x:t xml:space="preserve">src/world3d/DungeonRoom3D.gd</x:t>
        </x:is>
      </x:c>
      <x:c r="H50" s="349" t="inlineStr">
        <x:is>
          <x:t xml:space="preserve">开</x:t>
        </x:is>
      </x:c>
      <x:c r="I50" s="349" t="inlineStr">
        <x:is>
          <x:t xml:space="preserve">外部脚本</x:t>
        </x:is>
      </x:c>
      <x:c r="J50" s="349" t="inlineStr">
        <x:is>
          <x:t xml:space="preserve">TowerFloorStage BoxShape3D</x:t>
        </x:is>
      </x:c>
      <x:c r="K50" s="349" t="inlineStr">
        <x:is>
          <x:t xml:space="preserve">5×5×0.30m；平面中心/结构底面原点</x:t>
        </x:is>
      </x:c>
      <x:c r="L50" s="349" t="inlineStr">
        <x:is>
          <x:t xml:space="preserve">bottom_center；-Z</x:t>
        </x:is>
      </x:c>
      <x:c r="M50" s="349" t="inlineStr">
        <x:is>
          <x:t xml:space="preserve">99层基地</x:t>
        </x:is>
      </x:c>
      <x:c r="N50" s="349" t="inlineStr">
        <x:is>
          <x:t xml:space="preserve">正式美术已接入</x:t>
        </x:is>
      </x:c>
      <x:c r="O50" s="349" t="inlineStr">
        <x:is>
          <x:t xml:space="preserve">v001</x:t>
        </x:is>
      </x:c>
      <x:c r="P50" s="349" t="inlineStr">
        <x:is>
          <x:t xml:space="preserve">GLB无玩法碰撞；cast_and_receive；替换同路径GLB不改变功能。</x:t>
        </x:is>
      </x:c>
    </x:row>
    <x:row r="51">
      <x:c r="A51" s="349" t="inlineStr">
        <x:is>
          <x:t xml:space="preserve">ENV-BASE99-FLOOR-RIVET-5M</x:t>
        </x:is>
      </x:c>
      <x:c r="B51" s="349" t="inlineStr">
        <x:is>
          <x:t xml:space="preserve">基地99层铆钉铁皮带地板5×5米</x:t>
        </x:is>
      </x:c>
      <x:c r="C51" s="349" t="inlineStr">
        <x:is>
          <x:t xml:space="preserve">assets/art/environments/base_facility_3d/runtime/env_base99_floor_rivet_5m/env_base99_floor_rivet_5m_root_top3d_v001.tscn</x:t>
        </x:is>
      </x:c>
      <x:c r="D51" s="349" t="inlineStr">
        <x:is>
          <x:t xml:space="preserve">assets/art/environments/base_facility_3d/components/env_base99_floor_rivet_5m/env_base99_floor_rivet_5m_visual_top3d_v001.glb</x:t>
        </x:is>
      </x:c>
      <x:c r="E51" s="349" t="inlineStr">
        <x:is>
          <x:t xml:space="preserve">assets/art/environments/base_facility_3d/source/env_base99_modular_room/env_base99_modular_room_assets_clean_v001.blend</x:t>
        </x:is>
      </x:c>
      <x:c r="F51" s="349" t="inlineStr">
        <x:is>
          <x:t xml:space="preserve">仅表现；5米网格由DungeonRoom3D组合</x:t>
        </x:is>
      </x:c>
      <x:c r="G51" s="349" t="inlineStr">
        <x:is>
          <x:t xml:space="preserve">src/world3d/DungeonRoom3D.gd</x:t>
        </x:is>
      </x:c>
      <x:c r="H51" s="349" t="inlineStr">
        <x:is>
          <x:t xml:space="preserve">开</x:t>
        </x:is>
      </x:c>
      <x:c r="I51" s="349" t="inlineStr">
        <x:is>
          <x:t xml:space="preserve">外部脚本</x:t>
        </x:is>
      </x:c>
      <x:c r="J51" s="349" t="inlineStr">
        <x:is>
          <x:t xml:space="preserve">TowerFloorStage BoxShape3D</x:t>
        </x:is>
      </x:c>
      <x:c r="K51" s="349" t="inlineStr">
        <x:is>
          <x:t xml:space="preserve">5×5×0.395m视觉外廓；0.30m结构板+0.095m装饰凸起</x:t>
        </x:is>
      </x:c>
      <x:c r="L51" s="349" t="inlineStr">
        <x:is>
          <x:t xml:space="preserve">bottom_center；-Z</x:t>
        </x:is>
      </x:c>
      <x:c r="M51" s="349" t="inlineStr">
        <x:is>
          <x:t xml:space="preserve">99层基地</x:t>
        </x:is>
      </x:c>
      <x:c r="N51" s="349" t="inlineStr">
        <x:is>
          <x:t xml:space="preserve">正式美术已接入</x:t>
        </x:is>
      </x:c>
      <x:c r="O51" s="349" t="inlineStr">
        <x:is>
          <x:t xml:space="preserve">v001</x:t>
        </x:is>
      </x:c>
      <x:c r="P51" s="349" t="inlineStr">
        <x:is>
          <x:t xml:space="preserve">GLB无玩法碰撞；cast_and_receive；替换同路径GLB不改变功能。</x:t>
        </x:is>
      </x:c>
    </x:row>
    <x:row r="52">
      <x:c r="A52" s="349" t="str">
        <x:v>ENV-BASE99-WALL-WINDOW-5X12</x:v>
      </x:c>
      <x:c r="B52" s="349" t="str">
        <x:v>基地99层带窗墙体5×12米</x:v>
      </x:c>
      <x:c r="C52" s="349" t="str">
        <x:v>assets/art/environments/base_facility_3d/runtime/env_base99_wall_window_5x12/env_base99_wall_window_5x12_root_top3d_v002.tscn</x:v>
      </x:c>
      <x:c r="D52" s="349" t="str">
        <x:v>assets/art/environments/base_facility_3d/components/env_base99_wall_window_5x12/env_base99_wall_window_5x12_visual_top3d_v002.glb</x:v>
      </x:c>
      <x:c r="E52" s="349" t="str">
        <x:v>assets/art/environments/base_facility_3d/source/wall_height12/env_base99_wall_window_5x12_source_v002.blend</x:v>
      </x:c>
      <x:c r="F52" s="349" t="inlineStr">
        <x:is>
          <x:t xml:space="preserve">100层上层围护表现；99层禁止实例化</x:t>
        </x:is>
      </x:c>
      <x:c r="G52" s="349" t="str"/>
      <x:c r="H52" s="349" t="inlineStr">
        <x:is>
          <x:t xml:space="preserve">开</x:t>
        </x:is>
      </x:c>
      <x:c r="I52" s="349" t="inlineStr">
        <x:is>
          <x:t xml:space="preserve">外部脚本</x:t>
        </x:is>
      </x:c>
      <x:c r="J52" s="349" t="inlineStr">
        <x:is>
          <x:t xml:space="preserve">上层围护独立结构碰撞</x:t>
        </x:is>
      </x:c>
      <x:c r="K52" s="349" t="str">
        <x:v>5×12m逻辑外廓；11.9m可见墙；底边中心原点</x:v>
      </x:c>
      <x:c r="L52" s="349" t="str">
        <x:v>bottom_center；-Z</x:v>
      </x:c>
      <x:c r="M52" s="349" t="inlineStr">
        <x:is>
          <x:t xml:space="preserve">100层基地</x:t>
        </x:is>
      </x:c>
      <x:c r="N52" s="349" t="inlineStr">
        <x:is>
          <x:t xml:space="preserve">正式美术已接入</x:t>
        </x:is>
      </x:c>
      <x:c r="O52" s="349" t="str">
        <x:v>v002；GLB仅表现；上层围护持有12m阻挡</x:v>
      </x:c>
      <x:c r="P52" s="349" t="inlineStr">
        <x:is>
          <x:t xml:space="preserve">GLB仅表现；cast_and_receive；99层使用数量必须为0。</x:t>
        </x:is>
      </x:c>
    </x:row>
    <x:row r="53">
      <x:c r="A53" s="349" t="inlineStr">
        <x:is>
          <x:t xml:space="preserve">ENV-BASE99-MEZZANINE-20X10-Z7</x:t>
        </x:is>
      </x:c>
      <x:c r="B53" s="349" t="inlineStr">
        <x:is>
          <x:t xml:space="preserve">基地99层7米楼中楼楼板</x:t>
        </x:is>
      </x:c>
      <x:c r="C53" s="349" t="inlineStr">
        <x:is>
          <x:t xml:space="preserve">assets/art/environments/base_facility_3d/runtime/env_base99_mezzanine_20x10_z7/env_base99_mezzanine_20x10_z7_root_top3d_v001.tscn</x:t>
        </x:is>
      </x:c>
      <x:c r="D53" s="349" t="inlineStr">
        <x:is>
          <x:t xml:space="preserve">assets/art/environments/base_facility_3d/components/env_base99_mezzanine_20x10_z7/env_base99_mezzanine_20x10_z7_visual_top3d_v001.glb</x:t>
        </x:is>
      </x:c>
      <x:c r="E53" s="349" t="inlineStr">
        <x:is>
          <x:t xml:space="preserve">assets/art/environments/base_facility_3d/source/env_base99_modular_room/env_base99_modular_room_assets_clean_v001.blend</x:t>
        </x:is>
      </x:c>
      <x:c r="F53" s="349" t="inlineStr">
        <x:is>
          <x:t xml:space="preserve">可编辑可行走结构；含底部摄像机净空语义</x:t>
        </x:is>
      </x:c>
      <x:c r="G53" s="349" t="inlineStr">
        <x:is>
          <x:t xml:space="preserve">src/world3d/Base99WalkableModule3D.gd</x:t>
        </x:is>
      </x:c>
      <x:c r="H53" s="349" t="inlineStr">
        <x:is>
          <x:t xml:space="preserve">开</x:t>
        </x:is>
      </x:c>
      <x:c r="I53" s="349" t="inlineStr">
        <x:is>
          <x:t xml:space="preserve">Prefab脚本</x:t>
        </x:is>
      </x:c>
      <x:c r="J53" s="349" t="inlineStr">
        <x:is>
          <x:t xml:space="preserve">简化Box楼板面 + camera_stair_slab</x:t>
        </x:is>
      </x:c>
      <x:c r="K53" s="349" t="inlineStr">
        <x:is>
          <x:t xml:space="preserve">约20.25×10.25m外廓；完成面7m；底部中心原点</x:t>
        </x:is>
      </x:c>
      <x:c r="L53" s="349" t="inlineStr">
        <x:is>
          <x:t xml:space="preserve">bottom_center；-Z</x:t>
        </x:is>
      </x:c>
      <x:c r="M53" s="349" t="inlineStr">
        <x:is>
          <x:t xml:space="preserve">99层基地</x:t>
        </x:is>
      </x:c>
      <x:c r="N53" s="349" t="inlineStr">
        <x:is>
          <x:t xml:space="preserve">正式美术已接入</x:t>
        </x:is>
      </x:c>
      <x:c r="O53" s="349" t="inlineStr">
        <x:is>
          <x:t xml:space="preserve">v001</x:t>
        </x:is>
      </x:c>
      <x:c r="P53" s="349" t="inlineStr">
        <x:is>
          <x:t xml:space="preserve">在基地布局tscn直接移动；模型、碰撞和摄像机语义随实例同步。</x:t>
        </x:is>
      </x:c>
    </x:row>
    <x:row r="54">
      <x:c r="A54" s="349" t="inlineStr">
        <x:is>
          <x:t xml:space="preserve">ENV-BASE99-STAIR-L-Z7</x:t>
        </x:is>
      </x:c>
      <x:c r="B54" s="349" t="inlineStr">
        <x:is>
          <x:t xml:space="preserve">基地99层7米L型楼梯</x:t>
        </x:is>
      </x:c>
      <x:c r="C54" s="349" t="inlineStr">
        <x:is>
          <x:t xml:space="preserve">assets/art/environments/base_facility_3d/runtime/env_base99_stair_l_z7/env_base99_stair_l_z7_root_top3d_v001.tscn</x:t>
        </x:is>
      </x:c>
      <x:c r="D54" s="349" t="inlineStr">
        <x:is>
          <x:t xml:space="preserve">assets/art/environments/base_facility_3d/components/env_base99_stair_l_z7/env_base99_stair_l_z7_visual_top3d_v001.glb</x:t>
        </x:is>
      </x:c>
      <x:c r="E54" s="349" t="inlineStr">
        <x:is>
          <x:t xml:space="preserve">assets/art/environments/base_facility_3d/source/env_base99_modular_room/env_base99_modular_room_assets_clean_v001.blend</x:t>
        </x:is>
      </x:c>
      <x:c r="F54" s="349" t="inlineStr">
        <x:is>
          <x:t xml:space="preserve">可编辑可行走结构；含底部摄像机净空语义</x:t>
        </x:is>
      </x:c>
      <x:c r="G54" s="349" t="inlineStr">
        <x:is>
          <x:t xml:space="preserve">src/world3d/Base99WalkableModule3D.gd</x:t>
        </x:is>
      </x:c>
      <x:c r="H54" s="349" t="inlineStr">
        <x:is>
          <x:t xml:space="preserve">开</x:t>
        </x:is>
      </x:c>
      <x:c r="I54" s="349" t="inlineStr">
        <x:is>
          <x:t xml:space="preserve">Prefab脚本</x:t>
        </x:is>
      </x:c>
      <x:c r="J54" s="349" t="inlineStr">
        <x:is>
          <x:t xml:space="preserve">两段Box斜坡+转角平台 + camera_stair_slab</x:t>
        </x:is>
      </x:c>
      <x:c r="K54" s="349" t="inlineStr">
        <x:is>
          <x:t xml:space="preserve">约9.22×10.54×7.94m外廓；一楼至7m楼板</x:t>
        </x:is>
      </x:c>
      <x:c r="L54" s="349" t="inlineStr">
        <x:is>
          <x:t xml:space="preserve">bottom_center；-Z</x:t>
        </x:is>
      </x:c>
      <x:c r="M54" s="349" t="inlineStr">
        <x:is>
          <x:t xml:space="preserve">99层基地</x:t>
        </x:is>
      </x:c>
      <x:c r="N54" s="349" t="inlineStr">
        <x:is>
          <x:t xml:space="preserve">正式美术已接入</x:t>
        </x:is>
      </x:c>
      <x:c r="O54" s="349" t="inlineStr">
        <x:is>
          <x:t xml:space="preserve">v001</x:t>
        </x:is>
      </x:c>
      <x:c r="P54" s="349" t="inlineStr">
        <x:is>
          <x:t xml:space="preserve">不使用踏步Trimesh；坡面低于角色44度上限；位置由布局tscn管理。</x:t>
        </x:is>
      </x:c>
    </x:row>
    <x:row r="55">
      <x:c r="A55" s="349" t="inlineStr">
        <x:is>
          <x:t xml:space="preserve">ENV-BASE99-STAIR-EXTERIOR-H2</x:t>
        </x:is>
      </x:c>
      <x:c r="B55" s="349" t="inlineStr">
        <x:is>
          <x:t xml:space="preserve">基地99层二楼外门2米小楼梯</x:t>
        </x:is>
      </x:c>
      <x:c r="C55" s="349" t="inlineStr">
        <x:is>
          <x:t xml:space="preserve">assets/art/environments/base_facility_3d/runtime/env_base99_stair_exterior_h2/env_base99_stair_exterior_h2_root_top3d_v001.tscn</x:t>
        </x:is>
      </x:c>
      <x:c r="D55" s="349" t="inlineStr">
        <x:is>
          <x:t xml:space="preserve">assets/art/environments/base_facility_3d/components/env_base99_stair_exterior_h2/env_base99_stair_exterior_h2_visual_top3d_v001.glb</x:t>
        </x:is>
      </x:c>
      <x:c r="E55" s="349" t="inlineStr">
        <x:is>
          <x:t xml:space="preserve">assets/art/environments/base_facility_3d/source/env_base99_modular_room/env_base99_modular_room_assets_clean_v001.blend</x:t>
        </x:is>
      </x:c>
      <x:c r="F55" s="349" t="inlineStr">
        <x:is>
          <x:t xml:space="preserve">可编辑可行走结构；含底部摄像机净空语义</x:t>
        </x:is>
      </x:c>
      <x:c r="G55" s="349" t="inlineStr">
        <x:is>
          <x:t xml:space="preserve">src/world3d/Base99WalkableModule3D.gd</x:t>
        </x:is>
      </x:c>
      <x:c r="H55" s="349" t="inlineStr">
        <x:is>
          <x:t xml:space="preserve">开</x:t>
        </x:is>
      </x:c>
      <x:c r="I55" s="349" t="inlineStr">
        <x:is>
          <x:t xml:space="preserve">Prefab脚本</x:t>
        </x:is>
      </x:c>
      <x:c r="J55" s="349" t="inlineStr">
        <x:is>
          <x:t xml:space="preserve">简化Box斜坡 + camera_stair_slab</x:t>
        </x:is>
      </x:c>
      <x:c r="K55" s="349" t="inlineStr">
        <x:is>
          <x:t xml:space="preserve">4.515×2.80×2.00m；7m楼板至9m外门门槛</x:t>
        </x:is>
      </x:c>
      <x:c r="L55" s="349" t="inlineStr">
        <x:is>
          <x:t xml:space="preserve">bottom_center；-Z</x:t>
        </x:is>
      </x:c>
      <x:c r="M55" s="349" t="inlineStr">
        <x:is>
          <x:t xml:space="preserve">99层基地</x:t>
        </x:is>
      </x:c>
      <x:c r="N55" s="349" t="inlineStr">
        <x:is>
          <x:t xml:space="preserve">正式美术已接入</x:t>
        </x:is>
      </x:c>
      <x:c r="O55" s="349" t="inlineStr">
        <x:is>
          <x:t xml:space="preserve">v001</x:t>
        </x:is>
      </x:c>
      <x:c r="P55" s="349" t="inlineStr">
        <x:is>
          <x:t xml:space="preserve">不使用踏步Trimesh；位置和旋转由布局tscn管理。</x:t>
        </x:is>
      </x:c>
    </x:row>
    <x:row r="56">
      <x:c r="A56" t="inlineStr">
        <x:is>
          <x:t xml:space="preserve">ENV-BASE100-UPPER-SHELL-30X30-H9</x:t>
        </x:is>
      </x:c>
      <x:c r="B56" t="inlineStr">
        <x:is>
          <x:t xml:space="preserve">基地100层上层围护与18米封顶</x:t>
        </x:is>
      </x:c>
      <x:c r="C56" t="inlineStr">
        <x:is>
          <x:t xml:space="preserve">assets/art/environments/base_facility_3d/runtime/env_base100_upper_shell_30x30_h9/env_base100_upper_shell_30x30_h9_root_top3d_v001.tscn</x:t>
        </x:is>
      </x:c>
      <x:c r="E56" t="inlineStr">
        <x:is>
          <x:t xml:space="preserve">assets/art/environments/base_facility_3d/source/env_base99_modular_room/env_base99_modular_room_source_v001.blend</x:t>
        </x:is>
      </x:c>
      <x:c r="F56" t="inlineStr">
        <x:is>
          <x:t xml:space="preserve">可编辑组合Prefab；24块围护墙与36块封顶模块；统一挡光并投影</x:t>
        </x:is>
      </x:c>
      <x:c r="G56" t="inlineStr">
        <x:is>
          <x:t xml:space="preserve">src/world3d/Base100UpperShell3D.gd</x:t>
        </x:is>
      </x:c>
      <x:c r="H56" t="inlineStr">
        <x:is>
          <x:t xml:space="preserve">开</x:t>
        </x:is>
      </x:c>
      <x:c r="I56" t="inlineStr">
        <x:is>
          <x:t xml:space="preserve">Prefab脚本</x:t>
        </x:is>
      </x:c>
      <x:c r="J56" t="inlineStr">
        <x:is>
          <x:t xml:space="preserve">9个BoxShape3D（连续墙/东侧门洞框/屋顶）</x:t>
        </x:is>
      </x:c>
      <x:c r="K56" t="inlineStr">
        <x:is>
          <x:t xml:space="preserve">30×30×9m上层围护；墙底9m；屋顶底18m；东门洞2.2×2.5m</x:t>
        </x:is>
      </x:c>
      <x:c r="L56" t="inlineStr">
        <x:is>
          <x:t xml:space="preserve">room_center；local -Z为北；根缩放1</x:t>
        </x:is>
      </x:c>
      <x:c r="M56" t="inlineStr">
        <x:is>
          <x:t xml:space="preserve">基地100层及18米屋顶</x:t>
        </x:is>
      </x:c>
      <x:c r="N56" t="inlineStr">
        <x:is>
          <x:t xml:space="preserve">正式美术已接入</x:t>
        </x:is>
      </x:c>
      <x:c r="O56" t="inlineStr">
        <x:is>
          <x:t xml:space="preserve">v001</x:t>
        </x:is>
      </x:c>
      <x:c r="P56" t="inlineStr">
        <x:is>
          <x:t xml:space="preserve">子Prefab=60；北墙两端普通+中间4窗；其余19普通墙，东侧1门墙；复用现有墙/地板资产，cast_and_receive；18米屋顶阻挡室外光；不恢复99/100层中间36块。</x:t>
        </x:is>
      </x:c>
    </x:row>
    <x:row r="57" ht="78" customHeight="1">
      <x:c r="A57" s="349" t="inlineStr">
        <x:is>
          <x:t xml:space="preserve">ENV-BASE99-MEZZANINE-20X10-Z5</x:t>
        </x:is>
      </x:c>
      <x:c r="B57" s="349" t="inlineStr">
        <x:is>
          <x:t xml:space="preserve">基地99层5米楼中楼结构与护栏（复用V020二层地板）</x:t>
        </x:is>
      </x:c>
      <x:c r="C57" s="349" t="inlineStr">
        <x:is>
          <x:t xml:space="preserve">assets/art/environments/base_facility_3d/runtime/env_base99_mezzanine_20x10_z5/env_base99_mezzanine_20x10_z5_root_top3d_v004.tscn</x:t>
        </x:is>
      </x:c>
      <x:c r="D57" s="349" t="inlineStr">
        <x:is>
          <x:t xml:space="preserve">assets/art/environments/base_facility_3d/components/env_base99_mezzanine_20x10_z5/env_base99_mezzanine_20x10_z5_visual_top3d_v004.glb</x:t>
        </x:is>
      </x:c>
      <x:c r="E57" s="349" t="inlineStr">
        <x:is>
          <x:t xml:space="preserve">assets/art/environments/base_facility_3d/source/env_base99_modular_room/env_base99_modular_room_assets_clean_v006.blend（v006；资产v004）</x:t>
        </x:is>
      </x:c>
      <x:c r="F57" s="349" t="inlineStr">
        <x:is>
          <x:t xml:space="preserve">5米承重平台与连续栏杆；移除9个旧地砖/甲板网格，二层表现复用V020地板；真实投影</x:t>
        </x:is>
      </x:c>
      <x:c r="G57" s="349" t="inlineStr">
        <x:is>
          <x:t xml:space="preserve">src/world3d/Base99WalkableModule3D.gd</x:t>
        </x:is>
      </x:c>
      <x:c r="H57" s="349" t="inlineStr">
        <x:is>
          <x:t xml:space="preserve">开</x:t>
        </x:is>
      </x:c>
      <x:c r="I57" s="349" t="inlineStr">
        <x:is>
          <x:t xml:space="preserve">Prefab自身</x:t>
        </x:is>
      </x:c>
      <x:c r="J57" s="349" t="inlineStr">
        <x:is>
          <x:t xml:space="preserve">连续Box楼板+独立栏杆Box；西侧入口为L梯留空</x:t>
        </x:is>
      </x:c>
      <x:c r="K57" s="349" t="inlineStr">
        <x:is>
          <x:t xml:space="preserve">20.2475×10.2475×5.93m；台面5m；552三角面</x:t>
        </x:is>
      </x:c>
      <x:c r="L57" s="349" t="inlineStr">
        <x:is>
          <x:t xml:space="preserve">底面中心；Blender -Y / Godot -Z</x:t>
        </x:is>
      </x:c>
      <x:c r="M57" s="349" t="inlineStr">
        <x:is>
          <x:t xml:space="preserve">99层基地楼中楼</x:t>
        </x:is>
      </x:c>
      <x:c r="N57" s="349" t="inlineStr">
        <x:is>
          <x:t xml:space="preserve">正式美术已接入；优化完成</x:t>
        </x:is>
      </x:c>
      <x:c r="O57" s="349" t="inlineStr">
        <x:is>
          <x:t xml:space="preserve">已完成，未接入</x:t>
        </x:is>
      </x:c>
      <x:c r="P57" s="349" t="inlineStr">
        <x:is>
          <x:t xml:space="preserve">Blender母版v005；660/660面PaletteUV有效；边缘共面数0；视觉/碰撞/功能分离。2026-09-04：旧阁楼架实例从基地布局撤下，资产文件保留回滚。</x:t>
        </x:is>
      </x:c>
    </x:row>
    <x:row r="58" ht="78" customHeight="1">
      <x:c r="A58" s="349" t="inlineStr">
        <x:is>
          <x:t xml:space="preserve">ENV-BASE99-STAIR-L-Z5</x:t>
        </x:is>
      </x:c>
      <x:c r="B58" s="349" t="inlineStr">
        <x:is>
          <x:t xml:space="preserve">基地99层5米L型楼梯</x:t>
        </x:is>
      </x:c>
      <x:c r="C58" s="349" t="inlineStr">
        <x:is>
          <x:t xml:space="preserve">assets/art/environments/base_facility_3d/runtime/env_base99_stair_l_z5/env_base99_stair_l_z5_root_top3d_v004.tscn</x:t>
        </x:is>
      </x:c>
      <x:c r="D58" s="349" t="inlineStr">
        <x:is>
          <x:t xml:space="preserve">assets/art/environments/base_facility_3d/components/env_base99_stair_l_z5/env_base99_stair_l_z5_visual_top3d_v004.glb</x:t>
        </x:is>
      </x:c>
      <x:c r="E58" s="349" t="inlineStr">
        <x:is>
          <x:t xml:space="preserve">assets/art/environments/base_facility_3d/source/env_base99_modular_room/env_base99_modular_room_assets_clean_v004.blend</x:t>
        </x:is>
      </x:c>
      <x:c r="F58" s="349" t="inlineStr">
        <x:is>
          <x:t xml:space="preserve">0→2.5→5米完整双跑L梯；转角扶手收口；真实投影与阻挡</x:t>
        </x:is>
      </x:c>
      <x:c r="G58" s="349" t="inlineStr">
        <x:is>
          <x:t xml:space="preserve">src/world3d/Base99WalkableModule3D.gd</x:t>
        </x:is>
      </x:c>
      <x:c r="H58" s="349" t="inlineStr">
        <x:is>
          <x:t xml:space="preserve">开</x:t>
        </x:is>
      </x:c>
      <x:c r="I58" s="349" t="inlineStr">
        <x:is>
          <x:t xml:space="preserve">Prefab自身</x:t>
        </x:is>
      </x:c>
      <x:c r="J58" s="349" t="inlineStr">
        <x:is>
          <x:t xml:space="preserve">单一StaticBody：斜坡+平台+斜坡；独立连续扶手Box</x:t>
        </x:is>
      </x:c>
      <x:c r="K58" s="349" t="inlineStr">
        <x:is>
          <x:t xml:space="preserve">9.2176×10.538×5.91015m；终点5m</x:t>
        </x:is>
      </x:c>
      <x:c r="L58" s="349" t="inlineStr">
        <x:is>
          <x:t xml:space="preserve">底面中心；Blender -Y / Godot -Z</x:t>
        </x:is>
      </x:c>
      <x:c r="M58" s="349" t="inlineStr">
        <x:is>
          <x:t xml:space="preserve">99层基地一楼至楼中楼</x:t>
        </x:is>
      </x:c>
      <x:c r="N58" s="349" t="inlineStr">
        <x:is>
          <x:t xml:space="preserve">正式美术已接入；沿用已验收V004</x:t>
        </x:is>
      </x:c>
      <x:c r="O58" s="349" t="inlineStr">
        <x:is>
          <x:t xml:space="preserve">已完成，未接入</x:t>
        </x:is>
      </x:c>
      <x:c r="P58" s="349" t="inlineStr">
        <x:is>
          <x:t xml:space="preserve">由91个可编辑源组件重建；踏步/斜梁/平台/导光条齐全；转角扶手不穿插；三段行走形状接缝齐平并重叠0.04m。2026-09-04：旧L型楼梯实例从基地布局撤下，资产文件保留回滚。</x:t>
        </x:is>
      </x:c>
    </x:row>
    <x:row r="59" ht="78" customHeight="1">
      <x:c r="A59" s="349" t="inlineStr">
        <x:is>
          <x:t xml:space="preserve">ENV-BASE99-STAIR-EXTERIOR-H4</x:t>
        </x:is>
      </x:c>
      <x:c r="B59" s="349" t="inlineStr">
        <x:is>
          <x:t xml:space="preserve">基地99至100层4米外门楼梯</x:t>
        </x:is>
      </x:c>
      <x:c r="C59" s="349" t="inlineStr">
        <x:is>
          <x:t xml:space="preserve">assets/art/environments/base_facility_3d/runtime/env_base99_stair_exterior_h4/env_base99_stair_exterior_h4_root_top3d_v002.tscn</x:t>
        </x:is>
      </x:c>
      <x:c r="D59" s="349" t="inlineStr">
        <x:is>
          <x:t xml:space="preserve">assets/art/environments/base_facility_3d/components/env_base99_stair_exterior_h4/env_base99_stair_exterior_h4_visual_top3d_v002.glb</x:t>
        </x:is>
      </x:c>
      <x:c r="E59" s="349" t="inlineStr">
        <x:is>
          <x:t xml:space="preserve">assets/art/environments/base_facility_3d/source/env_base99_modular_room/env_base99_modular_room_assets_clean_v002.blend</x:t>
        </x:is>
      </x:c>
      <x:c r="F59" s="349" t="inlineStr">
        <x:is>
          <x:t xml:space="preserve">平台5米至100层9米；两段原生楼梯组合；真实投影</x:t>
        </x:is>
      </x:c>
      <x:c r="G59" s="349" t="inlineStr">
        <x:is>
          <x:t xml:space="preserve">src/world3d/Base99WalkableModule3D.gd</x:t>
        </x:is>
      </x:c>
      <x:c r="H59" s="349" t="inlineStr">
        <x:is>
          <x:t xml:space="preserve">开</x:t>
        </x:is>
      </x:c>
      <x:c r="I59" s="349" t="inlineStr">
        <x:is>
          <x:t xml:space="preserve">Prefab自身</x:t>
        </x:is>
      </x:c>
      <x:c r="J59" s="349" t="inlineStr">
        <x:is>
          <x:t xml:space="preserve">覆盖8.515米包络的连续斜坡+双侧护栏</x:t>
        </x:is>
      </x:c>
      <x:c r="K59" s="349" t="inlineStr">
        <x:is>
          <x:t xml:space="preserve">8.515×2.8×4m；高差4m</x:t>
        </x:is>
      </x:c>
      <x:c r="L59" s="349" t="inlineStr">
        <x:is>
          <x:t xml:space="preserve">底面中心；Blender -Y / Godot -Z</x:t>
        </x:is>
      </x:c>
      <x:c r="M59" s="349" t="inlineStr">
        <x:is>
          <x:t xml:space="preserve">基地楼中楼至100层出口</x:t>
        </x:is>
      </x:c>
      <x:c r="N59" s="349" t="inlineStr">
        <x:is>
          <x:t xml:space="preserve">正式美术已接入</x:t>
        </x:is>
      </x:c>
      <x:c r="O59" s="349" t="inlineStr">
        <x:is>
          <x:t xml:space="preserve">v002</x:t>
        </x:is>
      </x:c>
      <x:c r="P59" s="349" t="inlineStr">
        <x:is>
          <x:t xml:space="preserve">不做纵向拉伸；替代H2版本</x:t>
        </x:is>
      </x:c>
    </x:row>
    <x:row r="60">
      <x:c r="A60" t="inlineStr">
        <x:is>
          <x:t xml:space="preserve">ENV-BASE99-MEZZANINE-UNDERDECK-BLOCKER</x:t>
        </x:is>
      </x:c>
      <x:c r="B60" t="inlineStr">
        <x:is>
          <x:t xml:space="preserve">基地99层楼中楼下方工业仓库横向门板</x:t>
        </x:is>
      </x:c>
      <x:c r="C60" t="inlineStr">
        <x:is>
          <x:t xml:space="preserve">assets/art/environments/base_facility_3d/runtime/env_base99_mezzanine_underdeck_blocker/env_base99_mezzanine_underdeck_blocker_root_top3d_v003.tscn</x:t>
        </x:is>
      </x:c>
      <x:c r="D60" t="inlineStr">
        <x:is>
          <x:t xml:space="preserve">assets/art/environments/base_facility_3d/components/env_base99_mezzanine_underdeck_blocker/env_base99_mezzanine_underdeck_blocker_visual_top3d_v003.glb</x:t>
        </x:is>
      </x:c>
      <x:c r="E60" t="inlineStr">
        <x:is>
          <x:t xml:space="preserve">assets/art/environments/base_facility_3d/source/env_base99_mezzanine_underdeck_blocker/env_base99_mezzanine_underdeck_blocker_source_v003.blend</x:t>
        </x:is>
      </x:c>
      <x:c r="F60" t="inlineStr">
        <x:is>
          <x:t xml:space="preserve">三面冷灰横向门板；0.55米内收；显式永久阻挡；真实投影</x:t>
        </x:is>
      </x:c>
      <x:c r="G60" t="inlineStr">
        <x:is>
          <x:t xml:space="preserve">src/world3d/Base99MezzanineUnderdeckBlocker3D.gd</x:t>
        </x:is>
      </x:c>
      <x:c r="H60" t="inlineStr">
        <x:is>
          <x:t xml:space="preserve">开</x:t>
        </x:is>
      </x:c>
      <x:c r="I60" t="inlineStr">
        <x:is>
          <x:t xml:space="preserve">Prefab自身</x:t>
        </x:is>
      </x:c>
      <x:c r="J60" t="inlineStr">
        <x:is>
          <x:t xml:space="preserve">南/西/东三块与模型对齐的BoxShape3D；process always</x:t>
        </x:is>
      </x:c>
      <x:c r="K60" t="inlineStr">
        <x:is>
          <x:t xml:space="preserve">19.31×9.11×4.65m视觉；碰撞顶4.95m</x:t>
        </x:is>
      </x:c>
      <x:c r="L60" t="inlineStr">
        <x:is>
          <x:t xml:space="preserve">底面中心；Blender -Y / Godot -Z</x:t>
        </x:is>
      </x:c>
      <x:c r="M60" t="inlineStr">
        <x:is>
          <x:t xml:space="preserve">99层基地楼中楼下方</x:t>
        </x:is>
      </x:c>
      <x:c r="N60" t="inlineStr">
        <x:is>
          <x:t xml:space="preserve">未在正式基地布局实例化（保留回滚）</x:t>
        </x:is>
      </x:c>
      <x:c r="O60" t="inlineStr">
        <x:is>
          <x:t xml:space="preserve">已完成，未接入</x:t>
        </x:is>
      </x:c>
      <x:c r="P60" t="inlineStr">
        <x:is>
          <x:t xml:space="preserve">Blender源文件重导；六条高低位物理射线命中；北侧由基地外墙封闭；v002保留回滚。2026-09-04：下方工业铁门实例及其永久碰撞从基地布局撤下，资产文件保留回滚。</x:t>
        </x:is>
      </x:c>
    </x:row>
    <x:row r="61">
      <x:c r="A61" t="inlineStr">
        <x:is>
          <x:t xml:space="preserve">ENV-ROOFTOP-SHELTER-90X80</x:t>
        </x:is>
      </x:c>
      <x:c r="B61" t="str">
        <x:v>天台区美术</x:v>
      </x:c>
      <x:c r="C61" t="str">
        <x:v>assets/art/environments/tower_zones/rooftop/runtime/zone_rooftop_v021.tscn</x:v>
      </x:c>
      <x:c r="D61" t="str">
        <x:v>assets/art/environments/rooftop_shelter_3d/runtime/env_rooftop_shelter_90x80m_facilities_v021.glb</x:v>
      </x:c>
      <x:c r="E61" t="str">
        <x:v>assets/art/environments/rooftop_shelter_3d/source/env_rooftop_shelter_90x80m_top3d_v021.blend</x:v>
      </x:c>
      <x:c r="F61" t="str">
        <x:v>Blocks/Rooftop区块入口；facilities_only；原生地板与围护保持</x:v>
      </x:c>
      <x:c r="G61" t="inlineStr">
        <x:is>
          <x:t xml:space="preserve">src/world3d/TowerFloorStage3D.gd</x:t>
        </x:is>
      </x:c>
      <x:c r="H61" t="inlineStr">
        <x:is>
          <x:t xml:space="preserve">开</x:t>
        </x:is>
      </x:c>
      <x:c r="I61" t="inlineStr">
        <x:is>
          <x:t xml:space="preserve">Prefab自身 + TowerFloorStage3D</x:t>
        </x:is>
      </x:c>
      <x:c r="J61" t="inlineStr">
        <x:is>
          <x:t xml:space="preserve">39个组件级StaticBody3D / 82个Box或Cylinder细分形状；视觉与碰撞随组件共同移动</x:t>
        </x:is>
      </x:c>
      <x:c r="K61" t="inlineStr">
        <x:is>
          <x:t xml:space="preserve">68个设施组件；布局根Y=-0.34；黄色门前通道零阻挡；Godot原生地砖/围栏/门洞保持</x:t>
        </x:is>
      </x:c>
      <x:c r="L61" t="inlineStr">
        <x:is>
          <x:t xml:space="preserve">世界矩形参照(-50,-35,90,80)；Godot根缩放1；原生地面Y=0</x:t>
        </x:is>
      </x:c>
      <x:c r="M61" t="str">
        <x:v>Blocks/Rooftop；100F</x:v>
      </x:c>
      <x:c r="N61" t="str">
        <x:v>正式美术已接入</x:v>
      </x:c>
      <x:c r="O61" t="str">
        <x:v>v021</x:v>
      </x:c>
      <x:c r="P61" t="str">
        <x:v>根节点=Art(Node3D)；Godot短名、v021 Blender源和既有GLB可直接追溯；本轮未重新导入。</x:v>
      </x:c>
    </x:row>
    <x:row r="62">
      <x:c r="A62" t="inlineStr">
        <x:is>
          <x:t xml:space="preserve">ENV-BASE99-FLOOR-DETAILS-V017</x:t>
        </x:is>
      </x:c>
      <x:c r="B62" t="inlineStr">
        <x:is>
          <x:t xml:space="preserve">基地99层完整地板替换 V021</x:t>
        </x:is>
      </x:c>
      <x:c r="C62" t="inlineStr">
        <x:is>
          <x:t xml:space="preserve">assets/art/environments/base_facility_3d/runtime/env_base99_floor_full_replacement_v021/env_base99_floor_full_replacement_v021_root_top3d_v003.tscn</x:t>
        </x:is>
      </x:c>
      <x:c r="D62" t="inlineStr">
        <x:is>
          <x:t xml:space="preserve">assets/art/environments/base_facility_3d/components/env_base99_floor_full_replacement_v021/env_base99_floor_full_replacement_v021_visual_top3d_v003.glb</x:t>
        </x:is>
      </x:c>
      <x:c r="E62" t="inlineStr">
        <x:is>
          <x:t xml:space="preserve">source/art/blender/base_facility_layout/base_facility_runtime_layout_hq_v020.blend（v020）</x:t>
        </x:is>
      </x:c>
      <x:c r="F62" t="inlineStr">
        <x:is>
          <x:t xml:space="preserve">完整36块新地板表现替换旧普通/铆钉MultiMesh；FloorSupport承重规格不变。</x:t>
        </x:is>
      </x:c>
      <x:c r="G62" t="inlineStr">
        <x:is>
          <x:t xml:space="preserve">src/world3d/DungeonRoom3D.gd</x:t>
        </x:is>
      </x:c>
      <x:c r="H62" t="inlineStr">
        <x:is>
          <x:t xml:space="preserve">无</x:t>
        </x:is>
      </x:c>
      <x:c r="I62" t="inlineStr">
        <x:is>
          <x:t xml:space="preserve">TowerFloorStage3D</x:t>
        </x:is>
      </x:c>
      <x:c r="J62" t="inlineStr">
        <x:is>
          <x:t xml:space="preserve">无；仅视觉</x:t>
        </x:is>
      </x:c>
      <x:c r="K62" t="inlineStr">
        <x:is>
          <x:t xml:space="preserve">30×30m；6×6×5m；2网格；4材质表面；498,920三角面；无内置碰撞</x:t>
        </x:is>
      </x:c>
      <x:c r="L62" t="inlineStr">
        <x:is>
          <x:t xml:space="preserve">layout_origin；Blender +Y北 / Godot -Z北；根Y=0</x:t>
        </x:is>
      </x:c>
      <x:c r="M62" t="inlineStr">
        <x:is>
          <x:t xml:space="preserve">99层基地一层</x:t>
        </x:is>
      </x:c>
      <x:c r="N62" t="inlineStr">
        <x:is>
          <x:t xml:space="preserve">正式美术已接入</x:t>
        </x:is>
      </x:c>
      <x:c r="O62" t="inlineStr">
        <x:is>
          <x:t xml:space="preserve">v003</x:t>
        </x:is>
      </x:c>
      <x:c r="P62" t="inlineStr">
        <x:is>
          <x:t xml:space="preserve"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x:t>
        </x:is>
      </x:c>
    </x:row>
    <x:row r="63">
      <x:c r="A63" t="inlineStr">
        <x:is>
          <x:t xml:space="preserve">ENV-BASE99-LOFT-FLOOR-FINISH-V017</x:t>
        </x:is>
      </x:c>
      <x:c r="B63" t="inlineStr">
        <x:is>
          <x:t xml:space="preserve">基地99层二层地板面层 V020</x:t>
        </x:is>
      </x:c>
      <x:c r="C63" t="inlineStr">
        <x:is>
          <x:t xml:space="preserve">assets/art/environments/base_facility_3d/runtime/env_base99_loft_floor_finish_v020/env_base99_loft_floor_finish_v020_root_top3d_v002.tscn</x:t>
        </x:is>
      </x:c>
      <x:c r="D63" t="inlineStr">
        <x:is>
          <x:t xml:space="preserve">assets/art/environments/base_facility_3d/components/env_base99_loft_floor_finish_v020/env_base99_loft_floor_finish_v020_visual_top3d_v002.glb</x:t>
        </x:is>
      </x:c>
      <x:c r="E63" t="inlineStr">
        <x:is>
          <x:t xml:space="preserve">source/art/blender/base_facility_layout/base_facility_runtime_layout_hq_v020.blend（v020）</x:t>
        </x:is>
      </x:c>
      <x:c r="F63" t="inlineStr">
        <x:is>
          <x:t xml:space="preserve">仅表现；Blender V020新增二楼地板面层保持不动，并作为V004阁楼结构唯一甲板表现。</x:t>
        </x:is>
      </x:c>
      <x:c r="G63" t="inlineStr">
        <x:is>
          <x:t xml:space="preserve">src/world3d/DungeonRoom3D.gd</x:t>
        </x:is>
      </x:c>
      <x:c r="H63" t="inlineStr">
        <x:is>
          <x:t xml:space="preserve">无</x:t>
        </x:is>
      </x:c>
      <x:c r="I63" t="inlineStr">
        <x:is>
          <x:t xml:space="preserve">无；仅视觉</x:t>
        </x:is>
      </x:c>
      <x:c r="J63" t="inlineStr">
        <x:is>
          <x:t xml:space="preserve">无；仅视觉</x:t>
        </x:is>
      </x:c>
      <x:c r="K63" t="inlineStr">
        <x:is>
          <x:t xml:space="preserve">19.6×9.6×0.108m；1网格；2材质表面；206三角面；无内置碰撞</x:t>
        </x:is>
      </x:c>
      <x:c r="L63" t="inlineStr">
        <x:is>
          <x:t xml:space="preserve">layout_origin；装配层Y=-1m，将Blender Z=6对齐Godot Y=5</x:t>
        </x:is>
      </x:c>
      <x:c r="M63" t="inlineStr">
        <x:is>
          <x:t xml:space="preserve">99层基地北侧20×10米楼中楼</x:t>
        </x:is>
      </x:c>
      <x:c r="N63" t="inlineStr">
        <x:is>
          <x:t xml:space="preserve">正式美术已接入</x:t>
        </x:is>
      </x:c>
      <x:c r="O63" t="inlineStr">
        <x:is>
          <x:t xml:space="preserve">v002</x:t>
        </x:is>
      </x:c>
      <x:c r="P63" t="inlineStr">
        <x:is>
          <x:t xml:space="preserve">Blender源文件=base_facility_runtime_layout_hq_v020.blend；Blender版本=v020；二楼新增地板保持不动，不新增碰撞；共面重叠0、朝下三角面0；tests/verification/verify_base99_floor_visuals_v021.tscn通过。</x:t>
        </x:is>
      </x:c>
    </x:row>
    <x:row r="64">
      <x:c r="A64" t="inlineStr">
        <x:is>
          <x:t xml:space="preserve">ENV-BASE99-FLOOR-VISUAL-LAYOUT-V017</x:t>
        </x:is>
      </x:c>
      <x:c r="B64" t="inlineStr">
        <x:is>
          <x:t xml:space="preserve">基地99层完整地板表现装配 V021</x:t>
        </x:is>
      </x:c>
      <x:c r="C64" t="inlineStr">
        <x:is>
          <x:t xml:space="preserve">assets/art/environments/base_facility_3d/runtime/env_base99_floor_visuals_v021/env_base99_floor_visuals_root_top3d_v003.tscn</x:t>
        </x:is>
      </x:c>
      <x:c r="E64" t="inlineStr">
        <x:is>
          <x:t xml:space="preserve">source/art/blender/base_facility_layout/base_facility_runtime_layout_hq_v020.blend（v020）</x:t>
        </x:is>
      </x:c>
      <x:c r="F64" t="inlineStr">
        <x:is>
          <x:t xml:space="preserve">完整一层新地板、V020二层面层、V004阁楼/楼梯与V021非门墙面内容的运行时装配；由基地美术布局直接实例化。</x:t>
        </x:is>
      </x:c>
      <x:c r="G64" t="inlineStr">
        <x:is>
          <x:t xml:space="preserve">src/world3d/DungeonRoom3D.gd</x:t>
        </x:is>
      </x:c>
      <x:c r="H64" t="inlineStr">
        <x:is>
          <x:t xml:space="preserve">无</x:t>
        </x:is>
      </x:c>
      <x:c r="I64" t="inlineStr">
        <x:is>
          <x:t xml:space="preserve">既有TowerFloorStage3D与楼中楼Prefab</x:t>
        </x:is>
      </x:c>
      <x:c r="J64" t="inlineStr">
        <x:is>
          <x:t xml:space="preserve">无；仅视觉布局装配</x:t>
        </x:is>
      </x:c>
      <x:c r="K64" t="inlineStr">
        <x:is>
          <x:t xml:space="preserve">一层30×30m；二层20×10m；无内置碰撞</x:t>
        </x:is>
      </x:c>
      <x:c r="L64" t="inlineStr">
        <x:is>
          <x:t xml:space="preserve">layout_origin；二层面层Y=-1m；V021墙面内容保持Blender烘焙坐标</x:t>
        </x:is>
      </x:c>
      <x:c r="M64" t="inlineStr">
        <x:is>
          <x:t xml:space="preserve">99层基地美术布局</x:t>
        </x:is>
      </x:c>
      <x:c r="N64" t="inlineStr">
        <x:is>
          <x:t xml:space="preserve">正式美术已接入</x:t>
        </x:is>
      </x:c>
      <x:c r="O64" t="inlineStr">
        <x:is>
          <x:t xml:space="preserve">v003</x:t>
        </x:is>
      </x:c>
      <x:c r="P64" t="inlineStr">
        <x:is>
          <x:t xml:space="preserve"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x:t>
        </x:is>
      </x:c>
    </x:row>
    <x:row r="65">
      <x:c r="A65" t="inlineStr">
        <x:is>
          <x:t xml:space="preserve">ENV-BASE99-WALL-CONTENTS-V021</x:t>
        </x:is>
      </x:c>
      <x:c r="B65" t="inlineStr">
        <x:is>
          <x:t xml:space="preserve">基地99层非门墙面内容资产包</x:t>
        </x:is>
      </x:c>
      <x:c r="C65" t="inlineStr">
        <x:is>
          <x:t xml:space="preserve">assets/art/environments/base_facility_3d/runtime/env_base99_wall_contents_v021/env_base99_wall_contents_root_top3d_v001.tscn</x:t>
        </x:is>
      </x:c>
      <x:c r="D65" t="inlineStr">
        <x:is>
          <x:t xml:space="preserve">assets/art/environments/base_facility_3d/components/env_base99_wall_contents_v021（18个GLB）</x:t>
        </x:is>
      </x:c>
      <x:c r="E65" t="inlineStr">
        <x:is>
          <x:t xml:space="preserve">source/art/blender/base_facility_layout/v021/base_facility_runtime_layout_hq_v021_wall_contents.blend（v021；derived from base_facility_runtime_layout_hq_v017.blend v017）</x:t>
        </x:is>
      </x:c>
      <x:c r="F65" t="inlineStr">
        <x:is>
          <x:t xml:space="preserve">仅表现；18个非门墙面内容包，根节点保持原点并复用Blender烘焙摆放；排除门、门框、结构墙、墙板和挡板。</x:t>
        </x:is>
      </x:c>
      <x:c r="G65" t="inlineStr">
        <x:is>
          <x:t xml:space="preserve">无</x:t>
        </x:is>
      </x:c>
      <x:c r="H65" t="inlineStr">
        <x:is>
          <x:t xml:space="preserve">无</x:t>
        </x:is>
      </x:c>
      <x:c r="I65" t="inlineStr">
        <x:is>
          <x:t xml:space="preserve">无；visual_only_no_collision</x:t>
        </x:is>
      </x:c>
      <x:c r="J65" t="inlineStr">
        <x:is>
          <x:t xml:space="preserve">无；visual_only_no_collision</x:t>
        </x:is>
      </x:c>
      <x:c r="K65" t="inlineStr">
        <x:is>
          <x:t xml:space="preserve">18运行时网格；86,538三角面；向下表面已删除并抽稀</x:t>
        </x:is>
      </x:c>
      <x:c r="L65" t="inlineStr">
        <x:is>
          <x:t xml:space="preserve">layout_origin；Blender +Y北 / Godot -Z北</x:t>
        </x:is>
      </x:c>
      <x:c r="M65" t="inlineStr">
        <x:is>
          <x:t xml:space="preserve">99层基地墙面内容</x:t>
        </x:is>
      </x:c>
      <x:c r="N65" t="inlineStr">
        <x:is>
          <x:t xml:space="preserve">正式美术已接入；优化完成</x:t>
        </x:is>
      </x:c>
    </x:row>
    <x:row r="66">
      <x:c r="A66" t="inlineStr">
        <x:is>
          <x:t xml:space="preserve">ENV-BASE99-REMAINING-FACILITIES-V021</x:t>
        </x:is>
      </x:c>
      <x:c r="B66" t="inlineStr">
        <x:is>
          <x:t xml:space="preserve">基地99层剩余非门非墙独立设施资产包</x:t>
        </x:is>
      </x:c>
      <x:c r="C66" t="inlineStr">
        <x:is>
          <x:t xml:space="preserve">assets/art/environments/base_facility_3d/runtime/env_base99_remaining_facilities_v021/env_base99_remaining_facilities_root_top3d_v001.tscn</x:t>
        </x:is>
      </x:c>
      <x:c r="D66" t="inlineStr">
        <x:is>
          <x:t xml:space="preserve">assets/art/environments/base_facility_3d/components/env_base99_remaining_facilities_v021（45个GLB）</x:t>
        </x:is>
      </x:c>
      <x:c r="E66" t="inlineStr">
        <x:is>
          <x:t xml:space="preserve">source/art/blender/base_facility_layout/v021/base_facility_runtime_layout_hq_v021_remaining_facilities.blend（v021；derived from base_facility_runtime_layout_hq_v017.blend v017）</x:t>
        </x:is>
      </x:c>
      <x:c r="F66" t="inlineStr">
        <x:is>
          <x:t xml:space="preserve">仓储、阁楼家具、独立设备与环境支持；排除门、门禁随属件、结构墙、墙面内容、地板、阁楼和楼梯。Blender烘焙摆放保持不变。</x:t>
        </x:is>
      </x:c>
      <x:c r="G66" t="inlineStr">
        <x:is>
          <x:t xml:space="preserve">无</x:t>
        </x:is>
      </x:c>
      <x:c r="H66" t="inlineStr">
        <x:is>
          <x:t xml:space="preserve">开</x:t>
        </x:is>
      </x:c>
      <x:c r="I66" t="inlineStr">
        <x:is>
          <x:t xml:space="preserve">每包独立Prefab</x:t>
        </x:is>
      </x:c>
      <x:c r="J66" t="inlineStr">
        <x:is>
          <x:t xml:space="preserve">34包逐源物件BoxShape3D；11包仅视觉</x:t>
        </x:is>
      </x:c>
      <x:c r="K66" t="inlineStr">
        <x:is>
          <x:t xml:space="preserve">45运行时网格；84,274三角面；向下表面删除21,604；45/45公共色盘导入契约</x:t>
        </x:is>
      </x:c>
      <x:c r="L66" t="inlineStr">
        <x:is>
          <x:t xml:space="preserve">layout_origin；Blender +Y北 / Godot -Z北</x:t>
        </x:is>
      </x:c>
      <x:c r="M66" t="inlineStr">
        <x:is>
          <x:t xml:space="preserve">99层基地剩余设施</x:t>
        </x:is>
      </x:c>
      <x:c r="N66" t="inlineStr">
        <x:is>
          <x:t xml:space="preserve">正式美术已接入；优化完成</x:t>
        </x:is>
      </x:c>
    </x:row>
    <x:row r="67" ht="70" customHeight="1">
      <x:c r="A67" t="str">
        <x:v>ENV-TOWER-STAIR-FLOOR-LOWER</x:v>
      </x:c>
      <x:c r="B67" t="str">
        <x:v>楼梯间下层楼板</x:v>
      </x:c>
      <x:c r="C67"/>
      <x:c r="D67"/>
      <x:c r="E67" t="str">
        <x:v>source/art/whitebox/tower_zones/v015/blender/whitebox_tower_stairs_v015.blend</x:v>
      </x:c>
      <x:c r="F67" t="str">
        <x:v>3Dgame-design白盒可拖放组件</x:v>
      </x:c>
      <x:c r="G67"/>
      <x:c r="H67" t="str">
        <x:v>无</x:v>
      </x:c>
      <x:c r="I67" t="str">
        <x:v>3Dgame-design</x:v>
      </x:c>
      <x:c r="J67" t="str">
        <x:v>无；白盒编辑</x:v>
      </x:c>
      <x:c r="K67" s="392" t="str">
        <x:v>每间下层18块5×5×0.3m固定地砖，完成面+0.1m</x:v>
      </x:c>
      <x:c r="L67" s="392" t="str">
        <x:v>组件中心；Blender Z-up</x:v>
      </x:c>
      <x:c r="M67" s="392" t="str">
        <x:v>楼梯区专用</x:v>
      </x:c>
      <x:c r="N67" s="392" t="str">
        <x:v>白盒组件</x:v>
      </x:c>
      <x:c r="O67" s="392" t="str">
        <x:v>v001</x:v>
      </x:c>
      <x:c r="P67" s="392" t="str">
        <x:v>v015原位拼装，详细尺寸和实例位置见组件JSON；禁止缩放。</x:v>
      </x:c>
    </x:row>
    <x:row r="68" ht="70" customHeight="1">
      <x:c r="A68" t="str">
        <x:v>ENV-TOWER-STAIR-FLOOR-MID</x:v>
      </x:c>
      <x:c r="B68" t="str">
        <x:v>楼梯间中层楼板</x:v>
      </x:c>
      <x:c r="C68"/>
      <x:c r="D68"/>
      <x:c r="E68" t="str">
        <x:v>source/art/whitebox/tower_zones/v015/blender/whitebox_tower_stairs_v015.blend</x:v>
      </x:c>
      <x:c r="F68" t="str">
        <x:v>3Dgame-design白盒可拖放组件</x:v>
      </x:c>
      <x:c r="G68"/>
      <x:c r="H68" t="str">
        <x:v>无</x:v>
      </x:c>
      <x:c r="I68" t="str">
        <x:v>3Dgame-design</x:v>
      </x:c>
      <x:c r="J68" t="str">
        <x:v>无；白盒编辑</x:v>
      </x:c>
      <x:c r="K68" s="392" t="str">
        <x:v>每间中层6块固定拼接件，沿原平台边界收边</x:v>
      </x:c>
      <x:c r="L68" s="392" t="str">
        <x:v>组件中心；Blender Z-up</x:v>
      </x:c>
      <x:c r="M68" s="392" t="str">
        <x:v>楼梯区专用</x:v>
      </x:c>
      <x:c r="N68" s="392" t="str">
        <x:v>白盒组件</x:v>
      </x:c>
      <x:c r="O68" s="392" t="str">
        <x:v>v001</x:v>
      </x:c>
      <x:c r="P68" s="392" t="str">
        <x:v>v015原位拼装，详细尺寸和实例位置见组件JSON；禁止缩放。</x:v>
      </x:c>
    </x:row>
    <x:row r="69" ht="70" customHeight="1">
      <x:c r="A69" t="str">
        <x:v>ENV-TOWER-STAIR-FLOOR-UPPER</x:v>
      </x:c>
      <x:c r="B69" t="str">
        <x:v>楼梯间上层楼板</x:v>
      </x:c>
      <x:c r="C69"/>
      <x:c r="D69"/>
      <x:c r="E69" t="str">
        <x:v>source/art/whitebox/tower_zones/v015/blender/whitebox_tower_stairs_v015.blend</x:v>
      </x:c>
      <x:c r="F69" t="str">
        <x:v>3Dgame-design白盒可拖放组件</x:v>
      </x:c>
      <x:c r="G69"/>
      <x:c r="H69" t="str">
        <x:v>无</x:v>
      </x:c>
      <x:c r="I69" t="str">
        <x:v>3Dgame-design</x:v>
      </x:c>
      <x:c r="J69" t="str">
        <x:v>无；白盒编辑</x:v>
      </x:c>
      <x:c r="K69" s="392" t="str">
        <x:v>每间上层6块固定拼接件，另有2块门口连接板</x:v>
      </x:c>
      <x:c r="L69" s="392" t="str">
        <x:v>组件中心；Blender Z-up</x:v>
      </x:c>
      <x:c r="M69" s="392" t="str">
        <x:v>楼梯区专用</x:v>
      </x:c>
      <x:c r="N69" s="392" t="str">
        <x:v>白盒组件</x:v>
      </x:c>
      <x:c r="O69" s="392" t="str">
        <x:v>v001</x:v>
      </x:c>
      <x:c r="P69" s="392" t="str">
        <x:v>v015原位拼装，详细尺寸和实例位置见组件JSON；禁止缩放。</x:v>
      </x:c>
    </x:row>
    <x:row r="70" ht="70" customHeight="1">
      <x:c r="A70" t="str">
        <x:v>ENV-TOWER-STAIR-FLIGHT-ADJUSTABLE</x:v>
      </x:c>
      <x:c r="B70" t="str">
        <x:v>楼梯间可调直梯母组件</x:v>
      </x:c>
      <x:c r="C70"/>
      <x:c r="D70"/>
      <x:c r="E70" t="str">
        <x:v>source/art/whitebox/tower_zones/v015/blender/whitebox_tower_stairs_v015.blend</x:v>
      </x:c>
      <x:c r="F70" t="str">
        <x:v>3Dgame-design白盒可拖放组件</x:v>
      </x:c>
      <x:c r="G70"/>
      <x:c r="H70" t="str">
        <x:v>无</x:v>
      </x:c>
      <x:c r="I70" t="str">
        <x:v>3Dgame-design</x:v>
      </x:c>
      <x:c r="J70" t="str">
        <x:v>无；白盒编辑</x:v>
      </x:c>
      <x:c r="K70" s="392" t="str">
        <x:v>单母组件；每跑6m高/15m水平长度/21.8014°；20级；另一跑180°；高度/角度可调</x:v>
      </x:c>
      <x:c r="L70" s="392" t="str">
        <x:v>组件中心；Blender Z-up</x:v>
      </x:c>
      <x:c r="M70" s="392" t="str">
        <x:v>楼梯区专用</x:v>
      </x:c>
      <x:c r="N70" s="392" t="str">
        <x:v>白盒组件</x:v>
      </x:c>
      <x:c r="O70" s="392" t="str">
        <x:v>v002</x:v>
      </x:c>
      <x:c r="P70" s="392" t="str">
        <x:v>v015原位拼装，详细尺寸和实例位置见组件JSON；禁止缩放。</x:v>
      </x:c>
    </x:row>
    <x:row r="71">
      <x:c r="A71" t="str">
        <x:v>ENV-TOWER-CORNER-COLUMN-05M</x:v>
      </x:c>
      <x:c r="B71" t="str">
        <x:v>塔楼通用拐角柱</x:v>
      </x:c>
      <x:c r="C71"/>
      <x:c r="D71"/>
      <x:c r="E71" t="str">
        <x:v>tools/3Dgame-design/src/main.js</x:v>
      </x:c>
      <x:c r="F71" t="str">
        <x:v>3Dgame-design白盒可拖放组件</x:v>
      </x:c>
      <x:c r="G71"/>
      <x:c r="H71" t="str">
        <x:v>无</x:v>
      </x:c>
      <x:c r="I71" t="str">
        <x:v>3Dgame-design</x:v>
      </x:c>
      <x:c r="J71" t="str">
        <x:v>无；白盒编辑</x:v>
      </x:c>
      <x:c r="K71" t="str">
        <x:v>0.5×0.5×12.9m</x:v>
      </x:c>
      <x:c r="L71" t="str">
        <x:v>组件中心；Blender Z-up</x:v>
      </x:c>
      <x:c r="M71" t="str">
        <x:v>全区块通用</x:v>
      </x:c>
      <x:c r="N71" t="str">
        <x:v>白盒组件</x:v>
      </x:c>
      <x:c r="O71" t="str">
        <x:v>v001</x:v>
      </x:c>
      <x:c r="P71" t="str">
        <x:v>3Dgame-design通用组件；未重新导入Godot。</x:v>
      </x:c>
    </x:row>
    <x:row r="72" ht="90" customHeight="1">
      <x:c r="A72" s="393" t="str">
        <x:v>ENV-BATTLE-L01-ROOM-MAIN-01-HUB</x:v>
      </x:c>
      <x:c r="B72" s="393" t="str">
        <x:v>局内关卡01 主路内容房01 hub 30×25m 白模</x:v>
      </x:c>
      <x:c r="C72" s="393" t="str">
        <x:v>未制作</x:v>
      </x:c>
      <x:c r="D72" s="393" t="str">
        <x:v>未制作</x:v>
      </x:c>
      <x:c r="E72" s="393" t="str">
        <x:v>source/art/whitebox/tower_zones/battle_level01/v002/blender/局内关卡01_白模_主路内容房_01_hub_30x25m_v002.blend</x:v>
      </x:c>
      <x:c r="F72" s="393" t="str">
        <x:v>主路内容房白盒母版；按固定房间边界提供接口收边白模，用于后续玩法内容布置。</x:v>
      </x:c>
      <x:c r="G72" s="393" t="str">
        <x:v>未接入</x:v>
      </x:c>
      <x:c r="H72" s="393" t="str">
        <x:v>无</x:v>
      </x:c>
      <x:c r="I72" s="393" t="str">
        <x:v>无</x:v>
      </x:c>
      <x:c r="J72" s="393" t="str">
        <x:v>无</x:v>
      </x:c>
      <x:c r="K72" s="393" t="str">
        <x:v>30×25×11.9m</x:v>
      </x:c>
      <x:c r="L72" s="393" t="str">
        <x:v>房间局部坐标：X/Y居中；底面Z=0；Godot -Z</x:v>
      </x:c>
      <x:c r="M72" s="393" t="str">
        <x:v>局内关卡01 / Battle</x:v>
      </x:c>
      <x:c r="N72" s="393" t="str">
        <x:v>白模源已完成；QA PASS</x:v>
      </x:c>
      <x:c r="O72" s="393" t="str">
        <x:v>v002</x:v>
      </x:c>
      <x:c r="P7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3" ht="90" customHeight="1">
      <x:c r="A73" s="393" t="str">
        <x:v>ENV-BATTLE-L01-ROOM-MAIN-02</x:v>
      </x:c>
      <x:c r="B73" s="393" t="str">
        <x:v>局内关卡01 主路内容房02 30×25m 白模</x:v>
      </x:c>
      <x:c r="C73" s="393" t="str">
        <x:v>未制作</x:v>
      </x:c>
      <x:c r="D73" s="393" t="str">
        <x:v>未制作</x:v>
      </x:c>
      <x:c r="E73" s="393" t="str">
        <x:v>source/art/whitebox/tower_zones/battle_level01/v002/blender/局内关卡01_白模_主路内容房_02_30x25m_v002.blend</x:v>
      </x:c>
      <x:c r="F73" s="393" t="str">
        <x:v>主路内容房白盒母版；按固定房间边界提供接口收边白模，用于后续玩法内容布置。</x:v>
      </x:c>
      <x:c r="G73" s="393" t="str">
        <x:v>未接入</x:v>
      </x:c>
      <x:c r="H73" s="393" t="str">
        <x:v>无</x:v>
      </x:c>
      <x:c r="I73" s="393" t="str">
        <x:v>无</x:v>
      </x:c>
      <x:c r="J73" s="393" t="str">
        <x:v>无</x:v>
      </x:c>
      <x:c r="K73" s="393" t="str">
        <x:v>30×25×11.9m</x:v>
      </x:c>
      <x:c r="L73" s="393" t="str">
        <x:v>房间局部坐标：X/Y居中；底面Z=0；Godot -Z</x:v>
      </x:c>
      <x:c r="M73" s="393" t="str">
        <x:v>局内关卡01 / Battle</x:v>
      </x:c>
      <x:c r="N73" s="393" t="str">
        <x:v>白模源已完成；QA PASS</x:v>
      </x:c>
      <x:c r="O73" s="393" t="str">
        <x:v>v002</x:v>
      </x:c>
      <x:c r="P73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4" ht="90" customHeight="1">
      <x:c r="A74" s="393" t="str">
        <x:v>ENV-BATTLE-L01-ROOM-MAIN-03</x:v>
      </x:c>
      <x:c r="B74" s="393" t="str">
        <x:v>局内关卡01 主路内容房03 30×25m 白模</x:v>
      </x:c>
      <x:c r="C74" s="393" t="str">
        <x:v>未制作</x:v>
      </x:c>
      <x:c r="D74" s="393" t="str">
        <x:v>未制作</x:v>
      </x:c>
      <x:c r="E74" s="393" t="str">
        <x:v>source/art/whitebox/tower_zones/battle_level01/v002/blender/局内关卡01_白模_主路内容房_03_30x25m_v002.blend</x:v>
      </x:c>
      <x:c r="F74" s="393" t="str">
        <x:v>主路内容房白盒母版；按固定房间边界提供接口收边白模，用于后续玩法内容布置。</x:v>
      </x:c>
      <x:c r="G74" s="393" t="str">
        <x:v>未接入</x:v>
      </x:c>
      <x:c r="H74" s="393" t="str">
        <x:v>无</x:v>
      </x:c>
      <x:c r="I74" s="393" t="str">
        <x:v>无</x:v>
      </x:c>
      <x:c r="J74" s="393" t="str">
        <x:v>无</x:v>
      </x:c>
      <x:c r="K74" s="393" t="str">
        <x:v>30×25×11.9m</x:v>
      </x:c>
      <x:c r="L74" s="393" t="str">
        <x:v>房间局部坐标：X/Y居中；底面Z=0；Godot -Z</x:v>
      </x:c>
      <x:c r="M74" s="393" t="str">
        <x:v>局内关卡01 / Battle</x:v>
      </x:c>
      <x:c r="N74" s="393" t="str">
        <x:v>白模源已完成；QA PASS</x:v>
      </x:c>
      <x:c r="O74" s="393" t="str">
        <x:v>v002</x:v>
      </x:c>
      <x:c r="P74" s="393" t="str">
        <x:v>逻辑墙高12m；可见墙高11.9m；门洞净宽2.2m、净高2.5m。输出组件41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5" ht="90" customHeight="1">
      <x:c r="A75" s="393" t="str">
        <x:v>ENV-BATTLE-L01-ROOM-MAIN-04</x:v>
      </x:c>
      <x:c r="B75" s="393" t="str">
        <x:v>局内关卡01 主路内容房04 30×25m 白模</x:v>
      </x:c>
      <x:c r="C75" s="393" t="str">
        <x:v>未制作</x:v>
      </x:c>
      <x:c r="D75" s="393" t="str">
        <x:v>未制作</x:v>
      </x:c>
      <x:c r="E75" s="393" t="str">
        <x:v>source/art/whitebox/tower_zones/battle_level01/v002/blender/局内关卡01_白模_主路内容房_04_30x25m_v002.blend</x:v>
      </x:c>
      <x:c r="F75" s="393" t="str">
        <x:v>主路内容房白盒母版；按固定房间边界提供接口收边白模，用于后续玩法内容布置。</x:v>
      </x:c>
      <x:c r="G75" s="393" t="str">
        <x:v>未接入</x:v>
      </x:c>
      <x:c r="H75" s="393" t="str">
        <x:v>无</x:v>
      </x:c>
      <x:c r="I75" s="393" t="str">
        <x:v>无</x:v>
      </x:c>
      <x:c r="J75" s="393" t="str">
        <x:v>无</x:v>
      </x:c>
      <x:c r="K75" s="393" t="str">
        <x:v>30×25×11.9m</x:v>
      </x:c>
      <x:c r="L75" s="393" t="str">
        <x:v>房间局部坐标：X/Y居中；底面Z=0；Godot -Z</x:v>
      </x:c>
      <x:c r="M75" s="393" t="str">
        <x:v>局内关卡01 / Battle</x:v>
      </x:c>
      <x:c r="N75" s="393" t="str">
        <x:v>白模源已完成；QA PASS</x:v>
      </x:c>
      <x:c r="O75" s="393" t="str">
        <x:v>v002</x:v>
      </x:c>
      <x:c r="P75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6" ht="90" customHeight="1">
      <x:c r="A76" s="393" t="str">
        <x:v>ENV-BATTLE-L01-ROOM-MAIN-05</x:v>
      </x:c>
      <x:c r="B76" s="393" t="str">
        <x:v>局内关卡01 主路内容房05 30×40m 白模</x:v>
      </x:c>
      <x:c r="C76" s="393" t="str">
        <x:v>未制作</x:v>
      </x:c>
      <x:c r="D76" s="393" t="str">
        <x:v>未制作</x:v>
      </x:c>
      <x:c r="E76" s="393" t="str">
        <x:v>source/art/whitebox/tower_zones/battle_level01/v002/blender/局内关卡01_白模_主路内容房_05_30x40m_v002.blend</x:v>
      </x:c>
      <x:c r="F76" s="393" t="str">
        <x:v>主路内容房白盒母版；按固定房间边界提供接口收边白模，用于后续玩法内容布置。</x:v>
      </x:c>
      <x:c r="G76" s="393" t="str">
        <x:v>未接入</x:v>
      </x:c>
      <x:c r="H76" s="393" t="str">
        <x:v>无</x:v>
      </x:c>
      <x:c r="I76" s="393" t="str">
        <x:v>无</x:v>
      </x:c>
      <x:c r="J76" s="393" t="str">
        <x:v>无</x:v>
      </x:c>
      <x:c r="K76" s="393" t="str">
        <x:v>30×40×11.9m</x:v>
      </x:c>
      <x:c r="L76" s="393" t="str">
        <x:v>房间局部坐标：X/Y居中；底面Z=0；Godot -Z</x:v>
      </x:c>
      <x:c r="M76" s="393" t="str">
        <x:v>局内关卡01 / Battle</x:v>
      </x:c>
      <x:c r="N76" s="393" t="str">
        <x:v>白模源已完成；QA PASS</x:v>
      </x:c>
      <x:c r="O76" s="393" t="str">
        <x:v>v002</x:v>
      </x:c>
      <x:c r="P76" s="393" t="str">
        <x:v>逻辑墙高12m；可见墙高11.9m；门洞净宽2.2m、净高2.5m。输出组件57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7" ht="90" customHeight="1">
      <x:c r="A77" s="393" t="str">
        <x:v>ENV-BATTLE-L01-ROOM-MAIN-06</x:v>
      </x:c>
      <x:c r="B77" s="393" t="str">
        <x:v>局内关卡01 主路内容房06 30×25m 白模</x:v>
      </x:c>
      <x:c r="C77" s="393" t="str">
        <x:v>未制作</x:v>
      </x:c>
      <x:c r="D77" s="393" t="str">
        <x:v>未制作</x:v>
      </x:c>
      <x:c r="E77" s="393" t="str">
        <x:v>source/art/whitebox/tower_zones/battle_level01/v002/blender/局内关卡01_白模_主路内容房_06_30x25m_v002.blend</x:v>
      </x:c>
      <x:c r="F77" s="393" t="str">
        <x:v>主路内容房白盒母版；按固定房间边界提供接口收边白模，用于后续玩法内容布置。</x:v>
      </x:c>
      <x:c r="G77" s="393" t="str">
        <x:v>未接入</x:v>
      </x:c>
      <x:c r="H77" s="393" t="str">
        <x:v>无</x:v>
      </x:c>
      <x:c r="I77" s="393" t="str">
        <x:v>无</x:v>
      </x:c>
      <x:c r="J77" s="393" t="str">
        <x:v>无</x:v>
      </x:c>
      <x:c r="K77" s="393" t="str">
        <x:v>30×25×11.9m</x:v>
      </x:c>
      <x:c r="L77" s="393" t="str">
        <x:v>房间局部坐标：X/Y居中；底面Z=0；Godot -Z</x:v>
      </x:c>
      <x:c r="M77" s="393" t="str">
        <x:v>局内关卡01 / Battle</x:v>
      </x:c>
      <x:c r="N77" s="393" t="str">
        <x:v>白模源已完成；QA PASS</x:v>
      </x:c>
      <x:c r="O77" s="393" t="str">
        <x:v>v002</x:v>
      </x:c>
      <x:c r="P77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8" ht="90" customHeight="1">
      <x:c r="A78" s="393" t="str">
        <x:v>ENV-BATTLE-L01-ROOM-MAIN-07</x:v>
      </x:c>
      <x:c r="B78" s="393" t="str">
        <x:v>局内关卡01 主路内容房07 30×25m 白模</x:v>
      </x:c>
      <x:c r="C78" s="393" t="str">
        <x:v>未制作</x:v>
      </x:c>
      <x:c r="D78" s="393" t="str">
        <x:v>未制作</x:v>
      </x:c>
      <x:c r="E78" s="393" t="str">
        <x:v>source/art/whitebox/tower_zones/battle_level01/v002/blender/局内关卡01_白模_主路内容房_07_30x25m_v002.blend</x:v>
      </x:c>
      <x:c r="F78" s="393" t="str">
        <x:v>主路内容房白盒母版；按固定房间边界提供接口收边白模，用于后续玩法内容布置。</x:v>
      </x:c>
      <x:c r="G78" s="393" t="str">
        <x:v>未接入</x:v>
      </x:c>
      <x:c r="H78" s="393" t="str">
        <x:v>无</x:v>
      </x:c>
      <x:c r="I78" s="393" t="str">
        <x:v>无</x:v>
      </x:c>
      <x:c r="J78" s="393" t="str">
        <x:v>无</x:v>
      </x:c>
      <x:c r="K78" s="393" t="str">
        <x:v>30×25×11.9m</x:v>
      </x:c>
      <x:c r="L78" s="393" t="str">
        <x:v>房间局部坐标：X/Y居中；底面Z=0；Godot -Z</x:v>
      </x:c>
      <x:c r="M78" s="393" t="str">
        <x:v>局内关卡01 / Battle</x:v>
      </x:c>
      <x:c r="N78" s="393" t="str">
        <x:v>白模源已完成；QA PASS</x:v>
      </x:c>
      <x:c r="O78" s="393" t="str">
        <x:v>v002</x:v>
      </x:c>
      <x:c r="P78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9" ht="90" customHeight="1">
      <x:c r="A79" s="393" t="str">
        <x:v>ENV-BATTLE-L01-ROOM-MAIN-08</x:v>
      </x:c>
      <x:c r="B79" s="393" t="str">
        <x:v>局内关卡01 主路内容房08 35×30m 白模</x:v>
      </x:c>
      <x:c r="C79" s="393" t="str">
        <x:v>未制作</x:v>
      </x:c>
      <x:c r="D79" s="393" t="str">
        <x:v>未制作</x:v>
      </x:c>
      <x:c r="E79" s="393" t="str">
        <x:v>source/art/whitebox/tower_zones/battle_level01/v002/blender/局内关卡01_白模_主路内容房_08_35x30m_v002.blend</x:v>
      </x:c>
      <x:c r="F79" s="393" t="str">
        <x:v>主路内容房白盒母版；按固定房间边界提供接口收边白模，用于后续玩法内容布置。</x:v>
      </x:c>
      <x:c r="G79" s="393" t="str">
        <x:v>未接入</x:v>
      </x:c>
      <x:c r="H79" s="393" t="str">
        <x:v>无</x:v>
      </x:c>
      <x:c r="I79" s="393" t="str">
        <x:v>无</x:v>
      </x:c>
      <x:c r="J79" s="393" t="str">
        <x:v>无</x:v>
      </x:c>
      <x:c r="K79" s="393" t="str">
        <x:v>35×30×11.9m</x:v>
      </x:c>
      <x:c r="L79" s="393" t="str">
        <x:v>房间局部坐标：X/Y居中；底面Z=0；Godot -Z</x:v>
      </x:c>
      <x:c r="M79" s="393" t="str">
        <x:v>局内关卡01 / Battle</x:v>
      </x:c>
      <x:c r="N79" s="393" t="str">
        <x:v>白模源已完成；QA PASS</x:v>
      </x:c>
      <x:c r="O79" s="393" t="str">
        <x:v>v002</x:v>
      </x:c>
      <x:c r="P79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0" ht="90" customHeight="1">
      <x:c r="A80" s="393" t="str">
        <x:v>ENV-BATTLE-L01-ROOM-MAIN-09</x:v>
      </x:c>
      <x:c r="B80" s="393" t="str">
        <x:v>局内关卡01 主路内容房09 40×25m 白模</x:v>
      </x:c>
      <x:c r="C80" s="393" t="str">
        <x:v>未制作</x:v>
      </x:c>
      <x:c r="D80" s="393" t="str">
        <x:v>未制作</x:v>
      </x:c>
      <x:c r="E80" s="393" t="str">
        <x:v>source/art/whitebox/tower_zones/battle_level01/v002/blender/局内关卡01_白模_主路内容房_09_40x25m_v002.blend</x:v>
      </x:c>
      <x:c r="F80" s="393" t="str">
        <x:v>主路内容房白盒母版；按固定房间边界提供接口收边白模，用于后续玩法内容布置。</x:v>
      </x:c>
      <x:c r="G80" s="393" t="str">
        <x:v>未接入</x:v>
      </x:c>
      <x:c r="H80" s="393" t="str">
        <x:v>无</x:v>
      </x:c>
      <x:c r="I80" s="393" t="str">
        <x:v>无</x:v>
      </x:c>
      <x:c r="J80" s="393" t="str">
        <x:v>无</x:v>
      </x:c>
      <x:c r="K80" s="393" t="str">
        <x:v>40×25×11.9m</x:v>
      </x:c>
      <x:c r="L80" s="393" t="str">
        <x:v>房间局部坐标：X/Y居中；底面Z=0；Godot -Z</x:v>
      </x:c>
      <x:c r="M80" s="393" t="str">
        <x:v>局内关卡01 / Battle</x:v>
      </x:c>
      <x:c r="N80" s="393" t="str">
        <x:v>白模源已完成；QA PASS</x:v>
      </x:c>
      <x:c r="O80" s="393" t="str">
        <x:v>v002</x:v>
      </x:c>
      <x:c r="P80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1" ht="90" customHeight="1">
      <x:c r="A81" s="393" t="str">
        <x:v>ENV-BATTLE-L01-ROOM-MAIN-10</x:v>
      </x:c>
      <x:c r="B81" s="393" t="str">
        <x:v>局内关卡01 主路内容房10 30×25m 白模</x:v>
      </x:c>
      <x:c r="C81" s="393" t="str">
        <x:v>未制作</x:v>
      </x:c>
      <x:c r="D81" s="393" t="str">
        <x:v>未制作</x:v>
      </x:c>
      <x:c r="E81" s="393" t="str">
        <x:v>source/art/whitebox/tower_zones/battle_level01/v002/blender/局内关卡01_白模_主路内容房_10_30x25m_v002.blend</x:v>
      </x:c>
      <x:c r="F81" s="393" t="str">
        <x:v>主路内容房白盒母版；按固定房间边界提供接口收边白模，用于后续玩法内容布置。</x:v>
      </x:c>
      <x:c r="G81" s="393" t="str">
        <x:v>未接入</x:v>
      </x:c>
      <x:c r="H81" s="393" t="str">
        <x:v>无</x:v>
      </x:c>
      <x:c r="I81" s="393" t="str">
        <x:v>无</x:v>
      </x:c>
      <x:c r="J81" s="393" t="str">
        <x:v>无</x:v>
      </x:c>
      <x:c r="K81" s="393" t="str">
        <x:v>30×25×11.9m</x:v>
      </x:c>
      <x:c r="L81" s="393" t="str">
        <x:v>房间局部坐标：X/Y居中；底面Z=0；Godot -Z</x:v>
      </x:c>
      <x:c r="M81" s="393" t="str">
        <x:v>局内关卡01 / Battle</x:v>
      </x:c>
      <x:c r="N81" s="393" t="str">
        <x:v>白模源已完成；QA PASS</x:v>
      </x:c>
      <x:c r="O81" s="393" t="str">
        <x:v>v002</x:v>
      </x:c>
      <x:c r="P81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2" ht="90" customHeight="1">
      <x:c r="A82" s="393" t="str">
        <x:v>ENV-BATTLE-L01-ROOM-BRANCH-01</x:v>
      </x:c>
      <x:c r="B82" s="393" t="str">
        <x:v>局内关卡01 支路内容房01 30×25m 白模</x:v>
      </x:c>
      <x:c r="C82" s="393" t="str">
        <x:v>未制作</x:v>
      </x:c>
      <x:c r="D82" s="393" t="str">
        <x:v>未制作</x:v>
      </x:c>
      <x:c r="E82" s="393" t="str">
        <x:v>source/art/whitebox/tower_zones/battle_level01/v002/blender/局内关卡01_白模_支路内容房_01_30x25m_v002.blend</x:v>
      </x:c>
      <x:c r="F82" s="393" t="str">
        <x:v>支路内容房白盒母版；按固定房间边界提供接口收边白模，用于支路玩法内容布置。</x:v>
      </x:c>
      <x:c r="G82" s="393" t="str">
        <x:v>未接入</x:v>
      </x:c>
      <x:c r="H82" s="393" t="str">
        <x:v>无</x:v>
      </x:c>
      <x:c r="I82" s="393" t="str">
        <x:v>无</x:v>
      </x:c>
      <x:c r="J82" s="393" t="str">
        <x:v>无</x:v>
      </x:c>
      <x:c r="K82" s="393" t="str">
        <x:v>30×25×11.9m</x:v>
      </x:c>
      <x:c r="L82" s="393" t="str">
        <x:v>房间局部坐标：X/Y居中；底面Z=0；Godot -Z</x:v>
      </x:c>
      <x:c r="M82" s="393" t="str">
        <x:v>局内关卡01 / Battle</x:v>
      </x:c>
      <x:c r="N82" s="393" t="str">
        <x:v>白模源已完成；QA PASS</x:v>
      </x:c>
      <x:c r="O82" s="393" t="str">
        <x:v>v002</x:v>
      </x:c>
      <x:c r="P8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3" ht="90" customHeight="1">
      <x:c r="A83" s="393" t="str">
        <x:v>ENV-BATTLE-L01-ROOM-BRANCH-02</x:v>
      </x:c>
      <x:c r="B83" s="393" t="str">
        <x:v>局内关卡01 支路内容房02 30×25m 白模</x:v>
      </x:c>
      <x:c r="C83" s="393" t="str">
        <x:v>未制作</x:v>
      </x:c>
      <x:c r="D83" s="393" t="str">
        <x:v>未制作</x:v>
      </x:c>
      <x:c r="E83" s="393" t="str">
        <x:v>source/art/whitebox/tower_zones/battle_level01/v002/blender/局内关卡01_白模_支路内容房_02_30x25m_v002.blend</x:v>
      </x:c>
      <x:c r="F83" s="393" t="str">
        <x:v>支路内容房白盒母版；按固定房间边界提供接口收边白模，用于支路玩法内容布置。</x:v>
      </x:c>
      <x:c r="G83" s="393" t="str">
        <x:v>未接入</x:v>
      </x:c>
      <x:c r="H83" s="393" t="str">
        <x:v>无</x:v>
      </x:c>
      <x:c r="I83" s="393" t="str">
        <x:v>无</x:v>
      </x:c>
      <x:c r="J83" s="393" t="str">
        <x:v>无</x:v>
      </x:c>
      <x:c r="K83" s="393" t="str">
        <x:v>30×25×11.9m</x:v>
      </x:c>
      <x:c r="L83" s="393" t="str">
        <x:v>房间局部坐标：X/Y居中；底面Z=0；Godot -Z</x:v>
      </x:c>
      <x:c r="M83" s="393" t="str">
        <x:v>局内关卡01 / Battle</x:v>
      </x:c>
      <x:c r="N83" s="393" t="str">
        <x:v>白模源已完成；QA PASS</x:v>
      </x:c>
      <x:c r="O83" s="393" t="str">
        <x:v>v002</x:v>
      </x:c>
      <x:c r="P83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4" ht="90" customHeight="1">
      <x:c r="A84" s="393" t="str">
        <x:v>ENV-BATTLE-L01-ROOM-BRANCH-03</x:v>
      </x:c>
      <x:c r="B84" s="393" t="str">
        <x:v>局内关卡01 支路内容房03 40×35m 白模</x:v>
      </x:c>
      <x:c r="C84" s="393" t="str">
        <x:v>未制作</x:v>
      </x:c>
      <x:c r="D84" s="393" t="str">
        <x:v>未制作</x:v>
      </x:c>
      <x:c r="E84" s="393" t="str">
        <x:v>source/art/whitebox/tower_zones/battle_level01/v002/blender/局内关卡01_白模_支路内容房_03_40x35m_v002.blend</x:v>
      </x:c>
      <x:c r="F84" s="393" t="str">
        <x:v>支路内容房白盒母版；按固定房间边界提供接口收边白模，用于支路玩法内容布置。</x:v>
      </x:c>
      <x:c r="G84" s="393" t="str">
        <x:v>未接入</x:v>
      </x:c>
      <x:c r="H84" s="393" t="str">
        <x:v>无</x:v>
      </x:c>
      <x:c r="I84" s="393" t="str">
        <x:v>无</x:v>
      </x:c>
      <x:c r="J84" s="393" t="str">
        <x:v>无</x:v>
      </x:c>
      <x:c r="K84" s="393" t="str">
        <x:v>40×35×11.9m</x:v>
      </x:c>
      <x:c r="L84" s="393" t="str">
        <x:v>房间局部坐标：X/Y居中；底面Z=0；Godot -Z</x:v>
      </x:c>
      <x:c r="M84" s="393" t="str">
        <x:v>局内关卡01 / Battle</x:v>
      </x:c>
      <x:c r="N84" s="393" t="str">
        <x:v>白模源已完成；QA PASS</x:v>
      </x:c>
      <x:c r="O84" s="393" t="str">
        <x:v>v002</x:v>
      </x:c>
      <x:c r="P84" s="393" t="str">
        <x:v>逻辑墙高12m；可见墙高11.9m；门洞净宽2.2m、净高2.5m。输出组件65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5" ht="90" customHeight="1">
      <x:c r="A85" s="393" t="str">
        <x:v>ENV-BATTLE-L01-ROOM-BRANCH-04</x:v>
      </x:c>
      <x:c r="B85" s="393" t="str">
        <x:v>局内关卡01 支路内容房04 30×25m 白模</x:v>
      </x:c>
      <x:c r="C85" s="393" t="str">
        <x:v>未制作</x:v>
      </x:c>
      <x:c r="D85" s="393" t="str">
        <x:v>未制作</x:v>
      </x:c>
      <x:c r="E85" s="393" t="str">
        <x:v>source/art/whitebox/tower_zones/battle_level01/v002/blender/局内关卡01_白模_支路内容房_04_30x25m_v002.blend</x:v>
      </x:c>
      <x:c r="F85" s="393" t="str">
        <x:v>支路内容房白盒母版；按固定房间边界提供接口收边白模，用于支路玩法内容布置。</x:v>
      </x:c>
      <x:c r="G85" s="393" t="str">
        <x:v>未接入</x:v>
      </x:c>
      <x:c r="H85" s="393" t="str">
        <x:v>无</x:v>
      </x:c>
      <x:c r="I85" s="393" t="str">
        <x:v>无</x:v>
      </x:c>
      <x:c r="J85" s="393" t="str">
        <x:v>无</x:v>
      </x:c>
      <x:c r="K85" s="393" t="str">
        <x:v>30×25×11.9m</x:v>
      </x:c>
      <x:c r="L85" s="393" t="str">
        <x:v>房间局部坐标：X/Y居中；底面Z=0；Godot -Z</x:v>
      </x:c>
      <x:c r="M85" s="393" t="str">
        <x:v>局内关卡01 / Battle</x:v>
      </x:c>
      <x:c r="N85" s="393" t="str">
        <x:v>白模源已完成；QA PASS</x:v>
      </x:c>
      <x:c r="O85" s="393" t="str">
        <x:v>v002</x:v>
      </x:c>
      <x:c r="P85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6" ht="90" customHeight="1">
      <x:c r="A86" s="393" t="str">
        <x:v>ENV-BATTLE-L01-SAFE-ENTRY</x:v>
      </x:c>
      <x:c r="B86" s="393" t="str">
        <x:v>局内关卡01 入口安全房 15×15m 白模</x:v>
      </x:c>
      <x:c r="C86" s="393" t="str">
        <x:v>未制作</x:v>
      </x:c>
      <x:c r="D86" s="393" t="str">
        <x:v>未制作</x:v>
      </x:c>
      <x:c r="E86" s="393" t="str">
        <x:v>source/art/whitebox/tower_zones/battle_level01/v002/blender/局内关卡01_白模_入口安全房_15x15m_v002.blend</x:v>
      </x:c>
      <x:c r="F86" s="393" t="str">
        <x:v>入口或出口安全房白盒母版；提供安全区边界和门洞接口，用于后续设施与碰撞接入。</x:v>
      </x:c>
      <x:c r="G86" s="393" t="str">
        <x:v>未接入</x:v>
      </x:c>
      <x:c r="H86" s="393" t="str">
        <x:v>无</x:v>
      </x:c>
      <x:c r="I86" s="393" t="str">
        <x:v>无</x:v>
      </x:c>
      <x:c r="J86" s="393" t="str">
        <x:v>无</x:v>
      </x:c>
      <x:c r="K86" s="393" t="str">
        <x:v>15×15×11.9m</x:v>
      </x:c>
      <x:c r="L86" s="393" t="str">
        <x:v>房间局部坐标：X/Y居中；底面Z=0；Godot -Z</x:v>
      </x:c>
      <x:c r="M86" s="393" t="str">
        <x:v>局内关卡01 / Battle</x:v>
      </x:c>
      <x:c r="N86" s="393" t="str">
        <x:v>白模源已完成；QA PASS</x:v>
      </x:c>
      <x:c r="O86" s="393" t="str">
        <x:v>v002</x:v>
      </x:c>
      <x:c r="P86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7" ht="90" customHeight="1">
      <x:c r="A87" s="393" t="str">
        <x:v>ENV-BATTLE-L01-SAFE-EXIT</x:v>
      </x:c>
      <x:c r="B87" s="393" t="str">
        <x:v>局内关卡01 出口安全房 15×15m 白模</x:v>
      </x:c>
      <x:c r="C87" s="393" t="str">
        <x:v>未制作</x:v>
      </x:c>
      <x:c r="D87" s="393" t="str">
        <x:v>未制作</x:v>
      </x:c>
      <x:c r="E87" s="393" t="str">
        <x:v>source/art/whitebox/tower_zones/battle_level01/v002/blender/局内关卡01_白模_出口安全房_15x15m_v002.blend</x:v>
      </x:c>
      <x:c r="F87" s="393" t="str">
        <x:v>入口或出口安全房白盒母版；提供安全区边界和门洞接口，用于后续设施与碰撞接入。</x:v>
      </x:c>
      <x:c r="G87" s="393" t="str">
        <x:v>未接入</x:v>
      </x:c>
      <x:c r="H87" s="393" t="str">
        <x:v>无</x:v>
      </x:c>
      <x:c r="I87" s="393" t="str">
        <x:v>无</x:v>
      </x:c>
      <x:c r="J87" s="393" t="str">
        <x:v>无</x:v>
      </x:c>
      <x:c r="K87" s="393" t="str">
        <x:v>15×15×11.9m</x:v>
      </x:c>
      <x:c r="L87" s="393" t="str">
        <x:v>房间局部坐标：X/Y居中；底面Z=0；Godot -Z</x:v>
      </x:c>
      <x:c r="M87" s="393" t="str">
        <x:v>局内关卡01 / Battle</x:v>
      </x:c>
      <x:c r="N87" s="393" t="str">
        <x:v>白模源已完成；QA PASS</x:v>
      </x:c>
      <x:c r="O87" s="393" t="str">
        <x:v>v002</x:v>
      </x:c>
      <x:c r="P87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8" ht="90" customHeight="1">
      <x:c r="A88" s="393" t="str">
        <x:v>ENV-BATTLE-L01-BOSS-ARENA</x:v>
      </x:c>
      <x:c r="B88" s="393" t="str">
        <x:v>局内关卡01 Boss竞技场 190×90m 白模</x:v>
      </x:c>
      <x:c r="C88" s="393" t="str">
        <x:v>未制作</x:v>
      </x:c>
      <x:c r="D88" s="393" t="str">
        <x:v>未制作</x:v>
      </x:c>
      <x:c r="E88" s="393" t="str">
        <x:v>source/art/whitebox/tower_zones/battle_level01/v002/blender/局内关卡01_白模_Boss竞技场_190x90m_v002.blend</x:v>
      </x:c>
      <x:c r="F88" s="393" t="str">
        <x:v>Boss竞技场白盒母版；提供190×90m战斗空间边界和11.9m可见墙，用于Boss玩法布置。</x:v>
      </x:c>
      <x:c r="G88" s="393" t="str">
        <x:v>未接入</x:v>
      </x:c>
      <x:c r="H88" s="393" t="str">
        <x:v>无</x:v>
      </x:c>
      <x:c r="I88" s="393" t="str">
        <x:v>无</x:v>
      </x:c>
      <x:c r="J88" s="393" t="str">
        <x:v>无</x:v>
      </x:c>
      <x:c r="K88" s="393" t="str">
        <x:v>190×90×11.9m</x:v>
      </x:c>
      <x:c r="L88" s="393" t="str">
        <x:v>房间局部坐标：X/Y居中；底面Z=0；Godot -Z</x:v>
      </x:c>
      <x:c r="M88" s="393" t="str">
        <x:v>局内关卡01 / Battle</x:v>
      </x:c>
      <x:c r="N88" s="393" t="str">
        <x:v>白模源已完成；QA PASS</x:v>
      </x:c>
      <x:c r="O88" s="393" t="str">
        <x:v>v002</x:v>
      </x:c>
      <x:c r="P88" s="393" t="str">
        <x:v>用户覆盖190×90m；代码与文档仍为90×90m，运行时待同步。输出组件693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9" ht="90" customHeight="1">
      <x:c r="A89" s="393" t="str">
        <x:v>ENV-BATTLE-L01-CORRIDOR-FLOOR-5M</x:v>
      </x:c>
      <x:c r="B89" s="393" t="str">
        <x:v>局内关卡01 走廊通用地砖 5×5×0.30m 白模</x:v>
      </x:c>
      <x:c r="C89" s="393" t="str">
        <x:v>未制作</x:v>
      </x:c>
      <x:c r="D89" s="393" t="str">
        <x:v>未制作</x:v>
      </x:c>
      <x:c r="E89" s="393" t="str">
        <x:v>source/art/whitebox/tower_zones/battle_level01/v002/blender/局内关卡01_白模_走廊地砖_5x5x0.3m_v002.blend</x:v>
      </x:c>
      <x:c r="F89" s="393" t="str">
        <x:v>走廊通用地砖白盒模块；按5m网格重复拼接形成走廊地面。</x:v>
      </x:c>
      <x:c r="G89" s="393" t="str">
        <x:v>未接入</x:v>
      </x:c>
      <x:c r="H89" s="393" t="str">
        <x:v>无</x:v>
      </x:c>
      <x:c r="I89" s="393" t="str">
        <x:v>无</x:v>
      </x:c>
      <x:c r="J89" s="393" t="str">
        <x:v>无</x:v>
      </x:c>
      <x:c r="K89" s="393" t="str">
        <x:v>5×5×0.30m</x:v>
      </x:c>
      <x:c r="L89" s="393" t="str">
        <x:v>房间局部坐标：X/Y居中；底面Z=0；Godot -Z</x:v>
      </x:c>
      <x:c r="M89" s="393" t="str">
        <x:v>局内关卡01 / Battle</x:v>
      </x:c>
      <x:c r="N89" s="393" t="str">
        <x:v>白模源已完成；QA PASS</x:v>
      </x:c>
      <x:c r="O89" s="393" t="str">
        <x:v>v002</x:v>
      </x:c>
      <x:c r="P89" s="393" t="str">
        <x:v>普通层16节点树共15条逻辑连接边复用该通用模块。输出组件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90" ht="90" customHeight="1">
      <x:c r="A90" s="393" t="str">
        <x:v>ENV-BATTLE-L01-CORRIDOR-WALL-5M</x:v>
      </x:c>
      <x:c r="B90" s="393" t="str">
        <x:v>局内关卡01 走廊通用墙壁 5×0.30×11.9m 白模</x:v>
      </x:c>
      <x:c r="C90" s="393" t="str">
        <x:v>未制作</x:v>
      </x:c>
      <x:c r="D90" s="393" t="str">
        <x:v>未制作</x:v>
      </x:c>
      <x:c r="E90" s="393" t="str">
        <x:v>source/art/whitebox/tower_zones/battle_level01/v002/blender/局内关卡01_白模_走廊墙壁_5x0.3x11.9m_v002.blend</x:v>
      </x:c>
      <x:c r="F90" s="393" t="str">
        <x:v>走廊通用墙壁白盒模块；按5m模数旋转连续拼接形成走廊边界。</x:v>
      </x:c>
      <x:c r="G90" s="393" t="str">
        <x:v>未接入</x:v>
      </x:c>
      <x:c r="H90" s="393" t="str">
        <x:v>无</x:v>
      </x:c>
      <x:c r="I90" s="393" t="str">
        <x:v>无</x:v>
      </x:c>
      <x:c r="J90" s="393" t="str">
        <x:v>无</x:v>
      </x:c>
      <x:c r="K90" s="393" t="str">
        <x:v>5×0.30×11.9m</x:v>
      </x:c>
      <x:c r="L90" s="393" t="str">
        <x:v>房间局部坐标：X/Y居中；底面Z=0；Godot -Z</x:v>
      </x:c>
      <x:c r="M90" s="393" t="str">
        <x:v>局内关卡01 / Battle</x:v>
      </x:c>
      <x:c r="N90" s="393" t="str">
        <x:v>白模源已完成；QA PASS</x:v>
      </x:c>
      <x:c r="O90" s="393" t="str">
        <x:v>v002</x:v>
      </x:c>
      <x:c r="P90" s="393" t="str">
        <x:v>普通层16节点树共15条逻辑连接边复用该通用模块。输出组件4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280">
      <x:c r="T280"/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设施组件 3D Prefab</x:t>
        </x:is>
      </x:c>
    </x:row>
    <x:row r="2" ht="34" customHeight="1">
      <x:c r="A2" s="145" t="inlineStr">
        <x:is>
          <x:t xml:space="preserve">门扇、终端、工作台、储物与服务设施；设施模型统一引用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PRP-BASE-FACILITY-3D</x:t>
        </x:is>
      </x:c>
      <x:c r="B5" s="189" t="inlineStr">
        <x:is>
          <x:t xml:space="preserve">基地设施3D通用模块</x:t>
        </x:is>
      </x:c>
      <x:c r="C5" s="189" t="inlineStr">
        <x:is>
          <x:t xml:space="preserve">assets/art/props/base_world_3d/prp_base_facility_root_top3d_v001.tscn</x:t>
        </x:is>
      </x:c>
      <x:c r="D5" s="189" t="str"/>
      <x:c r="E5" s="189" t="str"/>
      <x:c r="F5" s="189" t="inlineStr">
        <x:is>
          <x:t xml:space="preserve">设施或交互Prefab；保留自身脚本、碰撞和状态接口</x:t>
        </x:is>
      </x:c>
      <x:c r="G5" s="189" t="inlineStr">
        <x:is>
          <x:t xml:space="preserve">src/base3d/BaseFacility3D.gd</x:t>
        </x:is>
      </x:c>
      <x:c r="H5" s="189" t="inlineStr">
        <x:is>
          <x:t xml:space="preserve">开</x:t>
        </x:is>
      </x:c>
      <x:c r="I5" s="189" t="inlineStr">
        <x:is>
          <x:t xml:space="preserve">Prefab自身</x:t>
        </x:is>
      </x:c>
      <x:c r="J5" s="189" t="inlineStr">
        <x:is>
          <x:t xml:space="preserve">BoxShape3D</x:t>
        </x:is>
      </x:c>
      <x:c r="K5" s="189" t="inlineStr">
        <x:is>
          <x:t xml:space="preserve">PackedScene/材质变体/名称与实时摘要共用Label3D</x:t>
        </x:is>
      </x:c>
      <x:c r="L5" s="189" t="inlineStr">
        <x:is>
          <x:t xml:space="preserve">未声明</x:t>
        </x:is>
      </x:c>
      <x:c r="M5" s="189" t="inlineStr">
        <x:is>
          <x:t xml:space="preserve">8类基地设施/统一状态牌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根节点=BaseFacility3D(Area3D)</x:t>
        </x:is>
      </x:c>
    </x:row>
    <x:row r="6" ht="66" customHeight="1">
      <x:c r="A6" s="191" t="inlineStr">
        <x:is>
          <x:t xml:space="preserve">PRP-BASE-VENDING-MACHINE-3D</x:t>
        </x:is>
      </x:c>
      <x:c r="B6" s="192" t="inlineStr">
        <x:is>
          <x:t xml:space="preserve">基地科幻自动贩卖机</x:t>
        </x:is>
      </x:c>
      <x:c r="C6" s="192" t="inlineStr">
        <x:is>
          <x:t xml:space="preserve">assets/art/props/base_world_3d/prp_base_vending_machine_root_top3d_v001.tscn</x:t>
        </x:is>
      </x:c>
      <x:c r="D6" s="192" t="str"/>
      <x:c r="E6" s="192" t="inlineStr">
        <x:is>
          <x:t xml:space="preserve">assets/art/props/base_world_3d/source/vending_machine/prp_base_vending_machine_source_v001.blend</x:t>
        </x:is>
      </x:c>
      <x:c r="F6" s="192" t="inlineStr">
        <x:is>
          <x:t xml:space="preserve">设施或交互Prefab；保留自身脚本、碰撞和状态接口</x:t>
        </x:is>
      </x:c>
      <x:c r="G6" s="192" t="inlineStr">
        <x:is>
          <x:t xml:space="preserve">src/base3d/BaseFacility3D.gd</x:t>
        </x:is>
      </x:c>
      <x:c r="H6" s="192" t="inlineStr">
        <x:is>
          <x:t xml:space="preserve">开</x:t>
        </x:is>
      </x:c>
      <x:c r="I6" s="192" t="inlineStr">
        <x:is>
          <x:t xml:space="preserve">Prefab自身</x:t>
        </x:is>
      </x:c>
      <x:c r="J6" s="192" t="inlineStr">
        <x:is>
          <x:t xml:space="preserve">BoxShape3D</x:t>
        </x:is>
      </x:c>
      <x:c r="K6" s="192" t="inlineStr">
        <x:is>
          <x:t xml:space="preserve">4材质；主体/自发光分离；独立GLB/PackedScene</x:t>
        </x:is>
      </x:c>
      <x:c r="L6" s="192" t="inlineStr">
        <x:is>
          <x:t xml:space="preserve">未声明</x:t>
        </x:is>
      </x:c>
      <x:c r="M6" s="192" t="inlineStr">
        <x:is>
          <x:t xml:space="preserve">BaseWorld3D/TowerDescent99F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v002</x:t>
        </x:is>
      </x:c>
      <x:c r="P6" s="193" t="inlineStr">
        <x:is>
          <x:t xml:space="preserve">根节点=BaseVendingMachine3D(Area3D)；资产主表当前Prefab=assets/art/props/base_world_3d/runtime/vending_machine/prp_base_vending_machine_root_top3d_v002.tscn；旧版Prefab保留用于回滚；正式版本为v002</x:t>
        </x:is>
      </x:c>
    </x:row>
    <x:row r="7" ht="66" customHeight="1">
      <x:c r="A7" s="191" t="inlineStr">
        <x:is>
          <x:t xml:space="preserve">PRP-DUNGEON-GATE-3D</x:t>
        </x:is>
      </x:c>
      <x:c r="B7" s="192" t="inlineStr">
        <x:is>
          <x:t xml:space="preserve">地下城入口3D模块</x:t>
        </x:is>
      </x:c>
      <x:c r="C7" s="192" t="inlineStr">
        <x:is>
          <x:t xml:space="preserve">assets/art/props/base_world_3d/prp_dungeon_gate_root_top3d_v001.tscn</x:t>
        </x:is>
      </x:c>
      <x:c r="D7" s="192" t="str"/>
      <x:c r="E7" s="192" t="str"/>
      <x:c r="F7" s="192" t="inlineStr">
        <x:is>
          <x:t xml:space="preserve">设施或交互Prefab；保留自身脚本、碰撞和状态接口</x:t>
        </x:is>
      </x:c>
      <x:c r="G7" s="192" t="inlineStr">
        <x:is>
          <x:t xml:space="preserve">src/base3d/DungeonEntrance3D.gd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BoxShape3D</x:t>
        </x:is>
      </x:c>
      <x:c r="K7" s="192" t="inlineStr">
        <x:is>
          <x:t xml:space="preserve">PackedScene/材质变体</x:t>
        </x:is>
      </x:c>
      <x:c r="L7" s="192" t="inlineStr">
        <x:is>
          <x:t xml:space="preserve">未声明</x:t>
        </x:is>
      </x:c>
      <x:c r="M7" s="192" t="inlineStr">
        <x:is>
          <x:t xml:space="preserve">4个地下城入口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根节点=DungeonEntrance3D(Area3D)</x:t>
        </x:is>
      </x:c>
    </x:row>
    <x:row r="8" ht="66" customHeight="1">
      <x:c r="A8" s="191" t="inlineStr">
        <x:is>
          <x:t xml:space="preserve">PRP-BASE-LOCKER-STATION-3D</x:t>
        </x:is>
      </x:c>
      <x:c r="B8" s="192" t="inlineStr">
        <x:is>
          <x:t xml:space="preserve">赛博储物站</x:t>
        </x:is>
      </x:c>
      <x:c r="C8" s="192" t="inlineStr">
        <x:is>
          <x:t xml:space="preserve">assets/art/props/base_world_3d/runtime/locker_station/prp_base_locker_station_root_top3d_v001.tscn</x:t>
        </x:is>
      </x:c>
      <x:c r="D8" s="192" t="inlineStr">
        <x:is>
          <x:t xml:space="preserve">assets/art/props/base_world_3d/components/locker_station/prp_base_locker_station_visual_top3d_v004.glb</x:t>
        </x:is>
      </x:c>
      <x:c r="E8" s="192" t="inlineStr">
        <x:is>
          <x:t xml:space="preserve">assets/art/props/base_world_3d/source/locker_station/prp_base_locker_station_source_v004.blend</x:t>
        </x:is>
      </x:c>
      <x:c r="F8" s="192" t="inlineStr">
        <x:is>
          <x:t xml:space="preserve">设施或交互Prefab；保留自身脚本、碰撞和状态接口</x:t>
        </x:is>
      </x:c>
      <x:c r="G8" s="192" t="inlineStr">
        <x:is>
          <x:t xml:space="preserve">src/base3d/BaseFacility3D.gd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BoxShape3D</x:t>
        </x:is>
      </x:c>
      <x:c r="K8" s="192" t="inlineStr">
        <x:is>
          <x:t xml:space="preserve">4材质；主体/自发光分离；独立GLB/PackedScene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基地99层/保险柜设施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v004</x:t>
        </x:is>
      </x:c>
      <x:c r="P8" s="193" t="inlineStr">
        <x:is>
          <x:t xml:space="preserve">根节点=赛博储物站(Area3D)</x:t>
        </x:is>
      </x:c>
    </x:row>
    <x:row r="9" ht="66" customHeight="1">
      <x:c r="A9" s="191" t="inlineStr">
        <x:is>
          <x:t xml:space="preserve">PRP-BASE-BRIEFING</x:t>
        </x:is>
      </x:c>
      <x:c r="B9" s="192" t="inlineStr">
        <x:is>
          <x:t xml:space="preserve">远征情报终端 / 战术情报指挥桌</x:t>
        </x:is>
      </x:c>
      <x:c r="C9" s="192" t="inlineStr">
        <x:is>
          <x:t xml:space="preserve">assets/art/props/base_world_3d/runtime/mission_operations/prp_base_mission_operations_root_top3d_v001.tscn</x:t>
        </x:is>
      </x:c>
      <x:c r="D9" s="192" t="inlineStr">
        <x:is>
          <x:t xml:space="preserve">assets/art/props/base_world_3d/components/mission_operations/prp_base_mission_operations_visual_top3d_v005.glb</x:t>
        </x:is>
      </x:c>
      <x:c r="E9" s="192" t="inlineStr">
        <x:is>
          <x:t xml:space="preserve">assets/art/props/base_world_3d/source/mission_operations/prp_base_mission_operations_source_v003.blend</x:t>
        </x:is>
      </x:c>
      <x:c r="F9" s="192" t="inlineStr">
        <x:is>
          <x:t xml:space="preserve">设施或交互Prefab；保留自身脚本、碰撞和状态接口</x:t>
        </x:is>
      </x:c>
      <x:c r="G9" s="192" t="inlineStr">
        <x:is>
          <x:t xml:space="preserve">src/base3d/BaseFacility3D.gd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BoxShape3D</x:t>
        </x:is>
      </x:c>
      <x:c r="K9" s="192" t="inlineStr">
        <x:is>
          <x:t xml:space="preserve">4材质；主体/自发光分离；独立GLB/PackedScene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BaseWorld3D/TowerDescent99F</x:t>
        </x:is>
      </x:c>
      <x:c r="N9" s="192" t="inlineStr">
        <x:is>
          <x:t xml:space="preserve">正式美术已接入</x:t>
        </x:is>
      </x:c>
      <x:c r="O9" s="192" t="inlineStr">
        <x:is>
          <x:t xml:space="preserve">v003</x:t>
        </x:is>
      </x:c>
      <x:c r="P9" s="193" t="inlineStr">
        <x:is>
          <x:t xml:space="preserve">根节点=远征情报终端(Area3D)</x:t>
        </x:is>
      </x:c>
    </x:row>
    <x:row r="10" ht="66" customHeight="1">
      <x:c r="A10" s="191" t="inlineStr">
        <x:is>
          <x:t xml:space="preserve">PRP-BASE-RETRO-TV-STATION-3D</x:t>
        </x:is>
      </x:c>
      <x:c r="B10" s="192" t="inlineStr">
        <x:is>
          <x:t xml:space="preserve">复古游戏电视站</x:t>
        </x:is>
      </x:c>
      <x:c r="C10" s="192" t="inlineStr">
        <x:is>
          <x:t xml:space="preserve">assets/art/props/base_world_3d/runtime/retro_tv_station/prp_base_retro_tv_station_root_top3d_v001.tscn</x:t>
        </x:is>
      </x:c>
      <x:c r="D10" s="192" t="inlineStr">
        <x:is>
          <x:t xml:space="preserve">assets/art/props/base_world_3d/components/retro_tv_station/prp_base_retro_tv_station_visual_top3d_v004.glb</x:t>
        </x:is>
      </x:c>
      <x:c r="E10" s="192" t="inlineStr">
        <x:is>
          <x:t xml:space="preserve">assets/art/props/base_world_3d/source/retro_tv_station/prp_base_retro_tv_station_source_v004.blend</x:t>
        </x:is>
      </x:c>
      <x:c r="F10" s="192" t="inlineStr">
        <x:is>
          <x:t xml:space="preserve">设施或交互Prefab；保留自身脚本、碰撞和状态接口</x:t>
        </x:is>
      </x:c>
      <x:c r="G10" s="192" t="inlineStr">
        <x:is>
          <x:t xml:space="preserve">src/base3d/BaseFacility3D.gd</x:t>
        </x:is>
      </x:c>
      <x:c r="H10" s="192" t="inlineStr">
        <x:is>
          <x:t xml:space="preserve">开</x:t>
        </x:is>
      </x:c>
      <x:c r="I10" s="192" t="inlineStr">
        <x:is>
          <x:t xml:space="preserve">Prefab自身</x:t>
        </x:is>
      </x:c>
      <x:c r="J10" s="192" t="inlineStr">
        <x:is>
          <x:t xml:space="preserve">BoxShape3D</x:t>
        </x:is>
      </x:c>
      <x:c r="K10" s="192" t="inlineStr">
        <x:is>
          <x:t xml:space="preserve">4材质；主体/自发光分离；独立GLB/PackedScene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基地99层/命运卡收藏室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v004</x:t>
        </x:is>
      </x:c>
      <x:c r="P10" s="193" t="inlineStr">
        <x:is>
          <x:t xml:space="preserve">根节点=复古游戏电视站(Area3D)</x:t>
        </x:is>
      </x:c>
    </x:row>
    <x:row r="11" ht="66" customHeight="1">
      <x:c r="A11" s="191" t="inlineStr">
        <x:is>
          <x:t xml:space="preserve">PRP-BASE-VENDING-MACHINE-3D</x:t>
        </x:is>
      </x:c>
      <x:c r="B11" s="192" t="inlineStr">
        <x:is>
          <x:t xml:space="preserve">基地科幻自动贩卖机</x:t>
        </x:is>
      </x:c>
      <x:c r="C11" s="192" t="inlineStr">
        <x:is>
          <x:t xml:space="preserve">assets/art/props/base_world_3d/runtime/vending_machine/prp_base_vending_machine_root_top3d_v002.tscn</x:t>
        </x:is>
      </x:c>
      <x:c r="D11" s="192" t="inlineStr">
        <x:is>
          <x:t xml:space="preserve">assets/art/props/base_world_3d/components/vending_machine/prp_base_vending_machine_visual_top3d_v003.glb</x:t>
        </x:is>
      </x:c>
      <x:c r="E11" s="192" t="inlineStr">
        <x:is>
          <x:t xml:space="preserve">assets/art/props/base_world_3d/source/vending_machine/prp_base_vending_machine_source_v001.blend</x:t>
        </x:is>
      </x:c>
      <x:c r="F11" s="192" t="inlineStr">
        <x:is>
          <x:t xml:space="preserve">设施或交互Prefab；保留自身脚本、碰撞和状态接口</x:t>
        </x:is>
      </x:c>
      <x:c r="G11" s="192" t="inlineStr">
        <x:is>
          <x:t xml:space="preserve">src/base3d/BaseFacility3D.gd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4材质；主体/自发光分离；独立GLB/PackedScene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BaseWorld3D/TowerDescent99F</x:t>
        </x:is>
      </x:c>
      <x:c r="N11" s="192" t="inlineStr">
        <x:is>
          <x:t xml:space="preserve">正式美术已接入</x:t>
        </x:is>
      </x:c>
      <x:c r="O11" s="192" t="inlineStr">
        <x:is>
          <x:t xml:space="preserve">v002</x:t>
        </x:is>
      </x:c>
      <x:c r="P11" s="193" t="inlineStr">
        <x:is>
          <x:t xml:space="preserve">根节点=自动贩卖机(Area3D)</x:t>
        </x:is>
      </x:c>
    </x:row>
    <x:row r="12" ht="66" customHeight="1">
      <x:c r="A12" s="191" t="inlineStr">
        <x:is>
          <x:t xml:space="preserve">PRP-BASE-WORKSHOP</x:t>
        </x:is>
      </x:c>
      <x:c r="B12" s="192" t="inlineStr">
        <x:is>
          <x:t xml:space="preserve">枪械工坊 / 赛博维修工作台</x:t>
        </x:is>
      </x:c>
      <x:c r="C12" s="192" t="inlineStr">
        <x:is>
          <x:t xml:space="preserve">assets/art/props/base_world_3d/runtime/weapon_workshop/prp_base_weapon_workshop_root_top3d_v001.tscn</x:t>
        </x:is>
      </x:c>
      <x:c r="D12" s="192" t="inlineStr">
        <x:is>
          <x:t xml:space="preserve">assets/art/props/base_world_3d/components/weapon_workshop/prp_base_weapon_workshop_visual_top3d_v005.glb</x:t>
        </x:is>
      </x:c>
      <x:c r="E12" s="192" t="inlineStr">
        <x:is>
          <x:t xml:space="preserve">assets/art/props/base_world_3d/source/weapon_workshop/prp_base_weapon_workshop_source_v003.blend</x:t>
        </x:is>
      </x:c>
      <x:c r="F12" s="192" t="inlineStr">
        <x:is>
          <x:t xml:space="preserve">设施或交互Prefab；保留自身脚本、碰撞和状态接口</x:t>
        </x:is>
      </x:c>
      <x:c r="G12" s="192" t="inlineStr">
        <x:is>
          <x:t xml:space="preserve">src/base3d/BaseFacility3D.gd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4材质；主体/自发光分离；独立GLB/PackedScene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BaseWorld3D/TowerDescent99F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v003</x:t>
        </x:is>
      </x:c>
      <x:c r="P12" s="193" t="inlineStr">
        <x:is>
          <x:t xml:space="preserve">根节点=枪械工坊(Area3D)</x:t>
        </x:is>
      </x:c>
    </x:row>
    <x:row r="13" ht="66" customHeight="1">
      <x:c r="A13" s="191" t="inlineStr">
        <x:is>
          <x:t xml:space="preserve">PRP-BASE-FACILITY-LIGHT-GRID-3D</x:t>
        </x:is>
      </x:c>
      <x:c r="B13" s="192" t="inlineStr">
        <x:is>
          <x:t xml:space="preserve">基地设施灯光网格</x:t>
        </x:is>
      </x:c>
      <x:c r="C13" s="192" t="inlineStr">
        <x:is>
          <x:t xml:space="preserve">assets/art/props/dungeon_3d/prp_base_facility_light_grid_root_top3d_v001.tscn</x:t>
        </x:is>
      </x:c>
      <x:c r="D13" s="192" t="str"/>
      <x:c r="E13" s="192" t="str"/>
      <x:c r="F13" s="192" t="inlineStr">
        <x:is>
          <x:t xml:space="preserve">设施或交互Prefab；保留自身脚本、碰撞和状态接口</x:t>
        </x:is>
      </x:c>
      <x:c r="G13" s="192" t="str"/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设施组件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根节点=BaseFacilityLightGrid(Node3D)；子Prefab=1；2026-08-18扫描补登记资产主表</x:t>
        </x:is>
      </x:c>
    </x:row>
    <x:row r="14" ht="66" customHeight="1">
      <x:c r="A14" s="191" t="inlineStr">
        <x:is>
          <x:t xml:space="preserve">PRP-EXTRACTION-BEACON-3D</x:t>
        </x:is>
      </x:c>
      <x:c r="B14" s="192" t="inlineStr">
        <x:is>
          <x:t xml:space="preserve">撤离信标3D模块</x:t>
        </x:is>
      </x:c>
      <x:c r="C14" s="192" t="inlineStr">
        <x:is>
          <x:t xml:space="preserve">assets/art/props/dungeon_3d/prp_extraction_beacon_root_top3d_v001.tscn</x:t>
        </x:is>
      </x:c>
      <x:c r="D14" s="192" t="str"/>
      <x:c r="E14" s="192" t="str"/>
      <x:c r="F14" s="192" t="inlineStr">
        <x:is>
          <x:t xml:space="preserve">设施或交互Prefab；保留自身脚本、碰撞和状态接口</x:t>
        </x:is>
      </x:c>
      <x:c r="G14" s="192" t="inlineStr">
        <x:is>
          <x:t xml:space="preserve">src/world3d/ExtractionBeacon3D.gd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脚本生成</x:t>
        </x:is>
      </x:c>
      <x:c r="K14" s="192" t="inlineStr">
        <x:is>
          <x:t xml:space="preserve">PackedScene/程序组件</x:t>
        </x:is>
      </x:c>
      <x:c r="L14" s="192" t="inlineStr">
        <x:is>
          <x:t xml:space="preserve">未声明</x:t>
        </x:is>
      </x:c>
      <x:c r="M14" s="192" t="inlineStr">
        <x:is>
          <x:t xml:space="preserve">四主题撤离房</x:t>
        </x:is>
      </x:c>
      <x:c r="N14" s="192" t="inlineStr">
        <x:is>
          <x:t xml:space="preserve">原型已接入</x:t>
        </x:is>
      </x:c>
      <x:c r="O14" s="192" t="inlineStr">
        <x:is>
          <x:t xml:space="preserve">v001</x:t>
        </x:is>
      </x:c>
      <x:c r="P14" s="193" t="inlineStr">
        <x:is>
          <x:t xml:space="preserve">根节点=ExtractionBeacon3D(Area3D)</x:t>
        </x:is>
      </x:c>
    </x:row>
    <x:row r="15" ht="66" customHeight="1">
      <x:c r="A15" s="191" t="inlineStr">
        <x:is>
          <x:t xml:space="preserve">PRP-ROOM-LIGHT-SWITCH-3D</x:t>
        </x:is>
      </x:c>
      <x:c r="B15" s="192" t="inlineStr">
        <x:is>
          <x:t xml:space="preserve">房间中央灯墙面开关3D</x:t>
        </x:is>
      </x:c>
      <x:c r="C15" s="192" t="inlineStr">
        <x:is>
          <x:t xml:space="preserve">assets/art/props/dungeon_3d/prp_room_light_switch_root_top3d_v001.tscn</x:t>
        </x:is>
      </x:c>
      <x:c r="D15" s="192" t="str"/>
      <x:c r="E15" s="192" t="str"/>
      <x:c r="F15" s="192" t="inlineStr">
        <x:is>
          <x:t xml:space="preserve">设施或交互Prefab；保留自身脚本、碰撞和状态接口</x:t>
        </x:is>
      </x:c>
      <x:c r="G15" s="192" t="inlineStr">
        <x:is>
          <x:t xml:space="preserve">src/world3d/RoomLightSwitch3D.gd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脚本生成</x:t>
        </x:is>
      </x:c>
      <x:c r="K15" s="192" t="inlineStr">
        <x:is>
          <x:t xml:space="preserve">PackedScene/Area3D</x:t>
        </x:is>
      </x:c>
      <x:c r="L15" s="192" t="inlineStr">
        <x:is>
          <x:t xml:space="preserve">未声明</x:t>
        </x:is>
      </x:c>
      <x:c r="M15" s="192" t="inlineStr">
        <x:is>
          <x:t xml:space="preserve">随机关卡房间/四主题复用</x:t>
        </x:is>
      </x:c>
      <x:c r="N15" s="192" t="inlineStr">
        <x:is>
          <x:t xml:space="preserve">原型已接入</x:t>
        </x:is>
      </x:c>
      <x:c r="O15" s="192" t="inlineStr">
        <x:is>
          <x:t xml:space="preserve">v001</x:t>
        </x:is>
      </x:c>
      <x:c r="P15" s="193" t="inlineStr">
        <x:is>
          <x:t xml:space="preserve">根节点=RoomLightSwitch3D(Area3D)</x:t>
        </x:is>
      </x:c>
    </x:row>
    <x:row r="16" ht="66" customHeight="1">
      <x:c r="A16" s="191" t="inlineStr">
        <x:is>
          <x:t xml:space="preserve">PRP-SEARCH-CONTAINER-3D</x:t>
        </x:is>
      </x:c>
      <x:c r="B16" s="192" t="inlineStr">
        <x:is>
          <x:t xml:space="preserve">可搜索容器3D通用模块</x:t>
        </x:is>
      </x:c>
      <x:c r="C16" s="192" t="inlineStr">
        <x:is>
          <x:t xml:space="preserve">assets/art/props/dungeon_3d/prp_search_container_root_top3d_v001.tscn</x:t>
        </x:is>
      </x:c>
      <x:c r="D16" s="192" t="str"/>
      <x:c r="E16" s="192" t="str"/>
      <x:c r="F16" s="192" t="inlineStr">
        <x:is>
          <x:t xml:space="preserve">设施或交互Prefab；保留自身脚本、碰撞和状态接口</x:t>
        </x:is>
      </x:c>
      <x:c r="G16" s="192" t="inlineStr">
        <x:is>
          <x:t xml:space="preserve">src/world3d/RoomFurniture3D.gd</x:t>
        </x:is>
      </x:c>
      <x:c r="H16" s="192" t="inlineStr">
        <x:is>
          <x:t xml:space="preserve">开</x:t>
        </x:is>
      </x:c>
      <x:c r="I16" s="192" t="inlineStr">
        <x:is>
          <x:t xml:space="preserve">Prefab自身</x:t>
        </x:is>
      </x:c>
      <x:c r="J16" s="192" t="inlineStr">
        <x:is>
          <x:t xml:space="preserve">脚本生成</x:t>
        </x:is>
      </x:c>
      <x:c r="K16" s="192" t="inlineStr">
        <x:is>
          <x:t xml:space="preserve">PackedScene/搜索状态</x:t>
        </x:is>
      </x:c>
      <x:c r="L16" s="192" t="inlineStr">
        <x:is>
          <x:t xml:space="preserve">未声明</x:t>
        </x:is>
      </x:c>
      <x:c r="M16" s="192" t="inlineStr">
        <x:is>
          <x:t xml:space="preserve">搜索房/仓储/事件</x:t>
        </x:is>
      </x:c>
      <x:c r="N16" s="192" t="inlineStr">
        <x:is>
          <x:t xml:space="preserve">原型已接入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根节点=SearchContainer3D(Area3D)</x:t>
        </x:is>
      </x:c>
    </x:row>
    <x:row r="17" ht="66" customHeight="1">
      <x:c r="A17" s="191" t="inlineStr">
        <x:is>
          <x:t xml:space="preserve">PRP-SERVICE-STATION-3D</x:t>
        </x:is>
      </x:c>
      <x:c r="B17" s="192" t="inlineStr">
        <x:is>
          <x:t xml:space="preserve">废土服务终端3D模块</x:t>
        </x:is>
      </x:c>
      <x:c r="C17" s="192" t="inlineStr">
        <x:is>
          <x:t xml:space="preserve">assets/art/props/dungeon_3d/prp_service_station_root_top3d_v001.tscn</x:t>
        </x:is>
      </x:c>
      <x:c r="D17" s="192" t="str"/>
      <x:c r="E17" s="192" t="str"/>
      <x:c r="F17" s="192" t="inlineStr">
        <x:is>
          <x:t xml:space="preserve">设施或交互Prefab；保留自身脚本、碰撞和状态接口</x:t>
        </x:is>
      </x:c>
      <x:c r="G17" s="192" t="inlineStr">
        <x:is>
          <x:t xml:space="preserve">src/world3d/ServiceStation3D.gd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脚本生成</x:t>
        </x:is>
      </x:c>
      <x:c r="K17" s="192" t="inlineStr">
        <x:is>
          <x:t xml:space="preserve">PackedScene/程序组件</x:t>
        </x:is>
      </x:c>
      <x:c r="L17" s="192" t="inlineStr">
        <x:is>
          <x:t xml:space="preserve">未声明</x:t>
        </x:is>
      </x:c>
      <x:c r="M17" s="192" t="inlineStr">
        <x:is>
          <x:t xml:space="preserve">商店/升级/事件/重置</x:t>
        </x:is>
      </x:c>
      <x:c r="N17" s="192" t="inlineStr">
        <x:is>
          <x:t xml:space="preserve">原型已接入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根节点=ServiceStation3D(Area3D)</x:t>
        </x:is>
      </x:c>
    </x:row>
    <x:row r="18" ht="66" customHeight="1">
      <x:c r="A18" s="194" t="inlineStr">
        <x:is>
          <x:t xml:space="preserve">PRP-WASTELAND-LIGHT-3D</x:t>
        </x:is>
      </x:c>
      <x:c r="B18" s="195" t="inlineStr">
        <x:is>
          <x:t xml:space="preserve">废土灯具3D通用模块（街灯/顶灯）</x:t>
        </x:is>
      </x:c>
      <x:c r="C18" s="195" t="inlineStr">
        <x:is>
          <x:t xml:space="preserve">assets/art/props/dungeon_3d/prp_wasteland_light_root_top3d_v001.tscn</x:t>
        </x:is>
      </x:c>
      <x:c r="D18" s="195" t="str"/>
      <x:c r="E18" s="195" t="str"/>
      <x:c r="F18" s="195" t="inlineStr">
        <x:is>
          <x:t xml:space="preserve">设施或交互Prefab；保留自身脚本、碰撞和状态接口</x:t>
        </x:is>
      </x:c>
      <x:c r="G18" s="195" t="inlineStr">
        <x:is>
          <x:t xml:space="preserve">src/world3d/WastelandLight3D.gd</x:t>
        </x:is>
      </x:c>
      <x:c r="H18" s="195" t="inlineStr">
        <x:is>
          <x:t xml:space="preserve">无</x:t>
        </x:is>
      </x:c>
      <x:c r="I18" s="195" t="inlineStr">
        <x:is>
          <x:t xml:space="preserve">无</x:t>
        </x:is>
      </x:c>
      <x:c r="J18" s="195" t="inlineStr">
        <x:is>
          <x:t xml:space="preserve">无</x:t>
        </x:is>
      </x:c>
      <x:c r="K18" s="195" t="inlineStr">
        <x:is>
          <x:t xml:space="preserve">PackedScene/OmniLight3D</x:t>
        </x:is>
      </x:c>
      <x:c r="L18" s="195" t="inlineStr">
        <x:is>
          <x:t xml:space="preserve">未声明</x:t>
        </x:is>
      </x:c>
      <x:c r="M18" s="195" t="inlineStr">
        <x:is>
          <x:t xml:space="preserve">关卡/靶场/房间中央照明</x:t>
        </x:is>
      </x:c>
      <x:c r="N18" s="195" t="inlineStr">
        <x:is>
          <x:t xml:space="preserve">原型已接入</x:t>
        </x:is>
      </x:c>
      <x:c r="O18" s="195" t="inlineStr">
        <x:is>
          <x:t xml:space="preserve">v001</x:t>
        </x:is>
      </x:c>
      <x:c r="P18" s="196" t="inlineStr">
        <x:is>
          <x:t xml:space="preserve">根节点=WastelandLight3D(Node3D)</x:t>
        </x:is>
      </x:c>
    </x:row>
    <x:row r="19">
      <x:c r="A19" s="349" t="inlineStr">
        <x:is>
          <x:t xml:space="preserve">ENV-BASE99-DOOR-LIFT-22X25</x:t>
        </x:is>
      </x:c>
      <x:c r="B19" s="349" t="inlineStr">
        <x:is>
          <x:t xml:space="preserve">基地99层2.2×2.5米滑升门扇</x:t>
        </x:is>
      </x:c>
      <x:c r="C19" s="349" t="inlineStr">
        <x:is>
          <x:t xml:space="preserve">assets/art/environments/base_facility_3d/runtime/env_base99_door_lift_2p2x2p5/env_base99_door_lift_2p2x2p5_root_top3d_v001.tscn</x:t>
        </x:is>
      </x:c>
      <x:c r="D19" s="349" t="inlineStr">
        <x:is>
          <x:t xml:space="preserve">assets/art/environments/base_facility_3d/components/env_base99_door_lift_2p2x2p5/env_base99_door_lift_2p2x2p5_visual_top3d_v001.glb</x:t>
        </x:is>
      </x:c>
      <x:c r="E19" s="349" t="inlineStr">
        <x:is>
          <x:t xml:space="preserve">assets/art/environments/base_facility_3d/source/env_base99_modular_room/env_base99_modular_room_assets_clean_v001.blend</x:t>
        </x:is>
      </x:c>
      <x:c r="F19" s="349" t="inlineStr">
        <x:is>
          <x:t xml:space="preserve">滑升门视觉；门功能沿用RoomDoor3D</x:t>
        </x:is>
      </x:c>
      <x:c r="G19" s="349" t="inlineStr">
        <x:is>
          <x:t xml:space="preserve">src/world3d/RoomDoor3D.gd</x:t>
        </x:is>
      </x:c>
      <x:c r="H19" s="349" t="inlineStr">
        <x:is>
          <x:t xml:space="preserve">开</x:t>
        </x:is>
      </x:c>
      <x:c r="I19" s="349" t="inlineStr">
        <x:is>
          <x:t xml:space="preserve">外部脚本</x:t>
        </x:is>
      </x:c>
      <x:c r="J19" s="349" t="inlineStr">
        <x:is>
          <x:t xml:space="preserve">RoomDoor3D BoxShape3D</x:t>
        </x:is>
      </x:c>
      <x:c r="K19" s="349" t="inlineStr">
        <x:is>
          <x:t xml:space="preserve">2.2×0.325×2.5m；底边中心原点</x:t>
        </x:is>
      </x:c>
      <x:c r="L19" s="349" t="inlineStr">
        <x:is>
          <x:t xml:space="preserve">bottom_center；-Z</x:t>
        </x:is>
      </x:c>
      <x:c r="M19" s="349" t="inlineStr">
        <x:is>
          <x:t xml:space="preserve">99层基地东/西门</x:t>
        </x:is>
      </x:c>
      <x:c r="N19" s="349" t="inlineStr">
        <x:is>
          <x:t xml:space="preserve">正式美术已接入</x:t>
        </x:is>
      </x:c>
      <x:c r="O19" s="349" t="inlineStr">
        <x:is>
          <x:t xml:space="preserve">v001</x:t>
        </x:is>
      </x:c>
      <x:c r="P19" s="349" t="inlineStr">
        <x:is>
          <x:t xml:space="preserve">GLB无玩法碰撞；cast_and_receive；替换同路径GLB不改变门功能。</x:t>
        </x:is>
      </x:c>
    </x:row>
    <x:row r="20" ht="78" customHeight="1">
      <x:c r="A20" s="349" t="inlineStr">
        <x:is>
          <x:t xml:space="preserve">PRP-BASE-RECOVERY-STATION-3D</x:t>
        </x:is>
      </x:c>
      <x:c r="B20" s="349" t="inlineStr">
        <x:is>
          <x:t xml:space="preserve">基地状态恢复舱</x:t>
        </x:is>
      </x:c>
      <x:c r="C20" s="349" t="inlineStr">
        <x:is>
          <x:t xml:space="preserve">assets/art/props/base_world_3d/runtime/recovery_station/prp_base_recovery_station_root_top3d_v001.tscn</x:t>
        </x:is>
      </x:c>
      <x:c r="D20" s="349" t="n"/>
      <x:c r="E20" s="349" t="n"/>
      <x:c r="F20" s="349" t="inlineStr">
        <x:is>
          <x:t xml:space="preserve">消耗基地电量恢复HP与手电电量</x:t>
        </x:is>
      </x:c>
      <x:c r="G20" s="349" t="inlineStr">
        <x:is>
          <x:t xml:space="preserve">src/base3d/BaseFacility3D.gd; src/ui/BaseRecoveryMenu.gd; src/base/BaseEnergyService.gd</x:t>
        </x:is>
      </x:c>
      <x:c r="H20" s="349" t="inlineStr">
        <x:is>
          <x:t xml:space="preserve">开</x:t>
        </x:is>
      </x:c>
      <x:c r="I20" s="349" t="inlineStr">
        <x:is>
          <x:t xml:space="preserve">Prefab自身</x:t>
        </x:is>
      </x:c>
      <x:c r="J20" s="349" t="inlineStr">
        <x:is>
          <x:t xml:space="preserve">Area3D交互+BoxShape3D实体</x:t>
        </x:is>
      </x:c>
      <x:c r="K20" s="349" t="inlineStr">
        <x:is>
          <x:t xml:space="preserve">设施根缩放1；程序占位视觉</x:t>
        </x:is>
      </x:c>
      <x:c r="L20" s="349" t="inlineStr">
        <x:is>
          <x:t xml:space="preserve">底面中心；-Z</x:t>
        </x:is>
      </x:c>
      <x:c r="M20" s="349" t="inlineStr">
        <x:is>
          <x:t xml:space="preserve">BaseWorld3D/TowerDescent99F</x:t>
        </x:is>
      </x:c>
      <x:c r="N20" s="349" t="inlineStr">
        <x:is>
          <x:t xml:space="preserve">功能已接入/正式模型待补</x:t>
        </x:is>
      </x:c>
      <x:c r="O20" s="349" t="inlineStr">
        <x:is>
          <x:t xml:space="preserve">v001</x:t>
        </x:is>
      </x:c>
      <x:c r="P20" s="349" t="inlineStr">
        <x:is>
          <x:t xml:space="preserve">手电在基地只暂停耗电；补电仅走恢复舱或电池</x:t>
        </x:is>
      </x:c>
    </x:row>
    <x:row r="21" ht="78" customHeight="1">
      <x:c r="A21" s="349" t="inlineStr">
        <x:is>
          <x:t xml:space="preserve">PRP-BASE-AVATAR-WARDROBE-001</x:t>
        </x:is>
      </x:c>
      <x:c r="B21" s="349" t="inlineStr">
        <x:is>
          <x:t xml:space="preserve">基地角色衣柜</x:t>
        </x:is>
      </x:c>
      <x:c r="C21" s="349" t="inlineStr">
        <x:is>
          <x:t xml:space="preserve">assets/art/props/base_world_3d/runtime/avatar_wardrobe/prp_base_avatar_wardrobe_root_top3d_v001.tscn</x:t>
        </x:is>
      </x:c>
      <x:c r="D21" s="349" t="inlineStr">
        <x:is>
          <x:t xml:space="preserve">assets/art/props/base_world_3d/components/locker_station/prp_base_locker_station_visual_top3d_v004.glb</x:t>
        </x:is>
      </x:c>
      <x:c r="E21" s="349" t="inlineStr">
        <x:is>
          <x:t xml:space="preserve">assets/art/props/base_world_3d/source/locker_station/prp_base_locker_station_source_v004.blend</x:t>
        </x:is>
      </x:c>
      <x:c r="F21" s="349" t="inlineStr">
        <x:is>
          <x:t xml:space="preserve">激活衣柜UI并预览/保存角色外观</x:t>
        </x:is>
      </x:c>
      <x:c r="G21" s="349" t="inlineStr">
        <x:is>
          <x:t xml:space="preserve">src/base3d/wardrobe/WardrobeFacility3D.gd; src/ui/wardrobe/WardrobeMenu3D.gd</x:t>
        </x:is>
      </x:c>
      <x:c r="H21" s="349" t="inlineStr">
        <x:is>
          <x:t xml:space="preserve">开</x:t>
        </x:is>
      </x:c>
      <x:c r="I21" s="349" t="inlineStr">
        <x:is>
          <x:t xml:space="preserve">Prefab自身</x:t>
        </x:is>
      </x:c>
      <x:c r="J21" s="349" t="inlineStr">
        <x:is>
          <x:t xml:space="preserve">Area3D交互+BoxShape3D实体；复用储物站视觉</x:t>
        </x:is>
      </x:c>
      <x:c r="K21" s="349" t="inlineStr">
        <x:is>
          <x:t xml:space="preserve">5×3.9×1.63m碰撞；根缩放1</x:t>
        </x:is>
      </x:c>
      <x:c r="L21" s="349" t="inlineStr">
        <x:is>
          <x:t xml:space="preserve">底面中心；-Z</x:t>
        </x:is>
      </x:c>
      <x:c r="M21" s="349" t="inlineStr">
        <x:is>
          <x:t xml:space="preserve">BaseWorld3D/TowerDescent99F</x:t>
        </x:is>
      </x:c>
      <x:c r="N21" s="349" t="inlineStr">
        <x:is>
          <x:t xml:space="preserve">功能已接入/复用模型</x:t>
        </x:is>
      </x:c>
      <x:c r="O21" s="349" t="inlineStr">
        <x:is>
          <x:t xml:space="preserve">v001</x:t>
        </x:is>
      </x:c>
      <x:c r="P21" s="349" t="inlineStr">
        <x:is>
          <x:t xml:space="preserve">6类方形物品格；每类≥3款；只改表现，不改碰撞与功能</x:t>
        </x:is>
      </x:c>
    </x:row>
    <x:row r="22">
      <x:c r="A22" t="inlineStr">
        <x:is>
          <x:t xml:space="preserve">PRP-BASE99-EAST-SUPPLY-24H-STATION-FACILITY-3D</x:t>
        </x:is>
      </x:c>
      <x:c r="B22" t="inlineStr">
        <x:is>
          <x:t xml:space="preserve">99F SUPPLY24H自动补给机（自动贩卖机）</x:t>
        </x:is>
      </x:c>
      <x:c r="C22" t="inlineStr">
        <x:is>
          <x:t xml:space="preserve">assets/art/environments/base_facility_3d/runtime/env_base99_remaining_facilities_v021/east_supply_24h_station/east_supply_24h_station_facility_top3d_v001.tscn</x:t>
        </x:is>
      </x:c>
      <x:c r="D22" t="inlineStr">
        <x:is>
          <x:t xml:space="preserve">assets/art/environments/base_facility_3d/components/env_base99_remaining_facilities_v021/east_supply_24h_station/east_supply_24h_station_visual_top3d_v001.glb</x:t>
        </x:is>
      </x:c>
      <x:c r="E22" t="inlineStr">
        <x:is>
          <x:t xml:space="preserve">source/art/blender/base_facility_layout/v021/base_facility_runtime_layout_hq_v021_remaining_facilities.blend</x:t>
        </x:is>
      </x:c>
      <x:c r="F22" t="inlineStr">
        <x:is>
          <x:t xml:space="preserve">BaseFacility3D 99F玩法包装；facility_id=base_vending；打开res://scenes/BaseVendingMenu.tscn；保持源资产世界位置与碰撞</x:t>
        </x:is>
      </x:c>
      <x:c r="G22" t="inlineStr">
        <x:is>
          <x:t xml:space="preserve">src/base3d/BaseFacility3D.gd</x:t>
        </x:is>
      </x:c>
      <x:c r="H22" t="inlineStr">
        <x:is>
          <x:t xml:space="preserve">开</x:t>
        </x:is>
      </x:c>
      <x:c r="I22" t="inlineStr">
        <x:is>
          <x:t xml:space="preserve">SourcePackage/StaticCollision</x:t>
        </x:is>
      </x:c>
      <x:c r="J22" t="inlineStr">
        <x:is>
          <x:t xml:space="preserve">源包逐物件BoxShape3D + 外扩0.8m锁定Area</x:t>
        </x:is>
      </x:c>
      <x:c r="K22" t="inlineStr">
        <x:is>
          <x:t xml:space="preserve">交互盒 4.720001×6.05×4.7m；模型包围盒+0.8m</x:t>
        </x:is>
      </x:c>
      <x:c r="L22" t="inlineStr">
        <x:is>
          <x:t xml:space="preserve">中心原点；SourcePackage反向偏移保留烘焙坐标</x:t>
        </x:is>
      </x:c>
      <x:c r="M22" t="inlineStr">
        <x:is>
          <x:t xml:space="preserve">TowerDescent99F / base_vending</x:t>
        </x:is>
      </x:c>
      <x:c r="N22" t="inlineStr">
        <x:is>
          <x:t xml:space="preserve">正式美术已接入</x:t>
        </x:is>
      </x:c>
      <x:c r="O22" t="inlineStr">
        <x:is>
          <x:t xml:space="preserve">v001</x:t>
        </x:is>
      </x:c>
      <x:c r="P22" t="inlineStr">
        <x:is>
          <x:t xml:space="preserve">source_package=assets/art/environments/base_facility_3d/runtime/env_base99_remaining_facilities_v021/east_supply_24h_station/east_supply_24h_station_root_top3d_v001.tscn；interaction_shape_locked=true；菜单=res://scenes/BaseVendingMenu.tscn</x:t>
        </x:is>
      </x:c>
    </x:row>
    <x:row r="23">
      <x:c r="A23" t="inlineStr">
        <x:is>
          <x:t xml:space="preserve">PRP-BASE99-NARROW-BATTERY-CABINET-FACILITY-3D</x:t>
        </x:is>
      </x:c>
      <x:c r="B23" t="inlineStr">
        <x:is>
          <x:t xml:space="preserve">99F 窄型电池柜（保险柜）</x:t>
        </x:is>
      </x:c>
      <x:c r="C23" t="inlineStr">
        <x:is>
          <x:t xml:space="preserve">assets/art/environments/base_facility_3d/runtime/env_base99_remaining_facilities_v021/narrow_battery_cabinet/narrow_battery_cabinet_facility_top3d_v001.tscn</x:t>
        </x:is>
      </x:c>
      <x:c r="D23" t="inlineStr">
        <x:is>
          <x:t xml:space="preserve">assets/art/environments/base_facility_3d/components/env_base99_remaining_facilities_v021/narrow_battery_cabinet/narrow_battery_cabinet_visual_top3d_v001.glb</x:t>
        </x:is>
      </x:c>
      <x:c r="E23" t="inlineStr">
        <x:is>
          <x:t xml:space="preserve">source/art/blender/base_facility_layout/v021/base_facility_runtime_layout_hq_v021_remaining_facilities.blend</x:t>
        </x:is>
      </x:c>
      <x:c r="F23" t="inlineStr">
        <x:is>
          <x:t xml:space="preserve">BaseFacility3D 99F玩法包装；facility_id=vault；打开res://scenes/VaultMenu.tscn；保持源资产世界位置与碰撞</x:t>
        </x:is>
      </x:c>
      <x:c r="G23" t="inlineStr">
        <x:is>
          <x:t xml:space="preserve">src/base3d/BaseFacility3D.gd</x:t>
        </x:is>
      </x:c>
      <x:c r="H23" t="inlineStr">
        <x:is>
          <x:t xml:space="preserve">开</x:t>
        </x:is>
      </x:c>
      <x:c r="I23" t="inlineStr">
        <x:is>
          <x:t xml:space="preserve">SourcePackage/StaticCollision</x:t>
        </x:is>
      </x:c>
      <x:c r="J23" t="inlineStr">
        <x:is>
          <x:t xml:space="preserve">源包逐物件BoxShape3D + 外扩0.8m锁定Area</x:t>
        </x:is>
      </x:c>
      <x:c r="K23" t="inlineStr">
        <x:is>
          <x:t xml:space="preserve">交互盒 3.18×4.82×2.39m；模型包围盒+0.8m</x:t>
        </x:is>
      </x:c>
      <x:c r="L23" t="inlineStr">
        <x:is>
          <x:t xml:space="preserve">中心原点；SourcePackage反向偏移保留烘焙坐标</x:t>
        </x:is>
      </x:c>
      <x:c r="M23" t="inlineStr">
        <x:is>
          <x:t xml:space="preserve">TowerDescent99F / vault</x:t>
        </x:is>
      </x:c>
      <x:c r="N23" t="inlineStr">
        <x:is>
          <x:t xml:space="preserve">正式美术已接入</x:t>
        </x:is>
      </x:c>
      <x:c r="O23" t="inlineStr">
        <x:is>
          <x:t xml:space="preserve">v001</x:t>
        </x:is>
      </x:c>
      <x:c r="P23" t="inlineStr">
        <x:is>
          <x:t xml:space="preserve">source_package=assets/art/environments/base_facility_3d/runtime/env_base99_remaining_facilities_v021/narrow_battery_cabinet/narrow_battery_cabinet_root_top3d_v001.tscn；interaction_shape_locked=true；菜单=res://scenes/VaultMenu.tscn</x:t>
        </x:is>
      </x:c>
    </x:row>
    <x:row r="24">
      <x:c r="A24" t="inlineStr">
        <x:is>
          <x:t xml:space="preserve">PRP-BASE99-WEAPON-WORKSHOP-STATION-FACILITY-3D</x:t>
        </x:is>
      </x:c>
      <x:c r="B24" t="inlineStr">
        <x:is>
          <x:t xml:space="preserve">99F 武器工作台（怪物档案室）</x:t>
        </x:is>
      </x:c>
      <x:c r="C24" t="inlineStr">
        <x:is>
          <x:t xml:space="preserve">assets/art/environments/base_facility_3d/runtime/env_base99_remaining_facilities_v021/weapon_workshop_station/weapon_workshop_station_facility_top3d_v001.tscn</x:t>
        </x:is>
      </x:c>
      <x:c r="D24" t="inlineStr">
        <x:is>
          <x:t xml:space="preserve">assets/art/environments/base_facility_3d/components/env_base99_remaining_facilities_v021/weapon_workshop_station/weapon_workshop_station_visual_top3d_v003.glb</x:t>
        </x:is>
      </x:c>
      <x:c r="E24" t="inlineStr">
        <x:is>
          <x:t xml:space="preserve">source/art/blender/base_facility_layout/source/base_facility_runtime_layout_hq_v022.blend</x:t>
        </x:is>
      </x:c>
      <x:c r="F24" t="inlineStr">
        <x:is>
          <x:t xml:space="preserve">BaseFacility3D 99F玩法包装；facility_id=monster_archive；打开res://scenes/MonsterArchiveMenu.tscn；保持源资产世界位置与碰撞</x:t>
        </x:is>
      </x:c>
      <x:c r="G24" t="inlineStr">
        <x:is>
          <x:t xml:space="preserve">src/base3d/BaseFacility3D.gd</x:t>
        </x:is>
      </x:c>
      <x:c r="H24" t="inlineStr">
        <x:is>
          <x:t xml:space="preserve">开</x:t>
        </x:is>
      </x:c>
      <x:c r="I24" t="inlineStr">
        <x:is>
          <x:t xml:space="preserve">SourcePackage/StaticCollision</x:t>
        </x:is>
      </x:c>
      <x:c r="J24" t="inlineStr">
        <x:is>
          <x:t xml:space="preserve">源包逐物件BoxShape3D + 外扩0.8m锁定Area</x:t>
        </x:is>
      </x:c>
      <x:c r="K24" t="inlineStr">
        <x:is>
          <x:t xml:space="preserve">交互盒 3.523101×5.31×7.35m；模型包围盒+0.8m</x:t>
        </x:is>
      </x:c>
      <x:c r="L24" t="inlineStr">
        <x:is>
          <x:t xml:space="preserve">中心原点；SourcePackage反向偏移保留烘焙坐标</x:t>
        </x:is>
      </x:c>
      <x:c r="M24" t="inlineStr">
        <x:is>
          <x:t xml:space="preserve">TowerDescent99F / monster_archive</x:t>
        </x:is>
      </x:c>
      <x:c r="N24" t="inlineStr">
        <x:is>
          <x:t xml:space="preserve">正式美术已接入</x:t>
        </x:is>
      </x:c>
      <x:c r="O24" t="inlineStr">
        <x:is>
          <x:t xml:space="preserve">v001</x:t>
        </x:is>
      </x:c>
      <x:c r="P24" t="inlineStr">
        <x:is>
          <x:t xml:space="preserve">source_package=assets/art/environments/base_facility_3d/runtime/env_base99_remaining_facilities_v021/weapon_workshop_station/weapon_workshop_station_root_top3d_v003.tscn；interaction_shape_locked=true；菜单=res://scenes/MonsterArchiveMenu.tscn</x:t>
        </x:is>
      </x:c>
    </x:row>
    <x:row r="25">
      <x:c r="A25" t="inlineStr">
        <x:is>
          <x:t xml:space="preserve">PRP-BASE99-LOFT-COMPUTER-WORKSTATION-FACILITY-3D</x:t>
        </x:is>
      </x:c>
      <x:c r="B25" t="inlineStr">
        <x:is>
          <x:t xml:space="preserve">99F 双屏电脑工位（命运卡收藏室）</x:t>
        </x:is>
      </x:c>
      <x:c r="C25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D25" t="inlineStr">
        <x:is>
          <x:t xml:space="preserve">assets/art/environments/base_facility_3d/components/env_base99_remaining_facilities_v021/loft_computer_workstation/loft_computer_workstation_visual_top3d_v002.glb</x:t>
        </x:is>
      </x:c>
      <x:c r="E25" t="inlineStr">
        <x:is>
          <x:t xml:space="preserve">source/art/blender/base_facility_layout/source/base_facility_runtime_layout_hq_v021.blend</x:t>
        </x:is>
      </x:c>
      <x:c r="F25" t="inlineStr">
        <x:is>
          <x:t xml:space="preserve">BaseFacility3D 99F玩法包装；facility_id=fate_collection；打开res://scenes/FateCardCollectionMenu.tscn；保持源资产世界位置与碰撞</x:t>
        </x:is>
      </x:c>
      <x:c r="G25" t="inlineStr">
        <x:is>
          <x:t xml:space="preserve">src/base3d/BaseFacility3D.gd</x:t>
        </x:is>
      </x:c>
      <x:c r="H25" t="inlineStr">
        <x:is>
          <x:t xml:space="preserve">开</x:t>
        </x:is>
      </x:c>
      <x:c r="I25" t="inlineStr">
        <x:is>
          <x:t xml:space="preserve">SourcePackage/StaticCollision</x:t>
        </x:is>
      </x:c>
      <x:c r="J25" t="inlineStr">
        <x:is>
          <x:t xml:space="preserve">源包逐物件BoxShape3D + 外扩0.8m锁定Area</x:t>
        </x:is>
      </x:c>
      <x:c r="K25" t="inlineStr">
        <x:is>
          <x:t xml:space="preserve">交互盒 9.134999×4.64×3.005m；模型包围盒+0.8m</x:t>
        </x:is>
      </x:c>
      <x:c r="L25" t="inlineStr">
        <x:is>
          <x:t xml:space="preserve">中心原点；SourcePackage反向偏移保留烘焙坐标</x:t>
        </x:is>
      </x:c>
      <x:c r="M25" t="inlineStr">
        <x:is>
          <x:t xml:space="preserve">TowerDescent99F / fate_collection</x:t>
        </x:is>
      </x:c>
      <x:c r="N25" t="inlineStr">
        <x:is>
          <x:t xml:space="preserve">正式美术已接入</x:t>
        </x:is>
      </x:c>
      <x:c r="O25" t="inlineStr">
        <x:is>
          <x:t xml:space="preserve">v001</x:t>
        </x:is>
      </x:c>
      <x:c r="P25" t="inlineStr">
        <x:is>
          <x:t xml:space="preserve">source_package=assets/art/environments/base_facility_3d/runtime/env_base99_remaining_facilities_v021/loft_computer_workstation/loft_computer_workstation_root_top3d_v002.tscn；interaction_shape_locked=true；菜单=res://scenes/FateCardCollectionMenu.tscn</x:t>
        </x:is>
      </x:c>
    </x:row>
    <x:row r="26">
      <x:c r="A26" t="inlineStr">
        <x:is>
          <x:t xml:space="preserve">PRP-BASE99-MEDICAL-CABINET-FACILITY-3D</x:t>
        </x:is>
      </x:c>
      <x:c r="B26" t="inlineStr">
        <x:is>
          <x:t xml:space="preserve">99F MEDICAL医疗柜（状态恢复舱）</x:t>
        </x:is>
      </x:c>
      <x:c r="C26" t="inlineStr">
        <x:is>
          <x:t xml:space="preserve">assets/art/environments/base_facility_3d/runtime/env_base99_remaining_facilities_v021/medical_cabinet/medical_cabinet_facility_top3d_v001.tscn</x:t>
        </x:is>
      </x:c>
      <x:c r="D26" t="inlineStr">
        <x:is>
          <x:t xml:space="preserve">assets/art/environments/base_facility_3d/components/env_base99_remaining_facilities_v021/medical_cabinet/medical_cabinet_visual_top3d_v001.glb</x:t>
        </x:is>
      </x:c>
      <x:c r="E26" t="inlineStr">
        <x:is>
          <x:t xml:space="preserve">source/art/blender/base_facility_layout/v021/base_facility_runtime_layout_hq_v021_remaining_facilities.blend</x:t>
        </x:is>
      </x:c>
      <x:c r="F26" t="inlineStr">
        <x:is>
          <x:t xml:space="preserve">BaseFacility3D 99F玩法包装；facility_id=base_recovery；打开res://scenes/BaseRecoveryMenu.tscn；保持源资产世界位置与碰撞</x:t>
        </x:is>
      </x:c>
      <x:c r="G26" t="inlineStr">
        <x:is>
          <x:t xml:space="preserve">src/base3d/BaseFacility3D.gd</x:t>
        </x:is>
      </x:c>
      <x:c r="H26" t="inlineStr">
        <x:is>
          <x:t xml:space="preserve">开</x:t>
        </x:is>
      </x:c>
      <x:c r="I26" t="inlineStr">
        <x:is>
          <x:t xml:space="preserve">SourcePackage/StaticCollision</x:t>
        </x:is>
      </x:c>
      <x:c r="J26" t="inlineStr">
        <x:is>
          <x:t xml:space="preserve">源包逐物件BoxShape3D + 外扩0.8m锁定Area</x:t>
        </x:is>
      </x:c>
      <x:c r="K26" t="inlineStr">
        <x:is>
          <x:t xml:space="preserve">交互盒 3.18×4.93×2.39m；模型包围盒+0.8m</x:t>
        </x:is>
      </x:c>
      <x:c r="L26" t="inlineStr">
        <x:is>
          <x:t xml:space="preserve">中心原点；SourcePackage反向偏移保留烘焙坐标</x:t>
        </x:is>
      </x:c>
      <x:c r="M26" t="inlineStr">
        <x:is>
          <x:t xml:space="preserve">TowerDescent99F / base_recovery</x:t>
        </x:is>
      </x:c>
      <x:c r="N26" t="inlineStr">
        <x:is>
          <x:t xml:space="preserve">正式美术已接入</x:t>
        </x:is>
      </x:c>
      <x:c r="O26" t="inlineStr">
        <x:is>
          <x:t xml:space="preserve">v001</x:t>
        </x:is>
      </x:c>
      <x:c r="P26" t="inlineStr">
        <x:is>
          <x:t xml:space="preserve">source_package=assets/art/environments/base_facility_3d/runtime/env_base99_remaining_facilities_v021/medical_cabinet/medical_cabinet_root_top3d_v001.tscn；interaction_shape_locked=true；菜单=res://scenes/BaseRecoveryMenu.tscn</x:t>
        </x:is>
      </x:c>
    </x:row>
    <x:row r="27">
      <x:c r="A27" t="inlineStr">
        <x:is>
          <x:t xml:space="preserve">PRP-BASE99-LOFT-LOUNGE-SOFA-FACILITY-3D</x:t>
        </x:is>
      </x:c>
      <x:c r="B27" t="inlineStr">
        <x:is>
          <x:t xml:space="preserve">99F 墨绿三人沙发（角色衣柜）</x:t>
        </x:is>
      </x:c>
      <x:c r="C27" t="inlineStr">
        <x:is>
          <x:t xml:space="preserve">assets/art/environments/base_facility_3d/runtime/env_base99_remaining_facilities_v021/loft_lounge_sofa/loft_lounge_sofa_facility_top3d_v001.tscn</x:t>
        </x:is>
      </x:c>
      <x:c r="D27" t="inlineStr">
        <x:is>
          <x:t xml:space="preserve">assets/art/environments/base_facility_3d/components/env_base99_remaining_facilities_v021/loft_lounge_sofa/loft_lounge_sofa_visual_top3d_v002.glb</x:t>
        </x:is>
      </x:c>
      <x:c r="E27" t="inlineStr">
        <x:is>
          <x:t xml:space="preserve">source/art/blender/base_facility_layout/source/base_facility_runtime_layout_hq_v021.blend</x:t>
        </x:is>
      </x:c>
      <x:c r="F27" t="inlineStr">
        <x:is>
          <x:t xml:space="preserve">BaseFacility3D 99F玩法包装；facility_id=avatar_wardrobe；打开res://scenes/ui/WardrobeMenu3D.tscn；保持源资产世界位置与碰撞</x:t>
        </x:is>
      </x:c>
      <x:c r="G27" t="inlineStr">
        <x:is>
          <x:t xml:space="preserve">src/base3d/BaseFacility3D.gd</x:t>
        </x:is>
      </x:c>
      <x:c r="H27" t="inlineStr">
        <x:is>
          <x:t xml:space="preserve">开</x:t>
        </x:is>
      </x:c>
      <x:c r="I27" t="inlineStr">
        <x:is>
          <x:t xml:space="preserve">SourcePackage/StaticCollision</x:t>
        </x:is>
      </x:c>
      <x:c r="J27" t="inlineStr">
        <x:is>
          <x:t xml:space="preserve">源包逐物件BoxShape3D + 外扩0.8m锁定Area</x:t>
        </x:is>
      </x:c>
      <x:c r="K27" t="inlineStr">
        <x:is>
          <x:t xml:space="preserve">交互盒 6.42×3.431646×3.481379m；模型包围盒+0.8m</x:t>
        </x:is>
      </x:c>
      <x:c r="L27" t="inlineStr">
        <x:is>
          <x:t xml:space="preserve">中心原点；SourcePackage反向偏移保留烘焙坐标</x:t>
        </x:is>
      </x:c>
      <x:c r="M27" t="inlineStr">
        <x:is>
          <x:t xml:space="preserve">TowerDescent99F / avatar_wardrobe</x:t>
        </x:is>
      </x:c>
      <x:c r="N27" t="inlineStr">
        <x:is>
          <x:t xml:space="preserve">正式美术已接入</x:t>
        </x:is>
      </x:c>
      <x:c r="O27" t="inlineStr">
        <x:is>
          <x:t xml:space="preserve">v001</x:t>
        </x:is>
      </x:c>
      <x:c r="P27" t="inlineStr">
        <x:is>
          <x:t xml:space="preserve">source_package=assets/art/environments/base_facility_3d/runtime/env_base99_remaining_facilities_v021/loft_lounge_sofa/loft_lounge_sofa_root_top3d_v002.tscn；interaction_shape_locked=true；菜单=res://scenes/ui/WardrobeMenu3D.tscn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道具 3D Prefab</x:t>
        </x:is>
      </x:c>
    </x:row>
    <x:row r="2" ht="34" customHeight="1">
      <x:c r="A2" s="250" t="inlineStr">
        <x:is>
          <x:t xml:space="preserve">桌椅、家具、容器和摆放装饰物；本次扫描 3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PRP-BASE-MISSION-COMMAND-CHAIR-3D</x:t>
        </x:is>
      </x:c>
      <x:c r="B5" s="189" t="inlineStr">
        <x:is>
          <x:t xml:space="preserve">战术指挥椅</x:t>
        </x:is>
      </x:c>
      <x:c r="C5" s="189" t="inlineStr">
        <x:is>
          <x:t xml:space="preserve">assets/art/props/base_world_3d/runtime/mission_command_chair/prp_base_mission_command_chair_root_top3d_v001.tscn</x:t>
        </x:is>
      </x:c>
      <x:c r="D5" s="189" t="inlineStr">
        <x:is>
          <x:t xml:space="preserve">assets/art/props/base_world_3d/components/mission_command_chair/prp_base_mission_command_chair_visual_top3d_v003.glb</x:t>
        </x:is>
      </x:c>
      <x:c r="E5" s="189" t="inlineStr">
        <x:is>
          <x:t xml:space="preserve">assets/art/props/base_world_3d/source/mission_command_chair/prp_base_mission_command_chair_source_v001.blend</x:t>
        </x:is>
      </x:c>
      <x:c r="F5" s="189" t="inlineStr">
        <x:is>
          <x:t xml:space="preserve">可复用摆放道具Prefab</x:t>
        </x:is>
      </x:c>
      <x:c r="G5" s="189" t="str"/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最多4材质；独立GLB/PackedScene；无交互碰撞</x:t>
        </x:is>
      </x:c>
      <x:c r="L5" s="189" t="inlineStr">
        <x:is>
          <x:t xml:space="preserve">-Z</x:t>
        </x:is>
      </x:c>
      <x:c r="M5" s="189" t="inlineStr">
        <x:is>
          <x:t xml:space="preserve">基地99层美术布置层</x:t>
        </x:is>
      </x:c>
      <x:c r="N5" s="189" t="inlineStr">
        <x:is>
          <x:t xml:space="preserve">正式美术已接入</x:t>
        </x:is>
      </x:c>
      <x:c r="O5" s="189" t="inlineStr">
        <x:is>
          <x:t xml:space="preserve">v001</x:t>
        </x:is>
      </x:c>
      <x:c r="P5" s="190" t="inlineStr">
        <x:is>
          <x:t xml:space="preserve">根节点=战术指挥椅(Node3D)</x:t>
        </x:is>
      </x:c>
    </x:row>
    <x:row r="6" ht="66" customHeight="1">
      <x:c r="A6" s="191" t="inlineStr">
        <x:is>
          <x:t xml:space="preserve">PRP-BASE-WORKSHOP-STOOL-3D</x:t>
        </x:is>
      </x:c>
      <x:c r="B6" s="192" t="inlineStr">
        <x:is>
          <x:t xml:space="preserve">赛博维修圆凳</x:t>
        </x:is>
      </x:c>
      <x:c r="C6" s="192" t="inlineStr">
        <x:is>
          <x:t xml:space="preserve">assets/art/props/base_world_3d/runtime/workshop_stool/prp_base_workshop_stool_root_top3d_v001.tscn</x:t>
        </x:is>
      </x:c>
      <x:c r="D6" s="192" t="inlineStr">
        <x:is>
          <x:t xml:space="preserve">assets/art/props/base_world_3d/components/workshop_stool/prp_base_workshop_stool_visual_top3d_v003.glb</x:t>
        </x:is>
      </x:c>
      <x:c r="E6" s="192" t="inlineStr">
        <x:is>
          <x:t xml:space="preserve">assets/art/props/base_world_3d/source/workshop_stool/prp_base_workshop_stool_source_v001.blend</x:t>
        </x:is>
      </x:c>
      <x:c r="F6" s="192" t="inlineStr">
        <x:is>
          <x:t xml:space="preserve">可复用摆放道具Prefab</x:t>
        </x:is>
      </x:c>
      <x:c r="G6" s="192" t="str"/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最多4材质；独立GLB/PackedScene；无交互碰撞</x:t>
        </x:is>
      </x:c>
      <x:c r="L6" s="192" t="inlineStr">
        <x:is>
          <x:t xml:space="preserve">-Z</x:t>
        </x:is>
      </x:c>
      <x:c r="M6" s="192" t="inlineStr">
        <x:is>
          <x:t xml:space="preserve">基地99层美术布置层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v001</x:t>
        </x:is>
      </x:c>
      <x:c r="P6" s="193" t="inlineStr">
        <x:is>
          <x:t xml:space="preserve">根节点=赛博维修圆凳(Node3D)</x:t>
        </x:is>
      </x:c>
    </x:row>
    <x:row r="7" ht="66" customHeight="1">
      <x:c r="A7" s="194" t="inlineStr">
        <x:is>
          <x:t xml:space="preserve">PRP-ROOM-FURNITURE-3D</x:t>
        </x:is>
      </x:c>
      <x:c r="B7" s="195" t="inlineStr">
        <x:is>
          <x:t xml:space="preserve">房间家具3D通用模块</x:t>
        </x:is>
      </x:c>
      <x:c r="C7" s="195" t="inlineStr">
        <x:is>
          <x:t xml:space="preserve">assets/art/props/dungeon_3d/prp_room_furniture_root_top3d_v001.tscn</x:t>
        </x:is>
      </x:c>
      <x:c r="D7" s="195" t="str"/>
      <x:c r="E7" s="195" t="str"/>
      <x:c r="F7" s="195" t="inlineStr">
        <x:is>
          <x:t xml:space="preserve">可复用摆放道具Prefab</x:t>
        </x:is>
      </x:c>
      <x:c r="G7" s="195" t="inlineStr">
        <x:is>
          <x:t xml:space="preserve">src/world3d/RoomFurniture3D.gd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脚本生成</x:t>
        </x:is>
      </x:c>
      <x:c r="K7" s="195" t="inlineStr">
        <x:is>
          <x:t xml:space="preserve">PackedScene/类型与尺寸配置</x:t>
        </x:is>
      </x:c>
      <x:c r="L7" s="195" t="inlineStr">
        <x:is>
          <x:t xml:space="preserve">未声明</x:t>
        </x:is>
      </x:c>
      <x:c r="M7" s="195" t="inlineStr">
        <x:is>
          <x:t xml:space="preserve">全部3D房间</x:t>
        </x:is>
      </x:c>
      <x:c r="N7" s="195" t="inlineStr">
        <x:is>
          <x:t xml:space="preserve">原型已接入</x:t>
        </x:is>
      </x:c>
      <x:c r="O7" s="195" t="inlineStr">
        <x:is>
          <x:t xml:space="preserve">v001</x:t>
        </x:is>
      </x:c>
      <x:c r="P7" s="196" t="inlineStr">
        <x:is>
          <x:t xml:space="preserve">根节点=RoomFurniture3D(Area3D)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角色 3D Prefab</x:t>
        </x:is>
      </x:c>
    </x:row>
    <x:row r="2" ht="34" customHeight="1">
      <x:c r="A2" s="250" t="inlineStr">
        <x:is>
          <x:t xml:space="preserve">玩家、NPC与角色表现/玩法根及制作母版；当前 4 个登记项。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CHR-PLY-CAPSULE01-3D</x:t>
        </x:is>
      </x:c>
      <x:c r="B5" s="189" t="inlineStr">
        <x:is>
          <x:t xml:space="preserve">方形猫角色3D根组件</x:t>
        </x:is>
      </x:c>
      <x:c r="C5" s="189" t="inlineStr">
        <x:is>
          <x:t xml:space="preserve">assets/art/characters/player/chr_player_capsule01_3d/chr_player_capsule01_root_top3d_v001.tscn</x:t>
        </x:is>
      </x:c>
      <x:c r="D5" s="189" t="str"/>
      <x:c r="E5" s="189" t="str"/>
      <x:c r="F5" s="189" t="inlineStr">
        <x:is>
          <x:t xml:space="preserve">角色3D表现Prefab</x:t>
        </x:is>
      </x:c>
      <x:c r="G5" s="189" t="inlineStr">
        <x:is>
          <x:t xml:space="preserve">src/player3d/PlayerAvatar3D.gd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PackedScene/程序材质</x:t>
        </x:is>
      </x:c>
      <x:c r="L5" s="189" t="inlineStr">
        <x:is>
          <x:t xml:space="preserve">未声明</x:t>
        </x:is>
      </x:c>
      <x:c r="M5" s="189" t="inlineStr">
        <x:is>
          <x:t xml:space="preserve">3D玩家场景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根节点=CapsuleAvatar3D(Node3D)</x:t>
        </x:is>
      </x:c>
    </x:row>
    <x:row r="6" ht="66" customHeight="1">
      <x:c r="A6" s="191" t="inlineStr">
        <x:is>
          <x:t xml:space="preserve">CHR-PLY-CAPSULE01</x:t>
        </x:is>
      </x:c>
      <x:c r="B6" s="192" t="inlineStr">
        <x:is>
          <x:t xml:space="preserve">胶囊防护体玩家</x:t>
        </x:is>
      </x:c>
      <x:c r="C6" s="192" t="inlineStr">
        <x:is>
          <x:t xml:space="preserve">assets/art/characters/player/chr_player_capsule01_3d/variants/bunny01/production/v021/runtime/chr_bunny01_root_v021.tscn</x:t>
        </x:is>
      </x:c>
      <x:c r="D6" s="192" t="inlineStr">
        <x:is>
          <x:t xml:space="preserve">assets/art/characters/player/chr_player_capsule01_3d/variants/bunny01/production/v021/exports/chr_bunny01_model_v021.glb；运行时分件见角色中转记录</x:t>
        </x:is>
      </x:c>
      <x:c r="E6" s="192" t="inlineStr">
        <x:is>
          <x:t xml:space="preserve">模型、动作双母版：完整路径见「角色中转记录」</x:t>
        </x:is>
      </x:c>
      <x:c r="F6" s="192" t="inlineStr">
        <x:is>
          <x:t xml:space="preserve">角色3D表现Prefab</x:t>
        </x:is>
      </x:c>
      <x:c r="G6" s="192" t="inlineStr">
        <x:is>
          <x:t xml:space="preserve">src/player3d/PlayerAvatar3D.gd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可见边界 0.724×1.050×0.452m（含耳）；玩法碰撞由 Player3D 的 1.5m CapsuleShape3D 独占</x:t>
        </x:is>
      </x:c>
      <x:c r="L6" s="192" t="inlineStr">
        <x:is>
          <x:t xml:space="preserve">未声明</x:t>
        </x:is>
      </x:c>
      <x:c r="M6" s="192" t="inlineStr">
        <x:is>
          <x:t xml:space="preserve">正式3D玩家</x:t>
        </x:is>
      </x:c>
      <x:c r="N6" s="192" t="inlineStr">
        <x:is>
          <x:t xml:space="preserve">原型已接入</x:t>
        </x:is>
      </x:c>
      <x:c r="O6" s="192" t="inlineStr">
        <x:is>
          <x:t xml:space="preserve">v021</x:t>
        </x:is>
      </x:c>
      <x:c r="P6" s="193" t="inlineStr">
        <x:is>
          <x:t xml:space="preserve">双文件共享骨架；状态 active；中转 assets/art/characters/player/chr_player_capsule01_3d/variants/bunny01/production/v021/character_transfer_ledger_v021.json</x:t>
        </x:is>
      </x:c>
    </x:row>
    <x:row r="7" ht="66" customHeight="1">
      <x:c r="A7" s="194" t="inlineStr">
        <x:is>
          <x:t xml:space="preserve">CHR-PLY-CAPSULE01</x:t>
        </x:is>
      </x:c>
      <x:c r="B7" s="195" t="inlineStr">
        <x:is>
          <x:t xml:space="preserve">胶囊防护体玩家</x:t>
        </x:is>
      </x:c>
      <x:c r="C7" s="195" t="inlineStr">
        <x:is>
          <x:t xml:space="preserve">scenes/Player3D.tscn</x:t>
        </x:is>
      </x:c>
      <x:c r="D7" s="195" t="str"/>
      <x:c r="E7" s="195" t="str"/>
      <x:c r="F7" s="195" t="inlineStr">
        <x:is>
          <x:t xml:space="preserve">玩家3D玩法根</x:t>
        </x:is>
      </x:c>
      <x:c r="G7" s="195" t="inlineStr">
        <x:is>
          <x:t xml:space="preserve">src/player3d/Player3D.gd; src/player3d/PlayerVision3D.gd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CapsuleShape3D</x:t>
        </x:is>
      </x:c>
      <x:c r="K7" s="195" t="inlineStr">
        <x:is>
          <x:t xml:space="preserve">可见边界 0.724×1.050×0.452m（含耳）；CapsuleShape3D 高 1.5m、半径 0.34m</x:t>
        </x:is>
      </x:c>
      <x:c r="L7" s="195" t="inlineStr">
        <x:is>
          <x:t xml:space="preserve">未声明</x:t>
        </x:is>
      </x:c>
      <x:c r="M7" s="195" t="inlineStr">
        <x:is>
          <x:t xml:space="preserve">正式3D玩家</x:t>
        </x:is>
      </x:c>
      <x:c r="N7" s="195" t="inlineStr">
        <x:is>
          <x:t xml:space="preserve">原型已接入</x:t>
        </x:is>
      </x:c>
      <x:c r="O7" s="195" t="inlineStr">
        <x:is>
          <x:t xml:space="preserve">v021</x:t>
        </x:is>
      </x:c>
      <x:c r="P7" s="196" t="inlineStr">
        <x:is>
          <x:t xml:space="preserve">Avatar3D引用 assets/art/characters/player/chr_player_capsule01_3d/variants/bunny01/production/v021/runtime/chr_bunny01_root_v021.tscn；功能层级未更改</x:t>
        </x:is>
      </x:c>
    </x:row>
    <x:row r="8" ht="78" customHeight="1">
      <x:c r="A8" s="349" t="inlineStr">
        <x:is>
          <x:t xml:space="preserve">CHR-PLAYER-AVATAR-TEMPLATE-001</x:t>
        </x:is>
      </x:c>
      <x:c r="B8" s="349" t="inlineStr">
        <x:is>
          <x:t xml:space="preserve">玩家角色1.5米Blender制作母版</x:t>
        </x:is>
      </x:c>
      <x:c r="C8" s="349" t="n"/>
      <x:c r="D8" s="349" t="n"/>
      <x:c r="E8" s="349" t="inlineStr">
        <x:is>
          <x:t xml:space="preserve">assets/art/characters/player/chr_player_avatar_template_3d/source/chr_player_avatar_template_source_v001.blend</x:t>
        </x:is>
      </x:c>
      <x:c r="F8" s="349" t="inlineStr">
        <x:is>
          <x:t xml:space="preserve">角色与配件制作尺寸/方向/挂点模板；非运行时Prefab</x:t>
        </x:is>
      </x:c>
      <x:c r="G8" s="349" t="inlineStr">
        <x:is>
          <x:t xml:space="preserve">scripts/blender/validate_player_avatar_asset_template.py</x:t>
        </x:is>
      </x:c>
      <x:c r="H8" s="349" t="inlineStr">
        <x:is>
          <x:t xml:space="preserve">无</x:t>
        </x:is>
      </x:c>
      <x:c r="I8" s="349" t="inlineStr">
        <x:is>
          <x:t xml:space="preserve">Player3D玩法根</x:t>
        </x:is>
      </x:c>
      <x:c r="J8" s="349" t="inlineStr">
        <x:is>
          <x:t xml:space="preserve">母版只提供表现包络与挂点；CapsuleShape3D不变</x:t>
        </x:is>
      </x:c>
      <x:c r="K8" s="349" t="inlineStr">
        <x:is>
          <x:t xml:space="preserve">总高1.50m；根缩放1</x:t>
        </x:is>
      </x:c>
      <x:c r="L8" s="349" t="inlineStr">
        <x:is>
          <x:t xml:space="preserve">脚底中心Z0；Blender -Y / Godot -Z</x:t>
        </x:is>
      </x:c>
      <x:c r="M8" s="349" t="inlineStr">
        <x:is>
          <x:t xml:space="preserve">玩家角色与换装资产制作</x:t>
        </x:is>
      </x:c>
      <x:c r="N8" s="349" t="inlineStr">
        <x:is>
          <x:t xml:space="preserve">正式制作母版</x:t>
        </x:is>
      </x:c>
      <x:c r="O8" s="349" t="inlineStr">
        <x:is>
          <x:t xml:space="preserve">v001</x:t>
        </x:is>
      </x:c>
      <x:c r="P8" s="349" t="inlineStr">
        <x:is>
          <x:t xml:space="preserve">7槽位/9挂点；角色玩法碰撞仍由scenes/Player3D.tscn拥有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敌人 3D Prefab</x:t>
        </x:is>
      </x:c>
    </x:row>
    <x:row r="2" ht="34" customHeight="1">
      <x:c r="A2" s="250" t="inlineStr">
        <x:is>
          <x:t xml:space="preserve">普通敌人、精英、Boss与敌人共用根；当前2个独立Prefab，其中首只正式精英资产1/12。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267" t="inlineStr">
        <x:is>
          <x:t xml:space="preserve">ENM-ECOSYSTEM-KIT-3D</x:t>
        </x:is>
      </x:c>
      <x:c r="B5" s="268" t="inlineStr">
        <x:is>
          <x:t xml:space="preserve">七类怪物3D生态套件</x:t>
        </x:is>
      </x:c>
      <x:c r="C5" s="268" t="inlineStr">
        <x:is>
          <x:t xml:space="preserve">assets/art/enemies/enemy_3d/enm_ecosystem_kit_root_top3d_v001.tscn</x:t>
        </x:is>
      </x:c>
      <x:c r="D5" s="268" t="str"/>
      <x:c r="E5" s="268" t="str"/>
      <x:c r="F5" s="268" t="inlineStr">
        <x:is>
          <x:t xml:space="preserve">敌人3D共用根与表现系统</x:t>
        </x:is>
      </x:c>
      <x:c r="G5" s="268" t="inlineStr">
        <x:is>
          <x:t xml:space="preserve">src/enemy3d/Enemy3D.gd; src/enemy3d/EnemyAvatar3D.gd</x:t>
        </x:is>
      </x:c>
      <x:c r="H5" s="268" t="inlineStr">
        <x:is>
          <x:t xml:space="preserve">开</x:t>
        </x:is>
      </x:c>
      <x:c r="I5" s="268" t="inlineStr">
        <x:is>
          <x:t xml:space="preserve">Prefab自身</x:t>
        </x:is>
      </x:c>
      <x:c r="J5" s="268" t="inlineStr">
        <x:is>
          <x:t xml:space="preserve">CapsuleShape3D</x:t>
        </x:is>
      </x:c>
      <x:c r="K5" s="268" t="inlineStr">
        <x:is>
          <x:t xml:space="preserve">PackedScene/模块敌人</x:t>
        </x:is>
      </x:c>
      <x:c r="L5" s="268" t="inlineStr">
        <x:is>
          <x:t xml:space="preserve">未声明</x:t>
        </x:is>
      </x:c>
      <x:c r="M5" s="268" t="inlineStr">
        <x:is>
          <x:t xml:space="preserve">四主题战斗房</x:t>
        </x:is>
      </x:c>
      <x:c r="N5" s="268" t="inlineStr">
        <x:is>
          <x:t xml:space="preserve">原型已接入</x:t>
        </x:is>
      </x:c>
      <x:c r="O5" s="268" t="inlineStr">
        <x:is>
          <x:t xml:space="preserve">v001</x:t>
        </x:is>
      </x:c>
      <x:c r="P5" s="269" t="inlineStr">
        <x:is>
          <x:t xml:space="preserve">根节点=Enemy3D(CharacterBody3D)</x:t>
        </x:is>
      </x:c>
    </x:row>
    <x:row r="6" ht="54" customHeight="1">
      <x:c r="A6" s="349" t="inlineStr">
        <x:is>
          <x:t xml:space="preserve">ENM-ELITE-RIFT-BOAR-ARMED-3D</x:t>
        </x:is>
      </x:c>
      <x:c r="B6" s="349" t="inlineStr">
        <x:is>
          <x:t xml:space="preserve">背枪的裂口爬虫</x:t>
        </x:is>
      </x:c>
      <x:c r="C6" s="349" t="inlineStr">
        <x:is>
          <x:t xml:space="preserve">assets/art/enemies/elite_3d/rift_boar_armed/runtime/enm_elite_rift_boar_armed_root_top3d_v001.tscn</x:t>
        </x:is>
      </x:c>
      <x:c r="D6" s="349" t="inlineStr">
        <x:is>
          <x:t xml:space="preserve">assets/art/enemies/elite_3d/rift_boar_armed/components/enm_elite_rift_boar_armed_visual_top3d_v001.glb</x:t>
        </x:is>
      </x:c>
      <x:c r="E6" s="349" t="inlineStr">
        <x:is>
          <x:t xml:space="preserve">assets/art/enemies/elite_3d/rift_boar_armed/source/enm_elite_rift_boar_armed_source_v001.blend</x:t>
        </x:is>
      </x:c>
      <x:c r="F6" s="349" t="inlineStr">
        <x:is>
          <x:t xml:space="preserve">首只唯一精英独立表现、背负副枪与命名专属血条</x:t>
        </x:is>
      </x:c>
      <x:c r="G6" s="349" t="inlineStr">
        <x:is>
          <x:t xml:space="preserve">src/enemy3d/EliteContentCatalog.gd; src/enemy3d/EliteRosterService.gd; src/enemy3d/EnemyAvatar3D.gd; src/enemy3d/Enemy3D.gd</x:t>
        </x:is>
      </x:c>
      <x:c r="H6" s="349" t="inlineStr">
        <x:is>
          <x:t xml:space="preserve">关（表现资产）</x:t>
        </x:is>
      </x:c>
      <x:c r="I6" s="349" t="inlineStr">
        <x:is>
          <x:t xml:space="preserve">Enemy3D</x:t>
        </x:is>
      </x:c>
      <x:c r="J6" s="349" t="inlineStr">
        <x:is>
          <x:t xml:space="preserve">复用melee_chaser CylinderShape3D</x:t>
        </x:is>
      </x:c>
      <x:c r="K6" s="349" t="inlineStr">
        <x:is>
          <x:t xml:space="preserve">1.970×1.843×1.345m；18 Mesh；4材质</x:t>
        </x:is>
      </x:c>
      <x:c r="L6" s="349" t="inlineStr">
        <x:is>
          <x:t xml:space="preserve">底部可预测；Blender -Y / Godot -Z 正面；根Scale=1</x:t>
        </x:is>
      </x:c>
      <x:c r="M6" s="349" t="inlineStr">
        <x:is>
          <x:t xml:space="preserve">每次行动按run_seed在98F/97F/96F三选一；目标层随机ELITE房</x:t>
        </x:is>
      </x:c>
      <x:c r="N6" s="349" t="inlineStr">
        <x:is>
          <x:t xml:space="preserve">正式美术已接入</x:t>
        </x:is>
      </x:c>
      <x:c r="O6" s="349" t="inlineStr">
        <x:is>
          <x:t xml:space="preserve">v001</x:t>
        </x:is>
      </x:c>
      <x:c r="P6" s="349" t="inlineStr">
        <x:is>
          <x:t xml:space="preserve">AssetID与elite_id稳定；其余11只仍为design_only，完成专项前不投放。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武器 3D Prefab</x:t>
        </x:is>
      </x:c>
    </x:row>
    <x:row r="2" ht="34" customHeight="1">
      <x:c r="A2" s="250" t="inlineStr">
        <x:is>
          <x:t xml:space="preserve">枪械、近战武器与武器装配根；本次扫描 22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WPN-MELEE-BP-BASEBALL-BAT</x:t>
        </x:is>
      </x:c>
      <x:c r="B5" s="189" t="inlineStr">
        <x:is>
          <x:t xml:space="preserve">废土棒球棍程序原型</x:t>
        </x:is>
      </x:c>
      <x:c r="C5" s="189" t="inlineStr">
        <x:is>
          <x:t xml:space="preserve">assets/art/weapons/melee_3d/wpn_melee_baseball_bat_root_top3d_v001.tscn</x:t>
        </x:is>
      </x:c>
      <x:c r="D5" s="189" t="str"/>
      <x:c r="E5" s="189" t="str"/>
      <x:c r="F5" s="189" t="inlineStr">
        <x:is>
          <x:t xml:space="preserve">武器3D表现Prefab；由武器系统装配</x:t>
        </x:is>
      </x:c>
      <x:c r="G5" s="189" t="inlineStr">
        <x:is>
          <x:t xml:space="preserve">src/combat3d/MeleeWeaponVisual3D.gd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程序Mesh；0.28×0.28×1.48m；无碰撞</x:t>
        </x:is>
      </x:c>
      <x:c r="L5" s="189" t="inlineStr">
        <x:is>
          <x:t xml:space="preserve">未声明</x:t>
        </x:is>
      </x:c>
      <x:c r="M5" s="189" t="inlineStr">
        <x:is>
          <x:t xml:space="preserve">手持/背负/地面/背包图标/表现页/基地贩卖机</x:t>
        </x:is>
      </x:c>
      <x:c r="N5" s="189" t="inlineStr">
        <x:is>
          <x:t xml:space="preserve">程序占位</x:t>
        </x:is>
      </x:c>
      <x:c r="O5" s="189" t="inlineStr">
        <x:is>
          <x:t xml:space="preserve">v001</x:t>
        </x:is>
      </x:c>
      <x:c r="P5" s="190" t="inlineStr">
        <x:is>
          <x:t xml:space="preserve">根节点=BaseballBatRootTop3D(Node3D)</x:t>
        </x:is>
      </x:c>
    </x:row>
    <x:row r="6" ht="66" customHeight="1">
      <x:c r="A6" s="191" t="inlineStr">
        <x:is>
          <x:t xml:space="preserve">WPN-MELEE-BP-GREATBLADE</x:t>
        </x:is>
      </x:c>
      <x:c r="B6" s="192" t="inlineStr">
        <x:is>
          <x:t xml:space="preserve">巨型工业断刃程序原型</x:t>
        </x:is>
      </x:c>
      <x:c r="C6" s="192" t="inlineStr">
        <x:is>
          <x:t xml:space="preserve">assets/art/weapons/melee_3d/wpn_melee_greatblade_root_top3d_v001.tscn</x:t>
        </x:is>
      </x:c>
      <x:c r="D6" s="192" t="str"/>
      <x:c r="E6" s="192" t="str"/>
      <x:c r="F6" s="192" t="inlineStr">
        <x:is>
          <x:t xml:space="preserve">武器3D表现Prefab；由武器系统装配</x:t>
        </x:is>
      </x:c>
      <x:c r="G6" s="192" t="inlineStr">
        <x:is>
          <x:t xml:space="preserve">src/combat3d/MeleeWeaponVisual3D.gd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程序Mesh；0.82×0.30×2.42m；无碰撞</x:t>
        </x:is>
      </x:c>
      <x:c r="L6" s="192" t="inlineStr">
        <x:is>
          <x:t xml:space="preserve">未声明</x:t>
        </x:is>
      </x:c>
      <x:c r="M6" s="192" t="inlineStr">
        <x:is>
          <x:t xml:space="preserve">手持/背负/地面/背包图标/表现页</x:t>
        </x:is>
      </x:c>
      <x:c r="N6" s="192" t="inlineStr">
        <x:is>
          <x:t xml:space="preserve">程序占位</x:t>
        </x:is>
      </x:c>
      <x:c r="O6" s="192" t="inlineStr">
        <x:is>
          <x:t xml:space="preserve">v001</x:t>
        </x:is>
      </x:c>
      <x:c r="P6" s="193" t="inlineStr">
        <x:is>
          <x:t xml:space="preserve">根节点=GreatbladeVisual3D(Node3D)</x:t>
        </x:is>
      </x:c>
    </x:row>
    <x:row r="7" ht="66" customHeight="1">
      <x:c r="A7" s="191" t="inlineStr">
        <x:is>
          <x:t xml:space="preserve">WPN-MELEE-BP-WARAXE</x:t>
        </x:is>
      </x:c>
      <x:c r="B7" s="192" t="inlineStr">
        <x:is>
          <x:t xml:space="preserve">攻城裂甲斧程序原型</x:t>
        </x:is>
      </x:c>
      <x:c r="C7" s="192" t="inlineStr">
        <x:is>
          <x:t xml:space="preserve">assets/art/weapons/melee_3d/wpn_melee_waraxe_root_top3d_v001.tscn</x:t>
        </x:is>
      </x:c>
      <x:c r="D7" s="192" t="str"/>
      <x:c r="E7" s="192" t="str"/>
      <x:c r="F7" s="192" t="inlineStr">
        <x:is>
          <x:t xml:space="preserve">武器3D表现Prefab；由武器系统装配</x:t>
        </x:is>
      </x:c>
      <x:c r="G7" s="192" t="inlineStr">
        <x:is>
          <x:t xml:space="preserve">src/combat3d/MeleeWeaponVisual3D.gd</x:t>
        </x:is>
      </x:c>
      <x:c r="H7" s="192" t="inlineStr">
        <x:is>
          <x:t xml:space="preserve">无</x:t>
        </x:is>
      </x:c>
      <x:c r="I7" s="192" t="inlineStr">
        <x:is>
          <x:t xml:space="preserve">无</x:t>
        </x:is>
      </x:c>
      <x:c r="J7" s="192" t="inlineStr">
        <x:is>
          <x:t xml:space="preserve">无</x:t>
        </x:is>
      </x:c>
      <x:c r="K7" s="192" t="inlineStr">
        <x:is>
          <x:t xml:space="preserve">程序Mesh；1.18×0.34×2.62m；无碰撞</x:t>
        </x:is>
      </x:c>
      <x:c r="L7" s="192" t="inlineStr">
        <x:is>
          <x:t xml:space="preserve">未声明</x:t>
        </x:is>
      </x:c>
      <x:c r="M7" s="192" t="inlineStr">
        <x:is>
          <x:t xml:space="preserve">手持/背负/地面/背包图标/表现页</x:t>
        </x:is>
      </x:c>
      <x:c r="N7" s="192" t="inlineStr">
        <x:is>
          <x:t xml:space="preserve">程序占位</x:t>
        </x:is>
      </x:c>
      <x:c r="O7" s="192" t="inlineStr">
        <x:is>
          <x:t xml:space="preserve">v001</x:t>
        </x:is>
      </x:c>
      <x:c r="P7" s="193" t="inlineStr">
        <x:is>
          <x:t xml:space="preserve">根节点=WaraxeVisual3D(Node3D)</x:t>
        </x:is>
      </x:c>
    </x:row>
    <x:row r="8" ht="66" customHeight="1">
      <x:c r="A8" s="191" t="inlineStr">
        <x:is>
          <x:t xml:space="preserve">WPN-GUN-BP-RIFLE</x:t>
        </x:is>
      </x:c>
      <x:c r="B8" s="192" t="inlineStr">
        <x:is>
          <x:t xml:space="preserve">步枪 / 扫帚步枪造型</x:t>
        </x:is>
      </x:c>
      <x:c r="C8" s="192" t="inlineStr">
        <x:is>
          <x:t xml:space="preserve">assets/art/weapons/weapon_3d/runtime/broom_rifle/wpn_broom_rifle_root_top3d_v001.tscn</x:t>
        </x:is>
      </x:c>
      <x:c r="D8" s="192" t="inlineStr">
        <x:is>
          <x:t xml:space="preserve">assets/art/weapons/weapon_3d/components/broom_rifle/wpn_broom_rifle_visual_top3d_v003.glb</x:t>
        </x:is>
      </x:c>
      <x:c r="E8" s="192" t="inlineStr">
        <x:is>
          <x:t xml:space="preserve">assets/art/weapons/weapon_3d/source/broom_rifle/wpn_broom_rifle_source_v003.blend</x:t>
        </x:is>
      </x:c>
      <x:c r="F8" s="192" t="inlineStr">
        <x:is>
          <x:t xml:space="preserve">武器3D表现Prefab；由武器系统装配</x:t>
        </x:is>
      </x:c>
      <x:c r="G8" s="192" t="inlineStr">
        <x:is>
          <x:t xml:space="preserve">src/player3d/WeaponModel3D.gd</x:t>
        </x:is>
      </x:c>
      <x:c r="H8" s="192" t="inlineStr">
        <x:is>
          <x:t xml:space="preserve">无</x:t>
        </x:is>
      </x:c>
      <x:c r="I8" s="192" t="inlineStr">
        <x:is>
          <x:t xml:space="preserve">无</x:t>
        </x:is>
      </x:c>
      <x:c r="J8" s="192" t="inlineStr">
        <x:is>
          <x:t xml:space="preserve">无</x:t>
        </x:is>
      </x:c>
      <x:c r="K8" s="192" t="inlineStr">
        <x:is>
          <x:t xml:space="preserve">握把原点；local -Z枪口；3材质；独立GLB/PackedScene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手持/背负/地面/UI 共用独立PackedScene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v001</x:t>
        </x:is>
      </x:c>
      <x:c r="P8" s="193" t="inlineStr">
        <x:is>
          <x:t xml:space="preserve">根节点=扫帚步枪(Node3D)</x:t>
        </x:is>
      </x:c>
    </x:row>
    <x:row r="9" ht="66" customHeight="1">
      <x:c r="A9" s="191" t="inlineStr">
        <x:is>
          <x:t xml:space="preserve">WPN-GUN-FUTURE-CAMERA-BLASTER-3D</x:t>
        </x:is>
      </x:c>
      <x:c r="B9" s="192" t="inlineStr">
        <x:is>
          <x:t xml:space="preserve">相机爆能枪</x:t>
        </x:is>
      </x:c>
      <x:c r="C9" s="192" t="inlineStr">
        <x:is>
          <x:t xml:space="preserve">assets/art/weapons/weapon_3d/runtime/camera_blaster/wpn_camera_blaster_root_top3d_v001.tscn</x:t>
        </x:is>
      </x:c>
      <x:c r="D9" s="192" t="inlineStr">
        <x:is>
          <x:t xml:space="preserve">assets/art/weapons/weapon_3d/components/camera_blaster/wpn_camera_blaster_visual_top3d_v003.glb</x:t>
        </x:is>
      </x:c>
      <x:c r="E9" s="192" t="inlineStr">
        <x:is>
          <x:t xml:space="preserve">assets/art/weapons/weapon_3d/source/camera_blaster/wpn_camera_blaster_source_v003.blend</x:t>
        </x:is>
      </x:c>
      <x:c r="F9" s="192" t="inlineStr">
        <x:is>
          <x:t xml:space="preserve">武器3D表现Prefab；由武器系统装配</x:t>
        </x:is>
      </x:c>
      <x:c r="G9" s="192" t="inlineStr">
        <x:is>
          <x:t xml:space="preserve">src/player3d/WeaponModel3D.gd</x:t>
        </x:is>
      </x:c>
      <x:c r="H9" s="192" t="inlineStr">
        <x:is>
          <x:t xml:space="preserve">无</x:t>
        </x:is>
      </x:c>
      <x:c r="I9" s="192" t="inlineStr">
        <x:is>
          <x:t xml:space="preserve">无</x:t>
        </x:is>
      </x:c>
      <x:c r="J9" s="192" t="inlineStr">
        <x:is>
          <x:t xml:space="preserve">无</x:t>
        </x:is>
      </x:c>
      <x:c r="K9" s="192" t="inlineStr">
        <x:is>
          <x:t xml:space="preserve">握把原点；local -Z枪口；3材质；独立GLB/PackedScene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未来枪械池/独立资产</x:t>
        </x:is>
      </x:c>
      <x:c r="N9" s="192" t="inlineStr">
        <x:is>
          <x:t xml:space="preserve">正式美术已入库/待玩法映射</x:t>
        </x:is>
      </x:c>
      <x:c r="O9" s="192" t="inlineStr">
        <x:is>
          <x:t xml:space="preserve">v001</x:t>
        </x:is>
      </x:c>
      <x:c r="P9" s="193" t="inlineStr">
        <x:is>
          <x:t xml:space="preserve">根节点=相机爆能枪(Node3D)</x:t>
        </x:is>
      </x:c>
    </x:row>
    <x:row r="10" ht="66" customHeight="1">
      <x:c r="A10" s="191" t="inlineStr">
        <x:is>
          <x:t xml:space="preserve">WPN-GUN-BP-SNIPER</x:t>
        </x:is>
      </x:c>
      <x:c r="B10" s="192" t="inlineStr">
        <x:is>
          <x:t xml:space="preserve">弹弓狙击 / 糖果狙击枪造型</x:t>
        </x:is>
      </x:c>
      <x:c r="C10" s="192" t="inlineStr">
        <x:is>
          <x:t xml:space="preserve">assets/art/weapons/weapon_3d/runtime/candy_sniper/wpn_candy_sniper_root_top3d_v001.tscn</x:t>
        </x:is>
      </x:c>
      <x:c r="D10" s="192" t="inlineStr">
        <x:is>
          <x:t xml:space="preserve">assets/art/weapons/weapon_3d/components/candy_sniper/wpn_candy_sniper_visual_top3d_v003.glb</x:t>
        </x:is>
      </x:c>
      <x:c r="E10" s="192" t="inlineStr">
        <x:is>
          <x:t xml:space="preserve">assets/art/weapons/weapon_3d/source/candy_sniper/wpn_candy_sniper_source_v003.blend</x:t>
        </x:is>
      </x:c>
      <x:c r="F10" s="192" t="inlineStr">
        <x:is>
          <x:t xml:space="preserve">武器3D表现Prefab；由武器系统装配</x:t>
        </x:is>
      </x:c>
      <x:c r="G10" s="192" t="inlineStr">
        <x:is>
          <x:t xml:space="preserve">src/player3d/WeaponModel3D.gd</x:t>
        </x:is>
      </x:c>
      <x:c r="H10" s="192" t="inlineStr">
        <x:is>
          <x:t xml:space="preserve">无</x:t>
        </x:is>
      </x:c>
      <x:c r="I10" s="192" t="inlineStr">
        <x:is>
          <x:t xml:space="preserve">无</x:t>
        </x:is>
      </x:c>
      <x:c r="J10" s="192" t="inlineStr">
        <x:is>
          <x:t xml:space="preserve">无</x:t>
        </x:is>
      </x:c>
      <x:c r="K10" s="192" t="inlineStr">
        <x:is>
          <x:t xml:space="preserve">握把原点；local -Z枪口；3材质；独立GLB/PackedScene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手持/背负/地面/UI 共用独立PackedScene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v001</x:t>
        </x:is>
      </x:c>
      <x:c r="P10" s="193" t="inlineStr">
        <x:is>
          <x:t xml:space="preserve">根节点=糖果狙击枪(Node3D)</x:t>
        </x:is>
      </x:c>
    </x:row>
    <x:row r="11" ht="66" customHeight="1">
      <x:c r="A11" s="191" t="inlineStr">
        <x:is>
          <x:t xml:space="preserve">WPN-GUN-FUTURE-CROCODILE-CANNON-3D</x:t>
        </x:is>
      </x:c>
      <x:c r="B11" s="192" t="inlineStr">
        <x:is>
          <x:t xml:space="preserve">鳄鱼加农炮</x:t>
        </x:is>
      </x:c>
      <x:c r="C11" s="192" t="inlineStr">
        <x:is>
          <x:t xml:space="preserve">assets/art/weapons/weapon_3d/runtime/crocodile_cannon/wpn_crocodile_cannon_root_top3d_v001.tscn</x:t>
        </x:is>
      </x:c>
      <x:c r="D11" s="192" t="inlineStr">
        <x:is>
          <x:t xml:space="preserve">assets/art/weapons/weapon_3d/components/crocodile_cannon/wpn_crocodile_cannon_visual_top3d_v003.glb</x:t>
        </x:is>
      </x:c>
      <x:c r="E11" s="192" t="inlineStr">
        <x:is>
          <x:t xml:space="preserve">assets/art/weapons/weapon_3d/source/crocodile_cannon/wpn_crocodile_cannon_source_v003.blend</x:t>
        </x:is>
      </x:c>
      <x:c r="F11" s="192" t="inlineStr">
        <x:is>
          <x:t xml:space="preserve">武器3D表现Prefab；由武器系统装配</x:t>
        </x:is>
      </x:c>
      <x:c r="G11" s="192" t="inlineStr">
        <x:is>
          <x:t xml:space="preserve">src/player3d/WeaponModel3D.gd</x:t>
        </x:is>
      </x:c>
      <x:c r="H11" s="192" t="inlineStr">
        <x:is>
          <x:t xml:space="preserve">无</x:t>
        </x:is>
      </x:c>
      <x:c r="I11" s="192" t="inlineStr">
        <x:is>
          <x:t xml:space="preserve">无</x:t>
        </x:is>
      </x:c>
      <x:c r="J11" s="192" t="inlineStr">
        <x:is>
          <x:t xml:space="preserve">无</x:t>
        </x:is>
      </x:c>
      <x:c r="K11" s="192" t="inlineStr">
        <x:is>
          <x:t xml:space="preserve">握把原点；local -Z枪口；3材质；独立GLB/PackedScene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未来枪械池/独立资产</x:t>
        </x:is>
      </x:c>
      <x:c r="N11" s="192" t="inlineStr">
        <x:is>
          <x:t xml:space="preserve">正式美术已入库/待玩法映射</x:t>
        </x:is>
      </x:c>
      <x:c r="O11" s="192" t="inlineStr">
        <x:is>
          <x:t xml:space="preserve">v001</x:t>
        </x:is>
      </x:c>
      <x:c r="P11" s="193" t="inlineStr">
        <x:is>
          <x:t xml:space="preserve">根节点=鳄鱼加农炮(Node3D)</x:t>
        </x:is>
      </x:c>
    </x:row>
    <x:row r="12" ht="66" customHeight="1">
      <x:c r="A12" s="191" t="inlineStr">
        <x:is>
          <x:t xml:space="preserve">WPN-GUN-BP-SHOTGUN</x:t>
        </x:is>
      </x:c>
      <x:c r="B12" s="192" t="inlineStr">
        <x:is>
          <x:t xml:space="preserve">散射喷壶 / 双管炮造型</x:t>
        </x:is>
      </x:c>
      <x:c r="C12" s="192" t="inlineStr">
        <x:is>
          <x:t xml:space="preserve">assets/art/weapons/weapon_3d/runtime/double_barrel_cannon/wpn_double_barrel_cannon_root_top3d_v001.tscn</x:t>
        </x:is>
      </x:c>
      <x:c r="D12" s="192" t="inlineStr">
        <x:is>
          <x:t xml:space="preserve">assets/art/weapons/weapon_3d/components/double_barrel_cannon/wpn_double_barrel_cannon_visual_top3d_v003.glb</x:t>
        </x:is>
      </x:c>
      <x:c r="E12" s="192" t="inlineStr">
        <x:is>
          <x:t xml:space="preserve">assets/art/weapons/weapon_3d/source/double_barrel_cannon/wpn_double_barrel_cannon_source_v003.blend</x:t>
        </x:is>
      </x:c>
      <x:c r="F12" s="192" t="inlineStr">
        <x:is>
          <x:t xml:space="preserve">武器3D表现Prefab；由武器系统装配</x:t>
        </x:is>
      </x:c>
      <x:c r="G12" s="192" t="inlineStr">
        <x:is>
          <x:t xml:space="preserve">src/player3d/WeaponModel3D.gd</x:t>
        </x:is>
      </x:c>
      <x:c r="H12" s="192" t="inlineStr">
        <x:is>
          <x:t xml:space="preserve">无</x:t>
        </x:is>
      </x:c>
      <x:c r="I12" s="192" t="inlineStr">
        <x:is>
          <x:t xml:space="preserve">无</x:t>
        </x:is>
      </x:c>
      <x:c r="J12" s="192" t="inlineStr">
        <x:is>
          <x:t xml:space="preserve">无</x:t>
        </x:is>
      </x:c>
      <x:c r="K12" s="192" t="inlineStr">
        <x:is>
          <x:t xml:space="preserve">握把原点；local -Z枪口；3材质；独立GLB/PackedScene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手持/背负/地面/UI 共用独立PackedScene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v001</x:t>
        </x:is>
      </x:c>
      <x:c r="P12" s="193" t="inlineStr">
        <x:is>
          <x:t xml:space="preserve">根节点=双管炮(Node3D)</x:t>
        </x:is>
      </x:c>
    </x:row>
    <x:row r="13" ht="66" customHeight="1">
      <x:c r="A13" s="191" t="inlineStr">
        <x:is>
          <x:t xml:space="preserve">WPN-GUN-FUTURE-FAN-BLASTER-3D</x:t>
        </x:is>
      </x:c>
      <x:c r="B13" s="192" t="inlineStr">
        <x:is>
          <x:t xml:space="preserve">风扇爆能枪</x:t>
        </x:is>
      </x:c>
      <x:c r="C13" s="192" t="inlineStr">
        <x:is>
          <x:t xml:space="preserve">assets/art/weapons/weapon_3d/runtime/fan_blaster/wpn_fan_blaster_root_top3d_v001.tscn</x:t>
        </x:is>
      </x:c>
      <x:c r="D13" s="192" t="inlineStr">
        <x:is>
          <x:t xml:space="preserve">assets/art/weapons/weapon_3d/components/fan_blaster/wpn_fan_blaster_visual_top3d_v003.glb</x:t>
        </x:is>
      </x:c>
      <x:c r="E13" s="192" t="inlineStr">
        <x:is>
          <x:t xml:space="preserve">assets/art/weapons/weapon_3d/source/fan_blaster/wpn_fan_blaster_source_v003.blend</x:t>
        </x:is>
      </x:c>
      <x:c r="F13" s="192" t="inlineStr">
        <x:is>
          <x:t xml:space="preserve">武器3D表现Prefab；由武器系统装配</x:t>
        </x:is>
      </x:c>
      <x:c r="G13" s="192" t="inlineStr">
        <x:is>
          <x:t xml:space="preserve">src/player3d/WeaponModel3D.gd</x:t>
        </x:is>
      </x:c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握把原点；local -Z枪口；3材质；独立GLB/PackedScene</x:t>
        </x:is>
      </x:c>
      <x:c r="L13" s="192" t="inlineStr">
        <x:is>
          <x:t xml:space="preserve">-Z</x:t>
        </x:is>
      </x:c>
      <x:c r="M13" s="192" t="inlineStr">
        <x:is>
          <x:t xml:space="preserve">未来枪械池/独立资产</x:t>
        </x:is>
      </x:c>
      <x:c r="N13" s="192" t="inlineStr">
        <x:is>
          <x:t xml:space="preserve">正式美术已入库/待玩法映射</x:t>
        </x:is>
      </x:c>
      <x:c r="O13" s="192" t="inlineStr">
        <x:is>
          <x:t xml:space="preserve">v001</x:t>
        </x:is>
      </x:c>
      <x:c r="P13" s="193" t="inlineStr">
        <x:is>
          <x:t xml:space="preserve">根节点=风扇爆能枪(Node3D)</x:t>
        </x:is>
      </x:c>
    </x:row>
    <x:row r="14" ht="66" customHeight="1">
      <x:c r="A14" s="191" t="inlineStr">
        <x:is>
          <x:t xml:space="preserve">WPN-GUN-FUTURE-FRYING-PAN-CANNON-3D</x:t>
        </x:is>
      </x:c>
      <x:c r="B14" s="192" t="inlineStr">
        <x:is>
          <x:t xml:space="preserve">平底锅加农炮</x:t>
        </x:is>
      </x:c>
      <x:c r="C14" s="192" t="inlineStr">
        <x:is>
          <x:t xml:space="preserve">assets/art/weapons/weapon_3d/runtime/frying_pan_cannon/wpn_frying_pan_cannon_root_top3d_v001.tscn</x:t>
        </x:is>
      </x:c>
      <x:c r="D14" s="192" t="inlineStr">
        <x:is>
          <x:t xml:space="preserve">assets/art/weapons/weapon_3d/components/frying_pan_cannon/wpn_frying_pan_cannon_visual_top3d_v003.glb</x:t>
        </x:is>
      </x:c>
      <x:c r="E14" s="192" t="inlineStr">
        <x:is>
          <x:t xml:space="preserve">assets/art/weapons/weapon_3d/source/frying_pan_cannon/wpn_frying_pan_cannon_source_v003.blend</x:t>
        </x:is>
      </x:c>
      <x:c r="F14" s="192" t="inlineStr">
        <x:is>
          <x:t xml:space="preserve">武器3D表现Prefab；由武器系统装配</x:t>
        </x:is>
      </x:c>
      <x:c r="G14" s="192" t="inlineStr">
        <x:is>
          <x:t xml:space="preserve">src/player3d/WeaponModel3D.gd</x:t>
        </x:is>
      </x:c>
      <x:c r="H14" s="192" t="inlineStr">
        <x:is>
          <x:t xml:space="preserve">无</x:t>
        </x:is>
      </x:c>
      <x:c r="I14" s="192" t="inlineStr">
        <x:is>
          <x:t xml:space="preserve">无</x:t>
        </x:is>
      </x:c>
      <x:c r="J14" s="192" t="inlineStr">
        <x:is>
          <x:t xml:space="preserve">无</x:t>
        </x:is>
      </x:c>
      <x:c r="K14" s="192" t="inlineStr">
        <x:is>
          <x:t xml:space="preserve">握把原点；local -Z枪口；3材质；独立GLB/PackedScene</x:t>
        </x:is>
      </x:c>
      <x:c r="L14" s="192" t="inlineStr">
        <x:is>
          <x:t xml:space="preserve">-Z</x:t>
        </x:is>
      </x:c>
      <x:c r="M14" s="192" t="inlineStr">
        <x:is>
          <x:t xml:space="preserve">未来枪械池/独立资产</x:t>
        </x:is>
      </x:c>
      <x:c r="N14" s="192" t="inlineStr">
        <x:is>
          <x:t xml:space="preserve">正式美术已入库/待玩法映射</x:t>
        </x:is>
      </x:c>
      <x:c r="O14" s="192" t="inlineStr">
        <x:is>
          <x:t xml:space="preserve">v001</x:t>
        </x:is>
      </x:c>
      <x:c r="P14" s="193" t="inlineStr">
        <x:is>
          <x:t xml:space="preserve">根节点=平底锅加农炮(Node3D)</x:t>
        </x:is>
      </x:c>
    </x:row>
    <x:row r="15" ht="66" customHeight="1">
      <x:c r="A15" s="191" t="inlineStr">
        <x:is>
          <x:t xml:space="preserve">WPN-GUN-FUTURE-GUITAR-BLASTER-3D</x:t>
        </x:is>
      </x:c>
      <x:c r="B15" s="192" t="inlineStr">
        <x:is>
          <x:t xml:space="preserve">吉他爆能枪</x:t>
        </x:is>
      </x:c>
      <x:c r="C15" s="192" t="inlineStr">
        <x:is>
          <x:t xml:space="preserve">assets/art/weapons/weapon_3d/runtime/guitar_blaster/wpn_guitar_blaster_root_top3d_v001.tscn</x:t>
        </x:is>
      </x:c>
      <x:c r="D15" s="192" t="inlineStr">
        <x:is>
          <x:t xml:space="preserve">assets/art/weapons/weapon_3d/components/guitar_blaster/wpn_guitar_blaster_visual_top3d_v003.glb</x:t>
        </x:is>
      </x:c>
      <x:c r="E15" s="192" t="inlineStr">
        <x:is>
          <x:t xml:space="preserve">assets/art/weapons/weapon_3d/source/guitar_blaster/wpn_guitar_blaster_source_v003.blend</x:t>
        </x:is>
      </x:c>
      <x:c r="F15" s="192" t="inlineStr">
        <x:is>
          <x:t xml:space="preserve">武器3D表现Prefab；由武器系统装配</x:t>
        </x:is>
      </x:c>
      <x:c r="G15" s="192" t="inlineStr">
        <x:is>
          <x:t xml:space="preserve">src/player3d/WeaponModel3D.gd</x:t>
        </x:is>
      </x:c>
      <x:c r="H15" s="192" t="inlineStr">
        <x:is>
          <x:t xml:space="preserve">无</x:t>
        </x:is>
      </x:c>
      <x:c r="I15" s="192" t="inlineStr">
        <x:is>
          <x:t xml:space="preserve">无</x:t>
        </x:is>
      </x:c>
      <x:c r="J15" s="192" t="inlineStr">
        <x:is>
          <x:t xml:space="preserve">无</x:t>
        </x:is>
      </x:c>
      <x:c r="K15" s="192" t="inlineStr">
        <x:is>
          <x:t xml:space="preserve">握把原点；local -Z枪口；3材质；独立GLB/PackedScene</x:t>
        </x:is>
      </x:c>
      <x:c r="L15" s="192" t="inlineStr">
        <x:is>
          <x:t xml:space="preserve">-Z</x:t>
        </x:is>
      </x:c>
      <x:c r="M15" s="192" t="inlineStr">
        <x:is>
          <x:t xml:space="preserve">未来枪械池/独立资产</x:t>
        </x:is>
      </x:c>
      <x:c r="N15" s="192" t="inlineStr">
        <x:is>
          <x:t xml:space="preserve">正式美术已入库/待玩法映射</x:t>
        </x:is>
      </x:c>
      <x:c r="O15" s="192" t="inlineStr">
        <x:is>
          <x:t xml:space="preserve">v001</x:t>
        </x:is>
      </x:c>
      <x:c r="P15" s="193" t="inlineStr">
        <x:is>
          <x:t xml:space="preserve">根节点=吉他爆能枪(Node3D)</x:t>
        </x:is>
      </x:c>
    </x:row>
    <x:row r="16" ht="66" customHeight="1">
      <x:c r="A16" s="191" t="inlineStr">
        <x:is>
          <x:t xml:space="preserve">WPN-GUN-BP-CHARGE</x:t>
        </x:is>
      </x:c>
      <x:c r="B16" s="192" t="inlineStr">
        <x:is>
          <x:t xml:space="preserve">蓄力萝卜炮 / 口香糖机造型</x:t>
        </x:is>
      </x:c>
      <x:c r="C16" s="192" t="inlineStr">
        <x:is>
          <x:t xml:space="preserve">assets/art/weapons/weapon_3d/runtime/gumball_cannon/wpn_gumball_cannon_root_top3d_v001.tscn</x:t>
        </x:is>
      </x:c>
      <x:c r="D16" s="192" t="inlineStr">
        <x:is>
          <x:t xml:space="preserve">assets/art/weapons/weapon_3d/components/gumball_cannon/wpn_gumball_cannon_visual_top3d_v003.glb</x:t>
        </x:is>
      </x:c>
      <x:c r="E16" s="192" t="inlineStr">
        <x:is>
          <x:t xml:space="preserve">assets/art/weapons/weapon_3d/source/gumball_cannon/wpn_gumball_cannon_source_v003.blend</x:t>
        </x:is>
      </x:c>
      <x:c r="F16" s="192" t="inlineStr">
        <x:is>
          <x:t xml:space="preserve">武器3D表现Prefab；由武器系统装配</x:t>
        </x:is>
      </x:c>
      <x:c r="G16" s="192" t="inlineStr">
        <x:is>
          <x:t xml:space="preserve">src/player3d/WeaponModel3D.gd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握把原点；local -Z枪口；3材质；独立GLB/PackedScene</x:t>
        </x:is>
      </x:c>
      <x:c r="L16" s="192" t="inlineStr">
        <x:is>
          <x:t xml:space="preserve">-Z</x:t>
        </x:is>
      </x:c>
      <x:c r="M16" s="192" t="inlineStr">
        <x:is>
          <x:t xml:space="preserve">手持/背负/地面/UI 共用独立PackedScene</x:t>
        </x:is>
      </x:c>
      <x:c r="N16" s="192" t="inlineStr">
        <x:is>
          <x:t xml:space="preserve">正式美术已接入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根节点=口香糖机加农炮(Node3D)</x:t>
        </x:is>
      </x:c>
    </x:row>
    <x:row r="17" ht="66" customHeight="1">
      <x:c r="A17" s="191" t="inlineStr">
        <x:is>
          <x:t xml:space="preserve">WPN-GUN-BP-PISTOL</x:t>
        </x:is>
      </x:c>
      <x:c r="B17" s="192" t="inlineStr">
        <x:is>
          <x:t xml:space="preserve">豌豆手枪 / 吹风机造型</x:t>
        </x:is>
      </x:c>
      <x:c r="C17" s="192" t="inlineStr">
        <x:is>
          <x:t xml:space="preserve">assets/art/weapons/weapon_3d/runtime/hair_dryer/wpn_hair_dryer_root_top3d_v001.tscn</x:t>
        </x:is>
      </x:c>
      <x:c r="D17" s="192" t="inlineStr">
        <x:is>
          <x:t xml:space="preserve">assets/art/weapons/weapon_3d/components/hair_dryer/wpn_hair_dryer_visual_top3d_v003.glb</x:t>
        </x:is>
      </x:c>
      <x:c r="E17" s="192" t="inlineStr">
        <x:is>
          <x:t xml:space="preserve">assets/art/weapons/weapon_3d/source/hair_dryer/wpn_hair_dryer_source_v003.blend</x:t>
        </x:is>
      </x:c>
      <x:c r="F17" s="192" t="inlineStr">
        <x:is>
          <x:t xml:space="preserve">武器3D表现Prefab；由武器系统装配</x:t>
        </x:is>
      </x:c>
      <x:c r="G17" s="192" t="inlineStr">
        <x:is>
          <x:t xml:space="preserve">src/combat3d/WeaponModel3D.gd</x:t>
        </x:is>
      </x:c>
      <x:c r="H17" s="192" t="inlineStr">
        <x:is>
          <x:t xml:space="preserve">无</x:t>
        </x:is>
      </x:c>
      <x:c r="I17" s="192" t="inlineStr">
        <x:is>
          <x:t xml:space="preserve">无</x:t>
        </x:is>
      </x:c>
      <x:c r="J17" s="192" t="inlineStr">
        <x:is>
          <x:t xml:space="preserve">无</x:t>
        </x:is>
      </x:c>
      <x:c r="K17" s="192" t="inlineStr">
        <x:is>
          <x:t xml:space="preserve">GripSocket根原点；可见握把中心校正到根；local -Z枪口；3材质；独立GLB/PackedScene</x:t>
        </x:is>
      </x:c>
      <x:c r="L17" s="192" t="inlineStr">
        <x:is>
          <x:t xml:space="preserve">-Z</x:t>
        </x:is>
      </x:c>
      <x:c r="M17" s="192" t="inlineStr">
        <x:is>
          <x:t xml:space="preserve">手持/背负/地面/UI 共用独立PackedScene</x:t>
        </x:is>
      </x:c>
      <x:c r="N17" s="192" t="inlineStr">
        <x:is>
          <x:t xml:space="preserve">正式美术已接入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根节点=吹风机(Node3D)；VisualRoot/全部非Grip挂点统一偏移(0,-0.122838,-0.168785)；GripSocket=手掌球中心；待机/开火枪口轴与真实弹道0度差</x:t>
        </x:is>
      </x:c>
    </x:row>
    <x:row r="18" ht="66" customHeight="1">
      <x:c r="A18" s="191" t="inlineStr">
        <x:is>
          <x:t xml:space="preserve">WPN-GUN-FUTURE-MEGAPHONE-CANNON-3D</x:t>
        </x:is>
      </x:c>
      <x:c r="B18" s="192" t="inlineStr">
        <x:is>
          <x:t xml:space="preserve">扩音器加农炮</x:t>
        </x:is>
      </x:c>
      <x:c r="C18" s="192" t="inlineStr">
        <x:is>
          <x:t xml:space="preserve">assets/art/weapons/weapon_3d/runtime/megaphone_cannon/wpn_megaphone_cannon_root_top3d_v001.tscn</x:t>
        </x:is>
      </x:c>
      <x:c r="D18" s="192" t="inlineStr">
        <x:is>
          <x:t xml:space="preserve">assets/art/weapons/weapon_3d/components/megaphone_cannon/wpn_megaphone_cannon_visual_top3d_v003.glb</x:t>
        </x:is>
      </x:c>
      <x:c r="E18" s="192" t="inlineStr">
        <x:is>
          <x:t xml:space="preserve">assets/art/weapons/weapon_3d/source/megaphone_cannon/wpn_megaphone_cannon_source_v003.blend</x:t>
        </x:is>
      </x:c>
      <x:c r="F18" s="192" t="inlineStr">
        <x:is>
          <x:t xml:space="preserve">武器3D表现Prefab；由武器系统装配</x:t>
        </x:is>
      </x:c>
      <x:c r="G18" s="192" t="inlineStr">
        <x:is>
          <x:t xml:space="preserve">src/player3d/WeaponModel3D.gd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握把原点；local -Z枪口；3材质；独立GLB/PackedScene</x:t>
        </x:is>
      </x:c>
      <x:c r="L18" s="192" t="inlineStr">
        <x:is>
          <x:t xml:space="preserve">-Z</x:t>
        </x:is>
      </x:c>
      <x:c r="M18" s="192" t="inlineStr">
        <x:is>
          <x:t xml:space="preserve">未来枪械池/独立资产</x:t>
        </x:is>
      </x:c>
      <x:c r="N18" s="192" t="inlineStr">
        <x:is>
          <x:t xml:space="preserve">正式美术已入库/待玩法映射</x:t>
        </x:is>
      </x:c>
      <x:c r="O18" s="192" t="inlineStr">
        <x:is>
          <x:t xml:space="preserve">v001</x:t>
        </x:is>
      </x:c>
      <x:c r="P18" s="193" t="inlineStr">
        <x:is>
          <x:t xml:space="preserve">根节点=扩音器加农炮(Node3D)</x:t>
        </x:is>
      </x:c>
    </x:row>
    <x:row r="19" ht="66" customHeight="1">
      <x:c r="A19" s="191" t="inlineStr">
        <x:is>
          <x:t xml:space="preserve">WPN-GUN-FUTURE-POPCORN-BLASTER-3D</x:t>
        </x:is>
      </x:c>
      <x:c r="B19" s="192" t="inlineStr">
        <x:is>
          <x:t xml:space="preserve">爆米花爆能枪</x:t>
        </x:is>
      </x:c>
      <x:c r="C19" s="192" t="inlineStr">
        <x:is>
          <x:t xml:space="preserve">assets/art/weapons/weapon_3d/runtime/popcorn_blaster/wpn_popcorn_blaster_root_top3d_v001.tscn</x:t>
        </x:is>
      </x:c>
      <x:c r="D19" s="192" t="inlineStr">
        <x:is>
          <x:t xml:space="preserve">assets/art/weapons/weapon_3d/components/popcorn_blaster/wpn_popcorn_blaster_visual_top3d_v003.glb</x:t>
        </x:is>
      </x:c>
      <x:c r="E19" s="192" t="inlineStr">
        <x:is>
          <x:t xml:space="preserve">assets/art/weapons/weapon_3d/source/popcorn_blaster/wpn_popcorn_blaster_source_v003.blend</x:t>
        </x:is>
      </x:c>
      <x:c r="F19" s="192" t="inlineStr">
        <x:is>
          <x:t xml:space="preserve">武器3D表现Prefab；由武器系统装配</x:t>
        </x:is>
      </x:c>
      <x:c r="G19" s="192" t="inlineStr">
        <x:is>
          <x:t xml:space="preserve">src/player3d/WeaponModel3D.gd</x:t>
        </x:is>
      </x:c>
      <x:c r="H19" s="192" t="inlineStr">
        <x:is>
          <x:t xml:space="preserve">无</x:t>
        </x:is>
      </x:c>
      <x:c r="I19" s="192" t="inlineStr">
        <x:is>
          <x:t xml:space="preserve">无</x:t>
        </x:is>
      </x:c>
      <x:c r="J19" s="192" t="inlineStr">
        <x:is>
          <x:t xml:space="preserve">无</x:t>
        </x:is>
      </x:c>
      <x:c r="K19" s="192" t="inlineStr">
        <x:is>
          <x:t xml:space="preserve">握把原点；local -Z枪口；3材质；独立GLB/PackedScene</x:t>
        </x:is>
      </x:c>
      <x:c r="L19" s="192" t="inlineStr">
        <x:is>
          <x:t xml:space="preserve">-Z</x:t>
        </x:is>
      </x:c>
      <x:c r="M19" s="192" t="inlineStr">
        <x:is>
          <x:t xml:space="preserve">未来枪械池/独立资产</x:t>
        </x:is>
      </x:c>
      <x:c r="N19" s="192" t="inlineStr">
        <x:is>
          <x:t xml:space="preserve">正式美术已入库/待玩法映射</x:t>
        </x:is>
      </x:c>
      <x:c r="O19" s="192" t="inlineStr">
        <x:is>
          <x:t xml:space="preserve">v001</x:t>
        </x:is>
      </x:c>
      <x:c r="P19" s="193" t="inlineStr">
        <x:is>
          <x:t xml:space="preserve">根节点=爆米花爆能枪(Node3D)</x:t>
        </x:is>
      </x:c>
    </x:row>
    <x:row r="20" ht="66" customHeight="1">
      <x:c r="A20" s="191" t="inlineStr">
        <x:is>
          <x:t xml:space="preserve">WPN-GUN-FUTURE-SCOPE-CANNON-3D</x:t>
        </x:is>
      </x:c>
      <x:c r="B20" s="192" t="inlineStr">
        <x:is>
          <x:t xml:space="preserve">瞄准镜加农炮</x:t>
        </x:is>
      </x:c>
      <x:c r="C20" s="192" t="inlineStr">
        <x:is>
          <x:t xml:space="preserve">assets/art/weapons/weapon_3d/runtime/scope_cannon/wpn_scope_cannon_root_top3d_v001.tscn</x:t>
        </x:is>
      </x:c>
      <x:c r="D20" s="192" t="inlineStr">
        <x:is>
          <x:t xml:space="preserve">assets/art/weapons/weapon_3d/components/scope_cannon/wpn_scope_cannon_visual_top3d_v003.glb</x:t>
        </x:is>
      </x:c>
      <x:c r="E20" s="192" t="inlineStr">
        <x:is>
          <x:t xml:space="preserve">assets/art/weapons/weapon_3d/source/scope_cannon/wpn_scope_cannon_source_v003.blend</x:t>
        </x:is>
      </x:c>
      <x:c r="F20" s="192" t="inlineStr">
        <x:is>
          <x:t xml:space="preserve">武器3D表现Prefab；由武器系统装配</x:t>
        </x:is>
      </x:c>
      <x:c r="G20" s="192" t="inlineStr">
        <x:is>
          <x:t xml:space="preserve">src/player3d/WeaponModel3D.gd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握把原点；local -Z枪口；3材质；独立GLB/PackedScene</x:t>
        </x:is>
      </x:c>
      <x:c r="L20" s="192" t="inlineStr">
        <x:is>
          <x:t xml:space="preserve">-Z</x:t>
        </x:is>
      </x:c>
      <x:c r="M20" s="192" t="inlineStr">
        <x:is>
          <x:t xml:space="preserve">未来枪械池/独立资产</x:t>
        </x:is>
      </x:c>
      <x:c r="N20" s="192" t="inlineStr">
        <x:is>
          <x:t xml:space="preserve">正式美术已入库/待玩法映射</x:t>
        </x:is>
      </x:c>
      <x:c r="O20" s="192" t="inlineStr">
        <x:is>
          <x:t xml:space="preserve">v001</x:t>
        </x:is>
      </x:c>
      <x:c r="P20" s="193" t="inlineStr">
        <x:is>
          <x:t xml:space="preserve">根节点=瞄准镜加农炮(Node3D)</x:t>
        </x:is>
      </x:c>
    </x:row>
    <x:row r="21" ht="66" customHeight="1">
      <x:c r="A21" s="191" t="inlineStr">
        <x:is>
          <x:t xml:space="preserve">WPN-GUN-FUTURE-SODA-STRAW-BLASTER-3D</x:t>
        </x:is>
      </x:c>
      <x:c r="B21" s="192" t="inlineStr">
        <x:is>
          <x:t xml:space="preserve">饮料管爆能枪</x:t>
        </x:is>
      </x:c>
      <x:c r="C21" s="192" t="inlineStr">
        <x:is>
          <x:t xml:space="preserve">assets/art/weapons/weapon_3d/runtime/soda_straw_blaster/wpn_soda_straw_blaster_root_top3d_v001.tscn</x:t>
        </x:is>
      </x:c>
      <x:c r="D21" s="192" t="inlineStr">
        <x:is>
          <x:t xml:space="preserve">assets/art/weapons/weapon_3d/components/soda_straw_blaster/wpn_soda_straw_blaster_visual_top3d_v003.glb</x:t>
        </x:is>
      </x:c>
      <x:c r="E21" s="192" t="inlineStr">
        <x:is>
          <x:t xml:space="preserve">assets/art/weapons/weapon_3d/source/soda_straw_blaster/wpn_soda_straw_blaster_source_v003.blend</x:t>
        </x:is>
      </x:c>
      <x:c r="F21" s="192" t="inlineStr">
        <x:is>
          <x:t xml:space="preserve">武器3D表现Prefab；由武器系统装配</x:t>
        </x:is>
      </x:c>
      <x:c r="G21" s="192" t="inlineStr">
        <x:is>
          <x:t xml:space="preserve">src/player3d/WeaponModel3D.gd</x:t>
        </x:is>
      </x:c>
      <x:c r="H21" s="192" t="inlineStr">
        <x:is>
          <x:t xml:space="preserve">无</x:t>
        </x:is>
      </x:c>
      <x:c r="I21" s="192" t="inlineStr">
        <x:is>
          <x:t xml:space="preserve">无</x:t>
        </x:is>
      </x:c>
      <x:c r="J21" s="192" t="inlineStr">
        <x:is>
          <x:t xml:space="preserve">无</x:t>
        </x:is>
      </x:c>
      <x:c r="K21" s="192" t="inlineStr">
        <x:is>
          <x:t xml:space="preserve">握把原点；local -Z枪口；3材质；独立GLB/PackedScene</x:t>
        </x:is>
      </x:c>
      <x:c r="L21" s="192" t="inlineStr">
        <x:is>
          <x:t xml:space="preserve">-Z</x:t>
        </x:is>
      </x:c>
      <x:c r="M21" s="192" t="inlineStr">
        <x:is>
          <x:t xml:space="preserve">未来枪械池/独立资产</x:t>
        </x:is>
      </x:c>
      <x:c r="N21" s="192" t="inlineStr">
        <x:is>
          <x:t xml:space="preserve">正式美术已入库/待玩法映射</x:t>
        </x:is>
      </x:c>
      <x:c r="O21" s="192" t="inlineStr">
        <x:is>
          <x:t xml:space="preserve">v001</x:t>
        </x:is>
      </x:c>
      <x:c r="P21" s="193" t="inlineStr">
        <x:is>
          <x:t xml:space="preserve">根节点=饮料管爆能枪(Node3D)</x:t>
        </x:is>
      </x:c>
    </x:row>
    <x:row r="22" ht="66" customHeight="1">
      <x:c r="A22" s="191" t="inlineStr">
        <x:is>
          <x:t xml:space="preserve">WPN-GUN-FUTURE-SPATULA-RIFLE-3D</x:t>
        </x:is>
      </x:c>
      <x:c r="B22" s="192" t="inlineStr">
        <x:is>
          <x:t xml:space="preserve">锅铲步枪</x:t>
        </x:is>
      </x:c>
      <x:c r="C22" s="192" t="inlineStr">
        <x:is>
          <x:t xml:space="preserve">assets/art/weapons/weapon_3d/runtime/spatula_rifle/wpn_spatula_rifle_root_top3d_v001.tscn</x:t>
        </x:is>
      </x:c>
      <x:c r="D22" s="192" t="inlineStr">
        <x:is>
          <x:t xml:space="preserve">assets/art/weapons/weapon_3d/components/spatula_rifle/wpn_spatula_rifle_visual_top3d_v003.glb</x:t>
        </x:is>
      </x:c>
      <x:c r="E22" s="192" t="inlineStr">
        <x:is>
          <x:t xml:space="preserve">assets/art/weapons/weapon_3d/source/spatula_rifle/wpn_spatula_rifle_source_v003.blend</x:t>
        </x:is>
      </x:c>
      <x:c r="F22" s="192" t="inlineStr">
        <x:is>
          <x:t xml:space="preserve">武器3D表现Prefab；由武器系统装配</x:t>
        </x:is>
      </x:c>
      <x:c r="G22" s="192" t="inlineStr">
        <x:is>
          <x:t xml:space="preserve">src/player3d/WeaponModel3D.gd</x:t>
        </x:is>
      </x:c>
      <x:c r="H22" s="192" t="inlineStr">
        <x:is>
          <x:t xml:space="preserve">无</x:t>
        </x:is>
      </x:c>
      <x:c r="I22" s="192" t="inlineStr">
        <x:is>
          <x:t xml:space="preserve">无</x:t>
        </x:is>
      </x:c>
      <x:c r="J22" s="192" t="inlineStr">
        <x:is>
          <x:t xml:space="preserve">无</x:t>
        </x:is>
      </x:c>
      <x:c r="K22" s="192" t="inlineStr">
        <x:is>
          <x:t xml:space="preserve">握把原点；local -Z枪口；3材质；独立GLB/PackedScene</x:t>
        </x:is>
      </x:c>
      <x:c r="L22" s="192" t="inlineStr">
        <x:is>
          <x:t xml:space="preserve">-Z</x:t>
        </x:is>
      </x:c>
      <x:c r="M22" s="192" t="inlineStr">
        <x:is>
          <x:t xml:space="preserve">未来枪械池/独立资产</x:t>
        </x:is>
      </x:c>
      <x:c r="N22" s="192" t="inlineStr">
        <x:is>
          <x:t xml:space="preserve">正式美术已入库/待玩法映射</x:t>
        </x:is>
      </x:c>
      <x:c r="O22" s="192" t="inlineStr">
        <x:is>
          <x:t xml:space="preserve">v001</x:t>
        </x:is>
      </x:c>
      <x:c r="P22" s="193" t="inlineStr">
        <x:is>
          <x:t xml:space="preserve">根节点=锅铲步枪(Node3D)</x:t>
        </x:is>
      </x:c>
    </x:row>
    <x:row r="23" ht="66" customHeight="1">
      <x:c r="A23" s="191" t="inlineStr">
        <x:is>
          <x:t xml:space="preserve">WPN-GUN-FUTURE-TISSUE-BOX-CANNON-3D</x:t>
        </x:is>
      </x:c>
      <x:c r="B23" s="192" t="inlineStr">
        <x:is>
          <x:t xml:space="preserve">纸巾盒加农炮</x:t>
        </x:is>
      </x:c>
      <x:c r="C23" s="192" t="inlineStr">
        <x:is>
          <x:t xml:space="preserve">assets/art/weapons/weapon_3d/runtime/tissue_box_cannon/wpn_tissue_box_cannon_root_top3d_v001.tscn</x:t>
        </x:is>
      </x:c>
      <x:c r="D23" s="192" t="inlineStr">
        <x:is>
          <x:t xml:space="preserve">assets/art/weapons/weapon_3d/components/tissue_box_cannon/wpn_tissue_box_cannon_visual_top3d_v003.glb</x:t>
        </x:is>
      </x:c>
      <x:c r="E23" s="192" t="inlineStr">
        <x:is>
          <x:t xml:space="preserve">assets/art/weapons/weapon_3d/source/tissue_box_cannon/wpn_tissue_box_cannon_source_v003.blend</x:t>
        </x:is>
      </x:c>
      <x:c r="F23" s="192" t="inlineStr">
        <x:is>
          <x:t xml:space="preserve">武器3D表现Prefab；由武器系统装配</x:t>
        </x:is>
      </x:c>
      <x:c r="G23" s="192" t="inlineStr">
        <x:is>
          <x:t xml:space="preserve">src/player3d/WeaponModel3D.gd</x:t>
        </x:is>
      </x:c>
      <x:c r="H23" s="192" t="inlineStr">
        <x:is>
          <x:t xml:space="preserve">无</x:t>
        </x:is>
      </x:c>
      <x:c r="I23" s="192" t="inlineStr">
        <x:is>
          <x:t xml:space="preserve">无</x:t>
        </x:is>
      </x:c>
      <x:c r="J23" s="192" t="inlineStr">
        <x:is>
          <x:t xml:space="preserve">无</x:t>
        </x:is>
      </x:c>
      <x:c r="K23" s="192" t="inlineStr">
        <x:is>
          <x:t xml:space="preserve">握把原点；local -Z枪口；3材质；独立GLB/PackedScene</x:t>
        </x:is>
      </x:c>
      <x:c r="L23" s="192" t="inlineStr">
        <x:is>
          <x:t xml:space="preserve">-Z</x:t>
        </x:is>
      </x:c>
      <x:c r="M23" s="192" t="inlineStr">
        <x:is>
          <x:t xml:space="preserve">未来枪械池/独立资产</x:t>
        </x:is>
      </x:c>
      <x:c r="N23" s="192" t="inlineStr">
        <x:is>
          <x:t xml:space="preserve">正式美术已入库/待玩法映射</x:t>
        </x:is>
      </x:c>
      <x:c r="O23" s="192" t="inlineStr">
        <x:is>
          <x:t xml:space="preserve">v001</x:t>
        </x:is>
      </x:c>
      <x:c r="P23" s="193" t="inlineStr">
        <x:is>
          <x:t xml:space="preserve">根节点=纸巾盒加农炮(Node3D)</x:t>
        </x:is>
      </x:c>
    </x:row>
    <x:row r="24" ht="66" customHeight="1">
      <x:c r="A24" s="191" t="inlineStr">
        <x:is>
          <x:t xml:space="preserve">WPN-GUN-BP-LAUNCHER</x:t>
        </x:is>
      </x:c>
      <x:c r="B24" s="192" t="inlineStr">
        <x:is>
          <x:t xml:space="preserve">反胃榴弹筒 / 烤面包机造型</x:t>
        </x:is>
      </x:c>
      <x:c r="C24" s="192" t="inlineStr">
        <x:is>
          <x:t xml:space="preserve">assets/art/weapons/weapon_3d/runtime/toaster_launcher/wpn_toaster_launcher_root_top3d_v001.tscn</x:t>
        </x:is>
      </x:c>
      <x:c r="D24" s="192" t="inlineStr">
        <x:is>
          <x:t xml:space="preserve">assets/art/weapons/weapon_3d/components/toaster_launcher/wpn_toaster_launcher_visual_top3d_v003.glb</x:t>
        </x:is>
      </x:c>
      <x:c r="E24" s="192" t="inlineStr">
        <x:is>
          <x:t xml:space="preserve">assets/art/weapons/weapon_3d/source/toaster_launcher/wpn_toaster_launcher_source_v003.blend</x:t>
        </x:is>
      </x:c>
      <x:c r="F24" s="192" t="inlineStr">
        <x:is>
          <x:t xml:space="preserve">武器3D表现Prefab；由武器系统装配</x:t>
        </x:is>
      </x:c>
      <x:c r="G24" s="192" t="inlineStr">
        <x:is>
          <x:t xml:space="preserve">src/player3d/WeaponModel3D.gd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握把原点；local -Z枪口；3材质；独立GLB/PackedScene</x:t>
        </x:is>
      </x:c>
      <x:c r="L24" s="192" t="inlineStr">
        <x:is>
          <x:t xml:space="preserve">-Z</x:t>
        </x:is>
      </x:c>
      <x:c r="M24" s="192" t="inlineStr">
        <x:is>
          <x:t xml:space="preserve">手持/背负/地面/UI 共用独立PackedScene</x:t>
        </x:is>
      </x:c>
      <x:c r="N24" s="192" t="inlineStr">
        <x:is>
          <x:t xml:space="preserve">正式美术已接入</x:t>
        </x:is>
      </x:c>
      <x:c r="O24" s="192" t="inlineStr">
        <x:is>
          <x:t xml:space="preserve">v001</x:t>
        </x:is>
      </x:c>
      <x:c r="P24" s="193" t="inlineStr">
        <x:is>
          <x:t xml:space="preserve">根节点=烤面包机发射器(Node3D)</x:t>
        </x:is>
      </x:c>
    </x:row>
    <x:row r="25" ht="66" customHeight="1">
      <x:c r="A25" s="191" t="inlineStr">
        <x:is>
          <x:t xml:space="preserve">WPN-GUN-BP-MACHINEGUN</x:t>
        </x:is>
      </x:c>
      <x:c r="B25" s="192" t="inlineStr">
        <x:is>
          <x:t xml:space="preserve">蜂窝机枪 / 水箱爆能枪造型</x:t>
        </x:is>
      </x:c>
      <x:c r="C25" s="192" t="inlineStr">
        <x:is>
          <x:t xml:space="preserve">assets/art/weapons/weapon_3d/runtime/water_tank_blaster/wpn_water_tank_blaster_root_top3d_v001.tscn</x:t>
        </x:is>
      </x:c>
      <x:c r="D25" s="192" t="inlineStr">
        <x:is>
          <x:t xml:space="preserve">assets/art/weapons/weapon_3d/components/water_tank_blaster/wpn_water_tank_blaster_visual_top3d_v003.glb</x:t>
        </x:is>
      </x:c>
      <x:c r="E25" s="192" t="inlineStr">
        <x:is>
          <x:t xml:space="preserve">assets/art/weapons/weapon_3d/source/water_tank_blaster/wpn_water_tank_blaster_source_v003.blend</x:t>
        </x:is>
      </x:c>
      <x:c r="F25" s="192" t="inlineStr">
        <x:is>
          <x:t xml:space="preserve">武器3D表现Prefab；由武器系统装配</x:t>
        </x:is>
      </x:c>
      <x:c r="G25" s="192" t="inlineStr">
        <x:is>
          <x:t xml:space="preserve">src/player3d/WeaponModel3D.gd</x:t>
        </x:is>
      </x:c>
      <x:c r="H25" s="192" t="inlineStr">
        <x:is>
          <x:t xml:space="preserve">无</x:t>
        </x:is>
      </x:c>
      <x:c r="I25" s="192" t="inlineStr">
        <x:is>
          <x:t xml:space="preserve">无</x:t>
        </x:is>
      </x:c>
      <x:c r="J25" s="192" t="inlineStr">
        <x:is>
          <x:t xml:space="preserve">无</x:t>
        </x:is>
      </x:c>
      <x:c r="K25" s="192" t="inlineStr">
        <x:is>
          <x:t xml:space="preserve">握把原点；local -Z枪口；3材质；独立GLB/PackedScene</x:t>
        </x:is>
      </x:c>
      <x:c r="L25" s="192" t="inlineStr">
        <x:is>
          <x:t xml:space="preserve">-Z</x:t>
        </x:is>
      </x:c>
      <x:c r="M25" s="192" t="inlineStr">
        <x:is>
          <x:t xml:space="preserve">手持/背负/地面/UI 共用独立PackedScene</x:t>
        </x:is>
      </x:c>
      <x:c r="N25" s="192" t="inlineStr">
        <x:is>
          <x:t xml:space="preserve">正式美术已接入</x:t>
        </x:is>
      </x:c>
      <x:c r="O25" s="192" t="inlineStr">
        <x:is>
          <x:t xml:space="preserve">v001</x:t>
        </x:is>
      </x:c>
      <x:c r="P25" s="193" t="inlineStr">
        <x:is>
          <x:t xml:space="preserve">根节点=水箱爆能枪(Node3D)</x:t>
        </x:is>
      </x:c>
    </x:row>
    <x:row r="26" ht="66" customHeight="1">
      <x:c r="A26" s="194" t="inlineStr">
        <x:is>
          <x:t xml:space="preserve">WPN-GUN-KIT-3D</x:t>
        </x:is>
      </x:c>
      <x:c r="B26" s="195" t="inlineStr">
        <x:is>
          <x:t xml:space="preserve">枪械3D通用模型套件</x:t>
        </x:is>
      </x:c>
      <x:c r="C26" s="195" t="inlineStr">
        <x:is>
          <x:t xml:space="preserve">assets/art/weapons/weapon_3d/wpn_gun_kit_root_top3d_v001.tscn</x:t>
        </x:is>
      </x:c>
      <x:c r="D26" s="195" t="str"/>
      <x:c r="E26" s="195" t="str"/>
      <x:c r="F26" s="195" t="inlineStr">
        <x:is>
          <x:t xml:space="preserve">武器3D表现Prefab；由武器系统装配</x:t>
        </x:is>
      </x:c>
      <x:c r="G26" s="195" t="inlineStr">
        <x:is>
          <x:t xml:space="preserve">src/combat3d/WeaponModel3D.gd</x:t>
        </x:is>
      </x:c>
      <x:c r="H26" s="195" t="inlineStr">
        <x:is>
          <x:t xml:space="preserve">无</x:t>
        </x:is>
      </x:c>
      <x:c r="I26" s="195" t="inlineStr">
        <x:is>
          <x:t xml:space="preserve">无</x:t>
        </x:is>
      </x:c>
      <x:c r="J26" s="195" t="inlineStr">
        <x:is>
          <x:t xml:space="preserve">无</x:t>
        </x:is>
      </x:c>
      <x:c r="K26" s="195" t="inlineStr">
        <x:is>
          <x:t xml:space="preserve">PackedScene/7枪配置模型</x:t>
        </x:is>
      </x:c>
      <x:c r="L26" s="195" t="inlineStr">
        <x:is>
          <x:t xml:space="preserve">未声明</x:t>
        </x:is>
      </x:c>
      <x:c r="M26" s="195" t="inlineStr">
        <x:is>
          <x:t xml:space="preserve">玩家/靶场/全部副本</x:t>
        </x:is>
      </x:c>
      <x:c r="N26" s="195" t="inlineStr">
        <x:is>
          <x:t xml:space="preserve">原型已接入</x:t>
        </x:is>
      </x:c>
      <x:c r="O26" s="195" t="inlineStr">
        <x:is>
          <x:t xml:space="preserve">v001</x:t>
        </x:is>
      </x:c>
      <x:c r="P26" s="196" t="inlineStr">
        <x:is>
          <x:t xml:space="preserve">根节点=WeaponModel3D(Node3D)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物品 3D Prefab</x:t>
        </x:is>
      </x:c>
    </x:row>
    <x:row r="2" ht="34" customHeight="1">
      <x:c r="A2" s="250" t="inlineStr">
        <x:is>
          <x:t xml:space="preserve">拥有独立PackedScene的拾取物、消耗品、钥匙和掉落物；本次扫描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76" t="inlineStr">
        <x:is>
          <x:t xml:space="preserve">ShellStorm2 · 特效 3D Prefab</x:t>
        </x:is>
      </x:c>
    </x:row>
    <x:row r="2" ht="34" customHeight="1">
      <x:c r="A2" s="377" t="inlineStr">
        <x:is>
          <x:t xml:space="preserve">特效按独立 Prefab 原则：每个特效一个独立 .tscn；Prefab 是特效唯一出口；账本和调用代码读 Prefab。本 sheet 共 10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</x:t>
        </x:is>
      </x:c>
    </x:row>
    <x:row r="4" ht="30" customHeight="1">
      <x:c r="A4" s="378" t="inlineStr">
        <x:is>
          <x:t xml:space="preserve">编号</x:t>
        </x:is>
      </x:c>
      <x:c r="B4" s="379" t="inlineStr">
        <x:is>
          <x:t xml:space="preserve">AssetID</x:t>
        </x:is>
      </x:c>
      <x:c r="C4" s="379" t="inlineStr">
        <x:is>
          <x:t xml:space="preserve">中文名</x:t>
        </x:is>
      </x:c>
      <x:c r="D4" s="379" t="inlineStr">
        <x:is>
          <x:t xml:space="preserve">Prefab路径</x:t>
        </x:is>
      </x:c>
      <x:c r="E4" s="379" t="inlineStr">
        <x:is>
          <x:t xml:space="preserve">GLB模型路径</x:t>
        </x:is>
      </x:c>
      <x:c r="F4" s="379" t="inlineStr">
        <x:is>
          <x:t xml:space="preserve">Blender源文件</x:t>
        </x:is>
      </x:c>
      <x:c r="G4" s="379" t="inlineStr">
        <x:is>
          <x:t xml:space="preserve">功能说明</x:t>
        </x:is>
      </x:c>
      <x:c r="H4" s="379" t="inlineStr">
        <x:is>
          <x:t xml:space="preserve">功能脚本路径</x:t>
        </x:is>
      </x:c>
      <x:c r="I4" s="379" t="inlineStr">
        <x:is>
          <x:t xml:space="preserve">碰撞开关</x:t>
        </x:is>
      </x:c>
      <x:c r="J4" s="379" t="inlineStr">
        <x:is>
          <x:t xml:space="preserve">碰撞归属</x:t>
        </x:is>
      </x:c>
      <x:c r="K4" s="379" t="inlineStr">
        <x:is>
          <x:t xml:space="preserve">碰撞方式</x:t>
        </x:is>
      </x:c>
      <x:c r="L4" s="379" t="inlineStr">
        <x:is>
          <x:t xml:space="preserve">标准尺寸</x:t>
        </x:is>
      </x:c>
      <x:c r="M4" s="379" t="inlineStr">
        <x:is>
          <x:t xml:space="preserve">原点与朝向</x:t>
        </x:is>
      </x:c>
      <x:c r="N4" s="379" t="inlineStr">
        <x:is>
          <x:t xml:space="preserve">使用位置</x:t>
        </x:is>
      </x:c>
      <x:c r="O4" s="379" t="inlineStr">
        <x:is>
          <x:t xml:space="preserve">制作状态</x:t>
        </x:is>
      </x:c>
      <x:c r="P4" s="380" t="inlineStr">
        <x:is>
          <x:t xml:space="preserve">版本</x:t>
        </x:is>
      </x:c>
      <x:c r="Q4" s="389" t="inlineStr">
        <x:is>
          <x:t xml:space="preserve">备注</x:t>
        </x:is>
      </x:c>
    </x:row>
    <x:row r="5" ht="66" customHeight="1">
      <x:c r="A5" s="381" t="inlineStr">
        <x:is>
          <x:t xml:space="preserve">▼ 00 特效套件（老形态）</x:t>
        </x:is>
      </x:c>
      <x:c r="B5" s="382" t="n"/>
      <x:c r="C5" s="382" t="n"/>
      <x:c r="D5" s="382" t="n"/>
      <x:c r="E5" s="382" t="n"/>
      <x:c r="F5" s="382" t="n"/>
      <x:c r="G5" s="382" t="n"/>
      <x:c r="H5" s="382" t="n"/>
      <x:c r="I5" s="382" t="n"/>
      <x:c r="J5" s="382" t="n"/>
      <x:c r="K5" s="382" t="n"/>
      <x:c r="L5" s="382" t="n"/>
      <x:c r="M5" s="382" t="n"/>
      <x:c r="N5" s="382" t="n"/>
      <x:c r="O5" s="382" t="n"/>
      <x:c r="P5" s="383" t="n"/>
      <x:c r="Q5" s="388" t="n"/>
    </x:row>
    <x:row r="6" ht="66" customHeight="1">
      <x:c r="A6" s="390" t="inlineStr">
        <x:is>
          <x:t xml:space="preserve">FX00-01</x:t>
        </x:is>
      </x:c>
      <x:c r="B6" s="192" t="inlineStr">
        <x:is>
          <x:t xml:space="preserve">VFX-COMBAT-KIT-3D</x:t>
        </x:is>
      </x:c>
      <x:c r="C6" s="192" t="inlineStr">
        <x:is>
          <x:t xml:space="preserve">战斗反馈3D通用特效套件</x:t>
        </x:is>
      </x:c>
      <x:c r="D6" s="192" t="inlineStr">
        <x:is>
          <x:t xml:space="preserve">assets/art/vfx/combat_3d/vfx_combat_kit_root_top3d_v001.tscn</x:t>
        </x:is>
      </x:c>
      <x:c r="E6" s="192" t="n"/>
      <x:c r="F6" s="192" t="n"/>
      <x:c r="G6" s="192" t="inlineStr">
        <x:is>
          <x:t xml:space="preserve">一个 Prefab + match effect_kind 7 套代码分支，覆盖 7 种战斗反馈视觉。违反 14.6 独立 Prefab 原则 §1；下方 7 个战斗反馈/受击飘字条目为拆分目标。旧调用方继续运行至 2026-Q4 迁移完成。</x:t>
        </x:is>
      </x:c>
      <x:c r="H6" s="192" t="inlineStr">
        <x:is>
          <x:t xml:space="preserve">src/combat3d/CombatEffect3D.gd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无</x:t>
        </x:is>
      </x:c>
      <x:c r="L6" s="192" t="inlineStr">
        <x:is>
          <x:t xml:space="preserve">PackedScene/参数化特效</x:t>
        </x:is>
      </x:c>
      <x:c r="M6" s="192" t="inlineStr">
        <x:is>
          <x:t xml:space="preserve">未声明</x:t>
        </x:is>
      </x:c>
      <x:c r="N6" s="192" t="inlineStr">
        <x:is>
          <x:t xml:space="preserve">枪械/近战/敌人/关卡</x:t>
        </x:is>
      </x:c>
      <x:c r="O6" s="192" t="inlineStr">
        <x:is>
          <x:t xml:space="preserve">老 · 待拆分</x:t>
        </x:is>
      </x:c>
      <x:c r="P6" s="193" t="inlineStr">
        <x:is>
          <x:t xml:space="preserve">v001</x:t>
        </x:is>
      </x:c>
      <x:c r="Q6" t="inlineStr">
        <x:is>
          <x:t xml:space="preserve">老形态·保留为过渡；待 14.6 §6 迁移完成后删除</x:t>
        </x:is>
      </x:c>
    </x:row>
    <x:row r="7" ht="66" customHeight="1">
      <x:c r="A7" s="384" t="inlineStr">
        <x:is>
          <x:t xml:space="preserve">▼ 01 战斗反馈</x:t>
        </x:is>
      </x:c>
      <x:c r="B7" s="385" t="n"/>
      <x:c r="C7" s="385" t="n"/>
      <x:c r="D7" s="385" t="n"/>
      <x:c r="E7" s="385" t="n"/>
      <x:c r="F7" s="385" t="n"/>
      <x:c r="G7" s="385" t="n"/>
      <x:c r="H7" s="385" t="n"/>
      <x:c r="I7" s="385" t="n"/>
      <x:c r="J7" s="385" t="n"/>
      <x:c r="K7" s="385" t="n"/>
      <x:c r="L7" s="385" t="n"/>
      <x:c r="M7" s="385" t="n"/>
      <x:c r="N7" s="385" t="n"/>
      <x:c r="O7" s="385" t="n"/>
      <x:c r="P7" s="386" t="n"/>
      <x:c r="Q7" s="388" t="n"/>
    </x:row>
    <x:row r="8">
      <x:c r="A8" s="391" t="inlineStr">
        <x:is>
          <x:t xml:space="preserve">FX01-01</x:t>
        </x:is>
      </x:c>
      <x:c r="B8" t="inlineStr">
        <x:is>
          <x:t xml:space="preserve">VFX-MUZZLE-FLASH-3D</x:t>
        </x:is>
      </x:c>
      <x:c r="C8" t="inlineStr">
        <x:is>
          <x:t xml:space="preserve">枪口火光特效</x:t>
        </x:is>
      </x:c>
      <x:c r="D8" t="inlineStr">
        <x:is>
          <x:t xml:space="preserve">assets/art/vfx/combat_3d/vfx_muzzle_flash_root_top3d_v001.tscn</x:t>
        </x:is>
      </x:c>
      <x:c r="G8" t="inlineStr">
        <x:is>
          <x:t xml:space="preserve">枪械/投射物开火时的瞬时火光；SphereMesh 闪核 + TorusMesh 环；参数 effect_color（火焰色）/ effect_size（火光强度）。</x:t>
        </x:is>
      </x:c>
      <x:c r="H8" t="inlineStr">
        <x:is>
          <x:t xml:space="preserve">src/vfx/VfxMuzzleFlash3D.gd</x:t>
        </x:is>
      </x:c>
      <x:c r="I8" t="inlineStr">
        <x:is>
          <x:t xml:space="preserve">无</x:t>
        </x:is>
      </x:c>
      <x:c r="J8" t="inlineStr">
        <x:is>
          <x:t xml:space="preserve">无</x:t>
        </x:is>
      </x:c>
      <x:c r="K8" t="inlineStr">
        <x:is>
          <x:t xml:space="preserve">无</x:t>
        </x:is>
      </x:c>
      <x:c r="L8" t="inlineStr">
        <x:is>
          <x:t xml:space="preserve">约 0.18m 半径；lifetime 0.12s</x:t>
        </x:is>
      </x:c>
      <x:c r="M8" t="inlineStr">
        <x:is>
          <x:t xml:space="preserve">原点=根节点中心；朝向=local -Z 正面</x:t>
        </x:is>
      </x:c>
      <x:c r="N8" t="inlineStr">
        <x:is>
          <x:t xml:space="preserve">枪械开火（远程 7 枪）</x:t>
        </x:is>
      </x:c>
      <x:c r="O8" t="inlineStr">
        <x:is>
          <x:t xml:space="preserve">完成</x:t>
        </x:is>
      </x:c>
      <x:c r="P8" t="inlineStr">
        <x:is>
          <x:t xml:space="preserve">v001</x:t>
        </x:is>
      </x:c>
      <x:c r="Q8" t="inlineStr">
        <x:is>
          <x:t xml:space="preserve">已实装；Prefab=assets/art/vfx/combat_3d/vfx_muzzle_flash_root_top3d_v001.tscn + 脚本=src/vfx/VfxMuzzleFlash3D.gd；根节点=VfxMuzzleFlash3D(Node3D)；FX编号 FX01-01；调用方：PlayerMeleeCombat3D/Enemy3D 经 VfxPool3D 路由</x:t>
        </x:is>
      </x:c>
    </x:row>
    <x:row r="9">
      <x:c r="A9" s="391" t="inlineStr">
        <x:is>
          <x:t xml:space="preserve">FX01-02</x:t>
        </x:is>
      </x:c>
      <x:c r="B9" s="388" t="inlineStr">
        <x:is>
          <x:t xml:space="preserve">VFX-IMPACT-3D</x:t>
        </x:is>
      </x:c>
      <x:c r="C9" s="388" t="inlineStr">
        <x:is>
          <x:t xml:space="preserve">通用命中特效</x:t>
        </x:is>
      </x:c>
      <x:c r="D9" s="388" t="inlineStr">
        <x:is>
          <x:t xml:space="preserve">assets/art/vfx/combat_3d/vfx_impact_root_top3d_v001.tscn</x:t>
        </x:is>
      </x:c>
      <x:c r="E9" s="388" t="n"/>
      <x:c r="F9" s="388" t="n"/>
      <x:c r="G9" s="388" t="inlineStr">
        <x:is>
          <x:t xml:space="preserve">子弹/投射物命中目标时的爆点；SphereMesh 核心 + TorusMesh 环；参数 effect_color（命中火花色）/ effect_size（爆点半径）。</x:t>
        </x:is>
      </x:c>
      <x:c r="H9" s="388" t="inlineStr">
        <x:is>
          <x:t xml:space="preserve">src/vfx/VfxImpact3D.gd</x:t>
        </x:is>
      </x:c>
      <x:c r="I9" s="388" t="inlineStr">
        <x:is>
          <x:t xml:space="preserve">无</x:t>
        </x:is>
      </x:c>
      <x:c r="J9" s="388" t="inlineStr">
        <x:is>
          <x:t xml:space="preserve">无</x:t>
        </x:is>
      </x:c>
      <x:c r="K9" s="388" t="inlineStr">
        <x:is>
          <x:t xml:space="preserve">无</x:t>
        </x:is>
      </x:c>
      <x:c r="L9" s="388" t="inlineStr">
        <x:is>
          <x:t xml:space="preserve">约 0.16m 核心；lifetime 0.24s</x:t>
        </x:is>
      </x:c>
      <x:c r="M9" s="388" t="inlineStr">
        <x:is>
          <x:t xml:space="preserve">原点=根节点中心；朝向=local -Z 正面</x:t>
        </x:is>
      </x:c>
      <x:c r="N9" s="388" t="inlineStr">
        <x:is>
          <x:t xml:space="preserve">子弹/投射物命中通用</x:t>
        </x:is>
      </x:c>
      <x:c r="O9" s="388" t="inlineStr">
        <x:is>
          <x:t xml:space="preserve">完成</x:t>
        </x:is>
      </x:c>
      <x:c r="P9" s="388" t="inlineStr">
        <x:is>
          <x:t xml:space="preserve">v001</x:t>
        </x:is>
      </x:c>
      <x:c r="Q9" t="inlineStr">
        <x:is>
          <x:t xml:space="preserve">已实装；Prefab=assets/art/vfx/combat_3d/vfx_impact_root_top3d_v001.tscn + 脚本=src/vfx/VfxImpact3D.gd；根节点=VfxImpact3D(Node3D)；FX编号 FX01-02；调用方：PlayerMeleeCombat3D/Enemy3D 经 VfxPool3D 路由</x:t>
        </x:is>
      </x:c>
    </x:row>
    <x:row r="10">
      <x:c r="A10" s="391" t="inlineStr">
        <x:is>
          <x:t xml:space="preserve">FX01-03</x:t>
        </x:is>
      </x:c>
      <x:c r="B10" t="inlineStr">
        <x:is>
          <x:t xml:space="preserve">VFX-EXPLOSION-3D</x:t>
        </x:is>
      </x:c>
      <x:c r="C10" t="inlineStr">
        <x:is>
          <x:t xml:space="preserve">爆炸特效</x:t>
        </x:is>
      </x:c>
      <x:c r="D10" t="inlineStr">
        <x:is>
          <x:t xml:space="preserve">assets/art/vfx/combat_3d/vfx_explosion_root_top3d_v001.tscn</x:t>
        </x:is>
      </x:c>
      <x:c r="G10" t="inlineStr">
        <x:is>
          <x:t xml:space="preserve">范围爆炸；1 SphereMesh 核心 + 2 TorusMesh 冲击波环（径向波 + 二次环）；参数 effect_color / effect_size。</x:t>
        </x:is>
      </x:c>
      <x:c r="H10" t="inlineStr">
        <x:is>
          <x:t xml:space="preserve">src/vfx/VfxExplosion3D.gd</x:t>
        </x:is>
      </x:c>
      <x:c r="I10" t="inlineStr">
        <x:is>
          <x:t xml:space="preserve">无</x:t>
        </x:is>
      </x:c>
      <x:c r="J10" t="inlineStr">
        <x:is>
          <x:t xml:space="preserve">无</x:t>
        </x:is>
      </x:c>
      <x:c r="K10" t="inlineStr">
        <x:is>
          <x:t xml:space="preserve">无</x:t>
        </x:is>
      </x:c>
      <x:c r="L10" t="inlineStr">
        <x:is>
          <x:t xml:space="preserve">约 0.42m 核心 → 0.82m 外环；lifetime 0.46s</x:t>
        </x:is>
      </x:c>
      <x:c r="M10" t="inlineStr">
        <x:is>
          <x:t xml:space="preserve">原点=根节点中心；朝向=local -Z 正面</x:t>
        </x:is>
      </x:c>
      <x:c r="N10" t="inlineStr">
        <x:is>
          <x:t xml:space="preserve">爆炸弹/范围武器</x:t>
        </x:is>
      </x:c>
      <x:c r="O10" t="inlineStr">
        <x:is>
          <x:t xml:space="preserve">完成</x:t>
        </x:is>
      </x:c>
      <x:c r="P10" t="inlineStr">
        <x:is>
          <x:t xml:space="preserve">v001</x:t>
        </x:is>
      </x:c>
      <x:c r="Q10" t="inlineStr">
        <x:is>
          <x:t xml:space="preserve">已实装；Prefab=assets/art/vfx/combat_3d/vfx_explosion_root_top3d_v001.tscn + 脚本=src/vfx/VfxExplosion3D.gd；根节点=VfxExplosion3D(Node3D)；FX编号 FX01-03；调用方：PlayerMeleeCombat3D/Enemy3D 经 VfxPool3D 路由</x:t>
        </x:is>
      </x:c>
    </x:row>
    <x:row r="11">
      <x:c r="A11" s="391" t="inlineStr">
        <x:is>
          <x:t xml:space="preserve">FX01-04</x:t>
        </x:is>
      </x:c>
      <x:c r="B11" t="inlineStr">
        <x:is>
          <x:t xml:space="preserve">VFX-MELEE-SLASH-3D</x:t>
        </x:is>
      </x:c>
      <x:c r="C11" t="inlineStr">
        <x:is>
          <x:t xml:space="preserve">近战挥砍弧特效</x:t>
        </x:is>
      </x:c>
      <x:c r="D11" t="inlineStr">
        <x:is>
          <x:t xml:space="preserve">assets/art/vfx/combat_3d/vfx_melee_slash_root_top3d_v001.tscn</x:t>
        </x:is>
      </x:c>
      <x:c r="G11" t="inlineStr">
        <x:is>
          <x:t xml:space="preserve">近战挥砍时的弧光；SurfaceTool 自定义三角扇形 + 顶点 alpha 渐隐；连段 1/2/3 通过 effect_size 和方向区分。</x:t>
        </x:is>
      </x:c>
      <x:c r="H11" t="inlineStr">
        <x:is>
          <x:t xml:space="preserve">src/vfx/VfxMeleeSlash3D.gd</x:t>
        </x:is>
      </x:c>
      <x:c r="I11" t="inlineStr">
        <x:is>
          <x:t xml:space="preserve">无</x:t>
        </x:is>
      </x:c>
      <x:c r="J11" t="inlineStr">
        <x:is>
          <x:t xml:space="preserve">无</x:t>
        </x:is>
      </x:c>
      <x:c r="K11" t="inlineStr">
        <x:is>
          <x:t xml:space="preserve">无</x:t>
        </x:is>
      </x:c>
      <x:c r="L11" t="inlineStr">
        <x:is>
          <x:t xml:space="preserve">内径 0.78m / 外径 1.42m；lifetime 0.28s</x:t>
        </x:is>
      </x:c>
      <x:c r="M11" t="inlineStr">
        <x:is>
          <x:t xml:space="preserve">原点=根节点中心；朝向=local -Z 正面</x:t>
        </x:is>
      </x:c>
      <x:c r="N11" t="inlineStr">
        <x:is>
          <x:t xml:space="preserve">棒球棍/巨刃/战斧挥砍（近战 3 武器）</x:t>
        </x:is>
      </x:c>
      <x:c r="O11" t="inlineStr">
        <x:is>
          <x:t xml:space="preserve">完成</x:t>
        </x:is>
      </x:c>
      <x:c r="P11" t="inlineStr">
        <x:is>
          <x:t xml:space="preserve">v001</x:t>
        </x:is>
      </x:c>
      <x:c r="Q11" t="inlineStr">
        <x:is>
          <x:t xml:space="preserve">已实装；Prefab=assets/art/vfx/combat_3d/vfx_melee_slash_root_top3d_v001.tscn + 脚本=src/vfx/VfxMeleeSlash3D.gd；根节点=VfxMeleeSlash3D(Node3D)；FX编号 FX01-04；调用方：PlayerMeleeCombat3D/Enemy3D 经 VfxPool3D 路由</x:t>
        </x:is>
      </x:c>
    </x:row>
    <x:row r="12">
      <x:c r="A12" s="391" t="inlineStr">
        <x:is>
          <x:t xml:space="preserve">FX01-05</x:t>
        </x:is>
      </x:c>
      <x:c r="B12" t="inlineStr">
        <x:is>
          <x:t xml:space="preserve">VFX-MELEE-IMPACT-3D</x:t>
        </x:is>
      </x:c>
      <x:c r="C12" t="inlineStr">
        <x:is>
          <x:t xml:space="preserve">近战命中爆点特效</x:t>
        </x:is>
      </x:c>
      <x:c r="D12" t="inlineStr">
        <x:is>
          <x:t xml:space="preserve">assets/art/vfx/combat_3d/vfx_melee_impact_root_top3d_v001.tscn</x:t>
        </x:is>
      </x:c>
      <x:c r="G12" t="inlineStr">
        <x:is>
          <x:t xml:space="preserve">近战命中目标时的爆点；1 SphereMesh 核心 + 2 TorusMesh 环 + 6 BoxMesh 飞散碎片；逐目标独立爆点。</x:t>
        </x:is>
      </x:c>
      <x:c r="H12" t="inlineStr">
        <x:is>
          <x:t xml:space="preserve">src/vfx/VfxMeleeImpact3D.gd</x:t>
        </x:is>
      </x:c>
      <x:c r="I12" t="inlineStr">
        <x:is>
          <x:t xml:space="preserve">无</x:t>
        </x:is>
      </x:c>
      <x:c r="J12" t="inlineStr">
        <x:is>
          <x:t xml:space="preserve">无</x:t>
        </x:is>
      </x:c>
      <x:c r="K12" t="inlineStr">
        <x:is>
          <x:t xml:space="preserve">无</x:t>
        </x:is>
      </x:c>
      <x:c r="L12" t="inlineStr">
        <x:is>
          <x:t xml:space="preserve">约 0.19m 核心；lifetime 0.32s</x:t>
        </x:is>
      </x:c>
      <x:c r="M12" t="inlineStr">
        <x:is>
          <x:t xml:space="preserve">原点=根节点中心；朝向=local -Z 正面</x:t>
        </x:is>
      </x:c>
      <x:c r="N12" t="inlineStr">
        <x:is>
          <x:t xml:space="preserve">近战命中爆点（连段 1/2/3 各 1 次）</x:t>
        </x:is>
      </x:c>
      <x:c r="O12" t="inlineStr">
        <x:is>
          <x:t xml:space="preserve">完成</x:t>
        </x:is>
      </x:c>
      <x:c r="P12" t="inlineStr">
        <x:is>
          <x:t xml:space="preserve">v001</x:t>
        </x:is>
      </x:c>
      <x:c r="Q12" t="inlineStr">
        <x:is>
          <x:t xml:space="preserve">已实装；Prefab=assets/art/vfx/combat_3d/vfx_melee_impact_root_top3d_v001.tscn + 脚本=src/vfx/VfxMeleeImpact3D.gd；根节点=VfxMeleeImpact3D(Node3D)；FX编号 FX01-05；调用方：PlayerMeleeCombat3D/Enemy3D 经 VfxPool3D 路由</x:t>
        </x:is>
      </x:c>
    </x:row>
    <x:row r="13">
      <x:c r="A13" s="387" t="inlineStr">
        <x:is>
          <x:t xml:space="preserve">▼ 02 受击飘字</x:t>
        </x:is>
      </x:c>
      <x:c r="B13" s="388" t="n"/>
      <x:c r="C13" s="388" t="n"/>
      <x:c r="D13" s="388" t="n"/>
      <x:c r="E13" s="388" t="n"/>
      <x:c r="F13" s="388" t="n"/>
      <x:c r="G13" s="388" t="n"/>
      <x:c r="H13" s="388" t="n"/>
      <x:c r="I13" s="388" t="n"/>
      <x:c r="J13" s="388" t="n"/>
      <x:c r="K13" s="388" t="n"/>
      <x:c r="L13" s="388" t="n"/>
      <x:c r="M13" s="388" t="n"/>
      <x:c r="N13" s="388" t="n"/>
      <x:c r="O13" s="388" t="n"/>
      <x:c r="P13" s="388" t="n"/>
      <x:c r="Q13" s="388" t="n"/>
    </x:row>
    <x:row r="14">
      <x:c r="A14" s="391" t="inlineStr">
        <x:is>
          <x:t xml:space="preserve">FX02-01</x:t>
        </x:is>
      </x:c>
      <x:c r="B14" t="inlineStr">
        <x:is>
          <x:t xml:space="preserve">VFX-DAMAGE-NUMBER-3D</x:t>
        </x:is>
      </x:c>
      <x:c r="C14" t="inlineStr">
        <x:is>
          <x:t xml:space="preserve">伤害数字飘字特效</x:t>
        </x:is>
      </x:c>
      <x:c r="D14" t="inlineStr">
        <x:is>
          <x:t xml:space="preserve">assets/art/vfx/combat_3d/vfx_damage_number_root_top3d_v001.tscn</x:t>
        </x:is>
      </x:c>
      <x:c r="G14" t="inlineStr">
        <x:is>
          <x:t xml:space="preserve">受击伤害数字上升飘字；Label3D + 黑边 + 颜色编码（红/橙/暴击金）；参数 effect_color + context.text_value。</x:t>
        </x:is>
      </x:c>
      <x:c r="H14" t="inlineStr">
        <x:is>
          <x:t xml:space="preserve">src/vfx/VfxDamageNumber3D.gd</x:t>
        </x:is>
      </x:c>
      <x:c r="I14" t="inlineStr">
        <x:is>
          <x:t xml:space="preserve">无</x:t>
        </x:is>
      </x:c>
      <x:c r="J14" t="inlineStr">
        <x:is>
          <x:t xml:space="preserve">无</x:t>
        </x:is>
      </x:c>
      <x:c r="K14" t="inlineStr">
        <x:is>
          <x:t xml:space="preserve">无</x:t>
        </x:is>
      </x:c>
      <x:c r="L14" t="inlineStr">
        <x:is>
          <x:t xml:space="preserve">Label3D pixel_size=0.010；lifetime 0.72s</x:t>
        </x:is>
      </x:c>
      <x:c r="M14" t="inlineStr">
        <x:is>
          <x:t xml:space="preserve">原点=根节点中心；朝向=local -Z 正面</x:t>
        </x:is>
      </x:c>
      <x:c r="N14" t="inlineStr">
        <x:is>
          <x:t xml:space="preserve">玩家/敌人受击伤害显示</x:t>
        </x:is>
      </x:c>
      <x:c r="O14" t="inlineStr">
        <x:is>
          <x:t xml:space="preserve">完成</x:t>
        </x:is>
      </x:c>
      <x:c r="P14" t="inlineStr">
        <x:is>
          <x:t xml:space="preserve">v001</x:t>
        </x:is>
      </x:c>
      <x:c r="Q14" t="inlineStr">
        <x:is>
          <x:t xml:space="preserve">已实装；Prefab=assets/art/vfx/combat_3d/vfx_damage_number_root_top3d_v001.tscn + 脚本=src/vfx/VfxDamageNumber3D.gd；根节点=VfxDamageNumber3D(Node3D)；FX编号 FX02-01；调用方：Enemy3D._spawn_damage_number 经 VfxPool3D 路由；接受 context.text_value</x:t>
        </x:is>
      </x:c>
    </x:row>
    <x:row r="15">
      <x:c r="A15" s="391" t="inlineStr">
        <x:is>
          <x:t xml:space="preserve">FX02-02</x:t>
        </x:is>
      </x:c>
      <x:c r="B15" t="inlineStr">
        <x:is>
          <x:t xml:space="preserve">VFX-HEAL-NUMBER-3D</x:t>
        </x:is>
      </x:c>
      <x:c r="C15" t="inlineStr">
        <x:is>
          <x:t xml:space="preserve">治疗数字飘字特效</x:t>
        </x:is>
      </x:c>
      <x:c r="D15" t="inlineStr">
        <x:is>
          <x:t xml:space="preserve">assets/art/vfx/combat_3d/vfx_heal_number_root_top3d_v001.tscn</x:t>
        </x:is>
      </x:c>
      <x:c r="G15" t="inlineStr">
        <x:is>
          <x:t xml:space="preserve">治疗/恢复数字上升飘字；Label3D + 绿色调（+ 白色描边）；参数 context.text_value。</x:t>
        </x:is>
      </x:c>
      <x:c r="H15" t="inlineStr">
        <x:is>
          <x:t xml:space="preserve">src/vfx/VfxHealNumber3D.gd</x:t>
        </x:is>
      </x:c>
      <x:c r="I15" t="inlineStr">
        <x:is>
          <x:t xml:space="preserve">无</x:t>
        </x:is>
      </x:c>
      <x:c r="J15" t="inlineStr">
        <x:is>
          <x:t xml:space="preserve">无</x:t>
        </x:is>
      </x:c>
      <x:c r="K15" t="inlineStr">
        <x:is>
          <x:t xml:space="preserve">无</x:t>
        </x:is>
      </x:c>
      <x:c r="L15" t="inlineStr">
        <x:is>
          <x:t xml:space="preserve">Label3D pixel_size=0.010；lifetime 0.72s</x:t>
        </x:is>
      </x:c>
      <x:c r="M15" t="inlineStr">
        <x:is>
          <x:t xml:space="preserve">原点=根节点中心；朝向=local -Z 正面</x:t>
        </x:is>
      </x:c>
      <x:c r="N15" t="inlineStr">
        <x:is>
          <x:t xml:space="preserve">玩家/队友治疗显示</x:t>
        </x:is>
      </x:c>
      <x:c r="O15" t="inlineStr">
        <x:is>
          <x:t xml:space="preserve">完成</x:t>
        </x:is>
      </x:c>
      <x:c r="P15" t="inlineStr">
        <x:is>
          <x:t xml:space="preserve">v001</x:t>
        </x:is>
      </x:c>
      <x:c r="Q15" t="inlineStr">
        <x:is>
          <x:t xml:space="preserve">已实装；Prefab=assets/art/vfx/combat_3d/vfx_heal_number_root_top3d_v001.tscn + 脚本=src/vfx/VfxHealNumber3D.gd；根节点=VfxHealNumber3D(Node3D)；FX编号 FX02-02；调用方：Enemy3D._spawn_damage_number 经 VfxPool3D 路由；接受 context.text_value</x:t>
        </x:is>
      </x:c>
    </x:row>
    <x:row r="16">
      <x:c r="A16" s="387" t="inlineStr">
        <x:is>
          <x:t xml:space="preserve">▼ 03 环境场</x:t>
        </x:is>
      </x:c>
      <x:c r="B16" s="388" t="n"/>
      <x:c r="C16" s="388" t="n"/>
      <x:c r="D16" s="388" t="n"/>
      <x:c r="E16" s="388" t="n"/>
      <x:c r="F16" s="388" t="n"/>
      <x:c r="G16" s="388" t="n"/>
      <x:c r="H16" s="388" t="n"/>
      <x:c r="I16" s="388" t="n"/>
      <x:c r="J16" s="388" t="n"/>
      <x:c r="K16" s="388" t="n"/>
      <x:c r="L16" s="388" t="n"/>
      <x:c r="M16" s="388" t="n"/>
      <x:c r="N16" s="388" t="n"/>
      <x:c r="O16" s="388" t="n"/>
      <x:c r="P16" s="388" t="n"/>
      <x:c r="Q16" s="388" t="n"/>
    </x:row>
    <x:row r="17">
      <x:c r="A17" s="391" t="inlineStr">
        <x:is>
          <x:t xml:space="preserve">FX03-01</x:t>
        </x:is>
      </x:c>
      <x:c r="B17" t="inlineStr">
        <x:is>
          <x:t xml:space="preserve">VFX-HAZARD-FIELD-3D</x:t>
        </x:is>
      </x:c>
      <x:c r="C17" t="inlineStr">
        <x:is>
          <x:t xml:space="preserve">房间危险场3D特效</x:t>
        </x:is>
      </x:c>
      <x:c r="D17" t="inlineStr">
        <x:is>
          <x:t xml:space="preserve">assets/art/vfx/environment_3d/vfx_hazard_field_root_top3d_v001.tscn</x:t>
        </x:is>
      </x:c>
      <x:c r="G17" t="inlineStr">
        <x:is>
          <x:t xml:space="preserve">房间危险场 Area3D 特效；脚本生成的环形危险区域；触发时产生伤害 + 视觉脉冲。</x:t>
        </x:is>
      </x:c>
      <x:c r="H17" t="inlineStr">
        <x:is>
          <x:t xml:space="preserve">src/world3d/HazardField3D.gd</x:t>
        </x:is>
      </x:c>
      <x:c r="I17" t="inlineStr">
        <x:is>
          <x:t xml:space="preserve">开</x:t>
        </x:is>
      </x:c>
      <x:c r="J17" t="inlineStr">
        <x:is>
          <x:t xml:space="preserve">Prefab自身</x:t>
        </x:is>
      </x:c>
      <x:c r="K17" t="inlineStr">
        <x:is>
          <x:t xml:space="preserve">脚本生成</x:t>
        </x:is>
      </x:c>
      <x:c r="L17" t="inlineStr">
        <x:is>
          <x:t xml:space="preserve">PackedScene/程序环形特效</x:t>
        </x:is>
      </x:c>
      <x:c r="M17" t="inlineStr">
        <x:is>
          <x:t xml:space="preserve">未声明</x:t>
        </x:is>
      </x:c>
      <x:c r="N17" t="inlineStr">
        <x:is>
          <x:t xml:space="preserve">陷阱房</x:t>
        </x:is>
      </x:c>
      <x:c r="O17" t="inlineStr">
        <x:is>
          <x:t xml:space="preserve">完成</x:t>
        </x:is>
      </x:c>
      <x:c r="P17" t="inlineStr">
        <x:is>
          <x:t xml:space="preserve">v001</x:t>
        </x:is>
      </x:c>
      <x:c r="Q17" t="inlineStr">
        <x:is>
          <x:t xml:space="preserve">已实装；命名待 14.6 §6 迁移时对齐（改名 VfxHazardField3D + 移至 src/vfx/）</x:t>
        </x:is>
      </x:c>
    </x:row>
    <x:row r="18">
      <x:c r="A18" s="387" t="inlineStr">
        <x:is>
          <x:t xml:space="preserve">▼ 04 可见性</x:t>
        </x:is>
      </x:c>
      <x:c r="B18" s="388" t="n"/>
      <x:c r="C18" s="388" t="n"/>
      <x:c r="D18" s="388" t="n"/>
      <x:c r="E18" s="388" t="n"/>
      <x:c r="F18" s="388" t="n"/>
      <x:c r="G18" s="388" t="n"/>
      <x:c r="H18" s="388" t="n"/>
      <x:c r="I18" s="388" t="n"/>
      <x:c r="J18" s="388" t="n"/>
      <x:c r="K18" s="388" t="n"/>
      <x:c r="L18" s="388" t="n"/>
      <x:c r="M18" s="388" t="n"/>
      <x:c r="N18" s="388" t="n"/>
      <x:c r="O18" s="388" t="n"/>
      <x:c r="P18" s="388" t="n"/>
      <x:c r="Q18" s="388" t="n"/>
    </x:row>
    <x:row r="19">
      <x:c r="A19" s="391" t="inlineStr">
        <x:is>
          <x:t xml:space="preserve">FX04-01</x:t>
        </x:is>
      </x:c>
      <x:c r="B19" t="inlineStr">
        <x:is>
          <x:t xml:space="preserve">VFX-PLAYER-FLASHLIGHT-3D</x:t>
        </x:is>
      </x:c>
      <x:c r="C19" t="inlineStr">
        <x:is>
          <x:t xml:space="preserve">玩家真实探照灯组件3D</x:t>
        </x:is>
      </x:c>
      <x:c r="D19" t="inlineStr">
        <x:is>
          <x:t xml:space="preserve">assets/art/vfx/visibility_3d/vfx_player_flashlight_root_top3d_v001.tscn</x:t>
        </x:is>
      </x:c>
      <x:c r="G19" t="inlineStr">
        <x:is>
          <x:t xml:space="preserve">玩家真实探照灯 Node3D 组件；2 SpotLight3D + 1 OmniLight3D 组合；3D 行动区/靶场/基地覆盖。</x:t>
        </x:is>
      </x:c>
      <x:c r="H19" t="inlineStr">
        <x:is>
          <x:t xml:space="preserve">src/player3d/PlayerFlashlight3D.gd</x:t>
        </x:is>
      </x:c>
      <x:c r="I19" t="inlineStr">
        <x:is>
          <x:t xml:space="preserve">无</x:t>
        </x:is>
      </x:c>
      <x:c r="J19" t="inlineStr">
        <x:is>
          <x:t xml:space="preserve">无</x:t>
        </x:is>
      </x:c>
      <x:c r="K19" t="inlineStr">
        <x:is>
          <x:t xml:space="preserve">无</x:t>
        </x:is>
      </x:c>
      <x:c r="L19" t="inlineStr">
        <x:is>
          <x:t xml:space="preserve">PackedScene/2 SpotLight3D+1 OmniLight3D</x:t>
        </x:is>
      </x:c>
      <x:c r="M19" t="inlineStr">
        <x:is>
          <x:t xml:space="preserve">未声明</x:t>
        </x:is>
      </x:c>
      <x:c r="N19" t="inlineStr">
        <x:is>
          <x:t xml:space="preserve">3D行动区/靶场/基地</x:t>
        </x:is>
      </x:c>
      <x:c r="O19" t="inlineStr">
        <x:is>
          <x:t xml:space="preserve">完成</x:t>
        </x:is>
      </x:c>
      <x:c r="P19" t="inlineStr">
        <x:is>
          <x:t xml:space="preserve">v001</x:t>
        </x:is>
      </x:c>
      <x:c r="Q19" t="inlineStr">
        <x:is>
          <x:t xml:space="preserve">已实装；命名待 14.6 §6 迁移时对齐（改名 VfxPlayerFlashlight3D + 移至 src/vfx/）</x:t>
        </x:is>
      </x:c>
    </x:row>
  </x:sheetData>
  <x:mergeCells>
    <x:mergeCell ref="A2:Q2"/>
    <x:mergeCell ref="A1:Q1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其他 3D Prefab</x:t>
        </x:is>
      </x:c>
    </x:row>
    <x:row r="2" ht="34" customHeight="1">
      <x:c r="A2" s="250" t="inlineStr">
        <x:is>
          <x:t xml:space="preserve">无法归入以上分类的独立3D Prefab；本次扫描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24" customWidth="1"/>
    <x:col min="3" max="3" width="36" customWidth="1"/>
    <x:col min="4" max="4" width="58" customWidth="1"/>
    <x:col min="5" max="5" width="22" customWidth="1"/>
    <x:col min="6" max="6" width="34" customWidth="1"/>
    <x:col min="7" max="7" width="12" customWidth="1"/>
    <x:col min="8" max="8" width="16" customWidth="1"/>
    <x:col min="9" max="9" width="14" customWidth="1"/>
    <x:col min="10" max="10" width="38" customWidth="1"/>
  </x:cols>
  <x:sheetData>
    <x:row r="1" ht="28" customHeight="1">
      <x:c r="A1" s="335" t="inlineStr">
        <x:is>
          <x:t xml:space="preserve">ShellStorm2 · 资产制作与带入 Skill 清单</x:t>
        </x:is>
      </x:c>
    </x:row>
    <x:row r="2" ht="24" customHeight="1">
      <x:c r="A2" s="338" t="inlineStr">
        <x:is>
          <x:t xml:space="preserve">只登记实际使用或项目预备的Skill；项目草稿不等于已安装。</x:t>
        </x:is>
      </x:c>
    </x:row>
    <x:row r="4" ht="34" customHeight="1">
      <x:c r="A4" s="344" t="inlineStr">
        <x:is>
          <x:t xml:space="preserve">SkillID</x:t>
        </x:is>
      </x:c>
      <x:c r="B4" s="344" t="inlineStr">
        <x:is>
          <x:t xml:space="preserve">名称</x:t>
        </x:is>
      </x:c>
      <x:c r="C4" s="344" t="inlineStr">
        <x:is>
          <x:t xml:space="preserve">用途</x:t>
        </x:is>
      </x:c>
      <x:c r="D4" s="344" t="inlineStr">
        <x:is>
          <x:t xml:space="preserve">路径</x:t>
        </x:is>
      </x:c>
      <x:c r="E4" s="344" t="inlineStr">
        <x:is>
          <x:t xml:space="preserve">安装状态</x:t>
        </x:is>
      </x:c>
      <x:c r="F4" s="344" t="inlineStr">
        <x:is>
          <x:t xml:space="preserve">触发范围</x:t>
        </x:is>
      </x:c>
      <x:c r="G4" s="344" t="inlineStr">
        <x:is>
          <x:t xml:space="preserve">版本</x:t>
        </x:is>
      </x:c>
      <x:c r="H4" s="344" t="inlineStr">
        <x:is>
          <x:t xml:space="preserve">状态</x:t>
        </x:is>
      </x:c>
      <x:c r="I4" s="344" t="inlineStr">
        <x:is>
          <x:t xml:space="preserve">更新时间</x:t>
        </x:is>
      </x:c>
      <x:c r="J4" s="344" t="inlineStr">
        <x:is>
          <x:t xml:space="preserve">备注</x:t>
        </x:is>
      </x:c>
    </x:row>
    <x:row r="5" ht="56" customHeight="1">
      <x:c r="A5" s="345" t="inlineStr">
        <x:is>
          <x:t xml:space="preserve">SKILL-SHELLSTORM-ART-ASSETS</x:t>
        </x:is>
      </x:c>
      <x:c r="B5" s="345" t="inlineStr">
        <x:is>
          <x:t xml:space="preserve">ShellStorm2美术资产管理</x:t>
        </x:is>
      </x:c>
      <x:c r="C5" s="345" t="inlineStr">
        <x:is>
          <x:t xml:space="preserve">资产分类、命名、查重、登记与QA</x:t>
        </x:is>
      </x:c>
      <x:c r="D5" s="345" t="inlineStr">
        <x:is>
          <x:t xml:space="preserve">/Users/summercards/.codex/skills/shellstorm-art-assets/SKILL.md</x:t>
        </x:is>
      </x:c>
      <x:c r="E5" s="345" t="inlineStr">
        <x:is>
          <x:t xml:space="preserve">已安装</x:t>
        </x:is>
      </x:c>
      <x:c r="F5" s="345" t="inlineStr">
        <x:is>
          <x:t xml:space="preserve">ShellStorm2全类别美术资产</x:t>
        </x:is>
      </x:c>
      <x:c r="G5" s="345" t="inlineStr">
        <x:is>
          <x:t xml:space="preserve">current</x:t>
        </x:is>
      </x:c>
      <x:c r="H5" s="345" t="inlineStr">
        <x:is>
          <x:t xml:space="preserve">使用中</x:t>
        </x:is>
      </x:c>
      <x:c r="I5" s="346" t="n">
        <x:v>46254</x:v>
      </x:c>
      <x:c r="J5" s="345" t="inlineStr">
        <x:is>
          <x:t xml:space="preserve">项目资产总流程</x:t>
        </x:is>
      </x:c>
    </x:row>
    <x:row r="6" ht="56" customHeight="1">
      <x:c r="A6" s="345" t="inlineStr">
        <x:is>
          <x:t xml:space="preserve">SKILL-BLENDER-GAME-PROP</x:t>
        </x:is>
      </x:c>
      <x:c r="B6" s="345" t="inlineStr">
        <x:is>
          <x:t xml:space="preserve">Blender游戏资产制作规范</x:t>
        </x:is>
      </x:c>
      <x:c r="C6" s="345" t="inlineStr">
        <x:is>
          <x:t xml:space="preserve">单物件与模块化建筑制作/验收</x:t>
        </x:is>
      </x:c>
      <x:c r="D6" s="345" t="inlineStr">
        <x:is>
          <x:t xml:space="preserve">.codex/skills/blender-game-prop-standard/SKILL.md</x:t>
        </x:is>
      </x:c>
      <x:c r="E6" s="345" t="inlineStr">
        <x:is>
          <x:t xml:space="preserve">项目内已安装</x:t>
        </x:is>
      </x:c>
      <x:c r="F6" s="345" t="inlineStr">
        <x:is>
          <x:t xml:space="preserve">设施、道具、墙、楼板、楼梯、栏杆</x:t>
        </x:is>
      </x:c>
      <x:c r="G6" s="345" t="inlineStr">
        <x:is>
          <x:t xml:space="preserve">current</x:t>
        </x:is>
      </x:c>
      <x:c r="H6" s="345" t="inlineStr">
        <x:is>
          <x:t xml:space="preserve">本轮已迭代</x:t>
        </x:is>
      </x:c>
      <x:c r="I6" s="346" t="n">
        <x:v>46262</x:v>
      </x:c>
      <x:c r="J6" s="345" t="inlineStr">
        <x:is>
          <x:t xml:space="preserve">强制场景/设施Blender母版仅外链项目公共色盘；GLB禁止嵌图并启用共享色盘验收。</x:t>
        </x:is>
      </x:c>
    </x:row>
    <x:row r="7" ht="56" customHeight="1">
      <x:c r="A7" s="345" t="inlineStr">
        <x:is>
          <x:t xml:space="preserve">SKILL-GODOT-MODEL-IMPORT</x:t>
        </x:is>
      </x:c>
      <x:c r="B7" s="345" t="inlineStr">
        <x:is>
          <x:t xml:space="preserve">Godot模型资产导入规范</x:t>
        </x:is>
      </x:c>
      <x:c r="C7" s="345" t="inlineStr">
        <x:is>
          <x:t xml:space="preserve">GLB、PackedScene、引用替换、台账和验收</x:t>
        </x:is>
      </x:c>
      <x:c r="D7" s="345" t="inlineStr">
        <x:is>
          <x:t xml:space="preserve">.codex/skills/godot-model-asset-import-standard/SKILL.md</x:t>
        </x:is>
      </x:c>
      <x:c r="E7" s="345" t="inlineStr">
        <x:is>
          <x:t xml:space="preserve">项目内已安装</x:t>
        </x:is>
      </x:c>
      <x:c r="F7" s="345" t="inlineStr">
        <x:is>
          <x:t xml:space="preserve">所有3D模型导入与替换</x:t>
        </x:is>
      </x:c>
      <x:c r="G7" s="345" t="inlineStr">
        <x:is>
          <x:t xml:space="preserve">current</x:t>
        </x:is>
      </x:c>
      <x:c r="H7" s="345" t="inlineStr">
        <x:is>
          <x:t xml:space="preserve">本轮已迭代</x:t>
        </x:is>
      </x:c>
      <x:c r="I7" s="346" t="n">
        <x:v>46262</x:v>
      </x:c>
      <x:c r="J7" s="345" t="inlineStr">
        <x:is>
          <x:t xml:space="preserve">强制场景/设施GLB丢弃嵌入贴图，并由统一后导入脚本绑定公共色盘。</x:t>
        </x:is>
      </x:c>
    </x:row>
    <x:row r="8" ht="56" customHeight="1">
      <x:c r="A8" s="345" t="inlineStr">
        <x:is>
          <x:t xml:space="preserve">SKILL-PLAYER-AVATAR-DRAFT</x:t>
        </x:is>
      </x:c>
      <x:c r="B8" s="345" t="inlineStr">
        <x:is>
          <x:t xml:space="preserve">玩家角色资产制作与带入规范</x:t>
        </x:is>
      </x:c>
      <x:c r="C8" s="345" t="inlineStr">
        <x:is>
          <x:t xml:space="preserve">1.5米角色母版、槽位、挂点、换装与导入</x:t>
        </x:is>
      </x:c>
      <x:c r="D8" s="345" t="inlineStr">
        <x:is>
          <x:t xml:space="preserve">skills_drafts/player-avatar-asset-standard/SKILL.md</x:t>
        </x:is>
      </x:c>
      <x:c r="E8" s="345" t="inlineStr">
        <x:is>
          <x:t xml:space="preserve">未安装（项目草稿）</x:t>
        </x:is>
      </x:c>
      <x:c r="F8" s="345" t="inlineStr">
        <x:is>
          <x:t xml:space="preserve">玩家角色与配件</x:t>
        </x:is>
      </x:c>
      <x:c r="G8" s="345" t="inlineStr">
        <x:is>
          <x:t xml:space="preserve">v001</x:t>
        </x:is>
      </x:c>
      <x:c r="H8" s="345" t="inlineStr">
        <x:is>
          <x:t xml:space="preserve">预备完成</x:t>
        </x:is>
      </x:c>
      <x:c r="I8" s="346" t="n">
        <x:v>46254</x:v>
      </x:c>
      <x:c r="J8" s="345" t="inlineStr">
        <x:is>
          <x:t xml:space="preserve">等待用户未来明确授权后再安装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6" customWidth="1"/>
    <x:col min="2" max="2" width="75" customWidth="1"/>
    <x:col min="3" max="3" width="70" customWidth="1"/>
    <x:col min="4" max="4" width="12" customWidth="1"/>
  </x:cols>
  <x:sheetData>
    <x:row r="1">
      <x:c r="A1" s="351" t="inlineStr">
        <x:is>
          <x:t xml:space="preserve">角色 v021 模型与动作中转记录</x:t>
        </x:is>
      </x:c>
    </x:row>
    <x:row r="2">
      <x:c r="A2" s="351" t="inlineStr">
        <x:is>
          <x:t xml:space="preserve">状态</x:t>
        </x:is>
      </x:c>
      <x:c r="B2" s="351" t="inlineStr">
        <x:is>
          <x:t xml:space="preserve">active</x:t>
        </x:is>
      </x:c>
      <x:c r="C2" s="351" t="inlineStr">
        <x:is>
          <x:t xml:space="preserve">骨架：SKEL-BUNNY01-004</x:t>
        </x:is>
      </x:c>
    </x:row>
    <x:row r="3">
      <x:c r="A3" s="373" t="inlineStr">
        <x:is>
          <x:t xml:space="preserve">文件类型</x:t>
        </x:is>
      </x:c>
      <x:c r="B3" s="373" t="inlineStr">
        <x:is>
          <x:t xml:space="preserve">相对路径</x:t>
        </x:is>
      </x:c>
      <x:c r="C3" s="373" t="inlineStr">
        <x:is>
          <x:t xml:space="preserve">SHA-256</x:t>
        </x:is>
      </x:c>
      <x:c r="D3" s="373" t="inlineStr">
        <x:is>
          <x:t xml:space="preserve">字节数</x:t>
        </x:is>
      </x:c>
    </x:row>
    <x:row r="4" ht="65" customHeight="1">
      <x:c r="A4" s="354" t="inlineStr">
        <x:is>
          <x:t xml:space="preserve">模型母版</x:t>
        </x:is>
      </x:c>
      <x:c r="B4" s="354" t="inlineStr">
        <x:is>
          <x:t xml:space="preserve">assets/art/characters/player/chr_player_capsule01_3d/variants/bunny01/production/v021/source/model/chr_bunny01_model_v021.blend</x:t>
        </x:is>
      </x:c>
      <x:c r="C4" s="354" t="inlineStr">
        <x:is>
          <x:t xml:space="preserve">0164fa024715d7b7020094b8e1d2719fd6fde717deba5280f4e5ad4fb9f7f711</x:t>
        </x:is>
      </x:c>
      <x:c r="D4" s="354" t="n">
        <x:v>10282728</x:v>
      </x:c>
    </x:row>
    <x:row r="5" ht="65" customHeight="1">
      <x:c r="A5" s="354" t="inlineStr">
        <x:is>
          <x:t xml:space="preserve">动作母版</x:t>
        </x:is>
      </x:c>
      <x:c r="B5" s="354" t="inlineStr">
        <x:is>
          <x:t xml:space="preserve">assets/art/characters/player/chr_player_capsule01_3d/variants/bunny01/production/v021/source/animation/chr_bunny01_animation_v021.blend</x:t>
        </x:is>
      </x:c>
      <x:c r="C5" s="354" t="inlineStr">
        <x:is>
          <x:t xml:space="preserve">ca60df8d5345ea8a995edd7c65949e08df11ff8b086f645eb7c09097e1f66147</x:t>
        </x:is>
      </x:c>
      <x:c r="D5" s="354" t="n">
        <x:v>37574256</x:v>
      </x:c>
    </x:row>
    <x:row r="6" ht="65" customHeight="1">
      <x:c r="A6" s="354" t="inlineStr">
        <x:is>
          <x:t xml:space="preserve">导出文件</x:t>
        </x:is>
      </x:c>
      <x:c r="B6" s="354" t="inlineStr">
        <x:is>
          <x:t xml:space="preserve">assets/art/characters/player/chr_player_capsule01_3d/variants/bunny01/production/v021/exports/chr_bunny01_model_v021.glb</x:t>
        </x:is>
      </x:c>
      <x:c r="C6" s="354" t="inlineStr">
        <x:is>
          <x:t xml:space="preserve">ded83dc49be4790aec4f6164f9de8b82dde125700a5eea5f323512f0f181bd0f</x:t>
        </x:is>
      </x:c>
      <x:c r="D6" s="354" t="n">
        <x:v>8177976</x:v>
      </x:c>
    </x:row>
    <x:row r="7" ht="65" customHeight="1">
      <x:c r="A7" s="354" t="inlineStr">
        <x:is>
          <x:t xml:space="preserve">导出文件</x:t>
        </x:is>
      </x:c>
      <x:c r="B7" s="354" t="inlineStr">
        <x:is>
          <x:t xml:space="preserve">assets/art/characters/player/chr_player_capsule01_3d/variants/bunny01/production/v021/exports/anim_bunny01_library_v021.json</x:t>
        </x:is>
      </x:c>
      <x:c r="C7" s="354" t="inlineStr">
        <x:is>
          <x:t xml:space="preserve">5d71afb9666e7cef7ca8139ecd7cdd6e5fb0c1c7405b3c90acfb7d6787004d28</x:t>
        </x:is>
      </x:c>
      <x:c r="D7" s="354" t="n">
        <x:v>1668137</x:v>
      </x:c>
    </x:row>
    <x:row r="8" ht="65" customHeight="1">
      <x:c r="A8" s="354" t="inlineStr">
        <x:is>
          <x:t xml:space="preserve">导出文件</x:t>
        </x:is>
      </x:c>
      <x:c r="B8" s="354" t="inlineStr">
        <x:is>
          <x:t xml:space="preserve">assets/art/characters/player/chr_player_capsule01_3d/variants/bunny01/production/v021/exports/anim_bunny01_library_v021.glb</x:t>
        </x:is>
      </x:c>
      <x:c r="C8" s="354" t="inlineStr">
        <x:is>
          <x:t xml:space="preserve">02f4c83218ef563103ea4a8f4b6370fefc041bf3ff9680741546f6dee8af2c72</x:t>
        </x:is>
      </x:c>
      <x:c r="D8" s="354" t="n">
        <x:v>580880</x:v>
      </x:c>
    </x:row>
    <x:row r="9" ht="65" customHeight="1">
      <x:c r="A9" s="354" t="inlineStr">
        <x:is>
          <x:t xml:space="preserve">导出文件</x:t>
        </x:is>
      </x:c>
      <x:c r="B9" s="354" t="inlineStr">
        <x:is>
          <x:t xml:space="preserve">assets/art/characters/player/chr_player_capsule01_3d/variants/bunny01/production/v021/exports/chr_bunny01_body_v021.glb</x:t>
        </x:is>
      </x:c>
      <x:c r="C9" s="354" t="inlineStr">
        <x:is>
          <x:t xml:space="preserve">861c7d454e510d7d50c0459dc9fa5b052af56c473896333a68ab6940ae981b49</x:t>
        </x:is>
      </x:c>
      <x:c r="D9" s="354" t="n">
        <x:v>2437308</x:v>
      </x:c>
    </x:row>
    <x:row r="10" ht="65" customHeight="1">
      <x:c r="A10" s="354" t="inlineStr">
        <x:is>
          <x:t xml:space="preserve">导出文件</x:t>
        </x:is>
      </x:c>
      <x:c r="B10" s="354" t="inlineStr">
        <x:is>
          <x:t xml:space="preserve">assets/art/characters/player/chr_player_capsule01_3d/variants/bunny01/production/v021/exports/chr_bunny01_head_v021.glb</x:t>
        </x:is>
      </x:c>
      <x:c r="C10" s="354" t="inlineStr">
        <x:is>
          <x:t xml:space="preserve">f654754b8a52cbd173597bd5f1e390a900bd0c2b0ed4ba357a8060542d51fda5</x:t>
        </x:is>
      </x:c>
      <x:c r="D10" s="354" t="n">
        <x:v>1356048</x:v>
      </x:c>
    </x:row>
    <x:row r="11" ht="65" customHeight="1">
      <x:c r="A11" s="354" t="inlineStr">
        <x:is>
          <x:t xml:space="preserve">导出文件</x:t>
        </x:is>
      </x:c>
      <x:c r="B11" s="354" t="inlineStr">
        <x:is>
          <x:t xml:space="preserve">assets/art/characters/player/chr_player_capsule01_3d/variants/bunny01/production/v021/exports/chr_bunny01_chibi_anime_v021.glb</x:t>
        </x:is>
      </x:c>
      <x:c r="C11" s="354" t="inlineStr">
        <x:is>
          <x:t xml:space="preserve">d83d016304df67eeff0f1222e3f4be19baef05437e7cbdca6f60a4842b26f5ec</x:t>
        </x:is>
      </x:c>
      <x:c r="D11" s="354" t="n">
        <x:v>2524432</x:v>
      </x:c>
    </x:row>
    <x:row r="12" ht="65" customHeight="1">
      <x:c r="A12" s="354" t="inlineStr">
        <x:is>
          <x:t xml:space="preserve">导出文件</x:t>
        </x:is>
      </x:c>
      <x:c r="B12" s="354" t="inlineStr">
        <x:is>
          <x:t xml:space="preserve">assets/art/characters/player/chr_player_capsule01_3d/variants/bunny01/production/v021/exports/chr_bunny01_hand_l_v021.glb</x:t>
        </x:is>
      </x:c>
      <x:c r="C12" s="354" t="inlineStr">
        <x:is>
          <x:t xml:space="preserve">eb021c9f0858a3b6bc5012551db2424cbc44baa0f769d6365fde780df4b8058c</x:t>
        </x:is>
      </x:c>
      <x:c r="D12" s="354" t="n">
        <x:v>186356</x:v>
      </x:c>
    </x:row>
    <x:row r="13" ht="65" customHeight="1">
      <x:c r="A13" s="354" t="inlineStr">
        <x:is>
          <x:t xml:space="preserve">导出文件</x:t>
        </x:is>
      </x:c>
      <x:c r="B13" s="354" t="inlineStr">
        <x:is>
          <x:t xml:space="preserve">assets/art/characters/player/chr_player_capsule01_3d/variants/bunny01/production/v021/exports/chr_bunny01_hand_r_v021.glb</x:t>
        </x:is>
      </x:c>
      <x:c r="C13" s="354" t="inlineStr">
        <x:is>
          <x:t xml:space="preserve">ceaf3366cd4fa1887c3e897608052419120f2e4887003f48871b1fdea71f5cfb</x:t>
        </x:is>
      </x:c>
      <x:c r="D13" s="354" t="n">
        <x:v>186356</x:v>
      </x:c>
    </x:row>
    <x:row r="14" ht="65" customHeight="1">
      <x:c r="A14" s="354" t="inlineStr">
        <x:is>
          <x:t xml:space="preserve">导出文件</x:t>
        </x:is>
      </x:c>
      <x:c r="B14" s="354" t="inlineStr">
        <x:is>
          <x:t xml:space="preserve">assets/art/characters/player/chr_player_capsule01_3d/variants/bunny01/production/v021/exports/chr_bunny01_foot_l_v021.glb</x:t>
        </x:is>
      </x:c>
      <x:c r="C14" s="354" t="inlineStr">
        <x:is>
          <x:t xml:space="preserve">60617a88b9659d9c4dba5884ed68314ff1e503a80df0ff5b35d63f8578b6b60a</x:t>
        </x:is>
      </x:c>
      <x:c r="D14" s="354" t="n">
        <x:v>1833688</x:v>
      </x:c>
    </x:row>
    <x:row r="15" ht="65" customHeight="1">
      <x:c r="A15" s="354" t="inlineStr">
        <x:is>
          <x:t xml:space="preserve">导出文件</x:t>
        </x:is>
      </x:c>
      <x:c r="B15" s="354" t="inlineStr">
        <x:is>
          <x:t xml:space="preserve">assets/art/characters/player/chr_player_capsule01_3d/variants/bunny01/production/v021/exports/chr_bunny01_foot_r_v021.glb</x:t>
        </x:is>
      </x:c>
      <x:c r="C15" s="354" t="inlineStr">
        <x:is>
          <x:t xml:space="preserve">8509a8e959a7d427b4ee168d8585fb2d09ca01cbbf8c83601d8d5c46fe22e7a7</x:t>
        </x:is>
      </x:c>
      <x:c r="D15" s="354" t="n">
        <x:v>1833692</x:v>
      </x:c>
    </x:row>
    <x:row r="16" ht="65" customHeight="1">
      <x:c r="A16" s="354" t="inlineStr">
        <x:is>
          <x:t xml:space="preserve">导出文件</x:t>
        </x:is>
      </x:c>
      <x:c r="B16" s="354" t="inlineStr">
        <x:is>
          <x:t xml:space="preserve">assets/art/characters/player/chr_player_capsule01_3d/variants/bunny01/production/v021/exports/chr_bunny01_ear_l_v021.glb</x:t>
        </x:is>
      </x:c>
      <x:c r="C16" s="354" t="inlineStr">
        <x:is>
          <x:t xml:space="preserve">0936a7e3212554eddf48af62704649b6a6c98a67b56b180ed2e802bc97a1fc7c</x:t>
        </x:is>
      </x:c>
      <x:c r="D16" s="354" t="n">
        <x:v>979276</x:v>
      </x:c>
    </x:row>
    <x:row r="17" ht="65" customHeight="1">
      <x:c r="A17" s="354" t="inlineStr">
        <x:is>
          <x:t xml:space="preserve">导出文件</x:t>
        </x:is>
      </x:c>
      <x:c r="B17" s="354" t="inlineStr">
        <x:is>
          <x:t xml:space="preserve">assets/art/characters/player/chr_player_capsule01_3d/variants/bunny01/production/v021/exports/chr_bunny01_ear_r_v021.glb</x:t>
        </x:is>
      </x:c>
      <x:c r="C17" s="354" t="inlineStr">
        <x:is>
          <x:t xml:space="preserve">7719ba73dec977951da3edf997752ba5afcf4a1c9f8b2bc8dd5ad8a78381b208</x:t>
        </x:is>
      </x:c>
      <x:c r="D17" s="354" t="n">
        <x:v>979268</x:v>
      </x:c>
    </x:row>
    <x:row r="18" ht="65" customHeight="1">
      <x:c r="A18" s="354" t="n"/>
      <x:c r="B18" s="354" t="n"/>
      <x:c r="C18" s="354" t="n"/>
      <x:c r="D18" s="354" t="n"/>
    </x:row>
    <x:row r="19" ht="65" customHeight="1">
      <x:c r="A19" s="354" t="n"/>
      <x:c r="B19" s="354" t="n"/>
      <x:c r="C19" s="354" t="n"/>
      <x:c r="D19" s="354" t="n"/>
    </x:row>
    <x:row r="20" ht="65" customHeight="1">
      <x:c r="A20" s="354" t="n"/>
      <x:c r="B20" s="354" t="n"/>
      <x:c r="C20" s="354" t="n"/>
      <x:c r="D20" s="354" t="n"/>
    </x:row>
    <x:row r="21" ht="65" customHeight="1">
      <x:c r="A21" s="354" t="n"/>
      <x:c r="B21" s="354" t="n"/>
      <x:c r="C21" s="354" t="n"/>
      <x:c r="D21" s="354" t="n"/>
    </x:row>
    <x:row r="22" ht="65" customHeight="1">
      <x:c r="A22" s="354" t="n"/>
      <x:c r="B22" s="354" t="n"/>
      <x:c r="C22" s="354" t="n"/>
      <x:c r="D22" s="354" t="n"/>
    </x:row>
    <x:row r="23" ht="65" customHeight="1">
      <x:c r="A23" s="354" t="n"/>
      <x:c r="B23" s="354" t="n"/>
      <x:c r="C23" s="354" t="n"/>
      <x:c r="D23" s="354" t="n"/>
    </x:row>
    <x:row r="24" ht="65" customHeight="1">
      <x:c r="A24" s="354" t="n"/>
      <x:c r="B24" s="354" t="n"/>
      <x:c r="C24" s="354" t="n"/>
      <x:c r="D24" s="354" t="n"/>
    </x:row>
    <x:row r="25" ht="65" customHeight="1">
      <x:c r="A25" s="354" t="n"/>
      <x:c r="B25" s="354" t="n"/>
      <x:c r="C25" s="354" t="n"/>
      <x:c r="D25" s="354" t="n"/>
    </x:row>
    <x:row r="26" ht="65" customHeight="1">
      <x:c r="A26" s="354" t="n"/>
      <x:c r="B26" s="354" t="n"/>
      <x:c r="C26" s="354" t="n"/>
      <x:c r="D26" s="354" t="n"/>
    </x:row>
    <x:row r="27" ht="65" customHeight="1">
      <x:c r="A27" s="354" t="n"/>
      <x:c r="B27" s="354" t="n"/>
      <x:c r="C27" s="354" t="n"/>
      <x:c r="D27" s="354" t="n"/>
    </x:row>
    <x:row r="28" ht="65" customHeight="1">
      <x:c r="A28" s="354" t="n"/>
      <x:c r="B28" s="354" t="n"/>
      <x:c r="C28" s="354" t="n"/>
      <x:c r="D28" s="354" t="n"/>
    </x:row>
    <x:row r="29" ht="65" customHeight="1">
      <x:c r="A29" s="354" t="n"/>
      <x:c r="B29" s="354" t="n"/>
      <x:c r="C29" s="354" t="n"/>
      <x:c r="D29" s="354" t="n"/>
    </x:row>
    <x:row r="30" ht="65" customHeight="1">
      <x:c r="A30" s="354" t="n"/>
      <x:c r="B30" s="354" t="n"/>
      <x:c r="C30" s="354" t="n"/>
      <x:c r="D30" s="354" t="n"/>
    </x:row>
  </x:sheetData>
  <x:mergeCells>
    <x:mergeCell ref="A1:D1"/>
    <x:mergeCell ref="C2:D2"/>
  </x:mergeCells>
  <x:pageMargins left="0.7" right="0.7" top="0.75" bottom="0.75" header="0.3" footer="0.3"/>
</x:worksheet>
</file>