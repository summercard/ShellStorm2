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分账本索引" sheetId="2" state="visible" r:id="rId2"/>
    <sheet xmlns:r="http://schemas.openxmlformats.org/officeDocument/2006/relationships" name="分类与编码" sheetId="3" state="visible" r:id="rId3"/>
    <sheet xmlns:r="http://schemas.openxmlformats.org/officeDocument/2006/relationships" name="命名与查重" sheetId="4" state="visible" r:id="rId4"/>
    <sheet xmlns:r="http://schemas.openxmlformats.org/officeDocument/2006/relationships" name="版本记录" sheetId="5" state="visible" r:id="rId5"/>
    <sheet xmlns:r="http://schemas.openxmlformats.org/officeDocument/2006/relationships" name="3D Prefab总控" sheetId="6" state="visible" r:id="rId6"/>
    <sheet xmlns:r="http://schemas.openxmlformats.org/officeDocument/2006/relationships" name="Skill清单" sheetId="7" state="visible" r:id="rId7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\ h:mm:ss"/>
  </numFmts>
  <fonts count="39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Calibri"/>
      <charset val="1"/>
      <family val="0"/>
      <color rgb="FF13202B"/>
      <sz val="9"/>
    </font>
    <font>
      <name val="Linux Libertine G"/>
      <family val="2"/>
      <color rgb="FF13202B"/>
      <sz val="9"/>
    </font>
    <font>
      <name val="Arial"/>
      <charset val="1"/>
      <family val="0"/>
      <sz val="11"/>
    </font>
    <font>
      <name val="Calibri"/>
      <charset val="1"/>
      <family val="0"/>
      <b val="1"/>
      <color rgb="FFFFFFFF"/>
      <sz val="11"/>
    </font>
    <font>
      <name val="Microsoft YaHei"/>
      <charset val="1"/>
      <family val="0"/>
      <color rgb="FF13202B"/>
      <sz val="10"/>
    </font>
    <font>
      <name val="Linux Libertine G"/>
      <family val="2"/>
      <color rgb="FF13202B"/>
      <sz val="10"/>
    </font>
    <font>
      <name val="Linux Libertine G"/>
      <family val="2"/>
      <b val="1"/>
      <color rgb="FF2E7D32"/>
      <sz val="10"/>
    </font>
    <font>
      <name val="Microsoft YaHei"/>
      <charset val="1"/>
      <family val="0"/>
      <b val="1"/>
      <color rgb="FF2E7D32"/>
      <sz val="10"/>
    </font>
    <font>
      <name val="Linux Libertine G"/>
      <family val="2"/>
      <i val="1"/>
      <color rgb="FF17364A"/>
      <sz val="10"/>
    </font>
    <font>
      <name val="Microsoft YaHei"/>
      <charset val="1"/>
      <family val="0"/>
      <i val="1"/>
      <color rgb="FF17364A"/>
      <sz val="10"/>
    </font>
    <font>
      <name val="Arial"/>
      <family val="2"/>
      <sz val="10"/>
    </font>
    <font>
      <name val="Calibri"/>
      <charset val="1"/>
      <family val="0"/>
      <i val="1"/>
      <color rgb="FF79D8E8"/>
      <sz val="10"/>
    </font>
    <font>
      <name val="Linux Libertine G"/>
      <family val="2"/>
      <b val="1"/>
      <color rgb="FFF2C94C"/>
      <sz val="11"/>
    </font>
    <font>
      <name val="Calibri"/>
      <charset val="1"/>
      <family val="0"/>
      <b val="1"/>
      <color rgb="FFF2C94C"/>
      <sz val="11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1"/>
    </font>
    <font>
      <name val="Calibri"/>
      <charset val="1"/>
      <family val="0"/>
      <i val="1"/>
      <color rgb="FF334155"/>
      <sz val="11"/>
    </font>
    <font>
      <name val="Linux Libertine G"/>
      <family val="2"/>
      <b val="1"/>
      <color rgb="FF17324D"/>
      <sz val="11"/>
    </font>
    <font>
      <name val="Calibri"/>
      <charset val="1"/>
      <family val="0"/>
      <b val="1"/>
      <color rgb="FF17324D"/>
      <sz val="11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3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9E7EE"/>
      </patternFill>
    </fill>
    <fill>
      <patternFill patternType="solid">
        <fgColor rgb="FF1F5A78"/>
        <bgColor rgb="FF446170"/>
      </patternFill>
    </fill>
    <fill>
      <patternFill patternType="solid">
        <fgColor rgb="FFFFFFFF"/>
        <bgColor rgb="FFE8F5E9"/>
      </patternFill>
    </fill>
    <fill>
      <patternFill patternType="solid">
        <fgColor rgb="FFE8F5E9"/>
        <bgColor rgb="FFE2E8F0"/>
      </patternFill>
    </fill>
    <fill>
      <patternFill patternType="solid">
        <fgColor rgb="FFD9E7EE"/>
        <bgColor rgb="FFDCE8EC"/>
      </patternFill>
    </fill>
    <fill>
      <patternFill patternType="solid">
        <fgColor rgb="FF17324D"/>
        <bgColor rgb="FF163246"/>
      </patternFill>
    </fill>
    <fill>
      <patternFill patternType="solid">
        <fgColor rgb="FF2F75B5"/>
        <bgColor rgb="FF446170"/>
      </patternFill>
    </fill>
    <fill>
      <patternFill patternType="solid">
        <fgColor rgb="FFDCE6F1"/>
        <bgColor rgb="FFD9E7EE"/>
      </patternFill>
    </fill>
    <fill>
      <patternFill patternType="solid">
        <fgColor rgb="FFE2E8F0"/>
        <bgColor rgb="FFE5E7EB"/>
      </patternFill>
    </fill>
  </fills>
  <borders count="32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 style="thin">
        <color rgb="FFB7CEDA"/>
      </left>
      <right/>
      <top style="thin">
        <color rgb="FFB7CEDA"/>
      </top>
      <bottom style="thin">
        <color rgb="FFB7CEDA"/>
      </bottom>
      <diagonal/>
    </border>
    <border>
      <left style="medium">
        <color rgb="FF446170"/>
      </left>
      <right/>
      <top style="thin">
        <color rgb="FFB7CEDA"/>
      </top>
      <bottom style="thin">
        <color rgb="FFB7CEDA"/>
      </bottom>
      <diagonal/>
    </border>
    <border>
      <left style="medium">
        <color rgb="FF446170"/>
      </left>
      <right style="thin">
        <color rgb="FFB7CEDA"/>
      </right>
      <top style="thin">
        <color rgb="FFB7CEDA"/>
      </top>
      <bottom style="thin">
        <color rgb="FFB7CEDA"/>
      </bottom>
      <diagonal/>
    </border>
    <border>
      <left/>
      <right/>
      <top style="thin">
        <color rgb="FFB7CEDA"/>
      </top>
      <bottom style="thin">
        <color rgb="FFB7CEDA"/>
      </bottom>
      <diagonal/>
    </border>
    <border>
      <left/>
      <right style="thin">
        <color rgb="FFB7CEDA"/>
      </right>
      <top style="thin">
        <color rgb="FFB7CEDA"/>
      </top>
      <bottom style="thin">
        <color rgb="FFB7CEDA"/>
      </bottom>
      <diagonal/>
    </border>
    <border>
      <left style="thin">
        <color rgb="FFB7CEDA"/>
      </left>
      <right style="thin">
        <color rgb="FFE5E7EB"/>
      </right>
      <top style="thin">
        <color rgb="FFB7CEDA"/>
      </top>
      <bottom style="thin">
        <color rgb="FFB7CEDA"/>
      </bottom>
      <diagonal/>
    </border>
    <border>
      <left style="thin">
        <color rgb="FFB7CEDA"/>
      </left>
      <right style="thin">
        <color rgb="FFB7CEDA"/>
      </right>
      <top style="thin">
        <color rgb="FFB7CEDA"/>
      </top>
      <bottom style="thin">
        <color rgb="FFB7CEDA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 style="thin">
        <color rgb="FFE5E7EB"/>
      </left>
      <right style="thin">
        <color rgb="FFE5E7EB"/>
      </right>
      <top/>
      <bottom style="thin">
        <color rgb="FFD9E2F3"/>
      </bottom>
      <diagonal/>
    </border>
    <border>
      <left style="thin">
        <color rgb="FFE5E7EB"/>
      </left>
      <right/>
      <top/>
      <bottom style="thin">
        <color rgb="FFD9E2F3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/>
      <diagonal/>
    </border>
    <border>
      <left style="thin">
        <color rgb="FFE5E7EB"/>
      </left>
      <right style="thin">
        <color rgb="FFE5E7EB"/>
      </right>
      <top style="thin">
        <color rgb="FFD9E2F3"/>
      </top>
      <bottom/>
      <diagonal/>
    </border>
    <border>
      <left style="thin">
        <color rgb="FFE5E7EB"/>
      </left>
      <right/>
      <top style="thin">
        <color rgb="FFD9E2F3"/>
      </top>
      <bottom/>
      <diagonal/>
    </border>
    <border>
      <left/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/>
      <top style="thin">
        <color rgb="FFD9E2F3"/>
      </top>
      <bottom style="thin">
        <color rgb="FF9FBAD0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/>
      <top style="thin">
        <color rgb="FFB7CEDA"/>
      </top>
      <bottom/>
      <diagonal/>
    </border>
    <border>
      <left/>
      <right style="thin">
        <color rgb="FFB7CEDA"/>
      </right>
      <top style="thin">
        <color rgb="FFB7CEDA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0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1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1" fillId="4" borderId="2" applyAlignment="1" pivotButton="0" quotePrefix="0" xfId="20">
      <alignment horizontal="general" vertical="center" wrapText="1"/>
    </xf>
    <xf numFmtId="0" fontId="14" fillId="0" borderId="3" applyAlignment="1" pivotButton="0" quotePrefix="0" xfId="20">
      <alignment horizontal="general" vertical="top" wrapText="1"/>
    </xf>
    <xf numFmtId="0" fontId="15" fillId="0" borderId="3" applyAlignment="1" pivotButton="0" quotePrefix="0" xfId="20">
      <alignment horizontal="general" vertical="top" wrapText="1"/>
    </xf>
    <xf numFmtId="0" fontId="16" fillId="0" borderId="0" applyAlignment="1" pivotButton="0" quotePrefix="0" xfId="20">
      <alignment horizontal="general" vertical="bottom" wrapText="1"/>
    </xf>
    <xf numFmtId="0" fontId="17" fillId="5" borderId="1" applyAlignment="1" pivotButton="0" quotePrefix="0" xfId="20">
      <alignment horizontal="center" vertical="center" wrapText="1"/>
    </xf>
    <xf numFmtId="0" fontId="18" fillId="6" borderId="4" applyAlignment="1" pivotButton="0" quotePrefix="0" xfId="20">
      <alignment horizontal="center" vertical="center" wrapText="1"/>
    </xf>
    <xf numFmtId="0" fontId="19" fillId="6" borderId="5" applyAlignment="1" pivotButton="0" quotePrefix="0" xfId="20">
      <alignment horizontal="center" vertical="center" wrapText="1"/>
    </xf>
    <xf numFmtId="0" fontId="18" fillId="6" borderId="5" applyAlignment="1" pivotButton="0" quotePrefix="0" xfId="20">
      <alignment horizontal="center" vertical="center" wrapText="1"/>
    </xf>
    <xf numFmtId="0" fontId="19" fillId="6" borderId="6" applyAlignment="1" pivotButton="0" quotePrefix="0" xfId="20">
      <alignment horizontal="center" vertical="center" wrapText="1"/>
    </xf>
    <xf numFmtId="0" fontId="19" fillId="6" borderId="7" applyAlignment="1" pivotButton="0" quotePrefix="0" xfId="20">
      <alignment horizontal="general" vertical="center" wrapText="1"/>
    </xf>
    <xf numFmtId="0" fontId="18" fillId="6" borderId="7" applyAlignment="1" pivotButton="0" quotePrefix="0" xfId="20">
      <alignment horizontal="general" vertical="center" wrapText="1"/>
    </xf>
    <xf numFmtId="0" fontId="18" fillId="6" borderId="7" applyAlignment="1" pivotButton="0" quotePrefix="0" xfId="20">
      <alignment horizontal="center" vertical="center" wrapText="1"/>
    </xf>
    <xf numFmtId="0" fontId="19" fillId="6" borderId="7" applyAlignment="1" pivotButton="0" quotePrefix="0" xfId="20">
      <alignment horizontal="center" vertical="center" wrapText="1"/>
    </xf>
    <xf numFmtId="0" fontId="19" fillId="6" borderId="8" applyAlignment="1" pivotButton="0" quotePrefix="0" xfId="20">
      <alignment horizontal="center" vertical="center" wrapText="1"/>
    </xf>
    <xf numFmtId="0" fontId="20" fillId="7" borderId="9" applyAlignment="1" pivotButton="0" quotePrefix="0" xfId="20">
      <alignment horizontal="general" vertical="center" wrapText="1"/>
    </xf>
    <xf numFmtId="0" fontId="20" fillId="7" borderId="7" applyAlignment="1" pivotButton="0" quotePrefix="0" xfId="20">
      <alignment horizontal="general" vertical="center"/>
    </xf>
    <xf numFmtId="0" fontId="21" fillId="7" borderId="7" applyAlignment="1" pivotButton="0" quotePrefix="0" xfId="20">
      <alignment horizontal="general" vertical="center"/>
    </xf>
    <xf numFmtId="0" fontId="20" fillId="7" borderId="8" applyAlignment="1" pivotButton="0" quotePrefix="0" xfId="20">
      <alignment horizontal="general" vertical="center"/>
    </xf>
    <xf numFmtId="0" fontId="22" fillId="8" borderId="10" applyAlignment="1" pivotButton="0" quotePrefix="0" xfId="20">
      <alignment horizontal="general" vertical="center" wrapText="1"/>
    </xf>
    <xf numFmtId="0" fontId="6" fillId="2" borderId="0" applyAlignment="1" pivotButton="0" quotePrefix="0" xfId="20">
      <alignment horizontal="general" vertical="center"/>
    </xf>
    <xf numFmtId="0" fontId="7" fillId="3" borderId="0" applyAlignment="1" pivotButton="0" quotePrefix="0" xfId="20">
      <alignment horizontal="general" vertical="center"/>
    </xf>
    <xf numFmtId="0" fontId="17" fillId="9" borderId="0" applyAlignment="1" pivotButton="0" quotePrefix="0" xfId="20">
      <alignment horizontal="center" vertical="bottom"/>
    </xf>
    <xf numFmtId="0" fontId="13" fillId="5" borderId="11" applyAlignment="1" pivotButton="0" quotePrefix="0" xfId="20">
      <alignment horizontal="center" vertical="center" wrapText="1"/>
    </xf>
    <xf numFmtId="0" fontId="17" fillId="5" borderId="12" applyAlignment="1" pivotButton="0" quotePrefix="0" xfId="20">
      <alignment horizontal="center" vertical="center" wrapText="1"/>
    </xf>
    <xf numFmtId="0" fontId="17" fillId="10" borderId="0" applyAlignment="1" pivotButton="0" quotePrefix="0" xfId="20">
      <alignment horizontal="center" vertical="bottom"/>
    </xf>
    <xf numFmtId="0" fontId="13" fillId="10" borderId="0" applyAlignment="1" pivotButton="0" quotePrefix="0" xfId="20">
      <alignment horizontal="center" vertical="bottom"/>
    </xf>
    <xf numFmtId="0" fontId="9" fillId="0" borderId="13" applyAlignment="1" pivotButton="0" quotePrefix="0" xfId="20">
      <alignment horizontal="general" vertical="top" wrapText="1"/>
    </xf>
    <xf numFmtId="0" fontId="9" fillId="0" borderId="14" applyAlignment="1" pivotButton="0" quotePrefix="0" xfId="20">
      <alignment horizontal="general" vertical="top" wrapText="1"/>
    </xf>
    <xf numFmtId="0" fontId="4" fillId="0" borderId="15" applyAlignment="1" pivotButton="0" quotePrefix="0" xfId="20">
      <alignment horizontal="general" vertical="top" wrapText="1"/>
    </xf>
    <xf numFmtId="0" fontId="14" fillId="0" borderId="16" applyAlignment="1" pivotButton="0" quotePrefix="0" xfId="20">
      <alignment horizontal="general" vertical="top" wrapText="1"/>
    </xf>
    <xf numFmtId="0" fontId="15" fillId="0" borderId="16" applyAlignment="1" pivotButton="0" quotePrefix="0" xfId="20">
      <alignment horizontal="general" vertical="top" wrapText="1"/>
    </xf>
    <xf numFmtId="0" fontId="9" fillId="0" borderId="17" applyAlignment="1" pivotButton="0" quotePrefix="0" xfId="20">
      <alignment horizontal="general" vertical="top" wrapText="1"/>
    </xf>
    <xf numFmtId="0" fontId="9" fillId="0" borderId="18" applyAlignment="1" pivotButton="0" quotePrefix="0" xfId="20">
      <alignment horizontal="general" vertical="top" wrapText="1"/>
    </xf>
    <xf numFmtId="0" fontId="4" fillId="0" borderId="19" applyAlignment="1" pivotButton="0" quotePrefix="0" xfId="20">
      <alignment horizontal="general" vertical="top" wrapText="1"/>
    </xf>
    <xf numFmtId="0" fontId="9" fillId="0" borderId="20" applyAlignment="1" pivotButton="0" quotePrefix="0" xfId="20">
      <alignment horizontal="general" vertical="top" wrapText="1"/>
    </xf>
    <xf numFmtId="0" fontId="9" fillId="0" borderId="21" applyAlignment="1" pivotButton="0" quotePrefix="0" xfId="20">
      <alignment horizontal="general" vertical="top" wrapText="1"/>
    </xf>
    <xf numFmtId="0" fontId="4" fillId="0" borderId="22" applyAlignment="1" pivotButton="0" quotePrefix="0" xfId="20">
      <alignment horizontal="general" vertical="top" wrapText="1"/>
    </xf>
    <xf numFmtId="0" fontId="4" fillId="0" borderId="0" applyAlignment="1" pivotButton="0" quotePrefix="0" xfId="20">
      <alignment horizontal="general" vertical="bottom" wrapText="1"/>
    </xf>
    <xf numFmtId="0" fontId="24" fillId="0" borderId="0" applyAlignment="1" pivotButton="0" quotePrefix="0" xfId="0">
      <alignment horizontal="general" vertical="bottom"/>
    </xf>
    <xf numFmtId="0" fontId="13" fillId="5" borderId="12" applyAlignment="1" pivotButton="0" quotePrefix="0" xfId="20">
      <alignment horizontal="center" vertical="center" wrapText="1"/>
    </xf>
    <xf numFmtId="0" fontId="26" fillId="2" borderId="0" applyAlignment="1" pivotButton="0" quotePrefix="0" xfId="20">
      <alignment horizontal="general" vertical="bottom" wrapText="1"/>
    </xf>
    <xf numFmtId="0" fontId="6" fillId="2" borderId="0" applyAlignment="1" pivotButton="0" quotePrefix="0" xfId="20">
      <alignment horizontal="general" vertical="center" wrapText="1"/>
    </xf>
    <xf numFmtId="164" fontId="14" fillId="0" borderId="3" applyAlignment="1" pivotButton="0" quotePrefix="0" xfId="20">
      <alignment horizontal="general" vertical="top" wrapText="1"/>
    </xf>
    <xf numFmtId="164" fontId="4" fillId="0" borderId="0" applyAlignment="1" pivotButton="0" quotePrefix="0" xfId="20">
      <alignment horizontal="general" vertical="bottom" wrapText="1"/>
    </xf>
    <xf numFmtId="165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/>
    </xf>
    <xf numFmtId="0" fontId="29" fillId="9" borderId="0" applyAlignment="1" pivotButton="0" quotePrefix="0" xfId="20">
      <alignment horizontal="general" vertical="center" wrapText="1"/>
    </xf>
    <xf numFmtId="0" fontId="31" fillId="11" borderId="0" applyAlignment="1" pivotButton="0" quotePrefix="0" xfId="20">
      <alignment horizontal="general" vertical="center" wrapText="1"/>
    </xf>
    <xf numFmtId="0" fontId="13" fillId="10" borderId="0" applyAlignment="1" pivotButton="0" quotePrefix="0" xfId="20">
      <alignment horizontal="center" vertical="center" wrapText="1"/>
    </xf>
    <xf numFmtId="0" fontId="17" fillId="10" borderId="0" applyAlignment="1" pivotButton="0" quotePrefix="0" xfId="20">
      <alignment horizontal="center" vertical="center" wrapText="1"/>
    </xf>
    <xf numFmtId="0" fontId="4" fillId="0" borderId="14" applyAlignment="1" pivotButton="0" quotePrefix="0" xfId="20">
      <alignment horizontal="general" vertical="top" wrapText="1"/>
    </xf>
    <xf numFmtId="0" fontId="9" fillId="0" borderId="15" applyAlignment="1" pivotButton="0" quotePrefix="0" xfId="20">
      <alignment horizontal="general" vertical="top" wrapText="1"/>
    </xf>
    <xf numFmtId="0" fontId="4" fillId="0" borderId="18" applyAlignment="1" pivotButton="0" quotePrefix="0" xfId="20">
      <alignment horizontal="general" vertical="top" wrapText="1"/>
    </xf>
    <xf numFmtId="0" fontId="9" fillId="0" borderId="19" applyAlignment="1" pivotButton="0" quotePrefix="0" xfId="20">
      <alignment horizontal="general" vertical="top" wrapText="1"/>
    </xf>
    <xf numFmtId="0" fontId="33" fillId="12" borderId="23" applyAlignment="1" pivotButton="0" quotePrefix="0" xfId="20">
      <alignment horizontal="general" vertical="bottom" wrapText="1"/>
    </xf>
    <xf numFmtId="0" fontId="34" fillId="12" borderId="24" applyAlignment="1" pivotButton="0" quotePrefix="0" xfId="20">
      <alignment horizontal="general" vertical="bottom" wrapText="1"/>
    </xf>
    <xf numFmtId="0" fontId="33" fillId="12" borderId="25" applyAlignment="1" pivotButton="0" quotePrefix="0" xfId="20">
      <alignment horizontal="general" vertical="bottom" wrapText="1"/>
    </xf>
    <xf numFmtId="0" fontId="29" fillId="9" borderId="0" applyAlignment="1" pivotButton="0" quotePrefix="0" xfId="20">
      <alignment horizontal="general" vertical="bottom"/>
    </xf>
    <xf numFmtId="0" fontId="35" fillId="11" borderId="0" applyAlignment="1" pivotButton="0" quotePrefix="0" xfId="20">
      <alignment horizontal="general" vertical="bottom" wrapText="1"/>
    </xf>
    <xf numFmtId="0" fontId="17" fillId="10" borderId="26" applyAlignment="1" pivotButton="0" quotePrefix="0" xfId="20">
      <alignment horizontal="center" vertical="center" wrapText="1"/>
    </xf>
    <xf numFmtId="0" fontId="13" fillId="10" borderId="26" applyAlignment="1" pivotButton="0" quotePrefix="0" xfId="20">
      <alignment horizontal="center" vertical="center" wrapText="1"/>
    </xf>
    <xf numFmtId="0" fontId="37" fillId="0" borderId="27" applyAlignment="1" pivotButton="0" quotePrefix="0" xfId="20">
      <alignment horizontal="general" vertical="center" wrapText="1"/>
    </xf>
    <xf numFmtId="0" fontId="38" fillId="0" borderId="27" applyAlignment="1" pivotButton="0" quotePrefix="0" xfId="20">
      <alignment horizontal="general" vertical="center" wrapText="1"/>
    </xf>
    <xf numFmtId="164" fontId="37" fillId="0" borderId="27" applyAlignment="1" pivotButton="0" quotePrefix="0" xfId="2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1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1" fillId="4" borderId="2" applyAlignment="1" pivotButton="0" quotePrefix="0" xfId="20">
      <alignment horizontal="general" vertical="center" wrapText="1"/>
    </xf>
    <xf numFmtId="0" fontId="0" fillId="0" borderId="29" pivotButton="0" quotePrefix="0" xfId="0"/>
    <xf numFmtId="0" fontId="0" fillId="0" borderId="2" pivotButton="0" quotePrefix="0" xfId="0"/>
    <xf numFmtId="0" fontId="14" fillId="0" borderId="3" applyAlignment="1" pivotButton="0" quotePrefix="0" xfId="20">
      <alignment horizontal="general" vertical="top" wrapText="1"/>
    </xf>
    <xf numFmtId="0" fontId="15" fillId="0" borderId="3" applyAlignment="1" pivotButton="0" quotePrefix="0" xfId="20">
      <alignment horizontal="general" vertical="top" wrapText="1"/>
    </xf>
    <xf numFmtId="0" fontId="16" fillId="0" borderId="0" applyAlignment="1" pivotButton="0" quotePrefix="0" xfId="20">
      <alignment horizontal="general" vertical="bottom" wrapText="1"/>
    </xf>
    <xf numFmtId="0" fontId="17" fillId="5" borderId="1" applyAlignment="1" pivotButton="0" quotePrefix="0" xfId="20">
      <alignment horizontal="center" vertical="center" wrapText="1"/>
    </xf>
    <xf numFmtId="0" fontId="18" fillId="6" borderId="4" applyAlignment="1" pivotButton="0" quotePrefix="0" xfId="20">
      <alignment horizontal="center" vertical="center" wrapText="1"/>
    </xf>
    <xf numFmtId="0" fontId="19" fillId="6" borderId="5" applyAlignment="1" pivotButton="0" quotePrefix="0" xfId="20">
      <alignment horizontal="center" vertical="center" wrapText="1"/>
    </xf>
    <xf numFmtId="0" fontId="18" fillId="6" borderId="5" applyAlignment="1" pivotButton="0" quotePrefix="0" xfId="20">
      <alignment horizontal="center" vertical="center" wrapText="1"/>
    </xf>
    <xf numFmtId="0" fontId="19" fillId="6" borderId="6" applyAlignment="1" pivotButton="0" quotePrefix="0" xfId="20">
      <alignment horizontal="center" vertical="center" wrapText="1"/>
    </xf>
    <xf numFmtId="0" fontId="19" fillId="6" borderId="7" applyAlignment="1" pivotButton="0" quotePrefix="0" xfId="20">
      <alignment horizontal="general" vertical="center" wrapText="1"/>
    </xf>
    <xf numFmtId="0" fontId="18" fillId="6" borderId="7" applyAlignment="1" pivotButton="0" quotePrefix="0" xfId="20">
      <alignment horizontal="general" vertical="center" wrapText="1"/>
    </xf>
    <xf numFmtId="0" fontId="18" fillId="6" borderId="7" applyAlignment="1" pivotButton="0" quotePrefix="0" xfId="20">
      <alignment horizontal="center" vertical="center" wrapText="1"/>
    </xf>
    <xf numFmtId="0" fontId="19" fillId="6" borderId="7" applyAlignment="1" pivotButton="0" quotePrefix="0" xfId="20">
      <alignment horizontal="center" vertical="center" wrapText="1"/>
    </xf>
    <xf numFmtId="0" fontId="19" fillId="6" borderId="8" applyAlignment="1" pivotButton="0" quotePrefix="0" xfId="20">
      <alignment horizontal="center" vertical="center" wrapText="1"/>
    </xf>
    <xf numFmtId="0" fontId="20" fillId="7" borderId="9" applyAlignment="1" pivotButton="0" quotePrefix="0" xfId="20">
      <alignment horizontal="general" vertical="center" wrapText="1"/>
    </xf>
    <xf numFmtId="0" fontId="20" fillId="7" borderId="7" applyAlignment="1" pivotButton="0" quotePrefix="0" xfId="20">
      <alignment horizontal="general" vertical="center"/>
    </xf>
    <xf numFmtId="0" fontId="21" fillId="7" borderId="7" applyAlignment="1" pivotButton="0" quotePrefix="0" xfId="20">
      <alignment horizontal="general" vertical="center"/>
    </xf>
    <xf numFmtId="0" fontId="20" fillId="7" borderId="8" applyAlignment="1" pivotButton="0" quotePrefix="0" xfId="20">
      <alignment horizontal="general" vertical="center"/>
    </xf>
    <xf numFmtId="0" fontId="22" fillId="8" borderId="10" applyAlignment="1" pivotButton="0" quotePrefix="0" xfId="20">
      <alignment horizontal="general" vertical="center" wrapText="1"/>
    </xf>
    <xf numFmtId="0" fontId="0" fillId="0" borderId="7" pivotButton="0" quotePrefix="0" xfId="0"/>
    <xf numFmtId="0" fontId="0" fillId="0" borderId="8" pivotButton="0" quotePrefix="0" xfId="0"/>
    <xf numFmtId="0" fontId="6" fillId="2" borderId="0" applyAlignment="1" pivotButton="0" quotePrefix="0" xfId="20">
      <alignment horizontal="general" vertical="center"/>
    </xf>
    <xf numFmtId="0" fontId="7" fillId="3" borderId="0" applyAlignment="1" pivotButton="0" quotePrefix="0" xfId="20">
      <alignment horizontal="general" vertical="center"/>
    </xf>
    <xf numFmtId="0" fontId="17" fillId="9" borderId="0" applyAlignment="1" pivotButton="0" quotePrefix="0" xfId="20">
      <alignment horizontal="center" vertical="bottom"/>
    </xf>
    <xf numFmtId="0" fontId="13" fillId="5" borderId="11" applyAlignment="1" pivotButton="0" quotePrefix="0" xfId="20">
      <alignment horizontal="center" vertical="center" wrapText="1"/>
    </xf>
    <xf numFmtId="0" fontId="17" fillId="5" borderId="12" applyAlignment="1" pivotButton="0" quotePrefix="0" xfId="20">
      <alignment horizontal="center" vertical="center" wrapText="1"/>
    </xf>
    <xf numFmtId="0" fontId="17" fillId="10" borderId="0" applyAlignment="1" pivotButton="0" quotePrefix="0" xfId="20">
      <alignment horizontal="center" vertical="bottom"/>
    </xf>
    <xf numFmtId="0" fontId="13" fillId="10" borderId="0" applyAlignment="1" pivotButton="0" quotePrefix="0" xfId="20">
      <alignment horizontal="center" vertical="bottom"/>
    </xf>
    <xf numFmtId="0" fontId="9" fillId="0" borderId="13" applyAlignment="1" pivotButton="0" quotePrefix="0" xfId="20">
      <alignment horizontal="general" vertical="top" wrapText="1"/>
    </xf>
    <xf numFmtId="0" fontId="9" fillId="0" borderId="14" applyAlignment="1" pivotButton="0" quotePrefix="0" xfId="20">
      <alignment horizontal="general" vertical="top" wrapText="1"/>
    </xf>
    <xf numFmtId="0" fontId="4" fillId="0" borderId="15" applyAlignment="1" pivotButton="0" quotePrefix="0" xfId="20">
      <alignment horizontal="general" vertical="top" wrapText="1"/>
    </xf>
    <xf numFmtId="0" fontId="14" fillId="0" borderId="16" applyAlignment="1" pivotButton="0" quotePrefix="0" xfId="20">
      <alignment horizontal="general" vertical="top" wrapText="1"/>
    </xf>
    <xf numFmtId="0" fontId="15" fillId="0" borderId="16" applyAlignment="1" pivotButton="0" quotePrefix="0" xfId="20">
      <alignment horizontal="general" vertical="top" wrapText="1"/>
    </xf>
    <xf numFmtId="0" fontId="9" fillId="0" borderId="17" applyAlignment="1" pivotButton="0" quotePrefix="0" xfId="20">
      <alignment horizontal="general" vertical="top" wrapText="1"/>
    </xf>
    <xf numFmtId="0" fontId="9" fillId="0" borderId="18" applyAlignment="1" pivotButton="0" quotePrefix="0" xfId="20">
      <alignment horizontal="general" vertical="top" wrapText="1"/>
    </xf>
    <xf numFmtId="0" fontId="4" fillId="0" borderId="19" applyAlignment="1" pivotButton="0" quotePrefix="0" xfId="20">
      <alignment horizontal="general" vertical="top" wrapText="1"/>
    </xf>
    <xf numFmtId="0" fontId="9" fillId="0" borderId="20" applyAlignment="1" pivotButton="0" quotePrefix="0" xfId="20">
      <alignment horizontal="general" vertical="top" wrapText="1"/>
    </xf>
    <xf numFmtId="0" fontId="9" fillId="0" borderId="21" applyAlignment="1" pivotButton="0" quotePrefix="0" xfId="20">
      <alignment horizontal="general" vertical="top" wrapText="1"/>
    </xf>
    <xf numFmtId="0" fontId="4" fillId="0" borderId="22" applyAlignment="1" pivotButton="0" quotePrefix="0" xfId="20">
      <alignment horizontal="general" vertical="top" wrapText="1"/>
    </xf>
    <xf numFmtId="0" fontId="4" fillId="0" borderId="0" applyAlignment="1" pivotButton="0" quotePrefix="0" xfId="20">
      <alignment horizontal="general" vertical="bottom" wrapText="1"/>
    </xf>
    <xf numFmtId="0" fontId="24" fillId="0" borderId="0" applyAlignment="1" pivotButton="0" quotePrefix="0" xfId="0">
      <alignment horizontal="general" vertical="bottom"/>
    </xf>
    <xf numFmtId="0" fontId="13" fillId="5" borderId="12" applyAlignment="1" pivotButton="0" quotePrefix="0" xfId="20">
      <alignment horizontal="center" vertical="center" wrapText="1"/>
    </xf>
    <xf numFmtId="0" fontId="26" fillId="2" borderId="0" applyAlignment="1" pivotButton="0" quotePrefix="0" xfId="20">
      <alignment horizontal="general" vertical="bottom" wrapText="1"/>
    </xf>
    <xf numFmtId="0" fontId="6" fillId="2" borderId="0" applyAlignment="1" pivotButton="0" quotePrefix="0" xfId="20">
      <alignment horizontal="general" vertical="center" wrapText="1"/>
    </xf>
    <xf numFmtId="164" fontId="14" fillId="0" borderId="3" applyAlignment="1" pivotButton="0" quotePrefix="0" xfId="20">
      <alignment horizontal="general" vertical="top" wrapText="1"/>
    </xf>
    <xf numFmtId="164" fontId="4" fillId="0" borderId="0" applyAlignment="1" pivotButton="0" quotePrefix="0" xfId="20">
      <alignment horizontal="general" vertical="bottom" wrapText="1"/>
    </xf>
    <xf numFmtId="165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/>
    </xf>
    <xf numFmtId="0" fontId="29" fillId="9" borderId="0" applyAlignment="1" pivotButton="0" quotePrefix="0" xfId="20">
      <alignment horizontal="general" vertical="center" wrapText="1"/>
    </xf>
    <xf numFmtId="0" fontId="31" fillId="11" borderId="0" applyAlignment="1" pivotButton="0" quotePrefix="0" xfId="20">
      <alignment horizontal="general" vertical="center" wrapText="1"/>
    </xf>
    <xf numFmtId="0" fontId="13" fillId="10" borderId="0" applyAlignment="1" pivotButton="0" quotePrefix="0" xfId="20">
      <alignment horizontal="center" vertical="center" wrapText="1"/>
    </xf>
    <xf numFmtId="0" fontId="17" fillId="10" borderId="0" applyAlignment="1" pivotButton="0" quotePrefix="0" xfId="20">
      <alignment horizontal="center" vertical="center" wrapText="1"/>
    </xf>
    <xf numFmtId="0" fontId="4" fillId="0" borderId="14" applyAlignment="1" pivotButton="0" quotePrefix="0" xfId="20">
      <alignment horizontal="general" vertical="top" wrapText="1"/>
    </xf>
    <xf numFmtId="0" fontId="9" fillId="0" borderId="15" applyAlignment="1" pivotButton="0" quotePrefix="0" xfId="20">
      <alignment horizontal="general" vertical="top" wrapText="1"/>
    </xf>
    <xf numFmtId="0" fontId="4" fillId="0" borderId="18" applyAlignment="1" pivotButton="0" quotePrefix="0" xfId="20">
      <alignment horizontal="general" vertical="top" wrapText="1"/>
    </xf>
    <xf numFmtId="0" fontId="9" fillId="0" borderId="19" applyAlignment="1" pivotButton="0" quotePrefix="0" xfId="20">
      <alignment horizontal="general" vertical="top" wrapText="1"/>
    </xf>
    <xf numFmtId="0" fontId="33" fillId="12" borderId="23" applyAlignment="1" pivotButton="0" quotePrefix="0" xfId="20">
      <alignment horizontal="general" vertical="bottom" wrapText="1"/>
    </xf>
    <xf numFmtId="0" fontId="34" fillId="12" borderId="24" applyAlignment="1" pivotButton="0" quotePrefix="0" xfId="20">
      <alignment horizontal="general" vertical="bottom" wrapText="1"/>
    </xf>
    <xf numFmtId="0" fontId="33" fillId="12" borderId="25" applyAlignment="1" pivotButton="0" quotePrefix="0" xfId="20">
      <alignment horizontal="general" vertical="bottom" wrapText="1"/>
    </xf>
    <xf numFmtId="0" fontId="29" fillId="9" borderId="0" applyAlignment="1" pivotButton="0" quotePrefix="0" xfId="20">
      <alignment horizontal="general" vertical="bottom"/>
    </xf>
    <xf numFmtId="0" fontId="35" fillId="11" borderId="0" applyAlignment="1" pivotButton="0" quotePrefix="0" xfId="20">
      <alignment horizontal="general" vertical="bottom" wrapText="1"/>
    </xf>
    <xf numFmtId="0" fontId="17" fillId="10" borderId="26" applyAlignment="1" pivotButton="0" quotePrefix="0" xfId="20">
      <alignment horizontal="center" vertical="center" wrapText="1"/>
    </xf>
    <xf numFmtId="0" fontId="13" fillId="10" borderId="26" applyAlignment="1" pivotButton="0" quotePrefix="0" xfId="20">
      <alignment horizontal="center" vertical="center" wrapText="1"/>
    </xf>
    <xf numFmtId="0" fontId="37" fillId="0" borderId="27" applyAlignment="1" pivotButton="0" quotePrefix="0" xfId="20">
      <alignment horizontal="general" vertical="center" wrapText="1"/>
    </xf>
    <xf numFmtId="0" fontId="38" fillId="0" borderId="27" applyAlignment="1" pivotButton="0" quotePrefix="0" xfId="20">
      <alignment horizontal="general" vertical="center" wrapText="1"/>
    </xf>
    <xf numFmtId="164" fontId="37" fillId="0" borderId="27" applyAlignment="1" pivotButton="0" quotePrefix="0" xfId="2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7364A"/>
      <rgbColor rgb="FF808000"/>
      <rgbColor rgb="FF800080"/>
      <rgbColor rgb="FF008080"/>
      <rgbColor rgb="FFB9CBD2"/>
      <rgbColor rgb="FF808080"/>
      <rgbColor rgb="FF9999FF"/>
      <rgbColor rgb="FF993366"/>
      <rgbColor rgb="FFE8F5E9"/>
      <rgbColor rgb="FFD9E7EE"/>
      <rgbColor rgb="FF660066"/>
      <rgbColor rgb="FFFF8080"/>
      <rgbColor rgb="FF1F5A78"/>
      <rgbColor rgb="FFB7CE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EC"/>
      <rgbColor rgb="FFDCE6F1"/>
      <rgbColor rgb="FFE5E7EB"/>
      <rgbColor rgb="FF9FBAD0"/>
      <rgbColor rgb="FFFF99CC"/>
      <rgbColor rgb="FFD9E2F3"/>
      <rgbColor rgb="FFE2E8F0"/>
      <rgbColor rgb="FF2F75B5"/>
      <rgbColor rgb="FF79D8E8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993300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73" min="1" max="2"/>
    <col width="54.9" customWidth="1" style="73" min="3" max="3"/>
    <col width="11.94" customWidth="1" style="73" min="4" max="4"/>
    <col width="9.550000000000001" customWidth="1" style="73" min="5" max="5"/>
    <col width="35.81" customWidth="1" style="73" min="6" max="6"/>
    <col width="50.13" customWidth="1" style="73" min="7" max="7"/>
    <col width="3.58" customWidth="1" style="73" min="8" max="8"/>
    <col width="35.81" customWidth="1" style="73" min="9" max="10"/>
  </cols>
  <sheetData>
    <row r="1" ht="24.75" customHeight="1" s="74">
      <c r="A1" s="75" t="inlineStr">
        <is>
          <t>SHELLSTORM 2 · 美术资产总目录 v0.1</t>
        </is>
      </c>
    </row>
    <row r="2" ht="12" customHeight="1" s="74"/>
    <row r="3" ht="22.5" customHeight="1" s="74">
      <c r="A3" s="76" t="inlineStr">
        <is>
          <t>本表是唯一总目录：只登记跨域契约（分类与编码 / 命名与查重 / 版本记录 / Skill 清单 / 3D Prefab 总控）与分账本索引；资产条目一律落在 assets/registry/ledgers/ 下的分账本，各账本可独立并行编辑</t>
        </is>
      </c>
    </row>
    <row r="4" ht="15" customHeight="1" s="74">
      <c r="A4" s="77" t="n"/>
      <c r="B4" s="77" t="n"/>
      <c r="C4" s="77" t="n"/>
      <c r="D4" s="77" t="n"/>
      <c r="E4" s="77" t="n"/>
      <c r="F4" s="77" t="n"/>
      <c r="G4" s="77" t="n"/>
      <c r="H4" s="77" t="n"/>
      <c r="I4" s="77" t="n"/>
      <c r="J4" s="77" t="n"/>
    </row>
    <row r="5" ht="27.6" customHeight="1" s="74">
      <c r="A5" s="78" t="inlineStr">
        <is>
          <t>分账本数</t>
        </is>
      </c>
      <c r="B5" s="78" t="n"/>
      <c r="C5" s="78" t="inlineStr">
        <is>
          <t>覆盖大类数</t>
        </is>
      </c>
      <c r="D5" s="78" t="n"/>
      <c r="E5" s="78" t="inlineStr">
        <is>
          <t>资产总数(快照)</t>
        </is>
      </c>
      <c r="F5" s="78" t="n"/>
      <c r="G5" s="79" t="inlineStr">
        <is>
          <t>Prefab 分页数</t>
        </is>
      </c>
      <c r="H5" s="78" t="n"/>
      <c r="I5" s="78" t="n"/>
      <c r="J5" s="78" t="n"/>
    </row>
    <row r="6" ht="42" customHeight="1" s="74">
      <c r="A6" s="80">
        <f>COUNTA(分账本索引!$B$6:$B$14)</f>
        <v/>
      </c>
      <c r="B6" s="77" t="n"/>
      <c r="C6" s="80">
        <f>SUM(分账本索引!$E$6:$E$14)</f>
        <v/>
      </c>
      <c r="D6" s="77" t="n"/>
      <c r="E6" s="80">
        <f>SUM(分账本索引!$G$6:$G$14)</f>
        <v/>
      </c>
      <c r="F6" s="77" t="n"/>
      <c r="G6" s="80">
        <f>SUM(分账本索引!$H$6:$H$14)</f>
        <v/>
      </c>
      <c r="H6" s="77" t="n"/>
      <c r="I6" s="78" t="inlineStr">
        <is>
          <t>快照 2026-09-23｜查重 → 归类 → 领取 AssetID → 组件制作 → 游戏内验收 → 回填哈希</t>
        </is>
      </c>
    </row>
    <row r="7" ht="15" customHeight="1" s="74">
      <c r="A7" s="77" t="n"/>
      <c r="B7" s="77" t="n"/>
      <c r="C7" s="77" t="n"/>
      <c r="D7" s="77" t="n"/>
      <c r="E7" s="77" t="n"/>
      <c r="F7" s="77" t="n"/>
      <c r="G7" s="77" t="n"/>
      <c r="H7" s="77" t="n"/>
      <c r="I7" s="77" t="n"/>
      <c r="J7" s="77" t="n"/>
    </row>
    <row r="8" ht="15" customHeight="1" s="74">
      <c r="A8" s="77" t="n"/>
      <c r="B8" s="77" t="n"/>
      <c r="C8" s="77" t="n"/>
      <c r="D8" s="77" t="n"/>
      <c r="E8" s="77" t="n"/>
      <c r="F8" s="77" t="n"/>
      <c r="G8" s="77" t="n"/>
      <c r="H8" s="77" t="n"/>
      <c r="I8" s="77" t="n"/>
      <c r="J8" s="77" t="n"/>
    </row>
    <row r="9" ht="31.5" customHeight="1" s="74">
      <c r="A9" s="81" t="inlineStr">
        <is>
          <t>大类</t>
        </is>
      </c>
      <c r="B9" s="81" t="inlineStr">
        <is>
          <t>归属域</t>
        </is>
      </c>
      <c r="C9" s="81" t="inlineStr">
        <is>
          <t>账本文件</t>
        </is>
      </c>
      <c r="D9" s="81" t="inlineStr">
        <is>
          <t>条数</t>
        </is>
      </c>
      <c r="E9" s="82" t="inlineStr">
        <is>
          <t>AssetID 必须落在归属域的账本里；跨域搬运属跨域变更，须同步本表与 ledger_index.json</t>
        </is>
      </c>
      <c r="F9" s="83" t="n"/>
      <c r="G9" s="83" t="n"/>
      <c r="H9" s="83" t="n"/>
      <c r="I9" s="83" t="n"/>
      <c r="J9" s="84" t="n"/>
    </row>
    <row r="10" ht="15" customHeight="1" s="74">
      <c r="A10" s="85" t="inlineStr">
        <is>
          <t>UI</t>
        </is>
      </c>
      <c r="B10" s="85" t="inlineStr">
        <is>
          <t>UI</t>
        </is>
      </c>
      <c r="C10" s="85" t="inlineStr">
        <is>
          <t>assets/registry/ledgers/ShellStorm2_UI账本_v001.xlsx</t>
        </is>
      </c>
      <c r="D10" s="85" t="n">
        <v>17</v>
      </c>
      <c r="E10" s="85" t="n"/>
      <c r="F10" s="85" t="n"/>
      <c r="G10" s="85" t="n"/>
      <c r="H10" s="85" t="n"/>
      <c r="I10" s="85" t="n"/>
      <c r="J10" s="85" t="n"/>
    </row>
    <row r="11" ht="15" customHeight="1" s="74">
      <c r="A11" s="86" t="inlineStr">
        <is>
          <t>场景</t>
        </is>
      </c>
      <c r="B11" s="86" t="inlineStr">
        <is>
          <t>关卡场景</t>
        </is>
      </c>
      <c r="C11" s="85" t="inlineStr">
        <is>
          <t>assets/registry/ledgers/ShellStorm2_场景账本_v001.xlsx</t>
        </is>
      </c>
      <c r="D11" s="85" t="n">
        <v>695</v>
      </c>
      <c r="E11" s="85" t="n"/>
      <c r="F11" s="85" t="n"/>
      <c r="G11" s="85" t="n"/>
      <c r="H11" s="85" t="n"/>
      <c r="I11" s="85" t="n"/>
      <c r="J11" s="85" t="n"/>
    </row>
    <row r="12" ht="15" customHeight="1" s="74">
      <c r="A12" s="86" t="inlineStr">
        <is>
          <t>场景道具</t>
        </is>
      </c>
      <c r="B12" s="86" t="inlineStr">
        <is>
          <t>关卡场景</t>
        </is>
      </c>
      <c r="C12" s="85" t="inlineStr">
        <is>
          <t>assets/registry/ledgers/ShellStorm2_场景账本_v001.xlsx</t>
        </is>
      </c>
      <c r="D12" s="85" t="n">
        <v>20</v>
      </c>
      <c r="E12" s="85" t="n"/>
      <c r="F12" s="85" t="n"/>
      <c r="G12" s="85" t="n"/>
      <c r="H12" s="85" t="n"/>
      <c r="I12" s="85" t="n"/>
      <c r="J12" s="85" t="n"/>
    </row>
    <row r="13" ht="15" customHeight="1" s="74">
      <c r="A13" s="86" t="inlineStr">
        <is>
          <t>基地资产包</t>
        </is>
      </c>
      <c r="B13" s="86" t="inlineStr">
        <is>
          <t>关卡场景</t>
        </is>
      </c>
      <c r="C13" s="85" t="inlineStr">
        <is>
          <t>assets/registry/ledgers/ShellStorm2_场景账本_v001.xlsx</t>
        </is>
      </c>
      <c r="D13" s="85" t="n">
        <v>114</v>
      </c>
      <c r="E13" s="85" t="n"/>
      <c r="F13" s="85" t="n"/>
      <c r="G13" s="85" t="n"/>
      <c r="H13" s="85" t="n"/>
      <c r="I13" s="85" t="n"/>
      <c r="J13" s="85" t="n"/>
    </row>
    <row r="14" ht="15" customHeight="1" s="74">
      <c r="A14" s="86" t="inlineStr">
        <is>
          <t>敌人</t>
        </is>
      </c>
      <c r="B14" s="86" t="inlineStr">
        <is>
          <t>敌人</t>
        </is>
      </c>
      <c r="C14" s="85" t="inlineStr">
        <is>
          <t>assets/registry/ledgers/ShellStorm2_敌人账本_v001.xlsx</t>
        </is>
      </c>
      <c r="D14" s="85" t="n">
        <v>12</v>
      </c>
      <c r="E14" s="85" t="n"/>
      <c r="F14" s="85" t="n"/>
      <c r="G14" s="85" t="n"/>
      <c r="H14" s="85" t="n"/>
      <c r="I14" s="85" t="n"/>
      <c r="J14" s="85" t="n"/>
    </row>
    <row r="15" ht="15" customHeight="1" s="74">
      <c r="A15" s="86" t="inlineStr">
        <is>
          <t>武器</t>
        </is>
      </c>
      <c r="B15" s="86" t="inlineStr">
        <is>
          <t>武器</t>
        </is>
      </c>
      <c r="C15" s="85" t="inlineStr">
        <is>
          <t>assets/registry/ledgers/ShellStorm2_武器账本_v001.xlsx</t>
        </is>
      </c>
      <c r="D15" s="85" t="n">
        <v>36</v>
      </c>
      <c r="E15" s="85" t="n"/>
      <c r="F15" s="85" t="n"/>
      <c r="G15" s="85" t="n"/>
      <c r="H15" s="85" t="n"/>
      <c r="I15" s="85" t="n"/>
      <c r="J15" s="85" t="n"/>
    </row>
    <row r="16" ht="15" customHeight="1" s="74">
      <c r="A16" s="86" t="inlineStr">
        <is>
          <t>特效</t>
        </is>
      </c>
      <c r="B16" s="86" t="inlineStr">
        <is>
          <t>特效</t>
        </is>
      </c>
      <c r="C16" s="85" t="inlineStr">
        <is>
          <t>assets/registry/ledgers/ShellStorm2_特效账本_v001.xlsx</t>
        </is>
      </c>
      <c r="D16" s="85" t="n">
        <v>17</v>
      </c>
      <c r="E16" s="85" t="n"/>
      <c r="F16" s="85" t="n"/>
      <c r="G16" s="85" t="n"/>
      <c r="H16" s="85" t="n"/>
      <c r="I16" s="85" t="n"/>
      <c r="J16" s="85" t="n"/>
    </row>
    <row r="17" ht="15" customHeight="1" s="74">
      <c r="A17" s="86" t="inlineStr">
        <is>
          <t>角色</t>
        </is>
      </c>
      <c r="B17" s="86" t="inlineStr">
        <is>
          <t>角色</t>
        </is>
      </c>
      <c r="C17" s="85" t="inlineStr">
        <is>
          <t>assets/registry/ledgers/ShellStorm2_角色账本_v001.xlsx</t>
        </is>
      </c>
      <c r="D17" s="85" t="n">
        <v>21</v>
      </c>
      <c r="E17" s="85" t="n"/>
      <c r="F17" s="85" t="n"/>
      <c r="G17" s="85" t="n"/>
      <c r="H17" s="85" t="n"/>
      <c r="I17" s="85" t="n"/>
      <c r="J17" s="85" t="n"/>
    </row>
    <row r="18" ht="15" customHeight="1" s="74">
      <c r="A18" s="86" t="inlineStr">
        <is>
          <t>道具</t>
        </is>
      </c>
      <c r="B18" s="86" t="inlineStr">
        <is>
          <t>道具</t>
        </is>
      </c>
      <c r="C18" s="85" t="inlineStr">
        <is>
          <t>assets/registry/ledgers/ShellStorm2_道具账本_v001.xlsx</t>
        </is>
      </c>
      <c r="D18" s="85" t="n">
        <v>21</v>
      </c>
      <c r="E18" s="85" t="n"/>
      <c r="F18" s="85" t="n"/>
      <c r="G18" s="85" t="n"/>
      <c r="H18" s="85" t="n"/>
      <c r="I18" s="85" t="n"/>
      <c r="J18" s="85" t="n"/>
    </row>
    <row r="19" ht="15" customHeight="1" s="74">
      <c r="A19" s="86" t="inlineStr">
        <is>
          <t>音效</t>
        </is>
      </c>
      <c r="B19" s="86" t="inlineStr">
        <is>
          <t>音效</t>
        </is>
      </c>
      <c r="C19" s="85" t="inlineStr">
        <is>
          <t>assets/registry/ledgers/ShellStorm2_音效账本_v001.xlsx</t>
        </is>
      </c>
      <c r="D19" s="85" t="n">
        <v>48</v>
      </c>
      <c r="E19" s="85" t="n"/>
      <c r="F19" s="85" t="n"/>
      <c r="G19" s="85" t="n"/>
      <c r="H19" s="85" t="n"/>
      <c r="I19" s="85" t="n"/>
      <c r="J19" s="85" t="n"/>
    </row>
    <row r="20" ht="27.6" customHeight="1" s="74">
      <c r="A20" s="77" t="inlineStr">
        <is>
          <t>音乐</t>
        </is>
      </c>
      <c r="B20" s="77" t="inlineStr">
        <is>
          <t>音乐</t>
        </is>
      </c>
      <c r="C20" s="87" t="inlineStr">
        <is>
          <t>assets/registry/ledgers/ShellStorm2_音乐账本_v001.xlsx</t>
        </is>
      </c>
      <c r="D20" s="77" t="n">
        <v>9</v>
      </c>
      <c r="E20" s="77" t="n"/>
      <c r="F20" s="77" t="n"/>
      <c r="G20" s="77" t="n"/>
      <c r="H20" s="77" t="n"/>
      <c r="I20" s="77" t="n"/>
      <c r="J20" s="77" t="n"/>
    </row>
  </sheetData>
  <mergeCells count="4">
    <mergeCell ref="E9:J9"/>
    <mergeCell ref="A3:J3"/>
    <mergeCell ref="A1:J2"/>
    <mergeCell ref="I6:J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73" min="1" max="1"/>
    <col width="16.71" customWidth="1" style="73" min="2" max="2"/>
    <col width="47.74" customWidth="1" style="73" min="3" max="3"/>
    <col width="35.81" customWidth="1" style="73" min="4" max="4"/>
    <col width="9.550000000000001" customWidth="1" style="73" min="5" max="5"/>
    <col width="21.48" customWidth="1" style="73" min="6" max="6"/>
    <col width="17.9" customWidth="1" style="73" min="7" max="8"/>
    <col width="47.74" customWidth="1" style="73" min="9" max="9"/>
    <col width="26.26" customWidth="1" style="73" min="10" max="10"/>
    <col width="40.58" customWidth="1" style="73" min="11" max="12"/>
    <col width="11.94" customWidth="1" style="73" min="13" max="14"/>
  </cols>
  <sheetData>
    <row r="1" ht="15" customHeight="1" s="74">
      <c r="A1" s="75" t="inlineStr">
        <is>
          <t>SHELLSTORM 2 · 分账本索引（总目录核心）</t>
        </is>
      </c>
    </row>
    <row r="2" ht="15" customHeight="1" s="74"/>
    <row r="3" ht="15" customHeight="1" s="74">
      <c r="A3" s="76" t="inlineStr">
        <is>
          <t>本表定义「域 → 账本文件 → 覆盖大类 → AssetID 前缀」的唯一映射；机器可读副本为 assets/registry/ledger_index.json，两者不一致时以 JSON 为准并立即修本表</t>
        </is>
      </c>
    </row>
    <row r="4"/>
    <row r="5" ht="31.5" customHeight="1" s="74">
      <c r="A5" s="81" t="inlineStr">
        <is>
          <t>序号</t>
        </is>
      </c>
      <c r="B5" s="81" t="inlineStr">
        <is>
          <t>域</t>
        </is>
      </c>
      <c r="C5" s="81" t="inlineStr">
        <is>
          <t>账本文件</t>
        </is>
      </c>
      <c r="D5" s="81" t="inlineStr">
        <is>
          <t>覆盖大类</t>
        </is>
      </c>
      <c r="E5" s="81" t="inlineStr">
        <is>
          <t>大类数</t>
        </is>
      </c>
      <c r="F5" s="88" t="inlineStr">
        <is>
          <t>AssetID 前缀</t>
        </is>
      </c>
      <c r="G5" s="81" t="inlineStr">
        <is>
          <t>资产条数(快照)</t>
        </is>
      </c>
      <c r="H5" s="88" t="inlineStr">
        <is>
          <t>3D Prefab 分页数</t>
        </is>
      </c>
      <c r="I5" s="88" t="inlineStr">
        <is>
          <t>Prefab 分页</t>
        </is>
      </c>
      <c r="J5" s="81" t="inlineStr">
        <is>
          <t>动画登记表</t>
        </is>
      </c>
      <c r="K5" s="81" t="inlineStr">
        <is>
          <t>首选制作 Skill</t>
        </is>
      </c>
      <c r="L5" s="81" t="inlineStr">
        <is>
          <t>协作 Skill</t>
        </is>
      </c>
      <c r="M5" s="81" t="inlineStr">
        <is>
          <t>负责人</t>
        </is>
      </c>
      <c r="N5" s="81" t="inlineStr">
        <is>
          <t>状态</t>
        </is>
      </c>
    </row>
    <row r="6" ht="33.75" customHeight="1" s="74">
      <c r="A6" s="85" t="n">
        <v>1</v>
      </c>
      <c r="B6" s="86" t="inlineStr">
        <is>
          <t>角色</t>
        </is>
      </c>
      <c r="C6" s="85" t="inlineStr">
        <is>
          <t>assets/registry/ledgers/ShellStorm2_角色账本_v001.xlsx</t>
        </is>
      </c>
      <c r="D6" s="86" t="inlineStr">
        <is>
          <t>角色</t>
        </is>
      </c>
      <c r="E6" s="85" t="n">
        <v>1</v>
      </c>
      <c r="F6" s="85" t="inlineStr">
        <is>
          <t>CHR / SKEL / BONE</t>
        </is>
      </c>
      <c r="G6" s="85" t="n">
        <v>16</v>
      </c>
      <c r="H6" s="85" t="n">
        <v>1</v>
      </c>
      <c r="I6" s="85" t="inlineStr">
        <is>
          <t>3D-角色</t>
        </is>
      </c>
      <c r="J6" s="86" t="inlineStr">
        <is>
          <t>动画与状态 / 角色中转记录</t>
        </is>
      </c>
      <c r="K6" s="85" t="inlineStr">
        <is>
          <t>game-character-model-pipeline</t>
        </is>
      </c>
      <c r="L6" s="85" t="inlineStr">
        <is>
          <t>player-avatar-asset-standard</t>
        </is>
      </c>
      <c r="M6" s="86" t="inlineStr">
        <is>
          <t>待分配</t>
        </is>
      </c>
      <c r="N6" s="86" t="inlineStr">
        <is>
          <t>启用</t>
        </is>
      </c>
    </row>
    <row r="7" ht="33.75" customHeight="1" s="74">
      <c r="A7" s="85" t="n">
        <v>2</v>
      </c>
      <c r="B7" s="86" t="inlineStr">
        <is>
          <t>敌人</t>
        </is>
      </c>
      <c r="C7" s="85" t="inlineStr">
        <is>
          <t>assets/registry/ledgers/ShellStorm2_敌人账本_v001.xlsx</t>
        </is>
      </c>
      <c r="D7" s="86" t="inlineStr">
        <is>
          <t>敌人</t>
        </is>
      </c>
      <c r="E7" s="85" t="n">
        <v>1</v>
      </c>
      <c r="F7" s="85" t="inlineStr">
        <is>
          <t>ENM</t>
        </is>
      </c>
      <c r="G7" s="85" t="n">
        <v>12</v>
      </c>
      <c r="H7" s="85" t="n">
        <v>1</v>
      </c>
      <c r="I7" s="85" t="inlineStr">
        <is>
          <t>3D-敌人</t>
        </is>
      </c>
      <c r="J7" s="86" t="inlineStr">
        <is>
          <t>敌人动画与状态</t>
        </is>
      </c>
      <c r="K7" s="85" t="inlineStr">
        <is>
          <t>game-character-model-pipeline</t>
        </is>
      </c>
      <c r="L7" s="86" t="inlineStr">
        <is>
          <t>无</t>
        </is>
      </c>
      <c r="M7" s="86" t="inlineStr">
        <is>
          <t>待分配</t>
        </is>
      </c>
      <c r="N7" s="86" t="inlineStr">
        <is>
          <t>启用</t>
        </is>
      </c>
    </row>
    <row r="8" ht="33.75" customHeight="1" s="74">
      <c r="A8" s="85" t="n">
        <v>3</v>
      </c>
      <c r="B8" s="86" t="inlineStr">
        <is>
          <t>关卡场景</t>
        </is>
      </c>
      <c r="C8" s="85" t="inlineStr">
        <is>
          <t>assets/registry/ledgers/ShellStorm2_场景账本_v001.xlsx</t>
        </is>
      </c>
      <c r="D8" s="86" t="inlineStr">
        <is>
          <t>场景 / 场景道具 / 基地资产包</t>
        </is>
      </c>
      <c r="E8" s="85" t="n">
        <v>3</v>
      </c>
      <c r="F8" s="85" t="inlineStr">
        <is>
          <t>ART / ENV / BPK / PRP</t>
        </is>
      </c>
      <c r="G8" s="85" t="n">
        <v>829</v>
      </c>
      <c r="H8" s="85" t="n">
        <v>3</v>
      </c>
      <c r="I8" s="85" t="inlineStr">
        <is>
          <t>3D-场景通用 / 3D-设施 / 3D-其他</t>
        </is>
      </c>
      <c r="J8" s="86" t="inlineStr">
        <is>
          <t>无</t>
        </is>
      </c>
      <c r="K8" s="85" t="inlineStr">
        <is>
          <t>scene-full-pipeline</t>
        </is>
      </c>
      <c r="L8" s="85" t="inlineStr">
        <is>
          <t>godot-model-asset-import-standard / blender-game-prop-standard / scene-art-merge-into-shared-component</t>
        </is>
      </c>
      <c r="M8" s="86" t="inlineStr">
        <is>
          <t>待分配</t>
        </is>
      </c>
      <c r="N8" s="86" t="inlineStr">
        <is>
          <t>启用</t>
        </is>
      </c>
    </row>
    <row r="9" ht="33.75" customHeight="1" s="74">
      <c r="A9" s="85" t="n">
        <v>4</v>
      </c>
      <c r="B9" s="86" t="inlineStr">
        <is>
          <t>道具</t>
        </is>
      </c>
      <c r="C9" s="85" t="inlineStr">
        <is>
          <t>assets/registry/ledgers/ShellStorm2_道具账本_v001.xlsx</t>
        </is>
      </c>
      <c r="D9" s="86" t="inlineStr">
        <is>
          <t>道具</t>
        </is>
      </c>
      <c r="E9" s="85" t="n">
        <v>1</v>
      </c>
      <c r="F9" s="85" t="inlineStr">
        <is>
          <t>ITM / PRP</t>
        </is>
      </c>
      <c r="G9" s="85" t="n">
        <v>20</v>
      </c>
      <c r="H9" s="85" t="n">
        <v>2</v>
      </c>
      <c r="I9" s="85" t="inlineStr">
        <is>
          <t>3D-道具 / 3D-物品</t>
        </is>
      </c>
      <c r="J9" s="86" t="inlineStr">
        <is>
          <t>无</t>
        </is>
      </c>
      <c r="K9" s="85" t="inlineStr">
        <is>
          <t>game-prop-model-pipeline</t>
        </is>
      </c>
      <c r="L9" s="86" t="inlineStr">
        <is>
          <t>无</t>
        </is>
      </c>
      <c r="M9" s="86" t="inlineStr">
        <is>
          <t>待分配</t>
        </is>
      </c>
      <c r="N9" s="86" t="inlineStr">
        <is>
          <t>启用</t>
        </is>
      </c>
    </row>
    <row r="10" ht="33.75" customHeight="1" s="74">
      <c r="A10" s="85" t="n">
        <v>5</v>
      </c>
      <c r="B10" s="86" t="inlineStr">
        <is>
          <t>武器</t>
        </is>
      </c>
      <c r="C10" s="85" t="inlineStr">
        <is>
          <t>assets/registry/ledgers/ShellStorm2_武器账本_v001.xlsx</t>
        </is>
      </c>
      <c r="D10" s="86" t="inlineStr">
        <is>
          <t>武器</t>
        </is>
      </c>
      <c r="E10" s="85" t="n">
        <v>1</v>
      </c>
      <c r="F10" s="85" t="inlineStr">
        <is>
          <t>WPN</t>
        </is>
      </c>
      <c r="G10" s="85" t="n">
        <v>36</v>
      </c>
      <c r="H10" s="85" t="n">
        <v>1</v>
      </c>
      <c r="I10" s="85" t="inlineStr">
        <is>
          <t>3D-武器</t>
        </is>
      </c>
      <c r="J10" s="86" t="inlineStr">
        <is>
          <t>无</t>
        </is>
      </c>
      <c r="K10" s="85" t="inlineStr">
        <is>
          <t>game-weapon-model-pipeline</t>
        </is>
      </c>
      <c r="L10" s="86" t="inlineStr">
        <is>
          <t>无</t>
        </is>
      </c>
      <c r="M10" s="86" t="inlineStr">
        <is>
          <t>待分配</t>
        </is>
      </c>
      <c r="N10" s="86" t="inlineStr">
        <is>
          <t>启用</t>
        </is>
      </c>
    </row>
    <row r="11" ht="33.75" customHeight="1" s="74">
      <c r="A11" s="85" t="n">
        <v>6</v>
      </c>
      <c r="B11" s="86" t="inlineStr">
        <is>
          <t>特效</t>
        </is>
      </c>
      <c r="C11" s="85" t="inlineStr">
        <is>
          <t>assets/registry/ledgers/ShellStorm2_特效账本_v001.xlsx</t>
        </is>
      </c>
      <c r="D11" s="86" t="inlineStr">
        <is>
          <t>特效</t>
        </is>
      </c>
      <c r="E11" s="85" t="n">
        <v>1</v>
      </c>
      <c r="F11" s="85" t="inlineStr">
        <is>
          <t>VFX / FX</t>
        </is>
      </c>
      <c r="G11" s="85" t="n">
        <v>16</v>
      </c>
      <c r="H11" s="85" t="n">
        <v>1</v>
      </c>
      <c r="I11" s="85" t="inlineStr">
        <is>
          <t>3D-特效</t>
        </is>
      </c>
      <c r="J11" s="86" t="inlineStr">
        <is>
          <t>无</t>
        </is>
      </c>
      <c r="K11" s="85" t="inlineStr">
        <is>
          <t>vfx-combat-effect-authoring</t>
        </is>
      </c>
      <c r="L11" s="85" t="inlineStr">
        <is>
          <t>godot-model-asset-import-standard</t>
        </is>
      </c>
      <c r="M11" s="86" t="inlineStr">
        <is>
          <t>待分配</t>
        </is>
      </c>
      <c r="N11" s="86" t="inlineStr">
        <is>
          <t>启用</t>
        </is>
      </c>
    </row>
    <row r="12" ht="33.75" customHeight="1" s="74">
      <c r="A12" s="85" t="n">
        <v>7</v>
      </c>
      <c r="B12" s="85" t="inlineStr">
        <is>
          <t>UI</t>
        </is>
      </c>
      <c r="C12" s="85" t="inlineStr">
        <is>
          <t>assets/registry/ledgers/ShellStorm2_UI账本_v001.xlsx</t>
        </is>
      </c>
      <c r="D12" s="85" t="inlineStr">
        <is>
          <t>UI</t>
        </is>
      </c>
      <c r="E12" s="85" t="n">
        <v>1</v>
      </c>
      <c r="F12" s="85" t="inlineStr">
        <is>
          <t>UI</t>
        </is>
      </c>
      <c r="G12" s="85" t="n">
        <v>16</v>
      </c>
      <c r="H12" s="85" t="n">
        <v>0</v>
      </c>
      <c r="I12" s="86" t="inlineStr">
        <is>
          <t>无</t>
        </is>
      </c>
      <c r="J12" s="86" t="inlineStr">
        <is>
          <t>无</t>
        </is>
      </c>
      <c r="K12" s="85" t="inlineStr">
        <is>
          <t>ui-asset-pipeline</t>
        </is>
      </c>
      <c r="L12" s="86" t="inlineStr">
        <is>
          <t>无</t>
        </is>
      </c>
      <c r="M12" s="86" t="inlineStr">
        <is>
          <t>待分配</t>
        </is>
      </c>
      <c r="N12" s="86" t="inlineStr">
        <is>
          <t>启用</t>
        </is>
      </c>
    </row>
    <row r="13" ht="15" customHeight="1" s="74">
      <c r="A13" s="89" t="n">
        <v>8</v>
      </c>
      <c r="B13" s="90" t="inlineStr">
        <is>
          <t>音效</t>
        </is>
      </c>
      <c r="C13" s="91" t="inlineStr">
        <is>
          <t>assets/registry/ledgers/ShellStorm2_音效账本_v001.xlsx</t>
        </is>
      </c>
      <c r="D13" s="90" t="inlineStr">
        <is>
          <t>音效</t>
        </is>
      </c>
      <c r="E13" s="91" t="n">
        <v>1</v>
      </c>
      <c r="F13" s="91" t="inlineStr">
        <is>
          <t>AUD</t>
        </is>
      </c>
      <c r="G13" s="91" t="n">
        <v>48</v>
      </c>
      <c r="H13" s="91" t="n">
        <v>0</v>
      </c>
      <c r="I13" s="90" t="inlineStr">
        <is>
          <t>无</t>
        </is>
      </c>
      <c r="J13" s="90" t="inlineStr">
        <is>
          <t>无</t>
        </is>
      </c>
      <c r="K13" s="91" t="inlineStr">
        <is>
          <t>audio-sfx-asset-pipeline</t>
        </is>
      </c>
      <c r="L13" s="90" t="inlineStr">
        <is>
          <t>无</t>
        </is>
      </c>
      <c r="M13" s="90" t="inlineStr">
        <is>
          <t>待分配</t>
        </is>
      </c>
      <c r="N13" s="92" t="inlineStr">
        <is>
          <t>启用</t>
        </is>
      </c>
    </row>
    <row r="14" ht="15" customHeight="1" s="74">
      <c r="A14" s="89" t="n">
        <v>9</v>
      </c>
      <c r="B14" s="93" t="inlineStr">
        <is>
          <t>音乐</t>
        </is>
      </c>
      <c r="C14" s="94" t="inlineStr">
        <is>
          <t>assets/registry/ledgers/ShellStorm2_音乐账本_v001.xlsx</t>
        </is>
      </c>
      <c r="D14" s="93" t="inlineStr">
        <is>
          <t>音乐</t>
        </is>
      </c>
      <c r="E14" s="95" t="n">
        <v>1</v>
      </c>
      <c r="F14" s="95" t="inlineStr">
        <is>
          <t>AUD</t>
        </is>
      </c>
      <c r="G14" s="95" t="n">
        <v>9</v>
      </c>
      <c r="H14" s="95" t="n">
        <v>0</v>
      </c>
      <c r="I14" s="93" t="inlineStr">
        <is>
          <t>无</t>
        </is>
      </c>
      <c r="J14" s="93" t="inlineStr">
        <is>
          <t>无</t>
        </is>
      </c>
      <c r="K14" s="94" t="inlineStr">
        <is>
          <t>music-asset-pipeline</t>
        </is>
      </c>
      <c r="L14" s="93" t="inlineStr">
        <is>
          <t>无</t>
        </is>
      </c>
      <c r="M14" s="96" t="inlineStr">
        <is>
          <t>待分配</t>
        </is>
      </c>
      <c r="N14" s="97" t="inlineStr">
        <is>
          <t>启用</t>
        </is>
      </c>
    </row>
    <row r="15" ht="15" customHeight="1" s="74">
      <c r="A15" s="98" t="inlineStr">
        <is>
          <t>合计</t>
        </is>
      </c>
      <c r="B15" s="99" t="n"/>
      <c r="C15" s="100" t="inlineStr">
        <is>
          <t>9 个分账本</t>
        </is>
      </c>
      <c r="D15" s="99">
        <f>COUNTA(D6:D14)</f>
        <v/>
      </c>
      <c r="E15" s="99">
        <f>SUM(E6:E14)</f>
        <v/>
      </c>
      <c r="F15" s="99" t="n"/>
      <c r="G15" s="99">
        <f>SUM(G6:G14)</f>
        <v/>
      </c>
      <c r="H15" s="99">
        <f>SUM(H6:H14)</f>
        <v/>
      </c>
      <c r="I15" s="99" t="n"/>
      <c r="J15" s="99" t="n"/>
      <c r="K15" s="99" t="n"/>
      <c r="L15" s="99" t="n"/>
      <c r="M15" s="99" t="n"/>
      <c r="N15" s="101" t="n"/>
    </row>
    <row r="16"/>
    <row r="17" ht="15" customHeight="1" s="74">
      <c r="A17" s="102" t="inlineStr">
        <is>
          <t>快照日期 2026-09-23；条数为当前运行时真源对账后的快照，权威数量在各分账本《总览》。新增资产先确认归属域，再进对应分账本登记。</t>
        </is>
      </c>
      <c r="B17" s="103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  <c r="L17" s="103" t="n"/>
      <c r="M17" s="103" t="n"/>
      <c r="N17" s="104" t="n"/>
    </row>
  </sheetData>
  <mergeCells count="3">
    <mergeCell ref="A17:N17"/>
    <mergeCell ref="A1:N2"/>
    <mergeCell ref="A3:N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1.94" customWidth="1" style="73" min="1" max="1"/>
    <col width="16.71" customWidth="1" style="73" min="2" max="2"/>
    <col width="40.58" customWidth="1" style="73" min="3" max="3"/>
    <col width="42.97" customWidth="1" style="73" min="4" max="4"/>
    <col width="62.06" customWidth="1" style="73" min="5" max="5"/>
    <col width="40.58" customWidth="1" style="73" min="6" max="6"/>
    <col width="21.48" customWidth="1" style="73" min="8" max="8"/>
    <col width="62.06" customWidth="1" style="73" min="9" max="9"/>
    <col width="23.87" customWidth="1" style="73" min="10" max="10"/>
  </cols>
  <sheetData>
    <row r="1" ht="24.75" customHeight="1" s="74">
      <c r="A1" s="105" t="inlineStr">
        <is>
          <t>分类、前缀与目录</t>
        </is>
      </c>
    </row>
    <row r="2" ht="12" customHeight="1" s="74"/>
    <row r="3" ht="22.5" customHeight="1" s="74">
      <c r="A3" s="106" t="inlineStr">
        <is>
          <t>新增资产必须从本表选择分类；如果找不到子类，先扩展本表再建文件，禁止临时随意命名</t>
        </is>
      </c>
    </row>
    <row r="4" ht="15" customHeight="1" s="74">
      <c r="H4" s="107" t="inlineStr">
        <is>
          <t>3D Prefab分类与分页</t>
        </is>
      </c>
    </row>
    <row r="5" ht="31.5" customHeight="1" s="74">
      <c r="A5" s="81" t="inlineStr">
        <is>
          <t>前缀</t>
        </is>
      </c>
      <c r="B5" s="108" t="inlineStr">
        <is>
          <t>大类</t>
        </is>
      </c>
      <c r="C5" s="108" t="inlineStr">
        <is>
          <t>推荐子类</t>
        </is>
      </c>
      <c r="D5" s="108" t="inlineStr">
        <is>
          <t>标准目录</t>
        </is>
      </c>
      <c r="E5" s="108" t="inlineStr">
        <is>
          <t>文件名模式</t>
        </is>
      </c>
      <c r="F5" s="109" t="inlineStr">
        <is>
          <t>AssetID 示例</t>
        </is>
      </c>
      <c r="H5" s="110" t="inlineStr">
        <is>
          <t>Prefab分类</t>
        </is>
      </c>
      <c r="I5" s="111" t="inlineStr">
        <is>
          <t>归类标准</t>
        </is>
      </c>
      <c r="J5" s="111" t="inlineStr">
        <is>
          <t>分页</t>
        </is>
      </c>
    </row>
    <row r="6" ht="33.75" customHeight="1" s="74">
      <c r="A6" s="85" t="inlineStr">
        <is>
          <t>CHR</t>
        </is>
      </c>
      <c r="B6" s="86" t="inlineStr">
        <is>
          <t>角色</t>
        </is>
      </c>
      <c r="C6" s="85" t="inlineStr">
        <is>
          <t>player / npc / companion</t>
        </is>
      </c>
      <c r="D6" s="85" t="inlineStr">
        <is>
          <t>assets/art/characters/</t>
        </is>
      </c>
      <c r="E6" s="85" t="inlineStr">
        <is>
          <t>chr_{role}_{name}{nn}_{component}_{view}_v{nnn}.{png|glb|tscn}</t>
        </is>
      </c>
      <c r="F6" s="85" t="inlineStr">
        <is>
          <t>CHR-PLY-CAPSULE01-HEAD-SIDE</t>
        </is>
      </c>
      <c r="H6" s="112" t="inlineStr">
        <is>
          <t>场景通用组件</t>
        </is>
      </c>
      <c r="I6" s="113" t="inlineStr">
        <is>
          <t>关卡结构、地板、墙体、走廊、楼梯、楼板与环境套件</t>
        </is>
      </c>
      <c r="J6" s="114" t="inlineStr">
        <is>
          <t>3D-场景通用</t>
        </is>
      </c>
    </row>
    <row r="7" ht="33.75" customHeight="1" s="74">
      <c r="A7" s="115" t="inlineStr">
        <is>
          <t>ENM</t>
        </is>
      </c>
      <c r="B7" s="116" t="inlineStr">
        <is>
          <t>敌人</t>
        </is>
      </c>
      <c r="C7" s="115" t="inlineStr">
        <is>
          <t>normal / elite / boss</t>
        </is>
      </c>
      <c r="D7" s="115" t="inlineStr">
        <is>
          <t>assets/art/enemies/</t>
        </is>
      </c>
      <c r="E7" s="115" t="inlineStr">
        <is>
          <t>enm_{archetype}_{name}{nn}_{part}_{view}_v{nnn}.{png|glb|tscn}</t>
        </is>
      </c>
      <c r="F7" s="115" t="inlineStr">
        <is>
          <t>ENM-MELEE-FUNGBOAR01-BODY</t>
        </is>
      </c>
      <c r="H7" s="117" t="inlineStr">
        <is>
          <t>设施组件</t>
        </is>
      </c>
      <c r="I7" s="118" t="inlineStr">
        <is>
          <t>门扇、灯具、开关、终端、工作台、储物与服务设施</t>
        </is>
      </c>
      <c r="J7" s="119" t="inlineStr">
        <is>
          <t>3D-设施</t>
        </is>
      </c>
    </row>
    <row r="8" ht="33.75" customHeight="1" s="74">
      <c r="A8" s="115" t="inlineStr">
        <is>
          <t>WPN</t>
        </is>
      </c>
      <c r="B8" s="116" t="inlineStr">
        <is>
          <t>武器</t>
        </is>
      </c>
      <c r="C8" s="115" t="inlineStr">
        <is>
          <t>gunbody / melee / bullet / attachment</t>
        </is>
      </c>
      <c r="D8" s="115" t="inlineStr">
        <is>
          <t>assets/art/weapons/</t>
        </is>
      </c>
      <c r="E8" s="115" t="inlineStr">
        <is>
          <t>wpn_{family}_{logic_id}_{view}_v{nnn}.{png|glb|tscn}</t>
        </is>
      </c>
      <c r="F8" s="115" t="inlineStr">
        <is>
          <t>WPN-MELEE-BP-GREATBLADE</t>
        </is>
      </c>
      <c r="H8" s="117" t="inlineStr">
        <is>
          <t>道具</t>
        </is>
      </c>
      <c r="I8" s="118" t="inlineStr">
        <is>
          <t>桌椅、家具、容器和摆放装饰物</t>
        </is>
      </c>
      <c r="J8" s="119" t="inlineStr">
        <is>
          <t>3D-道具</t>
        </is>
      </c>
    </row>
    <row r="9" ht="33.75" customHeight="1" s="74">
      <c r="A9" s="115" t="inlineStr">
        <is>
          <t>ITM</t>
        </is>
      </c>
      <c r="B9" s="116" t="inlineStr">
        <is>
          <t>道具</t>
        </is>
      </c>
      <c r="C9" s="115" t="inlineStr">
        <is>
          <t>pickup / consumable / key / loot</t>
        </is>
      </c>
      <c r="D9" s="115" t="inlineStr">
        <is>
          <t>assets/art/items/</t>
        </is>
      </c>
      <c r="E9" s="115" t="inlineStr">
        <is>
          <t>itm_{type}_{logic_id}_{state}_v{nnn}.png</t>
        </is>
      </c>
      <c r="F9" s="115" t="inlineStr">
        <is>
          <t>ITM-KEY-ROOM-DEFAULT</t>
        </is>
      </c>
      <c r="H9" s="117" t="inlineStr">
        <is>
          <t>角色</t>
        </is>
      </c>
      <c r="I9" s="118" t="inlineStr">
        <is>
          <t>玩家、NPC与角色表现/玩法根</t>
        </is>
      </c>
      <c r="J9" s="119" t="inlineStr">
        <is>
          <t>3D-角色</t>
        </is>
      </c>
    </row>
    <row r="10" ht="33.75" customHeight="1" s="74">
      <c r="A10" s="115" t="inlineStr">
        <is>
          <t>ENV</t>
        </is>
      </c>
      <c r="B10" s="116" t="inlineStr">
        <is>
          <t>场景</t>
        </is>
      </c>
      <c r="C10" s="115" t="inlineStr">
        <is>
          <t>biome / room / environment_kit_3d / environment_module_3d / floor / wall / door / stair</t>
        </is>
      </c>
      <c r="D10" s="115" t="inlineStr">
        <is>
          <t>assets/art/environments/&lt;kit&gt;/{source,components,runtime}/</t>
        </is>
      </c>
      <c r="E10" s="115" t="inlineStr">
        <is>
          <t>env_{set}_{piece}_{source|visual_top3d|root_top3d}_v{nnn}.{blend|glb|tres|tscn}</t>
        </is>
      </c>
      <c r="F10" s="115" t="inlineStr">
        <is>
          <t>ENV-BASE99-WALL-PLAIN-5X9</t>
        </is>
      </c>
      <c r="H10" s="117" t="inlineStr">
        <is>
          <t>敌人</t>
        </is>
      </c>
      <c r="I10" s="118" t="inlineStr">
        <is>
          <t>普通敌人、精英、Boss与敌人共用根</t>
        </is>
      </c>
      <c r="J10" s="119" t="inlineStr">
        <is>
          <t>3D-敌人</t>
        </is>
      </c>
    </row>
    <row r="11" ht="33.75" customHeight="1" s="74">
      <c r="A11" s="115" t="inlineStr">
        <is>
          <t>PRP</t>
        </is>
      </c>
      <c r="B11" s="116" t="inlineStr">
        <is>
          <t>场景道具</t>
        </is>
      </c>
      <c r="C11" s="115" t="inlineStr">
        <is>
          <t>facility / container / door / debris / light / switch</t>
        </is>
      </c>
      <c r="D11" s="115" t="inlineStr">
        <is>
          <t>assets/art/props/</t>
        </is>
      </c>
      <c r="E11" s="115" t="inlineStr">
        <is>
          <t>prp_{set}_{logic_id}_{state}_v{nnn}.{png|glb|tscn}</t>
        </is>
      </c>
      <c r="F11" s="115" t="inlineStr">
        <is>
          <t>PRP-BASE-WORKBENCH-IDLE</t>
        </is>
      </c>
      <c r="H11" s="117" t="inlineStr">
        <is>
          <t>武器</t>
        </is>
      </c>
      <c r="I11" s="118" t="inlineStr">
        <is>
          <t>枪械、近战武器与武器装配根</t>
        </is>
      </c>
      <c r="J11" s="119" t="inlineStr">
        <is>
          <t>3D-武器</t>
        </is>
      </c>
    </row>
    <row r="12" ht="33.75" customHeight="1" s="74">
      <c r="A12" s="115" t="inlineStr">
        <is>
          <t>UI</t>
        </is>
      </c>
      <c r="B12" s="115" t="inlineStr">
        <is>
          <t>UI</t>
        </is>
      </c>
      <c r="C12" s="115" t="inlineStr">
        <is>
          <t>screen / panel / icon / cursor</t>
        </is>
      </c>
      <c r="D12" s="115" t="inlineStr">
        <is>
          <t>assets/art/ui/</t>
        </is>
      </c>
      <c r="E12" s="115" t="inlineStr">
        <is>
          <t>ui_{screen}_{element}_{state}_v{nnn}.png</t>
        </is>
      </c>
      <c r="F12" s="115" t="inlineStr">
        <is>
          <t>UI-HUD-HP-CRITICAL</t>
        </is>
      </c>
      <c r="H12" s="117" t="inlineStr">
        <is>
          <t>物品</t>
        </is>
      </c>
      <c r="I12" s="118" t="inlineStr">
        <is>
          <t>拥有独立PackedScene的拾取物、消耗品、钥匙和掉落物</t>
        </is>
      </c>
      <c r="J12" s="119" t="inlineStr">
        <is>
          <t>3D-物品</t>
        </is>
      </c>
    </row>
    <row r="13" ht="33.75" customHeight="1" s="74">
      <c r="A13" s="115" t="inlineStr">
        <is>
          <t>VFX</t>
        </is>
      </c>
      <c r="B13" s="116" t="inlineStr">
        <is>
          <t>特效</t>
        </is>
      </c>
      <c r="C13" s="115" t="inlineStr">
        <is>
          <t>combat / status / environment</t>
        </is>
      </c>
      <c r="D13" s="115" t="inlineStr">
        <is>
          <t>assets/art/vfx/</t>
        </is>
      </c>
      <c r="E13" s="115" t="inlineStr">
        <is>
          <t>vfx_{system}_{effect}_{variant}_v{nnn}.{png|glb|tscn}</t>
        </is>
      </c>
      <c r="F13" s="115" t="inlineStr">
        <is>
          <t>VFX-PLAYER-DASH-TRAIL-A</t>
        </is>
      </c>
      <c r="H13" s="117" t="inlineStr">
        <is>
          <t>特效</t>
        </is>
      </c>
      <c r="I13" s="118" t="inlineStr">
        <is>
          <t>可独立实例化的3D战斗、环境和可见性特效</t>
        </is>
      </c>
      <c r="J13" s="119" t="inlineStr">
        <is>
          <t>3D-特效</t>
        </is>
      </c>
    </row>
    <row r="14" ht="33.75" customHeight="1" s="74">
      <c r="A14" s="115" t="inlineStr">
        <is>
          <t>AUD</t>
        </is>
      </c>
      <c r="B14" s="116" t="inlineStr">
        <is>
          <t>音效</t>
        </is>
      </c>
      <c r="C14" s="115" t="inlineStr">
        <is>
          <t>sfx / ambience / ui</t>
        </is>
      </c>
      <c r="D14" s="115" t="inlineStr">
        <is>
          <t>src/assets/audio/sfx/</t>
        </is>
      </c>
      <c r="E14" s="115" t="inlineStr">
        <is>
          <t>{event}_v{nnn}.{ogg|wav}</t>
        </is>
      </c>
      <c r="F14" s="115" t="inlineStr">
        <is>
          <t>AUD-SFX-PLAYER-DASH</t>
        </is>
      </c>
      <c r="H14" s="120" t="inlineStr">
        <is>
          <t>其他</t>
        </is>
      </c>
      <c r="I14" s="121" t="inlineStr">
        <is>
          <t>无法归入以上分类的独立3D Prefab</t>
        </is>
      </c>
      <c r="J14" s="122" t="inlineStr">
        <is>
          <t>3D-其他</t>
        </is>
      </c>
    </row>
    <row r="15" ht="48" customHeight="1" s="74">
      <c r="A15" s="123" t="inlineStr">
        <is>
          <t>AUD</t>
        </is>
      </c>
      <c r="B15" s="77" t="inlineStr">
        <is>
          <t>音乐</t>
        </is>
      </c>
      <c r="C15" s="123" t="inlineStr">
        <is>
          <t>bgm / loop / variant</t>
        </is>
      </c>
      <c r="D15" s="123" t="inlineStr">
        <is>
          <t>assets/audio/music/&lt;music_id&gt;/</t>
        </is>
      </c>
      <c r="E15" s="123" t="inlineStr">
        <is>
          <t>{music_id}_{variant}_v{nnn}.ogg</t>
        </is>
      </c>
      <c r="F15" s="123" t="inlineStr">
        <is>
          <t>AUD-BGM-TOWER-DEFAULT-A</t>
        </is>
      </c>
      <c r="G15" s="123" t="n"/>
      <c r="H15" s="77" t="inlineStr">
        <is>
          <t>基地资产包</t>
        </is>
      </c>
      <c r="I15" s="77" t="inlineStr">
        <is>
          <t>基地99层可独立导入、替换、导出或维护的 Blender 设施包；实体灯随所属设施包</t>
        </is>
      </c>
      <c r="J15" s="123" t="inlineStr">
        <is>
          <t>3D-设施</t>
        </is>
      </c>
    </row>
    <row r="16" ht="15" customHeight="1" s="74">
      <c r="A16" s="124" t="inlineStr">
        <is>
          <t>BPK</t>
        </is>
      </c>
      <c r="B16" s="73" t="inlineStr">
        <is>
          <t>基地资产包</t>
        </is>
      </c>
      <c r="C16" s="73" t="inlineStr">
        <is>
          <t>建筑结构包 / 地面系统包 / 东侧固定设施包 / 二楼阁楼设施包 / 阁楼下方固定设施包 / 仓库设施包 / 环境支持包</t>
        </is>
      </c>
      <c r="D16" s="124" t="inlineStr">
        <is>
          <t>source/art/blender/base_facility_layout/component_packages_v017/&lt;category&gt;/&lt;asset_slug&gt;/</t>
        </is>
      </c>
      <c r="E16" s="124" t="inlineStr">
        <is>
          <t>bpk_base99_{asset_slug}_visual_top3d_v001.{blend|glb|json}</t>
        </is>
      </c>
      <c r="F16" s="124" t="inlineStr">
        <is>
          <t>BPK-BASE99-ROLLUP-MAIN-DOOR</t>
        </is>
      </c>
    </row>
  </sheetData>
  <mergeCells count="3">
    <mergeCell ref="A3:F3"/>
    <mergeCell ref="A1:F2"/>
    <mergeCell ref="H4:J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9.550000000000001" customWidth="1" style="73" min="1" max="1"/>
    <col width="23.87" customWidth="1" style="73" min="2" max="2"/>
    <col width="40.58" customWidth="1" style="73" min="3" max="4"/>
    <col width="38.19" customWidth="1" style="73" min="5" max="5"/>
    <col width="33.42" customWidth="1" style="73" min="6" max="6"/>
    <col width="52.52" customWidth="1" style="73" min="7" max="7"/>
    <col width="14.33" customWidth="1" style="73" min="8" max="8"/>
  </cols>
  <sheetData>
    <row r="1" ht="24.75" customHeight="1" s="74">
      <c r="A1" s="105" t="inlineStr">
        <is>
          <t>新增、变体与弃用流程</t>
        </is>
      </c>
    </row>
    <row r="2" ht="12" customHeight="1" s="74"/>
    <row r="3" ht="22.5" customHeight="1" s="74">
      <c r="A3" s="106" t="inlineStr">
        <is>
          <t>目标：同一个逻辑对象只有一个稳定 AssetID；组件、状态和版本通过字段表达，不靠复制文件夹</t>
        </is>
      </c>
    </row>
    <row r="5" ht="31.5" customHeight="1" s="74">
      <c r="A5" s="81" t="inlineStr">
        <is>
          <t>步骤</t>
        </is>
      </c>
      <c r="B5" s="108" t="inlineStr">
        <is>
          <t>动作</t>
        </is>
      </c>
      <c r="C5" s="108" t="inlineStr">
        <is>
          <t>必须查询</t>
        </is>
      </c>
      <c r="D5" s="108" t="inlineStr">
        <is>
          <t>通过标准</t>
        </is>
      </c>
      <c r="E5" s="108" t="inlineStr">
        <is>
          <t>禁止事项</t>
        </is>
      </c>
      <c r="F5" s="108" t="inlineStr">
        <is>
          <t>示例输入</t>
        </is>
      </c>
      <c r="G5" s="108" t="inlineStr">
        <is>
          <t>示例输出</t>
        </is>
      </c>
      <c r="H5" s="125" t="inlineStr">
        <is>
          <t>责任字段</t>
        </is>
      </c>
    </row>
    <row r="6" ht="15" customHeight="1" s="74">
      <c r="A6" s="85" t="n">
        <v>1</v>
      </c>
      <c r="B6" s="86" t="inlineStr">
        <is>
          <t>需求归一化</t>
        </is>
      </c>
      <c r="C6" s="86" t="inlineStr">
        <is>
          <t>逻辑ID、中文名、别名</t>
        </is>
      </c>
      <c r="D6" s="86" t="inlineStr">
        <is>
          <t>能写出唯一用途与复用范围</t>
        </is>
      </c>
      <c r="E6" s="86" t="inlineStr">
        <is>
          <t>只凭外观起名</t>
        </is>
      </c>
      <c r="F6" s="86" t="inlineStr">
        <is>
          <t>新的玩家右手</t>
        </is>
      </c>
      <c r="G6" s="85" t="inlineStr">
        <is>
          <t>logic=player_capsule01; slot=hand_r</t>
        </is>
      </c>
      <c r="H6" s="85" t="inlineStr">
        <is>
          <t>E/F/Q</t>
        </is>
      </c>
    </row>
    <row r="7" ht="15" customHeight="1" s="74">
      <c r="A7" s="115" t="n">
        <v>2</v>
      </c>
      <c r="B7" s="116" t="inlineStr">
        <is>
          <t>四重查重</t>
        </is>
      </c>
      <c r="C7" s="115" t="inlineStr">
        <is>
          <t>AssetID、查重键、文件名、SHA-256</t>
        </is>
      </c>
      <c r="D7" s="115" t="inlineStr">
        <is>
          <t>S列=唯一；无同哈希</t>
        </is>
      </c>
      <c r="E7" s="116" t="inlineStr">
        <is>
          <t>看到不同文件名就重做</t>
        </is>
      </c>
      <c r="F7" s="115" t="inlineStr">
        <is>
          <t>hand_r / 主手 / 枪手</t>
        </is>
      </c>
      <c r="G7" s="116" t="inlineStr">
        <is>
          <t>复用 CHR-PLY-CAPSULE01-HAND-R-SIDE</t>
        </is>
      </c>
      <c r="H7" s="115" t="inlineStr">
        <is>
          <t>A/R/S/T</t>
        </is>
      </c>
    </row>
    <row r="8" ht="15" customHeight="1" s="74">
      <c r="A8" s="115" t="n">
        <v>3</v>
      </c>
      <c r="B8" s="116" t="inlineStr">
        <is>
          <t>分类与父子关系</t>
        </is>
      </c>
      <c r="C8" s="116" t="inlineStr">
        <is>
          <t>分类码表、变体父ID</t>
        </is>
      </c>
      <c r="D8" s="116" t="inlineStr">
        <is>
          <t>只有一个大类；变体指向父ID</t>
        </is>
      </c>
      <c r="E8" s="116" t="inlineStr">
        <is>
          <t>跨目录复制同图</t>
        </is>
      </c>
      <c r="F8" s="116" t="inlineStr">
        <is>
          <t>受伤版头壳</t>
        </is>
      </c>
      <c r="G8" s="116" t="inlineStr">
        <is>
          <t>同 AssetID + state=hurt 或父子变体</t>
        </is>
      </c>
      <c r="H8" s="115" t="inlineStr">
        <is>
          <t>C/D/G/I</t>
        </is>
      </c>
    </row>
    <row r="9" ht="15" customHeight="1" s="74">
      <c r="A9" s="115" t="n">
        <v>4</v>
      </c>
      <c r="B9" s="116" t="inlineStr">
        <is>
          <t>命名</t>
        </is>
      </c>
      <c r="C9" s="116" t="inlineStr">
        <is>
          <t>前缀、逻辑ID、组件、视角、版本</t>
        </is>
      </c>
      <c r="D9" s="116" t="inlineStr">
        <is>
          <t>小写 snake_case 文件名；ID稳定</t>
        </is>
      </c>
      <c r="E9" s="116" t="inlineStr">
        <is>
          <t>空格/中文文件名/final_final</t>
        </is>
      </c>
      <c r="F9" s="116" t="inlineStr">
        <is>
          <t>玩家头壳 v2</t>
        </is>
      </c>
      <c r="G9" s="115" t="inlineStr">
        <is>
          <t>chr_player_capsule01_head_side_v002.png</t>
        </is>
      </c>
      <c r="H9" s="115" t="inlineStr">
        <is>
          <t>A/M/O</t>
        </is>
      </c>
    </row>
    <row r="10" ht="15" customHeight="1" s="74">
      <c r="A10" s="115" t="n">
        <v>5</v>
      </c>
      <c r="B10" s="116" t="inlineStr">
        <is>
          <t>组件制作</t>
        </is>
      </c>
      <c r="C10" s="116" t="inlineStr">
        <is>
          <t>角色/房间/家具尺寸/枪械/怪物/灯具共用根</t>
        </is>
      </c>
      <c r="D10" s="116" t="inlineStr">
        <is>
          <t>组件独立；3D用配置与父子变体</t>
        </is>
      </c>
      <c r="E10" s="116" t="inlineStr">
        <is>
          <t>关卡内复制枪表/房间/怪物根</t>
        </is>
      </c>
      <c r="F10" s="115" t="inlineStr">
        <is>
          <t>large可搜索柜</t>
        </is>
      </c>
      <c r="G10" s="115" t="inlineStr">
        <is>
          <t>seed/暗室开关/遮挡视野/七怪/59组合/撤离 PASS</t>
        </is>
      </c>
      <c r="H10" s="115" t="inlineStr">
        <is>
          <t>F/N/O/X</t>
        </is>
      </c>
    </row>
    <row r="11" ht="15" customHeight="1" s="74">
      <c r="A11" s="115" t="n">
        <v>6</v>
      </c>
      <c r="B11" s="116" t="inlineStr">
        <is>
          <t>验收</t>
        </is>
      </c>
      <c r="C11" s="116" t="inlineStr">
        <is>
          <t>透明边缘或3D灯光/雾/碰撞/状态/玩法逻辑/节点预算</t>
        </is>
      </c>
      <c r="D11" s="116" t="inlineStr">
        <is>
          <t>真实游戏镜头 + 玩法专项 + 性能专项通过</t>
        </is>
      </c>
      <c r="E11" s="116" t="inlineStr">
        <is>
          <t>只看母版或编辑器预览</t>
        </is>
      </c>
      <c r="F11" s="115" t="inlineStr">
        <is>
          <t>3D主题关卡</t>
        </is>
      </c>
      <c r="G11" s="115" t="inlineStr">
        <is>
          <t>seed/暗室开关/遮挡视野/七怪/56组合/撤离 PASS</t>
        </is>
      </c>
      <c r="H11" s="115" t="inlineStr">
        <is>
          <t>K/P/X</t>
        </is>
      </c>
    </row>
    <row r="12" ht="15" customHeight="1" s="74">
      <c r="A12" s="115" t="n">
        <v>7</v>
      </c>
      <c r="B12" s="116" t="inlineStr">
        <is>
          <t>登记与发布</t>
        </is>
      </c>
      <c r="C12" s="116" t="inlineStr">
        <is>
          <t>路径、尺寸、版本、哈希、许可</t>
        </is>
      </c>
      <c r="D12" s="116" t="inlineStr">
        <is>
          <t>字段齐全；更新时间为当天</t>
        </is>
      </c>
      <c r="E12" s="116" t="inlineStr">
        <is>
          <t>覆盖旧版本；删除历史来源</t>
        </is>
      </c>
      <c r="F12" s="116" t="inlineStr">
        <is>
          <t>通过的 PNG</t>
        </is>
      </c>
      <c r="G12" s="115" t="inlineStr">
        <is>
          <t>K=已完成，登记 SHA-256</t>
        </is>
      </c>
      <c r="H12" s="115" t="inlineStr">
        <is>
          <t>K–W</t>
        </is>
      </c>
    </row>
    <row r="13" ht="15" customHeight="1" s="74">
      <c r="A13" s="115" t="n">
        <v>8</v>
      </c>
      <c r="B13" s="116" t="inlineStr">
        <is>
          <t>弃用</t>
        </is>
      </c>
      <c r="C13" s="116" t="inlineStr">
        <is>
          <t>引用搜索、替代 AssetID</t>
        </is>
      </c>
      <c r="D13" s="115" t="inlineStr">
        <is>
          <t>K=弃用；备注写替代项</t>
        </is>
      </c>
      <c r="E13" s="116" t="inlineStr">
        <is>
          <t>直接删除仍被引用文件</t>
        </is>
      </c>
      <c r="F13" s="116" t="inlineStr">
        <is>
          <t>旧人类草案</t>
        </is>
      </c>
      <c r="G13" s="116" t="inlineStr">
        <is>
          <t>不入库或标弃用；不得误用</t>
        </is>
      </c>
      <c r="H13" s="115" t="inlineStr">
        <is>
          <t>K/X</t>
        </is>
      </c>
    </row>
    <row r="17" ht="15" customHeight="1" s="74">
      <c r="A17" s="126" t="inlineStr">
        <is>
          <t>命名正则：文件名 ^[a-z0-9]+(?:_[a-z0-9]+)*_v[0-9]{3}\.(png|webp|svg|wav|ogg|glb|gltf|tres|tscn)$ ｜ AssetID ^[A-Z0-9]+(?:-[A-Z0-9]+)+$</t>
        </is>
      </c>
    </row>
  </sheetData>
  <mergeCells count="3">
    <mergeCell ref="A1:H2"/>
    <mergeCell ref="A3:H3"/>
    <mergeCell ref="A17:H1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6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73" min="1" max="1"/>
    <col width="15.51" customWidth="1" style="73" min="2" max="2"/>
    <col width="28.65" customWidth="1" style="73" min="3" max="3"/>
    <col width="33.42" customWidth="1" style="73" min="4" max="4"/>
    <col width="71.62" customWidth="1" style="73" min="5" max="5"/>
    <col width="57.29" customWidth="1" style="73" min="6" max="6"/>
    <col width="14.33" customWidth="1" style="73" min="7" max="7"/>
    <col width="28.65" customWidth="1" style="73" min="8" max="8"/>
  </cols>
  <sheetData>
    <row r="1" ht="24.75" customHeight="1" s="74">
      <c r="A1" s="127" t="inlineStr">
        <is>
          <t>资产台账版本记录 · 游戏设计文档 v0.1</t>
        </is>
      </c>
    </row>
    <row r="2" ht="12" customHeight="1" s="74"/>
    <row r="3" ht="22.5" customHeight="1" s="74">
      <c r="A3" s="76" t="inlineStr">
        <is>
          <t>只记录当前有效基线；历史变更通过版本控制追溯</t>
        </is>
      </c>
    </row>
    <row r="4" ht="15" customHeight="1" s="74">
      <c r="A4" s="123" t="n"/>
      <c r="B4" s="123" t="n"/>
      <c r="C4" s="123" t="n"/>
      <c r="D4" s="123" t="n"/>
      <c r="E4" s="123" t="n"/>
      <c r="F4" s="123" t="n"/>
      <c r="G4" s="123" t="n"/>
    </row>
    <row r="5" ht="31.5" customHeight="1" s="74">
      <c r="A5" s="81" t="inlineStr">
        <is>
          <t>台账版本</t>
        </is>
      </c>
      <c r="B5" s="108" t="inlineStr">
        <is>
          <t>日期</t>
        </is>
      </c>
      <c r="C5" s="108" t="inlineStr">
        <is>
          <t>变更类型</t>
        </is>
      </c>
      <c r="D5" s="108" t="inlineStr">
        <is>
          <t>范围</t>
        </is>
      </c>
      <c r="E5" s="108" t="inlineStr">
        <is>
          <t>说明</t>
        </is>
      </c>
      <c r="F5" s="108" t="inlineStr">
        <is>
          <t>兼容性</t>
        </is>
      </c>
      <c r="G5" s="125" t="inlineStr">
        <is>
          <t>负责人</t>
        </is>
      </c>
    </row>
    <row r="6" ht="45.75" customHeight="1" s="74">
      <c r="A6" s="85" t="inlineStr">
        <is>
          <t>v0.1.0</t>
        </is>
      </c>
      <c r="B6" s="128" t="n">
        <v>46236</v>
      </c>
      <c r="C6" s="86" t="inlineStr">
        <is>
          <t>游戏设计文档 v0.1</t>
        </is>
      </c>
      <c r="D6" s="86" t="inlineStr">
        <is>
          <t>全项目</t>
        </is>
      </c>
      <c r="E6" s="86" t="inlineStr">
        <is>
          <t>统一3D塔楼主线、测试目录、当前资产路径、状态口径和投影契约；清理历史制作版本。</t>
        </is>
      </c>
      <c r="F6" s="86" t="inlineStr">
        <is>
          <t>只保留当前运行资产；历史追溯使用版本控制。</t>
        </is>
      </c>
      <c r="G6" s="85" t="inlineStr">
        <is>
          <t>Codex</t>
        </is>
      </c>
    </row>
    <row r="7" ht="45.75" customHeight="1" s="74">
      <c r="A7" s="123" t="inlineStr">
        <is>
          <t>v0.1.1</t>
        </is>
      </c>
      <c r="B7" s="129" t="n">
        <v>46240</v>
      </c>
      <c r="C7" s="77" t="inlineStr">
        <is>
          <t>角色武器表现调整</t>
        </is>
      </c>
      <c r="D7" s="123" t="inlineStr">
        <is>
          <t>player_capsule01_3d</t>
        </is>
      </c>
      <c r="E7" s="77" t="inlineStr">
        <is>
          <t>新增主左/副右背部收纳挂点，枪口统一朝下；复用既有武器模型与AssetID。</t>
        </is>
      </c>
      <c r="F7" s="77" t="inlineStr">
        <is>
          <t>不改武器实例、碰撞、伤害或切枪规则。</t>
        </is>
      </c>
      <c r="G7" s="123" t="inlineStr">
        <is>
          <t>Codex</t>
        </is>
      </c>
    </row>
    <row r="8" ht="45.75" customHeight="1" s="74">
      <c r="A8" s="123" t="inlineStr">
        <is>
          <t>v0.1.2</t>
        </is>
      </c>
      <c r="B8" s="129" t="n">
        <v>46241</v>
      </c>
      <c r="C8" s="77" t="inlineStr">
        <is>
          <t>音频与体验一致性</t>
        </is>
      </c>
      <c r="D8" s="123" t="inlineStr">
        <is>
          <t>31项音效/UI/玩家死亡</t>
        </is>
      </c>
      <c r="E8" s="77" t="inlineStr">
        <is>
          <t>登记OGG运行资产与哈希；更新包裹/贩卖机UI版本和死亡击飞回弹状态。</t>
        </is>
      </c>
      <c r="F8" s="123" t="inlineStr">
        <is>
          <t>WAV母版保留；运行时改用版本化OGG；不改变稳定事件键和AssetID。</t>
        </is>
      </c>
      <c r="G8" s="123" t="inlineStr">
        <is>
          <t>Codex</t>
        </is>
      </c>
    </row>
    <row r="9" ht="48" customHeight="1" s="74">
      <c r="A9" s="123" t="inlineStr">
        <is>
          <t>v0.1.6</t>
        </is>
      </c>
      <c r="B9" s="129" t="n">
        <v>46244</v>
      </c>
      <c r="C9" s="77" t="inlineStr">
        <is>
          <t>大型近战与动作状态机</t>
        </is>
      </c>
      <c r="D9" s="123" t="inlineStr">
        <is>
          <t>2武器/4动作态/三段连击</t>
        </is>
      </c>
      <c r="E9" s="77" t="inlineStr">
        <is>
          <t>登记巨型工业断刃、攻城裂甲斧程序原型；新增近战ready/windup/active/recovery动作契约与专项验收。</t>
        </is>
      </c>
      <c r="F9" s="77" t="inlineStr">
        <is>
          <t>不改变玩家八态移动机、碰撞体或WeaponInstance稳定身份；近战根无子弹槽。</t>
        </is>
      </c>
      <c r="G9" s="123" t="inlineStr">
        <is>
          <t>Codex</t>
        </is>
      </c>
    </row>
    <row r="10" ht="57.75" customHeight="1" s="74">
      <c r="A10" s="123" t="inlineStr">
        <is>
          <t>v0.1.7</t>
        </is>
      </c>
      <c r="B10" s="129" t="n">
        <v>46244</v>
      </c>
      <c r="C10" s="77" t="inlineStr">
        <is>
          <t>近战打击VFX与音频反馈</t>
        </is>
      </c>
      <c r="D10" s="77" t="inlineStr">
        <is>
          <t>战斗VFX/2音频/2近战</t>
        </is>
      </c>
      <c r="E10" s="77" t="inlineStr">
        <is>
          <t>复用VFX-COMBAT-KIT-3D扩展slash/melee_impact；登记melee_swing/melee_impact OGG与母版哈希；同步动作状态、武器反馈和专项验收。</t>
        </is>
      </c>
      <c r="F10" s="77" t="inlineStr">
        <is>
          <t>不改命中判定、伤害或稳定武器ID；VFX无碰撞；多目标冲击主音去重。</t>
        </is>
      </c>
      <c r="G10" s="123" t="inlineStr">
        <is>
          <t>Codex</t>
        </is>
      </c>
    </row>
    <row r="11" ht="57.75" customHeight="1" s="74">
      <c r="A11" s="123" t="inlineStr">
        <is>
          <t>v0.1.8</t>
        </is>
      </c>
      <c r="B11" s="129" t="n">
        <v>46244</v>
      </c>
      <c r="C11" s="77" t="inlineStr">
        <is>
          <t>初级近战与统一枪械配件槽</t>
        </is>
      </c>
      <c r="D11" s="123" t="inlineStr">
        <is>
          <t>1武器/6公共槽/7枪兼容矩阵</t>
        </is>
      </c>
      <c r="E11" s="77" t="inlineStr">
        <is>
          <t>登记基地初级棒球棍；所有枪显示瞄具/枪口/弹匣/枪托/战术/特性统一位置，不支持槽禁用；配件可单拆，整枪移动保留装配树。</t>
        </is>
      </c>
      <c r="F11" s="123" t="inlineStr">
        <is>
          <t>WeaponInstance schema v2兼容v1 MOUNT旧快照；不改命运永久槽或内部递归挂载。</t>
        </is>
      </c>
      <c r="G11" s="123" t="inlineStr">
        <is>
          <t>Codex</t>
        </is>
      </c>
    </row>
    <row r="12" ht="23.85" customHeight="1" s="74">
      <c r="A12" s="123" t="inlineStr">
        <is>
          <t>v0.1.9</t>
        </is>
      </c>
      <c r="B12" s="130" t="n">
        <v>46244</v>
      </c>
      <c r="C12" s="77" t="inlineStr">
        <is>
          <t>正式基地设施与独立枪械美术接入</t>
        </is>
      </c>
      <c r="D12" s="123" t="inlineStr">
        <is>
          <t>5设施/18枪/统一挂点</t>
        </is>
      </c>
      <c r="E12" s="77" t="inlineStr">
        <is>
          <t>基地接入贩卖机、情报台、工作台；18把枪拆为独立资产，7把映射现有蓝图，其余入未来资产池。</t>
        </is>
      </c>
      <c r="F12" s="77" t="inlineStr">
        <is>
          <t>不改玩法稳定ID；枪械统一Grip原点/local -Z枪口与8类挂点；旧程序模型保留为回退。</t>
        </is>
      </c>
      <c r="G12" s="123" t="inlineStr">
        <is>
          <t>Codex</t>
        </is>
      </c>
    </row>
    <row r="13" ht="60" customHeight="1" s="74">
      <c r="A13" s="123" t="inlineStr">
        <is>
          <t>v0.1.8</t>
        </is>
      </c>
      <c r="B13" s="130" t="n">
        <v>46245</v>
      </c>
      <c r="C13" s="123" t="inlineStr">
        <is>
          <t>??????????</t>
        </is>
      </c>
      <c r="D13" s="123" t="inlineStr">
        <is>
          <t>vault / fate_collection</t>
        </is>
      </c>
      <c r="E13" s="123" t="inlineStr">
        <is>
          <t>????????????????????????????????????????????????</t>
        </is>
      </c>
      <c r="F13" s="123" t="inlineStr">
        <is>
          <t>??facility_id???????????????????????</t>
        </is>
      </c>
      <c r="G13" s="123" t="inlineStr">
        <is>
          <t>Codex</t>
        </is>
      </c>
    </row>
    <row r="14" ht="54" customHeight="1" s="74">
      <c r="A14" s="123" t="inlineStr">
        <is>
          <t>v0.1.10</t>
        </is>
      </c>
      <c r="B14" s="123" t="n">
        <v>46247</v>
      </c>
      <c r="C14" s="123" t="inlineStr">
        <is>
          <t>Boss/场地/手电筒资产收口</t>
        </is>
      </c>
      <c r="D14" s="123" t="inlineStr">
        <is>
          <t>3 Boss / 3场地 / 3音频</t>
        </is>
      </c>
      <c r="E14" s="77" t="inlineStr">
        <is>
          <t>登记95/90/85层独立Boss和竞技场GLB、三条手电筒OGG及母版；记录永久结构代理与高模流式边界。</t>
        </is>
      </c>
      <c r="F14" s="77" t="inlineStr">
        <is>
          <t>稳定玩法ID不变；楼板、关卡墙和塔楼外墙永久可见；仅正式高模视野外流式。</t>
        </is>
      </c>
      <c r="G14" s="123" t="inlineStr">
        <is>
          <t>Codex</t>
        </is>
      </c>
    </row>
    <row r="15" ht="72" customHeight="1" s="74">
      <c r="A15" s="123" t="inlineStr">
        <is>
          <t>v0.1.11</t>
        </is>
      </c>
      <c r="B15" s="129" t="n">
        <v>46252</v>
      </c>
      <c r="C15" s="77" t="inlineStr">
        <is>
          <t>基地99层3D模块资产管理</t>
        </is>
      </c>
      <c r="D15" s="77" t="inlineStr">
        <is>
          <t>模块目录/5项资产/普通墙表现替换</t>
        </is>
      </c>
      <c r="E15" s="77" t="inlineStr">
        <is>
          <t>建立3D source/components/runtime目录与命名契约；登记基地套件、普通墙、带门墙和两种基地地板；普通墙切换为正式GLB。</t>
        </is>
      </c>
      <c r="F15" s="77" t="inlineStr">
        <is>
          <t>只替换99F普通墙表现；14段槽位、0.30m碰撞、两个带门墙、门状态机、寻路和摄像机逻辑不变。</t>
        </is>
      </c>
      <c r="G15" s="123" t="inlineStr">
        <is>
          <t>Codex</t>
        </is>
      </c>
    </row>
    <row r="16" ht="72" customHeight="1" s="74">
      <c r="A16" s="123" t="inlineStr">
        <is>
          <t>v0.1.12</t>
        </is>
      </c>
      <c r="B16" s="129" t="n">
        <v>46252</v>
      </c>
      <c r="C16" s="123" t="inlineStr">
        <is>
          <t>3D Prefab总控与原生组合规则</t>
        </is>
      </c>
      <c r="D16" s="123" t="inlineStr">
        <is>
          <t>3D资产管理/基地99层4项Prefab映射</t>
        </is>
      </c>
      <c r="E16" s="77" t="inlineStr">
        <is>
          <t>新增简化3D Prefab总控，记录Prefab、GLB、功能脚本与碰撞归属；现有3D规范补充Godot原生组合和按需建模规则。</t>
        </is>
      </c>
      <c r="F16" s="77" t="inlineStr">
        <is>
          <t>不改变Godot运行结构；不新增未来空壳模块；当前基地普通墙、门墙和地板引用保持不变。</t>
        </is>
      </c>
      <c r="G16" s="123" t="inlineStr">
        <is>
          <t>Codex</t>
        </is>
      </c>
    </row>
    <row r="17" ht="51.75" customHeight="1" s="74">
      <c r="A17" s="123" t="inlineStr">
        <is>
          <t>v0.1.13</t>
        </is>
      </c>
      <c r="B17" s="129" t="n">
        <v>46252</v>
      </c>
      <c r="C17" s="123" t="inlineStr">
        <is>
          <t>3D Prefab资产分类</t>
        </is>
      </c>
      <c r="D17" s="123" t="inlineStr">
        <is>
          <t>Prefab总控/分类与编码/基地99层4项</t>
        </is>
      </c>
      <c r="E17" s="123" t="inlineStr">
        <is>
          <t>Prefab总控新增独立分类列和下拉规则；分类与编码页登记场景通用组件、设施组件、道具等固定分类；现有基地模块归入场景通用组件。</t>
        </is>
      </c>
      <c r="F17" s="77" t="inlineStr">
        <is>
          <t>只更新资产管理分类，不改变AssetID、Prefab路径、模型、脚本、碰撞或Godot运行逻辑。</t>
        </is>
      </c>
      <c r="G17" s="123" t="inlineStr">
        <is>
          <t>Codex</t>
        </is>
      </c>
    </row>
    <row r="18" ht="49.5" customHeight="1" s="74">
      <c r="A18" s="123" t="inlineStr">
        <is>
          <t>v0.1.14</t>
        </is>
      </c>
      <c r="B18" s="129" t="n">
        <v>46252</v>
      </c>
      <c r="C18" s="77" t="inlineStr">
        <is>
          <t>全项目3D Prefab扫描与分类分页</t>
        </is>
      </c>
      <c r="D18" s="123" t="inlineStr">
        <is>
          <t>90个Prefab/9分类分页/补登记35项</t>
        </is>
      </c>
      <c r="E18" s="77" t="inlineStr">
        <is>
          <t>扫描项目实际3D PackedScene；总控改为索引；按场景通用、设施、道具、角色、敌人、武器、物品、特效、其他建立独立分页；补齐未登记Prefab身份。</t>
        </is>
      </c>
      <c r="F18" s="77" t="inlineStr">
        <is>
          <t>只更新资产账本与管理规则；不修改Prefab、GLB、脚本、碰撞或Godot运行逻辑。</t>
        </is>
      </c>
      <c r="G18" s="123" t="inlineStr">
        <is>
          <t>Codex</t>
        </is>
      </c>
    </row>
    <row r="19" ht="51.75" customHeight="1" s="74">
      <c r="A19" s="123" t="inlineStr">
        <is>
          <t>v0.1.15</t>
        </is>
      </c>
      <c r="B19" s="123" t="n">
        <v>46252</v>
      </c>
      <c r="C19" s="77" t="inlineStr">
        <is>
          <t>基地99层九件模块正式接入</t>
        </is>
      </c>
      <c r="D19" s="123" t="inlineStr">
        <is>
          <t>9 Prefab / 9 GLB / 98个3D Prefab</t>
        </is>
      </c>
      <c r="E19" s="77" t="inlineStr">
        <is>
          <t>接入两种地板、三种墙、滑升门、7米楼板、L型楼梯和外门小楼梯；记录外部碰撞、门逻辑、不投影及底部摄像机净空规则。</t>
        </is>
      </c>
      <c r="F19" s="77" t="inlineStr">
        <is>
          <t>只替换表现并复用Godot原生组合；门、房间、碰撞和99→98层摄像机规则保持稳定。</t>
        </is>
      </c>
      <c r="G19" s="123" t="inlineStr">
        <is>
          <t>Codex</t>
        </is>
      </c>
    </row>
    <row r="20" ht="90" customHeight="1" s="74">
      <c r="A20" s="123" t="inlineStr">
        <is>
          <t>v0.1.16</t>
        </is>
      </c>
      <c r="B20" s="123" t="n">
        <v>46252</v>
      </c>
      <c r="C20" s="77" t="inlineStr">
        <is>
          <t>基地99/100层布局与楼梯碰撞校正</t>
        </is>
      </c>
      <c r="D20" s="123" t="inlineStr">
        <is>
          <t>99层14普通墙/100层开洞36块/3个可编辑结构Prefab</t>
        </is>
      </c>
      <c r="E20" s="77" t="inlineStr">
        <is>
          <t>按Blender母版校正楼板、L梯和外门小梯坐标；99层移除窗墙；100层楼板与承重碰撞开6×6中庭；楼梯改为可行走简化坡面。</t>
        </is>
      </c>
      <c r="F20" s="77" t="inlineStr">
        <is>
          <t>表现与碰撞保留Prefab分工；门、设施、房间与99→98层逻辑不改；结构组件可在主场景tscn直接摆放。</t>
        </is>
      </c>
      <c r="G20" s="123" t="inlineStr">
        <is>
          <t>Codex</t>
        </is>
      </c>
    </row>
    <row r="21" ht="85.5" customHeight="1" s="74">
      <c r="A21" s="123" t="inlineStr">
        <is>
          <t>v0.1.17</t>
        </is>
      </c>
      <c r="B21" s="123" t="n">
        <v>46252</v>
      </c>
      <c r="C21" s="77" t="inlineStr">
        <is>
          <t>基地100层上层围护与18米封顶</t>
        </is>
      </c>
      <c r="D21" s="123" t="inlineStr">
        <is>
          <t>1个组合Prefab/24块墙/36块封顶/9片结构碰撞</t>
        </is>
      </c>
      <c r="E21" s="77" t="inlineStr">
        <is>
          <t>按Blender母版加入9—18米上层围护：北侧中间4窗、其余19普通墙、东侧1门墙；18米复用5米地板模块封顶。</t>
        </is>
      </c>
      <c r="F21" s="77" t="inlineStr">
        <is>
          <t>新增组合仅负责表现与结构碰撞；99层14普通墙、2功能门、设施、中庭开洞和摄像机规则不变；全部不投影。</t>
        </is>
      </c>
      <c r="G21" s="123" t="inlineStr">
        <is>
          <t>Codex</t>
        </is>
      </c>
    </row>
    <row r="22" ht="72" customHeight="1" s="74">
      <c r="A22" s="123" t="inlineStr">
        <is>
          <t>v0.1.18</t>
        </is>
      </c>
      <c r="B22" s="123" t="n">
        <v>46252</v>
      </c>
      <c r="C22" s="77" t="inlineStr">
        <is>
          <t>场景组件真实投影规则</t>
        </is>
      </c>
      <c r="D22" s="77" t="inlineStr">
        <is>
          <t>基地墙/地板/门/楼板/楼梯/封顶/设施模型</t>
        </is>
      </c>
      <c r="E22" s="77" t="inlineStr">
        <is>
          <t>统一cast_shadow=ON；封顶阻挡室外光；中央灯开关形成真实明暗切换。</t>
        </is>
      </c>
      <c r="F22" s="77" t="inlineStr">
        <is>
          <t>只改渲染投影，不改碰撞、门、设施、楼层功能；纯VFX/光池/玩家/UI不纳入场景模型规则。</t>
        </is>
      </c>
      <c r="G22" s="123" t="inlineStr">
        <is>
          <t>Codex</t>
        </is>
      </c>
    </row>
    <row r="23" ht="78" customHeight="1" s="74">
      <c r="A23" s="123" t="inlineStr">
        <is>
          <t>v0.1.19</t>
        </is>
      </c>
      <c r="B23" s="129" t="n">
        <v>46254</v>
      </c>
      <c r="C23" s="77" t="inlineStr">
        <is>
          <t>基地系统/时间/Avatar/3D流程收口</t>
        </is>
      </c>
      <c r="D23" s="123" t="inlineStr">
        <is>
          <t>6项资产/3项Skill/5米结构/11设施</t>
        </is>
      </c>
      <c r="E23" s="77" t="inlineStr">
        <is>
          <t>平台改为5米并联动两类楼梯与栏杆碰撞；新增物理楼层权威、时间日夜、基地能源恢复舱、主页面、衣柜、脱困和1.5米角色母版。</t>
        </is>
      </c>
      <c r="F23" s="77" t="inlineStr">
        <is>
          <t>视觉替换不改变原门、设施、玩家碰撞和战斗脚本；旧Z7/H2资产保留回滚；新Skill草稿未安装。</t>
        </is>
      </c>
      <c r="G23" s="123" t="inlineStr">
        <is>
          <t>Codex</t>
        </is>
      </c>
    </row>
    <row r="24" ht="99.75" customHeight="1" s="74">
      <c r="A24" s="123" t="inlineStr">
        <is>
          <t>v0.1.20</t>
        </is>
      </c>
      <c r="B24" s="129" t="n">
        <v>46261</v>
      </c>
      <c r="C24" s="77" t="inlineStr">
        <is>
          <t>首只唯一精英正式资产</t>
        </is>
      </c>
      <c r="D24" s="123" t="inlineStr">
        <is>
          <t>1 Blend / 1 GLB / 1 Prefab / 98—96F投放</t>
        </is>
      </c>
      <c r="E24" s="77" t="inlineStr">
        <is>
          <t>登记背枪的裂口爬虫独立模型、四材质、五类语义组件、命名血条和表现/碰撞解耦。</t>
        </is>
      </c>
      <c r="F24" s="77" t="inlineStr">
        <is>
          <t>稳定elite_id、AI、生命、伤害、掉落、跨局档案与基础碰撞不变；其余11只不投放。</t>
        </is>
      </c>
      <c r="G24" s="123" t="inlineStr">
        <is>
          <t>Codex</t>
        </is>
      </c>
    </row>
    <row r="25" ht="114.75" customHeight="1" s="74">
      <c r="A25" s="123" t="inlineStr">
        <is>
          <t>v0.1.21</t>
        </is>
      </c>
      <c r="B25" s="129" t="n">
        <v>46262</v>
      </c>
      <c r="C25" s="123" t="inlineStr">
        <is>
          <t>99F阁楼平台闪面与横向门板阻挡源资产修复</t>
        </is>
      </c>
      <c r="D25" s="123" t="inlineStr">
        <is>
          <t>2 Blend / 2 GLB / 2 Prefab / 2资产登记</t>
        </is>
      </c>
      <c r="E25" s="77" t="inlineStr">
        <is>
          <t>平台承重皮内收0.15米消除四边共面；横向门板显式保存三面永久碰撞并通过六条物理射线。</t>
        </is>
      </c>
      <c r="F25" s="77" t="inlineStr">
        <is>
          <t>保留5米行走面、既有楼板/栏杆碰撞、位置与旋转；v002全套保留回滚。</t>
        </is>
      </c>
      <c r="G25" s="123" t="inlineStr">
        <is>
          <t>Codex</t>
        </is>
      </c>
    </row>
    <row r="26" ht="117.75" customHeight="1" s="74">
      <c r="A26" s="123" t="inlineStr">
        <is>
          <t>v0.1.22</t>
        </is>
      </c>
      <c r="B26" s="123" t="n">
        <v>46262</v>
      </c>
      <c r="C26" s="77" t="inlineStr">
        <is>
          <t>场景与设施公共色盘合并</t>
        </is>
      </c>
      <c r="D26" s="123" t="inlineStr">
        <is>
          <t>35个Blend / 44个GLB / 51份重复贴图 / 2项Skill</t>
        </is>
      </c>
      <c r="E26" s="123" t="inlineStr">
        <is>
          <t>Blender母版统一外链固定色盘；GLB移除嵌图；Godot后导入脚本统一绑定；删除组件目录重复PNG。</t>
        </is>
      </c>
      <c r="F26" s="77" t="inlineStr">
        <is>
          <t>不改网格、UV、碰撞、Prefab、AssetID与玩法逻辑；旧版本GLB同样采用统一运行时贴图。</t>
        </is>
      </c>
      <c r="G26" s="123" t="inlineStr">
        <is>
          <t>Codex</t>
        </is>
      </c>
    </row>
    <row r="27" ht="117.75" customHeight="1" s="74">
      <c r="A27" s="123" t="inlineStr">
        <is>
          <t>v0.1.23</t>
        </is>
      </c>
      <c r="B27" s="123" t="n">
        <v>46265</v>
      </c>
      <c r="C27" s="77" t="inlineStr">
        <is>
          <t>基地设施交互与天台90×80资产对齐</t>
        </is>
      </c>
      <c r="D27" s="123" t="inlineStr">
        <is>
          <t>2项交互修复 / 2项设施移除 / 1个Blend / 1个GLB / 1个Prefab</t>
        </is>
      </c>
      <c r="E27" s="77" t="inlineStr">
        <is>
          <t>交互区域改向房间中央；移除命运占卜屋和基地管理终端；按100F真实18×16网格重制天台并为基地与楼梯间留空。</t>
        </is>
      </c>
      <c r="F27" s="77" t="inlineStr">
        <is>
          <t>不改变远征情报室与枪械工坊的位置、旋转和缩放；天台玩法碰撞继续由TowerFloorStage3D持有；v011保留回滚。</t>
        </is>
      </c>
      <c r="G27" s="123" t="inlineStr">
        <is>
          <t>Codex</t>
        </is>
      </c>
    </row>
    <row r="28" ht="117.75" customHeight="1" s="74">
      <c r="A28" s="123" t="inlineStr">
        <is>
          <t>v0.1.24</t>
        </is>
      </c>
      <c r="B28" s="123" t="n">
        <v>46265</v>
      </c>
      <c r="C28" s="77" t="inlineStr">
        <is>
          <t>天台东侧生活聚落集中布局</t>
        </is>
      </c>
      <c r="D28" s="123" t="inlineStr">
        <is>
          <t>1个Blend / 1个GLB / 1个Prefab / 1项聚落范围门禁</t>
        </is>
      </c>
      <c r="E28" s="77" t="inlineStr">
        <is>
          <t>将生活、种植、能源、供水、通信和杂物集中到东侧24×67米区域；增加餐食、洗衣、晾晒、串灯、盆栽和木板生活动线。</t>
        </is>
      </c>
      <c r="F28" s="77" t="inlineStr">
        <is>
          <t>不改90×80米地表、234格、基地中庭、西侧楼梯间、根缩放及碰撞归属；v012保留回滚。</t>
        </is>
      </c>
      <c r="G28" s="123" t="inlineStr">
        <is>
          <t>Codex</t>
        </is>
      </c>
    </row>
    <row r="29" ht="84" customHeight="1" s="74">
      <c r="A29" s="123" t="inlineStr">
        <is>
          <t>v0.1.25</t>
        </is>
      </c>
      <c r="B29" s="123" t="n">
        <v>46265</v>
      </c>
      <c r="C29" s="77" t="inlineStr">
        <is>
          <t>天台部件细分与独立阻挡</t>
        </is>
      </c>
      <c r="D29" s="123" t="inlineStr">
        <is>
          <t>1个Blend / 1个GLB / 1个Prefab / 64个组件目录 / 34个独立阻挡</t>
        </is>
      </c>
      <c r="E29" s="77" t="inlineStr">
        <is>
          <t>将沙发、桌子、桌面收音机及能源/种植/通信设施拆分到独立语义目录；增加Blender阻挡代理与Godot独立StaticBody3D。</t>
        </is>
      </c>
      <c r="F29" s="77" t="inlineStr">
        <is>
          <t>不改东侧聚落布局、90×80米地表、234格、基地中庭、西侧楼梯间及根缩放；v013保留回滚。</t>
        </is>
      </c>
      <c r="G29" s="123" t="inlineStr">
        <is>
          <t>Codex</t>
        </is>
      </c>
    </row>
    <row r="30" ht="117.75" customHeight="1" s="74">
      <c r="A30" s="123" t="inlineStr">
        <is>
          <t>v0.1.26</t>
        </is>
      </c>
      <c r="B30" s="123" t="n">
        <v>46265</v>
      </c>
      <c r="C30" s="77" t="inlineStr">
        <is>
          <t>天台贴边棚屋与标注分区</t>
        </is>
      </c>
      <c r="D30" s="123" t="inlineStr">
        <is>
          <t>1个Blend / 1个GLB / 1个Prefab / 68个组件目录 / 36个独立阻挡</t>
        </is>
      </c>
      <c r="E30" s="77" t="inlineStr">
        <is>
          <t>将0.5米抬高生活棚整体北移至天台边缘，补充小木梯、小风车与风铃；种植区、通信区按标注重新布置，黄色门前动线保持零阻挡。</t>
        </is>
      </c>
      <c r="F30" s="77" t="inlineStr">
        <is>
          <t>不改90×80米地表、234格、基地中庭、西侧楼梯间及根缩放；v014保留回滚。</t>
        </is>
      </c>
      <c r="G30" s="123" t="inlineStr">
        <is>
          <t>Codex</t>
        </is>
      </c>
    </row>
    <row r="31" ht="117.75" customHeight="1" s="74">
      <c r="A31" s="123" t="inlineStr">
        <is>
          <t>v0.1.27</t>
        </is>
      </c>
      <c r="B31" s="123" t="n">
        <v>46265</v>
      </c>
      <c r="C31" s="77" t="inlineStr">
        <is>
          <t>天台TSCN可编辑布局与组合碰撞</t>
        </is>
      </c>
      <c r="D31" s="123" t="inlineStr">
        <is>
          <t>1个Blend / 70个GLB / 1个Prefab / 68个可编辑组件 / 39组82形状阻挡</t>
        </is>
      </c>
      <c r="E31" s="77" t="inlineStr">
        <is>
          <t>将通信高台移至东北角、棚屋置于其西侧并保留2米净距；组件拆分到TSCN五组层级，阻挡随组件移动并按结构细分。</t>
        </is>
      </c>
      <c r="F31" s="77" t="inlineStr">
        <is>
          <t>不改90×80米地表、234格、基地中庭、西楼梯、黄色门前动线及根缩放；v015保留回滚。</t>
        </is>
      </c>
      <c r="G31" s="123" t="inlineStr">
        <is>
          <t>Codex</t>
        </is>
      </c>
    </row>
    <row r="32" ht="117.75" customHeight="1" s="74">
      <c r="A32" s="123" t="inlineStr">
        <is>
          <t>v0.1.28</t>
        </is>
      </c>
      <c r="B32" s="123" t="n">
        <v>46265</v>
      </c>
      <c r="C32" s="77" t="inlineStr">
        <is>
          <t>天台v017仅设施导入与原生地板恢复</t>
        </is>
      </c>
      <c r="D32" s="123" t="inlineStr">
        <is>
          <t>1个Blend / 69个GLB / 1个设施Prefab / 68个可编辑组件 / 39组82形状阻挡</t>
        </is>
      </c>
      <c r="E32" s="77" t="inlineStr">
        <is>
          <t>正式包装改为facilities_only，排除Blender地板与围护；恢复100F原生地砖、围栏和门洞；设施布局下移0.34米对齐原生地面。</t>
        </is>
      </c>
      <c r="F32" s="77" t="inlineStr">
        <is>
          <t>不改100F原生90×80米地表、234格、基地中庭、西楼梯、承重面、外围边界碰撞和设施平面布局；v016保留回滚。</t>
        </is>
      </c>
      <c r="G32" s="123" t="inlineStr">
        <is>
          <t>Codex</t>
        </is>
      </c>
    </row>
    <row r="33" ht="127.5" customHeight="1" s="74">
      <c r="A33" s="123" t="inlineStr">
        <is>
          <t>v0.1.29</t>
        </is>
      </c>
      <c r="B33" s="129" t="n">
        <v>46267</v>
      </c>
      <c r="C33" s="77" t="inlineStr">
        <is>
          <t>基地99F高品质微缩布局Blender母版</t>
        </is>
      </c>
      <c r="D33" s="123" t="inlineStr">
        <is>
          <t>1个Blend / 3张预览 / 4共享材质 / 240帧循环动效</t>
        </is>
      </c>
      <c r="E33" s="77" t="inlineStr">
        <is>
          <t>建立30×30米切角可视基地；北侧6米阁楼与L梯、阁楼生活区、BASE CAMP电视墙/储物/武器台/贩卖机、中央15×30米净空通道及南侧仓库设施全部细化。</t>
        </is>
      </c>
      <c r="F33" s="77" t="inlineStr">
        <is>
          <t>仅完成Blender源与视觉验收；未替换Godot TSCN/GLB、碰撞、交互和玩法；既有运行时与v002保留回滚。</t>
        </is>
      </c>
      <c r="G33" s="123" t="inlineStr">
        <is>
          <t>Codex</t>
        </is>
      </c>
    </row>
    <row r="34" ht="85.5" customHeight="1" s="74">
      <c r="A34" s="123" t="inlineStr">
        <is>
          <t>v0.1.30</t>
        </is>
      </c>
      <c r="B34" s="129" t="n">
        <v>46268</v>
      </c>
      <c r="C34" s="123" t="inlineStr">
        <is>
          <t>ENV-BASE99-ART-LAYOUT-3D</t>
        </is>
      </c>
      <c r="D34" s="77" t="inlineStr">
        <is>
          <t>基地99层Blender高品质布局v004</t>
        </is>
      </c>
      <c r="E34" s="77" t="inlineStr">
        <is>
          <t>阁楼贴东墙；铁皮封闭体内部清空；重做西侧L梯；设施从南区分散到东西墙与阁楼；移除通道箭头覆层。</t>
        </is>
      </c>
      <c r="F34" s="123" t="inlineStr">
        <is>
          <t>Blender 4.2严格验证通过：4材质，928网格，200052/200052有效PaletteUV面；三张预览人工复核通过。</t>
        </is>
      </c>
      <c r="G34" s="123" t="inlineStr">
        <is>
          <t>Codex</t>
        </is>
      </c>
      <c r="H34" s="77" t="inlineStr">
        <is>
          <t>仅更新Blender源场景与资产台账，未修改Godot运行时。</t>
        </is>
      </c>
    </row>
    <row r="35" ht="96" customHeight="1" s="74">
      <c r="A35" s="123" t="inlineStr">
        <is>
          <t>v0.1.31</t>
        </is>
      </c>
      <c r="B35" s="129" t="n">
        <v>46268</v>
      </c>
      <c r="C35" s="123" t="inlineStr">
        <is>
          <t>ENV-BASE99-ART-LAYOUT-3D</t>
        </is>
      </c>
      <c r="D35" s="77" t="inlineStr">
        <is>
          <t>基地99层西北贴墙L梯布局v005</t>
        </is>
      </c>
      <c r="E35" s="77" t="inlineStr">
        <is>
          <t>按红框将L梯移至西北墙角：第一跑贴西墙向北、转角平台贴西北角、第二跑贴北墙向东，顶层平台接入阁楼西北入口；冲突武器台移至西墙南段。</t>
        </is>
      </c>
      <c r="F35" s="77" t="inlineStr">
        <is>
          <t>接口脚本验收通过：墙边2cm安装缝；20级总高6.09m；踏步、转角、顶层平台和阁楼完成面逐边/逐高程一致；4材质，952网格，201348/201348有效PaletteUV面。</t>
        </is>
      </c>
      <c r="G35" s="123" t="inlineStr">
        <is>
          <t>Codex</t>
        </is>
      </c>
      <c r="H35" s="123" t="inlineStr">
        <is>
          <t>Blender源场景版本增量；未修改Godot运行时、碰撞或玩法。</t>
        </is>
      </c>
    </row>
    <row r="36" ht="115.5" customHeight="1" s="74">
      <c r="A36" s="123" t="inlineStr">
        <is>
          <t>v0.1.32</t>
        </is>
      </c>
      <c r="B36" s="129" t="n">
        <v>46268</v>
      </c>
      <c r="C36" s="123" t="inlineStr">
        <is>
          <t>ENV-BASE99-ART-LAYOUT-3D</t>
        </is>
      </c>
      <c r="D36" s="77" t="inlineStr">
        <is>
          <t>基地99层参考图地板系统深化v006</t>
        </is>
      </c>
      <c r="E36" s="77" t="inlineStr">
        <is>
          <t>严格锁定30×30m、36块5×5m原地板与全部分缝/高低/方向；仅新增地板压边、内阴影唇、六角固定件、卡扣、编号、9组浅层检修盖、4组格栅、设备端口、全息平台地面接口、青蓝导视、橙白功能标识及轻微使用痕迹。</t>
        </is>
      </c>
      <c r="F36" s="77" t="inlineStr">
        <is>
          <t>参考图优先视觉验收及脚本结构锁定通过；地板附着结构均在Z≤0.32m，9/36检修盖为25%；4材质，3048网格，778326/778326有效PaletteUV面；三张预览人工复核通过。</t>
        </is>
      </c>
      <c r="G36" s="123" t="inlineStr">
        <is>
          <t>Codex</t>
        </is>
      </c>
      <c r="H36" s="123" t="inlineStr">
        <is>
          <t>Blender源场景版本增量；南/东墙设施未重做，楼梯、墙体、设备位置与Godot运行时/碰撞/玩法均未修改。</t>
        </is>
      </c>
    </row>
    <row r="37" ht="132" customHeight="1" s="74">
      <c r="A37" s="123" t="inlineStr">
        <is>
          <t>v0.1.33</t>
        </is>
      </c>
      <c r="B37" s="129" t="n">
        <v>46268</v>
      </c>
      <c r="C37" s="123" t="inlineStr">
        <is>
          <t>ENV-BASE99-ART-LAYOUT-3D</t>
        </is>
      </c>
      <c r="D37" s="77" t="inlineStr">
        <is>
          <t>基地99层资产包文件夹归类v007</t>
        </is>
      </c>
      <c r="E37" s="77" t="inlineStr">
        <is>
          <t>在不修改模型外观、坐标、父子关系、材质与动画的前提下，将游戏输出重组为6个一级分类、76个独立资产包。地面统一归入地面系统，36块5×5m地砖分别包含原砖及其深化内容；阁楼、阁楼外侧视觉中心、仓库设施均按功能拆分，散件、商品、灯光和动效迁回所属设施包。</t>
        </is>
      </c>
      <c r="F37" s="77" t="inlineStr">
        <is>
          <t>严格验收通过：1696个输出对象全部唯一归属；36个地砖包、76个磁盘资产目录与清单齐全；无空包、无旧总集合残留；3211对象、3048网格、22灯光、3相机、4材质与v006一致；全部1552个输出网格保留PaletteUV；对象/变换/网格/材质/动画签名一致。</t>
        </is>
      </c>
      <c r="G37" s="123" t="inlineStr">
        <is>
          <t>Codex</t>
        </is>
      </c>
      <c r="H37" s="77" t="inlineStr">
        <is>
          <t>仅整理Blender Collection与未来独立导出目录；资产ID保持ENV-BASE99-ART-LAYOUT-3D，不新增重复ID；未导出独立GLB/碰撞/PackedScene，未修改Godot运行时、碰撞或玩法。</t>
        </is>
      </c>
    </row>
    <row r="38" ht="150" customHeight="1" s="74">
      <c r="A38" s="123" t="inlineStr">
        <is>
          <t>v0.1.34</t>
        </is>
      </c>
      <c r="B38" s="129" t="n">
        <v>46268</v>
      </c>
      <c r="C38" s="123" t="inlineStr">
        <is>
          <t>ENV-BASE99-ART-LAYOUT-3D</t>
        </is>
      </c>
      <c r="D38" s="77" t="inlineStr">
        <is>
          <t>基地99层南面设施高还原深化v008</t>
        </is>
      </c>
      <c r="E38" s="77" t="inlineStr">
        <is>
          <t>以参考效果图为视觉真值，仅深化BASE CAMP所在南面设施区域：将原误读电视墙修正为原包络内青绿色分段卷帘主门，并深化大型立体标识、主门下方低矮设备柜、MEDICAL与TOOLS柜、窄型电池/应急柜、圆形全息设备平台、三台功能终端、墙面工业管线及二层栏杆附着细节。各设施独立归档，未改变非本批结构。</t>
        </is>
      </c>
      <c r="F38" s="77" t="inlineStr">
        <is>
          <t>严格验收通过：v007/v008锁区签名一致；82个独立资产包、36个地砖包、82份磁盘清单，无空包或跨包混挂；主门中心(5.0,4.64,2.20)、包络5.80×0.40×2.55m，全息平台中心(5.0,1.72)；2038个输出对象、3728网格、914462/914462有效PaletteUV面、4材质；旧电视对象为0。</t>
        </is>
      </c>
      <c r="G38" s="123" t="inlineStr">
        <is>
          <t>Codex</t>
        </is>
      </c>
      <c r="H38" s="77" t="inlineStr">
        <is>
          <t>资产ID保持ENV-BASE99-ART-LAYOUT-3D；仅更新Blender源场景、独立设施目录和验收资料。未生成独立GLB/碰撞/PackedScene，未修改Godot运行时、碰撞或玩法。</t>
        </is>
      </c>
    </row>
    <row r="39" ht="165" customHeight="1" s="74">
      <c r="A39" s="123" t="inlineStr">
        <is>
          <t>v0.1.35</t>
        </is>
      </c>
      <c r="B39" s="129" t="n">
        <v>46268</v>
      </c>
      <c r="C39" s="123" t="inlineStr">
        <is>
          <t>ENV-BASE99-ART-LAYOUT-3D</t>
        </is>
      </c>
      <c r="D39" s="77" t="inlineStr">
        <is>
          <t>基地99层东面设施高还原深化v009</t>
        </is>
      </c>
      <c r="E39" s="77" t="inlineStr">
        <is>
          <t>以参考效果图为视觉真值，仅深化东面设施区域：正式人员安全门、SUPPLY 24H自动补给机、POWER工业配电系统、墙顶工业管线、WASTE/FLAMMABLE/RECYCLE三套独立分类设施、维修工作台与工具墙、低矮收纳、团结海报、小型安全设备、植物和圆形工业吊灯。修正所有东墙文字朝向，保持墙体、地砖、阁楼、栏杆和非目标设施不变。</t>
        </is>
      </c>
      <c r="F39" s="77" t="inlineStr">
        <is>
          <t>严格验收通过：v008/v009共1988个锁定对象逐对象一致；91个独立资产包、36个地砖包、91份磁盘清单，无空包或跨包混挂；403个v009局部对象；4438个网格、1089839/1089839有效PaletteUV面、4材质；门框中心(14.38,-2.50,1.32)，SUPPLY主机(13.52,1.55,1.78)，POWER主箱(14.15,-5.55,2.35)。</t>
        </is>
      </c>
      <c r="G39" s="123" t="inlineStr">
        <is>
          <t>Codex</t>
        </is>
      </c>
      <c r="H39" s="77" t="inlineStr">
        <is>
          <t>资产ID保持ENV-BASE99-ART-LAYOUT-3D；仅更新Blender源场景、独立设施目录、资产目录与验收资料。未生成独立GLB、碰撞或PackedScene，未修改Godot运行时、碰撞及玩法。</t>
        </is>
      </c>
    </row>
    <row r="40" ht="174.75" customHeight="1" s="74">
      <c r="A40" s="123" t="inlineStr">
        <is>
          <t>v0.1.36</t>
        </is>
      </c>
      <c r="B40" s="129" t="n">
        <v>46268</v>
      </c>
      <c r="C40" s="123" t="inlineStr">
        <is>
          <t>ENV-BASE99-ART-LAYOUT-3D</t>
        </is>
      </c>
      <c r="D40" s="77" t="inlineStr">
        <is>
          <t>基地99层二楼设施与楼梯高还原深化v010</t>
        </is>
      </c>
      <c r="E40" s="77" t="inlineStr">
        <is>
          <t>以参考效果图为视觉真值，仅深化二楼生活/休闲/工位/收纳设施及楼梯：重制床与床品、床头柜和暖灯、地毯、条纹隔断、三人沙发、茶几、坐墩、双屏工位、办公椅、GOOD VIBES霓虹、三类收纳柜、箱体、墙面工具板和植物；保留西北L梯原结构并增加防滑与暖光细节，新增参考图东侧上行过渡梯。</t>
        </is>
      </c>
      <c r="F40" s="77" t="inlineStr">
        <is>
          <t>严格验收通过：v009/v010共2332个锁定对象逐对象一致；102个独立资产包、36个地砖包、102份磁盘清单；294个v010范围对象；东侧楼梯与收纳净距0.215m；4909个网格、1190533/1190533有效PaletteUV面、4材质；西北转角与顶层接驳平台坐标未变。</t>
        </is>
      </c>
      <c r="G40" s="123" t="inlineStr">
        <is>
          <t>Codex</t>
        </is>
      </c>
      <c r="H40" s="77" t="inlineStr">
        <is>
          <t>资产ID保持ENV-BASE99-ART-LAYOUT-3D；只更新Blender源场景、独立设施目录和验收资料。未生成独立GLB、碰撞、LOD或PackedScene，未修改Godot运行时、玩法或一楼资产。</t>
        </is>
      </c>
    </row>
    <row r="41" ht="204.75" customHeight="1" s="74">
      <c r="A41" s="123" t="inlineStr">
        <is>
          <t>v0.1.37</t>
        </is>
      </c>
      <c r="B41" s="129" t="n">
        <v>46268</v>
      </c>
      <c r="C41" s="123" t="inlineStr">
        <is>
          <t>ENV-BASE99-ART-LAYOUT-3D</t>
        </is>
      </c>
      <c r="D41" s="77" t="inlineStr">
        <is>
          <t>基地99层二楼与楼梯参考图高还原迭代v011</t>
        </is>
      </c>
      <c r="E41" s="77" t="inlineStr">
        <is>
          <t>针对v010未达到视觉验收标准的问题，以同一参考镜头重新校准二楼设施：重做床与床品、床头柜、条纹隔断、三人沙发、茶几、坐墩、完整双屏工位、办公椅和紧凑分类收纳；调整东侧楼梯轮廓与接口，深化西侧L梯踏步、转角和顶层接缝；增加前沿暖橙灯带、后墙三路管线、工具区、植物、GOOD VIBES霓虹、屏幕扫描线和克制生活物件。</t>
        </is>
      </c>
      <c r="F41" s="77" t="inlineStr">
        <is>
          <t>验收通过：参考镜头第一眼结构顺序、主色块、设施间距和冷暖灯光关系均已重新核对；v010/v011共2332个锁定对象完全一致；101个独立资产包、36个地砖包、101份manifest；383个v011范围对象；工位至东梯净距1.46m、前沿通行深度3.40m；5075网格、1198313/1198313有效PaletteUV面、4材质。</t>
        </is>
      </c>
      <c r="G41" s="123" t="inlineStr">
        <is>
          <t>Codex</t>
        </is>
      </c>
      <c r="H41" s="77" t="inlineStr">
        <is>
          <t>沿用稳定资产ID ENV-BASE99-ART-LAYOUT-3D，Blend SHA-256=eb92c8383f5b86d8d8e4226b9f4da2416a5903ab4ba8668f6a7639161de8dca1。仅更新Blender源、独立资产包和验收资料；未生成独立GLB、碰撞、LOD或PackedScene，未修改Godot运行时和锁定区域。</t>
        </is>
      </c>
    </row>
    <row r="42" ht="54" customHeight="1" s="74">
      <c r="A42" s="124" t="inlineStr">
        <is>
          <t>v0.1.38</t>
        </is>
      </c>
      <c r="B42" s="131" t="n">
        <v>46269</v>
      </c>
      <c r="C42" s="124" t="inlineStr">
        <is>
          <t>ENV-BASE99-ART-LAYOUT-3D</t>
        </is>
      </c>
      <c r="D42" s="124" t="inlineStr">
        <is>
          <t>Blender 基地设施布局 v016</t>
        </is>
      </c>
      <c r="E42" s="77" t="inlineStr">
        <is>
          <t>基于用户手改 v015 的纯新增二楼与楼梯细节补完；5870 个既有对象逐项锁定零改动。新增 89 个成品组件及 89 个可编辑源组件，均按独立设施资产包镜像归类；101 个资产包、36 个地砖包、101 份磁盘清单。</t>
        </is>
      </c>
      <c r="F42" s="123" t="inlineStr">
        <is>
          <t>Blender Game Prop Standard：任务验收 PASS；v016 新增范围 PaletteUV 14072/14072 面通过；4 个共享材质；楼梯四处接口精确通过。全场严格命名报告仍含 v012-v015 继承警告，锁定未改。</t>
        </is>
      </c>
      <c r="G42" s="123" t="inlineStr">
        <is>
          <t>Codex</t>
        </is>
      </c>
      <c r="H42" s="73" t="inlineStr">
        <is>
          <t>仅更新 Blender 源、独立设施资产包和验收资料；文件：source/art/blender/base_facility_layout/base_facility_runtime_layout_hq_v016.blend。未生成 GLB、碰撞、LOD 或 PackedScene，未修改 Godot 运行时。</t>
        </is>
      </c>
    </row>
    <row r="43" ht="66" customHeight="1" s="74">
      <c r="A43" s="124" t="inlineStr">
        <is>
          <t>v0.1.39</t>
        </is>
      </c>
      <c r="B43" s="131" t="n">
        <v>46269</v>
      </c>
      <c r="C43" s="124" t="inlineStr">
        <is>
          <t>ENV-BASE99-ART-LAYOUT-3D</t>
        </is>
      </c>
      <c r="D43" s="124" t="inlineStr">
        <is>
          <t>Blender 基地设施归类与灯光归属 v017</t>
        </is>
      </c>
      <c r="E43" s="77" t="inlineStr">
        <is>
          <t>仅对 v016 进行 Collection 与资产清单归类，不改网格、材质、坐标、旋转、缩放或动画。旧区域总集合已拆为独立资产包；110 个成品包、36 个地砖包、110 份磁盘清单；2,954 个制作源组件全部镜像归入对应独立设施包。</t>
        </is>
      </c>
      <c r="F43" s="77" t="inlineStr">
        <is>
          <t>组件归类审计 PASS：空包/未归包/多包归属/清单错配/未镜像源组件均为 0。灯光归属验收 PASS：55 个 LIGHT；33 个实体灯随实体设施包、12 个源灯随源资产包；4 个无实体全局补光与 6 个预览验收灯均为显式例外。</t>
        </is>
      </c>
      <c r="G43" s="123" t="inlineStr">
        <is>
          <t>Codex</t>
        </is>
      </c>
      <c r="H43" s="77" t="inlineStr">
        <is>
          <t>文件：source/art/blender/base_facility_layout/base_facility_runtime_layout_hq_v017.blend。v016 的 6,048 个既有对象签名保持一致；仅对象 Collection 归属及 manifest/catalog 更新。未生成 GLB、碰撞、LOD 或 PackedScene，未修改 Godot 运行时。</t>
        </is>
      </c>
    </row>
    <row r="44" ht="66" customHeight="1" s="74">
      <c r="A44" s="124" t="inlineStr">
        <is>
          <t>v0.1.40</t>
        </is>
      </c>
      <c r="B44" s="131" t="n">
        <v>46269</v>
      </c>
      <c r="C44" s="124" t="inlineStr">
        <is>
          <t>ENV-BASE99-ART-LAYOUT-3D</t>
        </is>
      </c>
      <c r="D44" s="73" t="inlineStr">
        <is>
          <t>基地99层独立资产包逐项登记</t>
        </is>
      </c>
      <c r="E44" s="77" t="inlineStr">
        <is>
          <t>新增大类“基地资产包”，并按 3D-设施口径将 v017 的 110 个独立包逐条写入资产主表：7 类（建筑结构、地面、东侧固定设施、二楼/阁楼、阁楼下方固定设施、仓库、环境支持），36 个为独立地砖包。</t>
        </is>
      </c>
      <c r="F44" s="77" t="inlineStr">
        <is>
          <t>每条记录关联 v017 manifest、目录、世界中心、包络、对象/网格/灯光计数、预期导出名与 manifest SHA-256；不改变 Blender 模型、运行时资产或 Godot 引用。</t>
        </is>
      </c>
      <c r="G44" s="123" t="inlineStr">
        <is>
          <t>Codex</t>
        </is>
      </c>
      <c r="H44" s="77" t="inlineStr">
        <is>
          <t>资产包用于未来独立导入、替换、导出与维护；当前仅完成 Blender 源及目录/清单登记，仍未生成独立 GLB、碰撞、LOD 或 PackedScene。</t>
        </is>
      </c>
    </row>
    <row r="45" ht="72" customHeight="1" s="74">
      <c r="A45" s="124" t="inlineStr">
        <is>
          <t>v0.1.41</t>
        </is>
      </c>
      <c r="B45" s="131" t="n">
        <v>46269</v>
      </c>
      <c r="C45" s="124" t="inlineStr">
        <is>
          <t>ENV-BASE99-ART-LAYOUT-3D</t>
        </is>
      </c>
      <c r="D45" s="124" t="inlineStr">
        <is>
          <t>v017 东墙门体规格与 SUPPLY 24H 位置纠正</t>
        </is>
      </c>
      <c r="E45" s="77" t="inlineStr">
        <is>
          <t>依据参考图互换东墙标准人员门与 SUPPLY 24H 自动补给机的位置；门体改为直接复用游戏资产 ENV-BASE99-DOOR-LIFT-22X25，并新建独立‘东墙门禁外围控制’资产包。基地资产包总数由 110 增至 111。</t>
        </is>
      </c>
      <c r="F45" s="77" t="inlineStr">
        <is>
          <t>除东墙人员门、SUPPLY 24H 与新增门禁外围控制包外，5,855 个既有对象锁定签名一致。门体场景包络为 0.325×2.200×2.500m；实体状态灯及其源镜像均随门体资产包归属。</t>
        </is>
      </c>
      <c r="G45" s="123" t="inlineStr">
        <is>
          <t>Codex</t>
        </is>
      </c>
      <c r="H45" s="123" t="inlineStr">
        <is>
          <t>Blender 源场景和目录/manifest/资产账本已更新；未新增独立 GLB、碰撞、LOD 或 PackedScene，运行时门碰撞仍归 RoomDoor3D。</t>
        </is>
      </c>
    </row>
    <row r="46" ht="72" customHeight="1" s="74">
      <c r="A46" s="124" t="inlineStr">
        <is>
          <t>v0.1.42</t>
        </is>
      </c>
      <c r="B46" s="131" t="n">
        <v>46269</v>
      </c>
      <c r="C46" s="124" t="inlineStr">
        <is>
          <t>ENV-BASE99-ART-LAYOUT-3D</t>
        </is>
      </c>
      <c r="D46" s="124" t="inlineStr">
        <is>
          <t>v017 东墙带门组件组纠正</t>
        </is>
      </c>
      <c r="E46" s="77" t="inlineStr">
        <is>
          <t>将东墙门洞恢复为游戏成套组件：新增独立带门墙模块包，标准滑升门与门禁外围控制嵌入同一门洞；SUPPLY 24H 恢复为相邻设施。基地资产包总数由 111 增至 112。</t>
        </is>
      </c>
      <c r="F46" s="77" t="inlineStr">
        <is>
          <t>东墙带门墙模块、滑升门、门禁外围控制均分别保留独立源/输出包，并以 base99_east_door_wall_set 组装清单绑定；范围外 5,853 个既有对象锁定签名一致。</t>
        </is>
      </c>
      <c r="G46" s="123" t="inlineStr">
        <is>
          <t>Codex</t>
        </is>
      </c>
      <c r="H46" s="77" t="inlineStr">
        <is>
          <t>仅更新 Blender 源场景、资产包目录/清单和台账；未新增独立 GLB、碰撞、LOD 或 PackedScene。运行时碰撞仍由 DungeonRoom3D + RoomDoor3D 负责。</t>
        </is>
      </c>
    </row>
    <row r="47" ht="78" customHeight="1" s="74">
      <c r="A47" s="124" t="inlineStr">
        <is>
          <t>v0.1.43</t>
        </is>
      </c>
      <c r="B47" s="131" t="n">
        <v>46269</v>
      </c>
      <c r="C47" s="124" t="inlineStr">
        <is>
          <t>ENV-BASE99-ART-LAYOUT-3D</t>
        </is>
      </c>
      <c r="D47" s="124" t="inlineStr">
        <is>
          <t>v017 东墙北南墙格与 SUPPLY 24H 位置交换</t>
        </is>
      </c>
      <c r="E47" s="77" t="inlineStr">
        <is>
          <t>依据参考图，将带门墙组件组由保留东墙_02（南段）换至保留东墙_03（北段）；门、门禁外围控制随门洞北移。SUPPLY 24H 自动补给机仅自身包南移，不携带电池柜与 Emergency 柜。基地资产包总数保持 112。</t>
        </is>
      </c>
      <c r="F47" s="77" t="inlineStr">
        <is>
          <t>东墙带门墙模块、标准滑升门、门禁外围控制继续以 base99_east_door_wall_set 绑定；目标外 5,850 个对象锁定签名一致。门墙中心 (15.000, 2.500, 4.500)m，门中心 (15.000, 2.500, 1.250)m，SUPPLY 24H 主体锚点 (13.520, -3.450, 1.780)m。</t>
        </is>
      </c>
      <c r="G47" s="123" t="inlineStr">
        <is>
          <t>Codex</t>
        </is>
      </c>
      <c r="H47" s="77" t="inlineStr">
        <is>
          <t>仅更新 Blender 源场景、资产包清单、组装清单与资产账本；未新增独立 GLB、碰撞、LOD 或 PackedScene。运行时碰撞仍由 DungeonRoom3D + RoomDoor3D 负责。</t>
        </is>
      </c>
    </row>
    <row r="48" ht="75.75" customHeight="1" s="74">
      <c r="A48" s="124" t="inlineStr">
        <is>
          <t>v0.1.44</t>
        </is>
      </c>
      <c r="B48" s="131" t="n">
        <v>46269</v>
      </c>
      <c r="C48" s="124" t="inlineStr">
        <is>
          <t>ENV-BASE99-ART-LAYOUT-3D</t>
        </is>
      </c>
      <c r="D48" s="124" t="inlineStr">
        <is>
          <t>v017 北段人员门参考图高还原深化</t>
        </is>
      </c>
      <c r="E48" s="77" t="inlineStr">
        <is>
          <t>依据参考图重制北段标准人员滑升门的可见结构：八角金属框、冷灰分层门板、橙色锁扣和冷青状态条。门洞坐标与规格保持不变，基地资产包总数保持 112。</t>
        </is>
      </c>
      <c r="F48" s="77" t="inlineStr">
        <is>
          <t>仅 east_personnel_security_door 的输出/源网格及其两盏归属门体的状态照明可修改。其余 5,997 个对象锁定签名一致；门包与源镜像各 3 个对象，严格 PaletteUV 校验通过。</t>
        </is>
      </c>
      <c r="G48" s="123" t="inlineStr">
        <is>
          <t>Codex</t>
        </is>
      </c>
      <c r="H48" s="77" t="inlineStr">
        <is>
          <t>仅更新 Blender 源场景、门资产包清单、catalog 与资产账本；未新增独立 GLB、碰撞、LOD 或 PackedScene。运行时门碰撞仍归 RoomDoor3D。</t>
        </is>
      </c>
    </row>
    <row r="49" ht="75.75" customHeight="1" s="74">
      <c r="A49" s="124" t="inlineStr">
        <is>
          <t>v0.1.45</t>
        </is>
      </c>
      <c r="B49" s="131" t="n">
        <v>46269</v>
      </c>
      <c r="C49" s="124" t="inlineStr">
        <is>
          <t>ENV-BASE99-ART-LAYOUT-3D</t>
        </is>
      </c>
      <c r="D49" s="124" t="inlineStr">
        <is>
          <t>v017 北段带门墙模块门框深化</t>
        </is>
      </c>
      <c r="E49" s="77" t="inlineStr">
        <is>
          <t>依据参考图补足北段带门墙模块的墙体归属门框：八角外轮廓、双层冷灰门洞饰条、顶部橙色服务铭牌和紧固件。门扇、门灯与门禁继续维持独立资产包，基地资产包总数保持 112。</t>
        </is>
      </c>
      <c r="F49" s="77" t="inlineStr">
        <is>
          <t>仅 east_door_wall_module 的输出/源墙体网格可修改。其余 5,997 个对象锁定签名一致；墙包与源镜像各 3 个对象，严格 PaletteUV、共享材质和灯光归属校验通过。</t>
        </is>
      </c>
      <c r="G49" s="123" t="inlineStr">
        <is>
          <t>Codex</t>
        </is>
      </c>
      <c r="H49" s="77" t="inlineStr">
        <is>
          <t>仅更新 Blender 源场景、墙模块资产包清单、catalog 与资产账本；未新增独立 GLB、碰撞、LOD 或 PackedScene。运行时门碰撞仍归 RoomDoor3D。</t>
        </is>
      </c>
    </row>
    <row r="50" ht="75.75" customHeight="1" s="74">
      <c r="A50" s="124" t="inlineStr">
        <is>
          <t>v0.1.46</t>
        </is>
      </c>
      <c r="B50" s="131" t="n">
        <v>46269</v>
      </c>
      <c r="C50" s="124" t="inlineStr">
        <is>
          <t>ENV-BASE99-WALL-DOOR-5X9 / ENV-BASE99-DOOR-LIFT-22X25</t>
        </is>
      </c>
      <c r="D50" s="124" t="inlineStr">
        <is>
          <t>v017 西侧第三段带门组件对齐</t>
        </is>
      </c>
      <c r="E50" s="77" t="inlineStr">
        <is>
          <t>西侧带门墙由北向南第四段修正至第三段：Blender (-15,+2.5,0) 对应游戏 (-15,-9,+2.5)。墙模块复用已验收东侧门框，门扇复用既有通用滑升门。</t>
        </is>
      </c>
      <c r="F50" s="77" t="inlineStr">
        <is>
          <t>新增两个独立 Blender 资产包记录和源镜像。组合严格对应 DungeonRoom3D 的 ENV-BASE99-WALL-DOOR-5X9 与 RoomDoor3D 的 ENV-BASE99-DOOR-LIFT-22X25；不含东侧专属门禁。114 包、6 网格、1,068 个有效 PaletteUV 面通过。</t>
        </is>
      </c>
      <c r="G50" s="123" t="inlineStr">
        <is>
          <t>Codex</t>
        </is>
      </c>
      <c r="H50" s="77" t="inlineStr">
        <is>
          <t>仅更新 v017 Blender 源场景、资产包目录、组件组清单、catalog 与台账；未覆盖正式 GLB 或 PackedScene，现有运行时路径保留作为后续替换目标。</t>
        </is>
      </c>
    </row>
    <row r="51" ht="79.5" customHeight="1" s="74">
      <c r="A51" s="124" t="inlineStr">
        <is>
          <t>v0.1.47</t>
        </is>
      </c>
      <c r="B51" s="131" t="n">
        <v>46269</v>
      </c>
      <c r="C51" s="124" t="inlineStr">
        <is>
          <t>ENV-BASE99-WALL-DOOR-5X9 / ENV-BASE99-DOOR-LIFT-22X25</t>
        </is>
      </c>
      <c r="D51" s="124" t="inlineStr">
        <is>
          <t>v017 西侧带门墙双面对齐模型迭代</t>
        </is>
      </c>
      <c r="E51" s="77" t="inlineStr">
        <is>
          <t>修复西侧门墙中心偏移与门框脱离：5×9m墙芯回归相邻西墙共用中心线；门框改为归属墙模块的双面闭合结构，门扇改为双面加厚滑升门。</t>
        </is>
      </c>
      <c r="F51" s="77" t="inlineStr">
        <is>
          <t>仅调整 west_door_wall_module 与 west_door_lift_instance 及其源镜像；6,000 个范围外对象签名不变。114 包、6 网格、764 个有效 PaletteUV 面、双面厚度与归属检查通过。</t>
        </is>
      </c>
      <c r="G51" s="123" t="inlineStr">
        <is>
          <t>Codex</t>
        </is>
      </c>
      <c r="H51" s="77" t="inlineStr">
        <is>
          <t>仅更新 v017 Blender 源场景、两套资产包清单、组件组清单、catalog 与台账；未覆盖正式 GLB 或 PackedScene。</t>
        </is>
      </c>
    </row>
    <row r="52" ht="79.5" customHeight="1" s="74">
      <c r="A52" s="124" t="inlineStr">
        <is>
          <t>v0.1.48</t>
        </is>
      </c>
      <c r="B52" s="131" t="n">
        <v>46269</v>
      </c>
      <c r="C52" s="124" t="inlineStr">
        <is>
          <t>ENV-BASE99-WALL-DOOR-5X9 / ENV-BASE99-DOOR-LIFT-22X25</t>
        </is>
      </c>
      <c r="D52" s="124" t="inlineStr">
        <is>
          <t>v017 东侧复用西侧双面带门墙</t>
        </is>
      </c>
      <c r="E52" s="77" t="inlineStr">
        <is>
          <t>东侧带门墙模块与滑升门改为西侧已验收双面模型的独立网格副本；保持东侧反向墙朝向、中心线和运行时组件映射。</t>
        </is>
      </c>
      <c r="F52" s="77" t="inlineStr">
        <is>
          <t>只更新 east_door_wall_module 与 east_personnel_security_door 及源镜像；东侧门禁包、自动补给机和其余设施未改。114 包、双面厚度、PaletteUV、灯光归属和组件组验收通过。</t>
        </is>
      </c>
      <c r="G52" s="123" t="inlineStr">
        <is>
          <t>Codex</t>
        </is>
      </c>
      <c r="H52" s="77" t="inlineStr">
        <is>
          <t>仅更新 v017 Blender 源场景、两个既有资产包清单、东侧组件组清单、catalog 与台账；未覆盖正式 GLB 或 PackedScene。</t>
        </is>
      </c>
    </row>
    <row r="53" ht="79.5" customHeight="1" s="74">
      <c r="A53" s="124" t="inlineStr">
        <is>
          <t>v0.1.49</t>
        </is>
      </c>
      <c r="B53" s="131" t="n">
        <v>46269</v>
      </c>
      <c r="C53" s="124" t="inlineStr">
        <is>
          <t>ENV-BASE99-WALL-DOOR-5X9</t>
        </is>
      </c>
      <c r="D53" s="124" t="inlineStr">
        <is>
          <t>v017 东侧带门墙 PaletteUV 对齐</t>
        </is>
      </c>
      <c r="E53" s="77" t="inlineStr">
        <is>
          <t>仅将 east_door_wall_module 的50个主体哑光墙面从 PaletteUV (9,5) 对齐到相邻东墙使用的 (9,9)，消除偏白色差。</t>
        </is>
      </c>
      <c r="F53" s="77" t="inlineStr">
        <is>
          <t>门框、门扇、灯光、结构、坐标、朝向、独立资产包与其他设施不变；输出和源镜像同步，范围外 6,008 个对象的变换及 PaletteUV 不变。</t>
        </is>
      </c>
      <c r="G53" s="123" t="inlineStr">
        <is>
          <t>Codex</t>
        </is>
      </c>
      <c r="H53" s="77" t="inlineStr">
        <is>
          <t>仅更新 v017 Blender 源场景、东侧门墙资产清单、catalog 与台账；未覆盖正式 GLB 或 PackedScene。</t>
        </is>
      </c>
    </row>
    <row r="54" ht="84" customHeight="1" s="74">
      <c r="A54" s="124" t="inlineStr">
        <is>
          <t>v0.1.50</t>
        </is>
      </c>
      <c r="B54" s="131" t="n">
        <v>46269</v>
      </c>
      <c r="C54" s="124" t="inlineStr">
        <is>
          <t>BPK-BASE99-LOFT-BED-AND-BEDDING / BPK-BASE99-LOFT-LOUNGE-RUG / BPK-BASE99-LOFT-FLOOR-FINISH</t>
        </is>
      </c>
      <c r="D54" s="124" t="inlineStr">
        <is>
          <t>v017 二楼床铺、桌毯与可见地板局部深化</t>
        </is>
      </c>
      <c r="E54" s="77" t="inlineStr">
        <is>
          <t>床铺加宽至床架5.45m、床垫5.20m；桌毯改为暖红、青绿、紫灰、暖橙多色层次；二楼可见地板从阁楼主体拆为独立地面系统包。</t>
        </is>
      </c>
      <c r="F54" s="77" t="inlineStr">
        <is>
          <t>仅3个资产包及其源镜像；床37、桌毯13、地板11对象，源输出数量一致；PaletteUV、独占归属和范围锁均验收通过。</t>
        </is>
      </c>
      <c r="G54" s="123" t="inlineStr">
        <is>
          <t>Codex</t>
        </is>
      </c>
      <c r="H54" s="77" t="inlineStr">
        <is>
          <t>未改楼梯、栏杆、沙发、工位、咖啡桌本体或一楼资产；未导出GLB/PackedScene。</t>
        </is>
      </c>
    </row>
    <row r="55" ht="84" customHeight="1" s="74">
      <c r="A55" s="124" t="inlineStr">
        <is>
          <t>v0.1.51</t>
        </is>
      </c>
      <c r="B55" s="131" t="n">
        <v>46269</v>
      </c>
      <c r="C55" s="124" t="inlineStr">
        <is>
          <t>BPK-BASE99-LOFT-BED-AND-BEDDING / BPK-BASE99-LOFT-LOUNGE-RUG / BPK-BASE99-LOFT-FLOOR-FINISH</t>
        </is>
      </c>
      <c r="D55" s="124" t="inlineStr">
        <is>
          <t>v017 二楼床铺、桌毯与地板参考图纠正</t>
        </is>
      </c>
      <c r="E55" s="77" t="inlineStr">
        <is>
          <t>纠正上一轮床轴向误读：恢复X向长度4.75m，仅将Y向床架加宽至2.55m、床垫加宽至2.30m。桌毯恢复暗紫红、紫灰、暖棕配色，二楼地面恢复深红棕主色并移除绿色大面。</t>
        </is>
      </c>
      <c r="F55" s="77" t="inlineStr">
        <is>
          <t>仅重做3个资产包及其源镜像。床37、桌毯13、地板11对象，源输出数量一致；桌毯未再被地面分区覆盖；PaletteUV、独占归属和范围锁通过。</t>
        </is>
      </c>
      <c r="G55" s="123" t="inlineStr">
        <is>
          <t>Codex</t>
        </is>
      </c>
      <c r="H55" s="77" t="inlineStr">
        <is>
          <t>未改楼梯、栏杆、沙发、工位、咖啡桌本体或一楼资产。未导出GLB/PackedScene。</t>
        </is>
      </c>
    </row>
    <row r="56" ht="15" customHeight="1" s="74">
      <c r="A56" s="124" t="inlineStr">
        <is>
          <t>v0.1.52</t>
        </is>
      </c>
      <c r="B56" s="73" t="n">
        <v>46276</v>
      </c>
      <c r="C56" s="124" t="inlineStr">
        <is>
          <t>99F基地设施功能资产转移与台账回填</t>
        </is>
      </c>
      <c r="D56" s="124" t="inlineStr">
        <is>
          <t>6设施 / 6包装Prefab / 6源资产包</t>
        </is>
      </c>
      <c r="E56" s="73" t="inlineStr">
        <is>
          <t>自动贩卖机、保险柜、怪物档案室、命运卡收藏室、状态恢复舱、角色衣柜迁移到场景内目标资产包；统一使用BaseFacility3D包装，交互区域锁定为源碰撞包围盒+0.8m。</t>
        </is>
      </c>
      <c r="F56" s="73" t="inlineStr">
        <is>
          <t>不改菜单、交易、恢复、换装和存档逻辑；BaseWorld3D旧设施模型保留；TowerDescent99F使用新包装。</t>
        </is>
      </c>
      <c r="G56" s="124" t="inlineStr">
        <is>
          <t>Codex</t>
        </is>
      </c>
      <c r="H56" s="73" t="inlineStr">
        <is>
          <t>验收：verify_tower_base_facility_persistent_flow；verify_tower_facility_inventory_binding；verify_formal_asset_placement_visual；Godot编辑器无头编译。</t>
        </is>
      </c>
    </row>
    <row r="58" ht="45.75" customHeight="1" s="74">
      <c r="A58" s="85" t="inlineStr">
        <is>
          <t>v0.2.0</t>
        </is>
      </c>
      <c r="B58" s="85" t="inlineStr">
        <is>
          <t>2026-09-18</t>
        </is>
      </c>
      <c r="C58" s="86" t="inlineStr">
        <is>
          <t>账本分册化</t>
        </is>
      </c>
      <c r="D58" s="86" t="inlineStr">
        <is>
          <t>全项目资产登记结构</t>
        </is>
      </c>
      <c r="E58" s="86" t="inlineStr">
        <is>
          <t>单体账本按大类拆为 7 个分账本（角色/敌人/场景/道具/武器/特效/表现资源），总目录只保留跨域契约与分账本索引；资产条目逐格不变。</t>
        </is>
      </c>
      <c r="F58" s="86" t="inlineStr">
        <is>
          <t>路径变更：资产条目移至 assets/registry/ledgers/。旧引用（含 asset_manifest.json 的 asset_ledger 字段）可用 scripts/ledger_registry.py 解析；门禁扩展为逐账本 + 跨文件契约。</t>
        </is>
      </c>
      <c r="G58" s="86" t="inlineStr">
        <is>
          <t>摩斯拉</t>
        </is>
      </c>
    </row>
    <row r="59" ht="45.75" customHeight="1" s="74">
      <c r="A59" s="85" t="inlineStr">
        <is>
          <t>v0.2.1</t>
        </is>
      </c>
      <c r="B59" s="85" t="inlineStr">
        <is>
          <t>2026-09-22</t>
        </is>
      </c>
      <c r="C59" s="86" t="inlineStr">
        <is>
          <t>塔楼三层壳体平面统一 100×80m</t>
        </is>
      </c>
      <c r="D59" s="85" t="inlineStr">
        <is>
          <t>1个Blend / 1个JSON / 1个GDScript / 1个布局生成脚本 / 3个测试探针</t>
        </is>
      </c>
      <c r="E59" s="86" t="inlineStr">
        <is>
          <t>塔楼壳体平面由 18×16 格（90×80m）扩到 20×16 格（100×80m），98F/99F/100F 三层共用同一矩形；原先「90×80 / 250(楼板)160(外墙) / 250」三套口径作废。</t>
        </is>
      </c>
      <c r="F59" s="86" t="inlineStr">
        <is>
          <t>不改玩法、数值、刷怪与存档；仅壳体平面与随之重生成的天台装饰布局。AssetID 与 layout_version 不变（原地修正，不新增条目）。</t>
        </is>
      </c>
      <c r="G59" s="86" t="inlineStr">
        <is>
          <t>摩斯拉</t>
        </is>
      </c>
      <c r="H59" s="73" t="inlineStr">
        <is>
          <t>验收：verify_rooftop_32x32_contract / probe_rooftop_parapet_alignment / probe_tower_shell_dimensions / verify_block00_floor98_assembly</t>
        </is>
      </c>
    </row>
    <row r="60" ht="15" customHeight="1" s="74">
      <c r="A60" s="124" t="inlineStr">
        <is>
          <t>v0.2.2</t>
        </is>
      </c>
      <c r="B60" s="124" t="inlineStr">
        <is>
          <t>2026-09-23</t>
        </is>
      </c>
      <c r="C60" s="124" t="inlineStr">
        <is>
          <t>P2 媒体资产域拆分</t>
        </is>
      </c>
      <c r="D60" s="124" t="inlineStr">
        <is>
          <t>UI 17 / 音效 48 / 音乐 9</t>
        </is>
      </c>
      <c r="E60" s="73" t="inlineStr">
        <is>
          <t>原表现资源账本拆为 UI、音效、音乐三个独立账本，各自绑定专用 Skill、制作链路与验收入口；同步校正场景与特效快照计数。</t>
        </is>
      </c>
      <c r="F60" s="124" t="inlineStr">
        <is>
          <t>AssetID、运行路径、SHA-256、状态、授权与内容顺序不变；音频大类显式拆为音效/音乐。</t>
        </is>
      </c>
      <c r="G60" s="124" t="inlineStr">
        <is>
          <t>Codex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Q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73" min="1" max="2"/>
    <col width="15.51" customWidth="1" style="73" min="3" max="3"/>
    <col width="17.9" customWidth="1" style="73" min="4" max="5"/>
    <col width="15.51" customWidth="1" style="73" min="6" max="6"/>
    <col width="69.23" customWidth="1" style="73" min="7" max="7"/>
    <col width="52.52" customWidth="1" style="73" min="8" max="8"/>
    <col width="11.94" customWidth="1" style="73" min="9" max="9"/>
    <col width="14.33" customWidth="1" style="73" min="10" max="10"/>
    <col width="17.9" customWidth="1" style="73" min="11" max="11"/>
    <col width="29.84" customWidth="1" style="73" min="12" max="12"/>
    <col width="31.03" customWidth="1" style="73" min="13" max="13"/>
    <col width="33.42" customWidth="1" style="73" min="14" max="14"/>
    <col width="26.26" customWidth="1" style="73" min="15" max="15"/>
    <col width="11.94" customWidth="1" style="73" min="16" max="16"/>
    <col width="50.13" customWidth="1" style="73" min="17" max="17"/>
  </cols>
  <sheetData>
    <row r="1" ht="30" customHeight="1" s="74">
      <c r="A1" s="132" t="inlineStr">
        <is>
          <t>ShellStorm2 · 3D Prefab 分类索引</t>
        </is>
      </c>
      <c r="H1" s="123" t="n"/>
      <c r="I1" s="123" t="n"/>
      <c r="J1" s="123" t="n"/>
      <c r="K1" s="123" t="n"/>
      <c r="L1" s="123" t="n"/>
      <c r="M1" s="123" t="n"/>
      <c r="N1" s="123" t="n"/>
      <c r="O1" s="123" t="n"/>
      <c r="P1" s="123" t="n"/>
      <c r="Q1" s="123" t="n"/>
    </row>
    <row r="2" ht="33.75" customHeight="1" s="74">
      <c r="A2" s="133" t="inlineStr">
        <is>
          <t>详细Prefab按分类进入独立分页；场景与固定设施统一使用项目公共色盘，不在模型目录复制贴图。</t>
        </is>
      </c>
      <c r="H2" s="123" t="n"/>
      <c r="I2" s="123" t="n"/>
      <c r="J2" s="123" t="n"/>
      <c r="K2" s="123" t="n"/>
      <c r="L2" s="123" t="n"/>
      <c r="M2" s="123" t="n"/>
      <c r="N2" s="123" t="n"/>
      <c r="O2" s="123" t="n"/>
      <c r="P2" s="123" t="n"/>
      <c r="Q2" s="123" t="n"/>
    </row>
    <row r="3" ht="15" customHeight="1" s="74">
      <c r="A3" s="123" t="n"/>
      <c r="B3" s="123" t="n"/>
      <c r="C3" s="123" t="n"/>
      <c r="D3" s="123" t="n"/>
      <c r="E3" s="123" t="n"/>
      <c r="F3" s="123" t="n"/>
      <c r="G3" s="123" t="n"/>
      <c r="H3" s="123" t="n"/>
      <c r="I3" s="123" t="n"/>
      <c r="J3" s="123" t="n"/>
      <c r="K3" s="123" t="n"/>
      <c r="L3" s="123" t="n"/>
      <c r="M3" s="123" t="n"/>
      <c r="N3" s="123" t="n"/>
      <c r="O3" s="123" t="n"/>
      <c r="P3" s="123" t="n"/>
      <c r="Q3" s="123" t="n"/>
    </row>
    <row r="4" ht="27.75" customHeight="1" s="74">
      <c r="A4" s="134" t="inlineStr">
        <is>
          <t>分类</t>
        </is>
      </c>
      <c r="B4" s="134" t="inlineStr">
        <is>
          <t>分页</t>
        </is>
      </c>
      <c r="C4" s="135" t="inlineStr">
        <is>
          <t>Prefab数量</t>
        </is>
      </c>
      <c r="D4" s="134" t="inlineStr">
        <is>
          <t>直接引用GLB</t>
        </is>
      </c>
      <c r="E4" s="134" t="inlineStr">
        <is>
          <t>有功能脚本</t>
        </is>
      </c>
      <c r="F4" s="134" t="inlineStr">
        <is>
          <t>碰撞开启</t>
        </is>
      </c>
      <c r="G4" s="134" t="inlineStr">
        <is>
          <t>说明</t>
        </is>
      </c>
      <c r="H4" s="134" t="inlineStr">
        <is>
          <t>归属账本</t>
        </is>
      </c>
      <c r="I4" s="123" t="n"/>
      <c r="J4" s="123" t="n"/>
      <c r="K4" s="123" t="n"/>
      <c r="L4" s="123" t="n"/>
      <c r="M4" s="123" t="n"/>
      <c r="N4" s="123" t="n"/>
      <c r="O4" s="123" t="n"/>
      <c r="P4" s="123" t="n"/>
      <c r="Q4" s="123" t="n"/>
    </row>
    <row r="5" ht="31.5" customHeight="1" s="74">
      <c r="A5" s="112" t="inlineStr">
        <is>
          <t>场景通用组件</t>
        </is>
      </c>
      <c r="B5" s="136" t="inlineStr">
        <is>
          <t>3D-场景通用</t>
        </is>
      </c>
      <c r="C5" s="136" t="n">
        <v>712</v>
      </c>
      <c r="D5" s="136" t="n">
        <v>641</v>
      </c>
      <c r="E5" s="136" t="n">
        <v>108</v>
      </c>
      <c r="F5" s="136" t="n">
        <v>64</v>
      </c>
      <c r="G5" s="137" t="inlineStr">
        <is>
          <t>关卡结构、地板、墙体、走廊、楼梯、楼板与环境套件</t>
        </is>
      </c>
      <c r="H5" s="85" t="inlineStr">
        <is>
          <t>assets/registry/ledgers/ShellStorm2_场景账本_v001.xlsx</t>
        </is>
      </c>
      <c r="I5" s="123" t="n"/>
      <c r="J5" s="123" t="n"/>
      <c r="K5" s="123" t="n"/>
      <c r="L5" s="123" t="n"/>
      <c r="M5" s="123" t="n"/>
      <c r="N5" s="123" t="n"/>
      <c r="O5" s="123" t="n"/>
      <c r="P5" s="123" t="n"/>
      <c r="Q5" s="123" t="n"/>
    </row>
    <row r="6" ht="31.5" customHeight="1" s="74">
      <c r="A6" s="117" t="inlineStr">
        <is>
          <t>设施组件</t>
        </is>
      </c>
      <c r="B6" s="138" t="inlineStr">
        <is>
          <t>3D-设施</t>
        </is>
      </c>
      <c r="C6" s="138" t="n">
        <v>23</v>
      </c>
      <c r="D6" s="138" t="n">
        <v>13</v>
      </c>
      <c r="E6" s="138" t="n">
        <v>22</v>
      </c>
      <c r="F6" s="138" t="n">
        <v>21</v>
      </c>
      <c r="G6" s="139" t="inlineStr">
        <is>
          <t>门扇、灯具、开关、终端、工作台、储物与服务设施</t>
        </is>
      </c>
      <c r="H6" s="85" t="inlineStr">
        <is>
          <t>assets/registry/ledgers/ShellStorm2_场景账本_v001.xlsx</t>
        </is>
      </c>
      <c r="I6" s="123" t="n"/>
      <c r="J6" s="123" t="n"/>
      <c r="K6" s="123" t="n"/>
      <c r="L6" s="123" t="n"/>
      <c r="M6" s="123" t="n"/>
      <c r="N6" s="123" t="n"/>
      <c r="O6" s="123" t="n"/>
      <c r="P6" s="123" t="n"/>
      <c r="Q6" s="123" t="n"/>
    </row>
    <row r="7" ht="31.5" customHeight="1" s="74">
      <c r="A7" s="117" t="inlineStr">
        <is>
          <t>道具</t>
        </is>
      </c>
      <c r="B7" s="138" t="inlineStr">
        <is>
          <t>3D-道具</t>
        </is>
      </c>
      <c r="C7" s="138" t="n">
        <v>4</v>
      </c>
      <c r="D7" s="138" t="n">
        <v>2</v>
      </c>
      <c r="E7" s="138" t="n">
        <v>2</v>
      </c>
      <c r="F7" s="138" t="n">
        <v>2</v>
      </c>
      <c r="G7" s="139" t="inlineStr">
        <is>
          <t>桌椅、家具、收音机、容器和摆放装饰物</t>
        </is>
      </c>
      <c r="H7" s="85" t="inlineStr">
        <is>
          <t>assets/registry/ledgers/ShellStorm2_道具账本_v001.xlsx</t>
        </is>
      </c>
      <c r="I7" s="123" t="n"/>
      <c r="J7" s="123" t="n"/>
      <c r="K7" s="123" t="n"/>
      <c r="L7" s="123" t="n"/>
      <c r="M7" s="123" t="n"/>
      <c r="N7" s="123" t="n"/>
      <c r="O7" s="123" t="n"/>
      <c r="P7" s="123" t="n"/>
      <c r="Q7" s="123" t="n"/>
    </row>
    <row r="8" ht="31.5" customHeight="1" s="74">
      <c r="A8" s="117" t="inlineStr">
        <is>
          <t>角色</t>
        </is>
      </c>
      <c r="B8" s="138" t="inlineStr">
        <is>
          <t>3D-角色</t>
        </is>
      </c>
      <c r="C8" s="138" t="n">
        <v>4</v>
      </c>
      <c r="D8" s="138" t="n">
        <v>1</v>
      </c>
      <c r="E8" s="138" t="n">
        <v>4</v>
      </c>
      <c r="F8" s="138" t="n">
        <v>1</v>
      </c>
      <c r="G8" s="139" t="inlineStr">
        <is>
          <t>玩家、NPC与角色表现/玩法根</t>
        </is>
      </c>
      <c r="H8" s="85" t="inlineStr">
        <is>
          <t>assets/registry/ledgers/ShellStorm2_角色账本_v001.xlsx</t>
        </is>
      </c>
      <c r="I8" s="123" t="n"/>
      <c r="J8" s="123" t="n"/>
      <c r="K8" s="123" t="n"/>
      <c r="L8" s="123" t="n"/>
      <c r="M8" s="123" t="n"/>
      <c r="N8" s="123" t="n"/>
      <c r="O8" s="123" t="n"/>
      <c r="P8" s="123" t="n"/>
      <c r="Q8" s="123" t="n"/>
    </row>
    <row r="9" ht="31.5" customHeight="1" s="74">
      <c r="A9" s="117" t="inlineStr">
        <is>
          <t>敌人</t>
        </is>
      </c>
      <c r="B9" s="138" t="inlineStr">
        <is>
          <t>3D-敌人</t>
        </is>
      </c>
      <c r="C9" s="138" t="n">
        <v>2</v>
      </c>
      <c r="D9" s="138" t="n">
        <v>1</v>
      </c>
      <c r="E9" s="138" t="n">
        <v>2</v>
      </c>
      <c r="F9" s="138" t="n">
        <v>1</v>
      </c>
      <c r="G9" s="139" t="inlineStr">
        <is>
          <t>普通敌人、精英、Boss与敌人共用根</t>
        </is>
      </c>
      <c r="H9" s="85" t="inlineStr">
        <is>
          <t>assets/registry/ledgers/ShellStorm2_敌人账本_v001.xlsx</t>
        </is>
      </c>
      <c r="I9" s="123" t="n"/>
      <c r="J9" s="123" t="n"/>
      <c r="K9" s="123" t="n"/>
      <c r="L9" s="123" t="n"/>
      <c r="M9" s="123" t="n"/>
      <c r="N9" s="123" t="n"/>
      <c r="O9" s="123" t="n"/>
      <c r="P9" s="123" t="n"/>
      <c r="Q9" s="123" t="n"/>
    </row>
    <row r="10" ht="31.5" customHeight="1" s="74">
      <c r="A10" s="117" t="inlineStr">
        <is>
          <t>武器</t>
        </is>
      </c>
      <c r="B10" s="138" t="inlineStr">
        <is>
          <t>3D-武器</t>
        </is>
      </c>
      <c r="C10" s="138" t="n">
        <v>22</v>
      </c>
      <c r="D10" s="138" t="n">
        <v>18</v>
      </c>
      <c r="E10" s="138" t="n">
        <v>22</v>
      </c>
      <c r="F10" s="138" t="n">
        <v>0</v>
      </c>
      <c r="G10" s="139" t="inlineStr">
        <is>
          <t>枪械、近战武器与武器装配根</t>
        </is>
      </c>
      <c r="H10" s="85" t="inlineStr">
        <is>
          <t>assets/registry/ledgers/ShellStorm2_武器账本_v001.xlsx</t>
        </is>
      </c>
      <c r="I10" s="123" t="n"/>
      <c r="J10" s="123" t="n"/>
      <c r="K10" s="123" t="n"/>
      <c r="L10" s="123" t="n"/>
      <c r="M10" s="123" t="n"/>
      <c r="N10" s="123" t="n"/>
      <c r="O10" s="123" t="n"/>
      <c r="P10" s="123" t="n"/>
      <c r="Q10" s="123" t="n"/>
    </row>
    <row r="11" ht="31.5" customHeight="1" s="74">
      <c r="A11" s="117" t="inlineStr">
        <is>
          <t>物品</t>
        </is>
      </c>
      <c r="B11" s="138" t="inlineStr">
        <is>
          <t>3D-物品</t>
        </is>
      </c>
      <c r="C11" s="138" t="n">
        <v>0</v>
      </c>
      <c r="D11" s="138" t="n">
        <v>0</v>
      </c>
      <c r="E11" s="138" t="n">
        <v>0</v>
      </c>
      <c r="F11" s="138" t="n">
        <v>0</v>
      </c>
      <c r="G11" s="139" t="inlineStr">
        <is>
          <t>拥有独立PackedScene的拾取物、消耗品、钥匙和掉落物</t>
        </is>
      </c>
      <c r="H11" s="85" t="inlineStr">
        <is>
          <t>assets/registry/ledgers/ShellStorm2_道具账本_v001.xlsx</t>
        </is>
      </c>
      <c r="I11" s="123" t="n"/>
      <c r="J11" s="123" t="n"/>
      <c r="K11" s="123" t="n"/>
      <c r="L11" s="123" t="n"/>
      <c r="M11" s="123" t="n"/>
      <c r="N11" s="123" t="n"/>
      <c r="O11" s="123" t="n"/>
      <c r="P11" s="123" t="n"/>
      <c r="Q11" s="123" t="n"/>
    </row>
    <row r="12" ht="31.5" customHeight="1" s="74">
      <c r="A12" s="117" t="inlineStr">
        <is>
          <t>特效</t>
        </is>
      </c>
      <c r="B12" s="138" t="inlineStr">
        <is>
          <t>3D-特效</t>
        </is>
      </c>
      <c r="C12" s="138" t="n">
        <v>15</v>
      </c>
      <c r="D12" s="138" t="n">
        <v>10</v>
      </c>
      <c r="E12" s="138" t="n">
        <v>10</v>
      </c>
      <c r="F12" s="138" t="n">
        <v>0</v>
      </c>
      <c r="G12" s="139" t="inlineStr">
        <is>
          <t>可独立实例化的3D战斗、环境和可见性特效</t>
        </is>
      </c>
      <c r="H12" s="85" t="inlineStr">
        <is>
          <t>assets/registry/ledgers/ShellStorm2_特效账本_v001.xlsx</t>
        </is>
      </c>
      <c r="I12" s="123" t="n"/>
      <c r="J12" s="123" t="n"/>
      <c r="K12" s="123" t="n"/>
      <c r="L12" s="123" t="n"/>
      <c r="M12" s="123" t="n"/>
      <c r="N12" s="123" t="n"/>
      <c r="O12" s="123" t="n"/>
      <c r="P12" s="123" t="n"/>
      <c r="Q12" s="123" t="n"/>
    </row>
    <row r="13" ht="31.5" customHeight="1" s="74">
      <c r="A13" s="117" t="inlineStr">
        <is>
          <t>其他</t>
        </is>
      </c>
      <c r="B13" s="138" t="inlineStr">
        <is>
          <t>3D-其他</t>
        </is>
      </c>
      <c r="C13" s="138" t="n">
        <v>0</v>
      </c>
      <c r="D13" s="138" t="n">
        <v>0</v>
      </c>
      <c r="E13" s="138" t="n">
        <v>0</v>
      </c>
      <c r="F13" s="138" t="n">
        <v>0</v>
      </c>
      <c r="G13" s="139" t="inlineStr">
        <is>
          <t>无法归入以上分类的独立3D Prefab</t>
        </is>
      </c>
      <c r="H13" s="85" t="inlineStr">
        <is>
          <t>assets/registry/ledgers/ShellStorm2_场景账本_v001.xlsx</t>
        </is>
      </c>
      <c r="I13" s="123" t="n"/>
      <c r="J13" s="123" t="n"/>
      <c r="K13" s="123" t="n"/>
      <c r="L13" s="123" t="n"/>
      <c r="M13" s="123" t="n"/>
      <c r="N13" s="123" t="n"/>
      <c r="O13" s="123" t="n"/>
      <c r="P13" s="123" t="n"/>
      <c r="Q13" s="123" t="n"/>
    </row>
    <row r="14" ht="31.5" customHeight="1" s="74">
      <c r="A14" s="140" t="inlineStr">
        <is>
          <t>合计</t>
        </is>
      </c>
      <c r="B14" s="141" t="inlineStr">
        <is>
          <t>9个分类分页</t>
        </is>
      </c>
      <c r="C14" s="141" t="n">
        <v>119</v>
      </c>
      <c r="D14" s="141" t="n">
        <v>47</v>
      </c>
      <c r="E14" s="141" t="n">
        <v>107</v>
      </c>
      <c r="F14" s="141" t="n">
        <v>64</v>
      </c>
      <c r="G14" s="142" t="inlineStr">
        <is>
          <t>更新日期：2026-09-12；新增6个99F设施玩法包装（自动贩卖机、保险柜、怪物档案室、命运卡收藏室、状态恢复舱、角色衣柜）；合计 119</t>
        </is>
      </c>
      <c r="H14" s="81" t="n"/>
      <c r="I14" s="123" t="n"/>
      <c r="J14" s="123" t="n"/>
      <c r="K14" s="123" t="n"/>
      <c r="L14" s="123" t="n"/>
      <c r="M14" s="123" t="n"/>
      <c r="N14" s="123" t="n"/>
      <c r="O14" s="123" t="n"/>
      <c r="P14" s="123" t="n"/>
      <c r="Q14" s="123" t="n"/>
    </row>
  </sheetData>
  <mergeCells count="2">
    <mergeCell ref="A2:G2"/>
    <mergeCell ref="A1:G1"/>
  </mergeCells>
  <dataValidations count="1">
    <dataValidation sqref="A5:A200" showDropDown="0" showInputMessage="0" showErrorMessage="0" allowBlank="1" type="list" errorStyle="stop" operator="between">
      <formula1>"场景通用组件,设施组件,道具,角色,敌人,武器,物品,特效,其他"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73" min="1" max="1"/>
    <col width="28.65" customWidth="1" style="73" min="2" max="2"/>
    <col width="42.97" customWidth="1" style="73" min="3" max="3"/>
    <col width="69.23" customWidth="1" style="73" min="4" max="4"/>
    <col width="26.26" customWidth="1" style="73" min="5" max="5"/>
    <col width="40.58" customWidth="1" style="73" min="6" max="6"/>
    <col width="14.33" customWidth="1" style="73" min="7" max="7"/>
    <col width="19.1" customWidth="1" style="73" min="8" max="8"/>
    <col width="16.71" customWidth="1" style="73" min="9" max="9"/>
    <col width="45.35" customWidth="1" style="73" min="10" max="10"/>
  </cols>
  <sheetData>
    <row r="1" ht="27.75" customHeight="1" s="74">
      <c r="A1" s="143" t="inlineStr">
        <is>
          <t>ShellStorm2 · 资产制作与带入 Skill 清单</t>
        </is>
      </c>
    </row>
    <row r="2" ht="24" customHeight="1" s="74">
      <c r="A2" s="144" t="inlineStr">
        <is>
          <t>只登记实际使用或项目预备的Skill；项目草稿不等于已安装。</t>
        </is>
      </c>
    </row>
    <row r="4" ht="33.75" customHeight="1" s="74">
      <c r="A4" s="145" t="inlineStr">
        <is>
          <t>SkillID</t>
        </is>
      </c>
      <c r="B4" s="146" t="inlineStr">
        <is>
          <t>名称</t>
        </is>
      </c>
      <c r="C4" s="146" t="inlineStr">
        <is>
          <t>用途</t>
        </is>
      </c>
      <c r="D4" s="146" t="inlineStr">
        <is>
          <t>路径</t>
        </is>
      </c>
      <c r="E4" s="146" t="inlineStr">
        <is>
          <t>安装状态</t>
        </is>
      </c>
      <c r="F4" s="146" t="inlineStr">
        <is>
          <t>触发范围</t>
        </is>
      </c>
      <c r="G4" s="146" t="inlineStr">
        <is>
          <t>版本</t>
        </is>
      </c>
      <c r="H4" s="146" t="inlineStr">
        <is>
          <t>状态</t>
        </is>
      </c>
      <c r="I4" s="146" t="inlineStr">
        <is>
          <t>更新时间</t>
        </is>
      </c>
      <c r="J4" s="146" t="inlineStr">
        <is>
          <t>备注</t>
        </is>
      </c>
    </row>
    <row r="5" ht="55.5" customHeight="1" s="74">
      <c r="A5" s="147" t="inlineStr">
        <is>
          <t>SKILL-SHELLSTORM-ART-ASSETS</t>
        </is>
      </c>
      <c r="B5" s="147" t="inlineStr">
        <is>
          <t>ShellStorm2美术资产管理</t>
        </is>
      </c>
      <c r="C5" s="148" t="inlineStr">
        <is>
          <t>资产分类、命名、查重、登记与QA</t>
        </is>
      </c>
      <c r="D5" s="147" t="inlineStr">
        <is>
          <t>/Users/summercards/.codex/skills/shellstorm-art-assets/SKILL.md</t>
        </is>
      </c>
      <c r="E5" s="148" t="inlineStr">
        <is>
          <t>已安装</t>
        </is>
      </c>
      <c r="F5" s="147" t="inlineStr">
        <is>
          <t>ShellStorm2全类别美术资产</t>
        </is>
      </c>
      <c r="G5" s="147" t="inlineStr">
        <is>
          <t>current</t>
        </is>
      </c>
      <c r="H5" s="148" t="inlineStr">
        <is>
          <t>使用中</t>
        </is>
      </c>
      <c r="I5" s="149" t="n">
        <v>46254</v>
      </c>
      <c r="J5" s="148" t="inlineStr">
        <is>
          <t>项目资产总流程</t>
        </is>
      </c>
    </row>
    <row r="6" ht="55.5" customHeight="1" s="74">
      <c r="A6" s="147" t="inlineStr">
        <is>
          <t>SKILL-BLENDER-GAME-PROP</t>
        </is>
      </c>
      <c r="B6" s="147" t="inlineStr">
        <is>
          <t>Blender游戏资产制作规范</t>
        </is>
      </c>
      <c r="C6" s="148" t="inlineStr">
        <is>
          <t>单物件与模块化建筑制作/验收</t>
        </is>
      </c>
      <c r="D6" s="147" t="inlineStr">
        <is>
          <t>.codex/skills/blender-game-prop-standard/SKILL.md</t>
        </is>
      </c>
      <c r="E6" s="148" t="inlineStr">
        <is>
          <t>项目内已安装</t>
        </is>
      </c>
      <c r="F6" s="148" t="inlineStr">
        <is>
          <t>设施、道具、墙、楼板、楼梯、栏杆</t>
        </is>
      </c>
      <c r="G6" s="147" t="inlineStr">
        <is>
          <t>current</t>
        </is>
      </c>
      <c r="H6" s="148" t="inlineStr">
        <is>
          <t>本轮已迭代</t>
        </is>
      </c>
      <c r="I6" s="149" t="n">
        <v>46262</v>
      </c>
      <c r="J6" s="148" t="inlineStr">
        <is>
          <t>强制场景/设施Blender母版仅外链项目公共色盘；GLB禁止嵌图并启用共享色盘验收。</t>
        </is>
      </c>
    </row>
    <row r="7" ht="55.5" customHeight="1" s="74">
      <c r="A7" s="147" t="inlineStr">
        <is>
          <t>SKILL-GODOT-MODEL-IMPORT</t>
        </is>
      </c>
      <c r="B7" s="147" t="inlineStr">
        <is>
          <t>Godot模型资产导入规范</t>
        </is>
      </c>
      <c r="C7" s="147" t="inlineStr">
        <is>
          <t>GLB、PackedScene、引用替换、台账和验收</t>
        </is>
      </c>
      <c r="D7" s="147" t="inlineStr">
        <is>
          <t>.codex/skills/godot-model-asset-import-standard/SKILL.md</t>
        </is>
      </c>
      <c r="E7" s="148" t="inlineStr">
        <is>
          <t>项目内已安装</t>
        </is>
      </c>
      <c r="F7" s="148" t="inlineStr">
        <is>
          <t>所有3D模型导入与替换</t>
        </is>
      </c>
      <c r="G7" s="147" t="inlineStr">
        <is>
          <t>current</t>
        </is>
      </c>
      <c r="H7" s="148" t="inlineStr">
        <is>
          <t>本轮已迭代</t>
        </is>
      </c>
      <c r="I7" s="149" t="n">
        <v>46262</v>
      </c>
      <c r="J7" s="148" t="inlineStr">
        <is>
          <t>强制场景/设施GLB丢弃嵌入贴图，并由统一后导入脚本绑定公共色盘。</t>
        </is>
      </c>
    </row>
    <row r="8" ht="55.5" customHeight="1" s="74">
      <c r="A8" s="147" t="inlineStr">
        <is>
          <t>SKILL-PLAYER-AVATAR-DRAFT</t>
        </is>
      </c>
      <c r="B8" s="148" t="inlineStr">
        <is>
          <t>玩家角色资产制作与带入规范</t>
        </is>
      </c>
      <c r="C8" s="147" t="inlineStr">
        <is>
          <t>1.5米角色母版、槽位、挂点、换装与导入</t>
        </is>
      </c>
      <c r="D8" s="147" t="inlineStr">
        <is>
          <t>skills_drafts/player-avatar-asset-standard/SKILL.md</t>
        </is>
      </c>
      <c r="E8" s="148" t="inlineStr">
        <is>
          <t>未安装（项目草稿）</t>
        </is>
      </c>
      <c r="F8" s="148" t="inlineStr">
        <is>
          <t>玩家角色与配件</t>
        </is>
      </c>
      <c r="G8" s="147" t="inlineStr">
        <is>
          <t>v001</t>
        </is>
      </c>
      <c r="H8" s="148" t="inlineStr">
        <is>
          <t>预备完成</t>
        </is>
      </c>
      <c r="I8" s="149" t="n">
        <v>46254</v>
      </c>
      <c r="J8" s="148" t="inlineStr">
        <is>
          <t>等待用户未来明确授权后再安装</t>
        </is>
      </c>
    </row>
    <row r="9" ht="15" customHeight="1" s="74">
      <c r="A9" s="124" t="inlineStr">
        <is>
          <t>SKILL-UI-ASSET-PIPELINE</t>
        </is>
      </c>
      <c r="B9" s="124" t="inlineStr">
        <is>
          <t>UI 资产制作与验收</t>
        </is>
      </c>
      <c r="C9" s="124" t="inlineStr">
        <is>
          <t>UI 账本、页面/图标接入、手柄焦点与跨分辨率验收</t>
        </is>
      </c>
      <c r="D9" s="124" t="inlineStr">
        <is>
          <t>.codex/skills/ui-asset-pipeline/SKILL.md</t>
        </is>
      </c>
      <c r="E9" s="73" t="inlineStr">
        <is>
          <t>项目内已安装</t>
        </is>
      </c>
      <c r="F9" s="124" t="inlineStr">
        <is>
          <t>HUD、背包、基地菜单、弹窗与图标</t>
        </is>
      </c>
      <c r="G9" s="124" t="inlineStr">
        <is>
          <t>v001</t>
        </is>
      </c>
      <c r="H9" s="73" t="inlineStr">
        <is>
          <t>使用中</t>
        </is>
      </c>
      <c r="I9" s="124" t="inlineStr">
        <is>
          <t>2026-09-23</t>
        </is>
      </c>
      <c r="J9" s="124" t="inlineStr">
        <is>
          <t>P2 媒体域拆分后接管 UI 独立流程</t>
        </is>
      </c>
    </row>
    <row r="10" ht="15" customHeight="1" s="74">
      <c r="A10" s="124" t="inlineStr">
        <is>
          <t>SKILL-AUDIO-SFX-ASSET-PIPELINE</t>
        </is>
      </c>
      <c r="B10" s="73" t="inlineStr">
        <is>
          <t>短时游戏音效制作与验收</t>
        </is>
      </c>
      <c r="C10" s="73" t="inlineStr">
        <is>
          <t>音效账本、事件键、转码、接入与回归验收</t>
        </is>
      </c>
      <c r="D10" s="124" t="inlineStr">
        <is>
          <t>.codex/skills/audio-sfx-asset-pipeline/SKILL.md</t>
        </is>
      </c>
      <c r="E10" s="73" t="inlineStr">
        <is>
          <t>项目内已安装</t>
        </is>
      </c>
      <c r="F10" s="73" t="inlineStr">
        <is>
          <t>武器、近战、受击、UI、门、容器、波次与交互音效</t>
        </is>
      </c>
      <c r="G10" s="124" t="inlineStr">
        <is>
          <t>v001</t>
        </is>
      </c>
      <c r="H10" s="73" t="inlineStr">
        <is>
          <t>使用中</t>
        </is>
      </c>
      <c r="I10" s="124" t="inlineStr">
        <is>
          <t>2026-09-23</t>
        </is>
      </c>
      <c r="J10" s="124" t="inlineStr">
        <is>
          <t>P2 媒体域拆分后接管 SFX 独立流程</t>
        </is>
      </c>
    </row>
    <row r="11" ht="15" customHeight="1" s="74">
      <c r="A11" s="124" t="inlineStr">
        <is>
          <t>SKILL-MUSIC-ASSET-PIPELINE</t>
        </is>
      </c>
      <c r="B11" s="124" t="inlineStr">
        <is>
          <t>BGM 与场景配乐制作与验收</t>
        </is>
      </c>
      <c r="C11" s="73" t="inlineStr">
        <is>
          <t>音乐账本、循环、曲目 A/B、Music 总线与场景切换验收</t>
        </is>
      </c>
      <c r="D11" s="124" t="inlineStr">
        <is>
          <t>.codex/skills/music-asset-pipeline/SKILL.md</t>
        </is>
      </c>
      <c r="E11" s="73" t="inlineStr">
        <is>
          <t>项目内已安装</t>
        </is>
      </c>
      <c r="F11" s="124" t="inlineStr">
        <is>
          <t>BGM、场景配乐、循环与场景触发</t>
        </is>
      </c>
      <c r="G11" s="124" t="inlineStr">
        <is>
          <t>v001</t>
        </is>
      </c>
      <c r="H11" s="73" t="inlineStr">
        <is>
          <t>使用中</t>
        </is>
      </c>
      <c r="I11" s="124" t="inlineStr">
        <is>
          <t>2026-09-23</t>
        </is>
      </c>
      <c r="J11" s="124" t="inlineStr">
        <is>
          <t>P2 媒体域拆分后接管 Music 独立流程</t>
        </is>
      </c>
    </row>
  </sheetData>
  <mergeCells count="2">
    <mergeCell ref="A1:J1"/>
    <mergeCell ref="A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2026-09-23T07:44:54Z</dcterms:created>
  <dcterms:modified xmlns:dcterms="http://purl.org/dc/terms/" xmlns:xsi="http://www.w3.org/2001/XMLSchema-instance" xsi:type="dcterms:W3CDTF">2026-10-07T14:29:02Z</dcterms:modified>
  <cp:revision>0</cp:revision>
</cp:coreProperties>
</file>