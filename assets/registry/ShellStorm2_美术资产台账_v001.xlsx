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10985a806f4c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445afed255f4c27"/>
    <x:sheet xmlns:r="http://schemas.openxmlformats.org/officeDocument/2006/relationships" name="资产主表" sheetId="2" r:id="Rcc0afe7668354274"/>
    <x:sheet xmlns:r="http://schemas.openxmlformats.org/officeDocument/2006/relationships" name="角色组件" sheetId="3" r:id="R6275beb9a61741b7"/>
    <x:sheet xmlns:r="http://schemas.openxmlformats.org/officeDocument/2006/relationships" name="动画与状态" sheetId="4" r:id="Ra1da56055e89475a"/>
    <x:sheet xmlns:r="http://schemas.openxmlformats.org/officeDocument/2006/relationships" name="分类与编码" sheetId="5" r:id="R1ad8686139e64aaa"/>
    <x:sheet xmlns:r="http://schemas.openxmlformats.org/officeDocument/2006/relationships" name="命名与查重" sheetId="6" r:id="R56a8f7b5b15f412e"/>
    <x:sheet xmlns:r="http://schemas.openxmlformats.org/officeDocument/2006/relationships" name="原型角色" sheetId="7" r:id="R2846fd3d7c8040a6"/>
    <x:sheet xmlns:r="http://schemas.openxmlformats.org/officeDocument/2006/relationships" name="版本记录" sheetId="8" r:id="R57ed26890ba14e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</x:fonts>
  <x:fills count="28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</x:fills>
  <x:borders count="8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</x:borders>
  <x:cellStyleXfs count="1">
    <x:xf numFmtId="0" fontId="0" fillId="0" borderId="0"/>
  </x:cellStyleXfs>
  <x:cellXfs count="1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0"/>
    </x:xf>
    <x:xf numFmtId="0" fontId="18" fillId="8" borderId="0" xfId="0" applyNumberFormat="1" applyFont="1" applyFill="1" applyBorder="1" applyAlignment="1">
      <x:alignment vertical="center" wrapText="0"/>
    </x:xf>
    <x:xf numFmtId="0" fontId="18" fillId="9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9" fillId="10" borderId="0" xfId="0" applyNumberFormat="1" applyFont="1" applyFill="1" applyBorder="1"/>
    <x:xf numFmtId="0" fontId="0" fillId="11" borderId="0" xfId="0" applyNumberFormat="1" applyFont="1" applyFill="1" applyBorder="1"/>
    <x:xf numFmtId="0" fontId="20" fillId="11" borderId="0" xfId="0" applyNumberFormat="1" applyFont="1" applyFill="1" applyBorder="1"/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0" fillId="13" borderId="0" xfId="0" applyNumberFormat="1" applyFont="1" applyFill="1" applyBorder="1"/>
    <x:xf numFmtId="0" fontId="21" fillId="13" borderId="0" xfId="0" applyNumberFormat="1" applyFont="1" applyFill="1" applyBorder="1"/>
    <x:xf numFmtId="0" fontId="21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5" fillId="15" borderId="0" xfId="0" applyNumberFormat="1" applyFont="1" applyFill="1" applyBorder="1"/>
    <x:xf numFmtId="0" fontId="21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0" fillId="17" borderId="0" xfId="0" applyNumberFormat="1" applyFont="1" applyFill="1" applyBorder="1"/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20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wrapText="1"/>
    </x:xf>
    <x:xf numFmtId="0" fontId="20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5" fillId="23" borderId="0" xfId="0" applyNumberFormat="1" applyFont="1" applyFill="1" applyBorder="1"/>
    <x:xf numFmtId="0" fontId="5" fillId="23" borderId="0" xfId="0" applyNumberFormat="1" applyFont="1" applyFill="1" applyBorder="1" applyAlignment="1">
      <x:alignment horizontal="center"/>
    </x:xf>
    <x:xf numFmtId="0" fontId="5" fillId="23" borderId="0" xfId="0" applyNumberFormat="1" applyFont="1" applyFill="1" applyBorder="1" applyAlignment="1">
      <x:alignment horizontal="center" vertical="center"/>
    </x:xf>
    <x:xf numFmtId="0" fontId="0" fillId="24" borderId="0" xfId="0" applyNumberFormat="1" applyFont="1" applyFill="1" applyBorder="1"/>
    <x:xf numFmtId="0" fontId="23" fillId="24" borderId="0" xfId="0" applyNumberFormat="1" applyFont="1" applyFill="1" applyBorder="1"/>
    <x:xf numFmtId="0" fontId="23" fillId="24" borderId="6" xfId="0" applyNumberFormat="1" applyFont="1" applyFill="1" applyBorder="1"/>
    <x:xf numFmtId="0" fontId="23" fillId="24" borderId="6" xfId="0" applyNumberFormat="1" applyFont="1" applyFill="1" applyBorder="1" applyAlignment="1">
      <x:alignment wrapText="1"/>
    </x:xf>
    <x:xf numFmtId="0" fontId="23" fillId="24" borderId="6" xfId="0" applyNumberFormat="1" applyFont="1" applyFill="1" applyBorder="1" applyAlignment="1">
      <x:alignment vertical="center" wrapText="1"/>
    </x:xf>
    <x:xf numFmtId="0" fontId="23" fillId="25" borderId="6" xfId="0" applyNumberFormat="1" applyFont="1" applyFill="1" applyBorder="1" applyAlignment="1">
      <x:alignment vertical="center" wrapText="1"/>
    </x:xf>
    <x:xf numFmtId="0" fontId="24" fillId="25" borderId="6" xfId="0" applyNumberFormat="1" applyFont="1" applyFill="1" applyBorder="1" applyAlignment="1">
      <x:alignment vertical="center" wrapText="1"/>
    </x:xf>
    <x:xf numFmtId="0" fontId="24" fillId="25" borderId="7" xfId="0" applyNumberFormat="1" applyFont="1" applyFill="1" applyBorder="1" applyAlignment="1">
      <x:alignment vertical="center" wrapText="1"/>
    </x:xf>
    <x:xf numFmtId="0" fontId="24" fillId="26" borderId="7" xfId="0" applyNumberFormat="1" applyFont="1" applyFill="1" applyBorder="1" applyAlignment="1">
      <x:alignment vertical="center" wrapText="1"/>
    </x:xf>
    <x:xf numFmtId="0" fontId="23" fillId="26" borderId="6" xfId="0" applyNumberFormat="1" applyFont="1" applyFill="1" applyBorder="1" applyAlignment="1">
      <x:alignment vertical="center" wrapText="1"/>
    </x:xf>
    <x:xf numFmtId="0" fontId="25" fillId="26" borderId="7" xfId="0" applyNumberFormat="1" applyFont="1" applyFill="1" applyBorder="1" applyAlignment="1">
      <x:alignment vertical="center" wrapText="1"/>
    </x:xf>
    <x:xf numFmtId="0" fontId="25" fillId="26" borderId="6" xfId="0" applyNumberFormat="1" applyFont="1" applyFill="1" applyBorder="1" applyAlignment="1">
      <x:alignment vertical="center" wrapText="1"/>
    </x:xf>
    <x:xf numFmtId="0" fontId="25" fillId="27" borderId="6" xfId="0" applyNumberFormat="1" applyFont="1" applyFill="1" applyBorder="1" applyAlignment="1">
      <x:alignment vertical="center" wrapText="1"/>
    </x:xf>
    <x:xf numFmtId="0" fontId="24" fillId="27" borderId="6" xfId="0" applyNumberFormat="1" applyFont="1" applyFill="1" applyBorder="1" applyAlignment="1">
      <x:alignment vertical="center" wrapText="1"/>
    </x:xf>
    <x:xf numFmtId="0" fontId="24" fillId="27" borderId="7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3409ce343c4996" /><Relationship Type="http://schemas.openxmlformats.org/officeDocument/2006/relationships/theme" Target="/xl/theme/theme1.xml" Id="Rc0db0e9f2a844fb1" /><Relationship Type="http://schemas.openxmlformats.org/officeDocument/2006/relationships/sharedStrings" Target="/xl/sharedStrings.xml" Id="R36816b7ca5334140" /><Relationship Type="http://schemas.openxmlformats.org/officeDocument/2006/relationships/worksheet" Target="/xl/worksheets/sheet1.xml" Id="Rf445afed255f4c27" /><Relationship Type="http://schemas.openxmlformats.org/officeDocument/2006/relationships/worksheet" Target="/xl/worksheets/sheet2.xml" Id="Rcc0afe7668354274" /><Relationship Type="http://schemas.openxmlformats.org/officeDocument/2006/relationships/worksheet" Target="/xl/worksheets/sheet3.xml" Id="R6275beb9a61741b7" /><Relationship Type="http://schemas.openxmlformats.org/officeDocument/2006/relationships/worksheet" Target="/xl/worksheets/sheet4.xml" Id="Ra1da56055e89475a" /><Relationship Type="http://schemas.openxmlformats.org/officeDocument/2006/relationships/worksheet" Target="/xl/worksheets/sheet5.xml" Id="R1ad8686139e64aaa" /><Relationship Type="http://schemas.openxmlformats.org/officeDocument/2006/relationships/worksheet" Target="/xl/worksheets/sheet6.xml" Id="R56a8f7b5b15f412e" /><Relationship Type="http://schemas.openxmlformats.org/officeDocument/2006/relationships/worksheet" Target="/xl/worksheets/sheet7.xml" Id="R2846fd3d7c8040a6" /><Relationship Type="http://schemas.openxmlformats.org/officeDocument/2006/relationships/worksheet" Target="/xl/worksheets/sheet8.xml" Id="R57ed26890ba14e7e" /><Relationship Type="http://schemas.microsoft.com/office/2017/10/relationships/person" Target="/xl/persons/person.xml" Id="R2e9f197a2b5c4c15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d6065c28e84440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 v0.1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查重 → 归类 → 领取 AssetID → 组件制作 → 游戏内验收 → 回填哈希；本表是唯一资产登记源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当前3D原型</x:v>
      </x:c>
      <x:c r="J5" s="44" t="str">
        <x:v>基地 + 四主题副本 + 独立靶场</x:v>
      </x:c>
    </x:row>
    <x:row r="6" ht="42" customHeight="1">
      <x:c r="A6" s="45" t="n">
        <x:f>COUNTA('资产主表'!$A$6:$A$205)</x:f>
        <x:v>200</x:v>
      </x:c>
      <x:c r="B6" s="43"/>
      <x:c r="C6" s="45" t="n">
        <x:f>COUNTIF('资产主表'!$K$6:$K$205,"已完成")+COUNTIF('资产主表'!$K$6:$K$205,"原型已接入")</x:f>
        <x:v>99</x:v>
      </x:c>
      <x:c r="D6" s="43"/>
      <x:c r="E6" s="45" t="n">
        <x:f>COUNTIF('资产主表'!$K$6:$K$205,"待制作")+COUNTIF('资产主表'!$K$6:$K$205,"程序占位")</x:f>
        <x:v>91</x:v>
      </x:c>
      <x:c r="F6" s="43"/>
      <x:c r="G6" s="45" t="n">
        <x:f>COUNTIF('资产主表'!$S$6:$S$205,"重复")</x:f>
        <x:v>0</x:v>
      </x:c>
      <x:c r="H6" s="43"/>
      <x:c r="I6" s="46" t="str">
        <x:v>v0.1 3D塔楼：5m组件网格 / 30×25m战斗房 / 9m层高</x:v>
      </x:c>
      <x:c r="J6" s="46" t="str">
        <x:v>楼顶 → 99层基地 → 98—95层战斗与撤离</x:v>
      </x:c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f>COUNTIF('资产主表'!$C$6:$C$205,A10)</x:f>
        <x:v>32</x:v>
      </x:c>
      <x:c r="C10" s="50" t="n">
        <x:f>COUNTIFS('资产主表'!$C$6:$C$205,A10,'资产主表'!$K$6:$K$205,"已完成")+COUNTIFS('资产主表'!$C$6:$C$205,A10,'资产主表'!$K$6:$K$205,"原型已接入")</x:f>
        <x:v>26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f>COUNTIF('资产主表'!$C$6:$C$205,A11)</x:f>
        <x:v>8</x:v>
      </x:c>
      <x:c r="C11" s="52" t="n">
        <x:f>COUNTIFS('资产主表'!$C$6:$C$205,A11,'资产主表'!$K$6:$K$205,"已完成")+COUNTIFS('资产主表'!$C$6:$C$205,A11,'资产主表'!$K$6:$K$205,"原型已接入")</x:f>
        <x:v>1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f>COUNTIF('资产主表'!$C$6:$C$205,A12)</x:f>
        <x:v>22</x:v>
      </x:c>
      <x:c r="C12" s="52" t="n">
        <x:f>COUNTIFS('资产主表'!$C$6:$C$205,A12,'资产主表'!$K$6:$K$205,"已完成")+COUNTIFS('资产主表'!$C$6:$C$205,A12,'资产主表'!$K$6:$K$205,"原型已接入")</x:f>
        <x:v>1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f>COUNTIF('资产主表'!$C$6:$C$205,A13)</x:f>
        <x:v>7</x:v>
      </x:c>
      <x:c r="C13" s="52" t="n">
        <x:f>COUNTIFS('资产主表'!$C$6:$C$205,A13,'资产主表'!$K$6:$K$205,"已完成")+COUNTIFS('资产主表'!$C$6:$C$205,A13,'资产主表'!$K$6:$K$205,"原型已接入")</x:f>
        <x:v>2</x:v>
      </x:c>
      <x:c r="D13" s="43"/>
      <x:c r="E13" s="51" t="str">
        <x:v>4</x:v>
      </x:c>
      <x:c r="F13" s="52" t="str">
        <x:v>3D房间/家具/枪械/怪物/灯具先查共用根与尺寸类</x:v>
      </x:c>
      <x:c r="G13" s="52" t="str">
        <x:v>主题差异进入资源或配置，禁止复制关卡局部目录</x:v>
      </x:c>
      <x:c r="H13" s="43"/>
      <x:c r="I13" s="43"/>
      <x:c r="J13" s="43"/>
    </x:row>
    <x:row r="14">
      <x:c r="A14" s="52" t="str">
        <x:v>场景</x:v>
      </x:c>
      <x:c r="B14" s="52" t="n">
        <x:f>COUNTIF('资产主表'!$C$6:$C$205,A14)</x:f>
        <x:v>35</x:v>
      </x:c>
      <x:c r="C14" s="52" t="n">
        <x:f>COUNTIFS('资产主表'!$C$6:$C$205,A14,'资产主表'!$K$6:$K$205,"已完成")+COUNTIFS('资产主表'!$C$6:$C$205,A14,'资产主表'!$K$6:$K$205,"原型已接入")</x:f>
        <x:v>17</x:v>
      </x:c>
      <x:c r="D14" s="43"/>
      <x:c r="E14" s="51" t="str">
        <x:v>5</x:v>
      </x:c>
      <x:c r="F14" s="52" t="str">
        <x:v>游戏内表现、状态机、玩法逻辑、性能四项验收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f>COUNTIF('资产主表'!$C$6:$C$205,A15)</x:f>
        <x:v>18</x:v>
      </x:c>
      <x:c r="C15" s="52" t="n">
        <x:f>COUNTIFS('资产主表'!$C$6:$C$205,A15,'资产主表'!$K$6:$K$205,"已完成")+COUNTIFS('资产主表'!$C$6:$C$205,A15,'资产主表'!$K$6:$K$205,"原型已接入")</x:f>
        <x:v>8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f>COUNTIF('资产主表'!$C$6:$C$205,A16)</x:f>
        <x:v>17</x:v>
      </x:c>
      <x:c r="C16" s="52" t="n">
        <x:f>COUNTIFS('资产主表'!$C$6:$C$205,A16,'资产主表'!$K$6:$K$205,"已完成")+COUNTIFS('资产主表'!$C$6:$C$205,A16,'资产主表'!$K$6:$K$205,"原型已接入")</x:f>
        <x:v>6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f>COUNTIF('资产主表'!$C$6:$C$205,A17)</x:f>
        <x:v>16</x:v>
      </x:c>
      <x:c r="C17" s="52" t="n">
        <x:f>COUNTIFS('资产主表'!$C$6:$C$205,A17,'资产主表'!$K$6:$K$205,"已完成")+COUNTIFS('资产主表'!$C$6:$C$205,A17,'资产主表'!$K$6:$K$205,"原型已接入")</x:f>
        <x:v>5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f>COUNTIF('资产主表'!$C$6:$C$205,A18)</x:f>
        <x:v>44</x:v>
      </x:c>
      <x:c r="C18" s="52" t="n">
        <x:f>COUNTIFS('资产主表'!$C$6:$C$205,A18,'资产主表'!$K$6:$K$205,"已完成")+COUNTIFS('资产主表'!$C$6:$C$205,A18,'资产主表'!$K$6:$K$205,"原型已接入")</x:f>
        <x:v>32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36" hidden="0" customWidth="1"/>
    <x:col min="16" max="16" width="34" hidden="0" customWidth="1"/>
    <x:col min="17" max="17" width="26" hidden="0" customWidth="1"/>
    <x:col min="18" max="18" width="42" hidden="0" customWidth="1"/>
    <x:col min="19" max="19" width="12" hidden="0" customWidth="1"/>
    <x:col min="20" max="20" width="30" hidden="0" customWidth="1"/>
    <x:col min="21" max="21" width="12" hidden="0" customWidth="1"/>
    <x:col min="22" max="22" width="13" hidden="0" customWidth="1"/>
    <x:col min="23" max="23" width="16" hidden="0" customWidth="1"/>
    <x:col min="24" max="24" width="52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俯视3D</x:v>
      </x:c>
      <x:c r="I6" s="36" t="str">
        <x:v>default</x:v>
      </x:c>
      <x:c r="J6" s="36" t="str">
        <x:v>正式3D玩家</x:v>
      </x:c>
      <x:c r="K6" s="36" t="str">
        <x:v>原型已接入</x:v>
      </x:c>
      <x:c r="L6" s="36" t="str">
        <x:v>P0</x:v>
      </x:c>
      <x:c r="M6" s="36" t="str">
        <x:v>v006</x:v>
      </x:c>
      <x:c r="N6" s="36" t="str">
        <x:v>稳定逻辑身份；当前表现约1.5m高</x:v>
      </x:c>
      <x:c r="O6" s="36" t="str">
        <x:v>assets/art/characters/player/chr_player_capsule01_3d/variants/bunny01/chr_player_capsule01_bunny01_root_top3d_v006.tscn</x:v>
      </x:c>
      <x:c r="P6" s="36" t="str">
        <x:v>src/player3d/Player3D.gd; src/player3d/PlayerAvatar3D.gd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角色|player|player_capsule01|root|俯视3d|default</x:v>
      </x:c>
      <x:c r="S6" s="36" t="str">
        <x:f>IF(A6="","",IF(COUNTIF($R$6:$R$162,R6)&gt;1,"重复","唯一"))</x:f>
        <x:v>唯一</x:v>
      </x:c>
      <x:c r="T6" s="36" t="str"/>
      <x:c r="U6" s="36" t="str">
        <x:v>待分配</x:v>
      </x:c>
      <x:c r="V6" s="53" t="n">
        <x:v>46243</x:v>
      </x:c>
      <x:c r="W6" s="36" t="str">
        <x:v>稳定玩法根 AssetID</x:v>
      </x:c>
      <x:c r="X6" s="36" t="str">
        <x:v>2026-08-09：旧2D胶囊表现已退役并删除；正式表现只使用 CHR-PLY-CAPSULE01-3D-BUNNY01 v006。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deprecated</x:v>
      </x:c>
      <x:c r="J7" s="37" t="str">
        <x:v>单资产</x:v>
      </x:c>
      <x:c r="K7" s="37" t="str">
        <x:v>弃用</x:v>
      </x:c>
      <x:c r="L7" s="37" t="str">
        <x:v>P0</x:v>
      </x:c>
      <x:c r="M7" s="37" t="str">
        <x:v>v001</x:v>
      </x:c>
      <x:c r="N7" s="37" t="str">
        <x:v>28×24 px</x:v>
      </x:c>
      <x:c r="O7" s="37"/>
      <x:c r="P7" s="37"/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37" t="str">
        <x:f>IF(A7="","",IF(COUNTIF($R$6:$R$162,R7)&gt;1,"重复","唯一"))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46243</x:v>
      </x:c>
      <x:c r="W7" s="37" t="str">
        <x:v>原创/待确认</x:v>
      </x:c>
      <x:c r="X7" s="37" t="str">
        <x:v>2026-08-09：旧2D玩家像素表现文件已从仓库删除；仅保留AssetID/哈希作为历史记录，替代项为 CHR-PLY-CAPSULE01-3D-BUNNY01。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deprecated</x:v>
      </x:c>
      <x:c r="J8" s="37" t="str">
        <x:v>单资产</x:v>
      </x:c>
      <x:c r="K8" s="37" t="str">
        <x:v>弃用</x:v>
      </x:c>
      <x:c r="L8" s="37" t="str">
        <x:v>P0</x:v>
      </x:c>
      <x:c r="M8" s="37" t="str">
        <x:v>v001</x:v>
      </x:c>
      <x:c r="N8" s="37" t="str">
        <x:v>32×35 px</x:v>
      </x:c>
      <x:c r="O8" s="37"/>
      <x:c r="P8" s="37"/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37" t="str">
        <x:f>IF(A8="","",IF(COUNTIF($R$6:$R$162,R8)&gt;1,"重复","唯一"))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46243</x:v>
      </x:c>
      <x:c r="W8" s="37" t="str">
        <x:v>原创/待确认</x:v>
      </x:c>
      <x:c r="X8" s="37" t="str">
        <x:v>2026-08-09：旧2D玩家像素表现文件已从仓库删除；仅保留AssetID/哈希作为历史记录，替代项为 CHR-PLY-CAPSULE01-3D-BUNNY01。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/>
      <x:c r="P9" s="37"/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IF(A9="","",IF(COUNTIF($R$6:$R$162,R9)&gt;1,"重复","唯一"))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46243</x:v>
      </x:c>
      <x:c r="W9" s="37" t="str">
        <x:v>原创/待确认</x:v>
      </x:c>
      <x:c r="X9" s="37" t="str">
        <x:v>2026-08-09：旧2D玩家像素表现文件已从仓库删除；仅保留AssetID/哈希作为历史记录，替代项为 CHR-PLY-CAPSULE01-3D-BUNNY01。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deprecated</x:v>
      </x:c>
      <x:c r="J10" s="37" t="str">
        <x:v>单资产</x:v>
      </x:c>
      <x:c r="K10" s="37" t="str">
        <x:v>弃用</x:v>
      </x:c>
      <x:c r="L10" s="37" t="str">
        <x:v>P0</x:v>
      </x:c>
      <x:c r="M10" s="37" t="str">
        <x:v>v001</x:v>
      </x:c>
      <x:c r="N10" s="37" t="str">
        <x:v>22×17 px</x:v>
      </x:c>
      <x:c r="O10" s="37"/>
      <x:c r="P10" s="37"/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37" t="str">
        <x:f>IF(A10="","",IF(COUNTIF($R$6:$R$162,R10)&gt;1,"重复","唯一"))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46243</x:v>
      </x:c>
      <x:c r="W10" s="37" t="str">
        <x:v>原创/待确认</x:v>
      </x:c>
      <x:c r="X10" s="37" t="str">
        <x:v>2026-08-09：旧2D玩家像素表现文件已从仓库删除；仅保留AssetID/哈希作为历史记录，替代项为 CHR-PLY-CAPSULE01-3D-BUNNY01。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deprecated</x:v>
      </x:c>
      <x:c r="J11" s="37" t="str">
        <x:v>单资产</x:v>
      </x:c>
      <x:c r="K11" s="37" t="str">
        <x:v>弃用</x:v>
      </x:c>
      <x:c r="L11" s="37" t="str">
        <x:v>P0</x:v>
      </x:c>
      <x:c r="M11" s="37" t="str">
        <x:v>v001</x:v>
      </x:c>
      <x:c r="N11" s="37" t="str">
        <x:v>26×14 px</x:v>
      </x:c>
      <x:c r="O11" s="37"/>
      <x:c r="P11" s="37"/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37" t="str">
        <x:f>IF(A11="","",IF(COUNTIF($R$6:$R$162,R11)&gt;1,"重复","唯一"))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46243</x:v>
      </x:c>
      <x:c r="W11" s="37" t="str">
        <x:v>原创/待确认</x:v>
      </x:c>
      <x:c r="X11" s="37" t="str">
        <x:v>2026-08-09：旧2D玩家像素表现文件已从仓库删除；仅保留AssetID/哈希作为历史记录，替代项为 CHR-PLY-CAPSULE01-3D-BUNNY01。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deprecated</x:v>
      </x:c>
      <x:c r="J12" s="37" t="str">
        <x:v>评审/回归</x:v>
      </x:c>
      <x:c r="K12" s="37" t="str">
        <x:v>弃用</x:v>
      </x:c>
      <x:c r="L12" s="37" t="str">
        <x:v>P0</x:v>
      </x:c>
      <x:c r="M12" s="37" t="str">
        <x:v>v001</x:v>
      </x:c>
      <x:c r="N12" s="37" t="str">
        <x:v>1280×720 px</x:v>
      </x:c>
      <x:c r="O12" s="37"/>
      <x:c r="P12" s="37"/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37" t="str">
        <x:f>IF(A12="","",IF(COUNTIF($R$6:$R$162,R12)&gt;1,"重复","唯一"))</x:f>
        <x:v>唯一</x:v>
      </x:c>
      <x:c r="T12" s="37" t="str"/>
      <x:c r="U12" s="37" t="str">
        <x:v>待分配</x:v>
      </x:c>
      <x:c r="V12" s="54" t="n">
        <x:v>46243</x:v>
      </x:c>
      <x:c r="W12" s="37" t="str">
        <x:v>原创/待确认</x:v>
      </x:c>
      <x:c r="X12" s="37" t="str">
        <x:v>2026-08-09：旧2D玩家像素表现文件已从仓库删除；仅保留AssetID/哈希作为历史记录，替代项为 CHR-PLY-CAPSULE01-3D-BUNNY01。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弃用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/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IF(A13="","",IF(COUNTIF($R$6:$R$162,R13)&gt;1,"重复","唯一"))</x:f>
        <x:v>唯一</x:v>
      </x:c>
      <x:c r="T13" s="37" t="str"/>
      <x:c r="U13" s="37" t="str">
        <x:v>待分配</x:v>
      </x:c>
      <x:c r="V13" s="54" t="n">
        <x:v>46243</x:v>
      </x:c>
      <x:c r="W13" s="37" t="str">
        <x:v>原创/待确认</x:v>
      </x:c>
      <x:c r="X13" s="37" t="str">
        <x:v>2026-08-09：旧2D PlayerAvatarRenderer专用表现已删除；当前3D状态表现由 PlayerAvatar3D / WeaponModel3D 持有。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弃用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/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IF(A14="","",IF(COUNTIF($R$6:$R$162,R14)&gt;1,"重复","唯一"))</x:f>
        <x:v>唯一</x:v>
      </x:c>
      <x:c r="T14" s="37" t="str"/>
      <x:c r="U14" s="37" t="str">
        <x:v>待分配</x:v>
      </x:c>
      <x:c r="V14" s="54" t="n">
        <x:v>46243</x:v>
      </x:c>
      <x:c r="W14" s="37" t="str">
        <x:v>原创/待确认</x:v>
      </x:c>
      <x:c r="X14" s="37" t="str">
        <x:v>2026-08-09：旧2D PlayerAvatarRenderer专用表现已删除；当前3D状态表现由 PlayerAvatar3D / WeaponModel3D 持有。</x:v>
      </x:c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弃用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/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IF(A15="","",IF(COUNTIF($R$6:$R$162,R15)&gt;1,"重复","唯一"))</x:f>
        <x:v>唯一</x:v>
      </x:c>
      <x:c r="T15" s="37" t="str"/>
      <x:c r="U15" s="37" t="str">
        <x:v>待分配</x:v>
      </x:c>
      <x:c r="V15" s="54" t="n">
        <x:v>46243</x:v>
      </x:c>
      <x:c r="W15" s="37" t="str">
        <x:v>原创/待确认</x:v>
      </x:c>
      <x:c r="X15" s="37" t="str">
        <x:v>2026-08-09：旧2D PlayerAvatarRenderer专用表现已删除；当前3D状态表现由 PlayerAvatar3D / WeaponModel3D 持有。</x:v>
      </x:c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弃用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/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IF(A16="","",IF(COUNTIF($R$6:$R$162,R16)&gt;1,"重复","唯一"))</x:f>
        <x:v>唯一</x:v>
      </x:c>
      <x:c r="T16" s="37" t="str"/>
      <x:c r="U16" s="37" t="str">
        <x:v>待分配</x:v>
      </x:c>
      <x:c r="V16" s="54" t="n">
        <x:v>46243</x:v>
      </x:c>
      <x:c r="W16" s="37" t="str">
        <x:v>原创/待确认</x:v>
      </x:c>
      <x:c r="X16" s="37" t="str">
        <x:v>2026-08-09：旧2D PlayerAvatarRenderer专用表现已删除；当前3D状态表现由 PlayerAvatar3D / WeaponModel3D 持有。</x:v>
      </x:c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IF(A17="","",IF(COUNTIF($R$6:$R$162,R17)&gt;1,"重复","唯一"))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IF(A18="","",IF(COUNTIF($R$6:$R$162,R18)&gt;1,"重复","唯一"))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IF(A19="","",IF(COUNTIF($R$6:$R$162,R19)&gt;1,"重复","唯一"))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IF(A20="","",IF(COUNTIF($R$6:$R$162,R20)&gt;1,"重复","唯一"))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IF(A21="","",IF(COUNTIF($R$6:$R$162,R21)&gt;1,"重复","唯一"))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IF(A22="","",IF(COUNTIF($R$6:$R$162,R22)&gt;1,"重复","唯一"))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IF(A23="","",IF(COUNTIF($R$6:$R$162,R23)&gt;1,"重复","唯一"))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IF(A24="","",IF(COUNTIF($R$6:$R$162,R24)&gt;1,"重复","唯一"))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IF(A25="","",IF(COUNTIF($R$6:$R$162,R25)&gt;1,"重复","唯一"))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IF(A26="","",IF(COUNTIF($R$6:$R$162,R26)&gt;1,"重复","唯一"))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IF(A27="","",IF(COUNTIF($R$6:$R$162,R27)&gt;1,"重复","唯一"))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IF(A28="","",IF(COUNTIF($R$6:$R$162,R28)&gt;1,"重复","唯一"))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IF(A29="","",IF(COUNTIF($R$6:$R$162,R29)&gt;1,"重复","唯一"))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IF(A30="","",IF(COUNTIF($R$6:$R$162,R30)&gt;1,"重复","唯一"))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IF(A31="","",IF(COUNTIF($R$6:$R$162,R31)&gt;1,"重复","唯一"))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IF(A32="","",IF(COUNTIF($R$6:$R$162,R32)&gt;1,"重复","唯一"))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IF(A33="","",IF(COUNTIF($R$6:$R$162,R33)&gt;1,"重复","唯一"))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IF(A34="","",IF(COUNTIF($R$6:$R$162,R34)&gt;1,"重复","唯一"))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IF(A35="","",IF(COUNTIF($R$6:$R$162,R35)&gt;1,"重复","唯一"))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IF(A36="","",IF(COUNTIF($R$6:$R$162,R36)&gt;1,"重复","唯一"))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IF(A37="","",IF(COUNTIF($R$6:$R$162,R37)&gt;1,"重复","唯一"))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IF(A38="","",IF(COUNTIF($R$6:$R$162,R38)&gt;1,"重复","唯一"))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IF(A39="","",IF(COUNTIF($R$6:$R$162,R39)&gt;1,"重复","唯一"))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IF(A40="","",IF(COUNTIF($R$6:$R$162,R40)&gt;1,"重复","唯一"))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IF(A41="","",IF(COUNTIF($R$6:$R$162,R41)&gt;1,"重复","唯一"))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IF(A42="","",IF(COUNTIF($R$6:$R$162,R42)&gt;1,"重复","唯一"))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IF(A43="","",IF(COUNTIF($R$6:$R$162,R43)&gt;1,"重复","唯一"))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IF(A44="","",IF(COUNTIF($R$6:$R$162,R44)&gt;1,"重复","唯一"))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IF(A45="","",IF(COUNTIF($R$6:$R$162,R45)&gt;1,"重复","唯一"))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IF(A46="","",IF(COUNTIF($R$6:$R$162,R46)&gt;1,"重复","唯一"))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IF(A47="","",IF(COUNTIF($R$6:$R$162,R47)&gt;1,"重复","唯一"))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IF(A48="","",IF(COUNTIF($R$6:$R$162,R48)&gt;1,"重复","唯一"))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全部3D房间/清房奖励</x:v>
      </x:c>
      <x:c r="K49" s="37" t="str">
        <x:v>原型已接入</x:v>
      </x:c>
      <x:c r="L49" s="37" t="str">
        <x:v>P1</x:v>
      </x:c>
      <x:c r="M49" s="37" t="str">
        <x:v>v001</x:v>
      </x:c>
      <x:c r="N49" s="37" t="str">
        <x:v>程序模型/0.32s Tween</x:v>
      </x:c>
      <x:c r="O49" s="37"/>
      <x:c r="P49" s="37" t="str">
        <x:v>src/world3d/RoomKeyPickup3D.gd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IF(A49="","",IF(COUNTIF($R$6:$R$162,R49)&gt;1,"重复","唯一"))</x:f>
        <x:v>唯一</x:v>
      </x:c>
      <x:c r="T49" s="37" t="str"/>
      <x:c r="U49" s="37" t="str">
        <x:v>Codex</x:v>
      </x:c>
      <x:c r="V49" s="54" t="n">
        <x:v>46225</x:v>
      </x:c>
      <x:c r="W49" s="37" t="str">
        <x:v>原创程序几何</x:v>
      </x:c>
      <x:c r="X49" s="37" t="str">
        <x:v>清房后在玩家附近安全边界生成；同房唯一且返回时可补发；成功拾取先关闭碰撞，再上弹旋转缩小后回收</x:v>
      </x:c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地面掉落/背包投影</x:v>
      </x:c>
      <x:c r="K50" s="37" t="str">
        <x:v>原型已接入</x:v>
      </x:c>
      <x:c r="L50" s="37" t="str">
        <x:v>P2</x:v>
      </x:c>
      <x:c r="M50" s="37" t="str">
        <x:v>v001</x:v>
      </x:c>
      <x:c r="N50" s="37" t="str">
        <x:v>程序模型/0.32s Tween</x:v>
      </x:c>
      <x:c r="O50" s="37"/>
      <x:c r="P50" s="37" t="str">
        <x:v>src/world3d/GroundLootPickup3D.gd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IF(A50="","",IF(COUNTIF($R$6:$R$162,R50)&gt;1,"重复","唯一"))</x:f>
        <x:v>唯一</x:v>
      </x:c>
      <x:c r="T50" s="37" t="str"/>
      <x:c r="U50" s="37" t="str">
        <x:v>Codex</x:v>
      </x:c>
      <x:c r="V50" s="54" t="n">
        <x:v>46225</x:v>
      </x:c>
      <x:c r="W50" s="37" t="str">
        <x:v>原创程序几何</x:v>
      </x:c>
      <x:c r="X50" s="37" t="str">
        <x:v>与背包投影共用 ItemModelFactory3D；满包时保留，成功接收后播放0.32秒上弹旋转缩小动画</x:v>
      </x:c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IF(A51="","",IF(COUNTIF($R$6:$R$162,R51)&gt;1,"重复","唯一"))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IF(A52="","",IF(COUNTIF($R$6:$R$162,R52)&gt;1,"重复","唯一"))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IF(A53="","",IF(COUNTIF($R$6:$R$162,R53)&gt;1,"重复","唯一"))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IF(A54="","",IF(COUNTIF($R$6:$R$162,R54)&gt;1,"重复","唯一"))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IF(A55="","",IF(COUNTIF($R$6:$R$162,R55)&gt;1,"重复","唯一"))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IF(A56="","",IF(COUNTIF($R$6:$R$162,R56)&gt;1,"重复","唯一"))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IF(A57="","",IF(COUNTIF($R$6:$R$162,R57)&gt;1,"重复","唯一"))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IF(A58="","",IF(COUNTIF($R$6:$R$162,R58)&gt;1,"重复","唯一"))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IF(A59="","",IF(COUNTIF($R$6:$R$162,R59)&gt;1,"重复","唯一"))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IF(A60="","",IF(COUNTIF($R$6:$R$162,R60)&gt;1,"重复","唯一"))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IF(A61="","",IF(COUNTIF($R$6:$R$162,R61)&gt;1,"重复","唯一"))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IF(A62="","",IF(COUNTIF($R$6:$R$162,R62)&gt;1,"重复","唯一"))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IF(A63="","",IF(COUNTIF($R$6:$R$162,R63)&gt;1,"重复","唯一"))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IF(A64="","",IF(COUNTIF($R$6:$R$162,R64)&gt;1,"重复","唯一"))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IF(A65="","",IF(COUNTIF($R$6:$R$162,R65)&gt;1,"重复","唯一"))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IF(A66="","",IF(COUNTIF($R$6:$R$162,R66)&gt;1,"重复","唯一"))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IF(A67="","",IF(COUNTIF($R$6:$R$162,R67)&gt;1,"重复","唯一"))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IF(A68="","",IF(COUNTIF($R$6:$R$162,R68)&gt;1,"重复","唯一"))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IF(A69="","",IF(COUNTIF($R$6:$R$162,R69)&gt;1,"重复","唯一"))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IF(A70="","",IF(COUNTIF($R$6:$R$162,R70)&gt;1,"重复","唯一"))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IF(A71="","",IF(COUNTIF($R$6:$R$162,R71)&gt;1,"重复","唯一"))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IF(A72="","",IF(COUNTIF($R$6:$R$162,R72)&gt;1,"重复","唯一"))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IF(A73="","",IF(COUNTIF($R$6:$R$162,R73)&gt;1,"重复","唯一"))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IF(A74="","",IF(COUNTIF($R$6:$R$162,R74)&gt;1,"重复","唯一"))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IF(A75="","",IF(COUNTIF($R$6:$R$162,R75)&gt;1,"重复","唯一"))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IF(A76="","",IF(COUNTIF($R$6:$R$162,R76)&gt;1,"重复","唯一"))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IF(A77="","",IF(COUNTIF($R$6:$R$162,R77)&gt;1,"重复","唯一"))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IF(A78="","",IF(COUNTIF($R$6:$R$162,R78)&gt;1,"重复","唯一"))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 ht="155" customHeight="1">
      <x:c r="A79" s="101" t="str">
        <x:v>UI-SCREEN-HUD</x:v>
      </x:c>
      <x:c r="B79" s="101" t="str">
        <x:v>战斗 HUD</x:v>
      </x:c>
      <x:c r="C79" s="101" t="str">
        <x:v>UI</x:v>
      </x:c>
      <x:c r="D79" s="101" t="str">
        <x:v>screen</x:v>
      </x:c>
      <x:c r="E79" s="101" t="str">
        <x:v>hud</x:v>
      </x:c>
      <x:c r="F79" s="101" t="str">
        <x:v>root</x:v>
      </x:c>
      <x:c r="G79" s="101" t="str"/>
      <x:c r="H79" s="101" t="str">
        <x:v>屏幕空间</x:v>
      </x:c>
      <x:c r="I79" s="101" t="str">
        <x:v>default</x:v>
      </x:c>
      <x:c r="J79" s="101" t="str">
        <x:v>跨分辨率</x:v>
      </x:c>
      <x:c r="K79" s="101" t="str">
        <x:v>原型已接入</x:v>
      </x:c>
      <x:c r="L79" s="101" t="str">
        <x:v>P0</x:v>
      </x:c>
      <x:c r="M79" s="101" t="str">
        <x:v>v002</x:v>
      </x:c>
      <x:c r="N79" s="101" t="str">
        <x:v>1280×720 基准；九宫格/矢量优先</x:v>
      </x:c>
      <x:c r="O79" s="101" t="str"/>
      <x:c r="P79" s="101" t="str">
        <x:v>src/ui/GameUIManager.gd</x:v>
      </x:c>
      <x:c r="Q79" s="101" t="str"/>
      <x:c r="R79" s="101" t="str">
        <x:f>LOWER(TRIM(C79)&amp;"|"&amp;TRIM(D79)&amp;"|"&amp;TRIM(E79)&amp;"|"&amp;TRIM(F79)&amp;"|"&amp;TRIM(H79)&amp;"|"&amp;TRIM(I79))</x:f>
        <x:v>ui|screen|hud|root|屏幕空间|default</x:v>
      </x:c>
      <x:c r="S79" s="101" t="str">
        <x:f>IF(A79="","",IF(COUNTIF($R$6:$R$162,R79)&gt;1,"重复","唯一"))</x:f>
        <x:v>唯一</x:v>
      </x:c>
      <x:c r="T79" s="101" t="str"/>
      <x:c r="U79" s="101" t="str">
        <x:v>待分配</x:v>
      </x:c>
      <x:c r="V79" s="104" t="n">
        <x:v>46233</x:v>
      </x:c>
      <x:c r="W79" s="101" t="str">
        <x:v>原创/待确认</x:v>
      </x:c>
      <x:c r="X79" s="101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原型已接入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IF(A80="","",IF(COUNTIF($R$6:$R$162,R80)&gt;1,"重复","唯一"))</x:f>
        <x:v>唯一</x:v>
      </x:c>
      <x:c r="T80" s="37" t="str"/>
      <x:c r="U80" s="37" t="str">
        <x:v>待分配</x:v>
      </x:c>
      <x:c r="V80" s="54" t="n">
        <x:v>46225</x:v>
      </x:c>
      <x:c r="W80" s="37" t="str">
        <x:v>原创/待确认</x:v>
      </x:c>
      <x:c r="X80" s="37" t="str">
        <x:v>背包共享逻辑根；3D表现登记为 UI-SCREEN-INVENTORY-3D；12+2槽与保险契约不变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IF(A81="","",IF(COUNTIF($R$6:$R$162,R81)&gt;1,"重复","唯一"))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IF(A82="","",IF(COUNTIF($R$6:$R$162,R82)&gt;1,"重复","唯一"))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IF(A83="","",IF(COUNTIF($R$6:$R$162,R83)&gt;1,"重复","唯一"))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IF(A84="","",IF(COUNTIF($R$6:$R$162,R84)&gt;1,"重复","唯一"))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IF(A85="","",IF(COUNTIF($R$6:$R$162,R85)&gt;1,"重复","唯一"))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IF(A86="","",IF(COUNTIF($R$6:$R$162,R86)&gt;1,"重复","唯一"))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IF(A87="","",IF(COUNTIF($R$6:$R$162,R87)&gt;1,"重复","唯一"))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IF(A88="","",IF(COUNTIF($R$6:$R$162,R88)&gt;1,"重复","唯一"))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IF(A89="","",IF(COUNTIF($R$6:$R$162,R89)&gt;1,"重复","唯一"))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IF(A90="","",IF(COUNTIF($R$6:$R$162,R90)&gt;1,"重复","唯一"))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IF(A91="","",IF(COUNTIF($R$6:$R$162,R91)&gt;1,"重复","唯一"))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IF(A92="","",IF(COUNTIF($R$6:$R$162,R92)&gt;1,"重复","唯一"))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IF(A93="","",IF(COUNTIF($R$6:$R$162,R93)&gt;1,"重复","唯一"))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IF(A94="","",IF(COUNTIF($R$6:$R$162,R94)&gt;1,"重复","唯一"))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IF(A95="","",IF(COUNTIF($R$6:$R$162,R95)&gt;1,"重复","唯一"))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IF(A96="","",IF(COUNTIF($R$6:$R$162,R96)&gt;1,"重复","唯一"))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原型已接入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>
        <x:v>scenes/Dungeon3D.tscn</x:v>
      </x:c>
      <x:c r="P97" s="37" t="str">
        <x:v>src/world3d/Dungeon3D.gd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IF(A97="","",IF(COUNTIF($R$6:$R$162,R97)&gt;1,"重复","唯一"))</x:f>
        <x:v>唯一</x:v>
      </x:c>
      <x:c r="T97" s="37" t="str"/>
      <x:c r="U97" s="37" t="str">
        <x:v>待分配</x:v>
      </x:c>
      <x:c r="V97" s="54" t="n">
        <x:v>46225</x:v>
      </x:c>
      <x:c r="W97" s="37" t="str">
        <x:v>原创/待确认</x:v>
      </x:c>
      <x:c r="X97" s="37" t="str">
        <x:v>复用低血暗角身份；3D HUD低血时提高边缘强度，不复制第二套逻辑ID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IF(A98="","",IF(COUNTIF($R$6:$R$162,R98)&gt;1,"重复","唯一"))</x:f>
        <x:v>唯一</x:v>
      </x:c>
      <x:c r="T98" s="37" t="str"/>
      <x:c r="U98" s="37" t="str">
        <x:v>待分配</x:v>
      </x:c>
      <x:c r="V98" s="54" t="n">
        <x:v>46225</x:v>
      </x:c>
      <x:c r="W98" s="37" t="str">
        <x:v>原创/待确认</x:v>
      </x:c>
      <x:c r="X98" s="37" t="str">
        <x:v>2D视野表现根；3D真实判定与地面网格登记为 VFX-VISIBILITY-FIELD-3D，禁止用灯光替代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IF(A99="","",IF(COUNTIF($R$6:$R$162,R99)&gt;1,"重复","唯一"))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IF(A100="","",IF(COUNTIF($R$6:$R$162,R100)&gt;1,"重复","唯一"))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IF(A101="","",IF(COUNTIF($R$6:$R$162,R101)&gt;1,"重复","唯一"))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IF(A102="","",IF(COUNTIF($R$6:$R$162,R102)&gt;1,"重复","唯一"))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IF(A103="","",IF(COUNTIF($R$6:$R$162,R103)&gt;1,"重复","唯一"))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IF(A104="","",IF(COUNTIF($R$6:$R$162,R104)&gt;1,"重复","唯一"))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IF(A105="","",IF(COUNTIF($R$6:$R$162,R105)&gt;1,"重复","唯一"))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IF(A106="","",IF(COUNTIF($R$6:$R$162,R106)&gt;1,"重复","唯一"))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IF(A107="","",IF(COUNTIF($R$6:$R$162,R107)&gt;1,"重复","唯一"))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IF(A108="","",IF(COUNTIF($R$6:$R$162,R108)&gt;1,"重复","唯一"))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IF(A109="","",IF(COUNTIF($R$6:$R$162,R109)&gt;1,"重复","唯一"))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IF(A110="","",IF(COUNTIF($R$6:$R$162,R110)&gt;1,"重复","唯一"))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IF(A111="","",IF(COUNTIF($R$6:$R$162,R111)&gt;1,"重复","唯一"))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IF(A112="","",IF(COUNTIF($R$6:$R$162,R112)&gt;1,"重复","唯一"))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  <x:row r="113" ht="155" customHeight="1">
      <x:c r="A113" s="70" t="str">
        <x:v>CHR-PLY-CAPSULE01-3D</x:v>
      </x:c>
      <x:c r="B113" s="70" t="str">
        <x:v>方形猫角色3D根组件</x:v>
      </x:c>
      <x:c r="C113" s="70" t="str">
        <x:v>角色</x:v>
      </x:c>
      <x:c r="D113" s="70" t="str">
        <x:v>player</x:v>
      </x:c>
      <x:c r="E113" s="70" t="str">
        <x:v>player_capsule01</x:v>
      </x:c>
      <x:c r="F113" s="70" t="str">
        <x:v>root_3d</x:v>
      </x:c>
      <x:c r="G113" s="70" t="str">
        <x:v>CHR-PLY-CAPSULE01</x:v>
      </x:c>
      <x:c r="H113" s="70" t="str">
        <x:v>俯视3D</x:v>
      </x:c>
      <x:c r="I113" s="70" t="str">
        <x:v>default</x:v>
      </x:c>
      <x:c r="J113" s="70" t="str">
        <x:v>3D玩家场景</x:v>
      </x:c>
      <x:c r="K113" s="70" t="str">
        <x:v>原型已接入</x:v>
      </x:c>
      <x:c r="L113" s="70" t="str">
        <x:v>P0</x:v>
      </x:c>
      <x:c r="M113" s="70" t="str">
        <x:v>v001</x:v>
      </x:c>
      <x:c r="N113" s="70" t="str">
        <x:v>PackedScene/程序材质</x:v>
      </x:c>
      <x:c r="O113" s="70" t="str">
        <x:v>assets/art/characters/player/chr_player_capsule01_3d/chr_player_capsule01_root_top3d_v001.tscn</x:v>
      </x:c>
      <x:c r="P113" s="70" t="str">
        <x:v>scenes/Player3D.tscn</x:v>
      </x:c>
      <x:c r="Q113" s="70" t="str">
        <x:v>胶囊;防护服;3D;模块角色</x:v>
      </x:c>
      <x:c r="R113" s="70" t="str">
        <x:f>LOWER(TRIM(C113)&amp;"|"&amp;TRIM(D113)&amp;"|"&amp;TRIM(E113)&amp;"|"&amp;TRIM(F113)&amp;"|"&amp;TRIM(H113)&amp;"|"&amp;TRIM(I113))</x:f>
        <x:v>角色|player|player_capsule01|root_3d|俯视3d|default</x:v>
      </x:c>
      <x:c r="S113" s="70" t="str">
        <x:f>IF(A113="","",IF(COUNTIF($R$6:$R$162,R113)&gt;1,"重复","唯一"))</x:f>
        <x:v>唯一</x:v>
      </x:c>
      <x:c r="T113" s="70" t="str">
        <x:v>cf0b3b648d56590f1e024553d224df35007358452ea16ad1651ae9af4a7dde49</x:v>
      </x:c>
      <x:c r="U113" s="70" t="str">
        <x:v>Codex</x:v>
      </x:c>
      <x:c r="V113" s="71" t="n">
        <x:v>46236</x:v>
      </x:c>
      <x:c r="W113" s="70" t="str">
        <x:v>原创程序几何</x:v>
      </x:c>
      <x:c r="X113" s="70" t="str">
        <x:v>玩家随身三灯通过 layer 1/2 隔离避免自身投影；角色网格恢复外部太阳光/室内灯投影，GI保持关闭；tests/verification/verify_tower_lighting_wall_combat_regressions.tscn</x:v>
      </x:c>
    </x:row>
    <x:row r="114">
      <x:c r="A114" t="str">
        <x:v>CHR-PLY-CAPSULE01-BODY-3D</x:v>
      </x:c>
      <x:c r="B114" t="str">
        <x:v>方形猫角色3D身躯</x:v>
      </x:c>
      <x:c r="C114" t="str">
        <x:v>角色</x:v>
      </x:c>
      <x:c r="D114" t="str">
        <x:v>player</x:v>
      </x:c>
      <x:c r="E114" t="str">
        <x:v>player_capsule01</x:v>
      </x:c>
      <x:c r="F114" t="str">
        <x:v>body_3d</x:v>
      </x:c>
      <x:c r="G114" t="str">
        <x:v>CHR-PLY-CAPSULE01-3D</x:v>
      </x:c>
      <x:c r="H114" t="str">
        <x:v>俯视3D</x:v>
      </x:c>
      <x:c r="I114" t="str">
        <x:v>default</x:v>
      </x:c>
      <x:c r="J114" t="str">
        <x:v>3D玩家场景</x:v>
      </x:c>
      <x:c r="K114" t="str">
        <x:v>原型已接入</x:v>
      </x:c>
      <x:c r="L114" t="str">
        <x:v>P0</x:v>
      </x:c>
      <x:c r="M114" t="str">
        <x:v>v001</x:v>
      </x:c>
      <x:c r="N114" t="str">
        <x:v>CapsuleMesh节点</x:v>
      </x:c>
      <x:c r="O114" t="str">
        <x:v>assets/art/characters/player/chr_player_capsule01_3d/chr_player_capsule01_root_top3d_v001.tscn</x:v>
      </x:c>
      <x:c r="P114" t="str">
        <x:v>VisualRoot/Body</x:v>
      </x:c>
      <x:c r="Q114" t="str">
        <x:v>身躯;防护服;无腿;3D</x:v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IF(A114="","",IF(COUNTIF($R$6:$R$162,R114)&gt;1,"重复","唯一"))</x:f>
        <x:v>唯一</x:v>
      </x:c>
      <x:c r="T114" t="str">
        <x:v>cf0b3b648d56590f1e024553d224df35007358452ea16ad1651ae9af4a7dde49</x:v>
      </x:c>
      <x:c r="U114" t="str">
        <x:v>Codex</x:v>
      </x:c>
      <x:c r="V114" s="62" t="str">
        <x:v>2026-07-25</x:v>
      </x:c>
      <x:c r="W114" t="str">
        <x:v>原创程序几何</x:v>
      </x:c>
      <x:c r="X114" t="str">
        <x:v>VisualRoot/Body：BoxMesh身躯、BellyPatch、圆形TailStub；v0.1方形猫原型；tests/verification/verify_player3d_diy_flow / gallery flow / visual PASS</x:v>
      </x:c>
    </x:row>
    <x:row r="115">
      <x:c r="A115" t="str">
        <x:v>CHR-PLY-CAPSULE01-HEAD-3D</x:v>
      </x:c>
      <x:c r="B115" t="str">
        <x:v>方形猫角色3D头部</x:v>
      </x:c>
      <x:c r="C115" t="str">
        <x:v>角色</x:v>
      </x:c>
      <x:c r="D115" t="str">
        <x:v>player</x:v>
      </x:c>
      <x:c r="E115" t="str">
        <x:v>player_capsule01</x:v>
      </x:c>
      <x:c r="F115" t="str">
        <x:v>head_3d</x:v>
      </x:c>
      <x:c r="G115" t="str">
        <x:v>CHR-PLY-CAPSULE01-3D</x:v>
      </x:c>
      <x:c r="H115" t="str">
        <x:v>俯视3D</x:v>
      </x:c>
      <x:c r="I115" t="str">
        <x:v>default</x:v>
      </x:c>
      <x:c r="J115" t="str">
        <x:v>3D玩家场景</x:v>
      </x:c>
      <x:c r="K115" t="str">
        <x:v>原型已接入</x:v>
      </x:c>
      <x:c r="L115" t="str">
        <x:v>P0</x:v>
      </x:c>
      <x:c r="M115" t="str">
        <x:v>v001</x:v>
      </x:c>
      <x:c r="N115" t="str">
        <x:v>SphereMesh节点</x:v>
      </x:c>
      <x:c r="O115" t="str">
        <x:v>assets/art/characters/player/chr_player_capsule01_3d/chr_player_capsule01_root_top3d_v001.tscn</x:v>
      </x:c>
      <x:c r="P115" t="str">
        <x:v>VisualRoot/Head</x:v>
      </x:c>
      <x:c r="Q115" t="str">
        <x:v>头壳;单传感器;3D</x:v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IF(A115="","",IF(COUNTIF($R$6:$R$162,R115)&gt;1,"重复","唯一"))</x:f>
        <x:v>唯一</x:v>
      </x:c>
      <x:c r="T115" t="str">
        <x:v>cf0b3b648d56590f1e024553d224df35007358452ea16ad1651ae9af4a7dde49</x:v>
      </x:c>
      <x:c r="U115" t="str">
        <x:v>Codex</x:v>
      </x:c>
      <x:c r="V115" s="62" t="str">
        <x:v>2026-07-25</x:v>
      </x:c>
      <x:c r="W115" t="str">
        <x:v>原创程序几何</x:v>
      </x:c>
      <x:c r="X115" t="str">
        <x:v>VisualRoot/Head：BoxMesh方头；Eyes双矩形眼；Ears双三角耳；v0.1方形猫原型；tests/verification/verify_player3d_diy_flow / gallery flow / visual PASS</x:v>
      </x:c>
    </x:row>
    <x:row r="116">
      <x:c r="A116" t="str">
        <x:v>CHR-PLY-CAPSULE01-HAND-3D</x:v>
      </x:c>
      <x:c r="B116" t="str">
        <x:v>方形猫角色3D唯一手部</x:v>
      </x:c>
      <x:c r="C116" t="str">
        <x:v>角色</x:v>
      </x:c>
      <x:c r="D116" t="str">
        <x:v>player</x:v>
      </x:c>
      <x:c r="E116" t="str">
        <x:v>player_capsule01</x:v>
      </x:c>
      <x:c r="F116" t="str">
        <x:v>hand_3d</x:v>
      </x:c>
      <x:c r="G116" t="str">
        <x:v>CHR-PLY-CAPSULE01-3D</x:v>
      </x:c>
      <x:c r="H116" t="str">
        <x:v>俯视3D</x:v>
      </x:c>
      <x:c r="I116" t="str">
        <x:v>default</x:v>
      </x:c>
      <x:c r="J116" t="str">
        <x:v>3D玩家场景</x:v>
      </x:c>
      <x:c r="K116" t="str">
        <x:v>原型已接入</x:v>
      </x:c>
      <x:c r="L116" t="str">
        <x:v>P0</x:v>
      </x:c>
      <x:c r="M116" t="str">
        <x:v>v001</x:v>
      </x:c>
      <x:c r="N116" t="str">
        <x:v>SphereMesh节点</x:v>
      </x:c>
      <x:c r="O116" t="str">
        <x:v>assets/art/characters/player/chr_player_capsule01_3d/chr_player_capsule01_root_top3d_v001.tscn</x:v>
      </x:c>
      <x:c r="P116" t="str">
        <x:v>VisualRoot/Hand</x:v>
      </x:c>
      <x:c r="Q116" t="str">
        <x:v>单手;悬浮手;握持;3D</x:v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IF(A116="","",IF(COUNTIF($R$6:$R$162,R116)&gt;1,"重复","唯一"))</x:f>
        <x:v>唯一</x:v>
      </x:c>
      <x:c r="T116" t="str">
        <x:v>cf0b3b648d56590f1e024553d224df35007358452ea16ad1651ae9af4a7dde49</x:v>
      </x:c>
      <x:c r="U116" t="str">
        <x:v>Codex</x:v>
      </x:c>
      <x:c r="V116" s="62" t="str">
        <x:v>2026-07-25</x:v>
      </x:c>
      <x:c r="W116" t="str">
        <x:v>原创程序几何</x:v>
      </x:c>
      <x:c r="X116" t="str">
        <x:v>VisualRoot/Hand：单个BoxMesh悬浮握持手；全动作与weapon_socket同相；v0.1方形猫原型；tests/verification/verify_player3d_diy_flow / gallery flow / visual PASS</x:v>
      </x:c>
    </x:row>
    <x:row r="117">
      <x:c r="A117" t="str">
        <x:v>CHR-PLY-CAPSULE01-SCARF-3D</x:v>
      </x:c>
      <x:c r="B117" t="str">
        <x:v>旧3D红围巾兼容节点</x:v>
      </x:c>
      <x:c r="C117" t="str">
        <x:v>角色</x:v>
      </x:c>
      <x:c r="D117" t="str">
        <x:v>player</x:v>
      </x:c>
      <x:c r="E117" t="str">
        <x:v>player_capsule01</x:v>
      </x:c>
      <x:c r="F117" t="str">
        <x:v>scarf_3d</x:v>
      </x:c>
      <x:c r="G117" t="str">
        <x:v>CHR-PLY-CAPSULE01-3D</x:v>
      </x:c>
      <x:c r="H117" t="str">
        <x:v>俯视3D</x:v>
      </x:c>
      <x:c r="I117" t="str">
        <x:v>default</x:v>
      </x:c>
      <x:c r="J117" t="str">
        <x:v>3D玩家场景</x:v>
      </x:c>
      <x:c r="K117" t="str">
        <x:v>原型已接入</x:v>
      </x:c>
      <x:c r="L117" t="str">
        <x:v>P0</x:v>
      </x:c>
      <x:c r="M117" t="str">
        <x:v>v001</x:v>
      </x:c>
      <x:c r="N117" t="str">
        <x:v>Cylinder+Box节点</x:v>
      </x:c>
      <x:c r="O117" t="str">
        <x:v>assets/art/characters/player/chr_player_capsule01_3d/chr_player_capsule01_root_top3d_v001.tscn</x:v>
      </x:c>
      <x:c r="P117" t="str">
        <x:v>VisualRoot/Scarf</x:v>
      </x:c>
      <x:c r="Q117" t="str">
        <x:v>红围巾;身份配件;3D</x:v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IF(A117="","",IF(COUNTIF($R$6:$R$162,R117)&gt;1,"重复","唯一"))</x:f>
        <x:v>唯一</x:v>
      </x:c>
      <x:c r="T117" t="str">
        <x:v>cf0b3b648d56590f1e024553d224df35007358452ea16ad1651ae9af4a7dde49</x:v>
      </x:c>
      <x:c r="U117" t="str">
        <x:v>Codex</x:v>
      </x:c>
      <x:c r="V117" s="62" t="str">
        <x:v>2026-07-25</x:v>
      </x:c>
      <x:c r="W117" t="str">
        <x:v>原创程序几何</x:v>
      </x:c>
      <x:c r="X117" t="str">
        <x:v>VisualRoot/Scarf默认隐藏，仅为旧场景兼容；当前四主模块不计入scarf；v0.1方形猫原型；tests/verification/verify_player3d_diy_flow / gallery flow / visual PASS</x:v>
      </x:c>
    </x:row>
    <x:row r="118">
      <x:c r="A118" t="str">
        <x:v>CHR-PLY-CAPSULE01-WEAPON-SOCKET-3D</x:v>
      </x:c>
      <x:c r="B118" t="str">
        <x:v>方形猫角色3D武器挂点</x:v>
      </x:c>
      <x:c r="C118" t="str">
        <x:v>角色</x:v>
      </x:c>
      <x:c r="D118" t="str">
        <x:v>player</x:v>
      </x:c>
      <x:c r="E118" t="str">
        <x:v>player_capsule01</x:v>
      </x:c>
      <x:c r="F118" t="str">
        <x:v>weapon_socket_3d</x:v>
      </x:c>
      <x:c r="G118" t="str">
        <x:v>CHR-PLY-CAPSULE01-3D</x:v>
      </x:c>
      <x:c r="H118" t="str">
        <x:v>俯视3D</x:v>
      </x:c>
      <x:c r="I118" t="str">
        <x:v>default</x:v>
      </x:c>
      <x:c r="J118" t="str">
        <x:v>武器系统</x:v>
      </x:c>
      <x:c r="K118" t="str">
        <x:v>原型已接入</x:v>
      </x:c>
      <x:c r="L118" t="str">
        <x:v>P0</x:v>
      </x:c>
      <x:c r="M118" t="str">
        <x:v>v001</x:v>
      </x:c>
      <x:c r="N118" t="str">
        <x:v>Marker3D</x:v>
      </x:c>
      <x:c r="O118" t="str">
        <x:v>assets/art/characters/player/chr_player_capsule01_3d/chr_player_capsule01_root_top3d_v001.tscn</x:v>
      </x:c>
      <x:c r="P118" t="str">
        <x:v>VisualRoot/WeaponSocket</x:v>
      </x:c>
      <x:c r="Q118" t="str">
        <x:v>武器挂点;Marker3D;瞄准</x:v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IF(A118="","",IF(COUNTIF($R$6:$R$162,R118)&gt;1,"重复","唯一"))</x:f>
        <x:v>唯一</x:v>
      </x:c>
      <x:c r="T118" t="str">
        <x:v>cf0b3b648d56590f1e024553d224df35007358452ea16ad1651ae9af4a7dde49</x:v>
      </x:c>
      <x:c r="U118" t="str">
        <x:v>Codex</x:v>
      </x:c>
      <x:c r="V118" s="62" t="str">
        <x:v>2026-07-25</x:v>
      </x:c>
      <x:c r="W118" t="str">
        <x:v>原创逻辑挂点</x:v>
      </x:c>
      <x:c r="X118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</x:v>
      </x:c>
    </x:row>
    <x:row r="119">
      <x:c r="A119" t="str">
        <x:v>ENV-BASE-WORLD-KIT-3D</x:v>
      </x:c>
      <x:c r="B119" t="str">
        <x:v>入口基地3D环境套件</x:v>
      </x:c>
      <x:c r="C119" t="str">
        <x:v>场景</x:v>
      </x:c>
      <x:c r="D119" t="str">
        <x:v>base</x:v>
      </x:c>
      <x:c r="E119" t="str">
        <x:v>base_world</x:v>
      </x:c>
      <x:c r="F119" t="str">
        <x:v>root_3d</x:v>
      </x:c>
      <x:c r="G119" t="str">
        <x:v>ENV-BASE-WORLD-KIT</x:v>
      </x:c>
      <x:c r="H119" t="str">
        <x:v>俯视3D</x:v>
      </x:c>
      <x:c r="I119" t="str">
        <x:v>default</x:v>
      </x:c>
      <x:c r="J119" t="str">
        <x:v>入口基地地图</x:v>
      </x:c>
      <x:c r="K119" t="str">
        <x:v>原型已接入</x:v>
      </x:c>
      <x:c r="L119" t="str">
        <x:v>P0</x:v>
      </x:c>
      <x:c r="M119" t="str">
        <x:v>v001</x:v>
      </x:c>
      <x:c r="N119" t="str">
        <x:v>约1:100迁移/程序几何</x:v>
      </x:c>
      <x:c r="O119" t="str">
        <x:v>assets/art/environments/base_world_3d/env_base_world_kit_top3d_v001.tscn</x:v>
      </x:c>
      <x:c r="P119" t="str">
        <x:v>scenes/BaseWorld3D.tscn</x:v>
      </x:c>
      <x:c r="Q119" t="str">
        <x:v>基地;道路;废墟;3D;入口地图</x:v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IF(A119="","",IF(COUNTIF($R$6:$R$162,R119)&gt;1,"重复","唯一"))</x:f>
        <x:v>唯一</x:v>
      </x:c>
      <x:c r="T119" t="str">
        <x:v>63c840d59bcecefab946690136474c9ca7b70408fb7b6bcc264819f9b66f14a5</x:v>
      </x:c>
      <x:c r="U119" t="str">
        <x:v>Codex</x:v>
      </x:c>
      <x:c r="V119" s="62" t="n">
        <x:v>46224</x:v>
      </x:c>
      <x:c r="W119" t="str">
        <x:v>原创程序几何</x:v>
      </x:c>
      <x:c r="X119" t="str">
        <x:v>保留原2D布局语义；首张3D迁移地图</x:v>
      </x:c>
    </x:row>
    <x:row r="120" ht="155" customHeight="1">
      <x:c r="A120" s="70" t="str">
        <x:v>PRP-BASE-FACILITY-3D</x:v>
      </x:c>
      <x:c r="B120" s="70" t="str">
        <x:v>基地设施3D通用模块</x:v>
      </x:c>
      <x:c r="C120" s="70" t="str">
        <x:v>场景道具</x:v>
      </x:c>
      <x:c r="D120" s="70" t="str">
        <x:v>facility</x:v>
      </x:c>
      <x:c r="E120" s="70" t="str">
        <x:v>base_facility_module</x:v>
      </x:c>
      <x:c r="F120" s="70" t="str">
        <x:v>root_3d</x:v>
      </x:c>
      <x:c r="G120" s="70" t="str">
        <x:v>ENV-BASE-WORLD-KIT-3D</x:v>
      </x:c>
      <x:c r="H120" s="70" t="str">
        <x:v>俯视3D</x:v>
      </x:c>
      <x:c r="I120" s="70" t="str">
        <x:v>default</x:v>
      </x:c>
      <x:c r="J120" s="70" t="str">
        <x:v>8类基地设施/统一状态牌</x:v>
      </x:c>
      <x:c r="K120" s="70" t="str">
        <x:v>原型已接入</x:v>
      </x:c>
      <x:c r="L120" s="70" t="str">
        <x:v>P0</x:v>
      </x:c>
      <x:c r="M120" s="70" t="str">
        <x:v>v001</x:v>
      </x:c>
      <x:c r="N120" s="70" t="str">
        <x:v>PackedScene/材质变体/名称与实时摘要共用Label3D</x:v>
      </x:c>
      <x:c r="O120" s="70" t="str">
        <x:v>assets/art/props/base_world_3d/prp_base_facility_root_top3d_v001.tscn</x:v>
      </x:c>
      <x:c r="P120" s="70" t="str">
        <x:v>src/base3d/BaseFacility3D.gd; src/base/BaseFacilityCatalog.gd; src/base/BaseFacilityService.gd; src/world3d/TowerDescent3D.gd; tests/verification/verify_base_facility_framework.tscn; tests/verification/verify_base_world_3d_visual.tscn</x:v>
      </x:c>
      <x:c r="Q120" s="70" t="str">
        <x:v>设施;交互;信标;3D;facility_id;实时摘要;状态牌;共享目录</x:v>
      </x:c>
      <x:c r="R120" s="7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70" t="str">
        <x:f>IF(A120="","",IF(COUNTIF($R$6:$R$162,R120)&gt;1,"重复","唯一"))</x:f>
        <x:v>唯一</x:v>
      </x:c>
      <x:c r="T120" s="70" t="str">
        <x:v>18921dbda4e5997f5c49c6efa66b7af030310d5d086b60fe476e8f0e664e104e</x:v>
      </x:c>
      <x:c r="U120" s="70" t="str">
        <x:v>Codex</x:v>
      </x:c>
      <x:c r="V120" s="71" t="n">
        <x:v>46240</x:v>
      </x:c>
      <x:c r="W120" s="70" t="str">
        <x:v>原创程序几何</x:v>
      </x:c>
      <x:c r="X120" s="70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</x:v>
      </x:c>
    </x:row>
    <x:row r="121">
      <x:c r="A121" t="str">
        <x:v>PRP-DUNGEON-GATE-3D</x:v>
      </x:c>
      <x:c r="B121" t="str">
        <x:v>地下城入口3D模块</x:v>
      </x:c>
      <x:c r="C121" t="str">
        <x:v>场景道具</x:v>
      </x:c>
      <x:c r="D121" t="str">
        <x:v>door</x:v>
      </x:c>
      <x:c r="E121" t="str">
        <x:v>dungeon_gate</x:v>
      </x:c>
      <x:c r="F121" t="str">
        <x:v>root_3d</x:v>
      </x:c>
      <x:c r="G121" t="str">
        <x:v>PRP-DUNGEON-GATE</x:v>
      </x:c>
      <x:c r="H121" t="str">
        <x:v>俯视3D</x:v>
      </x:c>
      <x:c r="I121" t="str">
        <x:v>default</x:v>
      </x:c>
      <x:c r="J121" t="str">
        <x:v>4个地下城入口</x:v>
      </x:c>
      <x:c r="K121" t="str">
        <x:v>原型已接入</x:v>
      </x:c>
      <x:c r="L121" t="str">
        <x:v>P0</x:v>
      </x:c>
      <x:c r="M121" t="str">
        <x:v>v001</x:v>
      </x:c>
      <x:c r="N121" t="str">
        <x:v>PackedScene/材质变体</x:v>
      </x:c>
      <x:c r="O121" t="str">
        <x:v>assets/art/props/base_world_3d/prp_dungeon_gate_root_top3d_v001.tscn</x:v>
      </x:c>
      <x:c r="P121" t="str">
        <x:v>src/base3d/DungeonEntrance3D.gd</x:v>
      </x:c>
      <x:c r="Q121" t="str">
        <x:v>地下城;门;交互;3D</x:v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IF(A121="","",IF(COUNTIF($R$6:$R$162,R121)&gt;1,"重复","唯一"))</x:f>
        <x:v>唯一</x:v>
      </x:c>
      <x:c r="T121" t="str">
        <x:v>1fc802ceb8caef1ce77a54958a8b5e82a0fcae37459106fee970c8941146ba8f</x:v>
      </x:c>
      <x:c r="U121" t="str">
        <x:v>Codex</x:v>
      </x:c>
      <x:c r="V121" s="62" t="n">
        <x:v>46224</x:v>
      </x:c>
      <x:c r="W121" t="str">
        <x:v>原创程序几何</x:v>
      </x:c>
      <x:c r="X121" t="str">
        <x:v>保持旧入口ID与目标场景；地下城内部暂保留2D</x:v>
      </x:c>
    </x:row>
    <x:row r="122">
      <x:c r="A122" t="str">
        <x:v>ENV-BASE-WORLD-3D-PREVIEW</x:v>
      </x:c>
      <x:c r="B122" t="str">
        <x:v>入口基地3D验收预览</x:v>
      </x:c>
      <x:c r="C122" t="str">
        <x:v>场景</x:v>
      </x:c>
      <x:c r="D122" t="str">
        <x:v>review_board</x:v>
      </x:c>
      <x:c r="E122" t="str">
        <x:v>base_world</x:v>
      </x:c>
      <x:c r="F122" t="str">
        <x:v>preview_3d</x:v>
      </x:c>
      <x:c r="G122" t="str">
        <x:v>ENV-BASE-WORLD-KIT-3D</x:v>
      </x:c>
      <x:c r="H122" t="str">
        <x:v>俯视3D</x:v>
      </x:c>
      <x:c r="I122" t="str">
        <x:v>default</x:v>
      </x:c>
      <x:c r="J122" t="str">
        <x:v>评审与资产QA</x:v>
      </x:c>
      <x:c r="K122" t="str">
        <x:v>已完成</x:v>
      </x:c>
      <x:c r="L122" t="str">
        <x:v>P1</x:v>
      </x:c>
      <x:c r="M122" t="str">
        <x:v>v001</x:v>
      </x:c>
      <x:c r="N122" t="str">
        <x:v>1280×720 PNG</x:v>
      </x:c>
      <x:c r="O122" t="str">
        <x:v>assets/art/environments/base_world_3d/env_base_world_preview_top3d_v001.png</x:v>
      </x:c>
      <x:c r="P122" t="str">
        <x:v>tests/verification/verify_base_world_3d_visual.tscn</x:v>
      </x:c>
      <x:c r="Q122" t="str">
        <x:v>3D预览;评审;入口地图</x:v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IF(A122="","",IF(COUNTIF($R$6:$R$162,R122)&gt;1,"重复","唯一"))</x:f>
        <x:v>唯一</x:v>
      </x:c>
      <x:c r="T122" t="str">
        <x:v>7dc3ff5d1bb5942c8340359bfa6d55374604dfbc9fc8b2a23b68a3079fac2e01</x:v>
      </x:c>
      <x:c r="U122" t="str">
        <x:v>Codex</x:v>
      </x:c>
      <x:c r="V122" s="62" t="n">
        <x:v>46224</x:v>
      </x:c>
      <x:c r="W122" t="str">
        <x:v>项目运行截图</x:v>
      </x:c>
      <x:c r="X122" t="str">
        <x:v>用于检查3D布局、镜头、组件比例与交互可读性</x:v>
      </x:c>
    </x:row>
    <x:row r="123" ht="155" customHeight="1">
      <x:c r="A123" s="70" t="str">
        <x:v>ENV-DUNGEON-RUNTIME-3D</x:v>
      </x:c>
      <x:c r="B123" s="70" t="str">
        <x:v>3D随机关卡通用房间套件</x:v>
      </x:c>
      <x:c r="C123" s="70" t="str">
        <x:v>场景</x:v>
      </x:c>
      <x:c r="D123" s="70" t="str">
        <x:v>room</x:v>
      </x:c>
      <x:c r="E123" s="70" t="str">
        <x:v>dungeon_runtime</x:v>
      </x:c>
      <x:c r="F123" s="70" t="str">
        <x:v>root_3d</x:v>
      </x:c>
      <x:c r="G123" s="70"/>
      <x:c r="H123" s="70" t="str">
        <x:v>俯视3D</x:v>
      </x:c>
      <x:c r="I123" s="70" t="str">
        <x:v>default</x:v>
      </x:c>
      <x:c r="J123" s="70" t="str">
        <x:v>四主题副本/随机房间</x:v>
      </x:c>
      <x:c r="K123" s="70" t="str">
        <x:v>原型已接入</x:v>
      </x:c>
      <x:c r="L123" s="70" t="str">
        <x:v>P0</x:v>
      </x:c>
      <x:c r="M123" s="70" t="str">
        <x:v>v001</x:v>
      </x:c>
      <x:c r="N123" s="70" t="str">
        <x:v>PackedScene/三档程序几何</x:v>
      </x:c>
      <x:c r="O123" s="70" t="str">
        <x:v>assets/art/environments/dungeon_3d/env_dungeon_runtime_kit_top3d_v001.tscn</x:v>
      </x:c>
      <x:c r="P123" s="70" t="str">
        <x:v>src/world3d/DungeonRoom3D.gd</x:v>
      </x:c>
      <x:c r="Q123" s="70" t="str">
        <x:v>房间;门洞;走廊;随机地图;3D</x:v>
      </x:c>
      <x:c r="R123" s="70" t="str">
        <x:f>LOWER(TRIM(C123)&amp;"|"&amp;TRIM(D123)&amp;"|"&amp;TRIM(E123)&amp;"|"&amp;TRIM(F123)&amp;"|"&amp;TRIM(H123)&amp;"|"&amp;TRIM(I123))</x:f>
        <x:v>场景|room|dungeon_runtime|root_3d|俯视3d|default</x:v>
      </x:c>
      <x:c r="S123" s="70" t="str">
        <x:f>IF(A123="","",IF(COUNTIF($R$6:$R$162,R123)&gt;1,"重复","唯一"))</x:f>
        <x:v>唯一</x:v>
      </x:c>
      <x:c r="T123" s="70" t="str">
        <x:v>fc33ac084150c3e3cbba89505b3e04f35712abbceaa5cec297c94fe4d7dcc2f3</x:v>
      </x:c>
      <x:c r="U123" s="70" t="str">
        <x:v>Codex</x:v>
      </x:c>
      <x:c r="V123" s="71" t="n">
        <x:v>46233</x:v>
      </x:c>
      <x:c r="W123" s="70" t="str">
        <x:v>原创程序几何</x:v>
      </x:c>
      <x:c r="X123" s="70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63" t="str">
        <x:v>ENV-DUNGEON-IRON-FRONTIER-3D</x:v>
      </x:c>
      <x:c r="B124" s="63" t="str">
        <x:v>冷钢边境3D主题资源</x:v>
      </x:c>
      <x:c r="C124" s="63" t="str">
        <x:v>场景</x:v>
      </x:c>
      <x:c r="D124" s="63" t="str">
        <x:v>biome</x:v>
      </x:c>
      <x:c r="E124" s="63" t="str">
        <x:v>iron_frontier</x:v>
      </x:c>
      <x:c r="F124" s="63" t="str">
        <x:v>theme_3d</x:v>
      </x:c>
      <x:c r="G124" s="63" t="str">
        <x:v>ENV-DUNGEON-RUNTIME-3D</x:v>
      </x:c>
      <x:c r="H124" s="63" t="str">
        <x:v>俯视3D</x:v>
      </x:c>
      <x:c r="I124" s="63" t="str">
        <x:v>default</x:v>
      </x:c>
      <x:c r="J124" s="63" t="str">
        <x:v>冷钢边境</x:v>
      </x:c>
      <x:c r="K124" s="63" t="str">
        <x:v>原型已接入</x:v>
      </x:c>
      <x:c r="L124" s="63" t="str">
        <x:v>P0</x:v>
      </x:c>
      <x:c r="M124" s="63" t="str">
        <x:v>v001</x:v>
      </x:c>
      <x:c r="N124" s="63" t="str">
        <x:v>DungeonTheme3D Resource</x:v>
      </x:c>
      <x:c r="O124" s="63" t="str">
        <x:v>assets/art/environments/dungeon_3d/env_iron_frontier_kit_top3d_v001.tres</x:v>
      </x:c>
      <x:c r="P124" s="63" t="str">
        <x:v>scenes/levels3d/IronFrontier3D.tscn</x:v>
      </x:c>
      <x:c r="Q124" s="63" t="str">
        <x:v>冷钢;冷蓝;边境;雾;灯光</x:v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IF(A124="","",IF(COUNTIF($R$6:$R$162,R124)&gt;1,"重复","唯一"))</x:f>
        <x:v>唯一</x:v>
      </x:c>
      <x:c r="T124" s="63" t="str">
        <x:v>a3c6e7e5433928b790e1fa0fe5124beaeb5ab579f2d376aa35a1be25b6736b58</x:v>
      </x:c>
      <x:c r="U124" s="63" t="str">
        <x:v>Codex</x:v>
      </x:c>
      <x:c r="V124" s="64" t="n">
        <x:v>46224</x:v>
      </x:c>
      <x:c r="W124" s="63" t="str">
        <x:v>原创程序配置</x:v>
      </x:c>
      <x:c r="X124" s="63" t="str">
        <x:v>只保存3D色彩/雾/灯光/家具倾向；玩法读取MapThemeProfile</x:v>
      </x:c>
    </x:row>
    <x:row r="125" ht="34" customHeight="1">
      <x:c r="A125" s="63" t="str">
        <x:v>ENV-DUNGEON-RUST-FOUNDRY-3D</x:v>
      </x:c>
      <x:c r="B125" s="63" t="str">
        <x:v>锈蚀铸造厂3D主题资源</x:v>
      </x:c>
      <x:c r="C125" s="63" t="str">
        <x:v>场景</x:v>
      </x:c>
      <x:c r="D125" s="63" t="str">
        <x:v>biome</x:v>
      </x:c>
      <x:c r="E125" s="63" t="str">
        <x:v>rust_foundry</x:v>
      </x:c>
      <x:c r="F125" s="63" t="str">
        <x:v>theme_3d</x:v>
      </x:c>
      <x:c r="G125" s="63" t="str">
        <x:v>ENV-DUNGEON-RUNTIME-3D</x:v>
      </x:c>
      <x:c r="H125" s="63" t="str">
        <x:v>俯视3D</x:v>
      </x:c>
      <x:c r="I125" s="63" t="str">
        <x:v>default</x:v>
      </x:c>
      <x:c r="J125" s="63" t="str">
        <x:v>锈蚀铸造厂</x:v>
      </x:c>
      <x:c r="K125" s="63" t="str">
        <x:v>原型已接入</x:v>
      </x:c>
      <x:c r="L125" s="63" t="str">
        <x:v>P0</x:v>
      </x:c>
      <x:c r="M125" s="63" t="str">
        <x:v>v001</x:v>
      </x:c>
      <x:c r="N125" s="63" t="str">
        <x:v>DungeonTheme3D Resource</x:v>
      </x:c>
      <x:c r="O125" s="63" t="str">
        <x:v>assets/art/environments/dungeon_3d/env_rust_foundry_kit_top3d_v001.tres</x:v>
      </x:c>
      <x:c r="P125" s="63" t="str">
        <x:v>scenes/levels3d/RustFoundry3D.tscn</x:v>
      </x:c>
      <x:c r="Q125" s="63" t="str">
        <x:v>锈蚀;铸造;橙光;工业</x:v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IF(A125="","",IF(COUNTIF($R$6:$R$162,R125)&gt;1,"重复","唯一"))</x:f>
        <x:v>唯一</x:v>
      </x:c>
      <x:c r="T125" s="63" t="str">
        <x:v>0c14c1dd5a5b8edcb51fa5bb024666d845611bfd87c3c4ee0ded56c4614010a8</x:v>
      </x:c>
      <x:c r="U125" s="63" t="str">
        <x:v>Codex</x:v>
      </x:c>
      <x:c r="V125" s="64" t="n">
        <x:v>46224</x:v>
      </x:c>
      <x:c r="W125" s="63" t="str">
        <x:v>原创程序配置</x:v>
      </x:c>
      <x:c r="X125" s="63" t="str">
        <x:v>复用通用房间根；主题资源不复制玩法规则</x:v>
      </x:c>
    </x:row>
    <x:row r="126" ht="34" customHeight="1">
      <x:c r="A126" s="63" t="str">
        <x:v>ENV-DUNGEON-SPORE-DEPTHS-3D</x:v>
      </x:c>
      <x:c r="B126" s="63" t="str">
        <x:v>孢子深层3D主题资源</x:v>
      </x:c>
      <x:c r="C126" s="63" t="str">
        <x:v>场景</x:v>
      </x:c>
      <x:c r="D126" s="63" t="str">
        <x:v>biome</x:v>
      </x:c>
      <x:c r="E126" s="63" t="str">
        <x:v>spore_depths</x:v>
      </x:c>
      <x:c r="F126" s="63" t="str">
        <x:v>theme_3d</x:v>
      </x:c>
      <x:c r="G126" s="63" t="str">
        <x:v>ENV-DUNGEON-RUNTIME-3D</x:v>
      </x:c>
      <x:c r="H126" s="63" t="str">
        <x:v>俯视3D</x:v>
      </x:c>
      <x:c r="I126" s="63" t="str">
        <x:v>default</x:v>
      </x:c>
      <x:c r="J126" s="63" t="str">
        <x:v>孢子深层</x:v>
      </x:c>
      <x:c r="K126" s="63" t="str">
        <x:v>原型已接入</x:v>
      </x:c>
      <x:c r="L126" s="63" t="str">
        <x:v>P0</x:v>
      </x:c>
      <x:c r="M126" s="63" t="str">
        <x:v>v001</x:v>
      </x:c>
      <x:c r="N126" s="63" t="str">
        <x:v>DungeonTheme3D Resource</x:v>
      </x:c>
      <x:c r="O126" s="63" t="str">
        <x:v>assets/art/environments/dungeon_3d/env_spore_depths_kit_top3d_v001.tres</x:v>
      </x:c>
      <x:c r="P126" s="63" t="str">
        <x:v>scenes/levels3d/SporeDepths3D.tscn</x:v>
      </x:c>
      <x:c r="Q126" s="63" t="str">
        <x:v>孢子;病绿;地下;异化</x:v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IF(A126="","",IF(COUNTIF($R$6:$R$162,R126)&gt;1,"重复","唯一"))</x:f>
        <x:v>唯一</x:v>
      </x:c>
      <x:c r="T126" s="63" t="str">
        <x:v>bbd5cc04028e3962ce9eb8ea04c1c06157d128b5dbad1cea64bed7b4a02e7689</x:v>
      </x:c>
      <x:c r="U126" s="63" t="str">
        <x:v>Codex</x:v>
      </x:c>
      <x:c r="V126" s="64" t="n">
        <x:v>46224</x:v>
      </x:c>
      <x:c r="W126" s="63" t="str">
        <x:v>原创程序配置</x:v>
      </x:c>
      <x:c r="X126" s="63" t="str">
        <x:v>复用通用房间根；主题资源不复制玩法规则</x:v>
      </x:c>
    </x:row>
    <x:row r="127" ht="34" customHeight="1">
      <x:c r="A127" s="63" t="str">
        <x:v>ENV-DUNGEON-ABYSS-ARCHIVE-3D</x:v>
      </x:c>
      <x:c r="B127" s="63" t="str">
        <x:v>深渊档案库3D主题资源</x:v>
      </x:c>
      <x:c r="C127" s="63" t="str">
        <x:v>场景</x:v>
      </x:c>
      <x:c r="D127" s="63" t="str">
        <x:v>biome</x:v>
      </x:c>
      <x:c r="E127" s="63" t="str">
        <x:v>abyss_archive</x:v>
      </x:c>
      <x:c r="F127" s="63" t="str">
        <x:v>theme_3d</x:v>
      </x:c>
      <x:c r="G127" s="63" t="str">
        <x:v>ENV-DUNGEON-RUNTIME-3D</x:v>
      </x:c>
      <x:c r="H127" s="63" t="str">
        <x:v>俯视3D</x:v>
      </x:c>
      <x:c r="I127" s="63" t="str">
        <x:v>default</x:v>
      </x:c>
      <x:c r="J127" s="63" t="str">
        <x:v>深渊档案库</x:v>
      </x:c>
      <x:c r="K127" s="63" t="str">
        <x:v>原型已接入</x:v>
      </x:c>
      <x:c r="L127" s="63" t="str">
        <x:v>P0</x:v>
      </x:c>
      <x:c r="M127" s="63" t="str">
        <x:v>v001</x:v>
      </x:c>
      <x:c r="N127" s="63" t="str">
        <x:v>DungeonTheme3D Resource</x:v>
      </x:c>
      <x:c r="O127" s="63" t="str">
        <x:v>assets/art/environments/dungeon_3d/env_abyss_archive_kit_top3d_v001.tres</x:v>
      </x:c>
      <x:c r="P127" s="63" t="str">
        <x:v>scenes/levels3d/AbyssArchive3D.tscn</x:v>
      </x:c>
      <x:c r="Q127" s="63" t="str">
        <x:v>深渊;档案;紫光;禁区</x:v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IF(A127="","",IF(COUNTIF($R$6:$R$162,R127)&gt;1,"重复","唯一"))</x:f>
        <x:v>唯一</x:v>
      </x:c>
      <x:c r="T127" s="63" t="str">
        <x:v>fb276fb1586de1b69d306ff894800f51da600b8dfb2780cf8bc8d22695ad3a52</x:v>
      </x:c>
      <x:c r="U127" s="63" t="str">
        <x:v>Codex</x:v>
      </x:c>
      <x:c r="V127" s="64" t="n">
        <x:v>46224</x:v>
      </x:c>
      <x:c r="W127" s="63" t="str">
        <x:v>原创程序配置</x:v>
      </x:c>
      <x:c r="X127" s="63" t="str">
        <x:v>复用通用房间根；主题资源不复制玩法规则</x:v>
      </x:c>
    </x:row>
    <x:row r="128" ht="155" customHeight="1">
      <x:c r="A128" s="70" t="str">
        <x:v>PRP-WASTELAND-LIGHT-3D</x:v>
      </x:c>
      <x:c r="B128" s="70" t="str">
        <x:v>废土灯具3D通用模块（街灯/顶灯）</x:v>
      </x:c>
      <x:c r="C128" s="70" t="str">
        <x:v>场景道具</x:v>
      </x:c>
      <x:c r="D128" s="70" t="str">
        <x:v>light</x:v>
      </x:c>
      <x:c r="E128" s="70" t="str">
        <x:v>wasteland_light</x:v>
      </x:c>
      <x:c r="F128" s="70" t="str">
        <x:v>root_3d</x:v>
      </x:c>
      <x:c r="G128" s="70" t="str">
        <x:v>ENV-DUNGEON-RUNTIME-3D</x:v>
      </x:c>
      <x:c r="H128" s="70" t="str">
        <x:v>俯视3D</x:v>
      </x:c>
      <x:c r="I128" s="70" t="str">
        <x:v>default</x:v>
      </x:c>
      <x:c r="J128" s="70" t="str">
        <x:v>关卡/靶场/房间中央照明</x:v>
      </x:c>
      <x:c r="K128" s="70" t="str">
        <x:v>原型已接入</x:v>
      </x:c>
      <x:c r="L128" s="70" t="str">
        <x:v>P0</x:v>
      </x:c>
      <x:c r="M128" s="70" t="str">
        <x:v>v001</x:v>
      </x:c>
      <x:c r="N128" s="70" t="str">
        <x:v>PackedScene/OmniLight3D</x:v>
      </x:c>
      <x:c r="O128" s="70" t="str">
        <x:v>assets/art/props/dungeon_3d/prp_wasteland_light_root_top3d_v001.tscn</x:v>
      </x:c>
      <x:c r="P128" s="70" t="str">
        <x:v>src/world3d/WastelandLight3D.gd</x:v>
      </x:c>
      <x:c r="Q128" s="70" t="str">
        <x:v>灯具;街灯;中央顶灯;故障灯;废土</x:v>
      </x:c>
      <x:c r="R128" s="70" t="str">
        <x:f>LOWER(TRIM(C128)&amp;"|"&amp;TRIM(D128)&amp;"|"&amp;TRIM(E128)&amp;"|"&amp;TRIM(F128)&amp;"|"&amp;TRIM(H128)&amp;"|"&amp;TRIM(I128))</x:f>
        <x:v>场景道具|light|wasteland_light|root_3d|俯视3d|default</x:v>
      </x:c>
      <x:c r="S128" s="70" t="str">
        <x:f>IF(A128="","",IF(COUNTIF($R$6:$R$162,R128)&gt;1,"重复","唯一"))</x:f>
        <x:v>唯一</x:v>
      </x:c>
      <x:c r="T128" s="70" t="str">
        <x:v>0a6ec0add8b6e01b83f4dbaae421ff0dc69ed08648d304bac061f540af27d99b</x:v>
      </x:c>
      <x:c r="U128" s="70" t="str">
        <x:v>Codex</x:v>
      </x:c>
      <x:c r="V128" s="71" t="n">
        <x:v>46237</x:v>
      </x:c>
      <x:c r="W128" s="70" t="str">
        <x:v>原创程序几何</x:v>
      </x:c>
      <x:c r="X128" s="70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63" t="str">
        <x:v>PRP-ROOM-FURNITURE-3D</x:v>
      </x:c>
      <x:c r="B129" s="63" t="str">
        <x:v>房间家具3D通用模块</x:v>
      </x:c>
      <x:c r="C129" s="63" t="str">
        <x:v>场景道具</x:v>
      </x:c>
      <x:c r="D129" s="63" t="str">
        <x:v>furniture</x:v>
      </x:c>
      <x:c r="E129" s="63" t="str">
        <x:v>room_furniture</x:v>
      </x:c>
      <x:c r="F129" s="63" t="str">
        <x:v>root_3d</x:v>
      </x:c>
      <x:c r="G129" s="63" t="str">
        <x:v>ENV-DUNGEON-RUNTIME-3D</x:v>
      </x:c>
      <x:c r="H129" s="63" t="str">
        <x:v>俯视3D</x:v>
      </x:c>
      <x:c r="I129" s="63" t="str">
        <x:v>default</x:v>
      </x:c>
      <x:c r="J129" s="63" t="str">
        <x:v>全部3D房间</x:v>
      </x:c>
      <x:c r="K129" s="63" t="str">
        <x:v>原型已接入</x:v>
      </x:c>
      <x:c r="L129" s="63" t="str">
        <x:v>P0</x:v>
      </x:c>
      <x:c r="M129" s="63" t="str">
        <x:v>v001</x:v>
      </x:c>
      <x:c r="N129" s="63" t="str">
        <x:v>PackedScene/类型与尺寸配置</x:v>
      </x:c>
      <x:c r="O129" s="63" t="str">
        <x:v>assets/art/props/dungeon_3d/prp_room_furniture_root_top3d_v001.tscn</x:v>
      </x:c>
      <x:c r="P129" s="63" t="str">
        <x:v>src/world3d/RoomFurniture3D.gd</x:v>
      </x:c>
      <x:c r="Q129" s="63" t="str">
        <x:v>家具;小中大;箱柜;工作台</x:v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IF(A129="","",IF(COUNTIF($R$6:$R$162,R129)&gt;1,"重复","唯一"))</x:f>
        <x:v>唯一</x:v>
      </x:c>
      <x:c r="T129" s="63" t="str">
        <x:v>a78a7eaac02ce39add97d8a57754cc86ea34e740e24e0e901f4e037198a086e9</x:v>
      </x:c>
      <x:c r="U129" s="63" t="str">
        <x:v>Codex</x:v>
      </x:c>
      <x:c r="V129" s="64" t="n">
        <x:v>46224</x:v>
      </x:c>
      <x:c r="W129" s="63" t="str">
        <x:v>原创程序几何</x:v>
      </x:c>
      <x:c r="X129" s="63" t="str">
        <x:v>11类轮廓；small/medium/large影响占地与碰撞</x:v>
      </x:c>
    </x:row>
    <x:row r="130" ht="34" customHeight="1">
      <x:c r="A130" s="63" t="str">
        <x:v>PRP-SEARCH-CONTAINER-3D</x:v>
      </x:c>
      <x:c r="B130" s="63" t="str">
        <x:v>可搜索容器3D通用模块</x:v>
      </x:c>
      <x:c r="C130" s="63" t="str">
        <x:v>场景道具</x:v>
      </x:c>
      <x:c r="D130" s="63" t="str">
        <x:v>container</x:v>
      </x:c>
      <x:c r="E130" s="63" t="str">
        <x:v>search_container</x:v>
      </x:c>
      <x:c r="F130" s="63" t="str">
        <x:v>root_3d</x:v>
      </x:c>
      <x:c r="G130" s="63" t="str">
        <x:v>PRP-ROOM-FURNITURE-3D</x:v>
      </x:c>
      <x:c r="H130" s="63" t="str">
        <x:v>俯视3D</x:v>
      </x:c>
      <x:c r="I130" s="63" t="str">
        <x:v>closed_opened</x:v>
      </x:c>
      <x:c r="J130" s="63" t="str">
        <x:v>搜索房/仓储/事件</x:v>
      </x:c>
      <x:c r="K130" s="63" t="str">
        <x:v>原型已接入</x:v>
      </x:c>
      <x:c r="L130" s="63" t="str">
        <x:v>P0</x:v>
      </x:c>
      <x:c r="M130" s="63" t="str">
        <x:v>v001</x:v>
      </x:c>
      <x:c r="N130" s="63" t="str">
        <x:v>PackedScene/搜索状态</x:v>
      </x:c>
      <x:c r="O130" s="63" t="str">
        <x:v>assets/art/props/dungeon_3d/prp_search_container_root_top3d_v001.tscn</x:v>
      </x:c>
      <x:c r="P130" s="63" t="str">
        <x:v>src/world3d/RoomFurniture3D.gd</x:v>
      </x:c>
      <x:c r="Q130" s="63" t="str">
        <x:v>搜索;容器;战利品;小中大</x:v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IF(A130="","",IF(COUNTIF($R$6:$R$162,R130)&gt;1,"重复","唯一"))</x:f>
        <x:v>唯一</x:v>
      </x:c>
      <x:c r="T130" s="63" t="str">
        <x:v>2c0852d86e7c0e635e76197ff8d2f6a030daa186f760dfb339d3fdeddf3c192d</x:v>
      </x:c>
      <x:c r="U130" s="63" t="str">
        <x:v>Codex</x:v>
      </x:c>
      <x:c r="V130" s="64" t="n">
        <x:v>46224</x:v>
      </x:c>
      <x:c r="W130" s="63" t="str">
        <x:v>原创程序几何</x:v>
      </x:c>
      <x:c r="X130" s="63" t="str">
        <x:v>搜索为家具状态与配置，不建立关卡局部重复模型</x:v>
      </x:c>
    </x:row>
    <x:row r="131" ht="34" customHeight="1">
      <x:c r="A131" s="63" t="str">
        <x:v>PRP-SERVICE-STATION-3D</x:v>
      </x:c>
      <x:c r="B131" s="63" t="str">
        <x:v>废土服务终端3D模块</x:v>
      </x:c>
      <x:c r="C131" s="63" t="str">
        <x:v>场景道具</x:v>
      </x:c>
      <x:c r="D131" s="63" t="str">
        <x:v>facility</x:v>
      </x:c>
      <x:c r="E131" s="63" t="str">
        <x:v>service_station</x:v>
      </x:c>
      <x:c r="F131" s="63" t="str">
        <x:v>root_3d</x:v>
      </x:c>
      <x:c r="G131" s="63" t="str">
        <x:v>ENV-DUNGEON-RUNTIME-3D</x:v>
      </x:c>
      <x:c r="H131" s="63" t="str">
        <x:v>俯视3D</x:v>
      </x:c>
      <x:c r="I131" s="63" t="str">
        <x:v>default</x:v>
      </x:c>
      <x:c r="J131" s="63" t="str">
        <x:v>商店/升级/事件/重置</x:v>
      </x:c>
      <x:c r="K131" s="63" t="str">
        <x:v>原型已接入</x:v>
      </x:c>
      <x:c r="L131" s="63" t="str">
        <x:v>P0</x:v>
      </x:c>
      <x:c r="M131" s="63" t="str">
        <x:v>v001</x:v>
      </x:c>
      <x:c r="N131" s="63" t="str">
        <x:v>PackedScene/程序组件</x:v>
      </x:c>
      <x:c r="O131" s="63" t="str">
        <x:v>assets/art/props/dungeon_3d/prp_service_station_root_top3d_v001.tscn</x:v>
      </x:c>
      <x:c r="P131" s="63" t="str">
        <x:v>src/world3d/ServiceStation3D.gd</x:v>
      </x:c>
      <x:c r="Q131" s="63" t="str">
        <x:v>终端;商店;升级;事件;重置</x:v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IF(A131="","",IF(COUNTIF($R$6:$R$162,R131)&gt;1,"重复","唯一"))</x:f>
        <x:v>唯一</x:v>
      </x:c>
      <x:c r="T131" s="63" t="str">
        <x:v>da288e4a8ffc005053741d2eda3bbcbf2f6ad34c32c6657e35d0ddf62b837be4</x:v>
      </x:c>
      <x:c r="U131" s="63" t="str">
        <x:v>Codex</x:v>
      </x:c>
      <x:c r="V131" s="64" t="n">
        <x:v>46224</x:v>
      </x:c>
      <x:c r="W131" s="63" t="str">
        <x:v>原创程序几何</x:v>
      </x:c>
      <x:c r="X131" s="63" t="str">
        <x:v>四种服务行为复用同一视觉与交互组件</x:v>
      </x:c>
    </x:row>
    <x:row r="132" ht="34" customHeight="1">
      <x:c r="A132" s="63" t="str">
        <x:v>PRP-EXTRACTION-BEACON-3D</x:v>
      </x:c>
      <x:c r="B132" s="63" t="str">
        <x:v>撤离信标3D模块</x:v>
      </x:c>
      <x:c r="C132" s="63" t="str">
        <x:v>场景道具</x:v>
      </x:c>
      <x:c r="D132" s="63" t="str">
        <x:v>facility</x:v>
      </x:c>
      <x:c r="E132" s="63" t="str">
        <x:v>extraction_beacon</x:v>
      </x:c>
      <x:c r="F132" s="63" t="str">
        <x:v>root_3d</x:v>
      </x:c>
      <x:c r="G132" s="63" t="str">
        <x:v>ENV-DUNGEON-RUNTIME-3D</x:v>
      </x:c>
      <x:c r="H132" s="63" t="str">
        <x:v>俯视3D</x:v>
      </x:c>
      <x:c r="I132" s="63" t="str">
        <x:v>locked_active_done</x:v>
      </x:c>
      <x:c r="J132" s="63" t="str">
        <x:v>四主题撤离房</x:v>
      </x:c>
      <x:c r="K132" s="63" t="str">
        <x:v>原型已接入</x:v>
      </x:c>
      <x:c r="L132" s="63" t="str">
        <x:v>P0</x:v>
      </x:c>
      <x:c r="M132" s="63" t="str">
        <x:v>v001</x:v>
      </x:c>
      <x:c r="N132" s="63" t="str">
        <x:v>PackedScene/程序组件</x:v>
      </x:c>
      <x:c r="O132" s="63" t="str">
        <x:v>assets/art/props/dungeon_3d/prp_extraction_beacon_root_top3d_v001.tscn</x:v>
      </x:c>
      <x:c r="P132" s="63" t="str">
        <x:v>src/world3d/ExtractionBeacon3D.gd</x:v>
      </x:c>
      <x:c r="Q132" s="63" t="str">
        <x:v>撤离;信标;倒计时;Boss解锁</x:v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IF(A132="","",IF(COUNTIF($R$6:$R$162,R132)&gt;1,"重复","唯一"))</x:f>
        <x:v>唯一</x:v>
      </x:c>
      <x:c r="T132" s="63" t="str">
        <x:v>f2638fdaca3f9542e918a56750bda04a5828b18a763569eb16a36619e9e336b4</x:v>
      </x:c>
      <x:c r="U132" s="63" t="str">
        <x:v>Codex</x:v>
      </x:c>
      <x:c r="V132" s="64" t="n">
        <x:v>46237</x:v>
      </x:c>
      <x:c r="W132" s="63" t="str">
        <x:v>原创程序几何</x:v>
      </x:c>
      <x:c r="X132" s="63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63" t="str">
        <x:v>VFX-HAZARD-FIELD-3D</x:v>
      </x:c>
      <x:c r="B133" s="63" t="str">
        <x:v>房间危险场3D特效</x:v>
      </x:c>
      <x:c r="C133" s="63" t="str">
        <x:v>特效</x:v>
      </x:c>
      <x:c r="D133" s="63" t="str">
        <x:v>environment</x:v>
      </x:c>
      <x:c r="E133" s="63" t="str">
        <x:v>hazard_field</x:v>
      </x:c>
      <x:c r="F133" s="63" t="str">
        <x:v>root_3d</x:v>
      </x:c>
      <x:c r="G133" s="63" t="str">
        <x:v>ENV-DUNGEON-RUNTIME-3D</x:v>
      </x:c>
      <x:c r="H133" s="63" t="str">
        <x:v>俯视3D</x:v>
      </x:c>
      <x:c r="I133" s="63" t="str">
        <x:v>active</x:v>
      </x:c>
      <x:c r="J133" s="63" t="str">
        <x:v>陷阱房</x:v>
      </x:c>
      <x:c r="K133" s="63" t="str">
        <x:v>原型已接入</x:v>
      </x:c>
      <x:c r="L133" s="63" t="str">
        <x:v>P0</x:v>
      </x:c>
      <x:c r="M133" s="63" t="str">
        <x:v>v001</x:v>
      </x:c>
      <x:c r="N133" s="63" t="str">
        <x:v>PackedScene/程序环形特效</x:v>
      </x:c>
      <x:c r="O133" s="63" t="str">
        <x:v>assets/art/vfx/environment_3d/vfx_hazard_field_root_top3d_v001.tscn</x:v>
      </x:c>
      <x:c r="P133" s="63" t="str">
        <x:v>src/world3d/HazardField3D.gd</x:v>
      </x:c>
      <x:c r="Q133" s="63" t="str">
        <x:v>危险区;陷阱;范围伤害;3D</x:v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IF(A133="","",IF(COUNTIF($R$6:$R$162,R133)&gt;1,"重复","唯一"))</x:f>
        <x:v>唯一</x:v>
      </x:c>
      <x:c r="T133" s="63" t="str">
        <x:v>66ab8d6bc0e2729ca56c7f3c46a588e5f74890cfdf02b90de1fdc46fd1a67648</x:v>
      </x:c>
      <x:c r="U133" s="63" t="str">
        <x:v>Codex</x:v>
      </x:c>
      <x:c r="V133" s="64" t="n">
        <x:v>46224</x:v>
      </x:c>
      <x:c r="W133" s="63" t="str">
        <x:v>原创程序特效</x:v>
      </x:c>
      <x:c r="X133" s="63" t="str">
        <x:v>颜色、半径与伤害可按主题配置</x:v>
      </x:c>
    </x:row>
    <x:row r="134" ht="34" customHeight="1">
      <x:c r="A134" s="63" t="str">
        <x:v>WPN-GUN-KIT-3D</x:v>
      </x:c>
      <x:c r="B134" s="63" t="str">
        <x:v>枪械3D通用模型套件</x:v>
      </x:c>
      <x:c r="C134" s="63" t="str">
        <x:v>枪械</x:v>
      </x:c>
      <x:c r="D134" s="63" t="str">
        <x:v>gunbody</x:v>
      </x:c>
      <x:c r="E134" s="63" t="str">
        <x:v>blueprint_gun_catalog</x:v>
      </x:c>
      <x:c r="F134" s="63" t="str">
        <x:v>root_3d</x:v>
      </x:c>
      <x:c r="G134" s="63"/>
      <x:c r="H134" s="63" t="str">
        <x:v>俯视3D</x:v>
      </x:c>
      <x:c r="I134" s="63" t="str">
        <x:v>default</x:v>
      </x:c>
      <x:c r="J134" s="63" t="str">
        <x:v>玩家/靶场/全部副本</x:v>
      </x:c>
      <x:c r="K134" s="63" t="str">
        <x:v>原型已接入</x:v>
      </x:c>
      <x:c r="L134" s="63" t="str">
        <x:v>P0</x:v>
      </x:c>
      <x:c r="M134" s="63" t="str">
        <x:v>v001</x:v>
      </x:c>
      <x:c r="N134" s="63" t="str">
        <x:v>PackedScene/7枪配置模型</x:v>
      </x:c>
      <x:c r="O134" s="63" t="str">
        <x:v>assets/art/weapons/weapon_3d/wpn_gun_kit_root_top3d_v001.tscn</x:v>
      </x:c>
      <x:c r="P134" s="63" t="str">
        <x:v>src/combat3d/WeaponModel3D.gd</x:v>
      </x:c>
      <x:c r="Q134" s="63" t="str">
        <x:v>枪械;7枪身;8弹药;后坐力;枪口</x:v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IF(A134="","",IF(COUNTIF($R$6:$R$162,R134)&gt;1,"重复","唯一"))</x:f>
        <x:v>唯一</x:v>
      </x:c>
      <x:c r="T134" s="63" t="str">
        <x:v>e13801540404433f6fc5f00faa0f523b804d18ec7fa30c0f6c15fab48f1ec4c9</x:v>
      </x:c>
      <x:c r="U134" s="63" t="str">
        <x:v>Codex</x:v>
      </x:c>
      <x:c r="V134" s="64" t="n">
        <x:v>46225</x:v>
      </x:c>
      <x:c r="W134" s="63" t="str">
        <x:v>原创程序几何</x:v>
      </x:c>
      <x:c r="X134" s="63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v>
      </x:c>
    </x:row>
    <x:row r="135" ht="34" customHeight="1">
      <x:c r="A135" s="63" t="str">
        <x:v>ENM-ECOSYSTEM-KIT-3D</x:v>
      </x:c>
      <x:c r="B135" s="63" t="str">
        <x:v>七类怪物3D生态套件</x:v>
      </x:c>
      <x:c r="C135" s="63" t="str">
        <x:v>敌人</x:v>
      </x:c>
      <x:c r="D135" s="63" t="str">
        <x:v>normal_elite_boss</x:v>
      </x:c>
      <x:c r="E135" s="63" t="str">
        <x:v>enemy_ecosystem</x:v>
      </x:c>
      <x:c r="F135" s="63" t="str">
        <x:v>root_3d</x:v>
      </x:c>
      <x:c r="G135" s="63"/>
      <x:c r="H135" s="63" t="str">
        <x:v>俯视3D</x:v>
      </x:c>
      <x:c r="I135" s="63" t="str">
        <x:v>default</x:v>
      </x:c>
      <x:c r="J135" s="63" t="str">
        <x:v>四主题战斗房</x:v>
      </x:c>
      <x:c r="K135" s="63" t="str">
        <x:v>原型已接入</x:v>
      </x:c>
      <x:c r="L135" s="63" t="str">
        <x:v>P0</x:v>
      </x:c>
      <x:c r="M135" s="63" t="str">
        <x:v>v001</x:v>
      </x:c>
      <x:c r="N135" s="63" t="str">
        <x:v>PackedScene/模块敌人</x:v>
      </x:c>
      <x:c r="O135" s="63" t="str">
        <x:v>assets/art/enemies/enemy_3d/enm_ecosystem_kit_root_top3d_v001.tscn</x:v>
      </x:c>
      <x:c r="P135" s="63" t="str">
        <x:v>src/enemy3d/Enemy3D.gd</x:v>
      </x:c>
      <x:c r="Q135" s="63" t="str">
        <x:v>怪物;七类;核心;外壳;附肢;状态</x:v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IF(A135="","",IF(COUNTIF($R$6:$R$162,R135)&gt;1,"重复","唯一"))</x:f>
        <x:v>唯一</x:v>
      </x:c>
      <x:c r="T135" s="63" t="str">
        <x:v>d9d8a49bed3fdcb863bad72f60be1f774309c7dda52753f5efb3d4e56159c12d</x:v>
      </x:c>
      <x:c r="U135" s="63" t="str">
        <x:v>Codex</x:v>
      </x:c>
      <x:c r="V135" s="64" t="n">
        <x:v>46225</x:v>
      </x:c>
      <x:c r="W135" s="63" t="str">
        <x:v>原创程序几何</x:v>
      </x:c>
      <x:c r="X135" s="63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63" t="str">
        <x:v>VFX-COMBAT-KIT-3D</x:v>
      </x:c>
      <x:c r="B136" s="63" t="str">
        <x:v>战斗反馈3D通用特效套件</x:v>
      </x:c>
      <x:c r="C136" s="63" t="str">
        <x:v>特效</x:v>
      </x:c>
      <x:c r="D136" s="63" t="str">
        <x:v>combat</x:v>
      </x:c>
      <x:c r="E136" s="63" t="str">
        <x:v>combat_feedback</x:v>
      </x:c>
      <x:c r="F136" s="63" t="str">
        <x:v>root_3d</x:v>
      </x:c>
      <x:c r="G136" s="63"/>
      <x:c r="H136" s="63" t="str">
        <x:v>俯视3D</x:v>
      </x:c>
      <x:c r="I136" s="63" t="str">
        <x:v>muzzle_impact_damage_explosion</x:v>
      </x:c>
      <x:c r="J136" s="63" t="str">
        <x:v>枪械/敌人/关卡</x:v>
      </x:c>
      <x:c r="K136" s="63" t="str">
        <x:v>原型已接入</x:v>
      </x:c>
      <x:c r="L136" s="63" t="str">
        <x:v>P0</x:v>
      </x:c>
      <x:c r="M136" s="63" t="str">
        <x:v>v001</x:v>
      </x:c>
      <x:c r="N136" s="63" t="str">
        <x:v>PackedScene/参数化特效</x:v>
      </x:c>
      <x:c r="O136" s="63" t="str">
        <x:v>assets/art/vfx/combat_3d/vfx_combat_kit_root_top3d_v001.tscn</x:v>
      </x:c>
      <x:c r="P136" s="63" t="str">
        <x:v>src/combat3d/CombatEffect3D.gd</x:v>
      </x:c>
      <x:c r="Q136" s="63" t="str">
        <x:v>枪口;命中;伤害;爆炸;3D</x:v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</x:v>
      </x:c>
      <x:c r="S136" s="63" t="str">
        <x:f>IF(A136="","",IF(COUNTIF($R$6:$R$162,R136)&gt;1,"重复","唯一"))</x:f>
        <x:v>唯一</x:v>
      </x:c>
      <x:c r="T136" s="63" t="str">
        <x:v>2ee5109b1876ea2114ac5c73b4bd0e2fc0348e1209a9d2ca16bc8ef9834ff357</x:v>
      </x:c>
      <x:c r="U136" s="63" t="str">
        <x:v>Codex</x:v>
      </x:c>
      <x:c r="V136" s="64" t="n">
        <x:v>46224</x:v>
      </x:c>
      <x:c r="W136" s="63" t="str">
        <x:v>原创程序特效</x:v>
      </x:c>
      <x:c r="X136" s="63" t="str">
        <x:v>effect kind、颜色与尺寸参数化，避免每把枪复制特效</x:v>
      </x:c>
    </x:row>
    <x:row r="137" ht="34" customHeight="1">
      <x:c r="A137" s="63" t="str">
        <x:v>ENV-TRAINING-RANGE-KIT-3D</x:v>
      </x:c>
      <x:c r="B137" s="63" t="str">
        <x:v>独立3D训练靶场套件</x:v>
      </x:c>
      <x:c r="C137" s="63" t="str">
        <x:v>场景</x:v>
      </x:c>
      <x:c r="D137" s="63" t="str">
        <x:v>training_range</x:v>
      </x:c>
      <x:c r="E137" s="63" t="str">
        <x:v>training_range</x:v>
      </x:c>
      <x:c r="F137" s="63" t="str">
        <x:v>root_3d</x:v>
      </x:c>
      <x:c r="G137" s="63"/>
      <x:c r="H137" s="63" t="str">
        <x:v>俯视3D</x:v>
      </x:c>
      <x:c r="I137" s="63" t="str">
        <x:v>default</x:v>
      </x:c>
      <x:c r="J137" s="63" t="str">
        <x:v>独立训练地图</x:v>
      </x:c>
      <x:c r="K137" s="63" t="str">
        <x:v>原型已接入</x:v>
      </x:c>
      <x:c r="L137" s="63" t="str">
        <x:v>P0</x:v>
      </x:c>
      <x:c r="M137" s="63" t="str">
        <x:v>v001</x:v>
      </x:c>
      <x:c r="N137" s="63" t="str">
        <x:v>PackedScene/程序环境</x:v>
      </x:c>
      <x:c r="O137" s="63" t="str">
        <x:v>assets/art/environments/training_range_3d/env_training_range_kit_top3d_v001.tscn</x:v>
      </x:c>
      <x:c r="P137" s="63" t="str">
        <x:v>scenes/TrainingRange3D.tscn</x:v>
      </x:c>
      <x:c r="Q137" s="63" t="str">
        <x:v>靶场;射击道;货架;56组合;三类靶</x:v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IF(A137="","",IF(COUNTIF($R$6:$R$162,R137)&gt;1,"重复","唯一"))</x:f>
        <x:v>唯一</x:v>
      </x:c>
      <x:c r="T137" s="63" t="str">
        <x:v>4d1153bc736fab0790300f171beef8435002670f3789d6434e966bca0a79d28e</x:v>
      </x:c>
      <x:c r="U137" s="63" t="str">
        <x:v>Codex</x:v>
      </x:c>
      <x:c r="V137" s="64" t="n">
        <x:v>46224</x:v>
      </x:c>
      <x:c r="W137" s="63" t="str">
        <x:v>原创程序几何</x:v>
      </x:c>
      <x:c r="X137" s="63" t="str">
        <x:v>15货架、三射击道、三靶标、重置与返回；BaseData隔离</x:v>
      </x:c>
    </x:row>
    <x:row r="138" ht="34" customHeight="1">
      <x:c r="A138" s="63" t="str">
        <x:v>ENV-DUNGEON-RUNTIME-3D-PREVIEW</x:v>
      </x:c>
      <x:c r="B138" s="63" t="str">
        <x:v>3D关卡运行时验收预览</x:v>
      </x:c>
      <x:c r="C138" s="63" t="str">
        <x:v>场景</x:v>
      </x:c>
      <x:c r="D138" s="63" t="str">
        <x:v>review_board</x:v>
      </x:c>
      <x:c r="E138" s="63" t="str">
        <x:v>dungeon_runtime</x:v>
      </x:c>
      <x:c r="F138" s="63" t="str">
        <x:v>preview_3d</x:v>
      </x:c>
      <x:c r="G138" s="63" t="str">
        <x:v>ENV-DUNGEON-RUNTIME-3D</x:v>
      </x:c>
      <x:c r="H138" s="63" t="str">
        <x:v>俯视3D</x:v>
      </x:c>
      <x:c r="I138" s="63" t="str">
        <x:v>default</x:v>
      </x:c>
      <x:c r="J138" s="63" t="str">
        <x:v>评审与资产QA</x:v>
      </x:c>
      <x:c r="K138" s="63" t="str">
        <x:v>已完成</x:v>
      </x:c>
      <x:c r="L138" s="63" t="str">
        <x:v>P1</x:v>
      </x:c>
      <x:c r="M138" s="63" t="str">
        <x:v>v001</x:v>
      </x:c>
      <x:c r="N138" s="63" t="str">
        <x:v>1280×720 PNG</x:v>
      </x:c>
      <x:c r="O138" s="63" t="str">
        <x:v>assets/art/environments/dungeon_3d/env_dungeon_runtime_preview_top3d_v001.png</x:v>
      </x:c>
      <x:c r="P138" s="63" t="str">
        <x:v>tests/verification/verify_full_3d_visual.tscn</x:v>
      </x:c>
      <x:c r="Q138" s="63" t="str">
        <x:v>3D关卡;预览;灯光;战斗;QA</x:v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IF(A138="","",IF(COUNTIF($R$6:$R$162,R138)&gt;1,"重复","唯一"))</x:f>
        <x:v>唯一</x:v>
      </x:c>
      <x:c r="T138" s="63" t="str">
        <x:v>3b2c2212f1283ed366a31dc3a101b3555c78768c3906600eb0b18c74423fb247</x:v>
      </x:c>
      <x:c r="U138" s="63" t="str">
        <x:v>Codex</x:v>
      </x:c>
      <x:c r="V138" s="64" t="n">
        <x:v>46225</x:v>
      </x:c>
      <x:c r="W138" s="63" t="str">
        <x:v>项目运行截图</x:v>
      </x:c>
      <x:c r="X138" s="63" t="str">
        <x:v>实际GPU窗口确认360°遮挡逻辑与96°定向表现；v0.1三层玩家灯去除头顶溢光，角色正面柔光、增强中央灯与战斗轮廓通过验收</x:v>
      </x:c>
    </x:row>
    <x:row r="139" ht="34" customHeight="1">
      <x:c r="A139" s="63" t="str">
        <x:v>ENV-TRAINING-RANGE-3D-PREVIEW</x:v>
      </x:c>
      <x:c r="B139" s="63" t="str">
        <x:v>3D训练靶场验收预览</x:v>
      </x:c>
      <x:c r="C139" s="63" t="str">
        <x:v>场景</x:v>
      </x:c>
      <x:c r="D139" s="63" t="str">
        <x:v>review_board</x:v>
      </x:c>
      <x:c r="E139" s="63" t="str">
        <x:v>training_range</x:v>
      </x:c>
      <x:c r="F139" s="63" t="str">
        <x:v>preview_3d</x:v>
      </x:c>
      <x:c r="G139" s="63" t="str">
        <x:v>ENV-TRAINING-RANGE-KIT-3D</x:v>
      </x:c>
      <x:c r="H139" s="63" t="str">
        <x:v>俯视3D</x:v>
      </x:c>
      <x:c r="I139" s="63" t="str">
        <x:v>default</x:v>
      </x:c>
      <x:c r="J139" s="63" t="str">
        <x:v>评审与资产QA</x:v>
      </x:c>
      <x:c r="K139" s="63" t="str">
        <x:v>已完成</x:v>
      </x:c>
      <x:c r="L139" s="63" t="str">
        <x:v>P1</x:v>
      </x:c>
      <x:c r="M139" s="63" t="str">
        <x:v>v001</x:v>
      </x:c>
      <x:c r="N139" s="63" t="str">
        <x:v>1280×720 PNG</x:v>
      </x:c>
      <x:c r="O139" s="63" t="str">
        <x:v>assets/art/environments/training_range_3d/env_training_range_preview_top3d_v001.png</x:v>
      </x:c>
      <x:c r="P139" s="63" t="str">
        <x:v>tests/verification/verify_training_range_3d_visual.tscn</x:v>
      </x:c>
      <x:c r="Q139" s="63" t="str">
        <x:v>3D靶场;预览;射击道;目标;QA</x:v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IF(A139="","",IF(COUNTIF($R$6:$R$162,R139)&gt;1,"重复","唯一"))</x:f>
        <x:v>唯一</x:v>
      </x:c>
      <x:c r="T139" s="63" t="str">
        <x:v>51b63097607e69009e9b2e5ed9315b3c642cdc05e823a2fee547cb0bb1ad8377</x:v>
      </x:c>
      <x:c r="U139" s="63" t="str">
        <x:v>Codex</x:v>
      </x:c>
      <x:c r="V139" s="64" t="n">
        <x:v>46224</x:v>
      </x:c>
      <x:c r="W139" s="63" t="str">
        <x:v>项目运行截图</x:v>
      </x:c>
      <x:c r="X139" s="63" t="str">
        <x:v>真实GPU窗口检查三条射击道、三类靶、枪弹组合区与灯光</x:v>
      </x:c>
    </x:row>
    <x:row r="140">
      <x:c r="A140" t="str">
        <x:v>VFX-VISIBILITY-FIELD-3D</x:v>
      </x:c>
      <x:c r="B140" t="str">
        <x:v>柔边真实单位视野场3D</x:v>
      </x:c>
      <x:c r="C140" t="str">
        <x:v>特效</x:v>
      </x:c>
      <x:c r="D140" t="str">
        <x:v>gameplay_vfx</x:v>
      </x:c>
      <x:c r="E140" t="str">
        <x:v>visibility_field</x:v>
      </x:c>
      <x:c r="F140" t="str">
        <x:v>field_mesh_3d</x:v>
      </x:c>
      <x:c r="G140" t="str">
        <x:v>VFX-VISIBILITY-LIGHT</x:v>
      </x:c>
      <x:c r="H140" t="str">
        <x:v>俯视3D</x:v>
      </x:c>
      <x:c r="I140" t="str">
        <x:v>default</x:v>
      </x:c>
      <x:c r="J140" t="str">
        <x:v>3D行动区/靶场/基地</x:v>
      </x:c>
      <x:c r="K140" t="str">
        <x:v>原型已接入</x:v>
      </x:c>
      <x:c r="L140" t="str">
        <x:v>P0</x:v>
      </x:c>
      <x:c r="M140" t="str">
        <x:v>v001</x:v>
      </x:c>
      <x:c r="N140" t="str">
        <x:v>360°逻辑射线 + ImmediateMesh 49+28表现射线</x:v>
      </x:c>
      <x:c r="O140" t="str">
        <x:v>src/player3d/PlayerVision3D.gd</x:v>
      </x:c>
      <x:c r="P140" t="str">
        <x:v>scenes/Player3D.tscn</x:v>
      </x:c>
      <x:c r="Q140" t="str">
        <x:v>360度逻辑视野;96度目光表现;柔边;墙体遮挡;无描边;非灯光判定</x:v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IF(A140="","",IF(COUNTIF($R$6:$R$162,R140)&gt;1,"重复","唯一"))</x:f>
        <x:v>唯一</x:v>
      </x:c>
      <x:c r="T140" t="str">
        <x:v>f2b2eaf61798845c9068d45db0fdad2b32930df5b14a259e36bb8be67eefda07</x:v>
      </x:c>
      <x:c r="U140" t="str">
        <x:v>Codex</x:v>
      </x:c>
      <x:c r="V140" t="n">
        <x:v>46225</x:v>
      </x:c>
      <x:c r="W140" t="str">
        <x:v>原创程序几何</x:v>
      </x:c>
      <x:c r="X140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v>
      </x:c>
    </x:row>
    <x:row r="141">
      <x:c r="A141" t="str">
        <x:v>UI-SCREEN-INVENTORY-3D</x:v>
      </x:c>
      <x:c r="B141" t="str">
        <x:v>3D背包与保险界面</x:v>
      </x:c>
      <x:c r="C141" t="str">
        <x:v>UI</x:v>
      </x:c>
      <x:c r="D141" t="str">
        <x:v>screen</x:v>
      </x:c>
      <x:c r="E141" t="str">
        <x:v>inventory</x:v>
      </x:c>
      <x:c r="F141" t="str">
        <x:v>root_3d</x:v>
      </x:c>
      <x:c r="G141" t="str">
        <x:v>UI-SCREEN-INVENTORY</x:v>
      </x:c>
      <x:c r="H141" t="str">
        <x:v>屏幕空间</x:v>
      </x:c>
      <x:c r="I141" t="str">
        <x:v>default</x:v>
      </x:c>
      <x:c r="J141" t="str">
        <x:v>3D行动区</x:v>
      </x:c>
      <x:c r="K141" t="str">
        <x:v>原型已接入</x:v>
      </x:c>
      <x:c r="L141" t="str">
        <x:v>P0</x:v>
      </x:c>
      <x:c r="M141" t="str">
        <x:v>v002</x:v>
      </x:c>
      <x:c r="N141" t="str">
        <x:v>全屏Control/12+2槽/96×96投影</x:v>
      </x:c>
      <x:c r="O141" t="str">
        <x:v>src/ui/InventoryUI.gd</x:v>
      </x:c>
      <x:c r="P141" t="str">
        <x:v>scenes/Dungeon3D.tscn</x:v>
      </x:c>
      <x:c r="Q141" t="str">
        <x:v>背包;保险;I键;Tab;模态输入锁;3D道具投影;实际点击装备</x:v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IF(A141="","",IF(COUNTIF($R$6:$R$162,R141)&gt;1,"重复","唯一"))</x:f>
        <x:v>唯一</x:v>
      </x:c>
      <x:c r="T141" t="str">
        <x:v>ccd8f7d7f3c99454d157f0dfd2f34631a4d404931f2e1997b5c381db9ac90c99</x:v>
      </x:c>
      <x:c r="U141" t="str">
        <x:v>Codex</x:v>
      </x:c>
      <x:c r="V141" t="n">
        <x:v>46225</x:v>
      </x:c>
      <x:c r="W141" t="str">
        <x:v>原创程序UI</x:v>
      </x:c>
      <x:c r="X141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</x:v>
      </x:c>
    </x:row>
    <x:row r="142">
      <x:c r="A142" t="str">
        <x:v>UI-SCREEN-PAUSE-3D</x:v>
      </x:c>
      <x:c r="B142" t="str">
        <x:v>3D共用暂停界面</x:v>
      </x:c>
      <x:c r="C142" t="str">
        <x:v>UI</x:v>
      </x:c>
      <x:c r="D142" t="str">
        <x:v>screen</x:v>
      </x:c>
      <x:c r="E142" t="str">
        <x:v>pause</x:v>
      </x:c>
      <x:c r="F142" t="str">
        <x:v>root_3d</x:v>
      </x:c>
      <x:c r="G142"/>
      <x:c r="H142" t="str">
        <x:v>屏幕空间</x:v>
      </x:c>
      <x:c r="I142" t="str">
        <x:v>default</x:v>
      </x:c>
      <x:c r="J142" t="str">
        <x:v>地下城/基地/靶场</x:v>
      </x:c>
      <x:c r="K142" t="str">
        <x:v>已完成</x:v>
      </x:c>
      <x:c r="L142" t="str">
        <x:v>P0</x:v>
      </x:c>
      <x:c r="M142" t="str">
        <x:v>v001</x:v>
      </x:c>
      <x:c r="N142" t="str">
        <x:v>PackedScene/全屏Control</x:v>
      </x:c>
      <x:c r="O142" t="str">
        <x:v>assets/art/ui/pause_3d/ui_pause_overlay_screen_v001.tscn</x:v>
      </x:c>
      <x:c r="P142" t="str">
        <x:v>src/ui/PauseMenu3D.gd</x:v>
      </x:c>
      <x:c r="Q142" t="str">
        <x:v>暂停;Esc;继续;全局模态;3D HUD</x:v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IF(A142="","",IF(COUNTIF($R$6:$R$162,R142)&gt;1,"重复","唯一"))</x:f>
        <x:v>唯一</x:v>
      </x:c>
      <x:c r="T142" t="str">
        <x:v>8fed542ebf6b89002c6922a287e666394472252ad9673d8183dd9db604c19a88</x:v>
      </x:c>
      <x:c r="U142" t="str">
        <x:v>Codex</x:v>
      </x:c>
      <x:c r="V142" t="n">
        <x:v>46225</x:v>
      </x:c>
      <x:c r="W142" t="str">
        <x:v>原创程序UI</x:v>
      </x:c>
      <x:c r="X142" t="str">
        <x:v>三张3D地图共用；Esc先关闭最上层模态，再进入真实暂停</x:v>
      </x:c>
    </x:row>
    <x:row r="143" ht="155" customHeight="1">
      <x:c r="A143" s="70" t="str">
        <x:v>PRP-ROOM-LIGHT-SWITCH-3D</x:v>
      </x:c>
      <x:c r="B143" s="70" t="str">
        <x:v>房间中央灯墙面开关3D</x:v>
      </x:c>
      <x:c r="C143" s="70" t="str">
        <x:v>场景道具</x:v>
      </x:c>
      <x:c r="D143" s="70" t="str">
        <x:v>facility</x:v>
      </x:c>
      <x:c r="E143" s="70" t="str">
        <x:v>room_light_switch</x:v>
      </x:c>
      <x:c r="F143" s="70" t="str">
        <x:v>root_3d</x:v>
      </x:c>
      <x:c r="G143" s="70" t="str">
        <x:v>ENV-DUNGEON-RUNTIME-3D</x:v>
      </x:c>
      <x:c r="H143" s="70" t="str">
        <x:v>俯视3D</x:v>
      </x:c>
      <x:c r="I143" s="70" t="str">
        <x:v>default</x:v>
      </x:c>
      <x:c r="J143" s="70" t="str">
        <x:v>随机关卡房间/四主题复用</x:v>
      </x:c>
      <x:c r="K143" s="70" t="str">
        <x:v>原型已接入</x:v>
      </x:c>
      <x:c r="L143" s="70" t="str">
        <x:v>P0</x:v>
      </x:c>
      <x:c r="M143" s="70" t="str">
        <x:v>v001</x:v>
      </x:c>
      <x:c r="N143" s="70" t="str">
        <x:v>PackedScene/Area3D</x:v>
      </x:c>
      <x:c r="O143" s="70" t="str">
        <x:v>assets/art/props/dungeon_3d/prp_room_light_switch_root_top3d_v001.tscn</x:v>
      </x:c>
      <x:c r="P143" s="70" t="str">
        <x:v>src/world3d/RoomLightSwitch3D.gd</x:v>
      </x:c>
      <x:c r="Q143" s="70" t="str">
        <x:v>房灯开关;墙面交互;中央顶灯;E键</x:v>
      </x:c>
      <x:c r="R143" s="70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70" t="str">
        <x:f>IF(A143="","",IF(COUNTIF($R$6:$R$162,R143)&gt;1,"重复","唯一"))</x:f>
        <x:v>唯一</x:v>
      </x:c>
      <x:c r="T143" s="70" t="str">
        <x:v>7802bc3a71d892072e43962875e26b60443d19de35bcc77fe0cbedcfa6dd5d94</x:v>
      </x:c>
      <x:c r="U143" s="70" t="str">
        <x:v>Codex</x:v>
      </x:c>
      <x:c r="V143" s="71" t="n">
        <x:v>46237</x:v>
      </x:c>
      <x:c r="W143" s="70" t="str">
        <x:v>原创程序几何</x:v>
      </x:c>
      <x:c r="X143" s="70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t="str">
        <x:v>VFX-PLAYER-FLASHLIGHT-3D</x:v>
      </x:c>
      <x:c r="B144" t="str">
        <x:v>玩家真实探照灯组件3D</x:v>
      </x:c>
      <x:c r="C144" t="str">
        <x:v>特效</x:v>
      </x:c>
      <x:c r="D144" t="str">
        <x:v>gameplay_vfx</x:v>
      </x:c>
      <x:c r="E144" t="str">
        <x:v>player_flashlight</x:v>
      </x:c>
      <x:c r="F144" t="str">
        <x:v>light_rig_3d</x:v>
      </x:c>
      <x:c r="G144" t="str">
        <x:v>VFX-VISIBILITY-FIELD-3D</x:v>
      </x:c>
      <x:c r="H144" t="str">
        <x:v>俯视3D</x:v>
      </x:c>
      <x:c r="I144" t="str">
        <x:v>default</x:v>
      </x:c>
      <x:c r="J144" t="str">
        <x:v>3D行动区/靶场/基地</x:v>
      </x:c>
      <x:c r="K144" t="str">
        <x:v>原型已接入</x:v>
      </x:c>
      <x:c r="L144" t="str">
        <x:v>P0</x:v>
      </x:c>
      <x:c r="M144" t="str">
        <x:v>v001</x:v>
      </x:c>
      <x:c r="N144" t="str">
        <x:v>PackedScene/2 SpotLight3D+1 OmniLight3D</x:v>
      </x:c>
      <x:c r="O144" t="str">
        <x:v>assets/art/vfx/visibility_3d/vfx_player_flashlight_root_top3d_v001.tscn</x:v>
      </x:c>
      <x:c r="P144" t="str">
        <x:v>src/player3d/PlayerFlashlight3D.gd</x:v>
      </x:c>
      <x:c r="Q144" t="str">
        <x:v>真实探照灯;玩家灯光;前向聚光;角色补光;可调灯光</x:v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IF(A144="","",IF(COUNTIF($R$6:$R$162,R144)&gt;1,"重复","唯一"))</x:f>
        <x:v>唯一</x:v>
      </x:c>
      <x:c r="T144" t="str">
        <x:v>b389efe1d1fcfd30087a6d3f3f2784effee95cf6c54769fde27ecb6806011a05</x:v>
      </x:c>
      <x:c r="U144" t="str">
        <x:v>Codex</x:v>
      </x:c>
      <x:c r="V144" s="62" t="n">
        <x:v>46225</x:v>
      </x:c>
      <x:c r="W144" s="62" t="str">
        <x:v>原创程序几何</x:v>
      </x:c>
      <x:c r="X144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t="str">
        <x:v>UI-ICON-ITEM-MODEL-3D</x:v>
      </x:c>
      <x:c r="B145" t="str">
        <x:v>背包道具3D模型投影组件</x:v>
      </x:c>
      <x:c r="C145" t="str">
        <x:v>UI</x:v>
      </x:c>
      <x:c r="D145" t="str">
        <x:v>icon</x:v>
      </x:c>
      <x:c r="E145" t="str">
        <x:v>item_model_icon</x:v>
      </x:c>
      <x:c r="F145" t="str">
        <x:v>root_3d</x:v>
      </x:c>
      <x:c r="G145" t="str">
        <x:v>UI-SCREEN-INVENTORY-3D</x:v>
      </x:c>
      <x:c r="H145" t="str">
        <x:v>屏幕空间/3D投影</x:v>
      </x:c>
      <x:c r="I145" t="str">
        <x:v>default</x:v>
      </x:c>
      <x:c r="J145" t="str">
        <x:v>背包/保险格/道具预览</x:v>
      </x:c>
      <x:c r="K145" t="str">
        <x:v>原型已接入</x:v>
      </x:c>
      <x:c r="L145" t="str">
        <x:v>P0</x:v>
      </x:c>
      <x:c r="M145" t="str">
        <x:v>v001</x:v>
      </x:c>
      <x:c r="N145" t="str">
        <x:v>96×96 SubViewport/UPDATE_ONCE</x:v>
      </x:c>
      <x:c r="O145" t="str">
        <x:v>assets/art/ui/inventory_3d/ui_item_model_icon_root_v001.tscn</x:v>
      </x:c>
      <x:c r="P145" t="str">
        <x:v>src/ui/ItemModelIcon3D.gd</x:v>
      </x:c>
      <x:c r="Q145" t="str">
        <x:v>3D道具图标;模型投影;背包图标;共享世界模型;单次渲染</x:v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IF(A145="","",IF(COUNTIF($R$6:$R$162,R145)&gt;1,"重复","唯一"))</x:f>
        <x:v>唯一</x:v>
      </x:c>
      <x:c r="T145" t="str">
        <x:v>97c10f3884107c1263f3de1f8bc1ce84bb568ecd80418b62bdb023c55cdab9fe</x:v>
      </x:c>
      <x:c r="U145" t="str">
        <x:v>Codex</x:v>
      </x:c>
      <x:c r="V145" s="62" t="n">
        <x:v>46225</x:v>
      </x:c>
      <x:c r="W145" t="str">
        <x:v>原创程序UI</x:v>
      </x:c>
      <x:c r="X145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63" t="str">
        <x:v>CHR-PLY-CAPSULE01-BODY-DIY-3D</x:v>
      </x:c>
      <x:c r="B146" s="63" t="str">
        <x:v>胶囊防护体3D身体DIY变体</x:v>
      </x:c>
      <x:c r="C146" s="63" t="str">
        <x:v>角色</x:v>
      </x:c>
      <x:c r="D146" s="63" t="str">
        <x:v>player_variant</x:v>
      </x:c>
      <x:c r="E146" s="63" t="str">
        <x:v>player_capsule01</x:v>
      </x:c>
      <x:c r="F146" s="63" t="str">
        <x:v>body_diy_3d</x:v>
      </x:c>
      <x:c r="G146" s="63" t="str">
        <x:v>CHR-PLY-CAPSULE01-BODY-3D</x:v>
      </x:c>
      <x:c r="H146" s="63" t="str">
        <x:v>俯视3D</x:v>
      </x:c>
      <x:c r="I146" s="63" t="str">
        <x:v>diy</x:v>
      </x:c>
      <x:c r="J146" s="63" t="str">
        <x:v>3D玩家/预览场</x:v>
      </x:c>
      <x:c r="K146" s="63" t="str">
        <x:v>原型已接入</x:v>
      </x:c>
      <x:c r="L146" s="63" t="str">
        <x:v>P1</x:v>
      </x:c>
      <x:c r="M146" s="63" t="str">
        <x:v>v001</x:v>
      </x:c>
      <x:c r="N146" s="63" t="str">
        <x:v>3种程序材质</x:v>
      </x:c>
      <x:c r="O146" s="63" t="str">
        <x:v>src/player3d/PlayerAvatar3D.gd</x:v>
      </x:c>
      <x:c r="P146" s="63" t="str">
        <x:v>VisualRoot/Body</x:v>
      </x:c>
      <x:c r="Q146" s="63" t="str">
        <x:v>身体;防护服;DIY;橄榄;沙色;钴蓝</x:v>
      </x:c>
      <x:c r="R146" s="63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63" t="str">
        <x:f>IF(A146="","",IF(COUNTIF($R$6:$R$162,R146)&gt;1,"重复","唯一"))</x:f>
        <x:v>唯一</x:v>
      </x:c>
      <x:c r="T146" s="63" t="str">
        <x:v>43c7fa3fa002c9e5a2ec27f04fedeefacee2f32f3a91cb232e98f080513e2f7b</x:v>
      </x:c>
      <x:c r="U146" s="63" t="str">
        <x:v>Codex</x:v>
      </x:c>
      <x:c r="V146" s="63" t="str">
        <x:v>2026-07-25</x:v>
      </x:c>
      <x:c r="W146" s="63" t="str">
        <x:v>原创程序几何</x:v>
      </x:c>
      <x:c r="X146" s="63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7" ht="44" customHeight="1">
      <x:c r="A147" s="63" t="str">
        <x:v>CHR-PLY-CAPSULE01-HEAD-DIY-3D</x:v>
      </x:c>
      <x:c r="B147" s="63" t="str">
        <x:v>胶囊防护体3D头部DIY变体</x:v>
      </x:c>
      <x:c r="C147" s="63" t="str">
        <x:v>角色</x:v>
      </x:c>
      <x:c r="D147" s="63" t="str">
        <x:v>player_variant</x:v>
      </x:c>
      <x:c r="E147" s="63" t="str">
        <x:v>player_capsule01</x:v>
      </x:c>
      <x:c r="F147" s="63" t="str">
        <x:v>head_diy_3d</x:v>
      </x:c>
      <x:c r="G147" s="63" t="str">
        <x:v>CHR-PLY-CAPSULE01-HEAD-3D</x:v>
      </x:c>
      <x:c r="H147" s="63" t="str">
        <x:v>俯视3D</x:v>
      </x:c>
      <x:c r="I147" s="63" t="str">
        <x:v>diy</x:v>
      </x:c>
      <x:c r="J147" s="63" t="str">
        <x:v>3D玩家/预览场</x:v>
      </x:c>
      <x:c r="K147" s="63" t="str">
        <x:v>原型已接入</x:v>
      </x:c>
      <x:c r="L147" s="63" t="str">
        <x:v>P1</x:v>
      </x:c>
      <x:c r="M147" s="63" t="str">
        <x:v>v001</x:v>
      </x:c>
      <x:c r="N147" s="63" t="str">
        <x:v>3种程序材质</x:v>
      </x:c>
      <x:c r="O147" s="63" t="str">
        <x:v>src/player3d/PlayerAvatar3D.gd</x:v>
      </x:c>
      <x:c r="P147" s="63" t="str">
        <x:v>VisualRoot/Head</x:v>
      </x:c>
      <x:c r="Q147" s="63" t="str">
        <x:v>头壳;传感器;DIY;青色面板;琥珀装甲</x:v>
      </x:c>
      <x:c r="R147" s="63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63" t="str">
        <x:f>IF(A147="","",IF(COUNTIF($R$6:$R$162,R147)&gt;1,"重复","唯一"))</x:f>
        <x:v>唯一</x:v>
      </x:c>
      <x:c r="T147" s="63" t="str">
        <x:v>43c7fa3fa002c9e5a2ec27f04fedeefacee2f32f3a91cb232e98f080513e2f7b</x:v>
      </x:c>
      <x:c r="U147" s="63" t="str">
        <x:v>Codex</x:v>
      </x:c>
      <x:c r="V147" s="63" t="str">
        <x:v>2026-07-25</x:v>
      </x:c>
      <x:c r="W147" s="63" t="str">
        <x:v>原创程序几何</x:v>
      </x:c>
      <x:c r="X147" s="63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8" ht="44" customHeight="1">
      <x:c r="A148" s="63" t="str">
        <x:v>CHR-PLY-CAPSULE01-HAND-DIY-3D</x:v>
      </x:c>
      <x:c r="B148" s="63" t="str">
        <x:v>胶囊防护体3D手部DIY变体</x:v>
      </x:c>
      <x:c r="C148" s="63" t="str">
        <x:v>角色</x:v>
      </x:c>
      <x:c r="D148" s="63" t="str">
        <x:v>player_variant</x:v>
      </x:c>
      <x:c r="E148" s="63" t="str">
        <x:v>player_capsule01</x:v>
      </x:c>
      <x:c r="F148" s="63" t="str">
        <x:v>hand_diy_3d</x:v>
      </x:c>
      <x:c r="G148" s="63" t="str">
        <x:v>CHR-PLY-CAPSULE01-HAND-3D</x:v>
      </x:c>
      <x:c r="H148" s="63" t="str">
        <x:v>俯视3D</x:v>
      </x:c>
      <x:c r="I148" s="63" t="str">
        <x:v>diy</x:v>
      </x:c>
      <x:c r="J148" s="63" t="str">
        <x:v>3D玩家/预览场</x:v>
      </x:c>
      <x:c r="K148" s="63" t="str">
        <x:v>原型已接入</x:v>
      </x:c>
      <x:c r="L148" s="63" t="str">
        <x:v>P1</x:v>
      </x:c>
      <x:c r="M148" s="63" t="str">
        <x:v>v001</x:v>
      </x:c>
      <x:c r="N148" s="63" t="str">
        <x:v>3种程序材质/抓握压缩</x:v>
      </x:c>
      <x:c r="O148" s="63" t="str">
        <x:v>src/player3d/PlayerAvatar3D.gd</x:v>
      </x:c>
      <x:c r="P148" s="63" t="str">
        <x:v>VisualRoot/Hand</x:v>
      </x:c>
      <x:c r="Q148" s="63" t="str">
        <x:v>唯一手;握持;DIY;橙色;青绿</x:v>
      </x:c>
      <x:c r="R148" s="63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63" t="str">
        <x:f>IF(A148="","",IF(COUNTIF($R$6:$R$162,R148)&gt;1,"重复","唯一"))</x:f>
        <x:v>唯一</x:v>
      </x:c>
      <x:c r="T148" s="63" t="str">
        <x:v>43c7fa3fa002c9e5a2ec27f04fedeefacee2f32f3a91cb232e98f080513e2f7b</x:v>
      </x:c>
      <x:c r="U148" s="63" t="str">
        <x:v>Codex</x:v>
      </x:c>
      <x:c r="V148" s="63" t="str">
        <x:v>2026-07-25</x:v>
      </x:c>
      <x:c r="W148" s="63" t="str">
        <x:v>原创程序几何</x:v>
      </x:c>
      <x:c r="X148" s="63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9" ht="44" customHeight="1">
      <x:c r="A149" s="63" t="str">
        <x:v>CHR-PLY-CAPSULE01-HAT-DIY-3D</x:v>
      </x:c>
      <x:c r="B149" s="63" t="str">
        <x:v>胶囊防护体3D帽子DIY组件</x:v>
      </x:c>
      <x:c r="C149" s="63" t="str">
        <x:v>角色</x:v>
      </x:c>
      <x:c r="D149" s="63" t="str">
        <x:v>player_accessory</x:v>
      </x:c>
      <x:c r="E149" s="63" t="str">
        <x:v>player_capsule01</x:v>
      </x:c>
      <x:c r="F149" s="63" t="str">
        <x:v>hat_diy_3d</x:v>
      </x:c>
      <x:c r="G149" s="63" t="str">
        <x:v>CHR-PLY-CAPSULE01-HEAD-3D</x:v>
      </x:c>
      <x:c r="H149" s="63" t="str">
        <x:v>俯视3D</x:v>
      </x:c>
      <x:c r="I149" s="63" t="str">
        <x:v>diy</x:v>
      </x:c>
      <x:c r="J149" s="63" t="str">
        <x:v>3D玩家/预览场</x:v>
      </x:c>
      <x:c r="K149" s="63" t="str">
        <x:v>原型已接入</x:v>
      </x:c>
      <x:c r="L149" s="63" t="str">
        <x:v>P1</x:v>
      </x:c>
      <x:c r="M149" s="63" t="str">
        <x:v>v001</x:v>
      </x:c>
      <x:c r="N149" s="63" t="str">
        <x:v>软帽/安全帽/密封兜帽</x:v>
      </x:c>
      <x:c r="O149" s="63" t="str">
        <x:v>src/player3d/PlayerAvatar3D.gd</x:v>
      </x:c>
      <x:c r="P149" s="63" t="str">
        <x:v>VisualRoot/Head/Wearables</x:v>
      </x:c>
      <x:c r="Q149" s="63" t="str">
        <x:v>帽子;软帽;安全帽;兜帽;DIY</x:v>
      </x:c>
      <x:c r="R149" s="63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63" t="str">
        <x:f>IF(A149="","",IF(COUNTIF($R$6:$R$162,R149)&gt;1,"重复","唯一"))</x:f>
        <x:v>唯一</x:v>
      </x:c>
      <x:c r="T149" s="63" t="str">
        <x:v>43c7fa3fa002c9e5a2ec27f04fedeefacee2f32f3a91cb232e98f080513e2f7b</x:v>
      </x:c>
      <x:c r="U149" s="63" t="str">
        <x:v>Codex</x:v>
      </x:c>
      <x:c r="V149" s="63" t="str">
        <x:v>2026-07-25</x:v>
      </x:c>
      <x:c r="W149" s="63" t="str">
        <x:v>原创程序几何</x:v>
      </x:c>
      <x:c r="X149" s="63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0" ht="44" customHeight="1">
      <x:c r="A150" s="63" t="str">
        <x:v>CHR-PLY-CAPSULE01-GLASSES-DIY-3D</x:v>
      </x:c>
      <x:c r="B150" s="63" t="str">
        <x:v>胶囊防护体3D眼镜DIY组件</x:v>
      </x:c>
      <x:c r="C150" s="63" t="str">
        <x:v>角色</x:v>
      </x:c>
      <x:c r="D150" s="63" t="str">
        <x:v>player_accessory</x:v>
      </x:c>
      <x:c r="E150" s="63" t="str">
        <x:v>player_capsule01</x:v>
      </x:c>
      <x:c r="F150" s="63" t="str">
        <x:v>glasses_diy_3d</x:v>
      </x:c>
      <x:c r="G150" s="63" t="str">
        <x:v>CHR-PLY-CAPSULE01-HEAD-3D</x:v>
      </x:c>
      <x:c r="H150" s="63" t="str">
        <x:v>俯视3D</x:v>
      </x:c>
      <x:c r="I150" s="63" t="str">
        <x:v>diy</x:v>
      </x:c>
      <x:c r="J150" s="63" t="str">
        <x:v>3D玩家/预览场</x:v>
      </x:c>
      <x:c r="K150" s="63" t="str">
        <x:v>原型已接入</x:v>
      </x:c>
      <x:c r="L150" s="63" t="str">
        <x:v>P1</x:v>
      </x:c>
      <x:c r="M150" s="63" t="str">
        <x:v>v001</x:v>
      </x:c>
      <x:c r="N150" s="63" t="str">
        <x:v>单目镜/双目护镜/宽面护目镜</x:v>
      </x:c>
      <x:c r="O150" s="63" t="str">
        <x:v>src/player3d/PlayerAvatar3D.gd</x:v>
      </x:c>
      <x:c r="P150" s="63" t="str">
        <x:v>VisualRoot/Head/Wearables</x:v>
      </x:c>
      <x:c r="Q150" s="63" t="str">
        <x:v>眼镜;单目镜;护目镜;宽面护目镜;DIY</x:v>
      </x:c>
      <x:c r="R150" s="63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63" t="str">
        <x:f>IF(A150="","",IF(COUNTIF($R$6:$R$162,R150)&gt;1,"重复","唯一"))</x:f>
        <x:v>唯一</x:v>
      </x:c>
      <x:c r="T150" s="63" t="str">
        <x:v>43c7fa3fa002c9e5a2ec27f04fedeefacee2f32f3a91cb232e98f080513e2f7b</x:v>
      </x:c>
      <x:c r="U150" s="63" t="str">
        <x:v>Codex</x:v>
      </x:c>
      <x:c r="V150" s="63" t="str">
        <x:v>2026-07-25</x:v>
      </x:c>
      <x:c r="W150" s="63" t="str">
        <x:v>原创程序几何</x:v>
      </x:c>
      <x:c r="X150" s="63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1" ht="44" customHeight="1">
      <x:c r="A151" s="63" t="str">
        <x:v>CHR-PLY-CAPSULE01-FOOT-3D</x:v>
      </x:c>
      <x:c r="B151" s="63" t="str">
        <x:v>方形猫角色3D脚部模块</x:v>
      </x:c>
      <x:c r="C151" s="63" t="str">
        <x:v>角色</x:v>
      </x:c>
      <x:c r="D151" s="63" t="str">
        <x:v>player</x:v>
      </x:c>
      <x:c r="E151" s="63" t="str">
        <x:v>player_capsule01</x:v>
      </x:c>
      <x:c r="F151" s="63" t="str">
        <x:v>feet_3d</x:v>
      </x:c>
      <x:c r="G151" s="63" t="str">
        <x:v>CHR-PLY-CAPSULE01-3D</x:v>
      </x:c>
      <x:c r="H151" s="63" t="str">
        <x:v>俯视3D</x:v>
      </x:c>
      <x:c r="I151" s="63" t="str">
        <x:v>default</x:v>
      </x:c>
      <x:c r="J151" s="63" t="str">
        <x:v>3D玩家/预览场</x:v>
      </x:c>
      <x:c r="K151" s="63" t="str">
        <x:v>原型已接入</x:v>
      </x:c>
      <x:c r="L151" s="63" t="str">
        <x:v>P1</x:v>
      </x:c>
      <x:c r="M151" s="63" t="str">
        <x:v>v001</x:v>
      </x:c>
      <x:c r="N151" s="63" t="str">
        <x:v>双BoxMesh短脚</x:v>
      </x:c>
      <x:c r="O151" s="63" t="str">
        <x:v>assets/art/characters/player/chr_player_capsule01_3d/chr_player_capsule01_root_top3d_v001.tscn</x:v>
      </x:c>
      <x:c r="P151" s="63" t="str">
        <x:v>VisualRoot/Feet</x:v>
      </x:c>
      <x:c r="Q151" s="63" t="str">
        <x:v>脚;脚部;双脚;方脚;猫脚</x:v>
      </x:c>
      <x:c r="R151" s="63" t="str">
        <x:f>LOWER(TRIM(C151)&amp;"|"&amp;TRIM(D151)&amp;"|"&amp;TRIM(E151)&amp;"|"&amp;TRIM(F151)&amp;"|"&amp;TRIM(H151)&amp;"|"&amp;TRIM(I151))</x:f>
        <x:v>角色|player|player_capsule01|feet_3d|俯视3d|default</x:v>
      </x:c>
      <x:c r="S151" s="63" t="str">
        <x:f>IF(A151="","",IF(COUNTIF($R$6:$R$162,R151)&gt;1,"重复","唯一"))</x:f>
        <x:v>唯一</x:v>
      </x:c>
      <x:c r="T151" s="63" t="str">
        <x:v>cf0b3b648d56590f1e024553d224df35007358452ea16ad1651ae9af4a7dde49</x:v>
      </x:c>
      <x:c r="U151" s="63" t="str">
        <x:v>Codex</x:v>
      </x:c>
      <x:c r="V151" s="63" t="str">
        <x:v>2026-07-25</x:v>
      </x:c>
      <x:c r="W151" s="63" t="str">
        <x:v>原创程序几何</x:v>
      </x:c>
      <x:c r="X151" s="63" t="str">
        <x:v>方形猫角色3D脚部模块；复用CHR-PLY-CAPSULE01-3D玩家根；方形主语言，TailStub为用户指定圆尾例外；自动与视觉验收PASS</x:v>
      </x:c>
    </x:row>
    <x:row r="152" ht="44" customHeight="1">
      <x:c r="A152" s="63" t="str">
        <x:v>CHR-PLY-CAPSULE01-EYES-3D</x:v>
      </x:c>
      <x:c r="B152" s="63" t="str">
        <x:v>方形猫角色3D双眼配件</x:v>
      </x:c>
      <x:c r="C152" s="63" t="str">
        <x:v>角色</x:v>
      </x:c>
      <x:c r="D152" s="63" t="str">
        <x:v>player_accessory</x:v>
      </x:c>
      <x:c r="E152" s="63" t="str">
        <x:v>player_capsule01</x:v>
      </x:c>
      <x:c r="F152" s="63" t="str">
        <x:v>eyes_3d</x:v>
      </x:c>
      <x:c r="G152" s="63" t="str">
        <x:v>CHR-PLY-CAPSULE01-HEAD-3D</x:v>
      </x:c>
      <x:c r="H152" s="63" t="str">
        <x:v>俯视3D</x:v>
      </x:c>
      <x:c r="I152" s="63" t="str">
        <x:v>default</x:v>
      </x:c>
      <x:c r="J152" s="63" t="str">
        <x:v>3D玩家/预览场</x:v>
      </x:c>
      <x:c r="K152" s="63" t="str">
        <x:v>原型已接入</x:v>
      </x:c>
      <x:c r="L152" s="63" t="str">
        <x:v>P1</x:v>
      </x:c>
      <x:c r="M152" s="63" t="str">
        <x:v>v001</x:v>
      </x:c>
      <x:c r="N152" s="63" t="str">
        <x:v>2个矩形豆豆眼</x:v>
      </x:c>
      <x:c r="O152" s="63" t="str">
        <x:v>assets/art/characters/player/chr_player_capsule01_3d/chr_player_capsule01_root_top3d_v001.tscn</x:v>
      </x:c>
      <x:c r="P152" s="63" t="str">
        <x:v>VisualRoot/Head/Eyes</x:v>
      </x:c>
      <x:c r="Q152" s="63" t="str">
        <x:v>眼睛;双眼;豆豆眼;矩形眼</x:v>
      </x:c>
      <x:c r="R152" s="63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63" t="str">
        <x:f>IF(A152="","",IF(COUNTIF($R$6:$R$162,R152)&gt;1,"重复","唯一"))</x:f>
        <x:v>唯一</x:v>
      </x:c>
      <x:c r="T152" s="63" t="str">
        <x:v>cf0b3b648d56590f1e024553d224df35007358452ea16ad1651ae9af4a7dde49</x:v>
      </x:c>
      <x:c r="U152" s="63" t="str">
        <x:v>Codex</x:v>
      </x:c>
      <x:c r="V152" s="63" t="str">
        <x:v>2026-07-25</x:v>
      </x:c>
      <x:c r="W152" s="63" t="str">
        <x:v>原创程序几何</x:v>
      </x:c>
      <x:c r="X152" s="63" t="str">
        <x:v>方形猫角色3D双眼配件；复用CHR-PLY-CAPSULE01-3D玩家根；方形主语言，TailStub为用户指定圆尾例外；自动与视觉验收PASS</x:v>
      </x:c>
    </x:row>
    <x:row r="153" ht="44" customHeight="1">
      <x:c r="A153" s="63" t="str">
        <x:v>CHR-PLY-CAPSULE01-EARS-3D</x:v>
      </x:c>
      <x:c r="B153" s="63" t="str">
        <x:v>方形猫角色3D双耳配件</x:v>
      </x:c>
      <x:c r="C153" s="63" t="str">
        <x:v>角色</x:v>
      </x:c>
      <x:c r="D153" s="63" t="str">
        <x:v>player_accessory</x:v>
      </x:c>
      <x:c r="E153" s="63" t="str">
        <x:v>player_capsule01</x:v>
      </x:c>
      <x:c r="F153" s="63" t="str">
        <x:v>ears_3d</x:v>
      </x:c>
      <x:c r="G153" s="63" t="str">
        <x:v>CHR-PLY-CAPSULE01-HEAD-3D</x:v>
      </x:c>
      <x:c r="H153" s="63" t="str">
        <x:v>俯视3D</x:v>
      </x:c>
      <x:c r="I153" s="63" t="str">
        <x:v>default</x:v>
      </x:c>
      <x:c r="J153" s="63" t="str">
        <x:v>3D玩家/预览场</x:v>
      </x:c>
      <x:c r="K153" s="63" t="str">
        <x:v>原型已接入</x:v>
      </x:c>
      <x:c r="L153" s="63" t="str">
        <x:v>P1</x:v>
      </x:c>
      <x:c r="M153" s="63" t="str">
        <x:v>v001</x:v>
      </x:c>
      <x:c r="N153" s="63" t="str">
        <x:v>2个三角耳</x:v>
      </x:c>
      <x:c r="O153" s="63" t="str">
        <x:v>assets/art/characters/player/chr_player_capsule01_3d/chr_player_capsule01_root_top3d_v001.tscn</x:v>
      </x:c>
      <x:c r="P153" s="63" t="str">
        <x:v>VisualRoot/Head/Ears</x:v>
      </x:c>
      <x:c r="Q153" s="63" t="str">
        <x:v>耳朵;双耳;猫耳;三角耳</x:v>
      </x:c>
      <x:c r="R153" s="63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63" t="str">
        <x:f>IF(A153="","",IF(COUNTIF($R$6:$R$162,R153)&gt;1,"重复","唯一"))</x:f>
        <x:v>唯一</x:v>
      </x:c>
      <x:c r="T153" s="63" t="str">
        <x:v>cf0b3b648d56590f1e024553d224df35007358452ea16ad1651ae9af4a7dde49</x:v>
      </x:c>
      <x:c r="U153" s="63" t="str">
        <x:v>Codex</x:v>
      </x:c>
      <x:c r="V153" s="63" t="str">
        <x:v>2026-07-25</x:v>
      </x:c>
      <x:c r="W153" s="63" t="str">
        <x:v>原创程序几何</x:v>
      </x:c>
      <x:c r="X153" s="63" t="str">
        <x:v>方形猫角色3D双耳配件；复用CHR-PLY-CAPSULE01-3D玩家根；方形主语言，TailStub为用户指定圆尾例外；自动与视觉验收PASS</x:v>
      </x:c>
    </x:row>
    <x:row r="154" ht="44" customHeight="1">
      <x:c r="A154" s="63" t="str">
        <x:v>CHR-PLY-CAPSULE01-TAIL-STUB-3D</x:v>
      </x:c>
      <x:c r="B154" s="63" t="str">
        <x:v>方形猫角色3D圆短尾</x:v>
      </x:c>
      <x:c r="C154" s="63" t="str">
        <x:v>角色</x:v>
      </x:c>
      <x:c r="D154" s="63" t="str">
        <x:v>player_accessory</x:v>
      </x:c>
      <x:c r="E154" s="63" t="str">
        <x:v>player_capsule01</x:v>
      </x:c>
      <x:c r="F154" s="63" t="str">
        <x:v>tail_stub_3d</x:v>
      </x:c>
      <x:c r="G154" s="63" t="str">
        <x:v>CHR-PLY-CAPSULE01-BODY-3D</x:v>
      </x:c>
      <x:c r="H154" s="63" t="str">
        <x:v>俯视3D</x:v>
      </x:c>
      <x:c r="I154" s="63" t="str">
        <x:v>default</x:v>
      </x:c>
      <x:c r="J154" s="63" t="str">
        <x:v>3D玩家/预览场</x:v>
      </x:c>
      <x:c r="K154" s="63" t="str">
        <x:v>原型已接入</x:v>
      </x:c>
      <x:c r="L154" s="63" t="str">
        <x:v>P1</x:v>
      </x:c>
      <x:c r="M154" s="63" t="str">
        <x:v>v001</x:v>
      </x:c>
      <x:c r="N154" s="63" t="str">
        <x:v>单个SphereMesh圆尾团</x:v>
      </x:c>
      <x:c r="O154" s="63" t="str">
        <x:v>assets/art/characters/player/chr_player_capsule01_3d/chr_player_capsule01_root_top3d_v001.tscn</x:v>
      </x:c>
      <x:c r="P154" s="63" t="str">
        <x:v>VisualRoot/Body/TailStub</x:v>
      </x:c>
      <x:c r="Q154" s="63" t="str">
        <x:v>尾巴;短尾;圆尾;尾团;无长尾</x:v>
      </x:c>
      <x:c r="R154" s="63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63" t="str">
        <x:f>IF(A154="","",IF(COUNTIF($R$6:$R$162,R154)&gt;1,"重复","唯一"))</x:f>
        <x:v>唯一</x:v>
      </x:c>
      <x:c r="T154" s="63" t="str">
        <x:v>cf0b3b648d56590f1e024553d224df35007358452ea16ad1651ae9af4a7dde49</x:v>
      </x:c>
      <x:c r="U154" s="63" t="str">
        <x:v>Codex</x:v>
      </x:c>
      <x:c r="V154" s="63" t="str">
        <x:v>2026-07-25</x:v>
      </x:c>
      <x:c r="W154" s="63" t="str">
        <x:v>原创程序几何</x:v>
      </x:c>
      <x:c r="X154" s="63" t="str">
        <x:v>方形猫角色3D圆短尾；复用CHR-PLY-CAPSULE01-3D玩家根；方形主语言，TailStub为用户指定圆尾例外；自动与视觉验收PASS</x:v>
      </x:c>
    </x:row>
    <x:row r="155" ht="44" customHeight="1">
      <x:c r="A155" s="63" t="str">
        <x:v>CHR-PLY-CAPSULE01-FEET-DIY-3D</x:v>
      </x:c>
      <x:c r="B155" s="63" t="str">
        <x:v>方形猫角色3D脚部DIY变体</x:v>
      </x:c>
      <x:c r="C155" s="63" t="str">
        <x:v>角色</x:v>
      </x:c>
      <x:c r="D155" s="63" t="str">
        <x:v>player_variant</x:v>
      </x:c>
      <x:c r="E155" s="63" t="str">
        <x:v>player_capsule01</x:v>
      </x:c>
      <x:c r="F155" s="63" t="str">
        <x:v>feet_diy_3d</x:v>
      </x:c>
      <x:c r="G155" s="63" t="str">
        <x:v>CHR-PLY-CAPSULE01-FOOT-3D</x:v>
      </x:c>
      <x:c r="H155" s="63" t="str">
        <x:v>俯视3D</x:v>
      </x:c>
      <x:c r="I155" s="63" t="str">
        <x:v>diy</x:v>
      </x:c>
      <x:c r="J155" s="63" t="str">
        <x:v>3D玩家/预览场</x:v>
      </x:c>
      <x:c r="K155" s="63" t="str">
        <x:v>原型已接入</x:v>
      </x:c>
      <x:c r="L155" s="63" t="str">
        <x:v>P1</x:v>
      </x:c>
      <x:c r="M155" s="63" t="str">
        <x:v>v001</x:v>
      </x:c>
      <x:c r="N155" s="63" t="str">
        <x:v>4种程序材质</x:v>
      </x:c>
      <x:c r="O155" s="63" t="str">
        <x:v>src/player3d/PlayerAvatar3D.gd</x:v>
      </x:c>
      <x:c r="P155" s="63" t="str">
        <x:v>VisualRoot/Feet</x:v>
      </x:c>
      <x:c r="Q155" s="63" t="str">
        <x:v>脚部DIY;猫脚;短靴;橙色;沙色;钴蓝;青绿</x:v>
      </x:c>
      <x:c r="R155" s="63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63" t="str">
        <x:f>IF(A155="","",IF(COUNTIF($R$6:$R$162,R155)&gt;1,"重复","唯一"))</x:f>
        <x:v>唯一</x:v>
      </x:c>
      <x:c r="T155" s="63" t="str">
        <x:v>43c7fa3fa002c9e5a2ec27f04fedeefacee2f32f3a91cb232e98f080513e2f7b</x:v>
      </x:c>
      <x:c r="U155" s="63" t="str">
        <x:v>Codex</x:v>
      </x:c>
      <x:c r="V155" s="63" t="str">
        <x:v>2026-07-25</x:v>
      </x:c>
      <x:c r="W155" s="63" t="str">
        <x:v>原创程序几何</x:v>
      </x:c>
      <x:c r="X155" s="63" t="str">
        <x:v>方形猫角色3D脚部DIY变体；复用CHR-PLY-CAPSULE01-3D玩家根；方形主语言，TailStub为用户指定圆尾例外；自动与视觉验收PASS</x:v>
      </x:c>
    </x:row>
    <x:row r="156" ht="132" customHeight="1">
      <x:c r="A156" s="70" t="str">
        <x:v>CHR-PLY-CAPSULE01-3D-BUNNY01</x:v>
      </x:c>
      <x:c r="B156" s="70" t="str">
        <x:v>兔子主角3D根变体</x:v>
      </x:c>
      <x:c r="C156" s="70" t="str">
        <x:v>角色</x:v>
      </x:c>
      <x:c r="D156" s="70" t="str">
        <x:v>player_variant</x:v>
      </x:c>
      <x:c r="E156" s="70" t="str">
        <x:v>player_capsule01</x:v>
      </x:c>
      <x:c r="F156" s="70" t="str">
        <x:v>root_3d_bunny01</x:v>
      </x:c>
      <x:c r="G156" s="70" t="str">
        <x:v>CHR-PLY-CAPSULE01-3D</x:v>
      </x:c>
      <x:c r="H156" s="70" t="str">
        <x:v>俯视3D</x:v>
      </x:c>
      <x:c r="I156" s="70" t="str">
        <x:v>default</x:v>
      </x:c>
      <x:c r="J156" s="70" t="str">
        <x:v>3D玩家场景</x:v>
      </x:c>
      <x:c r="K156" s="70" t="str">
        <x:v>原型已接入</x:v>
      </x:c>
      <x:c r="L156" s="70" t="str">
        <x:v>P0</x:v>
      </x:c>
      <x:c r="M156" s="70" t="str">
        <x:v>v006</x:v>
      </x:c>
      <x:c r="N156" s="70" t="str">
        <x:v>1.034×1.500×0.645 m / 完整视觉含耳</x:v>
      </x:c>
      <x:c r="O156" s="70" t="str">
        <x:v>assets/art/characters/player/chr_player_capsule01_3d/variants/bunny01/chr_player_capsule01_bunny01_root_top3d_v006.tscn</x:v>
      </x:c>
      <x:c r="P156" s="70" t="str">
        <x:v>assets/art/characters/player/chr_player_capsule01_3d/variants/bunny01/source/chr_player_capsule01_bunny01_top3d_v006.blend</x:v>
      </x:c>
      <x:c r="Q156" s="70" t="str">
        <x:v>兔子;主角;兔耳;3D;Blender;bunny01</x:v>
      </x:c>
      <x:c r="R156" s="70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70" t="str">
        <x:f>IF(A156="","",IF(COUNTIF($R$6:$R$162,R156)&gt;1,"重复","唯一"))</x:f>
        <x:v>唯一</x:v>
      </x:c>
      <x:c r="T156" s="70" t="str">
        <x:v>b894e9fe05f8898bf035b7b383c27407cf027208ccf8fec65a2ba22c1f390624</x:v>
      </x:c>
      <x:c r="U156" s="70" t="str">
        <x:v>Codex</x:v>
      </x:c>
      <x:c r="V156" s="71" t="n">
        <x:v>46243</x:v>
      </x:c>
      <x:c r="W156" s="71" t="str">
        <x:v>原创 Blender/Godot 组合</x:v>
      </x:c>
      <x:c r="X156" s="70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</x:v>
      </x:c>
    </x:row>
    <x:row r="157" ht="118" customHeight="1">
      <x:c r="A157" s="70" t="str">
        <x:v>CHR-PLY-CAPSULE01-3D-BUNNY01-BODY</x:v>
      </x:c>
      <x:c r="B157" s="70" t="str">
        <x:v>兔子主角3D身体</x:v>
      </x:c>
      <x:c r="C157" s="70" t="str">
        <x:v>角色</x:v>
      </x:c>
      <x:c r="D157" s="70" t="str">
        <x:v>player_component</x:v>
      </x:c>
      <x:c r="E157" s="70" t="str">
        <x:v>player_capsule01</x:v>
      </x:c>
      <x:c r="F157" s="70" t="str">
        <x:v>body_3d_bunny01</x:v>
      </x:c>
      <x:c r="G157" s="70" t="str">
        <x:v>CHR-PLY-CAPSULE01-3D-BUNNY01</x:v>
      </x:c>
      <x:c r="H157" s="70" t="str">
        <x:v>俯视3D</x:v>
      </x:c>
      <x:c r="I157" s="70" t="str">
        <x:v>default</x:v>
      </x:c>
      <x:c r="J157" s="70" t="str">
        <x:v>3D玩家场景</x:v>
      </x:c>
      <x:c r="K157" s="70" t="str">
        <x:v>原型已接入</x:v>
      </x:c>
      <x:c r="L157" s="70" t="str">
        <x:v>P0</x:v>
      </x:c>
      <x:c r="M157" s="70" t="str">
        <x:v>v006</x:v>
      </x:c>
      <x:c r="N157" s="70" t="str">
        <x:v>GLB / 1,958 verts / pivot-local / 1.5m总高比例</x:v>
      </x:c>
      <x:c r="O157" s="70" t="str">
        <x:v>assets/art/characters/player/chr_player_capsule01_3d/variants/bunny01/components/chr_player_capsule01_bunny01_body_top3d_v006.glb</x:v>
      </x:c>
      <x:c r="P157" s="70" t="str">
        <x:v>assets/art/characters/player/chr_player_capsule01_3d/variants/bunny01/source/chr_player_capsule01_bunny01_top3d_v006.blend</x:v>
      </x:c>
      <x:c r="Q157" s="70" t="str">
        <x:v>兔子;身体;服装;body;bunny01</x:v>
      </x:c>
      <x:c r="R157" s="70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70" t="str">
        <x:f>IF(A157="","",IF(COUNTIF($R$6:$R$162,R157)&gt;1,"重复","唯一"))</x:f>
        <x:v>唯一</x:v>
      </x:c>
      <x:c r="T157" s="70" t="str">
        <x:v>c574d76e0f19c1aaa4bee5f427a81028d7b3f0f50299f67b4dbf02a60fc5668d</x:v>
      </x:c>
      <x:c r="U157" s="70" t="str">
        <x:v>Codex</x:v>
      </x:c>
      <x:c r="V157" s="71" t="n">
        <x:v>46243</x:v>
      </x:c>
      <x:c r="W157" s="70" t="str">
        <x:v>用户提供 Blender 源文件</x:v>
      </x:c>
      <x:c r="X157" s="70" t="str">
        <x:v>v0.1 v006：身体网格与底部中心原点保持不变；BodyJoint新增LowerBodySocket local=(0,0.14,0)，用于裙摆/腰甲/下摆并继承全部身体程序动画。</x:v>
      </x:c>
    </x:row>
    <x:row r="158" ht="118" customHeight="1">
      <x:c r="A158" s="70" t="str">
        <x:v>CHR-PLY-CAPSULE01-3D-BUNNY01-HEAD</x:v>
      </x:c>
      <x:c r="B158" s="70" t="str">
        <x:v>兔子主角3D头部</x:v>
      </x:c>
      <x:c r="C158" s="70" t="str">
        <x:v>角色</x:v>
      </x:c>
      <x:c r="D158" s="70" t="str">
        <x:v>player_component</x:v>
      </x:c>
      <x:c r="E158" s="70" t="str">
        <x:v>player_capsule01</x:v>
      </x:c>
      <x:c r="F158" s="70" t="str">
        <x:v>head_3d_bunny01</x:v>
      </x:c>
      <x:c r="G158" s="70" t="str">
        <x:v>CHR-PLY-CAPSULE01-3D-BUNNY01</x:v>
      </x:c>
      <x:c r="H158" s="70" t="str">
        <x:v>俯视3D</x:v>
      </x:c>
      <x:c r="I158" s="70" t="str">
        <x:v>default</x:v>
      </x:c>
      <x:c r="J158" s="70" t="str">
        <x:v>3D玩家场景</x:v>
      </x:c>
      <x:c r="K158" s="70" t="str">
        <x:v>原型已接入</x:v>
      </x:c>
      <x:c r="L158" s="70" t="str">
        <x:v>P0</x:v>
      </x:c>
      <x:c r="M158" s="70" t="str">
        <x:v>v006</x:v>
      </x:c>
      <x:c r="N158" s="70" t="str">
        <x:v>GLB / 5,936 verts / pivot-local / 头顶1.103390m</x:v>
      </x:c>
      <x:c r="O158" s="70" t="str">
        <x:v>assets/art/characters/player/chr_player_capsule01_3d/variants/bunny01/components/chr_player_capsule01_bunny01_head_top3d_v006.glb</x:v>
      </x:c>
      <x:c r="P158" s="70" t="str">
        <x:v>assets/art/characters/player/chr_player_capsule01_3d/variants/bunny01/source/chr_player_capsule01_bunny01_top3d_v006.blend</x:v>
      </x:c>
      <x:c r="Q158" s="70" t="str">
        <x:v>兔子;头部;head;bunny01</x:v>
      </x:c>
      <x:c r="R158" s="70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70" t="str">
        <x:f>IF(A158="","",IF(COUNTIF($R$6:$R$162,R158)&gt;1,"重复","唯一"))</x:f>
        <x:v>唯一</x:v>
      </x:c>
      <x:c r="T158" s="70" t="str">
        <x:v>b8db86c722bb2ae4d760b8219051f492251f6b9fa29882c8e32453b020973c24</x:v>
      </x:c>
      <x:c r="U158" s="70" t="str">
        <x:v>Codex</x:v>
      </x:c>
      <x:c r="V158" s="71" t="n">
        <x:v>46233</x:v>
      </x:c>
      <x:c r="W158" s="70" t="str">
        <x:v>用户提供 Blender 源文件</x:v>
      </x:c>
      <x:c r="X158" s="70" t="str">
        <x:v>v0.1 v006：头部与下沿中心原点真实1.5倍；不含耳头顶1.103390m，完整双耳顶部1.500m。</x:v>
      </x:c>
    </x:row>
    <x:row r="159" ht="118" customHeight="1">
      <x:c r="A159" s="70" t="str">
        <x:v>CHR-PLY-CAPSULE01-3D-BUNNY01-EARS</x:v>
      </x:c>
      <x:c r="B159" s="70" t="str">
        <x:v>兔子主角3D双耳配件</x:v>
      </x:c>
      <x:c r="C159" s="70" t="str">
        <x:v>角色</x:v>
      </x:c>
      <x:c r="D159" s="70" t="str">
        <x:v>player_accessory</x:v>
      </x:c>
      <x:c r="E159" s="70" t="str">
        <x:v>player_capsule01</x:v>
      </x:c>
      <x:c r="F159" s="70" t="str">
        <x:v>ears_3d_bunny01</x:v>
      </x:c>
      <x:c r="G159" s="70" t="str">
        <x:v>CHR-PLY-CAPSULE01-3D-BUNNY01-HEAD</x:v>
      </x:c>
      <x:c r="H159" s="70" t="str">
        <x:v>俯视3D</x:v>
      </x:c>
      <x:c r="I159" s="70" t="str">
        <x:v>default</x:v>
      </x:c>
      <x:c r="J159" s="70" t="str">
        <x:v>3D玩家场景</x:v>
      </x:c>
      <x:c r="K159" s="70" t="str">
        <x:v>原型已接入</x:v>
      </x:c>
      <x:c r="L159" s="70" t="str">
        <x:v>P0</x:v>
      </x:c>
      <x:c r="M159" s="70" t="str">
        <x:v>v006</x:v>
      </x:c>
      <x:c r="N159" s="70" t="str">
        <x:v>单 GLB / 1,536 verts / pivot-local / 双实例</x:v>
      </x:c>
      <x:c r="O159" s="70" t="str">
        <x:v>assets/art/characters/player/chr_player_capsule01_3d/variants/bunny01/components/chr_player_capsule01_bunny01_ear_top3d_v006.glb</x:v>
      </x:c>
      <x:c r="P159" s="70" t="str">
        <x:v>assets/art/characters/player/chr_player_capsule01_3d/variants/bunny01/source/chr_player_capsule01_bunny01_top3d_v006.blend</x:v>
      </x:c>
      <x:c r="Q159" s="70" t="str">
        <x:v>兔耳;耳朵;耳部配件;EarSocketL;EarSocketR;bunny01</x:v>
      </x:c>
      <x:c r="R159" s="70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70" t="str">
        <x:f>IF(A159="","",IF(COUNTIF($R$6:$R$162,R159)&gt;1,"重复","唯一"))</x:f>
        <x:v>唯一</x:v>
      </x:c>
      <x:c r="T159" s="70" t="str">
        <x:v>ed3c7abe283166648fafb43373c1dc2222bf9134f3d7bb8e0ebd8d3a05242ebf</x:v>
      </x:c>
      <x:c r="U159" s="70" t="str">
        <x:v>Codex</x:v>
      </x:c>
      <x:c r="V159" s="71" t="n">
        <x:v>46233</x:v>
      </x:c>
      <x:c r="W159" s="70" t="str">
        <x:v>用户提供 Blender 源文件</x:v>
      </x:c>
      <x:c r="X159" s="70" t="str">
        <x:v>v0.1 v006：耳朵网格与耳根原点真实1.5倍；左右挂点复用单资产，装配后最高点严格1.500m。</x:v>
      </x:c>
    </x:row>
    <x:row r="160" ht="118" customHeight="1">
      <x:c r="A160" s="70" t="str">
        <x:v>CHR-PLY-CAPSULE01-3D-BUNNY01-HAND</x:v>
      </x:c>
      <x:c r="B160" s="70" t="str">
        <x:v>兔子主角3D双爪表现组件</x:v>
      </x:c>
      <x:c r="C160" s="70" t="str">
        <x:v>角色</x:v>
      </x:c>
      <x:c r="D160" s="70" t="str">
        <x:v>player_component</x:v>
      </x:c>
      <x:c r="E160" s="70" t="str">
        <x:v>player_capsule01</x:v>
      </x:c>
      <x:c r="F160" s="70" t="str">
        <x:v>hand_3d_bunny01</x:v>
      </x:c>
      <x:c r="G160" s="70" t="str">
        <x:v>CHR-PLY-CAPSULE01-3D-BUNNY01</x:v>
      </x:c>
      <x:c r="H160" s="70" t="str">
        <x:v>俯视3D</x:v>
      </x:c>
      <x:c r="I160" s="70" t="str">
        <x:v>default</x:v>
      </x:c>
      <x:c r="J160" s="70" t="str">
        <x:v>3D玩家场景</x:v>
      </x:c>
      <x:c r="K160" s="70" t="str">
        <x:v>原型已接入</x:v>
      </x:c>
      <x:c r="L160" s="70" t="str">
        <x:v>P0</x:v>
      </x:c>
      <x:c r="M160" s="70" t="str">
        <x:v>v006</x:v>
      </x:c>
      <x:c r="N160" s="70" t="str">
        <x:v>双 GLB / 左右各1,058 verts / pivot-local / 1.5m角色比例</x:v>
      </x:c>
      <x:c r="O160" s="70" t="str">
        <x:v>assets/art/characters/player/chr_player_capsule01_3d/variants/bunny01/components/chr_player_capsule01_bunny01_hand_l_top3d_v006.glb; assets/art/characters/player/chr_player_capsule01_3d/variants/bunny01/components/chr_player_capsule01_bunny01_hand_r_top3d_v006.glb</x:v>
      </x:c>
      <x:c r="P160" s="70" t="str">
        <x:v>assets/art/characters/player/chr_player_capsule01_3d/variants/bunny01/source/chr_player_capsule01_bunny01_top3d_v006.blend</x:v>
      </x:c>
      <x:c r="Q160" s="70" t="str">
        <x:v>兔爪;手;握持;weapon_socket;bunny01</x:v>
      </x:c>
      <x:c r="R160" s="70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70" t="str">
        <x:f>IF(A160="","",IF(COUNTIF($R$6:$R$162,R160)&gt;1,"重复","唯一"))</x:f>
        <x:v>唯一</x:v>
      </x:c>
      <x:c r="T160" s="70" t="str">
        <x:v>2c6647c0e4f234e9312ba65e7c73f55c02627be9b7a2c35d1591d86a20cb5f16 / b3ada7b67d0224156d1c39af0bdc0e53af02cb5d26ba68d4746b7859a84a1d10</x:v>
      </x:c>
      <x:c r="U160" s="70" t="str">
        <x:v>Codex</x:v>
      </x:c>
      <x:c r="V160" s="71" t="n">
        <x:v>46233</x:v>
      </x:c>
      <x:c r="W160" s="70" t="str">
        <x:v>用户提供 Blender 源文件</x:v>
      </x:c>
      <x:c r="X160" s="70" t="str">
        <x:v>v0.1 v006：左右手、手腕原点、单/双手握持目标和动作平移统一改用0.606060606米制比例；持枪外观与确认预览一致。</x:v>
      </x:c>
    </x:row>
    <x:row r="161" ht="132" customHeight="1">
      <x:c r="A161" s="70" t="str">
        <x:v>CHR-PLY-CAPSULE01-3D-BUNNY01-FOOT-L</x:v>
      </x:c>
      <x:c r="B161" s="70" t="str">
        <x:v>兔子主角3D左脚</x:v>
      </x:c>
      <x:c r="C161" s="70" t="str">
        <x:v>角色</x:v>
      </x:c>
      <x:c r="D161" s="70" t="str">
        <x:v>player_component</x:v>
      </x:c>
      <x:c r="E161" s="70" t="str">
        <x:v>player_capsule01</x:v>
      </x:c>
      <x:c r="F161" s="70" t="str">
        <x:v>foot_l_3d_bunny01</x:v>
      </x:c>
      <x:c r="G161" s="70" t="str">
        <x:v>CHR-PLY-CAPSULE01-3D-BUNNY01</x:v>
      </x:c>
      <x:c r="H161" s="70" t="str">
        <x:v>俯视3D</x:v>
      </x:c>
      <x:c r="I161" s="70" t="str">
        <x:v>moving</x:v>
      </x:c>
      <x:c r="J161" s="70" t="str">
        <x:v>3D玩家场景</x:v>
      </x:c>
      <x:c r="K161" s="70" t="str">
        <x:v>原型已接入</x:v>
      </x:c>
      <x:c r="L161" s="70" t="str">
        <x:v>P0</x:v>
      </x:c>
      <x:c r="M161" s="70" t="str">
        <x:v>v006</x:v>
      </x:c>
      <x:c r="N161" s="70" t="str">
        <x:v>GLB / 5,396 verts / pivot-local / 1.5m角色比例</x:v>
      </x:c>
      <x:c r="O161" s="70" t="str">
        <x:v>assets/art/characters/player/chr_player_capsule01_3d/variants/bunny01/components/chr_player_capsule01_bunny01_foot_l_top3d_v006.glb</x:v>
      </x:c>
      <x:c r="P161" s="70" t="str">
        <x:v>assets/art/characters/player/chr_player_capsule01_3d/variants/bunny01/source/chr_player_capsule01_bunny01_top3d_v006.blend</x:v>
      </x:c>
      <x:c r="Q161" s="70" t="str">
        <x:v>兔脚;左脚;步态;FootL;bunny01</x:v>
      </x:c>
      <x:c r="R161" s="70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70" t="str">
        <x:f>IF(A161="","",IF(COUNTIF($R$6:$R$162,R161)&gt;1,"重复","唯一"))</x:f>
        <x:v>唯一</x:v>
      </x:c>
      <x:c r="T161" s="70" t="str">
        <x:v>52051cba0db701d977c8baa8d7ed9899825b10406803ac63e6a3f66efbd80b64</x:v>
      </x:c>
      <x:c r="U161" s="70" t="str">
        <x:v>Codex</x:v>
      </x:c>
      <x:c r="V161" s="71" t="n">
        <x:v>46233</x:v>
      </x:c>
      <x:c r="W161" s="70" t="str">
        <x:v>用户提供 Blender 源文件</x:v>
      </x:c>
      <x:c r="X161" s="70" t="str">
        <x:v>v0.1：v006网格与AssetID不变；FootJointL除moving步态外新增falling收腿与landing压缩恢复职责，动作由PlayerAvatar3D程序变换驱动。</x:v>
      </x:c>
    </x:row>
    <x:row r="162" ht="132" customHeight="1">
      <x:c r="A162" s="70" t="str">
        <x:v>CHR-PLY-CAPSULE01-3D-BUNNY01-FOOT-R</x:v>
      </x:c>
      <x:c r="B162" s="70" t="str">
        <x:v>兔子主角3D右脚</x:v>
      </x:c>
      <x:c r="C162" s="70" t="str">
        <x:v>角色</x:v>
      </x:c>
      <x:c r="D162" s="70" t="str">
        <x:v>player_component</x:v>
      </x:c>
      <x:c r="E162" s="70" t="str">
        <x:v>player_capsule01</x:v>
      </x:c>
      <x:c r="F162" s="70" t="str">
        <x:v>foot_r_3d_bunny01</x:v>
      </x:c>
      <x:c r="G162" s="70" t="str">
        <x:v>CHR-PLY-CAPSULE01-3D-BUNNY01</x:v>
      </x:c>
      <x:c r="H162" s="70" t="str">
        <x:v>俯视3D</x:v>
      </x:c>
      <x:c r="I162" s="70" t="str">
        <x:v>moving</x:v>
      </x:c>
      <x:c r="J162" s="70" t="str">
        <x:v>3D玩家场景</x:v>
      </x:c>
      <x:c r="K162" s="70" t="str">
        <x:v>原型已接入</x:v>
      </x:c>
      <x:c r="L162" s="70" t="str">
        <x:v>P0</x:v>
      </x:c>
      <x:c r="M162" s="70" t="str">
        <x:v>v006</x:v>
      </x:c>
      <x:c r="N162" s="70" t="str">
        <x:v>GLB / 5,396 verts / pivot-local / 1.5m角色比例</x:v>
      </x:c>
      <x:c r="O162" s="70" t="str">
        <x:v>assets/art/characters/player/chr_player_capsule01_3d/variants/bunny01/components/chr_player_capsule01_bunny01_foot_r_top3d_v006.glb</x:v>
      </x:c>
      <x:c r="P162" s="70" t="str">
        <x:v>assets/art/characters/player/chr_player_capsule01_3d/variants/bunny01/source/chr_player_capsule01_bunny01_top3d_v006.blend</x:v>
      </x:c>
      <x:c r="Q162" s="70" t="str">
        <x:v>兔脚;右脚;步态;FootR;bunny01</x:v>
      </x:c>
      <x:c r="R162" s="70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70" t="str">
        <x:f>IF(A162="","",IF(COUNTIF($R$6:$R$162,R162)&gt;1,"重复","唯一"))</x:f>
        <x:v>唯一</x:v>
      </x:c>
      <x:c r="T162" s="70" t="str">
        <x:v>d81e840f5c087b349fd6e19b4cb7e65eb79294edb937fdc75192b66967c29e2e</x:v>
      </x:c>
      <x:c r="U162" s="70" t="str">
        <x:v>Codex</x:v>
      </x:c>
      <x:c r="V162" s="71" t="n">
        <x:v>46233</x:v>
      </x:c>
      <x:c r="W162" s="70" t="str">
        <x:v>用户提供 Blender 源文件</x:v>
      </x:c>
      <x:c r="X162" s="70" t="str">
        <x:v>v0.1：v006网格与AssetID不变；FootJointR除moving步态外新增falling收腿与landing压缩恢复职责，动作由PlayerAvatar3D程序变换驱动。</x:v>
      </x:c>
    </x:row>
    <x:row r="163" ht="155" customHeight="1">
      <x:c r="A163" s="70" t="str">
        <x:v>ENV-TOWER-DESCENT-KIT-3D</x:v>
      </x:c>
      <x:c r="B163" s="70" t="str">
        <x:v>向下爬楼塔楼3D五米模块化母版</x:v>
      </x:c>
      <x:c r="C163" s="70" t="str">
        <x:v>场景</x:v>
      </x:c>
      <x:c r="D163" s="70" t="str">
        <x:v>room_kit</x:v>
      </x:c>
      <x:c r="E163" s="70" t="str">
        <x:v>tower_descent</x:v>
      </x:c>
      <x:c r="F163" s="70" t="str">
        <x:v>root_3d</x:v>
      </x:c>
      <x:c r="G163" s="70" t="str">
        <x:v>ENV-DUNGEON-RUNTIME-3D</x:v>
      </x:c>
      <x:c r="H163" s="70" t="str">
        <x:v>俯视3D</x:v>
      </x:c>
      <x:c r="I163" s="70" t="str">
        <x:v>godot_runtime</x:v>
      </x:c>
      <x:c r="J163" s="70" t="str">
        <x:v>250×250m整层；99层30×30m/6×6格基地；98—95层终局路线；2.2×2.5m门</x:v>
      </x:c>
      <x:c r="K163" s="70" t="str">
        <x:v>原型已接入</x:v>
      </x:c>
      <x:c r="L163" s="70" t="str">
        <x:v>P0</x:v>
      </x:c>
      <x:c r="M163" s="70" t="str">
        <x:v>v007</x:v>
      </x:c>
      <x:c r="N163" s="70" t="str">
        <x:v>Blender 4.2源文件/1单位=1m/PH49运行时布局审阅集合</x:v>
      </x:c>
      <x:c r="O163" s="70" t="str">
        <x:v>assets/art/environments/tower_descent_3d/source/env_tower_descent_kit_top3d_v007.blend</x:v>
      </x:c>
      <x:c r="P163" s="70" t="str">
        <x:v>assets/art/environments/tower_descent_3d/source/validate_env_tower_descent_kit_top3d_v007.py; assets/art/environments/tower_descent_3d/source/render_env_tower_descent_kit_top3d_v007.py; docs/v0.1/03_关卡与场景设计.md</x:v>
      </x:c>
      <x:c r="Q163" s="70" t="str">
        <x:v>塔楼;向下爬楼;楼顶;基地层;战斗层;特殊楼梯;通用楼梯;五米网格;模块化地砖;模块化墙;模块化门;Blender</x:v>
      </x:c>
      <x:c r="R163" s="70" t="str">
        <x:v>场景|room_kit|tower_descent|root_3d|俯视3d|blender_review</x:v>
      </x:c>
      <x:c r="S163" s="70" t="str">
        <x:v>唯一</x:v>
      </x:c>
      <x:c r="T163" s="70" t="str">
        <x:v>ef19c00e61478f0b3268edd9746e7fcf6704a2865aac0b4121474ab9b98e7552</x:v>
      </x:c>
      <x:c r="U163" s="70" t="str">
        <x:v>Codex</x:v>
      </x:c>
      <x:c r="V163" s="71" t="n">
        <x:v>46237</x:v>
      </x:c>
      <x:c r="W163" s="71" t="str">
        <x:v>程序生成 Blender 源集合</x:v>
      </x:c>
      <x:c r="X163" s="70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70" t="str">
        <x:v>ENV-TOWER-FLOOR-TILE-5M</x:v>
      </x:c>
      <x:c r="B164" s="70" t="str">
        <x:v>塔楼5米地砖模块</x:v>
      </x:c>
      <x:c r="C164" s="70" t="str">
        <x:v>场景</x:v>
      </x:c>
      <x:c r="D164" s="70" t="str">
        <x:v>room_kit</x:v>
      </x:c>
      <x:c r="E164" s="70" t="str">
        <x:v>tower_descent</x:v>
      </x:c>
      <x:c r="F164" s="70" t="str">
        <x:v>floor_tile_5m</x:v>
      </x:c>
      <x:c r="G164" s="70" t="str">
        <x:v>ENV-TOWER-DESCENT-KIT-3D</x:v>
      </x:c>
      <x:c r="H164" s="70" t="str">
        <x:v>俯视3D</x:v>
      </x:c>
      <x:c r="I164" s="70" t="str">
        <x:v>godot_runtime</x:v>
      </x:c>
      <x:c r="J164" s="70" t="str">
        <x:v>塔楼六个物理层楼板/335m MultiMesh网格/动态水平通道</x:v>
      </x:c>
      <x:c r="K164" s="70" t="str">
        <x:v>原型已接入</x:v>
      </x:c>
      <x:c r="L164" s="70" t="str">
        <x:v>P0</x:v>
      </x:c>
      <x:c r="M164" s="70" t="str">
        <x:v>v001</x:v>
      </x:c>
      <x:c r="N164" s="70" t="str">
        <x:v>GLB / 5×5×0.30m / 共享Mesh / MultiMesh平铺</x:v>
      </x:c>
      <x:c r="O164" s="70" t="str">
        <x:v>assets/art/environments/tower_descent_3d/components/env_tower_floor_tile_5m_top3d_v001.glb</x:v>
      </x:c>
      <x:c r="P164" s="70" t="str">
        <x:v>Blender集合=10A_MOD_FLOOR_TILE_5M_U01; export_env_tower_5m_modules_v001.py; TowerFloorStage3D.gd; tests/verification/verify_tower_descent_flow.tscn</x:v>
      </x:c>
      <x:c r="Q164" s="70" t="str">
        <x:v>塔楼;地砖;楼板;5米;模块化;平铺;四向接口</x:v>
      </x:c>
      <x:c r="R164" s="70" t="str">
        <x:v>场景|room_kit|tower_descent|floor_tile_5m|俯视3d|blender_review</x:v>
      </x:c>
      <x:c r="S164" s="70" t="str">
        <x:v>母版子集合</x:v>
      </x:c>
      <x:c r="T164" s="70" t="str">
        <x:v>987b220bef57c4176590caf7568c909d90768450c00f7e4e27c4c61986e6ef2d</x:v>
      </x:c>
      <x:c r="U164" s="70" t="str">
        <x:v>Codex</x:v>
      </x:c>
      <x:c r="V164" s="71" t="n">
        <x:v>46237</x:v>
      </x:c>
      <x:c r="W164" s="70" t="str">
        <x:v>程序生成Blender源集合</x:v>
      </x:c>
      <x:c r="X164" s="70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</x:v>
      </x:c>
    </x:row>
    <x:row r="165" ht="132" customHeight="1">
      <x:c r="A165" s="70" t="str">
        <x:v>ENV-TOWER-WALL-SOLID-5M</x:v>
      </x:c>
      <x:c r="B165" s="70" t="str">
        <x:v>塔楼5米满高实墙模块</x:v>
      </x:c>
      <x:c r="C165" s="70" t="str">
        <x:v>场景</x:v>
      </x:c>
      <x:c r="D165" s="70" t="str">
        <x:v>room_kit</x:v>
      </x:c>
      <x:c r="E165" s="70" t="str">
        <x:v>tower_descent</x:v>
      </x:c>
      <x:c r="F165" s="70" t="str">
        <x:v>wall_solid_5m</x:v>
      </x:c>
      <x:c r="G165" s="70" t="str">
        <x:v>ENV-TOWER-DESCENT-KIT-3D</x:v>
      </x:c>
      <x:c r="H165" s="70" t="str">
        <x:v>俯视3D</x:v>
      </x:c>
      <x:c r="I165" s="70" t="str">
        <x:v>godot_runtime</x:v>
      </x:c>
      <x:c r="J165" s="70" t="str">
        <x:v>整层外墙/65m核心/探索房内墙/5m正交走廊</x:v>
      </x:c>
      <x:c r="K165" s="70" t="str">
        <x:v>原型已接入</x:v>
      </x:c>
      <x:c r="L165" s="70" t="str">
        <x:v>P0</x:v>
      </x:c>
      <x:c r="M165" s="70" t="str">
        <x:v>v001</x:v>
      </x:c>
      <x:c r="N165" s="70" t="str">
        <x:v>GLB / 5×0.30×9m / 共享Mesh / 可旋转</x:v>
      </x:c>
      <x:c r="O165" s="70" t="str">
        <x:v>assets/art/environments/tower_descent_3d/components/env_tower_wall_solid_5m_top3d_v001.glb</x:v>
      </x:c>
      <x:c r="P165" s="70" t="str">
        <x:v>Blender集合=10B_MOD_WALL_SOLID_5M_U01; export_env_tower_5m_modules_v001.py; DungeonRoom3D.gd; TowerFloorStage3D.gd; mat_tower_wall_solid_a_v001.tres; mat_tower_wall_solid_b_v001.tres; tests/verification/verify_tower_descent_flow.tscn</x:v>
      </x:c>
      <x:c r="Q165" s="70" t="str">
        <x:v>塔楼;实墙;满高墙;5米;模块化;室内隔墙;核心外墙</x:v>
      </x:c>
      <x:c r="R165" s="70" t="str">
        <x:v>场景|room_kit|tower_descent|wall_solid_5m|俯视3d|blender_review</x:v>
      </x:c>
      <x:c r="S165" s="70" t="str">
        <x:v>母版子集合</x:v>
      </x:c>
      <x:c r="T165" s="70" t="str">
        <x:v>5680bf2dedc964fcbfd5e5ee7d5ba86af5ba8a2c77c64a02151aee19a7f2cc33</x:v>
      </x:c>
      <x:c r="U165" s="70" t="str">
        <x:v>Codex</x:v>
      </x:c>
      <x:c r="V165" s="71" t="n">
        <x:v>46237</x:v>
      </x:c>
      <x:c r="W165" s="70" t="str">
        <x:v>程序生成 Blender 源集合</x:v>
      </x:c>
      <x:c r="X165" s="70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70" t="str">
        <x:v>ENV-TOWER-WALL-PARAPET-5M</x:v>
      </x:c>
      <x:c r="B166" s="70" t="str">
        <x:v>塔楼5米楼顶女儿墙模块</x:v>
      </x:c>
      <x:c r="C166" s="70" t="str">
        <x:v>场景</x:v>
      </x:c>
      <x:c r="D166" s="70" t="str">
        <x:v>room_kit</x:v>
      </x:c>
      <x:c r="E166" s="70" t="str">
        <x:v>tower_descent</x:v>
      </x:c>
      <x:c r="F166" s="70" t="str">
        <x:v>wall_parapet_5m</x:v>
      </x:c>
      <x:c r="G166" s="70" t="str">
        <x:v>ENV-TOWER-DESCENT-KIT-3D</x:v>
      </x:c>
      <x:c r="H166" s="70" t="str">
        <x:v>俯视3D</x:v>
      </x:c>
      <x:c r="I166" s="70" t="str">
        <x:v>godot_runtime</x:v>
      </x:c>
      <x:c r="J166" s="70" t="str">
        <x:v>335m楼顶四周边界/268段MultiMesh围栏</x:v>
      </x:c>
      <x:c r="K166" s="70" t="str">
        <x:v>原型已接入</x:v>
      </x:c>
      <x:c r="L166" s="70" t="str">
        <x:v>P1</x:v>
      </x:c>
      <x:c r="M166" s="70" t="str">
        <x:v>v001</x:v>
      </x:c>
      <x:c r="N166" s="70" t="str">
        <x:v>GLB / 5×0.30×1.50m / 共享Mesh</x:v>
      </x:c>
      <x:c r="O166" s="70" t="str">
        <x:v>assets/art/environments/tower_descent_3d/components/env_tower_wall_parapet_5m_top3d_v001.glb</x:v>
      </x:c>
      <x:c r="P166" s="70" t="str">
        <x:v>Blender集合=10C_MOD_WALL_PARAPET_5M_U01; export_env_tower_5m_modules_v001.py; TowerFloorStage3D.gd; tests/verification/verify_tower_descent_visual.tscn</x:v>
      </x:c>
      <x:c r="Q166" s="70" t="str">
        <x:v>塔楼;女儿墙;护栏;5米;模块化;楼顶边界</x:v>
      </x:c>
      <x:c r="R166" s="70" t="str">
        <x:v>场景|room_kit|tower_descent|wall_parapet_5m|俯视3d|blender_review</x:v>
      </x:c>
      <x:c r="S166" s="70" t="str">
        <x:v>母版子集合</x:v>
      </x:c>
      <x:c r="T166" s="70" t="str">
        <x:v>44fdb663487a9bf010d8fa249a2f9811843409c35d9f7ce8d09c48f7de7bf808</x:v>
      </x:c>
      <x:c r="U166" s="70" t="str">
        <x:v>Codex</x:v>
      </x:c>
      <x:c r="V166" s="71" t="n">
        <x:v>46233</x:v>
      </x:c>
      <x:c r="W166" s="70" t="str">
        <x:v>程序生成Blender源集合</x:v>
      </x:c>
      <x:c r="X166" s="70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70" t="str">
        <x:v>ENV-TOWER-WALL-DOOR-5M</x:v>
      </x:c>
      <x:c r="B167" s="70" t="str">
        <x:v>塔楼5米带门墙模块</x:v>
      </x:c>
      <x:c r="C167" s="70" t="str">
        <x:v>场景</x:v>
      </x:c>
      <x:c r="D167" s="70" t="str">
        <x:v>room_kit</x:v>
      </x:c>
      <x:c r="E167" s="70" t="str">
        <x:v>tower_descent</x:v>
      </x:c>
      <x:c r="F167" s="70" t="str">
        <x:v>wall_door_5m</x:v>
      </x:c>
      <x:c r="G167" s="70" t="str">
        <x:v>ENV-TOWER-DESCENT-KIT-3D</x:v>
      </x:c>
      <x:c r="H167" s="70" t="str">
        <x:v>俯视3D</x:v>
      </x:c>
      <x:c r="I167" s="70" t="str">
        <x:v>godot_runtime</x:v>
      </x:c>
      <x:c r="J167" s="70" t="str">
        <x:v>5m墙位/2.2m净宽/2.5m净高/独立门扇</x:v>
      </x:c>
      <x:c r="K167" s="70" t="str">
        <x:v>原型已接入</x:v>
      </x:c>
      <x:c r="L167" s="70" t="str">
        <x:v>P0</x:v>
      </x:c>
      <x:c r="M167" s="70" t="str">
        <x:v>v002</x:v>
      </x:c>
      <x:c r="N167" s="70" t="str">
        <x:v>Blender 4.2 GLB/7个Mesh部件/2.2×2.5m净开口</x:v>
      </x:c>
      <x:c r="O167" s="70" t="str">
        <x:v>assets/art/environments/tower_descent_3d/components/env_tower_wall_door_5m_top3d_v002.glb</x:v>
      </x:c>
      <x:c r="P167" s="70" t="str">
        <x:v>assets/art/environments/tower_descent_3d/source/export_env_tower_door_5m_v002.py; assets/art/environments/tower_descent_3d/source/env_tower_descent_kit_top3d_v007.blend</x:v>
      </x:c>
      <x:c r="Q167" s="70" t="str">
        <x:v>塔楼;门;门洞;5米;模块化;肉鸽触发;独立门扇</x:v>
      </x:c>
      <x:c r="R167" s="70" t="str">
        <x:v>场景|room_kit|tower_descent|wall_door_5m|俯视3d|blender_review</x:v>
      </x:c>
      <x:c r="S167" s="70" t="str">
        <x:v>母版子集合</x:v>
      </x:c>
      <x:c r="T167" s="70" t="str">
        <x:v>75f03e2bc785b0d957df9e27940ac9a024097ce6f2c371ae947b2c48cce69ca1</x:v>
      </x:c>
      <x:c r="U167" s="70" t="str">
        <x:v>Codex</x:v>
      </x:c>
      <x:c r="V167" s="71" t="n">
        <x:v>46236</x:v>
      </x:c>
      <x:c r="W167" s="70" t="str">
        <x:v>程序生成 Blender 源集合</x:v>
      </x:c>
      <x:c r="X167" s="70" t="str">
        <x:v>2026-08-02：南北门墙统一使用仅限相机层的门洞代理，开门不再全局绕过后墙检测；代理不阻挡玩家、怪物或子弹。</x:v>
      </x:c>
    </x:row>
    <x:row r="168" ht="132" customHeight="1">
      <x:c r="A168" s="70" t="str">
        <x:v>ENV-TOWER-STAIRWELL-GENERIC-9M</x:v>
      </x:c>
      <x:c r="B168" s="70" t="str">
        <x:v>塔楼9米通用双跑楼梯间</x:v>
      </x:c>
      <x:c r="C168" s="70" t="str">
        <x:v>场景</x:v>
      </x:c>
      <x:c r="D168" s="70" t="str">
        <x:v>room_kit</x:v>
      </x:c>
      <x:c r="E168" s="70" t="str">
        <x:v>tower_descent</x:v>
      </x:c>
      <x:c r="F168" s="70" t="str">
        <x:v>stairwell_generic_9m</x:v>
      </x:c>
      <x:c r="G168" s="70" t="str">
        <x:v>ENV-TOWER-DESCENT-KIT-3D</x:v>
      </x:c>
      <x:c r="H168" s="70" t="str">
        <x:v>俯视3D</x:v>
      </x:c>
      <x:c r="I168" s="70" t="str">
        <x:v>godot_runtime</x:v>
      </x:c>
      <x:c r="J168" s="70" t="str">
        <x:v>99层以下通用楼梯/四向旋转/上下楼交通</x:v>
      </x:c>
      <x:c r="K168" s="70" t="str">
        <x:v>原型已接入</x:v>
      </x:c>
      <x:c r="L168" s="70" t="str">
        <x:v>P0</x:v>
      </x:c>
      <x:c r="M168" s="70" t="str">
        <x:v>v001</x:v>
      </x:c>
      <x:c r="N168" s="70" t="str">
        <x:v>GLB / 14.751×27.617×约18.41m包围 / 9m层差 / 48子对象</x:v>
      </x:c>
      <x:c r="O168" s="70" t="str">
        <x:v>assets/art/environments/tower_descent_3d/components/env_tower_stairwell_generic_9m_top3d_v001.glb</x:v>
      </x:c>
      <x:c r="P168" s="70" t="str">
        <x:v>Blender根=Stair_Generic_Rotatable_ROOT; env_tower_descent_kit_top3d_v007.blend; export_env_tower_stairwells_v001.py; TowerDescent3D.gd; tests/verification/verify_tower_descent_flow.tscn</x:v>
      </x:c>
      <x:c r="Q168" s="70" t="str">
        <x:v>塔楼;通用楼梯;双跑楼梯;折角平台;9米层高;四向旋转;Blender直出</x:v>
      </x:c>
      <x:c r="R168" s="70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70" t="str">
        <x:f>IF(COUNTIF($R:$R,R168)&gt;1,"重复","唯一")</x:f>
        <x:v>唯一</x:v>
      </x:c>
      <x:c r="T168" s="70" t="str">
        <x:v>b0416e02b70673bb4cc38a58436210ff04343f6d68b4f5b80f8e1a0c5daaf844</x:v>
      </x:c>
      <x:c r="U168" s="70" t="str">
        <x:v>Codex</x:v>
      </x:c>
      <x:c r="V168" s="71" t="n">
        <x:v>46237</x:v>
      </x:c>
      <x:c r="W168" s="70" t="str">
        <x:v>用户手工Blender模型</x:v>
      </x:c>
      <x:c r="X168" s="70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</x:v>
      </x:c>
    </x:row>
    <x:row r="169" ht="132" customHeight="1">
      <x:c r="A169" s="70" t="str">
        <x:v>ENV-TOWER-STAIRWELL-ROOFTOP-9M</x:v>
      </x:c>
      <x:c r="B169" s="70" t="str">
        <x:v>塔楼楼顶特殊双跑楼梯间</x:v>
      </x:c>
      <x:c r="C169" s="70" t="str">
        <x:v>场景</x:v>
      </x:c>
      <x:c r="D169" s="70" t="str">
        <x:v>room_kit</x:v>
      </x:c>
      <x:c r="E169" s="70" t="str">
        <x:v>tower_descent</x:v>
      </x:c>
      <x:c r="F169" s="70" t="str">
        <x:v>stairwell_rooftop_9m</x:v>
      </x:c>
      <x:c r="G169" s="70" t="str">
        <x:v>ENV-TOWER-DESCENT-KIT-3D</x:v>
      </x:c>
      <x:c r="H169" s="70" t="str">
        <x:v>俯视3D</x:v>
      </x:c>
      <x:c r="I169" s="70" t="str">
        <x:v>godot_runtime</x:v>
      </x:c>
      <x:c r="J169" s="70" t="str">
        <x:v>楼顶至99层特殊交通/保留手调墙高</x:v>
      </x:c>
      <x:c r="K169" s="70" t="str">
        <x:v>原型已接入</x:v>
      </x:c>
      <x:c r="L169" s="70" t="str">
        <x:v>P0</x:v>
      </x:c>
      <x:c r="M169" s="70" t="str">
        <x:v>v001</x:v>
      </x:c>
      <x:c r="N169" s="70" t="str">
        <x:v>GLB / 14.751×27.617×约15.36m包围 / 9m层差 / 47子对象</x:v>
      </x:c>
      <x:c r="O169" s="70" t="str">
        <x:v>assets/art/environments/tower_descent_3d/components/env_tower_stairwell_rooftop_9m_top3d_v001.glb</x:v>
      </x:c>
      <x:c r="P169" s="70" t="str">
        <x:v>Blender根=Stair_Special_Rooftop_ROOT; env_tower_descent_kit_top3d_v007.blend; export_env_tower_stairwells_v001.py; TowerDescent3D.gd; tests/verification/verify_tower_descent_flow.tscn</x:v>
      </x:c>
      <x:c r="Q169" s="70" t="str">
        <x:v>塔楼;楼顶楼梯;特殊楼梯;双跑楼梯;特殊墙高;9米层高;Blender直出</x:v>
      </x:c>
      <x:c r="R169" s="70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70" t="str">
        <x:f>IF(COUNTIF($R:$R,R169)&gt;1,"重复","唯一")</x:f>
        <x:v>唯一</x:v>
      </x:c>
      <x:c r="T169" s="70" t="str">
        <x:v>88198a579cc846974f17f5203b46b568b7ab2421fd7bb63c0b7868ddd05684a2</x:v>
      </x:c>
      <x:c r="U169" s="70" t="str">
        <x:v>Codex</x:v>
      </x:c>
      <x:c r="V169" s="71" t="n">
        <x:v>46237</x:v>
      </x:c>
      <x:c r="W169" s="70" t="str">
        <x:v>用户手工Blender模型</x:v>
      </x:c>
      <x:c r="X169" s="70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x:v>
      </x:c>
    </x:row>
    <x:row r="170">
      <x:c r="A170" t="str">
        <x:v>CHR-PLY-CAPSULE01-BACKPACK-SOCKET-3D</x:v>
      </x:c>
      <x:c r="B170" t="str">
        <x:v>玩家背包装备挂点</x:v>
      </x:c>
      <x:c r="C170" t="str">
        <x:v>角色</x:v>
      </x:c>
      <x:c r="D170" t="str">
        <x:v>player_accessory_socket</x:v>
      </x:c>
      <x:c r="E170" t="str">
        <x:v>player_capsule01</x:v>
      </x:c>
      <x:c r="F170" t="str">
        <x:v>backpack_socket_3d</x:v>
      </x:c>
      <x:c r="G170" t="str">
        <x:v>CHR-PLY-CAPSULE01-3D</x:v>
      </x:c>
      <x:c r="H170" t="str">
        <x:v>俯视3D</x:v>
      </x:c>
      <x:c r="I170" t="str">
        <x:v>default</x:v>
      </x:c>
      <x:c r="J170" t="str">
        <x:v>3D玩家场景/可装备背包</x:v>
      </x:c>
      <x:c r="K170" t="str">
        <x:v>原型已接入</x:v>
      </x:c>
      <x:c r="L170" t="str">
        <x:v>P0</x:v>
      </x:c>
      <x:c r="M170" t="str">
        <x:v>v001</x:v>
      </x:c>
      <x:c r="N170" t="str">
        <x:v>Marker3D；bunny=(0,0.74,0.30)；fallback=(0,1.25,0.48)</x:v>
      </x:c>
      <x:c r="O170" t="str">
        <x:v>assets/art/characters/player/chr_player_capsule01_3d/chr_player_capsule01_root_top3d_v001.tscn; assets/art/characters/player/chr_player_capsule01_3d/variants/bunny01/chr_player_capsule01_bunny01_root_top3d_v006.tscn</x:v>
      </x:c>
      <x:c r="P170" t="str">
        <x:v>src/player3d/PlayerAvatar3D.gd; tests/verification/verify_backpack_equipment_flow.tscn</x:v>
      </x:c>
      <x:c r="Q170" t="str">
        <x:v>背包挂点;BackpackSocket;背部装备;wearable;capacity</x:v>
      </x:c>
      <x:c r="R170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t="str">
        <x:f>IF(COUNTIF($R:$R,R170)&gt;1,"重复","唯一")</x:f>
        <x:v>唯一</x:v>
      </x:c>
      <x:c r="T170"/>
      <x:c r="U170" t="str">
        <x:v>Codex</x:v>
      </x:c>
      <x:c r="V170" t="n">
        <x:v>46240</x:v>
      </x:c>
      <x:c r="W170" t="str">
        <x:v>原创程序挂点</x:v>
      </x:c>
      <x:c r="X170" t="str">
        <x:v>独立于左右武器收纳挂点；只承载表现，不改变角色碰撞。装备/卸下由backpack_equipment_changed同步；专项与Metal/OpenGL战术背包画面通过。</x:v>
      </x:c>
    </x:row>
    <x:row r="171">
      <x:c r="A171" t="str">
        <x:v>ITM-EQUIPMENT-BACKPACK-3D</x:v>
      </x:c>
      <x:c r="B171" t="str">
        <x:v>可装备背包3D占位模型</x:v>
      </x:c>
      <x:c r="C171" t="str">
        <x:v>道具</x:v>
      </x:c>
      <x:c r="D171" t="str">
        <x:v>equipment</x:v>
      </x:c>
      <x:c r="E171" t="str">
        <x:v>equipment_backpack</x:v>
      </x:c>
      <x:c r="F171" t="str">
        <x:v>root_3d</x:v>
      </x:c>
      <x:c r="G171"/>
      <x:c r="H171" t="str">
        <x:v>俯视3D</x:v>
      </x:c>
      <x:c r="I171" t="str">
        <x:v>default</x:v>
      </x:c>
      <x:c r="J171" t="str">
        <x:v>地面拾取/UI图标/角色背部共用</x:v>
      </x:c>
      <x:c r="K171" t="str">
        <x:v>程序占位</x:v>
      </x:c>
      <x:c r="L171" t="str">
        <x:v>P0</x:v>
      </x:c>
      <x:c r="M171" t="str">
        <x:v>v001</x:v>
      </x:c>
      <x:c r="N171" t="str">
        <x:v>BoxMesh组件；2/4/8格三档体积、主色与1/2/3附袋</x:v>
      </x:c>
      <x:c r="O171"/>
      <x:c r="P171" t="str">
        <x:v>src/world3d/ItemModelFactory3D.gd; src/base/ItemRegistry.gd; tests/verification/verify_backpack_equipment_flow.tscn</x:v>
      </x:c>
      <x:c r="Q171" t="str">
        <x:v>轻型腰包;战术背包;远征背包;backpack;2格;4格;8格</x:v>
      </x:c>
      <x:c r="R171" t="str">
        <x:f>LOWER(TRIM(C171)&amp;"|"&amp;TRIM(D171)&amp;"|"&amp;TRIM(E171)&amp;"|"&amp;TRIM(F171)&amp;"|"&amp;TRIM(H171)&amp;"|"&amp;TRIM(I171))</x:f>
        <x:v>道具|equipment|equipment_backpack|root_3d|俯视3d|default</x:v>
      </x:c>
      <x:c r="S171" t="str">
        <x:f>IF(COUNTIF($R:$R,R171)&gt;1,"重复","唯一")</x:f>
        <x:v>唯一</x:v>
      </x:c>
      <x:c r="T171"/>
      <x:c r="U171" t="str">
        <x:v>Codex</x:v>
      </x:c>
      <x:c r="V171" t="n">
        <x:v>46240</x:v>
      </x:c>
      <x:c r="W171" t="str">
        <x:v>原创程序几何</x:v>
      </x:c>
      <x:c r="X171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123" t="str">
        <x:v>PRP-BASE-VENDING-MACHINE-3D</x:v>
      </x:c>
      <x:c r="B172" s="118" t="str">
        <x:v>基地自动贩卖机长方体模型</x:v>
      </x:c>
      <x:c r="C172" s="118" t="str">
        <x:v>3D道具</x:v>
      </x:c>
      <x:c r="D172" s="118" t="str">
        <x:v>base_facility</x:v>
      </x:c>
      <x:c r="E172" s="118" t="str">
        <x:v>base_vending</x:v>
      </x:c>
      <x:c r="F172" s="118" t="str">
        <x:v>root</x:v>
      </x:c>
      <x:c r="G172" s="118" t="str">
        <x:v>PRP-BASE-FACILITY-3D</x:v>
      </x:c>
      <x:c r="H172" s="118" t="str">
        <x:v>Top3D</x:v>
      </x:c>
      <x:c r="I172" s="118" t="str">
        <x:v>default</x:v>
      </x:c>
      <x:c r="J172" s="118" t="str">
        <x:v>BaseWorld3D/TowerDescent99F</x:v>
      </x:c>
      <x:c r="K172" s="118" t="str">
        <x:v>原型已接入</x:v>
      </x:c>
      <x:c r="L172" s="118" t="str">
        <x:v>P0</x:v>
      </x:c>
      <x:c r="M172" s="118" t="str">
        <x:v>v001</x:v>
      </x:c>
      <x:c r="N172" s="118" t="str">
        <x:v>2.5×3.35×1.35m</x:v>
      </x:c>
      <x:c r="O172" s="118" t="str">
        <x:v>assets/art/props/base_world_3d/prp_base_vending_machine_root_top3d_v001.tscn</x:v>
      </x:c>
      <x:c r="P172" s="118" t="str">
        <x:v>用户设计+docs/v0.1/07_技术施工_基地设施.md</x:v>
      </x:c>
      <x:c r="Q172" s="118" t="str">
        <x:v>自动贩卖机; 长方体; 基地; 出口墙边</x:v>
      </x:c>
      <x:c r="R172" s="118" t="str">
        <x:f>TEXTJOIN("|",TRUE,C172,D172,E172,F172,H172,I172)</x:f>
        <x:v>3D道具|base_facility|base_vending|root|Top3D|default</x:v>
      </x:c>
      <x:c r="S172" s="118" t="str">
        <x:f>IF(COUNTIF($R$6:$R$200,R172)&gt;1,"重复","唯一")</x:f>
        <x:v>唯一</x:v>
      </x:c>
      <x:c r="T172" s="118"/>
      <x:c r="U172" s="118" t="str">
        <x:v>Codex</x:v>
      </x:c>
      <x:c r="V172" s="118" t="str">
        <x:v>2026-08-06</x:v>
      </x:c>
      <x:c r="W172" s="118" t="str">
        <x:v>程序基础网格/原创</x:v>
      </x:c>
      <x:c r="X172" s="118" t="str">
        <x:v>代码网格与材质，无图片；独立碰撞、正面货窗、屏幕、灯带和交互区</x:v>
      </x:c>
    </x:row>
    <x:row r="173" ht="42" customHeight="1">
      <x:c r="A173" s="123" t="str">
        <x:v>UI-SCREEN-BASE-VENDING</x:v>
      </x:c>
      <x:c r="B173" s="118" t="str">
        <x:v>基地自动贩卖机商店界面</x:v>
      </x:c>
      <x:c r="C173" s="118" t="str">
        <x:v>UI</x:v>
      </x:c>
      <x:c r="D173" s="118" t="str">
        <x:v>base_facility</x:v>
      </x:c>
      <x:c r="E173" s="118" t="str">
        <x:v>base_vending_shop</x:v>
      </x:c>
      <x:c r="F173" s="118" t="str">
        <x:v>screen</x:v>
      </x:c>
      <x:c r="G173" s="118" t="str">
        <x:v>UI-SCREEN-MERCHANT</x:v>
      </x:c>
      <x:c r="H173" s="118" t="str">
        <x:v>Screen</x:v>
      </x:c>
      <x:c r="I173" s="118" t="str">
        <x:v>default</x:v>
      </x:c>
      <x:c r="J173" s="118" t="str">
        <x:v>基地自动贩卖机</x:v>
      </x:c>
      <x:c r="K173" s="118" t="str">
        <x:v>原型已接入</x:v>
      </x:c>
      <x:c r="L173" s="118" t="str">
        <x:v>P0</x:v>
      </x:c>
      <x:c r="M173" s="118" t="str">
        <x:v>v002</x:v>
      </x:c>
      <x:c r="N173" s="118" t="str">
        <x:v>1280×720自适应</x:v>
      </x:c>
      <x:c r="O173" s="118" t="str">
        <x:v>scenes/BaseVendingMenu.tscn; src/ui/BaseVendingMenu.gd</x:v>
      </x:c>
      <x:c r="P173" s="118" t="str">
        <x:v>用户设计+docs/v0.1/07_技术施工_基地设施.md</x:v>
      </x:c>
      <x:c r="Q173" s="118" t="str">
        <x:v>基地商店; 购买; 出售; 3D物品图标</x:v>
      </x:c>
      <x:c r="R173" s="118" t="str">
        <x:f>TEXTJOIN("|",TRUE,C173,D173,E173,F173,H173,I173)</x:f>
        <x:v>UI|base_facility|base_vending_shop|screen|Screen|default</x:v>
      </x:c>
      <x:c r="S173" s="118" t="str">
        <x:f>IF(COUNTIF($R$6:$R$200,R173)&gt;1,"重复","唯一")</x:f>
        <x:v>唯一</x:v>
      </x:c>
      <x:c r="T173" s="118"/>
      <x:c r="U173" s="118" t="str">
        <x:v>Codex</x:v>
      </x:c>
      <x:c r="V173" s="118" t="str">
        <x:v>2026-08-06</x:v>
      </x:c>
      <x:c r="W173" s="118" t="str">
        <x:v>程序控件/原创</x:v>
      </x:c>
      <x:c r="X173" s="118" t="str">
        <x:v>左右买卖双栏；复用ItemModelIcon3D；资源与容量常驻；Esc退出 ｜ 2026-08-07：购买/出售改为3列商品卡网格，正方形ItemModelIcon3D，与I键背包同源；统一主HUD配色和按钮状态。</x:v>
      </x:c>
    </x:row>
    <x:row r="174" ht="44" customHeight="1">
      <x:c r="A174" s="63" t="str">
        <x:v>AUD-SFX-AMMO-EMPTY</x:v>
      </x:c>
      <x:c r="B174" s="63" t="str">
        <x:v>空仓扳机音效</x:v>
      </x:c>
      <x:c r="C174" s="63" t="str">
        <x:v>音频</x:v>
      </x:c>
      <x:c r="D174" s="63" t="str">
        <x:v>sfx</x:v>
      </x:c>
      <x:c r="E174" s="63" t="str">
        <x:v>ammo_empty</x:v>
      </x:c>
      <x:c r="F174" s="63" t="str">
        <x:v>runtime</x:v>
      </x:c>
      <x:c r="G174" s="63"/>
      <x:c r="H174" s="63" t="str">
        <x:v>全局/非空间</x:v>
      </x:c>
      <x:c r="I174" s="63" t="str">
        <x:v>default</x:v>
      </x:c>
      <x:c r="J174" s="63" t="str">
        <x:v>桌面与Android正式运行</x:v>
      </x:c>
      <x:c r="K174" s="63" t="str">
        <x:v>已完成</x:v>
      </x:c>
      <x:c r="L174" s="63" t="str">
        <x:v>P0</x:v>
      </x:c>
      <x:c r="M174" s="63" t="str">
        <x:v>v001</x:v>
      </x:c>
      <x:c r="N174" s="63" t="str">
        <x:v>44.1kHz / OGG Vorbis / stereo</x:v>
      </x:c>
      <x:c r="O174" s="63" t="str">
        <x:v>src/assets/audio/sfx/ammo_empty_v001.ogg</x:v>
      </x:c>
      <x:c r="P174" s="63" t="str">
        <x:v>src/assets/audio/sfx/ammo_empty.wav; src/音效接入说明.md</x:v>
      </x:c>
      <x:c r="Q174" s="63" t="str">
        <x:v>ammo_empty; 音效; OGG; Android; 移动端</x:v>
      </x:c>
      <x:c r="R174" s="63" t="str">
        <x:f>TEXTJOIN("|",TRUE,C174,D174,E174,F174,H174,I174)</x:f>
        <x:v>音频|sfx|ammo_empty|runtime|全局/非空间|default</x:v>
      </x:c>
      <x:c r="S174" s="63" t="str">
        <x:f>IF(COUNTIF($R$6:$R$204,R174)&gt;1,"重复","唯一")</x:f>
        <x:v>唯一</x:v>
      </x:c>
      <x:c r="T174" s="63" t="str">
        <x:v>f5d0339c3c7fce8227970163bd773a11f15faffa57a878ec41111308657a000c</x:v>
      </x:c>
      <x:c r="U174" s="63" t="str">
        <x:v>Codex</x:v>
      </x:c>
      <x:c r="V174" s="64" t="n">
        <x:v>46241</x:v>
      </x:c>
      <x:c r="W174" s="63" t="str">
        <x:v>项目WAV母版转码</x:v>
      </x:c>
      <x:c r="X174" s="63" t="str">
        <x:v>正式运行OGG；WAV仅作母版；AudioManager事件=ammo_empty；Android/桌面统一版本化路径，禁止旧音效回退。</x:v>
      </x:c>
    </x:row>
    <x:row r="175" ht="44" customHeight="1">
      <x:c r="A175" s="63" t="str">
        <x:v>AUD-SFX-BOSS-DEFEAT</x:v>
      </x:c>
      <x:c r="B175" s="63" t="str">
        <x:v>Boss击败音效</x:v>
      </x:c>
      <x:c r="C175" s="63" t="str">
        <x:v>音频</x:v>
      </x:c>
      <x:c r="D175" s="63" t="str">
        <x:v>sfx</x:v>
      </x:c>
      <x:c r="E175" s="63" t="str">
        <x:v>boss_defeat</x:v>
      </x:c>
      <x:c r="F175" s="63" t="str">
        <x:v>runtime</x:v>
      </x:c>
      <x:c r="G175" s="63"/>
      <x:c r="H175" s="63" t="str">
        <x:v>全局/非空间</x:v>
      </x:c>
      <x:c r="I175" s="63" t="str">
        <x:v>default</x:v>
      </x:c>
      <x:c r="J175" s="63" t="str">
        <x:v>桌面与Android正式运行</x:v>
      </x:c>
      <x:c r="K175" s="63" t="str">
        <x:v>已完成</x:v>
      </x:c>
      <x:c r="L175" s="63" t="str">
        <x:v>P0</x:v>
      </x:c>
      <x:c r="M175" s="63" t="str">
        <x:v>v001</x:v>
      </x:c>
      <x:c r="N175" s="63" t="str">
        <x:v>44.1kHz / OGG Vorbis / stereo</x:v>
      </x:c>
      <x:c r="O175" s="63" t="str">
        <x:v>src/assets/audio/sfx/boss_defeat_v001.ogg</x:v>
      </x:c>
      <x:c r="P175" s="63" t="str">
        <x:v>src/assets/audio/sfx/boss_defeat.wav; src/音效接入说明.md</x:v>
      </x:c>
      <x:c r="Q175" s="63" t="str">
        <x:v>boss_defeat; 音效; OGG; Android; 移动端</x:v>
      </x:c>
      <x:c r="R175" s="63" t="str">
        <x:f>TEXTJOIN("|",TRUE,C175,D175,E175,F175,H175,I175)</x:f>
        <x:v>音频|sfx|boss_defeat|runtime|全局/非空间|default</x:v>
      </x:c>
      <x:c r="S175" s="63" t="str">
        <x:f>IF(COUNTIF($R$6:$R$204,R175)&gt;1,"重复","唯一")</x:f>
        <x:v>唯一</x:v>
      </x:c>
      <x:c r="T175" s="63" t="str">
        <x:v>245b27a482a9166c6bc09cdabae3094f4a2bb1e67956f8a8f54b767eb15fefba</x:v>
      </x:c>
      <x:c r="U175" s="63" t="str">
        <x:v>Codex</x:v>
      </x:c>
      <x:c r="V175" s="64" t="n">
        <x:v>46241</x:v>
      </x:c>
      <x:c r="W175" s="63" t="str">
        <x:v>项目WAV母版转码</x:v>
      </x:c>
      <x:c r="X175" s="63" t="str">
        <x:v>正式运行OGG；WAV仅作母版；AudioManager事件=boss_defeat；Android/桌面统一版本化路径，禁止旧音效回退。</x:v>
      </x:c>
    </x:row>
    <x:row r="176" ht="44" customHeight="1">
      <x:c r="A176" s="63" t="str">
        <x:v>AUD-SFX-BOSS-INTRO</x:v>
      </x:c>
      <x:c r="B176" s="63" t="str">
        <x:v>Boss入场音效</x:v>
      </x:c>
      <x:c r="C176" s="63" t="str">
        <x:v>音频</x:v>
      </x:c>
      <x:c r="D176" s="63" t="str">
        <x:v>sfx</x:v>
      </x:c>
      <x:c r="E176" s="63" t="str">
        <x:v>boss_intro</x:v>
      </x:c>
      <x:c r="F176" s="63" t="str">
        <x:v>runtime</x:v>
      </x:c>
      <x:c r="G176" s="63"/>
      <x:c r="H176" s="63" t="str">
        <x:v>全局/非空间</x:v>
      </x:c>
      <x:c r="I176" s="63" t="str">
        <x:v>default</x:v>
      </x:c>
      <x:c r="J176" s="63" t="str">
        <x:v>桌面与Android正式运行</x:v>
      </x:c>
      <x:c r="K176" s="63" t="str">
        <x:v>已完成</x:v>
      </x:c>
      <x:c r="L176" s="63" t="str">
        <x:v>P0</x:v>
      </x:c>
      <x:c r="M176" s="63" t="str">
        <x:v>v001</x:v>
      </x:c>
      <x:c r="N176" s="63" t="str">
        <x:v>44.1kHz / OGG Vorbis / stereo</x:v>
      </x:c>
      <x:c r="O176" s="63" t="str">
        <x:v>src/assets/audio/sfx/boss_intro_v001.ogg</x:v>
      </x:c>
      <x:c r="P176" s="63" t="str">
        <x:v>src/assets/audio/sfx/boss_intro.wav; src/音效接入说明.md</x:v>
      </x:c>
      <x:c r="Q176" s="63" t="str">
        <x:v>boss_intro; 音效; OGG; Android; 移动端</x:v>
      </x:c>
      <x:c r="R176" s="63" t="str">
        <x:f>TEXTJOIN("|",TRUE,C176,D176,E176,F176,H176,I176)</x:f>
        <x:v>音频|sfx|boss_intro|runtime|全局/非空间|default</x:v>
      </x:c>
      <x:c r="S176" s="63" t="str">
        <x:f>IF(COUNTIF($R$6:$R$204,R176)&gt;1,"重复","唯一")</x:f>
        <x:v>唯一</x:v>
      </x:c>
      <x:c r="T176" s="63" t="str">
        <x:v>4e18a3afe9c7b804e6fb6905fbf05b62cba70d9b15a324c650a04d04a981d5ff</x:v>
      </x:c>
      <x:c r="U176" s="63" t="str">
        <x:v>Codex</x:v>
      </x:c>
      <x:c r="V176" s="64" t="n">
        <x:v>46241</x:v>
      </x:c>
      <x:c r="W176" s="63" t="str">
        <x:v>项目WAV母版转码</x:v>
      </x:c>
      <x:c r="X176" s="63" t="str">
        <x:v>正式运行OGG；WAV仅作母版；AudioManager事件=boss_intro；Android/桌面统一版本化路径，禁止旧音效回退。</x:v>
      </x:c>
    </x:row>
    <x:row r="177" ht="44" customHeight="1">
      <x:c r="A177" s="63" t="str">
        <x:v>AUD-SFX-BOSS-PHASE</x:v>
      </x:c>
      <x:c r="B177" s="63" t="str">
        <x:v>Boss阶段切换音效</x:v>
      </x:c>
      <x:c r="C177" s="63" t="str">
        <x:v>音频</x:v>
      </x:c>
      <x:c r="D177" s="63" t="str">
        <x:v>sfx</x:v>
      </x:c>
      <x:c r="E177" s="63" t="str">
        <x:v>boss_phase</x:v>
      </x:c>
      <x:c r="F177" s="63" t="str">
        <x:v>runtime</x:v>
      </x:c>
      <x:c r="G177" s="63"/>
      <x:c r="H177" s="63" t="str">
        <x:v>全局/非空间</x:v>
      </x:c>
      <x:c r="I177" s="63" t="str">
        <x:v>default</x:v>
      </x:c>
      <x:c r="J177" s="63" t="str">
        <x:v>桌面与Android正式运行</x:v>
      </x:c>
      <x:c r="K177" s="63" t="str">
        <x:v>已完成</x:v>
      </x:c>
      <x:c r="L177" s="63" t="str">
        <x:v>P0</x:v>
      </x:c>
      <x:c r="M177" s="63" t="str">
        <x:v>v001</x:v>
      </x:c>
      <x:c r="N177" s="63" t="str">
        <x:v>44.1kHz / OGG Vorbis / stereo</x:v>
      </x:c>
      <x:c r="O177" s="63" t="str">
        <x:v>src/assets/audio/sfx/boss_phase_v001.ogg</x:v>
      </x:c>
      <x:c r="P177" s="63" t="str">
        <x:v>src/assets/audio/sfx/boss_phase.wav; src/音效接入说明.md</x:v>
      </x:c>
      <x:c r="Q177" s="63" t="str">
        <x:v>boss_phase; 音效; OGG; Android; 移动端</x:v>
      </x:c>
      <x:c r="R177" s="63" t="str">
        <x:f>TEXTJOIN("|",TRUE,C177,D177,E177,F177,H177,I177)</x:f>
        <x:v>音频|sfx|boss_phase|runtime|全局/非空间|default</x:v>
      </x:c>
      <x:c r="S177" s="63" t="str">
        <x:f>IF(COUNTIF($R$6:$R$204,R177)&gt;1,"重复","唯一")</x:f>
        <x:v>唯一</x:v>
      </x:c>
      <x:c r="T177" s="63" t="str">
        <x:v>804457fc13cb83e18bdc1e7e84d1b9a27414be72128f82811e016c17fc331ad3</x:v>
      </x:c>
      <x:c r="U177" s="63" t="str">
        <x:v>Codex</x:v>
      </x:c>
      <x:c r="V177" s="64" t="n">
        <x:v>46241</x:v>
      </x:c>
      <x:c r="W177" s="63" t="str">
        <x:v>项目WAV母版转码</x:v>
      </x:c>
      <x:c r="X177" s="63" t="str">
        <x:v>正式运行OGG；WAV仅作母版；AudioManager事件=boss_phase；Android/桌面统一版本化路径，禁止旧音效回退。</x:v>
      </x:c>
    </x:row>
    <x:row r="178" ht="44" customHeight="1">
      <x:c r="A178" s="63" t="str">
        <x:v>AUD-SFX-CONTAINER-OPEN</x:v>
      </x:c>
      <x:c r="B178" s="63" t="str">
        <x:v>搜索容器开启音效</x:v>
      </x:c>
      <x:c r="C178" s="63" t="str">
        <x:v>音频</x:v>
      </x:c>
      <x:c r="D178" s="63" t="str">
        <x:v>sfx</x:v>
      </x:c>
      <x:c r="E178" s="63" t="str">
        <x:v>container_open</x:v>
      </x:c>
      <x:c r="F178" s="63" t="str">
        <x:v>runtime</x:v>
      </x:c>
      <x:c r="G178" s="63"/>
      <x:c r="H178" s="63" t="str">
        <x:v>全局/非空间</x:v>
      </x:c>
      <x:c r="I178" s="63" t="str">
        <x:v>default</x:v>
      </x:c>
      <x:c r="J178" s="63" t="str">
        <x:v>桌面与Android正式运行</x:v>
      </x:c>
      <x:c r="K178" s="63" t="str">
        <x:v>已完成</x:v>
      </x:c>
      <x:c r="L178" s="63" t="str">
        <x:v>P0</x:v>
      </x:c>
      <x:c r="M178" s="63" t="str">
        <x:v>v001</x:v>
      </x:c>
      <x:c r="N178" s="63" t="str">
        <x:v>44.1kHz / OGG Vorbis / stereo</x:v>
      </x:c>
      <x:c r="O178" s="63" t="str">
        <x:v>src/assets/audio/sfx/container_open_v001.ogg</x:v>
      </x:c>
      <x:c r="P178" s="63" t="str">
        <x:v>src/assets/audio/sfx/container_open.wav; src/音效接入说明.md</x:v>
      </x:c>
      <x:c r="Q178" s="63" t="str">
        <x:v>container_open; 音效; OGG; Android; 移动端</x:v>
      </x:c>
      <x:c r="R178" s="63" t="str">
        <x:f>TEXTJOIN("|",TRUE,C178,D178,E178,F178,H178,I178)</x:f>
        <x:v>音频|sfx|container_open|runtime|全局/非空间|default</x:v>
      </x:c>
      <x:c r="S178" s="63" t="str">
        <x:f>IF(COUNTIF($R$6:$R$204,R178)&gt;1,"重复","唯一")</x:f>
        <x:v>唯一</x:v>
      </x:c>
      <x:c r="T178" s="63" t="str">
        <x:v>8e9d9e0a773ab0daf850734913302212a2f279dc7afb0f457a193300325840d0</x:v>
      </x:c>
      <x:c r="U178" s="63" t="str">
        <x:v>Codex</x:v>
      </x:c>
      <x:c r="V178" s="64" t="n">
        <x:v>46241</x:v>
      </x:c>
      <x:c r="W178" s="63" t="str">
        <x:v>项目WAV母版转码</x:v>
      </x:c>
      <x:c r="X178" s="63" t="str">
        <x:v>正式运行OGG；WAV仅作母版；AudioManager事件=container_open；Android/桌面统一版本化路径，禁止旧音效回退。</x:v>
      </x:c>
    </x:row>
    <x:row r="179" ht="44" customHeight="1">
      <x:c r="A179" s="63" t="str">
        <x:v>AUD-SFX-CRIT-HIT</x:v>
      </x:c>
      <x:c r="B179" s="63" t="str">
        <x:v>暴击命中音效</x:v>
      </x:c>
      <x:c r="C179" s="63" t="str">
        <x:v>音频</x:v>
      </x:c>
      <x:c r="D179" s="63" t="str">
        <x:v>sfx</x:v>
      </x:c>
      <x:c r="E179" s="63" t="str">
        <x:v>crit_hit</x:v>
      </x:c>
      <x:c r="F179" s="63" t="str">
        <x:v>runtime</x:v>
      </x:c>
      <x:c r="G179" s="63"/>
      <x:c r="H179" s="63" t="str">
        <x:v>全局/非空间</x:v>
      </x:c>
      <x:c r="I179" s="63" t="str">
        <x:v>default</x:v>
      </x:c>
      <x:c r="J179" s="63" t="str">
        <x:v>桌面与Android正式运行</x:v>
      </x:c>
      <x:c r="K179" s="63" t="str">
        <x:v>已完成</x:v>
      </x:c>
      <x:c r="L179" s="63" t="str">
        <x:v>P0</x:v>
      </x:c>
      <x:c r="M179" s="63" t="str">
        <x:v>v001</x:v>
      </x:c>
      <x:c r="N179" s="63" t="str">
        <x:v>44.1kHz / OGG Vorbis / stereo</x:v>
      </x:c>
      <x:c r="O179" s="63" t="str">
        <x:v>src/assets/audio/sfx/crit_hit_v001.ogg</x:v>
      </x:c>
      <x:c r="P179" s="63" t="str">
        <x:v>src/assets/audio/sfx/crit_hit.wav; src/音效接入说明.md</x:v>
      </x:c>
      <x:c r="Q179" s="63" t="str">
        <x:v>crit_hit; 音效; OGG; Android; 移动端</x:v>
      </x:c>
      <x:c r="R179" s="63" t="str">
        <x:f>TEXTJOIN("|",TRUE,C179,D179,E179,F179,H179,I179)</x:f>
        <x:v>音频|sfx|crit_hit|runtime|全局/非空间|default</x:v>
      </x:c>
      <x:c r="S179" s="63" t="str">
        <x:f>IF(COUNTIF($R$6:$R$204,R179)&gt;1,"重复","唯一")</x:f>
        <x:v>唯一</x:v>
      </x:c>
      <x:c r="T179" s="63" t="str">
        <x:v>9228e4544dc5472afe0dfaa53df5be2ec8c95bd253ea7ffd9b6136c6dd19069f</x:v>
      </x:c>
      <x:c r="U179" s="63" t="str">
        <x:v>Codex</x:v>
      </x:c>
      <x:c r="V179" s="64" t="n">
        <x:v>46241</x:v>
      </x:c>
      <x:c r="W179" s="63" t="str">
        <x:v>项目WAV母版转码</x:v>
      </x:c>
      <x:c r="X179" s="63" t="str">
        <x:v>正式运行OGG；WAV仅作母版；AudioManager事件=crit_hit；Android/桌面统一版本化路径，禁止旧音效回退。</x:v>
      </x:c>
    </x:row>
    <x:row r="180" ht="44" customHeight="1">
      <x:c r="A180" s="63" t="str">
        <x:v>AUD-SFX-DOOR-LOCKED</x:v>
      </x:c>
      <x:c r="B180" s="63" t="str">
        <x:v>门锁定音效</x:v>
      </x:c>
      <x:c r="C180" s="63" t="str">
        <x:v>音频</x:v>
      </x:c>
      <x:c r="D180" s="63" t="str">
        <x:v>sfx</x:v>
      </x:c>
      <x:c r="E180" s="63" t="str">
        <x:v>door_locked</x:v>
      </x:c>
      <x:c r="F180" s="63" t="str">
        <x:v>runtime</x:v>
      </x:c>
      <x:c r="G180" s="63"/>
      <x:c r="H180" s="63" t="str">
        <x:v>全局/非空间</x:v>
      </x:c>
      <x:c r="I180" s="63" t="str">
        <x:v>default</x:v>
      </x:c>
      <x:c r="J180" s="63" t="str">
        <x:v>桌面与Android正式运行</x:v>
      </x:c>
      <x:c r="K180" s="63" t="str">
        <x:v>已完成</x:v>
      </x:c>
      <x:c r="L180" s="63" t="str">
        <x:v>P0</x:v>
      </x:c>
      <x:c r="M180" s="63" t="str">
        <x:v>v001</x:v>
      </x:c>
      <x:c r="N180" s="63" t="str">
        <x:v>44.1kHz / OGG Vorbis / stereo</x:v>
      </x:c>
      <x:c r="O180" s="63" t="str">
        <x:v>src/assets/audio/sfx/door_locked_v001.ogg</x:v>
      </x:c>
      <x:c r="P180" s="63" t="str">
        <x:v>src/assets/audio/sfx/door_locked.wav; src/音效接入说明.md</x:v>
      </x:c>
      <x:c r="Q180" s="63" t="str">
        <x:v>door_locked; 音效; OGG; Android; 移动端</x:v>
      </x:c>
      <x:c r="R180" s="63" t="str">
        <x:f>TEXTJOIN("|",TRUE,C180,D180,E180,F180,H180,I180)</x:f>
        <x:v>音频|sfx|door_locked|runtime|全局/非空间|default</x:v>
      </x:c>
      <x:c r="S180" s="63" t="str">
        <x:f>IF(COUNTIF($R$6:$R$204,R180)&gt;1,"重复","唯一")</x:f>
        <x:v>唯一</x:v>
      </x:c>
      <x:c r="T180" s="63" t="str">
        <x:v>db9ece4cf6a904b8c23319b0d3bc83bce2d48ea69d7ebd246dd2bb30f2587e74</x:v>
      </x:c>
      <x:c r="U180" s="63" t="str">
        <x:v>Codex</x:v>
      </x:c>
      <x:c r="V180" s="64" t="n">
        <x:v>46241</x:v>
      </x:c>
      <x:c r="W180" s="63" t="str">
        <x:v>项目WAV母版转码</x:v>
      </x:c>
      <x:c r="X180" s="63" t="str">
        <x:v>正式运行OGG；WAV仅作母版；AudioManager事件=door_locked；Android/桌面统一版本化路径，禁止旧音效回退。</x:v>
      </x:c>
    </x:row>
    <x:row r="181" ht="44" customHeight="1">
      <x:c r="A181" s="63" t="str">
        <x:v>AUD-SFX-DOOR-OPEN</x:v>
      </x:c>
      <x:c r="B181" s="63" t="str">
        <x:v>门开启音效</x:v>
      </x:c>
      <x:c r="C181" s="63" t="str">
        <x:v>音频</x:v>
      </x:c>
      <x:c r="D181" s="63" t="str">
        <x:v>sfx</x:v>
      </x:c>
      <x:c r="E181" s="63" t="str">
        <x:v>door_open</x:v>
      </x:c>
      <x:c r="F181" s="63" t="str">
        <x:v>runtime</x:v>
      </x:c>
      <x:c r="G181" s="63"/>
      <x:c r="H181" s="63" t="str">
        <x:v>全局/非空间</x:v>
      </x:c>
      <x:c r="I181" s="63" t="str">
        <x:v>default</x:v>
      </x:c>
      <x:c r="J181" s="63" t="str">
        <x:v>桌面与Android正式运行</x:v>
      </x:c>
      <x:c r="K181" s="63" t="str">
        <x:v>已完成</x:v>
      </x:c>
      <x:c r="L181" s="63" t="str">
        <x:v>P0</x:v>
      </x:c>
      <x:c r="M181" s="63" t="str">
        <x:v>v001</x:v>
      </x:c>
      <x:c r="N181" s="63" t="str">
        <x:v>44.1kHz / OGG Vorbis / stereo</x:v>
      </x:c>
      <x:c r="O181" s="63" t="str">
        <x:v>src/assets/audio/sfx/door_open_v001.ogg</x:v>
      </x:c>
      <x:c r="P181" s="63" t="str">
        <x:v>src/assets/audio/sfx/door_open.wav; src/音效接入说明.md</x:v>
      </x:c>
      <x:c r="Q181" s="63" t="str">
        <x:v>door_open; 音效; OGG; Android; 移动端</x:v>
      </x:c>
      <x:c r="R181" s="63" t="str">
        <x:f>TEXTJOIN("|",TRUE,C181,D181,E181,F181,H181,I181)</x:f>
        <x:v>音频|sfx|door_open|runtime|全局/非空间|default</x:v>
      </x:c>
      <x:c r="S181" s="63" t="str">
        <x:f>IF(COUNTIF($R$6:$R$204,R181)&gt;1,"重复","唯一")</x:f>
        <x:v>唯一</x:v>
      </x:c>
      <x:c r="T181" s="63" t="str">
        <x:v>6b3044e0231f425a54103d7a4e44c2a1f21f895310841347ea9ceb76485a5565</x:v>
      </x:c>
      <x:c r="U181" s="63" t="str">
        <x:v>Codex</x:v>
      </x:c>
      <x:c r="V181" s="64" t="n">
        <x:v>46241</x:v>
      </x:c>
      <x:c r="W181" s="63" t="str">
        <x:v>项目WAV母版转码</x:v>
      </x:c>
      <x:c r="X181" s="63" t="str">
        <x:v>正式运行OGG；WAV仅作母版；AudioManager事件=door_open；Android/桌面统一版本化路径，禁止旧音效回退。</x:v>
      </x:c>
    </x:row>
    <x:row r="182" ht="44" customHeight="1">
      <x:c r="A182" s="63" t="str">
        <x:v>AUD-SFX-ENEMY-DIE</x:v>
      </x:c>
      <x:c r="B182" s="63" t="str">
        <x:v>敌人死亡音效</x:v>
      </x:c>
      <x:c r="C182" s="63" t="str">
        <x:v>音频</x:v>
      </x:c>
      <x:c r="D182" s="63" t="str">
        <x:v>sfx</x:v>
      </x:c>
      <x:c r="E182" s="63" t="str">
        <x:v>enemy_die</x:v>
      </x:c>
      <x:c r="F182" s="63" t="str">
        <x:v>runtime</x:v>
      </x:c>
      <x:c r="G182" s="63"/>
      <x:c r="H182" s="63" t="str">
        <x:v>全局/非空间</x:v>
      </x:c>
      <x:c r="I182" s="63" t="str">
        <x:v>default</x:v>
      </x:c>
      <x:c r="J182" s="63" t="str">
        <x:v>桌面与Android正式运行</x:v>
      </x:c>
      <x:c r="K182" s="63" t="str">
        <x:v>已完成</x:v>
      </x:c>
      <x:c r="L182" s="63" t="str">
        <x:v>P0</x:v>
      </x:c>
      <x:c r="M182" s="63" t="str">
        <x:v>v001</x:v>
      </x:c>
      <x:c r="N182" s="63" t="str">
        <x:v>44.1kHz / OGG Vorbis / stereo</x:v>
      </x:c>
      <x:c r="O182" s="63" t="str">
        <x:v>src/assets/audio/sfx/enemy_die_v001.ogg</x:v>
      </x:c>
      <x:c r="P182" s="63" t="str">
        <x:v>src/assets/audio/sfx/enemy_die.wav; src/音效接入说明.md</x:v>
      </x:c>
      <x:c r="Q182" s="63" t="str">
        <x:v>enemy_die; 音效; OGG; Android; 移动端</x:v>
      </x:c>
      <x:c r="R182" s="63" t="str">
        <x:f>TEXTJOIN("|",TRUE,C182,D182,E182,F182,H182,I182)</x:f>
        <x:v>音频|sfx|enemy_die|runtime|全局/非空间|default</x:v>
      </x:c>
      <x:c r="S182" s="63" t="str">
        <x:f>IF(COUNTIF($R$6:$R$204,R182)&gt;1,"重复","唯一")</x:f>
        <x:v>唯一</x:v>
      </x:c>
      <x:c r="T182" s="63" t="str">
        <x:v>eba3495cc7bf7a301a526a8131c3ee989fd8bfa162e9fafca2c5f923936e4c36</x:v>
      </x:c>
      <x:c r="U182" s="63" t="str">
        <x:v>Codex</x:v>
      </x:c>
      <x:c r="V182" s="64" t="n">
        <x:v>46241</x:v>
      </x:c>
      <x:c r="W182" s="63" t="str">
        <x:v>项目WAV母版转码</x:v>
      </x:c>
      <x:c r="X182" s="63" t="str">
        <x:v>正式运行OGG；WAV仅作母版；AudioManager事件=enemy_die；Android/桌面统一版本化路径，禁止旧音效回退。</x:v>
      </x:c>
    </x:row>
    <x:row r="183" ht="44" customHeight="1">
      <x:c r="A183" s="63" t="str">
        <x:v>AUD-SFX-ENEMY-HIT</x:v>
      </x:c>
      <x:c r="B183" s="63" t="str">
        <x:v>敌人受击音效</x:v>
      </x:c>
      <x:c r="C183" s="63" t="str">
        <x:v>音频</x:v>
      </x:c>
      <x:c r="D183" s="63" t="str">
        <x:v>sfx</x:v>
      </x:c>
      <x:c r="E183" s="63" t="str">
        <x:v>enemy_hit</x:v>
      </x:c>
      <x:c r="F183" s="63" t="str">
        <x:v>runtime</x:v>
      </x:c>
      <x:c r="G183" s="63"/>
      <x:c r="H183" s="63" t="str">
        <x:v>全局/非空间</x:v>
      </x:c>
      <x:c r="I183" s="63" t="str">
        <x:v>default</x:v>
      </x:c>
      <x:c r="J183" s="63" t="str">
        <x:v>桌面与Android正式运行</x:v>
      </x:c>
      <x:c r="K183" s="63" t="str">
        <x:v>已完成</x:v>
      </x:c>
      <x:c r="L183" s="63" t="str">
        <x:v>P0</x:v>
      </x:c>
      <x:c r="M183" s="63" t="str">
        <x:v>v001</x:v>
      </x:c>
      <x:c r="N183" s="63" t="str">
        <x:v>44.1kHz / OGG Vorbis / stereo</x:v>
      </x:c>
      <x:c r="O183" s="63" t="str">
        <x:v>src/assets/audio/sfx/enemy_hit_v001.ogg</x:v>
      </x:c>
      <x:c r="P183" s="63" t="str">
        <x:v>src/assets/audio/sfx/enemy_hit.wav; src/音效接入说明.md</x:v>
      </x:c>
      <x:c r="Q183" s="63" t="str">
        <x:v>enemy_hit; 音效; OGG; Android; 移动端</x:v>
      </x:c>
      <x:c r="R183" s="63" t="str">
        <x:f>TEXTJOIN("|",TRUE,C183,D183,E183,F183,H183,I183)</x:f>
        <x:v>音频|sfx|enemy_hit|runtime|全局/非空间|default</x:v>
      </x:c>
      <x:c r="S183" s="63" t="str">
        <x:f>IF(COUNTIF($R$6:$R$204,R183)&gt;1,"重复","唯一")</x:f>
        <x:v>唯一</x:v>
      </x:c>
      <x:c r="T183" s="63" t="str">
        <x:v>167495a122c9f30351c44c8d4ad7a46d6324703dddf91305adf550037f429ba4</x:v>
      </x:c>
      <x:c r="U183" s="63" t="str">
        <x:v>Codex</x:v>
      </x:c>
      <x:c r="V183" s="64" t="n">
        <x:v>46241</x:v>
      </x:c>
      <x:c r="W183" s="63" t="str">
        <x:v>项目WAV母版转码</x:v>
      </x:c>
      <x:c r="X183" s="63" t="str">
        <x:v>正式运行OGG；WAV仅作母版；AudioManager事件=enemy_hit；Android/桌面统一版本化路径，禁止旧音效回退。</x:v>
      </x:c>
    </x:row>
    <x:row r="184" ht="44" customHeight="1">
      <x:c r="A184" s="63" t="str">
        <x:v>AUD-SFX-EXTRACTION-ABORT</x:v>
      </x:c>
      <x:c r="B184" s="63" t="str">
        <x:v>撤离中断音效</x:v>
      </x:c>
      <x:c r="C184" s="63" t="str">
        <x:v>音频</x:v>
      </x:c>
      <x:c r="D184" s="63" t="str">
        <x:v>sfx</x:v>
      </x:c>
      <x:c r="E184" s="63" t="str">
        <x:v>extraction_abort</x:v>
      </x:c>
      <x:c r="F184" s="63" t="str">
        <x:v>runtime</x:v>
      </x:c>
      <x:c r="G184" s="63"/>
      <x:c r="H184" s="63" t="str">
        <x:v>全局/非空间</x:v>
      </x:c>
      <x:c r="I184" s="63" t="str">
        <x:v>default</x:v>
      </x:c>
      <x:c r="J184" s="63" t="str">
        <x:v>桌面与Android正式运行</x:v>
      </x:c>
      <x:c r="K184" s="63" t="str">
        <x:v>已完成</x:v>
      </x:c>
      <x:c r="L184" s="63" t="str">
        <x:v>P0</x:v>
      </x:c>
      <x:c r="M184" s="63" t="str">
        <x:v>v001</x:v>
      </x:c>
      <x:c r="N184" s="63" t="str">
        <x:v>44.1kHz / OGG Vorbis / stereo</x:v>
      </x:c>
      <x:c r="O184" s="63" t="str">
        <x:v>src/assets/audio/sfx/extraction_abort_v001.ogg</x:v>
      </x:c>
      <x:c r="P184" s="63" t="str">
        <x:v>src/assets/audio/sfx/extraction_abort.wav; src/音效接入说明.md</x:v>
      </x:c>
      <x:c r="Q184" s="63" t="str">
        <x:v>extraction_abort; 音效; OGG; Android; 移动端</x:v>
      </x:c>
      <x:c r="R184" s="63" t="str">
        <x:f>TEXTJOIN("|",TRUE,C184,D184,E184,F184,H184,I184)</x:f>
        <x:v>音频|sfx|extraction_abort|runtime|全局/非空间|default</x:v>
      </x:c>
      <x:c r="S184" s="63" t="str">
        <x:f>IF(COUNTIF($R$6:$R$204,R184)&gt;1,"重复","唯一")</x:f>
        <x:v>唯一</x:v>
      </x:c>
      <x:c r="T184" s="63" t="str">
        <x:v>2b29c153f38d8115cdfae413ad3c4054923c65060341d26b2509e617d7c11de0</x:v>
      </x:c>
      <x:c r="U184" s="63" t="str">
        <x:v>Codex</x:v>
      </x:c>
      <x:c r="V184" s="64" t="n">
        <x:v>46241</x:v>
      </x:c>
      <x:c r="W184" s="63" t="str">
        <x:v>项目WAV母版转码</x:v>
      </x:c>
      <x:c r="X184" s="63" t="str">
        <x:v>正式运行OGG；WAV仅作母版；AudioManager事件=extraction_abort；Android/桌面统一版本化路径，禁止旧音效回退。</x:v>
      </x:c>
    </x:row>
    <x:row r="185" ht="44" customHeight="1">
      <x:c r="A185" s="63" t="str">
        <x:v>AUD-SFX-EXTRACTION-DONE</x:v>
      </x:c>
      <x:c r="B185" s="63" t="str">
        <x:v>撤离成功音效</x:v>
      </x:c>
      <x:c r="C185" s="63" t="str">
        <x:v>音频</x:v>
      </x:c>
      <x:c r="D185" s="63" t="str">
        <x:v>sfx</x:v>
      </x:c>
      <x:c r="E185" s="63" t="str">
        <x:v>extraction_done</x:v>
      </x:c>
      <x:c r="F185" s="63" t="str">
        <x:v>runtime</x:v>
      </x:c>
      <x:c r="G185" s="63"/>
      <x:c r="H185" s="63" t="str">
        <x:v>全局/非空间</x:v>
      </x:c>
      <x:c r="I185" s="63" t="str">
        <x:v>default</x:v>
      </x:c>
      <x:c r="J185" s="63" t="str">
        <x:v>桌面与Android正式运行</x:v>
      </x:c>
      <x:c r="K185" s="63" t="str">
        <x:v>已完成</x:v>
      </x:c>
      <x:c r="L185" s="63" t="str">
        <x:v>P0</x:v>
      </x:c>
      <x:c r="M185" s="63" t="str">
        <x:v>v001</x:v>
      </x:c>
      <x:c r="N185" s="63" t="str">
        <x:v>44.1kHz / OGG Vorbis / stereo</x:v>
      </x:c>
      <x:c r="O185" s="63" t="str">
        <x:v>src/assets/audio/sfx/extraction_done_v001.ogg</x:v>
      </x:c>
      <x:c r="P185" s="63" t="str">
        <x:v>src/assets/audio/sfx/extraction_done.wav; src/音效接入说明.md</x:v>
      </x:c>
      <x:c r="Q185" s="63" t="str">
        <x:v>extraction_done; 音效; OGG; Android; 移动端</x:v>
      </x:c>
      <x:c r="R185" s="63" t="str">
        <x:f>TEXTJOIN("|",TRUE,C185,D185,E185,F185,H185,I185)</x:f>
        <x:v>音频|sfx|extraction_done|runtime|全局/非空间|default</x:v>
      </x:c>
      <x:c r="S185" s="63" t="str">
        <x:f>IF(COUNTIF($R$6:$R$204,R185)&gt;1,"重复","唯一")</x:f>
        <x:v>唯一</x:v>
      </x:c>
      <x:c r="T185" s="63" t="str">
        <x:v>c6eef279ec7a88822b2554799f0a49e4549576ee4c682ef5a3440ea53279df70</x:v>
      </x:c>
      <x:c r="U185" s="63" t="str">
        <x:v>Codex</x:v>
      </x:c>
      <x:c r="V185" s="64" t="n">
        <x:v>46241</x:v>
      </x:c>
      <x:c r="W185" s="63" t="str">
        <x:v>项目WAV母版转码</x:v>
      </x:c>
      <x:c r="X185" s="63" t="str">
        <x:v>正式运行OGG；WAV仅作母版；AudioManager事件=extraction_done；Android/桌面统一版本化路径，禁止旧音效回退。</x:v>
      </x:c>
    </x:row>
    <x:row r="186" ht="44" customHeight="1">
      <x:c r="A186" s="63" t="str">
        <x:v>AUD-SFX-EXTRACTION-START</x:v>
      </x:c>
      <x:c r="B186" s="63" t="str">
        <x:v>撤离开始音效</x:v>
      </x:c>
      <x:c r="C186" s="63" t="str">
        <x:v>音频</x:v>
      </x:c>
      <x:c r="D186" s="63" t="str">
        <x:v>sfx</x:v>
      </x:c>
      <x:c r="E186" s="63" t="str">
        <x:v>extraction_start</x:v>
      </x:c>
      <x:c r="F186" s="63" t="str">
        <x:v>runtime</x:v>
      </x:c>
      <x:c r="G186" s="63"/>
      <x:c r="H186" s="63" t="str">
        <x:v>全局/非空间</x:v>
      </x:c>
      <x:c r="I186" s="63" t="str">
        <x:v>default</x:v>
      </x:c>
      <x:c r="J186" s="63" t="str">
        <x:v>桌面与Android正式运行</x:v>
      </x:c>
      <x:c r="K186" s="63" t="str">
        <x:v>已完成</x:v>
      </x:c>
      <x:c r="L186" s="63" t="str">
        <x:v>P0</x:v>
      </x:c>
      <x:c r="M186" s="63" t="str">
        <x:v>v001</x:v>
      </x:c>
      <x:c r="N186" s="63" t="str">
        <x:v>44.1kHz / OGG Vorbis / stereo</x:v>
      </x:c>
      <x:c r="O186" s="63" t="str">
        <x:v>src/assets/audio/sfx/extraction_start_v001.ogg</x:v>
      </x:c>
      <x:c r="P186" s="63" t="str">
        <x:v>src/assets/audio/sfx/extraction_start.wav; src/音效接入说明.md</x:v>
      </x:c>
      <x:c r="Q186" s="63" t="str">
        <x:v>extraction_start; 音效; OGG; Android; 移动端</x:v>
      </x:c>
      <x:c r="R186" s="63" t="str">
        <x:f>TEXTJOIN("|",TRUE,C186,D186,E186,F186,H186,I186)</x:f>
        <x:v>音频|sfx|extraction_start|runtime|全局/非空间|default</x:v>
      </x:c>
      <x:c r="S186" s="63" t="str">
        <x:f>IF(COUNTIF($R$6:$R$204,R186)&gt;1,"重复","唯一")</x:f>
        <x:v>唯一</x:v>
      </x:c>
      <x:c r="T186" s="63" t="str">
        <x:v>e44385e009738b96dac7aa7106bd489ccf55fe700332359407e0663f826c7daa</x:v>
      </x:c>
      <x:c r="U186" s="63" t="str">
        <x:v>Codex</x:v>
      </x:c>
      <x:c r="V186" s="64" t="n">
        <x:v>46241</x:v>
      </x:c>
      <x:c r="W186" s="63" t="str">
        <x:v>项目WAV母版转码</x:v>
      </x:c>
      <x:c r="X186" s="63" t="str">
        <x:v>正式运行OGG；WAV仅作母版；AudioManager事件=extraction_start；Android/桌面统一版本化路径，禁止旧音效回退。</x:v>
      </x:c>
    </x:row>
    <x:row r="187" ht="44" customHeight="1">
      <x:c r="A187" s="63" t="str">
        <x:v>AUD-SFX-FATE-CARD</x:v>
      </x:c>
      <x:c r="B187" s="63" t="str">
        <x:v>命运卡生效音效</x:v>
      </x:c>
      <x:c r="C187" s="63" t="str">
        <x:v>音频</x:v>
      </x:c>
      <x:c r="D187" s="63" t="str">
        <x:v>sfx</x:v>
      </x:c>
      <x:c r="E187" s="63" t="str">
        <x:v>fate_card</x:v>
      </x:c>
      <x:c r="F187" s="63" t="str">
        <x:v>runtime</x:v>
      </x:c>
      <x:c r="G187" s="63"/>
      <x:c r="H187" s="63" t="str">
        <x:v>全局/非空间</x:v>
      </x:c>
      <x:c r="I187" s="63" t="str">
        <x:v>default</x:v>
      </x:c>
      <x:c r="J187" s="63" t="str">
        <x:v>桌面与Android正式运行</x:v>
      </x:c>
      <x:c r="K187" s="63" t="str">
        <x:v>已完成</x:v>
      </x:c>
      <x:c r="L187" s="63" t="str">
        <x:v>P0</x:v>
      </x:c>
      <x:c r="M187" s="63" t="str">
        <x:v>v001</x:v>
      </x:c>
      <x:c r="N187" s="63" t="str">
        <x:v>44.1kHz / OGG Vorbis / stereo</x:v>
      </x:c>
      <x:c r="O187" s="63" t="str">
        <x:v>src/assets/audio/sfx/fate_card_v001.ogg</x:v>
      </x:c>
      <x:c r="P187" s="63" t="str">
        <x:v>src/assets/audio/sfx/fate_card.wav; src/音效接入说明.md</x:v>
      </x:c>
      <x:c r="Q187" s="63" t="str">
        <x:v>fate_card; 音效; OGG; Android; 移动端</x:v>
      </x:c>
      <x:c r="R187" s="63" t="str">
        <x:f>TEXTJOIN("|",TRUE,C187,D187,E187,F187,H187,I187)</x:f>
        <x:v>音频|sfx|fate_card|runtime|全局/非空间|default</x:v>
      </x:c>
      <x:c r="S187" s="63" t="str">
        <x:f>IF(COUNTIF($R$6:$R$204,R187)&gt;1,"重复","唯一")</x:f>
        <x:v>唯一</x:v>
      </x:c>
      <x:c r="T187" s="63" t="str">
        <x:v>7cdce8d37b6308c0df873f4f20e80d319e546cb24ab5d860ea0cef5bd4ae3488</x:v>
      </x:c>
      <x:c r="U187" s="63" t="str">
        <x:v>Codex</x:v>
      </x:c>
      <x:c r="V187" s="64" t="n">
        <x:v>46241</x:v>
      </x:c>
      <x:c r="W187" s="63" t="str">
        <x:v>项目WAV母版转码</x:v>
      </x:c>
      <x:c r="X187" s="63" t="str">
        <x:v>正式运行OGG；WAV仅作母版；AudioManager事件=fate_card；Android/桌面统一版本化路径，禁止旧音效回退。</x:v>
      </x:c>
    </x:row>
    <x:row r="188" ht="44" customHeight="1">
      <x:c r="A188" s="63" t="str">
        <x:v>AUD-SFX-ITEM-PICKUP</x:v>
      </x:c>
      <x:c r="B188" s="63" t="str">
        <x:v>物品拾取音效</x:v>
      </x:c>
      <x:c r="C188" s="63" t="str">
        <x:v>音频</x:v>
      </x:c>
      <x:c r="D188" s="63" t="str">
        <x:v>sfx</x:v>
      </x:c>
      <x:c r="E188" s="63" t="str">
        <x:v>item_pickup</x:v>
      </x:c>
      <x:c r="F188" s="63" t="str">
        <x:v>runtime</x:v>
      </x:c>
      <x:c r="G188" s="63"/>
      <x:c r="H188" s="63" t="str">
        <x:v>全局/非空间</x:v>
      </x:c>
      <x:c r="I188" s="63" t="str">
        <x:v>default</x:v>
      </x:c>
      <x:c r="J188" s="63" t="str">
        <x:v>桌面与Android正式运行</x:v>
      </x:c>
      <x:c r="K188" s="63" t="str">
        <x:v>已完成</x:v>
      </x:c>
      <x:c r="L188" s="63" t="str">
        <x:v>P0</x:v>
      </x:c>
      <x:c r="M188" s="63" t="str">
        <x:v>v001</x:v>
      </x:c>
      <x:c r="N188" s="63" t="str">
        <x:v>44.1kHz / OGG Vorbis / stereo</x:v>
      </x:c>
      <x:c r="O188" s="63" t="str">
        <x:v>src/assets/audio/sfx/item_pickup_v001.ogg</x:v>
      </x:c>
      <x:c r="P188" s="63" t="str">
        <x:v>src/assets/audio/sfx/item_pickup.wav; src/音效接入说明.md</x:v>
      </x:c>
      <x:c r="Q188" s="63" t="str">
        <x:v>item_pickup; 音效; OGG; Android; 移动端</x:v>
      </x:c>
      <x:c r="R188" s="63" t="str">
        <x:f>TEXTJOIN("|",TRUE,C188,D188,E188,F188,H188,I188)</x:f>
        <x:v>音频|sfx|item_pickup|runtime|全局/非空间|default</x:v>
      </x:c>
      <x:c r="S188" s="63" t="str">
        <x:f>IF(COUNTIF($R$6:$R$204,R188)&gt;1,"重复","唯一")</x:f>
        <x:v>唯一</x:v>
      </x:c>
      <x:c r="T188" s="63" t="str">
        <x:v>7114f2ac9b0dc6ee500f5176b315b5f8a84f9ec7e3c5168dc342febdb747c290</x:v>
      </x:c>
      <x:c r="U188" s="63" t="str">
        <x:v>Codex</x:v>
      </x:c>
      <x:c r="V188" s="64" t="n">
        <x:v>46241</x:v>
      </x:c>
      <x:c r="W188" s="63" t="str">
        <x:v>项目WAV母版转码</x:v>
      </x:c>
      <x:c r="X188" s="63" t="str">
        <x:v>正式运行OGG；WAV仅作母版；AudioManager事件=item_pickup；Android/桌面统一版本化路径，禁止旧音效回退。</x:v>
      </x:c>
    </x:row>
    <x:row r="189" ht="44" customHeight="1">
      <x:c r="A189" s="63" t="str">
        <x:v>AUD-SFX-LASER-FIRE</x:v>
      </x:c>
      <x:c r="B189" s="63" t="str">
        <x:v>能量武器射击音效</x:v>
      </x:c>
      <x:c r="C189" s="63" t="str">
        <x:v>音频</x:v>
      </x:c>
      <x:c r="D189" s="63" t="str">
        <x:v>sfx</x:v>
      </x:c>
      <x:c r="E189" s="63" t="str">
        <x:v>laser_fire</x:v>
      </x:c>
      <x:c r="F189" s="63" t="str">
        <x:v>runtime</x:v>
      </x:c>
      <x:c r="G189" s="63"/>
      <x:c r="H189" s="63" t="str">
        <x:v>全局/非空间</x:v>
      </x:c>
      <x:c r="I189" s="63" t="str">
        <x:v>default</x:v>
      </x:c>
      <x:c r="J189" s="63" t="str">
        <x:v>桌面与Android正式运行</x:v>
      </x:c>
      <x:c r="K189" s="63" t="str">
        <x:v>已完成</x:v>
      </x:c>
      <x:c r="L189" s="63" t="str">
        <x:v>P0</x:v>
      </x:c>
      <x:c r="M189" s="63" t="str">
        <x:v>v001</x:v>
      </x:c>
      <x:c r="N189" s="63" t="str">
        <x:v>44.1kHz / OGG Vorbis / stereo</x:v>
      </x:c>
      <x:c r="O189" s="63" t="str">
        <x:v>src/assets/audio/sfx/laser_fire_v001.ogg</x:v>
      </x:c>
      <x:c r="P189" s="63" t="str">
        <x:v>src/assets/audio/sfx/laser_fire.wav; src/音效接入说明.md</x:v>
      </x:c>
      <x:c r="Q189" s="63" t="str">
        <x:v>laser_fire; 音效; OGG; Android; 移动端</x:v>
      </x:c>
      <x:c r="R189" s="63" t="str">
        <x:f>TEXTJOIN("|",TRUE,C189,D189,E189,F189,H189,I189)</x:f>
        <x:v>音频|sfx|laser_fire|runtime|全局/非空间|default</x:v>
      </x:c>
      <x:c r="S189" s="63" t="str">
        <x:f>IF(COUNTIF($R$6:$R$204,R189)&gt;1,"重复","唯一")</x:f>
        <x:v>唯一</x:v>
      </x:c>
      <x:c r="T189" s="63" t="str">
        <x:v>b9fa5b0e0835a0e18b5a0bb29bff7fcc94944020f3eb9a8424343786ab845191</x:v>
      </x:c>
      <x:c r="U189" s="63" t="str">
        <x:v>Codex</x:v>
      </x:c>
      <x:c r="V189" s="64" t="n">
        <x:v>46241</x:v>
      </x:c>
      <x:c r="W189" s="63" t="str">
        <x:v>项目WAV母版转码</x:v>
      </x:c>
      <x:c r="X189" s="63" t="str">
        <x:v>正式运行OGG；WAV仅作母版；AudioManager事件=laser_fire；Android/桌面统一版本化路径，禁止旧音效回退。</x:v>
      </x:c>
    </x:row>
    <x:row r="190" ht="44" customHeight="1">
      <x:c r="A190" s="63" t="str">
        <x:v>AUD-SFX-MERCHANT-PURCHASE</x:v>
      </x:c>
      <x:c r="B190" s="63" t="str">
        <x:v>交易成功音效</x:v>
      </x:c>
      <x:c r="C190" s="63" t="str">
        <x:v>音频</x:v>
      </x:c>
      <x:c r="D190" s="63" t="str">
        <x:v>sfx</x:v>
      </x:c>
      <x:c r="E190" s="63" t="str">
        <x:v>merchant_purchase</x:v>
      </x:c>
      <x:c r="F190" s="63" t="str">
        <x:v>runtime</x:v>
      </x:c>
      <x:c r="G190" s="63"/>
      <x:c r="H190" s="63" t="str">
        <x:v>全局/非空间</x:v>
      </x:c>
      <x:c r="I190" s="63" t="str">
        <x:v>default</x:v>
      </x:c>
      <x:c r="J190" s="63" t="str">
        <x:v>桌面与Android正式运行</x:v>
      </x:c>
      <x:c r="K190" s="63" t="str">
        <x:v>已完成</x:v>
      </x:c>
      <x:c r="L190" s="63" t="str">
        <x:v>P0</x:v>
      </x:c>
      <x:c r="M190" s="63" t="str">
        <x:v>v001</x:v>
      </x:c>
      <x:c r="N190" s="63" t="str">
        <x:v>44.1kHz / OGG Vorbis / stereo</x:v>
      </x:c>
      <x:c r="O190" s="63" t="str">
        <x:v>src/assets/audio/sfx/merchant_purchase_v001.ogg</x:v>
      </x:c>
      <x:c r="P190" s="63" t="str">
        <x:v>src/assets/audio/sfx/merchant_purchase.wav; src/音效接入说明.md</x:v>
      </x:c>
      <x:c r="Q190" s="63" t="str">
        <x:v>merchant_purchase; 音效; OGG; Android; 移动端</x:v>
      </x:c>
      <x:c r="R190" s="63" t="str">
        <x:f>TEXTJOIN("|",TRUE,C190,D190,E190,F190,H190,I190)</x:f>
        <x:v>音频|sfx|merchant_purchase|runtime|全局/非空间|default</x:v>
      </x:c>
      <x:c r="S190" s="63" t="str">
        <x:f>IF(COUNTIF($R$6:$R$204,R190)&gt;1,"重复","唯一")</x:f>
        <x:v>唯一</x:v>
      </x:c>
      <x:c r="T190" s="63" t="str">
        <x:v>ff71a229a012ea8ed985ab286ea01672af277dd33a62549dd080f1e9026d53c2</x:v>
      </x:c>
      <x:c r="U190" s="63" t="str">
        <x:v>Codex</x:v>
      </x:c>
      <x:c r="V190" s="64" t="n">
        <x:v>46241</x:v>
      </x:c>
      <x:c r="W190" s="63" t="str">
        <x:v>项目WAV母版转码</x:v>
      </x:c>
      <x:c r="X190" s="63" t="str">
        <x:v>正式运行OGG；WAV仅作母版；AudioManager事件=merchant_purchase；Android/桌面统一版本化路径，禁止旧音效回退。</x:v>
      </x:c>
    </x:row>
    <x:row r="191" ht="44" customHeight="1">
      <x:c r="A191" s="63" t="str">
        <x:v>AUD-SFX-PISTOL-FIRE</x:v>
      </x:c>
      <x:c r="B191" s="63" t="str">
        <x:v>手枪射击音效</x:v>
      </x:c>
      <x:c r="C191" s="63" t="str">
        <x:v>音频</x:v>
      </x:c>
      <x:c r="D191" s="63" t="str">
        <x:v>sfx</x:v>
      </x:c>
      <x:c r="E191" s="63" t="str">
        <x:v>pistol_fire</x:v>
      </x:c>
      <x:c r="F191" s="63" t="str">
        <x:v>runtime</x:v>
      </x:c>
      <x:c r="G191" s="63"/>
      <x:c r="H191" s="63" t="str">
        <x:v>全局/非空间</x:v>
      </x:c>
      <x:c r="I191" s="63" t="str">
        <x:v>default</x:v>
      </x:c>
      <x:c r="J191" s="63" t="str">
        <x:v>桌面与Android正式运行</x:v>
      </x:c>
      <x:c r="K191" s="63" t="str">
        <x:v>已完成</x:v>
      </x:c>
      <x:c r="L191" s="63" t="str">
        <x:v>P0</x:v>
      </x:c>
      <x:c r="M191" s="63" t="str">
        <x:v>v001</x:v>
      </x:c>
      <x:c r="N191" s="63" t="str">
        <x:v>44.1kHz / OGG Vorbis / stereo</x:v>
      </x:c>
      <x:c r="O191" s="63" t="str">
        <x:v>src/assets/audio/sfx/pistol_fire_v001.ogg</x:v>
      </x:c>
      <x:c r="P191" s="63" t="str">
        <x:v>src/assets/audio/sfx/pistol_fire.wav; src/音效接入说明.md</x:v>
      </x:c>
      <x:c r="Q191" s="63" t="str">
        <x:v>pistol_fire; 音效; OGG; Android; 移动端</x:v>
      </x:c>
      <x:c r="R191" s="63" t="str">
        <x:f>TEXTJOIN("|",TRUE,C191,D191,E191,F191,H191,I191)</x:f>
        <x:v>音频|sfx|pistol_fire|runtime|全局/非空间|default</x:v>
      </x:c>
      <x:c r="S191" s="63" t="str">
        <x:f>IF(COUNTIF($R$6:$R$204,R191)&gt;1,"重复","唯一")</x:f>
        <x:v>唯一</x:v>
      </x:c>
      <x:c r="T191" s="63" t="str">
        <x:v>b2c39d4579cf13e32f98e79eb57b6ea0efeb5af7a497c60dc1acf94e8dd16937</x:v>
      </x:c>
      <x:c r="U191" s="63" t="str">
        <x:v>Codex</x:v>
      </x:c>
      <x:c r="V191" s="64" t="n">
        <x:v>46241</x:v>
      </x:c>
      <x:c r="W191" s="63" t="str">
        <x:v>项目WAV母版转码</x:v>
      </x:c>
      <x:c r="X191" s="63" t="str">
        <x:v>正式运行OGG；WAV仅作母版；AudioManager事件=pistol_fire；Android/桌面统一版本化路径，禁止旧音效回退。</x:v>
      </x:c>
    </x:row>
    <x:row r="192" ht="44" customHeight="1">
      <x:c r="A192" s="63" t="str">
        <x:v>AUD-SFX-PLAYER-DASH</x:v>
      </x:c>
      <x:c r="B192" s="63" t="str">
        <x:v>玩家冲刺音效</x:v>
      </x:c>
      <x:c r="C192" s="63" t="str">
        <x:v>音频</x:v>
      </x:c>
      <x:c r="D192" s="63" t="str">
        <x:v>sfx</x:v>
      </x:c>
      <x:c r="E192" s="63" t="str">
        <x:v>player_dash</x:v>
      </x:c>
      <x:c r="F192" s="63" t="str">
        <x:v>runtime</x:v>
      </x:c>
      <x:c r="G192" s="63"/>
      <x:c r="H192" s="63" t="str">
        <x:v>全局/非空间</x:v>
      </x:c>
      <x:c r="I192" s="63" t="str">
        <x:v>default</x:v>
      </x:c>
      <x:c r="J192" s="63" t="str">
        <x:v>桌面与Android正式运行</x:v>
      </x:c>
      <x:c r="K192" s="63" t="str">
        <x:v>已完成</x:v>
      </x:c>
      <x:c r="L192" s="63" t="str">
        <x:v>P0</x:v>
      </x:c>
      <x:c r="M192" s="63" t="str">
        <x:v>v001</x:v>
      </x:c>
      <x:c r="N192" s="63" t="str">
        <x:v>44.1kHz / OGG Vorbis / stereo</x:v>
      </x:c>
      <x:c r="O192" s="63" t="str">
        <x:v>src/assets/audio/sfx/player_dash_v001.ogg</x:v>
      </x:c>
      <x:c r="P192" s="63" t="str">
        <x:v>src/assets/audio/sfx/player_dash.wav; src/音效接入说明.md</x:v>
      </x:c>
      <x:c r="Q192" s="63" t="str">
        <x:v>player_dash; 音效; OGG; Android; 移动端</x:v>
      </x:c>
      <x:c r="R192" s="63" t="str">
        <x:f>TEXTJOIN("|",TRUE,C192,D192,E192,F192,H192,I192)</x:f>
        <x:v>音频|sfx|player_dash|runtime|全局/非空间|default</x:v>
      </x:c>
      <x:c r="S192" s="63" t="str">
        <x:f>IF(COUNTIF($R$6:$R$204,R192)&gt;1,"重复","唯一")</x:f>
        <x:v>唯一</x:v>
      </x:c>
      <x:c r="T192" s="63" t="str">
        <x:v>5d437b11f4b79d593ded0045cf202542b44ac0eb7344561ec96c659ad9ea6930</x:v>
      </x:c>
      <x:c r="U192" s="63" t="str">
        <x:v>Codex</x:v>
      </x:c>
      <x:c r="V192" s="64" t="n">
        <x:v>46241</x:v>
      </x:c>
      <x:c r="W192" s="63" t="str">
        <x:v>项目WAV母版转码</x:v>
      </x:c>
      <x:c r="X192" s="63" t="str">
        <x:v>正式运行OGG；WAV仅作母版；AudioManager事件=player_dash；Android/桌面统一版本化路径，禁止旧音效回退。</x:v>
      </x:c>
    </x:row>
    <x:row r="193" ht="44" customHeight="1">
      <x:c r="A193" s="63" t="str">
        <x:v>AUD-SFX-PLAYER-HIT</x:v>
      </x:c>
      <x:c r="B193" s="63" t="str">
        <x:v>玩家受击音效</x:v>
      </x:c>
      <x:c r="C193" s="63" t="str">
        <x:v>音频</x:v>
      </x:c>
      <x:c r="D193" s="63" t="str">
        <x:v>sfx</x:v>
      </x:c>
      <x:c r="E193" s="63" t="str">
        <x:v>player_hit</x:v>
      </x:c>
      <x:c r="F193" s="63" t="str">
        <x:v>runtime</x:v>
      </x:c>
      <x:c r="G193" s="63"/>
      <x:c r="H193" s="63" t="str">
        <x:v>全局/非空间</x:v>
      </x:c>
      <x:c r="I193" s="63" t="str">
        <x:v>default</x:v>
      </x:c>
      <x:c r="J193" s="63" t="str">
        <x:v>桌面与Android正式运行</x:v>
      </x:c>
      <x:c r="K193" s="63" t="str">
        <x:v>已完成</x:v>
      </x:c>
      <x:c r="L193" s="63" t="str">
        <x:v>P0</x:v>
      </x:c>
      <x:c r="M193" s="63" t="str">
        <x:v>v001</x:v>
      </x:c>
      <x:c r="N193" s="63" t="str">
        <x:v>44.1kHz / OGG Vorbis / stereo</x:v>
      </x:c>
      <x:c r="O193" s="63" t="str">
        <x:v>src/assets/audio/sfx/player_hit_v001.ogg</x:v>
      </x:c>
      <x:c r="P193" s="63" t="str">
        <x:v>src/assets/audio/sfx/player_hit.wav; src/音效接入说明.md</x:v>
      </x:c>
      <x:c r="Q193" s="63" t="str">
        <x:v>player_hit; 音效; OGG; Android; 移动端</x:v>
      </x:c>
      <x:c r="R193" s="63" t="str">
        <x:f>TEXTJOIN("|",TRUE,C193,D193,E193,F193,H193,I193)</x:f>
        <x:v>音频|sfx|player_hit|runtime|全局/非空间|default</x:v>
      </x:c>
      <x:c r="S193" s="63" t="str">
        <x:f>IF(COUNTIF($R$6:$R$204,R193)&gt;1,"重复","唯一")</x:f>
        <x:v>唯一</x:v>
      </x:c>
      <x:c r="T193" s="63" t="str">
        <x:v>aa5bec92c2734e64ae75245c0fcb165c915981cf77d107c579649c228fc50eb2</x:v>
      </x:c>
      <x:c r="U193" s="63" t="str">
        <x:v>Codex</x:v>
      </x:c>
      <x:c r="V193" s="64" t="n">
        <x:v>46241</x:v>
      </x:c>
      <x:c r="W193" s="63" t="str">
        <x:v>项目WAV母版转码</x:v>
      </x:c>
      <x:c r="X193" s="63" t="str">
        <x:v>正式运行OGG；WAV仅作母版；AudioManager事件=player_hit；Android/桌面统一版本化路径，禁止旧音效回退。</x:v>
      </x:c>
    </x:row>
    <x:row r="194" ht="44" customHeight="1">
      <x:c r="A194" s="63" t="str">
        <x:v>AUD-SFX-RELOAD</x:v>
      </x:c>
      <x:c r="B194" s="63" t="str">
        <x:v>换弹音效</x:v>
      </x:c>
      <x:c r="C194" s="63" t="str">
        <x:v>音频</x:v>
      </x:c>
      <x:c r="D194" s="63" t="str">
        <x:v>sfx</x:v>
      </x:c>
      <x:c r="E194" s="63" t="str">
        <x:v>reload</x:v>
      </x:c>
      <x:c r="F194" s="63" t="str">
        <x:v>runtime</x:v>
      </x:c>
      <x:c r="G194" s="63"/>
      <x:c r="H194" s="63" t="str">
        <x:v>全局/非空间</x:v>
      </x:c>
      <x:c r="I194" s="63" t="str">
        <x:v>default</x:v>
      </x:c>
      <x:c r="J194" s="63" t="str">
        <x:v>桌面与Android正式运行</x:v>
      </x:c>
      <x:c r="K194" s="63" t="str">
        <x:v>已完成</x:v>
      </x:c>
      <x:c r="L194" s="63" t="str">
        <x:v>P0</x:v>
      </x:c>
      <x:c r="M194" s="63" t="str">
        <x:v>v001</x:v>
      </x:c>
      <x:c r="N194" s="63" t="str">
        <x:v>44.1kHz / OGG Vorbis / stereo</x:v>
      </x:c>
      <x:c r="O194" s="63" t="str">
        <x:v>src/assets/audio/sfx/reload_v001.ogg</x:v>
      </x:c>
      <x:c r="P194" s="63" t="str">
        <x:v>src/assets/audio/sfx/reload.wav; src/音效接入说明.md</x:v>
      </x:c>
      <x:c r="Q194" s="63" t="str">
        <x:v>reload; 音效; OGG; Android; 移动端</x:v>
      </x:c>
      <x:c r="R194" s="63" t="str">
        <x:f>TEXTJOIN("|",TRUE,C194,D194,E194,F194,H194,I194)</x:f>
        <x:v>音频|sfx|reload|runtime|全局/非空间|default</x:v>
      </x:c>
      <x:c r="S194" s="63" t="str">
        <x:f>IF(COUNTIF($R$6:$R$204,R194)&gt;1,"重复","唯一")</x:f>
        <x:v>唯一</x:v>
      </x:c>
      <x:c r="T194" s="63" t="str">
        <x:v>0d60be5b4b3e9955d34c69e5719ae8d3147d6e87d3ffa58beae8d2beae42d0c7</x:v>
      </x:c>
      <x:c r="U194" s="63" t="str">
        <x:v>Codex</x:v>
      </x:c>
      <x:c r="V194" s="64" t="n">
        <x:v>46241</x:v>
      </x:c>
      <x:c r="W194" s="63" t="str">
        <x:v>项目WAV母版转码</x:v>
      </x:c>
      <x:c r="X194" s="63" t="str">
        <x:v>正式运行OGG；WAV仅作母版；AudioManager事件=reload；Android/桌面统一版本化路径，禁止旧音效回退。</x:v>
      </x:c>
    </x:row>
    <x:row r="195" ht="44" customHeight="1">
      <x:c r="A195" s="63" t="str">
        <x:v>AUD-SFX-RIFLE-FIRE</x:v>
      </x:c>
      <x:c r="B195" s="63" t="str">
        <x:v>步枪射击音效</x:v>
      </x:c>
      <x:c r="C195" s="63" t="str">
        <x:v>音频</x:v>
      </x:c>
      <x:c r="D195" s="63" t="str">
        <x:v>sfx</x:v>
      </x:c>
      <x:c r="E195" s="63" t="str">
        <x:v>rifle_fire</x:v>
      </x:c>
      <x:c r="F195" s="63" t="str">
        <x:v>runtime</x:v>
      </x:c>
      <x:c r="G195" s="63"/>
      <x:c r="H195" s="63" t="str">
        <x:v>全局/非空间</x:v>
      </x:c>
      <x:c r="I195" s="63" t="str">
        <x:v>default</x:v>
      </x:c>
      <x:c r="J195" s="63" t="str">
        <x:v>桌面与Android正式运行</x:v>
      </x:c>
      <x:c r="K195" s="63" t="str">
        <x:v>已完成</x:v>
      </x:c>
      <x:c r="L195" s="63" t="str">
        <x:v>P0</x:v>
      </x:c>
      <x:c r="M195" s="63" t="str">
        <x:v>v001</x:v>
      </x:c>
      <x:c r="N195" s="63" t="str">
        <x:v>44.1kHz / OGG Vorbis / stereo</x:v>
      </x:c>
      <x:c r="O195" s="63" t="str">
        <x:v>src/assets/audio/sfx/rifle_fire_v001.ogg</x:v>
      </x:c>
      <x:c r="P195" s="63" t="str">
        <x:v>src/assets/audio/sfx/rifle_fire.wav; src/音效接入说明.md</x:v>
      </x:c>
      <x:c r="Q195" s="63" t="str">
        <x:v>rifle_fire; 音效; OGG; Android; 移动端</x:v>
      </x:c>
      <x:c r="R195" s="63" t="str">
        <x:f>TEXTJOIN("|",TRUE,C195,D195,E195,F195,H195,I195)</x:f>
        <x:v>音频|sfx|rifle_fire|runtime|全局/非空间|default</x:v>
      </x:c>
      <x:c r="S195" s="63" t="str">
        <x:f>IF(COUNTIF($R$6:$R$204,R195)&gt;1,"重复","唯一")</x:f>
        <x:v>唯一</x:v>
      </x:c>
      <x:c r="T195" s="63" t="str">
        <x:v>c5b6cc8c2beb44f22c72c1d201b750dd79dc877ae88f0067ef246103948e0e33</x:v>
      </x:c>
      <x:c r="U195" s="63" t="str">
        <x:v>Codex</x:v>
      </x:c>
      <x:c r="V195" s="64" t="n">
        <x:v>46241</x:v>
      </x:c>
      <x:c r="W195" s="63" t="str">
        <x:v>项目WAV母版转码</x:v>
      </x:c>
      <x:c r="X195" s="63" t="str">
        <x:v>正式运行OGG；WAV仅作母版；AudioManager事件=rifle_fire；Android/桌面统一版本化路径，禁止旧音效回退。</x:v>
      </x:c>
    </x:row>
    <x:row r="196" ht="44" customHeight="1">
      <x:c r="A196" s="63" t="str">
        <x:v>AUD-SFX-SHOTGUN-FIRE</x:v>
      </x:c>
      <x:c r="B196" s="63" t="str">
        <x:v>霰弹枪射击音效</x:v>
      </x:c>
      <x:c r="C196" s="63" t="str">
        <x:v>音频</x:v>
      </x:c>
      <x:c r="D196" s="63" t="str">
        <x:v>sfx</x:v>
      </x:c>
      <x:c r="E196" s="63" t="str">
        <x:v>shotgun_fire</x:v>
      </x:c>
      <x:c r="F196" s="63" t="str">
        <x:v>runtime</x:v>
      </x:c>
      <x:c r="G196" s="63"/>
      <x:c r="H196" s="63" t="str">
        <x:v>全局/非空间</x:v>
      </x:c>
      <x:c r="I196" s="63" t="str">
        <x:v>default</x:v>
      </x:c>
      <x:c r="J196" s="63" t="str">
        <x:v>桌面与Android正式运行</x:v>
      </x:c>
      <x:c r="K196" s="63" t="str">
        <x:v>已完成</x:v>
      </x:c>
      <x:c r="L196" s="63" t="str">
        <x:v>P0</x:v>
      </x:c>
      <x:c r="M196" s="63" t="str">
        <x:v>v001</x:v>
      </x:c>
      <x:c r="N196" s="63" t="str">
        <x:v>44.1kHz / OGG Vorbis / stereo</x:v>
      </x:c>
      <x:c r="O196" s="63" t="str">
        <x:v>src/assets/audio/sfx/shotgun_fire_v001.ogg</x:v>
      </x:c>
      <x:c r="P196" s="63" t="str">
        <x:v>src/assets/audio/sfx/shotgun_fire.wav; src/音效接入说明.md</x:v>
      </x:c>
      <x:c r="Q196" s="63" t="str">
        <x:v>shotgun_fire; 音效; OGG; Android; 移动端</x:v>
      </x:c>
      <x:c r="R196" s="63" t="str">
        <x:f>TEXTJOIN("|",TRUE,C196,D196,E196,F196,H196,I196)</x:f>
        <x:v>音频|sfx|shotgun_fire|runtime|全局/非空间|default</x:v>
      </x:c>
      <x:c r="S196" s="63" t="str">
        <x:f>IF(COUNTIF($R$6:$R$204,R196)&gt;1,"重复","唯一")</x:f>
        <x:v>唯一</x:v>
      </x:c>
      <x:c r="T196" s="63" t="str">
        <x:v>e4b8feb67d9a438892183fa3a2e4afec8e3131235be342c02b1ce72e25767466</x:v>
      </x:c>
      <x:c r="U196" s="63" t="str">
        <x:v>Codex</x:v>
      </x:c>
      <x:c r="V196" s="64" t="n">
        <x:v>46241</x:v>
      </x:c>
      <x:c r="W196" s="63" t="str">
        <x:v>项目WAV母版转码</x:v>
      </x:c>
      <x:c r="X196" s="63" t="str">
        <x:v>正式运行OGG；WAV仅作母版；AudioManager事件=shotgun_fire；Android/桌面统一版本化路径，禁止旧音效回退。</x:v>
      </x:c>
    </x:row>
    <x:row r="197" ht="44" customHeight="1">
      <x:c r="A197" s="63" t="str">
        <x:v>AUD-SFX-SMG-FIRE</x:v>
      </x:c>
      <x:c r="B197" s="63" t="str">
        <x:v>冲锋枪射击音效</x:v>
      </x:c>
      <x:c r="C197" s="63" t="str">
        <x:v>音频</x:v>
      </x:c>
      <x:c r="D197" s="63" t="str">
        <x:v>sfx</x:v>
      </x:c>
      <x:c r="E197" s="63" t="str">
        <x:v>smg_fire</x:v>
      </x:c>
      <x:c r="F197" s="63" t="str">
        <x:v>runtime</x:v>
      </x:c>
      <x:c r="G197" s="63"/>
      <x:c r="H197" s="63" t="str">
        <x:v>全局/非空间</x:v>
      </x:c>
      <x:c r="I197" s="63" t="str">
        <x:v>default</x:v>
      </x:c>
      <x:c r="J197" s="63" t="str">
        <x:v>桌面与Android正式运行</x:v>
      </x:c>
      <x:c r="K197" s="63" t="str">
        <x:v>已完成</x:v>
      </x:c>
      <x:c r="L197" s="63" t="str">
        <x:v>P0</x:v>
      </x:c>
      <x:c r="M197" s="63" t="str">
        <x:v>v001</x:v>
      </x:c>
      <x:c r="N197" s="63" t="str">
        <x:v>44.1kHz / OGG Vorbis / stereo</x:v>
      </x:c>
      <x:c r="O197" s="63" t="str">
        <x:v>src/assets/audio/sfx/smg_fire_v001.ogg</x:v>
      </x:c>
      <x:c r="P197" s="63" t="str">
        <x:v>src/assets/audio/sfx/smg_fire.wav; src/音效接入说明.md</x:v>
      </x:c>
      <x:c r="Q197" s="63" t="str">
        <x:v>smg_fire; 音效; OGG; Android; 移动端</x:v>
      </x:c>
      <x:c r="R197" s="63" t="str">
        <x:f>TEXTJOIN("|",TRUE,C197,D197,E197,F197,H197,I197)</x:f>
        <x:v>音频|sfx|smg_fire|runtime|全局/非空间|default</x:v>
      </x:c>
      <x:c r="S197" s="63" t="str">
        <x:f>IF(COUNTIF($R$6:$R$204,R197)&gt;1,"重复","唯一")</x:f>
        <x:v>唯一</x:v>
      </x:c>
      <x:c r="T197" s="63" t="str">
        <x:v>282379aa6850e03dd6109928a22ad7792563768414ece93374c7cff725d306fa</x:v>
      </x:c>
      <x:c r="U197" s="63" t="str">
        <x:v>Codex</x:v>
      </x:c>
      <x:c r="V197" s="64" t="n">
        <x:v>46241</x:v>
      </x:c>
      <x:c r="W197" s="63" t="str">
        <x:v>项目WAV母版转码</x:v>
      </x:c>
      <x:c r="X197" s="63" t="str">
        <x:v>正式运行OGG；WAV仅作母版；AudioManager事件=smg_fire；Android/桌面统一版本化路径，禁止旧音效回退。</x:v>
      </x:c>
    </x:row>
    <x:row r="198" ht="44" customHeight="1">
      <x:c r="A198" s="63" t="str">
        <x:v>AUD-SFX-SNIPER-FIRE</x:v>
      </x:c>
      <x:c r="B198" s="63" t="str">
        <x:v>狙击枪射击音效</x:v>
      </x:c>
      <x:c r="C198" s="63" t="str">
        <x:v>音频</x:v>
      </x:c>
      <x:c r="D198" s="63" t="str">
        <x:v>sfx</x:v>
      </x:c>
      <x:c r="E198" s="63" t="str">
        <x:v>sniper_fire</x:v>
      </x:c>
      <x:c r="F198" s="63" t="str">
        <x:v>runtime</x:v>
      </x:c>
      <x:c r="G198" s="63"/>
      <x:c r="H198" s="63" t="str">
        <x:v>全局/非空间</x:v>
      </x:c>
      <x:c r="I198" s="63" t="str">
        <x:v>default</x:v>
      </x:c>
      <x:c r="J198" s="63" t="str">
        <x:v>桌面与Android正式运行</x:v>
      </x:c>
      <x:c r="K198" s="63" t="str">
        <x:v>已完成</x:v>
      </x:c>
      <x:c r="L198" s="63" t="str">
        <x:v>P0</x:v>
      </x:c>
      <x:c r="M198" s="63" t="str">
        <x:v>v001</x:v>
      </x:c>
      <x:c r="N198" s="63" t="str">
        <x:v>44.1kHz / OGG Vorbis / stereo</x:v>
      </x:c>
      <x:c r="O198" s="63" t="str">
        <x:v>src/assets/audio/sfx/sniper_fire_v001.ogg</x:v>
      </x:c>
      <x:c r="P198" s="63" t="str">
        <x:v>src/assets/audio/sfx/sniper_fire.wav; src/音效接入说明.md</x:v>
      </x:c>
      <x:c r="Q198" s="63" t="str">
        <x:v>sniper_fire; 音效; OGG; Android; 移动端</x:v>
      </x:c>
      <x:c r="R198" s="63" t="str">
        <x:f>TEXTJOIN("|",TRUE,C198,D198,E198,F198,H198,I198)</x:f>
        <x:v>音频|sfx|sniper_fire|runtime|全局/非空间|default</x:v>
      </x:c>
      <x:c r="S198" s="63" t="str">
        <x:f>IF(COUNTIF($R$6:$R$204,R198)&gt;1,"重复","唯一")</x:f>
        <x:v>唯一</x:v>
      </x:c>
      <x:c r="T198" s="63" t="str">
        <x:v>0d5161b3b8faece3024ad618916c203cd3d274d3b373af7bcbbd22baa0ab3968</x:v>
      </x:c>
      <x:c r="U198" s="63" t="str">
        <x:v>Codex</x:v>
      </x:c>
      <x:c r="V198" s="64" t="n">
        <x:v>46241</x:v>
      </x:c>
      <x:c r="W198" s="63" t="str">
        <x:v>项目WAV母版转码</x:v>
      </x:c>
      <x:c r="X198" s="63" t="str">
        <x:v>正式运行OGG；WAV仅作母版；AudioManager事件=sniper_fire；Android/桌面统一版本化路径，禁止旧音效回退。</x:v>
      </x:c>
    </x:row>
    <x:row r="199" ht="44" customHeight="1">
      <x:c r="A199" s="63" t="str">
        <x:v>AUD-SFX-SOUL-PICKUP</x:v>
      </x:c>
      <x:c r="B199" s="63" t="str">
        <x:v>魂球拾取音效</x:v>
      </x:c>
      <x:c r="C199" s="63" t="str">
        <x:v>音频</x:v>
      </x:c>
      <x:c r="D199" s="63" t="str">
        <x:v>sfx</x:v>
      </x:c>
      <x:c r="E199" s="63" t="str">
        <x:v>soul_pickup</x:v>
      </x:c>
      <x:c r="F199" s="63" t="str">
        <x:v>runtime</x:v>
      </x:c>
      <x:c r="G199" s="63"/>
      <x:c r="H199" s="63" t="str">
        <x:v>全局/非空间</x:v>
      </x:c>
      <x:c r="I199" s="63" t="str">
        <x:v>default</x:v>
      </x:c>
      <x:c r="J199" s="63" t="str">
        <x:v>桌面与Android正式运行</x:v>
      </x:c>
      <x:c r="K199" s="63" t="str">
        <x:v>已完成</x:v>
      </x:c>
      <x:c r="L199" s="63" t="str">
        <x:v>P0</x:v>
      </x:c>
      <x:c r="M199" s="63" t="str">
        <x:v>v001</x:v>
      </x:c>
      <x:c r="N199" s="63" t="str">
        <x:v>44.1kHz / OGG Vorbis / stereo</x:v>
      </x:c>
      <x:c r="O199" s="63" t="str">
        <x:v>src/assets/audio/sfx/soul_pickup_v001.ogg</x:v>
      </x:c>
      <x:c r="P199" s="63" t="str">
        <x:v>src/assets/audio/sfx/soul_pickup.wav; src/音效接入说明.md</x:v>
      </x:c>
      <x:c r="Q199" s="63" t="str">
        <x:v>soul_pickup; 音效; OGG; Android; 移动端</x:v>
      </x:c>
      <x:c r="R199" s="63" t="str">
        <x:f>TEXTJOIN("|",TRUE,C199,D199,E199,F199,H199,I199)</x:f>
        <x:v>音频|sfx|soul_pickup|runtime|全局/非空间|default</x:v>
      </x:c>
      <x:c r="S199" s="63" t="str">
        <x:f>IF(COUNTIF($R$6:$R$204,R199)&gt;1,"重复","唯一")</x:f>
        <x:v>唯一</x:v>
      </x:c>
      <x:c r="T199" s="63" t="str">
        <x:v>c9f24f23f1c4e8ad28a5ee97e9b11efd00e53bf706faa0655cba4f78b68e76ff</x:v>
      </x:c>
      <x:c r="U199" s="63" t="str">
        <x:v>Codex</x:v>
      </x:c>
      <x:c r="V199" s="64" t="n">
        <x:v>46241</x:v>
      </x:c>
      <x:c r="W199" s="63" t="str">
        <x:v>项目WAV母版转码</x:v>
      </x:c>
      <x:c r="X199" s="63" t="str">
        <x:v>正式运行OGG；WAV仅作母版；AudioManager事件=soul_pickup；Android/桌面统一版本化路径，禁止旧音效回退。</x:v>
      </x:c>
    </x:row>
    <x:row r="200" ht="44" customHeight="1">
      <x:c r="A200" s="63" t="str">
        <x:v>AUD-SFX-UI-CLICK</x:v>
      </x:c>
      <x:c r="B200" s="63" t="str">
        <x:v>UI点击音效</x:v>
      </x:c>
      <x:c r="C200" s="63" t="str">
        <x:v>音频</x:v>
      </x:c>
      <x:c r="D200" s="63" t="str">
        <x:v>sfx</x:v>
      </x:c>
      <x:c r="E200" s="63" t="str">
        <x:v>ui_click</x:v>
      </x:c>
      <x:c r="F200" s="63" t="str">
        <x:v>runtime</x:v>
      </x:c>
      <x:c r="G200" s="63"/>
      <x:c r="H200" s="63" t="str">
        <x:v>全局/非空间</x:v>
      </x:c>
      <x:c r="I200" s="63" t="str">
        <x:v>default</x:v>
      </x:c>
      <x:c r="J200" s="63" t="str">
        <x:v>桌面与Android正式运行</x:v>
      </x:c>
      <x:c r="K200" s="63" t="str">
        <x:v>已完成</x:v>
      </x:c>
      <x:c r="L200" s="63" t="str">
        <x:v>P0</x:v>
      </x:c>
      <x:c r="M200" s="63" t="str">
        <x:v>v001</x:v>
      </x:c>
      <x:c r="N200" s="63" t="str">
        <x:v>44.1kHz / OGG Vorbis / stereo</x:v>
      </x:c>
      <x:c r="O200" s="63" t="str">
        <x:v>src/assets/audio/sfx/ui_click_v001.ogg</x:v>
      </x:c>
      <x:c r="P200" s="63" t="str">
        <x:v>src/assets/audio/sfx/ui_click.wav; src/音效接入说明.md</x:v>
      </x:c>
      <x:c r="Q200" s="63" t="str">
        <x:v>ui_click; 音效; OGG; Android; 移动端</x:v>
      </x:c>
      <x:c r="R200" s="63" t="str">
        <x:f>TEXTJOIN("|",TRUE,C200,D200,E200,F200,H200,I200)</x:f>
        <x:v>音频|sfx|ui_click|runtime|全局/非空间|default</x:v>
      </x:c>
      <x:c r="S200" s="63" t="str">
        <x:f>IF(COUNTIF($R$6:$R$204,R200)&gt;1,"重复","唯一")</x:f>
        <x:v>唯一</x:v>
      </x:c>
      <x:c r="T200" s="63" t="str">
        <x:v>a19f1bec70959ea5fd4715ee292080f9932fc3835b060b713a00fc19822fc3a5</x:v>
      </x:c>
      <x:c r="U200" s="63" t="str">
        <x:v>Codex</x:v>
      </x:c>
      <x:c r="V200" s="64" t="n">
        <x:v>46241</x:v>
      </x:c>
      <x:c r="W200" s="63" t="str">
        <x:v>项目WAV母版转码</x:v>
      </x:c>
      <x:c r="X200" s="63" t="str">
        <x:v>正式运行OGG；WAV仅作母版；AudioManager事件=ui_click；Android/桌面统一版本化路径，禁止旧音效回退。</x:v>
      </x:c>
    </x:row>
    <x:row r="201" ht="44" customHeight="1">
      <x:c r="A201" s="63" t="str">
        <x:v>AUD-SFX-UI-ERROR</x:v>
      </x:c>
      <x:c r="B201" s="63" t="str">
        <x:v>UI错误音效</x:v>
      </x:c>
      <x:c r="C201" s="63" t="str">
        <x:v>音频</x:v>
      </x:c>
      <x:c r="D201" s="63" t="str">
        <x:v>sfx</x:v>
      </x:c>
      <x:c r="E201" s="63" t="str">
        <x:v>ui_error</x:v>
      </x:c>
      <x:c r="F201" s="63" t="str">
        <x:v>runtime</x:v>
      </x:c>
      <x:c r="G201" s="63"/>
      <x:c r="H201" s="63" t="str">
        <x:v>全局/非空间</x:v>
      </x:c>
      <x:c r="I201" s="63" t="str">
        <x:v>default</x:v>
      </x:c>
      <x:c r="J201" s="63" t="str">
        <x:v>桌面与Android正式运行</x:v>
      </x:c>
      <x:c r="K201" s="63" t="str">
        <x:v>已完成</x:v>
      </x:c>
      <x:c r="L201" s="63" t="str">
        <x:v>P0</x:v>
      </x:c>
      <x:c r="M201" s="63" t="str">
        <x:v>v001</x:v>
      </x:c>
      <x:c r="N201" s="63" t="str">
        <x:v>44.1kHz / OGG Vorbis / stereo</x:v>
      </x:c>
      <x:c r="O201" s="63" t="str">
        <x:v>src/assets/audio/sfx/ui_error_v001.ogg</x:v>
      </x:c>
      <x:c r="P201" s="63" t="str">
        <x:v>src/assets/audio/sfx/ui_error.wav; src/音效接入说明.md</x:v>
      </x:c>
      <x:c r="Q201" s="63" t="str">
        <x:v>ui_error; 音效; OGG; Android; 移动端</x:v>
      </x:c>
      <x:c r="R201" s="63" t="str">
        <x:f>TEXTJOIN("|",TRUE,C201,D201,E201,F201,H201,I201)</x:f>
        <x:v>音频|sfx|ui_error|runtime|全局/非空间|default</x:v>
      </x:c>
      <x:c r="S201" s="63" t="str">
        <x:f>IF(COUNTIF($R$6:$R$204,R201)&gt;1,"重复","唯一")</x:f>
        <x:v>唯一</x:v>
      </x:c>
      <x:c r="T201" s="63" t="str">
        <x:v>eeb07b8cc575869b8d560c929431d8beb43eb533c9900403df6beb9bb83b9b5e</x:v>
      </x:c>
      <x:c r="U201" s="63" t="str">
        <x:v>Codex</x:v>
      </x:c>
      <x:c r="V201" s="64" t="n">
        <x:v>46241</x:v>
      </x:c>
      <x:c r="W201" s="63" t="str">
        <x:v>项目WAV母版转码</x:v>
      </x:c>
      <x:c r="X201" s="63" t="str">
        <x:v>正式运行OGG；WAV仅作母版；AudioManager事件=ui_error；Android/桌面统一版本化路径，禁止旧音效回退。</x:v>
      </x:c>
    </x:row>
    <x:row r="202" ht="44" customHeight="1">
      <x:c r="A202" s="63" t="str">
        <x:v>AUD-SFX-UI-HOVER</x:v>
      </x:c>
      <x:c r="B202" s="63" t="str">
        <x:v>UI悬停音效</x:v>
      </x:c>
      <x:c r="C202" s="63" t="str">
        <x:v>音频</x:v>
      </x:c>
      <x:c r="D202" s="63" t="str">
        <x:v>sfx</x:v>
      </x:c>
      <x:c r="E202" s="63" t="str">
        <x:v>ui_hover</x:v>
      </x:c>
      <x:c r="F202" s="63" t="str">
        <x:v>runtime</x:v>
      </x:c>
      <x:c r="G202" s="63"/>
      <x:c r="H202" s="63" t="str">
        <x:v>全局/非空间</x:v>
      </x:c>
      <x:c r="I202" s="63" t="str">
        <x:v>default</x:v>
      </x:c>
      <x:c r="J202" s="63" t="str">
        <x:v>桌面与Android正式运行</x:v>
      </x:c>
      <x:c r="K202" s="63" t="str">
        <x:v>已完成</x:v>
      </x:c>
      <x:c r="L202" s="63" t="str">
        <x:v>P0</x:v>
      </x:c>
      <x:c r="M202" s="63" t="str">
        <x:v>v001</x:v>
      </x:c>
      <x:c r="N202" s="63" t="str">
        <x:v>44.1kHz / OGG Vorbis / stereo</x:v>
      </x:c>
      <x:c r="O202" s="63" t="str">
        <x:v>src/assets/audio/sfx/ui_hover_v001.ogg</x:v>
      </x:c>
      <x:c r="P202" s="63" t="str">
        <x:v>src/assets/audio/sfx/ui_hover.wav; src/音效接入说明.md</x:v>
      </x:c>
      <x:c r="Q202" s="63" t="str">
        <x:v>ui_hover; 音效; OGG; Android; 移动端</x:v>
      </x:c>
      <x:c r="R202" s="63" t="str">
        <x:f>TEXTJOIN("|",TRUE,C202,D202,E202,F202,H202,I202)</x:f>
        <x:v>音频|sfx|ui_hover|runtime|全局/非空间|default</x:v>
      </x:c>
      <x:c r="S202" s="63" t="str">
        <x:f>IF(COUNTIF($R$6:$R$204,R202)&gt;1,"重复","唯一")</x:f>
        <x:v>唯一</x:v>
      </x:c>
      <x:c r="T202" s="63" t="str">
        <x:v>edb43f0a80a9833364555c052e01e898d39396bef925566cbadf34e009877bcb</x:v>
      </x:c>
      <x:c r="U202" s="63" t="str">
        <x:v>Codex</x:v>
      </x:c>
      <x:c r="V202" s="64" t="n">
        <x:v>46241</x:v>
      </x:c>
      <x:c r="W202" s="63" t="str">
        <x:v>项目WAV母版转码</x:v>
      </x:c>
      <x:c r="X202" s="63" t="str">
        <x:v>正式运行OGG；WAV仅作母版；AudioManager事件=ui_hover；Android/桌面统一版本化路径，禁止旧音效回退。</x:v>
      </x:c>
    </x:row>
    <x:row r="203" ht="44" customHeight="1">
      <x:c r="A203" s="63" t="str">
        <x:v>AUD-SFX-WAVE-CLEAR</x:v>
      </x:c>
      <x:c r="B203" s="63" t="str">
        <x:v>波次完成音效</x:v>
      </x:c>
      <x:c r="C203" s="63" t="str">
        <x:v>音频</x:v>
      </x:c>
      <x:c r="D203" s="63" t="str">
        <x:v>sfx</x:v>
      </x:c>
      <x:c r="E203" s="63" t="str">
        <x:v>wave_clear</x:v>
      </x:c>
      <x:c r="F203" s="63" t="str">
        <x:v>runtime</x:v>
      </x:c>
      <x:c r="G203" s="63"/>
      <x:c r="H203" s="63" t="str">
        <x:v>全局/非空间</x:v>
      </x:c>
      <x:c r="I203" s="63" t="str">
        <x:v>default</x:v>
      </x:c>
      <x:c r="J203" s="63" t="str">
        <x:v>桌面与Android正式运行</x:v>
      </x:c>
      <x:c r="K203" s="63" t="str">
        <x:v>已完成</x:v>
      </x:c>
      <x:c r="L203" s="63" t="str">
        <x:v>P0</x:v>
      </x:c>
      <x:c r="M203" s="63" t="str">
        <x:v>v001</x:v>
      </x:c>
      <x:c r="N203" s="63" t="str">
        <x:v>44.1kHz / OGG Vorbis / stereo</x:v>
      </x:c>
      <x:c r="O203" s="63" t="str">
        <x:v>src/assets/audio/sfx/wave_clear_v001.ogg</x:v>
      </x:c>
      <x:c r="P203" s="63" t="str">
        <x:v>src/assets/audio/sfx/wave_clear.wav; src/音效接入说明.md</x:v>
      </x:c>
      <x:c r="Q203" s="63" t="str">
        <x:v>wave_clear; 音效; OGG; Android; 移动端</x:v>
      </x:c>
      <x:c r="R203" s="63" t="str">
        <x:f>TEXTJOIN("|",TRUE,C203,D203,E203,F203,H203,I203)</x:f>
        <x:v>音频|sfx|wave_clear|runtime|全局/非空间|default</x:v>
      </x:c>
      <x:c r="S203" s="63" t="str">
        <x:f>IF(COUNTIF($R$6:$R$204,R203)&gt;1,"重复","唯一")</x:f>
        <x:v>唯一</x:v>
      </x:c>
      <x:c r="T203" s="63" t="str">
        <x:v>aa4d315fd2914681fc9a44533dc4470186f3b3349e88782a9d4a00730b5377a2</x:v>
      </x:c>
      <x:c r="U203" s="63" t="str">
        <x:v>Codex</x:v>
      </x:c>
      <x:c r="V203" s="64" t="n">
        <x:v>46241</x:v>
      </x:c>
      <x:c r="W203" s="63" t="str">
        <x:v>项目WAV母版转码</x:v>
      </x:c>
      <x:c r="X203" s="63" t="str">
        <x:v>正式运行OGG；WAV仅作母版；AudioManager事件=wave_clear；Android/桌面统一版本化路径，禁止旧音效回退。</x:v>
      </x:c>
    </x:row>
    <x:row r="204" ht="44" customHeight="1">
      <x:c r="A204" s="63" t="str">
        <x:v>AUD-SFX-WAVE-START</x:v>
      </x:c>
      <x:c r="B204" s="63" t="str">
        <x:v>波次开始音效</x:v>
      </x:c>
      <x:c r="C204" s="63" t="str">
        <x:v>音频</x:v>
      </x:c>
      <x:c r="D204" s="63" t="str">
        <x:v>sfx</x:v>
      </x:c>
      <x:c r="E204" s="63" t="str">
        <x:v>wave_start</x:v>
      </x:c>
      <x:c r="F204" s="63" t="str">
        <x:v>runtime</x:v>
      </x:c>
      <x:c r="G204" s="63"/>
      <x:c r="H204" s="63" t="str">
        <x:v>全局/非空间</x:v>
      </x:c>
      <x:c r="I204" s="63" t="str">
        <x:v>default</x:v>
      </x:c>
      <x:c r="J204" s="63" t="str">
        <x:v>桌面与Android正式运行</x:v>
      </x:c>
      <x:c r="K204" s="63" t="str">
        <x:v>已完成</x:v>
      </x:c>
      <x:c r="L204" s="63" t="str">
        <x:v>P0</x:v>
      </x:c>
      <x:c r="M204" s="63" t="str">
        <x:v>v001</x:v>
      </x:c>
      <x:c r="N204" s="63" t="str">
        <x:v>44.1kHz / OGG Vorbis / stereo</x:v>
      </x:c>
      <x:c r="O204" s="63" t="str">
        <x:v>src/assets/audio/sfx/wave_start_v001.ogg</x:v>
      </x:c>
      <x:c r="P204" s="63" t="str">
        <x:v>src/assets/audio/sfx/wave_start.wav; src/音效接入说明.md</x:v>
      </x:c>
      <x:c r="Q204" s="63" t="str">
        <x:v>wave_start; 音效; OGG; Android; 移动端</x:v>
      </x:c>
      <x:c r="R204" s="63" t="str">
        <x:f>TEXTJOIN("|",TRUE,C204,D204,E204,F204,H204,I204)</x:f>
        <x:v>音频|sfx|wave_start|runtime|全局/非空间|default</x:v>
      </x:c>
      <x:c r="S204" s="63" t="str">
        <x:f>IF(COUNTIF($R$6:$R$204,R204)&gt;1,"重复","唯一")</x:f>
        <x:v>唯一</x:v>
      </x:c>
      <x:c r="T204" s="63" t="str">
        <x:v>be26cec7935eda95510b606cfc8bbebc5fe6f6d4310008a363d889f4bbef6083</x:v>
      </x:c>
      <x:c r="U204" s="63" t="str">
        <x:v>Codex</x:v>
      </x:c>
      <x:c r="V204" s="64" t="n">
        <x:v>46241</x:v>
      </x:c>
      <x:c r="W204" s="63" t="str">
        <x:v>项目WAV母版转码</x:v>
      </x:c>
      <x:c r="X204" s="63" t="str">
        <x:v>正式运行OGG；WAV仅作母版；AudioManager事件=wave_start；Android/桌面统一版本化路径，禁止旧音效回退。</x:v>
      </x:c>
    </x:row>
    <x:row r="205">
      <x:c r="A205" t="str">
        <x:v>CHR-PLY-CAPSULE01-3D-BUNNY01-LOWER-BODY-SOCKET</x:v>
      </x:c>
      <x:c r="B205" t="str">
        <x:v>兔子主角下身配件挂点</x:v>
      </x:c>
      <x:c r="C205" t="str">
        <x:v>角色</x:v>
      </x:c>
      <x:c r="D205" t="str">
        <x:v>player_accessory_socket</x:v>
      </x:c>
      <x:c r="E205" t="str">
        <x:v>player_capsule01</x:v>
      </x:c>
      <x:c r="F205" t="str">
        <x:v>lower_body_socket_3d_bunny01</x:v>
      </x:c>
      <x:c r="G205" t="str">
        <x:v>CHR-PLY-CAPSULE01-3D-BUNNY01-BODY</x:v>
      </x:c>
      <x:c r="H205" t="str">
        <x:v>俯视3D</x:v>
      </x:c>
      <x:c r="I205" t="str">
        <x:v>default</x:v>
      </x:c>
      <x:c r="J205" t="str">
        <x:v>3D玩家下身配件</x:v>
      </x:c>
      <x:c r="K205" t="str">
        <x:v>原型已接入</x:v>
      </x:c>
      <x:c r="L205" t="str">
        <x:v>P0</x:v>
      </x:c>
      <x:c r="M205" t="str">
        <x:v>v006</x:v>
      </x:c>
      <x:c r="N205" t="str">
        <x:v>Marker3D；BodyJoint local=(0,0.14,0)</x:v>
      </x:c>
      <x:c r="O205" t="str">
        <x:v>assets/art/characters/player/chr_player_capsule01_3d/variants/bunny01/chr_player_capsule01_bunny01_root_top3d_v006.tscn</x:v>
      </x:c>
      <x:c r="P205" t="str">
        <x:v>src/player3d/PlayerAvatar3D.gd; tests/verification/verify_player3d_lower_body_socket_flow.tscn</x:v>
      </x:c>
      <x:c r="Q205" t="str">
        <x:v>下身挂点;腰部挂点;裙子;裙摆;腰甲;LowerBodySocket;lower_body</x:v>
      </x:c>
      <x:c r="R205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t="str">
        <x:f>IF(A205="","",IF(COUNTIF($R:$R,R205)&gt;1,"重复","唯一"))</x:f>
        <x:v>唯一</x:v>
      </x:c>
      <x:c r="T205"/>
      <x:c r="U205" t="str">
        <x:v>Codex</x:v>
      </x:c>
      <x:c r="V205" s="62" t="n">
        <x:v>46243</x:v>
      </x:c>
      <x:c r="W205" t="str">
        <x:v>原创程序挂点</x:v>
      </x:c>
      <x:c r="X205" t="str">
        <x:v>BodyJoint子节点；只承载裙摆、腰甲和下摆等表现附件；继承身体位置/旋转/缩放，不改变碰撞、移动、伤害或状态机。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6065c28e84440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42" hidden="0" customWidth="1"/>
    <x:col min="4" max="4" width="15" hidden="0" customWidth="1"/>
    <x:col min="5" max="5" width="44" hidden="0" customWidth="1"/>
    <x:col min="6" max="6" width="14" hidden="0" customWidth="1"/>
    <x:col min="7" max="7" width="34" hidden="0" customWidth="1"/>
    <x:col min="8" max="8" width="19" hidden="0" customWidth="1"/>
    <x:col min="9" max="9" width="6" hidden="0" customWidth="1"/>
    <x:col min="10" max="10" width="26" hidden="0" customWidth="1"/>
    <x:col min="11" max="11" width="20" hidden="0" customWidth="1"/>
    <x:col min="12" max="12" width="8" hidden="0" customWidth="1"/>
    <x:col min="13" max="13" width="42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已退役（2026-08-09）：旧2D节点/纹理/Marker2D已删除；仅作历史组件记录，禁止运行时引用。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已退役（2026-08-09）：旧2D节点/纹理/Marker2D已删除；仅作历史组件记录，禁止运行时引用。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已退役（2026-08-09）：旧2D节点/纹理/Marker2D已删除；仅作历史组件记录，禁止运行时引用。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已退役（2026-08-09）：旧2D节点/纹理/Marker2D已删除；仅作历史组件记录，禁止运行时引用。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已退役（2026-08-09）：旧2D节点/纹理/Marker2D已删除；仅作历史组件记录，禁止运行时引用。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已退役（2026-08-09）：旧2D节点/纹理/Marker2D已删除；仅作历史组件记录，禁止运行时引用。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  <x:row r="14" ht="38" customHeight="1">
      <x:c r="A14" s="63" t="str">
        <x:v>player_capsule01_3d</x:v>
      </x:c>
      <x:c r="B14" s="63" t="str">
        <x:v>root</x:v>
      </x:c>
      <x:c r="C14" s="63" t="str">
        <x:v>Avatar3D/CapsuleAvatar3D/VisualRoot</x:v>
      </x:c>
      <x:c r="D14" s="63" t="str">
        <x:v>player_root</x:v>
      </x:c>
      <x:c r="E14" s="63" t="str">
        <x:v>assets/art/characters/player/chr_player_capsule01_3d/chr_player_capsule01_root_top3d_v001.tscn</x:v>
      </x:c>
      <x:c r="F14" s="63" t="str">
        <x:v>Node3D</x:v>
      </x:c>
      <x:c r="G14" s="63" t="str">
        <x:v>(0,0,0)</x:v>
      </x:c>
      <x:c r="H14" s="63" t="str">
        <x:v>整体随准星绕Y轴</x:v>
      </x:c>
      <x:c r="I14" s="63" t="n">
        <x:v>0</x:v>
      </x:c>
      <x:c r="J14" s="63" t="str">
        <x:v>六态整体 + reloading/firing/charging/knockback覆盖</x:v>
      </x:c>
      <x:c r="K14" s="63" t="str">
        <x:v>3D表现根</x:v>
      </x:c>
      <x:c r="L14" s="63" t="str">
        <x:v>是</x:v>
      </x:c>
      <x:c r="M14" s="63" t="str">
        <x:v>正式3D表现根；旧2D胶囊已完成退役，不再属于兼容范围。</x:v>
      </x:c>
    </x:row>
    <x:row r="15" ht="38" customHeight="1">
      <x:c r="A15" s="63" t="str">
        <x:v>player_capsule01_3d</x:v>
      </x:c>
      <x:c r="B15" s="63" t="str">
        <x:v>body</x:v>
      </x:c>
      <x:c r="C15" s="63" t="str">
        <x:v>VisualRoot/Body</x:v>
      </x:c>
      <x:c r="D15" s="63" t="str">
        <x:v>root</x:v>
      </x:c>
      <x:c r="E15" s="63" t="str">
        <x:v>assets/art/characters/player/chr_player_capsule01_3d/chr_player_capsule01_root_top3d_v001.tscn</x:v>
      </x:c>
      <x:c r="F15" s="63" t="str">
        <x:v>BoxMesh + 子件</x:v>
      </x:c>
      <x:c r="G15" s="63" t="str">
        <x:v>(0,0.76,0.02)</x:v>
      </x:c>
      <x:c r="H15" s="63" t="str">
        <x:v>随root</x:v>
      </x:c>
      <x:c r="I15" s="63" t="n">
        <x:v>1</x:v>
      </x:c>
      <x:c r="J15" s="63" t="str">
        <x:v>呼吸/移动压缩/射击前探/死亡倾倒</x:v>
      </x:c>
      <x:c r="K15" s="63" t="str">
        <x:v>方形猫身</x:v>
      </x:c>
      <x:c r="L15" s="63" t="str">
        <x:v>是</x:v>
      </x:c>
      <x:c r="M15" s="63" t="str">
        <x:v>BodyShell + BellyPatch；方形主轮廓</x:v>
      </x:c>
    </x:row>
    <x:row r="16" ht="38" customHeight="1">
      <x:c r="A16" s="63" t="str">
        <x:v>player_capsule01_3d</x:v>
      </x:c>
      <x:c r="B16" s="63" t="str">
        <x:v>head</x:v>
      </x:c>
      <x:c r="C16" s="63" t="str">
        <x:v>VisualRoot/Head</x:v>
      </x:c>
      <x:c r="D16" s="63" t="str">
        <x:v>root</x:v>
      </x:c>
      <x:c r="E16" s="63" t="str">
        <x:v>assets/art/characters/player/chr_player_capsule01_3d/chr_player_capsule01_root_top3d_v001.tscn</x:v>
      </x:c>
      <x:c r="F16" s="63" t="str">
        <x:v>BoxMesh + 子件</x:v>
      </x:c>
      <x:c r="G16" s="63" t="str">
        <x:v>(0,1.72,-0.08)</x:v>
      </x:c>
      <x:c r="H16" s="63" t="str">
        <x:v>随root</x:v>
      </x:c>
      <x:c r="I16" s="63" t="n">
        <x:v>3</x:v>
      </x:c>
      <x:c r="J16" s="63" t="str">
        <x:v>移动反相滞后/后坐/受击/死亡</x:v>
      </x:c>
      <x:c r="K16" s="63" t="str">
        <x:v>方形猫头</x:v>
      </x:c>
      <x:c r="L16" s="63" t="str">
        <x:v>是</x:v>
      </x:c>
      <x:c r="M16" s="63" t="str">
        <x:v>无嘴无鼻；Eyes与Ears固定归Head</x:v>
      </x:c>
    </x:row>
    <x:row r="17" ht="38" customHeight="1">
      <x:c r="A17" s="63" t="str">
        <x:v>player_capsule01_3d</x:v>
      </x:c>
      <x:c r="B17" s="63" t="str">
        <x:v>hand</x:v>
      </x:c>
      <x:c r="C17" s="63" t="str">
        <x:v>VisualRoot/Hand</x:v>
      </x:c>
      <x:c r="D17" s="63" t="str">
        <x:v>root</x:v>
      </x:c>
      <x:c r="E17" s="63" t="str">
        <x:v>assets/art/characters/player/chr_player_capsule01_3d/chr_player_capsule01_root_top3d_v001.tscn</x:v>
      </x:c>
      <x:c r="F17" s="63" t="str">
        <x:v>BoxMesh</x:v>
      </x:c>
      <x:c r="G17" s="63" t="str">
        <x:v>(0.60,1.10,-0.30)</x:v>
      </x:c>
      <x:c r="H17" s="63" t="str">
        <x:v>随root；动作同相</x:v>
      </x:c>
      <x:c r="I17" s="63" t="n">
        <x:v>4</x:v>
      </x:c>
      <x:c r="J17" s="63" t="str">
        <x:v>移动/换弹/射击/蓄力/击飞保持握持</x:v>
      </x:c>
      <x:c r="K17" s="63" t="str">
        <x:v>唯一悬浮手</x:v>
      </x:c>
      <x:c r="L17" s="63" t="str">
        <x:v>是</x:v>
      </x:c>
      <x:c r="M17" s="63" t="str">
        <x:v>无手臂、无第二手；与WeaponSocket固定相对向量</x:v>
      </x:c>
    </x:row>
    <x:row r="18" ht="38" customHeight="1">
      <x:c r="A18" s="63" t="str">
        <x:v>player_capsule01_3d</x:v>
      </x:c>
      <x:c r="B18" s="63" t="str">
        <x:v>feet</x:v>
      </x:c>
      <x:c r="C18" s="63" t="str">
        <x:v>VisualRoot/Feet</x:v>
      </x:c>
      <x:c r="D18" s="63" t="str">
        <x:v>root</x:v>
      </x:c>
      <x:c r="E18" s="63" t="str">
        <x:v>assets/art/characters/player/chr_player_capsule01_3d/chr_player_capsule01_root_top3d_v001.tscn</x:v>
      </x:c>
      <x:c r="F18" s="63" t="str">
        <x:v>BoxMesh×2</x:v>
      </x:c>
      <x:c r="G18" s="63" t="str">
        <x:v>(0,0.22,-0.02)</x:v>
      </x:c>
      <x:c r="H18" s="63" t="str">
        <x:v>随root；FootL/R交替</x:v>
      </x:c>
      <x:c r="I18" s="63" t="n">
        <x:v>1</x:v>
      </x:c>
      <x:c r="J18" s="63" t="str">
        <x:v>moving交替抬脚；冲刺/受击/死亡随整体</x:v>
      </x:c>
      <x:c r="K18" s="63" t="str">
        <x:v>双脚主模块</x:v>
      </x:c>
      <x:c r="L18" s="63" t="str">
        <x:v>是</x:v>
      </x:c>
      <x:c r="M18" s="63" t="str">
        <x:v>FootL/FootR属于同一可替换Feet模块</x:v>
      </x:c>
    </x:row>
    <x:row r="19" ht="38" customHeight="1">
      <x:c r="A19" s="63" t="str">
        <x:v>player_capsule01_3d</x:v>
      </x:c>
      <x:c r="B19" s="63" t="str">
        <x:v>eyes</x:v>
      </x:c>
      <x:c r="C19" s="63" t="str">
        <x:v>VisualRoot/Head/Eyes</x:v>
      </x:c>
      <x:c r="D19" s="63" t="str">
        <x:v>head</x:v>
      </x:c>
      <x:c r="E19" s="63" t="str">
        <x:v>assets/art/characters/player/chr_player_capsule01_3d/chr_player_capsule01_root_top3d_v001.tscn</x:v>
      </x:c>
      <x:c r="F19" s="63" t="str">
        <x:v>BoxMesh×2</x:v>
      </x:c>
      <x:c r="G19" s="63" t="str">
        <x:v>(0,-0.03,-0.56)</x:v>
      </x:c>
      <x:c r="H19" s="63" t="str">
        <x:v>继承Head</x:v>
      </x:c>
      <x:c r="I19" s="63" t="n">
        <x:v>4</x:v>
      </x:c>
      <x:c r="J19" s="63" t="str">
        <x:v>随头部滞后/后坐/受击</x:v>
      </x:c>
      <x:c r="K19" s="63" t="str">
        <x:v>面部配件</x:v>
      </x:c>
      <x:c r="L19" s="63" t="str">
        <x:v>是</x:v>
      </x:c>
      <x:c r="M19" s="63" t="str">
        <x:v>EyeL/EyeR；深色窄矩形豆豆眼；无嘴</x:v>
      </x:c>
    </x:row>
    <x:row r="20" ht="38" customHeight="1">
      <x:c r="A20" s="63" t="str">
        <x:v>player_capsule01_3d</x:v>
      </x:c>
      <x:c r="B20" s="63" t="str">
        <x:v>ears</x:v>
      </x:c>
      <x:c r="C20" s="63" t="str">
        <x:v>VisualRoot/Head/Ears</x:v>
      </x:c>
      <x:c r="D20" s="63" t="str">
        <x:v>head</x:v>
      </x:c>
      <x:c r="E20" s="63" t="str">
        <x:v>assets/art/characters/player/chr_player_capsule01_3d/chr_player_capsule01_root_top3d_v001.tscn</x:v>
      </x:c>
      <x:c r="F20" s="63" t="str">
        <x:v>三边CylinderMesh×4</x:v>
      </x:c>
      <x:c r="G20" s="63" t="str">
        <x:v>沿Head顶部</x:v>
      </x:c>
      <x:c r="H20" s="63" t="str">
        <x:v>继承Head</x:v>
      </x:c>
      <x:c r="I20" s="63" t="n">
        <x:v>4</x:v>
      </x:c>
      <x:c r="J20" s="63" t="str">
        <x:v>随头部滞后/后坐/受击</x:v>
      </x:c>
      <x:c r="K20" s="63" t="str">
        <x:v>头部配件</x:v>
      </x:c>
      <x:c r="L20" s="63" t="str">
        <x:v>是</x:v>
      </x:c>
      <x:c r="M20" s="63" t="str">
        <x:v>EarL/EarR各含Inner；三角形语言</x:v>
      </x:c>
    </x:row>
    <x:row r="21" ht="38" customHeight="1">
      <x:c r="A21" s="63" t="str">
        <x:v>player_capsule01_3d</x:v>
      </x:c>
      <x:c r="B21" s="63" t="str">
        <x:v>tail_stub</x:v>
      </x:c>
      <x:c r="C21" s="63" t="str">
        <x:v>VisualRoot/Body/TailStub</x:v>
      </x:c>
      <x:c r="D21" s="63" t="str">
        <x:v>body</x:v>
      </x:c>
      <x:c r="E21" s="63" t="str">
        <x:v>assets/art/characters/player/chr_player_capsule01_3d/chr_player_capsule01_root_top3d_v001.tscn</x:v>
      </x:c>
      <x:c r="F21" s="63" t="str">
        <x:v>SphereMesh</x:v>
      </x:c>
      <x:c r="G21" s="63" t="str">
        <x:v>(-0.51,-0.02,0.24)</x:v>
      </x:c>
      <x:c r="H21" s="63" t="str">
        <x:v>继承Body + 轻摆</x:v>
      </x:c>
      <x:c r="I21" s="63" t="n">
        <x:v>2</x:v>
      </x:c>
      <x:c r="J21" s="63" t="str">
        <x:v>moving轻摆/弹性缩放</x:v>
      </x:c>
      <x:c r="K21" s="63" t="str">
        <x:v>身体配件</x:v>
      </x:c>
      <x:c r="L21" s="63" t="str">
        <x:v>是</x:v>
      </x:c>
      <x:c r="M21" s="63" t="str">
        <x:v>唯一圆形例外；短圆尾团，禁止长尾</x:v>
      </x:c>
    </x:row>
    <x:row r="22" ht="38" customHeight="1">
      <x:c r="A22" s="63" t="str">
        <x:v>player_capsule01_3d</x:v>
      </x:c>
      <x:c r="B22" s="63" t="str">
        <x:v>weapon_socket</x:v>
      </x:c>
      <x:c r="C22" s="63" t="str">
        <x:v>VisualRoot/WeaponSocket</x:v>
      </x:c>
      <x:c r="D22" s="63" t="str">
        <x:v>root</x:v>
      </x:c>
      <x:c r="E22" s="63" t="str">
        <x:v>无纹理</x:v>
      </x:c>
      <x:c r="F22" s="63" t="str">
        <x:v>Marker3D</x:v>
      </x:c>
      <x:c r="G22" s="63" t="str">
        <x:v>(0.60,1.15,-0.42)</x:v>
      </x:c>
      <x:c r="H22" s="63" t="str">
        <x:v>随root；动作同相</x:v>
      </x:c>
      <x:c r="I22" s="63" t="n">
        <x:v>5</x:v>
      </x:c>
      <x:c r="J22" s="63" t="str">
        <x:v>枪械挂载/枪口特效</x:v>
      </x:c>
      <x:c r="K22" s="63" t="str">
        <x:v>武器系统</x:v>
      </x:c>
      <x:c r="L22" s="63" t="str">
        <x:v>是</x:v>
      </x:c>
      <x:c r="M22" s="63" t="str">
        <x:v>与唯一手全动作固定局部关系；枪模layer 2</x:v>
      </x:c>
    </x:row>
    <x:row r="23" ht="38" customHeight="1">
      <x:c r="A23" s="63" t="str">
        <x:v>player_capsule01_3d</x:v>
      </x:c>
      <x:c r="B23" s="63" t="str">
        <x:v>reload_progress</x:v>
      </x:c>
      <x:c r="C23" s="63" t="str">
        <x:v>ReloadProgress3D</x:v>
      </x:c>
      <x:c r="D23" s="63" t="str">
        <x:v>player_root</x:v>
      </x:c>
      <x:c r="E23" s="63" t="str">
        <x:v>assets/art/characters/player/chr_player_capsule01_3d/chr_player_capsule01_root_top3d_v001.tscn</x:v>
      </x:c>
      <x:c r="F23" s="63" t="str">
        <x:v>QuadMesh×2</x:v>
      </x:c>
      <x:c r="G23" s="63" t="str">
        <x:v>(0,2.92,0.06)</x:v>
      </x:c>
      <x:c r="H23" s="63" t="str">
        <x:v>朝向相机；不随VisualRoot旋转</x:v>
      </x:c>
      <x:c r="I23" s="63" t="n">
        <x:v>6</x:v>
      </x:c>
      <x:c r="J23" s="63" t="str">
        <x:v>读取真实换弹进度</x:v>
      </x:c>
      <x:c r="K23" s="63" t="str">
        <x:v>状态UI子组件</x:v>
      </x:c>
      <x:c r="L23" s="63" t="str">
        <x:v>是</x:v>
      </x:c>
      <x:c r="M23" s="63" t="str">
        <x:v>高于猫耳；无独立计时器/SubViewport</x:v>
      </x:c>
    </x:row>
    <x:row r="24" ht="38" customHeight="1">
      <x:c r="A24" s="63" t="str">
        <x:v>player_capsule01_3d</x:v>
      </x:c>
      <x:c r="B24" s="63" t="str">
        <x:v>body_diy</x:v>
      </x:c>
      <x:c r="C24" s="63" t="str">
        <x:v>VisualRoot/Body</x:v>
      </x:c>
      <x:c r="D24" s="63" t="str">
        <x:v>root</x:v>
      </x:c>
      <x:c r="E24" s="63" t="str">
        <x:v>无独立纹理/程序材质</x:v>
      </x:c>
      <x:c r="F24" s="63" t="str">
        <x:v>4种配色</x:v>
      </x:c>
      <x:c r="G24" s="63" t="str">
        <x:v>沿Body</x:v>
      </x:c>
      <x:c r="H24" s="63" t="str">
        <x:v>随root</x:v>
      </x:c>
      <x:c r="I24" s="63" t="n">
        <x:v>1</x:v>
      </x:c>
      <x:c r="J24" s="63" t="str">
        <x:v>继承身体动态</x:v>
      </x:c>
      <x:c r="K24" s="63" t="str">
        <x:v>身体外观</x:v>
      </x:c>
      <x:c r="L24" s="63" t="str">
        <x:v>是</x:v>
      </x:c>
      <x:c r="M24" s="63" t="str">
        <x:v>cat_orange + 旧三色兼容</x:v>
      </x:c>
    </x:row>
    <x:row r="25" ht="38" customHeight="1">
      <x:c r="A25" s="63" t="str">
        <x:v>player_capsule01_3d</x:v>
      </x:c>
      <x:c r="B25" s="63" t="str">
        <x:v>head_diy</x:v>
      </x:c>
      <x:c r="C25" s="63" t="str">
        <x:v>VisualRoot/Head</x:v>
      </x:c>
      <x:c r="D25" s="63" t="str">
        <x:v>root</x:v>
      </x:c>
      <x:c r="E25" s="63" t="str">
        <x:v>无独立纹理/程序材质</x:v>
      </x:c>
      <x:c r="F25" s="63" t="str">
        <x:v>4种配色</x:v>
      </x:c>
      <x:c r="G25" s="63" t="str">
        <x:v>沿Head</x:v>
      </x:c>
      <x:c r="H25" s="63" t="str">
        <x:v>随root</x:v>
      </x:c>
      <x:c r="I25" s="63" t="n">
        <x:v>3</x:v>
      </x:c>
      <x:c r="J25" s="63" t="str">
        <x:v>继承头部动态</x:v>
      </x:c>
      <x:c r="K25" s="63" t="str">
        <x:v>头部外观</x:v>
      </x:c>
      <x:c r="L25" s="63" t="str">
        <x:v>是</x:v>
      </x:c>
      <x:c r="M25" s="63" t="str">
        <x:v>cat_orange + 旧三色兼容；双眼/双耳节点不变</x:v>
      </x:c>
    </x:row>
    <x:row r="26" ht="38" customHeight="1">
      <x:c r="A26" s="63" t="str">
        <x:v>player_capsule01_3d</x:v>
      </x:c>
      <x:c r="B26" s="63" t="str">
        <x:v>hand_diy</x:v>
      </x:c>
      <x:c r="C26" s="63" t="str">
        <x:v>VisualRoot/Hand</x:v>
      </x:c>
      <x:c r="D26" s="63" t="str">
        <x:v>root</x:v>
      </x:c>
      <x:c r="E26" s="63" t="str">
        <x:v>无独立纹理/程序材质</x:v>
      </x:c>
      <x:c r="F26" s="63" t="str">
        <x:v>4种配色</x:v>
      </x:c>
      <x:c r="G26" s="63" t="str">
        <x:v>(0.60,1.10,-0.30)</x:v>
      </x:c>
      <x:c r="H26" s="63" t="str">
        <x:v>随root+同相动作</x:v>
      </x:c>
      <x:c r="I26" s="63" t="n">
        <x:v>4</x:v>
      </x:c>
      <x:c r="J26" s="63" t="str">
        <x:v>抓握压缩；与socket同相</x:v>
      </x:c>
      <x:c r="K26" s="63" t="str">
        <x:v>唯一手外观</x:v>
      </x:c>
      <x:c r="L26" s="63" t="str">
        <x:v>是</x:v>
      </x:c>
      <x:c r="M26" s="63" t="str">
        <x:v>cat_orange + 旧三色兼容</x:v>
      </x:c>
    </x:row>
    <x:row r="27" ht="38" customHeight="1">
      <x:c r="A27" s="63" t="str">
        <x:v>player_capsule01_3d</x:v>
      </x:c>
      <x:c r="B27" s="63" t="str">
        <x:v>feet_diy</x:v>
      </x:c>
      <x:c r="C27" s="63" t="str">
        <x:v>VisualRoot/Feet</x:v>
      </x:c>
      <x:c r="D27" s="63" t="str">
        <x:v>root</x:v>
      </x:c>
      <x:c r="E27" s="63" t="str">
        <x:v>无独立纹理/程序材质</x:v>
      </x:c>
      <x:c r="F27" s="63" t="str">
        <x:v>4种配色</x:v>
      </x:c>
      <x:c r="G27" s="63" t="str">
        <x:v>沿Feet</x:v>
      </x:c>
      <x:c r="H27" s="63" t="str">
        <x:v>随root+交替步态</x:v>
      </x:c>
      <x:c r="I27" s="63" t="n">
        <x:v>1</x:v>
      </x:c>
      <x:c r="J27" s="63" t="str">
        <x:v>FootL/R交替抬起</x:v>
      </x:c>
      <x:c r="K27" s="63" t="str">
        <x:v>脚部外观</x:v>
      </x:c>
      <x:c r="L27" s="63" t="str">
        <x:v>是</x:v>
      </x:c>
      <x:c r="M27" s="63" t="str">
        <x:v>cat_orange / boot_sand / boot_cobalt / boot_teal</x:v>
      </x:c>
    </x:row>
    <x:row r="28" ht="38" customHeight="1">
      <x:c r="A28" s="63" t="str">
        <x:v>player_capsule01_3d</x:v>
      </x:c>
      <x:c r="B28" s="63" t="str">
        <x:v>hat</x:v>
      </x:c>
      <x:c r="C28" s="63" t="str">
        <x:v>VisualRoot/Head/Wearables/Hat*</x:v>
      </x:c>
      <x:c r="D28" s="63" t="str">
        <x:v>head</x:v>
      </x:c>
      <x:c r="E28" s="63" t="str">
        <x:v>无独立纹理/程序网格</x:v>
      </x:c>
      <x:c r="F28" s="63" t="str">
        <x:v>3种帽型</x:v>
      </x:c>
      <x:c r="G28" s="63" t="str">
        <x:v>沿Head</x:v>
      </x:c>
      <x:c r="H28" s="63" t="str">
        <x:v>继承Head</x:v>
      </x:c>
      <x:c r="I28" s="63" t="n">
        <x:v>5</x:v>
      </x:c>
      <x:c r="J28" s="63" t="str">
        <x:v>头部滞后/受击/死亡</x:v>
      </x:c>
      <x:c r="K28" s="63" t="str">
        <x:v>头部外戴件</x:v>
      </x:c>
      <x:c r="L28" s="63" t="str">
        <x:v>否</x:v>
      </x:c>
      <x:c r="M28" s="63" t="str">
        <x:v>可选；layer2，禁投影/GI；不得替代猫耳节点</x:v>
      </x:c>
    </x:row>
    <x:row r="29" ht="38" customHeight="1">
      <x:c r="A29" s="63" t="str">
        <x:v>player_capsule01_3d</x:v>
      </x:c>
      <x:c r="B29" s="63" t="str">
        <x:v>glasses</x:v>
      </x:c>
      <x:c r="C29" s="63" t="str">
        <x:v>VisualRoot/Head/Wearables/Glasses*</x:v>
      </x:c>
      <x:c r="D29" s="63" t="str">
        <x:v>head</x:v>
      </x:c>
      <x:c r="E29" s="63" t="str">
        <x:v>无独立纹理/程序网格</x:v>
      </x:c>
      <x:c r="F29" s="63" t="str">
        <x:v>3种护目件</x:v>
      </x:c>
      <x:c r="G29" s="63" t="str">
        <x:v>沿Head前侧</x:v>
      </x:c>
      <x:c r="H29" s="63" t="str">
        <x:v>继承Head</x:v>
      </x:c>
      <x:c r="I29" s="63" t="n">
        <x:v>5</x:v>
      </x:c>
      <x:c r="J29" s="63" t="str">
        <x:v>头部滞后/受击/死亡</x:v>
      </x:c>
      <x:c r="K29" s="63" t="str">
        <x:v>护目件</x:v>
      </x:c>
      <x:c r="L29" s="63" t="str">
        <x:v>否</x:v>
      </x:c>
      <x:c r="M29" s="63" t="str">
        <x:v>可选；layer2；允许太阳/室内灯外部投影；玩家三灯不产生自身投影；GI禁用。</x:v>
      </x:c>
    </x:row>
    <x:row r="30" ht="38" customHeight="1">
      <x:c r="A30" s="63" t="str">
        <x:v>player_capsule01_3d</x:v>
      </x:c>
      <x:c r="B30" s="63" t="str">
        <x:v>scarf_legacy</x:v>
      </x:c>
      <x:c r="C30" s="63" t="str">
        <x:v>VisualRoot/Scarf</x:v>
      </x:c>
      <x:c r="D30" s="63" t="str">
        <x:v>root</x:v>
      </x:c>
      <x:c r="E30" s="63" t="str">
        <x:v>assets/art/characters/player/chr_player_capsule01_3d/chr_player_capsule01_root_top3d_v001.tscn</x:v>
      </x:c>
      <x:c r="F30" s="63" t="str">
        <x:v>隐藏兼容节点</x:v>
      </x:c>
      <x:c r="G30" s="63" t="str">
        <x:v>(0,1.32,0)</x:v>
      </x:c>
      <x:c r="H30" s="63" t="str">
        <x:v>随root</x:v>
      </x:c>
      <x:c r="I30" s="63" t="n">
        <x:v>2</x:v>
      </x:c>
      <x:c r="J30" s="63" t="str">
        <x:v>不参与当前轮廓</x:v>
      </x:c>
      <x:c r="K30" s="63" t="str">
        <x:v>旧场景兼容</x:v>
      </x:c>
      <x:c r="L30" s="63" t="str">
        <x:v>否</x:v>
      </x:c>
      <x:c r="M30" s="63" t="str">
        <x:v>可选；layer2；允许太阳/室内灯外部投影；玩家三灯不产生自身投影；GI禁用。</x:v>
      </x:c>
    </x:row>
    <x:row r="31" ht="104" customHeight="1">
      <x:c r="A31" s="70" t="str">
        <x:v>player_capsule01_bunny01_3d</x:v>
      </x:c>
      <x:c r="B31" s="70" t="str">
        <x:v>root</x:v>
      </x:c>
      <x:c r="C31" s="70" t="str">
        <x:v>Avatar3D/VisualRoot/BunnyRig</x:v>
      </x:c>
      <x:c r="D31" s="70" t="str">
        <x:v>player_root</x:v>
      </x:c>
      <x:c r="E31" s="70" t="str">
        <x:v>assets/art/characters/player/chr_player_capsule01_3d/variants/bunny01/chr_player_capsule01_bunny01_root_top3d_v006.tscn</x:v>
      </x:c>
      <x:c r="F31" s="70" t="str">
        <x:v>Node3D刚性骨架 / 完整视觉1.500m</x:v>
      </x:c>
      <x:c r="G31" s="70" t="str">
        <x:v>(0,0,0)</x:v>
      </x:c>
      <x:c r="H31" s="70" t="str">
        <x:v>整体随准星绕Y轴</x:v>
      </x:c>
      <x:c r="I31" s="70" t="n">
        <x:v>0</x:v>
      </x:c>
      <x:c r="J31" s="70" t="str">
        <x:v>八态整体 + falling收束/landing压缩回弹 + 动作覆盖</x:v>
      </x:c>
      <x:c r="K31" s="70" t="str">
        <x:v>Godot骨架根</x:v>
      </x:c>
      <x:c r="L31" s="70" t="str">
        <x:v>是</x:v>
      </x:c>
      <x:c r="M31" s="70" t="str">
        <x:v>v0.1：v006真实1.5m分体网格与AssetID不变；玩法碰撞位于Player3D/VirtualCollisionCapsule（height=1.5m、radius=0.34m）。falling/landing复用既有Body/Head/Hands/Feet/EarSocket关节。</x:v>
      </x:c>
    </x:row>
    <x:row r="32" ht="104" customHeight="1">
      <x:c r="A32" s="70" t="str">
        <x:v>player_capsule01_bunny01_3d</x:v>
      </x:c>
      <x:c r="B32" s="70" t="str">
        <x:v>body</x:v>
      </x:c>
      <x:c r="C32" s="70" t="str">
        <x:v>VisualRoot/BunnyRig/BodyJoint/Model</x:v>
      </x:c>
      <x:c r="D32" s="70" t="str">
        <x:v>BunnyRig</x:v>
      </x:c>
      <x:c r="E32" s="70" t="str">
        <x:v>assets/art/characters/player/chr_player_capsule01_3d/variants/bunny01/components/chr_player_capsule01_bunny01_body_top3d_v006.glb</x:v>
      </x:c>
      <x:c r="F32" s="70" t="str">
        <x:v>pivot-local GLB / 1.5m比例</x:v>
      </x:c>
      <x:c r="G32" s="70" t="str">
        <x:v>(-0.000030,0.155022,-0.000635)</x:v>
      </x:c>
      <x:c r="H32" s="70" t="str">
        <x:v>BodyJoint</x:v>
      </x:c>
      <x:c r="I32" s="70" t="n">
        <x:v>1</x:v>
      </x:c>
      <x:c r="J32" s="70" t="str">
        <x:v>呼吸/移动挤压/突进翻滚/受击</x:v>
      </x:c>
      <x:c r="K32" s="70" t="str">
        <x:v>身体组件</x:v>
      </x:c>
      <x:c r="L32" s="70" t="str">
        <x:v>是</x:v>
      </x:c>
      <x:c r="M32" s="70" t="str">
        <x:v>Blender原点：身体底部中心；v006真实1.5m几何。</x:v>
      </x:c>
    </x:row>
    <x:row r="33" ht="104" customHeight="1">
      <x:c r="A33" s="70" t="str">
        <x:v>player_capsule01_bunny01_3d</x:v>
      </x:c>
      <x:c r="B33" s="70" t="str">
        <x:v>head</x:v>
      </x:c>
      <x:c r="C33" s="70" t="str">
        <x:v>VisualRoot/BunnyRig/HeadJoint/Model</x:v>
      </x:c>
      <x:c r="D33" s="70" t="str">
        <x:v>BunnyRig</x:v>
      </x:c>
      <x:c r="E33" s="70" t="str">
        <x:v>assets/art/characters/player/chr_player_capsule01_3d/variants/bunny01/components/chr_player_capsule01_bunny01_head_top3d_v006.glb</x:v>
      </x:c>
      <x:c r="F33" s="70" t="str">
        <x:v>pivot-local GLB / 1.5m比例</x:v>
      </x:c>
      <x:c r="G33" s="70" t="str">
        <x:v>(-0.000028,0.477110,0.026431)</x:v>
      </x:c>
      <x:c r="H33" s="70" t="str">
        <x:v>HeadJoint</x:v>
      </x:c>
      <x:c r="I33" s="70" t="n">
        <x:v>3</x:v>
      </x:c>
      <x:c r="J33" s="70" t="str">
        <x:v>移动反相滞后/后坐/受击甩头</x:v>
      </x:c>
      <x:c r="K33" s="70" t="str">
        <x:v>头部组件</x:v>
      </x:c>
      <x:c r="L33" s="70" t="str">
        <x:v>是</x:v>
      </x:c>
      <x:c r="M33" s="70" t="str">
        <x:v>Blender原点：头部下沿中心；不含耳头顶1.103390m。</x:v>
      </x:c>
    </x:row>
    <x:row r="34" ht="104" customHeight="1">
      <x:c r="A34" s="70" t="str">
        <x:v>player_capsule01_bunny01_3d</x:v>
      </x:c>
      <x:c r="B34" s="70" t="str">
        <x:v>ear_l</x:v>
      </x:c>
      <x:c r="C34" s="70" t="str">
        <x:v>VisualRoot/BunnyRig/HeadJoint/Ears/EarSocketL/EarAccessory</x:v>
      </x:c>
      <x:c r="D34" s="70" t="str">
        <x:v>head</x:v>
      </x:c>
      <x:c r="E34" s="70" t="str">
        <x:v>assets/art/characters/player/chr_player_capsule01_3d/variants/bunny01/components/chr_player_capsule01_bunny01_ear_top3d_v006.glb</x:v>
      </x:c>
      <x:c r="F34" s="70" t="str">
        <x:v>pivot-local GLB × -X / 1.5m比例</x:v>
      </x:c>
      <x:c r="G34" s="70" t="str">
        <x:v>Head local (-0.245056,0.499653,-0.001671)</x:v>
      </x:c>
      <x:c r="H34" s="70" t="str">
        <x:v>继承HeadJoint</x:v>
      </x:c>
      <x:c r="I34" s="70" t="n">
        <x:v>4</x:v>
      </x:c>
      <x:c r="J34" s="70" t="str">
        <x:v>移动跟随/冲刺后压/受击收耳</x:v>
      </x:c>
      <x:c r="K34" s="70" t="str">
        <x:v>头部配件</x:v>
      </x:c>
      <x:c r="L34" s="70" t="str">
        <x:v>是</x:v>
      </x:c>
      <x:c r="M34" s="70" t="str">
        <x:v>复用语义右耳并在左挂点镜像；完整视觉顶部1.500m。</x:v>
      </x:c>
    </x:row>
    <x:row r="35" ht="104" customHeight="1">
      <x:c r="A35" s="70" t="str">
        <x:v>player_capsule01_bunny01_3d</x:v>
      </x:c>
      <x:c r="B35" s="70" t="str">
        <x:v>ear_r</x:v>
      </x:c>
      <x:c r="C35" s="70" t="str">
        <x:v>VisualRoot/BunnyRig/HeadJoint/Ears/EarSocketR/EarAccessory</x:v>
      </x:c>
      <x:c r="D35" s="70" t="str">
        <x:v>head</x:v>
      </x:c>
      <x:c r="E35" s="70" t="str">
        <x:v>assets/art/characters/player/chr_player_capsule01_3d/variants/bunny01/components/chr_player_capsule01_bunny01_ear_top3d_v006.glb</x:v>
      </x:c>
      <x:c r="F35" s="70" t="str">
        <x:v>pivot-local GLB / 1.5m比例</x:v>
      </x:c>
      <x:c r="G35" s="70" t="str">
        <x:v>Head local (0.245112,0.499653,-0.001671)</x:v>
      </x:c>
      <x:c r="H35" s="70" t="str">
        <x:v>继承HeadJoint</x:v>
      </x:c>
      <x:c r="I35" s="70" t="n">
        <x:v>4</x:v>
      </x:c>
      <x:c r="J35" s="70" t="str">
        <x:v>移动跟随/冲刺后压/受击收耳</x:v>
      </x:c>
      <x:c r="K35" s="70" t="str">
        <x:v>头部配件</x:v>
      </x:c>
      <x:c r="L35" s="70" t="str">
        <x:v>是</x:v>
      </x:c>
      <x:c r="M35" s="70" t="str">
        <x:v>语义右耳标准实例；完整视觉顶部1.500m。</x:v>
      </x:c>
    </x:row>
    <x:row r="36" ht="104" customHeight="1">
      <x:c r="A36" s="70" t="str">
        <x:v>player_capsule01_bunny01_3d</x:v>
      </x:c>
      <x:c r="B36" s="70" t="str">
        <x:v>hand_l</x:v>
      </x:c>
      <x:c r="C36" s="70" t="str">
        <x:v>VisualRoot/BunnyRig/HandRoot/HandJointL/Model</x:v>
      </x:c>
      <x:c r="D36" s="70" t="str">
        <x:v>BunnyRig</x:v>
      </x:c>
      <x:c r="E36" s="70" t="str">
        <x:v>assets/art/characters/player/chr_player_capsule01_3d/variants/bunny01/components/chr_player_capsule01_bunny01_hand_l_top3d_v006.glb</x:v>
      </x:c>
      <x:c r="F36" s="70" t="str">
        <x:v>pivot-local GLB / 1.5m比例</x:v>
      </x:c>
      <x:c r="G36" s="70" t="str">
        <x:v>Authored (-0.285833,0.321773,-0.014435); longgun support (0.121212,0.315152,-0.387879)</x:v>
      </x:c>
      <x:c r="H36" s="70" t="str">
        <x:v>HandRoot 独立左腕</x:v>
      </x:c>
      <x:c r="I36" s="70" t="n">
        <x:v>4</x:v>
      </x:c>
      <x:c r="J36" s="70" t="str">
        <x:v>手枪自由摆臂；长枪托举；换弹服务；双手枪后坐</x:v>
      </x:c>
      <x:c r="K36" s="70" t="str">
        <x:v>左手组件</x:v>
      </x:c>
      <x:c r="L36" s="70" t="str">
        <x:v>是</x:v>
      </x:c>
      <x:c r="M36" s="70" t="str">
        <x:v>手腕圆环近端轴心；网格、挂点与动作米制平移使用0.606060606比例。</x:v>
      </x:c>
    </x:row>
    <x:row r="37" ht="104" customHeight="1">
      <x:c r="A37" s="70" t="str">
        <x:v>player_capsule01_bunny01_3d</x:v>
      </x:c>
      <x:c r="B37" s="70" t="str">
        <x:v>hand_r</x:v>
      </x:c>
      <x:c r="C37" s="70" t="str">
        <x:v>VisualRoot/BunnyRig/HandRoot/HandJointR/Model</x:v>
      </x:c>
      <x:c r="D37" s="70" t="str">
        <x:v>BunnyRig</x:v>
      </x:c>
      <x:c r="E37" s="70" t="str">
        <x:v>assets/art/characters/player/chr_player_capsule01_3d/variants/bunny01/components/chr_player_capsule01_bunny01_hand_r_top3d_v006.glb</x:v>
      </x:c>
      <x:c r="F37" s="70" t="str">
        <x:v>pivot-local GLB / 1.5m比例</x:v>
      </x:c>
      <x:c r="G37" s="70" t="str">
        <x:v>Authored (0.285833,0.321773,-0.014435); sidearm (0.048485,0.339394,-0.296970)+socket X0.145455; longgun (0.078788,0.339394,-0.296970)</x:v>
      </x:c>
      <x:c r="H37" s="70" t="str">
        <x:v>HandRoot 独立右腕 / WeaponSocket 跟随</x:v>
      </x:c>
      <x:c r="I37" s="70" t="n">
        <x:v>4</x:v>
      </x:c>
      <x:c r="J37" s="70" t="str">
        <x:v>手枪/长枪主握把；独立跑步；武器差异射击后坐</x:v>
      </x:c>
      <x:c r="K37" s="70" t="str">
        <x:v>右手组件</x:v>
      </x:c>
      <x:c r="L37" s="70" t="str">
        <x:v>是</x:v>
      </x:c>
      <x:c r="M37" s="70" t="str">
        <x:v>右手主握把；持枪视觉与手/挂点使用同一0.606060606比例。</x:v>
      </x:c>
    </x:row>
    <x:row r="38" ht="104" customHeight="1">
      <x:c r="A38" s="70" t="str">
        <x:v>player_capsule01_bunny01_3d</x:v>
      </x:c>
      <x:c r="B38" s="70" t="str">
        <x:v>foot_l</x:v>
      </x:c>
      <x:c r="C38" s="70" t="str">
        <x:v>VisualRoot/BunnyRig/FeetRoot/FootJointL/Model</x:v>
      </x:c>
      <x:c r="D38" s="70" t="str">
        <x:v>FeetRoot</x:v>
      </x:c>
      <x:c r="E38" s="70" t="str">
        <x:v>assets/art/characters/player/chr_player_capsule01_3d/variants/bunny01/components/chr_player_capsule01_bunny01_foot_l_top3d_v006.glb</x:v>
      </x:c>
      <x:c r="F38" s="70" t="str">
        <x:v>pivot-local GLB / 1.5m比例</x:v>
      </x:c>
      <x:c r="G38" s="70" t="str">
        <x:v>(-0.129002,0,-0.010887)</x:v>
      </x:c>
      <x:c r="H38" s="70" t="str">
        <x:v>独立FootJointL</x:v>
      </x:c>
      <x:c r="I38" s="70" t="n">
        <x:v>1</x:v>
      </x:c>
      <x:c r="J38" s="70" t="str">
        <x:v>moving左脚/翻滚收腿/受击甩脚/falling收腿/landing压缩</x:v>
      </x:c>
      <x:c r="K38" s="70" t="str">
        <x:v>左脚组件</x:v>
      </x:c>
      <x:c r="L38" s="70" t="str">
        <x:v>是</x:v>
      </x:c>
      <x:c r="M38" s="70" t="str">
        <x:v>Blender原点：脚底中心；静态最低点Y=0；v0.1复用同一v006网格增加下落与落地程序动作。</x:v>
      </x:c>
    </x:row>
    <x:row r="39" ht="104" customHeight="1">
      <x:c r="A39" s="70" t="str">
        <x:v>player_capsule01_bunny01_3d</x:v>
      </x:c>
      <x:c r="B39" s="70" t="str">
        <x:v>foot_r</x:v>
      </x:c>
      <x:c r="C39" s="70" t="str">
        <x:v>VisualRoot/BunnyRig/FeetRoot/FootJointR/Model</x:v>
      </x:c>
      <x:c r="D39" s="70" t="str">
        <x:v>FeetRoot</x:v>
      </x:c>
      <x:c r="E39" s="70" t="str">
        <x:v>assets/art/characters/player/chr_player_capsule01_3d/variants/bunny01/components/chr_player_capsule01_bunny01_foot_r_top3d_v006.glb</x:v>
      </x:c>
      <x:c r="F39" s="70" t="str">
        <x:v>pivot-local GLB / 1.5m比例</x:v>
      </x:c>
      <x:c r="G39" s="70" t="str">
        <x:v>(0.129002,0,-0.010887)</x:v>
      </x:c>
      <x:c r="H39" s="70" t="str">
        <x:v>独立FootJointR</x:v>
      </x:c>
      <x:c r="I39" s="70" t="n">
        <x:v>1</x:v>
      </x:c>
      <x:c r="J39" s="70" t="str">
        <x:v>moving右脚/翻滚收腿/受击甩脚/falling收腿/landing压缩</x:v>
      </x:c>
      <x:c r="K39" s="70" t="str">
        <x:v>右脚组件</x:v>
      </x:c>
      <x:c r="L39" s="70" t="str">
        <x:v>是</x:v>
      </x:c>
      <x:c r="M39" s="70" t="str">
        <x:v>Blender原点：脚底中心；静态最低点Y=0；v0.1复用同一v006网格增加下落与落地程序动作。</x:v>
      </x:c>
    </x:row>
    <x:row r="40">
      <x:c r="A40" t="str">
        <x:v>player_capsule01_3d</x:v>
      </x:c>
      <x:c r="B40" t="str">
        <x:v>weapon_stow_primary</x:v>
      </x:c>
      <x:c r="C40" t="str">
        <x:v>VisualRoot/BunnyRig/StowedWeaponSocketPrimary</x:v>
      </x:c>
      <x:c r="D40" t="str">
        <x:v>root</x:v>
      </x:c>
      <x:c r="E40" t="str">
        <x:v>无纹理</x:v>
      </x:c>
      <x:c r="F40" t="str">
        <x:v>Marker3D</x:v>
      </x:c>
      <x:c r="G40" t="str">
        <x:v>(-0.42,1.12,0.25)</x:v>
      </x:c>
      <x:c r="H40" t="str">
        <x:v>随root；local -Z枪口轴转向世界下方</x:v>
      </x:c>
      <x:c r="I40" t="str">
        <x:v>5</x:v>
      </x:c>
      <x:c r="J40" t="str">
        <x:v>主武器未激活时背部左侧收纳</x:v>
      </x:c>
      <x:c r="K40" t="str">
        <x:v>武器系统</x:v>
      </x:c>
      <x:c r="L40" t="str">
        <x:v>是</x:v>
      </x:c>
      <x:c r="M40" t="str">
        <x:v>主武器槽0专属；枪口朝下；回退节点VisualRoot/StowedWeaponSocketPrimary</x:v>
      </x:c>
    </x:row>
    <x:row r="41">
      <x:c r="A41" t="str">
        <x:v>player_capsule01_3d</x:v>
      </x:c>
      <x:c r="B41" t="str">
        <x:v>weapon_stow_secondary</x:v>
      </x:c>
      <x:c r="C41" t="str">
        <x:v>VisualRoot/BunnyRig/StowedWeaponSocketSecondary</x:v>
      </x:c>
      <x:c r="D41" t="str">
        <x:v>root</x:v>
      </x:c>
      <x:c r="E41" t="str">
        <x:v>无纹理</x:v>
      </x:c>
      <x:c r="F41" t="str">
        <x:v>Marker3D</x:v>
      </x:c>
      <x:c r="G41" t="str">
        <x:v>(0.42,1.12,0.25)</x:v>
      </x:c>
      <x:c r="H41" t="str">
        <x:v>随root；local -Z枪口轴转向世界下方</x:v>
      </x:c>
      <x:c r="I41" t="str">
        <x:v>5</x:v>
      </x:c>
      <x:c r="J41" t="str">
        <x:v>副武器未激活时背部右侧收纳</x:v>
      </x:c>
      <x:c r="K41" t="str">
        <x:v>武器系统</x:v>
      </x:c>
      <x:c r="L41" t="str">
        <x:v>是</x:v>
      </x:c>
      <x:c r="M41" t="str">
        <x:v>副武器槽1专属；枪口朝下；回退节点VisualRoot/StowedWeaponSocketSecondary</x:v>
      </x:c>
    </x:row>
    <x:row r="42">
      <x:c r="A42" t="str">
        <x:v>player_capsule01_3d</x:v>
      </x:c>
      <x:c r="B42" t="str">
        <x:v>backpack_socket</x:v>
      </x:c>
      <x:c r="C42" t="str">
        <x:v>VisualRoot/BunnyRig/BackpackSocket（fallback: VisualRoot/BackpackSocket）</x:v>
      </x:c>
      <x:c r="D42" t="str">
        <x:v>root</x:v>
      </x:c>
      <x:c r="E42" t="str">
        <x:v>无纹理；子模型来自ItemModelFactory3D</x:v>
      </x:c>
      <x:c r="F42" t="str">
        <x:v>Marker3D + 程序Mesh</x:v>
      </x:c>
      <x:c r="G42" t="str">
        <x:v>bunny (0,0.74,0.30)；fallback (0,1.25,0.48)</x:v>
      </x:c>
      <x:c r="H42" t="str">
        <x:v>继承VisualRoot朝向</x:v>
      </x:c>
      <x:c r="I42" t="n">
        <x:v>3</x:v>
      </x:c>
      <x:c r="J42" t="str">
        <x:v>装备时生成背包占位Mesh；卸下时移除</x:v>
      </x:c>
      <x:c r="K42" t="str">
        <x:v>背包装备系统</x:v>
      </x:c>
      <x:c r="L42" t="str">
        <x:v>是</x:v>
      </x:c>
      <x:c r="M42" t="str">
        <x:v>与StowedWeaponSocketPrimary/Secondary分离；2/4/8格共用模型工厂；无碰撞；verify_backpack_equipment_flow与Metal/OpenGL实机渲染通过。</x:v>
      </x:c>
    </x:row>
    <x:row r="43">
      <x:c r="A43" t="str">
        <x:v>player_capsule01_bunny01_3d</x:v>
      </x:c>
      <x:c r="B43" t="str">
        <x:v>lower_body_socket</x:v>
      </x:c>
      <x:c r="C43" t="str">
        <x:v>VisualRoot/BunnyRig/BodyJoint/LowerBodySocket（fallback: VisualRoot/Body/LowerBodySocket）</x:v>
      </x:c>
      <x:c r="D43" t="str">
        <x:v>body</x:v>
      </x:c>
      <x:c r="E43" t="str">
        <x:v>无纹理</x:v>
      </x:c>
      <x:c r="F43" t="str">
        <x:v>Marker3D</x:v>
      </x:c>
      <x:c r="G43" t="str">
        <x:v>bunny Body local (0,0.14,0)；fallback Body local (0,-0.36,0)</x:v>
      </x:c>
      <x:c r="H43" t="str">
        <x:v>继承BodyJoint位置/旋转/缩放</x:v>
      </x:c>
      <x:c r="I43" t="n">
        <x:v>2</x:v>
      </x:c>
      <x:c r="J43" t="str">
        <x:v>裙摆/腰甲/下摆继承全部身体状态与动作覆盖</x:v>
      </x:c>
      <x:c r="K43" t="str">
        <x:v>下身配件挂点</x:v>
      </x:c>
      <x:c r="L43" t="str">
        <x:v>是</x:v>
      </x:c>
      <x:c r="M43" t="str">
        <x:v>presentation_only；无碰撞；不改变玩法；专项验证 verify_player3d_lower_body_socket_flow.tscn。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42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74" customHeight="1">
      <x:c r="A3" s="96" t="str">
        <x:v>Player3D 八态状态机 × 组件表现（falling/landing为真实垂直物理顶层状态）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0"/>
      <x:c r="L4" s="70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</x:v>
      </x:c>
      <x:c r="I5" s="29" t="str">
        <x:v>Hand R / WeaponSocket</x:v>
      </x:c>
      <x:c r="J5" s="29" t="str">
        <x:v>Scarf</x:v>
      </x:c>
      <x:c r="K5" s="29" t="str">
        <x:v>VFX/UI</x:v>
      </x:c>
      <x:c r="L5" s="30" t="str">
        <x:v>首版实现</x:v>
      </x:c>
    </x:row>
    <x:row r="6" ht="58" customHeight="1">
      <x:c r="A6" s="100" t="str">
        <x:v>顶层</x:v>
      </x:c>
      <x:c r="B6" s="100" t="str">
        <x:v>idle</x:v>
      </x:c>
      <x:c r="C6" s="100" t="str">
        <x:v>待命</x:v>
      </x:c>
      <x:c r="D6" s="100" t="str">
        <x:v>start/moving/hurt/locked/landing</x:v>
      </x:c>
      <x:c r="E6" s="100" t="str">
        <x:v>moving,dashing,hurt,locked,falling,dead</x:v>
      </x:c>
      <x:c r="F6" s="100" t="str">
        <x:v>约2.38s呼吸挤压；半速重心换脚；躯干轻微侧移</x:v>
      </x:c>
      <x:c r="G6" s="100" t="str">
        <x:v>与身体反相缩放；反向滞后保持头重感</x:v>
      </x:c>
      <x:c r="H6" s="100" t="str">
        <x:v>手枪自由左手轻摆；长枪左手保持托举</x:v>
      </x:c>
      <x:c r="I6" s="100" t="str">
        <x:v>握持手与 WeaponSocket 同步稳定呼吸，不脱离握把</x:v>
      </x:c>
      <x:c r="J6" s="100" t="str">
        <x:v>低频错相轻摆</x:v>
      </x:c>
      <x:c r="K6" s="100" t="str">
        <x:v>HUD 待命；无新增VFX</x:v>
      </x:c>
      <x:c r="L6" s="100" t="str">
        <x:v>八态 StateMachine 的 idle 唯一驱动；idle_cycle 推进呼吸/换脚；双耳错相并偶发单耳轻弹；moving 本帧归零，停下后恢复</x:v>
      </x:c>
    </x:row>
    <x:row r="7">
      <x:c r="A7" s="101" t="str">
        <x:v>顶层</x:v>
      </x:c>
      <x:c r="B7" s="101" t="str">
        <x:v>moving</x:v>
      </x:c>
      <x:c r="C7" s="101" t="str">
        <x:v>机动</x:v>
      </x:c>
      <x:c r="D7" s="101" t="str">
        <x:v>idle/dashing/hurt/locked/landing</x:v>
      </x:c>
      <x:c r="E7" s="101" t="str">
        <x:v>idle,dashing,hurt,locked,falling,dead</x:v>
      </x:c>
      <x:c r="F7" s="101" t="str">
        <x:v>位移驱动弹跳/压缩回弹</x:v>
      </x:c>
      <x:c r="G7" s="101" t="str">
        <x:v>较小反相滞后</x:v>
      </x:c>
      <x:c r="H7" s="101" t="str">
        <x:v>手枪自由左手大幅反摆；长枪左手锁定托举</x:v>
      </x:c>
      <x:c r="I7" s="101" t="str">
        <x:v>手枪右手与右侧挂点紧凑起伏；长枪双手/挂点收胸跑</x:v>
      </x:c>
      <x:c r="J7" s="101" t="str">
        <x:v>周期滞后</x:v>
      </x:c>
      <x:c r="K7" s="101" t="str">
        <x:v>地面划痕</x:v>
      </x:c>
      <x:c r="L7" s="101" t="str">
        <x:v>位移驱动独立循环；WeaponPoseFSM 进入 sidearm_run 或 longgun_run；双脚交替，单手/双手剪影分离</x:v>
      </x:c>
    </x:row>
    <x:row r="8" ht="56" customHeight="1">
      <x:c r="A8" s="101" t="str">
        <x:v>顶层</x:v>
      </x:c>
      <x:c r="B8" s="101" t="str">
        <x:v>dashing</x:v>
      </x:c>
      <x:c r="C8" s="101" t="str">
        <x:v>突进</x:v>
      </x:c>
      <x:c r="D8" s="101" t="str">
        <x:v>idle/moving</x:v>
      </x:c>
      <x:c r="E8" s="101" t="str">
        <x:v>idle,moving,hurt,locked,falling,dead</x:v>
      </x:c>
      <x:c r="F8" s="101" t="str">
        <x:v>压缩成团并绕半高轴完整前滚</x:v>
      </x:c>
      <x:c r="G8" s="101" t="str">
        <x:v>随整体轴心翻滚，耳朵大幅后压</x:v>
      </x:c>
      <x:c r="H8" s="101" t="str">
        <x:v>按当前武器握持数收束；自由左手随整体抱团</x:v>
      </x:c>
      <x:c r="I8" s="101" t="str">
        <x:v>右手握把与 WeaponSocket 同轴完整翻滚</x:v>
      </x:c>
      <x:c r="J8" s="101" t="str">
        <x:v>随整体收束</x:v>
      </x:c>
      <x:c r="K8" s="101" t="str">
        <x:v>青色尾迹</x:v>
      </x:c>
      <x:c r="L8" s="101" t="str">
        <x:v>0.17s 内完成 360° 本地X前滚；用半高轴心补偿避免钻地；夸张压缩与抛物线位移</x:v>
      </x:c>
    </x:row>
    <x:row r="9" ht="56" customHeight="1">
      <x:c r="A9" s="101" t="str">
        <x:v>顶层</x:v>
      </x:c>
      <x:c r="B9" s="101" t="str">
        <x:v>hurt</x:v>
      </x:c>
      <x:c r="C9" s="101" t="str">
        <x:v>受创</x:v>
      </x:c>
      <x:c r="D9" s="101" t="str">
        <x:v>任意存活态</x:v>
      </x:c>
      <x:c r="E9" s="101" t="str">
        <x:v>idle,moving,locked,falling,dead</x:v>
      </x:c>
      <x:c r="F9" s="101" t="str">
        <x:v>三段压扁/抬起/过冲回正</x:v>
      </x:c>
      <x:c r="G9" s="101" t="str">
        <x:v>大幅后仰甩头 + 反向过冲</x:v>
      </x:c>
      <x:c r="H9" s="101" t="str">
        <x:v>手枪左手自由外甩；长枪左手回护木</x:v>
      </x:c>
      <x:c r="I9" s="101" t="str">
        <x:v>右手/WeaponSocket 同相后退，握把不脱离</x:v>
      </x:c>
      <x:c r="J9" s="101" t="str">
        <x:v>冲击滞后</x:v>
      </x:c>
      <x:c r="K9" s="101" t="str">
        <x:v>红闪/击退轨迹</x:v>
      </x:c>
      <x:c r="L9" s="101" t="str">
        <x:v>真实命中方向 + 受击进度关键姿势；头、双脚、双耳使用独立夸张回弹</x:v>
      </x:c>
    </x:row>
    <x:row r="10">
      <x:c r="A10" s="101" t="str">
        <x:v>顶层</x:v>
      </x:c>
      <x:c r="B10" s="101" t="str">
        <x:v>locked</x:v>
      </x:c>
      <x:c r="C10" s="101" t="str">
        <x:v>交互锁定</x:v>
      </x:c>
      <x:c r="D10" s="101" t="str">
        <x:v>任意存活态/landing</x:v>
      </x:c>
      <x:c r="E10" s="101" t="str">
        <x:v>idle,moving,hurt,falling,dead</x:v>
      </x:c>
      <x:c r="F10" s="101" t="str">
        <x:v>降亮稳定</x:v>
      </x:c>
      <x:c r="G10" s="101" t="str">
        <x:v>稳定</x:v>
      </x:c>
      <x:c r="H10" s="101" t="str">
        <x:v>稳定</x:v>
      </x:c>
      <x:c r="I10" s="101" t="str">
        <x:v>保持握持</x:v>
      </x:c>
      <x:c r="J10" s="101" t="str">
        <x:v>低摆</x:v>
      </x:c>
      <x:c r="K10" s="101" t="str">
        <x:v>琥珀锁定环</x:v>
      </x:c>
      <x:c r="L10" s="101" t="str">
        <x:v>降亮 + 锁定环；保持刚性层级</x:v>
      </x:c>
    </x:row>
    <x:row r="11" ht="92" customHeight="1">
      <x:c r="A11" s="101" t="str">
        <x:v>顶层</x:v>
      </x:c>
      <x:c r="B11" s="101" t="str">
        <x:v>falling</x:v>
      </x:c>
      <x:c r="C11" s="101" t="str">
        <x:v>下落</x:v>
      </x:c>
      <x:c r="D11" s="101" t="str">
        <x:v>idle/moving/dashing/hurt/locked</x:v>
      </x:c>
      <x:c r="E11" s="101" t="str">
        <x:v>landing,hurt,dead</x:v>
      </x:c>
      <x:c r="F11" s="101" t="str">
        <x:v>随下落速度轻微纵向拉长</x:v>
      </x:c>
      <x:c r="G11" s="101" t="str">
        <x:v>滞后上扬，保持头重感</x:v>
      </x:c>
      <x:c r="H11" s="101" t="str">
        <x:v>手枪自由手收束；长枪托举手不脱离</x:v>
      </x:c>
      <x:c r="I11" s="101" t="str">
        <x:v>握持手与WeaponSocket保持同相</x:v>
      </x:c>
      <x:c r="J11" s="101" t="str">
        <x:v>向上滞后</x:v>
      </x:c>
      <x:c r="K11" s="101" t="str">
        <x:v>无新增VFX</x:v>
      </x:c>
      <x:c r="L11" s="101" t="str">
        <x:v>真实重力+0.10s离地容错；双脚收起、双耳后压；楼梯接缝不误触发</x:v>
      </x:c>
    </x:row>
    <x:row r="12" ht="92" customHeight="1">
      <x:c r="A12" s="101" t="str">
        <x:v>顶层</x:v>
      </x:c>
      <x:c r="B12" s="101" t="str">
        <x:v>landing</x:v>
      </x:c>
      <x:c r="C12" s="101" t="str">
        <x:v>落地</x:v>
      </x:c>
      <x:c r="D12" s="101" t="str">
        <x:v>falling</x:v>
      </x:c>
      <x:c r="E12" s="101" t="str">
        <x:v>idle,moving,locked,falling,hurt,dead</x:v>
      </x:c>
      <x:c r="F12" s="101" t="str">
        <x:v>按冲击速度压缩并回弹</x:v>
      </x:c>
      <x:c r="G12" s="101" t="str">
        <x:v>轻微下压后恢复</x:v>
      </x:c>
      <x:c r="H12" s="101" t="str">
        <x:v>随整体吸收冲击</x:v>
      </x:c>
      <x:c r="I12" s="101" t="str">
        <x:v>握持手与WeaponSocket同相稳定</x:v>
      </x:c>
      <x:c r="J12" s="101" t="str">
        <x:v>短促回摆</x:v>
      </x:c>
      <x:c r="K12" s="101" t="str">
        <x:v>落地停顿</x:v>
      </x:c>
      <x:c r="L12" s="101" t="str">
        <x:v>冲击速度映射0.12—0.30s硬直；状态计时结束后恢复地面移动</x:v>
      </x:c>
    </x:row>
    <x:row r="13">
      <x:c r="A13" s="101" t="str">
        <x:v>顶层</x:v>
      </x:c>
      <x:c r="B13" s="101" t="str">
        <x:v>dead</x:v>
      </x:c>
      <x:c r="C13" s="101" t="str">
        <x:v>生命终止</x:v>
      </x:c>
      <x:c r="D13" s="101" t="str">
        <x:v>任意存活态</x:v>
      </x:c>
      <x:c r="E13" s="101" t="str">
        <x:v>无（终态）</x:v>
      </x:c>
      <x:c r="F13" s="101" t="str">
        <x:v>按最后受击方向水平击飞并上抛；落地弹起一次后侧倒</x:v>
      </x:c>
      <x:c r="G13" s="101" t="str">
        <x:v>随身体滞后后仰，回弹后贴地</x:v>
      </x:c>
      <x:c r="H13" s="101" t="str">
        <x:v>随击飞惯性展开，回弹时收束</x:v>
      </x:c>
      <x:c r="I13" s="101" t="str">
        <x:v>武器握持层随整体击飞/回弹/侧倒</x:v>
      </x:c>
      <x:c r="J13" s="101" t="str">
        <x:v>惯性拖尾后停止</x:v>
      </x:c>
      <x:c r="K13" s="101" t="str">
        <x:v>1.35秒后显示点击返99F确认框</x:v>
      </x:c>
      <x:c r="L13" s="101" t="str">
        <x:v>真实CharacterBody3D速度+重力；death_animation_finished仅通知表现完成，点击后结算</x:v>
      </x:c>
    </x:row>
    <x:row r="14">
      <x:c r="A14" s="101" t="str">
        <x:v>叠加</x:v>
      </x:c>
      <x:c r="B14" s="101" t="str">
        <x:v>low_health</x:v>
      </x:c>
      <x:c r="C14" s="101" t="str">
        <x:v>低血</x:v>
      </x:c>
      <x:c r="D14" s="101" t="str">
        <x:v>任意存活态</x:v>
      </x:c>
      <x:c r="E14" s="101" t="str">
        <x:v>不改变顶层</x:v>
      </x:c>
      <x:c r="F14" s="101" t="str">
        <x:v>不变</x:v>
      </x:c>
      <x:c r="G14" s="101" t="str">
        <x:v>不变</x:v>
      </x:c>
      <x:c r="H14" s="101" t="str">
        <x:v>保持当前动作</x:v>
      </x:c>
      <x:c r="I14" s="101" t="str">
        <x:v>保持当前动作</x:v>
      </x:c>
      <x:c r="J14" s="101" t="str">
        <x:v>不变</x:v>
      </x:c>
      <x:c r="K14" s="101" t="str">
        <x:v>红色呼吸环</x:v>
      </x:c>
      <x:c r="L14" s="101" t="str">
        <x:v>HP≤30%</x:v>
      </x:c>
    </x:row>
    <x:row r="15" ht="56" customHeight="1">
      <x:c r="A15" s="70" t="str">
        <x:v>叠加</x:v>
      </x:c>
      <x:c r="B15" s="70" t="str">
        <x:v>silenced</x:v>
      </x:c>
      <x:c r="C15" s="70" t="str">
        <x:v>沉默</x:v>
      </x:c>
      <x:c r="D15" s="70" t="str">
        <x:v>任意存活态</x:v>
      </x:c>
      <x:c r="E15" s="70" t="str">
        <x:v>不改变顶层</x:v>
      </x:c>
      <x:c r="F15" s="70" t="str">
        <x:v>降饱和可选</x:v>
      </x:c>
      <x:c r="G15" s="70" t="str">
        <x:v>传感器干扰</x:v>
      </x:c>
      <x:c r="H15" s="70" t="str">
        <x:v>保持当前动作</x:v>
      </x:c>
      <x:c r="I15" s="70" t="str">
        <x:v>保持当前动作</x:v>
      </x:c>
      <x:c r="J15" s="70" t="str">
        <x:v>不变</x:v>
      </x:c>
      <x:c r="K15" s="70" t="str">
        <x:v>紫色干扰环</x:v>
      </x:c>
      <x:c r="L15" s="70" t="str">
        <x:v>计时标志</x:v>
      </x:c>
    </x:row>
    <x:row r="16" ht="28" customHeight="1">
      <x:c r="A16" s="97" t="str">
        <x:v>叠加</x:v>
      </x:c>
      <x:c r="B16" s="97" t="str">
        <x:v>invincible</x:v>
      </x:c>
      <x:c r="C16" s="97" t="str">
        <x:v>无敌</x:v>
      </x:c>
      <x:c r="D16" s="97" t="str">
        <x:v>dash/hurt</x:v>
      </x:c>
      <x:c r="E16" s="97" t="str">
        <x:v>不改变顶层</x:v>
      </x:c>
      <x:c r="F16" s="97" t="str">
        <x:v>闪烁</x:v>
      </x:c>
      <x:c r="G16" s="97" t="str">
        <x:v>闪烁</x:v>
      </x:c>
      <x:c r="H16" s="97" t="str">
        <x:v>保持当前动作</x:v>
      </x:c>
      <x:c r="I16" s="97" t="str">
        <x:v>保持当前动作</x:v>
      </x:c>
      <x:c r="J16" s="97" t="str">
        <x:v>闪烁</x:v>
      </x:c>
      <x:c r="K16" s="97" t="str">
        <x:v>透明闪烁</x:v>
      </x:c>
      <x:c r="L16" s="97" t="str">
        <x:v>InvincibleTimer 唯一解除</x:v>
      </x:c>
    </x:row>
    <x:row r="17" ht="36" customHeight="1">
      <x:c r="A17" s="70" t="str">
        <x:v>叠加</x:v>
      </x:c>
      <x:c r="B17" s="70" t="str">
        <x:v>reloading</x:v>
      </x:c>
      <x:c r="C17" s="70" t="str">
        <x:v>换弹</x:v>
      </x:c>
      <x:c r="D17" s="70" t="str">
        <x:v>任意持枪存活态</x:v>
      </x:c>
      <x:c r="E17" s="70" t="str">
        <x:v>不改变顶层；完成/取消退出</x:v>
      </x:c>
      <x:c r="F17" s="70" t="str">
        <x:v>保持当前顶层</x:v>
      </x:c>
      <x:c r="G17" s="70" t="str">
        <x:v>保持当前顶层</x:v>
      </x:c>
      <x:c r="H17" s="70" t="str">
        <x:v>手枪左手近身取弹但不计握持；长枪左手离开护木服务</x:v>
      </x:c>
      <x:c r="I17" s="70" t="str">
        <x:v>右手持续握把并跟随 WeaponSocket 下压/回位</x:v>
      </x:c>
      <x:c r="J17" s="70" t="str">
        <x:v>保持当前顶层</x:v>
      </x:c>
      <x:c r="K17" s="70" t="str">
        <x:v>3D头顶billboard进度条；HUD弹药栏</x:v>
      </x:c>
      <x:c r="L17" s="70" t="str">
        <x:v>WeaponModel3D 唯一计时源；WeaponPoseFSM 进入 sidearm_reload/longgun_reload；右手保持握把，左手按武器类型服务</x:v>
      </x:c>
    </x:row>
    <x:row r="18" ht="42" customHeight="1">
      <x:c r="A18" s="70" t="str">
        <x:v>Enemy3D 九态状态机 × 模块表现 × 模型轮廓碰撞</x:v>
      </x:c>
      <x:c r="B18" s="70"/>
      <x:c r="C18" s="70"/>
      <x:c r="D18" s="70"/>
      <x:c r="E18" s="70"/>
      <x:c r="F18" s="70"/>
      <x:c r="G18" s="70"/>
      <x:c r="H18" s="70"/>
      <x:c r="I18" s="70"/>
      <x:c r="J18" s="70"/>
      <x:c r="K18" s="70"/>
      <x:c r="L18" s="70"/>
    </x:row>
    <x:row r="19" ht="42" customHeight="1">
      <x:c r="A19" s="70" t="str">
        <x:v>层级</x:v>
      </x:c>
      <x:c r="B19" s="70" t="str">
        <x:v>状态ID</x:v>
      </x:c>
      <x:c r="C19" s="70" t="str">
        <x:v>中文名</x:v>
      </x:c>
      <x:c r="D19" s="70" t="str">
        <x:v>允许来源</x:v>
      </x:c>
      <x:c r="E19" s="70" t="str">
        <x:v>允许去向</x:v>
      </x:c>
      <x:c r="F19" s="70" t="str">
        <x:v>Core</x:v>
      </x:c>
      <x:c r="G19" s="70" t="str">
        <x:v>Shell</x:v>
      </x:c>
      <x:c r="H19" s="70" t="str">
        <x:v>Appendages</x:v>
      </x:c>
      <x:c r="I19" s="70" t="str">
        <x:v>StateVFX</x:v>
      </x:c>
      <x:c r="J19" s="70" t="str">
        <x:v>行为职责</x:v>
      </x:c>
      <x:c r="K19" s="70" t="str">
        <x:v>验收</x:v>
      </x:c>
      <x:c r="L19" s="70" t="str">
        <x:v>首版实现</x:v>
      </x:c>
    </x:row>
    <x:row r="20" ht="42" customHeight="1">
      <x:c r="A20" s="70" t="str">
        <x:v>顶层</x:v>
      </x:c>
      <x:c r="B20" s="70" t="str">
        <x:v>idle</x:v>
      </x:c>
      <x:c r="C20" s="70" t="str">
        <x:v>待机</x:v>
      </x:c>
      <x:c r="D20" s="70" t="str">
        <x:v>start/patrol/stagger</x:v>
      </x:c>
      <x:c r="E20" s="70" t="str">
        <x:v>patrol/alert/dead</x:v>
      </x:c>
      <x:c r="F20" s="70" t="str">
        <x:v>低频脉冲</x:v>
      </x:c>
      <x:c r="G20" s="70" t="str">
        <x:v>轻浮动</x:v>
      </x:c>
      <x:c r="H20" s="70" t="str">
        <x:v>低速</x:v>
      </x:c>
      <x:c r="I20" s="70" t="str">
        <x:v>关闭</x:v>
      </x:c>
      <x:c r="J20" s="70" t="str">
        <x:v>等待目标</x:v>
      </x:c>
      <x:c r="K20" s="70" t="str">
        <x:v>静态轮廓可读</x:v>
      </x:c>
      <x:c r="L20" s="70" t="str">
        <x:v>模块变换</x:v>
      </x:c>
    </x:row>
    <x:row r="21" ht="42" customHeight="1">
      <x:c r="A21" s="70" t="str">
        <x:v>顶层</x:v>
      </x:c>
      <x:c r="B21" s="70" t="str">
        <x:v>patrol</x:v>
      </x:c>
      <x:c r="C21" s="70" t="str">
        <x:v>巡逻</x:v>
      </x:c>
      <x:c r="D21" s="70" t="str">
        <x:v>idle/search</x:v>
      </x:c>
      <x:c r="E21" s="70" t="str">
        <x:v>idle/alert/stagger/dead</x:v>
      </x:c>
      <x:c r="F21" s="70" t="str">
        <x:v>低频脉冲</x:v>
      </x:c>
      <x:c r="G21" s="70" t="str">
        <x:v>朝巡逻点</x:v>
      </x:c>
      <x:c r="H21" s="70" t="str">
        <x:v>慢速步态</x:v>
      </x:c>
      <x:c r="I21" s="70" t="str">
        <x:v>关闭</x:v>
      </x:c>
      <x:c r="J21" s="70" t="str">
        <x:v>出生点附近巡逻</x:v>
      </x:c>
      <x:c r="K21" s="70" t="str">
        <x:v>无目标不原地僵住</x:v>
      </x:c>
      <x:c r="L21" s="70" t="str">
        <x:v>CharacterBody3D</x:v>
      </x:c>
    </x:row>
    <x:row r="22" ht="42" customHeight="1">
      <x:c r="A22" s="70" t="str">
        <x:v>顶层</x:v>
      </x:c>
      <x:c r="B22" s="70" t="str">
        <x:v>alert</x:v>
      </x:c>
      <x:c r="C22" s="70" t="str">
        <x:v>警觉</x:v>
      </x:c>
      <x:c r="D22" s="70" t="str">
        <x:v>idle/patrol/search</x:v>
      </x:c>
      <x:c r="E22" s="70" t="str">
        <x:v>chase/stagger/dead</x:v>
      </x:c>
      <x:c r="F22" s="70" t="str">
        <x:v>加速</x:v>
      </x:c>
      <x:c r="G22" s="70" t="str">
        <x:v>抬升</x:v>
      </x:c>
      <x:c r="H22" s="70" t="str">
        <x:v>展开</x:v>
      </x:c>
      <x:c r="I22" s="70" t="str">
        <x:v>关闭</x:v>
      </x:c>
      <x:c r="J22" s="70" t="str">
        <x:v>发现玩家</x:v>
      </x:c>
      <x:c r="K22" s="70" t="str">
        <x:v>0.28s响应</x:v>
      </x:c>
      <x:c r="L22" s="70" t="str">
        <x:v>模块变换</x:v>
      </x:c>
    </x:row>
    <x:row r="23" ht="42" customHeight="1">
      <x:c r="A23" s="70" t="str">
        <x:v>顶层</x:v>
      </x:c>
      <x:c r="B23" s="70" t="str">
        <x:v>chase</x:v>
      </x:c>
      <x:c r="C23" s="70" t="str">
        <x:v>追击</x:v>
      </x:c>
      <x:c r="D23" s="70" t="str">
        <x:v>alert/attack/stagger</x:v>
      </x:c>
      <x:c r="E23" s="70" t="str">
        <x:v>search/telegraph/stagger/dead</x:v>
      </x:c>
      <x:c r="F23" s="70" t="str">
        <x:v>稳定</x:v>
      </x:c>
      <x:c r="G23" s="70" t="str">
        <x:v>朝目标</x:v>
      </x:c>
      <x:c r="H23" s="70" t="str">
        <x:v>步态</x:v>
      </x:c>
      <x:c r="I23" s="70" t="str">
        <x:v>关闭</x:v>
      </x:c>
      <x:c r="J23" s="70" t="str">
        <x:v>距离控制</x:v>
      </x:c>
      <x:c r="K23" s="70" t="str">
        <x:v>七类速度差</x:v>
      </x:c>
      <x:c r="L23" s="70" t="str">
        <x:v>CharacterBody3D</x:v>
      </x:c>
    </x:row>
    <x:row r="24" ht="42" customHeight="1">
      <x:c r="A24" s="70" t="str">
        <x:v>顶层</x:v>
      </x:c>
      <x:c r="B24" s="70" t="str">
        <x:v>search</x:v>
      </x:c>
      <x:c r="C24" s="70" t="str">
        <x:v>搜索</x:v>
      </x:c>
      <x:c r="D24" s="70" t="str">
        <x:v>chase</x:v>
      </x:c>
      <x:c r="E24" s="70" t="str">
        <x:v>patrol/alert/stagger/dead</x:v>
      </x:c>
      <x:c r="F24" s="70" t="str">
        <x:v>渐缓</x:v>
      </x:c>
      <x:c r="G24" s="70" t="str">
        <x:v>朝最后位置</x:v>
      </x:c>
      <x:c r="H24" s="70" t="str">
        <x:v>搜索步态</x:v>
      </x:c>
      <x:c r="I24" s="70" t="str">
        <x:v>搜索提示</x:v>
      </x:c>
      <x:c r="J24" s="70" t="str">
        <x:v>失去视线后搜索</x:v>
      </x:c>
      <x:c r="K24" s="70" t="str">
        <x:v>2.4s后回巡逻</x:v>
      </x:c>
      <x:c r="L24" s="70" t="str">
        <x:v>射线+最后位置</x:v>
      </x:c>
    </x:row>
    <x:row r="25">
      <x:c r="A25" s="70" t="str">
        <x:v>顶层</x:v>
      </x:c>
      <x:c r="B25" s="70" t="str">
        <x:v>telegraph</x:v>
      </x:c>
      <x:c r="C25" s="70" t="str">
        <x:v>预警</x:v>
      </x:c>
      <x:c r="D25" s="70" t="str">
        <x:v>chase</x:v>
      </x:c>
      <x:c r="E25" s="70" t="str">
        <x:v>attack/stagger/dead</x:v>
      </x:c>
      <x:c r="F25" s="70" t="str">
        <x:v>高频脉冲</x:v>
      </x:c>
      <x:c r="G25" s="70" t="str">
        <x:v>稳定</x:v>
      </x:c>
      <x:c r="H25" s="70" t="str">
        <x:v>蓄势</x:v>
      </x:c>
      <x:c r="I25" s="70" t="str">
        <x:v>红色预警环</x:v>
      </x:c>
      <x:c r="J25" s="70" t="str">
        <x:v>攻击前摇</x:v>
      </x:c>
      <x:c r="K25" s="70" t="str">
        <x:v>不可省略</x:v>
      </x:c>
      <x:c r="L25" s="70" t="str">
        <x:v>计时状态</x:v>
      </x:c>
    </x:row>
    <x:row r="26">
      <x:c r="A26" s="70" t="str">
        <x:v>顶层</x:v>
      </x:c>
      <x:c r="B26" s="70" t="str">
        <x:v>attack</x:v>
      </x:c>
      <x:c r="C26" s="70" t="str">
        <x:v>攻击</x:v>
      </x:c>
      <x:c r="D26" s="70" t="str">
        <x:v>telegraph</x:v>
      </x:c>
      <x:c r="E26" s="70" t="str">
        <x:v>chase/stagger/dead</x:v>
      </x:c>
      <x:c r="F26" s="70" t="str">
        <x:v>峰值</x:v>
      </x:c>
      <x:c r="G26" s="70" t="str">
        <x:v>反冲</x:v>
      </x:c>
      <x:c r="H26" s="70" t="str">
        <x:v>执行</x:v>
      </x:c>
      <x:c r="I26" s="70" t="str">
        <x:v>按攻击类型</x:v>
      </x:c>
      <x:c r="J26" s="70" t="str">
        <x:v>近战/远程/召唤/爆炸</x:v>
      </x:c>
      <x:c r="K26" s="70" t="str">
        <x:v>七类差异</x:v>
      </x:c>
      <x:c r="L26" s="70" t="str">
        <x:v>profile策略</x:v>
      </x:c>
    </x:row>
    <x:row r="27">
      <x:c r="A27" s="70" t="str">
        <x:v>顶层</x:v>
      </x:c>
      <x:c r="B27" s="70" t="str">
        <x:v>stagger</x:v>
      </x:c>
      <x:c r="C27" s="70" t="str">
        <x:v>硬直</x:v>
      </x:c>
      <x:c r="D27" s="70" t="str">
        <x:v>任意存活态</x:v>
      </x:c>
      <x:c r="E27" s="70" t="str">
        <x:v>chase/dead</x:v>
      </x:c>
      <x:c r="F27" s="70" t="str">
        <x:v>闪色</x:v>
      </x:c>
      <x:c r="G27" s="70" t="str">
        <x:v>冲击</x:v>
      </x:c>
      <x:c r="H27" s="70" t="str">
        <x:v>暂停</x:v>
      </x:c>
      <x:c r="I27" s="70" t="str">
        <x:v>伤害反馈</x:v>
      </x:c>
      <x:c r="J27" s="70" t="str">
        <x:v>受击窗口</x:v>
      </x:c>
      <x:c r="K27" s="70" t="str">
        <x:v>方向可读</x:v>
      </x:c>
      <x:c r="L27" s="70" t="str">
        <x:v>统一伤害入口</x:v>
      </x:c>
    </x:row>
    <x:row r="28" ht="38" customHeight="1">
      <x:c r="A28" s="102" t="str">
        <x:v>顶层</x:v>
      </x:c>
      <x:c r="B28" s="102" t="str">
        <x:v>dead</x:v>
      </x:c>
      <x:c r="C28" s="102" t="str">
        <x:v>死亡</x:v>
      </x:c>
      <x:c r="D28" s="102" t="str">
        <x:v>任意存活态</x:v>
      </x:c>
      <x:c r="E28" s="102" t="str">
        <x:v>无（终态）</x:v>
      </x:c>
      <x:c r="F28" s="102" t="str">
        <x:v>熄灭</x:v>
      </x:c>
      <x:c r="G28" s="102" t="str">
        <x:v>压扁</x:v>
      </x:c>
      <x:c r="H28" s="102" t="str">
        <x:v>停止</x:v>
      </x:c>
      <x:c r="I28" s="102" t="str">
        <x:v>爆散/淡出</x:v>
      </x:c>
      <x:c r="J28" s="102" t="str">
        <x:v>掉落与计数</x:v>
      </x:c>
      <x:c r="K28" s="102" t="str">
        <x:v>不可回存活态</x:v>
      </x:c>
      <x:c r="L28" s="102" t="str">
        <x:v>终态 + Tween</x:v>
      </x:c>
    </x:row>
    <x:row r="29" ht="38" customHeight="1">
      <x:c r="A29" s="103"/>
      <x:c r="B29" s="103"/>
      <x:c r="C29" s="103"/>
      <x:c r="D29" s="103"/>
      <x:c r="E29" s="103"/>
      <x:c r="F29" s="103"/>
      <x:c r="G29" s="103"/>
      <x:c r="H29" s="103"/>
      <x:c r="I29" s="103"/>
      <x:c r="J29" s="103"/>
      <x:c r="K29" s="103"/>
      <x:c r="L29" s="103"/>
    </x:row>
    <x:row r="30" ht="56" customHeight="1">
      <x:c r="A30" s="70" t="str">
        <x:v>Player3D 动作覆盖层 × 组件表现（不新增顶层状态）</x:v>
      </x:c>
      <x:c r="B30" s="70"/>
      <x:c r="C30" s="70"/>
      <x:c r="D30" s="70"/>
      <x:c r="E30" s="70"/>
      <x:c r="F30" s="70"/>
      <x:c r="G30" s="70"/>
      <x:c r="H30" s="70"/>
      <x:c r="I30" s="70"/>
      <x:c r="J30" s="70"/>
      <x:c r="K30" s="70"/>
      <x:c r="L30" s="70"/>
    </x:row>
    <x:row r="31" ht="56" customHeight="1">
      <x:c r="A31" s="70" t="str">
        <x:v>层级｜状态ID｜中文名｜唯一来源｜退出｜Body｜Head｜Hand L（停用）｜Hand（握持）｜Scarf｜VFX/UI｜首版实现</x:v>
      </x:c>
      <x:c r="B31" s="70"/>
      <x:c r="C31" s="70"/>
      <x:c r="D31" s="70"/>
      <x:c r="E31" s="70"/>
      <x:c r="F31" s="70"/>
      <x:c r="G31" s="70"/>
      <x:c r="H31" s="70"/>
      <x:c r="I31" s="70"/>
      <x:c r="J31" s="70"/>
      <x:c r="K31" s="70"/>
      <x:c r="L31" s="70"/>
    </x:row>
    <x:row r="32" ht="56" customHeight="1">
      <x:c r="A32" s="70" t="str">
        <x:v>叠加</x:v>
      </x:c>
      <x:c r="B32" s="70" t="str">
        <x:v>firing</x:v>
      </x:c>
      <x:c r="C32" s="70" t="str">
        <x:v>射击</x:v>
      </x:c>
      <x:c r="D32" s="70" t="str">
        <x:v>WeaponModel3D.shot_fired</x:v>
      </x:c>
      <x:c r="E32" s="70" t="str">
        <x:v>短时回弹后退出</x:v>
      </x:c>
      <x:c r="F32" s="70" t="str">
        <x:v>前探/压缩/弹性回弹</x:v>
      </x:c>
      <x:c r="G32" s="70" t="str">
        <x:v>小幅前探</x:v>
      </x:c>
      <x:c r="H32" s="70" t="str">
        <x:v>手枪左手不继承后坐；长枪左手托举并小幅刚性回弹</x:v>
      </x:c>
      <x:c r="I32" s="70" t="str">
        <x:v>右手握把跟随 WeaponSocket；手枪单腕上挑，长枪双手与躯干共同吃后坐</x:v>
      </x:c>
      <x:c r="J32" s="70" t="str">
        <x:v>受冲量轻摆</x:v>
      </x:c>
      <x:c r="K32" s="70" t="str">
        <x:v>枪口闪光/后坐</x:v>
      </x:c>
      <x:c r="L32" s="70" t="str">
        <x:v>真实 shot_fired 信号；WeaponPoseFSM 进入 sidearm_fire/longgun_fire；七种枪体读取独立 fire_style、kick、pitch、roll、lift 参数</x:v>
      </x:c>
    </x:row>
    <x:row r="33">
      <x:c r="A33" s="70" t="str">
        <x:v>叠加</x:v>
      </x:c>
      <x:c r="B33" s="70" t="str">
        <x:v>charging</x:v>
      </x:c>
      <x:c r="C33" s="70" t="str">
        <x:v>蓄力</x:v>
      </x:c>
      <x:c r="D33" s="70" t="str">
        <x:v>WeaponModel3D.charge_active / charge_ratio</x:v>
      </x:c>
      <x:c r="E33" s="70" t="str">
        <x:v>释放/取消/换枪/死亡</x:v>
      </x:c>
      <x:c r="F33" s="70" t="str">
        <x:v>下压蓄势</x:v>
      </x:c>
      <x:c r="G33" s="70" t="str">
        <x:v>轻微压低</x:v>
      </x:c>
      <x:c r="H33" s="70" t="str">
        <x:v>长枪左手向内压入形成张力；手枪保持自由手</x:v>
      </x:c>
      <x:c r="I33" s="70" t="str">
        <x:v>右手握把与 WeaponSocket 同相蓄势</x:v>
      </x:c>
      <x:c r="J33" s="70" t="str">
        <x:v>低频张力摆动</x:v>
      </x:c>
      <x:c r="K33" s="70" t="str">
        <x:v>紫色能量提示（可选）</x:v>
      </x:c>
      <x:c r="L33" s="70" t="str">
        <x:v>读取真实蓄力进度；WeaponPoseFSM 进入对应 charge 状态；释放后按枪体 profile 回弹</x:v>
      </x:c>
    </x:row>
    <x:row r="34" ht="34" customHeight="1">
      <x:c r="A34" s="102" t="str">
        <x:v>叠加</x:v>
      </x:c>
      <x:c r="B34" s="102" t="str">
        <x:v>knockback</x:v>
      </x:c>
      <x:c r="C34" s="102" t="str">
        <x:v>受击击飞</x:v>
      </x:c>
      <x:c r="D34" s="102" t="str">
        <x:v>Player3D 命中方向/强度/时长</x:v>
      </x:c>
      <x:c r="E34" s="102" t="str">
        <x:v>冲量归零或死亡</x:v>
      </x:c>
      <x:c r="F34" s="102" t="str">
        <x:v>反向位移/压缩/弹回</x:v>
      </x:c>
      <x:c r="G34" s="102" t="str">
        <x:v>夸张后仰甩头/回正</x:v>
      </x:c>
      <x:c r="H34" s="102" t="str">
        <x:v>手枪自由左手外甩；长枪左手回护木</x:v>
      </x:c>
      <x:c r="I34" s="102" t="str">
        <x:v>右手与 WeaponSocket 同相后退/回正</x:v>
      </x:c>
      <x:c r="J34" s="102" t="str">
        <x:v>滞后甩动</x:v>
      </x:c>
      <x:c r="K34" s="102" t="str">
        <x:v>红闪/短轨迹</x:v>
      </x:c>
      <x:c r="L34" s="102" t="str">
        <x:v>hurt 消费递减XZ冲量；双耳/双脚/双手分层过冲，不新增顶层状态</x:v>
      </x:c>
    </x:row>
    <x:row r="35" ht="34" customHeight="1">
      <x:c r="A35" s="103"/>
      <x:c r="B35" s="103"/>
      <x:c r="C35" s="103"/>
      <x:c r="D35" s="103"/>
      <x:c r="E35" s="103"/>
      <x:c r="F35" s="103"/>
      <x:c r="G35" s="103"/>
      <x:c r="H35" s="103"/>
      <x:c r="I35" s="103"/>
      <x:c r="J35" s="103"/>
      <x:c r="K35" s="103"/>
      <x:c r="L35" s="103"/>
    </x:row>
    <x:row r="36" ht="34" customHeight="1">
      <x:c r="A36" s="70" t="str">
        <x:v>Player3D DIY 外观槽 × 动态继承（不影响八态/玩法）</x:v>
      </x:c>
      <x:c r="B36" s="70"/>
      <x:c r="C36" s="70"/>
      <x:c r="D36" s="70"/>
      <x:c r="E36" s="70"/>
      <x:c r="F36" s="70"/>
      <x:c r="G36" s="70"/>
      <x:c r="H36" s="70"/>
      <x:c r="I36" s="70"/>
      <x:c r="J36" s="70"/>
      <x:c r="K36" s="70"/>
      <x:c r="L36" s="70"/>
    </x:row>
    <x:row r="37">
      <x:c r="A37" s="70" t="str">
        <x:v>槽位｜候选变体｜父组件｜移动｜射击/蓄力｜受击/击飞｜换弹｜死亡｜挂点契约｜验收｜复用范围｜首版实现</x:v>
      </x:c>
      <x:c r="B37" s="70"/>
      <x:c r="C37" s="70"/>
      <x:c r="D37" s="70"/>
      <x:c r="E37" s="70"/>
      <x:c r="F37" s="70"/>
      <x:c r="G37" s="70"/>
      <x:c r="H37" s="70"/>
      <x:c r="I37" s="70"/>
      <x:c r="J37" s="70"/>
      <x:c r="K37" s="70"/>
      <x:c r="L37" s="70"/>
    </x:row>
    <x:row r="38" ht="38" customHeight="1">
      <x:c r="A38" s="70" t="str">
        <x:v>body/head/hand/feet/hat/glasses</x:v>
      </x:c>
      <x:c r="B38" s="70" t="str">
        <x:v>5+5+5+5+4+4</x:v>
      </x:c>
      <x:c r="C38" s="70" t="str">
        <x:v>BunnyRig Body/Head/Hands/Feet/Wearables</x:v>
      </x:c>
      <x:c r="D38" s="70" t="str">
        <x:v>身体弹性+双脚交替+双耳摆动</x:v>
      </x:c>
      <x:c r="E38" s="70" t="str">
        <x:v>按武器类型单/双手后坐；头前探</x:v>
      </x:c>
      <x:c r="F38" s="70" t="str">
        <x:v>整体后仰/脚随根回正</x:v>
      </x:c>
      <x:c r="G38" s="70" t="str">
        <x:v>主握手+WeaponSocket同相；长枪左手托举</x:v>
      </x:c>
      <x:c r="H38" s="70" t="str">
        <x:v>全部模块随根倾倒</x:v>
      </x:c>
      <x:c r="I38" s="70" t="str">
        <x:v>LowerBodySocket随BodyJoint；武器握持按枪型</x:v>
      </x:c>
      <x:c r="J38" s="70" t="str">
        <x:v>可见GLB材质+双耳+双手+双脚+八态覆盖</x:v>
      </x:c>
      <x:c r="K38" s="70" t="str">
        <x:v>3D玩家/预览场</x:v>
      </x:c>
      <x:c r="L38" s="70" t="str">
        <x:v>Bunny GLB材质/程序挂点；Player3D.set_avatar_customization</x:v>
      </x:c>
    </x:row>
    <x:row r="39" ht="38" customHeight="1">
      <x:c r="A39" s="70"/>
      <x:c r="B39" s="70"/>
      <x:c r="C39" s="70"/>
      <x:c r="D39" s="70"/>
      <x:c r="E39" s="70"/>
      <x:c r="F39" s="70"/>
      <x:c r="G39" s="70"/>
      <x:c r="H39" s="70"/>
      <x:c r="I39" s="70"/>
      <x:c r="J39" s="70"/>
      <x:c r="K39" s="70"/>
      <x:c r="L39" s="70"/>
    </x:row>
    <x:row r="40" ht="38" customHeight="1">
      <x:c r="A40" s="70" t="str">
        <x:v>v0.1 兔子组件与动作归属（不新增状态）</x:v>
      </x:c>
      <x:c r="B40" s="70"/>
      <x:c r="C40" s="70"/>
      <x:c r="D40" s="70"/>
      <x:c r="E40" s="70"/>
      <x:c r="F40" s="70"/>
      <x:c r="G40" s="70"/>
      <x:c r="H40" s="70"/>
      <x:c r="I40" s="70"/>
      <x:c r="J40" s="70"/>
      <x:c r="K40" s="70"/>
      <x:c r="L40" s="70"/>
    </x:row>
    <x:row r="41">
      <x:c r="A41" s="70" t="str">
        <x:v>父模块｜子组件｜节点数量｜Idle｜Moving｜Dashing｜Hurt/Knockback｜Reload/Fire｜Dead｜图形语言｜禁止事项｜验收</x:v>
      </x:c>
      <x:c r="B41" s="70"/>
      <x:c r="C41" s="70"/>
      <x:c r="D41" s="70"/>
      <x:c r="E41" s="70"/>
      <x:c r="F41" s="70"/>
      <x:c r="G41" s="70"/>
      <x:c r="H41" s="70"/>
      <x:c r="I41" s="70"/>
      <x:c r="J41" s="70"/>
      <x:c r="K41" s="70"/>
      <x:c r="L41" s="70"/>
    </x:row>
    <x:row r="42">
      <x:c r="A42" s="70" t="str">
        <x:v>Head / Body / Hands / Feet</x:v>
      </x:c>
      <x:c r="B42" s="70" t="str">
        <x:v>Ears / LowerBodySocket / HandL / HandR / FootL / FootR</x:v>
      </x:c>
      <x:c r="C42" s="70" t="str">
        <x:v>2 / 1 / 1 / 1 / 1 / 1</x:v>
      </x:c>
      <x:c r="D42" s="70" t="str">
        <x:v>双耳错相呼吸；下身挂点随Body</x:v>
      </x:c>
      <x:c r="E42" s="70" t="str">
        <x:v>双脚交替；双手按武器类型；挂点随Body</x:v>
      </x:c>
      <x:c r="F42" s="70" t="str">
        <x:v>随VisualRoot压缩翻滚</x:v>
      </x:c>
      <x:c r="G42" s="70" t="str">
        <x:v>手/耳/脚分别回弹；挂点继承Body</x:v>
      </x:c>
      <x:c r="H42" s="70" t="str">
        <x:v>手枪右手/长枪双手；下身挂件不参与枪姿</x:v>
      </x:c>
      <x:c r="I42" s="70" t="str">
        <x:v>全部随VisualRoot倾倒</x:v>
      </x:c>
      <x:c r="J42" s="70" t="str">
        <x:v>兔子刚性节点骨架；GLB分件</x:v>
      </x:c>
      <x:c r="K42" s="70" t="str">
        <x:v>禁止把下身附件烘焙进Body或加入玩法碰撞</x:v>
      </x:c>
      <x:c r="L42" s="70" t="str">
        <x:v>节点路径+材质换色+步态+持枪+LowerBodySocket专项验证</x:v>
      </x:c>
    </x:row>
  </x:sheetData>
  <x:mergeCells>
    <x:mergeCell ref="A1:L2"/>
    <x:mergeCell ref="A3:L3"/>
    <x:mergeCell ref="A18:L18"/>
    <x:mergeCell ref="A30:L30"/>
    <x:mergeCell ref="A31:L31"/>
    <x:mergeCell ref="A36:L36"/>
    <x:mergeCell ref="A37:L37"/>
    <x:mergeCell ref="A40:L40"/>
    <x:mergeCell ref="A41:L4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chr_{role}_{name}{nn}_{component}_{view}_v{nnn}.{png|glb|tscn}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enm_{archetype}_{name}{nn}_{part}_{view}_v{nnn}.{png|glb|tscn}</x:v>
      </x:c>
      <x:c r="F7" s="37" t="str">
        <x:v>ENM-MELEE-FUNGBOAR01-BODY</x:v>
      </x:c>
    </x:row>
    <x:row r="8">
      <x:c r="A8" s="37" t="str">
        <x:v>WPN</x:v>
      </x:c>
      <x:c r="B8" s="37" t="str">
        <x:v>枪械</x:v>
      </x:c>
      <x:c r="C8" s="37" t="str">
        <x:v>gunbody / bullet / attachment</x:v>
      </x:c>
      <x:c r="D8" s="37" t="str">
        <x:v>assets/art/weapons/</x:v>
      </x:c>
      <x:c r="E8" s="37" t="str">
        <x:v>wpn_{family}_{logic_id}_{view}_v{nnn}.{png|glb|tscn}</x:v>
      </x:c>
      <x:c r="F8" s="37" t="str">
        <x:v>WPN-GUN-BP-PISTOL-SIDE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env_{biome}_{set}_{piece}_v{nnn}.{png|glb|tres|tscn}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 / light / switch</x:v>
      </x:c>
      <x:c r="D11" s="37" t="str">
        <x:v>assets/art/props/</x:v>
      </x:c>
      <x:c r="E11" s="37" t="str">
        <x:v>prp_{set}_{logic_id}_{state}_v{nnn}.{png|glb|tscn}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vfx_{system}_{effect}_{variant}_v{nnn}.{png|glb|tscn}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src/assets/audio/sfx/</x:v>
      </x:c>
      <x:c r="E14" s="37" t="str">
        <x:v>{event}_v{nnn}.{ogg|wav}</x:v>
      </x:c>
      <x:c r="F14" s="37" t="str">
        <x:v>AUD-SFX-PLAYER-DASH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角色/房间/家具尺寸/枪械/怪物/灯具共用根</x:v>
      </x:c>
      <x:c r="D10" s="37" t="str">
        <x:v>组件独立；3D用配置与父子变体</x:v>
      </x:c>
      <x:c r="E10" s="37" t="str">
        <x:v>关卡内复制枪表/房间/怪物根</x:v>
      </x:c>
      <x:c r="F10" s="37" t="str">
        <x:v>large可搜索柜</x:v>
      </x:c>
      <x:c r="G10" s="37" t="str">
        <x:v>复用RoomFurniture3D + size=large</x:v>
      </x:c>
      <x:c r="H10" s="37" t="str">
        <x:v>F/N/O/X</x:v>
      </x:c>
    </x:row>
    <x:row r="11">
      <x:c r="A11" s="37" t="n">
        <x:v>6</x:v>
      </x:c>
      <x:c r="B11" s="37" t="str">
        <x:v>验收</x:v>
      </x:c>
      <x:c r="C11" s="37" t="str">
        <x:v>透明边缘或3D灯光/雾/碰撞/状态/玩法逻辑/节点预算</x:v>
      </x:c>
      <x:c r="D11" s="37" t="str">
        <x:v>真实游戏镜头 + 玩法专项 + 性能专项通过</x:v>
      </x:c>
      <x:c r="E11" s="37" t="str">
        <x:v>只看母版或编辑器预览</x:v>
      </x:c>
      <x:c r="F11" s="37" t="str">
        <x:v>3D主题关卡</x:v>
      </x:c>
      <x:c r="G11" s="37" t="str">
        <x:v>seed/暗室开关/遮挡视野/七怪/56组合/撤离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^[a-z0-9]+(?:_[a-z0-9]+)*_v[0-9]{3}\.(png|webp|svg|wav|ogg|glb|gltf|tres|tscn)$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6" hidden="0" customWidth="1"/>
    <x:col min="3" max="3" width="11" hidden="0" customWidth="1"/>
    <x:col min="4" max="4" width="24" hidden="0" customWidth="1"/>
    <x:col min="5" max="5" width="58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当前角色原型 · 兔子组件角色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1.5m 俯视3D角色；逻辑根、虚拟碰撞胶囊、视觉组件和 WeaponSocket 相互独立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动作方式</x:v>
      </x:c>
      <x:c r="H5" s="30" t="str">
        <x:v>验收</x:v>
      </x:c>
    </x:row>
    <x:row r="6" ht="42" customHeight="1">
      <x:c r="A6" s="36" t="str">
        <x:v>root</x:v>
      </x:c>
      <x:c r="B6" s="36" t="str">
        <x:v>CHR-PLY-CAPSULE01-3D-BUNNY01</x:v>
      </x:c>
      <x:c r="C6" s="36" t="str">
        <x:v>1.034×1.500×0.645m</x:v>
      </x:c>
      <x:c r="D6" s="36" t="str">
        <x:v>视觉组件根</x:v>
      </x:c>
      <x:c r="E6" s="36" t="str">
        <x:v>assets/art/characters/player/chr_player_capsule01_3d/variants/bunny01/chr_player_capsule01_bunny01_root_top3d_v006.tscn</x:v>
      </x:c>
      <x:c r="F6" s="36" t="str">
        <x:v>b894e9fe05f8</x:v>
      </x:c>
      <x:c r="G6" s="36" t="str">
        <x:v>八态 + 动作覆盖层</x:v>
      </x:c>
      <x:c r="H6" s="36" t="str">
        <x:v>通过</x:v>
      </x:c>
    </x:row>
    <x:row r="7" ht="42" customHeight="1">
      <x:c r="A7" s="37" t="str">
        <x:v>body</x:v>
      </x:c>
      <x:c r="B7" s="37" t="str">
        <x:v>CHR-PLY-CAPSULE01-3D-BUNNY01-BODY</x:v>
      </x:c>
      <x:c r="C7" s="37" t="str">
        <x:v>1.5m角色比例</x:v>
      </x:c>
      <x:c r="D7" s="37" t="str">
        <x:v>身体组件</x:v>
      </x:c>
      <x:c r="E7" s="37" t="str">
        <x:v>assets/art/characters/player/chr_player_capsule01_3d/variants/bunny01/components/chr_player_capsule01_bunny01_body_top3d_v006.glb</x:v>
      </x:c>
      <x:c r="F7" s="37" t="str">
        <x:v>c574d76e0f19</x:v>
      </x:c>
      <x:c r="G7" s="37" t="str">
        <x:v>呼吸/移动/受击</x:v>
      </x:c>
      <x:c r="H7" s="37" t="str">
        <x:v>通过</x:v>
      </x:c>
    </x:row>
    <x:row r="8" ht="42" customHeight="1">
      <x:c r="A8" s="37" t="str">
        <x:v>head</x:v>
      </x:c>
      <x:c r="B8" s="37" t="str">
        <x:v>CHR-PLY-CAPSULE01-3D-BUNNY01-HEAD</x:v>
      </x:c>
      <x:c r="C8" s="37" t="str">
        <x:v>头顶1.103390m</x:v>
      </x:c>
      <x:c r="D8" s="37" t="str">
        <x:v>头部组件</x:v>
      </x:c>
      <x:c r="E8" s="37" t="str">
        <x:v>assets/art/characters/player/chr_player_capsule01_3d/variants/bunny01/components/chr_player_capsule01_bunny01_head_top3d_v006.glb</x:v>
      </x:c>
      <x:c r="F8" s="37" t="str">
        <x:v>b8db86c722bb</x:v>
      </x:c>
      <x:c r="G8" s="37" t="str">
        <x:v>延迟跟随/受击</x:v>
      </x:c>
      <x:c r="H8" s="37" t="str">
        <x:v>通过</x:v>
      </x:c>
    </x:row>
    <x:row r="9" ht="42" customHeight="1">
      <x:c r="A9" s="37" t="str">
        <x:v>ears</x:v>
      </x:c>
      <x:c r="B9" s="37" t="str">
        <x:v>CHR-PLY-CAPSULE01-3D-BUNNY01-EARS</x:v>
      </x:c>
      <x:c r="C9" s="37" t="str">
        <x:v>单GLB双实例</x:v>
      </x:c>
      <x:c r="D9" s="37" t="str">
        <x:v>双耳配件</x:v>
      </x:c>
      <x:c r="E9" s="37" t="str">
        <x:v>assets/art/characters/player/chr_player_capsule01_3d/variants/bunny01/components/chr_player_capsule01_bunny01_ear_top3d_v006.glb</x:v>
      </x:c>
      <x:c r="F9" s="37" t="str">
        <x:v>ed3c7abe2831</x:v>
      </x:c>
      <x:c r="G9" s="37" t="str">
        <x:v>跟随/摆动</x:v>
      </x:c>
      <x:c r="H9" s="37" t="str">
        <x:v>通过</x:v>
      </x:c>
    </x:row>
    <x:row r="10" ht="42" customHeight="1">
      <x:c r="A10" s="37" t="str">
        <x:v>hands</x:v>
      </x:c>
      <x:c r="B10" s="37" t="str">
        <x:v>CHR-PLY-CAPSULE01-3D-BUNNY01-HAND</x:v>
      </x:c>
      <x:c r="C10" s="37" t="str">
        <x:v>左右独立GLB</x:v>
      </x:c>
      <x:c r="D10" s="37" t="str">
        <x:v>握持与支撑手</x:v>
      </x:c>
      <x:c r="E10" s="37" t="str">
        <x:v>assets/art/characters/player/chr_player_capsule01_3d/variants/bunny01/components/chr_player_capsule01_bunny01_hand_l_top3d_v006.glb; ...hand_r...v006.glb</x:v>
      </x:c>
      <x:c r="F10" s="37" t="str">
        <x:v>2c6647c0e4f2</x:v>
      </x:c>
      <x:c r="G10" s="37" t="str">
        <x:v>单手/双手握持</x:v>
      </x:c>
      <x:c r="H10" s="37" t="str">
        <x:v>通过</x:v>
      </x:c>
    </x:row>
    <x:row r="11" ht="42" customHeight="1">
      <x:c r="A11" t="str">
        <x:v>foot_l</x:v>
      </x:c>
      <x:c r="B11" s="63" t="str">
        <x:v>CHR-PLY-CAPSULE01-3D-BUNNY01-FOOT-L</x:v>
      </x:c>
      <x:c r="C11" t="str">
        <x:v>1.5m角色比例</x:v>
      </x:c>
      <x:c r="D11" t="str">
        <x:v>左脚组件</x:v>
      </x:c>
      <x:c r="E11" s="63" t="str">
        <x:v>assets/art/characters/player/chr_player_capsule01_3d/variants/bunny01/components/chr_player_capsule01_bunny01_foot_l_top3d_v006.glb</x:v>
      </x:c>
      <x:c r="F11" t="str">
        <x:v>52051cba0db7</x:v>
      </x:c>
      <x:c r="G11" t="str">
        <x:v>步态/下落/落地</x:v>
      </x:c>
      <x:c r="H11" t="str">
        <x:v>通过</x:v>
      </x:c>
    </x:row>
    <x:row r="12" ht="42" customHeight="1">
      <x:c r="A12" t="str">
        <x:v>foot_r</x:v>
      </x:c>
      <x:c r="B12" s="63" t="str">
        <x:v>CHR-PLY-CAPSULE01-3D-BUNNY01-FOOT-R</x:v>
      </x:c>
      <x:c r="C12" t="str">
        <x:v>1.5m角色比例</x:v>
      </x:c>
      <x:c r="D12" t="str">
        <x:v>右脚组件</x:v>
      </x:c>
      <x:c r="E12" s="63" t="str">
        <x:v>assets/art/characters/player/chr_player_capsule01_3d/variants/bunny01/components/chr_player_capsule01_bunny01_foot_r_top3d_v006.glb</x:v>
      </x:c>
      <x:c r="F12" t="str">
        <x:v>d81e840f5c08</x:v>
      </x:c>
      <x:c r="G12" t="str">
        <x:v>步态/下落/落地</x:v>
      </x:c>
      <x:c r="H12" t="str">
        <x:v>通过</x:v>
      </x:c>
    </x:row>
    <x:row r="13">
      <x:c r="A13" s="57" t="str">
        <x:v>八态游戏内验收（Idle / Moving / Dashing / Hurt / Locked / Falling / Landing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FALLING</x:v>
      </x:c>
      <x:c r="G15" s="108" t="str">
        <x:v>LANDING</x:v>
      </x:c>
      <x:c r="H15" s="108" t="str">
        <x:v>DEAD</x:v>
      </x:c>
    </x:row>
    <x:row r="16">
      <x:c r="A16" s="36" t="str">
        <x:v>待命</x:v>
      </x:c>
      <x:c r="B16" s="36" t="str">
        <x:v>移动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下落</x:v>
      </x:c>
      <x:c r="G16" t="str">
        <x:v>落地</x:v>
      </x:c>
      <x:c r="H16" t="str">
        <x:v>生命终止</x:v>
      </x:c>
    </x:row>
    <x:row r="17">
      <x:c r="A17" s="37" t="str">
        <x:v>呼吸/重心</x:v>
      </x:c>
      <x:c r="B17" s="37" t="str">
        <x:v>双脚交替</x:v>
      </x:c>
      <x:c r="C17" s="37" t="str">
        <x:v>翻滚收束</x:v>
      </x:c>
      <x:c r="D17" s="37" t="str">
        <x:v>反向冲击</x:v>
      </x:c>
      <x:c r="E17" s="37" t="str">
        <x:v>姿态稳定</x:v>
      </x:c>
      <x:c r="F17" s="37" t="str">
        <x:v>收腿下落</x:v>
      </x:c>
      <x:c r="G17" t="str">
        <x:v>压缩回弹</x:v>
      </x:c>
      <x:c r="H17" t="str">
        <x:v>整体倒伏</x:v>
      </x:c>
    </x:row>
    <x:row r="18">
      <x:c r="A18" s="37" t="str">
        <x:v>可进移动/突进</x:v>
      </x:c>
      <x:c r="B18" s="37" t="str">
        <x:v>可进待命/突进</x:v>
      </x:c>
      <x:c r="C18" s="37" t="str">
        <x:v>回到待命或移动</x:v>
      </x:c>
      <x:c r="D18" s="37" t="str">
        <x:v>恢复原状态</x:v>
      </x:c>
      <x:c r="E18" s="37" t="str">
        <x:v>由交互释放</x:v>
      </x:c>
      <x:c r="F18" s="37" t="str">
        <x:v>只进落地或死亡</x:v>
      </x:c>
      <x:c r="G18" t="str">
        <x:v>回到可控态</x:v>
      </x:c>
      <x:c r="H18" t="str">
        <x:v>终态</x:v>
      </x:c>
    </x:row>
    <x:row r="19">
      <x:c r="A19" s="37" t="str">
        <x:v>允许射击覆盖</x:v>
      </x:c>
      <x:c r="B19" s="37" t="str">
        <x:v>允许射击覆盖</x:v>
      </x:c>
      <x:c r="C19" s="37" t="str">
        <x:v>无敌窗</x:v>
      </x:c>
      <x:c r="D19" s="37" t="str">
        <x:v>受击反馈</x:v>
      </x:c>
      <x:c r="E19" s="37" t="str">
        <x:v>输入锁定</x:v>
      </x:c>
      <x:c r="F19" s="37" t="str">
        <x:v>关闭地面步态</x:v>
      </x:c>
      <x:c r="G19" t="str">
        <x:v>短时落地冲击</x:v>
      </x:c>
      <x:c r="H19" t="str">
        <x:v>停止动作</x:v>
      </x:c>
    </x:row>
    <x:row r="21">
      <x:c r="A21" s="58" t="str">
        <x:v>视觉输出：outputs/verification/player3d_state_gallery.png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验证命令：./scripts/run_verification_suite.sh scene verify_player3d_state_gallery_flow</x:v>
      </x:c>
      <x:c r="B23" s="61"/>
      <x:c r="C23" s="61"/>
      <x:c r="D23" s="61"/>
      <x:c r="E23" s="61"/>
      <x:c r="F23" s="61"/>
      <x:c r="G23" s="61"/>
      <x:c r="H23" s="61"/>
    </x:row>
    <x:row r="24" ht="24" customHeight="1">
      <x:c r="A24" s="73" t="str">
        <x:v>换弹覆盖层：唯一手 + WeaponSocket 同相动作；测试 tests/verification/verify_3d_reload_state_flow.tscn</x:v>
      </x:c>
      <x:c r="B24" s="73"/>
      <x:c r="C24" s="73"/>
      <x:c r="D24" s="73"/>
      <x:c r="E24" s="73"/>
      <x:c r="F24" s="73"/>
      <x:c r="G24" s="73"/>
      <x:c r="H24" s="73"/>
      <x:c r="I24" s="73"/>
      <x:c r="J24" s="73"/>
      <x:c r="K24" s="73"/>
      <x:c r="L24" s="73"/>
      <x:c r="M24" s="73"/>
      <x:c r="N24" s="73"/>
    </x:row>
    <x:row r="25" ht="30" customHeight="1">
      <x:c r="A25" s="63" t="str">
        <x:v>独立3D验收：scenes/Player3DStateGallery.tscn；验证位于 tests/verification/</x:v>
      </x:c>
      <x:c r="B25" s="63"/>
      <x:c r="C25" s="63"/>
      <x:c r="D25" s="63"/>
      <x:c r="E25" s="63"/>
      <x:c r="F25" s="63"/>
      <x:c r="G25" s="63"/>
      <x:c r="H25" s="63"/>
      <x:c r="I25" s="63"/>
      <x:c r="J25" s="63"/>
      <x:c r="K25" s="63"/>
      <x:c r="L25" s="63"/>
      <x:c r="M25" s="63"/>
      <x:c r="N25" s="63"/>
    </x:row>
    <x:row r="26" ht="32" customHeight="1">
      <x:c r="A26" s="83" t="str">
        <x:v>动作覆盖层：firing / charging / knockback 不新增顶层状态；测试 tests/verification/verify_player3d_state_gallery_flow.tscn</x:v>
      </x:c>
      <x:c r="B26" s="83"/>
      <x:c r="C26" s="83"/>
      <x:c r="D26" s="83"/>
      <x:c r="E26" s="83"/>
      <x:c r="F26" s="83"/>
      <x:c r="G26" s="83"/>
      <x:c r="H26" s="83"/>
      <x:c r="I26" s="83"/>
      <x:c r="J26" s="83"/>
      <x:c r="K26" s="83"/>
      <x:c r="L26" s="83"/>
      <x:c r="M26" s="83"/>
      <x:c r="N26" s="83"/>
    </x:row>
    <x:row r="27">
      <x:c r="A27"/>
    </x:row>
    <x:row r="28" ht="34" customHeight="1">
      <x:c r="A28" s="95" t="str">
        <x:v>DIY：body / head / hand / feet / hat / glasses 只改表现；测试 tests/verification/verify_player3d_diy_flow.tscn</x:v>
      </x:c>
      <x:c r="B28" s="95"/>
      <x:c r="C28" s="95"/>
      <x:c r="D28" s="95"/>
      <x:c r="E28" s="95"/>
      <x:c r="F28" s="95"/>
      <x:c r="G28" s="95"/>
      <x:c r="H28" s="95"/>
      <x:c r="I28" s="95"/>
      <x:c r="J28" s="95"/>
      <x:c r="K28" s="95"/>
      <x:c r="L28" s="95"/>
      <x:c r="M28" s="95"/>
      <x:c r="N28" s="95"/>
    </x:row>
    <x:row r="29" ht="38" customHeight="1">
      <x:c r="A29" t="str">
        <x:v>v0.1 兔子组件：Body / Head / Ears / HandL / HandR / FootL / FootR；视觉根不含玩法碰撞。</x:v>
      </x:c>
      <x:c r="B29"/>
      <x:c r="C29"/>
      <x:c r="D29"/>
      <x:c r="E29"/>
      <x:c r="F29"/>
      <x:c r="G29"/>
      <x:c r="H29"/>
      <x:c r="I29"/>
      <x:c r="J29"/>
      <x:c r="K29"/>
      <x:c r="L29"/>
      <x:c r="M29"/>
      <x:c r="N29"/>
    </x:row>
  </x:sheetData>
  <x:mergeCells>
    <x:mergeCell ref="A1:N2"/>
    <x:mergeCell ref="A3:N3"/>
    <x:mergeCell ref="A13:H13"/>
    <x:mergeCell ref="A21:H21"/>
    <x:mergeCell ref="A23:H23"/>
    <x:mergeCell ref="A24:N24"/>
    <x:mergeCell ref="A25:N25"/>
    <x:mergeCell ref="A26:N26"/>
    <x:mergeCell ref="A28:N28"/>
    <x:mergeCell ref="A29:N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24" hidden="0" customWidth="1"/>
    <x:col min="4" max="4" width="28" hidden="0" customWidth="1"/>
    <x:col min="5" max="5" width="60" hidden="0" customWidth="1"/>
    <x:col min="6" max="6" width="48" hidden="0" customWidth="1"/>
    <x:col min="7" max="7" width="12" hidden="0" customWidth="1"/>
  </x:cols>
  <x:sheetData>
    <x:row r="1" ht="25" customHeight="1">
      <x:c r="A1" s="3" t="str">
        <x:v>资产台账版本记录 · 游戏设计文档 v0.1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只记录当前有效基线；历史变更通过版本控制追溯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 ht="46" customHeight="1">
      <x:c r="A6" s="36" t="str">
        <x:v>v0.1.0</x:v>
      </x:c>
      <x:c r="B6" s="53" t="n">
        <x:v>46236</x:v>
      </x:c>
      <x:c r="C6" s="36" t="str">
        <x:v>游戏设计文档 v0.1</x:v>
      </x:c>
      <x:c r="D6" s="36" t="str">
        <x:v>全项目</x:v>
      </x:c>
      <x:c r="E6" s="36" t="str">
        <x:v>统一3D塔楼主线、测试目录、当前资产路径、状态口径和投影契约；清理历史制作版本。</x:v>
      </x:c>
      <x:c r="F6" s="36" t="str">
        <x:v>只保留当前运行资产；历史追溯使用版本控制。</x:v>
      </x:c>
      <x:c r="G6" s="36" t="str">
        <x:v>Codex</x:v>
      </x:c>
    </x:row>
    <x:row r="7" ht="46" customHeight="1">
      <x:c r="A7" s="63" t="str">
        <x:v>v0.1.1</x:v>
      </x:c>
      <x:c r="B7" s="64" t="n">
        <x:v>46240</x:v>
      </x:c>
      <x:c r="C7" s="63" t="str">
        <x:v>角色武器表现调整</x:v>
      </x:c>
      <x:c r="D7" s="63" t="str">
        <x:v>player_capsule01_3d</x:v>
      </x:c>
      <x:c r="E7" s="63" t="str">
        <x:v>新增主左/副右背部收纳挂点，枪口统一朝下；复用既有武器模型与AssetID。</x:v>
      </x:c>
      <x:c r="F7" s="63" t="str">
        <x:v>不改武器实例、碰撞、伤害或切枪规则。</x:v>
      </x:c>
      <x:c r="G7" s="63" t="str">
        <x:v>Codex</x:v>
      </x:c>
    </x:row>
    <x:row r="8" ht="46" customHeight="1">
      <x:c r="A8" s="63" t="str">
        <x:v>v0.1.2</x:v>
      </x:c>
      <x:c r="B8" s="64" t="n">
        <x:v>46241</x:v>
      </x:c>
      <x:c r="C8" s="63" t="str">
        <x:v>音频与体验一致性</x:v>
      </x:c>
      <x:c r="D8" s="63" t="str">
        <x:v>31项音效/UI/玩家死亡</x:v>
      </x:c>
      <x:c r="E8" s="63" t="str">
        <x:v>登记OGG运行资产与哈希；更新包裹/贩卖机UI版本和死亡击飞回弹状态。</x:v>
      </x:c>
      <x:c r="F8" s="63" t="str">
        <x:v>WAV母版保留；运行时改用版本化OGG；不改变稳定事件键和AssetID。</x:v>
      </x:c>
      <x:c r="G8" s="63" t="str">
        <x:v>Codex</x:v>
      </x:c>
    </x:row>
    <x:row r="9" ht="48" customHeight="1">
      <x:c r="A9"/>
      <x:c r="B9"/>
      <x:c r="C9"/>
      <x:c r="D9"/>
      <x:c r="E9"/>
      <x:c r="F9"/>
      <x:c r="G9"/>
    </x:row>
    <x:row r="10" ht="58" customHeight="1">
      <x:c r="A10"/>
      <x:c r="B10"/>
      <x:c r="C10"/>
      <x:c r="D10"/>
      <x:c r="E10"/>
      <x:c r="F10"/>
      <x:c r="G10"/>
    </x:row>
    <x:row r="11" ht="58" customHeight="1">
      <x:c r="A11"/>
      <x:c r="B11"/>
      <x:c r="C11"/>
      <x:c r="D11"/>
      <x:c r="E11"/>
      <x:c r="F11"/>
      <x:c r="G11"/>
    </x:row>
    <x:row r="12">
      <x:c r="A12"/>
      <x:c r="B12"/>
      <x:c r="C12"/>
      <x:c r="D12"/>
      <x:c r="E12"/>
      <x:c r="F12"/>
      <x:c r="G12"/>
    </x:row>
    <x:row r="13" ht="60" customHeight="1">
      <x:c r="A13"/>
      <x:c r="B13"/>
      <x:c r="C13"/>
      <x:c r="D13"/>
      <x:c r="E13"/>
      <x:c r="F13"/>
      <x:c r="G13"/>
    </x:row>
    <x:row r="14" ht="54" customHeight="1">
      <x:c r="A14"/>
      <x:c r="B14"/>
      <x:c r="C14"/>
      <x:c r="D14"/>
      <x:c r="E14"/>
      <x:c r="F14"/>
      <x:c r="G14"/>
    </x:row>
    <x:row r="15" ht="72" customHeight="1">
      <x:c r="A15"/>
      <x:c r="B15"/>
      <x:c r="C15"/>
      <x:c r="D15"/>
      <x:c r="E15"/>
      <x:c r="F15"/>
      <x:c r="G15"/>
    </x:row>
    <x:row r="16" ht="72" customHeight="1">
      <x:c r="A16"/>
      <x:c r="B16"/>
      <x:c r="C16"/>
      <x:c r="D16"/>
      <x:c r="E16"/>
      <x:c r="F16"/>
      <x:c r="G16"/>
    </x:row>
    <x:row r="17" ht="52" customHeight="1">
      <x:c r="A17"/>
      <x:c r="B17"/>
      <x:c r="C17"/>
      <x:c r="D17"/>
      <x:c r="E17"/>
      <x:c r="F17"/>
      <x:c r="G17"/>
    </x:row>
    <x:row r="18" ht="50" customHeight="1">
      <x:c r="A18"/>
      <x:c r="B18"/>
      <x:c r="C18"/>
      <x:c r="D18"/>
      <x:c r="E18"/>
      <x:c r="F18"/>
      <x:c r="G18"/>
    </x:row>
    <x:row r="19" ht="52" customHeight="1">
      <x:c r="A19"/>
      <x:c r="B19"/>
      <x:c r="C19"/>
      <x:c r="D19"/>
      <x:c r="E19"/>
      <x:c r="F19"/>
      <x:c r="G19"/>
    </x:row>
    <x:row r="20" ht="90" customHeight="1">
      <x:c r="A20"/>
      <x:c r="B20"/>
      <x:c r="C20"/>
      <x:c r="D20"/>
      <x:c r="E20"/>
      <x:c r="F20"/>
      <x:c r="G20"/>
    </x:row>
    <x:row r="21" ht="86" customHeight="1">
      <x:c r="A21"/>
      <x:c r="B21"/>
      <x:c r="C21"/>
      <x:c r="D21"/>
      <x:c r="E21"/>
      <x:c r="F21"/>
      <x:c r="G21"/>
    </x:row>
    <x:row r="22" ht="72" customHeight="1">
      <x:c r="A22"/>
      <x:c r="B22"/>
      <x:c r="C22"/>
      <x:c r="D22"/>
      <x:c r="E22"/>
      <x:c r="F22"/>
      <x:c r="G22"/>
    </x:row>
    <x:row r="23" ht="78" customHeight="1">
      <x:c r="A23"/>
      <x:c r="B23"/>
      <x:c r="C23"/>
      <x:c r="D23"/>
      <x:c r="E23"/>
      <x:c r="F23"/>
      <x:c r="G23"/>
    </x:row>
    <x:row r="24" ht="100" customHeight="1">
      <x:c r="A24"/>
      <x:c r="B24"/>
      <x:c r="C24"/>
      <x:c r="D24"/>
      <x:c r="E24"/>
      <x:c r="F24"/>
      <x:c r="G24"/>
    </x:row>
    <x:row r="25" ht="115" customHeight="1">
      <x:c r="A25"/>
      <x:c r="B25"/>
      <x:c r="C25"/>
      <x:c r="D25"/>
      <x:c r="E25"/>
      <x:c r="F25"/>
      <x:c r="G25"/>
    </x:row>
    <x:row r="26" ht="118" customHeight="1">
      <x:c r="A26"/>
      <x:c r="B26"/>
      <x:c r="C26"/>
      <x:c r="D26"/>
      <x:c r="E26"/>
      <x:c r="F26"/>
      <x:c r="G26"/>
    </x:row>
    <x:row r="27" ht="118" customHeight="1">
      <x:c r="A27"/>
      <x:c r="B27"/>
      <x:c r="C27"/>
      <x:c r="D27"/>
      <x:c r="E27"/>
      <x:c r="F27"/>
      <x:c r="G27"/>
    </x:row>
    <x:row r="28" ht="118" customHeight="1">
      <x:c r="A28"/>
      <x:c r="B28"/>
      <x:c r="C28"/>
      <x:c r="D28"/>
      <x:c r="E28"/>
      <x:c r="F28"/>
      <x:c r="G28"/>
    </x:row>
    <x:row r="29" ht="84" hidden="0" customHeight="1">
      <x:c r="A29"/>
      <x:c r="B29"/>
      <x:c r="C29"/>
      <x:c r="D29"/>
      <x:c r="E29"/>
      <x:c r="F29"/>
      <x:c r="G29"/>
    </x:row>
    <x:row r="30" ht="118" customHeight="1">
      <x:c r="A30"/>
      <x:c r="B30"/>
      <x:c r="C30"/>
      <x:c r="D30"/>
      <x:c r="E30"/>
      <x:c r="F30"/>
      <x:c r="G30"/>
    </x:row>
    <x:row r="31" ht="118" customHeight="1">
      <x:c r="A31"/>
      <x:c r="B31"/>
      <x:c r="C31"/>
      <x:c r="D31"/>
      <x:c r="E31"/>
      <x:c r="F31"/>
      <x:c r="G31"/>
    </x:row>
    <x:row r="32" ht="118" customHeight="1">
      <x:c r="A32"/>
      <x:c r="B32"/>
      <x:c r="C32"/>
      <x:c r="D32"/>
      <x:c r="E32"/>
      <x:c r="F32"/>
      <x:c r="G32"/>
    </x:row>
    <x:row r="33" ht="128" customHeight="1">
      <x:c r="A33"/>
      <x:c r="B33"/>
      <x:c r="C33"/>
      <x:c r="D33"/>
      <x:c r="E33"/>
      <x:c r="F33"/>
      <x:c r="G33"/>
    </x:row>
    <x:row r="34" ht="96" customHeight="1">
      <x:c r="A34"/>
      <x:c r="B34"/>
      <x:c r="C34"/>
      <x:c r="D34"/>
      <x:c r="E34"/>
      <x:c r="F34"/>
      <x:c r="G34"/>
    </x:row>
    <x:row r="35" ht="108" customHeight="1">
      <x:c r="A35"/>
      <x:c r="B35"/>
      <x:c r="C35"/>
      <x:c r="D35"/>
      <x:c r="E35"/>
      <x:c r="F35"/>
      <x:c r="G35"/>
    </x:row>
    <x:row r="36" ht="72" customHeight="1">
      <x:c r="A36"/>
      <x:c r="B36"/>
      <x:c r="C36"/>
      <x:c r="D36"/>
      <x:c r="E36"/>
      <x:c r="F36"/>
      <x:c r="G36"/>
    </x:row>
  </x:sheetData>
  <x:mergeCells>
    <x:mergeCell ref="A1:G2"/>
    <x:mergeCell ref="A3:G3"/>
  </x:mergeCells>
  <x:pageMargins left="0.7" right="0.7" top="0.75" bottom="0.75" header="0.3" footer="0.3"/>
</x:worksheet>
</file>