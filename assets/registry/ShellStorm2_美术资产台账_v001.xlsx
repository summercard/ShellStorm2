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859576105a45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e4f5de54a674b69"/>
    <x:sheet xmlns:r="http://schemas.openxmlformats.org/officeDocument/2006/relationships" name="资产主表" sheetId="2" r:id="R05f6a0db583c4eef"/>
    <x:sheet xmlns:r="http://schemas.openxmlformats.org/officeDocument/2006/relationships" name="角色组件" sheetId="3" r:id="Rf5e69bbbdbe74b41"/>
    <x:sheet xmlns:r="http://schemas.openxmlformats.org/officeDocument/2006/relationships" name="动画与状态" sheetId="4" r:id="R58a3b0f4b6d244f6"/>
    <x:sheet xmlns:r="http://schemas.openxmlformats.org/officeDocument/2006/relationships" name="分类与编码" sheetId="5" r:id="R9d011f109e2a42ea"/>
    <x:sheet xmlns:r="http://schemas.openxmlformats.org/officeDocument/2006/relationships" name="命名与查重" sheetId="6" r:id="Rb4261a59cbc04bc8"/>
    <x:sheet xmlns:r="http://schemas.openxmlformats.org/officeDocument/2006/relationships" name="原型角色" sheetId="7" r:id="R953064830c3f4d1d"/>
    <x:sheet xmlns:r="http://schemas.openxmlformats.org/officeDocument/2006/relationships" name="版本记录" sheetId="8" r:id="Rb79ca1e81d5644e6"/>
    <x:sheet xmlns:r="http://schemas.openxmlformats.org/officeDocument/2006/relationships" name="3D Prefab总控" sheetId="9" r:id="R352e226e392e49d4"/>
    <x:sheet xmlns:r="http://schemas.openxmlformats.org/officeDocument/2006/relationships" name="3D-场景通用" sheetId="10" r:id="Rd50b4533f9354baa"/>
    <x:sheet xmlns:r="http://schemas.openxmlformats.org/officeDocument/2006/relationships" name="3D-设施" sheetId="11" r:id="Re43b025197604ff0"/>
    <x:sheet xmlns:r="http://schemas.openxmlformats.org/officeDocument/2006/relationships" name="3D-道具" sheetId="12" r:id="Recb035a5520240ab"/>
    <x:sheet xmlns:r="http://schemas.openxmlformats.org/officeDocument/2006/relationships" name="3D-角色" sheetId="13" r:id="R980ff08471ce4b33"/>
    <x:sheet xmlns:r="http://schemas.openxmlformats.org/officeDocument/2006/relationships" name="3D-敌人" sheetId="14" r:id="Rc3f151c05eca413f"/>
    <x:sheet xmlns:r="http://schemas.openxmlformats.org/officeDocument/2006/relationships" name="3D-武器" sheetId="15" r:id="Re8aa3c5d8310417a"/>
    <x:sheet xmlns:r="http://schemas.openxmlformats.org/officeDocument/2006/relationships" name="3D-物品" sheetId="16" r:id="R54f77311a7414610"/>
    <x:sheet xmlns:r="http://schemas.openxmlformats.org/officeDocument/2006/relationships" name="3D-特效" sheetId="17" r:id="Rda3808a7bc0e47ec"/>
    <x:sheet xmlns:r="http://schemas.openxmlformats.org/officeDocument/2006/relationships" name="3D-其他" sheetId="18" r:id="R7153f435a9eb444a"/>
    <x:sheet xmlns:r="http://schemas.openxmlformats.org/officeDocument/2006/relationships" name="Skill清单" sheetId="19" r:id="R46ac016e037b42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c7c0704b294666" /><Relationship Type="http://schemas.openxmlformats.org/officeDocument/2006/relationships/theme" Target="/xl/theme/theme1.xml" Id="Rffd8179745674e61" /><Relationship Type="http://schemas.openxmlformats.org/officeDocument/2006/relationships/sharedStrings" Target="/xl/sharedStrings.xml" Id="R690297452f464e9f" /><Relationship Type="http://schemas.openxmlformats.org/officeDocument/2006/relationships/worksheet" Target="/xl/worksheets/sheet1.xml" Id="Rde4f5de54a674b69" /><Relationship Type="http://schemas.openxmlformats.org/officeDocument/2006/relationships/worksheet" Target="/xl/worksheets/sheet2.xml" Id="R05f6a0db583c4eef" /><Relationship Type="http://schemas.openxmlformats.org/officeDocument/2006/relationships/worksheet" Target="/xl/worksheets/sheet3.xml" Id="Rf5e69bbbdbe74b41" /><Relationship Type="http://schemas.openxmlformats.org/officeDocument/2006/relationships/worksheet" Target="/xl/worksheets/sheet4.xml" Id="R58a3b0f4b6d244f6" /><Relationship Type="http://schemas.openxmlformats.org/officeDocument/2006/relationships/worksheet" Target="/xl/worksheets/sheet5.xml" Id="R9d011f109e2a42ea" /><Relationship Type="http://schemas.openxmlformats.org/officeDocument/2006/relationships/worksheet" Target="/xl/worksheets/sheet6.xml" Id="Rb4261a59cbc04bc8" /><Relationship Type="http://schemas.openxmlformats.org/officeDocument/2006/relationships/worksheet" Target="/xl/worksheets/sheet7.xml" Id="R953064830c3f4d1d" /><Relationship Type="http://schemas.openxmlformats.org/officeDocument/2006/relationships/worksheet" Target="/xl/worksheets/sheet8.xml" Id="Rb79ca1e81d5644e6" /><Relationship Type="http://schemas.openxmlformats.org/officeDocument/2006/relationships/worksheet" Target="/xl/worksheets/sheet9.xml" Id="R352e226e392e49d4" /><Relationship Type="http://schemas.openxmlformats.org/officeDocument/2006/relationships/worksheet" Target="/xl/worksheets/sheet10.xml" Id="Rd50b4533f9354baa" /><Relationship Type="http://schemas.openxmlformats.org/officeDocument/2006/relationships/worksheet" Target="/xl/worksheets/sheet11.xml" Id="Re43b025197604ff0" /><Relationship Type="http://schemas.openxmlformats.org/officeDocument/2006/relationships/worksheet" Target="/xl/worksheets/sheet12.xml" Id="Recb035a5520240ab" /><Relationship Type="http://schemas.openxmlformats.org/officeDocument/2006/relationships/worksheet" Target="/xl/worksheets/sheet13.xml" Id="R980ff08471ce4b33" /><Relationship Type="http://schemas.openxmlformats.org/officeDocument/2006/relationships/worksheet" Target="/xl/worksheets/sheet14.xml" Id="Rc3f151c05eca413f" /><Relationship Type="http://schemas.openxmlformats.org/officeDocument/2006/relationships/worksheet" Target="/xl/worksheets/sheet15.xml" Id="Re8aa3c5d8310417a" /><Relationship Type="http://schemas.openxmlformats.org/officeDocument/2006/relationships/worksheet" Target="/xl/worksheets/sheet16.xml" Id="R54f77311a7414610" /><Relationship Type="http://schemas.openxmlformats.org/officeDocument/2006/relationships/worksheet" Target="/xl/worksheets/sheet17.xml" Id="Rda3808a7bc0e47ec" /><Relationship Type="http://schemas.openxmlformats.org/officeDocument/2006/relationships/worksheet" Target="/xl/worksheets/sheet18.xml" Id="R7153f435a9eb444a" /><Relationship Type="http://schemas.openxmlformats.org/officeDocument/2006/relationships/worksheet" Target="/xl/worksheets/sheet19.xml" Id="R46ac016e037b42a1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735fad258345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COUNTA('资产主表'!$A$6:$A$300)</x:f>
        <x:v>295</x:v>
      </x:c>
      <x:c r="B6" s="319"/>
      <x:c r="C6" s="321" t="n">
        <x:f>COUNTIF('资产主表'!$K$6:$K$300,"已完成")+COUNTIF('资产主表'!$K$6:$K$300,"原型已接入")</x:f>
        <x:v>165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inlineStr">
        <x:is>
          <x:t xml:space="preserve">v0.1 3D塔楼：5m组件网格 / 99+100F基地打通 / 可编辑楼板与楼梯Prefab</x:t>
        </x:is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f>COUNTIF('资产主表'!$C$6:$C$300,A14)</x:f>
        <x:v>89</x:v>
      </x:c>
      <x:c r="C14" s="331" t="n">
        <x:f>COUNTIFS('资产主表'!$C$6:$C$300,A14,'资产主表'!$K$6:$K$300,"已完成")+COUNTIFS('资产主表'!$C$6:$C$300,A14,'资产主表'!$K$6:$K$300,"原型已接入")</x:f>
        <x:v>38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136" t="inlineStr">
        <x:is>
          <x:t xml:space="preserve"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t>
        </x:is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735fad2583452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n"/>
      <x:c r="B27" s="136" t="n"/>
      <x:c r="C27" s="136" t="n"/>
      <x:c r="D27" s="136" t="n"/>
      <x:c r="E27" s="136" t="n"/>
      <x:c r="F27" s="136" t="n"/>
      <x:c r="G27" s="136" t="n"/>
    </x:row>
    <x:row r="28" ht="118" customHeight="1">
      <x:c r="A28" s="136" t="n"/>
      <x:c r="B28" s="136" t="n"/>
      <x:c r="C28" s="136" t="n"/>
      <x:c r="D28" s="136" t="n"/>
      <x:c r="E28" s="136" t="n"/>
      <x:c r="F28" s="136" t="n"/>
      <x:c r="G28" s="136" t="n"/>
    </x:row>
    <x:row r="29" ht="84" customHeight="1">
      <x:c r="A29" s="136" t="n"/>
      <x:c r="B29" s="136" t="n"/>
      <x:c r="C29" s="136" t="n"/>
      <x:c r="D29" s="136" t="n"/>
      <x:c r="E29" s="136" t="n"/>
      <x:c r="F29" s="136" t="n"/>
      <x:c r="G29" s="136" t="n"/>
    </x:row>
    <x:row r="30" ht="118" customHeight="1">
      <x:c r="A30" s="136" t="n"/>
      <x:c r="B30" s="136" t="n"/>
      <x:c r="C30" s="136" t="n"/>
      <x:c r="D30" s="136" t="n"/>
      <x:c r="E30" s="136" t="n"/>
      <x:c r="F30" s="136" t="n"/>
      <x:c r="G30" s="136" t="n"/>
    </x:row>
    <x:row r="31" ht="118" customHeight="1">
      <x:c r="A31" s="136" t="n"/>
      <x:c r="B31" s="136" t="n"/>
      <x:c r="C31" s="136" t="n"/>
      <x:c r="D31" s="136" t="n"/>
      <x:c r="E31" s="136" t="n"/>
      <x:c r="F31" s="136" t="n"/>
      <x:c r="G31" s="136" t="n"/>
    </x:row>
    <x:row r="32" ht="118" customHeight="1">
      <x:c r="A32" s="136" t="n"/>
      <x:c r="B32" s="136" t="n"/>
      <x:c r="C32" s="136" t="n"/>
      <x:c r="D32" s="136" t="n"/>
      <x:c r="E32" s="136" t="n"/>
      <x:c r="F32" s="136" t="n"/>
      <x:c r="G32" s="136" t="n"/>
    </x:row>
    <x:row r="33" ht="128" customHeight="1">
      <x:c r="A33" s="136" t="n"/>
      <x:c r="B33" s="136" t="n"/>
      <x:c r="C33" s="136" t="n"/>
      <x:c r="D33" s="136" t="n"/>
      <x:c r="E33" s="136" t="n"/>
      <x:c r="F33" s="136" t="n"/>
      <x:c r="G33" s="136" t="n"/>
    </x:row>
    <x:row r="34" ht="96" customHeight="1">
      <x:c r="A34" s="136" t="n"/>
      <x:c r="B34" s="136" t="n"/>
      <x:c r="C34" s="136" t="n"/>
      <x:c r="D34" s="136" t="n"/>
      <x:c r="E34" s="136" t="n"/>
      <x:c r="F34" s="136" t="n"/>
      <x:c r="G34" s="136" t="n"/>
    </x:row>
    <x:row r="35" ht="108" customHeight="1">
      <x:c r="A35" s="136" t="n"/>
      <x:c r="B35" s="136" t="n"/>
      <x:c r="C35" s="136" t="n"/>
      <x:c r="D35" s="136" t="n"/>
      <x:c r="E35" s="136" t="n"/>
      <x:c r="F35" s="136" t="n"/>
      <x:c r="G35" s="136" t="n"/>
    </x:row>
    <x:row r="36" ht="72" customHeight="1">
      <x:c r="A36" s="136" t="n"/>
      <x:c r="B36" s="136" t="n"/>
      <x:c r="C36" s="136" t="n"/>
      <x:c r="D36" s="136" t="n"/>
      <x:c r="E36" s="136" t="n"/>
      <x:c r="F36" s="136" t="n"/>
      <x:c r="G36" s="136" t="n"/>
    </x:row>
    <x:row r="37">
      <x:c r="A37" s="136" t="n"/>
      <x:c r="B37" s="137" t="n"/>
      <x:c r="C37" s="136" t="n"/>
      <x:c r="D37" s="136" t="n"/>
      <x:c r="E37" s="136" t="n"/>
      <x:c r="F37" s="136" t="n"/>
      <x:c r="G37" s="136" t="n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