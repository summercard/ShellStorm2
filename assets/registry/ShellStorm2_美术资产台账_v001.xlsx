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资产主表" sheetId="2" state="visible" r:id="rId2"/>
    <sheet xmlns:r="http://schemas.openxmlformats.org/officeDocument/2006/relationships" name="角色组件" sheetId="3" state="visible" r:id="rId3"/>
    <sheet xmlns:r="http://schemas.openxmlformats.org/officeDocument/2006/relationships" name="动画与状态" sheetId="4" state="visible" r:id="rId4"/>
    <sheet xmlns:r="http://schemas.openxmlformats.org/officeDocument/2006/relationships" name="分类与编码" sheetId="5" state="visible" r:id="rId5"/>
    <sheet xmlns:r="http://schemas.openxmlformats.org/officeDocument/2006/relationships" name="命名与查重" sheetId="6" state="visible" r:id="rId6"/>
    <sheet xmlns:r="http://schemas.openxmlformats.org/officeDocument/2006/relationships" name="原型角色" sheetId="7" state="visible" r:id="rId7"/>
    <sheet xmlns:r="http://schemas.openxmlformats.org/officeDocument/2006/relationships" name="版本记录" sheetId="8" state="visible" r:id="rId8"/>
    <sheet xmlns:r="http://schemas.openxmlformats.org/officeDocument/2006/relationships" name="3D Prefab总控" sheetId="9" state="visible" r:id="rId9"/>
    <sheet xmlns:r="http://schemas.openxmlformats.org/officeDocument/2006/relationships" name="3D-场景通用" sheetId="10" state="visible" r:id="rId10"/>
    <sheet xmlns:r="http://schemas.openxmlformats.org/officeDocument/2006/relationships" name="3D-设施" sheetId="11" state="visible" r:id="rId11"/>
    <sheet xmlns:r="http://schemas.openxmlformats.org/officeDocument/2006/relationships" name="3D-道具" sheetId="12" state="visible" r:id="rId12"/>
    <sheet xmlns:r="http://schemas.openxmlformats.org/officeDocument/2006/relationships" name="3D-角色" sheetId="13" state="visible" r:id="rId13"/>
    <sheet xmlns:r="http://schemas.openxmlformats.org/officeDocument/2006/relationships" name="3D-敌人" sheetId="14" state="visible" r:id="rId14"/>
    <sheet xmlns:r="http://schemas.openxmlformats.org/officeDocument/2006/relationships" name="3D-武器" sheetId="15" state="visible" r:id="rId15"/>
    <sheet xmlns:r="http://schemas.openxmlformats.org/officeDocument/2006/relationships" name="3D-物品" sheetId="16" state="visible" r:id="rId16"/>
    <sheet xmlns:r="http://schemas.openxmlformats.org/officeDocument/2006/relationships" name="3D-特效" sheetId="17" state="visible" r:id="rId17"/>
    <sheet xmlns:r="http://schemas.openxmlformats.org/officeDocument/2006/relationships" name="3D-其他" sheetId="18" state="visible" r:id="rId18"/>
    <sheet xmlns:r="http://schemas.openxmlformats.org/officeDocument/2006/relationships" name="Skill清单" sheetId="19" state="visible" r:id="rId19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1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</fonts>
  <fills count="44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</fills>
  <borders count="41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ables/table1.xml><?xml version="1.0" encoding="utf-8"?>
<table xmlns="http://schemas.openxmlformats.org/spreadsheetml/2006/main" id="1" name="AssetMasterTable" displayName="AssetMasterTable" ref="A5:X112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美术资产中枢 v0.1</t>
        </is>
      </c>
    </row>
    <row r="2" ht="12" customHeight="1"/>
    <row r="3" ht="23" customHeight="1">
      <c r="A3" s="318" t="inlineStr">
        <is>
          <t>查重 → 归类 → 领取 AssetID → 组件制作 → 游戏内验收 → 回填哈希；本表是唯一资产登记源</t>
        </is>
      </c>
    </row>
    <row r="4">
      <c r="A4" s="319" t="n"/>
      <c r="B4" s="319" t="n"/>
      <c r="C4" s="319" t="n"/>
      <c r="D4" s="319" t="n"/>
      <c r="E4" s="319" t="n"/>
      <c r="F4" s="319" t="n"/>
      <c r="G4" s="319" t="n"/>
      <c r="H4" s="319" t="n"/>
      <c r="I4" s="319" t="n"/>
      <c r="J4" s="319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当前3D原型</t>
        </is>
      </c>
      <c r="J5" s="320" t="inlineStr">
        <is>
          <t>基地 + 四主题副本 + 独立靶场</t>
        </is>
      </c>
    </row>
    <row r="6" ht="42" customHeight="1">
      <c r="A6" s="321" t="n">
        <v>274</v>
      </c>
      <c r="B6" s="319" t="n"/>
      <c r="C6" s="321" t="n">
        <v>133</v>
      </c>
      <c r="D6" s="319" t="n"/>
      <c r="E6" s="321" t="n">
        <v>117</v>
      </c>
      <c r="F6" s="319" t="n"/>
      <c r="G6" s="321">
        <f>COUNTIF('资产主表'!$S$6:$S$274,"重复")</f>
        <v/>
      </c>
      <c r="H6" s="319" t="n"/>
      <c r="I6" s="322" t="inlineStr">
        <is>
          <t>v0.1 3D塔楼：5m组件网格 / 99+100F基地打通 / 可编辑楼板与楼梯Prefab</t>
        </is>
      </c>
    </row>
    <row r="7">
      <c r="A7" s="319" t="n"/>
      <c r="B7" s="319" t="n"/>
      <c r="C7" s="319" t="n"/>
      <c r="D7" s="319" t="n"/>
      <c r="E7" s="319" t="n"/>
      <c r="F7" s="319" t="n"/>
      <c r="G7" s="319" t="n"/>
      <c r="H7" s="319" t="n"/>
      <c r="I7" s="319" t="n"/>
      <c r="J7" s="319" t="n"/>
    </row>
    <row r="8">
      <c r="A8" s="319" t="n"/>
      <c r="B8" s="319" t="n"/>
      <c r="C8" s="319" t="n"/>
      <c r="D8" s="319" t="n"/>
      <c r="E8" s="319" t="n"/>
      <c r="F8" s="319" t="n"/>
      <c r="G8" s="319" t="n"/>
      <c r="H8" s="319" t="n"/>
      <c r="I8" s="319" t="n"/>
      <c r="J8" s="319" t="n"/>
    </row>
    <row r="9" ht="32" customHeight="1">
      <c r="A9" s="323" t="inlineStr">
        <is>
          <t>大类</t>
        </is>
      </c>
      <c r="B9" s="324" t="inlineStr">
        <is>
          <t>资产数</t>
        </is>
      </c>
      <c r="C9" s="325" t="inlineStr">
        <is>
          <t>完成/接入</t>
        </is>
      </c>
      <c r="D9" s="319" t="n"/>
      <c r="E9" s="326" t="inlineStr">
        <is>
          <t>新增资产强制门禁</t>
        </is>
      </c>
      <c r="F9" s="125" t="n"/>
      <c r="G9" s="125" t="n"/>
      <c r="H9" s="125" t="n"/>
      <c r="I9" s="125" t="n"/>
      <c r="J9" s="126" t="n"/>
    </row>
    <row r="10">
      <c r="A10" s="329" t="inlineStr">
        <is>
          <t>角色</t>
        </is>
      </c>
      <c r="B10" s="329">
        <f>COUNTIF('资产主表'!$C$6:$C$274,A10)</f>
        <v/>
      </c>
      <c r="C10" s="329">
        <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f>
        <v/>
      </c>
      <c r="D10" s="319" t="n"/>
      <c r="E10" s="330" t="inlineStr">
        <is>
          <t>1</t>
        </is>
      </c>
      <c r="F10" s="329" t="inlineStr">
        <is>
          <t>查逻辑 ID / 中文名 / 别名 / 文件哈希</t>
        </is>
      </c>
      <c r="G10" s="329" t="inlineStr">
        <is>
          <t>有同义资产则复用或建立变体父子关系</t>
        </is>
      </c>
      <c r="H10" s="319" t="n"/>
      <c r="I10" s="319" t="n"/>
      <c r="J10" s="319" t="n"/>
    </row>
    <row r="11">
      <c r="A11" s="331" t="inlineStr">
        <is>
          <t>敌人</t>
        </is>
      </c>
      <c r="B11" s="331">
        <f>COUNTIF('资产主表'!$C$6:$C$274,A11)</f>
        <v/>
      </c>
      <c r="C11" s="331">
        <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f>
        <v/>
      </c>
      <c r="D11" s="319" t="n"/>
      <c r="E11" s="330" t="inlineStr">
        <is>
          <t>2</t>
        </is>
      </c>
      <c r="F11" s="331" t="inlineStr">
        <is>
          <t>在分类码表选择唯一大类与子类</t>
        </is>
      </c>
      <c r="G11" s="331" t="inlineStr">
        <is>
          <t>禁止同一资产跨目录复制</t>
        </is>
      </c>
      <c r="H11" s="319" t="n"/>
      <c r="I11" s="319" t="n"/>
      <c r="J11" s="319" t="n"/>
    </row>
    <row r="12">
      <c r="A12" s="331" t="inlineStr">
        <is>
          <t>枪械</t>
        </is>
      </c>
      <c r="B12" s="331">
        <f>COUNTIF('资产主表'!$C$6:$C$274,A12)</f>
        <v/>
      </c>
      <c r="C12" s="331">
        <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f>
        <v/>
      </c>
      <c r="D12" s="319" t="n"/>
      <c r="E12" s="330" t="inlineStr">
        <is>
          <t>3</t>
        </is>
      </c>
      <c r="F12" s="331" t="inlineStr">
        <is>
          <t>领取稳定 AssetID 与小写 snake_case 文件名</t>
        </is>
      </c>
      <c r="G12" s="331" t="inlineStr">
        <is>
          <t>版本只加 _v002，不改 AssetID</t>
        </is>
      </c>
      <c r="H12" s="319" t="n"/>
      <c r="I12" s="319" t="n"/>
      <c r="J12" s="319" t="n"/>
    </row>
    <row r="13">
      <c r="A13" s="331" t="inlineStr">
        <is>
          <t>道具</t>
        </is>
      </c>
      <c r="B13" s="331">
        <f>COUNTIF('资产主表'!$C$6:$C$274,A13)</f>
        <v/>
      </c>
      <c r="C13" s="331">
        <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f>
        <v/>
      </c>
      <c r="D13" s="319" t="n"/>
      <c r="E13" s="330" t="inlineStr">
        <is>
          <t>4</t>
        </is>
      </c>
      <c r="F13" s="331" t="inlineStr">
        <is>
          <t>3D房间/家具/枪械/怪物/灯具先查共用根与尺寸类</t>
        </is>
      </c>
      <c r="G13" s="331" t="inlineStr">
        <is>
          <t>主题差异进入资源或配置，禁止复制关卡局部目录</t>
        </is>
      </c>
      <c r="H13" s="319" t="n"/>
      <c r="I13" s="319" t="n"/>
      <c r="J13" s="319" t="n"/>
    </row>
    <row r="14">
      <c r="A14" s="331" t="inlineStr">
        <is>
          <t>场景</t>
        </is>
      </c>
      <c r="B14" s="331" t="n">
        <v>82</v>
      </c>
      <c r="C14" s="331" t="n">
        <v>30</v>
      </c>
      <c r="D14" s="319" t="n"/>
      <c r="E14" s="330" t="inlineStr">
        <is>
          <t>5</t>
        </is>
      </c>
      <c r="F14" s="331" t="inlineStr">
        <is>
          <t>游戏内表现、状态机、玩法逻辑、性能四项验收</t>
        </is>
      </c>
      <c r="G14" s="331" t="inlineStr">
        <is>
          <t>通过后填写路径、尺寸、哈希、日期</t>
        </is>
      </c>
      <c r="H14" s="319" t="n"/>
      <c r="I14" s="319" t="n"/>
      <c r="J14" s="319" t="n"/>
    </row>
    <row r="15">
      <c r="A15" s="331" t="inlineStr">
        <is>
          <t>场景道具</t>
        </is>
      </c>
      <c r="B15" s="331">
        <f>COUNTIF('资产主表'!$C$6:$C$274,A15)</f>
        <v/>
      </c>
      <c r="C15" s="331">
        <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f>
        <v/>
      </c>
      <c r="D15" s="319" t="n"/>
      <c r="E15" s="319" t="n"/>
      <c r="F15" s="319" t="n"/>
      <c r="G15" s="319" t="n"/>
      <c r="H15" s="319" t="n"/>
      <c r="I15" s="319" t="n"/>
      <c r="J15" s="319" t="n"/>
    </row>
    <row r="16">
      <c r="A16" s="331" t="inlineStr">
        <is>
          <t>UI</t>
        </is>
      </c>
      <c r="B16" s="331">
        <f>COUNTIF('资产主表'!$C$6:$C$274,A16)</f>
        <v/>
      </c>
      <c r="C16" s="331">
        <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f>
        <v/>
      </c>
      <c r="D16" s="319" t="n"/>
      <c r="E16" s="319" t="n"/>
      <c r="F16" s="319" t="n"/>
      <c r="G16" s="319" t="n"/>
      <c r="H16" s="319" t="n"/>
      <c r="I16" s="319" t="n"/>
      <c r="J16" s="319" t="n"/>
    </row>
    <row r="17">
      <c r="A17" s="331" t="inlineStr">
        <is>
          <t>特效</t>
        </is>
      </c>
      <c r="B17" s="331">
        <f>COUNTIF('资产主表'!$C$6:$C$274,A17)</f>
        <v/>
      </c>
      <c r="C17" s="331">
        <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f>
        <v/>
      </c>
      <c r="D17" s="319" t="n"/>
      <c r="E17" s="319" t="n"/>
      <c r="F17" s="319" t="n"/>
      <c r="G17" s="319" t="n"/>
      <c r="H17" s="319" t="n"/>
      <c r="I17" s="319" t="n"/>
      <c r="J17" s="319" t="n"/>
    </row>
    <row r="18">
      <c r="A18" s="331" t="inlineStr">
        <is>
          <t>音频</t>
        </is>
      </c>
      <c r="B18" s="331">
        <f>COUNTIF('资产主表'!$C$6:$C$274,A18)</f>
        <v/>
      </c>
      <c r="C18" s="331">
        <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f>
        <v/>
      </c>
      <c r="D18" s="319" t="n"/>
      <c r="E18" s="319" t="n"/>
      <c r="F18" s="319" t="n"/>
      <c r="G18" s="319" t="n"/>
      <c r="H18" s="319" t="n"/>
      <c r="I18" s="319" t="n"/>
      <c r="J18" s="319" t="n"/>
    </row>
    <row r="19">
      <c r="A19" s="319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</row>
    <row r="20">
      <c r="A20" s="319" t="n"/>
      <c r="B20" s="319" t="n"/>
      <c r="C20" s="319" t="n"/>
      <c r="D20" s="319" t="n"/>
      <c r="E20" s="319" t="n"/>
      <c r="F20" s="319" t="n"/>
      <c r="G20" s="319" t="n"/>
      <c r="H20" s="319" t="n"/>
      <c r="I20" s="319" t="n"/>
      <c r="J20" s="319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136" t="n"/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6" t="n"/>
      <c r="X4" s="136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00" t="inlineStr">
        <is>
          <t>备注</t>
        </is>
      </c>
    </row>
    <row r="6">
      <c r="A6" s="301" t="inlineStr">
        <is>
          <t>CHR-PLY-CAPSULE01</t>
        </is>
      </c>
      <c r="B6" s="301" t="inlineStr">
        <is>
          <t>胶囊防护体玩家</t>
        </is>
      </c>
      <c r="C6" s="301" t="inlineStr">
        <is>
          <t>角色</t>
        </is>
      </c>
      <c r="D6" s="301" t="inlineStr">
        <is>
          <t>player</t>
        </is>
      </c>
      <c r="E6" s="301" t="inlineStr">
        <is>
          <t>player_capsule01</t>
        </is>
      </c>
      <c r="F6" s="301" t="inlineStr">
        <is>
          <t>root</t>
        </is>
      </c>
      <c r="G6" s="301" t="str"/>
      <c r="H6" s="301" t="inlineStr">
        <is>
          <t>俯视3D</t>
        </is>
      </c>
      <c r="I6" s="301" t="inlineStr">
        <is>
          <t>default</t>
        </is>
      </c>
      <c r="J6" s="301" t="inlineStr">
        <is>
          <t>正式3D玩家</t>
        </is>
      </c>
      <c r="K6" s="301" t="inlineStr">
        <is>
          <t>原型已接入</t>
        </is>
      </c>
      <c r="L6" s="301" t="inlineStr">
        <is>
          <t>P0</t>
        </is>
      </c>
      <c r="M6" s="301" t="inlineStr">
        <is>
          <t>v006</t>
        </is>
      </c>
      <c r="N6" s="301" t="inlineStr">
        <is>
          <t>稳定逻辑身份；当前表现约1.5m高</t>
        </is>
      </c>
      <c r="O6" s="301" t="inlineStr">
        <is>
          <t>assets/art/characters/player/chr_player_capsule01_3d/variants/bunny01/chr_player_capsule01_bunny01_root_top3d_v006.tscn</t>
        </is>
      </c>
      <c r="P6" s="301" t="inlineStr">
        <is>
          <t>src/player3d/Player3D.gd; src/player3d/PlayerAvatar3D.gd</t>
        </is>
      </c>
      <c r="Q6" s="301" t="inlineStr">
        <is>
          <t>玩家; 胶囊体; 防护服; 主角</t>
        </is>
      </c>
      <c r="R6" s="301">
        <f>LOWER(TRIM(C6)&amp;"|"&amp;TRIM(D6)&amp;"|"&amp;TRIM(E6)&amp;"|"&amp;TRIM(F6)&amp;"|"&amp;TRIM(H6)&amp;"|"&amp;TRIM(I6))</f>
        <v/>
      </c>
      <c r="S6" s="301">
        <f>IF(COUNTIF($R$6:$R$280,R6)&gt;1,"重复","唯一")</f>
        <v/>
      </c>
      <c r="T6" s="301" t="str"/>
      <c r="U6" s="301" t="inlineStr">
        <is>
          <t>待分配</t>
        </is>
      </c>
      <c r="V6" s="302" t="n">
        <v>46243</v>
      </c>
      <c r="W6" s="301" t="inlineStr">
        <is>
          <t>稳定玩法根 AssetID</t>
        </is>
      </c>
      <c r="X6" s="301" t="inlineStr">
        <is>
          <t>2026-08-09：旧2D胶囊表现已退役并删除；正式表现只使用 CHR-PLY-CAPSULE01-3D-BUNNY01 v006。</t>
        </is>
      </c>
    </row>
    <row r="7">
      <c r="A7" s="138" t="inlineStr">
        <is>
          <t>CHR-PLY-CAPSULE01-HEAD-SIDE</t>
        </is>
      </c>
      <c r="B7" s="138" t="inlineStr">
        <is>
          <t>胶囊头壳</t>
        </is>
      </c>
      <c r="C7" s="138" t="inlineStr">
        <is>
          <t>角色</t>
        </is>
      </c>
      <c r="D7" s="138" t="inlineStr">
        <is>
          <t>player_component</t>
        </is>
      </c>
      <c r="E7" s="138" t="inlineStr">
        <is>
          <t>player_capsule01</t>
        </is>
      </c>
      <c r="F7" s="138" t="inlineStr">
        <is>
          <t>head</t>
        </is>
      </c>
      <c r="G7" s="138" t="inlineStr">
        <is>
          <t>CHR-PLY-CAPSULE01</t>
        </is>
      </c>
      <c r="H7" s="138" t="inlineStr">
        <is>
          <t>侧面朝右（可水平翻转）</t>
        </is>
      </c>
      <c r="I7" s="138" t="inlineStr">
        <is>
          <t>deprecated</t>
        </is>
      </c>
      <c r="J7" s="138" t="inlineStr">
        <is>
          <t>单资产</t>
        </is>
      </c>
      <c r="K7" s="138" t="inlineStr">
        <is>
          <t>弃用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28×24 px</t>
        </is>
      </c>
      <c r="O7" s="138" t="n"/>
      <c r="P7" s="138" t="n"/>
      <c r="Q7" s="138" t="inlineStr">
        <is>
          <t>头; 头盔; 传感器</t>
        </is>
      </c>
      <c r="R7" s="138">
        <f>LOWER(TRIM(C7)&amp;"|"&amp;TRIM(D7)&amp;"|"&amp;TRIM(E7)&amp;"|"&amp;TRIM(F7)&amp;"|"&amp;TRIM(H7)&amp;"|"&amp;TRIM(I7))</f>
        <v/>
      </c>
      <c r="S7" s="138">
        <f>IF(COUNTIF($R$6:$R$280,R7)&gt;1,"重复","唯一")</f>
        <v/>
      </c>
      <c r="T7" s="138" t="inlineStr">
        <is>
          <t>6035db0c8d1824ee0d0f12c0bcf7d5ebced8e37666541b7c31000ff7bad2f905</t>
        </is>
      </c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138" t="inlineStr">
        <is>
          <t>2026-08-09：旧2D玩家像素表现文件已从仓库删除；仅保留AssetID/哈希作为历史记录，替代项为 CHR-PLY-CAPSULE01-3D-BUNNY01。</t>
        </is>
      </c>
    </row>
    <row r="8">
      <c r="A8" s="138" t="inlineStr">
        <is>
          <t>CHR-PLY-CAPSULE01-BODY-SIDE</t>
        </is>
      </c>
      <c r="B8" s="138" t="inlineStr">
        <is>
          <t>胶囊防护服躯干</t>
        </is>
      </c>
      <c r="C8" s="138" t="inlineStr">
        <is>
          <t>角色</t>
        </is>
      </c>
      <c r="D8" s="138" t="inlineStr">
        <is>
          <t>player_component</t>
        </is>
      </c>
      <c r="E8" s="138" t="inlineStr">
        <is>
          <t>player_capsule01</t>
        </is>
      </c>
      <c r="F8" s="138" t="inlineStr">
        <is>
          <t>body</t>
        </is>
      </c>
      <c r="G8" s="138" t="inlineStr">
        <is>
          <t>CHR-PLY-CAPSULE01</t>
        </is>
      </c>
      <c r="H8" s="138" t="inlineStr">
        <is>
          <t>侧面朝右（可水平翻转）</t>
        </is>
      </c>
      <c r="I8" s="138" t="inlineStr">
        <is>
          <t>deprecated</t>
        </is>
      </c>
      <c r="J8" s="138" t="inlineStr">
        <is>
          <t>单资产</t>
        </is>
      </c>
      <c r="K8" s="138" t="inlineStr">
        <is>
          <t>弃用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32×35 px</t>
        </is>
      </c>
      <c r="O8" s="138" t="n"/>
      <c r="P8" s="138" t="n"/>
      <c r="Q8" s="138" t="inlineStr">
        <is>
          <t>身子; 躯干; 防护服</t>
        </is>
      </c>
      <c r="R8" s="138">
        <f>LOWER(TRIM(C8)&amp;"|"&amp;TRIM(D8)&amp;"|"&amp;TRIM(E8)&amp;"|"&amp;TRIM(F8)&amp;"|"&amp;TRIM(H8)&amp;"|"&amp;TRIM(I8))</f>
        <v/>
      </c>
      <c r="S8" s="138">
        <f>IF(COUNTIF($R$6:$R$280,R8)&gt;1,"重复","唯一")</f>
        <v/>
      </c>
      <c r="T8" s="138" t="inlineStr">
        <is>
          <t>653190cbcd99aaa10735842e4ee694c61e3c04b2d6aee7acfc3b03e0c7a65d6e</t>
        </is>
      </c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138" t="inlineStr">
        <is>
          <t>2026-08-09：旧2D玩家像素表现文件已从仓库删除；仅保留AssetID/哈希作为历史记录，替代项为 CHR-PLY-CAPSULE01-3D-BUNNY01。</t>
        </is>
      </c>
    </row>
    <row r="9">
      <c r="A9" s="138" t="inlineStr">
        <is>
          <t>CHR-PLY-CAPSULE01-HAND-L-SIDE</t>
        </is>
      </c>
      <c r="B9" s="138" t="inlineStr">
        <is>
          <t>左悬浮手（停用）</t>
        </is>
      </c>
      <c r="C9" s="138" t="inlineStr">
        <is>
          <t>角色</t>
        </is>
      </c>
      <c r="D9" s="138" t="inlineStr">
        <is>
          <t>player_component</t>
        </is>
      </c>
      <c r="E9" s="138" t="inlineStr">
        <is>
          <t>player_capsule01</t>
        </is>
      </c>
      <c r="F9" s="138" t="inlineStr">
        <is>
          <t>hand_l_source</t>
        </is>
      </c>
      <c r="G9" s="138" t="inlineStr">
        <is>
          <t>CHR-PLY-CAPSULE01</t>
        </is>
      </c>
      <c r="H9" s="138" t="inlineStr">
        <is>
          <t>侧面朝右（可水平翻转）</t>
        </is>
      </c>
      <c r="I9" s="138" t="inlineStr">
        <is>
          <t>deprecated</t>
        </is>
      </c>
      <c r="J9" s="138" t="inlineStr">
        <is>
          <t>单资产</t>
        </is>
      </c>
      <c r="K9" s="138" t="inlineStr">
        <is>
          <t>弃用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22×21 px</t>
        </is>
      </c>
      <c r="O9" s="138" t="n"/>
      <c r="P9" s="138" t="n"/>
      <c r="Q9" s="138" t="inlineStr">
        <is>
          <t>左手; 辅助手</t>
        </is>
      </c>
      <c r="R9" s="138">
        <f>LOWER(TRIM(C9)&amp;"|"&amp;TRIM(D9)&amp;"|"&amp;TRIM(E9)&amp;"|"&amp;TRIM(F9)&amp;"|"&amp;TRIM(H9)&amp;"|"&amp;TRIM(I9))</f>
        <v/>
      </c>
      <c r="S9" s="138">
        <f>IF(COUNTIF($R$6:$R$280,R9)&gt;1,"重复","唯一")</f>
        <v/>
      </c>
      <c r="T9" s="138" t="inlineStr">
        <is>
          <t>6270855f57a22aa2c1bc156b4fb85c98d8cc1b3978cd19082a0874e3d901c7c9</t>
        </is>
      </c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138" t="inlineStr">
        <is>
          <t>2026-08-09：旧2D玩家像素表现文件已从仓库删除；仅保留AssetID/哈希作为历史记录，替代项为 CHR-PLY-CAPSULE01-3D-BUNNY01。</t>
        </is>
      </c>
    </row>
    <row r="10">
      <c r="A10" s="138" t="inlineStr">
        <is>
          <t>CHR-PLY-CAPSULE01-HAND-R-SIDE</t>
        </is>
      </c>
      <c r="B10" s="138" t="inlineStr">
        <is>
          <t>唯一镜像握持手</t>
        </is>
      </c>
      <c r="C10" s="138" t="inlineStr">
        <is>
          <t>角色</t>
        </is>
      </c>
      <c r="D10" s="138" t="inlineStr">
        <is>
          <t>player_component</t>
        </is>
      </c>
      <c r="E10" s="138" t="inlineStr">
        <is>
          <t>player_capsule01</t>
        </is>
      </c>
      <c r="F10" s="138" t="inlineStr">
        <is>
          <t>hand</t>
        </is>
      </c>
      <c r="G10" s="138" t="inlineStr">
        <is>
          <t>CHR-PLY-CAPSULE01</t>
        </is>
      </c>
      <c r="H10" s="138" t="inlineStr">
        <is>
          <t>侧面朝右（可水平翻转）</t>
        </is>
      </c>
      <c r="I10" s="138" t="inlineStr">
        <is>
          <t>deprecated</t>
        </is>
      </c>
      <c r="J10" s="138" t="inlineStr">
        <is>
          <t>单资产</t>
        </is>
      </c>
      <c r="K10" s="138" t="inlineStr">
        <is>
          <t>弃用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22×17 px</t>
        </is>
      </c>
      <c r="O10" s="138" t="n"/>
      <c r="P10" s="138" t="n"/>
      <c r="Q10" s="138" t="inlineStr">
        <is>
          <t>右手; 主手; 枪手; 镜像握持</t>
        </is>
      </c>
      <c r="R10" s="138">
        <f>LOWER(TRIM(C10)&amp;"|"&amp;TRIM(D10)&amp;"|"&amp;TRIM(E10)&amp;"|"&amp;TRIM(F10)&amp;"|"&amp;TRIM(H10)&amp;"|"&amp;TRIM(I10))</f>
        <v/>
      </c>
      <c r="S10" s="138">
        <f>IF(COUNTIF($R$6:$R$280,R10)&gt;1,"重复","唯一")</f>
        <v/>
      </c>
      <c r="T10" s="138" t="inlineStr">
        <is>
          <t>69c2529cbd277ed337ce3b0a02a1994a2b470c99e545fad297e314a60485cfdf</t>
        </is>
      </c>
      <c r="U10" s="138" t="inlineStr">
        <is>
          <t>待分配</t>
        </is>
      </c>
      <c r="V10" s="303" t="n">
        <v>46243</v>
      </c>
      <c r="W10" s="138" t="inlineStr">
        <is>
          <t>原创/待确认</t>
        </is>
      </c>
      <c r="X10" s="138" t="inlineStr">
        <is>
          <t>2026-08-09：旧2D玩家像素表现文件已从仓库删除；仅保留AssetID/哈希作为历史记录，替代项为 CHR-PLY-CAPSULE01-3D-BUNNY01。</t>
        </is>
      </c>
    </row>
    <row r="11">
      <c r="A11" s="138" t="inlineStr">
        <is>
          <t>CHR-PLY-CAPSULE01-SCARF-SIDE</t>
        </is>
      </c>
      <c r="B11" s="138" t="inlineStr">
        <is>
          <t>红色安全围巾</t>
        </is>
      </c>
      <c r="C11" s="138" t="inlineStr">
        <is>
          <t>角色</t>
        </is>
      </c>
      <c r="D11" s="138" t="inlineStr">
        <is>
          <t>player_accessory</t>
        </is>
      </c>
      <c r="E11" s="138" t="inlineStr">
        <is>
          <t>player_capsule01</t>
        </is>
      </c>
      <c r="F11" s="138" t="inlineStr">
        <is>
          <t>scarf</t>
        </is>
      </c>
      <c r="G11" s="138" t="inlineStr">
        <is>
          <t>CHR-PLY-CAPSULE01</t>
        </is>
      </c>
      <c r="H11" s="138" t="inlineStr">
        <is>
          <t>侧面朝右（可水平翻转）</t>
        </is>
      </c>
      <c r="I11" s="138" t="inlineStr">
        <is>
          <t>deprecated</t>
        </is>
      </c>
      <c r="J11" s="138" t="inlineStr">
        <is>
          <t>单资产</t>
        </is>
      </c>
      <c r="K11" s="138" t="inlineStr">
        <is>
          <t>弃用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26×14 px</t>
        </is>
      </c>
      <c r="O11" s="138" t="n"/>
      <c r="P11" s="138" t="n"/>
      <c r="Q11" s="138" t="inlineStr">
        <is>
          <t>红围巾; 牛仔围巾; 识别色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IF(COUNTIF($R$6:$R$280,R11)&gt;1,"重复","唯一")</f>
        <v/>
      </c>
      <c r="T11" s="138" t="inlineStr">
        <is>
          <t>d3a7b1bb5e2ac0ef0c2129854ce59e91d7503a88e478326e1bd3b918a74fc079</t>
        </is>
      </c>
      <c r="U11" s="138" t="inlineStr">
        <is>
          <t>待分配</t>
        </is>
      </c>
      <c r="V11" s="303" t="n">
        <v>46243</v>
      </c>
      <c r="W11" s="138" t="inlineStr">
        <is>
          <t>原创/待确认</t>
        </is>
      </c>
      <c r="X11" s="138" t="inlineStr">
        <is>
          <t>2026-08-09：旧2D玩家像素表现文件已从仓库删除；仅保留AssetID/哈希作为历史记录，替代项为 CHR-PLY-CAPSULE01-3D-BUNNY01。</t>
        </is>
      </c>
    </row>
    <row r="12">
      <c r="A12" s="138" t="inlineStr">
        <is>
          <t>CHR-PLY-CAPSULE01-PREVIEW-STATES</t>
        </is>
      </c>
      <c r="B12" s="138" t="inlineStr">
        <is>
          <t>玩家六态验收预览</t>
        </is>
      </c>
      <c r="C12" s="138" t="inlineStr">
        <is>
          <t>角色</t>
        </is>
      </c>
      <c r="D12" s="138" t="inlineStr">
        <is>
          <t>review_board</t>
        </is>
      </c>
      <c r="E12" s="138" t="inlineStr">
        <is>
          <t>player_capsule01</t>
        </is>
      </c>
      <c r="F12" s="138" t="inlineStr">
        <is>
          <t>preview</t>
        </is>
      </c>
      <c r="G12" s="138" t="inlineStr">
        <is>
          <t>CHR-PLY-CAPSULE01</t>
        </is>
      </c>
      <c r="H12" s="138" t="inlineStr">
        <is>
          <t>侧面朝右（可水平翻转）</t>
        </is>
      </c>
      <c r="I12" s="138" t="inlineStr">
        <is>
          <t>deprecated</t>
        </is>
      </c>
      <c r="J12" s="138" t="inlineStr">
        <is>
          <t>评审/回归</t>
        </is>
      </c>
      <c r="K12" s="138" t="inlineStr">
        <is>
          <t>弃用</t>
        </is>
      </c>
      <c r="L12" s="138" t="inlineStr">
        <is>
          <t>P0</t>
        </is>
      </c>
      <c r="M12" s="138" t="inlineStr">
        <is>
          <t>v001</t>
        </is>
      </c>
      <c r="N12" s="138" t="inlineStr">
        <is>
          <t>1280×720 px</t>
        </is>
      </c>
      <c r="O12" s="138" t="n"/>
      <c r="P12" s="138" t="n"/>
      <c r="Q12" s="138" t="inlineStr">
        <is>
          <t>六态; 验收板</t>
        </is>
      </c>
      <c r="R12" s="138">
        <f>LOWER(TRIM(C12)&amp;"|"&amp;TRIM(D12)&amp;"|"&amp;TRIM(E12)&amp;"|"&amp;TRIM(F12)&amp;"|"&amp;TRIM(H12)&amp;"|"&amp;TRIM(I12))</f>
        <v/>
      </c>
      <c r="S12" s="138">
        <f>IF(COUNTIF($R$6:$R$280,R12)&gt;1,"重复","唯一")</f>
        <v/>
      </c>
      <c r="T12" s="138" t="str"/>
      <c r="U12" s="138" t="inlineStr">
        <is>
          <t>待分配</t>
        </is>
      </c>
      <c r="V12" s="303" t="n">
        <v>46243</v>
      </c>
      <c r="W12" s="138" t="inlineStr">
        <is>
          <t>原创/待确认</t>
        </is>
      </c>
      <c r="X12" s="138" t="inlineStr">
        <is>
          <t>2026-08-09：旧2D玩家像素表现文件已从仓库删除；仅保留AssetID/哈希作为历史记录，替代项为 CHR-PLY-CAPSULE01-3D-BUNNY01。</t>
        </is>
      </c>
    </row>
    <row r="13">
      <c r="A13" s="138" t="inlineStr">
        <is>
          <t>VFX-PLY-DASH-TRAIL</t>
        </is>
      </c>
      <c r="B13" s="138" t="inlineStr">
        <is>
          <t>玩家冲刺尾迹</t>
        </is>
      </c>
      <c r="C13" s="138" t="inlineStr">
        <is>
          <t>特效</t>
        </is>
      </c>
      <c r="D13" s="138" t="inlineStr">
        <is>
          <t>player_state</t>
        </is>
      </c>
      <c r="E13" s="138" t="inlineStr">
        <is>
          <t>player_dash</t>
        </is>
      </c>
      <c r="F13" s="138" t="inlineStr">
        <is>
          <t>root</t>
        </is>
      </c>
      <c r="G13" s="138" t="str"/>
      <c r="H13" s="138" t="inlineStr">
        <is>
          <t>侧面朝右（可水平翻转）</t>
        </is>
      </c>
      <c r="I13" s="138" t="inlineStr">
        <is>
          <t>dashing</t>
        </is>
      </c>
      <c r="J13" s="138" t="inlineStr">
        <is>
          <t>玩家状态</t>
        </is>
      </c>
      <c r="K13" s="138" t="inlineStr">
        <is>
          <t>弃用</t>
        </is>
      </c>
      <c r="L13" s="138" t="inlineStr">
        <is>
          <t>P1</t>
        </is>
      </c>
      <c r="M13" s="138" t="inlineStr">
        <is>
          <t>v001</t>
        </is>
      </c>
      <c r="N13" s="138" t="inlineStr">
        <is>
          <t>待定</t>
        </is>
      </c>
      <c r="O13" s="138" t="str"/>
      <c r="P13" s="138" t="n"/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IF(COUNTIF($R$6:$R$280,R13)&gt;1,"重复","唯一")</f>
        <v/>
      </c>
      <c r="T13" s="138" t="str"/>
      <c r="U13" s="138" t="inlineStr">
        <is>
          <t>待分配</t>
        </is>
      </c>
      <c r="V13" s="303" t="n">
        <v>46243</v>
      </c>
      <c r="W13" s="138" t="inlineStr">
        <is>
          <t>原创/待确认</t>
        </is>
      </c>
      <c r="X13" s="138" t="inlineStr">
        <is>
          <t>2026-08-09：旧2D PlayerAvatarRenderer专用表现已删除；当前3D状态表现由 PlayerAvatar3D / WeaponModel3D 持有。</t>
        </is>
      </c>
    </row>
    <row r="14">
      <c r="A14" s="138" t="inlineStr">
        <is>
          <t>VFX-PLY-HURT-FLASH</t>
        </is>
      </c>
      <c r="B14" s="138" t="inlineStr">
        <is>
          <t>玩家受击闪光</t>
        </is>
      </c>
      <c r="C14" s="138" t="inlineStr">
        <is>
          <t>特效</t>
        </is>
      </c>
      <c r="D14" s="138" t="inlineStr">
        <is>
          <t>player_state</t>
        </is>
      </c>
      <c r="E14" s="138" t="inlineStr">
        <is>
          <t>player_hurt</t>
        </is>
      </c>
      <c r="F14" s="138" t="inlineStr">
        <is>
          <t>root</t>
        </is>
      </c>
      <c r="G14" s="138" t="str"/>
      <c r="H14" s="138" t="inlineStr">
        <is>
          <t>侧面朝右（可水平翻转）</t>
        </is>
      </c>
      <c r="I14" s="138" t="inlineStr">
        <is>
          <t>hurt</t>
        </is>
      </c>
      <c r="J14" s="138" t="inlineStr">
        <is>
          <t>玩家状态</t>
        </is>
      </c>
      <c r="K14" s="138" t="inlineStr">
        <is>
          <t>弃用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待定</t>
        </is>
      </c>
      <c r="O14" s="138" t="str"/>
      <c r="P14" s="138" t="n"/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IF(COUNTIF($R$6:$R$280,R14)&gt;1,"重复","唯一")</f>
        <v/>
      </c>
      <c r="T14" s="138" t="str"/>
      <c r="U14" s="138" t="inlineStr">
        <is>
          <t>待分配</t>
        </is>
      </c>
      <c r="V14" s="303" t="n">
        <v>46243</v>
      </c>
      <c r="W14" s="138" t="inlineStr">
        <is>
          <t>原创/待确认</t>
        </is>
      </c>
      <c r="X14" s="138" t="inlineStr">
        <is>
          <t>2026-08-09：旧2D PlayerAvatarRenderer专用表现已删除；当前3D状态表现由 PlayerAvatar3D / WeaponModel3D 持有。</t>
        </is>
      </c>
    </row>
    <row r="15">
      <c r="A15" s="138" t="inlineStr">
        <is>
          <t>VFX-PLY-LOWHP-RING</t>
        </is>
      </c>
      <c r="B15" s="138" t="inlineStr">
        <is>
          <t>玩家低血环</t>
        </is>
      </c>
      <c r="C15" s="138" t="inlineStr">
        <is>
          <t>特效</t>
        </is>
      </c>
      <c r="D15" s="138" t="inlineStr">
        <is>
          <t>player_overlay</t>
        </is>
      </c>
      <c r="E15" s="138" t="inlineStr">
        <is>
          <t>player_low_hp</t>
        </is>
      </c>
      <c r="F15" s="138" t="inlineStr">
        <is>
          <t>root</t>
        </is>
      </c>
      <c r="G15" s="138" t="str"/>
      <c r="H15" s="138" t="inlineStr">
        <is>
          <t>侧面朝右（可水平翻转）</t>
        </is>
      </c>
      <c r="I15" s="138" t="inlineStr">
        <is>
          <t>low_health</t>
        </is>
      </c>
      <c r="J15" s="138" t="inlineStr">
        <is>
          <t>叠加状态</t>
        </is>
      </c>
      <c r="K15" s="138" t="inlineStr">
        <is>
          <t>弃用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待定</t>
        </is>
      </c>
      <c r="O15" s="138" t="str"/>
      <c r="P15" s="138" t="n"/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IF(COUNTIF($R$6:$R$280,R15)&gt;1,"重复","唯一")</f>
        <v/>
      </c>
      <c r="T15" s="138" t="str"/>
      <c r="U15" s="138" t="inlineStr">
        <is>
          <t>待分配</t>
        </is>
      </c>
      <c r="V15" s="303" t="n">
        <v>46243</v>
      </c>
      <c r="W15" s="138" t="inlineStr">
        <is>
          <t>原创/待确认</t>
        </is>
      </c>
      <c r="X15" s="138" t="inlineStr">
        <is>
          <t>2026-08-09：旧2D PlayerAvatarRenderer专用表现已删除；当前3D状态表现由 PlayerAvatar3D / WeaponModel3D 持有。</t>
        </is>
      </c>
    </row>
    <row r="16">
      <c r="A16" s="138" t="inlineStr">
        <is>
          <t>VFX-PLY-SILENCED-RING</t>
        </is>
      </c>
      <c r="B16" s="138" t="inlineStr">
        <is>
          <t>玩家沉默干扰环</t>
        </is>
      </c>
      <c r="C16" s="138" t="inlineStr">
        <is>
          <t>特效</t>
        </is>
      </c>
      <c r="D16" s="138" t="inlineStr">
        <is>
          <t>player_overlay</t>
        </is>
      </c>
      <c r="E16" s="138" t="inlineStr">
        <is>
          <t>player_silenced</t>
        </is>
      </c>
      <c r="F16" s="138" t="inlineStr">
        <is>
          <t>root</t>
        </is>
      </c>
      <c r="G16" s="138" t="str"/>
      <c r="H16" s="138" t="inlineStr">
        <is>
          <t>侧面朝右（可水平翻转）</t>
        </is>
      </c>
      <c r="I16" s="138" t="inlineStr">
        <is>
          <t>silenced</t>
        </is>
      </c>
      <c r="J16" s="138" t="inlineStr">
        <is>
          <t>叠加状态</t>
        </is>
      </c>
      <c r="K16" s="138" t="inlineStr">
        <is>
          <t>弃用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待定</t>
        </is>
      </c>
      <c r="O16" s="138" t="str"/>
      <c r="P16" s="138" t="n"/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IF(COUNTIF($R$6:$R$280,R16)&gt;1,"重复","唯一")</f>
        <v/>
      </c>
      <c r="T16" s="138" t="str"/>
      <c r="U16" s="138" t="inlineStr">
        <is>
          <t>待分配</t>
        </is>
      </c>
      <c r="V16" s="303" t="n">
        <v>46243</v>
      </c>
      <c r="W16" s="138" t="inlineStr">
        <is>
          <t>原创/待确认</t>
        </is>
      </c>
      <c r="X16" s="138" t="inlineStr">
        <is>
          <t>2026-08-09：旧2D PlayerAvatarRenderer专用表现已删除；当前3D状态表现由 PlayerAvatar3D / WeaponModel3D 持有。</t>
        </is>
      </c>
    </row>
    <row r="17">
      <c r="A17" s="138" t="inlineStr">
        <is>
          <t>ENM-MELEE-FUNGBOAR01</t>
        </is>
      </c>
      <c r="B17" s="138" t="inlineStr">
        <is>
          <t>小菌猪</t>
        </is>
      </c>
      <c r="C17" s="138" t="inlineStr">
        <is>
          <t>敌人</t>
        </is>
      </c>
      <c r="D17" s="138" t="inlineStr">
        <is>
          <t>normal_melee</t>
        </is>
      </c>
      <c r="E17" s="138" t="inlineStr">
        <is>
          <t>melee_chaser</t>
        </is>
      </c>
      <c r="F17" s="138" t="inlineStr">
        <is>
          <t>root</t>
        </is>
      </c>
      <c r="G17" s="138" t="str"/>
      <c r="H17" s="138" t="inlineStr">
        <is>
          <t>侧面朝右（可水平翻转）</t>
        </is>
      </c>
      <c r="I17" s="138" t="inlineStr">
        <is>
          <t>default</t>
        </is>
      </c>
      <c r="J17" s="138" t="inlineStr">
        <is>
          <t>单资产</t>
        </is>
      </c>
      <c r="K17" s="138" t="inlineStr">
        <is>
          <t>程序占位</t>
        </is>
      </c>
      <c r="L17" s="138" t="inlineStr">
        <is>
          <t>P0</t>
        </is>
      </c>
      <c r="M17" s="138" t="inlineStr">
        <is>
          <t>v001</t>
        </is>
      </c>
      <c r="N17" s="138" t="inlineStr">
        <is>
          <t>待定</t>
        </is>
      </c>
      <c r="O17" s="138" t="str"/>
      <c r="P17" s="138" t="inlineStr">
        <is>
          <t>src/enemy/EnemyTypes.gd</t>
        </is>
      </c>
      <c r="Q17" s="138" t="inlineStr">
        <is>
          <t>近战追击; chaser</t>
        </is>
      </c>
      <c r="R17" s="138">
        <f>LOWER(TRIM(C17)&amp;"|"&amp;TRIM(D17)&amp;"|"&amp;TRIM(E17)&amp;"|"&amp;TRIM(F17)&amp;"|"&amp;TRIM(H17)&amp;"|"&amp;TRIM(I17))</f>
        <v/>
      </c>
      <c r="S17" s="138">
        <f>IF(COUNTIF($R$6:$R$280,R17)&gt;1,"重复","唯一")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138" t="inlineStr">
        <is>
          <t>需保持快速贴脸轮廓</t>
        </is>
      </c>
    </row>
    <row r="18">
      <c r="A18" s="138" t="inlineStr">
        <is>
          <t>ENM-RANGED-SPORESHOOTER01</t>
        </is>
      </c>
      <c r="B18" s="138" t="inlineStr">
        <is>
          <t>孢子射手</t>
        </is>
      </c>
      <c r="C18" s="138" t="inlineStr">
        <is>
          <t>敌人</t>
        </is>
      </c>
      <c r="D18" s="138" t="inlineStr">
        <is>
          <t>normal_ranged</t>
        </is>
      </c>
      <c r="E18" s="138" t="inlineStr">
        <is>
          <t>ranged_caster</t>
        </is>
      </c>
      <c r="F18" s="138" t="inlineStr">
        <is>
          <t>root</t>
        </is>
      </c>
      <c r="G18" s="138" t="str"/>
      <c r="H18" s="138" t="inlineStr">
        <is>
          <t>侧面朝右（可水平翻转）</t>
        </is>
      </c>
      <c r="I18" s="138" t="inlineStr">
        <is>
          <t>default</t>
        </is>
      </c>
      <c r="J18" s="138" t="inlineStr">
        <is>
          <t>单资产</t>
        </is>
      </c>
      <c r="K18" s="138" t="inlineStr">
        <is>
          <t>程序占位</t>
        </is>
      </c>
      <c r="L18" s="138" t="inlineStr">
        <is>
          <t>P0</t>
        </is>
      </c>
      <c r="M18" s="138" t="inlineStr">
        <is>
          <t>v001</t>
        </is>
      </c>
      <c r="N18" s="138" t="inlineStr">
        <is>
          <t>待定</t>
        </is>
      </c>
      <c r="O18" s="138" t="str"/>
      <c r="P18" s="138" t="inlineStr">
        <is>
          <t>src/enemy/EnemyTypes.gd</t>
        </is>
      </c>
      <c r="Q18" s="138" t="inlineStr">
        <is>
          <t>远程弹幕; ranged</t>
        </is>
      </c>
      <c r="R18" s="138">
        <f>LOWER(TRIM(C18)&amp;"|"&amp;TRIM(D18)&amp;"|"&amp;TRIM(E18)&amp;"|"&amp;TRIM(F18)&amp;"|"&amp;TRIM(H18)&amp;"|"&amp;TRIM(I18))</f>
        <v/>
      </c>
      <c r="S18" s="138">
        <f>IF(COUNTIF($R$6:$R$280,R18)&gt;1,"重复","唯一")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138" t="str"/>
    </row>
    <row r="19">
      <c r="A19" s="138" t="inlineStr">
        <is>
          <t>ENM-SUMMON-HIVE01</t>
        </is>
      </c>
      <c r="B19" s="138" t="inlineStr">
        <is>
          <t>蜂巢怪</t>
        </is>
      </c>
      <c r="C19" s="138" t="inlineStr">
        <is>
          <t>敌人</t>
        </is>
      </c>
      <c r="D19" s="138" t="inlineStr">
        <is>
          <t>normal_summoner</t>
        </is>
      </c>
      <c r="E19" s="138" t="inlineStr">
        <is>
          <t>summoner</t>
        </is>
      </c>
      <c r="F19" s="138" t="inlineStr">
        <is>
          <t>root</t>
        </is>
      </c>
      <c r="G19" s="138" t="str"/>
      <c r="H19" s="138" t="inlineStr">
        <is>
          <t>侧面朝右（可水平翻转）</t>
        </is>
      </c>
      <c r="I19" s="138" t="inlineStr">
        <is>
          <t>default</t>
        </is>
      </c>
      <c r="J19" s="138" t="inlineStr">
        <is>
          <t>单资产</t>
        </is>
      </c>
      <c r="K19" s="138" t="inlineStr">
        <is>
          <t>程序占位</t>
        </is>
      </c>
      <c r="L19" s="138" t="inlineStr">
        <is>
          <t>P0</t>
        </is>
      </c>
      <c r="M19" s="138" t="inlineStr">
        <is>
          <t>v001</t>
        </is>
      </c>
      <c r="N19" s="138" t="inlineStr">
        <is>
          <t>待定</t>
        </is>
      </c>
      <c r="O19" s="138" t="str"/>
      <c r="P19" s="138" t="inlineStr">
        <is>
          <t>src/enemy/EnemyTypes.gd</t>
        </is>
      </c>
      <c r="Q19" s="138" t="inlineStr">
        <is>
          <t>召唤型; hive</t>
        </is>
      </c>
      <c r="R19" s="138">
        <f>LOWER(TRIM(C19)&amp;"|"&amp;TRIM(D19)&amp;"|"&amp;TRIM(E19)&amp;"|"&amp;TRIM(F19)&amp;"|"&amp;TRIM(H19)&amp;"|"&amp;TRIM(I19))</f>
        <v/>
      </c>
      <c r="S19" s="138">
        <f>IF(COUNTIF($R$6:$R$280,R19)&gt;1,"重复","唯一")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138" t="str"/>
    </row>
    <row r="20">
      <c r="A20" s="138" t="inlineStr">
        <is>
          <t>ENM-TANK-SHELLGUARD01</t>
        </is>
      </c>
      <c r="B20" s="138" t="inlineStr">
        <is>
          <t>壳甲卫兵</t>
        </is>
      </c>
      <c r="C20" s="138" t="inlineStr">
        <is>
          <t>敌人</t>
        </is>
      </c>
      <c r="D20" s="138" t="inlineStr">
        <is>
          <t>normal_tank</t>
        </is>
      </c>
      <c r="E20" s="138" t="inlineStr">
        <is>
          <t>shielded</t>
        </is>
      </c>
      <c r="F20" s="138" t="inlineStr">
        <is>
          <t>root</t>
        </is>
      </c>
      <c r="G20" s="138" t="str"/>
      <c r="H20" s="138" t="inlineStr">
        <is>
          <t>侧面朝右（可水平翻转）</t>
        </is>
      </c>
      <c r="I20" s="138" t="inlineStr">
        <is>
          <t>default</t>
        </is>
      </c>
      <c r="J20" s="138" t="inlineStr">
        <is>
          <t>单资产</t>
        </is>
      </c>
      <c r="K20" s="138" t="inlineStr">
        <is>
          <t>程序占位</t>
        </is>
      </c>
      <c r="L20" s="138" t="inlineStr">
        <is>
          <t>P0</t>
        </is>
      </c>
      <c r="M20" s="138" t="inlineStr">
        <is>
          <t>v001</t>
        </is>
      </c>
      <c r="N20" s="138" t="inlineStr">
        <is>
          <t>待定</t>
        </is>
      </c>
      <c r="O20" s="138" t="str"/>
      <c r="P20" s="138" t="inlineStr">
        <is>
          <t>src/enemy/EnemyTypes.gd</t>
        </is>
      </c>
      <c r="Q20" s="138" t="inlineStr">
        <is>
          <t>护盾型; tank</t>
        </is>
      </c>
      <c r="R20" s="138">
        <f>LOWER(TRIM(C20)&amp;"|"&amp;TRIM(D20)&amp;"|"&amp;TRIM(E20)&amp;"|"&amp;TRIM(F20)&amp;"|"&amp;TRIM(H20)&amp;"|"&amp;TRIM(I20))</f>
        <v/>
      </c>
      <c r="S20" s="138">
        <f>IF(COUNTIF($R$6:$R$280,R20)&gt;1,"重复","唯一")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138" t="str"/>
    </row>
    <row r="21">
      <c r="A21" s="138" t="inlineStr">
        <is>
          <t>ENM-BOMBER-FRUIT01</t>
        </is>
      </c>
      <c r="B21" s="138" t="inlineStr">
        <is>
          <t>炸弹果</t>
        </is>
      </c>
      <c r="C21" s="138" t="inlineStr">
        <is>
          <t>敌人</t>
        </is>
      </c>
      <c r="D21" s="138" t="inlineStr">
        <is>
          <t>normal_bomber</t>
        </is>
      </c>
      <c r="E21" s="138" t="inlineStr">
        <is>
          <t>exploder</t>
        </is>
      </c>
      <c r="F21" s="138" t="inlineStr">
        <is>
          <t>root</t>
        </is>
      </c>
      <c r="G21" s="138" t="str"/>
      <c r="H21" s="138" t="inlineStr">
        <is>
          <t>侧面朝右（可水平翻转）</t>
        </is>
      </c>
      <c r="I21" s="138" t="inlineStr">
        <is>
          <t>default</t>
        </is>
      </c>
      <c r="J21" s="138" t="inlineStr">
        <is>
          <t>单资产</t>
        </is>
      </c>
      <c r="K21" s="138" t="inlineStr">
        <is>
          <t>程序占位</t>
        </is>
      </c>
      <c r="L21" s="138" t="inlineStr">
        <is>
          <t>P0</t>
        </is>
      </c>
      <c r="M21" s="138" t="inlineStr">
        <is>
          <t>v001</t>
        </is>
      </c>
      <c r="N21" s="138" t="inlineStr">
        <is>
          <t>待定</t>
        </is>
      </c>
      <c r="O21" s="138" t="str"/>
      <c r="P21" s="138" t="inlineStr">
        <is>
          <t>src/enemy/EnemyTypes.gd</t>
        </is>
      </c>
      <c r="Q21" s="138" t="inlineStr">
        <is>
          <t>膨胀鼠; 自爆型; bomber</t>
        </is>
      </c>
      <c r="R21" s="138">
        <f>LOWER(TRIM(C21)&amp;"|"&amp;TRIM(D21)&amp;"|"&amp;TRIM(E21)&amp;"|"&amp;TRIM(F21)&amp;"|"&amp;TRIM(H21)&amp;"|"&amp;TRIM(I21))</f>
        <v/>
      </c>
      <c r="S21" s="138">
        <f>IF(COUNTIF($R$6:$R$280,R21)&gt;1,"重复","唯一")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138" t="str"/>
    </row>
    <row r="22">
      <c r="A22" s="138" t="inlineStr">
        <is>
          <t>ENM-TRAP-SPIKEWORM01</t>
        </is>
      </c>
      <c r="B22" s="138" t="inlineStr">
        <is>
          <t>地刺虫</t>
        </is>
      </c>
      <c r="C22" s="138" t="inlineStr">
        <is>
          <t>敌人</t>
        </is>
      </c>
      <c r="D22" s="138" t="inlineStr">
        <is>
          <t>normal_ambusher</t>
        </is>
      </c>
      <c r="E22" s="138" t="inlineStr">
        <is>
          <t>ambusher</t>
        </is>
      </c>
      <c r="F22" s="138" t="inlineStr">
        <is>
          <t>root</t>
        </is>
      </c>
      <c r="G22" s="138" t="str"/>
      <c r="H22" s="138" t="inlineStr">
        <is>
          <t>侧面朝右（可水平翻转）</t>
        </is>
      </c>
      <c r="I22" s="138" t="inlineStr">
        <is>
          <t>default</t>
        </is>
      </c>
      <c r="J22" s="138" t="inlineStr">
        <is>
          <t>单资产</t>
        </is>
      </c>
      <c r="K22" s="138" t="inlineStr">
        <is>
          <t>程序占位</t>
        </is>
      </c>
      <c r="L22" s="138" t="inlineStr">
        <is>
          <t>P0</t>
        </is>
      </c>
      <c r="M22" s="138" t="inlineStr">
        <is>
          <t>v001</t>
        </is>
      </c>
      <c r="N22" s="138" t="inlineStr">
        <is>
          <t>待定</t>
        </is>
      </c>
      <c r="O22" s="138" t="str"/>
      <c r="P22" s="138" t="inlineStr">
        <is>
          <t>src/enemy/EnemyTypes.gd</t>
        </is>
      </c>
      <c r="Q22" s="138" t="inlineStr">
        <is>
          <t>潜伏型; trapper</t>
        </is>
      </c>
      <c r="R22" s="138">
        <f>LOWER(TRIM(C22)&amp;"|"&amp;TRIM(D22)&amp;"|"&amp;TRIM(E22)&amp;"|"&amp;TRIM(F22)&amp;"|"&amp;TRIM(H22)&amp;"|"&amp;TRIM(I22))</f>
        <v/>
      </c>
      <c r="S22" s="138">
        <f>IF(COUNTIF($R$6:$R$280,R22)&gt;1,"重复","唯一")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138" t="str"/>
    </row>
    <row r="23">
      <c r="A23" s="138" t="inlineStr">
        <is>
          <t>ENM-BOSS-ABYSS01</t>
        </is>
      </c>
      <c r="B23" s="138" t="inlineStr">
        <is>
          <t>深渊 Boss</t>
        </is>
      </c>
      <c r="C23" s="138" t="inlineStr">
        <is>
          <t>敌人</t>
        </is>
      </c>
      <c r="D23" s="138" t="inlineStr">
        <is>
          <t>boss</t>
        </is>
      </c>
      <c r="E23" s="138" t="inlineStr">
        <is>
          <t>boss</t>
        </is>
      </c>
      <c r="F23" s="138" t="inlineStr">
        <is>
          <t>root</t>
        </is>
      </c>
      <c r="G23" s="138" t="str"/>
      <c r="H23" s="138" t="inlineStr">
        <is>
          <t>侧面朝右（可水平翻转）</t>
        </is>
      </c>
      <c r="I23" s="138" t="inlineStr">
        <is>
          <t>default</t>
        </is>
      </c>
      <c r="J23" s="138" t="inlineStr">
        <is>
          <t>单资产</t>
        </is>
      </c>
      <c r="K23" s="138" t="inlineStr">
        <is>
          <t>程序占位</t>
        </is>
      </c>
      <c r="L23" s="138" t="inlineStr">
        <is>
          <t>P1</t>
        </is>
      </c>
      <c r="M23" s="138" t="inlineStr">
        <is>
          <t>v001</t>
        </is>
      </c>
      <c r="N23" s="138" t="inlineStr">
        <is>
          <t>待定</t>
        </is>
      </c>
      <c r="O23" s="138" t="str"/>
      <c r="P23" s="138" t="inlineStr">
        <is>
          <t>src/enemy/BossAvatarRenderer.gd</t>
        </is>
      </c>
      <c r="Q23" s="138" t="inlineStr">
        <is>
          <t>BossActor; 三阶段</t>
        </is>
      </c>
      <c r="R23" s="138">
        <f>LOWER(TRIM(C23)&amp;"|"&amp;TRIM(D23)&amp;"|"&amp;TRIM(E23)&amp;"|"&amp;TRIM(F23)&amp;"|"&amp;TRIM(H23)&amp;"|"&amp;TRIM(I23))</f>
        <v/>
      </c>
      <c r="S23" s="138">
        <f>IF(COUNTIF($R$6:$R$280,R23)&gt;1,"重复","唯一")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138" t="inlineStr">
        <is>
          <t>三阶段由同一主体加部件/发光变化，不重复做整套</t>
        </is>
      </c>
    </row>
    <row r="24">
      <c r="A24" s="138" t="inlineStr">
        <is>
          <t>WPN-GUN-BP-PISTOL</t>
        </is>
      </c>
      <c r="B24" s="138" t="inlineStr">
        <is>
          <t>豌豆手枪 / 吹风机造型</t>
        </is>
      </c>
      <c r="C24" s="138" t="inlineStr">
        <is>
          <t>枪械</t>
        </is>
      </c>
      <c r="D24" s="138" t="inlineStr">
        <is>
          <t>gunbody</t>
        </is>
      </c>
      <c r="E24" s="138" t="inlineStr">
        <is>
          <t>bp_pistol</t>
        </is>
      </c>
      <c r="F24" s="138" t="inlineStr">
        <is>
          <t>root</t>
        </is>
      </c>
      <c r="G24" s="138" t="str"/>
      <c r="H24" s="138" t="inlineStr">
        <is>
          <t>俯视3D / local -Z 枪口</t>
        </is>
      </c>
      <c r="I24" s="138" t="inlineStr">
        <is>
          <t>default / 标准握把与8类挂点</t>
        </is>
      </c>
      <c r="J24" s="138" t="inlineStr">
        <is>
          <t>手持/背负/地面/UI 共用独立PackedScene</t>
        </is>
      </c>
      <c r="K24" s="138" t="inlineStr">
        <is>
          <t>正式美术已接入</t>
        </is>
      </c>
      <c r="L24" s="138" t="inlineStr">
        <is>
          <t>P0</t>
        </is>
      </c>
      <c r="M24" s="138" t="inlineStr">
        <is>
          <t>v001</t>
        </is>
      </c>
      <c r="N24" s="138" t="inlineStr">
        <is>
          <t>握把原点；local -Z枪口；3材质；独立GLB/PackedScene</t>
        </is>
      </c>
      <c r="O24" s="138" t="inlineStr">
        <is>
          <t>assets/art/weapons/weapon_3d/runtime/hair_dryer/wpn_hair_dryer_root_top3d_v001.tscn</t>
        </is>
      </c>
      <c r="P24" s="138" t="inlineStr">
        <is>
          <t>assets/art/weapons/weapon_3d/source/hair_dryer/wpn_hair_dryer_source_v003.blend; src/combat3d/WeaponModel3D.gd</t>
        </is>
      </c>
      <c r="Q24" s="138" t="inlineStr">
        <is>
          <t>bp_pistol; 吹风机; 握把原点; -Z枪口; 通用挂点; 多巴胺配色</t>
        </is>
      </c>
      <c r="R24" s="138">
        <f>LOWER(TRIM(C24)&amp;"|"&amp;TRIM(D24)&amp;"|"&amp;TRIM(E24)&amp;"|"&amp;TRIM(F24)&amp;"|"&amp;TRIM(H24)&amp;"|"&amp;TRIM(I24))</f>
        <v/>
      </c>
      <c r="S24" s="138">
        <f>IF(COUNTIF($R$6:$R$280,R24)&gt;1,"重复","唯一")</f>
        <v/>
      </c>
      <c r="T24" s="138" t="inlineStr">
        <is>
          <t>c8e52bda1186290d466026515f08ce7ad31e49d288288640525916f4967685a8</t>
        </is>
      </c>
      <c r="U24" s="138" t="inlineStr">
        <is>
          <t>Codex</t>
        </is>
      </c>
      <c r="V24" s="303" t="n">
        <v>46244</v>
      </c>
      <c r="W24" s="138" t="inlineStr">
        <is>
          <t>用户自制Blender资产</t>
        </is>
      </c>
      <c r="X24" s="138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</t>
        </is>
      </c>
    </row>
    <row r="25">
      <c r="A25" s="138" t="inlineStr">
        <is>
          <t>WPN-GUN-BP-SHOTGUN</t>
        </is>
      </c>
      <c r="B25" s="138" t="inlineStr">
        <is>
          <t>散射喷壶 / 双管炮造型</t>
        </is>
      </c>
      <c r="C25" s="138" t="inlineStr">
        <is>
          <t>枪械</t>
        </is>
      </c>
      <c r="D25" s="138" t="inlineStr">
        <is>
          <t>gunbody</t>
        </is>
      </c>
      <c r="E25" s="138" t="inlineStr">
        <is>
          <t>bp_shotgun</t>
        </is>
      </c>
      <c r="F25" s="138" t="inlineStr">
        <is>
          <t>root</t>
        </is>
      </c>
      <c r="G25" s="138" t="str"/>
      <c r="H25" s="138" t="inlineStr">
        <is>
          <t>俯视3D / local -Z 枪口</t>
        </is>
      </c>
      <c r="I25" s="138" t="inlineStr">
        <is>
          <t>default / 标准握把与8类挂点</t>
        </is>
      </c>
      <c r="J25" s="138" t="inlineStr">
        <is>
          <t>手持/背负/地面/UI 共用独立PackedScene</t>
        </is>
      </c>
      <c r="K25" s="138" t="inlineStr">
        <is>
          <t>正式美术已接入</t>
        </is>
      </c>
      <c r="L25" s="138" t="inlineStr">
        <is>
          <t>P0</t>
        </is>
      </c>
      <c r="M25" s="138" t="inlineStr">
        <is>
          <t>v001</t>
        </is>
      </c>
      <c r="N25" s="138" t="inlineStr">
        <is>
          <t>握把原点；local -Z枪口；3材质；独立GLB/PackedScene</t>
        </is>
      </c>
      <c r="O25" s="138" t="inlineStr">
        <is>
          <t>assets/art/weapons/weapon_3d/runtime/double_barrel_cannon/wpn_double_barrel_cannon_root_top3d_v001.tscn</t>
        </is>
      </c>
      <c r="P25" s="138" t="inlineStr">
        <is>
          <t>assets/art/weapons/weapon_3d/source/double_barrel_cannon/wpn_double_barrel_cannon_source_v001.blend; src/combat3d/WeaponModel3D.gd</t>
        </is>
      </c>
      <c r="Q25" s="138" t="inlineStr">
        <is>
          <t>bp_shotgun; 双管炮; 握把原点; -Z枪口; 通用挂点; 多巴胺配色</t>
        </is>
      </c>
      <c r="R25" s="138">
        <f>LOWER(TRIM(C25)&amp;"|"&amp;TRIM(D25)&amp;"|"&amp;TRIM(E25)&amp;"|"&amp;TRIM(F25)&amp;"|"&amp;TRIM(H25)&amp;"|"&amp;TRIM(I25))</f>
        <v/>
      </c>
      <c r="S25" s="138">
        <f>IF(COUNTIF($R$6:$R$280,R25)&gt;1,"重复","唯一")</f>
        <v/>
      </c>
      <c r="T25" s="138" t="inlineStr">
        <is>
          <t>8e026c49d7882e13f500f4306bb31927195766703f06b15fcaaf68d3d7246fe3</t>
        </is>
      </c>
      <c r="U25" s="138" t="inlineStr">
        <is>
          <t>Codex</t>
        </is>
      </c>
      <c r="V25" s="303" t="n">
        <v>46244</v>
      </c>
      <c r="W25" s="138" t="inlineStr">
        <is>
          <t>用户自制Blender资产</t>
        </is>
      </c>
      <c r="X25" s="138" t="inlineStr">
        <is>
          <t>由18枪合集拆成独立资产；根节点即握把原点，枪口统一local -Z；无需玩家侧逐枪旋转补丁。</t>
        </is>
      </c>
    </row>
    <row r="26">
      <c r="A26" s="138" t="inlineStr">
        <is>
          <t>WPN-GUN-BP-RIFLE</t>
        </is>
      </c>
      <c r="B26" s="138" t="inlineStr">
        <is>
          <t>步枪 / 扫帚步枪造型</t>
        </is>
      </c>
      <c r="C26" s="138" t="inlineStr">
        <is>
          <t>枪械</t>
        </is>
      </c>
      <c r="D26" s="138" t="inlineStr">
        <is>
          <t>gunbody</t>
        </is>
      </c>
      <c r="E26" s="138" t="inlineStr">
        <is>
          <t>bp_rifle</t>
        </is>
      </c>
      <c r="F26" s="138" t="inlineStr">
        <is>
          <t>root</t>
        </is>
      </c>
      <c r="G26" s="138" t="str"/>
      <c r="H26" s="138" t="inlineStr">
        <is>
          <t>俯视3D / local -Z 枪口</t>
        </is>
      </c>
      <c r="I26" s="138" t="inlineStr">
        <is>
          <t>default / 标准握把与8类挂点</t>
        </is>
      </c>
      <c r="J26" s="138" t="inlineStr">
        <is>
          <t>手持/背负/地面/UI 共用独立PackedScene</t>
        </is>
      </c>
      <c r="K26" s="138" t="inlineStr">
        <is>
          <t>正式美术已接入</t>
        </is>
      </c>
      <c r="L26" s="138" t="inlineStr">
        <is>
          <t>P0</t>
        </is>
      </c>
      <c r="M26" s="138" t="inlineStr">
        <is>
          <t>v001</t>
        </is>
      </c>
      <c r="N26" s="138" t="inlineStr">
        <is>
          <t>握把原点；local -Z枪口；3材质；独立GLB/PackedScene</t>
        </is>
      </c>
      <c r="O26" s="138" t="inlineStr">
        <is>
          <t>assets/art/weapons/weapon_3d/runtime/broom_rifle/wpn_broom_rifle_root_top3d_v001.tscn</t>
        </is>
      </c>
      <c r="P26" s="138" t="inlineStr">
        <is>
          <t>assets/art/weapons/weapon_3d/source/broom_rifle/wpn_broom_rifle_source_v001.blend; src/combat3d/WeaponModel3D.gd</t>
        </is>
      </c>
      <c r="Q26" s="138" t="inlineStr">
        <is>
          <t>bp_rifle; 扫帚步枪; 握把原点; -Z枪口; 通用挂点; 多巴胺配色</t>
        </is>
      </c>
      <c r="R26" s="138">
        <f>LOWER(TRIM(C26)&amp;"|"&amp;TRIM(D26)&amp;"|"&amp;TRIM(E26)&amp;"|"&amp;TRIM(F26)&amp;"|"&amp;TRIM(H26)&amp;"|"&amp;TRIM(I26))</f>
        <v/>
      </c>
      <c r="S26" s="138">
        <f>IF(COUNTIF($R$6:$R$280,R26)&gt;1,"重复","唯一")</f>
        <v/>
      </c>
      <c r="T26" s="138" t="inlineStr">
        <is>
          <t>67a1515e3659a6d34ab7774cf92da256465259ff38ed3409fca29fa04935a22c</t>
        </is>
      </c>
      <c r="U26" s="138" t="inlineStr">
        <is>
          <t>Codex</t>
        </is>
      </c>
      <c r="V26" s="303" t="n">
        <v>46244</v>
      </c>
      <c r="W26" s="138" t="inlineStr">
        <is>
          <t>用户自制Blender资产</t>
        </is>
      </c>
      <c r="X26" s="138" t="inlineStr">
        <is>
          <t>由18枪合集拆成独立资产；根节点即握把原点，枪口统一local -Z；无需玩家侧逐枪旋转补丁。</t>
        </is>
      </c>
    </row>
    <row r="27">
      <c r="A27" s="138" t="inlineStr">
        <is>
          <t>WPN-GUN-BP-MACHINEGUN</t>
        </is>
      </c>
      <c r="B27" s="138" t="inlineStr">
        <is>
          <t>蜂窝机枪 / 水箱爆能枪造型</t>
        </is>
      </c>
      <c r="C27" s="138" t="inlineStr">
        <is>
          <t>枪械</t>
        </is>
      </c>
      <c r="D27" s="138" t="inlineStr">
        <is>
          <t>gunbody</t>
        </is>
      </c>
      <c r="E27" s="138" t="inlineStr">
        <is>
          <t>bp_machinegun</t>
        </is>
      </c>
      <c r="F27" s="138" t="inlineStr">
        <is>
          <t>root</t>
        </is>
      </c>
      <c r="G27" s="138" t="str"/>
      <c r="H27" s="138" t="inlineStr">
        <is>
          <t>俯视3D / local -Z 枪口</t>
        </is>
      </c>
      <c r="I27" s="138" t="inlineStr">
        <is>
          <t>default / 标准握把与8类挂点</t>
        </is>
      </c>
      <c r="J27" s="138" t="inlineStr">
        <is>
          <t>手持/背负/地面/UI 共用独立PackedScene</t>
        </is>
      </c>
      <c r="K27" s="138" t="inlineStr">
        <is>
          <t>正式美术已接入</t>
        </is>
      </c>
      <c r="L27" s="138" t="inlineStr">
        <is>
          <t>P1</t>
        </is>
      </c>
      <c r="M27" s="138" t="inlineStr">
        <is>
          <t>v001</t>
        </is>
      </c>
      <c r="N27" s="138" t="inlineStr">
        <is>
          <t>握把原点；local -Z枪口；3材质；独立GLB/PackedScene</t>
        </is>
      </c>
      <c r="O27" s="138" t="inlineStr">
        <is>
          <t>assets/art/weapons/weapon_3d/runtime/water_tank_blaster/wpn_water_tank_blaster_root_top3d_v001.tscn</t>
        </is>
      </c>
      <c r="P27" s="138" t="inlineStr">
        <is>
          <t>assets/art/weapons/weapon_3d/source/water_tank_blaster/wpn_water_tank_blaster_source_v001.blend; src/combat3d/WeaponModel3D.gd</t>
        </is>
      </c>
      <c r="Q27" s="138" t="inlineStr">
        <is>
          <t>bp_machinegun; 水箱爆能枪; 握把原点; -Z枪口; 通用挂点; 多巴胺配色</t>
        </is>
      </c>
      <c r="R27" s="138">
        <f>LOWER(TRIM(C27)&amp;"|"&amp;TRIM(D27)&amp;"|"&amp;TRIM(E27)&amp;"|"&amp;TRIM(F27)&amp;"|"&amp;TRIM(H27)&amp;"|"&amp;TRIM(I27))</f>
        <v/>
      </c>
      <c r="S27" s="138">
        <f>IF(COUNTIF($R$6:$R$280,R27)&gt;1,"重复","唯一")</f>
        <v/>
      </c>
      <c r="T27" s="138" t="inlineStr">
        <is>
          <t>24608d0d872a1c30fd698e4332582c679d1219c0dc7fd13b58e7853f1aad56e1</t>
        </is>
      </c>
      <c r="U27" s="138" t="inlineStr">
        <is>
          <t>Codex</t>
        </is>
      </c>
      <c r="V27" s="303" t="n">
        <v>46244</v>
      </c>
      <c r="W27" s="138" t="inlineStr">
        <is>
          <t>用户自制Blender资产</t>
        </is>
      </c>
      <c r="X27" s="138" t="inlineStr">
        <is>
          <t>由18枪合集拆成独立资产；根节点即握把原点，枪口统一local -Z；无需玩家侧逐枪旋转补丁。</t>
        </is>
      </c>
    </row>
    <row r="28">
      <c r="A28" s="138" t="inlineStr">
        <is>
          <t>WPN-GUN-BP-SNIPER</t>
        </is>
      </c>
      <c r="B28" s="138" t="inlineStr">
        <is>
          <t>弹弓狙击 / 糖果狙击枪造型</t>
        </is>
      </c>
      <c r="C28" s="138" t="inlineStr">
        <is>
          <t>枪械</t>
        </is>
      </c>
      <c r="D28" s="138" t="inlineStr">
        <is>
          <t>gunbody</t>
        </is>
      </c>
      <c r="E28" s="138" t="inlineStr">
        <is>
          <t>bp_sniper</t>
        </is>
      </c>
      <c r="F28" s="138" t="inlineStr">
        <is>
          <t>root</t>
        </is>
      </c>
      <c r="G28" s="138" t="str"/>
      <c r="H28" s="138" t="inlineStr">
        <is>
          <t>俯视3D / local -Z 枪口</t>
        </is>
      </c>
      <c r="I28" s="138" t="inlineStr">
        <is>
          <t>default / 标准握把与8类挂点</t>
        </is>
      </c>
      <c r="J28" s="138" t="inlineStr">
        <is>
          <t>手持/背负/地面/UI 共用独立PackedScene</t>
        </is>
      </c>
      <c r="K28" s="138" t="inlineStr">
        <is>
          <t>正式美术已接入</t>
        </is>
      </c>
      <c r="L28" s="138" t="inlineStr">
        <is>
          <t>P1</t>
        </is>
      </c>
      <c r="M28" s="138" t="inlineStr">
        <is>
          <t>v001</t>
        </is>
      </c>
      <c r="N28" s="138" t="inlineStr">
        <is>
          <t>握把原点；local -Z枪口；3材质；独立GLB/PackedScene</t>
        </is>
      </c>
      <c r="O28" s="138" t="inlineStr">
        <is>
          <t>assets/art/weapons/weapon_3d/runtime/candy_sniper/wpn_candy_sniper_root_top3d_v001.tscn</t>
        </is>
      </c>
      <c r="P28" s="138" t="inlineStr">
        <is>
          <t>assets/art/weapons/weapon_3d/source/candy_sniper/wpn_candy_sniper_source_v001.blend; src/combat3d/WeaponModel3D.gd</t>
        </is>
      </c>
      <c r="Q28" s="138" t="inlineStr">
        <is>
          <t>bp_sniper; 糖果狙击枪; 握把原点; -Z枪口; 通用挂点; 多巴胺配色</t>
        </is>
      </c>
      <c r="R28" s="138">
        <f>LOWER(TRIM(C28)&amp;"|"&amp;TRIM(D28)&amp;"|"&amp;TRIM(E28)&amp;"|"&amp;TRIM(F28)&amp;"|"&amp;TRIM(H28)&amp;"|"&amp;TRIM(I28))</f>
        <v/>
      </c>
      <c r="S28" s="138">
        <f>IF(COUNTIF($R$6:$R$280,R28)&gt;1,"重复","唯一")</f>
        <v/>
      </c>
      <c r="T28" s="138" t="inlineStr">
        <is>
          <t>3900da0b2425d46e95de087b3e1a24c9948492ba03606f9c0fa13e2ccc165b7a</t>
        </is>
      </c>
      <c r="U28" s="138" t="inlineStr">
        <is>
          <t>Codex</t>
        </is>
      </c>
      <c r="V28" s="303" t="n">
        <v>46244</v>
      </c>
      <c r="W28" s="138" t="inlineStr">
        <is>
          <t>用户自制Blender资产</t>
        </is>
      </c>
      <c r="X28" s="138" t="inlineStr">
        <is>
          <t>由18枪合集拆成独立资产；根节点即握把原点，枪口统一local -Z；无需玩家侧逐枪旋转补丁。</t>
        </is>
      </c>
    </row>
    <row r="29">
      <c r="A29" s="138" t="inlineStr">
        <is>
          <t>WPN-GUN-BP-LAUNCHER</t>
        </is>
      </c>
      <c r="B29" s="138" t="inlineStr">
        <is>
          <t>反胃榴弹筒 / 烤面包机造型</t>
        </is>
      </c>
      <c r="C29" s="138" t="inlineStr">
        <is>
          <t>枪械</t>
        </is>
      </c>
      <c r="D29" s="138" t="inlineStr">
        <is>
          <t>gunbody</t>
        </is>
      </c>
      <c r="E29" s="138" t="inlineStr">
        <is>
          <t>bp_launcher</t>
        </is>
      </c>
      <c r="F29" s="138" t="inlineStr">
        <is>
          <t>root</t>
        </is>
      </c>
      <c r="G29" s="138" t="str"/>
      <c r="H29" s="138" t="inlineStr">
        <is>
          <t>俯视3D / local -Z 枪口</t>
        </is>
      </c>
      <c r="I29" s="138" t="inlineStr">
        <is>
          <t>default / 标准握把与8类挂点</t>
        </is>
      </c>
      <c r="J29" s="138" t="inlineStr">
        <is>
          <t>手持/背负/地面/UI 共用独立PackedScene</t>
        </is>
      </c>
      <c r="K29" s="138" t="inlineStr">
        <is>
          <t>正式美术已接入</t>
        </is>
      </c>
      <c r="L29" s="138" t="inlineStr">
        <is>
          <t>P1</t>
        </is>
      </c>
      <c r="M29" s="138" t="inlineStr">
        <is>
          <t>v001</t>
        </is>
      </c>
      <c r="N29" s="138" t="inlineStr">
        <is>
          <t>握把原点；local -Z枪口；3材质；独立GLB/PackedScene</t>
        </is>
      </c>
      <c r="O29" s="138" t="inlineStr">
        <is>
          <t>assets/art/weapons/weapon_3d/runtime/toaster_launcher/wpn_toaster_launcher_root_top3d_v001.tscn</t>
        </is>
      </c>
      <c r="P29" s="138" t="inlineStr">
        <is>
          <t>assets/art/weapons/weapon_3d/source/toaster_launcher/wpn_toaster_launcher_source_v001.blend; src/combat3d/WeaponModel3D.gd</t>
        </is>
      </c>
      <c r="Q29" s="138" t="inlineStr">
        <is>
          <t>bp_launcher; 烤面包机发射器; 握把原点; -Z枪口; 通用挂点; 多巴胺配色</t>
        </is>
      </c>
      <c r="R29" s="138">
        <f>LOWER(TRIM(C29)&amp;"|"&amp;TRIM(D29)&amp;"|"&amp;TRIM(E29)&amp;"|"&amp;TRIM(F29)&amp;"|"&amp;TRIM(H29)&amp;"|"&amp;TRIM(I29))</f>
        <v/>
      </c>
      <c r="S29" s="138">
        <f>IF(COUNTIF($R$6:$R$280,R29)&gt;1,"重复","唯一")</f>
        <v/>
      </c>
      <c r="T29" s="138" t="inlineStr">
        <is>
          <t>461e79fd525624d53da47ed8d14923788c3ca3d5c9460ce4cfeef7394d28272f</t>
        </is>
      </c>
      <c r="U29" s="138" t="inlineStr">
        <is>
          <t>Codex</t>
        </is>
      </c>
      <c r="V29" s="303" t="n">
        <v>46244</v>
      </c>
      <c r="W29" s="138" t="inlineStr">
        <is>
          <t>用户自制Blender资产</t>
        </is>
      </c>
      <c r="X29" s="138" t="inlineStr">
        <is>
          <t>由18枪合集拆成独立资产；根节点即握把原点，枪口统一local -Z；无需玩家侧逐枪旋转补丁。</t>
        </is>
      </c>
    </row>
    <row r="30">
      <c r="A30" s="138" t="inlineStr">
        <is>
          <t>WPN-GUN-BP-CHARGE</t>
        </is>
      </c>
      <c r="B30" s="138" t="inlineStr">
        <is>
          <t>蓄力萝卜炮 / 口香糖机造型</t>
        </is>
      </c>
      <c r="C30" s="138" t="inlineStr">
        <is>
          <t>枪械</t>
        </is>
      </c>
      <c r="D30" s="138" t="inlineStr">
        <is>
          <t>gunbody</t>
        </is>
      </c>
      <c r="E30" s="138" t="inlineStr">
        <is>
          <t>bp_charge</t>
        </is>
      </c>
      <c r="F30" s="138" t="inlineStr">
        <is>
          <t>root</t>
        </is>
      </c>
      <c r="G30" s="138" t="str"/>
      <c r="H30" s="138" t="inlineStr">
        <is>
          <t>俯视3D / local -Z 枪口</t>
        </is>
      </c>
      <c r="I30" s="138" t="inlineStr">
        <is>
          <t>default / 标准握把与8类挂点</t>
        </is>
      </c>
      <c r="J30" s="138" t="inlineStr">
        <is>
          <t>手持/背负/地面/UI 共用独立PackedScene</t>
        </is>
      </c>
      <c r="K30" s="138" t="inlineStr">
        <is>
          <t>正式美术已接入</t>
        </is>
      </c>
      <c r="L30" s="138" t="inlineStr">
        <is>
          <t>P2</t>
        </is>
      </c>
      <c r="M30" s="138" t="inlineStr">
        <is>
          <t>v001</t>
        </is>
      </c>
      <c r="N30" s="138" t="inlineStr">
        <is>
          <t>握把原点；local -Z枪口；3材质；独立GLB/PackedScene</t>
        </is>
      </c>
      <c r="O30" s="138" t="inlineStr">
        <is>
          <t>assets/art/weapons/weapon_3d/runtime/gumball_cannon/wpn_gumball_cannon_root_top3d_v001.tscn</t>
        </is>
      </c>
      <c r="P30" s="138" t="inlineStr">
        <is>
          <t>assets/art/weapons/weapon_3d/source/gumball_cannon/wpn_gumball_cannon_source_v001.blend; src/combat3d/WeaponModel3D.gd</t>
        </is>
      </c>
      <c r="Q30" s="138" t="inlineStr">
        <is>
          <t>bp_charge; 口香糖机加农炮; 握把原点; -Z枪口; 通用挂点; 多巴胺配色</t>
        </is>
      </c>
      <c r="R30" s="138">
        <f>LOWER(TRIM(C30)&amp;"|"&amp;TRIM(D30)&amp;"|"&amp;TRIM(E30)&amp;"|"&amp;TRIM(F30)&amp;"|"&amp;TRIM(H30)&amp;"|"&amp;TRIM(I30))</f>
        <v/>
      </c>
      <c r="S30" s="138">
        <f>IF(COUNTIF($R$6:$R$280,R30)&gt;1,"重复","唯一")</f>
        <v/>
      </c>
      <c r="T30" s="138" t="inlineStr">
        <is>
          <t>94576279e46fcbca9d2587bdfdbf7498084557ac3903541c87c84ca1c575a6c4</t>
        </is>
      </c>
      <c r="U30" s="138" t="inlineStr">
        <is>
          <t>Codex</t>
        </is>
      </c>
      <c r="V30" s="303" t="n">
        <v>46244</v>
      </c>
      <c r="W30" s="138" t="inlineStr">
        <is>
          <t>用户自制Blender资产</t>
        </is>
      </c>
      <c r="X30" s="138" t="inlineStr">
        <is>
          <t>由18枪合集拆成独立资产；根节点即握把原点，枪口统一local -Z；无需玩家侧逐枪旋转补丁。</t>
        </is>
      </c>
    </row>
    <row r="31">
      <c r="A31" s="138" t="inlineStr">
        <is>
          <t>WPN-BUL-MOD-BULLET-STANDARD</t>
        </is>
      </c>
      <c r="B31" s="138" t="inlineStr">
        <is>
          <t>标准子弹</t>
        </is>
      </c>
      <c r="C31" s="138" t="inlineStr">
        <is>
          <t>枪械</t>
        </is>
      </c>
      <c r="D31" s="138" t="inlineStr">
        <is>
          <t>bullet_module</t>
        </is>
      </c>
      <c r="E31" s="138" t="inlineStr">
        <is>
          <t>mod_bullet_standard</t>
        </is>
      </c>
      <c r="F31" s="138" t="inlineStr">
        <is>
          <t>root</t>
        </is>
      </c>
      <c r="G31" s="138" t="str"/>
      <c r="H31" s="138" t="inlineStr">
        <is>
          <t>顶视/方向无关</t>
        </is>
      </c>
      <c r="I31" s="138" t="inlineStr">
        <is>
          <t>default</t>
        </is>
      </c>
      <c r="J31" s="138" t="inlineStr">
        <is>
          <t>弹体/VFX/UI 图标</t>
        </is>
      </c>
      <c r="K31" s="138" t="inlineStr">
        <is>
          <t>程序占位</t>
        </is>
      </c>
      <c r="L31" s="138" t="inlineStr">
        <is>
          <t>P1</t>
        </is>
      </c>
      <c r="M31" s="138" t="inlineStr">
        <is>
          <t>v001</t>
        </is>
      </c>
      <c r="N31" s="138" t="inlineStr">
        <is>
          <t>建议 12×12 px</t>
        </is>
      </c>
      <c r="O31" s="138" t="str"/>
      <c r="P31" s="138" t="inlineStr">
        <is>
          <t>src/base/BlueprintRegistry.gd</t>
        </is>
      </c>
      <c r="Q31" s="138" t="str"/>
      <c r="R31" s="138">
        <f>LOWER(TRIM(C31)&amp;"|"&amp;TRIM(D31)&amp;"|"&amp;TRIM(E31)&amp;"|"&amp;TRIM(F31)&amp;"|"&amp;TRIM(H31)&amp;"|"&amp;TRIM(I31))</f>
        <v/>
      </c>
      <c r="S31" s="138">
        <f>IF(COUNTIF($R$6:$R$280,R31)&gt;1,"重复","唯一")</f>
        <v/>
      </c>
      <c r="T31" s="138" t="str"/>
      <c r="U31" s="138" t="inlineStr">
        <is>
          <t>待分配</t>
        </is>
      </c>
      <c r="V31" s="303" t="n">
        <v>46224</v>
      </c>
      <c r="W31" s="138" t="inlineStr">
        <is>
          <t>原创/待确认</t>
        </is>
      </c>
      <c r="X31" s="138" t="inlineStr">
        <is>
          <t>优先复用颜色和弹道特效，不为每把枪重复制作</t>
        </is>
      </c>
    </row>
    <row r="32">
      <c r="A32" s="138" t="inlineStr">
        <is>
          <t>WPN-BUL-MOD-BULLET-STICKY</t>
        </is>
      </c>
      <c r="B32" s="138" t="inlineStr">
        <is>
          <t>黏黏弹</t>
        </is>
      </c>
      <c r="C32" s="138" t="inlineStr">
        <is>
          <t>枪械</t>
        </is>
      </c>
      <c r="D32" s="138" t="inlineStr">
        <is>
          <t>bullet_module</t>
        </is>
      </c>
      <c r="E32" s="138" t="inlineStr">
        <is>
          <t>mod_bullet_sticky</t>
        </is>
      </c>
      <c r="F32" s="138" t="inlineStr">
        <is>
          <t>root</t>
        </is>
      </c>
      <c r="G32" s="138" t="str"/>
      <c r="H32" s="138" t="inlineStr">
        <is>
          <t>顶视/方向无关</t>
        </is>
      </c>
      <c r="I32" s="138" t="inlineStr">
        <is>
          <t>default</t>
        </is>
      </c>
      <c r="J32" s="138" t="inlineStr">
        <is>
          <t>弹体/VFX/UI 图标</t>
        </is>
      </c>
      <c r="K32" s="138" t="inlineStr">
        <is>
          <t>程序占位</t>
        </is>
      </c>
      <c r="L32" s="138" t="inlineStr">
        <is>
          <t>P1</t>
        </is>
      </c>
      <c r="M32" s="138" t="inlineStr">
        <is>
          <t>v001</t>
        </is>
      </c>
      <c r="N32" s="138" t="inlineStr">
        <is>
          <t>建议 12×12 px</t>
        </is>
      </c>
      <c r="O32" s="138" t="str"/>
      <c r="P32" s="138" t="inlineStr">
        <is>
          <t>src/base/BlueprintRegistry.gd</t>
        </is>
      </c>
      <c r="Q32" s="138" t="str"/>
      <c r="R32" s="138">
        <f>LOWER(TRIM(C32)&amp;"|"&amp;TRIM(D32)&amp;"|"&amp;TRIM(E32)&amp;"|"&amp;TRIM(F32)&amp;"|"&amp;TRIM(H32)&amp;"|"&amp;TRIM(I32))</f>
        <v/>
      </c>
      <c r="S32" s="138">
        <f>IF(COUNTIF($R$6:$R$280,R32)&gt;1,"重复","唯一")</f>
        <v/>
      </c>
      <c r="T32" s="138" t="str"/>
      <c r="U32" s="138" t="inlineStr">
        <is>
          <t>待分配</t>
        </is>
      </c>
      <c r="V32" s="303" t="n">
        <v>46224</v>
      </c>
      <c r="W32" s="138" t="inlineStr">
        <is>
          <t>原创/待确认</t>
        </is>
      </c>
      <c r="X32" s="138" t="inlineStr">
        <is>
          <t>优先复用颜色和弹道特效，不为每把枪重复制作</t>
        </is>
      </c>
    </row>
    <row r="33">
      <c r="A33" s="138" t="inlineStr">
        <is>
          <t>WPN-BUL-MOD-BULLET-BOUNCE</t>
        </is>
      </c>
      <c r="B33" s="138" t="inlineStr">
        <is>
          <t>回旋镖弹</t>
        </is>
      </c>
      <c r="C33" s="138" t="inlineStr">
        <is>
          <t>枪械</t>
        </is>
      </c>
      <c r="D33" s="138" t="inlineStr">
        <is>
          <t>bullet_module</t>
        </is>
      </c>
      <c r="E33" s="138" t="inlineStr">
        <is>
          <t>mod_bullet_bounce</t>
        </is>
      </c>
      <c r="F33" s="138" t="inlineStr">
        <is>
          <t>root</t>
        </is>
      </c>
      <c r="G33" s="138" t="str"/>
      <c r="H33" s="138" t="inlineStr">
        <is>
          <t>顶视/方向无关</t>
        </is>
      </c>
      <c r="I33" s="138" t="inlineStr">
        <is>
          <t>default</t>
        </is>
      </c>
      <c r="J33" s="138" t="inlineStr">
        <is>
          <t>弹体/VFX/UI 图标</t>
        </is>
      </c>
      <c r="K33" s="138" t="inlineStr">
        <is>
          <t>程序占位</t>
        </is>
      </c>
      <c r="L33" s="138" t="inlineStr">
        <is>
          <t>P1</t>
        </is>
      </c>
      <c r="M33" s="138" t="inlineStr">
        <is>
          <t>v001</t>
        </is>
      </c>
      <c r="N33" s="138" t="inlineStr">
        <is>
          <t>建议 12×12 px</t>
        </is>
      </c>
      <c r="O33" s="138" t="str"/>
      <c r="P33" s="138" t="inlineStr">
        <is>
          <t>src/base/BlueprintRegistry.gd</t>
        </is>
      </c>
      <c r="Q33" s="138" t="str"/>
      <c r="R33" s="138">
        <f>LOWER(TRIM(C33)&amp;"|"&amp;TRIM(D33)&amp;"|"&amp;TRIM(E33)&amp;"|"&amp;TRIM(F33)&amp;"|"&amp;TRIM(H33)&amp;"|"&amp;TRIM(I33))</f>
        <v/>
      </c>
      <c r="S33" s="138">
        <f>IF(COUNTIF($R$6:$R$280,R33)&gt;1,"重复","唯一")</f>
        <v/>
      </c>
      <c r="T33" s="138" t="str"/>
      <c r="U33" s="138" t="inlineStr">
        <is>
          <t>待分配</t>
        </is>
      </c>
      <c r="V33" s="303" t="n">
        <v>46224</v>
      </c>
      <c r="W33" s="138" t="inlineStr">
        <is>
          <t>原创/待确认</t>
        </is>
      </c>
      <c r="X33" s="138" t="inlineStr">
        <is>
          <t>优先复用颜色和弹道特效，不为每把枪重复制作</t>
        </is>
      </c>
    </row>
    <row r="34">
      <c r="A34" s="138" t="inlineStr">
        <is>
          <t>WPN-BUL-MOD-BULLET-PIERCING</t>
        </is>
      </c>
      <c r="B34" s="138" t="inlineStr">
        <is>
          <t>穿甲弹</t>
        </is>
      </c>
      <c r="C34" s="138" t="inlineStr">
        <is>
          <t>枪械</t>
        </is>
      </c>
      <c r="D34" s="138" t="inlineStr">
        <is>
          <t>bullet_module</t>
        </is>
      </c>
      <c r="E34" s="138" t="inlineStr">
        <is>
          <t>mod_bullet_piercing</t>
        </is>
      </c>
      <c r="F34" s="138" t="inlineStr">
        <is>
          <t>root</t>
        </is>
      </c>
      <c r="G34" s="138" t="str"/>
      <c r="H34" s="138" t="inlineStr">
        <is>
          <t>顶视/方向无关</t>
        </is>
      </c>
      <c r="I34" s="138" t="inlineStr">
        <is>
          <t>default</t>
        </is>
      </c>
      <c r="J34" s="138" t="inlineStr">
        <is>
          <t>弹体/VFX/UI 图标</t>
        </is>
      </c>
      <c r="K34" s="138" t="inlineStr">
        <is>
          <t>程序占位</t>
        </is>
      </c>
      <c r="L34" s="138" t="inlineStr">
        <is>
          <t>P1</t>
        </is>
      </c>
      <c r="M34" s="138" t="inlineStr">
        <is>
          <t>v001</t>
        </is>
      </c>
      <c r="N34" s="138" t="inlineStr">
        <is>
          <t>建议 12×12 px</t>
        </is>
      </c>
      <c r="O34" s="138" t="str"/>
      <c r="P34" s="138" t="inlineStr">
        <is>
          <t>src/base/BlueprintRegistry.gd</t>
        </is>
      </c>
      <c r="Q34" s="138" t="str"/>
      <c r="R34" s="138">
        <f>LOWER(TRIM(C34)&amp;"|"&amp;TRIM(D34)&amp;"|"&amp;TRIM(E34)&amp;"|"&amp;TRIM(F34)&amp;"|"&amp;TRIM(H34)&amp;"|"&amp;TRIM(I34))</f>
        <v/>
      </c>
      <c r="S34" s="138">
        <f>IF(COUNTIF($R$6:$R$280,R34)&gt;1,"重复","唯一")</f>
        <v/>
      </c>
      <c r="T34" s="138" t="str"/>
      <c r="U34" s="138" t="inlineStr">
        <is>
          <t>待分配</t>
        </is>
      </c>
      <c r="V34" s="303" t="n">
        <v>46224</v>
      </c>
      <c r="W34" s="138" t="inlineStr">
        <is>
          <t>原创/待确认</t>
        </is>
      </c>
      <c r="X34" s="138" t="inlineStr">
        <is>
          <t>优先复用颜色和弹道特效，不为每把枪重复制作</t>
        </is>
      </c>
    </row>
    <row r="35">
      <c r="A35" s="138" t="inlineStr">
        <is>
          <t>WPN-BUL-MOD-BULLET-EXPLOSIVE</t>
        </is>
      </c>
      <c r="B35" s="138" t="inlineStr">
        <is>
          <t>爆炸弹</t>
        </is>
      </c>
      <c r="C35" s="138" t="inlineStr">
        <is>
          <t>枪械</t>
        </is>
      </c>
      <c r="D35" s="138" t="inlineStr">
        <is>
          <t>bullet_module</t>
        </is>
      </c>
      <c r="E35" s="138" t="inlineStr">
        <is>
          <t>mod_bullet_explosive</t>
        </is>
      </c>
      <c r="F35" s="138" t="inlineStr">
        <is>
          <t>root</t>
        </is>
      </c>
      <c r="G35" s="138" t="str"/>
      <c r="H35" s="138" t="inlineStr">
        <is>
          <t>顶视/方向无关</t>
        </is>
      </c>
      <c r="I35" s="138" t="inlineStr">
        <is>
          <t>default</t>
        </is>
      </c>
      <c r="J35" s="138" t="inlineStr">
        <is>
          <t>弹体/VFX/UI 图标</t>
        </is>
      </c>
      <c r="K35" s="138" t="inlineStr">
        <is>
          <t>程序占位</t>
        </is>
      </c>
      <c r="L35" s="138" t="inlineStr">
        <is>
          <t>P1</t>
        </is>
      </c>
      <c r="M35" s="138" t="inlineStr">
        <is>
          <t>v001</t>
        </is>
      </c>
      <c r="N35" s="138" t="inlineStr">
        <is>
          <t>建议 12×12 px</t>
        </is>
      </c>
      <c r="O35" s="138" t="str"/>
      <c r="P35" s="138" t="inlineStr">
        <is>
          <t>src/base/BlueprintRegistry.gd</t>
        </is>
      </c>
      <c r="Q35" s="138" t="str"/>
      <c r="R35" s="138">
        <f>LOWER(TRIM(C35)&amp;"|"&amp;TRIM(D35)&amp;"|"&amp;TRIM(E35)&amp;"|"&amp;TRIM(F35)&amp;"|"&amp;TRIM(H35)&amp;"|"&amp;TRIM(I35))</f>
        <v/>
      </c>
      <c r="S35" s="138">
        <f>IF(COUNTIF($R$6:$R$280,R35)&gt;1,"重复","唯一")</f>
        <v/>
      </c>
      <c r="T35" s="138" t="str"/>
      <c r="U35" s="138" t="inlineStr">
        <is>
          <t>待分配</t>
        </is>
      </c>
      <c r="V35" s="303" t="n">
        <v>46224</v>
      </c>
      <c r="W35" s="138" t="inlineStr">
        <is>
          <t>原创/待确认</t>
        </is>
      </c>
      <c r="X35" s="138" t="inlineStr">
        <is>
          <t>优先复用颜色和弹道特效，不为每把枪重复制作</t>
        </is>
      </c>
    </row>
    <row r="36">
      <c r="A36" s="138" t="inlineStr">
        <is>
          <t>WPN-BUL-MOD-BULLET-HOMING</t>
        </is>
      </c>
      <c r="B36" s="138" t="inlineStr">
        <is>
          <t>蜂卵弹</t>
        </is>
      </c>
      <c r="C36" s="138" t="inlineStr">
        <is>
          <t>枪械</t>
        </is>
      </c>
      <c r="D36" s="138" t="inlineStr">
        <is>
          <t>bullet_module</t>
        </is>
      </c>
      <c r="E36" s="138" t="inlineStr">
        <is>
          <t>mod_bullet_homing</t>
        </is>
      </c>
      <c r="F36" s="138" t="inlineStr">
        <is>
          <t>root</t>
        </is>
      </c>
      <c r="G36" s="138" t="str"/>
      <c r="H36" s="138" t="inlineStr">
        <is>
          <t>顶视/方向无关</t>
        </is>
      </c>
      <c r="I36" s="138" t="inlineStr">
        <is>
          <t>default</t>
        </is>
      </c>
      <c r="J36" s="138" t="inlineStr">
        <is>
          <t>弹体/VFX/UI 图标</t>
        </is>
      </c>
      <c r="K36" s="138" t="inlineStr">
        <is>
          <t>程序占位</t>
        </is>
      </c>
      <c r="L36" s="138" t="inlineStr">
        <is>
          <t>P1</t>
        </is>
      </c>
      <c r="M36" s="138" t="inlineStr">
        <is>
          <t>v001</t>
        </is>
      </c>
      <c r="N36" s="138" t="inlineStr">
        <is>
          <t>建议 12×12 px</t>
        </is>
      </c>
      <c r="O36" s="138" t="str"/>
      <c r="P36" s="138" t="inlineStr">
        <is>
          <t>src/base/BlueprintRegistry.gd</t>
        </is>
      </c>
      <c r="Q36" s="138" t="str"/>
      <c r="R36" s="138">
        <f>LOWER(TRIM(C36)&amp;"|"&amp;TRIM(D36)&amp;"|"&amp;TRIM(E36)&amp;"|"&amp;TRIM(F36)&amp;"|"&amp;TRIM(H36)&amp;"|"&amp;TRIM(I36))</f>
        <v/>
      </c>
      <c r="S36" s="138">
        <f>IF(COUNTIF($R$6:$R$280,R36)&gt;1,"重复","唯一")</f>
        <v/>
      </c>
      <c r="T36" s="138" t="str"/>
      <c r="U36" s="138" t="inlineStr">
        <is>
          <t>待分配</t>
        </is>
      </c>
      <c r="V36" s="303" t="n">
        <v>46224</v>
      </c>
      <c r="W36" s="138" t="inlineStr">
        <is>
          <t>原创/待确认</t>
        </is>
      </c>
      <c r="X36" s="138" t="inlineStr">
        <is>
          <t>优先复用颜色和弹道特效，不为每把枪重复制作</t>
        </is>
      </c>
    </row>
    <row r="37">
      <c r="A37" s="138" t="inlineStr">
        <is>
          <t>WPN-BUL-MOD-BULLET-BLACKHOLE</t>
        </is>
      </c>
      <c r="B37" s="138" t="inlineStr">
        <is>
          <t>黑洞弹</t>
        </is>
      </c>
      <c r="C37" s="138" t="inlineStr">
        <is>
          <t>枪械</t>
        </is>
      </c>
      <c r="D37" s="138" t="inlineStr">
        <is>
          <t>bullet_module</t>
        </is>
      </c>
      <c r="E37" s="138" t="inlineStr">
        <is>
          <t>mod_bullet_blackhole</t>
        </is>
      </c>
      <c r="F37" s="138" t="inlineStr">
        <is>
          <t>root</t>
        </is>
      </c>
      <c r="G37" s="138" t="str"/>
      <c r="H37" s="138" t="inlineStr">
        <is>
          <t>顶视/方向无关</t>
        </is>
      </c>
      <c r="I37" s="138" t="inlineStr">
        <is>
          <t>default</t>
        </is>
      </c>
      <c r="J37" s="138" t="inlineStr">
        <is>
          <t>弹体/VFX/UI 图标</t>
        </is>
      </c>
      <c r="K37" s="138" t="inlineStr">
        <is>
          <t>程序占位</t>
        </is>
      </c>
      <c r="L37" s="138" t="inlineStr">
        <is>
          <t>P1</t>
        </is>
      </c>
      <c r="M37" s="138" t="inlineStr">
        <is>
          <t>v001</t>
        </is>
      </c>
      <c r="N37" s="138" t="inlineStr">
        <is>
          <t>建议 12×12 px</t>
        </is>
      </c>
      <c r="O37" s="138" t="str"/>
      <c r="P37" s="138" t="inlineStr">
        <is>
          <t>src/base/BlueprintRegistry.gd</t>
        </is>
      </c>
      <c r="Q37" s="138" t="str"/>
      <c r="R37" s="138">
        <f>LOWER(TRIM(C37)&amp;"|"&amp;TRIM(D37)&amp;"|"&amp;TRIM(E37)&amp;"|"&amp;TRIM(F37)&amp;"|"&amp;TRIM(H37)&amp;"|"&amp;TRIM(I37))</f>
        <v/>
      </c>
      <c r="S37" s="138">
        <f>IF(COUNTIF($R$6:$R$280,R37)&gt;1,"重复","唯一")</f>
        <v/>
      </c>
      <c r="T37" s="138" t="str"/>
      <c r="U37" s="138" t="inlineStr">
        <is>
          <t>待分配</t>
        </is>
      </c>
      <c r="V37" s="303" t="n">
        <v>46224</v>
      </c>
      <c r="W37" s="138" t="inlineStr">
        <is>
          <t>原创/待确认</t>
        </is>
      </c>
      <c r="X37" s="138" t="inlineStr">
        <is>
          <t>优先复用颜色和弹道特效，不为每把枪重复制作</t>
        </is>
      </c>
    </row>
    <row r="38">
      <c r="A38" s="138" t="inlineStr">
        <is>
          <t>WPN-BUL-MOD-BULLET-BALLOON</t>
        </is>
      </c>
      <c r="B38" s="138" t="inlineStr">
        <is>
          <t>气球弹</t>
        </is>
      </c>
      <c r="C38" s="138" t="inlineStr">
        <is>
          <t>枪械</t>
        </is>
      </c>
      <c r="D38" s="138" t="inlineStr">
        <is>
          <t>bullet_module</t>
        </is>
      </c>
      <c r="E38" s="138" t="inlineStr">
        <is>
          <t>mod_bullet_balloon</t>
        </is>
      </c>
      <c r="F38" s="138" t="inlineStr">
        <is>
          <t>root</t>
        </is>
      </c>
      <c r="G38" s="138" t="str"/>
      <c r="H38" s="138" t="inlineStr">
        <is>
          <t>顶视/方向无关</t>
        </is>
      </c>
      <c r="I38" s="138" t="inlineStr">
        <is>
          <t>default</t>
        </is>
      </c>
      <c r="J38" s="138" t="inlineStr">
        <is>
          <t>弹体/VFX/UI 图标</t>
        </is>
      </c>
      <c r="K38" s="138" t="inlineStr">
        <is>
          <t>程序占位</t>
        </is>
      </c>
      <c r="L38" s="138" t="inlineStr">
        <is>
          <t>P1</t>
        </is>
      </c>
      <c r="M38" s="138" t="inlineStr">
        <is>
          <t>v001</t>
        </is>
      </c>
      <c r="N38" s="138" t="inlineStr">
        <is>
          <t>建议 12×12 px</t>
        </is>
      </c>
      <c r="O38" s="138" t="str"/>
      <c r="P38" s="138" t="inlineStr">
        <is>
          <t>src/base/BlueprintRegistry.gd</t>
        </is>
      </c>
      <c r="Q38" s="138" t="str"/>
      <c r="R38" s="138">
        <f>LOWER(TRIM(C38)&amp;"|"&amp;TRIM(D38)&amp;"|"&amp;TRIM(E38)&amp;"|"&amp;TRIM(F38)&amp;"|"&amp;TRIM(H38)&amp;"|"&amp;TRIM(I38))</f>
        <v/>
      </c>
      <c r="S38" s="138">
        <f>IF(COUNTIF($R$6:$R$280,R38)&gt;1,"重复","唯一")</f>
        <v/>
      </c>
      <c r="T38" s="138" t="str"/>
      <c r="U38" s="138" t="inlineStr">
        <is>
          <t>待分配</t>
        </is>
      </c>
      <c r="V38" s="303" t="n">
        <v>46224</v>
      </c>
      <c r="W38" s="138" t="inlineStr">
        <is>
          <t>原创/待确认</t>
        </is>
      </c>
      <c r="X38" s="138" t="inlineStr">
        <is>
          <t>优先复用颜色和弹道特效，不为每把枪重复制作</t>
        </is>
      </c>
    </row>
    <row r="39">
      <c r="A39" s="138" t="inlineStr">
        <is>
          <t>WPN-ATT-ATTACH-TRIPLE-MUZZLE</t>
        </is>
      </c>
      <c r="B39" s="138" t="inlineStr">
        <is>
          <t>三叉枪口</t>
        </is>
      </c>
      <c r="C39" s="138" t="inlineStr">
        <is>
          <t>枪械</t>
        </is>
      </c>
      <c r="D39" s="138" t="inlineStr">
        <is>
          <t>attachment</t>
        </is>
      </c>
      <c r="E39" s="138" t="inlineStr">
        <is>
          <t>attach_triple_muzzle</t>
        </is>
      </c>
      <c r="F39" s="138" t="inlineStr">
        <is>
          <t>root</t>
        </is>
      </c>
      <c r="G39" s="138" t="str"/>
      <c r="H39" s="138" t="inlineStr">
        <is>
          <t>侧面朝右</t>
        </is>
      </c>
      <c r="I39" s="138" t="inlineStr">
        <is>
          <t>default</t>
        </is>
      </c>
      <c r="J39" s="138" t="inlineStr">
        <is>
          <t>装配树/枪身/UI 图标</t>
        </is>
      </c>
      <c r="K39" s="138" t="inlineStr">
        <is>
          <t>程序占位</t>
        </is>
      </c>
      <c r="L39" s="138" t="inlineStr">
        <is>
          <t>P2</t>
        </is>
      </c>
      <c r="M39" s="138" t="inlineStr">
        <is>
          <t>v001</t>
        </is>
      </c>
      <c r="N39" s="138" t="inlineStr">
        <is>
          <t>建议 12–24 px</t>
        </is>
      </c>
      <c r="O39" s="138" t="str"/>
      <c r="P39" s="138" t="inlineStr">
        <is>
          <t>src/base/BlueprintRegistry.gd</t>
        </is>
      </c>
      <c r="Q39" s="138" t="str"/>
      <c r="R39" s="138">
        <f>LOWER(TRIM(C39)&amp;"|"&amp;TRIM(D39)&amp;"|"&amp;TRIM(E39)&amp;"|"&amp;TRIM(F39)&amp;"|"&amp;TRIM(H39)&amp;"|"&amp;TRIM(I39))</f>
        <v/>
      </c>
      <c r="S39" s="138">
        <f>IF(COUNTIF($R$6:$R$280,R39)&gt;1,"重复","唯一")</f>
        <v/>
      </c>
      <c r="T39" s="138" t="str"/>
      <c r="U39" s="138" t="inlineStr">
        <is>
          <t>待分配</t>
        </is>
      </c>
      <c r="V39" s="303" t="n">
        <v>46224</v>
      </c>
      <c r="W39" s="138" t="inlineStr">
        <is>
          <t>原创/待确认</t>
        </is>
      </c>
      <c r="X39" s="138" t="inlineStr">
        <is>
          <t>以挂点部件制作，不烘焙进整枪</t>
        </is>
      </c>
    </row>
    <row r="40">
      <c r="A40" s="138" t="inlineStr">
        <is>
          <t>WPN-ATT-ATTACH-RUBBER-STOCK</t>
        </is>
      </c>
      <c r="B40" s="138" t="inlineStr">
        <is>
          <t>橡皮枪托</t>
        </is>
      </c>
      <c r="C40" s="138" t="inlineStr">
        <is>
          <t>枪械</t>
        </is>
      </c>
      <c r="D40" s="138" t="inlineStr">
        <is>
          <t>attachment</t>
        </is>
      </c>
      <c r="E40" s="138" t="inlineStr">
        <is>
          <t>attach_rubber_stock</t>
        </is>
      </c>
      <c r="F40" s="138" t="inlineStr">
        <is>
          <t>root</t>
        </is>
      </c>
      <c r="G40" s="138" t="str"/>
      <c r="H40" s="138" t="inlineStr">
        <is>
          <t>侧面朝右</t>
        </is>
      </c>
      <c r="I40" s="138" t="inlineStr">
        <is>
          <t>default</t>
        </is>
      </c>
      <c r="J40" s="138" t="inlineStr">
        <is>
          <t>装配树/枪身/UI 图标</t>
        </is>
      </c>
      <c r="K40" s="138" t="inlineStr">
        <is>
          <t>程序占位</t>
        </is>
      </c>
      <c r="L40" s="138" t="inlineStr">
        <is>
          <t>P2</t>
        </is>
      </c>
      <c r="M40" s="138" t="inlineStr">
        <is>
          <t>v001</t>
        </is>
      </c>
      <c r="N40" s="138" t="inlineStr">
        <is>
          <t>建议 12–24 px</t>
        </is>
      </c>
      <c r="O40" s="138" t="str"/>
      <c r="P40" s="138" t="inlineStr">
        <is>
          <t>src/base/BlueprintRegistry.gd</t>
        </is>
      </c>
      <c r="Q40" s="138" t="str"/>
      <c r="R40" s="138">
        <f>LOWER(TRIM(C40)&amp;"|"&amp;TRIM(D40)&amp;"|"&amp;TRIM(E40)&amp;"|"&amp;TRIM(F40)&amp;"|"&amp;TRIM(H40)&amp;"|"&amp;TRIM(I40))</f>
        <v/>
      </c>
      <c r="S40" s="138">
        <f>IF(COUNTIF($R$6:$R$280,R40)&gt;1,"重复","唯一")</f>
        <v/>
      </c>
      <c r="T40" s="138" t="str"/>
      <c r="U40" s="138" t="inlineStr">
        <is>
          <t>待分配</t>
        </is>
      </c>
      <c r="V40" s="303" t="n">
        <v>46224</v>
      </c>
      <c r="W40" s="138" t="inlineStr">
        <is>
          <t>原创/待确认</t>
        </is>
      </c>
      <c r="X40" s="138" t="inlineStr">
        <is>
          <t>以挂点部件制作，不烘焙进整枪</t>
        </is>
      </c>
    </row>
    <row r="41">
      <c r="A41" s="138" t="inlineStr">
        <is>
          <t>WPN-ATT-ATTACH-SCOPE</t>
        </is>
      </c>
      <c r="B41" s="138" t="inlineStr">
        <is>
          <t>放大镜瞄具</t>
        </is>
      </c>
      <c r="C41" s="138" t="inlineStr">
        <is>
          <t>枪械</t>
        </is>
      </c>
      <c r="D41" s="138" t="inlineStr">
        <is>
          <t>attachment</t>
        </is>
      </c>
      <c r="E41" s="138" t="inlineStr">
        <is>
          <t>attach_scope</t>
        </is>
      </c>
      <c r="F41" s="138" t="inlineStr">
        <is>
          <t>root</t>
        </is>
      </c>
      <c r="G41" s="138" t="str"/>
      <c r="H41" s="138" t="inlineStr">
        <is>
          <t>侧面朝右</t>
        </is>
      </c>
      <c r="I41" s="138" t="inlineStr">
        <is>
          <t>default</t>
        </is>
      </c>
      <c r="J41" s="138" t="inlineStr">
        <is>
          <t>装配树/枪身/UI 图标</t>
        </is>
      </c>
      <c r="K41" s="138" t="inlineStr">
        <is>
          <t>程序占位</t>
        </is>
      </c>
      <c r="L41" s="138" t="inlineStr">
        <is>
          <t>P2</t>
        </is>
      </c>
      <c r="M41" s="138" t="inlineStr">
        <is>
          <t>v001</t>
        </is>
      </c>
      <c r="N41" s="138" t="inlineStr">
        <is>
          <t>建议 12–24 px</t>
        </is>
      </c>
      <c r="O41" s="138" t="str"/>
      <c r="P41" s="138" t="inlineStr">
        <is>
          <t>src/base/BlueprintRegistry.gd</t>
        </is>
      </c>
      <c r="Q41" s="138" t="str"/>
      <c r="R41" s="138">
        <f>LOWER(TRIM(C41)&amp;"|"&amp;TRIM(D41)&amp;"|"&amp;TRIM(E41)&amp;"|"&amp;TRIM(F41)&amp;"|"&amp;TRIM(H41)&amp;"|"&amp;TRIM(I41))</f>
        <v/>
      </c>
      <c r="S41" s="138">
        <f>IF(COUNTIF($R$6:$R$280,R41)&gt;1,"重复","唯一")</f>
        <v/>
      </c>
      <c r="T41" s="138" t="str"/>
      <c r="U41" s="138" t="inlineStr">
        <is>
          <t>待分配</t>
        </is>
      </c>
      <c r="V41" s="303" t="n">
        <v>46224</v>
      </c>
      <c r="W41" s="138" t="inlineStr">
        <is>
          <t>原创/待确认</t>
        </is>
      </c>
      <c r="X41" s="138" t="inlineStr">
        <is>
          <t>以挂点部件制作，不烘焙进整枪</t>
        </is>
      </c>
    </row>
    <row r="42">
      <c r="A42" s="138" t="inlineStr">
        <is>
          <t>WPN-ATT-ATTACH-BIG-MAG</t>
        </is>
      </c>
      <c r="B42" s="138" t="inlineStr">
        <is>
          <t>肉质弹匣</t>
        </is>
      </c>
      <c r="C42" s="138" t="inlineStr">
        <is>
          <t>枪械</t>
        </is>
      </c>
      <c r="D42" s="138" t="inlineStr">
        <is>
          <t>attachment</t>
        </is>
      </c>
      <c r="E42" s="138" t="inlineStr">
        <is>
          <t>attach_big_mag</t>
        </is>
      </c>
      <c r="F42" s="138" t="inlineStr">
        <is>
          <t>root</t>
        </is>
      </c>
      <c r="G42" s="138" t="str"/>
      <c r="H42" s="138" t="inlineStr">
        <is>
          <t>侧面朝右</t>
        </is>
      </c>
      <c r="I42" s="138" t="inlineStr">
        <is>
          <t>default</t>
        </is>
      </c>
      <c r="J42" s="138" t="inlineStr">
        <is>
          <t>装配树/枪身/UI 图标</t>
        </is>
      </c>
      <c r="K42" s="138" t="inlineStr">
        <is>
          <t>程序占位</t>
        </is>
      </c>
      <c r="L42" s="138" t="inlineStr">
        <is>
          <t>P2</t>
        </is>
      </c>
      <c r="M42" s="138" t="inlineStr">
        <is>
          <t>v001</t>
        </is>
      </c>
      <c r="N42" s="138" t="inlineStr">
        <is>
          <t>建议 12–24 px</t>
        </is>
      </c>
      <c r="O42" s="138" t="str"/>
      <c r="P42" s="138" t="inlineStr">
        <is>
          <t>src/base/BlueprintRegistry.gd</t>
        </is>
      </c>
      <c r="Q42" s="138" t="str"/>
      <c r="R42" s="138">
        <f>LOWER(TRIM(C42)&amp;"|"&amp;TRIM(D42)&amp;"|"&amp;TRIM(E42)&amp;"|"&amp;TRIM(F42)&amp;"|"&amp;TRIM(H42)&amp;"|"&amp;TRIM(I42))</f>
        <v/>
      </c>
      <c r="S42" s="138">
        <f>IF(COUNTIF($R$6:$R$280,R42)&gt;1,"重复","唯一")</f>
        <v/>
      </c>
      <c r="T42" s="138" t="str"/>
      <c r="U42" s="138" t="inlineStr">
        <is>
          <t>待分配</t>
        </is>
      </c>
      <c r="V42" s="303" t="n">
        <v>46224</v>
      </c>
      <c r="W42" s="138" t="inlineStr">
        <is>
          <t>原创/待确认</t>
        </is>
      </c>
      <c r="X42" s="138" t="inlineStr">
        <is>
          <t>以挂点部件制作，不烘焙进整枪</t>
        </is>
      </c>
    </row>
    <row r="43">
      <c r="A43" s="138" t="inlineStr">
        <is>
          <t>WPN-ATT-ATTACH-FAN</t>
        </is>
      </c>
      <c r="B43" s="138" t="inlineStr">
        <is>
          <t>小风扇</t>
        </is>
      </c>
      <c r="C43" s="138" t="inlineStr">
        <is>
          <t>枪械</t>
        </is>
      </c>
      <c r="D43" s="138" t="inlineStr">
        <is>
          <t>attachment</t>
        </is>
      </c>
      <c r="E43" s="138" t="inlineStr">
        <is>
          <t>attach_fan</t>
        </is>
      </c>
      <c r="F43" s="138" t="inlineStr">
        <is>
          <t>root</t>
        </is>
      </c>
      <c r="G43" s="138" t="str"/>
      <c r="H43" s="138" t="inlineStr">
        <is>
          <t>侧面朝右</t>
        </is>
      </c>
      <c r="I43" s="138" t="inlineStr">
        <is>
          <t>default</t>
        </is>
      </c>
      <c r="J43" s="138" t="inlineStr">
        <is>
          <t>装配树/枪身/UI 图标</t>
        </is>
      </c>
      <c r="K43" s="138" t="inlineStr">
        <is>
          <t>程序占位</t>
        </is>
      </c>
      <c r="L43" s="138" t="inlineStr">
        <is>
          <t>P2</t>
        </is>
      </c>
      <c r="M43" s="138" t="inlineStr">
        <is>
          <t>v001</t>
        </is>
      </c>
      <c r="N43" s="138" t="inlineStr">
        <is>
          <t>建议 12–24 px</t>
        </is>
      </c>
      <c r="O43" s="138" t="str"/>
      <c r="P43" s="138" t="inlineStr">
        <is>
          <t>src/base/BlueprintRegistry.gd</t>
        </is>
      </c>
      <c r="Q43" s="138" t="str"/>
      <c r="R43" s="138">
        <f>LOWER(TRIM(C43)&amp;"|"&amp;TRIM(D43)&amp;"|"&amp;TRIM(E43)&amp;"|"&amp;TRIM(F43)&amp;"|"&amp;TRIM(H43)&amp;"|"&amp;TRIM(I43))</f>
        <v/>
      </c>
      <c r="S43" s="138">
        <f>IF(COUNTIF($R$6:$R$280,R43)&gt;1,"重复","唯一")</f>
        <v/>
      </c>
      <c r="T43" s="138" t="str"/>
      <c r="U43" s="138" t="inlineStr">
        <is>
          <t>待分配</t>
        </is>
      </c>
      <c r="V43" s="303" t="n">
        <v>46224</v>
      </c>
      <c r="W43" s="138" t="inlineStr">
        <is>
          <t>原创/待确认</t>
        </is>
      </c>
      <c r="X43" s="138" t="inlineStr">
        <is>
          <t>以挂点部件制作，不烘焙进整枪</t>
        </is>
      </c>
    </row>
    <row r="44">
      <c r="A44" s="138" t="inlineStr">
        <is>
          <t>WPN-ATT-ATTACH-COPY-STICKER</t>
        </is>
      </c>
      <c r="B44" s="138" t="inlineStr">
        <is>
          <t>复制贴纸</t>
        </is>
      </c>
      <c r="C44" s="138" t="inlineStr">
        <is>
          <t>枪械</t>
        </is>
      </c>
      <c r="D44" s="138" t="inlineStr">
        <is>
          <t>attachment</t>
        </is>
      </c>
      <c r="E44" s="138" t="inlineStr">
        <is>
          <t>attach_copy_sticker</t>
        </is>
      </c>
      <c r="F44" s="138" t="inlineStr">
        <is>
          <t>root</t>
        </is>
      </c>
      <c r="G44" s="138" t="str"/>
      <c r="H44" s="138" t="inlineStr">
        <is>
          <t>侧面朝右</t>
        </is>
      </c>
      <c r="I44" s="138" t="inlineStr">
        <is>
          <t>default</t>
        </is>
      </c>
      <c r="J44" s="138" t="inlineStr">
        <is>
          <t>装配树/枪身/UI 图标</t>
        </is>
      </c>
      <c r="K44" s="138" t="inlineStr">
        <is>
          <t>程序占位</t>
        </is>
      </c>
      <c r="L44" s="138" t="inlineStr">
        <is>
          <t>P2</t>
        </is>
      </c>
      <c r="M44" s="138" t="inlineStr">
        <is>
          <t>v001</t>
        </is>
      </c>
      <c r="N44" s="138" t="inlineStr">
        <is>
          <t>建议 12–24 px</t>
        </is>
      </c>
      <c r="O44" s="138" t="str"/>
      <c r="P44" s="138" t="inlineStr">
        <is>
          <t>src/base/BlueprintRegistry.gd</t>
        </is>
      </c>
      <c r="Q44" s="138" t="str"/>
      <c r="R44" s="138">
        <f>LOWER(TRIM(C44)&amp;"|"&amp;TRIM(D44)&amp;"|"&amp;TRIM(E44)&amp;"|"&amp;TRIM(F44)&amp;"|"&amp;TRIM(H44)&amp;"|"&amp;TRIM(I44))</f>
        <v/>
      </c>
      <c r="S44" s="138">
        <f>IF(COUNTIF($R$6:$R$280,R44)&gt;1,"重复","唯一")</f>
        <v/>
      </c>
      <c r="T44" s="138" t="str"/>
      <c r="U44" s="138" t="inlineStr">
        <is>
          <t>待分配</t>
        </is>
      </c>
      <c r="V44" s="303" t="n">
        <v>46224</v>
      </c>
      <c r="W44" s="138" t="inlineStr">
        <is>
          <t>原创/待确认</t>
        </is>
      </c>
      <c r="X44" s="138" t="inlineStr">
        <is>
          <t>以挂点部件制作，不烘焙进整枪</t>
        </is>
      </c>
    </row>
    <row r="45">
      <c r="A45" s="138" t="inlineStr">
        <is>
          <t>ITM-CONSUMABLE-ITEM-BEACON</t>
        </is>
      </c>
      <c r="B45" s="138" t="inlineStr">
        <is>
          <t>撤离信标</t>
        </is>
      </c>
      <c r="C45" s="138" t="inlineStr">
        <is>
          <t>道具</t>
        </is>
      </c>
      <c r="D45" s="138" t="inlineStr">
        <is>
          <t>consumable</t>
        </is>
      </c>
      <c r="E45" s="138" t="inlineStr">
        <is>
          <t>item_beacon</t>
        </is>
      </c>
      <c r="F45" s="138" t="inlineStr">
        <is>
          <t>root</t>
        </is>
      </c>
      <c r="G45" s="138" t="str"/>
      <c r="H45" s="138" t="inlineStr">
        <is>
          <t>顶视/图标</t>
        </is>
      </c>
      <c r="I45" s="138" t="inlineStr">
        <is>
          <t>default</t>
        </is>
      </c>
      <c r="J45" s="138" t="inlineStr">
        <is>
          <t>世界拾取/UI 图标</t>
        </is>
      </c>
      <c r="K45" s="138" t="inlineStr">
        <is>
          <t>程序占位</t>
        </is>
      </c>
      <c r="L45" s="138" t="inlineStr">
        <is>
          <t>P0</t>
        </is>
      </c>
      <c r="M45" s="138" t="inlineStr">
        <is>
          <t>v001</t>
        </is>
      </c>
      <c r="N45" s="138" t="inlineStr">
        <is>
          <t>世界 24–40 px；UI 32 px</t>
        </is>
      </c>
      <c r="O45" s="138" t="str"/>
      <c r="P45" s="138" t="inlineStr">
        <is>
          <t>src/base/ItemRegistry.gd</t>
        </is>
      </c>
      <c r="Q45" s="138" t="str"/>
      <c r="R45" s="138">
        <f>LOWER(TRIM(C45)&amp;"|"&amp;TRIM(D45)&amp;"|"&amp;TRIM(E45)&amp;"|"&amp;TRIM(F45)&amp;"|"&amp;TRIM(H45)&amp;"|"&amp;TRIM(I45))</f>
        <v/>
      </c>
      <c r="S45" s="138">
        <f>IF(COUNTIF($R$6:$R$280,R45)&gt;1,"重复","唯一")</f>
        <v/>
      </c>
      <c r="T45" s="138" t="str"/>
      <c r="U45" s="138" t="inlineStr">
        <is>
          <t>待分配</t>
        </is>
      </c>
      <c r="V45" s="303" t="n">
        <v>46224</v>
      </c>
      <c r="W45" s="138" t="inlineStr">
        <is>
          <t>原创/待确认</t>
        </is>
      </c>
      <c r="X45" s="138" t="str"/>
    </row>
    <row r="46">
      <c r="A46" s="138" t="inlineStr">
        <is>
          <t>ITM-KEY-ITEM-ROOM-KEY</t>
        </is>
      </c>
      <c r="B46" s="138" t="inlineStr">
        <is>
          <t>房间钥匙</t>
        </is>
      </c>
      <c r="C46" s="138" t="inlineStr">
        <is>
          <t>道具</t>
        </is>
      </c>
      <c r="D46" s="138" t="inlineStr">
        <is>
          <t>key</t>
        </is>
      </c>
      <c r="E46" s="138" t="inlineStr">
        <is>
          <t>item_room_key</t>
        </is>
      </c>
      <c r="F46" s="138" t="inlineStr">
        <is>
          <t>root</t>
        </is>
      </c>
      <c r="G46" s="138" t="str"/>
      <c r="H46" s="138" t="inlineStr">
        <is>
          <t>顶视/图标</t>
        </is>
      </c>
      <c r="I46" s="138" t="inlineStr">
        <is>
          <t>default</t>
        </is>
      </c>
      <c r="J46" s="138" t="inlineStr">
        <is>
          <t>世界拾取/UI 图标</t>
        </is>
      </c>
      <c r="K46" s="138" t="inlineStr">
        <is>
          <t>程序占位</t>
        </is>
      </c>
      <c r="L46" s="138" t="inlineStr">
        <is>
          <t>P0</t>
        </is>
      </c>
      <c r="M46" s="138" t="inlineStr">
        <is>
          <t>v001</t>
        </is>
      </c>
      <c r="N46" s="138" t="inlineStr">
        <is>
          <t>世界 24–40 px；UI 32 px</t>
        </is>
      </c>
      <c r="O46" s="138" t="str"/>
      <c r="P46" s="138" t="inlineStr">
        <is>
          <t>src/base/ItemRegistry.gd</t>
        </is>
      </c>
      <c r="Q46" s="138" t="str"/>
      <c r="R46" s="138">
        <f>LOWER(TRIM(C46)&amp;"|"&amp;TRIM(D46)&amp;"|"&amp;TRIM(E46)&amp;"|"&amp;TRIM(F46)&amp;"|"&amp;TRIM(H46)&amp;"|"&amp;TRIM(I46))</f>
        <v/>
      </c>
      <c r="S46" s="138">
        <f>IF(COUNTIF($R$6:$R$280,R46)&gt;1,"重复","唯一")</f>
        <v/>
      </c>
      <c r="T46" s="138" t="str"/>
      <c r="U46" s="138" t="inlineStr">
        <is>
          <t>待分配</t>
        </is>
      </c>
      <c r="V46" s="303" t="n">
        <v>46224</v>
      </c>
      <c r="W46" s="138" t="inlineStr">
        <is>
          <t>原创/待确认</t>
        </is>
      </c>
      <c r="X46" s="138" t="str"/>
    </row>
    <row r="47">
      <c r="A47" s="138" t="inlineStr">
        <is>
          <t>ITM-PICKUP-SOUL-ORB</t>
        </is>
      </c>
      <c r="B47" s="138" t="inlineStr">
        <is>
          <t>灵魂球</t>
        </is>
      </c>
      <c r="C47" s="138" t="inlineStr">
        <is>
          <t>道具</t>
        </is>
      </c>
      <c r="D47" s="138" t="inlineStr">
        <is>
          <t>pickup</t>
        </is>
      </c>
      <c r="E47" s="138" t="inlineStr">
        <is>
          <t>soul_orb</t>
        </is>
      </c>
      <c r="F47" s="138" t="inlineStr">
        <is>
          <t>root</t>
        </is>
      </c>
      <c r="G47" s="138" t="str"/>
      <c r="H47" s="138" t="inlineStr">
        <is>
          <t>顶视/图标</t>
        </is>
      </c>
      <c r="I47" s="138" t="inlineStr">
        <is>
          <t>default</t>
        </is>
      </c>
      <c r="J47" s="138" t="inlineStr">
        <is>
          <t>世界拾取/UI 图标</t>
        </is>
      </c>
      <c r="K47" s="138" t="inlineStr">
        <is>
          <t>程序占位</t>
        </is>
      </c>
      <c r="L47" s="138" t="inlineStr">
        <is>
          <t>P1</t>
        </is>
      </c>
      <c r="M47" s="138" t="inlineStr">
        <is>
          <t>v001</t>
        </is>
      </c>
      <c r="N47" s="138" t="inlineStr">
        <is>
          <t>世界 24–40 px；UI 32 px</t>
        </is>
      </c>
      <c r="O47" s="138" t="str"/>
      <c r="P47" s="138" t="inlineStr">
        <is>
          <t>scenes/</t>
        </is>
      </c>
      <c r="Q47" s="138" t="str"/>
      <c r="R47" s="138">
        <f>LOWER(TRIM(C47)&amp;"|"&amp;TRIM(D47)&amp;"|"&amp;TRIM(E47)&amp;"|"&amp;TRIM(F47)&amp;"|"&amp;TRIM(H47)&amp;"|"&amp;TRIM(I47))</f>
        <v/>
      </c>
      <c r="S47" s="138">
        <f>IF(COUNTIF($R$6:$R$280,R47)&gt;1,"重复","唯一")</f>
        <v/>
      </c>
      <c r="T47" s="138" t="str"/>
      <c r="U47" s="138" t="inlineStr">
        <is>
          <t>待分配</t>
        </is>
      </c>
      <c r="V47" s="303" t="n">
        <v>46224</v>
      </c>
      <c r="W47" s="138" t="inlineStr">
        <is>
          <t>原创/待确认</t>
        </is>
      </c>
      <c r="X47" s="138" t="str"/>
    </row>
    <row r="48">
      <c r="A48" s="138" t="inlineStr">
        <is>
          <t>ITM-CONTAINER-CONTAINER</t>
        </is>
      </c>
      <c r="B48" s="138" t="inlineStr">
        <is>
          <t>战利品容器</t>
        </is>
      </c>
      <c r="C48" s="138" t="inlineStr">
        <is>
          <t>道具</t>
        </is>
      </c>
      <c r="D48" s="138" t="inlineStr">
        <is>
          <t>container</t>
        </is>
      </c>
      <c r="E48" s="138" t="inlineStr">
        <is>
          <t>container</t>
        </is>
      </c>
      <c r="F48" s="138" t="inlineStr">
        <is>
          <t>root</t>
        </is>
      </c>
      <c r="G48" s="138" t="str"/>
      <c r="H48" s="138" t="inlineStr">
        <is>
          <t>顶视/图标</t>
        </is>
      </c>
      <c r="I48" s="138" t="inlineStr">
        <is>
          <t>default</t>
        </is>
      </c>
      <c r="J48" s="138" t="inlineStr">
        <is>
          <t>世界拾取/UI 图标</t>
        </is>
      </c>
      <c r="K48" s="138" t="inlineStr">
        <is>
          <t>程序占位</t>
        </is>
      </c>
      <c r="L48" s="138" t="inlineStr">
        <is>
          <t>P1</t>
        </is>
      </c>
      <c r="M48" s="138" t="inlineStr">
        <is>
          <t>v001</t>
        </is>
      </c>
      <c r="N48" s="138" t="inlineStr">
        <is>
          <t>世界 24–40 px；UI 32 px</t>
        </is>
      </c>
      <c r="O48" s="138" t="str"/>
      <c r="P48" s="138" t="inlineStr">
        <is>
          <t>scenes/</t>
        </is>
      </c>
      <c r="Q48" s="138" t="str"/>
      <c r="R48" s="138">
        <f>LOWER(TRIM(C48)&amp;"|"&amp;TRIM(D48)&amp;"|"&amp;TRIM(E48)&amp;"|"&amp;TRIM(F48)&amp;"|"&amp;TRIM(H48)&amp;"|"&amp;TRIM(I48))</f>
        <v/>
      </c>
      <c r="S48" s="138">
        <f>IF(COUNTIF($R$6:$R$280,R48)&gt;1,"重复","唯一")</f>
        <v/>
      </c>
      <c r="T48" s="138" t="str"/>
      <c r="U48" s="138" t="inlineStr">
        <is>
          <t>待分配</t>
        </is>
      </c>
      <c r="V48" s="303" t="n">
        <v>46224</v>
      </c>
      <c r="W48" s="138" t="inlineStr">
        <is>
          <t>原创/待确认</t>
        </is>
      </c>
      <c r="X48" s="138" t="str"/>
    </row>
    <row r="49">
      <c r="A49" s="138" t="inlineStr">
        <is>
          <t>ITM-PICKUP-ROOM-KEY-PICKUP</t>
        </is>
      </c>
      <c r="B49" s="138" t="inlineStr">
        <is>
          <t>房间钥匙掉落</t>
        </is>
      </c>
      <c r="C49" s="138" t="inlineStr">
        <is>
          <t>道具</t>
        </is>
      </c>
      <c r="D49" s="138" t="inlineStr">
        <is>
          <t>pickup</t>
        </is>
      </c>
      <c r="E49" s="138" t="inlineStr">
        <is>
          <t>room_key_pickup</t>
        </is>
      </c>
      <c r="F49" s="138" t="inlineStr">
        <is>
          <t>root</t>
        </is>
      </c>
      <c r="G49" s="138" t="str"/>
      <c r="H49" s="138" t="inlineStr">
        <is>
          <t>顶视/图标</t>
        </is>
      </c>
      <c r="I49" s="138" t="inlineStr">
        <is>
          <t>default</t>
        </is>
      </c>
      <c r="J49" s="138" t="inlineStr">
        <is>
          <t>全部3D房间/清房奖励</t>
        </is>
      </c>
      <c r="K49" s="138" t="inlineStr">
        <is>
          <t>原型已接入</t>
        </is>
      </c>
      <c r="L49" s="138" t="inlineStr">
        <is>
          <t>P1</t>
        </is>
      </c>
      <c r="M49" s="138" t="inlineStr">
        <is>
          <t>v001</t>
        </is>
      </c>
      <c r="N49" s="138" t="inlineStr">
        <is>
          <t>程序模型/0.32s Tween</t>
        </is>
      </c>
      <c r="O49" s="138" t="n"/>
      <c r="P49" s="138" t="inlineStr">
        <is>
          <t>src/world3d/RoomKeyPickup3D.gd</t>
        </is>
      </c>
      <c r="Q49" s="138" t="str"/>
      <c r="R49" s="138">
        <f>LOWER(TRIM(C49)&amp;"|"&amp;TRIM(D49)&amp;"|"&amp;TRIM(E49)&amp;"|"&amp;TRIM(F49)&amp;"|"&amp;TRIM(H49)&amp;"|"&amp;TRIM(I49))</f>
        <v/>
      </c>
      <c r="S49" s="138">
        <f>IF(COUNTIF($R$6:$R$280,R49)&gt;1,"重复","唯一")</f>
        <v/>
      </c>
      <c r="T49" s="138" t="str"/>
      <c r="U49" s="138" t="inlineStr">
        <is>
          <t>Codex</t>
        </is>
      </c>
      <c r="V49" s="303" t="n">
        <v>46225</v>
      </c>
      <c r="W49" s="138" t="inlineStr">
        <is>
          <t>原创程序几何</t>
        </is>
      </c>
      <c r="X49" s="138" t="inlineStr">
        <is>
          <t>清房后在玩家附近安全边界生成；同房唯一且返回时可补发；成功拾取先关闭碰撞，再上弹旋转缩小后回收</t>
        </is>
      </c>
    </row>
    <row r="50">
      <c r="A50" s="138" t="inlineStr">
        <is>
          <t>ITM-PICKUP-BASE-GROUND-ITEM</t>
        </is>
      </c>
      <c r="B50" s="138" t="inlineStr">
        <is>
          <t>地面物品底座</t>
        </is>
      </c>
      <c r="C50" s="138" t="inlineStr">
        <is>
          <t>道具</t>
        </is>
      </c>
      <c r="D50" s="138" t="inlineStr">
        <is>
          <t>pickup_base</t>
        </is>
      </c>
      <c r="E50" s="138" t="inlineStr">
        <is>
          <t>ground_item</t>
        </is>
      </c>
      <c r="F50" s="138" t="inlineStr">
        <is>
          <t>root</t>
        </is>
      </c>
      <c r="G50" s="138" t="str"/>
      <c r="H50" s="138" t="inlineStr">
        <is>
          <t>顶视/图标</t>
        </is>
      </c>
      <c r="I50" s="138" t="inlineStr">
        <is>
          <t>default</t>
        </is>
      </c>
      <c r="J50" s="138" t="inlineStr">
        <is>
          <t>地面掉落/背包投影</t>
        </is>
      </c>
      <c r="K50" s="138" t="inlineStr">
        <is>
          <t>原型已接入</t>
        </is>
      </c>
      <c r="L50" s="138" t="inlineStr">
        <is>
          <t>P2</t>
        </is>
      </c>
      <c r="M50" s="138" t="inlineStr">
        <is>
          <t>v001</t>
        </is>
      </c>
      <c r="N50" s="138" t="inlineStr">
        <is>
          <t>程序模型/0.32s Tween</t>
        </is>
      </c>
      <c r="O50" s="138" t="n"/>
      <c r="P50" s="138" t="inlineStr">
        <is>
          <t>src/world3d/GroundLootPickup3D.gd</t>
        </is>
      </c>
      <c r="Q50" s="138" t="str"/>
      <c r="R50" s="138">
        <f>LOWER(TRIM(C50)&amp;"|"&amp;TRIM(D50)&amp;"|"&amp;TRIM(E50)&amp;"|"&amp;TRIM(F50)&amp;"|"&amp;TRIM(H50)&amp;"|"&amp;TRIM(I50))</f>
        <v/>
      </c>
      <c r="S50" s="138">
        <f>IF(COUNTIF($R$6:$R$280,R50)&gt;1,"重复","唯一")</f>
        <v/>
      </c>
      <c r="T50" s="138" t="str"/>
      <c r="U50" s="138" t="inlineStr">
        <is>
          <t>Codex</t>
        </is>
      </c>
      <c r="V50" s="303" t="n">
        <v>46225</v>
      </c>
      <c r="W50" s="138" t="inlineStr">
        <is>
          <t>原创程序几何</t>
        </is>
      </c>
      <c r="X50" s="138" t="inlineStr">
        <is>
          <t>与背包投影共用 ItemModelFactory3D；满包时保留，成功接收后播放0.32秒上弹旋转缩小动画</t>
        </is>
      </c>
    </row>
    <row r="51">
      <c r="A51" s="138" t="inlineStr">
        <is>
          <t>ENV-BASE-WORLD-KIT</t>
        </is>
      </c>
      <c r="B51" s="138" t="inlineStr">
        <is>
          <t>末日基地与荒野</t>
        </is>
      </c>
      <c r="C51" s="138" t="inlineStr">
        <is>
          <t>场景</t>
        </is>
      </c>
      <c r="D51" s="138" t="inlineStr">
        <is>
          <t>biome_kit</t>
        </is>
      </c>
      <c r="E51" s="138" t="inlineStr">
        <is>
          <t>base_world</t>
        </is>
      </c>
      <c r="F51" s="138" t="inlineStr">
        <is>
          <t>root</t>
        </is>
      </c>
      <c r="G51" s="138" t="str"/>
      <c r="H51" s="138" t="inlineStr">
        <is>
          <t>顶视</t>
        </is>
      </c>
      <c r="I51" s="138" t="inlineStr">
        <is>
          <t>default</t>
        </is>
      </c>
      <c r="J51" s="138" t="inlineStr">
        <is>
          <t>同主题房间共享</t>
        </is>
      </c>
      <c r="K51" s="138" t="inlineStr">
        <is>
          <t>程序占位</t>
        </is>
      </c>
      <c r="L51" s="138" t="inlineStr">
        <is>
          <t>P0</t>
        </is>
      </c>
      <c r="M51" s="138" t="inlineStr">
        <is>
          <t>v001</t>
        </is>
      </c>
      <c r="N51" s="138" t="inlineStr">
        <is>
          <t>64 px 网格；模块化 Tile/Prop</t>
        </is>
      </c>
      <c r="O51" s="138" t="str"/>
      <c r="P51" s="138" t="inlineStr">
        <is>
          <t>scenes/BaseWorld.tscn</t>
        </is>
      </c>
      <c r="Q51" s="138" t="str"/>
      <c r="R51" s="138">
        <f>LOWER(TRIM(C51)&amp;"|"&amp;TRIM(D51)&amp;"|"&amp;TRIM(E51)&amp;"|"&amp;TRIM(F51)&amp;"|"&amp;TRIM(H51)&amp;"|"&amp;TRIM(I51))</f>
        <v/>
      </c>
      <c r="S51" s="138">
        <f>IF(COUNTIF($R$6:$R$280,R51)&gt;1,"重复","唯一")</f>
        <v/>
      </c>
      <c r="T51" s="138" t="str"/>
      <c r="U51" s="138" t="inlineStr">
        <is>
          <t>待分配</t>
        </is>
      </c>
      <c r="V51" s="303" t="n">
        <v>46224</v>
      </c>
      <c r="W51" s="138" t="inlineStr">
        <is>
          <t>原创/待确认</t>
        </is>
      </c>
      <c r="X51" s="138" t="inlineStr">
        <is>
          <t>先拆地面/墙/门/大中小道具，禁止整张场景烘焙</t>
        </is>
      </c>
    </row>
    <row r="52">
      <c r="A52" s="138" t="inlineStr">
        <is>
          <t>ENV-IRON-FRONTIER-KIT</t>
        </is>
      </c>
      <c r="B52" s="138" t="inlineStr">
        <is>
          <t>冷钢边境</t>
        </is>
      </c>
      <c r="C52" s="138" t="inlineStr">
        <is>
          <t>场景</t>
        </is>
      </c>
      <c r="D52" s="138" t="inlineStr">
        <is>
          <t>biome_kit</t>
        </is>
      </c>
      <c r="E52" s="138" t="inlineStr">
        <is>
          <t>iron_frontier</t>
        </is>
      </c>
      <c r="F52" s="138" t="inlineStr">
        <is>
          <t>root</t>
        </is>
      </c>
      <c r="G52" s="138" t="str"/>
      <c r="H52" s="138" t="inlineStr">
        <is>
          <t>顶视</t>
        </is>
      </c>
      <c r="I52" s="138" t="inlineStr">
        <is>
          <t>default</t>
        </is>
      </c>
      <c r="J52" s="138" t="inlineStr">
        <is>
          <t>同主题房间共享</t>
        </is>
      </c>
      <c r="K52" s="138" t="inlineStr">
        <is>
          <t>程序占位</t>
        </is>
      </c>
      <c r="L52" s="138" t="inlineStr">
        <is>
          <t>P0</t>
        </is>
      </c>
      <c r="M52" s="138" t="inlineStr">
        <is>
          <t>v001</t>
        </is>
      </c>
      <c r="N52" s="138" t="inlineStr">
        <is>
          <t>64 px 网格；模块化 Tile/Prop</t>
        </is>
      </c>
      <c r="O52" s="138" t="str"/>
      <c r="P52" s="138" t="inlineStr">
        <is>
          <t>scenes/levels/IronFrontier.tscn</t>
        </is>
      </c>
      <c r="Q52" s="138" t="str"/>
      <c r="R52" s="138">
        <f>LOWER(TRIM(C52)&amp;"|"&amp;TRIM(D52)&amp;"|"&amp;TRIM(E52)&amp;"|"&amp;TRIM(F52)&amp;"|"&amp;TRIM(H52)&amp;"|"&amp;TRIM(I52))</f>
        <v/>
      </c>
      <c r="S52" s="138">
        <f>IF(COUNTIF($R$6:$R$280,R52)&gt;1,"重复","唯一")</f>
        <v/>
      </c>
      <c r="T52" s="138" t="str"/>
      <c r="U52" s="138" t="inlineStr">
        <is>
          <t>待分配</t>
        </is>
      </c>
      <c r="V52" s="303" t="n">
        <v>46224</v>
      </c>
      <c r="W52" s="138" t="inlineStr">
        <is>
          <t>原创/待确认</t>
        </is>
      </c>
      <c r="X52" s="138" t="inlineStr">
        <is>
          <t>先拆地面/墙/门/大中小道具，禁止整张场景烘焙</t>
        </is>
      </c>
    </row>
    <row r="53">
      <c r="A53" s="138" t="inlineStr">
        <is>
          <t>ENV-RUST-FOUNDRY-KIT</t>
        </is>
      </c>
      <c r="B53" s="138" t="inlineStr">
        <is>
          <t>锈蚀铸造厂</t>
        </is>
      </c>
      <c r="C53" s="138" t="inlineStr">
        <is>
          <t>场景</t>
        </is>
      </c>
      <c r="D53" s="138" t="inlineStr">
        <is>
          <t>biome_kit</t>
        </is>
      </c>
      <c r="E53" s="138" t="inlineStr">
        <is>
          <t>rust_foundry</t>
        </is>
      </c>
      <c r="F53" s="138" t="inlineStr">
        <is>
          <t>root</t>
        </is>
      </c>
      <c r="G53" s="138" t="str"/>
      <c r="H53" s="138" t="inlineStr">
        <is>
          <t>顶视</t>
        </is>
      </c>
      <c r="I53" s="138" t="inlineStr">
        <is>
          <t>default</t>
        </is>
      </c>
      <c r="J53" s="138" t="inlineStr">
        <is>
          <t>同主题房间共享</t>
        </is>
      </c>
      <c r="K53" s="138" t="inlineStr">
        <is>
          <t>程序占位</t>
        </is>
      </c>
      <c r="L53" s="138" t="inlineStr">
        <is>
          <t>P1</t>
        </is>
      </c>
      <c r="M53" s="138" t="inlineStr">
        <is>
          <t>v001</t>
        </is>
      </c>
      <c r="N53" s="138" t="inlineStr">
        <is>
          <t>64 px 网格；模块化 Tile/Prop</t>
        </is>
      </c>
      <c r="O53" s="138" t="str"/>
      <c r="P53" s="138" t="inlineStr">
        <is>
          <t>scenes/levels/RustFoundry.tscn</t>
        </is>
      </c>
      <c r="Q53" s="138" t="str"/>
      <c r="R53" s="138">
        <f>LOWER(TRIM(C53)&amp;"|"&amp;TRIM(D53)&amp;"|"&amp;TRIM(E53)&amp;"|"&amp;TRIM(F53)&amp;"|"&amp;TRIM(H53)&amp;"|"&amp;TRIM(I53))</f>
        <v/>
      </c>
      <c r="S53" s="138">
        <f>IF(COUNTIF($R$6:$R$280,R53)&gt;1,"重复","唯一")</f>
        <v/>
      </c>
      <c r="T53" s="138" t="str"/>
      <c r="U53" s="138" t="inlineStr">
        <is>
          <t>待分配</t>
        </is>
      </c>
      <c r="V53" s="303" t="n">
        <v>46224</v>
      </c>
      <c r="W53" s="138" t="inlineStr">
        <is>
          <t>原创/待确认</t>
        </is>
      </c>
      <c r="X53" s="138" t="inlineStr">
        <is>
          <t>先拆地面/墙/门/大中小道具，禁止整张场景烘焙</t>
        </is>
      </c>
    </row>
    <row r="54">
      <c r="A54" s="138" t="inlineStr">
        <is>
          <t>ENV-SPORE-DEPTHS-KIT</t>
        </is>
      </c>
      <c r="B54" s="138" t="inlineStr">
        <is>
          <t>孢子深层</t>
        </is>
      </c>
      <c r="C54" s="138" t="inlineStr">
        <is>
          <t>场景</t>
        </is>
      </c>
      <c r="D54" s="138" t="inlineStr">
        <is>
          <t>biome_kit</t>
        </is>
      </c>
      <c r="E54" s="138" t="inlineStr">
        <is>
          <t>spore_depths</t>
        </is>
      </c>
      <c r="F54" s="138" t="inlineStr">
        <is>
          <t>root</t>
        </is>
      </c>
      <c r="G54" s="138" t="str"/>
      <c r="H54" s="138" t="inlineStr">
        <is>
          <t>顶视</t>
        </is>
      </c>
      <c r="I54" s="138" t="inlineStr">
        <is>
          <t>default</t>
        </is>
      </c>
      <c r="J54" s="138" t="inlineStr">
        <is>
          <t>同主题房间共享</t>
        </is>
      </c>
      <c r="K54" s="138" t="inlineStr">
        <is>
          <t>程序占位</t>
        </is>
      </c>
      <c r="L54" s="138" t="inlineStr">
        <is>
          <t>P1</t>
        </is>
      </c>
      <c r="M54" s="138" t="inlineStr">
        <is>
          <t>v001</t>
        </is>
      </c>
      <c r="N54" s="138" t="inlineStr">
        <is>
          <t>64 px 网格；模块化 Tile/Prop</t>
        </is>
      </c>
      <c r="O54" s="138" t="str"/>
      <c r="P54" s="138" t="inlineStr">
        <is>
          <t>scenes/levels/SporeDepths.tscn</t>
        </is>
      </c>
      <c r="Q54" s="138" t="str"/>
      <c r="R54" s="138">
        <f>LOWER(TRIM(C54)&amp;"|"&amp;TRIM(D54)&amp;"|"&amp;TRIM(E54)&amp;"|"&amp;TRIM(F54)&amp;"|"&amp;TRIM(H54)&amp;"|"&amp;TRIM(I54))</f>
        <v/>
      </c>
      <c r="S54" s="138">
        <f>IF(COUNTIF($R$6:$R$280,R54)&gt;1,"重复","唯一")</f>
        <v/>
      </c>
      <c r="T54" s="138" t="str"/>
      <c r="U54" s="138" t="inlineStr">
        <is>
          <t>待分配</t>
        </is>
      </c>
      <c r="V54" s="303" t="n">
        <v>46224</v>
      </c>
      <c r="W54" s="138" t="inlineStr">
        <is>
          <t>原创/待确认</t>
        </is>
      </c>
      <c r="X54" s="138" t="inlineStr">
        <is>
          <t>先拆地面/墙/门/大中小道具，禁止整张场景烘焙</t>
        </is>
      </c>
    </row>
    <row r="55">
      <c r="A55" s="138" t="inlineStr">
        <is>
          <t>ENV-ABYSS-ARCHIVE-KIT</t>
        </is>
      </c>
      <c r="B55" s="138" t="inlineStr">
        <is>
          <t>深渊档案库</t>
        </is>
      </c>
      <c r="C55" s="138" t="inlineStr">
        <is>
          <t>场景</t>
        </is>
      </c>
      <c r="D55" s="138" t="inlineStr">
        <is>
          <t>biome_kit</t>
        </is>
      </c>
      <c r="E55" s="138" t="inlineStr">
        <is>
          <t>abyss_archive</t>
        </is>
      </c>
      <c r="F55" s="138" t="inlineStr">
        <is>
          <t>root</t>
        </is>
      </c>
      <c r="G55" s="138" t="str"/>
      <c r="H55" s="138" t="inlineStr">
        <is>
          <t>顶视</t>
        </is>
      </c>
      <c r="I55" s="138" t="inlineStr">
        <is>
          <t>default</t>
        </is>
      </c>
      <c r="J55" s="138" t="inlineStr">
        <is>
          <t>同主题房间共享</t>
        </is>
      </c>
      <c r="K55" s="138" t="inlineStr">
        <is>
          <t>程序占位</t>
        </is>
      </c>
      <c r="L55" s="138" t="inlineStr">
        <is>
          <t>P1</t>
        </is>
      </c>
      <c r="M55" s="138" t="inlineStr">
        <is>
          <t>v001</t>
        </is>
      </c>
      <c r="N55" s="138" t="inlineStr">
        <is>
          <t>64 px 网格；模块化 Tile/Prop</t>
        </is>
      </c>
      <c r="O55" s="138" t="str"/>
      <c r="P55" s="138" t="inlineStr">
        <is>
          <t>scenes/levels/AbyssArchive.tscn</t>
        </is>
      </c>
      <c r="Q55" s="138" t="str"/>
      <c r="R55" s="138">
        <f>LOWER(TRIM(C55)&amp;"|"&amp;TRIM(D55)&amp;"|"&amp;TRIM(E55)&amp;"|"&amp;TRIM(F55)&amp;"|"&amp;TRIM(H55)&amp;"|"&amp;TRIM(I55))</f>
        <v/>
      </c>
      <c r="S55" s="138">
        <f>IF(COUNTIF($R$6:$R$280,R55)&gt;1,"重复","唯一")</f>
        <v/>
      </c>
      <c r="T55" s="138" t="str"/>
      <c r="U55" s="138" t="inlineStr">
        <is>
          <t>待分配</t>
        </is>
      </c>
      <c r="V55" s="303" t="n">
        <v>46224</v>
      </c>
      <c r="W55" s="138" t="inlineStr">
        <is>
          <t>原创/待确认</t>
        </is>
      </c>
      <c r="X55" s="138" t="inlineStr">
        <is>
          <t>先拆地面/墙/门/大中小道具，禁止整张场景烘焙</t>
        </is>
      </c>
    </row>
    <row r="56">
      <c r="A56" s="138" t="inlineStr">
        <is>
          <t>ENV-TRAINING-RANGE-KIT</t>
        </is>
      </c>
      <c r="B56" s="138" t="inlineStr">
        <is>
          <t>地下训练靶场</t>
        </is>
      </c>
      <c r="C56" s="138" t="inlineStr">
        <is>
          <t>场景</t>
        </is>
      </c>
      <c r="D56" s="138" t="inlineStr">
        <is>
          <t>biome_kit</t>
        </is>
      </c>
      <c r="E56" s="138" t="inlineStr">
        <is>
          <t>training_range</t>
        </is>
      </c>
      <c r="F56" s="138" t="inlineStr">
        <is>
          <t>root</t>
        </is>
      </c>
      <c r="G56" s="138" t="str"/>
      <c r="H56" s="138" t="inlineStr">
        <is>
          <t>顶视</t>
        </is>
      </c>
      <c r="I56" s="138" t="inlineStr">
        <is>
          <t>default</t>
        </is>
      </c>
      <c r="J56" s="138" t="inlineStr">
        <is>
          <t>同主题房间共享</t>
        </is>
      </c>
      <c r="K56" s="138" t="inlineStr">
        <is>
          <t>程序占位</t>
        </is>
      </c>
      <c r="L56" s="138" t="inlineStr">
        <is>
          <t>P0</t>
        </is>
      </c>
      <c r="M56" s="138" t="inlineStr">
        <is>
          <t>v001</t>
        </is>
      </c>
      <c r="N56" s="138" t="inlineStr">
        <is>
          <t>64 px 网格；模块化 Tile/Prop</t>
        </is>
      </c>
      <c r="O56" s="138" t="str"/>
      <c r="P56" s="138" t="inlineStr">
        <is>
          <t>scenes/TrainingRange.tscn</t>
        </is>
      </c>
      <c r="Q56" s="138" t="str"/>
      <c r="R56" s="138">
        <f>LOWER(TRIM(C56)&amp;"|"&amp;TRIM(D56)&amp;"|"&amp;TRIM(E56)&amp;"|"&amp;TRIM(F56)&amp;"|"&amp;TRIM(H56)&amp;"|"&amp;TRIM(I56))</f>
        <v/>
      </c>
      <c r="S56" s="138">
        <f>IF(COUNTIF($R$6:$R$280,R56)&gt;1,"重复","唯一")</f>
        <v/>
      </c>
      <c r="T56" s="138" t="str"/>
      <c r="U56" s="138" t="inlineStr">
        <is>
          <t>待分配</t>
        </is>
      </c>
      <c r="V56" s="303" t="n">
        <v>46224</v>
      </c>
      <c r="W56" s="138" t="inlineStr">
        <is>
          <t>原创/待确认</t>
        </is>
      </c>
      <c r="X56" s="138" t="inlineStr">
        <is>
          <t>先拆地面/墙/门/大中小道具，禁止整张场景烘焙</t>
        </is>
      </c>
    </row>
    <row r="57">
      <c r="A57" s="138" t="inlineStr">
        <is>
          <t>ENV-ROOM-COMBAT-DRESSING</t>
        </is>
      </c>
      <c r="B57" s="138" t="inlineStr">
        <is>
          <t>combat 房间陈设包</t>
        </is>
      </c>
      <c r="C57" s="138" t="inlineStr">
        <is>
          <t>场景</t>
        </is>
      </c>
      <c r="D57" s="138" t="inlineStr">
        <is>
          <t>room_dressing</t>
        </is>
      </c>
      <c r="E57" s="138" t="inlineStr">
        <is>
          <t>room_combat</t>
        </is>
      </c>
      <c r="F57" s="138" t="inlineStr">
        <is>
          <t>root</t>
        </is>
      </c>
      <c r="G57" s="138" t="str"/>
      <c r="H57" s="138" t="inlineStr">
        <is>
          <t>顶视</t>
        </is>
      </c>
      <c r="I57" s="138" t="inlineStr">
        <is>
          <t>default</t>
        </is>
      </c>
      <c r="J57" s="138" t="inlineStr">
        <is>
          <t>跨楼层配色变体</t>
        </is>
      </c>
      <c r="K57" s="138" t="inlineStr">
        <is>
          <t>程序占位</t>
        </is>
      </c>
      <c r="L57" s="138" t="inlineStr">
        <is>
          <t>P1</t>
        </is>
      </c>
      <c r="M57" s="138" t="inlineStr">
        <is>
          <t>v001</t>
        </is>
      </c>
      <c r="N57" s="138" t="inlineStr">
        <is>
          <t>64 px 网格</t>
        </is>
      </c>
      <c r="O57" s="138" t="str"/>
      <c r="P57" s="138" t="inlineStr">
        <is>
          <t>scenes/RoomCombat.tscn</t>
        </is>
      </c>
      <c r="Q57" s="138" t="str"/>
      <c r="R57" s="138">
        <f>LOWER(TRIM(C57)&amp;"|"&amp;TRIM(D57)&amp;"|"&amp;TRIM(E57)&amp;"|"&amp;TRIM(F57)&amp;"|"&amp;TRIM(H57)&amp;"|"&amp;TRIM(I57))</f>
        <v/>
      </c>
      <c r="S57" s="138">
        <f>IF(COUNTIF($R$6:$R$280,R57)&gt;1,"重复","唯一")</f>
        <v/>
      </c>
      <c r="T57" s="138" t="str"/>
      <c r="U57" s="138" t="inlineStr">
        <is>
          <t>待分配</t>
        </is>
      </c>
      <c r="V57" s="303" t="n">
        <v>46224</v>
      </c>
      <c r="W57" s="138" t="inlineStr">
        <is>
          <t>原创/待确认</t>
        </is>
      </c>
      <c r="X57" s="138" t="inlineStr">
        <is>
          <t>只登记房间独有件；地板墙体引用 biome kit</t>
        </is>
      </c>
    </row>
    <row r="58">
      <c r="A58" s="138" t="inlineStr">
        <is>
          <t>ENV-ROOM-ELITE-DRESSING</t>
        </is>
      </c>
      <c r="B58" s="138" t="inlineStr">
        <is>
          <t>elite 房间陈设包</t>
        </is>
      </c>
      <c r="C58" s="138" t="inlineStr">
        <is>
          <t>场景</t>
        </is>
      </c>
      <c r="D58" s="138" t="inlineStr">
        <is>
          <t>room_dressing</t>
        </is>
      </c>
      <c r="E58" s="138" t="inlineStr">
        <is>
          <t>room_elite</t>
        </is>
      </c>
      <c r="F58" s="138" t="inlineStr">
        <is>
          <t>root</t>
        </is>
      </c>
      <c r="G58" s="138" t="str"/>
      <c r="H58" s="138" t="inlineStr">
        <is>
          <t>顶视</t>
        </is>
      </c>
      <c r="I58" s="138" t="inlineStr">
        <is>
          <t>default</t>
        </is>
      </c>
      <c r="J58" s="138" t="inlineStr">
        <is>
          <t>跨楼层配色变体</t>
        </is>
      </c>
      <c r="K58" s="138" t="inlineStr">
        <is>
          <t>程序占位</t>
        </is>
      </c>
      <c r="L58" s="138" t="inlineStr">
        <is>
          <t>P2</t>
        </is>
      </c>
      <c r="M58" s="138" t="inlineStr">
        <is>
          <t>v001</t>
        </is>
      </c>
      <c r="N58" s="138" t="inlineStr">
        <is>
          <t>64 px 网格</t>
        </is>
      </c>
      <c r="O58" s="138" t="str"/>
      <c r="P58" s="138" t="inlineStr">
        <is>
          <t>scenes/RoomElite.tscn</t>
        </is>
      </c>
      <c r="Q58" s="138" t="str"/>
      <c r="R58" s="138">
        <f>LOWER(TRIM(C58)&amp;"|"&amp;TRIM(D58)&amp;"|"&amp;TRIM(E58)&amp;"|"&amp;TRIM(F58)&amp;"|"&amp;TRIM(H58)&amp;"|"&amp;TRIM(I58))</f>
        <v/>
      </c>
      <c r="S58" s="138">
        <f>IF(COUNTIF($R$6:$R$280,R58)&gt;1,"重复","唯一")</f>
        <v/>
      </c>
      <c r="T58" s="138" t="str"/>
      <c r="U58" s="138" t="inlineStr">
        <is>
          <t>待分配</t>
        </is>
      </c>
      <c r="V58" s="303" t="n">
        <v>46224</v>
      </c>
      <c r="W58" s="138" t="inlineStr">
        <is>
          <t>原创/待确认</t>
        </is>
      </c>
      <c r="X58" s="138" t="inlineStr">
        <is>
          <t>只登记房间独有件；地板墙体引用 biome kit</t>
        </is>
      </c>
    </row>
    <row r="59">
      <c r="A59" s="138" t="inlineStr">
        <is>
          <t>ENV-ROOM-BOSS-DRESSING</t>
        </is>
      </c>
      <c r="B59" s="138" t="inlineStr">
        <is>
          <t>boss 房间陈设包</t>
        </is>
      </c>
      <c r="C59" s="138" t="inlineStr">
        <is>
          <t>场景</t>
        </is>
      </c>
      <c r="D59" s="138" t="inlineStr">
        <is>
          <t>room_dressing</t>
        </is>
      </c>
      <c r="E59" s="138" t="inlineStr">
        <is>
          <t>room_boss</t>
        </is>
      </c>
      <c r="F59" s="138" t="inlineStr">
        <is>
          <t>root</t>
        </is>
      </c>
      <c r="G59" s="138" t="str"/>
      <c r="H59" s="138" t="inlineStr">
        <is>
          <t>顶视</t>
        </is>
      </c>
      <c r="I59" s="138" t="inlineStr">
        <is>
          <t>default</t>
        </is>
      </c>
      <c r="J59" s="138" t="inlineStr">
        <is>
          <t>跨楼层配色变体</t>
        </is>
      </c>
      <c r="K59" s="138" t="inlineStr">
        <is>
          <t>程序占位</t>
        </is>
      </c>
      <c r="L59" s="138" t="inlineStr">
        <is>
          <t>P1</t>
        </is>
      </c>
      <c r="M59" s="138" t="inlineStr">
        <is>
          <t>v001</t>
        </is>
      </c>
      <c r="N59" s="138" t="inlineStr">
        <is>
          <t>64 px 网格</t>
        </is>
      </c>
      <c r="O59" s="138" t="str"/>
      <c r="P59" s="138" t="inlineStr">
        <is>
          <t>scenes/RoomBoss.tscn</t>
        </is>
      </c>
      <c r="Q59" s="138" t="str"/>
      <c r="R59" s="138">
        <f>LOWER(TRIM(C59)&amp;"|"&amp;TRIM(D59)&amp;"|"&amp;TRIM(E59)&amp;"|"&amp;TRIM(F59)&amp;"|"&amp;TRIM(H59)&amp;"|"&amp;TRIM(I59))</f>
        <v/>
      </c>
      <c r="S59" s="138">
        <f>IF(COUNTIF($R$6:$R$280,R59)&gt;1,"重复","唯一")</f>
        <v/>
      </c>
      <c r="T59" s="138" t="str"/>
      <c r="U59" s="138" t="inlineStr">
        <is>
          <t>待分配</t>
        </is>
      </c>
      <c r="V59" s="303" t="n">
        <v>46224</v>
      </c>
      <c r="W59" s="138" t="inlineStr">
        <is>
          <t>原创/待确认</t>
        </is>
      </c>
      <c r="X59" s="138" t="inlineStr">
        <is>
          <t>只登记房间独有件；地板墙体引用 biome kit</t>
        </is>
      </c>
    </row>
    <row r="60">
      <c r="A60" s="138" t="inlineStr">
        <is>
          <t>ENV-ROOM-EVENT-DRESSING</t>
        </is>
      </c>
      <c r="B60" s="138" t="inlineStr">
        <is>
          <t>event 房间陈设包</t>
        </is>
      </c>
      <c r="C60" s="138" t="inlineStr">
        <is>
          <t>场景</t>
        </is>
      </c>
      <c r="D60" s="138" t="inlineStr">
        <is>
          <t>room_dressing</t>
        </is>
      </c>
      <c r="E60" s="138" t="inlineStr">
        <is>
          <t>room_event</t>
        </is>
      </c>
      <c r="F60" s="138" t="inlineStr">
        <is>
          <t>root</t>
        </is>
      </c>
      <c r="G60" s="138" t="str"/>
      <c r="H60" s="138" t="inlineStr">
        <is>
          <t>顶视</t>
        </is>
      </c>
      <c r="I60" s="138" t="inlineStr">
        <is>
          <t>default</t>
        </is>
      </c>
      <c r="J60" s="138" t="inlineStr">
        <is>
          <t>跨楼层配色变体</t>
        </is>
      </c>
      <c r="K60" s="138" t="inlineStr">
        <is>
          <t>程序占位</t>
        </is>
      </c>
      <c r="L60" s="138" t="inlineStr">
        <is>
          <t>P2</t>
        </is>
      </c>
      <c r="M60" s="138" t="inlineStr">
        <is>
          <t>v001</t>
        </is>
      </c>
      <c r="N60" s="138" t="inlineStr">
        <is>
          <t>64 px 网格</t>
        </is>
      </c>
      <c r="O60" s="138" t="str"/>
      <c r="P60" s="138" t="inlineStr">
        <is>
          <t>scenes/RoomEvent.tscn</t>
        </is>
      </c>
      <c r="Q60" s="138" t="str"/>
      <c r="R60" s="138">
        <f>LOWER(TRIM(C60)&amp;"|"&amp;TRIM(D60)&amp;"|"&amp;TRIM(E60)&amp;"|"&amp;TRIM(F60)&amp;"|"&amp;TRIM(H60)&amp;"|"&amp;TRIM(I60))</f>
        <v/>
      </c>
      <c r="S60" s="138">
        <f>IF(COUNTIF($R$6:$R$280,R60)&gt;1,"重复","唯一")</f>
        <v/>
      </c>
      <c r="T60" s="138" t="str"/>
      <c r="U60" s="138" t="inlineStr">
        <is>
          <t>待分配</t>
        </is>
      </c>
      <c r="V60" s="303" t="n">
        <v>46224</v>
      </c>
      <c r="W60" s="138" t="inlineStr">
        <is>
          <t>原创/待确认</t>
        </is>
      </c>
      <c r="X60" s="138" t="inlineStr">
        <is>
          <t>只登记房间独有件；地板墙体引用 biome kit</t>
        </is>
      </c>
    </row>
    <row r="61">
      <c r="A61" s="138" t="inlineStr">
        <is>
          <t>ENV-ROOM-EXTRACTION-DRESSING</t>
        </is>
      </c>
      <c r="B61" s="138" t="inlineStr">
        <is>
          <t>extraction 房间陈设包</t>
        </is>
      </c>
      <c r="C61" s="138" t="inlineStr">
        <is>
          <t>场景</t>
        </is>
      </c>
      <c r="D61" s="138" t="inlineStr">
        <is>
          <t>room_dressing</t>
        </is>
      </c>
      <c r="E61" s="138" t="inlineStr">
        <is>
          <t>room_extraction</t>
        </is>
      </c>
      <c r="F61" s="138" t="inlineStr">
        <is>
          <t>root</t>
        </is>
      </c>
      <c r="G61" s="138" t="str"/>
      <c r="H61" s="138" t="inlineStr">
        <is>
          <t>顶视</t>
        </is>
      </c>
      <c r="I61" s="138" t="inlineStr">
        <is>
          <t>default</t>
        </is>
      </c>
      <c r="J61" s="138" t="inlineStr">
        <is>
          <t>跨楼层配色变体</t>
        </is>
      </c>
      <c r="K61" s="138" t="inlineStr">
        <is>
          <t>程序占位</t>
        </is>
      </c>
      <c r="L61" s="138" t="inlineStr">
        <is>
          <t>P1</t>
        </is>
      </c>
      <c r="M61" s="138" t="inlineStr">
        <is>
          <t>v001</t>
        </is>
      </c>
      <c r="N61" s="138" t="inlineStr">
        <is>
          <t>64 px 网格</t>
        </is>
      </c>
      <c r="O61" s="138" t="str"/>
      <c r="P61" s="138" t="inlineStr">
        <is>
          <t>scenes/RoomExtraction.tscn</t>
        </is>
      </c>
      <c r="Q61" s="138" t="str"/>
      <c r="R61" s="138">
        <f>LOWER(TRIM(C61)&amp;"|"&amp;TRIM(D61)&amp;"|"&amp;TRIM(E61)&amp;"|"&amp;TRIM(F61)&amp;"|"&amp;TRIM(H61)&amp;"|"&amp;TRIM(I61))</f>
        <v/>
      </c>
      <c r="S61" s="138">
        <f>IF(COUNTIF($R$6:$R$280,R61)&gt;1,"重复","唯一")</f>
        <v/>
      </c>
      <c r="T61" s="138" t="str"/>
      <c r="U61" s="138" t="inlineStr">
        <is>
          <t>待分配</t>
        </is>
      </c>
      <c r="V61" s="303" t="n">
        <v>46224</v>
      </c>
      <c r="W61" s="138" t="inlineStr">
        <is>
          <t>原创/待确认</t>
        </is>
      </c>
      <c r="X61" s="138" t="inlineStr">
        <is>
          <t>只登记房间独有件；地板墙体引用 biome kit</t>
        </is>
      </c>
    </row>
    <row r="62">
      <c r="A62" s="138" t="inlineStr">
        <is>
          <t>ENV-ROOM-MERCHANT-DRESSING</t>
        </is>
      </c>
      <c r="B62" s="138" t="inlineStr">
        <is>
          <t>merchant 房间陈设包</t>
        </is>
      </c>
      <c r="C62" s="138" t="inlineStr">
        <is>
          <t>场景</t>
        </is>
      </c>
      <c r="D62" s="138" t="inlineStr">
        <is>
          <t>room_dressing</t>
        </is>
      </c>
      <c r="E62" s="138" t="inlineStr">
        <is>
          <t>room_merchant</t>
        </is>
      </c>
      <c r="F62" s="138" t="inlineStr">
        <is>
          <t>root</t>
        </is>
      </c>
      <c r="G62" s="138" t="str"/>
      <c r="H62" s="138" t="inlineStr">
        <is>
          <t>顶视</t>
        </is>
      </c>
      <c r="I62" s="138" t="inlineStr">
        <is>
          <t>default</t>
        </is>
      </c>
      <c r="J62" s="138" t="inlineStr">
        <is>
          <t>跨楼层配色变体</t>
        </is>
      </c>
      <c r="K62" s="138" t="inlineStr">
        <is>
          <t>程序占位</t>
        </is>
      </c>
      <c r="L62" s="138" t="inlineStr">
        <is>
          <t>P2</t>
        </is>
      </c>
      <c r="M62" s="138" t="inlineStr">
        <is>
          <t>v001</t>
        </is>
      </c>
      <c r="N62" s="138" t="inlineStr">
        <is>
          <t>64 px 网格</t>
        </is>
      </c>
      <c r="O62" s="138" t="str"/>
      <c r="P62" s="138" t="inlineStr">
        <is>
          <t>scenes/RoomMerchant.tscn</t>
        </is>
      </c>
      <c r="Q62" s="138" t="str"/>
      <c r="R62" s="138">
        <f>LOWER(TRIM(C62)&amp;"|"&amp;TRIM(D62)&amp;"|"&amp;TRIM(E62)&amp;"|"&amp;TRIM(F62)&amp;"|"&amp;TRIM(H62)&amp;"|"&amp;TRIM(I62))</f>
        <v/>
      </c>
      <c r="S62" s="138">
        <f>IF(COUNTIF($R$6:$R$280,R62)&gt;1,"重复","唯一")</f>
        <v/>
      </c>
      <c r="T62" s="138" t="str"/>
      <c r="U62" s="138" t="inlineStr">
        <is>
          <t>待分配</t>
        </is>
      </c>
      <c r="V62" s="303" t="n">
        <v>46224</v>
      </c>
      <c r="W62" s="138" t="inlineStr">
        <is>
          <t>原创/待确认</t>
        </is>
      </c>
      <c r="X62" s="138" t="inlineStr">
        <is>
          <t>只登记房间独有件；地板墙体引用 biome kit</t>
        </is>
      </c>
    </row>
    <row r="63">
      <c r="A63" s="138" t="inlineStr">
        <is>
          <t>ENV-ROOM-SCAVENGE-DRESSING</t>
        </is>
      </c>
      <c r="B63" s="138" t="inlineStr">
        <is>
          <t>scavenge 房间陈设包</t>
        </is>
      </c>
      <c r="C63" s="138" t="inlineStr">
        <is>
          <t>场景</t>
        </is>
      </c>
      <c r="D63" s="138" t="inlineStr">
        <is>
          <t>room_dressing</t>
        </is>
      </c>
      <c r="E63" s="138" t="inlineStr">
        <is>
          <t>room_scavenge</t>
        </is>
      </c>
      <c r="F63" s="138" t="inlineStr">
        <is>
          <t>root</t>
        </is>
      </c>
      <c r="G63" s="138" t="str"/>
      <c r="H63" s="138" t="inlineStr">
        <is>
          <t>顶视</t>
        </is>
      </c>
      <c r="I63" s="138" t="inlineStr">
        <is>
          <t>default</t>
        </is>
      </c>
      <c r="J63" s="138" t="inlineStr">
        <is>
          <t>跨楼层配色变体</t>
        </is>
      </c>
      <c r="K63" s="138" t="inlineStr">
        <is>
          <t>程序占位</t>
        </is>
      </c>
      <c r="L63" s="138" t="inlineStr">
        <is>
          <t>P2</t>
        </is>
      </c>
      <c r="M63" s="138" t="inlineStr">
        <is>
          <t>v001</t>
        </is>
      </c>
      <c r="N63" s="138" t="inlineStr">
        <is>
          <t>64 px 网格</t>
        </is>
      </c>
      <c r="O63" s="138" t="str"/>
      <c r="P63" s="138" t="inlineStr">
        <is>
          <t>scenes/RoomScavenge.tscn</t>
        </is>
      </c>
      <c r="Q63" s="138" t="str"/>
      <c r="R63" s="138">
        <f>LOWER(TRIM(C63)&amp;"|"&amp;TRIM(D63)&amp;"|"&amp;TRIM(E63)&amp;"|"&amp;TRIM(F63)&amp;"|"&amp;TRIM(H63)&amp;"|"&amp;TRIM(I63))</f>
        <v/>
      </c>
      <c r="S63" s="138">
        <f>IF(COUNTIF($R$6:$R$280,R63)&gt;1,"重复","唯一")</f>
        <v/>
      </c>
      <c r="T63" s="138" t="str"/>
      <c r="U63" s="138" t="inlineStr">
        <is>
          <t>待分配</t>
        </is>
      </c>
      <c r="V63" s="303" t="n">
        <v>46224</v>
      </c>
      <c r="W63" s="138" t="inlineStr">
        <is>
          <t>原创/待确认</t>
        </is>
      </c>
      <c r="X63" s="138" t="inlineStr">
        <is>
          <t>只登记房间独有件；地板墙体引用 biome kit</t>
        </is>
      </c>
    </row>
    <row r="64">
      <c r="A64" s="138" t="inlineStr">
        <is>
          <t>ENV-ROOM-STORAGE-DRESSING</t>
        </is>
      </c>
      <c r="B64" s="138" t="inlineStr">
        <is>
          <t>storage 房间陈设包</t>
        </is>
      </c>
      <c r="C64" s="138" t="inlineStr">
        <is>
          <t>场景</t>
        </is>
      </c>
      <c r="D64" s="138" t="inlineStr">
        <is>
          <t>room_dressing</t>
        </is>
      </c>
      <c r="E64" s="138" t="inlineStr">
        <is>
          <t>room_storage</t>
        </is>
      </c>
      <c r="F64" s="138" t="inlineStr">
        <is>
          <t>root</t>
        </is>
      </c>
      <c r="G64" s="138" t="str"/>
      <c r="H64" s="138" t="inlineStr">
        <is>
          <t>顶视</t>
        </is>
      </c>
      <c r="I64" s="138" t="inlineStr">
        <is>
          <t>default</t>
        </is>
      </c>
      <c r="J64" s="138" t="inlineStr">
        <is>
          <t>跨楼层配色变体</t>
        </is>
      </c>
      <c r="K64" s="138" t="inlineStr">
        <is>
          <t>程序占位</t>
        </is>
      </c>
      <c r="L64" s="138" t="inlineStr">
        <is>
          <t>P2</t>
        </is>
      </c>
      <c r="M64" s="138" t="inlineStr">
        <is>
          <t>v001</t>
        </is>
      </c>
      <c r="N64" s="138" t="inlineStr">
        <is>
          <t>64 px 网格</t>
        </is>
      </c>
      <c r="O64" s="138" t="str"/>
      <c r="P64" s="138" t="inlineStr">
        <is>
          <t>scenes/RoomStorage.tscn</t>
        </is>
      </c>
      <c r="Q64" s="138" t="str"/>
      <c r="R64" s="138">
        <f>LOWER(TRIM(C64)&amp;"|"&amp;TRIM(D64)&amp;"|"&amp;TRIM(E64)&amp;"|"&amp;TRIM(F64)&amp;"|"&amp;TRIM(H64)&amp;"|"&amp;TRIM(I64))</f>
        <v/>
      </c>
      <c r="S64" s="138">
        <f>IF(COUNTIF($R$6:$R$280,R64)&gt;1,"重复","唯一")</f>
        <v/>
      </c>
      <c r="T64" s="138" t="str"/>
      <c r="U64" s="138" t="inlineStr">
        <is>
          <t>待分配</t>
        </is>
      </c>
      <c r="V64" s="303" t="n">
        <v>46224</v>
      </c>
      <c r="W64" s="138" t="inlineStr">
        <is>
          <t>原创/待确认</t>
        </is>
      </c>
      <c r="X64" s="138" t="inlineStr">
        <is>
          <t>只登记房间独有件；地板墙体引用 biome kit</t>
        </is>
      </c>
    </row>
    <row r="65">
      <c r="A65" s="138" t="inlineStr">
        <is>
          <t>ENV-ROOM-TRAP-DRESSING</t>
        </is>
      </c>
      <c r="B65" s="138" t="inlineStr">
        <is>
          <t>trap 房间陈设包</t>
        </is>
      </c>
      <c r="C65" s="138" t="inlineStr">
        <is>
          <t>场景</t>
        </is>
      </c>
      <c r="D65" s="138" t="inlineStr">
        <is>
          <t>room_dressing</t>
        </is>
      </c>
      <c r="E65" s="138" t="inlineStr">
        <is>
          <t>room_trap</t>
        </is>
      </c>
      <c r="F65" s="138" t="inlineStr">
        <is>
          <t>root</t>
        </is>
      </c>
      <c r="G65" s="138" t="str"/>
      <c r="H65" s="138" t="inlineStr">
        <is>
          <t>顶视</t>
        </is>
      </c>
      <c r="I65" s="138" t="inlineStr">
        <is>
          <t>default</t>
        </is>
      </c>
      <c r="J65" s="138" t="inlineStr">
        <is>
          <t>跨楼层配色变体</t>
        </is>
      </c>
      <c r="K65" s="138" t="inlineStr">
        <is>
          <t>程序占位</t>
        </is>
      </c>
      <c r="L65" s="138" t="inlineStr">
        <is>
          <t>P2</t>
        </is>
      </c>
      <c r="M65" s="138" t="inlineStr">
        <is>
          <t>v001</t>
        </is>
      </c>
      <c r="N65" s="138" t="inlineStr">
        <is>
          <t>64 px 网格</t>
        </is>
      </c>
      <c r="O65" s="138" t="str"/>
      <c r="P65" s="138" t="inlineStr">
        <is>
          <t>scenes/RoomTrap.tscn</t>
        </is>
      </c>
      <c r="Q65" s="138" t="str"/>
      <c r="R65" s="138">
        <f>LOWER(TRIM(C65)&amp;"|"&amp;TRIM(D65)&amp;"|"&amp;TRIM(E65)&amp;"|"&amp;TRIM(F65)&amp;"|"&amp;TRIM(H65)&amp;"|"&amp;TRIM(I65))</f>
        <v/>
      </c>
      <c r="S65" s="138">
        <f>IF(COUNTIF($R$6:$R$280,R65)&gt;1,"重复","唯一")</f>
        <v/>
      </c>
      <c r="T65" s="138" t="str"/>
      <c r="U65" s="138" t="inlineStr">
        <is>
          <t>待分配</t>
        </is>
      </c>
      <c r="V65" s="303" t="n">
        <v>46224</v>
      </c>
      <c r="W65" s="138" t="inlineStr">
        <is>
          <t>原创/待确认</t>
        </is>
      </c>
      <c r="X65" s="138" t="inlineStr">
        <is>
          <t>只登记房间独有件；地板墙体引用 biome kit</t>
        </is>
      </c>
    </row>
    <row r="66">
      <c r="A66" s="138" t="inlineStr">
        <is>
          <t>ENV-ROOM-UPGRADE-DRESSING</t>
        </is>
      </c>
      <c r="B66" s="138" t="inlineStr">
        <is>
          <t>upgrade 房间陈设包</t>
        </is>
      </c>
      <c r="C66" s="138" t="inlineStr">
        <is>
          <t>场景</t>
        </is>
      </c>
      <c r="D66" s="138" t="inlineStr">
        <is>
          <t>room_dressing</t>
        </is>
      </c>
      <c r="E66" s="138" t="inlineStr">
        <is>
          <t>room_upgrade</t>
        </is>
      </c>
      <c r="F66" s="138" t="inlineStr">
        <is>
          <t>root</t>
        </is>
      </c>
      <c r="G66" s="138" t="str"/>
      <c r="H66" s="138" t="inlineStr">
        <is>
          <t>顶视</t>
        </is>
      </c>
      <c r="I66" s="138" t="inlineStr">
        <is>
          <t>default</t>
        </is>
      </c>
      <c r="J66" s="138" t="inlineStr">
        <is>
          <t>跨楼层配色变体</t>
        </is>
      </c>
      <c r="K66" s="138" t="inlineStr">
        <is>
          <t>程序占位</t>
        </is>
      </c>
      <c r="L66" s="138" t="inlineStr">
        <is>
          <t>P2</t>
        </is>
      </c>
      <c r="M66" s="138" t="inlineStr">
        <is>
          <t>v001</t>
        </is>
      </c>
      <c r="N66" s="138" t="inlineStr">
        <is>
          <t>64 px 网格</t>
        </is>
      </c>
      <c r="O66" s="138" t="str"/>
      <c r="P66" s="138" t="inlineStr">
        <is>
          <t>scenes/RoomUpgrade.tscn</t>
        </is>
      </c>
      <c r="Q66" s="138" t="str"/>
      <c r="R66" s="138">
        <f>LOWER(TRIM(C66)&amp;"|"&amp;TRIM(D66)&amp;"|"&amp;TRIM(E66)&amp;"|"&amp;TRIM(F66)&amp;"|"&amp;TRIM(H66)&amp;"|"&amp;TRIM(I66))</f>
        <v/>
      </c>
      <c r="S66" s="138">
        <f>IF(COUNTIF($R$6:$R$280,R66)&gt;1,"重复","唯一")</f>
        <v/>
      </c>
      <c r="T66" s="138" t="str"/>
      <c r="U66" s="138" t="inlineStr">
        <is>
          <t>待分配</t>
        </is>
      </c>
      <c r="V66" s="303" t="n">
        <v>46224</v>
      </c>
      <c r="W66" s="138" t="inlineStr">
        <is>
          <t>原创/待确认</t>
        </is>
      </c>
      <c r="X66" s="138" t="inlineStr">
        <is>
          <t>只登记房间独有件；地板墙体引用 biome kit</t>
        </is>
      </c>
    </row>
    <row r="67">
      <c r="A67" s="138" t="inlineStr">
        <is>
          <t>ENV-ROOM-SPAWN-DRESSING</t>
        </is>
      </c>
      <c r="B67" s="138" t="inlineStr">
        <is>
          <t>spawn 房间陈设包</t>
        </is>
      </c>
      <c r="C67" s="138" t="inlineStr">
        <is>
          <t>场景</t>
        </is>
      </c>
      <c r="D67" s="138" t="inlineStr">
        <is>
          <t>room_dressing</t>
        </is>
      </c>
      <c r="E67" s="138" t="inlineStr">
        <is>
          <t>room_spawn</t>
        </is>
      </c>
      <c r="F67" s="138" t="inlineStr">
        <is>
          <t>root</t>
        </is>
      </c>
      <c r="G67" s="138" t="str"/>
      <c r="H67" s="138" t="inlineStr">
        <is>
          <t>顶视</t>
        </is>
      </c>
      <c r="I67" s="138" t="inlineStr">
        <is>
          <t>default</t>
        </is>
      </c>
      <c r="J67" s="138" t="inlineStr">
        <is>
          <t>跨楼层配色变体</t>
        </is>
      </c>
      <c r="K67" s="138" t="inlineStr">
        <is>
          <t>程序占位</t>
        </is>
      </c>
      <c r="L67" s="138" t="inlineStr">
        <is>
          <t>P2</t>
        </is>
      </c>
      <c r="M67" s="138" t="inlineStr">
        <is>
          <t>v001</t>
        </is>
      </c>
      <c r="N67" s="138" t="inlineStr">
        <is>
          <t>64 px 网格</t>
        </is>
      </c>
      <c r="O67" s="138" t="str"/>
      <c r="P67" s="138" t="inlineStr">
        <is>
          <t>scenes/RoomSpawn.tscn</t>
        </is>
      </c>
      <c r="Q67" s="138" t="str"/>
      <c r="R67" s="138">
        <f>LOWER(TRIM(C67)&amp;"|"&amp;TRIM(D67)&amp;"|"&amp;TRIM(E67)&amp;"|"&amp;TRIM(F67)&amp;"|"&amp;TRIM(H67)&amp;"|"&amp;TRIM(I67))</f>
        <v/>
      </c>
      <c r="S67" s="138">
        <f>IF(COUNTIF($R$6:$R$280,R67)&gt;1,"重复","唯一")</f>
        <v/>
      </c>
      <c r="T67" s="138" t="str"/>
      <c r="U67" s="138" t="inlineStr">
        <is>
          <t>待分配</t>
        </is>
      </c>
      <c r="V67" s="303" t="n">
        <v>46224</v>
      </c>
      <c r="W67" s="138" t="inlineStr">
        <is>
          <t>原创/待确认</t>
        </is>
      </c>
      <c r="X67" s="138" t="inlineStr">
        <is>
          <t>只登记房间独有件；地板墙体引用 biome kit</t>
        </is>
      </c>
    </row>
    <row r="68">
      <c r="A68" s="138" t="inlineStr">
        <is>
          <t>ENV-ROOM-STAIRS-DRESSING</t>
        </is>
      </c>
      <c r="B68" s="138" t="inlineStr">
        <is>
          <t>stairs 房间陈设包</t>
        </is>
      </c>
      <c r="C68" s="138" t="inlineStr">
        <is>
          <t>场景</t>
        </is>
      </c>
      <c r="D68" s="138" t="inlineStr">
        <is>
          <t>room_dressing</t>
        </is>
      </c>
      <c r="E68" s="138" t="inlineStr">
        <is>
          <t>room_stairs</t>
        </is>
      </c>
      <c r="F68" s="138" t="inlineStr">
        <is>
          <t>root</t>
        </is>
      </c>
      <c r="G68" s="138" t="str"/>
      <c r="H68" s="138" t="inlineStr">
        <is>
          <t>顶视</t>
        </is>
      </c>
      <c r="I68" s="138" t="inlineStr">
        <is>
          <t>default</t>
        </is>
      </c>
      <c r="J68" s="138" t="inlineStr">
        <is>
          <t>跨楼层配色变体</t>
        </is>
      </c>
      <c r="K68" s="138" t="inlineStr">
        <is>
          <t>程序占位</t>
        </is>
      </c>
      <c r="L68" s="138" t="inlineStr">
        <is>
          <t>P2</t>
        </is>
      </c>
      <c r="M68" s="138" t="inlineStr">
        <is>
          <t>v001</t>
        </is>
      </c>
      <c r="N68" s="138" t="inlineStr">
        <is>
          <t>64 px 网格</t>
        </is>
      </c>
      <c r="O68" s="138" t="str"/>
      <c r="P68" s="138" t="inlineStr">
        <is>
          <t>scenes/RoomStairs.tscn</t>
        </is>
      </c>
      <c r="Q68" s="138" t="str"/>
      <c r="R68" s="138">
        <f>LOWER(TRIM(C68)&amp;"|"&amp;TRIM(D68)&amp;"|"&amp;TRIM(E68)&amp;"|"&amp;TRIM(F68)&amp;"|"&amp;TRIM(H68)&amp;"|"&amp;TRIM(I68))</f>
        <v/>
      </c>
      <c r="S68" s="138">
        <f>IF(COUNTIF($R$6:$R$280,R68)&gt;1,"重复","唯一")</f>
        <v/>
      </c>
      <c r="T68" s="138" t="str"/>
      <c r="U68" s="138" t="inlineStr">
        <is>
          <t>待分配</t>
        </is>
      </c>
      <c r="V68" s="303" t="n">
        <v>46224</v>
      </c>
      <c r="W68" s="138" t="inlineStr">
        <is>
          <t>原创/待确认</t>
        </is>
      </c>
      <c r="X68" s="138" t="inlineStr">
        <is>
          <t>只登记房间独有件；地板墙体引用 biome kit</t>
        </is>
      </c>
    </row>
    <row r="69">
      <c r="A69" s="138" t="inlineStr">
        <is>
          <t>PRP-BASE-BRIEFING</t>
        </is>
      </c>
      <c r="B69" s="138" t="inlineStr">
        <is>
          <t>远征情报终端 / 战术情报指挥桌</t>
        </is>
      </c>
      <c r="C69" s="138" t="inlineStr">
        <is>
          <t>3D道具</t>
        </is>
      </c>
      <c r="D69" s="138" t="inlineStr">
        <is>
          <t>base_facility</t>
        </is>
      </c>
      <c r="E69" s="138" t="inlineStr">
        <is>
          <t>mission_operations</t>
        </is>
      </c>
      <c r="F69" s="138" t="inlineStr">
        <is>
          <t>root</t>
        </is>
      </c>
      <c r="G69" s="138" t="str"/>
      <c r="H69" s="138" t="inlineStr">
        <is>
          <t>Top3D / local -Z 正面</t>
        </is>
      </c>
      <c r="I69" s="138" t="inlineStr">
        <is>
          <t>default / 独立交互场景</t>
        </is>
      </c>
      <c r="J69" s="138" t="inlineStr">
        <is>
          <t>BaseWorld3D/TowerDescent99F</t>
        </is>
      </c>
      <c r="K69" s="138" t="inlineStr">
        <is>
          <t>正式美术已接入</t>
        </is>
      </c>
      <c r="L69" s="138" t="inlineStr">
        <is>
          <t>P1</t>
        </is>
      </c>
      <c r="M69" s="138" t="inlineStr">
        <is>
          <t>v003</t>
        </is>
      </c>
      <c r="N69" s="138" t="inlineStr">
        <is>
          <t>4材质；主体/自发光分离；独立GLB/PackedScene</t>
        </is>
      </c>
      <c r="O69" s="138" t="inlineStr">
        <is>
          <t>assets/art/props/base_world_3d/runtime/mission_operations/prp_base_mission_operations_root_top3d_v001.tscn</t>
        </is>
      </c>
      <c r="P69" s="138" t="inlineStr">
        <is>
          <t>assets/art/props/base_world_3d/source/mission_operations/prp_base_mission_operations_source_v003.blend; src/base3d/BaseFacility3D.gd; src/world3d/TowerDescent3D.gd</t>
        </is>
      </c>
      <c r="Q69" s="138" t="inlineStr">
        <is>
          <t>mission_operations; 战术情报指挥桌; 基地设施; 多巴胺配色; 自发光分离</t>
        </is>
      </c>
      <c r="R69" s="138">
        <f>LOWER(TRIM(C69)&amp;"|"&amp;TRIM(D69)&amp;"|"&amp;TRIM(E69)&amp;"|"&amp;TRIM(F69)&amp;"|"&amp;TRIM(H69)&amp;"|"&amp;TRIM(I69))</f>
        <v/>
      </c>
      <c r="S69" s="138">
        <f>IF(COUNTIF($R$6:$R$280,R69)&gt;1,"重复","唯一")</f>
        <v/>
      </c>
      <c r="T69" s="138" t="inlineStr">
        <is>
          <t>6463ac9d2ebefa311f232a487760ff2eaa2e9cd456e6160d4092684dbf2eaaad</t>
        </is>
      </c>
      <c r="U69" s="138" t="inlineStr">
        <is>
          <t>Codex</t>
        </is>
      </c>
      <c r="V69" s="303" t="n">
        <v>46244</v>
      </c>
      <c r="W69" s="138" t="inlineStr">
        <is>
          <t>用户自制Blender资产</t>
        </is>
      </c>
      <c r="X69" s="138" t="inlineStr">
        <is>
          <t>正式模型替换程序占位；保留稳定facility_id和交互协议。</t>
        </is>
      </c>
    </row>
    <row r="70">
      <c r="A70" s="138" t="inlineStr">
        <is>
          <t>PRP-BASE-WORKSHOP</t>
        </is>
      </c>
      <c r="B70" s="138" t="inlineStr">
        <is>
          <t>枪械工坊 / 赛博维修工作台</t>
        </is>
      </c>
      <c r="C70" s="138" t="inlineStr">
        <is>
          <t>3D道具</t>
        </is>
      </c>
      <c r="D70" s="138" t="inlineStr">
        <is>
          <t>base_facility</t>
        </is>
      </c>
      <c r="E70" s="138" t="inlineStr">
        <is>
          <t>weapon_workshop</t>
        </is>
      </c>
      <c r="F70" s="138" t="inlineStr">
        <is>
          <t>root</t>
        </is>
      </c>
      <c r="G70" s="138" t="str"/>
      <c r="H70" s="138" t="inlineStr">
        <is>
          <t>Top3D / local -Z 正面</t>
        </is>
      </c>
      <c r="I70" s="138" t="inlineStr">
        <is>
          <t>default / 独立交互场景</t>
        </is>
      </c>
      <c r="J70" s="138" t="inlineStr">
        <is>
          <t>BaseWorld3D/TowerDescent99F</t>
        </is>
      </c>
      <c r="K70" s="138" t="inlineStr">
        <is>
          <t>正式美术已接入</t>
        </is>
      </c>
      <c r="L70" s="138" t="inlineStr">
        <is>
          <t>P1</t>
        </is>
      </c>
      <c r="M70" s="138" t="inlineStr">
        <is>
          <t>v003</t>
        </is>
      </c>
      <c r="N70" s="138" t="inlineStr">
        <is>
          <t>4材质；主体/自发光分离；独立GLB/PackedScene</t>
        </is>
      </c>
      <c r="O70" s="138" t="inlineStr">
        <is>
          <t>assets/art/props/base_world_3d/runtime/weapon_workshop/prp_base_weapon_workshop_root_top3d_v001.tscn</t>
        </is>
      </c>
      <c r="P70" s="138" t="inlineStr">
        <is>
          <t>assets/art/props/base_world_3d/source/weapon_workshop/prp_base_weapon_workshop_source_v003.blend; src/base3d/BaseFacility3D.gd; src/world3d/TowerDescent3D.gd</t>
        </is>
      </c>
      <c r="Q70" s="138" t="inlineStr">
        <is>
          <t>weapon_workshop; 赛博维修工作台; 基地设施; 多巴胺配色; 自发光分离</t>
        </is>
      </c>
      <c r="R70" s="138">
        <f>LOWER(TRIM(C70)&amp;"|"&amp;TRIM(D70)&amp;"|"&amp;TRIM(E70)&amp;"|"&amp;TRIM(F70)&amp;"|"&amp;TRIM(H70)&amp;"|"&amp;TRIM(I70))</f>
        <v/>
      </c>
      <c r="S70" s="138">
        <f>IF(COUNTIF($R$6:$R$280,R70)&gt;1,"重复","唯一")</f>
        <v/>
      </c>
      <c r="T70" s="138" t="inlineStr">
        <is>
          <t>0bf7bd460082e8137587fe3b5dc8c2685fbbdf24a811c105d693601de73d4fd5</t>
        </is>
      </c>
      <c r="U70" s="138" t="inlineStr">
        <is>
          <t>Codex</t>
        </is>
      </c>
      <c r="V70" s="303" t="n">
        <v>46244</v>
      </c>
      <c r="W70" s="138" t="inlineStr">
        <is>
          <t>用户自制Blender资产</t>
        </is>
      </c>
      <c r="X70" s="138" t="inlineStr">
        <is>
          <t>正式模型替换程序占位；保留稳定facility_id和交互协议。</t>
        </is>
      </c>
    </row>
    <row r="71">
      <c r="A71" s="138" t="inlineStr">
        <is>
          <t>PRP-BASE-DIVINATION</t>
        </is>
      </c>
      <c r="B71" s="138" t="inlineStr">
        <is>
          <t>命运占卜屋</t>
        </is>
      </c>
      <c r="C71" s="138" t="inlineStr">
        <is>
          <t>场景道具</t>
        </is>
      </c>
      <c r="D71" s="138" t="inlineStr">
        <is>
          <t>facility</t>
        </is>
      </c>
      <c r="E71" s="138" t="inlineStr">
        <is>
          <t>base_divination</t>
        </is>
      </c>
      <c r="F71" s="138" t="inlineStr">
        <is>
          <t>root</t>
        </is>
      </c>
      <c r="G71" s="138" t="str"/>
      <c r="H71" s="138" t="inlineStr">
        <is>
          <t>顶视</t>
        </is>
      </c>
      <c r="I71" s="138" t="inlineStr">
        <is>
          <t>default</t>
        </is>
      </c>
      <c r="J71" s="138" t="inlineStr">
        <is>
          <t>基地/房间</t>
        </is>
      </c>
      <c r="K71" s="138" t="inlineStr">
        <is>
          <t>程序占位</t>
        </is>
      </c>
      <c r="L71" s="138" t="inlineStr">
        <is>
          <t>P1</t>
        </is>
      </c>
      <c r="M71" s="138" t="inlineStr">
        <is>
          <t>v001</t>
        </is>
      </c>
      <c r="N71" s="138" t="inlineStr">
        <is>
          <t>64 px 网格对齐</t>
        </is>
      </c>
      <c r="O71" s="138" t="str"/>
      <c r="P71" s="138" t="inlineStr">
        <is>
          <t>scenes/BaseWorld.tscn</t>
        </is>
      </c>
      <c r="Q71" s="138" t="str"/>
      <c r="R71" s="138">
        <f>LOWER(TRIM(C71)&amp;"|"&amp;TRIM(D71)&amp;"|"&amp;TRIM(E71)&amp;"|"&amp;TRIM(F71)&amp;"|"&amp;TRIM(H71)&amp;"|"&amp;TRIM(I71))</f>
        <v/>
      </c>
      <c r="S71" s="138">
        <f>IF(COUNTIF($R$6:$R$280,R71)&gt;1,"重复","唯一")</f>
        <v/>
      </c>
      <c r="T71" s="138" t="str"/>
      <c r="U71" s="138" t="inlineStr">
        <is>
          <t>待分配</t>
        </is>
      </c>
      <c r="V71" s="303" t="n">
        <v>46224</v>
      </c>
      <c r="W71" s="138" t="inlineStr">
        <is>
          <t>原创/待确认</t>
        </is>
      </c>
      <c r="X71" s="138" t="inlineStr">
        <is>
          <t>状态变体使用同一 AssetID + state，不复制新命名根</t>
        </is>
      </c>
    </row>
    <row r="72">
      <c r="A72" s="138" t="inlineStr">
        <is>
          <t>PRP-BASE-VAULT</t>
        </is>
      </c>
      <c r="B72" s="138" t="inlineStr">
        <is>
          <t>保险柜</t>
        </is>
      </c>
      <c r="C72" s="138" t="inlineStr">
        <is>
          <t>场景道具</t>
        </is>
      </c>
      <c r="D72" s="138" t="inlineStr">
        <is>
          <t>facility</t>
        </is>
      </c>
      <c r="E72" s="138" t="inlineStr">
        <is>
          <t>base_vault</t>
        </is>
      </c>
      <c r="F72" s="138" t="inlineStr">
        <is>
          <t>root</t>
        </is>
      </c>
      <c r="G72" s="138" t="str"/>
      <c r="H72" s="138" t="inlineStr">
        <is>
          <t>顶视</t>
        </is>
      </c>
      <c r="I72" s="138" t="inlineStr">
        <is>
          <t>default</t>
        </is>
      </c>
      <c r="J72" s="138" t="inlineStr">
        <is>
          <t>基地/房间</t>
        </is>
      </c>
      <c r="K72" s="138" t="inlineStr">
        <is>
          <t>程序占位</t>
        </is>
      </c>
      <c r="L72" s="138" t="inlineStr">
        <is>
          <t>P1</t>
        </is>
      </c>
      <c r="M72" s="138" t="inlineStr">
        <is>
          <t>v001</t>
        </is>
      </c>
      <c r="N72" s="138" t="inlineStr">
        <is>
          <t>64 px 网格对齐</t>
        </is>
      </c>
      <c r="O72" s="138" t="str"/>
      <c r="P72" s="138" t="inlineStr">
        <is>
          <t>scenes/BaseWorld.tscn</t>
        </is>
      </c>
      <c r="Q72" s="138" t="str"/>
      <c r="R72" s="138">
        <f>LOWER(TRIM(C72)&amp;"|"&amp;TRIM(D72)&amp;"|"&amp;TRIM(E72)&amp;"|"&amp;TRIM(F72)&amp;"|"&amp;TRIM(H72)&amp;"|"&amp;TRIM(I72))</f>
        <v/>
      </c>
      <c r="S72" s="138">
        <f>IF(COUNTIF($R$6:$R$280,R72)&gt;1,"重复","唯一")</f>
        <v/>
      </c>
      <c r="T72" s="138" t="str"/>
      <c r="U72" s="138" t="inlineStr">
        <is>
          <t>待分配</t>
        </is>
      </c>
      <c r="V72" s="303" t="n">
        <v>46224</v>
      </c>
      <c r="W72" s="138" t="inlineStr">
        <is>
          <t>原创/待确认</t>
        </is>
      </c>
      <c r="X72" s="138" t="inlineStr">
        <is>
          <t>状态变体使用同一 AssetID + state，不复制新命名根</t>
        </is>
      </c>
    </row>
    <row r="73">
      <c r="A73" s="138" t="inlineStr">
        <is>
          <t>PRP-BASE-MONSTER-ARCHIVE</t>
        </is>
      </c>
      <c r="B73" s="138" t="inlineStr">
        <is>
          <t>怪物档案室</t>
        </is>
      </c>
      <c r="C73" s="138" t="inlineStr">
        <is>
          <t>场景道具</t>
        </is>
      </c>
      <c r="D73" s="138" t="inlineStr">
        <is>
          <t>facility</t>
        </is>
      </c>
      <c r="E73" s="138" t="inlineStr">
        <is>
          <t>base_monster_archive</t>
        </is>
      </c>
      <c r="F73" s="138" t="inlineStr">
        <is>
          <t>root</t>
        </is>
      </c>
      <c r="G73" s="138" t="str"/>
      <c r="H73" s="138" t="inlineStr">
        <is>
          <t>顶视</t>
        </is>
      </c>
      <c r="I73" s="138" t="inlineStr">
        <is>
          <t>default</t>
        </is>
      </c>
      <c r="J73" s="138" t="inlineStr">
        <is>
          <t>基地/房间</t>
        </is>
      </c>
      <c r="K73" s="138" t="inlineStr">
        <is>
          <t>程序占位</t>
        </is>
      </c>
      <c r="L73" s="138" t="inlineStr">
        <is>
          <t>P1</t>
        </is>
      </c>
      <c r="M73" s="138" t="inlineStr">
        <is>
          <t>v001</t>
        </is>
      </c>
      <c r="N73" s="138" t="inlineStr">
        <is>
          <t>64 px 网格对齐</t>
        </is>
      </c>
      <c r="O73" s="138" t="str"/>
      <c r="P73" s="138" t="inlineStr">
        <is>
          <t>scenes/BaseWorld.tscn</t>
        </is>
      </c>
      <c r="Q73" s="138" t="str"/>
      <c r="R73" s="138">
        <f>LOWER(TRIM(C73)&amp;"|"&amp;TRIM(D73)&amp;"|"&amp;TRIM(E73)&amp;"|"&amp;TRIM(F73)&amp;"|"&amp;TRIM(H73)&amp;"|"&amp;TRIM(I73))</f>
        <v/>
      </c>
      <c r="S73" s="138">
        <f>IF(COUNTIF($R$6:$R$280,R73)&gt;1,"重复","唯一")</f>
        <v/>
      </c>
      <c r="T73" s="138" t="str"/>
      <c r="U73" s="138" t="inlineStr">
        <is>
          <t>待分配</t>
        </is>
      </c>
      <c r="V73" s="303" t="n">
        <v>46224</v>
      </c>
      <c r="W73" s="138" t="inlineStr">
        <is>
          <t>原创/待确认</t>
        </is>
      </c>
      <c r="X73" s="138" t="inlineStr">
        <is>
          <t>状态变体使用同一 AssetID + state，不复制新命名根</t>
        </is>
      </c>
    </row>
    <row r="74">
      <c r="A74" s="138" t="inlineStr">
        <is>
          <t>PRP-BASE-CARD-COLLECTION</t>
        </is>
      </c>
      <c r="B74" s="138" t="inlineStr">
        <is>
          <t>命运卡牌收藏室</t>
        </is>
      </c>
      <c r="C74" s="138" t="inlineStr">
        <is>
          <t>场景道具</t>
        </is>
      </c>
      <c r="D74" s="138" t="inlineStr">
        <is>
          <t>facility</t>
        </is>
      </c>
      <c r="E74" s="138" t="inlineStr">
        <is>
          <t>base_card_collection</t>
        </is>
      </c>
      <c r="F74" s="138" t="inlineStr">
        <is>
          <t>root</t>
        </is>
      </c>
      <c r="G74" s="138" t="str"/>
      <c r="H74" s="138" t="inlineStr">
        <is>
          <t>顶视</t>
        </is>
      </c>
      <c r="I74" s="138" t="inlineStr">
        <is>
          <t>default</t>
        </is>
      </c>
      <c r="J74" s="138" t="inlineStr">
        <is>
          <t>基地/房间</t>
        </is>
      </c>
      <c r="K74" s="138" t="inlineStr">
        <is>
          <t>程序占位</t>
        </is>
      </c>
      <c r="L74" s="138" t="inlineStr">
        <is>
          <t>P1</t>
        </is>
      </c>
      <c r="M74" s="138" t="inlineStr">
        <is>
          <t>v001</t>
        </is>
      </c>
      <c r="N74" s="138" t="inlineStr">
        <is>
          <t>64 px 网格对齐</t>
        </is>
      </c>
      <c r="O74" s="138" t="str"/>
      <c r="P74" s="138" t="inlineStr">
        <is>
          <t>scenes/BaseWorld.tscn</t>
        </is>
      </c>
      <c r="Q74" s="138" t="str"/>
      <c r="R74" s="138">
        <f>LOWER(TRIM(C74)&amp;"|"&amp;TRIM(D74)&amp;"|"&amp;TRIM(E74)&amp;"|"&amp;TRIM(F74)&amp;"|"&amp;TRIM(H74)&amp;"|"&amp;TRIM(I74))</f>
        <v/>
      </c>
      <c r="S74" s="138">
        <f>IF(COUNTIF($R$6:$R$280,R74)&gt;1,"重复","唯一")</f>
        <v/>
      </c>
      <c r="T74" s="138" t="str"/>
      <c r="U74" s="138" t="inlineStr">
        <is>
          <t>待分配</t>
        </is>
      </c>
      <c r="V74" s="303" t="n">
        <v>46224</v>
      </c>
      <c r="W74" s="138" t="inlineStr">
        <is>
          <t>原创/待确认</t>
        </is>
      </c>
      <c r="X74" s="138" t="inlineStr">
        <is>
          <t>状态变体使用同一 AssetID + state，不复制新命名根</t>
        </is>
      </c>
    </row>
    <row r="75">
      <c r="A75" s="138" t="inlineStr">
        <is>
          <t>PRP-BASE-TERMINAL</t>
        </is>
      </c>
      <c r="B75" s="138" t="inlineStr">
        <is>
          <t>基地管理终端</t>
        </is>
      </c>
      <c r="C75" s="138" t="inlineStr">
        <is>
          <t>场景道具</t>
        </is>
      </c>
      <c r="D75" s="138" t="inlineStr">
        <is>
          <t>facility</t>
        </is>
      </c>
      <c r="E75" s="138" t="inlineStr">
        <is>
          <t>base_terminal</t>
        </is>
      </c>
      <c r="F75" s="138" t="inlineStr">
        <is>
          <t>root</t>
        </is>
      </c>
      <c r="G75" s="138" t="str"/>
      <c r="H75" s="138" t="inlineStr">
        <is>
          <t>顶视</t>
        </is>
      </c>
      <c r="I75" s="138" t="inlineStr">
        <is>
          <t>default</t>
        </is>
      </c>
      <c r="J75" s="138" t="inlineStr">
        <is>
          <t>基地/房间</t>
        </is>
      </c>
      <c r="K75" s="138" t="inlineStr">
        <is>
          <t>程序占位</t>
        </is>
      </c>
      <c r="L75" s="138" t="inlineStr">
        <is>
          <t>P1</t>
        </is>
      </c>
      <c r="M75" s="138" t="inlineStr">
        <is>
          <t>v001</t>
        </is>
      </c>
      <c r="N75" s="138" t="inlineStr">
        <is>
          <t>64 px 网格对齐</t>
        </is>
      </c>
      <c r="O75" s="138" t="str"/>
      <c r="P75" s="138" t="inlineStr">
        <is>
          <t>scenes/BaseWorld.tscn</t>
        </is>
      </c>
      <c r="Q75" s="138" t="str"/>
      <c r="R75" s="138">
        <f>LOWER(TRIM(C75)&amp;"|"&amp;TRIM(D75)&amp;"|"&amp;TRIM(E75)&amp;"|"&amp;TRIM(F75)&amp;"|"&amp;TRIM(H75)&amp;"|"&amp;TRIM(I75))</f>
        <v/>
      </c>
      <c r="S75" s="138">
        <f>IF(COUNTIF($R$6:$R$280,R75)&gt;1,"重复","唯一")</f>
        <v/>
      </c>
      <c r="T75" s="138" t="str"/>
      <c r="U75" s="138" t="inlineStr">
        <is>
          <t>待分配</t>
        </is>
      </c>
      <c r="V75" s="303" t="n">
        <v>46224</v>
      </c>
      <c r="W75" s="138" t="inlineStr">
        <is>
          <t>原创/待确认</t>
        </is>
      </c>
      <c r="X75" s="138" t="inlineStr">
        <is>
          <t>状态变体使用同一 AssetID + state，不复制新命名根</t>
        </is>
      </c>
    </row>
    <row r="76">
      <c r="A76" s="138" t="inlineStr">
        <is>
          <t>PRP-DUNGEON-GATE</t>
        </is>
      </c>
      <c r="B76" s="138" t="inlineStr">
        <is>
          <t>副本入口</t>
        </is>
      </c>
      <c r="C76" s="138" t="inlineStr">
        <is>
          <t>场景道具</t>
        </is>
      </c>
      <c r="D76" s="138" t="inlineStr">
        <is>
          <t>facility</t>
        </is>
      </c>
      <c r="E76" s="138" t="inlineStr">
        <is>
          <t>dungeon_gate</t>
        </is>
      </c>
      <c r="F76" s="138" t="inlineStr">
        <is>
          <t>root</t>
        </is>
      </c>
      <c r="G76" s="138" t="str"/>
      <c r="H76" s="138" t="inlineStr">
        <is>
          <t>顶视</t>
        </is>
      </c>
      <c r="I76" s="138" t="inlineStr">
        <is>
          <t>default</t>
        </is>
      </c>
      <c r="J76" s="138" t="inlineStr">
        <is>
          <t>基地/房间</t>
        </is>
      </c>
      <c r="K76" s="138" t="inlineStr">
        <is>
          <t>程序占位</t>
        </is>
      </c>
      <c r="L76" s="138" t="inlineStr">
        <is>
          <t>P1</t>
        </is>
      </c>
      <c r="M76" s="138" t="inlineStr">
        <is>
          <t>v001</t>
        </is>
      </c>
      <c r="N76" s="138" t="inlineStr">
        <is>
          <t>64 px 网格对齐</t>
        </is>
      </c>
      <c r="O76" s="138" t="str"/>
      <c r="P76" s="138" t="inlineStr">
        <is>
          <t>scenes/BaseWorld.tscn</t>
        </is>
      </c>
      <c r="Q76" s="138" t="str"/>
      <c r="R76" s="138">
        <f>LOWER(TRIM(C76)&amp;"|"&amp;TRIM(D76)&amp;"|"&amp;TRIM(E76)&amp;"|"&amp;TRIM(F76)&amp;"|"&amp;TRIM(H76)&amp;"|"&amp;TRIM(I76))</f>
        <v/>
      </c>
      <c r="S76" s="138">
        <f>IF(COUNTIF($R$6:$R$280,R76)&gt;1,"重复","唯一")</f>
        <v/>
      </c>
      <c r="T76" s="138" t="str"/>
      <c r="U76" s="138" t="inlineStr">
        <is>
          <t>待分配</t>
        </is>
      </c>
      <c r="V76" s="303" t="n">
        <v>46224</v>
      </c>
      <c r="W76" s="138" t="inlineStr">
        <is>
          <t>原创/待确认</t>
        </is>
      </c>
      <c r="X76" s="138" t="inlineStr">
        <is>
          <t>状态变体使用同一 AssetID + state，不复制新命名根</t>
        </is>
      </c>
    </row>
    <row r="77">
      <c r="A77" s="138" t="inlineStr">
        <is>
          <t>PRP-WORKBENCH</t>
        </is>
      </c>
      <c r="B77" s="138" t="inlineStr">
        <is>
          <t>工作台</t>
        </is>
      </c>
      <c r="C77" s="138" t="inlineStr">
        <is>
          <t>场景道具</t>
        </is>
      </c>
      <c r="D77" s="138" t="inlineStr">
        <is>
          <t>facility</t>
        </is>
      </c>
      <c r="E77" s="138" t="inlineStr">
        <is>
          <t>workbench</t>
        </is>
      </c>
      <c r="F77" s="138" t="inlineStr">
        <is>
          <t>root</t>
        </is>
      </c>
      <c r="G77" s="138" t="str"/>
      <c r="H77" s="138" t="inlineStr">
        <is>
          <t>顶视</t>
        </is>
      </c>
      <c r="I77" s="138" t="inlineStr">
        <is>
          <t>default</t>
        </is>
      </c>
      <c r="J77" s="138" t="inlineStr">
        <is>
          <t>基地/房间</t>
        </is>
      </c>
      <c r="K77" s="138" t="inlineStr">
        <is>
          <t>程序占位</t>
        </is>
      </c>
      <c r="L77" s="138" t="inlineStr">
        <is>
          <t>P1</t>
        </is>
      </c>
      <c r="M77" s="138" t="inlineStr">
        <is>
          <t>v001</t>
        </is>
      </c>
      <c r="N77" s="138" t="inlineStr">
        <is>
          <t>64 px 网格对齐</t>
        </is>
      </c>
      <c r="O77" s="138" t="str"/>
      <c r="P77" s="138" t="inlineStr">
        <is>
          <t>scenes/BaseWorld.tscn</t>
        </is>
      </c>
      <c r="Q77" s="138" t="str"/>
      <c r="R77" s="138">
        <f>LOWER(TRIM(C77)&amp;"|"&amp;TRIM(D77)&amp;"|"&amp;TRIM(E77)&amp;"|"&amp;TRIM(F77)&amp;"|"&amp;TRIM(H77)&amp;"|"&amp;TRIM(I77))</f>
        <v/>
      </c>
      <c r="S77" s="138">
        <f>IF(COUNTIF($R$6:$R$280,R77)&gt;1,"重复","唯一")</f>
        <v/>
      </c>
      <c r="T77" s="138" t="str"/>
      <c r="U77" s="138" t="inlineStr">
        <is>
          <t>待分配</t>
        </is>
      </c>
      <c r="V77" s="303" t="n">
        <v>46224</v>
      </c>
      <c r="W77" s="138" t="inlineStr">
        <is>
          <t>原创/待确认</t>
        </is>
      </c>
      <c r="X77" s="138" t="inlineStr">
        <is>
          <t>状态变体使用同一 AssetID + state，不复制新命名根</t>
        </is>
      </c>
    </row>
    <row r="78">
      <c r="A78" s="138" t="inlineStr">
        <is>
          <t>PRP-DOOR</t>
        </is>
      </c>
      <c r="B78" s="138" t="inlineStr">
        <is>
          <t>房门</t>
        </is>
      </c>
      <c r="C78" s="138" t="inlineStr">
        <is>
          <t>场景道具</t>
        </is>
      </c>
      <c r="D78" s="138" t="inlineStr">
        <is>
          <t>facility</t>
        </is>
      </c>
      <c r="E78" s="138" t="inlineStr">
        <is>
          <t>door</t>
        </is>
      </c>
      <c r="F78" s="138" t="inlineStr">
        <is>
          <t>root</t>
        </is>
      </c>
      <c r="G78" s="138" t="str"/>
      <c r="H78" s="138" t="inlineStr">
        <is>
          <t>顶视</t>
        </is>
      </c>
      <c r="I78" s="138" t="inlineStr">
        <is>
          <t>default</t>
        </is>
      </c>
      <c r="J78" s="138" t="inlineStr">
        <is>
          <t>基地/房间</t>
        </is>
      </c>
      <c r="K78" s="138" t="inlineStr">
        <is>
          <t>程序占位</t>
        </is>
      </c>
      <c r="L78" s="138" t="inlineStr">
        <is>
          <t>P1</t>
        </is>
      </c>
      <c r="M78" s="138" t="inlineStr">
        <is>
          <t>v001</t>
        </is>
      </c>
      <c r="N78" s="138" t="inlineStr">
        <is>
          <t>64 px 网格对齐</t>
        </is>
      </c>
      <c r="O78" s="138" t="str"/>
      <c r="P78" s="138" t="inlineStr">
        <is>
          <t>scenes/BaseWorld.tscn</t>
        </is>
      </c>
      <c r="Q78" s="138" t="str"/>
      <c r="R78" s="138">
        <f>LOWER(TRIM(C78)&amp;"|"&amp;TRIM(D78)&amp;"|"&amp;TRIM(E78)&amp;"|"&amp;TRIM(F78)&amp;"|"&amp;TRIM(H78)&amp;"|"&amp;TRIM(I78))</f>
        <v/>
      </c>
      <c r="S78" s="138">
        <f>IF(COUNTIF($R$6:$R$280,R78)&gt;1,"重复","唯一")</f>
        <v/>
      </c>
      <c r="T78" s="138" t="str"/>
      <c r="U78" s="138" t="inlineStr">
        <is>
          <t>待分配</t>
        </is>
      </c>
      <c r="V78" s="303" t="n">
        <v>46224</v>
      </c>
      <c r="W78" s="138" t="inlineStr">
        <is>
          <t>原创/待确认</t>
        </is>
      </c>
      <c r="X78" s="138" t="inlineStr">
        <is>
          <t>状态变体使用同一 AssetID + state，不复制新命名根</t>
        </is>
      </c>
    </row>
    <row r="79" ht="155" customHeight="1">
      <c r="A79" s="304" t="inlineStr">
        <is>
          <t>UI-SCREEN-HUD</t>
        </is>
      </c>
      <c r="B79" s="304" t="inlineStr">
        <is>
          <t>战斗 HUD</t>
        </is>
      </c>
      <c r="C79" s="304" t="inlineStr">
        <is>
          <t>UI</t>
        </is>
      </c>
      <c r="D79" s="304" t="inlineStr">
        <is>
          <t>screen</t>
        </is>
      </c>
      <c r="E79" s="304" t="inlineStr">
        <is>
          <t>hud</t>
        </is>
      </c>
      <c r="F79" s="304" t="inlineStr">
        <is>
          <t>root</t>
        </is>
      </c>
      <c r="G79" s="304" t="str"/>
      <c r="H79" s="304" t="inlineStr">
        <is>
          <t>屏幕空间</t>
        </is>
      </c>
      <c r="I79" s="304" t="inlineStr">
        <is>
          <t>default</t>
        </is>
      </c>
      <c r="J79" s="304" t="inlineStr">
        <is>
          <t>跨分辨率</t>
        </is>
      </c>
      <c r="K79" s="304" t="inlineStr">
        <is>
          <t>原型已接入</t>
        </is>
      </c>
      <c r="L79" s="304" t="inlineStr">
        <is>
          <t>P0</t>
        </is>
      </c>
      <c r="M79" s="304" t="inlineStr">
        <is>
          <t>v002</t>
        </is>
      </c>
      <c r="N79" s="304" t="inlineStr">
        <is>
          <t>1280×720 基准；九宫格/矢量优先</t>
        </is>
      </c>
      <c r="O79" s="304" t="str"/>
      <c r="P79" s="304" t="inlineStr">
        <is>
          <t>src/ui/GameUIManager.gd</t>
        </is>
      </c>
      <c r="Q79" s="304" t="str"/>
      <c r="R79" s="304">
        <f>LOWER(TRIM(C79)&amp;"|"&amp;TRIM(D79)&amp;"|"&amp;TRIM(E79)&amp;"|"&amp;TRIM(F79)&amp;"|"&amp;TRIM(H79)&amp;"|"&amp;TRIM(I79))</f>
        <v/>
      </c>
      <c r="S79" s="304">
        <f>IF(COUNTIF($R$6:$R$280,R79)&gt;1,"重复","唯一")</f>
        <v/>
      </c>
      <c r="T79" s="304" t="str"/>
      <c r="U79" s="304" t="inlineStr">
        <is>
          <t>待分配</t>
        </is>
      </c>
      <c r="V79" s="305" t="n">
        <v>46233</v>
      </c>
      <c r="W79" s="304" t="inlineStr">
        <is>
          <t>原创/待确认</t>
        </is>
      </c>
      <c r="X79" s="304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</t>
        </is>
      </c>
    </row>
    <row r="80">
      <c r="A80" s="138" t="inlineStr">
        <is>
          <t>UI-SCREEN-INVENTORY</t>
        </is>
      </c>
      <c r="B80" s="138" t="inlineStr">
        <is>
          <t>背包</t>
        </is>
      </c>
      <c r="C80" s="138" t="inlineStr">
        <is>
          <t>UI</t>
        </is>
      </c>
      <c r="D80" s="138" t="inlineStr">
        <is>
          <t>screen</t>
        </is>
      </c>
      <c r="E80" s="138" t="inlineStr">
        <is>
          <t>inventory</t>
        </is>
      </c>
      <c r="F80" s="138" t="inlineStr">
        <is>
          <t>root</t>
        </is>
      </c>
      <c r="G80" s="138" t="str"/>
      <c r="H80" s="138" t="inlineStr">
        <is>
          <t>屏幕空间</t>
        </is>
      </c>
      <c r="I80" s="138" t="inlineStr">
        <is>
          <t>default</t>
        </is>
      </c>
      <c r="J80" s="138" t="inlineStr">
        <is>
          <t>跨分辨率</t>
        </is>
      </c>
      <c r="K80" s="138" t="inlineStr">
        <is>
          <t>原型已接入</t>
        </is>
      </c>
      <c r="L80" s="138" t="inlineStr">
        <is>
          <t>P0</t>
        </is>
      </c>
      <c r="M80" s="138" t="inlineStr">
        <is>
          <t>v001</t>
        </is>
      </c>
      <c r="N80" s="138" t="inlineStr">
        <is>
          <t>1280×720 基准；九宫格/矢量优先</t>
        </is>
      </c>
      <c r="O80" s="138" t="str"/>
      <c r="P80" s="138" t="inlineStr">
        <is>
          <t>src/ui/InventoryUI.gd</t>
        </is>
      </c>
      <c r="Q80" s="138" t="str"/>
      <c r="R80" s="138">
        <f>LOWER(TRIM(C80)&amp;"|"&amp;TRIM(D80)&amp;"|"&amp;TRIM(E80)&amp;"|"&amp;TRIM(F80)&amp;"|"&amp;TRIM(H80)&amp;"|"&amp;TRIM(I80))</f>
        <v/>
      </c>
      <c r="S80" s="138">
        <f>IF(COUNTIF($R$6:$R$280,R80)&gt;1,"重复","唯一")</f>
        <v/>
      </c>
      <c r="T80" s="138" t="str"/>
      <c r="U80" s="138" t="inlineStr">
        <is>
          <t>待分配</t>
        </is>
      </c>
      <c r="V80" s="303" t="n">
        <v>46225</v>
      </c>
      <c r="W80" s="138" t="inlineStr">
        <is>
          <t>原创/待确认</t>
        </is>
      </c>
      <c r="X80" s="138" t="inlineStr">
        <is>
          <t>背包共享逻辑根；3D表现登记为 UI-SCREEN-INVENTORY-3D；12+2槽与保险契约不变</t>
        </is>
      </c>
    </row>
    <row r="81">
      <c r="A81" s="138" t="inlineStr">
        <is>
          <t>UI-SCREEN-MERCHANT</t>
        </is>
      </c>
      <c r="B81" s="138" t="inlineStr">
        <is>
          <t>商人</t>
        </is>
      </c>
      <c r="C81" s="138" t="inlineStr">
        <is>
          <t>UI</t>
        </is>
      </c>
      <c r="D81" s="138" t="inlineStr">
        <is>
          <t>screen</t>
        </is>
      </c>
      <c r="E81" s="138" t="inlineStr">
        <is>
          <t>merchant</t>
        </is>
      </c>
      <c r="F81" s="138" t="inlineStr">
        <is>
          <t>root</t>
        </is>
      </c>
      <c r="G81" s="138" t="str"/>
      <c r="H81" s="138" t="inlineStr">
        <is>
          <t>屏幕空间</t>
        </is>
      </c>
      <c r="I81" s="138" t="inlineStr">
        <is>
          <t>default</t>
        </is>
      </c>
      <c r="J81" s="138" t="inlineStr">
        <is>
          <t>跨分辨率</t>
        </is>
      </c>
      <c r="K81" s="138" t="inlineStr">
        <is>
          <t>程序占位</t>
        </is>
      </c>
      <c r="L81" s="138" t="inlineStr">
        <is>
          <t>P2</t>
        </is>
      </c>
      <c r="M81" s="138" t="inlineStr">
        <is>
          <t>v001</t>
        </is>
      </c>
      <c r="N81" s="138" t="inlineStr">
        <is>
          <t>1280×720 基准；九宫格/矢量优先</t>
        </is>
      </c>
      <c r="O81" s="138" t="str"/>
      <c r="P81" s="138" t="inlineStr">
        <is>
          <t>src/ui/MerchantUI.gd</t>
        </is>
      </c>
      <c r="Q81" s="138" t="str"/>
      <c r="R81" s="138">
        <f>LOWER(TRIM(C81)&amp;"|"&amp;TRIM(D81)&amp;"|"&amp;TRIM(E81)&amp;"|"&amp;TRIM(F81)&amp;"|"&amp;TRIM(H81)&amp;"|"&amp;TRIM(I81))</f>
        <v/>
      </c>
      <c r="S81" s="138">
        <f>IF(COUNTIF($R$6:$R$280,R81)&gt;1,"重复","唯一")</f>
        <v/>
      </c>
      <c r="T81" s="138" t="str"/>
      <c r="U81" s="138" t="inlineStr">
        <is>
          <t>待分配</t>
        </is>
      </c>
      <c r="V81" s="303" t="n">
        <v>46224</v>
      </c>
      <c r="W81" s="138" t="inlineStr">
        <is>
          <t>原创/待确认</t>
        </is>
      </c>
      <c r="X81" s="138" t="inlineStr">
        <is>
          <t>先建组件库，再做页面，避免每页重复画按钮/面板</t>
        </is>
      </c>
    </row>
    <row r="82">
      <c r="A82" s="138" t="inlineStr">
        <is>
          <t>UI-SCREEN-WORKSHOP</t>
        </is>
      </c>
      <c r="B82" s="138" t="inlineStr">
        <is>
          <t>枪械工坊</t>
        </is>
      </c>
      <c r="C82" s="138" t="inlineStr">
        <is>
          <t>UI</t>
        </is>
      </c>
      <c r="D82" s="138" t="inlineStr">
        <is>
          <t>screen</t>
        </is>
      </c>
      <c r="E82" s="138" t="inlineStr">
        <is>
          <t>workshop</t>
        </is>
      </c>
      <c r="F82" s="138" t="inlineStr">
        <is>
          <t>root</t>
        </is>
      </c>
      <c r="G82" s="138" t="str"/>
      <c r="H82" s="138" t="inlineStr">
        <is>
          <t>屏幕空间</t>
        </is>
      </c>
      <c r="I82" s="138" t="inlineStr">
        <is>
          <t>default</t>
        </is>
      </c>
      <c r="J82" s="138" t="inlineStr">
        <is>
          <t>跨分辨率</t>
        </is>
      </c>
      <c r="K82" s="138" t="inlineStr">
        <is>
          <t>程序占位</t>
        </is>
      </c>
      <c r="L82" s="138" t="inlineStr">
        <is>
          <t>P2</t>
        </is>
      </c>
      <c r="M82" s="138" t="inlineStr">
        <is>
          <t>v001</t>
        </is>
      </c>
      <c r="N82" s="138" t="inlineStr">
        <is>
          <t>1280×720 基准；九宫格/矢量优先</t>
        </is>
      </c>
      <c r="O82" s="138" t="str"/>
      <c r="P82" s="138" t="inlineStr">
        <is>
          <t>src/ui/WorkshopMenu.gd</t>
        </is>
      </c>
      <c r="Q82" s="138" t="str"/>
      <c r="R82" s="138">
        <f>LOWER(TRIM(C82)&amp;"|"&amp;TRIM(D82)&amp;"|"&amp;TRIM(E82)&amp;"|"&amp;TRIM(F82)&amp;"|"&amp;TRIM(H82)&amp;"|"&amp;TRIM(I82))</f>
        <v/>
      </c>
      <c r="S82" s="138">
        <f>IF(COUNTIF($R$6:$R$280,R82)&gt;1,"重复","唯一")</f>
        <v/>
      </c>
      <c r="T82" s="138" t="str"/>
      <c r="U82" s="138" t="inlineStr">
        <is>
          <t>待分配</t>
        </is>
      </c>
      <c r="V82" s="303" t="n">
        <v>46224</v>
      </c>
      <c r="W82" s="138" t="inlineStr">
        <is>
          <t>原创/待确认</t>
        </is>
      </c>
      <c r="X82" s="138" t="inlineStr">
        <is>
          <t>先建组件库，再做页面，避免每页重复画按钮/面板</t>
        </is>
      </c>
    </row>
    <row r="83">
      <c r="A83" s="138" t="inlineStr">
        <is>
          <t>UI-SCREEN-WORKBENCH</t>
        </is>
      </c>
      <c r="B83" s="138" t="inlineStr">
        <is>
          <t>工作台</t>
        </is>
      </c>
      <c r="C83" s="138" t="inlineStr">
        <is>
          <t>UI</t>
        </is>
      </c>
      <c r="D83" s="138" t="inlineStr">
        <is>
          <t>screen</t>
        </is>
      </c>
      <c r="E83" s="138" t="inlineStr">
        <is>
          <t>workbench</t>
        </is>
      </c>
      <c r="F83" s="138" t="inlineStr">
        <is>
          <t>root</t>
        </is>
      </c>
      <c r="G83" s="138" t="str"/>
      <c r="H83" s="138" t="inlineStr">
        <is>
          <t>屏幕空间</t>
        </is>
      </c>
      <c r="I83" s="138" t="inlineStr">
        <is>
          <t>default</t>
        </is>
      </c>
      <c r="J83" s="138" t="inlineStr">
        <is>
          <t>跨分辨率</t>
        </is>
      </c>
      <c r="K83" s="138" t="inlineStr">
        <is>
          <t>程序占位</t>
        </is>
      </c>
      <c r="L83" s="138" t="inlineStr">
        <is>
          <t>P2</t>
        </is>
      </c>
      <c r="M83" s="138" t="inlineStr">
        <is>
          <t>v001</t>
        </is>
      </c>
      <c r="N83" s="138" t="inlineStr">
        <is>
          <t>1280×720 基准；九宫格/矢量优先</t>
        </is>
      </c>
      <c r="O83" s="138" t="str"/>
      <c r="P83" s="138" t="inlineStr">
        <is>
          <t>src/ui/WorkbenchPanel.gd</t>
        </is>
      </c>
      <c r="Q83" s="138" t="str"/>
      <c r="R83" s="138">
        <f>LOWER(TRIM(C83)&amp;"|"&amp;TRIM(D83)&amp;"|"&amp;TRIM(E83)&amp;"|"&amp;TRIM(F83)&amp;"|"&amp;TRIM(H83)&amp;"|"&amp;TRIM(I83))</f>
        <v/>
      </c>
      <c r="S83" s="138">
        <f>IF(COUNTIF($R$6:$R$280,R83)&gt;1,"重复","唯一")</f>
        <v/>
      </c>
      <c r="T83" s="138" t="str"/>
      <c r="U83" s="138" t="inlineStr">
        <is>
          <t>待分配</t>
        </is>
      </c>
      <c r="V83" s="303" t="n">
        <v>46224</v>
      </c>
      <c r="W83" s="138" t="inlineStr">
        <is>
          <t>原创/待确认</t>
        </is>
      </c>
      <c r="X83" s="138" t="inlineStr">
        <is>
          <t>先建组件库，再做页面，避免每页重复画按钮/面板</t>
        </is>
      </c>
    </row>
    <row r="84">
      <c r="A84" s="138" t="inlineStr">
        <is>
          <t>UI-SCREEN-WEAPON-TREE</t>
        </is>
      </c>
      <c r="B84" s="138" t="inlineStr">
        <is>
          <t>武器装配树</t>
        </is>
      </c>
      <c r="C84" s="138" t="inlineStr">
        <is>
          <t>UI</t>
        </is>
      </c>
      <c r="D84" s="138" t="inlineStr">
        <is>
          <t>screen</t>
        </is>
      </c>
      <c r="E84" s="138" t="inlineStr">
        <is>
          <t>weapon_tree</t>
        </is>
      </c>
      <c r="F84" s="138" t="inlineStr">
        <is>
          <t>root</t>
        </is>
      </c>
      <c r="G84" s="138" t="str"/>
      <c r="H84" s="138" t="inlineStr">
        <is>
          <t>屏幕空间</t>
        </is>
      </c>
      <c r="I84" s="138" t="inlineStr">
        <is>
          <t>default</t>
        </is>
      </c>
      <c r="J84" s="138" t="inlineStr">
        <is>
          <t>跨分辨率</t>
        </is>
      </c>
      <c r="K84" s="138" t="inlineStr">
        <is>
          <t>程序占位</t>
        </is>
      </c>
      <c r="L84" s="138" t="inlineStr">
        <is>
          <t>P2</t>
        </is>
      </c>
      <c r="M84" s="138" t="inlineStr">
        <is>
          <t>v001</t>
        </is>
      </c>
      <c r="N84" s="138" t="inlineStr">
        <is>
          <t>1280×720 基准；九宫格/矢量优先</t>
        </is>
      </c>
      <c r="O84" s="138" t="str"/>
      <c r="P84" s="138" t="inlineStr">
        <is>
          <t>src/ui/WeaponAssemblyTreePanel.gd</t>
        </is>
      </c>
      <c r="Q84" s="138" t="str"/>
      <c r="R84" s="138">
        <f>LOWER(TRIM(C84)&amp;"|"&amp;TRIM(D84)&amp;"|"&amp;TRIM(E84)&amp;"|"&amp;TRIM(F84)&amp;"|"&amp;TRIM(H84)&amp;"|"&amp;TRIM(I84))</f>
        <v/>
      </c>
      <c r="S84" s="138">
        <f>IF(COUNTIF($R$6:$R$280,R84)&gt;1,"重复","唯一")</f>
        <v/>
      </c>
      <c r="T84" s="138" t="str"/>
      <c r="U84" s="138" t="inlineStr">
        <is>
          <t>待分配</t>
        </is>
      </c>
      <c r="V84" s="303" t="n">
        <v>46224</v>
      </c>
      <c r="W84" s="138" t="inlineStr">
        <is>
          <t>原创/待确认</t>
        </is>
      </c>
      <c r="X84" s="138" t="inlineStr">
        <is>
          <t>先建组件库，再做页面，避免每页重复画按钮/面板</t>
        </is>
      </c>
    </row>
    <row r="85">
      <c r="A85" s="138" t="inlineStr">
        <is>
          <t>UI-SCREEN-FATE-SELECT</t>
        </is>
      </c>
      <c r="B85" s="138" t="inlineStr">
        <is>
          <t>命运卡选择</t>
        </is>
      </c>
      <c r="C85" s="138" t="inlineStr">
        <is>
          <t>UI</t>
        </is>
      </c>
      <c r="D85" s="138" t="inlineStr">
        <is>
          <t>screen</t>
        </is>
      </c>
      <c r="E85" s="138" t="inlineStr">
        <is>
          <t>fate_select</t>
        </is>
      </c>
      <c r="F85" s="138" t="inlineStr">
        <is>
          <t>root</t>
        </is>
      </c>
      <c r="G85" s="138" t="str"/>
      <c r="H85" s="138" t="inlineStr">
        <is>
          <t>屏幕空间</t>
        </is>
      </c>
      <c r="I85" s="138" t="inlineStr">
        <is>
          <t>default</t>
        </is>
      </c>
      <c r="J85" s="138" t="inlineStr">
        <is>
          <t>跨分辨率</t>
        </is>
      </c>
      <c r="K85" s="138" t="inlineStr">
        <is>
          <t>程序占位</t>
        </is>
      </c>
      <c r="L85" s="138" t="inlineStr">
        <is>
          <t>P2</t>
        </is>
      </c>
      <c r="M85" s="138" t="inlineStr">
        <is>
          <t>v001</t>
        </is>
      </c>
      <c r="N85" s="138" t="inlineStr">
        <is>
          <t>1280×720 基准；九宫格/矢量优先</t>
        </is>
      </c>
      <c r="O85" s="138" t="str"/>
      <c r="P85" s="138" t="inlineStr">
        <is>
          <t>src/ui/FateCardUIController.gd</t>
        </is>
      </c>
      <c r="Q85" s="138" t="str"/>
      <c r="R85" s="138">
        <f>LOWER(TRIM(C85)&amp;"|"&amp;TRIM(D85)&amp;"|"&amp;TRIM(E85)&amp;"|"&amp;TRIM(F85)&amp;"|"&amp;TRIM(H85)&amp;"|"&amp;TRIM(I85))</f>
        <v/>
      </c>
      <c r="S85" s="138">
        <f>IF(COUNTIF($R$6:$R$280,R85)&gt;1,"重复","唯一")</f>
        <v/>
      </c>
      <c r="T85" s="138" t="str"/>
      <c r="U85" s="138" t="inlineStr">
        <is>
          <t>待分配</t>
        </is>
      </c>
      <c r="V85" s="303" t="n">
        <v>46224</v>
      </c>
      <c r="W85" s="138" t="inlineStr">
        <is>
          <t>原创/待确认</t>
        </is>
      </c>
      <c r="X85" s="138" t="inlineStr">
        <is>
          <t>先建组件库，再做页面，避免每页重复画按钮/面板</t>
        </is>
      </c>
    </row>
    <row r="86">
      <c r="A86" s="138" t="inlineStr">
        <is>
          <t>UI-SCREEN-FATE-COLLECTION</t>
        </is>
      </c>
      <c r="B86" s="138" t="inlineStr">
        <is>
          <t>命运卡收藏</t>
        </is>
      </c>
      <c r="C86" s="138" t="inlineStr">
        <is>
          <t>UI</t>
        </is>
      </c>
      <c r="D86" s="138" t="inlineStr">
        <is>
          <t>screen</t>
        </is>
      </c>
      <c r="E86" s="138" t="inlineStr">
        <is>
          <t>fate_collection</t>
        </is>
      </c>
      <c r="F86" s="138" t="inlineStr">
        <is>
          <t>root</t>
        </is>
      </c>
      <c r="G86" s="138" t="str"/>
      <c r="H86" s="138" t="inlineStr">
        <is>
          <t>屏幕空间</t>
        </is>
      </c>
      <c r="I86" s="138" t="inlineStr">
        <is>
          <t>default</t>
        </is>
      </c>
      <c r="J86" s="138" t="inlineStr">
        <is>
          <t>跨分辨率</t>
        </is>
      </c>
      <c r="K86" s="138" t="inlineStr">
        <is>
          <t>程序占位</t>
        </is>
      </c>
      <c r="L86" s="138" t="inlineStr">
        <is>
          <t>P2</t>
        </is>
      </c>
      <c r="M86" s="138" t="inlineStr">
        <is>
          <t>v001</t>
        </is>
      </c>
      <c r="N86" s="138" t="inlineStr">
        <is>
          <t>1280×720 基准；九宫格/矢量优先</t>
        </is>
      </c>
      <c r="O86" s="138" t="str"/>
      <c r="P86" s="138" t="inlineStr">
        <is>
          <t>src/ui/FateCardCollectionMenu.gd</t>
        </is>
      </c>
      <c r="Q86" s="138" t="str"/>
      <c r="R86" s="138">
        <f>LOWER(TRIM(C86)&amp;"|"&amp;TRIM(D86)&amp;"|"&amp;TRIM(E86)&amp;"|"&amp;TRIM(F86)&amp;"|"&amp;TRIM(H86)&amp;"|"&amp;TRIM(I86))</f>
        <v/>
      </c>
      <c r="S86" s="138">
        <f>IF(COUNTIF($R$6:$R$280,R86)&gt;1,"重复","唯一")</f>
        <v/>
      </c>
      <c r="T86" s="138" t="str"/>
      <c r="U86" s="138" t="inlineStr">
        <is>
          <t>待分配</t>
        </is>
      </c>
      <c r="V86" s="303" t="n">
        <v>46224</v>
      </c>
      <c r="W86" s="138" t="inlineStr">
        <is>
          <t>原创/待确认</t>
        </is>
      </c>
      <c r="X86" s="138" t="inlineStr">
        <is>
          <t>先建组件库，再做页面，避免每页重复画按钮/面板</t>
        </is>
      </c>
    </row>
    <row r="87">
      <c r="A87" s="138" t="inlineStr">
        <is>
          <t>UI-SCREEN-LEVEL-SELECT</t>
        </is>
      </c>
      <c r="B87" s="138" t="inlineStr">
        <is>
          <t>关卡选择</t>
        </is>
      </c>
      <c r="C87" s="138" t="inlineStr">
        <is>
          <t>UI</t>
        </is>
      </c>
      <c r="D87" s="138" t="inlineStr">
        <is>
          <t>screen</t>
        </is>
      </c>
      <c r="E87" s="138" t="inlineStr">
        <is>
          <t>level_select</t>
        </is>
      </c>
      <c r="F87" s="138" t="inlineStr">
        <is>
          <t>root</t>
        </is>
      </c>
      <c r="G87" s="138" t="str"/>
      <c r="H87" s="138" t="inlineStr">
        <is>
          <t>屏幕空间</t>
        </is>
      </c>
      <c r="I87" s="138" t="inlineStr">
        <is>
          <t>default</t>
        </is>
      </c>
      <c r="J87" s="138" t="inlineStr">
        <is>
          <t>跨分辨率</t>
        </is>
      </c>
      <c r="K87" s="138" t="inlineStr">
        <is>
          <t>程序占位</t>
        </is>
      </c>
      <c r="L87" s="138" t="inlineStr">
        <is>
          <t>P2</t>
        </is>
      </c>
      <c r="M87" s="138" t="inlineStr">
        <is>
          <t>v001</t>
        </is>
      </c>
      <c r="N87" s="138" t="inlineStr">
        <is>
          <t>1280×720 基准；九宫格/矢量优先</t>
        </is>
      </c>
      <c r="O87" s="138" t="str"/>
      <c r="P87" s="138" t="inlineStr">
        <is>
          <t>src/ui/LevelSelectMenu.gd</t>
        </is>
      </c>
      <c r="Q87" s="138" t="str"/>
      <c r="R87" s="138">
        <f>LOWER(TRIM(C87)&amp;"|"&amp;TRIM(D87)&amp;"|"&amp;TRIM(E87)&amp;"|"&amp;TRIM(F87)&amp;"|"&amp;TRIM(H87)&amp;"|"&amp;TRIM(I87))</f>
        <v/>
      </c>
      <c r="S87" s="138">
        <f>IF(COUNTIF($R$6:$R$280,R87)&gt;1,"重复","唯一")</f>
        <v/>
      </c>
      <c r="T87" s="138" t="str"/>
      <c r="U87" s="138" t="inlineStr">
        <is>
          <t>待分配</t>
        </is>
      </c>
      <c r="V87" s="303" t="n">
        <v>46224</v>
      </c>
      <c r="W87" s="138" t="inlineStr">
        <is>
          <t>原创/待确认</t>
        </is>
      </c>
      <c r="X87" s="138" t="inlineStr">
        <is>
          <t>先建组件库，再做页面，避免每页重复画按钮/面板</t>
        </is>
      </c>
    </row>
    <row r="88">
      <c r="A88" s="138" t="inlineStr">
        <is>
          <t>UI-SCREEN-VAULT</t>
        </is>
      </c>
      <c r="B88" s="138" t="inlineStr">
        <is>
          <t>保险柜</t>
        </is>
      </c>
      <c r="C88" s="138" t="inlineStr">
        <is>
          <t>UI</t>
        </is>
      </c>
      <c r="D88" s="138" t="inlineStr">
        <is>
          <t>screen</t>
        </is>
      </c>
      <c r="E88" s="138" t="inlineStr">
        <is>
          <t>vault</t>
        </is>
      </c>
      <c r="F88" s="138" t="inlineStr">
        <is>
          <t>root</t>
        </is>
      </c>
      <c r="G88" s="138" t="str"/>
      <c r="H88" s="138" t="inlineStr">
        <is>
          <t>屏幕空间</t>
        </is>
      </c>
      <c r="I88" s="138" t="inlineStr">
        <is>
          <t>default</t>
        </is>
      </c>
      <c r="J88" s="138" t="inlineStr">
        <is>
          <t>跨分辨率</t>
        </is>
      </c>
      <c r="K88" s="138" t="inlineStr">
        <is>
          <t>程序占位</t>
        </is>
      </c>
      <c r="L88" s="138" t="inlineStr">
        <is>
          <t>P2</t>
        </is>
      </c>
      <c r="M88" s="138" t="inlineStr">
        <is>
          <t>v001</t>
        </is>
      </c>
      <c r="N88" s="138" t="inlineStr">
        <is>
          <t>1280×720 基准；九宫格/矢量优先</t>
        </is>
      </c>
      <c r="O88" s="138" t="str"/>
      <c r="P88" s="138" t="inlineStr">
        <is>
          <t>src/ui/VaultMenu.gd</t>
        </is>
      </c>
      <c r="Q88" s="138" t="str"/>
      <c r="R88" s="138">
        <f>LOWER(TRIM(C88)&amp;"|"&amp;TRIM(D88)&amp;"|"&amp;TRIM(E88)&amp;"|"&amp;TRIM(F88)&amp;"|"&amp;TRIM(H88)&amp;"|"&amp;TRIM(I88))</f>
        <v/>
      </c>
      <c r="S88" s="138">
        <f>IF(COUNTIF($R$6:$R$280,R88)&gt;1,"重复","唯一")</f>
        <v/>
      </c>
      <c r="T88" s="138" t="str"/>
      <c r="U88" s="138" t="inlineStr">
        <is>
          <t>待分配</t>
        </is>
      </c>
      <c r="V88" s="303" t="n">
        <v>46224</v>
      </c>
      <c r="W88" s="138" t="inlineStr">
        <is>
          <t>原创/待确认</t>
        </is>
      </c>
      <c r="X88" s="138" t="inlineStr">
        <is>
          <t>先建组件库，再做页面，避免每页重复画按钮/面板</t>
        </is>
      </c>
    </row>
    <row r="89">
      <c r="A89" s="138" t="inlineStr">
        <is>
          <t>UI-SCREEN-MONSTER-ARCHIVE</t>
        </is>
      </c>
      <c r="B89" s="138" t="inlineStr">
        <is>
          <t>怪物档案</t>
        </is>
      </c>
      <c r="C89" s="138" t="inlineStr">
        <is>
          <t>UI</t>
        </is>
      </c>
      <c r="D89" s="138" t="inlineStr">
        <is>
          <t>screen</t>
        </is>
      </c>
      <c r="E89" s="138" t="inlineStr">
        <is>
          <t>monster_archive</t>
        </is>
      </c>
      <c r="F89" s="138" t="inlineStr">
        <is>
          <t>root</t>
        </is>
      </c>
      <c r="G89" s="138" t="str"/>
      <c r="H89" s="138" t="inlineStr">
        <is>
          <t>屏幕空间</t>
        </is>
      </c>
      <c r="I89" s="138" t="inlineStr">
        <is>
          <t>default</t>
        </is>
      </c>
      <c r="J89" s="138" t="inlineStr">
        <is>
          <t>跨分辨率</t>
        </is>
      </c>
      <c r="K89" s="138" t="inlineStr">
        <is>
          <t>程序占位</t>
        </is>
      </c>
      <c r="L89" s="138" t="inlineStr">
        <is>
          <t>P2</t>
        </is>
      </c>
      <c r="M89" s="138" t="inlineStr">
        <is>
          <t>v001</t>
        </is>
      </c>
      <c r="N89" s="138" t="inlineStr">
        <is>
          <t>1280×720 基准；九宫格/矢量优先</t>
        </is>
      </c>
      <c r="O89" s="138" t="str"/>
      <c r="P89" s="138" t="inlineStr">
        <is>
          <t>src/ui/MonsterArchiveMenu.gd</t>
        </is>
      </c>
      <c r="Q89" s="138" t="str"/>
      <c r="R89" s="138">
        <f>LOWER(TRIM(C89)&amp;"|"&amp;TRIM(D89)&amp;"|"&amp;TRIM(E89)&amp;"|"&amp;TRIM(F89)&amp;"|"&amp;TRIM(H89)&amp;"|"&amp;TRIM(I89))</f>
        <v/>
      </c>
      <c r="S89" s="138">
        <f>IF(COUNTIF($R$6:$R$280,R89)&gt;1,"重复","唯一")</f>
        <v/>
      </c>
      <c r="T89" s="138" t="str"/>
      <c r="U89" s="138" t="inlineStr">
        <is>
          <t>待分配</t>
        </is>
      </c>
      <c r="V89" s="303" t="n">
        <v>46224</v>
      </c>
      <c r="W89" s="138" t="inlineStr">
        <is>
          <t>原创/待确认</t>
        </is>
      </c>
      <c r="X89" s="138" t="inlineStr">
        <is>
          <t>先建组件库，再做页面，避免每页重复画按钮/面板</t>
        </is>
      </c>
    </row>
    <row r="90">
      <c r="A90" s="138" t="inlineStr">
        <is>
          <t>UI-SCREEN-BASE-MENU</t>
        </is>
      </c>
      <c r="B90" s="138" t="inlineStr">
        <is>
          <t>基地菜单</t>
        </is>
      </c>
      <c r="C90" s="138" t="inlineStr">
        <is>
          <t>UI</t>
        </is>
      </c>
      <c r="D90" s="138" t="inlineStr">
        <is>
          <t>screen</t>
        </is>
      </c>
      <c r="E90" s="138" t="inlineStr">
        <is>
          <t>base_menu</t>
        </is>
      </c>
      <c r="F90" s="138" t="inlineStr">
        <is>
          <t>root</t>
        </is>
      </c>
      <c r="G90" s="138" t="str"/>
      <c r="H90" s="138" t="inlineStr">
        <is>
          <t>屏幕空间</t>
        </is>
      </c>
      <c r="I90" s="138" t="inlineStr">
        <is>
          <t>default</t>
        </is>
      </c>
      <c r="J90" s="138" t="inlineStr">
        <is>
          <t>跨分辨率</t>
        </is>
      </c>
      <c r="K90" s="138" t="inlineStr">
        <is>
          <t>程序占位</t>
        </is>
      </c>
      <c r="L90" s="138" t="inlineStr">
        <is>
          <t>P2</t>
        </is>
      </c>
      <c r="M90" s="138" t="inlineStr">
        <is>
          <t>v001</t>
        </is>
      </c>
      <c r="N90" s="138" t="inlineStr">
        <is>
          <t>1280×720 基准；九宫格/矢量优先</t>
        </is>
      </c>
      <c r="O90" s="138" t="str"/>
      <c r="P90" s="138" t="inlineStr">
        <is>
          <t>src/ui/BaseMenu.gd</t>
        </is>
      </c>
      <c r="Q90" s="138" t="str"/>
      <c r="R90" s="138">
        <f>LOWER(TRIM(C90)&amp;"|"&amp;TRIM(D90)&amp;"|"&amp;TRIM(E90)&amp;"|"&amp;TRIM(F90)&amp;"|"&amp;TRIM(H90)&amp;"|"&amp;TRIM(I90))</f>
        <v/>
      </c>
      <c r="S90" s="138">
        <f>IF(COUNTIF($R$6:$R$280,R90)&gt;1,"重复","唯一")</f>
        <v/>
      </c>
      <c r="T90" s="138" t="str"/>
      <c r="U90" s="138" t="inlineStr">
        <is>
          <t>待分配</t>
        </is>
      </c>
      <c r="V90" s="303" t="n">
        <v>46224</v>
      </c>
      <c r="W90" s="138" t="inlineStr">
        <is>
          <t>原创/待确认</t>
        </is>
      </c>
      <c r="X90" s="138" t="inlineStr">
        <is>
          <t>先建组件库，再做页面，避免每页重复画按钮/面板</t>
        </is>
      </c>
    </row>
    <row r="91">
      <c r="A91" s="138" t="inlineStr">
        <is>
          <t>UI-SCREEN-MOBILE-CONTROLS</t>
        </is>
      </c>
      <c r="B91" s="138" t="inlineStr">
        <is>
          <t>移动端控制</t>
        </is>
      </c>
      <c r="C91" s="138" t="inlineStr">
        <is>
          <t>UI</t>
        </is>
      </c>
      <c r="D91" s="138" t="inlineStr">
        <is>
          <t>screen</t>
        </is>
      </c>
      <c r="E91" s="138" t="inlineStr">
        <is>
          <t>mobile_controls</t>
        </is>
      </c>
      <c r="F91" s="138" t="inlineStr">
        <is>
          <t>root</t>
        </is>
      </c>
      <c r="G91" s="138" t="str"/>
      <c r="H91" s="138" t="inlineStr">
        <is>
          <t>屏幕空间</t>
        </is>
      </c>
      <c r="I91" s="138" t="inlineStr">
        <is>
          <t>default</t>
        </is>
      </c>
      <c r="J91" s="138" t="inlineStr">
        <is>
          <t>跨分辨率</t>
        </is>
      </c>
      <c r="K91" s="138" t="inlineStr">
        <is>
          <t>程序占位</t>
        </is>
      </c>
      <c r="L91" s="138" t="inlineStr">
        <is>
          <t>P2</t>
        </is>
      </c>
      <c r="M91" s="138" t="inlineStr">
        <is>
          <t>v001</t>
        </is>
      </c>
      <c r="N91" s="138" t="inlineStr">
        <is>
          <t>1280×720 基准；九宫格/矢量优先</t>
        </is>
      </c>
      <c r="O91" s="138" t="str"/>
      <c r="P91" s="138" t="inlineStr">
        <is>
          <t>src/ui/MobileControls.gd</t>
        </is>
      </c>
      <c r="Q91" s="138" t="str"/>
      <c r="R91" s="138">
        <f>LOWER(TRIM(C91)&amp;"|"&amp;TRIM(D91)&amp;"|"&amp;TRIM(E91)&amp;"|"&amp;TRIM(F91)&amp;"|"&amp;TRIM(H91)&amp;"|"&amp;TRIM(I91))</f>
        <v/>
      </c>
      <c r="S91" s="138">
        <f>IF(COUNTIF($R$6:$R$280,R91)&gt;1,"重复","唯一")</f>
        <v/>
      </c>
      <c r="T91" s="138" t="str"/>
      <c r="U91" s="138" t="inlineStr">
        <is>
          <t>待分配</t>
        </is>
      </c>
      <c r="V91" s="303" t="n">
        <v>46224</v>
      </c>
      <c r="W91" s="138" t="inlineStr">
        <is>
          <t>原创/待确认</t>
        </is>
      </c>
      <c r="X91" s="138" t="inlineStr">
        <is>
          <t>先建组件库，再做页面，避免每页重复画按钮/面板</t>
        </is>
      </c>
    </row>
    <row r="92">
      <c r="A92" s="138" t="inlineStr">
        <is>
          <t>VFX-EXPLOSION</t>
        </is>
      </c>
      <c r="B92" s="138" t="inlineStr">
        <is>
          <t>爆炸</t>
        </is>
      </c>
      <c r="C92" s="138" t="inlineStr">
        <is>
          <t>特效</t>
        </is>
      </c>
      <c r="D92" s="138" t="inlineStr">
        <is>
          <t>gameplay_vfx</t>
        </is>
      </c>
      <c r="E92" s="138" t="inlineStr">
        <is>
          <t>explosion</t>
        </is>
      </c>
      <c r="F92" s="138" t="inlineStr">
        <is>
          <t>root</t>
        </is>
      </c>
      <c r="G92" s="138" t="str"/>
      <c r="H92" s="138" t="inlineStr">
        <is>
          <t>顶视/屏幕空间</t>
        </is>
      </c>
      <c r="I92" s="138" t="inlineStr">
        <is>
          <t>default</t>
        </is>
      </c>
      <c r="J92" s="138" t="inlineStr">
        <is>
          <t>跨武器/跨场景</t>
        </is>
      </c>
      <c r="K92" s="138" t="inlineStr">
        <is>
          <t>程序占位</t>
        </is>
      </c>
      <c r="L92" s="138" t="inlineStr">
        <is>
          <t>P1</t>
        </is>
      </c>
      <c r="M92" s="138" t="inlineStr">
        <is>
          <t>v001</t>
        </is>
      </c>
      <c r="N92" s="138" t="inlineStr">
        <is>
          <t>粒子或 8–16 帧序列</t>
        </is>
      </c>
      <c r="O92" s="138" t="str"/>
      <c r="P92" s="138" t="inlineStr">
        <is>
          <t>scenes/ExplosionEffect.tscn</t>
        </is>
      </c>
      <c r="Q92" s="138" t="str"/>
      <c r="R92" s="138">
        <f>LOWER(TRIM(C92)&amp;"|"&amp;TRIM(D92)&amp;"|"&amp;TRIM(E92)&amp;"|"&amp;TRIM(F92)&amp;"|"&amp;TRIM(H92)&amp;"|"&amp;TRIM(I92))</f>
        <v/>
      </c>
      <c r="S92" s="138">
        <f>IF(COUNTIF($R$6:$R$280,R92)&gt;1,"重复","唯一")</f>
        <v/>
      </c>
      <c r="T92" s="138" t="str"/>
      <c r="U92" s="138" t="inlineStr">
        <is>
          <t>待分配</t>
        </is>
      </c>
      <c r="V92" s="303" t="n">
        <v>46224</v>
      </c>
      <c r="W92" s="138" t="inlineStr">
        <is>
          <t>原创/待确认</t>
        </is>
      </c>
      <c r="X92" s="138" t="inlineStr">
        <is>
          <t>颜色/尺寸作参数变体，禁止复制整套</t>
        </is>
      </c>
    </row>
    <row r="93">
      <c r="A93" s="138" t="inlineStr">
        <is>
          <t>VFX-MUZZLE-FLASH</t>
        </is>
      </c>
      <c r="B93" s="138" t="inlineStr">
        <is>
          <t>枪口火焰</t>
        </is>
      </c>
      <c r="C93" s="138" t="inlineStr">
        <is>
          <t>特效</t>
        </is>
      </c>
      <c r="D93" s="138" t="inlineStr">
        <is>
          <t>gameplay_vfx</t>
        </is>
      </c>
      <c r="E93" s="138" t="inlineStr">
        <is>
          <t>muzzle_flash</t>
        </is>
      </c>
      <c r="F93" s="138" t="inlineStr">
        <is>
          <t>root</t>
        </is>
      </c>
      <c r="G93" s="138" t="str"/>
      <c r="H93" s="138" t="inlineStr">
        <is>
          <t>顶视/屏幕空间</t>
        </is>
      </c>
      <c r="I93" s="138" t="inlineStr">
        <is>
          <t>default</t>
        </is>
      </c>
      <c r="J93" s="138" t="inlineStr">
        <is>
          <t>跨武器/跨场景</t>
        </is>
      </c>
      <c r="K93" s="138" t="inlineStr">
        <is>
          <t>程序占位</t>
        </is>
      </c>
      <c r="L93" s="138" t="inlineStr">
        <is>
          <t>P1</t>
        </is>
      </c>
      <c r="M93" s="138" t="inlineStr">
        <is>
          <t>v001</t>
        </is>
      </c>
      <c r="N93" s="138" t="inlineStr">
        <is>
          <t>粒子或 8–16 帧序列</t>
        </is>
      </c>
      <c r="O93" s="138" t="str"/>
      <c r="P93" s="138" t="inlineStr">
        <is>
          <t>src/weapon/WeaponDisplay.gd</t>
        </is>
      </c>
      <c r="Q93" s="138" t="str"/>
      <c r="R93" s="138">
        <f>LOWER(TRIM(C93)&amp;"|"&amp;TRIM(D93)&amp;"|"&amp;TRIM(E93)&amp;"|"&amp;TRIM(F93)&amp;"|"&amp;TRIM(H93)&amp;"|"&amp;TRIM(I93))</f>
        <v/>
      </c>
      <c r="S93" s="138">
        <f>IF(COUNTIF($R$6:$R$280,R93)&gt;1,"重复","唯一")</f>
        <v/>
      </c>
      <c r="T93" s="138" t="str"/>
      <c r="U93" s="138" t="inlineStr">
        <is>
          <t>待分配</t>
        </is>
      </c>
      <c r="V93" s="303" t="n">
        <v>46224</v>
      </c>
      <c r="W93" s="138" t="inlineStr">
        <is>
          <t>原创/待确认</t>
        </is>
      </c>
      <c r="X93" s="138" t="inlineStr">
        <is>
          <t>颜色/尺寸作参数变体，禁止复制整套</t>
        </is>
      </c>
    </row>
    <row r="94">
      <c r="A94" s="138" t="inlineStr">
        <is>
          <t>VFX-DAMAGE-NUMBER</t>
        </is>
      </c>
      <c r="B94" s="138" t="inlineStr">
        <is>
          <t>伤害数字</t>
        </is>
      </c>
      <c r="C94" s="138" t="inlineStr">
        <is>
          <t>特效</t>
        </is>
      </c>
      <c r="D94" s="138" t="inlineStr">
        <is>
          <t>gameplay_vfx</t>
        </is>
      </c>
      <c r="E94" s="138" t="inlineStr">
        <is>
          <t>damage_number</t>
        </is>
      </c>
      <c r="F94" s="138" t="inlineStr">
        <is>
          <t>root</t>
        </is>
      </c>
      <c r="G94" s="138" t="str"/>
      <c r="H94" s="138" t="inlineStr">
        <is>
          <t>顶视/屏幕空间</t>
        </is>
      </c>
      <c r="I94" s="138" t="inlineStr">
        <is>
          <t>default</t>
        </is>
      </c>
      <c r="J94" s="138" t="inlineStr">
        <is>
          <t>跨武器/跨场景</t>
        </is>
      </c>
      <c r="K94" s="138" t="inlineStr">
        <is>
          <t>程序占位</t>
        </is>
      </c>
      <c r="L94" s="138" t="inlineStr">
        <is>
          <t>P2</t>
        </is>
      </c>
      <c r="M94" s="138" t="inlineStr">
        <is>
          <t>v001</t>
        </is>
      </c>
      <c r="N94" s="138" t="inlineStr">
        <is>
          <t>粒子或 8–16 帧序列</t>
        </is>
      </c>
      <c r="O94" s="138" t="str"/>
      <c r="P94" s="138" t="inlineStr">
        <is>
          <t>scenes/DamageNumber.tscn</t>
        </is>
      </c>
      <c r="Q94" s="138" t="str"/>
      <c r="R94" s="138">
        <f>LOWER(TRIM(C94)&amp;"|"&amp;TRIM(D94)&amp;"|"&amp;TRIM(E94)&amp;"|"&amp;TRIM(F94)&amp;"|"&amp;TRIM(H94)&amp;"|"&amp;TRIM(I94))</f>
        <v/>
      </c>
      <c r="S94" s="138">
        <f>IF(COUNTIF($R$6:$R$280,R94)&gt;1,"重复","唯一")</f>
        <v/>
      </c>
      <c r="T94" s="138" t="str"/>
      <c r="U94" s="138" t="inlineStr">
        <is>
          <t>待分配</t>
        </is>
      </c>
      <c r="V94" s="303" t="n">
        <v>46224</v>
      </c>
      <c r="W94" s="138" t="inlineStr">
        <is>
          <t>原创/待确认</t>
        </is>
      </c>
      <c r="X94" s="138" t="inlineStr">
        <is>
          <t>颜色/尺寸作参数变体，禁止复制整套</t>
        </is>
      </c>
    </row>
    <row r="95">
      <c r="A95" s="138" t="inlineStr">
        <is>
          <t>VFX-SPARK</t>
        </is>
      </c>
      <c r="B95" s="138" t="inlineStr">
        <is>
          <t>火花</t>
        </is>
      </c>
      <c r="C95" s="138" t="inlineStr">
        <is>
          <t>特效</t>
        </is>
      </c>
      <c r="D95" s="138" t="inlineStr">
        <is>
          <t>gameplay_vfx</t>
        </is>
      </c>
      <c r="E95" s="138" t="inlineStr">
        <is>
          <t>spark</t>
        </is>
      </c>
      <c r="F95" s="138" t="inlineStr">
        <is>
          <t>root</t>
        </is>
      </c>
      <c r="G95" s="138" t="str"/>
      <c r="H95" s="138" t="inlineStr">
        <is>
          <t>顶视/屏幕空间</t>
        </is>
      </c>
      <c r="I95" s="138" t="inlineStr">
        <is>
          <t>default</t>
        </is>
      </c>
      <c r="J95" s="138" t="inlineStr">
        <is>
          <t>跨武器/跨场景</t>
        </is>
      </c>
      <c r="K95" s="138" t="inlineStr">
        <is>
          <t>程序占位</t>
        </is>
      </c>
      <c r="L95" s="138" t="inlineStr">
        <is>
          <t>P2</t>
        </is>
      </c>
      <c r="M95" s="138" t="inlineStr">
        <is>
          <t>v001</t>
        </is>
      </c>
      <c r="N95" s="138" t="inlineStr">
        <is>
          <t>粒子或 8–16 帧序列</t>
        </is>
      </c>
      <c r="O95" s="138" t="str"/>
      <c r="P95" s="138" t="inlineStr">
        <is>
          <t>src/fx/SparkParticles.gd</t>
        </is>
      </c>
      <c r="Q95" s="138" t="str"/>
      <c r="R95" s="138">
        <f>LOWER(TRIM(C95)&amp;"|"&amp;TRIM(D95)&amp;"|"&amp;TRIM(E95)&amp;"|"&amp;TRIM(F95)&amp;"|"&amp;TRIM(H95)&amp;"|"&amp;TRIM(I95))</f>
        <v/>
      </c>
      <c r="S95" s="138">
        <f>IF(COUNTIF($R$6:$R$280,R95)&gt;1,"重复","唯一")</f>
        <v/>
      </c>
      <c r="T95" s="138" t="str"/>
      <c r="U95" s="138" t="inlineStr">
        <is>
          <t>待分配</t>
        </is>
      </c>
      <c r="V95" s="303" t="n">
        <v>46224</v>
      </c>
      <c r="W95" s="138" t="inlineStr">
        <is>
          <t>原创/待确认</t>
        </is>
      </c>
      <c r="X95" s="138" t="inlineStr">
        <is>
          <t>颜色/尺寸作参数变体，禁止复制整套</t>
        </is>
      </c>
    </row>
    <row r="96">
      <c r="A96" s="138" t="inlineStr">
        <is>
          <t>VFX-ROOM-TRANSITION</t>
        </is>
      </c>
      <c r="B96" s="138" t="inlineStr">
        <is>
          <t>房间转场</t>
        </is>
      </c>
      <c r="C96" s="138" t="inlineStr">
        <is>
          <t>特效</t>
        </is>
      </c>
      <c r="D96" s="138" t="inlineStr">
        <is>
          <t>gameplay_vfx</t>
        </is>
      </c>
      <c r="E96" s="138" t="inlineStr">
        <is>
          <t>room_transition</t>
        </is>
      </c>
      <c r="F96" s="138" t="inlineStr">
        <is>
          <t>root</t>
        </is>
      </c>
      <c r="G96" s="138" t="str"/>
      <c r="H96" s="138" t="inlineStr">
        <is>
          <t>顶视/屏幕空间</t>
        </is>
      </c>
      <c r="I96" s="138" t="inlineStr">
        <is>
          <t>default</t>
        </is>
      </c>
      <c r="J96" s="138" t="inlineStr">
        <is>
          <t>跨武器/跨场景</t>
        </is>
      </c>
      <c r="K96" s="138" t="inlineStr">
        <is>
          <t>程序占位</t>
        </is>
      </c>
      <c r="L96" s="138" t="inlineStr">
        <is>
          <t>P2</t>
        </is>
      </c>
      <c r="M96" s="138" t="inlineStr">
        <is>
          <t>v001</t>
        </is>
      </c>
      <c r="N96" s="138" t="inlineStr">
        <is>
          <t>粒子或 8–16 帧序列</t>
        </is>
      </c>
      <c r="O96" s="138" t="str"/>
      <c r="P96" s="138" t="inlineStr">
        <is>
          <t>src/fx/RoomTransitionFX.gd</t>
        </is>
      </c>
      <c r="Q96" s="138" t="str"/>
      <c r="R96" s="138">
        <f>LOWER(TRIM(C96)&amp;"|"&amp;TRIM(D96)&amp;"|"&amp;TRIM(E96)&amp;"|"&amp;TRIM(F96)&amp;"|"&amp;TRIM(H96)&amp;"|"&amp;TRIM(I96))</f>
        <v/>
      </c>
      <c r="S96" s="138">
        <f>IF(COUNTIF($R$6:$R$280,R96)&gt;1,"重复","唯一")</f>
        <v/>
      </c>
      <c r="T96" s="138" t="str"/>
      <c r="U96" s="138" t="inlineStr">
        <is>
          <t>待分配</t>
        </is>
      </c>
      <c r="V96" s="303" t="n">
        <v>46224</v>
      </c>
      <c r="W96" s="138" t="inlineStr">
        <is>
          <t>原创/待确认</t>
        </is>
      </c>
      <c r="X96" s="138" t="inlineStr">
        <is>
          <t>颜色/尺寸作参数变体，禁止复制整套</t>
        </is>
      </c>
    </row>
    <row r="97">
      <c r="A97" s="138" t="inlineStr">
        <is>
          <t>VFX-HEALTH-VIGNETTE</t>
        </is>
      </c>
      <c r="B97" s="138" t="inlineStr">
        <is>
          <t>低血暗角</t>
        </is>
      </c>
      <c r="C97" s="138" t="inlineStr">
        <is>
          <t>特效</t>
        </is>
      </c>
      <c r="D97" s="138" t="inlineStr">
        <is>
          <t>gameplay_vfx</t>
        </is>
      </c>
      <c r="E97" s="138" t="inlineStr">
        <is>
          <t>health_vignette</t>
        </is>
      </c>
      <c r="F97" s="138" t="inlineStr">
        <is>
          <t>root</t>
        </is>
      </c>
      <c r="G97" s="138" t="str"/>
      <c r="H97" s="138" t="inlineStr">
        <is>
          <t>顶视/屏幕空间</t>
        </is>
      </c>
      <c r="I97" s="138" t="inlineStr">
        <is>
          <t>default</t>
        </is>
      </c>
      <c r="J97" s="138" t="inlineStr">
        <is>
          <t>跨武器/跨场景</t>
        </is>
      </c>
      <c r="K97" s="138" t="inlineStr">
        <is>
          <t>原型已接入</t>
        </is>
      </c>
      <c r="L97" s="138" t="inlineStr">
        <is>
          <t>P2</t>
        </is>
      </c>
      <c r="M97" s="138" t="inlineStr">
        <is>
          <t>v001</t>
        </is>
      </c>
      <c r="N97" s="138" t="inlineStr">
        <is>
          <t>粒子或 8–16 帧序列</t>
        </is>
      </c>
      <c r="O97" s="138" t="inlineStr">
        <is>
          <t>scenes/Dungeon3D.tscn</t>
        </is>
      </c>
      <c r="P97" s="138" t="inlineStr">
        <is>
          <t>src/world3d/Dungeon3D.gd</t>
        </is>
      </c>
      <c r="Q97" s="138" t="str"/>
      <c r="R97" s="138">
        <f>LOWER(TRIM(C97)&amp;"|"&amp;TRIM(D97)&amp;"|"&amp;TRIM(E97)&amp;"|"&amp;TRIM(F97)&amp;"|"&amp;TRIM(H97)&amp;"|"&amp;TRIM(I97))</f>
        <v/>
      </c>
      <c r="S97" s="138">
        <f>IF(COUNTIF($R$6:$R$280,R97)&gt;1,"重复","唯一")</f>
        <v/>
      </c>
      <c r="T97" s="138" t="str"/>
      <c r="U97" s="138" t="inlineStr">
        <is>
          <t>待分配</t>
        </is>
      </c>
      <c r="V97" s="303" t="n">
        <v>46225</v>
      </c>
      <c r="W97" s="138" t="inlineStr">
        <is>
          <t>原创/待确认</t>
        </is>
      </c>
      <c r="X97" s="138" t="inlineStr">
        <is>
          <t>复用低血暗角身份；3D HUD低血时提高边缘强度，不复制第二套逻辑ID</t>
        </is>
      </c>
    </row>
    <row r="98">
      <c r="A98" s="138" t="inlineStr">
        <is>
          <t>VFX-VISIBILITY-LIGHT</t>
        </is>
      </c>
      <c r="B98" s="138" t="inlineStr">
        <is>
          <t>视野光锥</t>
        </is>
      </c>
      <c r="C98" s="138" t="inlineStr">
        <is>
          <t>特效</t>
        </is>
      </c>
      <c r="D98" s="138" t="inlineStr">
        <is>
          <t>gameplay_vfx</t>
        </is>
      </c>
      <c r="E98" s="138" t="inlineStr">
        <is>
          <t>visibility_light</t>
        </is>
      </c>
      <c r="F98" s="138" t="inlineStr">
        <is>
          <t>root</t>
        </is>
      </c>
      <c r="G98" s="138" t="str"/>
      <c r="H98" s="138" t="inlineStr">
        <is>
          <t>顶视/屏幕空间</t>
        </is>
      </c>
      <c r="I98" s="138" t="inlineStr">
        <is>
          <t>default</t>
        </is>
      </c>
      <c r="J98" s="138" t="inlineStr">
        <is>
          <t>跨武器/跨场景</t>
        </is>
      </c>
      <c r="K98" s="138" t="inlineStr">
        <is>
          <t>程序占位</t>
        </is>
      </c>
      <c r="L98" s="138" t="inlineStr">
        <is>
          <t>P2</t>
        </is>
      </c>
      <c r="M98" s="138" t="inlineStr">
        <is>
          <t>v001</t>
        </is>
      </c>
      <c r="N98" s="138" t="inlineStr">
        <is>
          <t>粒子或 8–16 帧序列</t>
        </is>
      </c>
      <c r="O98" s="138" t="str"/>
      <c r="P98" s="138" t="inlineStr">
        <is>
          <t>src/fx/VisibilityLight2D.gd</t>
        </is>
      </c>
      <c r="Q98" s="138" t="str"/>
      <c r="R98" s="138">
        <f>LOWER(TRIM(C98)&amp;"|"&amp;TRIM(D98)&amp;"|"&amp;TRIM(E98)&amp;"|"&amp;TRIM(F98)&amp;"|"&amp;TRIM(H98)&amp;"|"&amp;TRIM(I98))</f>
        <v/>
      </c>
      <c r="S98" s="138">
        <f>IF(COUNTIF($R$6:$R$280,R98)&gt;1,"重复","唯一")</f>
        <v/>
      </c>
      <c r="T98" s="138" t="str"/>
      <c r="U98" s="138" t="inlineStr">
        <is>
          <t>待分配</t>
        </is>
      </c>
      <c r="V98" s="303" t="n">
        <v>46225</v>
      </c>
      <c r="W98" s="138" t="inlineStr">
        <is>
          <t>原创/待确认</t>
        </is>
      </c>
      <c r="X98" s="138" t="inlineStr">
        <is>
          <t>2D视野表现根；3D真实判定与地面网格登记为 VFX-VISIBILITY-FIELD-3D，禁止用灯光替代</t>
        </is>
      </c>
    </row>
    <row r="99">
      <c r="A99" s="138" t="inlineStr">
        <is>
          <t>VFX-EXTRACTION-BEACON</t>
        </is>
      </c>
      <c r="B99" s="138" t="inlineStr">
        <is>
          <t>撤离信标效果</t>
        </is>
      </c>
      <c r="C99" s="138" t="inlineStr">
        <is>
          <t>特效</t>
        </is>
      </c>
      <c r="D99" s="138" t="inlineStr">
        <is>
          <t>gameplay_vfx</t>
        </is>
      </c>
      <c r="E99" s="138" t="inlineStr">
        <is>
          <t>extraction_beacon</t>
        </is>
      </c>
      <c r="F99" s="138" t="inlineStr">
        <is>
          <t>root</t>
        </is>
      </c>
      <c r="G99" s="138" t="str"/>
      <c r="H99" s="138" t="inlineStr">
        <is>
          <t>顶视/屏幕空间</t>
        </is>
      </c>
      <c r="I99" s="138" t="inlineStr">
        <is>
          <t>default</t>
        </is>
      </c>
      <c r="J99" s="138" t="inlineStr">
        <is>
          <t>跨武器/跨场景</t>
        </is>
      </c>
      <c r="K99" s="138" t="inlineStr">
        <is>
          <t>程序占位</t>
        </is>
      </c>
      <c r="L99" s="138" t="inlineStr">
        <is>
          <t>P2</t>
        </is>
      </c>
      <c r="M99" s="138" t="inlineStr">
        <is>
          <t>v001</t>
        </is>
      </c>
      <c r="N99" s="138" t="inlineStr">
        <is>
          <t>粒子或 8–16 帧序列</t>
        </is>
      </c>
      <c r="O99" s="138" t="str"/>
      <c r="P99" s="138" t="inlineStr">
        <is>
          <t>src/map/ExtractionDirector.gd</t>
        </is>
      </c>
      <c r="Q99" s="138" t="str"/>
      <c r="R99" s="138">
        <f>LOWER(TRIM(C99)&amp;"|"&amp;TRIM(D99)&amp;"|"&amp;TRIM(E99)&amp;"|"&amp;TRIM(F99)&amp;"|"&amp;TRIM(H99)&amp;"|"&amp;TRIM(I99))</f>
        <v/>
      </c>
      <c r="S99" s="138">
        <f>IF(COUNTIF($R$6:$R$280,R99)&gt;1,"重复","唯一")</f>
        <v/>
      </c>
      <c r="T99" s="138" t="str"/>
      <c r="U99" s="138" t="inlineStr">
        <is>
          <t>待分配</t>
        </is>
      </c>
      <c r="V99" s="303" t="n">
        <v>46224</v>
      </c>
      <c r="W99" s="138" t="inlineStr">
        <is>
          <t>原创/待确认</t>
        </is>
      </c>
      <c r="X99" s="138" t="inlineStr">
        <is>
          <t>颜色/尺寸作参数变体，禁止复制整套</t>
        </is>
      </c>
    </row>
    <row r="100">
      <c r="A100" s="138" t="inlineStr">
        <is>
          <t>AUD-BGM-WASTELAND</t>
        </is>
      </c>
      <c r="B100" s="138" t="inlineStr">
        <is>
          <t>末日荒野 BGM</t>
        </is>
      </c>
      <c r="C100" s="138" t="inlineStr">
        <is>
          <t>音频</t>
        </is>
      </c>
      <c r="D100" s="138" t="inlineStr">
        <is>
          <t>bgm</t>
        </is>
      </c>
      <c r="E100" s="138" t="inlineStr">
        <is>
          <t>bgm_wasteland</t>
        </is>
      </c>
      <c r="F100" s="138" t="inlineStr">
        <is>
          <t>root</t>
        </is>
      </c>
      <c r="G100" s="138" t="str"/>
      <c r="H100" s="138" t="inlineStr">
        <is>
          <t>不适用</t>
        </is>
      </c>
      <c r="I100" s="138" t="inlineStr">
        <is>
          <t>default</t>
        </is>
      </c>
      <c r="J100" s="138" t="inlineStr">
        <is>
          <t>按事件复用</t>
        </is>
      </c>
      <c r="K100" s="138" t="inlineStr">
        <is>
          <t>已完成</t>
        </is>
      </c>
      <c r="L100" s="138" t="inlineStr">
        <is>
          <t>P2</t>
        </is>
      </c>
      <c r="M100" s="138" t="inlineStr">
        <is>
          <t>v001</t>
        </is>
      </c>
      <c r="N100" s="138" t="inlineStr">
        <is>
          <t>循环 WAV/OGG</t>
        </is>
      </c>
      <c r="O100" s="138" t="str"/>
      <c r="P100" s="138" t="inlineStr">
        <is>
          <t>bgm_wasteland.wav</t>
        </is>
      </c>
      <c r="Q100" s="138" t="str"/>
      <c r="R100" s="138">
        <f>LOWER(TRIM(C100)&amp;"|"&amp;TRIM(D100)&amp;"|"&amp;TRIM(E100)&amp;"|"&amp;TRIM(F100)&amp;"|"&amp;TRIM(H100)&amp;"|"&amp;TRIM(I100))</f>
        <v/>
      </c>
      <c r="S100" s="138">
        <f>IF(COUNTIF($R$6:$R$280,R100)&gt;1,"重复","唯一")</f>
        <v/>
      </c>
      <c r="T100" s="138" t="str"/>
      <c r="U100" s="138" t="inlineStr">
        <is>
          <t>待分配</t>
        </is>
      </c>
      <c r="V100" s="303" t="n">
        <v>46224</v>
      </c>
      <c r="W100" s="138" t="inlineStr">
        <is>
          <t>项目现有/待核对</t>
        </is>
      </c>
      <c r="X100" s="138" t="str"/>
    </row>
    <row r="101">
      <c r="A101" s="138" t="inlineStr">
        <is>
          <t>AUD-PISTOL-FIRE</t>
        </is>
      </c>
      <c r="B101" s="138" t="inlineStr">
        <is>
          <t>手枪射击</t>
        </is>
      </c>
      <c r="C101" s="138" t="inlineStr">
        <is>
          <t>音频</t>
        </is>
      </c>
      <c r="D101" s="138" t="inlineStr">
        <is>
          <t>sfx</t>
        </is>
      </c>
      <c r="E101" s="138" t="inlineStr">
        <is>
          <t>pistol_fire</t>
        </is>
      </c>
      <c r="F101" s="138" t="inlineStr">
        <is>
          <t>root</t>
        </is>
      </c>
      <c r="G101" s="138" t="str"/>
      <c r="H101" s="138" t="inlineStr">
        <is>
          <t>不适用</t>
        </is>
      </c>
      <c r="I101" s="138" t="inlineStr">
        <is>
          <t>default</t>
        </is>
      </c>
      <c r="J101" s="138" t="inlineStr">
        <is>
          <t>按事件复用</t>
        </is>
      </c>
      <c r="K101" s="138" t="inlineStr">
        <is>
          <t>待制作</t>
        </is>
      </c>
      <c r="L101" s="138" t="inlineStr">
        <is>
          <t>P2</t>
        </is>
      </c>
      <c r="M101" s="138" t="inlineStr">
        <is>
          <t>v001</t>
        </is>
      </c>
      <c r="N101" s="138" t="inlineStr">
        <is>
          <t>0.1–2.0s WAV/OGG</t>
        </is>
      </c>
      <c r="O101" s="138" t="str"/>
      <c r="P101" s="138" t="inlineStr">
        <is>
          <t>src/core/AudioManager.gd</t>
        </is>
      </c>
      <c r="Q101" s="138" t="str"/>
      <c r="R101" s="138">
        <f>LOWER(TRIM(C101)&amp;"|"&amp;TRIM(D101)&amp;"|"&amp;TRIM(E101)&amp;"|"&amp;TRIM(F101)&amp;"|"&amp;TRIM(H101)&amp;"|"&amp;TRIM(I101))</f>
        <v/>
      </c>
      <c r="S101" s="138">
        <f>IF(COUNTIF($R$6:$R$280,R101)&gt;1,"重复","唯一")</f>
        <v/>
      </c>
      <c r="T101" s="138" t="str"/>
      <c r="U101" s="138" t="inlineStr">
        <is>
          <t>待分配</t>
        </is>
      </c>
      <c r="V101" s="303" t="n">
        <v>46224</v>
      </c>
      <c r="W101" s="138" t="inlineStr">
        <is>
          <t>原创/待确认</t>
        </is>
      </c>
      <c r="X101" s="138" t="str"/>
    </row>
    <row r="102">
      <c r="A102" s="138" t="inlineStr">
        <is>
          <t>AUD-RIFLE-FIRE</t>
        </is>
      </c>
      <c r="B102" s="138" t="inlineStr">
        <is>
          <t>步枪射击</t>
        </is>
      </c>
      <c r="C102" s="138" t="inlineStr">
        <is>
          <t>音频</t>
        </is>
      </c>
      <c r="D102" s="138" t="inlineStr">
        <is>
          <t>sfx</t>
        </is>
      </c>
      <c r="E102" s="138" t="inlineStr">
        <is>
          <t>rifle_fire</t>
        </is>
      </c>
      <c r="F102" s="138" t="inlineStr">
        <is>
          <t>root</t>
        </is>
      </c>
      <c r="G102" s="138" t="str"/>
      <c r="H102" s="138" t="inlineStr">
        <is>
          <t>不适用</t>
        </is>
      </c>
      <c r="I102" s="138" t="inlineStr">
        <is>
          <t>default</t>
        </is>
      </c>
      <c r="J102" s="138" t="inlineStr">
        <is>
          <t>按事件复用</t>
        </is>
      </c>
      <c r="K102" s="138" t="inlineStr">
        <is>
          <t>待制作</t>
        </is>
      </c>
      <c r="L102" s="138" t="inlineStr">
        <is>
          <t>P2</t>
        </is>
      </c>
      <c r="M102" s="138" t="inlineStr">
        <is>
          <t>v001</t>
        </is>
      </c>
      <c r="N102" s="138" t="inlineStr">
        <is>
          <t>0.1–2.0s WAV/OGG</t>
        </is>
      </c>
      <c r="O102" s="138" t="str"/>
      <c r="P102" s="138" t="inlineStr">
        <is>
          <t>src/core/AudioManager.gd</t>
        </is>
      </c>
      <c r="Q102" s="138" t="str"/>
      <c r="R102" s="138">
        <f>LOWER(TRIM(C102)&amp;"|"&amp;TRIM(D102)&amp;"|"&amp;TRIM(E102)&amp;"|"&amp;TRIM(F102)&amp;"|"&amp;TRIM(H102)&amp;"|"&amp;TRIM(I102))</f>
        <v/>
      </c>
      <c r="S102" s="138">
        <f>IF(COUNTIF($R$6:$R$280,R102)&gt;1,"重复","唯一")</f>
        <v/>
      </c>
      <c r="T102" s="138" t="str"/>
      <c r="U102" s="138" t="inlineStr">
        <is>
          <t>待分配</t>
        </is>
      </c>
      <c r="V102" s="303" t="n">
        <v>46224</v>
      </c>
      <c r="W102" s="138" t="inlineStr">
        <is>
          <t>原创/待确认</t>
        </is>
      </c>
      <c r="X102" s="138" t="str"/>
    </row>
    <row r="103">
      <c r="A103" s="138" t="inlineStr">
        <is>
          <t>AUD-SHOTGUN-FIRE</t>
        </is>
      </c>
      <c r="B103" s="138" t="inlineStr">
        <is>
          <t>霰弹枪射击</t>
        </is>
      </c>
      <c r="C103" s="138" t="inlineStr">
        <is>
          <t>音频</t>
        </is>
      </c>
      <c r="D103" s="138" t="inlineStr">
        <is>
          <t>sfx</t>
        </is>
      </c>
      <c r="E103" s="138" t="inlineStr">
        <is>
          <t>shotgun_fire</t>
        </is>
      </c>
      <c r="F103" s="138" t="inlineStr">
        <is>
          <t>root</t>
        </is>
      </c>
      <c r="G103" s="138" t="str"/>
      <c r="H103" s="138" t="inlineStr">
        <is>
          <t>不适用</t>
        </is>
      </c>
      <c r="I103" s="138" t="inlineStr">
        <is>
          <t>default</t>
        </is>
      </c>
      <c r="J103" s="138" t="inlineStr">
        <is>
          <t>按事件复用</t>
        </is>
      </c>
      <c r="K103" s="138" t="inlineStr">
        <is>
          <t>待制作</t>
        </is>
      </c>
      <c r="L103" s="138" t="inlineStr">
        <is>
          <t>P2</t>
        </is>
      </c>
      <c r="M103" s="138" t="inlineStr">
        <is>
          <t>v001</t>
        </is>
      </c>
      <c r="N103" s="138" t="inlineStr">
        <is>
          <t>0.1–2.0s WAV/OGG</t>
        </is>
      </c>
      <c r="O103" s="138" t="str"/>
      <c r="P103" s="138" t="inlineStr">
        <is>
          <t>src/core/AudioManager.gd</t>
        </is>
      </c>
      <c r="Q103" s="138" t="str"/>
      <c r="R103" s="138">
        <f>LOWER(TRIM(C103)&amp;"|"&amp;TRIM(D103)&amp;"|"&amp;TRIM(E103)&amp;"|"&amp;TRIM(F103)&amp;"|"&amp;TRIM(H103)&amp;"|"&amp;TRIM(I103))</f>
        <v/>
      </c>
      <c r="S103" s="138">
        <f>IF(COUNTIF($R$6:$R$280,R103)&gt;1,"重复","唯一")</f>
        <v/>
      </c>
      <c r="T103" s="138" t="str"/>
      <c r="U103" s="138" t="inlineStr">
        <is>
          <t>待分配</t>
        </is>
      </c>
      <c r="V103" s="303" t="n">
        <v>46224</v>
      </c>
      <c r="W103" s="138" t="inlineStr">
        <is>
          <t>原创/待确认</t>
        </is>
      </c>
      <c r="X103" s="138" t="str"/>
    </row>
    <row r="104">
      <c r="A104" s="138" t="inlineStr">
        <is>
          <t>AUD-SMG-FIRE</t>
        </is>
      </c>
      <c r="B104" s="138" t="inlineStr">
        <is>
          <t>机枪射击</t>
        </is>
      </c>
      <c r="C104" s="138" t="inlineStr">
        <is>
          <t>音频</t>
        </is>
      </c>
      <c r="D104" s="138" t="inlineStr">
        <is>
          <t>sfx</t>
        </is>
      </c>
      <c r="E104" s="138" t="inlineStr">
        <is>
          <t>smg_fire</t>
        </is>
      </c>
      <c r="F104" s="138" t="inlineStr">
        <is>
          <t>root</t>
        </is>
      </c>
      <c r="G104" s="138" t="str"/>
      <c r="H104" s="138" t="inlineStr">
        <is>
          <t>不适用</t>
        </is>
      </c>
      <c r="I104" s="138" t="inlineStr">
        <is>
          <t>default</t>
        </is>
      </c>
      <c r="J104" s="138" t="inlineStr">
        <is>
          <t>按事件复用</t>
        </is>
      </c>
      <c r="K104" s="138" t="inlineStr">
        <is>
          <t>待制作</t>
        </is>
      </c>
      <c r="L104" s="138" t="inlineStr">
        <is>
          <t>P2</t>
        </is>
      </c>
      <c r="M104" s="138" t="inlineStr">
        <is>
          <t>v001</t>
        </is>
      </c>
      <c r="N104" s="138" t="inlineStr">
        <is>
          <t>0.1–2.0s WAV/OGG</t>
        </is>
      </c>
      <c r="O104" s="138" t="str"/>
      <c r="P104" s="138" t="inlineStr">
        <is>
          <t>src/core/AudioManager.gd</t>
        </is>
      </c>
      <c r="Q104" s="138" t="str"/>
      <c r="R104" s="138">
        <f>LOWER(TRIM(C104)&amp;"|"&amp;TRIM(D104)&amp;"|"&amp;TRIM(E104)&amp;"|"&amp;TRIM(F104)&amp;"|"&amp;TRIM(H104)&amp;"|"&amp;TRIM(I104))</f>
        <v/>
      </c>
      <c r="S104" s="138">
        <f>IF(COUNTIF($R$6:$R$280,R104)&gt;1,"重复","唯一")</f>
        <v/>
      </c>
      <c r="T104" s="138" t="str"/>
      <c r="U104" s="138" t="inlineStr">
        <is>
          <t>待分配</t>
        </is>
      </c>
      <c r="V104" s="303" t="n">
        <v>46224</v>
      </c>
      <c r="W104" s="138" t="inlineStr">
        <is>
          <t>原创/待确认</t>
        </is>
      </c>
      <c r="X104" s="138" t="str"/>
    </row>
    <row r="105">
      <c r="A105" s="138" t="inlineStr">
        <is>
          <t>AUD-SNIPER-FIRE</t>
        </is>
      </c>
      <c r="B105" s="138" t="inlineStr">
        <is>
          <t>狙击射击</t>
        </is>
      </c>
      <c r="C105" s="138" t="inlineStr">
        <is>
          <t>音频</t>
        </is>
      </c>
      <c r="D105" s="138" t="inlineStr">
        <is>
          <t>sfx</t>
        </is>
      </c>
      <c r="E105" s="138" t="inlineStr">
        <is>
          <t>sniper_fire</t>
        </is>
      </c>
      <c r="F105" s="138" t="inlineStr">
        <is>
          <t>root</t>
        </is>
      </c>
      <c r="G105" s="138" t="str"/>
      <c r="H105" s="138" t="inlineStr">
        <is>
          <t>不适用</t>
        </is>
      </c>
      <c r="I105" s="138" t="inlineStr">
        <is>
          <t>default</t>
        </is>
      </c>
      <c r="J105" s="138" t="inlineStr">
        <is>
          <t>按事件复用</t>
        </is>
      </c>
      <c r="K105" s="138" t="inlineStr">
        <is>
          <t>待制作</t>
        </is>
      </c>
      <c r="L105" s="138" t="inlineStr">
        <is>
          <t>P2</t>
        </is>
      </c>
      <c r="M105" s="138" t="inlineStr">
        <is>
          <t>v001</t>
        </is>
      </c>
      <c r="N105" s="138" t="inlineStr">
        <is>
          <t>0.1–2.0s WAV/OGG</t>
        </is>
      </c>
      <c r="O105" s="138" t="str"/>
      <c r="P105" s="138" t="inlineStr">
        <is>
          <t>src/core/AudioManager.gd</t>
        </is>
      </c>
      <c r="Q105" s="138" t="str"/>
      <c r="R105" s="138">
        <f>LOWER(TRIM(C105)&amp;"|"&amp;TRIM(D105)&amp;"|"&amp;TRIM(E105)&amp;"|"&amp;TRIM(F105)&amp;"|"&amp;TRIM(H105)&amp;"|"&amp;TRIM(I105))</f>
        <v/>
      </c>
      <c r="S105" s="138">
        <f>IF(COUNTIF($R$6:$R$280,R105)&gt;1,"重复","唯一")</f>
        <v/>
      </c>
      <c r="T105" s="138" t="str"/>
      <c r="U105" s="138" t="inlineStr">
        <is>
          <t>待分配</t>
        </is>
      </c>
      <c r="V105" s="303" t="n">
        <v>46224</v>
      </c>
      <c r="W105" s="138" t="inlineStr">
        <is>
          <t>原创/待确认</t>
        </is>
      </c>
      <c r="X105" s="138" t="str"/>
    </row>
    <row r="106">
      <c r="A106" s="138" t="inlineStr">
        <is>
          <t>AUD-PLAYER-HIT</t>
        </is>
      </c>
      <c r="B106" s="138" t="inlineStr">
        <is>
          <t>玩家受击</t>
        </is>
      </c>
      <c r="C106" s="138" t="inlineStr">
        <is>
          <t>音频</t>
        </is>
      </c>
      <c r="D106" s="138" t="inlineStr">
        <is>
          <t>sfx</t>
        </is>
      </c>
      <c r="E106" s="138" t="inlineStr">
        <is>
          <t>player_hit</t>
        </is>
      </c>
      <c r="F106" s="138" t="inlineStr">
        <is>
          <t>root</t>
        </is>
      </c>
      <c r="G106" s="138" t="str"/>
      <c r="H106" s="138" t="inlineStr">
        <is>
          <t>不适用</t>
        </is>
      </c>
      <c r="I106" s="138" t="inlineStr">
        <is>
          <t>default</t>
        </is>
      </c>
      <c r="J106" s="138" t="inlineStr">
        <is>
          <t>按事件复用</t>
        </is>
      </c>
      <c r="K106" s="138" t="inlineStr">
        <is>
          <t>待制作</t>
        </is>
      </c>
      <c r="L106" s="138" t="inlineStr">
        <is>
          <t>P2</t>
        </is>
      </c>
      <c r="M106" s="138" t="inlineStr">
        <is>
          <t>v001</t>
        </is>
      </c>
      <c r="N106" s="138" t="inlineStr">
        <is>
          <t>0.1–2.0s WAV/OGG</t>
        </is>
      </c>
      <c r="O106" s="138" t="str"/>
      <c r="P106" s="138" t="inlineStr">
        <is>
          <t>src/core/AudioManager.gd</t>
        </is>
      </c>
      <c r="Q106" s="138" t="str"/>
      <c r="R106" s="138">
        <f>LOWER(TRIM(C106)&amp;"|"&amp;TRIM(D106)&amp;"|"&amp;TRIM(E106)&amp;"|"&amp;TRIM(F106)&amp;"|"&amp;TRIM(H106)&amp;"|"&amp;TRIM(I106))</f>
        <v/>
      </c>
      <c r="S106" s="138">
        <f>IF(COUNTIF($R$6:$R$280,R106)&gt;1,"重复","唯一")</f>
        <v/>
      </c>
      <c r="T106" s="138" t="str"/>
      <c r="U106" s="138" t="inlineStr">
        <is>
          <t>待分配</t>
        </is>
      </c>
      <c r="V106" s="303" t="n">
        <v>46224</v>
      </c>
      <c r="W106" s="138" t="inlineStr">
        <is>
          <t>原创/待确认</t>
        </is>
      </c>
      <c r="X106" s="138" t="str"/>
    </row>
    <row r="107">
      <c r="A107" s="138" t="inlineStr">
        <is>
          <t>AUD-PLAYER-DASH</t>
        </is>
      </c>
      <c r="B107" s="138" t="inlineStr">
        <is>
          <t>玩家冲刺</t>
        </is>
      </c>
      <c r="C107" s="138" t="inlineStr">
        <is>
          <t>音频</t>
        </is>
      </c>
      <c r="D107" s="138" t="inlineStr">
        <is>
          <t>sfx</t>
        </is>
      </c>
      <c r="E107" s="138" t="inlineStr">
        <is>
          <t>player_dash</t>
        </is>
      </c>
      <c r="F107" s="138" t="inlineStr">
        <is>
          <t>root</t>
        </is>
      </c>
      <c r="G107" s="138" t="str"/>
      <c r="H107" s="138" t="inlineStr">
        <is>
          <t>不适用</t>
        </is>
      </c>
      <c r="I107" s="138" t="inlineStr">
        <is>
          <t>default</t>
        </is>
      </c>
      <c r="J107" s="138" t="inlineStr">
        <is>
          <t>按事件复用</t>
        </is>
      </c>
      <c r="K107" s="138" t="inlineStr">
        <is>
          <t>待制作</t>
        </is>
      </c>
      <c r="L107" s="138" t="inlineStr">
        <is>
          <t>P2</t>
        </is>
      </c>
      <c r="M107" s="138" t="inlineStr">
        <is>
          <t>v001</t>
        </is>
      </c>
      <c r="N107" s="138" t="inlineStr">
        <is>
          <t>0.1–2.0s WAV/OGG</t>
        </is>
      </c>
      <c r="O107" s="138" t="str"/>
      <c r="P107" s="138" t="inlineStr">
        <is>
          <t>src/core/AudioManager.gd</t>
        </is>
      </c>
      <c r="Q107" s="138" t="str"/>
      <c r="R107" s="138">
        <f>LOWER(TRIM(C107)&amp;"|"&amp;TRIM(D107)&amp;"|"&amp;TRIM(E107)&amp;"|"&amp;TRIM(F107)&amp;"|"&amp;TRIM(H107)&amp;"|"&amp;TRIM(I107))</f>
        <v/>
      </c>
      <c r="S107" s="138">
        <f>IF(COUNTIF($R$6:$R$280,R107)&gt;1,"重复","唯一")</f>
        <v/>
      </c>
      <c r="T107" s="138" t="str"/>
      <c r="U107" s="138" t="inlineStr">
        <is>
          <t>待分配</t>
        </is>
      </c>
      <c r="V107" s="303" t="n">
        <v>46224</v>
      </c>
      <c r="W107" s="138" t="inlineStr">
        <is>
          <t>原创/待确认</t>
        </is>
      </c>
      <c r="X107" s="138" t="str"/>
    </row>
    <row r="108">
      <c r="A108" s="138" t="inlineStr">
        <is>
          <t>AUD-ENEMY-HIT</t>
        </is>
      </c>
      <c r="B108" s="138" t="inlineStr">
        <is>
          <t>敌人受击</t>
        </is>
      </c>
      <c r="C108" s="138" t="inlineStr">
        <is>
          <t>音频</t>
        </is>
      </c>
      <c r="D108" s="138" t="inlineStr">
        <is>
          <t>sfx</t>
        </is>
      </c>
      <c r="E108" s="138" t="inlineStr">
        <is>
          <t>enemy_hit</t>
        </is>
      </c>
      <c r="F108" s="138" t="inlineStr">
        <is>
          <t>root</t>
        </is>
      </c>
      <c r="G108" s="138" t="str"/>
      <c r="H108" s="138" t="inlineStr">
        <is>
          <t>不适用</t>
        </is>
      </c>
      <c r="I108" s="138" t="inlineStr">
        <is>
          <t>default</t>
        </is>
      </c>
      <c r="J108" s="138" t="inlineStr">
        <is>
          <t>按事件复用</t>
        </is>
      </c>
      <c r="K108" s="138" t="inlineStr">
        <is>
          <t>待制作</t>
        </is>
      </c>
      <c r="L108" s="138" t="inlineStr">
        <is>
          <t>P2</t>
        </is>
      </c>
      <c r="M108" s="138" t="inlineStr">
        <is>
          <t>v001</t>
        </is>
      </c>
      <c r="N108" s="138" t="inlineStr">
        <is>
          <t>0.1–2.0s WAV/OGG</t>
        </is>
      </c>
      <c r="O108" s="138" t="str"/>
      <c r="P108" s="138" t="inlineStr">
        <is>
          <t>src/core/AudioManager.gd</t>
        </is>
      </c>
      <c r="Q108" s="138" t="str"/>
      <c r="R108" s="138">
        <f>LOWER(TRIM(C108)&amp;"|"&amp;TRIM(D108)&amp;"|"&amp;TRIM(E108)&amp;"|"&amp;TRIM(F108)&amp;"|"&amp;TRIM(H108)&amp;"|"&amp;TRIM(I108))</f>
        <v/>
      </c>
      <c r="S108" s="138">
        <f>IF(COUNTIF($R$6:$R$280,R108)&gt;1,"重复","唯一")</f>
        <v/>
      </c>
      <c r="T108" s="138" t="str"/>
      <c r="U108" s="138" t="inlineStr">
        <is>
          <t>待分配</t>
        </is>
      </c>
      <c r="V108" s="303" t="n">
        <v>46224</v>
      </c>
      <c r="W108" s="138" t="inlineStr">
        <is>
          <t>原创/待确认</t>
        </is>
      </c>
      <c r="X108" s="138" t="str"/>
    </row>
    <row r="109">
      <c r="A109" s="138" t="inlineStr">
        <is>
          <t>AUD-ENEMY-DIE</t>
        </is>
      </c>
      <c r="B109" s="138" t="inlineStr">
        <is>
          <t>敌人死亡</t>
        </is>
      </c>
      <c r="C109" s="138" t="inlineStr">
        <is>
          <t>音频</t>
        </is>
      </c>
      <c r="D109" s="138" t="inlineStr">
        <is>
          <t>sfx</t>
        </is>
      </c>
      <c r="E109" s="138" t="inlineStr">
        <is>
          <t>enemy_die</t>
        </is>
      </c>
      <c r="F109" s="138" t="inlineStr">
        <is>
          <t>root</t>
        </is>
      </c>
      <c r="G109" s="138" t="str"/>
      <c r="H109" s="138" t="inlineStr">
        <is>
          <t>不适用</t>
        </is>
      </c>
      <c r="I109" s="138" t="inlineStr">
        <is>
          <t>default</t>
        </is>
      </c>
      <c r="J109" s="138" t="inlineStr">
        <is>
          <t>按事件复用</t>
        </is>
      </c>
      <c r="K109" s="138" t="inlineStr">
        <is>
          <t>待制作</t>
        </is>
      </c>
      <c r="L109" s="138" t="inlineStr">
        <is>
          <t>P2</t>
        </is>
      </c>
      <c r="M109" s="138" t="inlineStr">
        <is>
          <t>v001</t>
        </is>
      </c>
      <c r="N109" s="138" t="inlineStr">
        <is>
          <t>0.1–2.0s WAV/OGG</t>
        </is>
      </c>
      <c r="O109" s="138" t="str"/>
      <c r="P109" s="138" t="inlineStr">
        <is>
          <t>src/core/AudioManager.gd</t>
        </is>
      </c>
      <c r="Q109" s="138" t="str"/>
      <c r="R109" s="138">
        <f>LOWER(TRIM(C109)&amp;"|"&amp;TRIM(D109)&amp;"|"&amp;TRIM(E109)&amp;"|"&amp;TRIM(F109)&amp;"|"&amp;TRIM(H109)&amp;"|"&amp;TRIM(I109))</f>
        <v/>
      </c>
      <c r="S109" s="138">
        <f>IF(COUNTIF($R$6:$R$280,R109)&gt;1,"重复","唯一")</f>
        <v/>
      </c>
      <c r="T109" s="138" t="str"/>
      <c r="U109" s="138" t="inlineStr">
        <is>
          <t>待分配</t>
        </is>
      </c>
      <c r="V109" s="303" t="n">
        <v>46224</v>
      </c>
      <c r="W109" s="138" t="inlineStr">
        <is>
          <t>原创/待确认</t>
        </is>
      </c>
      <c r="X109" s="138" t="str"/>
    </row>
    <row r="110">
      <c r="A110" s="138" t="inlineStr">
        <is>
          <t>AUD-RELOAD</t>
        </is>
      </c>
      <c r="B110" s="138" t="inlineStr">
        <is>
          <t>换弹</t>
        </is>
      </c>
      <c r="C110" s="138" t="inlineStr">
        <is>
          <t>音频</t>
        </is>
      </c>
      <c r="D110" s="138" t="inlineStr">
        <is>
          <t>sfx</t>
        </is>
      </c>
      <c r="E110" s="138" t="inlineStr">
        <is>
          <t>reload</t>
        </is>
      </c>
      <c r="F110" s="138" t="inlineStr">
        <is>
          <t>root</t>
        </is>
      </c>
      <c r="G110" s="138" t="str"/>
      <c r="H110" s="138" t="inlineStr">
        <is>
          <t>不适用</t>
        </is>
      </c>
      <c r="I110" s="138" t="inlineStr">
        <is>
          <t>default</t>
        </is>
      </c>
      <c r="J110" s="138" t="inlineStr">
        <is>
          <t>按事件复用</t>
        </is>
      </c>
      <c r="K110" s="138" t="inlineStr">
        <is>
          <t>待制作</t>
        </is>
      </c>
      <c r="L110" s="138" t="inlineStr">
        <is>
          <t>P2</t>
        </is>
      </c>
      <c r="M110" s="138" t="inlineStr">
        <is>
          <t>v001</t>
        </is>
      </c>
      <c r="N110" s="138" t="inlineStr">
        <is>
          <t>0.1–2.0s WAV/OGG</t>
        </is>
      </c>
      <c r="O110" s="138" t="str"/>
      <c r="P110" s="138" t="inlineStr">
        <is>
          <t>src/core/AudioManager.gd</t>
        </is>
      </c>
      <c r="Q110" s="138" t="str"/>
      <c r="R110" s="138">
        <f>LOWER(TRIM(C110)&amp;"|"&amp;TRIM(D110)&amp;"|"&amp;TRIM(E110)&amp;"|"&amp;TRIM(F110)&amp;"|"&amp;TRIM(H110)&amp;"|"&amp;TRIM(I110))</f>
        <v/>
      </c>
      <c r="S110" s="138">
        <f>IF(COUNTIF($R$6:$R$280,R110)&gt;1,"重复","唯一")</f>
        <v/>
      </c>
      <c r="T110" s="138" t="str"/>
      <c r="U110" s="138" t="inlineStr">
        <is>
          <t>待分配</t>
        </is>
      </c>
      <c r="V110" s="303" t="n">
        <v>46224</v>
      </c>
      <c r="W110" s="138" t="inlineStr">
        <is>
          <t>原创/待确认</t>
        </is>
      </c>
      <c r="X110" s="138" t="str"/>
    </row>
    <row r="111">
      <c r="A111" s="138" t="inlineStr">
        <is>
          <t>AUD-EXTRACTION-START</t>
        </is>
      </c>
      <c r="B111" s="138" t="inlineStr">
        <is>
          <t>撤离启动</t>
        </is>
      </c>
      <c r="C111" s="138" t="inlineStr">
        <is>
          <t>音频</t>
        </is>
      </c>
      <c r="D111" s="138" t="inlineStr">
        <is>
          <t>sfx</t>
        </is>
      </c>
      <c r="E111" s="138" t="inlineStr">
        <is>
          <t>extraction_start</t>
        </is>
      </c>
      <c r="F111" s="138" t="inlineStr">
        <is>
          <t>root</t>
        </is>
      </c>
      <c r="G111" s="138" t="str"/>
      <c r="H111" s="138" t="inlineStr">
        <is>
          <t>不适用</t>
        </is>
      </c>
      <c r="I111" s="138" t="inlineStr">
        <is>
          <t>default</t>
        </is>
      </c>
      <c r="J111" s="138" t="inlineStr">
        <is>
          <t>按事件复用</t>
        </is>
      </c>
      <c r="K111" s="138" t="inlineStr">
        <is>
          <t>待制作</t>
        </is>
      </c>
      <c r="L111" s="138" t="inlineStr">
        <is>
          <t>P2</t>
        </is>
      </c>
      <c r="M111" s="138" t="inlineStr">
        <is>
          <t>v001</t>
        </is>
      </c>
      <c r="N111" s="138" t="inlineStr">
        <is>
          <t>0.1–2.0s WAV/OGG</t>
        </is>
      </c>
      <c r="O111" s="138" t="str"/>
      <c r="P111" s="138" t="inlineStr">
        <is>
          <t>src/core/AudioManager.gd</t>
        </is>
      </c>
      <c r="Q111" s="138" t="str"/>
      <c r="R111" s="138">
        <f>LOWER(TRIM(C111)&amp;"|"&amp;TRIM(D111)&amp;"|"&amp;TRIM(E111)&amp;"|"&amp;TRIM(F111)&amp;"|"&amp;TRIM(H111)&amp;"|"&amp;TRIM(I111))</f>
        <v/>
      </c>
      <c r="S111" s="138">
        <f>IF(COUNTIF($R$6:$R$280,R111)&gt;1,"重复","唯一")</f>
        <v/>
      </c>
      <c r="T111" s="138" t="str"/>
      <c r="U111" s="138" t="inlineStr">
        <is>
          <t>待分配</t>
        </is>
      </c>
      <c r="V111" s="303" t="n">
        <v>46224</v>
      </c>
      <c r="W111" s="138" t="inlineStr">
        <is>
          <t>原创/待确认</t>
        </is>
      </c>
      <c r="X111" s="138" t="str"/>
    </row>
    <row r="112">
      <c r="A112" s="138" t="inlineStr">
        <is>
          <t>AUD-EXTRACTION-DONE</t>
        </is>
      </c>
      <c r="B112" s="138" t="inlineStr">
        <is>
          <t>撤离完成</t>
        </is>
      </c>
      <c r="C112" s="138" t="inlineStr">
        <is>
          <t>音频</t>
        </is>
      </c>
      <c r="D112" s="138" t="inlineStr">
        <is>
          <t>sfx</t>
        </is>
      </c>
      <c r="E112" s="138" t="inlineStr">
        <is>
          <t>extraction_done</t>
        </is>
      </c>
      <c r="F112" s="138" t="inlineStr">
        <is>
          <t>root</t>
        </is>
      </c>
      <c r="G112" s="138" t="str"/>
      <c r="H112" s="138" t="inlineStr">
        <is>
          <t>不适用</t>
        </is>
      </c>
      <c r="I112" s="138" t="inlineStr">
        <is>
          <t>default</t>
        </is>
      </c>
      <c r="J112" s="138" t="inlineStr">
        <is>
          <t>按事件复用</t>
        </is>
      </c>
      <c r="K112" s="138" t="inlineStr">
        <is>
          <t>待制作</t>
        </is>
      </c>
      <c r="L112" s="138" t="inlineStr">
        <is>
          <t>P2</t>
        </is>
      </c>
      <c r="M112" s="138" t="inlineStr">
        <is>
          <t>v001</t>
        </is>
      </c>
      <c r="N112" s="138" t="inlineStr">
        <is>
          <t>0.1–2.0s WAV/OGG</t>
        </is>
      </c>
      <c r="O112" s="138" t="str"/>
      <c r="P112" s="138" t="inlineStr">
        <is>
          <t>src/core/AudioManager.gd</t>
        </is>
      </c>
      <c r="Q112" s="138" t="str"/>
      <c r="R112" s="138">
        <f>LOWER(TRIM(C112)&amp;"|"&amp;TRIM(D112)&amp;"|"&amp;TRIM(E112)&amp;"|"&amp;TRIM(F112)&amp;"|"&amp;TRIM(H112)&amp;"|"&amp;TRIM(I112))</f>
        <v/>
      </c>
      <c r="S112" s="138">
        <f>IF(COUNTIF($R$6:$R$280,R112)&gt;1,"重复","唯一")</f>
        <v/>
      </c>
      <c r="T112" s="138" t="str"/>
      <c r="U112" s="138" t="inlineStr">
        <is>
          <t>待分配</t>
        </is>
      </c>
      <c r="V112" s="303" t="n">
        <v>46224</v>
      </c>
      <c r="W112" s="138" t="inlineStr">
        <is>
          <t>原创/待确认</t>
        </is>
      </c>
      <c r="X112" s="138" t="str"/>
    </row>
    <row r="113" ht="155" customHeight="1">
      <c r="A113" s="306" t="inlineStr">
        <is>
          <t>CHR-PLY-CAPSULE01-3D</t>
        </is>
      </c>
      <c r="B113" s="306" t="inlineStr">
        <is>
          <t>方形猫角色3D根组件</t>
        </is>
      </c>
      <c r="C113" s="306" t="inlineStr">
        <is>
          <t>角色</t>
        </is>
      </c>
      <c r="D113" s="306" t="inlineStr">
        <is>
          <t>player</t>
        </is>
      </c>
      <c r="E113" s="306" t="inlineStr">
        <is>
          <t>player_capsule01</t>
        </is>
      </c>
      <c r="F113" s="306" t="inlineStr">
        <is>
          <t>root_3d</t>
        </is>
      </c>
      <c r="G113" s="306" t="inlineStr">
        <is>
          <t>CHR-PLY-CAPSULE01</t>
        </is>
      </c>
      <c r="H113" s="306" t="inlineStr">
        <is>
          <t>俯视3D</t>
        </is>
      </c>
      <c r="I113" s="306" t="inlineStr">
        <is>
          <t>default</t>
        </is>
      </c>
      <c r="J113" s="306" t="inlineStr">
        <is>
          <t>3D玩家场景</t>
        </is>
      </c>
      <c r="K113" s="306" t="inlineStr">
        <is>
          <t>原型已接入</t>
        </is>
      </c>
      <c r="L113" s="306" t="inlineStr">
        <is>
          <t>P0</t>
        </is>
      </c>
      <c r="M113" s="306" t="inlineStr">
        <is>
          <t>v001</t>
        </is>
      </c>
      <c r="N113" s="306" t="inlineStr">
        <is>
          <t>PackedScene/程序材质</t>
        </is>
      </c>
      <c r="O113" s="306" t="inlineStr">
        <is>
          <t>assets/art/characters/player/chr_player_capsule01_3d/chr_player_capsule01_root_top3d_v001.tscn</t>
        </is>
      </c>
      <c r="P113" s="306" t="inlineStr">
        <is>
          <t>scenes/Player3D.tscn</t>
        </is>
      </c>
      <c r="Q113" s="306" t="inlineStr">
        <is>
          <t>胶囊;防护服;3D;模块角色</t>
        </is>
      </c>
      <c r="R113" s="306">
        <f>LOWER(TRIM(C113)&amp;"|"&amp;TRIM(D113)&amp;"|"&amp;TRIM(E113)&amp;"|"&amp;TRIM(F113)&amp;"|"&amp;TRIM(H113)&amp;"|"&amp;TRIM(I113))</f>
        <v/>
      </c>
      <c r="S113" s="306">
        <f>IF(COUNTIF($R$6:$R$280,R113)&gt;1,"重复","唯一")</f>
        <v/>
      </c>
      <c r="T113" s="306" t="inlineStr">
        <is>
          <t>cf0b3b648d56590f1e024553d224df35007358452ea16ad1651ae9af4a7dde49</t>
        </is>
      </c>
      <c r="U113" s="306" t="inlineStr">
        <is>
          <t>Codex</t>
        </is>
      </c>
      <c r="V113" s="307" t="n">
        <v>46236</v>
      </c>
      <c r="W113" s="306" t="inlineStr">
        <is>
          <t>原创程序几何</t>
        </is>
      </c>
      <c r="X113" s="306" t="inlineStr">
        <is>
          <t>玩家随身三灯通过 layer 1/2 隔离避免自身投影；角色网格恢复外部太阳光/室内灯投影，GI保持关闭；tests/verification/verify_tower_lighting_wall_combat_regressions.tscn</t>
        </is>
      </c>
    </row>
    <row r="114">
      <c r="A114" s="136" t="inlineStr">
        <is>
          <t>CHR-PLY-CAPSULE01-BODY-3D</t>
        </is>
      </c>
      <c r="B114" s="136" t="inlineStr">
        <is>
          <t>方形猫角色3D身躯</t>
        </is>
      </c>
      <c r="C114" s="136" t="inlineStr">
        <is>
          <t>角色</t>
        </is>
      </c>
      <c r="D114" s="136" t="inlineStr">
        <is>
          <t>player</t>
        </is>
      </c>
      <c r="E114" s="136" t="inlineStr">
        <is>
          <t>player_capsule01</t>
        </is>
      </c>
      <c r="F114" s="136" t="inlineStr">
        <is>
          <t>body_3d</t>
        </is>
      </c>
      <c r="G114" s="136" t="inlineStr">
        <is>
          <t>CHR-PLY-CAPSULE01-3D</t>
        </is>
      </c>
      <c r="H114" s="136" t="inlineStr">
        <is>
          <t>俯视3D</t>
        </is>
      </c>
      <c r="I114" s="136" t="inlineStr">
        <is>
          <t>default</t>
        </is>
      </c>
      <c r="J114" s="136" t="inlineStr">
        <is>
          <t>3D玩家场景</t>
        </is>
      </c>
      <c r="K114" s="136" t="inlineStr">
        <is>
          <t>原型已接入</t>
        </is>
      </c>
      <c r="L114" s="136" t="inlineStr">
        <is>
          <t>P0</t>
        </is>
      </c>
      <c r="M114" s="136" t="inlineStr">
        <is>
          <t>v001</t>
        </is>
      </c>
      <c r="N114" s="136" t="inlineStr">
        <is>
          <t>CapsuleMesh节点</t>
        </is>
      </c>
      <c r="O114" s="136" t="inlineStr">
        <is>
          <t>assets/art/characters/player/chr_player_capsule01_3d/chr_player_capsule01_root_top3d_v001.tscn</t>
        </is>
      </c>
      <c r="P114" s="136" t="inlineStr">
        <is>
          <t>VisualRoot/Body</t>
        </is>
      </c>
      <c r="Q114" s="136" t="inlineStr">
        <is>
          <t>身躯;防护服;无腿;3D</t>
        </is>
      </c>
      <c r="R114" s="136">
        <f>LOWER(TRIM(C114)&amp;"|"&amp;TRIM(D114)&amp;"|"&amp;TRIM(E114)&amp;"|"&amp;TRIM(F114)&amp;"|"&amp;TRIM(H114)&amp;"|"&amp;TRIM(I114))</f>
        <v/>
      </c>
      <c r="S114" s="136">
        <f>IF(COUNTIF($R$6:$R$280,R114)&gt;1,"重复","唯一")</f>
        <v/>
      </c>
      <c r="T114" s="136" t="inlineStr">
        <is>
          <t>cf0b3b648d56590f1e024553d224df35007358452ea16ad1651ae9af4a7dde49</t>
        </is>
      </c>
      <c r="U114" s="136" t="inlineStr">
        <is>
          <t>Codex</t>
        </is>
      </c>
      <c r="V114" s="137" t="inlineStr">
        <is>
          <t>2026-07-25</t>
        </is>
      </c>
      <c r="W114" s="136" t="inlineStr">
        <is>
          <t>原创程序几何</t>
        </is>
      </c>
      <c r="X114" s="136" t="inlineStr">
        <is>
          <t>VisualRoot/Body：BoxMesh身躯、BellyPatch、圆形TailStub；v0.1方形猫原型；tests/verification/verify_player3d_diy_flow / gallery flow / visual PASS</t>
        </is>
      </c>
    </row>
    <row r="115">
      <c r="A115" s="136" t="inlineStr">
        <is>
          <t>CHR-PLY-CAPSULE01-HEAD-3D</t>
        </is>
      </c>
      <c r="B115" s="136" t="inlineStr">
        <is>
          <t>方形猫角色3D头部</t>
        </is>
      </c>
      <c r="C115" s="136" t="inlineStr">
        <is>
          <t>角色</t>
        </is>
      </c>
      <c r="D115" s="136" t="inlineStr">
        <is>
          <t>player</t>
        </is>
      </c>
      <c r="E115" s="136" t="inlineStr">
        <is>
          <t>player_capsule01</t>
        </is>
      </c>
      <c r="F115" s="136" t="inlineStr">
        <is>
          <t>head_3d</t>
        </is>
      </c>
      <c r="G115" s="136" t="inlineStr">
        <is>
          <t>CHR-PLY-CAPSULE01-3D</t>
        </is>
      </c>
      <c r="H115" s="136" t="inlineStr">
        <is>
          <t>俯视3D</t>
        </is>
      </c>
      <c r="I115" s="136" t="inlineStr">
        <is>
          <t>default</t>
        </is>
      </c>
      <c r="J115" s="136" t="inlineStr">
        <is>
          <t>3D玩家场景</t>
        </is>
      </c>
      <c r="K115" s="136" t="inlineStr">
        <is>
          <t>原型已接入</t>
        </is>
      </c>
      <c r="L115" s="136" t="inlineStr">
        <is>
          <t>P0</t>
        </is>
      </c>
      <c r="M115" s="136" t="inlineStr">
        <is>
          <t>v001</t>
        </is>
      </c>
      <c r="N115" s="136" t="inlineStr">
        <is>
          <t>SphereMesh节点</t>
        </is>
      </c>
      <c r="O115" s="136" t="inlineStr">
        <is>
          <t>assets/art/characters/player/chr_player_capsule01_3d/chr_player_capsule01_root_top3d_v001.tscn</t>
        </is>
      </c>
      <c r="P115" s="136" t="inlineStr">
        <is>
          <t>VisualRoot/Head</t>
        </is>
      </c>
      <c r="Q115" s="136" t="inlineStr">
        <is>
          <t>头壳;单传感器;3D</t>
        </is>
      </c>
      <c r="R115" s="136">
        <f>LOWER(TRIM(C115)&amp;"|"&amp;TRIM(D115)&amp;"|"&amp;TRIM(E115)&amp;"|"&amp;TRIM(F115)&amp;"|"&amp;TRIM(H115)&amp;"|"&amp;TRIM(I115))</f>
        <v/>
      </c>
      <c r="S115" s="136">
        <f>IF(COUNTIF($R$6:$R$280,R115)&gt;1,"重复","唯一")</f>
        <v/>
      </c>
      <c r="T115" s="136" t="inlineStr">
        <is>
          <t>cf0b3b648d56590f1e024553d224df35007358452ea16ad1651ae9af4a7dde49</t>
        </is>
      </c>
      <c r="U115" s="136" t="inlineStr">
        <is>
          <t>Codex</t>
        </is>
      </c>
      <c r="V115" s="137" t="inlineStr">
        <is>
          <t>2026-07-25</t>
        </is>
      </c>
      <c r="W115" s="136" t="inlineStr">
        <is>
          <t>原创程序几何</t>
        </is>
      </c>
      <c r="X115" s="136" t="inlineStr">
        <is>
          <t>VisualRoot/Head：BoxMesh方头；Eyes双矩形眼；Ears双三角耳；v0.1方形猫原型；tests/verification/verify_player3d_diy_flow / gallery flow / visual PASS</t>
        </is>
      </c>
    </row>
    <row r="116">
      <c r="A116" s="136" t="inlineStr">
        <is>
          <t>CHR-PLY-CAPSULE01-HAND-3D</t>
        </is>
      </c>
      <c r="B116" s="136" t="inlineStr">
        <is>
          <t>方形猫角色3D唯一手部</t>
        </is>
      </c>
      <c r="C116" s="136" t="inlineStr">
        <is>
          <t>角色</t>
        </is>
      </c>
      <c r="D116" s="136" t="inlineStr">
        <is>
          <t>player</t>
        </is>
      </c>
      <c r="E116" s="136" t="inlineStr">
        <is>
          <t>player_capsule01</t>
        </is>
      </c>
      <c r="F116" s="136" t="inlineStr">
        <is>
          <t>hand_3d</t>
        </is>
      </c>
      <c r="G116" s="136" t="inlineStr">
        <is>
          <t>CHR-PLY-CAPSULE01-3D</t>
        </is>
      </c>
      <c r="H116" s="136" t="inlineStr">
        <is>
          <t>俯视3D</t>
        </is>
      </c>
      <c r="I116" s="136" t="inlineStr">
        <is>
          <t>default</t>
        </is>
      </c>
      <c r="J116" s="136" t="inlineStr">
        <is>
          <t>3D玩家场景</t>
        </is>
      </c>
      <c r="K116" s="136" t="inlineStr">
        <is>
          <t>原型已接入</t>
        </is>
      </c>
      <c r="L116" s="136" t="inlineStr">
        <is>
          <t>P0</t>
        </is>
      </c>
      <c r="M116" s="136" t="inlineStr">
        <is>
          <t>v001</t>
        </is>
      </c>
      <c r="N116" s="136" t="inlineStr">
        <is>
          <t>SphereMesh节点</t>
        </is>
      </c>
      <c r="O116" s="136" t="inlineStr">
        <is>
          <t>assets/art/characters/player/chr_player_capsule01_3d/chr_player_capsule01_root_top3d_v001.tscn</t>
        </is>
      </c>
      <c r="P116" s="136" t="inlineStr">
        <is>
          <t>VisualRoot/Hand</t>
        </is>
      </c>
      <c r="Q116" s="136" t="inlineStr">
        <is>
          <t>单手;悬浮手;握持;3D</t>
        </is>
      </c>
      <c r="R116" s="136">
        <f>LOWER(TRIM(C116)&amp;"|"&amp;TRIM(D116)&amp;"|"&amp;TRIM(E116)&amp;"|"&amp;TRIM(F116)&amp;"|"&amp;TRIM(H116)&amp;"|"&amp;TRIM(I116))</f>
        <v/>
      </c>
      <c r="S116" s="136">
        <f>IF(COUNTIF($R$6:$R$280,R116)&gt;1,"重复","唯一")</f>
        <v/>
      </c>
      <c r="T116" s="136" t="inlineStr">
        <is>
          <t>cf0b3b648d56590f1e024553d224df35007358452ea16ad1651ae9af4a7dde49</t>
        </is>
      </c>
      <c r="U116" s="136" t="inlineStr">
        <is>
          <t>Codex</t>
        </is>
      </c>
      <c r="V116" s="137" t="inlineStr">
        <is>
          <t>2026-07-25</t>
        </is>
      </c>
      <c r="W116" s="136" t="inlineStr">
        <is>
          <t>原创程序几何</t>
        </is>
      </c>
      <c r="X116" s="136" t="inlineStr">
        <is>
          <t>VisualRoot/Hand：单个BoxMesh悬浮握持手；全动作与weapon_socket同相；v0.1方形猫原型；tests/verification/verify_player3d_diy_flow / gallery flow / visual PASS</t>
        </is>
      </c>
    </row>
    <row r="117">
      <c r="A117" s="136" t="inlineStr">
        <is>
          <t>CHR-PLY-CAPSULE01-SCARF-3D</t>
        </is>
      </c>
      <c r="B117" s="136" t="inlineStr">
        <is>
          <t>旧3D红围巾兼容节点</t>
        </is>
      </c>
      <c r="C117" s="136" t="inlineStr">
        <is>
          <t>角色</t>
        </is>
      </c>
      <c r="D117" s="136" t="inlineStr">
        <is>
          <t>player</t>
        </is>
      </c>
      <c r="E117" s="136" t="inlineStr">
        <is>
          <t>player_capsule01</t>
        </is>
      </c>
      <c r="F117" s="136" t="inlineStr">
        <is>
          <t>scarf_3d</t>
        </is>
      </c>
      <c r="G117" s="136" t="inlineStr">
        <is>
          <t>CHR-PLY-CAPSULE01-3D</t>
        </is>
      </c>
      <c r="H117" s="136" t="inlineStr">
        <is>
          <t>俯视3D</t>
        </is>
      </c>
      <c r="I117" s="136" t="inlineStr">
        <is>
          <t>default</t>
        </is>
      </c>
      <c r="J117" s="136" t="inlineStr">
        <is>
          <t>3D玩家场景</t>
        </is>
      </c>
      <c r="K117" s="136" t="inlineStr">
        <is>
          <t>原型已接入</t>
        </is>
      </c>
      <c r="L117" s="136" t="inlineStr">
        <is>
          <t>P0</t>
        </is>
      </c>
      <c r="M117" s="136" t="inlineStr">
        <is>
          <t>v001</t>
        </is>
      </c>
      <c r="N117" s="136" t="inlineStr">
        <is>
          <t>Cylinder+Box节点</t>
        </is>
      </c>
      <c r="O117" s="136" t="inlineStr">
        <is>
          <t>assets/art/characters/player/chr_player_capsule01_3d/chr_player_capsule01_root_top3d_v001.tscn</t>
        </is>
      </c>
      <c r="P117" s="136" t="inlineStr">
        <is>
          <t>VisualRoot/Scarf</t>
        </is>
      </c>
      <c r="Q117" s="136" t="inlineStr">
        <is>
          <t>红围巾;身份配件;3D</t>
        </is>
      </c>
      <c r="R117" s="136">
        <f>LOWER(TRIM(C117)&amp;"|"&amp;TRIM(D117)&amp;"|"&amp;TRIM(E117)&amp;"|"&amp;TRIM(F117)&amp;"|"&amp;TRIM(H117)&amp;"|"&amp;TRIM(I117))</f>
        <v/>
      </c>
      <c r="S117" s="136">
        <f>IF(COUNTIF($R$6:$R$280,R117)&gt;1,"重复","唯一")</f>
        <v/>
      </c>
      <c r="T117" s="136" t="inlineStr">
        <is>
          <t>cf0b3b648d56590f1e024553d224df35007358452ea16ad1651ae9af4a7dde49</t>
        </is>
      </c>
      <c r="U117" s="136" t="inlineStr">
        <is>
          <t>Codex</t>
        </is>
      </c>
      <c r="V117" s="137" t="inlineStr">
        <is>
          <t>2026-07-25</t>
        </is>
      </c>
      <c r="W117" s="136" t="inlineStr">
        <is>
          <t>原创程序几何</t>
        </is>
      </c>
      <c r="X117" s="136" t="inlineStr">
        <is>
          <t>VisualRoot/Scarf默认隐藏，仅为旧场景兼容；当前四主模块不计入scarf；v0.1方形猫原型；tests/verification/verify_player3d_diy_flow / gallery flow / visual PASS</t>
        </is>
      </c>
    </row>
    <row r="118">
      <c r="A118" s="136" t="inlineStr">
        <is>
          <t>CHR-PLY-CAPSULE01-WEAPON-SOCKET-3D</t>
        </is>
      </c>
      <c r="B118" s="136" t="inlineStr">
        <is>
          <t>方形猫角色3D武器挂点</t>
        </is>
      </c>
      <c r="C118" s="136" t="inlineStr">
        <is>
          <t>角色</t>
        </is>
      </c>
      <c r="D118" s="136" t="inlineStr">
        <is>
          <t>player</t>
        </is>
      </c>
      <c r="E118" s="136" t="inlineStr">
        <is>
          <t>player_capsule01</t>
        </is>
      </c>
      <c r="F118" s="136" t="inlineStr">
        <is>
          <t>weapon_socket_3d</t>
        </is>
      </c>
      <c r="G118" s="136" t="inlineStr">
        <is>
          <t>CHR-PLY-CAPSULE01-3D</t>
        </is>
      </c>
      <c r="H118" s="136" t="inlineStr">
        <is>
          <t>俯视3D</t>
        </is>
      </c>
      <c r="I118" s="136" t="inlineStr">
        <is>
          <t>default</t>
        </is>
      </c>
      <c r="J118" s="136" t="inlineStr">
        <is>
          <t>武器系统</t>
        </is>
      </c>
      <c r="K118" s="136" t="inlineStr">
        <is>
          <t>原型已接入</t>
        </is>
      </c>
      <c r="L118" s="136" t="inlineStr">
        <is>
          <t>P0</t>
        </is>
      </c>
      <c r="M118" s="136" t="inlineStr">
        <is>
          <t>v001</t>
        </is>
      </c>
      <c r="N118" s="136" t="inlineStr">
        <is>
          <t>Marker3D</t>
        </is>
      </c>
      <c r="O118" s="136" t="inlineStr">
        <is>
          <t>assets/art/characters/player/chr_player_capsule01_3d/chr_player_capsule01_root_top3d_v001.tscn</t>
        </is>
      </c>
      <c r="P118" s="136" t="inlineStr">
        <is>
          <t>VisualRoot/WeaponSocket</t>
        </is>
      </c>
      <c r="Q118" s="136" t="inlineStr">
        <is>
          <t>武器挂点;Marker3D;瞄准</t>
        </is>
      </c>
      <c r="R118" s="136">
        <f>LOWER(TRIM(C118)&amp;"|"&amp;TRIM(D118)&amp;"|"&amp;TRIM(E118)&amp;"|"&amp;TRIM(F118)&amp;"|"&amp;TRIM(H118)&amp;"|"&amp;TRIM(I118))</f>
        <v/>
      </c>
      <c r="S118" s="136">
        <f>IF(COUNTIF($R$6:$R$280,R118)&gt;1,"重复","唯一")</f>
        <v/>
      </c>
      <c r="T118" s="136" t="inlineStr">
        <is>
          <t>cf0b3b648d56590f1e024553d224df35007358452ea16ad1651ae9af4a7dde49</t>
        </is>
      </c>
      <c r="U118" s="136" t="inlineStr">
        <is>
          <t>Codex</t>
        </is>
      </c>
      <c r="V118" s="137" t="inlineStr">
        <is>
          <t>2026-07-25</t>
        </is>
      </c>
      <c r="W118" s="136" t="inlineStr">
        <is>
          <t>原创逻辑挂点</t>
        </is>
      </c>
      <c r="X118" s="136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t>
        </is>
      </c>
    </row>
    <row r="119">
      <c r="A119" s="136" t="inlineStr">
        <is>
          <t>ENV-BASE-WORLD-KIT-3D</t>
        </is>
      </c>
      <c r="B119" s="136" t="inlineStr">
        <is>
          <t>入口基地3D环境套件</t>
        </is>
      </c>
      <c r="C119" s="136" t="inlineStr">
        <is>
          <t>场景</t>
        </is>
      </c>
      <c r="D119" s="136" t="inlineStr">
        <is>
          <t>base</t>
        </is>
      </c>
      <c r="E119" s="136" t="inlineStr">
        <is>
          <t>base_world</t>
        </is>
      </c>
      <c r="F119" s="136" t="inlineStr">
        <is>
          <t>root_3d</t>
        </is>
      </c>
      <c r="G119" s="136" t="inlineStr">
        <is>
          <t>ENV-BASE-WORLD-KIT</t>
        </is>
      </c>
      <c r="H119" s="136" t="inlineStr">
        <is>
          <t>俯视3D</t>
        </is>
      </c>
      <c r="I119" s="136" t="inlineStr">
        <is>
          <t>default</t>
        </is>
      </c>
      <c r="J119" s="136" t="inlineStr">
        <is>
          <t>入口基地地图</t>
        </is>
      </c>
      <c r="K119" s="136" t="inlineStr">
        <is>
          <t>原型已接入</t>
        </is>
      </c>
      <c r="L119" s="136" t="inlineStr">
        <is>
          <t>P0</t>
        </is>
      </c>
      <c r="M119" s="136" t="inlineStr">
        <is>
          <t>v001</t>
        </is>
      </c>
      <c r="N119" s="136" t="inlineStr">
        <is>
          <t>约1:100迁移/程序几何</t>
        </is>
      </c>
      <c r="O119" s="136" t="inlineStr">
        <is>
          <t>assets/art/environments/base_world_3d/env_base_world_kit_top3d_v001.tscn</t>
        </is>
      </c>
      <c r="P119" s="136" t="inlineStr">
        <is>
          <t>scenes/BaseWorld3D.tscn</t>
        </is>
      </c>
      <c r="Q119" s="136" t="inlineStr">
        <is>
          <t>基地;道路;废墟;3D;入口地图</t>
        </is>
      </c>
      <c r="R119" s="136">
        <f>LOWER(TRIM(C119)&amp;"|"&amp;TRIM(D119)&amp;"|"&amp;TRIM(E119)&amp;"|"&amp;TRIM(F119)&amp;"|"&amp;TRIM(H119)&amp;"|"&amp;TRIM(I119))</f>
        <v/>
      </c>
      <c r="S119" s="136">
        <f>IF(COUNTIF($R$6:$R$280,R119)&gt;1,"重复","唯一")</f>
        <v/>
      </c>
      <c r="T119" s="136" t="inlineStr">
        <is>
          <t>63c840d59bcecefab946690136474c9ca7b70408fb7b6bcc264819f9b66f14a5</t>
        </is>
      </c>
      <c r="U119" s="136" t="inlineStr">
        <is>
          <t>Codex</t>
        </is>
      </c>
      <c r="V119" s="137" t="n">
        <v>46224</v>
      </c>
      <c r="W119" s="136" t="inlineStr">
        <is>
          <t>原创程序几何</t>
        </is>
      </c>
      <c r="X119" s="136" t="inlineStr">
        <is>
          <t>保留原2D布局语义；首张3D迁移地图</t>
        </is>
      </c>
    </row>
    <row r="120" ht="155" customHeight="1">
      <c r="A120" s="306" t="inlineStr">
        <is>
          <t>PRP-BASE-FACILITY-3D</t>
        </is>
      </c>
      <c r="B120" s="306" t="inlineStr">
        <is>
          <t>基地设施3D通用模块</t>
        </is>
      </c>
      <c r="C120" s="306" t="inlineStr">
        <is>
          <t>场景道具</t>
        </is>
      </c>
      <c r="D120" s="306" t="inlineStr">
        <is>
          <t>facility</t>
        </is>
      </c>
      <c r="E120" s="306" t="inlineStr">
        <is>
          <t>base_facility_module</t>
        </is>
      </c>
      <c r="F120" s="306" t="inlineStr">
        <is>
          <t>root_3d</t>
        </is>
      </c>
      <c r="G120" s="306" t="inlineStr">
        <is>
          <t>ENV-BASE-WORLD-KIT-3D</t>
        </is>
      </c>
      <c r="H120" s="306" t="inlineStr">
        <is>
          <t>俯视3D</t>
        </is>
      </c>
      <c r="I120" s="306" t="inlineStr">
        <is>
          <t>default</t>
        </is>
      </c>
      <c r="J120" s="306" t="inlineStr">
        <is>
          <t>8类基地设施/统一状态牌</t>
        </is>
      </c>
      <c r="K120" s="306" t="inlineStr">
        <is>
          <t>原型已接入</t>
        </is>
      </c>
      <c r="L120" s="306" t="inlineStr">
        <is>
          <t>P0</t>
        </is>
      </c>
      <c r="M120" s="306" t="inlineStr">
        <is>
          <t>v001</t>
        </is>
      </c>
      <c r="N120" s="306" t="inlineStr">
        <is>
          <t>PackedScene/材质变体/名称与实时摘要共用Label3D</t>
        </is>
      </c>
      <c r="O120" s="306" t="inlineStr">
        <is>
          <t>assets/art/props/base_world_3d/prp_base_facility_root_top3d_v001.tscn</t>
        </is>
      </c>
      <c r="P120" s="30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306" t="inlineStr">
        <is>
          <t>设施;交互;信标;3D;facility_id;实时摘要;状态牌;共享目录</t>
        </is>
      </c>
      <c r="R120" s="306">
        <f>LOWER(TRIM(C120)&amp;"|"&amp;TRIM(D120)&amp;"|"&amp;TRIM(E120)&amp;"|"&amp;TRIM(F120)&amp;"|"&amp;TRIM(H120)&amp;"|"&amp;TRIM(I120))</f>
        <v/>
      </c>
      <c r="S120" s="306">
        <f>IF(COUNTIF($R$6:$R$280,R120)&gt;1,"重复","唯一")</f>
        <v/>
      </c>
      <c r="T120" s="306" t="inlineStr">
        <is>
          <t>18921dbda4e5997f5c49c6efa66b7af030310d5d086b60fe476e8f0e664e104e</t>
        </is>
      </c>
      <c r="U120" s="306" t="inlineStr">
        <is>
          <t>Codex</t>
        </is>
      </c>
      <c r="V120" s="307" t="n">
        <v>46240</v>
      </c>
      <c r="W120" s="306" t="inlineStr">
        <is>
          <t>原创程序几何</t>
        </is>
      </c>
      <c r="X120" s="30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t>
        </is>
      </c>
    </row>
    <row r="121">
      <c r="A121" s="136" t="inlineStr">
        <is>
          <t>PRP-DUNGEON-GATE-3D</t>
        </is>
      </c>
      <c r="B121" s="136" t="inlineStr">
        <is>
          <t>地下城入口3D模块</t>
        </is>
      </c>
      <c r="C121" s="136" t="inlineStr">
        <is>
          <t>场景道具</t>
        </is>
      </c>
      <c r="D121" s="136" t="inlineStr">
        <is>
          <t>door</t>
        </is>
      </c>
      <c r="E121" s="136" t="inlineStr">
        <is>
          <t>dungeon_gate</t>
        </is>
      </c>
      <c r="F121" s="136" t="inlineStr">
        <is>
          <t>root_3d</t>
        </is>
      </c>
      <c r="G121" s="136" t="inlineStr">
        <is>
          <t>PRP-DUNGEON-GATE</t>
        </is>
      </c>
      <c r="H121" s="136" t="inlineStr">
        <is>
          <t>俯视3D</t>
        </is>
      </c>
      <c r="I121" s="136" t="inlineStr">
        <is>
          <t>default</t>
        </is>
      </c>
      <c r="J121" s="136" t="inlineStr">
        <is>
          <t>4个地下城入口</t>
        </is>
      </c>
      <c r="K121" s="136" t="inlineStr">
        <is>
          <t>原型已接入</t>
        </is>
      </c>
      <c r="L121" s="136" t="inlineStr">
        <is>
          <t>P0</t>
        </is>
      </c>
      <c r="M121" s="136" t="inlineStr">
        <is>
          <t>v001</t>
        </is>
      </c>
      <c r="N121" s="136" t="inlineStr">
        <is>
          <t>PackedScene/材质变体</t>
        </is>
      </c>
      <c r="O121" s="136" t="inlineStr">
        <is>
          <t>assets/art/props/base_world_3d/prp_dungeon_gate_root_top3d_v001.tscn</t>
        </is>
      </c>
      <c r="P121" s="136" t="inlineStr">
        <is>
          <t>src/base3d/DungeonEntrance3D.gd</t>
        </is>
      </c>
      <c r="Q121" s="136" t="inlineStr">
        <is>
          <t>地下城;门;交互;3D</t>
        </is>
      </c>
      <c r="R121" s="136">
        <f>LOWER(TRIM(C121)&amp;"|"&amp;TRIM(D121)&amp;"|"&amp;TRIM(E121)&amp;"|"&amp;TRIM(F121)&amp;"|"&amp;TRIM(H121)&amp;"|"&amp;TRIM(I121))</f>
        <v/>
      </c>
      <c r="S121" s="136">
        <f>IF(COUNTIF($R$6:$R$280,R121)&gt;1,"重复","唯一")</f>
        <v/>
      </c>
      <c r="T121" s="136" t="inlineStr">
        <is>
          <t>1fc802ceb8caef1ce77a54958a8b5e82a0fcae37459106fee970c8941146ba8f</t>
        </is>
      </c>
      <c r="U121" s="136" t="inlineStr">
        <is>
          <t>Codex</t>
        </is>
      </c>
      <c r="V121" s="137" t="n">
        <v>46224</v>
      </c>
      <c r="W121" s="136" t="inlineStr">
        <is>
          <t>原创程序几何</t>
        </is>
      </c>
      <c r="X121" s="136" t="inlineStr">
        <is>
          <t>保持旧入口ID与目标场景；地下城内部暂保留2D</t>
        </is>
      </c>
    </row>
    <row r="122">
      <c r="A122" s="136" t="inlineStr">
        <is>
          <t>ENV-BASE-WORLD-3D-PREVIEW</t>
        </is>
      </c>
      <c r="B122" s="136" t="inlineStr">
        <is>
          <t>入口基地3D验收预览</t>
        </is>
      </c>
      <c r="C122" s="136" t="inlineStr">
        <is>
          <t>场景</t>
        </is>
      </c>
      <c r="D122" s="136" t="inlineStr">
        <is>
          <t>review_board</t>
        </is>
      </c>
      <c r="E122" s="136" t="inlineStr">
        <is>
          <t>base_world</t>
        </is>
      </c>
      <c r="F122" s="136" t="inlineStr">
        <is>
          <t>preview_3d</t>
        </is>
      </c>
      <c r="G122" s="136" t="inlineStr">
        <is>
          <t>ENV-BASE-WORLD-KIT-3D</t>
        </is>
      </c>
      <c r="H122" s="136" t="inlineStr">
        <is>
          <t>俯视3D</t>
        </is>
      </c>
      <c r="I122" s="136" t="inlineStr">
        <is>
          <t>default</t>
        </is>
      </c>
      <c r="J122" s="136" t="inlineStr">
        <is>
          <t>评审与资产QA</t>
        </is>
      </c>
      <c r="K122" s="136" t="inlineStr">
        <is>
          <t>已完成</t>
        </is>
      </c>
      <c r="L122" s="136" t="inlineStr">
        <is>
          <t>P1</t>
        </is>
      </c>
      <c r="M122" s="136" t="inlineStr">
        <is>
          <t>v001</t>
        </is>
      </c>
      <c r="N122" s="136" t="inlineStr">
        <is>
          <t>1280×720 PNG</t>
        </is>
      </c>
      <c r="O122" s="136" t="inlineStr">
        <is>
          <t>assets/art/environments/base_world_3d/env_base_world_preview_top3d_v001.png</t>
        </is>
      </c>
      <c r="P122" s="136" t="inlineStr">
        <is>
          <t>tests/verification/verify_base_world_3d_visual.tscn</t>
        </is>
      </c>
      <c r="Q122" s="136" t="inlineStr">
        <is>
          <t>3D预览;评审;入口地图</t>
        </is>
      </c>
      <c r="R122" s="136">
        <f>LOWER(TRIM(C122)&amp;"|"&amp;TRIM(D122)&amp;"|"&amp;TRIM(E122)&amp;"|"&amp;TRIM(F122)&amp;"|"&amp;TRIM(H122)&amp;"|"&amp;TRIM(I122))</f>
        <v/>
      </c>
      <c r="S122" s="136">
        <f>IF(COUNTIF($R$6:$R$280,R122)&gt;1,"重复","唯一")</f>
        <v/>
      </c>
      <c r="T122" s="136" t="inlineStr">
        <is>
          <t>7dc3ff5d1bb5942c8340359bfa6d55374604dfbc9fc8b2a23b68a3079fac2e01</t>
        </is>
      </c>
      <c r="U122" s="136" t="inlineStr">
        <is>
          <t>Codex</t>
        </is>
      </c>
      <c r="V122" s="137" t="n">
        <v>46224</v>
      </c>
      <c r="W122" s="136" t="inlineStr">
        <is>
          <t>项目运行截图</t>
        </is>
      </c>
      <c r="X122" s="136" t="inlineStr">
        <is>
          <t>用于检查3D布局、镜头、组件比例与交互可读性</t>
        </is>
      </c>
    </row>
    <row r="123" ht="155" customHeight="1">
      <c r="A123" s="306" t="inlineStr">
        <is>
          <t>ENV-DUNGEON-RUNTIME-3D</t>
        </is>
      </c>
      <c r="B123" s="306" t="inlineStr">
        <is>
          <t>3D随机关卡通用房间套件</t>
        </is>
      </c>
      <c r="C123" s="306" t="inlineStr">
        <is>
          <t>场景</t>
        </is>
      </c>
      <c r="D123" s="306" t="inlineStr">
        <is>
          <t>room</t>
        </is>
      </c>
      <c r="E123" s="306" t="inlineStr">
        <is>
          <t>dungeon_runtime</t>
        </is>
      </c>
      <c r="F123" s="306" t="inlineStr">
        <is>
          <t>root_3d</t>
        </is>
      </c>
      <c r="G123" s="306" t="n"/>
      <c r="H123" s="306" t="inlineStr">
        <is>
          <t>俯视3D</t>
        </is>
      </c>
      <c r="I123" s="306" t="inlineStr">
        <is>
          <t>default</t>
        </is>
      </c>
      <c r="J123" s="306" t="inlineStr">
        <is>
          <t>四主题副本/随机房间</t>
        </is>
      </c>
      <c r="K123" s="306" t="inlineStr">
        <is>
          <t>原型已接入</t>
        </is>
      </c>
      <c r="L123" s="306" t="inlineStr">
        <is>
          <t>P0</t>
        </is>
      </c>
      <c r="M123" s="306" t="inlineStr">
        <is>
          <t>v001</t>
        </is>
      </c>
      <c r="N123" s="306" t="inlineStr">
        <is>
          <t>PackedScene/三档程序几何</t>
        </is>
      </c>
      <c r="O123" s="306" t="inlineStr">
        <is>
          <t>assets/art/environments/dungeon_3d/env_dungeon_runtime_kit_top3d_v001.tscn</t>
        </is>
      </c>
      <c r="P123" s="306" t="inlineStr">
        <is>
          <t>src/world3d/DungeonRoom3D.gd</t>
        </is>
      </c>
      <c r="Q123" s="306" t="inlineStr">
        <is>
          <t>房间;门洞;走廊;随机地图;3D</t>
        </is>
      </c>
      <c r="R123" s="306">
        <f>LOWER(TRIM(C123)&amp;"|"&amp;TRIM(D123)&amp;"|"&amp;TRIM(E123)&amp;"|"&amp;TRIM(F123)&amp;"|"&amp;TRIM(H123)&amp;"|"&amp;TRIM(I123))</f>
        <v/>
      </c>
      <c r="S123" s="306">
        <f>IF(COUNTIF($R$6:$R$280,R123)&gt;1,"重复","唯一")</f>
        <v/>
      </c>
      <c r="T123" s="306" t="inlineStr">
        <is>
          <t>fc33ac084150c3e3cbba89505b3e04f35712abbceaa5cec297c94fe4d7dcc2f3</t>
        </is>
      </c>
      <c r="U123" s="306" t="inlineStr">
        <is>
          <t>Codex</t>
        </is>
      </c>
      <c r="V123" s="307" t="n">
        <v>46233</v>
      </c>
      <c r="W123" s="306" t="inlineStr">
        <is>
          <t>原创程序几何</t>
        </is>
      </c>
      <c r="X123" s="30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124" ht="34" customHeight="1">
      <c r="A124" s="136" t="inlineStr">
        <is>
          <t>ENV-DUNGEON-IRON-FRONTIER-3D</t>
        </is>
      </c>
      <c r="B124" s="136" t="inlineStr">
        <is>
          <t>冷钢边境3D主题资源</t>
        </is>
      </c>
      <c r="C124" s="136" t="inlineStr">
        <is>
          <t>场景</t>
        </is>
      </c>
      <c r="D124" s="136" t="inlineStr">
        <is>
          <t>biome</t>
        </is>
      </c>
      <c r="E124" s="136" t="inlineStr">
        <is>
          <t>iron_frontier</t>
        </is>
      </c>
      <c r="F124" s="136" t="inlineStr">
        <is>
          <t>theme_3d</t>
        </is>
      </c>
      <c r="G124" s="136" t="inlineStr">
        <is>
          <t>ENV-DUNGEON-RUNTIME-3D</t>
        </is>
      </c>
      <c r="H124" s="136" t="inlineStr">
        <is>
          <t>俯视3D</t>
        </is>
      </c>
      <c r="I124" s="136" t="inlineStr">
        <is>
          <t>default</t>
        </is>
      </c>
      <c r="J124" s="136" t="inlineStr">
        <is>
          <t>冷钢边境</t>
        </is>
      </c>
      <c r="K124" s="136" t="inlineStr">
        <is>
          <t>原型已接入</t>
        </is>
      </c>
      <c r="L124" s="136" t="inlineStr">
        <is>
          <t>P0</t>
        </is>
      </c>
      <c r="M124" s="136" t="inlineStr">
        <is>
          <t>v001</t>
        </is>
      </c>
      <c r="N124" s="136" t="inlineStr">
        <is>
          <t>DungeonTheme3D Resource</t>
        </is>
      </c>
      <c r="O124" s="136" t="inlineStr">
        <is>
          <t>assets/art/environments/dungeon_3d/env_iron_frontier_kit_top3d_v001.tres</t>
        </is>
      </c>
      <c r="P124" s="136" t="inlineStr">
        <is>
          <t>scenes/levels3d/IronFrontier3D.tscn</t>
        </is>
      </c>
      <c r="Q124" s="136" t="inlineStr">
        <is>
          <t>冷钢;冷蓝;边境;雾;灯光</t>
        </is>
      </c>
      <c r="R124" s="136">
        <f>LOWER(TRIM(C124)&amp;"|"&amp;TRIM(D124)&amp;"|"&amp;TRIM(E124)&amp;"|"&amp;TRIM(F124)&amp;"|"&amp;TRIM(H124)&amp;"|"&amp;TRIM(I124))</f>
        <v/>
      </c>
      <c r="S124" s="136">
        <f>IF(COUNTIF($R$6:$R$280,R124)&gt;1,"重复","唯一")</f>
        <v/>
      </c>
      <c r="T124" s="136" t="inlineStr">
        <is>
          <t>a3c6e7e5433928b790e1fa0fe5124beaeb5ab579f2d376aa35a1be25b6736b58</t>
        </is>
      </c>
      <c r="U124" s="136" t="inlineStr">
        <is>
          <t>Codex</t>
        </is>
      </c>
      <c r="V124" s="137" t="n">
        <v>46224</v>
      </c>
      <c r="W124" s="136" t="inlineStr">
        <is>
          <t>原创程序配置</t>
        </is>
      </c>
      <c r="X124" s="136" t="inlineStr">
        <is>
          <t>只保存3D色彩/雾/灯光/家具倾向；玩法读取MapThemeProfile</t>
        </is>
      </c>
    </row>
    <row r="125" ht="34" customHeight="1">
      <c r="A125" s="136" t="inlineStr">
        <is>
          <t>ENV-DUNGEON-RUST-FOUNDRY-3D</t>
        </is>
      </c>
      <c r="B125" s="136" t="inlineStr">
        <is>
          <t>锈蚀铸造厂3D主题资源</t>
        </is>
      </c>
      <c r="C125" s="136" t="inlineStr">
        <is>
          <t>场景</t>
        </is>
      </c>
      <c r="D125" s="136" t="inlineStr">
        <is>
          <t>biome</t>
        </is>
      </c>
      <c r="E125" s="136" t="inlineStr">
        <is>
          <t>rust_foundry</t>
        </is>
      </c>
      <c r="F125" s="136" t="inlineStr">
        <is>
          <t>theme_3d</t>
        </is>
      </c>
      <c r="G125" s="136" t="inlineStr">
        <is>
          <t>ENV-DUNGEON-RUNTIME-3D</t>
        </is>
      </c>
      <c r="H125" s="136" t="inlineStr">
        <is>
          <t>俯视3D</t>
        </is>
      </c>
      <c r="I125" s="136" t="inlineStr">
        <is>
          <t>default</t>
        </is>
      </c>
      <c r="J125" s="136" t="inlineStr">
        <is>
          <t>锈蚀铸造厂</t>
        </is>
      </c>
      <c r="K125" s="136" t="inlineStr">
        <is>
          <t>原型已接入</t>
        </is>
      </c>
      <c r="L125" s="136" t="inlineStr">
        <is>
          <t>P0</t>
        </is>
      </c>
      <c r="M125" s="136" t="inlineStr">
        <is>
          <t>v001</t>
        </is>
      </c>
      <c r="N125" s="136" t="inlineStr">
        <is>
          <t>DungeonTheme3D Resource</t>
        </is>
      </c>
      <c r="O125" s="136" t="inlineStr">
        <is>
          <t>assets/art/environments/dungeon_3d/env_rust_foundry_kit_top3d_v001.tres</t>
        </is>
      </c>
      <c r="P125" s="136" t="inlineStr">
        <is>
          <t>scenes/levels3d/RustFoundry3D.tscn</t>
        </is>
      </c>
      <c r="Q125" s="136" t="inlineStr">
        <is>
          <t>锈蚀;铸造;橙光;工业</t>
        </is>
      </c>
      <c r="R125" s="136">
        <f>LOWER(TRIM(C125)&amp;"|"&amp;TRIM(D125)&amp;"|"&amp;TRIM(E125)&amp;"|"&amp;TRIM(F125)&amp;"|"&amp;TRIM(H125)&amp;"|"&amp;TRIM(I125))</f>
        <v/>
      </c>
      <c r="S125" s="136">
        <f>IF(COUNTIF($R$6:$R$280,R125)&gt;1,"重复","唯一")</f>
        <v/>
      </c>
      <c r="T125" s="136" t="inlineStr">
        <is>
          <t>0c14c1dd5a5b8edcb51fa5bb024666d845611bfd87c3c4ee0ded56c4614010a8</t>
        </is>
      </c>
      <c r="U125" s="136" t="inlineStr">
        <is>
          <t>Codex</t>
        </is>
      </c>
      <c r="V125" s="137" t="n">
        <v>46224</v>
      </c>
      <c r="W125" s="136" t="inlineStr">
        <is>
          <t>原创程序配置</t>
        </is>
      </c>
      <c r="X125" s="136" t="inlineStr">
        <is>
          <t>复用通用房间根；主题资源不复制玩法规则</t>
        </is>
      </c>
    </row>
    <row r="126" ht="34" customHeight="1">
      <c r="A126" s="136" t="inlineStr">
        <is>
          <t>ENV-DUNGEON-SPORE-DEPTHS-3D</t>
        </is>
      </c>
      <c r="B126" s="136" t="inlineStr">
        <is>
          <t>孢子深层3D主题资源</t>
        </is>
      </c>
      <c r="C126" s="136" t="inlineStr">
        <is>
          <t>场景</t>
        </is>
      </c>
      <c r="D126" s="136" t="inlineStr">
        <is>
          <t>biome</t>
        </is>
      </c>
      <c r="E126" s="136" t="inlineStr">
        <is>
          <t>spore_depths</t>
        </is>
      </c>
      <c r="F126" s="136" t="inlineStr">
        <is>
          <t>theme_3d</t>
        </is>
      </c>
      <c r="G126" s="136" t="inlineStr">
        <is>
          <t>ENV-DUNGEON-RUNTIME-3D</t>
        </is>
      </c>
      <c r="H126" s="136" t="inlineStr">
        <is>
          <t>俯视3D</t>
        </is>
      </c>
      <c r="I126" s="136" t="inlineStr">
        <is>
          <t>default</t>
        </is>
      </c>
      <c r="J126" s="136" t="inlineStr">
        <is>
          <t>孢子深层</t>
        </is>
      </c>
      <c r="K126" s="136" t="inlineStr">
        <is>
          <t>原型已接入</t>
        </is>
      </c>
      <c r="L126" s="136" t="inlineStr">
        <is>
          <t>P0</t>
        </is>
      </c>
      <c r="M126" s="136" t="inlineStr">
        <is>
          <t>v001</t>
        </is>
      </c>
      <c r="N126" s="136" t="inlineStr">
        <is>
          <t>DungeonTheme3D Resource</t>
        </is>
      </c>
      <c r="O126" s="136" t="inlineStr">
        <is>
          <t>assets/art/environments/dungeon_3d/env_spore_depths_kit_top3d_v001.tres</t>
        </is>
      </c>
      <c r="P126" s="136" t="inlineStr">
        <is>
          <t>scenes/levels3d/SporeDepths3D.tscn</t>
        </is>
      </c>
      <c r="Q126" s="136" t="inlineStr">
        <is>
          <t>孢子;病绿;地下;异化</t>
        </is>
      </c>
      <c r="R126" s="136">
        <f>LOWER(TRIM(C126)&amp;"|"&amp;TRIM(D126)&amp;"|"&amp;TRIM(E126)&amp;"|"&amp;TRIM(F126)&amp;"|"&amp;TRIM(H126)&amp;"|"&amp;TRIM(I126))</f>
        <v/>
      </c>
      <c r="S126" s="136">
        <f>IF(COUNTIF($R$6:$R$280,R126)&gt;1,"重复","唯一")</f>
        <v/>
      </c>
      <c r="T126" s="136" t="inlineStr">
        <is>
          <t>bbd5cc04028e3962ce9eb8ea04c1c06157d128b5dbad1cea64bed7b4a02e7689</t>
        </is>
      </c>
      <c r="U126" s="136" t="inlineStr">
        <is>
          <t>Codex</t>
        </is>
      </c>
      <c r="V126" s="137" t="n">
        <v>46224</v>
      </c>
      <c r="W126" s="136" t="inlineStr">
        <is>
          <t>原创程序配置</t>
        </is>
      </c>
      <c r="X126" s="136" t="inlineStr">
        <is>
          <t>复用通用房间根；主题资源不复制玩法规则</t>
        </is>
      </c>
    </row>
    <row r="127" ht="34" customHeight="1">
      <c r="A127" s="136" t="inlineStr">
        <is>
          <t>ENV-DUNGEON-ABYSS-ARCHIVE-3D</t>
        </is>
      </c>
      <c r="B127" s="136" t="inlineStr">
        <is>
          <t>深渊档案库3D主题资源</t>
        </is>
      </c>
      <c r="C127" s="136" t="inlineStr">
        <is>
          <t>场景</t>
        </is>
      </c>
      <c r="D127" s="136" t="inlineStr">
        <is>
          <t>biome</t>
        </is>
      </c>
      <c r="E127" s="136" t="inlineStr">
        <is>
          <t>abyss_archive</t>
        </is>
      </c>
      <c r="F127" s="136" t="inlineStr">
        <is>
          <t>theme_3d</t>
        </is>
      </c>
      <c r="G127" s="136" t="inlineStr">
        <is>
          <t>ENV-DUNGEON-RUNTIME-3D</t>
        </is>
      </c>
      <c r="H127" s="136" t="inlineStr">
        <is>
          <t>俯视3D</t>
        </is>
      </c>
      <c r="I127" s="136" t="inlineStr">
        <is>
          <t>default</t>
        </is>
      </c>
      <c r="J127" s="136" t="inlineStr">
        <is>
          <t>深渊档案库</t>
        </is>
      </c>
      <c r="K127" s="136" t="inlineStr">
        <is>
          <t>原型已接入</t>
        </is>
      </c>
      <c r="L127" s="136" t="inlineStr">
        <is>
          <t>P0</t>
        </is>
      </c>
      <c r="M127" s="136" t="inlineStr">
        <is>
          <t>v001</t>
        </is>
      </c>
      <c r="N127" s="136" t="inlineStr">
        <is>
          <t>DungeonTheme3D Resource</t>
        </is>
      </c>
      <c r="O127" s="136" t="inlineStr">
        <is>
          <t>assets/art/environments/dungeon_3d/env_abyss_archive_kit_top3d_v001.tres</t>
        </is>
      </c>
      <c r="P127" s="136" t="inlineStr">
        <is>
          <t>scenes/levels3d/AbyssArchive3D.tscn</t>
        </is>
      </c>
      <c r="Q127" s="136" t="inlineStr">
        <is>
          <t>深渊;档案;紫光;禁区</t>
        </is>
      </c>
      <c r="R127" s="136">
        <f>LOWER(TRIM(C127)&amp;"|"&amp;TRIM(D127)&amp;"|"&amp;TRIM(E127)&amp;"|"&amp;TRIM(F127)&amp;"|"&amp;TRIM(H127)&amp;"|"&amp;TRIM(I127))</f>
        <v/>
      </c>
      <c r="S127" s="136">
        <f>IF(COUNTIF($R$6:$R$280,R127)&gt;1,"重复","唯一")</f>
        <v/>
      </c>
      <c r="T127" s="136" t="inlineStr">
        <is>
          <t>fb276fb1586de1b69d306ff894800f51da600b8dfb2780cf8bc8d22695ad3a52</t>
        </is>
      </c>
      <c r="U127" s="136" t="inlineStr">
        <is>
          <t>Codex</t>
        </is>
      </c>
      <c r="V127" s="137" t="n">
        <v>46224</v>
      </c>
      <c r="W127" s="136" t="inlineStr">
        <is>
          <t>原创程序配置</t>
        </is>
      </c>
      <c r="X127" s="136" t="inlineStr">
        <is>
          <t>复用通用房间根；主题资源不复制玩法规则</t>
        </is>
      </c>
    </row>
    <row r="128" ht="155" customHeight="1">
      <c r="A128" s="306" t="inlineStr">
        <is>
          <t>PRP-WASTELAND-LIGHT-3D</t>
        </is>
      </c>
      <c r="B128" s="306" t="inlineStr">
        <is>
          <t>废土灯具3D通用模块（街灯/顶灯）</t>
        </is>
      </c>
      <c r="C128" s="306" t="inlineStr">
        <is>
          <t>场景道具</t>
        </is>
      </c>
      <c r="D128" s="306" t="inlineStr">
        <is>
          <t>light</t>
        </is>
      </c>
      <c r="E128" s="306" t="inlineStr">
        <is>
          <t>wasteland_light</t>
        </is>
      </c>
      <c r="F128" s="306" t="inlineStr">
        <is>
          <t>root_3d</t>
        </is>
      </c>
      <c r="G128" s="306" t="inlineStr">
        <is>
          <t>ENV-DUNGEON-RUNTIME-3D</t>
        </is>
      </c>
      <c r="H128" s="306" t="inlineStr">
        <is>
          <t>俯视3D</t>
        </is>
      </c>
      <c r="I128" s="306" t="inlineStr">
        <is>
          <t>default</t>
        </is>
      </c>
      <c r="J128" s="306" t="inlineStr">
        <is>
          <t>关卡/靶场/房间中央照明</t>
        </is>
      </c>
      <c r="K128" s="306" t="inlineStr">
        <is>
          <t>原型已接入</t>
        </is>
      </c>
      <c r="L128" s="306" t="inlineStr">
        <is>
          <t>P0</t>
        </is>
      </c>
      <c r="M128" s="306" t="inlineStr">
        <is>
          <t>v001</t>
        </is>
      </c>
      <c r="N128" s="306" t="inlineStr">
        <is>
          <t>PackedScene/OmniLight3D</t>
        </is>
      </c>
      <c r="O128" s="306" t="inlineStr">
        <is>
          <t>assets/art/props/dungeon_3d/prp_wasteland_light_root_top3d_v001.tscn</t>
        </is>
      </c>
      <c r="P128" s="306" t="inlineStr">
        <is>
          <t>src/world3d/WastelandLight3D.gd</t>
        </is>
      </c>
      <c r="Q128" s="306" t="inlineStr">
        <is>
          <t>灯具;街灯;中央顶灯;故障灯;废土</t>
        </is>
      </c>
      <c r="R128" s="306">
        <f>LOWER(TRIM(C128)&amp;"|"&amp;TRIM(D128)&amp;"|"&amp;TRIM(E128)&amp;"|"&amp;TRIM(F128)&amp;"|"&amp;TRIM(H128)&amp;"|"&amp;TRIM(I128))</f>
        <v/>
      </c>
      <c r="S128" s="306">
        <f>IF(COUNTIF($R$6:$R$280,R128)&gt;1,"重复","唯一")</f>
        <v/>
      </c>
      <c r="T128" s="306" t="inlineStr">
        <is>
          <t>0a6ec0add8b6e01b83f4dbaae421ff0dc69ed08648d304bac061f540af27d99b</t>
        </is>
      </c>
      <c r="U128" s="306" t="inlineStr">
        <is>
          <t>Codex</t>
        </is>
      </c>
      <c r="V128" s="307" t="n">
        <v>46237</v>
      </c>
      <c r="W128" s="306" t="inlineStr">
        <is>
          <t>原创程序几何</t>
        </is>
      </c>
      <c r="X128" s="30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129" ht="34" customHeight="1">
      <c r="A129" s="136" t="inlineStr">
        <is>
          <t>PRP-ROOM-FURNITURE-3D</t>
        </is>
      </c>
      <c r="B129" s="136" t="inlineStr">
        <is>
          <t>房间家具3D通用模块</t>
        </is>
      </c>
      <c r="C129" s="136" t="inlineStr">
        <is>
          <t>场景道具</t>
        </is>
      </c>
      <c r="D129" s="136" t="inlineStr">
        <is>
          <t>furniture</t>
        </is>
      </c>
      <c r="E129" s="136" t="inlineStr">
        <is>
          <t>room_furniture</t>
        </is>
      </c>
      <c r="F129" s="136" t="inlineStr">
        <is>
          <t>root_3d</t>
        </is>
      </c>
      <c r="G129" s="136" t="inlineStr">
        <is>
          <t>ENV-DUNGEON-RUNTIME-3D</t>
        </is>
      </c>
      <c r="H129" s="136" t="inlineStr">
        <is>
          <t>俯视3D</t>
        </is>
      </c>
      <c r="I129" s="136" t="inlineStr">
        <is>
          <t>default</t>
        </is>
      </c>
      <c r="J129" s="136" t="inlineStr">
        <is>
          <t>全部3D房间</t>
        </is>
      </c>
      <c r="K129" s="136" t="inlineStr">
        <is>
          <t>原型已接入</t>
        </is>
      </c>
      <c r="L129" s="136" t="inlineStr">
        <is>
          <t>P0</t>
        </is>
      </c>
      <c r="M129" s="136" t="inlineStr">
        <is>
          <t>v001</t>
        </is>
      </c>
      <c r="N129" s="136" t="inlineStr">
        <is>
          <t>PackedScene/类型与尺寸配置</t>
        </is>
      </c>
      <c r="O129" s="136" t="inlineStr">
        <is>
          <t>assets/art/props/dungeon_3d/prp_room_furniture_root_top3d_v001.tscn</t>
        </is>
      </c>
      <c r="P129" s="136" t="inlineStr">
        <is>
          <t>src/world3d/RoomFurniture3D.gd</t>
        </is>
      </c>
      <c r="Q129" s="136" t="inlineStr">
        <is>
          <t>家具;小中大;箱柜;工作台</t>
        </is>
      </c>
      <c r="R129" s="136">
        <f>LOWER(TRIM(C129)&amp;"|"&amp;TRIM(D129)&amp;"|"&amp;TRIM(E129)&amp;"|"&amp;TRIM(F129)&amp;"|"&amp;TRIM(H129)&amp;"|"&amp;TRIM(I129))</f>
        <v/>
      </c>
      <c r="S129" s="136">
        <f>IF(COUNTIF($R$6:$R$280,R129)&gt;1,"重复","唯一")</f>
        <v/>
      </c>
      <c r="T129" s="136" t="inlineStr">
        <is>
          <t>a78a7eaac02ce39add97d8a57754cc86ea34e740e24e0e901f4e037198a086e9</t>
        </is>
      </c>
      <c r="U129" s="136" t="inlineStr">
        <is>
          <t>Codex</t>
        </is>
      </c>
      <c r="V129" s="137" t="n">
        <v>46224</v>
      </c>
      <c r="W129" s="136" t="inlineStr">
        <is>
          <t>原创程序几何</t>
        </is>
      </c>
      <c r="X129" s="136" t="inlineStr">
        <is>
          <t>11类轮廓；small/medium/large影响占地与碰撞</t>
        </is>
      </c>
    </row>
    <row r="130" ht="34" customHeight="1">
      <c r="A130" s="136" t="inlineStr">
        <is>
          <t>PRP-SEARCH-CONTAINER-3D</t>
        </is>
      </c>
      <c r="B130" s="136" t="inlineStr">
        <is>
          <t>可搜索容器3D通用模块</t>
        </is>
      </c>
      <c r="C130" s="136" t="inlineStr">
        <is>
          <t>场景道具</t>
        </is>
      </c>
      <c r="D130" s="136" t="inlineStr">
        <is>
          <t>container</t>
        </is>
      </c>
      <c r="E130" s="136" t="inlineStr">
        <is>
          <t>search_container</t>
        </is>
      </c>
      <c r="F130" s="136" t="inlineStr">
        <is>
          <t>root_3d</t>
        </is>
      </c>
      <c r="G130" s="136" t="inlineStr">
        <is>
          <t>PRP-ROOM-FURNITURE-3D</t>
        </is>
      </c>
      <c r="H130" s="136" t="inlineStr">
        <is>
          <t>俯视3D</t>
        </is>
      </c>
      <c r="I130" s="136" t="inlineStr">
        <is>
          <t>closed_opened</t>
        </is>
      </c>
      <c r="J130" s="136" t="inlineStr">
        <is>
          <t>搜索房/仓储/事件</t>
        </is>
      </c>
      <c r="K130" s="136" t="inlineStr">
        <is>
          <t>原型已接入</t>
        </is>
      </c>
      <c r="L130" s="136" t="inlineStr">
        <is>
          <t>P0</t>
        </is>
      </c>
      <c r="M130" s="136" t="inlineStr">
        <is>
          <t>v001</t>
        </is>
      </c>
      <c r="N130" s="136" t="inlineStr">
        <is>
          <t>PackedScene/搜索状态</t>
        </is>
      </c>
      <c r="O130" s="136" t="inlineStr">
        <is>
          <t>assets/art/props/dungeon_3d/prp_search_container_root_top3d_v001.tscn</t>
        </is>
      </c>
      <c r="P130" s="136" t="inlineStr">
        <is>
          <t>src/world3d/RoomFurniture3D.gd</t>
        </is>
      </c>
      <c r="Q130" s="136" t="inlineStr">
        <is>
          <t>搜索;容器;战利品;小中大</t>
        </is>
      </c>
      <c r="R130" s="136">
        <f>LOWER(TRIM(C130)&amp;"|"&amp;TRIM(D130)&amp;"|"&amp;TRIM(E130)&amp;"|"&amp;TRIM(F130)&amp;"|"&amp;TRIM(H130)&amp;"|"&amp;TRIM(I130))</f>
        <v/>
      </c>
      <c r="S130" s="136">
        <f>IF(COUNTIF($R$6:$R$280,R130)&gt;1,"重复","唯一")</f>
        <v/>
      </c>
      <c r="T130" s="136" t="inlineStr">
        <is>
          <t>2c0852d86e7c0e635e76197ff8d2f6a030daa186f760dfb339d3fdeddf3c192d</t>
        </is>
      </c>
      <c r="U130" s="136" t="inlineStr">
        <is>
          <t>Codex</t>
        </is>
      </c>
      <c r="V130" s="137" t="n">
        <v>46224</v>
      </c>
      <c r="W130" s="136" t="inlineStr">
        <is>
          <t>原创程序几何</t>
        </is>
      </c>
      <c r="X130" s="136" t="inlineStr">
        <is>
          <t>搜索为家具状态与配置，不建立关卡局部重复模型</t>
        </is>
      </c>
    </row>
    <row r="131" ht="34" customHeight="1">
      <c r="A131" s="136" t="inlineStr">
        <is>
          <t>PRP-SERVICE-STATION-3D</t>
        </is>
      </c>
      <c r="B131" s="136" t="inlineStr">
        <is>
          <t>废土服务终端3D模块</t>
        </is>
      </c>
      <c r="C131" s="136" t="inlineStr">
        <is>
          <t>场景道具</t>
        </is>
      </c>
      <c r="D131" s="136" t="inlineStr">
        <is>
          <t>facility</t>
        </is>
      </c>
      <c r="E131" s="136" t="inlineStr">
        <is>
          <t>service_station</t>
        </is>
      </c>
      <c r="F131" s="136" t="inlineStr">
        <is>
          <t>root_3d</t>
        </is>
      </c>
      <c r="G131" s="136" t="inlineStr">
        <is>
          <t>ENV-DUNGEON-RUNTIME-3D</t>
        </is>
      </c>
      <c r="H131" s="136" t="inlineStr">
        <is>
          <t>俯视3D</t>
        </is>
      </c>
      <c r="I131" s="136" t="inlineStr">
        <is>
          <t>default</t>
        </is>
      </c>
      <c r="J131" s="136" t="inlineStr">
        <is>
          <t>商店/升级/事件/重置</t>
        </is>
      </c>
      <c r="K131" s="136" t="inlineStr">
        <is>
          <t>原型已接入</t>
        </is>
      </c>
      <c r="L131" s="136" t="inlineStr">
        <is>
          <t>P0</t>
        </is>
      </c>
      <c r="M131" s="136" t="inlineStr">
        <is>
          <t>v001</t>
        </is>
      </c>
      <c r="N131" s="136" t="inlineStr">
        <is>
          <t>PackedScene/程序组件</t>
        </is>
      </c>
      <c r="O131" s="136" t="inlineStr">
        <is>
          <t>assets/art/props/dungeon_3d/prp_service_station_root_top3d_v001.tscn</t>
        </is>
      </c>
      <c r="P131" s="136" t="inlineStr">
        <is>
          <t>src/world3d/ServiceStation3D.gd</t>
        </is>
      </c>
      <c r="Q131" s="136" t="inlineStr">
        <is>
          <t>终端;商店;升级;事件;重置</t>
        </is>
      </c>
      <c r="R131" s="136">
        <f>LOWER(TRIM(C131)&amp;"|"&amp;TRIM(D131)&amp;"|"&amp;TRIM(E131)&amp;"|"&amp;TRIM(F131)&amp;"|"&amp;TRIM(H131)&amp;"|"&amp;TRIM(I131))</f>
        <v/>
      </c>
      <c r="S131" s="136">
        <f>IF(COUNTIF($R$6:$R$280,R131)&gt;1,"重复","唯一")</f>
        <v/>
      </c>
      <c r="T131" s="136" t="inlineStr">
        <is>
          <t>da288e4a8ffc005053741d2eda3bbcbf2f6ad34c32c6657e35d0ddf62b837be4</t>
        </is>
      </c>
      <c r="U131" s="136" t="inlineStr">
        <is>
          <t>Codex</t>
        </is>
      </c>
      <c r="V131" s="137" t="n">
        <v>46224</v>
      </c>
      <c r="W131" s="136" t="inlineStr">
        <is>
          <t>原创程序几何</t>
        </is>
      </c>
      <c r="X131" s="136" t="inlineStr">
        <is>
          <t>四种服务行为复用同一视觉与交互组件</t>
        </is>
      </c>
    </row>
    <row r="132" ht="34" customHeight="1">
      <c r="A132" s="136" t="inlineStr">
        <is>
          <t>PRP-EXTRACTION-BEACON-3D</t>
        </is>
      </c>
      <c r="B132" s="136" t="inlineStr">
        <is>
          <t>撤离信标3D模块</t>
        </is>
      </c>
      <c r="C132" s="136" t="inlineStr">
        <is>
          <t>场景道具</t>
        </is>
      </c>
      <c r="D132" s="136" t="inlineStr">
        <is>
          <t>facility</t>
        </is>
      </c>
      <c r="E132" s="136" t="inlineStr">
        <is>
          <t>extraction_beacon</t>
        </is>
      </c>
      <c r="F132" s="136" t="inlineStr">
        <is>
          <t>root_3d</t>
        </is>
      </c>
      <c r="G132" s="136" t="inlineStr">
        <is>
          <t>ENV-DUNGEON-RUNTIME-3D</t>
        </is>
      </c>
      <c r="H132" s="136" t="inlineStr">
        <is>
          <t>俯视3D</t>
        </is>
      </c>
      <c r="I132" s="136" t="inlineStr">
        <is>
          <t>locked_active_done</t>
        </is>
      </c>
      <c r="J132" s="136" t="inlineStr">
        <is>
          <t>四主题撤离房</t>
        </is>
      </c>
      <c r="K132" s="136" t="inlineStr">
        <is>
          <t>原型已接入</t>
        </is>
      </c>
      <c r="L132" s="136" t="inlineStr">
        <is>
          <t>P0</t>
        </is>
      </c>
      <c r="M132" s="136" t="inlineStr">
        <is>
          <t>v001</t>
        </is>
      </c>
      <c r="N132" s="136" t="inlineStr">
        <is>
          <t>PackedScene/程序组件</t>
        </is>
      </c>
      <c r="O132" s="136" t="inlineStr">
        <is>
          <t>assets/art/props/dungeon_3d/prp_extraction_beacon_root_top3d_v001.tscn</t>
        </is>
      </c>
      <c r="P132" s="136" t="inlineStr">
        <is>
          <t>src/world3d/ExtractionBeacon3D.gd</t>
        </is>
      </c>
      <c r="Q132" s="136" t="inlineStr">
        <is>
          <t>撤离;信标;倒计时;Boss解锁</t>
        </is>
      </c>
      <c r="R132" s="136">
        <f>LOWER(TRIM(C132)&amp;"|"&amp;TRIM(D132)&amp;"|"&amp;TRIM(E132)&amp;"|"&amp;TRIM(F132)&amp;"|"&amp;TRIM(H132)&amp;"|"&amp;TRIM(I132))</f>
        <v/>
      </c>
      <c r="S132" s="136">
        <f>IF(COUNTIF($R$6:$R$280,R132)&gt;1,"重复","唯一")</f>
        <v/>
      </c>
      <c r="T132" s="136" t="inlineStr">
        <is>
          <t>f2638fdaca3f9542e918a56750bda04a5828b18a763569eb16a36619e9e336b4</t>
        </is>
      </c>
      <c r="U132" s="136" t="inlineStr">
        <is>
          <t>Codex</t>
        </is>
      </c>
      <c r="V132" s="137" t="n">
        <v>46237</v>
      </c>
      <c r="W132" s="136" t="inlineStr">
        <is>
          <t>原创程序几何</t>
        </is>
      </c>
      <c r="X132" s="136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133" ht="34" customHeight="1">
      <c r="A133" s="136" t="inlineStr">
        <is>
          <t>VFX-HAZARD-FIELD-3D</t>
        </is>
      </c>
      <c r="B133" s="136" t="inlineStr">
        <is>
          <t>房间危险场3D特效</t>
        </is>
      </c>
      <c r="C133" s="136" t="inlineStr">
        <is>
          <t>特效</t>
        </is>
      </c>
      <c r="D133" s="136" t="inlineStr">
        <is>
          <t>environment</t>
        </is>
      </c>
      <c r="E133" s="136" t="inlineStr">
        <is>
          <t>hazard_field</t>
        </is>
      </c>
      <c r="F133" s="136" t="inlineStr">
        <is>
          <t>root_3d</t>
        </is>
      </c>
      <c r="G133" s="136" t="inlineStr">
        <is>
          <t>ENV-DUNGEON-RUNTIME-3D</t>
        </is>
      </c>
      <c r="H133" s="136" t="inlineStr">
        <is>
          <t>俯视3D</t>
        </is>
      </c>
      <c r="I133" s="136" t="inlineStr">
        <is>
          <t>active</t>
        </is>
      </c>
      <c r="J133" s="136" t="inlineStr">
        <is>
          <t>陷阱房</t>
        </is>
      </c>
      <c r="K133" s="136" t="inlineStr">
        <is>
          <t>原型已接入</t>
        </is>
      </c>
      <c r="L133" s="136" t="inlineStr">
        <is>
          <t>P0</t>
        </is>
      </c>
      <c r="M133" s="136" t="inlineStr">
        <is>
          <t>v001</t>
        </is>
      </c>
      <c r="N133" s="136" t="inlineStr">
        <is>
          <t>PackedScene/程序环形特效</t>
        </is>
      </c>
      <c r="O133" s="136" t="inlineStr">
        <is>
          <t>assets/art/vfx/environment_3d/vfx_hazard_field_root_top3d_v001.tscn</t>
        </is>
      </c>
      <c r="P133" s="136" t="inlineStr">
        <is>
          <t>src/world3d/HazardField3D.gd</t>
        </is>
      </c>
      <c r="Q133" s="136" t="inlineStr">
        <is>
          <t>危险区;陷阱;范围伤害;3D</t>
        </is>
      </c>
      <c r="R133" s="136">
        <f>LOWER(TRIM(C133)&amp;"|"&amp;TRIM(D133)&amp;"|"&amp;TRIM(E133)&amp;"|"&amp;TRIM(F133)&amp;"|"&amp;TRIM(H133)&amp;"|"&amp;TRIM(I133))</f>
        <v/>
      </c>
      <c r="S133" s="136">
        <f>IF(COUNTIF($R$6:$R$280,R133)&gt;1,"重复","唯一")</f>
        <v/>
      </c>
      <c r="T133" s="136" t="inlineStr">
        <is>
          <t>66ab8d6bc0e2729ca56c7f3c46a588e5f74890cfdf02b90de1fdc46fd1a67648</t>
        </is>
      </c>
      <c r="U133" s="136" t="inlineStr">
        <is>
          <t>Codex</t>
        </is>
      </c>
      <c r="V133" s="137" t="n">
        <v>46224</v>
      </c>
      <c r="W133" s="136" t="inlineStr">
        <is>
          <t>原创程序特效</t>
        </is>
      </c>
      <c r="X133" s="136" t="inlineStr">
        <is>
          <t>颜色、半径与伤害可按主题配置</t>
        </is>
      </c>
    </row>
    <row r="134" ht="34" customHeight="1">
      <c r="A134" s="136" t="inlineStr">
        <is>
          <t>WPN-GUN-KIT-3D</t>
        </is>
      </c>
      <c r="B134" s="136" t="inlineStr">
        <is>
          <t>枪械3D通用模型套件</t>
        </is>
      </c>
      <c r="C134" s="136" t="inlineStr">
        <is>
          <t>枪械</t>
        </is>
      </c>
      <c r="D134" s="136" t="inlineStr">
        <is>
          <t>gunbody</t>
        </is>
      </c>
      <c r="E134" s="136" t="inlineStr">
        <is>
          <t>blueprint_gun_catalog</t>
        </is>
      </c>
      <c r="F134" s="136" t="inlineStr">
        <is>
          <t>root_3d</t>
        </is>
      </c>
      <c r="G134" s="136" t="n"/>
      <c r="H134" s="136" t="inlineStr">
        <is>
          <t>俯视3D</t>
        </is>
      </c>
      <c r="I134" s="136" t="inlineStr">
        <is>
          <t>default</t>
        </is>
      </c>
      <c r="J134" s="136" t="inlineStr">
        <is>
          <t>玩家/靶场/全部副本</t>
        </is>
      </c>
      <c r="K134" s="136" t="inlineStr">
        <is>
          <t>原型已接入</t>
        </is>
      </c>
      <c r="L134" s="136" t="inlineStr">
        <is>
          <t>P0</t>
        </is>
      </c>
      <c r="M134" s="136" t="inlineStr">
        <is>
          <t>v001</t>
        </is>
      </c>
      <c r="N134" s="136" t="inlineStr">
        <is>
          <t>PackedScene/7枪配置模型</t>
        </is>
      </c>
      <c r="O134" s="136" t="inlineStr">
        <is>
          <t>assets/art/weapons/weapon_3d/wpn_gun_kit_root_top3d_v001.tscn</t>
        </is>
      </c>
      <c r="P134" s="136" t="inlineStr">
        <is>
          <t>src/combat3d/WeaponModel3D.gd</t>
        </is>
      </c>
      <c r="Q134" s="136" t="inlineStr">
        <is>
          <t>枪械;7枪身;8弹药;后坐力;枪口</t>
        </is>
      </c>
      <c r="R134" s="136">
        <f>LOWER(TRIM(C134)&amp;"|"&amp;TRIM(D134)&amp;"|"&amp;TRIM(E134)&amp;"|"&amp;TRIM(F134)&amp;"|"&amp;TRIM(H134)&amp;"|"&amp;TRIM(I134))</f>
        <v/>
      </c>
      <c r="S134" s="136">
        <f>IF(COUNTIF($R$6:$R$280,R134)&gt;1,"重复","唯一")</f>
        <v/>
      </c>
      <c r="T134" s="136" t="inlineStr">
        <is>
          <t>e13801540404433f6fc5f00faa0f523b804d18ec7fa30c0f6c15fab48f1ec4c9</t>
        </is>
      </c>
      <c r="U134" s="136" t="inlineStr">
        <is>
          <t>Codex</t>
        </is>
      </c>
      <c r="V134" s="137" t="n">
        <v>46225</v>
      </c>
      <c r="W134" s="136" t="inlineStr">
        <is>
          <t>原创程序几何</t>
        </is>
      </c>
      <c r="X134" s="136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t>
        </is>
      </c>
    </row>
    <row r="135" ht="34" customHeight="1">
      <c r="A135" s="136" t="inlineStr">
        <is>
          <t>ENM-ECOSYSTEM-KIT-3D</t>
        </is>
      </c>
      <c r="B135" s="136" t="inlineStr">
        <is>
          <t>七类怪物3D生态套件</t>
        </is>
      </c>
      <c r="C135" s="136" t="inlineStr">
        <is>
          <t>敌人</t>
        </is>
      </c>
      <c r="D135" s="136" t="inlineStr">
        <is>
          <t>normal_elite_boss</t>
        </is>
      </c>
      <c r="E135" s="136" t="inlineStr">
        <is>
          <t>enemy_ecosystem</t>
        </is>
      </c>
      <c r="F135" s="136" t="inlineStr">
        <is>
          <t>root_3d</t>
        </is>
      </c>
      <c r="G135" s="136" t="n"/>
      <c r="H135" s="136" t="inlineStr">
        <is>
          <t>俯视3D</t>
        </is>
      </c>
      <c r="I135" s="136" t="inlineStr">
        <is>
          <t>default</t>
        </is>
      </c>
      <c r="J135" s="136" t="inlineStr">
        <is>
          <t>四主题战斗房</t>
        </is>
      </c>
      <c r="K135" s="136" t="inlineStr">
        <is>
          <t>原型已接入</t>
        </is>
      </c>
      <c r="L135" s="136" t="inlineStr">
        <is>
          <t>P0</t>
        </is>
      </c>
      <c r="M135" s="136" t="inlineStr">
        <is>
          <t>v001</t>
        </is>
      </c>
      <c r="N135" s="136" t="inlineStr">
        <is>
          <t>PackedScene/模块敌人</t>
        </is>
      </c>
      <c r="O135" s="136" t="inlineStr">
        <is>
          <t>assets/art/enemies/enemy_3d/enm_ecosystem_kit_root_top3d_v001.tscn</t>
        </is>
      </c>
      <c r="P135" s="136" t="inlineStr">
        <is>
          <t>src/enemy3d/Enemy3D.gd</t>
        </is>
      </c>
      <c r="Q135" s="136" t="inlineStr">
        <is>
          <t>怪物;七类;核心;外壳;附肢;状态</t>
        </is>
      </c>
      <c r="R135" s="136">
        <f>LOWER(TRIM(C135)&amp;"|"&amp;TRIM(D135)&amp;"|"&amp;TRIM(E135)&amp;"|"&amp;TRIM(F135)&amp;"|"&amp;TRIM(H135)&amp;"|"&amp;TRIM(I135))</f>
        <v/>
      </c>
      <c r="S135" s="136">
        <f>IF(COUNTIF($R$6:$R$280,R135)&gt;1,"重复","唯一")</f>
        <v/>
      </c>
      <c r="T135" s="136" t="inlineStr">
        <is>
          <t>d9d8a49bed3fdcb863bad72f60be1f774309c7dda52753f5efb3d4e56159c12d</t>
        </is>
      </c>
      <c r="U135" s="136" t="inlineStr">
        <is>
          <t>Codex</t>
        </is>
      </c>
      <c r="V135" s="137" t="n">
        <v>46225</v>
      </c>
      <c r="W135" s="136" t="inlineStr">
        <is>
          <t>原创程序几何</t>
        </is>
      </c>
      <c r="X135" s="136" t="inlineStr">
        <is>
          <t>九态AI视线允许射线命中玩家本体并保留实体墙遮挡；3D基础HP乘旧楼层/主题/精英倍率，开局手枪普通命中不秒杀基础怪</t>
        </is>
      </c>
    </row>
    <row r="136" ht="34" customHeight="1">
      <c r="A136" s="136" t="inlineStr">
        <is>
          <t>VFX-COMBAT-KIT-3D</t>
        </is>
      </c>
      <c r="B136" s="136" t="inlineStr">
        <is>
          <t>战斗反馈3D通用特效套件</t>
        </is>
      </c>
      <c r="C136" s="136" t="inlineStr">
        <is>
          <t>特效</t>
        </is>
      </c>
      <c r="D136" s="136" t="inlineStr">
        <is>
          <t>combat</t>
        </is>
      </c>
      <c r="E136" s="136" t="inlineStr">
        <is>
          <t>combat_feedback</t>
        </is>
      </c>
      <c r="F136" s="136" t="inlineStr">
        <is>
          <t>root_3d</t>
        </is>
      </c>
      <c r="G136" s="136" t="n"/>
      <c r="H136" s="136" t="inlineStr">
        <is>
          <t>俯视3D</t>
        </is>
      </c>
      <c r="I136" s="136" t="inlineStr">
        <is>
          <t>muzzle_impact_damage_explosion_slash_melee_impact</t>
        </is>
      </c>
      <c r="J136" s="136" t="inlineStr">
        <is>
          <t>枪械/近战/敌人/关卡</t>
        </is>
      </c>
      <c r="K136" s="136" t="inlineStr">
        <is>
          <t>原型已接入</t>
        </is>
      </c>
      <c r="L136" s="136" t="inlineStr">
        <is>
          <t>P0</t>
        </is>
      </c>
      <c r="M136" s="136" t="inlineStr">
        <is>
          <t>v001</t>
        </is>
      </c>
      <c r="N136" s="136" t="inlineStr">
        <is>
          <t>PackedScene/参数化特效</t>
        </is>
      </c>
      <c r="O136" s="136" t="inlineStr">
        <is>
          <t>assets/art/vfx/combat_3d/vfx_combat_kit_root_top3d_v001.tscn</t>
        </is>
      </c>
      <c r="P136" s="136" t="inlineStr">
        <is>
          <t>src/combat3d/CombatEffect3D.gd; src/combat3d/CombatEffectPool3D.gd; src/player3d/melee/PlayerMeleeCombat3D.gd</t>
        </is>
      </c>
      <c r="Q136" s="136" t="inlineStr">
        <is>
          <t>枪口;命中;伤害;爆炸;挥砍;近战冲击;slash;melee_impact;3D</t>
        </is>
      </c>
      <c r="R136" s="136">
        <f>LOWER(TRIM(C136)&amp;"|"&amp;TRIM(D136)&amp;"|"&amp;TRIM(E136)&amp;"|"&amp;TRIM(F136)&amp;"|"&amp;TRIM(H136)&amp;"|"&amp;TRIM(I136))</f>
        <v/>
      </c>
      <c r="S136" s="136">
        <f>IF(COUNTIF($R$6:$R$280,R136)&gt;1,"重复","唯一")</f>
        <v/>
      </c>
      <c r="T136" s="136" t="inlineStr">
        <is>
          <t>2ee5109b1876ea2114ac5c73b4bd0e2fc0348e1209a9d2ca16bc8ef9834ff357</t>
        </is>
      </c>
      <c r="U136" s="136" t="inlineStr">
        <is>
          <t>Codex</t>
        </is>
      </c>
      <c r="V136" s="137" t="n">
        <v>46224</v>
      </c>
      <c r="W136" s="136" t="inlineStr">
        <is>
          <t>原创程序特效</t>
        </is>
      </c>
      <c r="X136" s="136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37" ht="34" customHeight="1">
      <c r="A137" s="136" t="inlineStr">
        <is>
          <t>ENV-TRAINING-RANGE-KIT-3D</t>
        </is>
      </c>
      <c r="B137" s="136" t="inlineStr">
        <is>
          <t>独立3D训练靶场套件</t>
        </is>
      </c>
      <c r="C137" s="136" t="inlineStr">
        <is>
          <t>场景</t>
        </is>
      </c>
      <c r="D137" s="136" t="inlineStr">
        <is>
          <t>training_range</t>
        </is>
      </c>
      <c r="E137" s="136" t="inlineStr">
        <is>
          <t>training_range</t>
        </is>
      </c>
      <c r="F137" s="136" t="inlineStr">
        <is>
          <t>root_3d</t>
        </is>
      </c>
      <c r="G137" s="136" t="n"/>
      <c r="H137" s="136" t="inlineStr">
        <is>
          <t>俯视3D</t>
        </is>
      </c>
      <c r="I137" s="136" t="inlineStr">
        <is>
          <t>default</t>
        </is>
      </c>
      <c r="J137" s="136" t="inlineStr">
        <is>
          <t>独立训练地图</t>
        </is>
      </c>
      <c r="K137" s="136" t="inlineStr">
        <is>
          <t>原型已接入</t>
        </is>
      </c>
      <c r="L137" s="136" t="inlineStr">
        <is>
          <t>P0</t>
        </is>
      </c>
      <c r="M137" s="136" t="inlineStr">
        <is>
          <t>v001</t>
        </is>
      </c>
      <c r="N137" s="136" t="inlineStr">
        <is>
          <t>PackedScene/程序环境</t>
        </is>
      </c>
      <c r="O137" s="136" t="inlineStr">
        <is>
          <t>assets/art/environments/training_range_3d/env_training_range_kit_top3d_v001.tscn</t>
        </is>
      </c>
      <c r="P137" s="136" t="inlineStr">
        <is>
          <t>scenes/TrainingRange3D.tscn</t>
        </is>
      </c>
      <c r="Q137" s="136" t="inlineStr">
        <is>
          <t>靶场;射击道;货架;59组合;三类靶</t>
        </is>
      </c>
      <c r="R137" s="136">
        <f>LOWER(TRIM(C137)&amp;"|"&amp;TRIM(D137)&amp;"|"&amp;TRIM(E137)&amp;"|"&amp;TRIM(F137)&amp;"|"&amp;TRIM(H137)&amp;"|"&amp;TRIM(I137))</f>
        <v/>
      </c>
      <c r="S137" s="136">
        <f>IF(COUNTIF($R$6:$R$280,R137)&gt;1,"重复","唯一")</f>
        <v/>
      </c>
      <c r="T137" s="136" t="inlineStr">
        <is>
          <t>4d1153bc736fab0790300f171beef8435002670f3789d6434e966bca0a79d28e</t>
        </is>
      </c>
      <c r="U137" s="136" t="inlineStr">
        <is>
          <t>Codex</t>
        </is>
      </c>
      <c r="V137" s="137" t="n">
        <v>46224</v>
      </c>
      <c r="W137" s="136" t="inlineStr">
        <is>
          <t>原创程序几何</t>
        </is>
      </c>
      <c r="X137" s="136" t="inlineStr">
        <is>
          <t>18货架（7远程+3近战+8子弹）、三射击道、三靶标、重置与返回；BaseData隔离</t>
        </is>
      </c>
    </row>
    <row r="138" ht="34" customHeight="1">
      <c r="A138" s="136" t="inlineStr">
        <is>
          <t>ENV-DUNGEON-RUNTIME-3D-PREVIEW</t>
        </is>
      </c>
      <c r="B138" s="136" t="inlineStr">
        <is>
          <t>3D关卡运行时验收预览</t>
        </is>
      </c>
      <c r="C138" s="136" t="inlineStr">
        <is>
          <t>场景</t>
        </is>
      </c>
      <c r="D138" s="136" t="inlineStr">
        <is>
          <t>review_board</t>
        </is>
      </c>
      <c r="E138" s="136" t="inlineStr">
        <is>
          <t>dungeon_runtime</t>
        </is>
      </c>
      <c r="F138" s="136" t="inlineStr">
        <is>
          <t>preview_3d</t>
        </is>
      </c>
      <c r="G138" s="136" t="inlineStr">
        <is>
          <t>ENV-DUNGEON-RUNTIME-3D</t>
        </is>
      </c>
      <c r="H138" s="136" t="inlineStr">
        <is>
          <t>俯视3D</t>
        </is>
      </c>
      <c r="I138" s="136" t="inlineStr">
        <is>
          <t>default</t>
        </is>
      </c>
      <c r="J138" s="136" t="inlineStr">
        <is>
          <t>评审与资产QA</t>
        </is>
      </c>
      <c r="K138" s="136" t="inlineStr">
        <is>
          <t>已完成</t>
        </is>
      </c>
      <c r="L138" s="136" t="inlineStr">
        <is>
          <t>P1</t>
        </is>
      </c>
      <c r="M138" s="136" t="inlineStr">
        <is>
          <t>v001</t>
        </is>
      </c>
      <c r="N138" s="136" t="inlineStr">
        <is>
          <t>1280×720 PNG</t>
        </is>
      </c>
      <c r="O138" s="136" t="inlineStr">
        <is>
          <t>assets/art/environments/dungeon_3d/env_dungeon_runtime_preview_top3d_v001.png</t>
        </is>
      </c>
      <c r="P138" s="136" t="inlineStr">
        <is>
          <t>tests/verification/verify_full_3d_visual.tscn</t>
        </is>
      </c>
      <c r="Q138" s="136" t="inlineStr">
        <is>
          <t>3D关卡;预览;灯光;战斗;QA</t>
        </is>
      </c>
      <c r="R138" s="136">
        <f>LOWER(TRIM(C138)&amp;"|"&amp;TRIM(D138)&amp;"|"&amp;TRIM(E138)&amp;"|"&amp;TRIM(F138)&amp;"|"&amp;TRIM(H138)&amp;"|"&amp;TRIM(I138))</f>
        <v/>
      </c>
      <c r="S138" s="136">
        <f>IF(COUNTIF($R$6:$R$280,R138)&gt;1,"重复","唯一")</f>
        <v/>
      </c>
      <c r="T138" s="136" t="inlineStr">
        <is>
          <t>3b2c2212f1283ed366a31dc3a101b3555c78768c3906600eb0b18c74423fb247</t>
        </is>
      </c>
      <c r="U138" s="136" t="inlineStr">
        <is>
          <t>Codex</t>
        </is>
      </c>
      <c r="V138" s="137" t="n">
        <v>46225</v>
      </c>
      <c r="W138" s="136" t="inlineStr">
        <is>
          <t>项目运行截图</t>
        </is>
      </c>
      <c r="X138" s="136" t="inlineStr">
        <is>
          <t>实际GPU窗口确认360°遮挡逻辑与96°定向表现；v0.1三层玩家灯去除头顶溢光，角色正面柔光、增强中央灯与战斗轮廓通过验收</t>
        </is>
      </c>
    </row>
    <row r="139" ht="34" customHeight="1">
      <c r="A139" s="136" t="inlineStr">
        <is>
          <t>ENV-TRAINING-RANGE-3D-PREVIEW</t>
        </is>
      </c>
      <c r="B139" s="136" t="inlineStr">
        <is>
          <t>3D训练靶场验收预览</t>
        </is>
      </c>
      <c r="C139" s="136" t="inlineStr">
        <is>
          <t>场景</t>
        </is>
      </c>
      <c r="D139" s="136" t="inlineStr">
        <is>
          <t>review_board</t>
        </is>
      </c>
      <c r="E139" s="136" t="inlineStr">
        <is>
          <t>training_range</t>
        </is>
      </c>
      <c r="F139" s="136" t="inlineStr">
        <is>
          <t>preview_3d</t>
        </is>
      </c>
      <c r="G139" s="136" t="inlineStr">
        <is>
          <t>ENV-TRAINING-RANGE-KIT-3D</t>
        </is>
      </c>
      <c r="H139" s="136" t="inlineStr">
        <is>
          <t>俯视3D</t>
        </is>
      </c>
      <c r="I139" s="136" t="inlineStr">
        <is>
          <t>default</t>
        </is>
      </c>
      <c r="J139" s="136" t="inlineStr">
        <is>
          <t>评审与资产QA</t>
        </is>
      </c>
      <c r="K139" s="136" t="inlineStr">
        <is>
          <t>已完成</t>
        </is>
      </c>
      <c r="L139" s="136" t="inlineStr">
        <is>
          <t>P1</t>
        </is>
      </c>
      <c r="M139" s="136" t="inlineStr">
        <is>
          <t>v001</t>
        </is>
      </c>
      <c r="N139" s="136" t="inlineStr">
        <is>
          <t>1280×720 PNG</t>
        </is>
      </c>
      <c r="O139" s="136" t="inlineStr">
        <is>
          <t>assets/art/environments/training_range_3d/env_training_range_preview_top3d_v001.png</t>
        </is>
      </c>
      <c r="P139" s="136" t="inlineStr">
        <is>
          <t>tests/verification/verify_training_range_3d_visual.tscn</t>
        </is>
      </c>
      <c r="Q139" s="136" t="inlineStr">
        <is>
          <t>3D靶场;预览;射击道;目标;QA</t>
        </is>
      </c>
      <c r="R139" s="136">
        <f>LOWER(TRIM(C139)&amp;"|"&amp;TRIM(D139)&amp;"|"&amp;TRIM(E139)&amp;"|"&amp;TRIM(F139)&amp;"|"&amp;TRIM(H139)&amp;"|"&amp;TRIM(I139))</f>
        <v/>
      </c>
      <c r="S139" s="136">
        <f>IF(COUNTIF($R$6:$R$280,R139)&gt;1,"重复","唯一")</f>
        <v/>
      </c>
      <c r="T139" s="136" t="inlineStr">
        <is>
          <t>51b63097607e69009e9b2e5ed9315b3c642cdc05e823a2fee547cb0bb1ad8377</t>
        </is>
      </c>
      <c r="U139" s="136" t="inlineStr">
        <is>
          <t>Codex</t>
        </is>
      </c>
      <c r="V139" s="137" t="n">
        <v>46224</v>
      </c>
      <c r="W139" s="136" t="inlineStr">
        <is>
          <t>项目运行截图</t>
        </is>
      </c>
      <c r="X139" s="136" t="inlineStr">
        <is>
          <t>真实GPU窗口检查三条射击道、三类靶、枪弹组合区与灯光</t>
        </is>
      </c>
    </row>
    <row r="140">
      <c r="A140" s="136" t="inlineStr">
        <is>
          <t>VFX-VISIBILITY-FIELD-3D</t>
        </is>
      </c>
      <c r="B140" s="136" t="inlineStr">
        <is>
          <t>柔边真实单位视野场3D</t>
        </is>
      </c>
      <c r="C140" s="136" t="inlineStr">
        <is>
          <t>特效</t>
        </is>
      </c>
      <c r="D140" s="136" t="inlineStr">
        <is>
          <t>gameplay_vfx</t>
        </is>
      </c>
      <c r="E140" s="136" t="inlineStr">
        <is>
          <t>visibility_field</t>
        </is>
      </c>
      <c r="F140" s="136" t="inlineStr">
        <is>
          <t>field_mesh_3d</t>
        </is>
      </c>
      <c r="G140" s="136" t="inlineStr">
        <is>
          <t>VFX-VISIBILITY-LIGHT</t>
        </is>
      </c>
      <c r="H140" s="136" t="inlineStr">
        <is>
          <t>俯视3D</t>
        </is>
      </c>
      <c r="I140" s="136" t="inlineStr">
        <is>
          <t>default</t>
        </is>
      </c>
      <c r="J140" s="136" t="inlineStr">
        <is>
          <t>3D行动区/靶场/基地</t>
        </is>
      </c>
      <c r="K140" s="136" t="inlineStr">
        <is>
          <t>原型已接入</t>
        </is>
      </c>
      <c r="L140" s="136" t="inlineStr">
        <is>
          <t>P0</t>
        </is>
      </c>
      <c r="M140" s="136" t="inlineStr">
        <is>
          <t>v001</t>
        </is>
      </c>
      <c r="N140" s="136" t="inlineStr">
        <is>
          <t>360°逻辑射线 + ImmediateMesh 49+28表现射线</t>
        </is>
      </c>
      <c r="O140" s="136" t="inlineStr">
        <is>
          <t>src/player3d/PlayerVision3D.gd</t>
        </is>
      </c>
      <c r="P140" s="136" t="inlineStr">
        <is>
          <t>scenes/Player3D.tscn</t>
        </is>
      </c>
      <c r="Q140" s="136" t="inlineStr">
        <is>
          <t>360度逻辑视野;96度目光表现;柔边;墙体遮挡;无描边;非灯光判定</t>
        </is>
      </c>
      <c r="R140" s="136">
        <f>LOWER(TRIM(C140)&amp;"|"&amp;TRIM(D140)&amp;"|"&amp;TRIM(E140)&amp;"|"&amp;TRIM(F140)&amp;"|"&amp;TRIM(H140)&amp;"|"&amp;TRIM(I140))</f>
        <v/>
      </c>
      <c r="S140" s="136">
        <f>IF(COUNTIF($R$6:$R$280,R140)&gt;1,"重复","唯一")</f>
        <v/>
      </c>
      <c r="T140" s="136" t="inlineStr">
        <is>
          <t>f2b2eaf61798845c9068d45db0fdad2b32930df5b14a259e36bb8be67eefda07</t>
        </is>
      </c>
      <c r="U140" s="136" t="inlineStr">
        <is>
          <t>Codex</t>
        </is>
      </c>
      <c r="V140" s="136" t="n">
        <v>46225</v>
      </c>
      <c r="W140" s="136" t="inlineStr">
        <is>
          <t>原创程序几何</t>
        </is>
      </c>
      <c r="X140" s="136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t>
        </is>
      </c>
    </row>
    <row r="141">
      <c r="A141" s="136" t="inlineStr">
        <is>
          <t>UI-SCREEN-INVENTORY-3D</t>
        </is>
      </c>
      <c r="B141" s="136" t="inlineStr">
        <is>
          <t>3D背包与保险界面</t>
        </is>
      </c>
      <c r="C141" s="136" t="inlineStr">
        <is>
          <t>UI</t>
        </is>
      </c>
      <c r="D141" s="136" t="inlineStr">
        <is>
          <t>screen</t>
        </is>
      </c>
      <c r="E141" s="136" t="inlineStr">
        <is>
          <t>inventory</t>
        </is>
      </c>
      <c r="F141" s="136" t="inlineStr">
        <is>
          <t>root_3d</t>
        </is>
      </c>
      <c r="G141" s="136" t="inlineStr">
        <is>
          <t>UI-SCREEN-INVENTORY</t>
        </is>
      </c>
      <c r="H141" s="136" t="inlineStr">
        <is>
          <t>屏幕空间</t>
        </is>
      </c>
      <c r="I141" s="136" t="inlineStr">
        <is>
          <t>default</t>
        </is>
      </c>
      <c r="J141" s="136" t="inlineStr">
        <is>
          <t>3D行动区</t>
        </is>
      </c>
      <c r="K141" s="136" t="inlineStr">
        <is>
          <t>原型已接入</t>
        </is>
      </c>
      <c r="L141" s="136" t="inlineStr">
        <is>
          <t>P0</t>
        </is>
      </c>
      <c r="M141" s="136" t="inlineStr">
        <is>
          <t>v002</t>
        </is>
      </c>
      <c r="N141" s="136" t="inlineStr">
        <is>
          <t>全屏Control/12+2槽/96×96投影</t>
        </is>
      </c>
      <c r="O141" s="136" t="inlineStr">
        <is>
          <t>src/ui/InventoryUI.gd</t>
        </is>
      </c>
      <c r="P141" s="136" t="inlineStr">
        <is>
          <t>scenes/Dungeon3D.tscn</t>
        </is>
      </c>
      <c r="Q141" s="136" t="inlineStr">
        <is>
          <t>背包;保险;I键;Tab;模态输入锁;3D道具投影;实际点击装备</t>
        </is>
      </c>
      <c r="R141" s="136">
        <f>LOWER(TRIM(C141)&amp;"|"&amp;TRIM(D141)&amp;"|"&amp;TRIM(E141)&amp;"|"&amp;TRIM(F141)&amp;"|"&amp;TRIM(H141)&amp;"|"&amp;TRIM(I141))</f>
        <v/>
      </c>
      <c r="S141" s="136">
        <f>IF(COUNTIF($R$6:$R$280,R141)&gt;1,"重复","唯一")</f>
        <v/>
      </c>
      <c r="T141" s="136" t="inlineStr">
        <is>
          <t>ccd8f7d7f3c99454d157f0dfd2f34631a4d404931f2e1997b5c381db9ac90c99</t>
        </is>
      </c>
      <c r="U141" s="136" t="inlineStr">
        <is>
          <t>Codex</t>
        </is>
      </c>
      <c r="V141" s="136" t="n">
        <v>46225</v>
      </c>
      <c r="W141" s="136" t="inlineStr">
        <is>
          <t>原创程序UI</t>
        </is>
      </c>
      <c r="X141" s="136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t>
        </is>
      </c>
    </row>
    <row r="142">
      <c r="A142" s="136" t="inlineStr">
        <is>
          <t>UI-SCREEN-PAUSE-3D</t>
        </is>
      </c>
      <c r="B142" s="136" t="inlineStr">
        <is>
          <t>3D共用暂停界面</t>
        </is>
      </c>
      <c r="C142" s="136" t="inlineStr">
        <is>
          <t>UI</t>
        </is>
      </c>
      <c r="D142" s="136" t="inlineStr">
        <is>
          <t>screen</t>
        </is>
      </c>
      <c r="E142" s="136" t="inlineStr">
        <is>
          <t>pause</t>
        </is>
      </c>
      <c r="F142" s="136" t="inlineStr">
        <is>
          <t>root_3d</t>
        </is>
      </c>
      <c r="G142" s="136" t="n"/>
      <c r="H142" s="136" t="inlineStr">
        <is>
          <t>屏幕空间</t>
        </is>
      </c>
      <c r="I142" s="136" t="inlineStr">
        <is>
          <t>default</t>
        </is>
      </c>
      <c r="J142" s="136" t="inlineStr">
        <is>
          <t>地下城/基地/靶场</t>
        </is>
      </c>
      <c r="K142" s="136" t="inlineStr">
        <is>
          <t>已完成</t>
        </is>
      </c>
      <c r="L142" s="136" t="inlineStr">
        <is>
          <t>P0</t>
        </is>
      </c>
      <c r="M142" s="136" t="inlineStr">
        <is>
          <t>v001</t>
        </is>
      </c>
      <c r="N142" s="136" t="inlineStr">
        <is>
          <t>PackedScene/全屏Control</t>
        </is>
      </c>
      <c r="O142" s="136" t="inlineStr">
        <is>
          <t>assets/art/ui/pause_3d/ui_pause_overlay_screen_v001.tscn</t>
        </is>
      </c>
      <c r="P142" s="136" t="inlineStr">
        <is>
          <t>src/ui/PauseMenu3D.gd</t>
        </is>
      </c>
      <c r="Q142" s="136" t="inlineStr">
        <is>
          <t>暂停;Esc;继续;全局模态;3D HUD</t>
        </is>
      </c>
      <c r="R142" s="136">
        <f>LOWER(TRIM(C142)&amp;"|"&amp;TRIM(D142)&amp;"|"&amp;TRIM(E142)&amp;"|"&amp;TRIM(F142)&amp;"|"&amp;TRIM(H142)&amp;"|"&amp;TRIM(I142))</f>
        <v/>
      </c>
      <c r="S142" s="136">
        <f>IF(COUNTIF($R$6:$R$280,R142)&gt;1,"重复","唯一")</f>
        <v/>
      </c>
      <c r="T142" s="136" t="inlineStr">
        <is>
          <t>8fed542ebf6b89002c6922a287e666394472252ad9673d8183dd9db604c19a88</t>
        </is>
      </c>
      <c r="U142" s="136" t="inlineStr">
        <is>
          <t>Codex</t>
        </is>
      </c>
      <c r="V142" s="136" t="n">
        <v>46225</v>
      </c>
      <c r="W142" s="136" t="inlineStr">
        <is>
          <t>原创程序UI</t>
        </is>
      </c>
      <c r="X142" s="136" t="inlineStr">
        <is>
          <t>三张3D地图共用；Esc先关闭最上层模态，再进入真实暂停</t>
        </is>
      </c>
    </row>
    <row r="143" ht="155" customHeight="1">
      <c r="A143" s="306" t="inlineStr">
        <is>
          <t>PRP-ROOM-LIGHT-SWITCH-3D</t>
        </is>
      </c>
      <c r="B143" s="306" t="inlineStr">
        <is>
          <t>房间中央灯墙面开关3D</t>
        </is>
      </c>
      <c r="C143" s="306" t="inlineStr">
        <is>
          <t>场景道具</t>
        </is>
      </c>
      <c r="D143" s="306" t="inlineStr">
        <is>
          <t>facility</t>
        </is>
      </c>
      <c r="E143" s="306" t="inlineStr">
        <is>
          <t>room_light_switch</t>
        </is>
      </c>
      <c r="F143" s="306" t="inlineStr">
        <is>
          <t>root_3d</t>
        </is>
      </c>
      <c r="G143" s="306" t="inlineStr">
        <is>
          <t>ENV-DUNGEON-RUNTIME-3D</t>
        </is>
      </c>
      <c r="H143" s="306" t="inlineStr">
        <is>
          <t>俯视3D</t>
        </is>
      </c>
      <c r="I143" s="306" t="inlineStr">
        <is>
          <t>default</t>
        </is>
      </c>
      <c r="J143" s="306" t="inlineStr">
        <is>
          <t>随机关卡房间/四主题复用</t>
        </is>
      </c>
      <c r="K143" s="306" t="inlineStr">
        <is>
          <t>原型已接入</t>
        </is>
      </c>
      <c r="L143" s="306" t="inlineStr">
        <is>
          <t>P0</t>
        </is>
      </c>
      <c r="M143" s="306" t="inlineStr">
        <is>
          <t>v001</t>
        </is>
      </c>
      <c r="N143" s="306" t="inlineStr">
        <is>
          <t>PackedScene/Area3D</t>
        </is>
      </c>
      <c r="O143" s="306" t="inlineStr">
        <is>
          <t>assets/art/props/dungeon_3d/prp_room_light_switch_root_top3d_v001.tscn</t>
        </is>
      </c>
      <c r="P143" s="306" t="inlineStr">
        <is>
          <t>src/world3d/RoomLightSwitch3D.gd</t>
        </is>
      </c>
      <c r="Q143" s="306" t="inlineStr">
        <is>
          <t>房灯开关;墙面交互;中央顶灯;E键</t>
        </is>
      </c>
      <c r="R143" s="306">
        <f>LOWER(TRIM(C143)&amp;"|"&amp;TRIM(D143)&amp;"|"&amp;TRIM(E143)&amp;"|"&amp;TRIM(F143)&amp;"|"&amp;TRIM(H143)&amp;"|"&amp;TRIM(I143))</f>
        <v/>
      </c>
      <c r="S143" s="306">
        <f>IF(COUNTIF($R$6:$R$280,R143)&gt;1,"重复","唯一")</f>
        <v/>
      </c>
      <c r="T143" s="306" t="inlineStr">
        <is>
          <t>7802bc3a71d892072e43962875e26b60443d19de35bcc77fe0cbedcfa6dd5d94</t>
        </is>
      </c>
      <c r="U143" s="306" t="inlineStr">
        <is>
          <t>Codex</t>
        </is>
      </c>
      <c r="V143" s="307" t="n">
        <v>46237</v>
      </c>
      <c r="W143" s="306" t="inlineStr">
        <is>
          <t>原创程序几何</t>
        </is>
      </c>
      <c r="X143" s="30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144">
      <c r="A144" s="136" t="inlineStr">
        <is>
          <t>VFX-PLAYER-FLASHLIGHT-3D</t>
        </is>
      </c>
      <c r="B144" s="136" t="inlineStr">
        <is>
          <t>玩家真实探照灯组件3D</t>
        </is>
      </c>
      <c r="C144" s="136" t="inlineStr">
        <is>
          <t>特效</t>
        </is>
      </c>
      <c r="D144" s="136" t="inlineStr">
        <is>
          <t>gameplay_vfx</t>
        </is>
      </c>
      <c r="E144" s="136" t="inlineStr">
        <is>
          <t>player_flashlight</t>
        </is>
      </c>
      <c r="F144" s="136" t="inlineStr">
        <is>
          <t>light_rig_3d</t>
        </is>
      </c>
      <c r="G144" s="136" t="inlineStr">
        <is>
          <t>VFX-VISIBILITY-FIELD-3D</t>
        </is>
      </c>
      <c r="H144" s="136" t="inlineStr">
        <is>
          <t>俯视3D</t>
        </is>
      </c>
      <c r="I144" s="136" t="inlineStr">
        <is>
          <t>default</t>
        </is>
      </c>
      <c r="J144" s="136" t="inlineStr">
        <is>
          <t>3D行动区/靶场/基地</t>
        </is>
      </c>
      <c r="K144" s="136" t="inlineStr">
        <is>
          <t>原型已接入</t>
        </is>
      </c>
      <c r="L144" s="136" t="inlineStr">
        <is>
          <t>P0</t>
        </is>
      </c>
      <c r="M144" s="136" t="inlineStr">
        <is>
          <t>v001</t>
        </is>
      </c>
      <c r="N144" s="136" t="inlineStr">
        <is>
          <t>PackedScene/2 SpotLight3D+1 OmniLight3D</t>
        </is>
      </c>
      <c r="O144" s="136" t="inlineStr">
        <is>
          <t>assets/art/vfx/visibility_3d/vfx_player_flashlight_root_top3d_v001.tscn</t>
        </is>
      </c>
      <c r="P144" s="136" t="inlineStr">
        <is>
          <t>src/player3d/PlayerFlashlight3D.gd</t>
        </is>
      </c>
      <c r="Q144" s="136" t="inlineStr">
        <is>
          <t>真实探照灯;玩家灯光;前向聚光;角色补光;可调灯光</t>
        </is>
      </c>
      <c r="R144" s="136">
        <f>LOWER(TRIM(C144)&amp;"|"&amp;TRIM(D144)&amp;"|"&amp;TRIM(E144)&amp;"|"&amp;TRIM(F144)&amp;"|"&amp;TRIM(H144)&amp;"|"&amp;TRIM(I144))</f>
        <v/>
      </c>
      <c r="S144" s="136">
        <f>IF(COUNTIF($R$6:$R$280,R144)&gt;1,"重复","唯一")</f>
        <v/>
      </c>
      <c r="T144" s="136" t="inlineStr">
        <is>
          <t>b389efe1d1fcfd30087a6d3f3f2784effee95cf6c54769fde27ecb6806011a05</t>
        </is>
      </c>
      <c r="U144" s="136" t="inlineStr">
        <is>
          <t>Codex</t>
        </is>
      </c>
      <c r="V144" s="137" t="n">
        <v>46225</v>
      </c>
      <c r="W144" s="137" t="inlineStr">
        <is>
          <t>原创程序几何</t>
        </is>
      </c>
      <c r="X144" s="136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145">
      <c r="A145" s="136" t="inlineStr">
        <is>
          <t>UI-ICON-ITEM-MODEL-3D</t>
        </is>
      </c>
      <c r="B145" s="136" t="inlineStr">
        <is>
          <t>背包道具3D模型投影组件</t>
        </is>
      </c>
      <c r="C145" s="136" t="inlineStr">
        <is>
          <t>UI</t>
        </is>
      </c>
      <c r="D145" s="136" t="inlineStr">
        <is>
          <t>icon</t>
        </is>
      </c>
      <c r="E145" s="136" t="inlineStr">
        <is>
          <t>item_model_icon</t>
        </is>
      </c>
      <c r="F145" s="136" t="inlineStr">
        <is>
          <t>root_3d</t>
        </is>
      </c>
      <c r="G145" s="136" t="inlineStr">
        <is>
          <t>UI-SCREEN-INVENTORY-3D</t>
        </is>
      </c>
      <c r="H145" s="136" t="inlineStr">
        <is>
          <t>屏幕空间/3D投影</t>
        </is>
      </c>
      <c r="I145" s="136" t="inlineStr">
        <is>
          <t>default</t>
        </is>
      </c>
      <c r="J145" s="136" t="inlineStr">
        <is>
          <t>背包/保险格/道具预览</t>
        </is>
      </c>
      <c r="K145" s="136" t="inlineStr">
        <is>
          <t>原型已接入</t>
        </is>
      </c>
      <c r="L145" s="136" t="inlineStr">
        <is>
          <t>P0</t>
        </is>
      </c>
      <c r="M145" s="136" t="inlineStr">
        <is>
          <t>v001</t>
        </is>
      </c>
      <c r="N145" s="136" t="inlineStr">
        <is>
          <t>96×96 SubViewport/UPDATE_ONCE</t>
        </is>
      </c>
      <c r="O145" s="136" t="inlineStr">
        <is>
          <t>assets/art/ui/inventory_3d/ui_item_model_icon_root_v001.tscn</t>
        </is>
      </c>
      <c r="P145" s="136" t="inlineStr">
        <is>
          <t>src/ui/ItemModelIcon3D.gd</t>
        </is>
      </c>
      <c r="Q145" s="136" t="inlineStr">
        <is>
          <t>3D道具图标;模型投影;背包图标;共享世界模型;单次渲染</t>
        </is>
      </c>
      <c r="R145" s="136">
        <f>LOWER(TRIM(C145)&amp;"|"&amp;TRIM(D145)&amp;"|"&amp;TRIM(E145)&amp;"|"&amp;TRIM(F145)&amp;"|"&amp;TRIM(H145)&amp;"|"&amp;TRIM(I145))</f>
        <v/>
      </c>
      <c r="S145" s="136">
        <f>IF(COUNTIF($R$6:$R$280,R145)&gt;1,"重复","唯一")</f>
        <v/>
      </c>
      <c r="T145" s="136" t="inlineStr">
        <is>
          <t>97c10f3884107c1263f3de1f8bc1ce84bb568ecd80418b62bdb023c55cdab9fe</t>
        </is>
      </c>
      <c r="U145" s="136" t="inlineStr">
        <is>
          <t>Codex</t>
        </is>
      </c>
      <c r="V145" s="137" t="n">
        <v>46225</v>
      </c>
      <c r="W145" s="136" t="inlineStr">
        <is>
          <t>原创程序UI</t>
        </is>
      </c>
      <c r="X145" s="136" t="inlineStr">
        <is>
          <t>与地面拾取共用 ItemModelFactory3D；96×96 内部视口缩放至56px槽位；只渲染一次；验收图：assets/art/ui/inventory_3d/ui_inventory_item_model_preview_v001.png</t>
        </is>
      </c>
    </row>
    <row r="146" ht="44" customHeight="1">
      <c r="A146" s="136" t="inlineStr">
        <is>
          <t>CHR-PLY-CAPSULE01-BODY-DIY-3D</t>
        </is>
      </c>
      <c r="B146" s="136" t="inlineStr">
        <is>
          <t>胶囊防护体3D身体DIY变体</t>
        </is>
      </c>
      <c r="C146" s="136" t="inlineStr">
        <is>
          <t>角色</t>
        </is>
      </c>
      <c r="D146" s="136" t="inlineStr">
        <is>
          <t>player_variant</t>
        </is>
      </c>
      <c r="E146" s="136" t="inlineStr">
        <is>
          <t>player_capsule01</t>
        </is>
      </c>
      <c r="F146" s="136" t="inlineStr">
        <is>
          <t>body_diy_3d</t>
        </is>
      </c>
      <c r="G146" s="136" t="inlineStr">
        <is>
          <t>CHR-PLY-CAPSULE01-BODY-3D</t>
        </is>
      </c>
      <c r="H146" s="136" t="inlineStr">
        <is>
          <t>俯视3D</t>
        </is>
      </c>
      <c r="I146" s="136" t="inlineStr">
        <is>
          <t>diy</t>
        </is>
      </c>
      <c r="J146" s="136" t="inlineStr">
        <is>
          <t>3D玩家/预览场</t>
        </is>
      </c>
      <c r="K146" s="136" t="inlineStr">
        <is>
          <t>原型已接入</t>
        </is>
      </c>
      <c r="L146" s="136" t="inlineStr">
        <is>
          <t>P1</t>
        </is>
      </c>
      <c r="M146" s="136" t="inlineStr">
        <is>
          <t>v001</t>
        </is>
      </c>
      <c r="N146" s="136" t="inlineStr">
        <is>
          <t>3种程序材质</t>
        </is>
      </c>
      <c r="O146" s="136" t="inlineStr">
        <is>
          <t>src/player3d/PlayerAvatar3D.gd</t>
        </is>
      </c>
      <c r="P146" s="136" t="inlineStr">
        <is>
          <t>VisualRoot/Body</t>
        </is>
      </c>
      <c r="Q146" s="136" t="inlineStr">
        <is>
          <t>身体;防护服;DIY;橄榄;沙色;钴蓝</t>
        </is>
      </c>
      <c r="R146" s="136">
        <f>LOWER(TRIM(C146)&amp;"|"&amp;TRIM(D146)&amp;"|"&amp;TRIM(E146)&amp;"|"&amp;TRIM(F146)&amp;"|"&amp;TRIM(H146)&amp;"|"&amp;TRIM(I146))</f>
        <v/>
      </c>
      <c r="S146" s="136">
        <f>IF(COUNTIF($R$6:$R$280,R146)&gt;1,"重复","唯一")</f>
        <v/>
      </c>
      <c r="T146" s="136" t="inlineStr">
        <is>
          <t>43c7fa3fa002c9e5a2ec27f04fedeefacee2f32f3a91cb232e98f080513e2f7b</t>
        </is>
      </c>
      <c r="U146" s="136" t="inlineStr">
        <is>
          <t>Codex</t>
        </is>
      </c>
      <c r="V146" s="136" t="inlineStr">
        <is>
          <t>2026-07-25</t>
        </is>
      </c>
      <c r="W146" s="136" t="inlineStr">
        <is>
          <t>原创程序几何</t>
        </is>
      </c>
      <c r="X146" s="136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7" ht="44" customHeight="1">
      <c r="A147" s="136" t="inlineStr">
        <is>
          <t>CHR-PLY-CAPSULE01-HEAD-DIY-3D</t>
        </is>
      </c>
      <c r="B147" s="136" t="inlineStr">
        <is>
          <t>胶囊防护体3D头部DIY变体</t>
        </is>
      </c>
      <c r="C147" s="136" t="inlineStr">
        <is>
          <t>角色</t>
        </is>
      </c>
      <c r="D147" s="136" t="inlineStr">
        <is>
          <t>player_variant</t>
        </is>
      </c>
      <c r="E147" s="136" t="inlineStr">
        <is>
          <t>player_capsule01</t>
        </is>
      </c>
      <c r="F147" s="136" t="inlineStr">
        <is>
          <t>head_diy_3d</t>
        </is>
      </c>
      <c r="G147" s="136" t="inlineStr">
        <is>
          <t>CHR-PLY-CAPSULE01-HEAD-3D</t>
        </is>
      </c>
      <c r="H147" s="136" t="inlineStr">
        <is>
          <t>俯视3D</t>
        </is>
      </c>
      <c r="I147" s="136" t="inlineStr">
        <is>
          <t>diy</t>
        </is>
      </c>
      <c r="J147" s="136" t="inlineStr">
        <is>
          <t>3D玩家/预览场</t>
        </is>
      </c>
      <c r="K147" s="136" t="inlineStr">
        <is>
          <t>原型已接入</t>
        </is>
      </c>
      <c r="L147" s="136" t="inlineStr">
        <is>
          <t>P1</t>
        </is>
      </c>
      <c r="M147" s="136" t="inlineStr">
        <is>
          <t>v001</t>
        </is>
      </c>
      <c r="N147" s="136" t="inlineStr">
        <is>
          <t>3种程序材质</t>
        </is>
      </c>
      <c r="O147" s="136" t="inlineStr">
        <is>
          <t>src/player3d/PlayerAvatar3D.gd</t>
        </is>
      </c>
      <c r="P147" s="136" t="inlineStr">
        <is>
          <t>VisualRoot/Head</t>
        </is>
      </c>
      <c r="Q147" s="136" t="inlineStr">
        <is>
          <t>头壳;传感器;DIY;青色面板;琥珀装甲</t>
        </is>
      </c>
      <c r="R147" s="136">
        <f>LOWER(TRIM(C147)&amp;"|"&amp;TRIM(D147)&amp;"|"&amp;TRIM(E147)&amp;"|"&amp;TRIM(F147)&amp;"|"&amp;TRIM(H147)&amp;"|"&amp;TRIM(I147))</f>
        <v/>
      </c>
      <c r="S147" s="136">
        <f>IF(COUNTIF($R$6:$R$280,R147)&gt;1,"重复","唯一")</f>
        <v/>
      </c>
      <c r="T147" s="136" t="inlineStr">
        <is>
          <t>43c7fa3fa002c9e5a2ec27f04fedeefacee2f32f3a91cb232e98f080513e2f7b</t>
        </is>
      </c>
      <c r="U147" s="136" t="inlineStr">
        <is>
          <t>Codex</t>
        </is>
      </c>
      <c r="V147" s="136" t="inlineStr">
        <is>
          <t>2026-07-25</t>
        </is>
      </c>
      <c r="W147" s="136" t="inlineStr">
        <is>
          <t>原创程序几何</t>
        </is>
      </c>
      <c r="X147" s="136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8" ht="44" customHeight="1">
      <c r="A148" s="136" t="inlineStr">
        <is>
          <t>CHR-PLY-CAPSULE01-HAND-DIY-3D</t>
        </is>
      </c>
      <c r="B148" s="136" t="inlineStr">
        <is>
          <t>胶囊防护体3D手部DIY变体</t>
        </is>
      </c>
      <c r="C148" s="136" t="inlineStr">
        <is>
          <t>角色</t>
        </is>
      </c>
      <c r="D148" s="136" t="inlineStr">
        <is>
          <t>player_variant</t>
        </is>
      </c>
      <c r="E148" s="136" t="inlineStr">
        <is>
          <t>player_capsule01</t>
        </is>
      </c>
      <c r="F148" s="136" t="inlineStr">
        <is>
          <t>hand_diy_3d</t>
        </is>
      </c>
      <c r="G148" s="136" t="inlineStr">
        <is>
          <t>CHR-PLY-CAPSULE01-HAND-3D</t>
        </is>
      </c>
      <c r="H148" s="136" t="inlineStr">
        <is>
          <t>俯视3D</t>
        </is>
      </c>
      <c r="I148" s="136" t="inlineStr">
        <is>
          <t>diy</t>
        </is>
      </c>
      <c r="J148" s="136" t="inlineStr">
        <is>
          <t>3D玩家/预览场</t>
        </is>
      </c>
      <c r="K148" s="136" t="inlineStr">
        <is>
          <t>原型已接入</t>
        </is>
      </c>
      <c r="L148" s="136" t="inlineStr">
        <is>
          <t>P1</t>
        </is>
      </c>
      <c r="M148" s="136" t="inlineStr">
        <is>
          <t>v001</t>
        </is>
      </c>
      <c r="N148" s="136" t="inlineStr">
        <is>
          <t>3种程序材质/抓握压缩</t>
        </is>
      </c>
      <c r="O148" s="136" t="inlineStr">
        <is>
          <t>src/player3d/PlayerAvatar3D.gd</t>
        </is>
      </c>
      <c r="P148" s="136" t="inlineStr">
        <is>
          <t>VisualRoot/Hand</t>
        </is>
      </c>
      <c r="Q148" s="136" t="inlineStr">
        <is>
          <t>唯一手;握持;DIY;橙色;青绿</t>
        </is>
      </c>
      <c r="R148" s="136">
        <f>LOWER(TRIM(C148)&amp;"|"&amp;TRIM(D148)&amp;"|"&amp;TRIM(E148)&amp;"|"&amp;TRIM(F148)&amp;"|"&amp;TRIM(H148)&amp;"|"&amp;TRIM(I148))</f>
        <v/>
      </c>
      <c r="S148" s="136">
        <f>IF(COUNTIF($R$6:$R$280,R148)&gt;1,"重复","唯一")</f>
        <v/>
      </c>
      <c r="T148" s="136" t="inlineStr">
        <is>
          <t>43c7fa3fa002c9e5a2ec27f04fedeefacee2f32f3a91cb232e98f080513e2f7b</t>
        </is>
      </c>
      <c r="U148" s="136" t="inlineStr">
        <is>
          <t>Codex</t>
        </is>
      </c>
      <c r="V148" s="136" t="inlineStr">
        <is>
          <t>2026-07-25</t>
        </is>
      </c>
      <c r="W148" s="136" t="inlineStr">
        <is>
          <t>原创程序几何</t>
        </is>
      </c>
      <c r="X148" s="136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9" ht="44" customHeight="1">
      <c r="A149" s="136" t="inlineStr">
        <is>
          <t>CHR-PLY-CAPSULE01-HAT-DIY-3D</t>
        </is>
      </c>
      <c r="B149" s="136" t="inlineStr">
        <is>
          <t>胶囊防护体3D帽子DIY组件</t>
        </is>
      </c>
      <c r="C149" s="136" t="inlineStr">
        <is>
          <t>角色</t>
        </is>
      </c>
      <c r="D149" s="136" t="inlineStr">
        <is>
          <t>player_accessory</t>
        </is>
      </c>
      <c r="E149" s="136" t="inlineStr">
        <is>
          <t>player_capsule01</t>
        </is>
      </c>
      <c r="F149" s="136" t="inlineStr">
        <is>
          <t>hat_diy_3d</t>
        </is>
      </c>
      <c r="G149" s="136" t="inlineStr">
        <is>
          <t>CHR-PLY-CAPSULE01-HEAD-3D</t>
        </is>
      </c>
      <c r="H149" s="136" t="inlineStr">
        <is>
          <t>俯视3D</t>
        </is>
      </c>
      <c r="I149" s="136" t="inlineStr">
        <is>
          <t>diy</t>
        </is>
      </c>
      <c r="J149" s="136" t="inlineStr">
        <is>
          <t>3D玩家/预览场</t>
        </is>
      </c>
      <c r="K149" s="136" t="inlineStr">
        <is>
          <t>原型已接入</t>
        </is>
      </c>
      <c r="L149" s="136" t="inlineStr">
        <is>
          <t>P1</t>
        </is>
      </c>
      <c r="M149" s="136" t="inlineStr">
        <is>
          <t>v001</t>
        </is>
      </c>
      <c r="N149" s="136" t="inlineStr">
        <is>
          <t>软帽/安全帽/密封兜帽</t>
        </is>
      </c>
      <c r="O149" s="136" t="inlineStr">
        <is>
          <t>src/player3d/PlayerAvatar3D.gd</t>
        </is>
      </c>
      <c r="P149" s="136" t="inlineStr">
        <is>
          <t>VisualRoot/Head/Wearables</t>
        </is>
      </c>
      <c r="Q149" s="136" t="inlineStr">
        <is>
          <t>帽子;软帽;安全帽;兜帽;DIY</t>
        </is>
      </c>
      <c r="R149" s="136">
        <f>LOWER(TRIM(C149)&amp;"|"&amp;TRIM(D149)&amp;"|"&amp;TRIM(E149)&amp;"|"&amp;TRIM(F149)&amp;"|"&amp;TRIM(H149)&amp;"|"&amp;TRIM(I149))</f>
        <v/>
      </c>
      <c r="S149" s="136">
        <f>IF(COUNTIF($R$6:$R$280,R149)&gt;1,"重复","唯一")</f>
        <v/>
      </c>
      <c r="T149" s="136" t="inlineStr">
        <is>
          <t>43c7fa3fa002c9e5a2ec27f04fedeefacee2f32f3a91cb232e98f080513e2f7b</t>
        </is>
      </c>
      <c r="U149" s="136" t="inlineStr">
        <is>
          <t>Codex</t>
        </is>
      </c>
      <c r="V149" s="136" t="inlineStr">
        <is>
          <t>2026-07-25</t>
        </is>
      </c>
      <c r="W149" s="136" t="inlineStr">
        <is>
          <t>原创程序几何</t>
        </is>
      </c>
      <c r="X149" s="136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t>
        </is>
      </c>
    </row>
    <row r="150" ht="44" customHeight="1">
      <c r="A150" s="136" t="inlineStr">
        <is>
          <t>CHR-PLY-CAPSULE01-GLASSES-DIY-3D</t>
        </is>
      </c>
      <c r="B150" s="136" t="inlineStr">
        <is>
          <t>胶囊防护体3D眼镜DIY组件</t>
        </is>
      </c>
      <c r="C150" s="136" t="inlineStr">
        <is>
          <t>角色</t>
        </is>
      </c>
      <c r="D150" s="136" t="inlineStr">
        <is>
          <t>player_accessory</t>
        </is>
      </c>
      <c r="E150" s="136" t="inlineStr">
        <is>
          <t>player_capsule01</t>
        </is>
      </c>
      <c r="F150" s="136" t="inlineStr">
        <is>
          <t>glasses_diy_3d</t>
        </is>
      </c>
      <c r="G150" s="136" t="inlineStr">
        <is>
          <t>CHR-PLY-CAPSULE01-HEAD-3D</t>
        </is>
      </c>
      <c r="H150" s="136" t="inlineStr">
        <is>
          <t>俯视3D</t>
        </is>
      </c>
      <c r="I150" s="136" t="inlineStr">
        <is>
          <t>diy</t>
        </is>
      </c>
      <c r="J150" s="136" t="inlineStr">
        <is>
          <t>3D玩家/预览场</t>
        </is>
      </c>
      <c r="K150" s="136" t="inlineStr">
        <is>
          <t>原型已接入</t>
        </is>
      </c>
      <c r="L150" s="136" t="inlineStr">
        <is>
          <t>P1</t>
        </is>
      </c>
      <c r="M150" s="136" t="inlineStr">
        <is>
          <t>v001</t>
        </is>
      </c>
      <c r="N150" s="136" t="inlineStr">
        <is>
          <t>单目镜/双目护镜/宽面护目镜</t>
        </is>
      </c>
      <c r="O150" s="136" t="inlineStr">
        <is>
          <t>src/player3d/PlayerAvatar3D.gd</t>
        </is>
      </c>
      <c r="P150" s="136" t="inlineStr">
        <is>
          <t>VisualRoot/Head/Wearables</t>
        </is>
      </c>
      <c r="Q150" s="136" t="inlineStr">
        <is>
          <t>眼镜;单目镜;护目镜;宽面护目镜;DIY</t>
        </is>
      </c>
      <c r="R150" s="136">
        <f>LOWER(TRIM(C150)&amp;"|"&amp;TRIM(D150)&amp;"|"&amp;TRIM(E150)&amp;"|"&amp;TRIM(F150)&amp;"|"&amp;TRIM(H150)&amp;"|"&amp;TRIM(I150))</f>
        <v/>
      </c>
      <c r="S150" s="136">
        <f>IF(COUNTIF($R$6:$R$280,R150)&gt;1,"重复","唯一")</f>
        <v/>
      </c>
      <c r="T150" s="136" t="inlineStr">
        <is>
          <t>43c7fa3fa002c9e5a2ec27f04fedeefacee2f32f3a91cb232e98f080513e2f7b</t>
        </is>
      </c>
      <c r="U150" s="136" t="inlineStr">
        <is>
          <t>Codex</t>
        </is>
      </c>
      <c r="V150" s="136" t="inlineStr">
        <is>
          <t>2026-07-25</t>
        </is>
      </c>
      <c r="W150" s="136" t="inlineStr">
        <is>
          <t>原创程序几何</t>
        </is>
      </c>
      <c r="X150" s="136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t>
        </is>
      </c>
    </row>
    <row r="151" ht="44" customHeight="1">
      <c r="A151" s="136" t="inlineStr">
        <is>
          <t>CHR-PLY-CAPSULE01-FOOT-3D</t>
        </is>
      </c>
      <c r="B151" s="136" t="inlineStr">
        <is>
          <t>方形猫角色3D脚部模块</t>
        </is>
      </c>
      <c r="C151" s="136" t="inlineStr">
        <is>
          <t>角色</t>
        </is>
      </c>
      <c r="D151" s="136" t="inlineStr">
        <is>
          <t>player</t>
        </is>
      </c>
      <c r="E151" s="136" t="inlineStr">
        <is>
          <t>player_capsule01</t>
        </is>
      </c>
      <c r="F151" s="136" t="inlineStr">
        <is>
          <t>feet_3d</t>
        </is>
      </c>
      <c r="G151" s="136" t="inlineStr">
        <is>
          <t>CHR-PLY-CAPSULE01-3D</t>
        </is>
      </c>
      <c r="H151" s="136" t="inlineStr">
        <is>
          <t>俯视3D</t>
        </is>
      </c>
      <c r="I151" s="136" t="inlineStr">
        <is>
          <t>default</t>
        </is>
      </c>
      <c r="J151" s="136" t="inlineStr">
        <is>
          <t>3D玩家/预览场</t>
        </is>
      </c>
      <c r="K151" s="136" t="inlineStr">
        <is>
          <t>原型已接入</t>
        </is>
      </c>
      <c r="L151" s="136" t="inlineStr">
        <is>
          <t>P1</t>
        </is>
      </c>
      <c r="M151" s="136" t="inlineStr">
        <is>
          <t>v001</t>
        </is>
      </c>
      <c r="N151" s="136" t="inlineStr">
        <is>
          <t>双BoxMesh短脚</t>
        </is>
      </c>
      <c r="O151" s="136" t="inlineStr">
        <is>
          <t>assets/art/characters/player/chr_player_capsule01_3d/chr_player_capsule01_root_top3d_v001.tscn</t>
        </is>
      </c>
      <c r="P151" s="136" t="inlineStr">
        <is>
          <t>VisualRoot/Feet</t>
        </is>
      </c>
      <c r="Q151" s="136" t="inlineStr">
        <is>
          <t>脚;脚部;双脚;方脚;猫脚</t>
        </is>
      </c>
      <c r="R151" s="136">
        <f>LOWER(TRIM(C151)&amp;"|"&amp;TRIM(D151)&amp;"|"&amp;TRIM(E151)&amp;"|"&amp;TRIM(F151)&amp;"|"&amp;TRIM(H151)&amp;"|"&amp;TRIM(I151))</f>
        <v/>
      </c>
      <c r="S151" s="136">
        <f>IF(COUNTIF($R$6:$R$280,R151)&gt;1,"重复","唯一")</f>
        <v/>
      </c>
      <c r="T151" s="136" t="inlineStr">
        <is>
          <t>cf0b3b648d56590f1e024553d224df35007358452ea16ad1651ae9af4a7dde49</t>
        </is>
      </c>
      <c r="U151" s="136" t="inlineStr">
        <is>
          <t>Codex</t>
        </is>
      </c>
      <c r="V151" s="136" t="inlineStr">
        <is>
          <t>2026-07-25</t>
        </is>
      </c>
      <c r="W151" s="136" t="inlineStr">
        <is>
          <t>原创程序几何</t>
        </is>
      </c>
      <c r="X151" s="136" t="inlineStr">
        <is>
          <t>方形猫角色3D脚部模块；复用CHR-PLY-CAPSULE01-3D玩家根；方形主语言，TailStub为用户指定圆尾例外；自动与视觉验收PASS</t>
        </is>
      </c>
    </row>
    <row r="152" ht="44" customHeight="1">
      <c r="A152" s="136" t="inlineStr">
        <is>
          <t>CHR-PLY-CAPSULE01-EYES-3D</t>
        </is>
      </c>
      <c r="B152" s="136" t="inlineStr">
        <is>
          <t>方形猫角色3D双眼配件</t>
        </is>
      </c>
      <c r="C152" s="136" t="inlineStr">
        <is>
          <t>角色</t>
        </is>
      </c>
      <c r="D152" s="136" t="inlineStr">
        <is>
          <t>player_accessory</t>
        </is>
      </c>
      <c r="E152" s="136" t="inlineStr">
        <is>
          <t>player_capsule01</t>
        </is>
      </c>
      <c r="F152" s="136" t="inlineStr">
        <is>
          <t>eyes_3d</t>
        </is>
      </c>
      <c r="G152" s="136" t="inlineStr">
        <is>
          <t>CHR-PLY-CAPSULE01-HEAD-3D</t>
        </is>
      </c>
      <c r="H152" s="136" t="inlineStr">
        <is>
          <t>俯视3D</t>
        </is>
      </c>
      <c r="I152" s="136" t="inlineStr">
        <is>
          <t>default</t>
        </is>
      </c>
      <c r="J152" s="136" t="inlineStr">
        <is>
          <t>3D玩家/预览场</t>
        </is>
      </c>
      <c r="K152" s="136" t="inlineStr">
        <is>
          <t>原型已接入</t>
        </is>
      </c>
      <c r="L152" s="136" t="inlineStr">
        <is>
          <t>P1</t>
        </is>
      </c>
      <c r="M152" s="136" t="inlineStr">
        <is>
          <t>v001</t>
        </is>
      </c>
      <c r="N152" s="136" t="inlineStr">
        <is>
          <t>2个矩形豆豆眼</t>
        </is>
      </c>
      <c r="O152" s="136" t="inlineStr">
        <is>
          <t>assets/art/characters/player/chr_player_capsule01_3d/chr_player_capsule01_root_top3d_v001.tscn</t>
        </is>
      </c>
      <c r="P152" s="136" t="inlineStr">
        <is>
          <t>VisualRoot/Head/Eyes</t>
        </is>
      </c>
      <c r="Q152" s="136" t="inlineStr">
        <is>
          <t>眼睛;双眼;豆豆眼;矩形眼</t>
        </is>
      </c>
      <c r="R152" s="136">
        <f>LOWER(TRIM(C152)&amp;"|"&amp;TRIM(D152)&amp;"|"&amp;TRIM(E152)&amp;"|"&amp;TRIM(F152)&amp;"|"&amp;TRIM(H152)&amp;"|"&amp;TRIM(I152))</f>
        <v/>
      </c>
      <c r="S152" s="136">
        <f>IF(COUNTIF($R$6:$R$280,R152)&gt;1,"重复","唯一")</f>
        <v/>
      </c>
      <c r="T152" s="136" t="inlineStr">
        <is>
          <t>cf0b3b648d56590f1e024553d224df35007358452ea16ad1651ae9af4a7dde49</t>
        </is>
      </c>
      <c r="U152" s="136" t="inlineStr">
        <is>
          <t>Codex</t>
        </is>
      </c>
      <c r="V152" s="136" t="inlineStr">
        <is>
          <t>2026-07-25</t>
        </is>
      </c>
      <c r="W152" s="136" t="inlineStr">
        <is>
          <t>原创程序几何</t>
        </is>
      </c>
      <c r="X152" s="136" t="inlineStr">
        <is>
          <t>方形猫角色3D双眼配件；复用CHR-PLY-CAPSULE01-3D玩家根；方形主语言，TailStub为用户指定圆尾例外；自动与视觉验收PASS</t>
        </is>
      </c>
    </row>
    <row r="153" ht="44" customHeight="1">
      <c r="A153" s="136" t="inlineStr">
        <is>
          <t>CHR-PLY-CAPSULE01-EARS-3D</t>
        </is>
      </c>
      <c r="B153" s="136" t="inlineStr">
        <is>
          <t>方形猫角色3D双耳配件</t>
        </is>
      </c>
      <c r="C153" s="136" t="inlineStr">
        <is>
          <t>角色</t>
        </is>
      </c>
      <c r="D153" s="136" t="inlineStr">
        <is>
          <t>player_accessory</t>
        </is>
      </c>
      <c r="E153" s="136" t="inlineStr">
        <is>
          <t>player_capsule01</t>
        </is>
      </c>
      <c r="F153" s="136" t="inlineStr">
        <is>
          <t>ears_3d</t>
        </is>
      </c>
      <c r="G153" s="136" t="inlineStr">
        <is>
          <t>CHR-PLY-CAPSULE01-HEAD-3D</t>
        </is>
      </c>
      <c r="H153" s="136" t="inlineStr">
        <is>
          <t>俯视3D</t>
        </is>
      </c>
      <c r="I153" s="136" t="inlineStr">
        <is>
          <t>default</t>
        </is>
      </c>
      <c r="J153" s="136" t="inlineStr">
        <is>
          <t>3D玩家/预览场</t>
        </is>
      </c>
      <c r="K153" s="136" t="inlineStr">
        <is>
          <t>原型已接入</t>
        </is>
      </c>
      <c r="L153" s="136" t="inlineStr">
        <is>
          <t>P1</t>
        </is>
      </c>
      <c r="M153" s="136" t="inlineStr">
        <is>
          <t>v001</t>
        </is>
      </c>
      <c r="N153" s="136" t="inlineStr">
        <is>
          <t>2个三角耳</t>
        </is>
      </c>
      <c r="O153" s="136" t="inlineStr">
        <is>
          <t>assets/art/characters/player/chr_player_capsule01_3d/chr_player_capsule01_root_top3d_v001.tscn</t>
        </is>
      </c>
      <c r="P153" s="136" t="inlineStr">
        <is>
          <t>VisualRoot/Head/Ears</t>
        </is>
      </c>
      <c r="Q153" s="136" t="inlineStr">
        <is>
          <t>耳朵;双耳;猫耳;三角耳</t>
        </is>
      </c>
      <c r="R153" s="136">
        <f>LOWER(TRIM(C153)&amp;"|"&amp;TRIM(D153)&amp;"|"&amp;TRIM(E153)&amp;"|"&amp;TRIM(F153)&amp;"|"&amp;TRIM(H153)&amp;"|"&amp;TRIM(I153))</f>
        <v/>
      </c>
      <c r="S153" s="136">
        <f>IF(COUNTIF($R$6:$R$280,R153)&gt;1,"重复","唯一")</f>
        <v/>
      </c>
      <c r="T153" s="136" t="inlineStr">
        <is>
          <t>cf0b3b648d56590f1e024553d224df35007358452ea16ad1651ae9af4a7dde49</t>
        </is>
      </c>
      <c r="U153" s="136" t="inlineStr">
        <is>
          <t>Codex</t>
        </is>
      </c>
      <c r="V153" s="136" t="inlineStr">
        <is>
          <t>2026-07-25</t>
        </is>
      </c>
      <c r="W153" s="136" t="inlineStr">
        <is>
          <t>原创程序几何</t>
        </is>
      </c>
      <c r="X153" s="136" t="inlineStr">
        <is>
          <t>方形猫角色3D双耳配件；复用CHR-PLY-CAPSULE01-3D玩家根；方形主语言，TailStub为用户指定圆尾例外；自动与视觉验收PASS</t>
        </is>
      </c>
    </row>
    <row r="154" ht="44" customHeight="1">
      <c r="A154" s="136" t="inlineStr">
        <is>
          <t>CHR-PLY-CAPSULE01-TAIL-STUB-3D</t>
        </is>
      </c>
      <c r="B154" s="136" t="inlineStr">
        <is>
          <t>方形猫角色3D圆短尾</t>
        </is>
      </c>
      <c r="C154" s="136" t="inlineStr">
        <is>
          <t>角色</t>
        </is>
      </c>
      <c r="D154" s="136" t="inlineStr">
        <is>
          <t>player_accessory</t>
        </is>
      </c>
      <c r="E154" s="136" t="inlineStr">
        <is>
          <t>player_capsule01</t>
        </is>
      </c>
      <c r="F154" s="136" t="inlineStr">
        <is>
          <t>tail_stub_3d</t>
        </is>
      </c>
      <c r="G154" s="136" t="inlineStr">
        <is>
          <t>CHR-PLY-CAPSULE01-BODY-3D</t>
        </is>
      </c>
      <c r="H154" s="136" t="inlineStr">
        <is>
          <t>俯视3D</t>
        </is>
      </c>
      <c r="I154" s="136" t="inlineStr">
        <is>
          <t>default</t>
        </is>
      </c>
      <c r="J154" s="136" t="inlineStr">
        <is>
          <t>3D玩家/预览场</t>
        </is>
      </c>
      <c r="K154" s="136" t="inlineStr">
        <is>
          <t>原型已接入</t>
        </is>
      </c>
      <c r="L154" s="136" t="inlineStr">
        <is>
          <t>P1</t>
        </is>
      </c>
      <c r="M154" s="136" t="inlineStr">
        <is>
          <t>v001</t>
        </is>
      </c>
      <c r="N154" s="136" t="inlineStr">
        <is>
          <t>单个SphereMesh圆尾团</t>
        </is>
      </c>
      <c r="O154" s="136" t="inlineStr">
        <is>
          <t>assets/art/characters/player/chr_player_capsule01_3d/chr_player_capsule01_root_top3d_v001.tscn</t>
        </is>
      </c>
      <c r="P154" s="136" t="inlineStr">
        <is>
          <t>VisualRoot/Body/TailStub</t>
        </is>
      </c>
      <c r="Q154" s="136" t="inlineStr">
        <is>
          <t>尾巴;短尾;圆尾;尾团;无长尾</t>
        </is>
      </c>
      <c r="R154" s="136">
        <f>LOWER(TRIM(C154)&amp;"|"&amp;TRIM(D154)&amp;"|"&amp;TRIM(E154)&amp;"|"&amp;TRIM(F154)&amp;"|"&amp;TRIM(H154)&amp;"|"&amp;TRIM(I154))</f>
        <v/>
      </c>
      <c r="S154" s="136">
        <f>IF(COUNTIF($R$6:$R$280,R154)&gt;1,"重复","唯一")</f>
        <v/>
      </c>
      <c r="T154" s="136" t="inlineStr">
        <is>
          <t>cf0b3b648d56590f1e024553d224df35007358452ea16ad1651ae9af4a7dde49</t>
        </is>
      </c>
      <c r="U154" s="136" t="inlineStr">
        <is>
          <t>Codex</t>
        </is>
      </c>
      <c r="V154" s="136" t="inlineStr">
        <is>
          <t>2026-07-25</t>
        </is>
      </c>
      <c r="W154" s="136" t="inlineStr">
        <is>
          <t>原创程序几何</t>
        </is>
      </c>
      <c r="X154" s="136" t="inlineStr">
        <is>
          <t>方形猫角色3D圆短尾；复用CHR-PLY-CAPSULE01-3D玩家根；方形主语言，TailStub为用户指定圆尾例外；自动与视觉验收PASS</t>
        </is>
      </c>
    </row>
    <row r="155" ht="44" customHeight="1">
      <c r="A155" s="136" t="inlineStr">
        <is>
          <t>CHR-PLY-CAPSULE01-FEET-DIY-3D</t>
        </is>
      </c>
      <c r="B155" s="136" t="inlineStr">
        <is>
          <t>方形猫角色3D脚部DIY变体</t>
        </is>
      </c>
      <c r="C155" s="136" t="inlineStr">
        <is>
          <t>角色</t>
        </is>
      </c>
      <c r="D155" s="136" t="inlineStr">
        <is>
          <t>player_variant</t>
        </is>
      </c>
      <c r="E155" s="136" t="inlineStr">
        <is>
          <t>player_capsule01</t>
        </is>
      </c>
      <c r="F155" s="136" t="inlineStr">
        <is>
          <t>feet_diy_3d</t>
        </is>
      </c>
      <c r="G155" s="136" t="inlineStr">
        <is>
          <t>CHR-PLY-CAPSULE01-FOOT-3D</t>
        </is>
      </c>
      <c r="H155" s="136" t="inlineStr">
        <is>
          <t>俯视3D</t>
        </is>
      </c>
      <c r="I155" s="136" t="inlineStr">
        <is>
          <t>diy</t>
        </is>
      </c>
      <c r="J155" s="136" t="inlineStr">
        <is>
          <t>3D玩家/预览场</t>
        </is>
      </c>
      <c r="K155" s="136" t="inlineStr">
        <is>
          <t>原型已接入</t>
        </is>
      </c>
      <c r="L155" s="136" t="inlineStr">
        <is>
          <t>P1</t>
        </is>
      </c>
      <c r="M155" s="136" t="inlineStr">
        <is>
          <t>v001</t>
        </is>
      </c>
      <c r="N155" s="136" t="inlineStr">
        <is>
          <t>4种程序材质</t>
        </is>
      </c>
      <c r="O155" s="136" t="inlineStr">
        <is>
          <t>src/player3d/PlayerAvatar3D.gd</t>
        </is>
      </c>
      <c r="P155" s="136" t="inlineStr">
        <is>
          <t>VisualRoot/Feet</t>
        </is>
      </c>
      <c r="Q155" s="136" t="inlineStr">
        <is>
          <t>脚部DIY;猫脚;短靴;橙色;沙色;钴蓝;青绿</t>
        </is>
      </c>
      <c r="R155" s="136">
        <f>LOWER(TRIM(C155)&amp;"|"&amp;TRIM(D155)&amp;"|"&amp;TRIM(E155)&amp;"|"&amp;TRIM(F155)&amp;"|"&amp;TRIM(H155)&amp;"|"&amp;TRIM(I155))</f>
        <v/>
      </c>
      <c r="S155" s="136">
        <f>IF(COUNTIF($R$6:$R$280,R155)&gt;1,"重复","唯一")</f>
        <v/>
      </c>
      <c r="T155" s="136" t="inlineStr">
        <is>
          <t>43c7fa3fa002c9e5a2ec27f04fedeefacee2f32f3a91cb232e98f080513e2f7b</t>
        </is>
      </c>
      <c r="U155" s="136" t="inlineStr">
        <is>
          <t>Codex</t>
        </is>
      </c>
      <c r="V155" s="136" t="inlineStr">
        <is>
          <t>2026-07-25</t>
        </is>
      </c>
      <c r="W155" s="136" t="inlineStr">
        <is>
          <t>原创程序几何</t>
        </is>
      </c>
      <c r="X155" s="136" t="inlineStr">
        <is>
          <t>方形猫角色3D脚部DIY变体；复用CHR-PLY-CAPSULE01-3D玩家根；方形主语言，TailStub为用户指定圆尾例外；自动与视觉验收PASS</t>
        </is>
      </c>
    </row>
    <row r="156" ht="132" customHeight="1">
      <c r="A156" s="306" t="inlineStr">
        <is>
          <t>CHR-PLY-CAPSULE01-3D-BUNNY01</t>
        </is>
      </c>
      <c r="B156" s="306" t="inlineStr">
        <is>
          <t>兔子主角3D根变体</t>
        </is>
      </c>
      <c r="C156" s="306" t="inlineStr">
        <is>
          <t>角色</t>
        </is>
      </c>
      <c r="D156" s="306" t="inlineStr">
        <is>
          <t>player_variant</t>
        </is>
      </c>
      <c r="E156" s="306" t="inlineStr">
        <is>
          <t>player_capsule01</t>
        </is>
      </c>
      <c r="F156" s="306" t="inlineStr">
        <is>
          <t>root_3d_bunny01</t>
        </is>
      </c>
      <c r="G156" s="306" t="inlineStr">
        <is>
          <t>CHR-PLY-CAPSULE01-3D</t>
        </is>
      </c>
      <c r="H156" s="306" t="inlineStr">
        <is>
          <t>俯视3D</t>
        </is>
      </c>
      <c r="I156" s="306" t="inlineStr">
        <is>
          <t>default</t>
        </is>
      </c>
      <c r="J156" s="306" t="inlineStr">
        <is>
          <t>3D玩家场景</t>
        </is>
      </c>
      <c r="K156" s="306" t="inlineStr">
        <is>
          <t>原型已接入</t>
        </is>
      </c>
      <c r="L156" s="306" t="inlineStr">
        <is>
          <t>P0</t>
        </is>
      </c>
      <c r="M156" s="306" t="inlineStr">
        <is>
          <t>v006</t>
        </is>
      </c>
      <c r="N156" s="306" t="inlineStr">
        <is>
          <t>1.034×1.500×0.645 m / 完整视觉含耳</t>
        </is>
      </c>
      <c r="O156" s="306" t="inlineStr">
        <is>
          <t>assets/art/characters/player/chr_player_capsule01_3d/variants/bunny01/chr_player_capsule01_bunny01_root_top3d_v006.tscn</t>
        </is>
      </c>
      <c r="P156" s="306" t="inlineStr">
        <is>
          <t>assets/art/characters/player/chr_player_capsule01_3d/variants/bunny01/source/chr_player_capsule01_bunny01_top3d_v006.blend</t>
        </is>
      </c>
      <c r="Q156" s="306" t="inlineStr">
        <is>
          <t>兔子;主角;兔耳;3D;Blender;bunny01</t>
        </is>
      </c>
      <c r="R156" s="306">
        <f>LOWER(TRIM(C156)&amp;"|"&amp;TRIM(D156)&amp;"|"&amp;TRIM(E156)&amp;"|"&amp;TRIM(F156)&amp;"|"&amp;TRIM(H156)&amp;"|"&amp;TRIM(I156))</f>
        <v/>
      </c>
      <c r="S156" s="306">
        <f>IF(COUNTIF($R$6:$R$280,R156)&gt;1,"重复","唯一")</f>
        <v/>
      </c>
      <c r="T156" s="306" t="inlineStr">
        <is>
          <t>b894e9fe05f8898bf035b7b383c27407cf027208ccf8fec65a2ba22c1f390624</t>
        </is>
      </c>
      <c r="U156" s="306" t="inlineStr">
        <is>
          <t>Codex</t>
        </is>
      </c>
      <c r="V156" s="307" t="n">
        <v>46243</v>
      </c>
      <c r="W156" s="307" t="inlineStr">
        <is>
          <t>原创 Blender/Godot 组合</t>
        </is>
      </c>
      <c r="X156" s="30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</t>
        </is>
      </c>
    </row>
    <row r="157" ht="118" customHeight="1">
      <c r="A157" s="306" t="inlineStr">
        <is>
          <t>CHR-PLY-CAPSULE01-3D-BUNNY01-BODY</t>
        </is>
      </c>
      <c r="B157" s="306" t="inlineStr">
        <is>
          <t>兔子主角3D身体</t>
        </is>
      </c>
      <c r="C157" s="306" t="inlineStr">
        <is>
          <t>角色</t>
        </is>
      </c>
      <c r="D157" s="306" t="inlineStr">
        <is>
          <t>player_component</t>
        </is>
      </c>
      <c r="E157" s="306" t="inlineStr">
        <is>
          <t>player_capsule01</t>
        </is>
      </c>
      <c r="F157" s="306" t="inlineStr">
        <is>
          <t>body_3d_bunny01</t>
        </is>
      </c>
      <c r="G157" s="306" t="inlineStr">
        <is>
          <t>CHR-PLY-CAPSULE01-3D-BUNNY01</t>
        </is>
      </c>
      <c r="H157" s="306" t="inlineStr">
        <is>
          <t>俯视3D</t>
        </is>
      </c>
      <c r="I157" s="306" t="inlineStr">
        <is>
          <t>default</t>
        </is>
      </c>
      <c r="J157" s="306" t="inlineStr">
        <is>
          <t>3D玩家场景</t>
        </is>
      </c>
      <c r="K157" s="306" t="inlineStr">
        <is>
          <t>原型已接入</t>
        </is>
      </c>
      <c r="L157" s="306" t="inlineStr">
        <is>
          <t>P0</t>
        </is>
      </c>
      <c r="M157" s="306" t="inlineStr">
        <is>
          <t>v006</t>
        </is>
      </c>
      <c r="N157" s="306" t="inlineStr">
        <is>
          <t>GLB / 1,958 verts / pivot-local / 1.5m总高比例</t>
        </is>
      </c>
      <c r="O157" s="306" t="inlineStr">
        <is>
          <t>assets/art/characters/player/chr_player_capsule01_3d/variants/bunny01/components/chr_player_capsule01_bunny01_body_top3d_v006.glb</t>
        </is>
      </c>
      <c r="P157" s="306" t="inlineStr">
        <is>
          <t>assets/art/characters/player/chr_player_capsule01_3d/variants/bunny01/source/chr_player_capsule01_bunny01_top3d_v006.blend</t>
        </is>
      </c>
      <c r="Q157" s="306" t="inlineStr">
        <is>
          <t>兔子;身体;服装;body;bunny01</t>
        </is>
      </c>
      <c r="R157" s="306">
        <f>LOWER(TRIM(C157)&amp;"|"&amp;TRIM(D157)&amp;"|"&amp;TRIM(E157)&amp;"|"&amp;TRIM(F157)&amp;"|"&amp;TRIM(H157)&amp;"|"&amp;TRIM(I157))</f>
        <v/>
      </c>
      <c r="S157" s="306">
        <f>IF(COUNTIF($R$6:$R$280,R157)&gt;1,"重复","唯一")</f>
        <v/>
      </c>
      <c r="T157" s="306" t="inlineStr">
        <is>
          <t>c574d76e0f19c1aaa4bee5f427a81028d7b3f0f50299f67b4dbf02a60fc5668d</t>
        </is>
      </c>
      <c r="U157" s="306" t="inlineStr">
        <is>
          <t>Codex</t>
        </is>
      </c>
      <c r="V157" s="307" t="n">
        <v>46243</v>
      </c>
      <c r="W157" s="306" t="inlineStr">
        <is>
          <t>用户提供 Blender 源文件</t>
        </is>
      </c>
      <c r="X157" s="306" t="inlineStr">
        <is>
          <t>v0.1 v006：身体网格与底部中心原点保持不变；BodyJoint新增LowerBodySocket local=(0,0.14,0)，用于裙摆/腰甲/下摆并继承全部身体程序动画。</t>
        </is>
      </c>
    </row>
    <row r="158" ht="118" customHeight="1">
      <c r="A158" s="306" t="inlineStr">
        <is>
          <t>CHR-PLY-CAPSULE01-3D-BUNNY01-HEAD</t>
        </is>
      </c>
      <c r="B158" s="306" t="inlineStr">
        <is>
          <t>兔子主角3D头部</t>
        </is>
      </c>
      <c r="C158" s="306" t="inlineStr">
        <is>
          <t>角色</t>
        </is>
      </c>
      <c r="D158" s="306" t="inlineStr">
        <is>
          <t>player_component</t>
        </is>
      </c>
      <c r="E158" s="306" t="inlineStr">
        <is>
          <t>player_capsule01</t>
        </is>
      </c>
      <c r="F158" s="306" t="inlineStr">
        <is>
          <t>head_3d_bunny01</t>
        </is>
      </c>
      <c r="G158" s="306" t="inlineStr">
        <is>
          <t>CHR-PLY-CAPSULE01-3D-BUNNY01</t>
        </is>
      </c>
      <c r="H158" s="306" t="inlineStr">
        <is>
          <t>俯视3D</t>
        </is>
      </c>
      <c r="I158" s="306" t="inlineStr">
        <is>
          <t>default</t>
        </is>
      </c>
      <c r="J158" s="306" t="inlineStr">
        <is>
          <t>3D玩家场景</t>
        </is>
      </c>
      <c r="K158" s="306" t="inlineStr">
        <is>
          <t>原型已接入</t>
        </is>
      </c>
      <c r="L158" s="306" t="inlineStr">
        <is>
          <t>P0</t>
        </is>
      </c>
      <c r="M158" s="306" t="inlineStr">
        <is>
          <t>v006</t>
        </is>
      </c>
      <c r="N158" s="306" t="inlineStr">
        <is>
          <t>GLB / 5,936 verts / pivot-local / 头顶1.103390m</t>
        </is>
      </c>
      <c r="O158" s="306" t="inlineStr">
        <is>
          <t>assets/art/characters/player/chr_player_capsule01_3d/variants/bunny01/components/chr_player_capsule01_bunny01_head_top3d_v006.glb</t>
        </is>
      </c>
      <c r="P158" s="306" t="inlineStr">
        <is>
          <t>assets/art/characters/player/chr_player_capsule01_3d/variants/bunny01/source/chr_player_capsule01_bunny01_top3d_v006.blend</t>
        </is>
      </c>
      <c r="Q158" s="306" t="inlineStr">
        <is>
          <t>兔子;头部;head;bunny01</t>
        </is>
      </c>
      <c r="R158" s="306">
        <f>LOWER(TRIM(C158)&amp;"|"&amp;TRIM(D158)&amp;"|"&amp;TRIM(E158)&amp;"|"&amp;TRIM(F158)&amp;"|"&amp;TRIM(H158)&amp;"|"&amp;TRIM(I158))</f>
        <v/>
      </c>
      <c r="S158" s="306">
        <f>IF(COUNTIF($R$6:$R$280,R158)&gt;1,"重复","唯一")</f>
        <v/>
      </c>
      <c r="T158" s="306" t="inlineStr">
        <is>
          <t>b8db86c722bb2ae4d760b8219051f492251f6b9fa29882c8e32453b020973c24</t>
        </is>
      </c>
      <c r="U158" s="306" t="inlineStr">
        <is>
          <t>Codex</t>
        </is>
      </c>
      <c r="V158" s="307" t="n">
        <v>46233</v>
      </c>
      <c r="W158" s="306" t="inlineStr">
        <is>
          <t>用户提供 Blender 源文件</t>
        </is>
      </c>
      <c r="X158" s="306" t="inlineStr">
        <is>
          <t>v0.1 v006：头部与下沿中心原点真实1.5倍；不含耳头顶1.103390m，完整双耳顶部1.500m。</t>
        </is>
      </c>
    </row>
    <row r="159" ht="118" customHeight="1">
      <c r="A159" s="306" t="inlineStr">
        <is>
          <t>CHR-PLY-CAPSULE01-3D-BUNNY01-EARS</t>
        </is>
      </c>
      <c r="B159" s="306" t="inlineStr">
        <is>
          <t>兔子主角3D双耳配件</t>
        </is>
      </c>
      <c r="C159" s="306" t="inlineStr">
        <is>
          <t>角色</t>
        </is>
      </c>
      <c r="D159" s="306" t="inlineStr">
        <is>
          <t>player_accessory</t>
        </is>
      </c>
      <c r="E159" s="306" t="inlineStr">
        <is>
          <t>player_capsule01</t>
        </is>
      </c>
      <c r="F159" s="306" t="inlineStr">
        <is>
          <t>ears_3d_bunny01</t>
        </is>
      </c>
      <c r="G159" s="306" t="inlineStr">
        <is>
          <t>CHR-PLY-CAPSULE01-3D-BUNNY01-HEAD</t>
        </is>
      </c>
      <c r="H159" s="306" t="inlineStr">
        <is>
          <t>俯视3D</t>
        </is>
      </c>
      <c r="I159" s="306" t="inlineStr">
        <is>
          <t>default</t>
        </is>
      </c>
      <c r="J159" s="306" t="inlineStr">
        <is>
          <t>3D玩家场景</t>
        </is>
      </c>
      <c r="K159" s="306" t="inlineStr">
        <is>
          <t>原型已接入</t>
        </is>
      </c>
      <c r="L159" s="306" t="inlineStr">
        <is>
          <t>P0</t>
        </is>
      </c>
      <c r="M159" s="306" t="inlineStr">
        <is>
          <t>v006</t>
        </is>
      </c>
      <c r="N159" s="306" t="inlineStr">
        <is>
          <t>单 GLB / 1,536 verts / pivot-local / 双实例</t>
        </is>
      </c>
      <c r="O159" s="306" t="inlineStr">
        <is>
          <t>assets/art/characters/player/chr_player_capsule01_3d/variants/bunny01/components/chr_player_capsule01_bunny01_ear_top3d_v006.glb</t>
        </is>
      </c>
      <c r="P159" s="306" t="inlineStr">
        <is>
          <t>assets/art/characters/player/chr_player_capsule01_3d/variants/bunny01/source/chr_player_capsule01_bunny01_top3d_v006.blend</t>
        </is>
      </c>
      <c r="Q159" s="306" t="inlineStr">
        <is>
          <t>兔耳;耳朵;耳部配件;EarSocketL;EarSocketR;bunny01</t>
        </is>
      </c>
      <c r="R159" s="306">
        <f>LOWER(TRIM(C159)&amp;"|"&amp;TRIM(D159)&amp;"|"&amp;TRIM(E159)&amp;"|"&amp;TRIM(F159)&amp;"|"&amp;TRIM(H159)&amp;"|"&amp;TRIM(I159))</f>
        <v/>
      </c>
      <c r="S159" s="306">
        <f>IF(COUNTIF($R$6:$R$280,R159)&gt;1,"重复","唯一")</f>
        <v/>
      </c>
      <c r="T159" s="306" t="inlineStr">
        <is>
          <t>ed3c7abe283166648fafb43373c1dc2222bf9134f3d7bb8e0ebd8d3a05242ebf</t>
        </is>
      </c>
      <c r="U159" s="306" t="inlineStr">
        <is>
          <t>Codex</t>
        </is>
      </c>
      <c r="V159" s="307" t="n">
        <v>46233</v>
      </c>
      <c r="W159" s="306" t="inlineStr">
        <is>
          <t>用户提供 Blender 源文件</t>
        </is>
      </c>
      <c r="X159" s="306" t="inlineStr">
        <is>
          <t>v0.1 v006：耳朵网格与耳根原点真实1.5倍；左右挂点复用单资产，装配后最高点严格1.500m。</t>
        </is>
      </c>
    </row>
    <row r="160" ht="118" customHeight="1">
      <c r="A160" s="306" t="inlineStr">
        <is>
          <t>CHR-PLY-CAPSULE01-3D-BUNNY01-HAND</t>
        </is>
      </c>
      <c r="B160" s="306" t="inlineStr">
        <is>
          <t>兔子主角3D双爪表现组件</t>
        </is>
      </c>
      <c r="C160" s="306" t="inlineStr">
        <is>
          <t>角色</t>
        </is>
      </c>
      <c r="D160" s="306" t="inlineStr">
        <is>
          <t>player_component</t>
        </is>
      </c>
      <c r="E160" s="306" t="inlineStr">
        <is>
          <t>player_capsule01</t>
        </is>
      </c>
      <c r="F160" s="306" t="inlineStr">
        <is>
          <t>hand_3d_bunny01</t>
        </is>
      </c>
      <c r="G160" s="306" t="inlineStr">
        <is>
          <t>CHR-PLY-CAPSULE01-3D-BUNNY01</t>
        </is>
      </c>
      <c r="H160" s="306" t="inlineStr">
        <is>
          <t>俯视3D</t>
        </is>
      </c>
      <c r="I160" s="306" t="inlineStr">
        <is>
          <t>default</t>
        </is>
      </c>
      <c r="J160" s="306" t="inlineStr">
        <is>
          <t>3D玩家场景</t>
        </is>
      </c>
      <c r="K160" s="306" t="inlineStr">
        <is>
          <t>原型已接入</t>
        </is>
      </c>
      <c r="L160" s="306" t="inlineStr">
        <is>
          <t>P0</t>
        </is>
      </c>
      <c r="M160" s="306" t="inlineStr">
        <is>
          <t>v006</t>
        </is>
      </c>
      <c r="N160" s="306" t="inlineStr">
        <is>
          <t>双 GLB / 左右各1,058 verts / pivot-local / 1.5m角色比例</t>
        </is>
      </c>
      <c r="O160" s="306" t="inlineStr">
        <is>
          <t>assets/art/characters/player/chr_player_capsule01_3d/variants/bunny01/components/chr_player_capsule01_bunny01_hand_l_top3d_v006.glb; assets/art/characters/player/chr_player_capsule01_3d/variants/bunny01/components/chr_player_capsule01_bunny01_hand_r_top3d_v006.glb</t>
        </is>
      </c>
      <c r="P160" s="306" t="inlineStr">
        <is>
          <t>assets/art/characters/player/chr_player_capsule01_3d/variants/bunny01/source/chr_player_capsule01_bunny01_top3d_v006.blend</t>
        </is>
      </c>
      <c r="Q160" s="306" t="inlineStr">
        <is>
          <t>兔爪;手;握持;weapon_socket;bunny01</t>
        </is>
      </c>
      <c r="R160" s="306">
        <f>LOWER(TRIM(C160)&amp;"|"&amp;TRIM(D160)&amp;"|"&amp;TRIM(E160)&amp;"|"&amp;TRIM(F160)&amp;"|"&amp;TRIM(H160)&amp;"|"&amp;TRIM(I160))</f>
        <v/>
      </c>
      <c r="S160" s="306">
        <f>IF(COUNTIF($R$6:$R$280,R160)&gt;1,"重复","唯一")</f>
        <v/>
      </c>
      <c r="T160" s="306" t="inlineStr">
        <is>
          <t>2c6647c0e4f234e9312ba65e7c73f55c02627be9b7a2c35d1591d86a20cb5f16 / b3ada7b67d0224156d1c39af0bdc0e53af02cb5d26ba68d4746b7859a84a1d10</t>
        </is>
      </c>
      <c r="U160" s="306" t="inlineStr">
        <is>
          <t>Codex</t>
        </is>
      </c>
      <c r="V160" s="307" t="n">
        <v>46233</v>
      </c>
      <c r="W160" s="306" t="inlineStr">
        <is>
          <t>用户提供 Blender 源文件</t>
        </is>
      </c>
      <c r="X160" s="30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</t>
        </is>
      </c>
    </row>
    <row r="161" ht="132" customHeight="1">
      <c r="A161" s="306" t="inlineStr">
        <is>
          <t>CHR-PLY-CAPSULE01-3D-BUNNY01-FOOT-L</t>
        </is>
      </c>
      <c r="B161" s="306" t="inlineStr">
        <is>
          <t>兔子主角3D左脚</t>
        </is>
      </c>
      <c r="C161" s="306" t="inlineStr">
        <is>
          <t>角色</t>
        </is>
      </c>
      <c r="D161" s="306" t="inlineStr">
        <is>
          <t>player_component</t>
        </is>
      </c>
      <c r="E161" s="306" t="inlineStr">
        <is>
          <t>player_capsule01</t>
        </is>
      </c>
      <c r="F161" s="306" t="inlineStr">
        <is>
          <t>foot_l_3d_bunny01</t>
        </is>
      </c>
      <c r="G161" s="306" t="inlineStr">
        <is>
          <t>CHR-PLY-CAPSULE01-3D-BUNNY01</t>
        </is>
      </c>
      <c r="H161" s="306" t="inlineStr">
        <is>
          <t>俯视3D</t>
        </is>
      </c>
      <c r="I161" s="306" t="inlineStr">
        <is>
          <t>moving</t>
        </is>
      </c>
      <c r="J161" s="306" t="inlineStr">
        <is>
          <t>3D玩家场景</t>
        </is>
      </c>
      <c r="K161" s="306" t="inlineStr">
        <is>
          <t>原型已接入</t>
        </is>
      </c>
      <c r="L161" s="306" t="inlineStr">
        <is>
          <t>P0</t>
        </is>
      </c>
      <c r="M161" s="306" t="inlineStr">
        <is>
          <t>v006</t>
        </is>
      </c>
      <c r="N161" s="306" t="inlineStr">
        <is>
          <t>GLB / 5,396 verts / pivot-local / 1.5m角色比例</t>
        </is>
      </c>
      <c r="O161" s="306" t="inlineStr">
        <is>
          <t>assets/art/characters/player/chr_player_capsule01_3d/variants/bunny01/components/chr_player_capsule01_bunny01_foot_l_top3d_v006.glb</t>
        </is>
      </c>
      <c r="P161" s="306" t="inlineStr">
        <is>
          <t>assets/art/characters/player/chr_player_capsule01_3d/variants/bunny01/source/chr_player_capsule01_bunny01_top3d_v006.blend</t>
        </is>
      </c>
      <c r="Q161" s="306" t="inlineStr">
        <is>
          <t>兔脚;左脚;步态;FootL;bunny01</t>
        </is>
      </c>
      <c r="R161" s="306">
        <f>LOWER(TRIM(C161)&amp;"|"&amp;TRIM(D161)&amp;"|"&amp;TRIM(E161)&amp;"|"&amp;TRIM(F161)&amp;"|"&amp;TRIM(H161)&amp;"|"&amp;TRIM(I161))</f>
        <v/>
      </c>
      <c r="S161" s="306">
        <f>IF(COUNTIF($R$6:$R$280,R161)&gt;1,"重复","唯一")</f>
        <v/>
      </c>
      <c r="T161" s="306" t="inlineStr">
        <is>
          <t>52051cba0db701d977c8baa8d7ed9899825b10406803ac63e6a3f66efbd80b64</t>
        </is>
      </c>
      <c r="U161" s="306" t="inlineStr">
        <is>
          <t>Codex</t>
        </is>
      </c>
      <c r="V161" s="307" t="n">
        <v>46233</v>
      </c>
      <c r="W161" s="306" t="inlineStr">
        <is>
          <t>用户提供 Blender 源文件</t>
        </is>
      </c>
      <c r="X161" s="306" t="inlineStr">
        <is>
          <t>v0.1：v006网格与AssetID不变；FootJointL除moving步态外新增falling收腿与landing压缩恢复职责，动作由PlayerAvatar3D程序变换驱动。</t>
        </is>
      </c>
    </row>
    <row r="162" ht="132" customHeight="1">
      <c r="A162" s="306" t="inlineStr">
        <is>
          <t>CHR-PLY-CAPSULE01-3D-BUNNY01-FOOT-R</t>
        </is>
      </c>
      <c r="B162" s="306" t="inlineStr">
        <is>
          <t>兔子主角3D右脚</t>
        </is>
      </c>
      <c r="C162" s="306" t="inlineStr">
        <is>
          <t>角色</t>
        </is>
      </c>
      <c r="D162" s="306" t="inlineStr">
        <is>
          <t>player_component</t>
        </is>
      </c>
      <c r="E162" s="306" t="inlineStr">
        <is>
          <t>player_capsule01</t>
        </is>
      </c>
      <c r="F162" s="306" t="inlineStr">
        <is>
          <t>foot_r_3d_bunny01</t>
        </is>
      </c>
      <c r="G162" s="306" t="inlineStr">
        <is>
          <t>CHR-PLY-CAPSULE01-3D-BUNNY01</t>
        </is>
      </c>
      <c r="H162" s="306" t="inlineStr">
        <is>
          <t>俯视3D</t>
        </is>
      </c>
      <c r="I162" s="306" t="inlineStr">
        <is>
          <t>moving</t>
        </is>
      </c>
      <c r="J162" s="306" t="inlineStr">
        <is>
          <t>3D玩家场景</t>
        </is>
      </c>
      <c r="K162" s="306" t="inlineStr">
        <is>
          <t>原型已接入</t>
        </is>
      </c>
      <c r="L162" s="306" t="inlineStr">
        <is>
          <t>P0</t>
        </is>
      </c>
      <c r="M162" s="306" t="inlineStr">
        <is>
          <t>v006</t>
        </is>
      </c>
      <c r="N162" s="306" t="inlineStr">
        <is>
          <t>GLB / 5,396 verts / pivot-local / 1.5m角色比例</t>
        </is>
      </c>
      <c r="O162" s="306" t="inlineStr">
        <is>
          <t>assets/art/characters/player/chr_player_capsule01_3d/variants/bunny01/components/chr_player_capsule01_bunny01_foot_r_top3d_v006.glb</t>
        </is>
      </c>
      <c r="P162" s="306" t="inlineStr">
        <is>
          <t>assets/art/characters/player/chr_player_capsule01_3d/variants/bunny01/source/chr_player_capsule01_bunny01_top3d_v006.blend</t>
        </is>
      </c>
      <c r="Q162" s="306" t="inlineStr">
        <is>
          <t>兔脚;右脚;步态;FootR;bunny01</t>
        </is>
      </c>
      <c r="R162" s="306">
        <f>LOWER(TRIM(C162)&amp;"|"&amp;TRIM(D162)&amp;"|"&amp;TRIM(E162)&amp;"|"&amp;TRIM(F162)&amp;"|"&amp;TRIM(H162)&amp;"|"&amp;TRIM(I162))</f>
        <v/>
      </c>
      <c r="S162" s="306">
        <f>IF(COUNTIF($R$6:$R$280,R162)&gt;1,"重复","唯一")</f>
        <v/>
      </c>
      <c r="T162" s="306" t="inlineStr">
        <is>
          <t>d81e840f5c087b349fd6e19b4cb7e65eb79294edb937fdc75192b66967c29e2e</t>
        </is>
      </c>
      <c r="U162" s="306" t="inlineStr">
        <is>
          <t>Codex</t>
        </is>
      </c>
      <c r="V162" s="307" t="n">
        <v>46233</v>
      </c>
      <c r="W162" s="306" t="inlineStr">
        <is>
          <t>用户提供 Blender 源文件</t>
        </is>
      </c>
      <c r="X162" s="306" t="inlineStr">
        <is>
          <t>v0.1：v006网格与AssetID不变；FootJointR除moving步态外新增falling收腿与landing压缩恢复职责，动作由PlayerAvatar3D程序变换驱动。</t>
        </is>
      </c>
    </row>
    <row r="163" ht="155" customHeight="1">
      <c r="A163" s="306" t="inlineStr">
        <is>
          <t>ENV-TOWER-DESCENT-KIT-3D</t>
        </is>
      </c>
      <c r="B163" s="306" t="inlineStr">
        <is>
          <t>向下爬楼塔楼3D五米模块化母版</t>
        </is>
      </c>
      <c r="C163" s="306" t="inlineStr">
        <is>
          <t>场景</t>
        </is>
      </c>
      <c r="D163" s="306" t="inlineStr">
        <is>
          <t>room_kit</t>
        </is>
      </c>
      <c r="E163" s="306" t="inlineStr">
        <is>
          <t>tower_descent</t>
        </is>
      </c>
      <c r="F163" s="306" t="inlineStr">
        <is>
          <t>root_3d</t>
        </is>
      </c>
      <c r="G163" s="306" t="inlineStr">
        <is>
          <t>ENV-DUNGEON-RUNTIME-3D</t>
        </is>
      </c>
      <c r="H163" s="306" t="inlineStr">
        <is>
          <t>俯视3D</t>
        </is>
      </c>
      <c r="I163" s="306" t="inlineStr">
        <is>
          <t>godot_runtime</t>
        </is>
      </c>
      <c r="J163" s="306" t="inlineStr">
        <is>
          <t>250×250m整层；99层30×30m/6×6格基地；98—95层终局路线；2.2×2.5m门</t>
        </is>
      </c>
      <c r="K163" s="306" t="inlineStr">
        <is>
          <t>原型已接入</t>
        </is>
      </c>
      <c r="L163" s="306" t="inlineStr">
        <is>
          <t>P0</t>
        </is>
      </c>
      <c r="M163" s="306" t="inlineStr">
        <is>
          <t>v007</t>
        </is>
      </c>
      <c r="N163" s="306" t="inlineStr">
        <is>
          <t>Blender 4.2源文件/1单位=1m/PH49运行时布局审阅集合</t>
        </is>
      </c>
      <c r="O163" s="306" t="inlineStr">
        <is>
          <t>assets/art/environments/tower_descent_3d/source/env_tower_descent_kit_top3d_v007.blend</t>
        </is>
      </c>
      <c r="P163" s="306" t="inlineStr">
        <is>
          <t>assets/art/environments/tower_descent_3d/source/validate_env_tower_descent_kit_top3d_v007.py; assets/art/environments/tower_descent_3d/source/render_env_tower_descent_kit_top3d_v007.py; docs/v0.1/03_关卡与场景设计.md</t>
        </is>
      </c>
      <c r="Q163" s="306" t="inlineStr">
        <is>
          <t>塔楼;向下爬楼;楼顶;基地层;战斗层;特殊楼梯;通用楼梯;五米网格;模块化地砖;模块化墙;模块化门;Blender</t>
        </is>
      </c>
      <c r="R163" s="306" t="inlineStr">
        <is>
          <t>场景|room_kit|tower_descent|root_3d|俯视3d|blender_review</t>
        </is>
      </c>
      <c r="S163" s="306">
        <f>IF(COUNTIF($R$6:$R$280,R163)&gt;1,"重复","唯一")</f>
        <v/>
      </c>
      <c r="T163" s="306" t="inlineStr">
        <is>
          <t>ef19c00e61478f0b3268edd9746e7fcf6704a2865aac0b4121474ab9b98e7552</t>
        </is>
      </c>
      <c r="U163" s="306" t="inlineStr">
        <is>
          <t>Codex</t>
        </is>
      </c>
      <c r="V163" s="307" t="n">
        <v>46237</v>
      </c>
      <c r="W163" s="307" t="inlineStr">
        <is>
          <t>程序生成 Blender 源集合</t>
        </is>
      </c>
      <c r="X163" s="306" t="inlineStr">
        <is>
          <t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t>
        </is>
      </c>
    </row>
    <row r="164" ht="132" customHeight="1">
      <c r="A164" s="306" t="inlineStr">
        <is>
          <t>ENV-TOWER-FLOOR-TILE-5M</t>
        </is>
      </c>
      <c r="B164" s="306" t="inlineStr">
        <is>
          <t>塔楼5米地砖模块</t>
        </is>
      </c>
      <c r="C164" s="306" t="inlineStr">
        <is>
          <t>场景</t>
        </is>
      </c>
      <c r="D164" s="306" t="inlineStr">
        <is>
          <t>room_kit</t>
        </is>
      </c>
      <c r="E164" s="306" t="inlineStr">
        <is>
          <t>tower_descent</t>
        </is>
      </c>
      <c r="F164" s="306" t="inlineStr">
        <is>
          <t>floor_tile_5m</t>
        </is>
      </c>
      <c r="G164" s="306" t="inlineStr">
        <is>
          <t>ENV-TOWER-DESCENT-KIT-3D</t>
        </is>
      </c>
      <c r="H164" s="306" t="inlineStr">
        <is>
          <t>俯视3D</t>
        </is>
      </c>
      <c r="I164" s="306" t="inlineStr">
        <is>
          <t>godot_runtime</t>
        </is>
      </c>
      <c r="J164" s="306" t="inlineStr">
        <is>
          <t>塔楼六个物理层楼板/335m MultiMesh网格/动态水平通道</t>
        </is>
      </c>
      <c r="K164" s="306" t="inlineStr">
        <is>
          <t>原型已接入</t>
        </is>
      </c>
      <c r="L164" s="306" t="inlineStr">
        <is>
          <t>P0</t>
        </is>
      </c>
      <c r="M164" s="306" t="inlineStr">
        <is>
          <t>v001</t>
        </is>
      </c>
      <c r="N164" s="306" t="inlineStr">
        <is>
          <t>GLB / 5×5×0.30m / 共享Mesh / MultiMesh平铺</t>
        </is>
      </c>
      <c r="O164" s="306" t="inlineStr">
        <is>
          <t>assets/art/environments/tower_descent_3d/components/env_tower_floor_tile_5m_top3d_v001.glb</t>
        </is>
      </c>
      <c r="P164" s="306" t="inlineStr">
        <is>
          <t>Blender集合=10A_MOD_FLOOR_TILE_5M_U01; export_env_tower_5m_modules_v001.py; TowerFloorStage3D.gd; tests/verification/verify_tower_descent_flow.tscn</t>
        </is>
      </c>
      <c r="Q164" s="306" t="inlineStr">
        <is>
          <t>塔楼;地砖;楼板;5米;模块化;平铺;四向接口</t>
        </is>
      </c>
      <c r="R164" s="306" t="inlineStr">
        <is>
          <t>场景|room_kit|tower_descent|floor_tile_5m|俯视3d|blender_review</t>
        </is>
      </c>
      <c r="S164" s="306">
        <f>IF(COUNTIF($R$6:$R$280,R164)&gt;1,"重复","唯一")</f>
        <v/>
      </c>
      <c r="T164" s="306" t="inlineStr">
        <is>
          <t>987b220bef57c4176590caf7568c909d90768450c00f7e4e27c4c61986e6ef2d</t>
        </is>
      </c>
      <c r="U164" s="306" t="inlineStr">
        <is>
          <t>Codex</t>
        </is>
      </c>
      <c r="V164" s="307" t="n">
        <v>46237</v>
      </c>
      <c r="W164" s="306" t="inlineStr">
        <is>
          <t>程序生成Blender源集合</t>
        </is>
      </c>
      <c r="X164" s="30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t>
        </is>
      </c>
    </row>
    <row r="165" ht="132" customHeight="1">
      <c r="A165" s="306" t="inlineStr">
        <is>
          <t>ENV-TOWER-WALL-SOLID-5M</t>
        </is>
      </c>
      <c r="B165" s="306" t="inlineStr">
        <is>
          <t>塔楼5米满高实墙模块</t>
        </is>
      </c>
      <c r="C165" s="306" t="inlineStr">
        <is>
          <t>场景</t>
        </is>
      </c>
      <c r="D165" s="306" t="inlineStr">
        <is>
          <t>room_kit</t>
        </is>
      </c>
      <c r="E165" s="306" t="inlineStr">
        <is>
          <t>tower_descent</t>
        </is>
      </c>
      <c r="F165" s="306" t="inlineStr">
        <is>
          <t>wall_solid_5m</t>
        </is>
      </c>
      <c r="G165" s="306" t="inlineStr">
        <is>
          <t>ENV-TOWER-DESCENT-KIT-3D</t>
        </is>
      </c>
      <c r="H165" s="306" t="inlineStr">
        <is>
          <t>俯视3D</t>
        </is>
      </c>
      <c r="I165" s="306" t="inlineStr">
        <is>
          <t>godot_runtime</t>
        </is>
      </c>
      <c r="J165" s="306" t="inlineStr">
        <is>
          <t>整层外墙/65m核心/探索房内墙/5m正交走廊</t>
        </is>
      </c>
      <c r="K165" s="306" t="inlineStr">
        <is>
          <t>原型已接入</t>
        </is>
      </c>
      <c r="L165" s="306" t="inlineStr">
        <is>
          <t>P0</t>
        </is>
      </c>
      <c r="M165" s="306" t="inlineStr">
        <is>
          <t>v001</t>
        </is>
      </c>
      <c r="N165" s="306" t="inlineStr">
        <is>
          <t>GLB / 5×0.30×9m / 共享Mesh / 可旋转</t>
        </is>
      </c>
      <c r="O165" s="306" t="inlineStr">
        <is>
          <t>assets/art/environments/tower_descent_3d/components/env_tower_wall_solid_5m_top3d_v001.glb</t>
        </is>
      </c>
      <c r="P165" s="306" t="inlineStr">
        <is>
          <t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306" t="inlineStr">
        <is>
          <t>塔楼;实墙;满高墙;5米;模块化;室内隔墙;核心外墙</t>
        </is>
      </c>
      <c r="R165" s="306" t="inlineStr">
        <is>
          <t>场景|room_kit|tower_descent|wall_solid_5m|俯视3d|blender_review</t>
        </is>
      </c>
      <c r="S165" s="306">
        <f>IF(COUNTIF($R$6:$R$280,R165)&gt;1,"重复","唯一")</f>
        <v/>
      </c>
      <c r="T165" s="306" t="inlineStr">
        <is>
          <t>5680bf2dedc964fcbfd5e5ee7d5ba86af5ba8a2c77c64a02151aee19a7f2cc33</t>
        </is>
      </c>
      <c r="U165" s="306" t="inlineStr">
        <is>
          <t>Codex</t>
        </is>
      </c>
      <c r="V165" s="307" t="n">
        <v>46237</v>
      </c>
      <c r="W165" s="306" t="inlineStr">
        <is>
          <t>程序生成 Blender 源集合</t>
        </is>
      </c>
      <c r="X165" s="30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166" ht="132" customHeight="1">
      <c r="A166" s="306" t="inlineStr">
        <is>
          <t>ENV-TOWER-WALL-PARAPET-5M</t>
        </is>
      </c>
      <c r="B166" s="306" t="inlineStr">
        <is>
          <t>塔楼5米楼顶女儿墙模块</t>
        </is>
      </c>
      <c r="C166" s="306" t="inlineStr">
        <is>
          <t>场景</t>
        </is>
      </c>
      <c r="D166" s="306" t="inlineStr">
        <is>
          <t>room_kit</t>
        </is>
      </c>
      <c r="E166" s="306" t="inlineStr">
        <is>
          <t>tower_descent</t>
        </is>
      </c>
      <c r="F166" s="306" t="inlineStr">
        <is>
          <t>wall_parapet_5m</t>
        </is>
      </c>
      <c r="G166" s="306" t="inlineStr">
        <is>
          <t>ENV-TOWER-DESCENT-KIT-3D</t>
        </is>
      </c>
      <c r="H166" s="306" t="inlineStr">
        <is>
          <t>俯视3D</t>
        </is>
      </c>
      <c r="I166" s="306" t="inlineStr">
        <is>
          <t>godot_runtime</t>
        </is>
      </c>
      <c r="J166" s="306" t="inlineStr">
        <is>
          <t>335m楼顶四周边界/268段MultiMesh围栏</t>
        </is>
      </c>
      <c r="K166" s="306" t="inlineStr">
        <is>
          <t>原型已接入</t>
        </is>
      </c>
      <c r="L166" s="306" t="inlineStr">
        <is>
          <t>P1</t>
        </is>
      </c>
      <c r="M166" s="306" t="inlineStr">
        <is>
          <t>v001</t>
        </is>
      </c>
      <c r="N166" s="306" t="inlineStr">
        <is>
          <t>GLB / 5×0.30×1.50m / 共享Mesh</t>
        </is>
      </c>
      <c r="O166" s="306" t="inlineStr">
        <is>
          <t>assets/art/environments/tower_descent_3d/components/env_tower_wall_parapet_5m_top3d_v001.glb</t>
        </is>
      </c>
      <c r="P166" s="306" t="inlineStr">
        <is>
          <t>Blender集合=10C_MOD_WALL_PARAPET_5M_U01; export_env_tower_5m_modules_v001.py; TowerFloorStage3D.gd; tests/verification/verify_tower_descent_visual.tscn</t>
        </is>
      </c>
      <c r="Q166" s="306" t="inlineStr">
        <is>
          <t>塔楼;女儿墙;护栏;5米;模块化;楼顶边界</t>
        </is>
      </c>
      <c r="R166" s="306" t="inlineStr">
        <is>
          <t>场景|room_kit|tower_descent|wall_parapet_5m|俯视3d|blender_review</t>
        </is>
      </c>
      <c r="S166" s="306">
        <f>IF(COUNTIF($R$6:$R$280,R166)&gt;1,"重复","唯一")</f>
        <v/>
      </c>
      <c r="T166" s="306" t="inlineStr">
        <is>
          <t>44fdb663487a9bf010d8fa249a2f9811843409c35d9f7ce8d09c48f7de7bf808</t>
        </is>
      </c>
      <c r="U166" s="306" t="inlineStr">
        <is>
          <t>Codex</t>
        </is>
      </c>
      <c r="V166" s="307" t="n">
        <v>46233</v>
      </c>
      <c r="W166" s="306" t="inlineStr">
        <is>
          <t>程序生成Blender源集合</t>
        </is>
      </c>
      <c r="X166" s="30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167" ht="155" customHeight="1">
      <c r="A167" s="306" t="inlineStr">
        <is>
          <t>ENV-TOWER-WALL-DOOR-5M</t>
        </is>
      </c>
      <c r="B167" s="306" t="inlineStr">
        <is>
          <t>塔楼5米带门墙模块</t>
        </is>
      </c>
      <c r="C167" s="306" t="inlineStr">
        <is>
          <t>场景</t>
        </is>
      </c>
      <c r="D167" s="306" t="inlineStr">
        <is>
          <t>room_kit</t>
        </is>
      </c>
      <c r="E167" s="306" t="inlineStr">
        <is>
          <t>tower_descent</t>
        </is>
      </c>
      <c r="F167" s="306" t="inlineStr">
        <is>
          <t>wall_door_5m</t>
        </is>
      </c>
      <c r="G167" s="306" t="inlineStr">
        <is>
          <t>ENV-TOWER-DESCENT-KIT-3D</t>
        </is>
      </c>
      <c r="H167" s="306" t="inlineStr">
        <is>
          <t>俯视3D</t>
        </is>
      </c>
      <c r="I167" s="306" t="inlineStr">
        <is>
          <t>godot_runtime</t>
        </is>
      </c>
      <c r="J167" s="306" t="inlineStr">
        <is>
          <t>5m墙位/2.2m净宽/2.5m净高/独立门扇</t>
        </is>
      </c>
      <c r="K167" s="306" t="inlineStr">
        <is>
          <t>原型已接入</t>
        </is>
      </c>
      <c r="L167" s="306" t="inlineStr">
        <is>
          <t>P0</t>
        </is>
      </c>
      <c r="M167" s="306" t="inlineStr">
        <is>
          <t>v002</t>
        </is>
      </c>
      <c r="N167" s="306" t="inlineStr">
        <is>
          <t>Blender 4.2 GLB/7个Mesh部件/2.2×2.5m净开口</t>
        </is>
      </c>
      <c r="O167" s="306" t="inlineStr">
        <is>
          <t>assets/art/environments/tower_descent_3d/components/env_tower_wall_door_5m_top3d_v002.glb</t>
        </is>
      </c>
      <c r="P167" s="306" t="inlineStr">
        <is>
          <t>assets/art/environments/tower_descent_3d/source/export_env_tower_door_5m_v002.py; assets/art/environments/tower_descent_3d/source/env_tower_descent_kit_top3d_v007.blend</t>
        </is>
      </c>
      <c r="Q167" s="306" t="inlineStr">
        <is>
          <t>塔楼;门;门洞;5米;模块化;肉鸽触发;独立门扇</t>
        </is>
      </c>
      <c r="R167" s="306" t="inlineStr">
        <is>
          <t>场景|room_kit|tower_descent|wall_door_5m|俯视3d|blender_review</t>
        </is>
      </c>
      <c r="S167" s="306">
        <f>IF(COUNTIF($R$6:$R$280,R167)&gt;1,"重复","唯一")</f>
        <v/>
      </c>
      <c r="T167" s="306" t="inlineStr">
        <is>
          <t>75f03e2bc785b0d957df9e27940ac9a024097ce6f2c371ae947b2c48cce69ca1</t>
        </is>
      </c>
      <c r="U167" s="306" t="inlineStr">
        <is>
          <t>Codex</t>
        </is>
      </c>
      <c r="V167" s="307" t="n">
        <v>46236</v>
      </c>
      <c r="W167" s="306" t="inlineStr">
        <is>
          <t>程序生成 Blender 源集合</t>
        </is>
      </c>
      <c r="X167" s="306" t="inlineStr">
        <is>
          <t>2026-08-02：南北门墙统一使用仅限相机层的门洞代理，开门不再全局绕过后墙检测；代理不阻挡玩家、怪物或子弹。</t>
        </is>
      </c>
    </row>
    <row r="168" ht="132" customHeight="1">
      <c r="A168" s="306" t="inlineStr">
        <is>
          <t>ENV-TOWER-STAIRWELL-GENERIC-9M</t>
        </is>
      </c>
      <c r="B168" s="306" t="inlineStr">
        <is>
          <t>塔楼9米通用双跑楼梯间</t>
        </is>
      </c>
      <c r="C168" s="306" t="inlineStr">
        <is>
          <t>场景</t>
        </is>
      </c>
      <c r="D168" s="306" t="inlineStr">
        <is>
          <t>room_kit</t>
        </is>
      </c>
      <c r="E168" s="306" t="inlineStr">
        <is>
          <t>tower_descent</t>
        </is>
      </c>
      <c r="F168" s="306" t="inlineStr">
        <is>
          <t>stairwell_generic_9m</t>
        </is>
      </c>
      <c r="G168" s="306" t="inlineStr">
        <is>
          <t>ENV-TOWER-DESCENT-KIT-3D</t>
        </is>
      </c>
      <c r="H168" s="306" t="inlineStr">
        <is>
          <t>俯视3D</t>
        </is>
      </c>
      <c r="I168" s="306" t="inlineStr">
        <is>
          <t>godot_runtime</t>
        </is>
      </c>
      <c r="J168" s="306" t="inlineStr">
        <is>
          <t>99层以下通用楼梯/四向旋转/上下楼交通</t>
        </is>
      </c>
      <c r="K168" s="306" t="inlineStr">
        <is>
          <t>原型已接入</t>
        </is>
      </c>
      <c r="L168" s="306" t="inlineStr">
        <is>
          <t>P0</t>
        </is>
      </c>
      <c r="M168" s="306" t="inlineStr">
        <is>
          <t>v001</t>
        </is>
      </c>
      <c r="N168" s="306" t="inlineStr">
        <is>
          <t>GLB / 14.751×27.617×约18.41m包围 / 9m层差 / 48子对象</t>
        </is>
      </c>
      <c r="O168" s="306" t="inlineStr">
        <is>
          <t>assets/art/environments/tower_descent_3d/components/env_tower_stairwell_generic_9m_top3d_v001.glb</t>
        </is>
      </c>
      <c r="P168" s="306" t="inlineStr">
        <is>
          <t>Blender根=Stair_Generic_Rotatable_ROOT; env_tower_descent_kit_top3d_v007.blend; export_env_tower_stairwells_v001.py; TowerDescent3D.gd; tests/verification/verify_tower_descent_flow.tscn</t>
        </is>
      </c>
      <c r="Q168" s="306" t="inlineStr">
        <is>
          <t>塔楼;通用楼梯;双跑楼梯;折角平台;9米层高;四向旋转;Blender直出</t>
        </is>
      </c>
      <c r="R168" s="306">
        <f>LOWER(TRIM(C168)&amp;"|"&amp;TRIM(D168)&amp;"|"&amp;TRIM(E168)&amp;"|"&amp;TRIM(F168)&amp;"|"&amp;TRIM(H168)&amp;"|"&amp;TRIM(I168))</f>
        <v/>
      </c>
      <c r="S168" s="306">
        <f>IF(COUNTIF($R$6:$R$280,R168)&gt;1,"重复","唯一")</f>
        <v/>
      </c>
      <c r="T168" s="306" t="inlineStr">
        <is>
          <t>b0416e02b70673bb4cc38a58436210ff04343f6d68b4f5b80f8e1a0c5daaf844</t>
        </is>
      </c>
      <c r="U168" s="306" t="inlineStr">
        <is>
          <t>Codex</t>
        </is>
      </c>
      <c r="V168" s="307" t="n">
        <v>46237</v>
      </c>
      <c r="W168" s="306" t="inlineStr">
        <is>
          <t>用户手工Blender模型</t>
        </is>
      </c>
      <c r="X168" s="306" t="inlineStr">
        <is>
          <t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t>
        </is>
      </c>
    </row>
    <row r="169" ht="132" customHeight="1">
      <c r="A169" s="306" t="inlineStr">
        <is>
          <t>ENV-TOWER-STAIRWELL-ROOFTOP-9M</t>
        </is>
      </c>
      <c r="B169" s="306" t="inlineStr">
        <is>
          <t>塔楼楼顶特殊双跑楼梯间</t>
        </is>
      </c>
      <c r="C169" s="306" t="inlineStr">
        <is>
          <t>场景</t>
        </is>
      </c>
      <c r="D169" s="306" t="inlineStr">
        <is>
          <t>room_kit</t>
        </is>
      </c>
      <c r="E169" s="306" t="inlineStr">
        <is>
          <t>tower_descent</t>
        </is>
      </c>
      <c r="F169" s="306" t="inlineStr">
        <is>
          <t>stairwell_rooftop_9m</t>
        </is>
      </c>
      <c r="G169" s="306" t="inlineStr">
        <is>
          <t>ENV-TOWER-DESCENT-KIT-3D</t>
        </is>
      </c>
      <c r="H169" s="306" t="inlineStr">
        <is>
          <t>俯视3D</t>
        </is>
      </c>
      <c r="I169" s="306" t="inlineStr">
        <is>
          <t>godot_runtime</t>
        </is>
      </c>
      <c r="J169" s="306" t="inlineStr">
        <is>
          <t>楼顶至99层特殊交通/保留手调墙高</t>
        </is>
      </c>
      <c r="K169" s="306" t="inlineStr">
        <is>
          <t>原型已接入</t>
        </is>
      </c>
      <c r="L169" s="306" t="inlineStr">
        <is>
          <t>P0</t>
        </is>
      </c>
      <c r="M169" s="306" t="inlineStr">
        <is>
          <t>v001</t>
        </is>
      </c>
      <c r="N169" s="306" t="inlineStr">
        <is>
          <t>GLB / 14.751×27.617×约15.36m包围 / 9m层差 / 47子对象</t>
        </is>
      </c>
      <c r="O169" s="306" t="inlineStr">
        <is>
          <t>assets/art/environments/tower_descent_3d/components/env_tower_stairwell_rooftop_9m_top3d_v001.glb</t>
        </is>
      </c>
      <c r="P169" s="306" t="inlineStr">
        <is>
          <t>Blender根=Stair_Special_Rooftop_ROOT; env_tower_descent_kit_top3d_v007.blend; export_env_tower_stairwells_v001.py; TowerDescent3D.gd; tests/verification/verify_tower_descent_flow.tscn</t>
        </is>
      </c>
      <c r="Q169" s="306" t="inlineStr">
        <is>
          <t>塔楼;楼顶楼梯;特殊楼梯;双跑楼梯;特殊墙高;9米层高;Blender直出</t>
        </is>
      </c>
      <c r="R169" s="306">
        <f>LOWER(TRIM(C169)&amp;"|"&amp;TRIM(D169)&amp;"|"&amp;TRIM(E169)&amp;"|"&amp;TRIM(F169)&amp;"|"&amp;TRIM(H169)&amp;"|"&amp;TRIM(I169))</f>
        <v/>
      </c>
      <c r="S169" s="306">
        <f>IF(COUNTIF($R$6:$R$280,R169)&gt;1,"重复","唯一")</f>
        <v/>
      </c>
      <c r="T169" s="306" t="inlineStr">
        <is>
          <t>88198a579cc846974f17f5203b46b568b7ab2421fd7bb63c0b7868ddd05684a2</t>
        </is>
      </c>
      <c r="U169" s="306" t="inlineStr">
        <is>
          <t>Codex</t>
        </is>
      </c>
      <c r="V169" s="307" t="n">
        <v>46237</v>
      </c>
      <c r="W169" s="306" t="inlineStr">
        <is>
          <t>用户手工Blender模型</t>
        </is>
      </c>
      <c r="X169" s="306" t="inlineStr">
        <is>
          <t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t>
        </is>
      </c>
    </row>
    <row r="170">
      <c r="A170" s="136" t="inlineStr">
        <is>
          <t>CHR-PLY-CAPSULE01-BACKPACK-SOCKET-3D</t>
        </is>
      </c>
      <c r="B170" s="136" t="inlineStr">
        <is>
          <t>玩家背包装备挂点</t>
        </is>
      </c>
      <c r="C170" s="136" t="inlineStr">
        <is>
          <t>角色</t>
        </is>
      </c>
      <c r="D170" s="136" t="inlineStr">
        <is>
          <t>player_accessory_socket</t>
        </is>
      </c>
      <c r="E170" s="136" t="inlineStr">
        <is>
          <t>player_capsule01</t>
        </is>
      </c>
      <c r="F170" s="136" t="inlineStr">
        <is>
          <t>backpack_socket_3d</t>
        </is>
      </c>
      <c r="G170" s="136" t="inlineStr">
        <is>
          <t>CHR-PLY-CAPSULE01-3D</t>
        </is>
      </c>
      <c r="H170" s="136" t="inlineStr">
        <is>
          <t>俯视3D</t>
        </is>
      </c>
      <c r="I170" s="136" t="inlineStr">
        <is>
          <t>default</t>
        </is>
      </c>
      <c r="J170" s="136" t="inlineStr">
        <is>
          <t>3D玩家场景/可装备背包</t>
        </is>
      </c>
      <c r="K170" s="136" t="inlineStr">
        <is>
          <t>原型已接入</t>
        </is>
      </c>
      <c r="L170" s="136" t="inlineStr">
        <is>
          <t>P0</t>
        </is>
      </c>
      <c r="M170" s="136" t="inlineStr">
        <is>
          <t>v001</t>
        </is>
      </c>
      <c r="N170" s="136" t="inlineStr">
        <is>
          <t>Marker3D；bunny=(0,0.74,0.30)；fallback=(0,1.25,0.48)</t>
        </is>
      </c>
      <c r="O170" s="136" t="inlineStr">
        <is>
          <t>assets/art/characters/player/chr_player_capsule01_3d/chr_player_capsule01_root_top3d_v001.tscn; assets/art/characters/player/chr_player_capsule01_3d/variants/bunny01/chr_player_capsule01_bunny01_root_top3d_v006.tscn</t>
        </is>
      </c>
      <c r="P170" s="136" t="inlineStr">
        <is>
          <t>src/player3d/PlayerAvatar3D.gd; tests/verification/verify_backpack_equipment_flow.tscn</t>
        </is>
      </c>
      <c r="Q170" s="136" t="inlineStr">
        <is>
          <t>背包挂点;BackpackSocket;背部装备;wearable;capacity</t>
        </is>
      </c>
      <c r="R170" s="136">
        <f>LOWER(TRIM(C170)&amp;"|"&amp;TRIM(D170)&amp;"|"&amp;TRIM(E170)&amp;"|"&amp;TRIM(F170)&amp;"|"&amp;TRIM(H170)&amp;"|"&amp;TRIM(I170))</f>
        <v/>
      </c>
      <c r="S170" s="136">
        <f>IF(COUNTIF($R$6:$R$280,R170)&gt;1,"重复","唯一")</f>
        <v/>
      </c>
      <c r="T170" s="136" t="n"/>
      <c r="U170" s="136" t="inlineStr">
        <is>
          <t>Codex</t>
        </is>
      </c>
      <c r="V170" s="136" t="n">
        <v>46240</v>
      </c>
      <c r="W170" s="136" t="inlineStr">
        <is>
          <t>原创程序挂点</t>
        </is>
      </c>
      <c r="X170" s="136" t="inlineStr">
        <is>
          <t>独立于左右武器收纳挂点；只承载表现，不改变角色碰撞。装备/卸下由backpack_equipment_changed同步；专项与Metal/OpenGL战术背包画面通过。</t>
        </is>
      </c>
    </row>
    <row r="171">
      <c r="A171" s="136" t="inlineStr">
        <is>
          <t>ITM-EQUIPMENT-BACKPACK-3D</t>
        </is>
      </c>
      <c r="B171" s="136" t="inlineStr">
        <is>
          <t>可装备背包3D占位模型</t>
        </is>
      </c>
      <c r="C171" s="136" t="inlineStr">
        <is>
          <t>道具</t>
        </is>
      </c>
      <c r="D171" s="136" t="inlineStr">
        <is>
          <t>equipment</t>
        </is>
      </c>
      <c r="E171" s="136" t="inlineStr">
        <is>
          <t>equipment_backpack</t>
        </is>
      </c>
      <c r="F171" s="136" t="inlineStr">
        <is>
          <t>root_3d</t>
        </is>
      </c>
      <c r="G171" s="136" t="n"/>
      <c r="H171" s="136" t="inlineStr">
        <is>
          <t>俯视3D</t>
        </is>
      </c>
      <c r="I171" s="136" t="inlineStr">
        <is>
          <t>default</t>
        </is>
      </c>
      <c r="J171" s="136" t="inlineStr">
        <is>
          <t>地面拾取/UI图标/角色背部共用</t>
        </is>
      </c>
      <c r="K171" s="136" t="inlineStr">
        <is>
          <t>程序占位</t>
        </is>
      </c>
      <c r="L171" s="136" t="inlineStr">
        <is>
          <t>P0</t>
        </is>
      </c>
      <c r="M171" s="136" t="inlineStr">
        <is>
          <t>v001</t>
        </is>
      </c>
      <c r="N171" s="136" t="inlineStr">
        <is>
          <t>BoxMesh组件；2/4/8格三档体积、主色与1/2/3附袋</t>
        </is>
      </c>
      <c r="O171" s="136" t="n"/>
      <c r="P171" s="136" t="inlineStr">
        <is>
          <t>src/world3d/ItemModelFactory3D.gd; src/base/ItemRegistry.gd; tests/verification/verify_backpack_equipment_flow.tscn</t>
        </is>
      </c>
      <c r="Q171" s="136" t="inlineStr">
        <is>
          <t>轻型腰包;战术背包;远征背包;backpack;2格;4格;8格</t>
        </is>
      </c>
      <c r="R171" s="136">
        <f>LOWER(TRIM(C171)&amp;"|"&amp;TRIM(D171)&amp;"|"&amp;TRIM(E171)&amp;"|"&amp;TRIM(F171)&amp;"|"&amp;TRIM(H171)&amp;"|"&amp;TRIM(I171))</f>
        <v/>
      </c>
      <c r="S171" s="136">
        <f>IF(COUNTIF($R$6:$R$280,R171)&gt;1,"重复","唯一")</f>
        <v/>
      </c>
      <c r="T171" s="136" t="n"/>
      <c r="U171" s="136" t="inlineStr">
        <is>
          <t>Codex</t>
        </is>
      </c>
      <c r="V171" s="136" t="n">
        <v>46240</v>
      </c>
      <c r="W171" s="136" t="inlineStr">
        <is>
          <t>原创程序几何</t>
        </is>
      </c>
      <c r="X171" s="136" t="inlineStr">
        <is>
          <t>同一模型工厂服务equipment_backpack_2/4/8，避免世界物、UI图标和背部表现重复资产；无玩法碰撞，正式模型完成前保持程序占位状态。</t>
        </is>
      </c>
    </row>
    <row r="172" ht="42" customHeight="1">
      <c r="A172" s="308" t="inlineStr">
        <is>
          <t>PRP-BASE-VENDING-MACHINE-3D</t>
        </is>
      </c>
      <c r="B172" s="309" t="inlineStr">
        <is>
          <t>基地科幻自动贩卖机</t>
        </is>
      </c>
      <c r="C172" s="309" t="inlineStr">
        <is>
          <t>3D道具</t>
        </is>
      </c>
      <c r="D172" s="309" t="inlineStr">
        <is>
          <t>base_facility</t>
        </is>
      </c>
      <c r="E172" s="309" t="inlineStr">
        <is>
          <t>base_vending</t>
        </is>
      </c>
      <c r="F172" s="309" t="inlineStr">
        <is>
          <t>root</t>
        </is>
      </c>
      <c r="G172" s="309" t="inlineStr">
        <is>
          <t>PRP-BASE-FACILITY-3D</t>
        </is>
      </c>
      <c r="H172" s="309" t="inlineStr">
        <is>
          <t>Top3D / local -Z 正面</t>
        </is>
      </c>
      <c r="I172" s="309" t="inlineStr">
        <is>
          <t>default / 独立交互场景</t>
        </is>
      </c>
      <c r="J172" s="309" t="inlineStr">
        <is>
          <t>BaseWorld3D/TowerDescent99F</t>
        </is>
      </c>
      <c r="K172" s="309" t="inlineStr">
        <is>
          <t>正式美术已接入</t>
        </is>
      </c>
      <c r="L172" s="309" t="inlineStr">
        <is>
          <t>P0</t>
        </is>
      </c>
      <c r="M172" s="309" t="inlineStr">
        <is>
          <t>v002</t>
        </is>
      </c>
      <c r="N172" s="309" t="inlineStr">
        <is>
          <t>4材质；主体/自发光分离；独立GLB/PackedScene</t>
        </is>
      </c>
      <c r="O172" s="309" t="inlineStr">
        <is>
          <t>assets/art/props/base_world_3d/runtime/vending_machine/prp_base_vending_machine_root_top3d_v002.tscn</t>
        </is>
      </c>
      <c r="P172" s="309" t="inlineStr">
        <is>
          <t>assets/art/props/base_world_3d/source/vending_machine/prp_base_vending_machine_source_v001.blend; src/base3d/BaseFacility3D.gd; src/world3d/TowerDescent3D.gd</t>
        </is>
      </c>
      <c r="Q172" s="309" t="inlineStr">
        <is>
          <t>base_vending; 科幻自动贩卖机; 基地设施; 多巴胺配色; 自发光分离</t>
        </is>
      </c>
      <c r="R172" s="309">
        <f>LOWER(TRIM(C172)&amp;"|"&amp;TRIM(D172)&amp;"|"&amp;TRIM(E172)&amp;"|"&amp;TRIM(F172)&amp;"|"&amp;TRIM(H172)&amp;"|"&amp;TRIM(I172))</f>
        <v/>
      </c>
      <c r="S172" s="309">
        <f>IF(COUNTIF($R$6:$R$280,R172)&gt;1,"重复","唯一")</f>
        <v/>
      </c>
      <c r="T172" s="309" t="inlineStr">
        <is>
          <t>3f7cd7250b0de3c6d7d0397792bbdd566b05ba7d81e53a83e97aae94d2d48e3a</t>
        </is>
      </c>
      <c r="U172" s="309" t="inlineStr">
        <is>
          <t>Codex</t>
        </is>
      </c>
      <c r="V172" s="310" t="n">
        <v>46244</v>
      </c>
      <c r="W172" s="309" t="inlineStr">
        <is>
          <t>用户自制Blender资产</t>
        </is>
      </c>
      <c r="X172" s="309" t="inlineStr">
        <is>
          <t>正式模型替换程序占位；保留稳定facility_id和交互协议。</t>
        </is>
      </c>
    </row>
    <row r="173" ht="42" customHeight="1">
      <c r="A173" s="308" t="inlineStr">
        <is>
          <t>UI-SCREEN-BASE-VENDING</t>
        </is>
      </c>
      <c r="B173" s="309" t="inlineStr">
        <is>
          <t>基地自动贩卖机商店界面</t>
        </is>
      </c>
      <c r="C173" s="309" t="inlineStr">
        <is>
          <t>UI</t>
        </is>
      </c>
      <c r="D173" s="309" t="inlineStr">
        <is>
          <t>base_facility</t>
        </is>
      </c>
      <c r="E173" s="309" t="inlineStr">
        <is>
          <t>base_vending_shop</t>
        </is>
      </c>
      <c r="F173" s="309" t="inlineStr">
        <is>
          <t>screen</t>
        </is>
      </c>
      <c r="G173" s="309" t="inlineStr">
        <is>
          <t>UI-SCREEN-MERCHANT</t>
        </is>
      </c>
      <c r="H173" s="309" t="inlineStr">
        <is>
          <t>Screen</t>
        </is>
      </c>
      <c r="I173" s="309" t="inlineStr">
        <is>
          <t>default</t>
        </is>
      </c>
      <c r="J173" s="309" t="inlineStr">
        <is>
          <t>基地自动贩卖机</t>
        </is>
      </c>
      <c r="K173" s="309" t="inlineStr">
        <is>
          <t>原型已接入</t>
        </is>
      </c>
      <c r="L173" s="309" t="inlineStr">
        <is>
          <t>P0</t>
        </is>
      </c>
      <c r="M173" s="309" t="inlineStr">
        <is>
          <t>v002</t>
        </is>
      </c>
      <c r="N173" s="309" t="inlineStr">
        <is>
          <t>1280×720自适应</t>
        </is>
      </c>
      <c r="O173" s="309" t="inlineStr">
        <is>
          <t>scenes/BaseVendingMenu.tscn; src/ui/BaseVendingMenu.gd</t>
        </is>
      </c>
      <c r="P173" s="309" t="inlineStr">
        <is>
          <t>用户设计+docs/v0.1/07_技术施工_基地设施.md</t>
        </is>
      </c>
      <c r="Q173" s="309" t="inlineStr">
        <is>
          <t>基地商店; 购买; 出售; 3D物品图标</t>
        </is>
      </c>
      <c r="R173" s="309">
        <f>TEXTJOIN("|",TRUE,C173,D173,E173,F173,H173,I173)</f>
        <v/>
      </c>
      <c r="S173" s="309">
        <f>IF(COUNTIF($R$6:$R$280,R173)&gt;1,"重复","唯一")</f>
        <v/>
      </c>
      <c r="T173" s="309" t="n"/>
      <c r="U173" s="309" t="inlineStr">
        <is>
          <t>Codex</t>
        </is>
      </c>
      <c r="V173" s="309" t="inlineStr">
        <is>
          <t>2026-08-06</t>
        </is>
      </c>
      <c r="W173" s="309" t="inlineStr">
        <is>
          <t>程序控件/原创</t>
        </is>
      </c>
      <c r="X173" s="309" t="inlineStr">
        <is>
          <t>左右买卖双栏；复用ItemModelIcon3D；资源与容量常驻；Esc退出 ｜ 2026-08-07：购买/出售改为3列商品卡网格，正方形ItemModelIcon3D，与I键背包同源；统一主HUD配色和按钮状态。</t>
        </is>
      </c>
    </row>
    <row r="174" ht="44" customHeight="1">
      <c r="A174" s="136" t="inlineStr">
        <is>
          <t>AUD-SFX-AMMO-EMPTY</t>
        </is>
      </c>
      <c r="B174" s="136" t="inlineStr">
        <is>
          <t>空仓扳机音效</t>
        </is>
      </c>
      <c r="C174" s="136" t="inlineStr">
        <is>
          <t>音频</t>
        </is>
      </c>
      <c r="D174" s="136" t="inlineStr">
        <is>
          <t>sfx</t>
        </is>
      </c>
      <c r="E174" s="136" t="inlineStr">
        <is>
          <t>ammo_empty</t>
        </is>
      </c>
      <c r="F174" s="136" t="inlineStr">
        <is>
          <t>runtime</t>
        </is>
      </c>
      <c r="G174" s="136" t="n"/>
      <c r="H174" s="136" t="inlineStr">
        <is>
          <t>全局/非空间</t>
        </is>
      </c>
      <c r="I174" s="136" t="inlineStr">
        <is>
          <t>default</t>
        </is>
      </c>
      <c r="J174" s="136" t="inlineStr">
        <is>
          <t>桌面与Android正式运行</t>
        </is>
      </c>
      <c r="K174" s="136" t="inlineStr">
        <is>
          <t>已完成</t>
        </is>
      </c>
      <c r="L174" s="136" t="inlineStr">
        <is>
          <t>P0</t>
        </is>
      </c>
      <c r="M174" s="136" t="inlineStr">
        <is>
          <t>v001</t>
        </is>
      </c>
      <c r="N174" s="136" t="inlineStr">
        <is>
          <t>44.1kHz / OGG Vorbis / stereo</t>
        </is>
      </c>
      <c r="O174" s="136" t="inlineStr">
        <is>
          <t>src/assets/audio/sfx/ammo_empty_v001.ogg</t>
        </is>
      </c>
      <c r="P174" s="136" t="inlineStr">
        <is>
          <t>src/assets/audio/sfx/ammo_empty.wav; src/音效接入说明.md</t>
        </is>
      </c>
      <c r="Q174" s="136" t="inlineStr">
        <is>
          <t>ammo_empty; 音效; OGG; Android; 移动端</t>
        </is>
      </c>
      <c r="R174" s="136">
        <f>TEXTJOIN("|",TRUE,C174,D174,E174,F174,H174,I174)</f>
        <v/>
      </c>
      <c r="S174" s="136">
        <f>IF(COUNTIF($R$6:$R$280,R174)&gt;1,"重复","唯一")</f>
        <v/>
      </c>
      <c r="T174" s="136" t="inlineStr">
        <is>
          <t>f5d0339c3c7fce8227970163bd773a11f15faffa57a878ec41111308657a000c</t>
        </is>
      </c>
      <c r="U174" s="136" t="inlineStr">
        <is>
          <t>Codex</t>
        </is>
      </c>
      <c r="V174" s="137" t="n">
        <v>46241</v>
      </c>
      <c r="W174" s="136" t="inlineStr">
        <is>
          <t>项目WAV母版转码</t>
        </is>
      </c>
      <c r="X174" s="136" t="inlineStr">
        <is>
          <t>正式运行OGG；WAV仅作母版；AudioManager事件=ammo_empty；Android/桌面统一版本化路径，禁止旧音效回退。</t>
        </is>
      </c>
    </row>
    <row r="175" ht="44" customHeight="1">
      <c r="A175" s="136" t="inlineStr">
        <is>
          <t>AUD-SFX-BOSS-DEFEAT</t>
        </is>
      </c>
      <c r="B175" s="136" t="inlineStr">
        <is>
          <t>Boss击败音效</t>
        </is>
      </c>
      <c r="C175" s="136" t="inlineStr">
        <is>
          <t>音频</t>
        </is>
      </c>
      <c r="D175" s="136" t="inlineStr">
        <is>
          <t>sfx</t>
        </is>
      </c>
      <c r="E175" s="136" t="inlineStr">
        <is>
          <t>boss_defeat</t>
        </is>
      </c>
      <c r="F175" s="136" t="inlineStr">
        <is>
          <t>runtime</t>
        </is>
      </c>
      <c r="G175" s="136" t="n"/>
      <c r="H175" s="136" t="inlineStr">
        <is>
          <t>全局/非空间</t>
        </is>
      </c>
      <c r="I175" s="136" t="inlineStr">
        <is>
          <t>default</t>
        </is>
      </c>
      <c r="J175" s="136" t="inlineStr">
        <is>
          <t>桌面与Android正式运行</t>
        </is>
      </c>
      <c r="K175" s="136" t="inlineStr">
        <is>
          <t>已完成</t>
        </is>
      </c>
      <c r="L175" s="136" t="inlineStr">
        <is>
          <t>P0</t>
        </is>
      </c>
      <c r="M175" s="136" t="inlineStr">
        <is>
          <t>v001</t>
        </is>
      </c>
      <c r="N175" s="136" t="inlineStr">
        <is>
          <t>44.1kHz / OGG Vorbis / stereo</t>
        </is>
      </c>
      <c r="O175" s="136" t="inlineStr">
        <is>
          <t>src/assets/audio/sfx/boss_defeat_v001.ogg</t>
        </is>
      </c>
      <c r="P175" s="136" t="inlineStr">
        <is>
          <t>src/assets/audio/sfx/boss_defeat.wav; src/音效接入说明.md</t>
        </is>
      </c>
      <c r="Q175" s="136" t="inlineStr">
        <is>
          <t>boss_defeat; 音效; OGG; Android; 移动端</t>
        </is>
      </c>
      <c r="R175" s="136">
        <f>TEXTJOIN("|",TRUE,C175,D175,E175,F175,H175,I175)</f>
        <v/>
      </c>
      <c r="S175" s="136">
        <f>IF(COUNTIF($R$6:$R$280,R175)&gt;1,"重复","唯一")</f>
        <v/>
      </c>
      <c r="T175" s="136" t="inlineStr">
        <is>
          <t>245b27a482a9166c6bc09cdabae3094f4a2bb1e67956f8a8f54b767eb15fefba</t>
        </is>
      </c>
      <c r="U175" s="136" t="inlineStr">
        <is>
          <t>Codex</t>
        </is>
      </c>
      <c r="V175" s="137" t="n">
        <v>46241</v>
      </c>
      <c r="W175" s="136" t="inlineStr">
        <is>
          <t>项目WAV母版转码</t>
        </is>
      </c>
      <c r="X175" s="136" t="inlineStr">
        <is>
          <t>正式运行OGG；WAV仅作母版；AudioManager事件=boss_defeat；Android/桌面统一版本化路径，禁止旧音效回退。</t>
        </is>
      </c>
    </row>
    <row r="176" ht="44" customHeight="1">
      <c r="A176" s="136" t="inlineStr">
        <is>
          <t>AUD-SFX-BOSS-INTRO</t>
        </is>
      </c>
      <c r="B176" s="136" t="inlineStr">
        <is>
          <t>Boss入场音效</t>
        </is>
      </c>
      <c r="C176" s="136" t="inlineStr">
        <is>
          <t>音频</t>
        </is>
      </c>
      <c r="D176" s="136" t="inlineStr">
        <is>
          <t>sfx</t>
        </is>
      </c>
      <c r="E176" s="136" t="inlineStr">
        <is>
          <t>boss_intro</t>
        </is>
      </c>
      <c r="F176" s="136" t="inlineStr">
        <is>
          <t>runtime</t>
        </is>
      </c>
      <c r="G176" s="136" t="n"/>
      <c r="H176" s="136" t="inlineStr">
        <is>
          <t>全局/非空间</t>
        </is>
      </c>
      <c r="I176" s="136" t="inlineStr">
        <is>
          <t>default</t>
        </is>
      </c>
      <c r="J176" s="136" t="inlineStr">
        <is>
          <t>桌面与Android正式运行</t>
        </is>
      </c>
      <c r="K176" s="136" t="inlineStr">
        <is>
          <t>已完成</t>
        </is>
      </c>
      <c r="L176" s="136" t="inlineStr">
        <is>
          <t>P0</t>
        </is>
      </c>
      <c r="M176" s="136" t="inlineStr">
        <is>
          <t>v001</t>
        </is>
      </c>
      <c r="N176" s="136" t="inlineStr">
        <is>
          <t>44.1kHz / OGG Vorbis / stereo</t>
        </is>
      </c>
      <c r="O176" s="136" t="inlineStr">
        <is>
          <t>src/assets/audio/sfx/boss_intro_v001.ogg</t>
        </is>
      </c>
      <c r="P176" s="136" t="inlineStr">
        <is>
          <t>src/assets/audio/sfx/boss_intro.wav; src/音效接入说明.md</t>
        </is>
      </c>
      <c r="Q176" s="136" t="inlineStr">
        <is>
          <t>boss_intro; 音效; OGG; Android; 移动端</t>
        </is>
      </c>
      <c r="R176" s="136">
        <f>TEXTJOIN("|",TRUE,C176,D176,E176,F176,H176,I176)</f>
        <v/>
      </c>
      <c r="S176" s="136">
        <f>IF(COUNTIF($R$6:$R$280,R176)&gt;1,"重复","唯一")</f>
        <v/>
      </c>
      <c r="T176" s="136" t="inlineStr">
        <is>
          <t>4e18a3afe9c7b804e6fb6905fbf05b62cba70d9b15a324c650a04d04a981d5ff</t>
        </is>
      </c>
      <c r="U176" s="136" t="inlineStr">
        <is>
          <t>Codex</t>
        </is>
      </c>
      <c r="V176" s="137" t="n">
        <v>46241</v>
      </c>
      <c r="W176" s="136" t="inlineStr">
        <is>
          <t>项目WAV母版转码</t>
        </is>
      </c>
      <c r="X176" s="136" t="inlineStr">
        <is>
          <t>正式运行OGG；WAV仅作母版；AudioManager事件=boss_intro；Android/桌面统一版本化路径，禁止旧音效回退。</t>
        </is>
      </c>
    </row>
    <row r="177" ht="44" customHeight="1">
      <c r="A177" s="136" t="inlineStr">
        <is>
          <t>AUD-SFX-BOSS-PHASE</t>
        </is>
      </c>
      <c r="B177" s="136" t="inlineStr">
        <is>
          <t>Boss阶段切换音效</t>
        </is>
      </c>
      <c r="C177" s="136" t="inlineStr">
        <is>
          <t>音频</t>
        </is>
      </c>
      <c r="D177" s="136" t="inlineStr">
        <is>
          <t>sfx</t>
        </is>
      </c>
      <c r="E177" s="136" t="inlineStr">
        <is>
          <t>boss_phase</t>
        </is>
      </c>
      <c r="F177" s="136" t="inlineStr">
        <is>
          <t>runtime</t>
        </is>
      </c>
      <c r="G177" s="136" t="n"/>
      <c r="H177" s="136" t="inlineStr">
        <is>
          <t>全局/非空间</t>
        </is>
      </c>
      <c r="I177" s="136" t="inlineStr">
        <is>
          <t>default</t>
        </is>
      </c>
      <c r="J177" s="136" t="inlineStr">
        <is>
          <t>桌面与Android正式运行</t>
        </is>
      </c>
      <c r="K177" s="136" t="inlineStr">
        <is>
          <t>已完成</t>
        </is>
      </c>
      <c r="L177" s="136" t="inlineStr">
        <is>
          <t>P0</t>
        </is>
      </c>
      <c r="M177" s="136" t="inlineStr">
        <is>
          <t>v001</t>
        </is>
      </c>
      <c r="N177" s="136" t="inlineStr">
        <is>
          <t>44.1kHz / OGG Vorbis / stereo</t>
        </is>
      </c>
      <c r="O177" s="136" t="inlineStr">
        <is>
          <t>src/assets/audio/sfx/boss_phase_v001.ogg</t>
        </is>
      </c>
      <c r="P177" s="136" t="inlineStr">
        <is>
          <t>src/assets/audio/sfx/boss_phase.wav; src/音效接入说明.md</t>
        </is>
      </c>
      <c r="Q177" s="136" t="inlineStr">
        <is>
          <t>boss_phase; 音效; OGG; Android; 移动端</t>
        </is>
      </c>
      <c r="R177" s="136">
        <f>TEXTJOIN("|",TRUE,C177,D177,E177,F177,H177,I177)</f>
        <v/>
      </c>
      <c r="S177" s="136">
        <f>IF(COUNTIF($R$6:$R$280,R177)&gt;1,"重复","唯一")</f>
        <v/>
      </c>
      <c r="T177" s="136" t="inlineStr">
        <is>
          <t>804457fc13cb83e18bdc1e7e84d1b9a27414be72128f82811e016c17fc331ad3</t>
        </is>
      </c>
      <c r="U177" s="136" t="inlineStr">
        <is>
          <t>Codex</t>
        </is>
      </c>
      <c r="V177" s="137" t="n">
        <v>46241</v>
      </c>
      <c r="W177" s="136" t="inlineStr">
        <is>
          <t>项目WAV母版转码</t>
        </is>
      </c>
      <c r="X177" s="136" t="inlineStr">
        <is>
          <t>正式运行OGG；WAV仅作母版；AudioManager事件=boss_phase；Android/桌面统一版本化路径，禁止旧音效回退。</t>
        </is>
      </c>
    </row>
    <row r="178" ht="44" customHeight="1">
      <c r="A178" s="136" t="inlineStr">
        <is>
          <t>AUD-SFX-CONTAINER-OPEN</t>
        </is>
      </c>
      <c r="B178" s="136" t="inlineStr">
        <is>
          <t>搜索容器开启音效</t>
        </is>
      </c>
      <c r="C178" s="136" t="inlineStr">
        <is>
          <t>音频</t>
        </is>
      </c>
      <c r="D178" s="136" t="inlineStr">
        <is>
          <t>sfx</t>
        </is>
      </c>
      <c r="E178" s="136" t="inlineStr">
        <is>
          <t>container_open</t>
        </is>
      </c>
      <c r="F178" s="136" t="inlineStr">
        <is>
          <t>runtime</t>
        </is>
      </c>
      <c r="G178" s="136" t="n"/>
      <c r="H178" s="136" t="inlineStr">
        <is>
          <t>全局/非空间</t>
        </is>
      </c>
      <c r="I178" s="136" t="inlineStr">
        <is>
          <t>default</t>
        </is>
      </c>
      <c r="J178" s="136" t="inlineStr">
        <is>
          <t>桌面与Android正式运行</t>
        </is>
      </c>
      <c r="K178" s="136" t="inlineStr">
        <is>
          <t>已完成</t>
        </is>
      </c>
      <c r="L178" s="136" t="inlineStr">
        <is>
          <t>P0</t>
        </is>
      </c>
      <c r="M178" s="136" t="inlineStr">
        <is>
          <t>v001</t>
        </is>
      </c>
      <c r="N178" s="136" t="inlineStr">
        <is>
          <t>44.1kHz / OGG Vorbis / stereo</t>
        </is>
      </c>
      <c r="O178" s="136" t="inlineStr">
        <is>
          <t>src/assets/audio/sfx/container_open_v001.ogg</t>
        </is>
      </c>
      <c r="P178" s="136" t="inlineStr">
        <is>
          <t>src/assets/audio/sfx/container_open.wav; src/音效接入说明.md</t>
        </is>
      </c>
      <c r="Q178" s="136" t="inlineStr">
        <is>
          <t>container_open; 音效; OGG; Android; 移动端</t>
        </is>
      </c>
      <c r="R178" s="136">
        <f>TEXTJOIN("|",TRUE,C178,D178,E178,F178,H178,I178)</f>
        <v/>
      </c>
      <c r="S178" s="136">
        <f>IF(COUNTIF($R$6:$R$280,R178)&gt;1,"重复","唯一")</f>
        <v/>
      </c>
      <c r="T178" s="136" t="inlineStr">
        <is>
          <t>8e9d9e0a773ab0daf850734913302212a2f279dc7afb0f457a193300325840d0</t>
        </is>
      </c>
      <c r="U178" s="136" t="inlineStr">
        <is>
          <t>Codex</t>
        </is>
      </c>
      <c r="V178" s="137" t="n">
        <v>46241</v>
      </c>
      <c r="W178" s="136" t="inlineStr">
        <is>
          <t>项目WAV母版转码</t>
        </is>
      </c>
      <c r="X178" s="136" t="inlineStr">
        <is>
          <t>正式运行OGG；WAV仅作母版；AudioManager事件=container_open；Android/桌面统一版本化路径，禁止旧音效回退。</t>
        </is>
      </c>
    </row>
    <row r="179" ht="44" customHeight="1">
      <c r="A179" s="136" t="inlineStr">
        <is>
          <t>AUD-SFX-CRIT-HIT</t>
        </is>
      </c>
      <c r="B179" s="136" t="inlineStr">
        <is>
          <t>暴击命中音效</t>
        </is>
      </c>
      <c r="C179" s="136" t="inlineStr">
        <is>
          <t>音频</t>
        </is>
      </c>
      <c r="D179" s="136" t="inlineStr">
        <is>
          <t>sfx</t>
        </is>
      </c>
      <c r="E179" s="136" t="inlineStr">
        <is>
          <t>crit_hit</t>
        </is>
      </c>
      <c r="F179" s="136" t="inlineStr">
        <is>
          <t>runtime</t>
        </is>
      </c>
      <c r="G179" s="136" t="n"/>
      <c r="H179" s="136" t="inlineStr">
        <is>
          <t>全局/非空间</t>
        </is>
      </c>
      <c r="I179" s="136" t="inlineStr">
        <is>
          <t>default</t>
        </is>
      </c>
      <c r="J179" s="136" t="inlineStr">
        <is>
          <t>桌面与Android正式运行</t>
        </is>
      </c>
      <c r="K179" s="136" t="inlineStr">
        <is>
          <t>已完成</t>
        </is>
      </c>
      <c r="L179" s="136" t="inlineStr">
        <is>
          <t>P0</t>
        </is>
      </c>
      <c r="M179" s="136" t="inlineStr">
        <is>
          <t>v001</t>
        </is>
      </c>
      <c r="N179" s="136" t="inlineStr">
        <is>
          <t>44.1kHz / OGG Vorbis / stereo</t>
        </is>
      </c>
      <c r="O179" s="136" t="inlineStr">
        <is>
          <t>src/assets/audio/sfx/crit_hit_v001.ogg</t>
        </is>
      </c>
      <c r="P179" s="136" t="inlineStr">
        <is>
          <t>src/assets/audio/sfx/crit_hit.wav; src/音效接入说明.md</t>
        </is>
      </c>
      <c r="Q179" s="136" t="inlineStr">
        <is>
          <t>crit_hit; 音效; OGG; Android; 移动端</t>
        </is>
      </c>
      <c r="R179" s="136">
        <f>TEXTJOIN("|",TRUE,C179,D179,E179,F179,H179,I179)</f>
        <v/>
      </c>
      <c r="S179" s="136">
        <f>IF(COUNTIF($R$6:$R$280,R179)&gt;1,"重复","唯一")</f>
        <v/>
      </c>
      <c r="T179" s="136" t="inlineStr">
        <is>
          <t>9228e4544dc5472afe0dfaa53df5be2ec8c95bd253ea7ffd9b6136c6dd19069f</t>
        </is>
      </c>
      <c r="U179" s="136" t="inlineStr">
        <is>
          <t>Codex</t>
        </is>
      </c>
      <c r="V179" s="137" t="n">
        <v>46241</v>
      </c>
      <c r="W179" s="136" t="inlineStr">
        <is>
          <t>项目WAV母版转码</t>
        </is>
      </c>
      <c r="X179" s="136" t="inlineStr">
        <is>
          <t>正式运行OGG；WAV仅作母版；AudioManager事件=crit_hit；Android/桌面统一版本化路径，禁止旧音效回退。</t>
        </is>
      </c>
    </row>
    <row r="180" ht="44" customHeight="1">
      <c r="A180" s="136" t="inlineStr">
        <is>
          <t>AUD-SFX-DOOR-LOCKED</t>
        </is>
      </c>
      <c r="B180" s="136" t="inlineStr">
        <is>
          <t>门锁定音效</t>
        </is>
      </c>
      <c r="C180" s="136" t="inlineStr">
        <is>
          <t>音频</t>
        </is>
      </c>
      <c r="D180" s="136" t="inlineStr">
        <is>
          <t>sfx</t>
        </is>
      </c>
      <c r="E180" s="136" t="inlineStr">
        <is>
          <t>door_locked</t>
        </is>
      </c>
      <c r="F180" s="136" t="inlineStr">
        <is>
          <t>runtime</t>
        </is>
      </c>
      <c r="G180" s="136" t="n"/>
      <c r="H180" s="136" t="inlineStr">
        <is>
          <t>全局/非空间</t>
        </is>
      </c>
      <c r="I180" s="136" t="inlineStr">
        <is>
          <t>default</t>
        </is>
      </c>
      <c r="J180" s="136" t="inlineStr">
        <is>
          <t>桌面与Android正式运行</t>
        </is>
      </c>
      <c r="K180" s="136" t="inlineStr">
        <is>
          <t>已完成</t>
        </is>
      </c>
      <c r="L180" s="136" t="inlineStr">
        <is>
          <t>P0</t>
        </is>
      </c>
      <c r="M180" s="136" t="inlineStr">
        <is>
          <t>v001</t>
        </is>
      </c>
      <c r="N180" s="136" t="inlineStr">
        <is>
          <t>44.1kHz / OGG Vorbis / stereo</t>
        </is>
      </c>
      <c r="O180" s="136" t="inlineStr">
        <is>
          <t>src/assets/audio/sfx/door_locked_v001.ogg</t>
        </is>
      </c>
      <c r="P180" s="136" t="inlineStr">
        <is>
          <t>src/assets/audio/sfx/door_locked.wav; src/音效接入说明.md</t>
        </is>
      </c>
      <c r="Q180" s="136" t="inlineStr">
        <is>
          <t>door_locked; 音效; OGG; Android; 移动端</t>
        </is>
      </c>
      <c r="R180" s="136">
        <f>TEXTJOIN("|",TRUE,C180,D180,E180,F180,H180,I180)</f>
        <v/>
      </c>
      <c r="S180" s="136">
        <f>IF(COUNTIF($R$6:$R$280,R180)&gt;1,"重复","唯一")</f>
        <v/>
      </c>
      <c r="T180" s="136" t="inlineStr">
        <is>
          <t>db9ece4cf6a904b8c23319b0d3bc83bce2d48ea69d7ebd246dd2bb30f2587e74</t>
        </is>
      </c>
      <c r="U180" s="136" t="inlineStr">
        <is>
          <t>Codex</t>
        </is>
      </c>
      <c r="V180" s="137" t="n">
        <v>46241</v>
      </c>
      <c r="W180" s="136" t="inlineStr">
        <is>
          <t>项目WAV母版转码</t>
        </is>
      </c>
      <c r="X180" s="136" t="inlineStr">
        <is>
          <t>正式运行OGG；WAV仅作母版；AudioManager事件=door_locked；Android/桌面统一版本化路径，禁止旧音效回退。</t>
        </is>
      </c>
    </row>
    <row r="181" ht="44" customHeight="1">
      <c r="A181" s="136" t="inlineStr">
        <is>
          <t>AUD-SFX-DOOR-OPEN</t>
        </is>
      </c>
      <c r="B181" s="136" t="inlineStr">
        <is>
          <t>门开启音效</t>
        </is>
      </c>
      <c r="C181" s="136" t="inlineStr">
        <is>
          <t>音频</t>
        </is>
      </c>
      <c r="D181" s="136" t="inlineStr">
        <is>
          <t>sfx</t>
        </is>
      </c>
      <c r="E181" s="136" t="inlineStr">
        <is>
          <t>door_open</t>
        </is>
      </c>
      <c r="F181" s="136" t="inlineStr">
        <is>
          <t>runtime</t>
        </is>
      </c>
      <c r="G181" s="136" t="n"/>
      <c r="H181" s="136" t="inlineStr">
        <is>
          <t>全局/非空间</t>
        </is>
      </c>
      <c r="I181" s="136" t="inlineStr">
        <is>
          <t>default</t>
        </is>
      </c>
      <c r="J181" s="136" t="inlineStr">
        <is>
          <t>桌面与Android正式运行</t>
        </is>
      </c>
      <c r="K181" s="136" t="inlineStr">
        <is>
          <t>已完成</t>
        </is>
      </c>
      <c r="L181" s="136" t="inlineStr">
        <is>
          <t>P0</t>
        </is>
      </c>
      <c r="M181" s="136" t="inlineStr">
        <is>
          <t>v001</t>
        </is>
      </c>
      <c r="N181" s="136" t="inlineStr">
        <is>
          <t>44.1kHz / OGG Vorbis / stereo</t>
        </is>
      </c>
      <c r="O181" s="136" t="inlineStr">
        <is>
          <t>src/assets/audio/sfx/door_open_v001.ogg</t>
        </is>
      </c>
      <c r="P181" s="136" t="inlineStr">
        <is>
          <t>src/assets/audio/sfx/door_open.wav; src/音效接入说明.md</t>
        </is>
      </c>
      <c r="Q181" s="136" t="inlineStr">
        <is>
          <t>door_open; 音效; OGG; Android; 移动端</t>
        </is>
      </c>
      <c r="R181" s="136">
        <f>TEXTJOIN("|",TRUE,C181,D181,E181,F181,H181,I181)</f>
        <v/>
      </c>
      <c r="S181" s="136">
        <f>IF(COUNTIF($R$6:$R$280,R181)&gt;1,"重复","唯一")</f>
        <v/>
      </c>
      <c r="T181" s="136" t="inlineStr">
        <is>
          <t>6b3044e0231f425a54103d7a4e44c2a1f21f895310841347ea9ceb76485a5565</t>
        </is>
      </c>
      <c r="U181" s="136" t="inlineStr">
        <is>
          <t>Codex</t>
        </is>
      </c>
      <c r="V181" s="137" t="n">
        <v>46241</v>
      </c>
      <c r="W181" s="136" t="inlineStr">
        <is>
          <t>项目WAV母版转码</t>
        </is>
      </c>
      <c r="X181" s="136" t="inlineStr">
        <is>
          <t>正式运行OGG；WAV仅作母版；AudioManager事件=door_open；Android/桌面统一版本化路径，禁止旧音效回退。</t>
        </is>
      </c>
    </row>
    <row r="182" ht="44" customHeight="1">
      <c r="A182" s="136" t="inlineStr">
        <is>
          <t>AUD-SFX-ENEMY-DIE</t>
        </is>
      </c>
      <c r="B182" s="136" t="inlineStr">
        <is>
          <t>敌人死亡音效</t>
        </is>
      </c>
      <c r="C182" s="136" t="inlineStr">
        <is>
          <t>音频</t>
        </is>
      </c>
      <c r="D182" s="136" t="inlineStr">
        <is>
          <t>sfx</t>
        </is>
      </c>
      <c r="E182" s="136" t="inlineStr">
        <is>
          <t>enemy_die</t>
        </is>
      </c>
      <c r="F182" s="136" t="inlineStr">
        <is>
          <t>runtime</t>
        </is>
      </c>
      <c r="G182" s="136" t="n"/>
      <c r="H182" s="136" t="inlineStr">
        <is>
          <t>全局/非空间</t>
        </is>
      </c>
      <c r="I182" s="136" t="inlineStr">
        <is>
          <t>default</t>
        </is>
      </c>
      <c r="J182" s="136" t="inlineStr">
        <is>
          <t>桌面与Android正式运行</t>
        </is>
      </c>
      <c r="K182" s="136" t="inlineStr">
        <is>
          <t>已完成</t>
        </is>
      </c>
      <c r="L182" s="136" t="inlineStr">
        <is>
          <t>P0</t>
        </is>
      </c>
      <c r="M182" s="136" t="inlineStr">
        <is>
          <t>v001</t>
        </is>
      </c>
      <c r="N182" s="136" t="inlineStr">
        <is>
          <t>44.1kHz / OGG Vorbis / stereo</t>
        </is>
      </c>
      <c r="O182" s="136" t="inlineStr">
        <is>
          <t>src/assets/audio/sfx/enemy_die_v001.ogg</t>
        </is>
      </c>
      <c r="P182" s="136" t="inlineStr">
        <is>
          <t>src/assets/audio/sfx/enemy_die.wav; src/音效接入说明.md</t>
        </is>
      </c>
      <c r="Q182" s="136" t="inlineStr">
        <is>
          <t>enemy_die; 音效; OGG; Android; 移动端</t>
        </is>
      </c>
      <c r="R182" s="136">
        <f>TEXTJOIN("|",TRUE,C182,D182,E182,F182,H182,I182)</f>
        <v/>
      </c>
      <c r="S182" s="136">
        <f>IF(COUNTIF($R$6:$R$280,R182)&gt;1,"重复","唯一")</f>
        <v/>
      </c>
      <c r="T182" s="136" t="inlineStr">
        <is>
          <t>eba3495cc7bf7a301a526a8131c3ee989fd8bfa162e9fafca2c5f923936e4c36</t>
        </is>
      </c>
      <c r="U182" s="136" t="inlineStr">
        <is>
          <t>Codex</t>
        </is>
      </c>
      <c r="V182" s="137" t="n">
        <v>46241</v>
      </c>
      <c r="W182" s="136" t="inlineStr">
        <is>
          <t>项目WAV母版转码</t>
        </is>
      </c>
      <c r="X182" s="136" t="inlineStr">
        <is>
          <t>正式运行OGG；WAV仅作母版；AudioManager事件=enemy_die；Android/桌面统一版本化路径，禁止旧音效回退。</t>
        </is>
      </c>
    </row>
    <row r="183" ht="44" customHeight="1">
      <c r="A183" s="136" t="inlineStr">
        <is>
          <t>AUD-SFX-ENEMY-HIT</t>
        </is>
      </c>
      <c r="B183" s="136" t="inlineStr">
        <is>
          <t>敌人受击音效</t>
        </is>
      </c>
      <c r="C183" s="136" t="inlineStr">
        <is>
          <t>音频</t>
        </is>
      </c>
      <c r="D183" s="136" t="inlineStr">
        <is>
          <t>sfx</t>
        </is>
      </c>
      <c r="E183" s="136" t="inlineStr">
        <is>
          <t>enemy_hit</t>
        </is>
      </c>
      <c r="F183" s="136" t="inlineStr">
        <is>
          <t>runtime</t>
        </is>
      </c>
      <c r="G183" s="136" t="n"/>
      <c r="H183" s="136" t="inlineStr">
        <is>
          <t>全局/非空间</t>
        </is>
      </c>
      <c r="I183" s="136" t="inlineStr">
        <is>
          <t>default</t>
        </is>
      </c>
      <c r="J183" s="136" t="inlineStr">
        <is>
          <t>桌面与Android正式运行</t>
        </is>
      </c>
      <c r="K183" s="136" t="inlineStr">
        <is>
          <t>已完成</t>
        </is>
      </c>
      <c r="L183" s="136" t="inlineStr">
        <is>
          <t>P0</t>
        </is>
      </c>
      <c r="M183" s="136" t="inlineStr">
        <is>
          <t>v001</t>
        </is>
      </c>
      <c r="N183" s="136" t="inlineStr">
        <is>
          <t>44.1kHz / OGG Vorbis / stereo</t>
        </is>
      </c>
      <c r="O183" s="136" t="inlineStr">
        <is>
          <t>src/assets/audio/sfx/enemy_hit_v001.ogg</t>
        </is>
      </c>
      <c r="P183" s="136" t="inlineStr">
        <is>
          <t>src/assets/audio/sfx/enemy_hit.wav; src/音效接入说明.md</t>
        </is>
      </c>
      <c r="Q183" s="136" t="inlineStr">
        <is>
          <t>enemy_hit; 音效; OGG; Android; 移动端</t>
        </is>
      </c>
      <c r="R183" s="136">
        <f>TEXTJOIN("|",TRUE,C183,D183,E183,F183,H183,I183)</f>
        <v/>
      </c>
      <c r="S183" s="136">
        <f>IF(COUNTIF($R$6:$R$280,R183)&gt;1,"重复","唯一")</f>
        <v/>
      </c>
      <c r="T183" s="136" t="inlineStr">
        <is>
          <t>167495a122c9f30351c44c8d4ad7a46d6324703dddf91305adf550037f429ba4</t>
        </is>
      </c>
      <c r="U183" s="136" t="inlineStr">
        <is>
          <t>Codex</t>
        </is>
      </c>
      <c r="V183" s="137" t="n">
        <v>46241</v>
      </c>
      <c r="W183" s="136" t="inlineStr">
        <is>
          <t>项目WAV母版转码</t>
        </is>
      </c>
      <c r="X183" s="136" t="inlineStr">
        <is>
          <t>正式运行OGG；WAV仅作母版；AudioManager事件=enemy_hit；Android/桌面统一版本化路径，禁止旧音效回退。</t>
        </is>
      </c>
    </row>
    <row r="184" ht="44" customHeight="1">
      <c r="A184" s="136" t="inlineStr">
        <is>
          <t>AUD-SFX-EXTRACTION-ABORT</t>
        </is>
      </c>
      <c r="B184" s="136" t="inlineStr">
        <is>
          <t>撤离中断音效</t>
        </is>
      </c>
      <c r="C184" s="136" t="inlineStr">
        <is>
          <t>音频</t>
        </is>
      </c>
      <c r="D184" s="136" t="inlineStr">
        <is>
          <t>sfx</t>
        </is>
      </c>
      <c r="E184" s="136" t="inlineStr">
        <is>
          <t>extraction_abort</t>
        </is>
      </c>
      <c r="F184" s="136" t="inlineStr">
        <is>
          <t>runtime</t>
        </is>
      </c>
      <c r="G184" s="136" t="n"/>
      <c r="H184" s="136" t="inlineStr">
        <is>
          <t>全局/非空间</t>
        </is>
      </c>
      <c r="I184" s="136" t="inlineStr">
        <is>
          <t>default</t>
        </is>
      </c>
      <c r="J184" s="136" t="inlineStr">
        <is>
          <t>桌面与Android正式运行</t>
        </is>
      </c>
      <c r="K184" s="136" t="inlineStr">
        <is>
          <t>已完成</t>
        </is>
      </c>
      <c r="L184" s="136" t="inlineStr">
        <is>
          <t>P0</t>
        </is>
      </c>
      <c r="M184" s="136" t="inlineStr">
        <is>
          <t>v001</t>
        </is>
      </c>
      <c r="N184" s="136" t="inlineStr">
        <is>
          <t>44.1kHz / OGG Vorbis / stereo</t>
        </is>
      </c>
      <c r="O184" s="136" t="inlineStr">
        <is>
          <t>src/assets/audio/sfx/extraction_abort_v001.ogg</t>
        </is>
      </c>
      <c r="P184" s="136" t="inlineStr">
        <is>
          <t>src/assets/audio/sfx/extraction_abort.wav; src/音效接入说明.md</t>
        </is>
      </c>
      <c r="Q184" s="136" t="inlineStr">
        <is>
          <t>extraction_abort; 音效; OGG; Android; 移动端</t>
        </is>
      </c>
      <c r="R184" s="136">
        <f>TEXTJOIN("|",TRUE,C184,D184,E184,F184,H184,I184)</f>
        <v/>
      </c>
      <c r="S184" s="136">
        <f>IF(COUNTIF($R$6:$R$280,R184)&gt;1,"重复","唯一")</f>
        <v/>
      </c>
      <c r="T184" s="136" t="inlineStr">
        <is>
          <t>2b29c153f38d8115cdfae413ad3c4054923c65060341d26b2509e617d7c11de0</t>
        </is>
      </c>
      <c r="U184" s="136" t="inlineStr">
        <is>
          <t>Codex</t>
        </is>
      </c>
      <c r="V184" s="137" t="n">
        <v>46241</v>
      </c>
      <c r="W184" s="136" t="inlineStr">
        <is>
          <t>项目WAV母版转码</t>
        </is>
      </c>
      <c r="X184" s="136" t="inlineStr">
        <is>
          <t>正式运行OGG；WAV仅作母版；AudioManager事件=extraction_abort；Android/桌面统一版本化路径，禁止旧音效回退。</t>
        </is>
      </c>
    </row>
    <row r="185" ht="44" customHeight="1">
      <c r="A185" s="136" t="inlineStr">
        <is>
          <t>AUD-SFX-EXTRACTION-DONE</t>
        </is>
      </c>
      <c r="B185" s="136" t="inlineStr">
        <is>
          <t>撤离成功音效</t>
        </is>
      </c>
      <c r="C185" s="136" t="inlineStr">
        <is>
          <t>音频</t>
        </is>
      </c>
      <c r="D185" s="136" t="inlineStr">
        <is>
          <t>sfx</t>
        </is>
      </c>
      <c r="E185" s="136" t="inlineStr">
        <is>
          <t>extraction_done</t>
        </is>
      </c>
      <c r="F185" s="136" t="inlineStr">
        <is>
          <t>runtime</t>
        </is>
      </c>
      <c r="G185" s="136" t="n"/>
      <c r="H185" s="136" t="inlineStr">
        <is>
          <t>全局/非空间</t>
        </is>
      </c>
      <c r="I185" s="136" t="inlineStr">
        <is>
          <t>default</t>
        </is>
      </c>
      <c r="J185" s="136" t="inlineStr">
        <is>
          <t>桌面与Android正式运行</t>
        </is>
      </c>
      <c r="K185" s="136" t="inlineStr">
        <is>
          <t>已完成</t>
        </is>
      </c>
      <c r="L185" s="136" t="inlineStr">
        <is>
          <t>P0</t>
        </is>
      </c>
      <c r="M185" s="136" t="inlineStr">
        <is>
          <t>v001</t>
        </is>
      </c>
      <c r="N185" s="136" t="inlineStr">
        <is>
          <t>44.1kHz / OGG Vorbis / stereo</t>
        </is>
      </c>
      <c r="O185" s="136" t="inlineStr">
        <is>
          <t>src/assets/audio/sfx/extraction_done_v001.ogg</t>
        </is>
      </c>
      <c r="P185" s="136" t="inlineStr">
        <is>
          <t>src/assets/audio/sfx/extraction_done.wav; src/音效接入说明.md</t>
        </is>
      </c>
      <c r="Q185" s="136" t="inlineStr">
        <is>
          <t>extraction_done; 音效; OGG; Android; 移动端</t>
        </is>
      </c>
      <c r="R185" s="136">
        <f>TEXTJOIN("|",TRUE,C185,D185,E185,F185,H185,I185)</f>
        <v/>
      </c>
      <c r="S185" s="136">
        <f>IF(COUNTIF($R$6:$R$280,R185)&gt;1,"重复","唯一")</f>
        <v/>
      </c>
      <c r="T185" s="136" t="inlineStr">
        <is>
          <t>c6eef279ec7a88822b2554799f0a49e4549576ee4c682ef5a3440ea53279df70</t>
        </is>
      </c>
      <c r="U185" s="136" t="inlineStr">
        <is>
          <t>Codex</t>
        </is>
      </c>
      <c r="V185" s="137" t="n">
        <v>46241</v>
      </c>
      <c r="W185" s="136" t="inlineStr">
        <is>
          <t>项目WAV母版转码</t>
        </is>
      </c>
      <c r="X185" s="136" t="inlineStr">
        <is>
          <t>正式运行OGG；WAV仅作母版；AudioManager事件=extraction_done；Android/桌面统一版本化路径，禁止旧音效回退。</t>
        </is>
      </c>
    </row>
    <row r="186" ht="44" customHeight="1">
      <c r="A186" s="136" t="inlineStr">
        <is>
          <t>AUD-SFX-EXTRACTION-START</t>
        </is>
      </c>
      <c r="B186" s="136" t="inlineStr">
        <is>
          <t>撤离开始音效</t>
        </is>
      </c>
      <c r="C186" s="136" t="inlineStr">
        <is>
          <t>音频</t>
        </is>
      </c>
      <c r="D186" s="136" t="inlineStr">
        <is>
          <t>sfx</t>
        </is>
      </c>
      <c r="E186" s="136" t="inlineStr">
        <is>
          <t>extraction_start</t>
        </is>
      </c>
      <c r="F186" s="136" t="inlineStr">
        <is>
          <t>runtime</t>
        </is>
      </c>
      <c r="G186" s="136" t="n"/>
      <c r="H186" s="136" t="inlineStr">
        <is>
          <t>全局/非空间</t>
        </is>
      </c>
      <c r="I186" s="136" t="inlineStr">
        <is>
          <t>default</t>
        </is>
      </c>
      <c r="J186" s="136" t="inlineStr">
        <is>
          <t>桌面与Android正式运行</t>
        </is>
      </c>
      <c r="K186" s="136" t="inlineStr">
        <is>
          <t>已完成</t>
        </is>
      </c>
      <c r="L186" s="136" t="inlineStr">
        <is>
          <t>P0</t>
        </is>
      </c>
      <c r="M186" s="136" t="inlineStr">
        <is>
          <t>v001</t>
        </is>
      </c>
      <c r="N186" s="136" t="inlineStr">
        <is>
          <t>44.1kHz / OGG Vorbis / stereo</t>
        </is>
      </c>
      <c r="O186" s="136" t="inlineStr">
        <is>
          <t>src/assets/audio/sfx/extraction_start_v001.ogg</t>
        </is>
      </c>
      <c r="P186" s="136" t="inlineStr">
        <is>
          <t>src/assets/audio/sfx/extraction_start.wav; src/音效接入说明.md</t>
        </is>
      </c>
      <c r="Q186" s="136" t="inlineStr">
        <is>
          <t>extraction_start; 音效; OGG; Android; 移动端</t>
        </is>
      </c>
      <c r="R186" s="136">
        <f>TEXTJOIN("|",TRUE,C186,D186,E186,F186,H186,I186)</f>
        <v/>
      </c>
      <c r="S186" s="136">
        <f>IF(COUNTIF($R$6:$R$280,R186)&gt;1,"重复","唯一")</f>
        <v/>
      </c>
      <c r="T186" s="136" t="inlineStr">
        <is>
          <t>e44385e009738b96dac7aa7106bd489ccf55fe700332359407e0663f826c7daa</t>
        </is>
      </c>
      <c r="U186" s="136" t="inlineStr">
        <is>
          <t>Codex</t>
        </is>
      </c>
      <c r="V186" s="137" t="n">
        <v>46241</v>
      </c>
      <c r="W186" s="136" t="inlineStr">
        <is>
          <t>项目WAV母版转码</t>
        </is>
      </c>
      <c r="X186" s="136" t="inlineStr">
        <is>
          <t>正式运行OGG；WAV仅作母版；AudioManager事件=extraction_start；Android/桌面统一版本化路径，禁止旧音效回退。</t>
        </is>
      </c>
    </row>
    <row r="187" ht="44" customHeight="1">
      <c r="A187" s="136" t="inlineStr">
        <is>
          <t>AUD-SFX-FATE-CARD</t>
        </is>
      </c>
      <c r="B187" s="136" t="inlineStr">
        <is>
          <t>命运卡生效音效</t>
        </is>
      </c>
      <c r="C187" s="136" t="inlineStr">
        <is>
          <t>音频</t>
        </is>
      </c>
      <c r="D187" s="136" t="inlineStr">
        <is>
          <t>sfx</t>
        </is>
      </c>
      <c r="E187" s="136" t="inlineStr">
        <is>
          <t>fate_card</t>
        </is>
      </c>
      <c r="F187" s="136" t="inlineStr">
        <is>
          <t>runtime</t>
        </is>
      </c>
      <c r="G187" s="136" t="n"/>
      <c r="H187" s="136" t="inlineStr">
        <is>
          <t>全局/非空间</t>
        </is>
      </c>
      <c r="I187" s="136" t="inlineStr">
        <is>
          <t>default</t>
        </is>
      </c>
      <c r="J187" s="136" t="inlineStr">
        <is>
          <t>桌面与Android正式运行</t>
        </is>
      </c>
      <c r="K187" s="136" t="inlineStr">
        <is>
          <t>已完成</t>
        </is>
      </c>
      <c r="L187" s="136" t="inlineStr">
        <is>
          <t>P0</t>
        </is>
      </c>
      <c r="M187" s="136" t="inlineStr">
        <is>
          <t>v001</t>
        </is>
      </c>
      <c r="N187" s="136" t="inlineStr">
        <is>
          <t>44.1kHz / OGG Vorbis / stereo</t>
        </is>
      </c>
      <c r="O187" s="136" t="inlineStr">
        <is>
          <t>src/assets/audio/sfx/fate_card_v001.ogg</t>
        </is>
      </c>
      <c r="P187" s="136" t="inlineStr">
        <is>
          <t>src/assets/audio/sfx/fate_card.wav; src/音效接入说明.md</t>
        </is>
      </c>
      <c r="Q187" s="136" t="inlineStr">
        <is>
          <t>fate_card; 音效; OGG; Android; 移动端</t>
        </is>
      </c>
      <c r="R187" s="136">
        <f>TEXTJOIN("|",TRUE,C187,D187,E187,F187,H187,I187)</f>
        <v/>
      </c>
      <c r="S187" s="136">
        <f>IF(COUNTIF($R$6:$R$280,R187)&gt;1,"重复","唯一")</f>
        <v/>
      </c>
      <c r="T187" s="136" t="inlineStr">
        <is>
          <t>7cdce8d37b6308c0df873f4f20e80d319e546cb24ab5d860ea0cef5bd4ae3488</t>
        </is>
      </c>
      <c r="U187" s="136" t="inlineStr">
        <is>
          <t>Codex</t>
        </is>
      </c>
      <c r="V187" s="137" t="n">
        <v>46241</v>
      </c>
      <c r="W187" s="136" t="inlineStr">
        <is>
          <t>项目WAV母版转码</t>
        </is>
      </c>
      <c r="X187" s="136" t="inlineStr">
        <is>
          <t>正式运行OGG；WAV仅作母版；AudioManager事件=fate_card；Android/桌面统一版本化路径，禁止旧音效回退。</t>
        </is>
      </c>
    </row>
    <row r="188" ht="44" customHeight="1">
      <c r="A188" s="136" t="inlineStr">
        <is>
          <t>AUD-SFX-ITEM-PICKUP</t>
        </is>
      </c>
      <c r="B188" s="136" t="inlineStr">
        <is>
          <t>物品拾取音效</t>
        </is>
      </c>
      <c r="C188" s="136" t="inlineStr">
        <is>
          <t>音频</t>
        </is>
      </c>
      <c r="D188" s="136" t="inlineStr">
        <is>
          <t>sfx</t>
        </is>
      </c>
      <c r="E188" s="136" t="inlineStr">
        <is>
          <t>item_pickup</t>
        </is>
      </c>
      <c r="F188" s="136" t="inlineStr">
        <is>
          <t>runtime</t>
        </is>
      </c>
      <c r="G188" s="136" t="n"/>
      <c r="H188" s="136" t="inlineStr">
        <is>
          <t>全局/非空间</t>
        </is>
      </c>
      <c r="I188" s="136" t="inlineStr">
        <is>
          <t>default</t>
        </is>
      </c>
      <c r="J188" s="136" t="inlineStr">
        <is>
          <t>桌面与Android正式运行</t>
        </is>
      </c>
      <c r="K188" s="136" t="inlineStr">
        <is>
          <t>已完成</t>
        </is>
      </c>
      <c r="L188" s="136" t="inlineStr">
        <is>
          <t>P0</t>
        </is>
      </c>
      <c r="M188" s="136" t="inlineStr">
        <is>
          <t>v001</t>
        </is>
      </c>
      <c r="N188" s="136" t="inlineStr">
        <is>
          <t>44.1kHz / OGG Vorbis / stereo</t>
        </is>
      </c>
      <c r="O188" s="136" t="inlineStr">
        <is>
          <t>src/assets/audio/sfx/item_pickup_v001.ogg</t>
        </is>
      </c>
      <c r="P188" s="136" t="inlineStr">
        <is>
          <t>src/assets/audio/sfx/item_pickup.wav; src/音效接入说明.md</t>
        </is>
      </c>
      <c r="Q188" s="136" t="inlineStr">
        <is>
          <t>item_pickup; 音效; OGG; Android; 移动端</t>
        </is>
      </c>
      <c r="R188" s="136">
        <f>TEXTJOIN("|",TRUE,C188,D188,E188,F188,H188,I188)</f>
        <v/>
      </c>
      <c r="S188" s="136">
        <f>IF(COUNTIF($R$6:$R$280,R188)&gt;1,"重复","唯一")</f>
        <v/>
      </c>
      <c r="T188" s="136" t="inlineStr">
        <is>
          <t>7114f2ac9b0dc6ee500f5176b315b5f8a84f9ec7e3c5168dc342febdb747c290</t>
        </is>
      </c>
      <c r="U188" s="136" t="inlineStr">
        <is>
          <t>Codex</t>
        </is>
      </c>
      <c r="V188" s="137" t="n">
        <v>46241</v>
      </c>
      <c r="W188" s="136" t="inlineStr">
        <is>
          <t>项目WAV母版转码</t>
        </is>
      </c>
      <c r="X188" s="136" t="inlineStr">
        <is>
          <t>正式运行OGG；WAV仅作母版；AudioManager事件=item_pickup；Android/桌面统一版本化路径，禁止旧音效回退。</t>
        </is>
      </c>
    </row>
    <row r="189" ht="44" customHeight="1">
      <c r="A189" s="136" t="inlineStr">
        <is>
          <t>AUD-SFX-LASER-FIRE</t>
        </is>
      </c>
      <c r="B189" s="136" t="inlineStr">
        <is>
          <t>能量武器射击音效</t>
        </is>
      </c>
      <c r="C189" s="136" t="inlineStr">
        <is>
          <t>音频</t>
        </is>
      </c>
      <c r="D189" s="136" t="inlineStr">
        <is>
          <t>sfx</t>
        </is>
      </c>
      <c r="E189" s="136" t="inlineStr">
        <is>
          <t>laser_fire</t>
        </is>
      </c>
      <c r="F189" s="136" t="inlineStr">
        <is>
          <t>runtime</t>
        </is>
      </c>
      <c r="G189" s="136" t="n"/>
      <c r="H189" s="136" t="inlineStr">
        <is>
          <t>全局/非空间</t>
        </is>
      </c>
      <c r="I189" s="136" t="inlineStr">
        <is>
          <t>default</t>
        </is>
      </c>
      <c r="J189" s="136" t="inlineStr">
        <is>
          <t>桌面与Android正式运行</t>
        </is>
      </c>
      <c r="K189" s="136" t="inlineStr">
        <is>
          <t>已完成</t>
        </is>
      </c>
      <c r="L189" s="136" t="inlineStr">
        <is>
          <t>P0</t>
        </is>
      </c>
      <c r="M189" s="136" t="inlineStr">
        <is>
          <t>v001</t>
        </is>
      </c>
      <c r="N189" s="136" t="inlineStr">
        <is>
          <t>44.1kHz / OGG Vorbis / stereo</t>
        </is>
      </c>
      <c r="O189" s="136" t="inlineStr">
        <is>
          <t>src/assets/audio/sfx/laser_fire_v001.ogg</t>
        </is>
      </c>
      <c r="P189" s="136" t="inlineStr">
        <is>
          <t>src/assets/audio/sfx/laser_fire.wav; src/音效接入说明.md</t>
        </is>
      </c>
      <c r="Q189" s="136" t="inlineStr">
        <is>
          <t>laser_fire; 音效; OGG; Android; 移动端</t>
        </is>
      </c>
      <c r="R189" s="136">
        <f>TEXTJOIN("|",TRUE,C189,D189,E189,F189,H189,I189)</f>
        <v/>
      </c>
      <c r="S189" s="136">
        <f>IF(COUNTIF($R$6:$R$280,R189)&gt;1,"重复","唯一")</f>
        <v/>
      </c>
      <c r="T189" s="136" t="inlineStr">
        <is>
          <t>b9fa5b0e0835a0e18b5a0bb29bff7fcc94944020f3eb9a8424343786ab845191</t>
        </is>
      </c>
      <c r="U189" s="136" t="inlineStr">
        <is>
          <t>Codex</t>
        </is>
      </c>
      <c r="V189" s="137" t="n">
        <v>46241</v>
      </c>
      <c r="W189" s="136" t="inlineStr">
        <is>
          <t>项目WAV母版转码</t>
        </is>
      </c>
      <c r="X189" s="136" t="inlineStr">
        <is>
          <t>正式运行OGG；WAV仅作母版；AudioManager事件=laser_fire；Android/桌面统一版本化路径，禁止旧音效回退。</t>
        </is>
      </c>
    </row>
    <row r="190" ht="44" customHeight="1">
      <c r="A190" s="136" t="inlineStr">
        <is>
          <t>AUD-SFX-MERCHANT-PURCHASE</t>
        </is>
      </c>
      <c r="B190" s="136" t="inlineStr">
        <is>
          <t>交易成功音效</t>
        </is>
      </c>
      <c r="C190" s="136" t="inlineStr">
        <is>
          <t>音频</t>
        </is>
      </c>
      <c r="D190" s="136" t="inlineStr">
        <is>
          <t>sfx</t>
        </is>
      </c>
      <c r="E190" s="136" t="inlineStr">
        <is>
          <t>merchant_purchase</t>
        </is>
      </c>
      <c r="F190" s="136" t="inlineStr">
        <is>
          <t>runtime</t>
        </is>
      </c>
      <c r="G190" s="136" t="n"/>
      <c r="H190" s="136" t="inlineStr">
        <is>
          <t>全局/非空间</t>
        </is>
      </c>
      <c r="I190" s="136" t="inlineStr">
        <is>
          <t>default</t>
        </is>
      </c>
      <c r="J190" s="136" t="inlineStr">
        <is>
          <t>桌面与Android正式运行</t>
        </is>
      </c>
      <c r="K190" s="136" t="inlineStr">
        <is>
          <t>已完成</t>
        </is>
      </c>
      <c r="L190" s="136" t="inlineStr">
        <is>
          <t>P0</t>
        </is>
      </c>
      <c r="M190" s="136" t="inlineStr">
        <is>
          <t>v001</t>
        </is>
      </c>
      <c r="N190" s="136" t="inlineStr">
        <is>
          <t>44.1kHz / OGG Vorbis / stereo</t>
        </is>
      </c>
      <c r="O190" s="136" t="inlineStr">
        <is>
          <t>src/assets/audio/sfx/merchant_purchase_v001.ogg</t>
        </is>
      </c>
      <c r="P190" s="136" t="inlineStr">
        <is>
          <t>src/assets/audio/sfx/merchant_purchase.wav; src/音效接入说明.md</t>
        </is>
      </c>
      <c r="Q190" s="136" t="inlineStr">
        <is>
          <t>merchant_purchase; 音效; OGG; Android; 移动端</t>
        </is>
      </c>
      <c r="R190" s="136">
        <f>TEXTJOIN("|",TRUE,C190,D190,E190,F190,H190,I190)</f>
        <v/>
      </c>
      <c r="S190" s="136">
        <f>IF(COUNTIF($R$6:$R$280,R190)&gt;1,"重复","唯一")</f>
        <v/>
      </c>
      <c r="T190" s="136" t="inlineStr">
        <is>
          <t>ff71a229a012ea8ed985ab286ea01672af277dd33a62549dd080f1e9026d53c2</t>
        </is>
      </c>
      <c r="U190" s="136" t="inlineStr">
        <is>
          <t>Codex</t>
        </is>
      </c>
      <c r="V190" s="137" t="n">
        <v>46241</v>
      </c>
      <c r="W190" s="136" t="inlineStr">
        <is>
          <t>项目WAV母版转码</t>
        </is>
      </c>
      <c r="X190" s="136" t="inlineStr">
        <is>
          <t>正式运行OGG；WAV仅作母版；AudioManager事件=merchant_purchase；Android/桌面统一版本化路径，禁止旧音效回退。</t>
        </is>
      </c>
    </row>
    <row r="191" ht="44" customHeight="1">
      <c r="A191" s="136" t="inlineStr">
        <is>
          <t>AUD-SFX-PISTOL-FIRE</t>
        </is>
      </c>
      <c r="B191" s="136" t="inlineStr">
        <is>
          <t>手枪射击音效</t>
        </is>
      </c>
      <c r="C191" s="136" t="inlineStr">
        <is>
          <t>音频</t>
        </is>
      </c>
      <c r="D191" s="136" t="inlineStr">
        <is>
          <t>sfx</t>
        </is>
      </c>
      <c r="E191" s="136" t="inlineStr">
        <is>
          <t>pistol_fire</t>
        </is>
      </c>
      <c r="F191" s="136" t="inlineStr">
        <is>
          <t>runtime</t>
        </is>
      </c>
      <c r="G191" s="136" t="n"/>
      <c r="H191" s="136" t="inlineStr">
        <is>
          <t>全局/非空间</t>
        </is>
      </c>
      <c r="I191" s="136" t="inlineStr">
        <is>
          <t>default</t>
        </is>
      </c>
      <c r="J191" s="136" t="inlineStr">
        <is>
          <t>桌面与Android正式运行</t>
        </is>
      </c>
      <c r="K191" s="136" t="inlineStr">
        <is>
          <t>已完成</t>
        </is>
      </c>
      <c r="L191" s="136" t="inlineStr">
        <is>
          <t>P0</t>
        </is>
      </c>
      <c r="M191" s="136" t="inlineStr">
        <is>
          <t>v001</t>
        </is>
      </c>
      <c r="N191" s="136" t="inlineStr">
        <is>
          <t>44.1kHz / OGG Vorbis / stereo</t>
        </is>
      </c>
      <c r="O191" s="136" t="inlineStr">
        <is>
          <t>src/assets/audio/sfx/pistol_fire_v001.ogg</t>
        </is>
      </c>
      <c r="P191" s="136" t="inlineStr">
        <is>
          <t>src/assets/audio/sfx/pistol_fire.wav; src/音效接入说明.md</t>
        </is>
      </c>
      <c r="Q191" s="136" t="inlineStr">
        <is>
          <t>pistol_fire; 音效; OGG; Android; 移动端</t>
        </is>
      </c>
      <c r="R191" s="136">
        <f>TEXTJOIN("|",TRUE,C191,D191,E191,F191,H191,I191)</f>
        <v/>
      </c>
      <c r="S191" s="136">
        <f>IF(COUNTIF($R$6:$R$280,R191)&gt;1,"重复","唯一")</f>
        <v/>
      </c>
      <c r="T191" s="136" t="inlineStr">
        <is>
          <t>b2c39d4579cf13e32f98e79eb57b6ea0efeb5af7a497c60dc1acf94e8dd16937</t>
        </is>
      </c>
      <c r="U191" s="136" t="inlineStr">
        <is>
          <t>Codex</t>
        </is>
      </c>
      <c r="V191" s="137" t="n">
        <v>46241</v>
      </c>
      <c r="W191" s="136" t="inlineStr">
        <is>
          <t>项目WAV母版转码</t>
        </is>
      </c>
      <c r="X191" s="136" t="inlineStr">
        <is>
          <t>正式运行OGG；WAV仅作母版；AudioManager事件=pistol_fire；Android/桌面统一版本化路径，禁止旧音效回退。</t>
        </is>
      </c>
    </row>
    <row r="192" ht="44" customHeight="1">
      <c r="A192" s="136" t="inlineStr">
        <is>
          <t>AUD-SFX-PLAYER-DASH</t>
        </is>
      </c>
      <c r="B192" s="136" t="inlineStr">
        <is>
          <t>玩家冲刺音效</t>
        </is>
      </c>
      <c r="C192" s="136" t="inlineStr">
        <is>
          <t>音频</t>
        </is>
      </c>
      <c r="D192" s="136" t="inlineStr">
        <is>
          <t>sfx</t>
        </is>
      </c>
      <c r="E192" s="136" t="inlineStr">
        <is>
          <t>player_dash</t>
        </is>
      </c>
      <c r="F192" s="136" t="inlineStr">
        <is>
          <t>runtime</t>
        </is>
      </c>
      <c r="G192" s="136" t="n"/>
      <c r="H192" s="136" t="inlineStr">
        <is>
          <t>全局/非空间</t>
        </is>
      </c>
      <c r="I192" s="136" t="inlineStr">
        <is>
          <t>default</t>
        </is>
      </c>
      <c r="J192" s="136" t="inlineStr">
        <is>
          <t>桌面与Android正式运行</t>
        </is>
      </c>
      <c r="K192" s="136" t="inlineStr">
        <is>
          <t>已完成</t>
        </is>
      </c>
      <c r="L192" s="136" t="inlineStr">
        <is>
          <t>P0</t>
        </is>
      </c>
      <c r="M192" s="136" t="inlineStr">
        <is>
          <t>v001</t>
        </is>
      </c>
      <c r="N192" s="136" t="inlineStr">
        <is>
          <t>44.1kHz / OGG Vorbis / stereo</t>
        </is>
      </c>
      <c r="O192" s="136" t="inlineStr">
        <is>
          <t>src/assets/audio/sfx/player_dash_v001.ogg</t>
        </is>
      </c>
      <c r="P192" s="136" t="inlineStr">
        <is>
          <t>src/assets/audio/sfx/player_dash.wav; src/音效接入说明.md</t>
        </is>
      </c>
      <c r="Q192" s="136" t="inlineStr">
        <is>
          <t>player_dash; 音效; OGG; Android; 移动端</t>
        </is>
      </c>
      <c r="R192" s="136">
        <f>TEXTJOIN("|",TRUE,C192,D192,E192,F192,H192,I192)</f>
        <v/>
      </c>
      <c r="S192" s="136">
        <f>IF(COUNTIF($R$6:$R$280,R192)&gt;1,"重复","唯一")</f>
        <v/>
      </c>
      <c r="T192" s="136" t="inlineStr">
        <is>
          <t>5d437b11f4b79d593ded0045cf202542b44ac0eb7344561ec96c659ad9ea6930</t>
        </is>
      </c>
      <c r="U192" s="136" t="inlineStr">
        <is>
          <t>Codex</t>
        </is>
      </c>
      <c r="V192" s="137" t="n">
        <v>46241</v>
      </c>
      <c r="W192" s="136" t="inlineStr">
        <is>
          <t>项目WAV母版转码</t>
        </is>
      </c>
      <c r="X192" s="136" t="inlineStr">
        <is>
          <t>正式运行OGG；WAV仅作母版；AudioManager事件=player_dash；Android/桌面统一版本化路径，禁止旧音效回退。</t>
        </is>
      </c>
    </row>
    <row r="193" ht="44" customHeight="1">
      <c r="A193" s="136" t="inlineStr">
        <is>
          <t>AUD-SFX-PLAYER-HIT</t>
        </is>
      </c>
      <c r="B193" s="136" t="inlineStr">
        <is>
          <t>玩家受击音效</t>
        </is>
      </c>
      <c r="C193" s="136" t="inlineStr">
        <is>
          <t>音频</t>
        </is>
      </c>
      <c r="D193" s="136" t="inlineStr">
        <is>
          <t>sfx</t>
        </is>
      </c>
      <c r="E193" s="136" t="inlineStr">
        <is>
          <t>player_hit</t>
        </is>
      </c>
      <c r="F193" s="136" t="inlineStr">
        <is>
          <t>runtime</t>
        </is>
      </c>
      <c r="G193" s="136" t="n"/>
      <c r="H193" s="136" t="inlineStr">
        <is>
          <t>全局/非空间</t>
        </is>
      </c>
      <c r="I193" s="136" t="inlineStr">
        <is>
          <t>default</t>
        </is>
      </c>
      <c r="J193" s="136" t="inlineStr">
        <is>
          <t>桌面与Android正式运行</t>
        </is>
      </c>
      <c r="K193" s="136" t="inlineStr">
        <is>
          <t>已完成</t>
        </is>
      </c>
      <c r="L193" s="136" t="inlineStr">
        <is>
          <t>P0</t>
        </is>
      </c>
      <c r="M193" s="136" t="inlineStr">
        <is>
          <t>v001</t>
        </is>
      </c>
      <c r="N193" s="136" t="inlineStr">
        <is>
          <t>44.1kHz / OGG Vorbis / stereo</t>
        </is>
      </c>
      <c r="O193" s="136" t="inlineStr">
        <is>
          <t>src/assets/audio/sfx/player_hit_v001.ogg</t>
        </is>
      </c>
      <c r="P193" s="136" t="inlineStr">
        <is>
          <t>src/assets/audio/sfx/player_hit.wav; src/音效接入说明.md</t>
        </is>
      </c>
      <c r="Q193" s="136" t="inlineStr">
        <is>
          <t>player_hit; 音效; OGG; Android; 移动端</t>
        </is>
      </c>
      <c r="R193" s="136">
        <f>TEXTJOIN("|",TRUE,C193,D193,E193,F193,H193,I193)</f>
        <v/>
      </c>
      <c r="S193" s="136">
        <f>IF(COUNTIF($R$6:$R$280,R193)&gt;1,"重复","唯一")</f>
        <v/>
      </c>
      <c r="T193" s="136" t="inlineStr">
        <is>
          <t>aa5bec92c2734e64ae75245c0fcb165c915981cf77d107c579649c228fc50eb2</t>
        </is>
      </c>
      <c r="U193" s="136" t="inlineStr">
        <is>
          <t>Codex</t>
        </is>
      </c>
      <c r="V193" s="137" t="n">
        <v>46241</v>
      </c>
      <c r="W193" s="136" t="inlineStr">
        <is>
          <t>项目WAV母版转码</t>
        </is>
      </c>
      <c r="X193" s="136" t="inlineStr">
        <is>
          <t>正式运行OGG；WAV仅作母版；AudioManager事件=player_hit；Android/桌面统一版本化路径，禁止旧音效回退。</t>
        </is>
      </c>
    </row>
    <row r="194" ht="44" customHeight="1">
      <c r="A194" s="136" t="inlineStr">
        <is>
          <t>AUD-SFX-RELOAD</t>
        </is>
      </c>
      <c r="B194" s="136" t="inlineStr">
        <is>
          <t>换弹音效</t>
        </is>
      </c>
      <c r="C194" s="136" t="inlineStr">
        <is>
          <t>音频</t>
        </is>
      </c>
      <c r="D194" s="136" t="inlineStr">
        <is>
          <t>sfx</t>
        </is>
      </c>
      <c r="E194" s="136" t="inlineStr">
        <is>
          <t>reload</t>
        </is>
      </c>
      <c r="F194" s="136" t="inlineStr">
        <is>
          <t>runtime</t>
        </is>
      </c>
      <c r="G194" s="136" t="n"/>
      <c r="H194" s="136" t="inlineStr">
        <is>
          <t>全局/非空间</t>
        </is>
      </c>
      <c r="I194" s="136" t="inlineStr">
        <is>
          <t>default</t>
        </is>
      </c>
      <c r="J194" s="136" t="inlineStr">
        <is>
          <t>桌面与Android正式运行</t>
        </is>
      </c>
      <c r="K194" s="136" t="inlineStr">
        <is>
          <t>已完成</t>
        </is>
      </c>
      <c r="L194" s="136" t="inlineStr">
        <is>
          <t>P0</t>
        </is>
      </c>
      <c r="M194" s="136" t="inlineStr">
        <is>
          <t>v001</t>
        </is>
      </c>
      <c r="N194" s="136" t="inlineStr">
        <is>
          <t>44.1kHz / OGG Vorbis / stereo</t>
        </is>
      </c>
      <c r="O194" s="136" t="inlineStr">
        <is>
          <t>src/assets/audio/sfx/reload_v001.ogg</t>
        </is>
      </c>
      <c r="P194" s="136" t="inlineStr">
        <is>
          <t>src/assets/audio/sfx/reload.wav; src/音效接入说明.md</t>
        </is>
      </c>
      <c r="Q194" s="136" t="inlineStr">
        <is>
          <t>reload; 音效; OGG; Android; 移动端</t>
        </is>
      </c>
      <c r="R194" s="136">
        <f>TEXTJOIN("|",TRUE,C194,D194,E194,F194,H194,I194)</f>
        <v/>
      </c>
      <c r="S194" s="136">
        <f>IF(COUNTIF($R$6:$R$280,R194)&gt;1,"重复","唯一")</f>
        <v/>
      </c>
      <c r="T194" s="136" t="inlineStr">
        <is>
          <t>0d60be5b4b3e9955d34c69e5719ae8d3147d6e87d3ffa58beae8d2beae42d0c7</t>
        </is>
      </c>
      <c r="U194" s="136" t="inlineStr">
        <is>
          <t>Codex</t>
        </is>
      </c>
      <c r="V194" s="137" t="n">
        <v>46241</v>
      </c>
      <c r="W194" s="136" t="inlineStr">
        <is>
          <t>项目WAV母版转码</t>
        </is>
      </c>
      <c r="X194" s="136" t="inlineStr">
        <is>
          <t>正式运行OGG；WAV仅作母版；AudioManager事件=reload；Android/桌面统一版本化路径，禁止旧音效回退。</t>
        </is>
      </c>
    </row>
    <row r="195" ht="44" customHeight="1">
      <c r="A195" s="136" t="inlineStr">
        <is>
          <t>AUD-SFX-RIFLE-FIRE</t>
        </is>
      </c>
      <c r="B195" s="136" t="inlineStr">
        <is>
          <t>步枪射击音效</t>
        </is>
      </c>
      <c r="C195" s="136" t="inlineStr">
        <is>
          <t>音频</t>
        </is>
      </c>
      <c r="D195" s="136" t="inlineStr">
        <is>
          <t>sfx</t>
        </is>
      </c>
      <c r="E195" s="136" t="inlineStr">
        <is>
          <t>rifle_fire</t>
        </is>
      </c>
      <c r="F195" s="136" t="inlineStr">
        <is>
          <t>runtime</t>
        </is>
      </c>
      <c r="G195" s="136" t="n"/>
      <c r="H195" s="136" t="inlineStr">
        <is>
          <t>全局/非空间</t>
        </is>
      </c>
      <c r="I195" s="136" t="inlineStr">
        <is>
          <t>default</t>
        </is>
      </c>
      <c r="J195" s="136" t="inlineStr">
        <is>
          <t>桌面与Android正式运行</t>
        </is>
      </c>
      <c r="K195" s="136" t="inlineStr">
        <is>
          <t>已完成</t>
        </is>
      </c>
      <c r="L195" s="136" t="inlineStr">
        <is>
          <t>P0</t>
        </is>
      </c>
      <c r="M195" s="136" t="inlineStr">
        <is>
          <t>v001</t>
        </is>
      </c>
      <c r="N195" s="136" t="inlineStr">
        <is>
          <t>44.1kHz / OGG Vorbis / stereo</t>
        </is>
      </c>
      <c r="O195" s="136" t="inlineStr">
        <is>
          <t>src/assets/audio/sfx/rifle_fire_v001.ogg</t>
        </is>
      </c>
      <c r="P195" s="136" t="inlineStr">
        <is>
          <t>src/assets/audio/sfx/rifle_fire.wav; src/音效接入说明.md</t>
        </is>
      </c>
      <c r="Q195" s="136" t="inlineStr">
        <is>
          <t>rifle_fire; 音效; OGG; Android; 移动端</t>
        </is>
      </c>
      <c r="R195" s="136">
        <f>TEXTJOIN("|",TRUE,C195,D195,E195,F195,H195,I195)</f>
        <v/>
      </c>
      <c r="S195" s="136">
        <f>IF(COUNTIF($R$6:$R$280,R195)&gt;1,"重复","唯一")</f>
        <v/>
      </c>
      <c r="T195" s="136" t="inlineStr">
        <is>
          <t>c5b6cc8c2beb44f22c72c1d201b750dd79dc877ae88f0067ef246103948e0e33</t>
        </is>
      </c>
      <c r="U195" s="136" t="inlineStr">
        <is>
          <t>Codex</t>
        </is>
      </c>
      <c r="V195" s="137" t="n">
        <v>46241</v>
      </c>
      <c r="W195" s="136" t="inlineStr">
        <is>
          <t>项目WAV母版转码</t>
        </is>
      </c>
      <c r="X195" s="136" t="inlineStr">
        <is>
          <t>正式运行OGG；WAV仅作母版；AudioManager事件=rifle_fire；Android/桌面统一版本化路径，禁止旧音效回退。</t>
        </is>
      </c>
    </row>
    <row r="196" ht="44" customHeight="1">
      <c r="A196" s="136" t="inlineStr">
        <is>
          <t>AUD-SFX-SHOTGUN-FIRE</t>
        </is>
      </c>
      <c r="B196" s="136" t="inlineStr">
        <is>
          <t>霰弹枪射击音效</t>
        </is>
      </c>
      <c r="C196" s="136" t="inlineStr">
        <is>
          <t>音频</t>
        </is>
      </c>
      <c r="D196" s="136" t="inlineStr">
        <is>
          <t>sfx</t>
        </is>
      </c>
      <c r="E196" s="136" t="inlineStr">
        <is>
          <t>shotgun_fire</t>
        </is>
      </c>
      <c r="F196" s="136" t="inlineStr">
        <is>
          <t>runtime</t>
        </is>
      </c>
      <c r="G196" s="136" t="n"/>
      <c r="H196" s="136" t="inlineStr">
        <is>
          <t>全局/非空间</t>
        </is>
      </c>
      <c r="I196" s="136" t="inlineStr">
        <is>
          <t>default</t>
        </is>
      </c>
      <c r="J196" s="136" t="inlineStr">
        <is>
          <t>桌面与Android正式运行</t>
        </is>
      </c>
      <c r="K196" s="136" t="inlineStr">
        <is>
          <t>已完成</t>
        </is>
      </c>
      <c r="L196" s="136" t="inlineStr">
        <is>
          <t>P0</t>
        </is>
      </c>
      <c r="M196" s="136" t="inlineStr">
        <is>
          <t>v001</t>
        </is>
      </c>
      <c r="N196" s="136" t="inlineStr">
        <is>
          <t>44.1kHz / OGG Vorbis / stereo</t>
        </is>
      </c>
      <c r="O196" s="136" t="inlineStr">
        <is>
          <t>src/assets/audio/sfx/shotgun_fire_v001.ogg</t>
        </is>
      </c>
      <c r="P196" s="136" t="inlineStr">
        <is>
          <t>src/assets/audio/sfx/shotgun_fire.wav; src/音效接入说明.md</t>
        </is>
      </c>
      <c r="Q196" s="136" t="inlineStr">
        <is>
          <t>shotgun_fire; 音效; OGG; Android; 移动端</t>
        </is>
      </c>
      <c r="R196" s="136">
        <f>TEXTJOIN("|",TRUE,C196,D196,E196,F196,H196,I196)</f>
        <v/>
      </c>
      <c r="S196" s="136">
        <f>IF(COUNTIF($R$6:$R$280,R196)&gt;1,"重复","唯一")</f>
        <v/>
      </c>
      <c r="T196" s="136" t="inlineStr">
        <is>
          <t>e4b8feb67d9a438892183fa3a2e4afec8e3131235be342c02b1ce72e25767466</t>
        </is>
      </c>
      <c r="U196" s="136" t="inlineStr">
        <is>
          <t>Codex</t>
        </is>
      </c>
      <c r="V196" s="137" t="n">
        <v>46241</v>
      </c>
      <c r="W196" s="136" t="inlineStr">
        <is>
          <t>项目WAV母版转码</t>
        </is>
      </c>
      <c r="X196" s="136" t="inlineStr">
        <is>
          <t>正式运行OGG；WAV仅作母版；AudioManager事件=shotgun_fire；Android/桌面统一版本化路径，禁止旧音效回退。</t>
        </is>
      </c>
    </row>
    <row r="197" ht="44" customHeight="1">
      <c r="A197" s="136" t="inlineStr">
        <is>
          <t>AUD-SFX-SMG-FIRE</t>
        </is>
      </c>
      <c r="B197" s="136" t="inlineStr">
        <is>
          <t>冲锋枪射击音效</t>
        </is>
      </c>
      <c r="C197" s="136" t="inlineStr">
        <is>
          <t>音频</t>
        </is>
      </c>
      <c r="D197" s="136" t="inlineStr">
        <is>
          <t>sfx</t>
        </is>
      </c>
      <c r="E197" s="136" t="inlineStr">
        <is>
          <t>smg_fire</t>
        </is>
      </c>
      <c r="F197" s="136" t="inlineStr">
        <is>
          <t>runtime</t>
        </is>
      </c>
      <c r="G197" s="136" t="n"/>
      <c r="H197" s="136" t="inlineStr">
        <is>
          <t>全局/非空间</t>
        </is>
      </c>
      <c r="I197" s="136" t="inlineStr">
        <is>
          <t>default</t>
        </is>
      </c>
      <c r="J197" s="136" t="inlineStr">
        <is>
          <t>桌面与Android正式运行</t>
        </is>
      </c>
      <c r="K197" s="136" t="inlineStr">
        <is>
          <t>已完成</t>
        </is>
      </c>
      <c r="L197" s="136" t="inlineStr">
        <is>
          <t>P0</t>
        </is>
      </c>
      <c r="M197" s="136" t="inlineStr">
        <is>
          <t>v001</t>
        </is>
      </c>
      <c r="N197" s="136" t="inlineStr">
        <is>
          <t>44.1kHz / OGG Vorbis / stereo</t>
        </is>
      </c>
      <c r="O197" s="136" t="inlineStr">
        <is>
          <t>src/assets/audio/sfx/smg_fire_v001.ogg</t>
        </is>
      </c>
      <c r="P197" s="136" t="inlineStr">
        <is>
          <t>src/assets/audio/sfx/smg_fire.wav; src/音效接入说明.md</t>
        </is>
      </c>
      <c r="Q197" s="136" t="inlineStr">
        <is>
          <t>smg_fire; 音效; OGG; Android; 移动端</t>
        </is>
      </c>
      <c r="R197" s="136">
        <f>TEXTJOIN("|",TRUE,C197,D197,E197,F197,H197,I197)</f>
        <v/>
      </c>
      <c r="S197" s="136">
        <f>IF(COUNTIF($R$6:$R$280,R197)&gt;1,"重复","唯一")</f>
        <v/>
      </c>
      <c r="T197" s="136" t="inlineStr">
        <is>
          <t>282379aa6850e03dd6109928a22ad7792563768414ece93374c7cff725d306fa</t>
        </is>
      </c>
      <c r="U197" s="136" t="inlineStr">
        <is>
          <t>Codex</t>
        </is>
      </c>
      <c r="V197" s="137" t="n">
        <v>46241</v>
      </c>
      <c r="W197" s="136" t="inlineStr">
        <is>
          <t>项目WAV母版转码</t>
        </is>
      </c>
      <c r="X197" s="136" t="inlineStr">
        <is>
          <t>正式运行OGG；WAV仅作母版；AudioManager事件=smg_fire；Android/桌面统一版本化路径，禁止旧音效回退。</t>
        </is>
      </c>
    </row>
    <row r="198" ht="44" customHeight="1">
      <c r="A198" s="136" t="inlineStr">
        <is>
          <t>AUD-SFX-SNIPER-FIRE</t>
        </is>
      </c>
      <c r="B198" s="136" t="inlineStr">
        <is>
          <t>狙击枪射击音效</t>
        </is>
      </c>
      <c r="C198" s="136" t="inlineStr">
        <is>
          <t>音频</t>
        </is>
      </c>
      <c r="D198" s="136" t="inlineStr">
        <is>
          <t>sfx</t>
        </is>
      </c>
      <c r="E198" s="136" t="inlineStr">
        <is>
          <t>sniper_fire</t>
        </is>
      </c>
      <c r="F198" s="136" t="inlineStr">
        <is>
          <t>runtime</t>
        </is>
      </c>
      <c r="G198" s="136" t="n"/>
      <c r="H198" s="136" t="inlineStr">
        <is>
          <t>全局/非空间</t>
        </is>
      </c>
      <c r="I198" s="136" t="inlineStr">
        <is>
          <t>default</t>
        </is>
      </c>
      <c r="J198" s="136" t="inlineStr">
        <is>
          <t>桌面与Android正式运行</t>
        </is>
      </c>
      <c r="K198" s="136" t="inlineStr">
        <is>
          <t>已完成</t>
        </is>
      </c>
      <c r="L198" s="136" t="inlineStr">
        <is>
          <t>P0</t>
        </is>
      </c>
      <c r="M198" s="136" t="inlineStr">
        <is>
          <t>v001</t>
        </is>
      </c>
      <c r="N198" s="136" t="inlineStr">
        <is>
          <t>44.1kHz / OGG Vorbis / stereo</t>
        </is>
      </c>
      <c r="O198" s="136" t="inlineStr">
        <is>
          <t>src/assets/audio/sfx/sniper_fire_v001.ogg</t>
        </is>
      </c>
      <c r="P198" s="136" t="inlineStr">
        <is>
          <t>src/assets/audio/sfx/sniper_fire.wav; src/音效接入说明.md</t>
        </is>
      </c>
      <c r="Q198" s="136" t="inlineStr">
        <is>
          <t>sniper_fire; 音效; OGG; Android; 移动端</t>
        </is>
      </c>
      <c r="R198" s="136">
        <f>TEXTJOIN("|",TRUE,C198,D198,E198,F198,H198,I198)</f>
        <v/>
      </c>
      <c r="S198" s="136">
        <f>IF(COUNTIF($R$6:$R$280,R198)&gt;1,"重复","唯一")</f>
        <v/>
      </c>
      <c r="T198" s="136" t="inlineStr">
        <is>
          <t>0d5161b3b8faece3024ad618916c203cd3d274d3b373af7bcbbd22baa0ab3968</t>
        </is>
      </c>
      <c r="U198" s="136" t="inlineStr">
        <is>
          <t>Codex</t>
        </is>
      </c>
      <c r="V198" s="137" t="n">
        <v>46241</v>
      </c>
      <c r="W198" s="136" t="inlineStr">
        <is>
          <t>项目WAV母版转码</t>
        </is>
      </c>
      <c r="X198" s="136" t="inlineStr">
        <is>
          <t>正式运行OGG；WAV仅作母版；AudioManager事件=sniper_fire；Android/桌面统一版本化路径，禁止旧音效回退。</t>
        </is>
      </c>
    </row>
    <row r="199" ht="44" customHeight="1">
      <c r="A199" s="136" t="inlineStr">
        <is>
          <t>AUD-SFX-SOUL-PICKUP</t>
        </is>
      </c>
      <c r="B199" s="136" t="inlineStr">
        <is>
          <t>魂球拾取音效</t>
        </is>
      </c>
      <c r="C199" s="136" t="inlineStr">
        <is>
          <t>音频</t>
        </is>
      </c>
      <c r="D199" s="136" t="inlineStr">
        <is>
          <t>sfx</t>
        </is>
      </c>
      <c r="E199" s="136" t="inlineStr">
        <is>
          <t>soul_pickup</t>
        </is>
      </c>
      <c r="F199" s="136" t="inlineStr">
        <is>
          <t>runtime</t>
        </is>
      </c>
      <c r="G199" s="136" t="n"/>
      <c r="H199" s="136" t="inlineStr">
        <is>
          <t>全局/非空间</t>
        </is>
      </c>
      <c r="I199" s="136" t="inlineStr">
        <is>
          <t>default</t>
        </is>
      </c>
      <c r="J199" s="136" t="inlineStr">
        <is>
          <t>桌面与Android正式运行</t>
        </is>
      </c>
      <c r="K199" s="136" t="inlineStr">
        <is>
          <t>已完成</t>
        </is>
      </c>
      <c r="L199" s="136" t="inlineStr">
        <is>
          <t>P0</t>
        </is>
      </c>
      <c r="M199" s="136" t="inlineStr">
        <is>
          <t>v001</t>
        </is>
      </c>
      <c r="N199" s="136" t="inlineStr">
        <is>
          <t>44.1kHz / OGG Vorbis / stereo</t>
        </is>
      </c>
      <c r="O199" s="136" t="inlineStr">
        <is>
          <t>src/assets/audio/sfx/soul_pickup_v001.ogg</t>
        </is>
      </c>
      <c r="P199" s="136" t="inlineStr">
        <is>
          <t>src/assets/audio/sfx/soul_pickup.wav; src/音效接入说明.md</t>
        </is>
      </c>
      <c r="Q199" s="136" t="inlineStr">
        <is>
          <t>soul_pickup; 音效; OGG; Android; 移动端</t>
        </is>
      </c>
      <c r="R199" s="136">
        <f>TEXTJOIN("|",TRUE,C199,D199,E199,F199,H199,I199)</f>
        <v/>
      </c>
      <c r="S199" s="136">
        <f>IF(COUNTIF($R$6:$R$280,R199)&gt;1,"重复","唯一")</f>
        <v/>
      </c>
      <c r="T199" s="136" t="inlineStr">
        <is>
          <t>c9f24f23f1c4e8ad28a5ee97e9b11efd00e53bf706faa0655cba4f78b68e76ff</t>
        </is>
      </c>
      <c r="U199" s="136" t="inlineStr">
        <is>
          <t>Codex</t>
        </is>
      </c>
      <c r="V199" s="137" t="n">
        <v>46241</v>
      </c>
      <c r="W199" s="136" t="inlineStr">
        <is>
          <t>项目WAV母版转码</t>
        </is>
      </c>
      <c r="X199" s="136" t="inlineStr">
        <is>
          <t>正式运行OGG；WAV仅作母版；AudioManager事件=soul_pickup；Android/桌面统一版本化路径，禁止旧音效回退。</t>
        </is>
      </c>
    </row>
    <row r="200" ht="44" customHeight="1">
      <c r="A200" s="136" t="inlineStr">
        <is>
          <t>AUD-SFX-UI-CLICK</t>
        </is>
      </c>
      <c r="B200" s="136" t="inlineStr">
        <is>
          <t>UI点击音效</t>
        </is>
      </c>
      <c r="C200" s="136" t="inlineStr">
        <is>
          <t>音频</t>
        </is>
      </c>
      <c r="D200" s="136" t="inlineStr">
        <is>
          <t>sfx</t>
        </is>
      </c>
      <c r="E200" s="136" t="inlineStr">
        <is>
          <t>ui_click</t>
        </is>
      </c>
      <c r="F200" s="136" t="inlineStr">
        <is>
          <t>runtime</t>
        </is>
      </c>
      <c r="G200" s="136" t="n"/>
      <c r="H200" s="136" t="inlineStr">
        <is>
          <t>全局/非空间</t>
        </is>
      </c>
      <c r="I200" s="136" t="inlineStr">
        <is>
          <t>default</t>
        </is>
      </c>
      <c r="J200" s="136" t="inlineStr">
        <is>
          <t>桌面与Android正式运行</t>
        </is>
      </c>
      <c r="K200" s="136" t="inlineStr">
        <is>
          <t>已完成</t>
        </is>
      </c>
      <c r="L200" s="136" t="inlineStr">
        <is>
          <t>P0</t>
        </is>
      </c>
      <c r="M200" s="136" t="inlineStr">
        <is>
          <t>v001</t>
        </is>
      </c>
      <c r="N200" s="136" t="inlineStr">
        <is>
          <t>44.1kHz / OGG Vorbis / stereo</t>
        </is>
      </c>
      <c r="O200" s="136" t="inlineStr">
        <is>
          <t>src/assets/audio/sfx/ui_click_v001.ogg</t>
        </is>
      </c>
      <c r="P200" s="136" t="inlineStr">
        <is>
          <t>src/assets/audio/sfx/ui_click.wav; src/音效接入说明.md</t>
        </is>
      </c>
      <c r="Q200" s="136" t="inlineStr">
        <is>
          <t>ui_click; 音效; OGG; Android; 移动端</t>
        </is>
      </c>
      <c r="R200" s="136">
        <f>TEXTJOIN("|",TRUE,C200,D200,E200,F200,H200,I200)</f>
        <v/>
      </c>
      <c r="S200" s="136">
        <f>IF(COUNTIF($R$6:$R$280,R200)&gt;1,"重复","唯一")</f>
        <v/>
      </c>
      <c r="T200" s="136" t="inlineStr">
        <is>
          <t>a19f1bec70959ea5fd4715ee292080f9932fc3835b060b713a00fc19822fc3a5</t>
        </is>
      </c>
      <c r="U200" s="136" t="inlineStr">
        <is>
          <t>Codex</t>
        </is>
      </c>
      <c r="V200" s="137" t="n">
        <v>46241</v>
      </c>
      <c r="W200" s="136" t="inlineStr">
        <is>
          <t>项目WAV母版转码</t>
        </is>
      </c>
      <c r="X200" s="136" t="inlineStr">
        <is>
          <t>正式运行OGG；WAV仅作母版；AudioManager事件=ui_click；Android/桌面统一版本化路径，禁止旧音效回退。</t>
        </is>
      </c>
    </row>
    <row r="201" ht="44" customHeight="1">
      <c r="A201" s="136" t="inlineStr">
        <is>
          <t>AUD-SFX-UI-ERROR</t>
        </is>
      </c>
      <c r="B201" s="136" t="inlineStr">
        <is>
          <t>UI错误音效</t>
        </is>
      </c>
      <c r="C201" s="136" t="inlineStr">
        <is>
          <t>音频</t>
        </is>
      </c>
      <c r="D201" s="136" t="inlineStr">
        <is>
          <t>sfx</t>
        </is>
      </c>
      <c r="E201" s="136" t="inlineStr">
        <is>
          <t>ui_error</t>
        </is>
      </c>
      <c r="F201" s="136" t="inlineStr">
        <is>
          <t>runtime</t>
        </is>
      </c>
      <c r="G201" s="136" t="n"/>
      <c r="H201" s="136" t="inlineStr">
        <is>
          <t>全局/非空间</t>
        </is>
      </c>
      <c r="I201" s="136" t="inlineStr">
        <is>
          <t>default</t>
        </is>
      </c>
      <c r="J201" s="136" t="inlineStr">
        <is>
          <t>桌面与Android正式运行</t>
        </is>
      </c>
      <c r="K201" s="136" t="inlineStr">
        <is>
          <t>已完成</t>
        </is>
      </c>
      <c r="L201" s="136" t="inlineStr">
        <is>
          <t>P0</t>
        </is>
      </c>
      <c r="M201" s="136" t="inlineStr">
        <is>
          <t>v001</t>
        </is>
      </c>
      <c r="N201" s="136" t="inlineStr">
        <is>
          <t>44.1kHz / OGG Vorbis / stereo</t>
        </is>
      </c>
      <c r="O201" s="136" t="inlineStr">
        <is>
          <t>src/assets/audio/sfx/ui_error_v001.ogg</t>
        </is>
      </c>
      <c r="P201" s="136" t="inlineStr">
        <is>
          <t>src/assets/audio/sfx/ui_error.wav; src/音效接入说明.md</t>
        </is>
      </c>
      <c r="Q201" s="136" t="inlineStr">
        <is>
          <t>ui_error; 音效; OGG; Android; 移动端</t>
        </is>
      </c>
      <c r="R201" s="136">
        <f>TEXTJOIN("|",TRUE,C201,D201,E201,F201,H201,I201)</f>
        <v/>
      </c>
      <c r="S201" s="136">
        <f>IF(COUNTIF($R$6:$R$280,R201)&gt;1,"重复","唯一")</f>
        <v/>
      </c>
      <c r="T201" s="136" t="inlineStr">
        <is>
          <t>eeb07b8cc575869b8d560c929431d8beb43eb533c9900403df6beb9bb83b9b5e</t>
        </is>
      </c>
      <c r="U201" s="136" t="inlineStr">
        <is>
          <t>Codex</t>
        </is>
      </c>
      <c r="V201" s="137" t="n">
        <v>46241</v>
      </c>
      <c r="W201" s="136" t="inlineStr">
        <is>
          <t>项目WAV母版转码</t>
        </is>
      </c>
      <c r="X201" s="136" t="inlineStr">
        <is>
          <t>正式运行OGG；WAV仅作母版；AudioManager事件=ui_error；Android/桌面统一版本化路径，禁止旧音效回退。</t>
        </is>
      </c>
    </row>
    <row r="202" ht="44" customHeight="1">
      <c r="A202" s="136" t="inlineStr">
        <is>
          <t>AUD-SFX-UI-HOVER</t>
        </is>
      </c>
      <c r="B202" s="136" t="inlineStr">
        <is>
          <t>UI悬停音效</t>
        </is>
      </c>
      <c r="C202" s="136" t="inlineStr">
        <is>
          <t>音频</t>
        </is>
      </c>
      <c r="D202" s="136" t="inlineStr">
        <is>
          <t>sfx</t>
        </is>
      </c>
      <c r="E202" s="136" t="inlineStr">
        <is>
          <t>ui_hover</t>
        </is>
      </c>
      <c r="F202" s="136" t="inlineStr">
        <is>
          <t>runtime</t>
        </is>
      </c>
      <c r="G202" s="136" t="n"/>
      <c r="H202" s="136" t="inlineStr">
        <is>
          <t>全局/非空间</t>
        </is>
      </c>
      <c r="I202" s="136" t="inlineStr">
        <is>
          <t>default</t>
        </is>
      </c>
      <c r="J202" s="136" t="inlineStr">
        <is>
          <t>桌面与Android正式运行</t>
        </is>
      </c>
      <c r="K202" s="136" t="inlineStr">
        <is>
          <t>已完成</t>
        </is>
      </c>
      <c r="L202" s="136" t="inlineStr">
        <is>
          <t>P0</t>
        </is>
      </c>
      <c r="M202" s="136" t="inlineStr">
        <is>
          <t>v001</t>
        </is>
      </c>
      <c r="N202" s="136" t="inlineStr">
        <is>
          <t>44.1kHz / OGG Vorbis / stereo</t>
        </is>
      </c>
      <c r="O202" s="136" t="inlineStr">
        <is>
          <t>src/assets/audio/sfx/ui_hover_v001.ogg</t>
        </is>
      </c>
      <c r="P202" s="136" t="inlineStr">
        <is>
          <t>src/assets/audio/sfx/ui_hover.wav; src/音效接入说明.md</t>
        </is>
      </c>
      <c r="Q202" s="136" t="inlineStr">
        <is>
          <t>ui_hover; 音效; OGG; Android; 移动端</t>
        </is>
      </c>
      <c r="R202" s="136">
        <f>TEXTJOIN("|",TRUE,C202,D202,E202,F202,H202,I202)</f>
        <v/>
      </c>
      <c r="S202" s="136">
        <f>IF(COUNTIF($R$6:$R$280,R202)&gt;1,"重复","唯一")</f>
        <v/>
      </c>
      <c r="T202" s="136" t="inlineStr">
        <is>
          <t>edb43f0a80a9833364555c052e01e898d39396bef925566cbadf34e009877bcb</t>
        </is>
      </c>
      <c r="U202" s="136" t="inlineStr">
        <is>
          <t>Codex</t>
        </is>
      </c>
      <c r="V202" s="137" t="n">
        <v>46241</v>
      </c>
      <c r="W202" s="136" t="inlineStr">
        <is>
          <t>项目WAV母版转码</t>
        </is>
      </c>
      <c r="X202" s="136" t="inlineStr">
        <is>
          <t>正式运行OGG；WAV仅作母版；AudioManager事件=ui_hover；Android/桌面统一版本化路径，禁止旧音效回退。</t>
        </is>
      </c>
    </row>
    <row r="203" ht="44" customHeight="1">
      <c r="A203" s="136" t="inlineStr">
        <is>
          <t>AUD-SFX-WAVE-CLEAR</t>
        </is>
      </c>
      <c r="B203" s="136" t="inlineStr">
        <is>
          <t>波次完成音效</t>
        </is>
      </c>
      <c r="C203" s="136" t="inlineStr">
        <is>
          <t>音频</t>
        </is>
      </c>
      <c r="D203" s="136" t="inlineStr">
        <is>
          <t>sfx</t>
        </is>
      </c>
      <c r="E203" s="136" t="inlineStr">
        <is>
          <t>wave_clear</t>
        </is>
      </c>
      <c r="F203" s="136" t="inlineStr">
        <is>
          <t>runtime</t>
        </is>
      </c>
      <c r="G203" s="136" t="n"/>
      <c r="H203" s="136" t="inlineStr">
        <is>
          <t>全局/非空间</t>
        </is>
      </c>
      <c r="I203" s="136" t="inlineStr">
        <is>
          <t>default</t>
        </is>
      </c>
      <c r="J203" s="136" t="inlineStr">
        <is>
          <t>桌面与Android正式运行</t>
        </is>
      </c>
      <c r="K203" s="136" t="inlineStr">
        <is>
          <t>已完成</t>
        </is>
      </c>
      <c r="L203" s="136" t="inlineStr">
        <is>
          <t>P0</t>
        </is>
      </c>
      <c r="M203" s="136" t="inlineStr">
        <is>
          <t>v001</t>
        </is>
      </c>
      <c r="N203" s="136" t="inlineStr">
        <is>
          <t>44.1kHz / OGG Vorbis / stereo</t>
        </is>
      </c>
      <c r="O203" s="136" t="inlineStr">
        <is>
          <t>src/assets/audio/sfx/wave_clear_v001.ogg</t>
        </is>
      </c>
      <c r="P203" s="136" t="inlineStr">
        <is>
          <t>src/assets/audio/sfx/wave_clear.wav; src/音效接入说明.md</t>
        </is>
      </c>
      <c r="Q203" s="136" t="inlineStr">
        <is>
          <t>wave_clear; 音效; OGG; Android; 移动端</t>
        </is>
      </c>
      <c r="R203" s="136">
        <f>TEXTJOIN("|",TRUE,C203,D203,E203,F203,H203,I203)</f>
        <v/>
      </c>
      <c r="S203" s="136">
        <f>IF(COUNTIF($R$6:$R$280,R203)&gt;1,"重复","唯一")</f>
        <v/>
      </c>
      <c r="T203" s="136" t="inlineStr">
        <is>
          <t>aa4d315fd2914681fc9a44533dc4470186f3b3349e88782a9d4a00730b5377a2</t>
        </is>
      </c>
      <c r="U203" s="136" t="inlineStr">
        <is>
          <t>Codex</t>
        </is>
      </c>
      <c r="V203" s="137" t="n">
        <v>46241</v>
      </c>
      <c r="W203" s="136" t="inlineStr">
        <is>
          <t>项目WAV母版转码</t>
        </is>
      </c>
      <c r="X203" s="136" t="inlineStr">
        <is>
          <t>正式运行OGG；WAV仅作母版；AudioManager事件=wave_clear；Android/桌面统一版本化路径，禁止旧音效回退。</t>
        </is>
      </c>
    </row>
    <row r="204" ht="44" customHeight="1">
      <c r="A204" s="136" t="inlineStr">
        <is>
          <t>AUD-SFX-WAVE-START</t>
        </is>
      </c>
      <c r="B204" s="136" t="inlineStr">
        <is>
          <t>波次开始音效</t>
        </is>
      </c>
      <c r="C204" s="136" t="inlineStr">
        <is>
          <t>音频</t>
        </is>
      </c>
      <c r="D204" s="136" t="inlineStr">
        <is>
          <t>sfx</t>
        </is>
      </c>
      <c r="E204" s="136" t="inlineStr">
        <is>
          <t>wave_start</t>
        </is>
      </c>
      <c r="F204" s="136" t="inlineStr">
        <is>
          <t>runtime</t>
        </is>
      </c>
      <c r="G204" s="136" t="n"/>
      <c r="H204" s="136" t="inlineStr">
        <is>
          <t>全局/非空间</t>
        </is>
      </c>
      <c r="I204" s="136" t="inlineStr">
        <is>
          <t>default</t>
        </is>
      </c>
      <c r="J204" s="136" t="inlineStr">
        <is>
          <t>桌面与Android正式运行</t>
        </is>
      </c>
      <c r="K204" s="136" t="inlineStr">
        <is>
          <t>已完成</t>
        </is>
      </c>
      <c r="L204" s="136" t="inlineStr">
        <is>
          <t>P0</t>
        </is>
      </c>
      <c r="M204" s="136" t="inlineStr">
        <is>
          <t>v001</t>
        </is>
      </c>
      <c r="N204" s="136" t="inlineStr">
        <is>
          <t>44.1kHz / OGG Vorbis / stereo</t>
        </is>
      </c>
      <c r="O204" s="136" t="inlineStr">
        <is>
          <t>src/assets/audio/sfx/wave_start_v001.ogg</t>
        </is>
      </c>
      <c r="P204" s="136" t="inlineStr">
        <is>
          <t>src/assets/audio/sfx/wave_start.wav; src/音效接入说明.md</t>
        </is>
      </c>
      <c r="Q204" s="136" t="inlineStr">
        <is>
          <t>wave_start; 音效; OGG; Android; 移动端</t>
        </is>
      </c>
      <c r="R204" s="136">
        <f>TEXTJOIN("|",TRUE,C204,D204,E204,F204,H204,I204)</f>
        <v/>
      </c>
      <c r="S204" s="136">
        <f>IF(COUNTIF($R$6:$R$280,R204)&gt;1,"重复","唯一")</f>
        <v/>
      </c>
      <c r="T204" s="136" t="inlineStr">
        <is>
          <t>be26cec7935eda95510b606cfc8bbebc5fe6f6d4310008a363d889f4bbef6083</t>
        </is>
      </c>
      <c r="U204" s="136" t="inlineStr">
        <is>
          <t>Codex</t>
        </is>
      </c>
      <c r="V204" s="137" t="n">
        <v>46241</v>
      </c>
      <c r="W204" s="136" t="inlineStr">
        <is>
          <t>项目WAV母版转码</t>
        </is>
      </c>
      <c r="X204" s="136" t="inlineStr">
        <is>
          <t>正式运行OGG；WAV仅作母版；AudioManager事件=wave_start；Android/桌面统一版本化路径，禁止旧音效回退。</t>
        </is>
      </c>
    </row>
    <row r="205">
      <c r="A205" s="136" t="inlineStr">
        <is>
          <t>CHR-PLY-CAPSULE01-3D-BUNNY01-LOWER-BODY-SOCKET</t>
        </is>
      </c>
      <c r="B205" s="136" t="inlineStr">
        <is>
          <t>兔子主角下身配件挂点</t>
        </is>
      </c>
      <c r="C205" s="136" t="inlineStr">
        <is>
          <t>角色</t>
        </is>
      </c>
      <c r="D205" s="136" t="inlineStr">
        <is>
          <t>player_accessory_socket</t>
        </is>
      </c>
      <c r="E205" s="136" t="inlineStr">
        <is>
          <t>player_capsule01</t>
        </is>
      </c>
      <c r="F205" s="136" t="inlineStr">
        <is>
          <t>lower_body_socket_3d_bunny01</t>
        </is>
      </c>
      <c r="G205" s="136" t="inlineStr">
        <is>
          <t>CHR-PLY-CAPSULE01-3D-BUNNY01-BODY</t>
        </is>
      </c>
      <c r="H205" s="136" t="inlineStr">
        <is>
          <t>俯视3D</t>
        </is>
      </c>
      <c r="I205" s="136" t="inlineStr">
        <is>
          <t>default</t>
        </is>
      </c>
      <c r="J205" s="136" t="inlineStr">
        <is>
          <t>3D玩家下身配件</t>
        </is>
      </c>
      <c r="K205" s="136" t="inlineStr">
        <is>
          <t>原型已接入</t>
        </is>
      </c>
      <c r="L205" s="136" t="inlineStr">
        <is>
          <t>P0</t>
        </is>
      </c>
      <c r="M205" s="136" t="inlineStr">
        <is>
          <t>v006</t>
        </is>
      </c>
      <c r="N205" s="136" t="inlineStr">
        <is>
          <t>Marker3D；BodyJoint local=(0,0.14,0)</t>
        </is>
      </c>
      <c r="O205" s="136" t="inlineStr">
        <is>
          <t>assets/art/characters/player/chr_player_capsule01_3d/variants/bunny01/chr_player_capsule01_bunny01_root_top3d_v006.tscn</t>
        </is>
      </c>
      <c r="P205" s="136" t="inlineStr">
        <is>
          <t>src/player3d/PlayerAvatar3D.gd; tests/verification/verify_player3d_lower_body_socket_flow.tscn</t>
        </is>
      </c>
      <c r="Q205" s="136" t="inlineStr">
        <is>
          <t>下身挂点;腰部挂点;裙子;裙摆;腰甲;LowerBodySocket;lower_body</t>
        </is>
      </c>
      <c r="R205" s="136">
        <f>LOWER(TRIM(C205)&amp;"|"&amp;TRIM(D205)&amp;"|"&amp;TRIM(E205)&amp;"|"&amp;TRIM(F205)&amp;"|"&amp;TRIM(H205)&amp;"|"&amp;TRIM(I205))</f>
        <v/>
      </c>
      <c r="S205" s="136">
        <f>IF(COUNTIF($R$6:$R$280,R205)&gt;1,"重复","唯一")</f>
        <v/>
      </c>
      <c r="T205" s="136" t="n"/>
      <c r="U205" s="136" t="inlineStr">
        <is>
          <t>Codex</t>
        </is>
      </c>
      <c r="V205" s="137" t="n">
        <v>46243</v>
      </c>
      <c r="W205" s="136" t="inlineStr">
        <is>
          <t>原创程序挂点</t>
        </is>
      </c>
      <c r="X205" s="136" t="inlineStr">
        <is>
          <t>BodyJoint子节点；只承载裙摆、腰甲和下摆等表现附件；继承身体位置/旋转/缩放，不改变碰撞、移动、伤害或状态机。</t>
        </is>
      </c>
    </row>
    <row r="206">
      <c r="A206" s="136" t="inlineStr">
        <is>
          <t>WPN-MELEE-BP-GREATBLADE</t>
        </is>
      </c>
      <c r="B206" s="136" t="inlineStr">
        <is>
          <t>巨型工业断刃程序原型</t>
        </is>
      </c>
      <c r="C206" s="136" t="inlineStr">
        <is>
          <t>武器</t>
        </is>
      </c>
      <c r="D206" s="136" t="inlineStr">
        <is>
          <t>melee</t>
        </is>
      </c>
      <c r="E206" s="136" t="inlineStr">
        <is>
          <t>bp_greatblade</t>
        </is>
      </c>
      <c r="F206" s="136" t="inlineStr">
        <is>
          <t>root</t>
        </is>
      </c>
      <c r="G206" s="136" t="n"/>
      <c r="H206" s="136" t="inlineStr">
        <is>
          <t>俯视3D</t>
        </is>
      </c>
      <c r="I206" s="136" t="inlineStr">
        <is>
          <t>default / three_step_combo</t>
        </is>
      </c>
      <c r="J206" s="136" t="inlineStr">
        <is>
          <t>手持/背负/地面/背包图标/表现页</t>
        </is>
      </c>
      <c r="K206" s="136" t="inlineStr">
        <is>
          <t>程序占位</t>
        </is>
      </c>
      <c r="L206" s="136" t="inlineStr">
        <is>
          <t>P0</t>
        </is>
      </c>
      <c r="M206" s="136" t="inlineStr">
        <is>
          <t>v001</t>
        </is>
      </c>
      <c r="N206" s="136" t="inlineStr">
        <is>
          <t>程序Mesh；0.82×0.30×2.42m；无碰撞</t>
        </is>
      </c>
      <c r="O206" s="136" t="inlineStr">
        <is>
          <t>assets/art/weapons/melee_3d/wpn_melee_greatblade_root_top3d_v001.tscn</t>
        </is>
      </c>
      <c r="P206" s="136" t="inlineStr">
        <is>
          <t>src/combat3d/MeleeWeaponVisual3D.gd; src/player3d/melee/PlayerMeleeCombat3D.gd</t>
        </is>
      </c>
      <c r="Q206" s="136" t="inlineStr">
        <is>
          <t>近战;大型武器;工业断刃;三段连击;greatblade;melee</t>
        </is>
      </c>
      <c r="R206" s="136" t="inlineStr">
        <is>
          <t>武器|melee|bp_greatblade|root|俯视3d|default / three_step_combo</t>
        </is>
      </c>
      <c r="S206" s="136">
        <f>IF(COUNTIF($R$6:$R$280,R206)&gt;1,"重复","唯一")</f>
        <v/>
      </c>
      <c r="T206" s="136" t="n"/>
      <c r="U206" s="136" t="inlineStr">
        <is>
          <t>Codex</t>
        </is>
      </c>
      <c r="V206" s="137" t="n">
        <v>46244</v>
      </c>
      <c r="W206" s="136" t="inlineStr">
        <is>
          <t>原创程序原型</t>
        </is>
      </c>
      <c r="X206" s="136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07">
      <c r="A207" s="136" t="inlineStr">
        <is>
          <t>WPN-MELEE-BP-WARAXE</t>
        </is>
      </c>
      <c r="B207" s="136" t="inlineStr">
        <is>
          <t>攻城裂甲斧程序原型</t>
        </is>
      </c>
      <c r="C207" s="136" t="inlineStr">
        <is>
          <t>武器</t>
        </is>
      </c>
      <c r="D207" s="136" t="inlineStr">
        <is>
          <t>melee</t>
        </is>
      </c>
      <c r="E207" s="136" t="inlineStr">
        <is>
          <t>bp_waraxe</t>
        </is>
      </c>
      <c r="F207" s="136" t="inlineStr">
        <is>
          <t>root</t>
        </is>
      </c>
      <c r="G207" s="136" t="n"/>
      <c r="H207" s="136" t="inlineStr">
        <is>
          <t>俯视3D</t>
        </is>
      </c>
      <c r="I207" s="136" t="inlineStr">
        <is>
          <t>default / three_step_combo</t>
        </is>
      </c>
      <c r="J207" s="136" t="inlineStr">
        <is>
          <t>手持/背负/地面/背包图标/表现页</t>
        </is>
      </c>
      <c r="K207" s="136" t="inlineStr">
        <is>
          <t>程序占位</t>
        </is>
      </c>
      <c r="L207" s="136" t="inlineStr">
        <is>
          <t>P0</t>
        </is>
      </c>
      <c r="M207" s="136" t="inlineStr">
        <is>
          <t>v001</t>
        </is>
      </c>
      <c r="N207" s="136" t="inlineStr">
        <is>
          <t>程序Mesh；1.18×0.34×2.62m；无碰撞</t>
        </is>
      </c>
      <c r="O207" s="136" t="inlineStr">
        <is>
          <t>assets/art/weapons/melee_3d/wpn_melee_waraxe_root_top3d_v001.tscn</t>
        </is>
      </c>
      <c r="P207" s="136" t="inlineStr">
        <is>
          <t>src/combat3d/MeleeWeaponVisual3D.gd; src/player3d/melee/PlayerMeleeCombat3D.gd</t>
        </is>
      </c>
      <c r="Q207" s="136" t="inlineStr">
        <is>
          <t>近战;大型武器;攻城斧;三段连击;waraxe;melee</t>
        </is>
      </c>
      <c r="R207" s="136" t="inlineStr">
        <is>
          <t>武器|melee|bp_waraxe|root|俯视3d|default / three_step_combo</t>
        </is>
      </c>
      <c r="S207" s="136">
        <f>IF(COUNTIF($R$6:$R$280,R207)&gt;1,"重复","唯一")</f>
        <v/>
      </c>
      <c r="T207" s="136" t="n"/>
      <c r="U207" s="136" t="inlineStr">
        <is>
          <t>Codex</t>
        </is>
      </c>
      <c r="V207" s="137" t="n">
        <v>46244</v>
      </c>
      <c r="W207" s="136" t="inlineStr">
        <is>
          <t>原创程序原型</t>
        </is>
      </c>
      <c r="X207" s="136" t="inlineStr">
        <is>
          <t>总长2.62m；高伤高击退；四态动作子状态机；第三段最大弧光并降低音高/提高冲击响度；最终美术替换保留握柄原点/local -Z与稳定ID。</t>
        </is>
      </c>
    </row>
    <row r="208">
      <c r="A208" s="136" t="inlineStr">
        <is>
          <t>AUD-SFX-MELEE-IMPACT</t>
        </is>
      </c>
      <c r="B208" s="136" t="inlineStr">
        <is>
          <t>近战命中主层音效</t>
        </is>
      </c>
      <c r="C208" s="136" t="inlineStr">
        <is>
          <t>音频</t>
        </is>
      </c>
      <c r="D208" s="136" t="inlineStr">
        <is>
          <t>sfx</t>
        </is>
      </c>
      <c r="E208" s="136" t="inlineStr">
        <is>
          <t>melee_impact</t>
        </is>
      </c>
      <c r="F208" s="136" t="inlineStr">
        <is>
          <t>runtime</t>
        </is>
      </c>
      <c r="G208" s="136" t="n"/>
      <c r="H208" s="136" t="inlineStr">
        <is>
          <t>全局/非空间</t>
        </is>
      </c>
      <c r="I208" s="136" t="inlineStr">
        <is>
          <t>default</t>
        </is>
      </c>
      <c r="J208" s="136" t="inlineStr">
        <is>
          <t>桌面与Android正式运行</t>
        </is>
      </c>
      <c r="K208" s="136" t="inlineStr">
        <is>
          <t>已完成</t>
        </is>
      </c>
      <c r="L208" s="136" t="inlineStr">
        <is>
          <t>P0</t>
        </is>
      </c>
      <c r="M208" s="136" t="inlineStr">
        <is>
          <t>v001</t>
        </is>
      </c>
      <c r="N208" s="136" t="inlineStr">
        <is>
          <t>44.1kHz / OGG Vorbis / stereo</t>
        </is>
      </c>
      <c r="O208" s="136" t="inlineStr">
        <is>
          <t>src/assets/audio/sfx/melee_impact_v001.ogg</t>
        </is>
      </c>
      <c r="P208" s="136" t="inlineStr">
        <is>
          <t>src/assets/audio/sfx/melee_impact.wav; src/音效接入说明.md</t>
        </is>
      </c>
      <c r="Q208" s="136" t="inlineStr">
        <is>
          <t>melee_impact; 近战命中; 打击; 冲击; OGG; Android</t>
        </is>
      </c>
      <c r="R208" s="136">
        <f>TEXTJOIN("|",TRUE,C208,D208,E208,F208,H208,I208)</f>
        <v/>
      </c>
      <c r="S208" s="136">
        <f>IF(COUNTIF($R$6:$R$280,R208)&gt;1,"重复","唯一")</f>
        <v/>
      </c>
      <c r="T208" s="136" t="inlineStr">
        <is>
          <t>adef9ec927d3d54967c605bfd3b779237e4f2b2b4430c30b4b656d4a204db8f8</t>
        </is>
      </c>
      <c r="U208" s="136" t="inlineStr">
        <is>
          <t>Codex</t>
        </is>
      </c>
      <c r="V208" s="136" t="n">
        <v>46244</v>
      </c>
      <c r="W208" s="136" t="inlineStr">
        <is>
          <t>原创程序合成母版</t>
        </is>
      </c>
      <c r="X208" s="136" t="inlineStr">
        <is>
          <t>正式运行OGG；WAV为原创程序合成母版；AudioManager事件=melee_impact；攻击级单次播放，敌人enemy_hit/crit_hit仍逐目标负责材质接触层。</t>
        </is>
      </c>
    </row>
    <row r="209">
      <c r="A209" s="136" t="inlineStr">
        <is>
          <t>AUD-SFX-MELEE-SWING</t>
        </is>
      </c>
      <c r="B209" s="136" t="inlineStr">
        <is>
          <t>近战挥砍空气层音效</t>
        </is>
      </c>
      <c r="C209" s="136" t="inlineStr">
        <is>
          <t>音频</t>
        </is>
      </c>
      <c r="D209" s="136" t="inlineStr">
        <is>
          <t>sfx</t>
        </is>
      </c>
      <c r="E209" s="136" t="inlineStr">
        <is>
          <t>melee_swing</t>
        </is>
      </c>
      <c r="F209" s="136" t="inlineStr">
        <is>
          <t>runtime</t>
        </is>
      </c>
      <c r="G209" s="136" t="n"/>
      <c r="H209" s="136" t="inlineStr">
        <is>
          <t>全局/非空间</t>
        </is>
      </c>
      <c r="I209" s="136" t="inlineStr">
        <is>
          <t>default</t>
        </is>
      </c>
      <c r="J209" s="136" t="inlineStr">
        <is>
          <t>桌面与Android正式运行</t>
        </is>
      </c>
      <c r="K209" s="136" t="inlineStr">
        <is>
          <t>已完成</t>
        </is>
      </c>
      <c r="L209" s="136" t="inlineStr">
        <is>
          <t>P0</t>
        </is>
      </c>
      <c r="M209" s="136" t="inlineStr">
        <is>
          <t>v001</t>
        </is>
      </c>
      <c r="N209" s="136" t="inlineStr">
        <is>
          <t>44.1kHz / OGG Vorbis / stereo</t>
        </is>
      </c>
      <c r="O209" s="136" t="inlineStr">
        <is>
          <t>src/assets/audio/sfx/melee_swing_v001.ogg</t>
        </is>
      </c>
      <c r="P209" s="136" t="inlineStr">
        <is>
          <t>src/assets/audio/sfx/melee_swing.wav; src/音效接入说明.md</t>
        </is>
      </c>
      <c r="Q209" s="136" t="inlineStr">
        <is>
          <t>melee_swing; 近战挥砍; 切风; 空气层; OGG; Android</t>
        </is>
      </c>
      <c r="R209" s="136">
        <f>TEXTJOIN("|",TRUE,C209,D209,E209,F209,H209,I209)</f>
        <v/>
      </c>
      <c r="S209" s="136">
        <f>IF(COUNTIF($R$6:$R$280,R209)&gt;1,"重复","唯一")</f>
        <v/>
      </c>
      <c r="T209" s="136" t="inlineStr">
        <is>
          <t>a3deeeeae55f1944ccf5df07167dad6c5cc4ac2869cf7b397383ce9828cfdad4</t>
        </is>
      </c>
      <c r="U209" s="136" t="inlineStr">
        <is>
          <t>Codex</t>
        </is>
      </c>
      <c r="V209" s="136" t="n">
        <v>46244</v>
      </c>
      <c r="W209" s="136" t="inlineStr">
        <is>
          <t>原创程序合成母版</t>
        </is>
      </c>
      <c r="X209" s="136" t="inlineStr">
        <is>
          <t>正式运行OGG；WAV为原创程序合成母版；AudioManager事件=melee_swing；每段active一次，按连段与武器类型固定调整音高/响度。</t>
        </is>
      </c>
    </row>
    <row r="210">
      <c r="A210" s="136" t="inlineStr">
        <is>
          <t>WPN-MELEE-BP-BASEBALL-BAT</t>
        </is>
      </c>
      <c r="B210" s="136" t="inlineStr">
        <is>
          <t>废土棒球棍程序原型</t>
        </is>
      </c>
      <c r="C210" s="136" t="inlineStr">
        <is>
          <t>武器</t>
        </is>
      </c>
      <c r="D210" s="136" t="inlineStr">
        <is>
          <t>melee</t>
        </is>
      </c>
      <c r="E210" s="136" t="inlineStr">
        <is>
          <t>bp_baseball_bat</t>
        </is>
      </c>
      <c r="F210" s="136" t="inlineStr">
        <is>
          <t>root</t>
        </is>
      </c>
      <c r="G210" s="136" t="n"/>
      <c r="H210" s="136" t="inlineStr">
        <is>
          <t>俯视3D</t>
        </is>
      </c>
      <c r="I210" s="136" t="inlineStr">
        <is>
          <t>default / three_step_combo</t>
        </is>
      </c>
      <c r="J210" s="136" t="inlineStr">
        <is>
          <t>手持/背负/地面/背包图标/表现页/基地贩卖机</t>
        </is>
      </c>
      <c r="K210" s="136" t="inlineStr">
        <is>
          <t>程序占位</t>
        </is>
      </c>
      <c r="L210" s="136" t="inlineStr">
        <is>
          <t>P0</t>
        </is>
      </c>
      <c r="M210" s="136" t="inlineStr">
        <is>
          <t>v001</t>
        </is>
      </c>
      <c r="N210" s="136" t="inlineStr">
        <is>
          <t>程序Mesh；0.28×0.28×1.48m；无碰撞</t>
        </is>
      </c>
      <c r="O210" s="136" t="inlineStr">
        <is>
          <t>assets/art/weapons/melee_3d/wpn_melee_baseball_bat_root_top3d_v001.tscn</t>
        </is>
      </c>
      <c r="P210" s="136" t="inlineStr">
        <is>
          <t>src/combat3d/MeleeWeaponVisual3D.gd; src/player3d/melee/PlayerMeleeCombat3D.gd; tests/verification/verify_weapon_attachment_inventory_flow.gd</t>
        </is>
      </c>
      <c r="Q210" s="136" t="inlineStr">
        <is>
          <t>近战;初级武器;棒球棍;三段连击;baseball_bat;melee;基地贩卖机</t>
        </is>
      </c>
      <c r="R210" s="136">
        <f>LOWER(TRIM(C210)&amp;"|"&amp;TRIM(D210)&amp;"|"&amp;TRIM(E210)&amp;"|"&amp;TRIM(F210)&amp;"|"&amp;TRIM(H210)&amp;"|"&amp;TRIM(I210))</f>
        <v/>
      </c>
      <c r="S210" s="136">
        <f>IF(COUNTIF($R$6:$R$280,R210)&gt;1,"重复","唯一")</f>
        <v/>
      </c>
      <c r="T210" s="136" t="inlineStr">
        <is>
          <t>700ecf26ca26d653967db40dbe48f8572387ae63b43a1428aa54721c25ca7b0a</t>
        </is>
      </c>
      <c r="U210" s="136" t="inlineStr">
        <is>
          <t>Codex</t>
        </is>
      </c>
      <c r="V210" s="136" t="n">
        <v>46244</v>
      </c>
      <c r="W210" s="136" t="inlineStr">
        <is>
          <t>原创程序原型</t>
        </is>
      </c>
      <c r="X210" s="136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211">
      <c r="A211" s="138" t="inlineStr">
        <is>
          <t>WPN-GUN-FUTURE-MEGAPHONE-CANNON-3D</t>
        </is>
      </c>
      <c r="B211" s="138" t="inlineStr">
        <is>
          <t>扩音器加农炮</t>
        </is>
      </c>
      <c r="C211" s="138" t="inlineStr">
        <is>
          <t>武器</t>
        </is>
      </c>
      <c r="D211" s="138" t="inlineStr">
        <is>
          <t>gunbody</t>
        </is>
      </c>
      <c r="E211" s="138" t="inlineStr">
        <is>
          <t>future_megaphone_cannon</t>
        </is>
      </c>
      <c r="F211" s="138" t="inlineStr">
        <is>
          <t>root</t>
        </is>
      </c>
      <c r="G211" s="138" t="n"/>
      <c r="H211" s="138" t="inlineStr">
        <is>
          <t>俯视3D / local -Z 枪口</t>
        </is>
      </c>
      <c r="I211" s="138" t="inlineStr">
        <is>
          <t>default / 标准握把与8类挂点</t>
        </is>
      </c>
      <c r="J211" s="138" t="inlineStr">
        <is>
          <t>未来枪械池/独立资产</t>
        </is>
      </c>
      <c r="K211" s="138" t="inlineStr">
        <is>
          <t>正式美术已入库/待玩法映射</t>
        </is>
      </c>
      <c r="L211" s="138" t="inlineStr">
        <is>
          <t>P2</t>
        </is>
      </c>
      <c r="M211" s="138" t="inlineStr">
        <is>
          <t>v001</t>
        </is>
      </c>
      <c r="N211" s="138" t="inlineStr">
        <is>
          <t>握把原点；local -Z枪口；3材质；独立GLB/PackedScene</t>
        </is>
      </c>
      <c r="O211" s="138" t="inlineStr">
        <is>
          <t>assets/art/weapons/weapon_3d/runtime/megaphone_cannon/wpn_megaphone_cannon_root_top3d_v001.tscn</t>
        </is>
      </c>
      <c r="P211" s="138" t="inlineStr">
        <is>
          <t>assets/art/weapons/weapon_3d/source/megaphone_cannon/wpn_megaphone_cannon_source_v001.blend</t>
        </is>
      </c>
      <c r="Q211" s="138" t="inlineStr">
        <is>
          <t>megaphone_cannon; 扩音器加农炮; 未来枪械; 通用挂点; 多巴胺配色</t>
        </is>
      </c>
      <c r="R211" s="138">
        <f>LOWER(TRIM(C211)&amp;"|"&amp;TRIM(D211)&amp;"|"&amp;TRIM(E211)&amp;"|"&amp;TRIM(F211)&amp;"|"&amp;TRIM(H211)&amp;"|"&amp;TRIM(I211))</f>
        <v/>
      </c>
      <c r="S211" s="138">
        <f>IF(COUNTIF($R$6:$R$280,R211)&gt;1,"重复","唯一")</f>
        <v/>
      </c>
      <c r="T211" s="138" t="inlineStr">
        <is>
          <t>6b8f58fe196a685db9c492e0376e6fa46400fc83329ec64b27493d4217aad3c2</t>
        </is>
      </c>
      <c r="U211" s="138" t="inlineStr">
        <is>
          <t>Codex</t>
        </is>
      </c>
      <c r="V211" s="303" t="n">
        <v>46244</v>
      </c>
      <c r="W211" s="138" t="inlineStr">
        <is>
          <t>用户自制Blender资产</t>
        </is>
      </c>
      <c r="X211" s="138" t="inlineStr">
        <is>
          <t>暂不绑定现有蓝图ID；已独立导入并统一Grip/Muzzle/Scope/Magazine/Stock/Tactical等节点。</t>
        </is>
      </c>
    </row>
    <row r="212">
      <c r="A212" s="138" t="inlineStr">
        <is>
          <t>WPN-GUN-FUTURE-GUITAR-BLASTER-3D</t>
        </is>
      </c>
      <c r="B212" s="138" t="inlineStr">
        <is>
          <t>吉他爆能枪</t>
        </is>
      </c>
      <c r="C212" s="138" t="inlineStr">
        <is>
          <t>武器</t>
        </is>
      </c>
      <c r="D212" s="138" t="inlineStr">
        <is>
          <t>gunbody</t>
        </is>
      </c>
      <c r="E212" s="138" t="inlineStr">
        <is>
          <t>future_guitar_blaster</t>
        </is>
      </c>
      <c r="F212" s="138" t="inlineStr">
        <is>
          <t>root</t>
        </is>
      </c>
      <c r="G212" s="138" t="n"/>
      <c r="H212" s="138" t="inlineStr">
        <is>
          <t>俯视3D / local -Z 枪口</t>
        </is>
      </c>
      <c r="I212" s="138" t="inlineStr">
        <is>
          <t>default / 标准握把与8类挂点</t>
        </is>
      </c>
      <c r="J212" s="138" t="inlineStr">
        <is>
          <t>未来枪械池/独立资产</t>
        </is>
      </c>
      <c r="K212" s="138" t="inlineStr">
        <is>
          <t>正式美术已入库/待玩法映射</t>
        </is>
      </c>
      <c r="L212" s="138" t="inlineStr">
        <is>
          <t>P2</t>
        </is>
      </c>
      <c r="M212" s="138" t="inlineStr">
        <is>
          <t>v001</t>
        </is>
      </c>
      <c r="N212" s="138" t="inlineStr">
        <is>
          <t>握把原点；local -Z枪口；3材质；独立GLB/PackedScene</t>
        </is>
      </c>
      <c r="O212" s="138" t="inlineStr">
        <is>
          <t>assets/art/weapons/weapon_3d/runtime/guitar_blaster/wpn_guitar_blaster_root_top3d_v001.tscn</t>
        </is>
      </c>
      <c r="P212" s="138" t="inlineStr">
        <is>
          <t>assets/art/weapons/weapon_3d/source/guitar_blaster/wpn_guitar_blaster_source_v001.blend</t>
        </is>
      </c>
      <c r="Q212" s="138" t="inlineStr">
        <is>
          <t>guitar_blaster; 吉他爆能枪; 未来枪械; 通用挂点; 多巴胺配色</t>
        </is>
      </c>
      <c r="R212" s="138">
        <f>LOWER(TRIM(C212)&amp;"|"&amp;TRIM(D212)&amp;"|"&amp;TRIM(E212)&amp;"|"&amp;TRIM(F212)&amp;"|"&amp;TRIM(H212)&amp;"|"&amp;TRIM(I212))</f>
        <v/>
      </c>
      <c r="S212" s="138">
        <f>IF(COUNTIF($R$6:$R$280,R212)&gt;1,"重复","唯一")</f>
        <v/>
      </c>
      <c r="T212" s="138" t="inlineStr">
        <is>
          <t>b82adc9dde68d6ed983b7a99be35b4d4cbc5101a3f28e06ba27440a4f04688aa</t>
        </is>
      </c>
      <c r="U212" s="138" t="inlineStr">
        <is>
          <t>Codex</t>
        </is>
      </c>
      <c r="V212" s="303" t="n">
        <v>46244</v>
      </c>
      <c r="W212" s="138" t="inlineStr">
        <is>
          <t>用户自制Blender资产</t>
        </is>
      </c>
      <c r="X212" s="138" t="inlineStr">
        <is>
          <t>暂不绑定现有蓝图ID；已独立导入并统一Grip/Muzzle/Scope/Magazine/Stock/Tactical等节点。</t>
        </is>
      </c>
    </row>
    <row r="213">
      <c r="A213" s="138" t="inlineStr">
        <is>
          <t>WPN-GUN-FUTURE-SPATULA-RIFLE-3D</t>
        </is>
      </c>
      <c r="B213" s="138" t="inlineStr">
        <is>
          <t>锅铲步枪</t>
        </is>
      </c>
      <c r="C213" s="138" t="inlineStr">
        <is>
          <t>武器</t>
        </is>
      </c>
      <c r="D213" s="138" t="inlineStr">
        <is>
          <t>gunbody</t>
        </is>
      </c>
      <c r="E213" s="138" t="inlineStr">
        <is>
          <t>future_spatula_rifle</t>
        </is>
      </c>
      <c r="F213" s="138" t="inlineStr">
        <is>
          <t>root</t>
        </is>
      </c>
      <c r="G213" s="138" t="n"/>
      <c r="H213" s="138" t="inlineStr">
        <is>
          <t>俯视3D / local -Z 枪口</t>
        </is>
      </c>
      <c r="I213" s="138" t="inlineStr">
        <is>
          <t>default / 标准握把与8类挂点</t>
        </is>
      </c>
      <c r="J213" s="138" t="inlineStr">
        <is>
          <t>未来枪械池/独立资产</t>
        </is>
      </c>
      <c r="K213" s="138" t="inlineStr">
        <is>
          <t>正式美术已入库/待玩法映射</t>
        </is>
      </c>
      <c r="L213" s="138" t="inlineStr">
        <is>
          <t>P2</t>
        </is>
      </c>
      <c r="M213" s="138" t="inlineStr">
        <is>
          <t>v001</t>
        </is>
      </c>
      <c r="N213" s="138" t="inlineStr">
        <is>
          <t>握把原点；local -Z枪口；3材质；独立GLB/PackedScene</t>
        </is>
      </c>
      <c r="O213" s="138" t="inlineStr">
        <is>
          <t>assets/art/weapons/weapon_3d/runtime/spatula_rifle/wpn_spatula_rifle_root_top3d_v001.tscn</t>
        </is>
      </c>
      <c r="P213" s="138" t="inlineStr">
        <is>
          <t>assets/art/weapons/weapon_3d/source/spatula_rifle/wpn_spatula_rifle_source_v001.blend</t>
        </is>
      </c>
      <c r="Q213" s="138" t="inlineStr">
        <is>
          <t>spatula_rifle; 锅铲步枪; 未来枪械; 通用挂点; 多巴胺配色</t>
        </is>
      </c>
      <c r="R213" s="138">
        <f>LOWER(TRIM(C213)&amp;"|"&amp;TRIM(D213)&amp;"|"&amp;TRIM(E213)&amp;"|"&amp;TRIM(F213)&amp;"|"&amp;TRIM(H213)&amp;"|"&amp;TRIM(I213))</f>
        <v/>
      </c>
      <c r="S213" s="138">
        <f>IF(COUNTIF($R$6:$R$280,R213)&gt;1,"重复","唯一")</f>
        <v/>
      </c>
      <c r="T213" s="138" t="inlineStr">
        <is>
          <t>8af70da0fa51e700cfda37a6d5417967285074dc502b461fe0428b257cf0b075</t>
        </is>
      </c>
      <c r="U213" s="138" t="inlineStr">
        <is>
          <t>Codex</t>
        </is>
      </c>
      <c r="V213" s="303" t="n">
        <v>46244</v>
      </c>
      <c r="W213" s="138" t="inlineStr">
        <is>
          <t>用户自制Blender资产</t>
        </is>
      </c>
      <c r="X213" s="138" t="inlineStr">
        <is>
          <t>暂不绑定现有蓝图ID；已独立导入并统一Grip/Muzzle/Scope/Magazine/Stock/Tactical等节点。</t>
        </is>
      </c>
    </row>
    <row r="214">
      <c r="A214" s="138" t="inlineStr">
        <is>
          <t>WPN-GUN-FUTURE-FRYING-PAN-CANNON-3D</t>
        </is>
      </c>
      <c r="B214" s="138" t="inlineStr">
        <is>
          <t>平底锅加农炮</t>
        </is>
      </c>
      <c r="C214" s="138" t="inlineStr">
        <is>
          <t>武器</t>
        </is>
      </c>
      <c r="D214" s="138" t="inlineStr">
        <is>
          <t>gunbody</t>
        </is>
      </c>
      <c r="E214" s="138" t="inlineStr">
        <is>
          <t>future_frying_pan_cannon</t>
        </is>
      </c>
      <c r="F214" s="138" t="inlineStr">
        <is>
          <t>root</t>
        </is>
      </c>
      <c r="G214" s="138" t="n"/>
      <c r="H214" s="138" t="inlineStr">
        <is>
          <t>俯视3D / local -Z 枪口</t>
        </is>
      </c>
      <c r="I214" s="138" t="inlineStr">
        <is>
          <t>default / 标准握把与8类挂点</t>
        </is>
      </c>
      <c r="J214" s="138" t="inlineStr">
        <is>
          <t>未来枪械池/独立资产</t>
        </is>
      </c>
      <c r="K214" s="138" t="inlineStr">
        <is>
          <t>正式美术已入库/待玩法映射</t>
        </is>
      </c>
      <c r="L214" s="138" t="inlineStr">
        <is>
          <t>P2</t>
        </is>
      </c>
      <c r="M214" s="138" t="inlineStr">
        <is>
          <t>v001</t>
        </is>
      </c>
      <c r="N214" s="138" t="inlineStr">
        <is>
          <t>握把原点；local -Z枪口；3材质；独立GLB/PackedScene</t>
        </is>
      </c>
      <c r="O214" s="138" t="inlineStr">
        <is>
          <t>assets/art/weapons/weapon_3d/runtime/frying_pan_cannon/wpn_frying_pan_cannon_root_top3d_v001.tscn</t>
        </is>
      </c>
      <c r="P214" s="138" t="inlineStr">
        <is>
          <t>assets/art/weapons/weapon_3d/source/frying_pan_cannon/wpn_frying_pan_cannon_source_v001.blend</t>
        </is>
      </c>
      <c r="Q214" s="138" t="inlineStr">
        <is>
          <t>frying_pan_cannon; 平底锅加农炮; 未来枪械; 通用挂点; 多巴胺配色</t>
        </is>
      </c>
      <c r="R214" s="138">
        <f>LOWER(TRIM(C214)&amp;"|"&amp;TRIM(D214)&amp;"|"&amp;TRIM(E214)&amp;"|"&amp;TRIM(F214)&amp;"|"&amp;TRIM(H214)&amp;"|"&amp;TRIM(I214))</f>
        <v/>
      </c>
      <c r="S214" s="138">
        <f>IF(COUNTIF($R$6:$R$280,R214)&gt;1,"重复","唯一")</f>
        <v/>
      </c>
      <c r="T214" s="138" t="inlineStr">
        <is>
          <t>074036c4f15d6d08ef091734e6058f756b9fb7dab8fb0e3277cf6ced3841f6fe</t>
        </is>
      </c>
      <c r="U214" s="138" t="inlineStr">
        <is>
          <t>Codex</t>
        </is>
      </c>
      <c r="V214" s="303" t="n">
        <v>46244</v>
      </c>
      <c r="W214" s="138" t="inlineStr">
        <is>
          <t>用户自制Blender资产</t>
        </is>
      </c>
      <c r="X214" s="138" t="inlineStr">
        <is>
          <t>暂不绑定现有蓝图ID；已独立导入并统一Grip/Muzzle/Scope/Magazine/Stock/Tactical等节点。</t>
        </is>
      </c>
    </row>
    <row r="215">
      <c r="A215" s="138" t="inlineStr">
        <is>
          <t>WPN-GUN-FUTURE-SCOPE-CANNON-3D</t>
        </is>
      </c>
      <c r="B215" s="138" t="inlineStr">
        <is>
          <t>瞄准镜加农炮</t>
        </is>
      </c>
      <c r="C215" s="138" t="inlineStr">
        <is>
          <t>武器</t>
        </is>
      </c>
      <c r="D215" s="138" t="inlineStr">
        <is>
          <t>gunbody</t>
        </is>
      </c>
      <c r="E215" s="138" t="inlineStr">
        <is>
          <t>future_scope_cannon</t>
        </is>
      </c>
      <c r="F215" s="138" t="inlineStr">
        <is>
          <t>root</t>
        </is>
      </c>
      <c r="G215" s="138" t="n"/>
      <c r="H215" s="138" t="inlineStr">
        <is>
          <t>俯视3D / local -Z 枪口</t>
        </is>
      </c>
      <c r="I215" s="138" t="inlineStr">
        <is>
          <t>default / 标准握把与8类挂点</t>
        </is>
      </c>
      <c r="J215" s="138" t="inlineStr">
        <is>
          <t>未来枪械池/独立资产</t>
        </is>
      </c>
      <c r="K215" s="138" t="inlineStr">
        <is>
          <t>正式美术已入库/待玩法映射</t>
        </is>
      </c>
      <c r="L215" s="138" t="inlineStr">
        <is>
          <t>P2</t>
        </is>
      </c>
      <c r="M215" s="138" t="inlineStr">
        <is>
          <t>v001</t>
        </is>
      </c>
      <c r="N215" s="138" t="inlineStr">
        <is>
          <t>握把原点；local -Z枪口；3材质；独立GLB/PackedScene</t>
        </is>
      </c>
      <c r="O215" s="138" t="inlineStr">
        <is>
          <t>assets/art/weapons/weapon_3d/runtime/scope_cannon/wpn_scope_cannon_root_top3d_v001.tscn</t>
        </is>
      </c>
      <c r="P215" s="138" t="inlineStr">
        <is>
          <t>assets/art/weapons/weapon_3d/source/scope_cannon/wpn_scope_cannon_source_v001.blend</t>
        </is>
      </c>
      <c r="Q215" s="138" t="inlineStr">
        <is>
          <t>scope_cannon; 瞄准镜加农炮; 未来枪械; 通用挂点; 多巴胺配色</t>
        </is>
      </c>
      <c r="R215" s="138">
        <f>LOWER(TRIM(C215)&amp;"|"&amp;TRIM(D215)&amp;"|"&amp;TRIM(E215)&amp;"|"&amp;TRIM(F215)&amp;"|"&amp;TRIM(H215)&amp;"|"&amp;TRIM(I215))</f>
        <v/>
      </c>
      <c r="S215" s="138">
        <f>IF(COUNTIF($R$6:$R$280,R215)&gt;1,"重复","唯一")</f>
        <v/>
      </c>
      <c r="T215" s="138" t="inlineStr">
        <is>
          <t>ba54d1e1126c7416a870f88fc1a4ed16336e1894e0d401807c09b36f7f6d2aab</t>
        </is>
      </c>
      <c r="U215" s="138" t="inlineStr">
        <is>
          <t>Codex</t>
        </is>
      </c>
      <c r="V215" s="303" t="n">
        <v>46244</v>
      </c>
      <c r="W215" s="138" t="inlineStr">
        <is>
          <t>用户自制Blender资产</t>
        </is>
      </c>
      <c r="X215" s="138" t="inlineStr">
        <is>
          <t>暂不绑定现有蓝图ID；已独立导入并统一Grip/Muzzle/Scope/Magazine/Stock/Tactical等节点。</t>
        </is>
      </c>
    </row>
    <row r="216">
      <c r="A216" s="138" t="inlineStr">
        <is>
          <t>WPN-GUN-FUTURE-POPCORN-BLASTER-3D</t>
        </is>
      </c>
      <c r="B216" s="138" t="inlineStr">
        <is>
          <t>爆米花爆能枪</t>
        </is>
      </c>
      <c r="C216" s="138" t="inlineStr">
        <is>
          <t>武器</t>
        </is>
      </c>
      <c r="D216" s="138" t="inlineStr">
        <is>
          <t>gunbody</t>
        </is>
      </c>
      <c r="E216" s="138" t="inlineStr">
        <is>
          <t>future_popcorn_blaster</t>
        </is>
      </c>
      <c r="F216" s="138" t="inlineStr">
        <is>
          <t>root</t>
        </is>
      </c>
      <c r="G216" s="138" t="n"/>
      <c r="H216" s="138" t="inlineStr">
        <is>
          <t>俯视3D / local -Z 枪口</t>
        </is>
      </c>
      <c r="I216" s="138" t="inlineStr">
        <is>
          <t>default / 标准握把与8类挂点</t>
        </is>
      </c>
      <c r="J216" s="138" t="inlineStr">
        <is>
          <t>未来枪械池/独立资产</t>
        </is>
      </c>
      <c r="K216" s="138" t="inlineStr">
        <is>
          <t>正式美术已入库/待玩法映射</t>
        </is>
      </c>
      <c r="L216" s="138" t="inlineStr">
        <is>
          <t>P2</t>
        </is>
      </c>
      <c r="M216" s="138" t="inlineStr">
        <is>
          <t>v001</t>
        </is>
      </c>
      <c r="N216" s="138" t="inlineStr">
        <is>
          <t>握把原点；local -Z枪口；3材质；独立GLB/PackedScene</t>
        </is>
      </c>
      <c r="O216" s="138" t="inlineStr">
        <is>
          <t>assets/art/weapons/weapon_3d/runtime/popcorn_blaster/wpn_popcorn_blaster_root_top3d_v001.tscn</t>
        </is>
      </c>
      <c r="P216" s="138" t="inlineStr">
        <is>
          <t>assets/art/weapons/weapon_3d/source/popcorn_blaster/wpn_popcorn_blaster_source_v001.blend</t>
        </is>
      </c>
      <c r="Q216" s="138" t="inlineStr">
        <is>
          <t>popcorn_blaster; 爆米花爆能枪; 未来枪械; 通用挂点; 多巴胺配色</t>
        </is>
      </c>
      <c r="R216" s="138">
        <f>LOWER(TRIM(C216)&amp;"|"&amp;TRIM(D216)&amp;"|"&amp;TRIM(E216)&amp;"|"&amp;TRIM(F216)&amp;"|"&amp;TRIM(H216)&amp;"|"&amp;TRIM(I216))</f>
        <v/>
      </c>
      <c r="S216" s="138">
        <f>IF(COUNTIF($R$6:$R$280,R216)&gt;1,"重复","唯一")</f>
        <v/>
      </c>
      <c r="T216" s="138" t="inlineStr">
        <is>
          <t>c77c7025542191f825a2141b8dc63b0f1d99767e26127533c0f40d2566733b4a</t>
        </is>
      </c>
      <c r="U216" s="138" t="inlineStr">
        <is>
          <t>Codex</t>
        </is>
      </c>
      <c r="V216" s="303" t="n">
        <v>46244</v>
      </c>
      <c r="W216" s="138" t="inlineStr">
        <is>
          <t>用户自制Blender资产</t>
        </is>
      </c>
      <c r="X216" s="138" t="inlineStr">
        <is>
          <t>暂不绑定现有蓝图ID；已独立导入并统一Grip/Muzzle/Scope/Magazine/Stock/Tactical等节点。</t>
        </is>
      </c>
    </row>
    <row r="217">
      <c r="A217" s="138" t="inlineStr">
        <is>
          <t>WPN-GUN-FUTURE-SODA-STRAW-BLASTER-3D</t>
        </is>
      </c>
      <c r="B217" s="138" t="inlineStr">
        <is>
          <t>饮料管爆能枪</t>
        </is>
      </c>
      <c r="C217" s="138" t="inlineStr">
        <is>
          <t>武器</t>
        </is>
      </c>
      <c r="D217" s="138" t="inlineStr">
        <is>
          <t>gunbody</t>
        </is>
      </c>
      <c r="E217" s="138" t="inlineStr">
        <is>
          <t>future_soda_straw_blaster</t>
        </is>
      </c>
      <c r="F217" s="138" t="inlineStr">
        <is>
          <t>root</t>
        </is>
      </c>
      <c r="G217" s="138" t="n"/>
      <c r="H217" s="138" t="inlineStr">
        <is>
          <t>俯视3D / local -Z 枪口</t>
        </is>
      </c>
      <c r="I217" s="138" t="inlineStr">
        <is>
          <t>default / 标准握把与8类挂点</t>
        </is>
      </c>
      <c r="J217" s="138" t="inlineStr">
        <is>
          <t>未来枪械池/独立资产</t>
        </is>
      </c>
      <c r="K217" s="138" t="inlineStr">
        <is>
          <t>正式美术已入库/待玩法映射</t>
        </is>
      </c>
      <c r="L217" s="138" t="inlineStr">
        <is>
          <t>P2</t>
        </is>
      </c>
      <c r="M217" s="138" t="inlineStr">
        <is>
          <t>v001</t>
        </is>
      </c>
      <c r="N217" s="138" t="inlineStr">
        <is>
          <t>握把原点；local -Z枪口；3材质；独立GLB/PackedScene</t>
        </is>
      </c>
      <c r="O217" s="138" t="inlineStr">
        <is>
          <t>assets/art/weapons/weapon_3d/runtime/soda_straw_blaster/wpn_soda_straw_blaster_root_top3d_v001.tscn</t>
        </is>
      </c>
      <c r="P217" s="138" t="inlineStr">
        <is>
          <t>assets/art/weapons/weapon_3d/source/soda_straw_blaster/wpn_soda_straw_blaster_source_v001.blend</t>
        </is>
      </c>
      <c r="Q217" s="138" t="inlineStr">
        <is>
          <t>soda_straw_blaster; 饮料管爆能枪; 未来枪械; 通用挂点; 多巴胺配色</t>
        </is>
      </c>
      <c r="R217" s="138">
        <f>LOWER(TRIM(C217)&amp;"|"&amp;TRIM(D217)&amp;"|"&amp;TRIM(E217)&amp;"|"&amp;TRIM(F217)&amp;"|"&amp;TRIM(H217)&amp;"|"&amp;TRIM(I217))</f>
        <v/>
      </c>
      <c r="S217" s="138">
        <f>IF(COUNTIF($R$6:$R$280,R217)&gt;1,"重复","唯一")</f>
        <v/>
      </c>
      <c r="T217" s="138" t="inlineStr">
        <is>
          <t>2eb1414de9012265d7e3661c04584b1f6277df86c9bc85cbfbdf92a582b4c38b</t>
        </is>
      </c>
      <c r="U217" s="138" t="inlineStr">
        <is>
          <t>Codex</t>
        </is>
      </c>
      <c r="V217" s="303" t="n">
        <v>46244</v>
      </c>
      <c r="W217" s="138" t="inlineStr">
        <is>
          <t>用户自制Blender资产</t>
        </is>
      </c>
      <c r="X217" s="138" t="inlineStr">
        <is>
          <t>暂不绑定现有蓝图ID；已独立导入并统一Grip/Muzzle/Scope/Magazine/Stock/Tactical等节点。</t>
        </is>
      </c>
    </row>
    <row r="218">
      <c r="A218" s="138" t="inlineStr">
        <is>
          <t>WPN-GUN-FUTURE-CROCODILE-CANNON-3D</t>
        </is>
      </c>
      <c r="B218" s="138" t="inlineStr">
        <is>
          <t>鳄鱼加农炮</t>
        </is>
      </c>
      <c r="C218" s="138" t="inlineStr">
        <is>
          <t>武器</t>
        </is>
      </c>
      <c r="D218" s="138" t="inlineStr">
        <is>
          <t>gunbody</t>
        </is>
      </c>
      <c r="E218" s="138" t="inlineStr">
        <is>
          <t>future_crocodile_cannon</t>
        </is>
      </c>
      <c r="F218" s="138" t="inlineStr">
        <is>
          <t>root</t>
        </is>
      </c>
      <c r="G218" s="138" t="n"/>
      <c r="H218" s="138" t="inlineStr">
        <is>
          <t>俯视3D / local -Z 枪口</t>
        </is>
      </c>
      <c r="I218" s="138" t="inlineStr">
        <is>
          <t>default / 标准握把与8类挂点</t>
        </is>
      </c>
      <c r="J218" s="138" t="inlineStr">
        <is>
          <t>未来枪械池/独立资产</t>
        </is>
      </c>
      <c r="K218" s="138" t="inlineStr">
        <is>
          <t>正式美术已入库/待玩法映射</t>
        </is>
      </c>
      <c r="L218" s="138" t="inlineStr">
        <is>
          <t>P2</t>
        </is>
      </c>
      <c r="M218" s="138" t="inlineStr">
        <is>
          <t>v001</t>
        </is>
      </c>
      <c r="N218" s="138" t="inlineStr">
        <is>
          <t>握把原点；local -Z枪口；3材质；独立GLB/PackedScene</t>
        </is>
      </c>
      <c r="O218" s="138" t="inlineStr">
        <is>
          <t>assets/art/weapons/weapon_3d/runtime/crocodile_cannon/wpn_crocodile_cannon_root_top3d_v001.tscn</t>
        </is>
      </c>
      <c r="P218" s="138" t="inlineStr">
        <is>
          <t>assets/art/weapons/weapon_3d/source/crocodile_cannon/wpn_crocodile_cannon_source_v001.blend</t>
        </is>
      </c>
      <c r="Q218" s="138" t="inlineStr">
        <is>
          <t>crocodile_cannon; 鳄鱼加农炮; 未来枪械; 通用挂点; 多巴胺配色</t>
        </is>
      </c>
      <c r="R218" s="138">
        <f>LOWER(TRIM(C218)&amp;"|"&amp;TRIM(D218)&amp;"|"&amp;TRIM(E218)&amp;"|"&amp;TRIM(F218)&amp;"|"&amp;TRIM(H218)&amp;"|"&amp;TRIM(I218))</f>
        <v/>
      </c>
      <c r="S218" s="138">
        <f>IF(COUNTIF($R$6:$R$280,R218)&gt;1,"重复","唯一")</f>
        <v/>
      </c>
      <c r="T218" s="138" t="inlineStr">
        <is>
          <t>3e46907368f74bcfffd4443b84ff094baf76fa6ab210da9f001114d5002e8f52</t>
        </is>
      </c>
      <c r="U218" s="138" t="inlineStr">
        <is>
          <t>Codex</t>
        </is>
      </c>
      <c r="V218" s="303" t="n">
        <v>46244</v>
      </c>
      <c r="W218" s="138" t="inlineStr">
        <is>
          <t>用户自制Blender资产</t>
        </is>
      </c>
      <c r="X218" s="138" t="inlineStr">
        <is>
          <t>暂不绑定现有蓝图ID；已独立导入并统一Grip/Muzzle/Scope/Magazine/Stock/Tactical等节点。</t>
        </is>
      </c>
    </row>
    <row r="219">
      <c r="A219" s="138" t="inlineStr">
        <is>
          <t>WPN-GUN-FUTURE-CAMERA-BLASTER-3D</t>
        </is>
      </c>
      <c r="B219" s="138" t="inlineStr">
        <is>
          <t>相机爆能枪</t>
        </is>
      </c>
      <c r="C219" s="138" t="inlineStr">
        <is>
          <t>武器</t>
        </is>
      </c>
      <c r="D219" s="138" t="inlineStr">
        <is>
          <t>gunbody</t>
        </is>
      </c>
      <c r="E219" s="138" t="inlineStr">
        <is>
          <t>future_camera_blaster</t>
        </is>
      </c>
      <c r="F219" s="138" t="inlineStr">
        <is>
          <t>root</t>
        </is>
      </c>
      <c r="G219" s="138" t="n"/>
      <c r="H219" s="138" t="inlineStr">
        <is>
          <t>俯视3D / local -Z 枪口</t>
        </is>
      </c>
      <c r="I219" s="138" t="inlineStr">
        <is>
          <t>default / 标准握把与8类挂点</t>
        </is>
      </c>
      <c r="J219" s="138" t="inlineStr">
        <is>
          <t>未来枪械池/独立资产</t>
        </is>
      </c>
      <c r="K219" s="138" t="inlineStr">
        <is>
          <t>正式美术已入库/待玩法映射</t>
        </is>
      </c>
      <c r="L219" s="138" t="inlineStr">
        <is>
          <t>P2</t>
        </is>
      </c>
      <c r="M219" s="138" t="inlineStr">
        <is>
          <t>v001</t>
        </is>
      </c>
      <c r="N219" s="138" t="inlineStr">
        <is>
          <t>握把原点；local -Z枪口；3材质；独立GLB/PackedScene</t>
        </is>
      </c>
      <c r="O219" s="138" t="inlineStr">
        <is>
          <t>assets/art/weapons/weapon_3d/runtime/camera_blaster/wpn_camera_blaster_root_top3d_v001.tscn</t>
        </is>
      </c>
      <c r="P219" s="138" t="inlineStr">
        <is>
          <t>assets/art/weapons/weapon_3d/source/camera_blaster/wpn_camera_blaster_source_v001.blend</t>
        </is>
      </c>
      <c r="Q219" s="138" t="inlineStr">
        <is>
          <t>camera_blaster; 相机爆能枪; 未来枪械; 通用挂点; 多巴胺配色</t>
        </is>
      </c>
      <c r="R219" s="138">
        <f>LOWER(TRIM(C219)&amp;"|"&amp;TRIM(D219)&amp;"|"&amp;TRIM(E219)&amp;"|"&amp;TRIM(F219)&amp;"|"&amp;TRIM(H219)&amp;"|"&amp;TRIM(I219))</f>
        <v/>
      </c>
      <c r="S219" s="138">
        <f>IF(COUNTIF($R$6:$R$280,R219)&gt;1,"重复","唯一")</f>
        <v/>
      </c>
      <c r="T219" s="138" t="inlineStr">
        <is>
          <t>3d49c92df382e0c4d7020a3486c366fcfc21de7d77b8753db2ab3fb6812d55d3</t>
        </is>
      </c>
      <c r="U219" s="138" t="inlineStr">
        <is>
          <t>Codex</t>
        </is>
      </c>
      <c r="V219" s="303" t="n">
        <v>46244</v>
      </c>
      <c r="W219" s="138" t="inlineStr">
        <is>
          <t>用户自制Blender资产</t>
        </is>
      </c>
      <c r="X219" s="138" t="inlineStr">
        <is>
          <t>暂不绑定现有蓝图ID；已独立导入并统一Grip/Muzzle/Scope/Magazine/Stock/Tactical等节点。</t>
        </is>
      </c>
    </row>
    <row r="220">
      <c r="A220" s="138" t="inlineStr">
        <is>
          <t>WPN-GUN-FUTURE-TISSUE-BOX-CANNON-3D</t>
        </is>
      </c>
      <c r="B220" s="138" t="inlineStr">
        <is>
          <t>纸巾盒加农炮</t>
        </is>
      </c>
      <c r="C220" s="138" t="inlineStr">
        <is>
          <t>武器</t>
        </is>
      </c>
      <c r="D220" s="138" t="inlineStr">
        <is>
          <t>gunbody</t>
        </is>
      </c>
      <c r="E220" s="138" t="inlineStr">
        <is>
          <t>future_tissue_box_cannon</t>
        </is>
      </c>
      <c r="F220" s="138" t="inlineStr">
        <is>
          <t>root</t>
        </is>
      </c>
      <c r="G220" s="138" t="n"/>
      <c r="H220" s="138" t="inlineStr">
        <is>
          <t>俯视3D / local -Z 枪口</t>
        </is>
      </c>
      <c r="I220" s="138" t="inlineStr">
        <is>
          <t>default / 标准握把与8类挂点</t>
        </is>
      </c>
      <c r="J220" s="138" t="inlineStr">
        <is>
          <t>未来枪械池/独立资产</t>
        </is>
      </c>
      <c r="K220" s="138" t="inlineStr">
        <is>
          <t>正式美术已入库/待玩法映射</t>
        </is>
      </c>
      <c r="L220" s="138" t="inlineStr">
        <is>
          <t>P2</t>
        </is>
      </c>
      <c r="M220" s="138" t="inlineStr">
        <is>
          <t>v001</t>
        </is>
      </c>
      <c r="N220" s="138" t="inlineStr">
        <is>
          <t>握把原点；local -Z枪口；3材质；独立GLB/PackedScene</t>
        </is>
      </c>
      <c r="O220" s="138" t="inlineStr">
        <is>
          <t>assets/art/weapons/weapon_3d/runtime/tissue_box_cannon/wpn_tissue_box_cannon_root_top3d_v001.tscn</t>
        </is>
      </c>
      <c r="P220" s="138" t="inlineStr">
        <is>
          <t>assets/art/weapons/weapon_3d/source/tissue_box_cannon/wpn_tissue_box_cannon_source_v001.blend</t>
        </is>
      </c>
      <c r="Q220" s="138" t="inlineStr">
        <is>
          <t>tissue_box_cannon; 纸巾盒加农炮; 未来枪械; 通用挂点; 多巴胺配色</t>
        </is>
      </c>
      <c r="R220" s="138">
        <f>LOWER(TRIM(C220)&amp;"|"&amp;TRIM(D220)&amp;"|"&amp;TRIM(E220)&amp;"|"&amp;TRIM(F220)&amp;"|"&amp;TRIM(H220)&amp;"|"&amp;TRIM(I220))</f>
        <v/>
      </c>
      <c r="S220" s="138">
        <f>IF(COUNTIF($R$6:$R$280,R220)&gt;1,"重复","唯一")</f>
        <v/>
      </c>
      <c r="T220" s="138" t="inlineStr">
        <is>
          <t>a67bef33133915e6909001de78052739943d123fb8d37456b344023923a3f946</t>
        </is>
      </c>
      <c r="U220" s="138" t="inlineStr">
        <is>
          <t>Codex</t>
        </is>
      </c>
      <c r="V220" s="303" t="n">
        <v>46244</v>
      </c>
      <c r="W220" s="138" t="inlineStr">
        <is>
          <t>用户自制Blender资产</t>
        </is>
      </c>
      <c r="X220" s="138" t="inlineStr">
        <is>
          <t>暂不绑定现有蓝图ID；已独立导入并统一Grip/Muzzle/Scope/Magazine/Stock/Tactical等节点。</t>
        </is>
      </c>
    </row>
    <row r="221">
      <c r="A221" s="138" t="inlineStr">
        <is>
          <t>WPN-GUN-FUTURE-FAN-BLASTER-3D</t>
        </is>
      </c>
      <c r="B221" s="138" t="inlineStr">
        <is>
          <t>风扇爆能枪</t>
        </is>
      </c>
      <c r="C221" s="138" t="inlineStr">
        <is>
          <t>武器</t>
        </is>
      </c>
      <c r="D221" s="138" t="inlineStr">
        <is>
          <t>gunbody</t>
        </is>
      </c>
      <c r="E221" s="138" t="inlineStr">
        <is>
          <t>future_fan_blaster</t>
        </is>
      </c>
      <c r="F221" s="138" t="inlineStr">
        <is>
          <t>root</t>
        </is>
      </c>
      <c r="G221" s="138" t="n"/>
      <c r="H221" s="138" t="inlineStr">
        <is>
          <t>俯视3D / local -Z 枪口</t>
        </is>
      </c>
      <c r="I221" s="138" t="inlineStr">
        <is>
          <t>default / 标准握把与8类挂点</t>
        </is>
      </c>
      <c r="J221" s="138" t="inlineStr">
        <is>
          <t>未来枪械池/独立资产</t>
        </is>
      </c>
      <c r="K221" s="138" t="inlineStr">
        <is>
          <t>正式美术已入库/待玩法映射</t>
        </is>
      </c>
      <c r="L221" s="138" t="inlineStr">
        <is>
          <t>P2</t>
        </is>
      </c>
      <c r="M221" s="138" t="inlineStr">
        <is>
          <t>v001</t>
        </is>
      </c>
      <c r="N221" s="138" t="inlineStr">
        <is>
          <t>握把原点；local -Z枪口；3材质；独立GLB/PackedScene</t>
        </is>
      </c>
      <c r="O221" s="138" t="inlineStr">
        <is>
          <t>assets/art/weapons/weapon_3d/runtime/fan_blaster/wpn_fan_blaster_root_top3d_v001.tscn</t>
        </is>
      </c>
      <c r="P221" s="138" t="inlineStr">
        <is>
          <t>assets/art/weapons/weapon_3d/source/fan_blaster/wpn_fan_blaster_source_v001.blend</t>
        </is>
      </c>
      <c r="Q221" s="138" t="inlineStr">
        <is>
          <t>fan_blaster; 风扇爆能枪; 未来枪械; 通用挂点; 多巴胺配色</t>
        </is>
      </c>
      <c r="R221" s="138">
        <f>LOWER(TRIM(C221)&amp;"|"&amp;TRIM(D221)&amp;"|"&amp;TRIM(E221)&amp;"|"&amp;TRIM(F221)&amp;"|"&amp;TRIM(H221)&amp;"|"&amp;TRIM(I221))</f>
        <v/>
      </c>
      <c r="S221" s="138">
        <f>IF(COUNTIF($R$6:$R$280,R221)&gt;1,"重复","唯一")</f>
        <v/>
      </c>
      <c r="T221" s="138" t="inlineStr">
        <is>
          <t>bde9a97ec8a373fc6677db0bc1f96a386dfa157c936e648895a85b44faa56e39</t>
        </is>
      </c>
      <c r="U221" s="138" t="inlineStr">
        <is>
          <t>Codex</t>
        </is>
      </c>
      <c r="V221" s="303" t="n">
        <v>46244</v>
      </c>
      <c r="W221" s="138" t="inlineStr">
        <is>
          <t>用户自制Blender资产</t>
        </is>
      </c>
      <c r="X221" s="138" t="inlineStr">
        <is>
          <t>暂不绑定现有蓝图ID；已独立导入并统一Grip/Muzzle/Scope/Magazine/Stock/Tactical等节点。</t>
        </is>
      </c>
    </row>
    <row r="222">
      <c r="A222" s="308" t="inlineStr">
        <is>
          <t>PRP-BASE-LOCKER-STATION-3D</t>
        </is>
      </c>
      <c r="B222" s="309" t="inlineStr">
        <is>
          <t>赛博储物站</t>
        </is>
      </c>
      <c r="C222" s="309" t="inlineStr">
        <is>
          <t>3D道具</t>
        </is>
      </c>
      <c r="D222" s="309" t="inlineStr">
        <is>
          <t>base_facility</t>
        </is>
      </c>
      <c r="E222" s="309" t="inlineStr">
        <is>
          <t>vault</t>
        </is>
      </c>
      <c r="F222" s="309" t="inlineStr">
        <is>
          <t>root</t>
        </is>
      </c>
      <c r="G222" s="309" t="inlineStr">
        <is>
          <t>PRP-BASE-FACILITY-3D</t>
        </is>
      </c>
      <c r="H222" s="309" t="inlineStr">
        <is>
          <t>Top3D / local -Z 正面</t>
        </is>
      </c>
      <c r="I222" s="309" t="inlineStr">
        <is>
          <t>default / 正式交互设施</t>
        </is>
      </c>
      <c r="J222" s="309" t="inlineStr">
        <is>
          <t>基地99层/保险柜设施</t>
        </is>
      </c>
      <c r="K222" s="309" t="inlineStr">
        <is>
          <t>正式美术已接入</t>
        </is>
      </c>
      <c r="L222" s="309" t="inlineStr">
        <is>
          <t>P2</t>
        </is>
      </c>
      <c r="M222" s="309" t="inlineStr">
        <is>
          <t>v004</t>
        </is>
      </c>
      <c r="N222" s="309" t="inlineStr">
        <is>
          <t>4材质；主体/自发光分离；独立GLB/PackedScene</t>
        </is>
      </c>
      <c r="O222" s="309" t="inlineStr">
        <is>
          <t>assets/art/props/base_world_3d/runtime/locker_station/prp_base_locker_station_root_top3d_v001.tscn</t>
        </is>
      </c>
      <c r="P222" s="309" t="inlineStr">
        <is>
          <t>assets/art/props/base_world_3d/source/locker_station/prp_base_locker_station_source_v004.blend</t>
        </is>
      </c>
      <c r="Q222" s="309" t="inlineStr">
        <is>
          <t>vault; 保险柜; 赛博储物站; 仓储设施</t>
        </is>
      </c>
      <c r="R222" s="309">
        <f>LOWER(TRIM(C222)&amp;"|"&amp;TRIM(D222)&amp;"|"&amp;TRIM(E222)&amp;"|"&amp;TRIM(F222)&amp;"|"&amp;TRIM(H222)&amp;"|"&amp;TRIM(I222))</f>
        <v/>
      </c>
      <c r="S222" s="309">
        <f>IF(COUNTIF($R$6:$R$280,R222)&gt;1,"重复","唯一")</f>
        <v/>
      </c>
      <c r="T222" s="309" t="inlineStr">
        <is>
          <t>b4aa2b142d31798ba8d040f4a3bbc4f0abbdbb69e070ab422d0be6bc9e48ade2</t>
        </is>
      </c>
      <c r="U222" s="309" t="inlineStr">
        <is>
          <t>Codex</t>
        </is>
      </c>
      <c r="V222" s="310" t="n">
        <v>46245</v>
      </c>
      <c r="W222" s="309" t="inlineStr">
        <is>
          <t>用户自制Blender资产</t>
        </is>
      </c>
      <c r="X222" s="309" t="inlineStr">
        <is>
          <t>2026-08-11接入基地99层正式设施；BaseFacility3D绑定vault并打开VaultMenu；保留交互碰撞与Visual；模型正面为local -Z。</t>
        </is>
      </c>
    </row>
    <row r="223">
      <c r="A223" s="308" t="inlineStr">
        <is>
          <t>PRP-BASE-RETRO-TV-STATION-3D</t>
        </is>
      </c>
      <c r="B223" s="309" t="inlineStr">
        <is>
          <t>复古游戏电视站</t>
        </is>
      </c>
      <c r="C223" s="309" t="inlineStr">
        <is>
          <t>3D道具</t>
        </is>
      </c>
      <c r="D223" s="309" t="inlineStr">
        <is>
          <t>base_facility</t>
        </is>
      </c>
      <c r="E223" s="309" t="inlineStr">
        <is>
          <t>fate_collection</t>
        </is>
      </c>
      <c r="F223" s="309" t="inlineStr">
        <is>
          <t>root</t>
        </is>
      </c>
      <c r="G223" s="309" t="inlineStr">
        <is>
          <t>PRP-BASE-FACILITY-3D</t>
        </is>
      </c>
      <c r="H223" s="309" t="inlineStr">
        <is>
          <t>Top3D / local -Z 正面</t>
        </is>
      </c>
      <c r="I223" s="309" t="inlineStr">
        <is>
          <t>default / 正式交互设施</t>
        </is>
      </c>
      <c r="J223" s="309" t="inlineStr">
        <is>
          <t>基地99层/命运卡收藏室</t>
        </is>
      </c>
      <c r="K223" s="309" t="inlineStr">
        <is>
          <t>正式美术已接入</t>
        </is>
      </c>
      <c r="L223" s="309" t="inlineStr">
        <is>
          <t>P2</t>
        </is>
      </c>
      <c r="M223" s="309" t="inlineStr">
        <is>
          <t>v004</t>
        </is>
      </c>
      <c r="N223" s="309" t="inlineStr">
        <is>
          <t>4材质；主体/自发光分离；独立GLB/PackedScene</t>
        </is>
      </c>
      <c r="O223" s="309" t="inlineStr">
        <is>
          <t>assets/art/props/base_world_3d/runtime/retro_tv_station/prp_base_retro_tv_station_root_top3d_v001.tscn</t>
        </is>
      </c>
      <c r="P223" s="309" t="inlineStr">
        <is>
          <t>assets/art/props/base_world_3d/source/retro_tv_station/prp_base_retro_tv_station_source_v004.blend</t>
        </is>
      </c>
      <c r="Q223" s="309" t="inlineStr">
        <is>
          <t>fate_collection; 命运卡收藏室; 复古游戏电视站; 收藏设施</t>
        </is>
      </c>
      <c r="R223" s="309">
        <f>LOWER(TRIM(C223)&amp;"|"&amp;TRIM(D223)&amp;"|"&amp;TRIM(E223)&amp;"|"&amp;TRIM(F223)&amp;"|"&amp;TRIM(H223)&amp;"|"&amp;TRIM(I223))</f>
        <v/>
      </c>
      <c r="S223" s="309">
        <f>IF(COUNTIF($R$6:$R$280,R223)&gt;1,"重复","唯一")</f>
        <v/>
      </c>
      <c r="T223" s="309" t="inlineStr">
        <is>
          <t>fed2c5ff578efd3771f369126bd5c57f7cf2904db5faf4c8071d1802c749ba52</t>
        </is>
      </c>
      <c r="U223" s="309" t="inlineStr">
        <is>
          <t>Codex</t>
        </is>
      </c>
      <c r="V223" s="310" t="n">
        <v>46245</v>
      </c>
      <c r="W223" s="309" t="inlineStr">
        <is>
          <t>用户自制Blender资产</t>
        </is>
      </c>
      <c r="X223" s="309" t="inlineStr">
        <is>
          <t>2026-08-11接入基地99层正式设施；BaseFacility3D绑定fate_collection并打开FateCardCollectionMenu；保留交互碰撞与Visual；模型正面为local -Z。</t>
        </is>
      </c>
    </row>
    <row r="224">
      <c r="A224" s="308" t="inlineStr">
        <is>
          <t>PRP-BASE-WORKSHOP-STOOL-3D</t>
        </is>
      </c>
      <c r="B224" s="309" t="inlineStr">
        <is>
          <t>赛博维修圆凳</t>
        </is>
      </c>
      <c r="C224" s="309" t="inlineStr">
        <is>
          <t>3D道具</t>
        </is>
      </c>
      <c r="D224" s="309" t="inlineStr">
        <is>
          <t>decor_prop</t>
        </is>
      </c>
      <c r="E224" s="309" t="inlineStr">
        <is>
          <t>workshop_stool</t>
        </is>
      </c>
      <c r="F224" s="309" t="inlineStr">
        <is>
          <t>root</t>
        </is>
      </c>
      <c r="G224" s="309" t="n"/>
      <c r="H224" s="309" t="inlineStr">
        <is>
          <t>Top3D / local -Z 正面</t>
        </is>
      </c>
      <c r="I224" s="309" t="inlineStr">
        <is>
          <t>default / 独立装饰场景</t>
        </is>
      </c>
      <c r="J224" s="309" t="inlineStr">
        <is>
          <t>基地99层美术布置层</t>
        </is>
      </c>
      <c r="K224" s="309" t="inlineStr">
        <is>
          <t>正式美术已接入</t>
        </is>
      </c>
      <c r="L224" s="309" t="inlineStr">
        <is>
          <t>P2</t>
        </is>
      </c>
      <c r="M224" s="309" t="inlineStr">
        <is>
          <t>v001</t>
        </is>
      </c>
      <c r="N224" s="309" t="inlineStr">
        <is>
          <t>最多4材质；独立GLB/PackedScene；无交互碰撞</t>
        </is>
      </c>
      <c r="O224" s="309" t="inlineStr">
        <is>
          <t>assets/art/props/base_world_3d/runtime/workshop_stool/prp_base_workshop_stool_root_top3d_v001.tscn</t>
        </is>
      </c>
      <c r="P224" s="309" t="inlineStr">
        <is>
          <t>assets/art/props/base_world_3d/source/workshop_stool/prp_base_workshop_stool_source_v001.blend</t>
        </is>
      </c>
      <c r="Q224" s="309" t="inlineStr">
        <is>
          <t>workshop_stool; 赛博维修圆凳; 独立座椅; 可移动装饰</t>
        </is>
      </c>
      <c r="R224" s="309">
        <f>LOWER(TRIM(C224)&amp;"|"&amp;TRIM(D224)&amp;"|"&amp;TRIM(E224)&amp;"|"&amp;TRIM(F224)&amp;"|"&amp;TRIM(H224)&amp;"|"&amp;TRIM(I224))</f>
        <v/>
      </c>
      <c r="S224" s="309">
        <f>IF(COUNTIF($R$6:$R$280,R224)&gt;1,"重复","唯一")</f>
        <v/>
      </c>
      <c r="T224" s="309" t="inlineStr">
        <is>
          <t>a09164b2f643c3b0b4b1794bd57f4b82a9e2d839f3986ad27f86a7e5381fd2b2</t>
        </is>
      </c>
      <c r="U224" s="309" t="inlineStr">
        <is>
          <t>Codex</t>
        </is>
      </c>
      <c r="V224" s="310" t="n">
        <v>46244</v>
      </c>
      <c r="W224" s="309" t="inlineStr">
        <is>
          <t>用户自制Blender资产</t>
        </is>
      </c>
      <c r="X224" s="309" t="inlineStr">
        <is>
          <t>已从对应设施主体拆出；在场景装饰集合中独立摆放，不绑定facility_id。</t>
        </is>
      </c>
    </row>
    <row r="225">
      <c r="A225" s="308" t="inlineStr">
        <is>
          <t>PRP-BASE-MISSION-COMMAND-CHAIR-3D</t>
        </is>
      </c>
      <c r="B225" s="309" t="inlineStr">
        <is>
          <t>战术指挥椅</t>
        </is>
      </c>
      <c r="C225" s="309" t="inlineStr">
        <is>
          <t>3D道具</t>
        </is>
      </c>
      <c r="D225" s="309" t="inlineStr">
        <is>
          <t>decor_prop</t>
        </is>
      </c>
      <c r="E225" s="309" t="inlineStr">
        <is>
          <t>mission_command_chair</t>
        </is>
      </c>
      <c r="F225" s="309" t="inlineStr">
        <is>
          <t>root</t>
        </is>
      </c>
      <c r="G225" s="309" t="n"/>
      <c r="H225" s="309" t="inlineStr">
        <is>
          <t>Top3D / local -Z 正面</t>
        </is>
      </c>
      <c r="I225" s="309" t="inlineStr">
        <is>
          <t>default / 独立装饰场景</t>
        </is>
      </c>
      <c r="J225" s="309" t="inlineStr">
        <is>
          <t>基地99层美术布置层</t>
        </is>
      </c>
      <c r="K225" s="309" t="inlineStr">
        <is>
          <t>正式美术已接入</t>
        </is>
      </c>
      <c r="L225" s="309" t="inlineStr">
        <is>
          <t>P2</t>
        </is>
      </c>
      <c r="M225" s="309" t="inlineStr">
        <is>
          <t>v001</t>
        </is>
      </c>
      <c r="N225" s="309" t="inlineStr">
        <is>
          <t>最多4材质；独立GLB/PackedScene；无交互碰撞</t>
        </is>
      </c>
      <c r="O225" s="309" t="inlineStr">
        <is>
          <t>assets/art/props/base_world_3d/runtime/mission_command_chair/prp_base_mission_command_chair_root_top3d_v001.tscn</t>
        </is>
      </c>
      <c r="P225" s="309" t="inlineStr">
        <is>
          <t>assets/art/props/base_world_3d/source/mission_command_chair/prp_base_mission_command_chair_source_v001.blend</t>
        </is>
      </c>
      <c r="Q225" s="309" t="inlineStr">
        <is>
          <t>mission_command_chair; 战术指挥椅; 独立座椅; 可移动装饰</t>
        </is>
      </c>
      <c r="R225" s="309">
        <f>LOWER(TRIM(C225)&amp;"|"&amp;TRIM(D225)&amp;"|"&amp;TRIM(E225)&amp;"|"&amp;TRIM(F225)&amp;"|"&amp;TRIM(H225)&amp;"|"&amp;TRIM(I225))</f>
        <v/>
      </c>
      <c r="S225" s="309">
        <f>IF(COUNTIF($R$6:$R$280,R225)&gt;1,"重复","唯一")</f>
        <v/>
      </c>
      <c r="T225" s="309" t="inlineStr">
        <is>
          <t>f16271a4dc234ea59385ceaee8d8e9ff4ec906af391b4b9dbc2d6a0e720811d3</t>
        </is>
      </c>
      <c r="U225" s="309" t="inlineStr">
        <is>
          <t>Codex</t>
        </is>
      </c>
      <c r="V225" s="310" t="n">
        <v>46244</v>
      </c>
      <c r="W225" s="309" t="inlineStr">
        <is>
          <t>用户自制Blender资产</t>
        </is>
      </c>
      <c r="X225" s="309" t="inlineStr">
        <is>
          <t>已从对应设施主体拆出；在场景装饰集合中独立摆放，不绑定facility_id。</t>
        </is>
      </c>
    </row>
    <row r="226">
      <c r="A226" s="136" t="inlineStr">
        <is>
          <t>ENM-BOSS-ARCHIVIST-95</t>
        </is>
      </c>
      <c r="B226" s="136" t="inlineStr">
        <is>
          <t>深渊档案官</t>
        </is>
      </c>
      <c r="C226" s="136" t="inlineStr">
        <is>
          <t>敌人</t>
        </is>
      </c>
      <c r="D226" s="136" t="inlineStr">
        <is>
          <t>boss</t>
        </is>
      </c>
      <c r="E226" s="136" t="inlineStr">
        <is>
          <t>boss_abyss_archivist_95</t>
        </is>
      </c>
      <c r="F226" s="136" t="inlineStr">
        <is>
          <t>root</t>
        </is>
      </c>
      <c r="G226" s="136" t="n"/>
      <c r="H226" s="136" t="inlineStr">
        <is>
          <t>Top3D</t>
        </is>
      </c>
      <c r="I226" s="136" t="inlineStr">
        <is>
          <t>default / 三阶段</t>
        </is>
      </c>
      <c r="J226" s="136" t="inlineStr">
        <is>
          <t>95层Boss</t>
        </is>
      </c>
      <c r="K226" s="136" t="inlineStr">
        <is>
          <t>正式美术已接入</t>
        </is>
      </c>
      <c r="L226" s="136" t="inlineStr">
        <is>
          <t>P0</t>
        </is>
      </c>
      <c r="M226" s="136" t="inlineStr">
        <is>
          <t>v001</t>
        </is>
      </c>
      <c r="N226" s="136" t="inlineStr">
        <is>
          <t>GLB；主体/发光/附肢语义拆分</t>
        </is>
      </c>
      <c r="O226" s="136" t="inlineStr">
        <is>
          <t>assets/art/enemies/bosses_v01/enm_boss_archivist_95_top3d_v001.glb</t>
        </is>
      </c>
      <c r="P226" s="136" t="inlineStr">
        <is>
          <t>source/art/blender/bosses_v01/enm_boss_archivist_95_top3d_v001.blend; src/enemy3d/BossContentCatalog.gd</t>
        </is>
      </c>
      <c r="Q226" s="136" t="inlineStr">
        <is>
          <t>深渊档案官; archive; 95F; 三阶段</t>
        </is>
      </c>
      <c r="R226" s="136">
        <f>LOWER(TRIM(C226)&amp;"|"&amp;TRIM(D226)&amp;"|"&amp;TRIM(E226)&amp;"|"&amp;TRIM(F226)&amp;"|"&amp;TRIM(H226)&amp;"|"&amp;TRIM(I226))</f>
        <v/>
      </c>
      <c r="S226" s="136">
        <f>IF(COUNTIF($R$6:$R$280,R226)&gt;1,"重复","唯一")</f>
        <v/>
      </c>
      <c r="T226" s="136" t="inlineStr">
        <is>
          <t>d48dbdef27c500895471b8e14e4d07ae8f733b511ea67bf44cf0dffe959d781c</t>
        </is>
      </c>
      <c r="U226" s="136" t="inlineStr">
        <is>
          <t>Codex</t>
        </is>
      </c>
      <c r="V226" s="136" t="n">
        <v>46247</v>
      </c>
      <c r="W226" s="136" t="inlineStr">
        <is>
          <t>原创程序建模</t>
        </is>
      </c>
      <c r="X226" s="136" t="inlineStr">
        <is>
          <t>独立正式模型；阶段技能袋 archive_fan/index_beam/archive_storm；通过Boss专项验收。</t>
        </is>
      </c>
    </row>
    <row r="227">
      <c r="A227" s="136" t="inlineStr">
        <is>
          <t>ENM-BOSS-FURNACE-WARDEN-90</t>
        </is>
      </c>
      <c r="B227" s="136" t="inlineStr">
        <is>
          <t>熔炉狱监</t>
        </is>
      </c>
      <c r="C227" s="136" t="inlineStr">
        <is>
          <t>敌人</t>
        </is>
      </c>
      <c r="D227" s="136" t="inlineStr">
        <is>
          <t>boss</t>
        </is>
      </c>
      <c r="E227" s="136" t="inlineStr">
        <is>
          <t>boss_furnace_warden_90</t>
        </is>
      </c>
      <c r="F227" s="136" t="inlineStr">
        <is>
          <t>root</t>
        </is>
      </c>
      <c r="G227" s="136" t="n"/>
      <c r="H227" s="136" t="inlineStr">
        <is>
          <t>Top3D</t>
        </is>
      </c>
      <c r="I227" s="136" t="inlineStr">
        <is>
          <t>default / 三阶段</t>
        </is>
      </c>
      <c r="J227" s="136" t="inlineStr">
        <is>
          <t>90层Boss</t>
        </is>
      </c>
      <c r="K227" s="136" t="inlineStr">
        <is>
          <t>正式美术已接入</t>
        </is>
      </c>
      <c r="L227" s="136" t="inlineStr">
        <is>
          <t>P0</t>
        </is>
      </c>
      <c r="M227" s="136" t="inlineStr">
        <is>
          <t>v001</t>
        </is>
      </c>
      <c r="N227" s="136" t="inlineStr">
        <is>
          <t>GLB；主体/发光/附肢语义拆分</t>
        </is>
      </c>
      <c r="O227" s="136" t="inlineStr">
        <is>
          <t>assets/art/enemies/bosses_v01/enm_boss_furnace_warden_90_top3d_v001.glb</t>
        </is>
      </c>
      <c r="P227" s="136" t="inlineStr">
        <is>
          <t>source/art/blender/bosses_v01/enm_boss_furnace_warden_90_top3d_v001.blend; src/enemy3d/BossContentCatalog.gd</t>
        </is>
      </c>
      <c r="Q227" s="136" t="inlineStr">
        <is>
          <t>熔炉狱监; furnace; 90F; 三阶段</t>
        </is>
      </c>
      <c r="R227" s="136">
        <f>LOWER(TRIM(C227)&amp;"|"&amp;TRIM(D227)&amp;"|"&amp;TRIM(E227)&amp;"|"&amp;TRIM(F227)&amp;"|"&amp;TRIM(H227)&amp;"|"&amp;TRIM(I227))</f>
        <v/>
      </c>
      <c r="S227" s="136">
        <f>IF(COUNTIF($R$6:$R$280,R227)&gt;1,"重复","唯一")</f>
        <v/>
      </c>
      <c r="T227" s="136" t="inlineStr">
        <is>
          <t>77469ad543d9265ffcc32198c06e25dd3ea8b793b79da4afeb7bd5e56f09d24c</t>
        </is>
      </c>
      <c r="U227" s="136" t="inlineStr">
        <is>
          <t>Codex</t>
        </is>
      </c>
      <c r="V227" s="136" t="n">
        <v>46247</v>
      </c>
      <c r="W227" s="136" t="inlineStr">
        <is>
          <t>原创程序建模</t>
        </is>
      </c>
      <c r="X227" s="136" t="inlineStr">
        <is>
          <t>独立正式模型；阶段技能袋 molten_volley/hammer_drive/furnace_burst；通过Boss专项验收。</t>
        </is>
      </c>
    </row>
    <row r="228">
      <c r="A228" s="136" t="inlineStr">
        <is>
          <t>ENM-BOSS-HOLLOW-CHOIR-85</t>
        </is>
      </c>
      <c r="B228" s="136" t="inlineStr">
        <is>
          <t>空洞合唱团</t>
        </is>
      </c>
      <c r="C228" s="136" t="inlineStr">
        <is>
          <t>敌人</t>
        </is>
      </c>
      <c r="D228" s="136" t="inlineStr">
        <is>
          <t>boss</t>
        </is>
      </c>
      <c r="E228" s="136" t="inlineStr">
        <is>
          <t>boss_hollow_choir_85</t>
        </is>
      </c>
      <c r="F228" s="136" t="inlineStr">
        <is>
          <t>root</t>
        </is>
      </c>
      <c r="G228" s="136" t="n"/>
      <c r="H228" s="136" t="inlineStr">
        <is>
          <t>Top3D</t>
        </is>
      </c>
      <c r="I228" s="136" t="inlineStr">
        <is>
          <t>default / 三阶段</t>
        </is>
      </c>
      <c r="J228" s="136" t="inlineStr">
        <is>
          <t>85层Boss</t>
        </is>
      </c>
      <c r="K228" s="136" t="inlineStr">
        <is>
          <t>正式美术已接入</t>
        </is>
      </c>
      <c r="L228" s="136" t="inlineStr">
        <is>
          <t>P0</t>
        </is>
      </c>
      <c r="M228" s="136" t="inlineStr">
        <is>
          <t>v001</t>
        </is>
      </c>
      <c r="N228" s="136" t="inlineStr">
        <is>
          <t>GLB；主体/发光/附肢语义拆分</t>
        </is>
      </c>
      <c r="O228" s="136" t="inlineStr">
        <is>
          <t>assets/art/enemies/bosses_v01/enm_boss_hollow_choir_85_top3d_v001.glb</t>
        </is>
      </c>
      <c r="P228" s="136" t="inlineStr">
        <is>
          <t>source/art/blender/bosses_v01/enm_boss_hollow_choir_85_top3d_v001.blend; src/enemy3d/BossContentCatalog.gd</t>
        </is>
      </c>
      <c r="Q228" s="136" t="inlineStr">
        <is>
          <t>空洞合唱团; choir; 85F; 三阶段</t>
        </is>
      </c>
      <c r="R228" s="136">
        <f>LOWER(TRIM(C228)&amp;"|"&amp;TRIM(D228)&amp;"|"&amp;TRIM(E228)&amp;"|"&amp;TRIM(F228)&amp;"|"&amp;TRIM(H228)&amp;"|"&amp;TRIM(I228))</f>
        <v/>
      </c>
      <c r="S228" s="136">
        <f>IF(COUNTIF($R$6:$R$280,R228)&gt;1,"重复","唯一")</f>
        <v/>
      </c>
      <c r="T228" s="136" t="inlineStr">
        <is>
          <t>c7d1bade328047877d64770b2c534cbd930fc377ce8a00e19873fc108a73a56f</t>
        </is>
      </c>
      <c r="U228" s="136" t="inlineStr">
        <is>
          <t>Codex</t>
        </is>
      </c>
      <c r="V228" s="136" t="n">
        <v>46247</v>
      </c>
      <c r="W228" s="136" t="inlineStr">
        <is>
          <t>原创程序建模</t>
        </is>
      </c>
      <c r="X228" s="136" t="inlineStr">
        <is>
          <t>独立正式模型；阶段技能袋 choir_wave/silence_chord/echo_burst；通过Boss专项验收。</t>
        </is>
      </c>
    </row>
    <row r="229">
      <c r="A229" s="136" t="inlineStr">
        <is>
          <t>ENV-BOSS-ARENA-ARCHIVE-95</t>
        </is>
      </c>
      <c r="B229" s="136" t="inlineStr">
        <is>
          <t>档案回廊竞技场组件</t>
        </is>
      </c>
      <c r="C229" s="136" t="inlineStr">
        <is>
          <t>场景</t>
        </is>
      </c>
      <c r="D229" s="136" t="inlineStr">
        <is>
          <t>boss_arena</t>
        </is>
      </c>
      <c r="E229" s="136" t="inlineStr">
        <is>
          <t>arena_archive_95</t>
        </is>
      </c>
      <c r="F229" s="136" t="inlineStr">
        <is>
          <t>dressing</t>
        </is>
      </c>
      <c r="G229" s="136" t="n"/>
      <c r="H229" s="136" t="inlineStr">
        <is>
          <t>Top3D</t>
        </is>
      </c>
      <c r="I229" s="136" t="inlineStr">
        <is>
          <t>default / 高模流式</t>
        </is>
      </c>
      <c r="J229" s="136" t="inlineStr">
        <is>
          <t>95层Boss场地</t>
        </is>
      </c>
      <c r="K229" s="136" t="inlineStr">
        <is>
          <t>正式美术已接入</t>
        </is>
      </c>
      <c r="L229" s="136" t="inlineStr">
        <is>
          <t>P0</t>
        </is>
      </c>
      <c r="M229" s="136" t="inlineStr">
        <is>
          <t>v001</t>
        </is>
      </c>
      <c r="N229" s="136" t="inlineStr">
        <is>
          <t>GLB；8组柱体与掩体</t>
        </is>
      </c>
      <c r="O229" s="136" t="inlineStr">
        <is>
          <t>assets/art/environments/boss_arenas_v01/env_boss_arena_archive_95_top3d_v001.glb</t>
        </is>
      </c>
      <c r="P229" s="136" t="inlineStr">
        <is>
          <t>source/art/blender/bosses_v01/env_boss_arena_archive_95_top3d_v001.blend; src/world3d/DungeonRoom3D.gd</t>
        </is>
      </c>
      <c r="Q229" s="136" t="inlineStr">
        <is>
          <t>档案竞技场; 95F; arena; cover</t>
        </is>
      </c>
      <c r="R229" s="136">
        <f>LOWER(TRIM(C229)&amp;"|"&amp;TRIM(D229)&amp;"|"&amp;TRIM(E229)&amp;"|"&amp;TRIM(F229)&amp;"|"&amp;TRIM(H229)&amp;"|"&amp;TRIM(I229))</f>
        <v/>
      </c>
      <c r="S229" s="136">
        <f>IF(COUNTIF($R$6:$R$280,R229)&gt;1,"重复","唯一")</f>
        <v/>
      </c>
      <c r="T229" s="136" t="inlineStr">
        <is>
          <t>ff10424d3c6898385aad9eaf0de32b644eb282a567b36aa422c4dd9decff7d69</t>
        </is>
      </c>
      <c r="U229" s="136" t="inlineStr">
        <is>
          <t>Codex</t>
        </is>
      </c>
      <c r="V229" s="136" t="n">
        <v>46247</v>
      </c>
      <c r="W229" s="136" t="inlineStr">
        <is>
          <t>原创程序建模</t>
        </is>
      </c>
      <c r="X229" s="136" t="inlineStr">
        <is>
          <t>高模装饰可流式；对应8组碰撞掩体。永久楼板/关卡墙/外墙不隐藏。</t>
        </is>
      </c>
    </row>
    <row r="230">
      <c r="A230" s="136" t="inlineStr">
        <is>
          <t>ENV-BOSS-ARENA-FURNACE-90</t>
        </is>
      </c>
      <c r="B230" s="136" t="inlineStr">
        <is>
          <t>熔炉竞技场组件</t>
        </is>
      </c>
      <c r="C230" s="136" t="inlineStr">
        <is>
          <t>场景</t>
        </is>
      </c>
      <c r="D230" s="136" t="inlineStr">
        <is>
          <t>boss_arena</t>
        </is>
      </c>
      <c r="E230" s="136" t="inlineStr">
        <is>
          <t>arena_furnace_90</t>
        </is>
      </c>
      <c r="F230" s="136" t="inlineStr">
        <is>
          <t>dressing</t>
        </is>
      </c>
      <c r="G230" s="136" t="n"/>
      <c r="H230" s="136" t="inlineStr">
        <is>
          <t>Top3D</t>
        </is>
      </c>
      <c r="I230" s="136" t="inlineStr">
        <is>
          <t>default / 高模流式</t>
        </is>
      </c>
      <c r="J230" s="136" t="inlineStr">
        <is>
          <t>90层Boss场地</t>
        </is>
      </c>
      <c r="K230" s="136" t="inlineStr">
        <is>
          <t>正式美术已接入</t>
        </is>
      </c>
      <c r="L230" s="136" t="inlineStr">
        <is>
          <t>P0</t>
        </is>
      </c>
      <c r="M230" s="136" t="inlineStr">
        <is>
          <t>v001</t>
        </is>
      </c>
      <c r="N230" s="136" t="inlineStr">
        <is>
          <t>GLB；熔炉核心与6组掩体</t>
        </is>
      </c>
      <c r="O230" s="136" t="inlineStr">
        <is>
          <t>assets/art/environments/boss_arenas_v01/env_boss_arena_furnace_90_top3d_v001.glb</t>
        </is>
      </c>
      <c r="P230" s="136" t="inlineStr">
        <is>
          <t>source/art/blender/bosses_v01/env_boss_arena_furnace_90_top3d_v001.blend; src/world3d/DungeonRoom3D.gd</t>
        </is>
      </c>
      <c r="Q230" s="136" t="inlineStr">
        <is>
          <t>熔炉竞技场; 90F; arena; cover</t>
        </is>
      </c>
      <c r="R230" s="136">
        <f>LOWER(TRIM(C230)&amp;"|"&amp;TRIM(D230)&amp;"|"&amp;TRIM(E230)&amp;"|"&amp;TRIM(F230)&amp;"|"&amp;TRIM(H230)&amp;"|"&amp;TRIM(I230))</f>
        <v/>
      </c>
      <c r="S230" s="136">
        <f>IF(COUNTIF($R$6:$R$280,R230)&gt;1,"重复","唯一")</f>
        <v/>
      </c>
      <c r="T230" s="136" t="inlineStr">
        <is>
          <t>d376fba6190728dc8bf50664f4082b954a077fa96799d68f118ead53cb7aa63c</t>
        </is>
      </c>
      <c r="U230" s="136" t="inlineStr">
        <is>
          <t>Codex</t>
        </is>
      </c>
      <c r="V230" s="136" t="n">
        <v>46247</v>
      </c>
      <c r="W230" s="136" t="inlineStr">
        <is>
          <t>原创程序建模</t>
        </is>
      </c>
      <c r="X230" s="136" t="inlineStr">
        <is>
          <t>高模装饰可流式；对应6组碰撞掩体。永久楼板/关卡墙/外墙不隐藏。</t>
        </is>
      </c>
    </row>
    <row r="231">
      <c r="A231" s="136" t="inlineStr">
        <is>
          <t>ENV-BOSS-ARENA-CHOIR-85</t>
        </is>
      </c>
      <c r="B231" s="136" t="inlineStr">
        <is>
          <t>共鸣合唱竞技场组件</t>
        </is>
      </c>
      <c r="C231" s="136" t="inlineStr">
        <is>
          <t>场景</t>
        </is>
      </c>
      <c r="D231" s="136" t="inlineStr">
        <is>
          <t>boss_arena</t>
        </is>
      </c>
      <c r="E231" s="136" t="inlineStr">
        <is>
          <t>arena_choir_85</t>
        </is>
      </c>
      <c r="F231" s="136" t="inlineStr">
        <is>
          <t>dressing</t>
        </is>
      </c>
      <c r="G231" s="136" t="n"/>
      <c r="H231" s="136" t="inlineStr">
        <is>
          <t>Top3D</t>
        </is>
      </c>
      <c r="I231" s="136" t="inlineStr">
        <is>
          <t>default / 高模流式</t>
        </is>
      </c>
      <c r="J231" s="136" t="inlineStr">
        <is>
          <t>85层Boss场地</t>
        </is>
      </c>
      <c r="K231" s="136" t="inlineStr">
        <is>
          <t>正式美术已接入</t>
        </is>
      </c>
      <c r="L231" s="136" t="inlineStr">
        <is>
          <t>P0</t>
        </is>
      </c>
      <c r="M231" s="136" t="inlineStr">
        <is>
          <t>v001</t>
        </is>
      </c>
      <c r="N231" s="136" t="inlineStr">
        <is>
          <t>GLB；共鸣环与5组掩体</t>
        </is>
      </c>
      <c r="O231" s="136" t="inlineStr">
        <is>
          <t>assets/art/environments/boss_arenas_v01/env_boss_arena_choir_85_top3d_v001.glb</t>
        </is>
      </c>
      <c r="P231" s="136" t="inlineStr">
        <is>
          <t>source/art/blender/bosses_v01/env_boss_arena_choir_85_top3d_v001.blend; src/world3d/DungeonRoom3D.gd</t>
        </is>
      </c>
      <c r="Q231" s="136" t="inlineStr">
        <is>
          <t>合唱竞技场; 85F; arena; cover</t>
        </is>
      </c>
      <c r="R231" s="136">
        <f>LOWER(TRIM(C231)&amp;"|"&amp;TRIM(D231)&amp;"|"&amp;TRIM(E231)&amp;"|"&amp;TRIM(F231)&amp;"|"&amp;TRIM(H231)&amp;"|"&amp;TRIM(I231))</f>
        <v/>
      </c>
      <c r="S231" s="136">
        <f>IF(COUNTIF($R$6:$R$280,R231)&gt;1,"重复","唯一")</f>
        <v/>
      </c>
      <c r="T231" s="136" t="inlineStr">
        <is>
          <t>d2aae2a6fd2f091d5cb9c05d103a4512179bdc6ef0e9d77ba5834efc723eba3a</t>
        </is>
      </c>
      <c r="U231" s="136" t="inlineStr">
        <is>
          <t>Codex</t>
        </is>
      </c>
      <c r="V231" s="136" t="n">
        <v>46247</v>
      </c>
      <c r="W231" s="136" t="inlineStr">
        <is>
          <t>原创程序建模</t>
        </is>
      </c>
      <c r="X231" s="136" t="inlineStr">
        <is>
          <t>高模装饰可流式；对应5组碰撞掩体。永久楼板/关卡墙/外墙不隐藏。</t>
        </is>
      </c>
    </row>
    <row r="232">
      <c r="A232" s="136" t="inlineStr">
        <is>
          <t>AUD-SFX-FLASHLIGHT-CHARGE-UP</t>
        </is>
      </c>
      <c r="B232" s="136" t="inlineStr">
        <is>
          <t>手电筒充能音效</t>
        </is>
      </c>
      <c r="C232" s="136" t="inlineStr">
        <is>
          <t>音频</t>
        </is>
      </c>
      <c r="D232" s="136" t="inlineStr">
        <is>
          <t>sfx</t>
        </is>
      </c>
      <c r="E232" s="136" t="inlineStr">
        <is>
          <t>flashlight_charge_up</t>
        </is>
      </c>
      <c r="F232" s="136" t="inlineStr">
        <is>
          <t>runtime</t>
        </is>
      </c>
      <c r="G232" s="136" t="n"/>
      <c r="H232" s="136" t="inlineStr">
        <is>
          <t>全局/非空间</t>
        </is>
      </c>
      <c r="I232" s="136" t="inlineStr">
        <is>
          <t>default</t>
        </is>
      </c>
      <c r="J232" s="136" t="inlineStr">
        <is>
          <t>手电筒系统</t>
        </is>
      </c>
      <c r="K232" s="136" t="inlineStr">
        <is>
          <t>正式接入</t>
        </is>
      </c>
      <c r="L232" s="136" t="inlineStr">
        <is>
          <t>P0</t>
        </is>
      </c>
      <c r="M232" s="136" t="inlineStr">
        <is>
          <t>v001</t>
        </is>
      </c>
      <c r="N232" s="136" t="inlineStr">
        <is>
          <t>0.950s；44.1kHz；stereo OGG</t>
        </is>
      </c>
      <c r="O232" s="136" t="inlineStr">
        <is>
          <t>src/assets/audio/sfx/flashlight_charge_up_v001.ogg</t>
        </is>
      </c>
      <c r="P232" s="136" t="inlineStr">
        <is>
          <t>src/assets/audio/sfx/flashlight_charge_up.wav; tools/asset_pipeline/create_flashlight_sfx.py</t>
        </is>
      </c>
      <c r="Q232" s="136" t="inlineStr">
        <is>
          <t>flashlight; charge; 手电筒; 充能</t>
        </is>
      </c>
      <c r="R232" s="136">
        <f>LOWER(TRIM(C232)&amp;"|"&amp;TRIM(D232)&amp;"|"&amp;TRIM(E232)&amp;"|"&amp;TRIM(F232)&amp;"|"&amp;TRIM(H232)&amp;"|"&amp;TRIM(I232))</f>
        <v/>
      </c>
      <c r="S232" s="136">
        <f>IF(COUNTIF($R$6:$R$280,R232)&gt;1,"重复","唯一")</f>
        <v/>
      </c>
      <c r="T232" s="136" t="inlineStr">
        <is>
          <t>eee07c1942c32004dd750f670630d087e3491f5007537ba742cd102032ade878</t>
        </is>
      </c>
      <c r="U232" s="136" t="inlineStr">
        <is>
          <t>Codex</t>
        </is>
      </c>
      <c r="V232" s="136" t="n">
        <v>46247</v>
      </c>
      <c r="W232" s="136" t="inlineStr">
        <is>
          <t>原创程序合成</t>
        </is>
      </c>
      <c r="X232" s="136" t="inlineStr">
        <is>
          <t>WAV母版；OGG运行；桌面/Android统一路径。</t>
        </is>
      </c>
    </row>
    <row r="233">
      <c r="A233" s="136" t="inlineStr">
        <is>
          <t>AUD-SFX-FLASHLIGHT-DEPLETED</t>
        </is>
      </c>
      <c r="B233" s="136" t="inlineStr">
        <is>
          <t>手电筒耗尽音效</t>
        </is>
      </c>
      <c r="C233" s="136" t="inlineStr">
        <is>
          <t>音频</t>
        </is>
      </c>
      <c r="D233" s="136" t="inlineStr">
        <is>
          <t>sfx</t>
        </is>
      </c>
      <c r="E233" s="136" t="inlineStr">
        <is>
          <t>flashlight_depleted</t>
        </is>
      </c>
      <c r="F233" s="136" t="inlineStr">
        <is>
          <t>runtime</t>
        </is>
      </c>
      <c r="G233" s="136" t="n"/>
      <c r="H233" s="136" t="inlineStr">
        <is>
          <t>全局/非空间</t>
        </is>
      </c>
      <c r="I233" s="136" t="inlineStr">
        <is>
          <t>default</t>
        </is>
      </c>
      <c r="J233" s="136" t="inlineStr">
        <is>
          <t>手电筒系统</t>
        </is>
      </c>
      <c r="K233" s="136" t="inlineStr">
        <is>
          <t>正式接入</t>
        </is>
      </c>
      <c r="L233" s="136" t="inlineStr">
        <is>
          <t>P0</t>
        </is>
      </c>
      <c r="M233" s="136" t="inlineStr">
        <is>
          <t>v001</t>
        </is>
      </c>
      <c r="N233" s="136" t="inlineStr">
        <is>
          <t>0.850s；44.1kHz；stereo OGG</t>
        </is>
      </c>
      <c r="O233" s="136" t="inlineStr">
        <is>
          <t>src/assets/audio/sfx/flashlight_depleted_v001.ogg</t>
        </is>
      </c>
      <c r="P233" s="136" t="inlineStr">
        <is>
          <t>src/assets/audio/sfx/flashlight_depleted.wav; tools/asset_pipeline/create_flashlight_sfx.py</t>
        </is>
      </c>
      <c r="Q233" s="136" t="inlineStr">
        <is>
          <t>flashlight; depleted; 手电筒; 耗尽</t>
        </is>
      </c>
      <c r="R233" s="136">
        <f>LOWER(TRIM(C233)&amp;"|"&amp;TRIM(D233)&amp;"|"&amp;TRIM(E233)&amp;"|"&amp;TRIM(F233)&amp;"|"&amp;TRIM(H233)&amp;"|"&amp;TRIM(I233))</f>
        <v/>
      </c>
      <c r="S233" s="136">
        <f>IF(COUNTIF($R$6:$R$280,R233)&gt;1,"重复","唯一")</f>
        <v/>
      </c>
      <c r="T233" s="136" t="inlineStr">
        <is>
          <t>c1aa6d3eb619bd1b714689118442e873af08a05e9ebc64cd56161b96a91fa095</t>
        </is>
      </c>
      <c r="U233" s="136" t="inlineStr">
        <is>
          <t>Codex</t>
        </is>
      </c>
      <c r="V233" s="136" t="n">
        <v>46247</v>
      </c>
      <c r="W233" s="136" t="inlineStr">
        <is>
          <t>原创程序合成</t>
        </is>
      </c>
      <c r="X233" s="136" t="inlineStr">
        <is>
          <t>WAV母版；OGG运行；桌面/Android统一路径。</t>
        </is>
      </c>
    </row>
    <row r="234">
      <c r="A234" s="136" t="inlineStr">
        <is>
          <t>AUD-SFX-FLASHLIGHT-LOW-BATTERY</t>
        </is>
      </c>
      <c r="B234" s="136" t="inlineStr">
        <is>
          <t>手电筒低电量音效</t>
        </is>
      </c>
      <c r="C234" s="136" t="inlineStr">
        <is>
          <t>音频</t>
        </is>
      </c>
      <c r="D234" s="136" t="inlineStr">
        <is>
          <t>sfx</t>
        </is>
      </c>
      <c r="E234" s="136" t="inlineStr">
        <is>
          <t>flashlight_low_battery</t>
        </is>
      </c>
      <c r="F234" s="136" t="inlineStr">
        <is>
          <t>runtime</t>
        </is>
      </c>
      <c r="G234" s="136" t="n"/>
      <c r="H234" s="136" t="inlineStr">
        <is>
          <t>全局/非空间</t>
        </is>
      </c>
      <c r="I234" s="136" t="inlineStr">
        <is>
          <t>default</t>
        </is>
      </c>
      <c r="J234" s="136" t="inlineStr">
        <is>
          <t>手电筒系统</t>
        </is>
      </c>
      <c r="K234" s="136" t="inlineStr">
        <is>
          <t>正式接入</t>
        </is>
      </c>
      <c r="L234" s="136" t="inlineStr">
        <is>
          <t>P0</t>
        </is>
      </c>
      <c r="M234" s="136" t="inlineStr">
        <is>
          <t>v001</t>
        </is>
      </c>
      <c r="N234" s="136" t="inlineStr">
        <is>
          <t>0.650s；44.1kHz；stereo OGG</t>
        </is>
      </c>
      <c r="O234" s="136" t="inlineStr">
        <is>
          <t>src/assets/audio/sfx/flashlight_low_battery_v001.ogg</t>
        </is>
      </c>
      <c r="P234" s="136" t="inlineStr">
        <is>
          <t>src/assets/audio/sfx/flashlight_low_battery.wav; tools/asset_pipeline/create_flashlight_sfx.py</t>
        </is>
      </c>
      <c r="Q234" s="136" t="inlineStr">
        <is>
          <t>flashlight; low battery; 手电筒; 低电量</t>
        </is>
      </c>
      <c r="R234" s="136">
        <f>LOWER(TRIM(C234)&amp;"|"&amp;TRIM(D234)&amp;"|"&amp;TRIM(E234)&amp;"|"&amp;TRIM(F234)&amp;"|"&amp;TRIM(H234)&amp;"|"&amp;TRIM(I234))</f>
        <v/>
      </c>
      <c r="S234" s="136">
        <f>IF(COUNTIF($R$6:$R$280,R234)&gt;1,"重复","唯一")</f>
        <v/>
      </c>
      <c r="T234" s="136" t="inlineStr">
        <is>
          <t>e9fb880d366d90b203569bae843c30bfc02541bd03b16e56a30cbd440b61fb4a</t>
        </is>
      </c>
      <c r="U234" s="136" t="inlineStr">
        <is>
          <t>Codex</t>
        </is>
      </c>
      <c r="V234" s="136" t="n">
        <v>46247</v>
      </c>
      <c r="W234" s="136" t="inlineStr">
        <is>
          <t>原创程序合成</t>
        </is>
      </c>
      <c r="X234" s="136" t="inlineStr">
        <is>
          <t>WAV母版；OGG运行；桌面/Android统一路径。</t>
        </is>
      </c>
    </row>
    <row r="235">
      <c r="A235" s="136" t="inlineStr">
        <is>
          <t>ENV-BASE99-MODULAR-KIT-3D</t>
        </is>
      </c>
      <c r="B235" s="136" t="inlineStr">
        <is>
          <t>基地99层模块化房间3D套件</t>
        </is>
      </c>
      <c r="C235" s="136" t="inlineStr">
        <is>
          <t>场景</t>
        </is>
      </c>
      <c r="D235" s="136" t="inlineStr">
        <is>
          <t>environment_kit_3d</t>
        </is>
      </c>
      <c r="E235" s="136" t="inlineStr">
        <is>
          <t>base99_modular_room</t>
        </is>
      </c>
      <c r="F235" s="136" t="inlineStr">
        <is>
          <t>root_3d</t>
        </is>
      </c>
      <c r="G235" s="136" t="inlineStr">
        <is>
          <t>ENV-TOWER-DESCENT-KIT-3D</t>
        </is>
      </c>
      <c r="H235" s="136" t="inlineStr">
        <is>
          <t>Top3D / local -Z 正面</t>
        </is>
      </c>
      <c r="I235" s="136" t="inlineStr">
        <is>
          <t>default / modular</t>
        </is>
      </c>
      <c r="J235" s="136" t="inlineStr">
        <is>
          <t>99层基地专属环境模块</t>
        </is>
      </c>
      <c r="K235" s="136" t="inlineStr">
        <is>
          <t>正式美术已接入</t>
        </is>
      </c>
      <c r="L235" s="136" t="inlineStr">
        <is>
          <t>P0</t>
        </is>
      </c>
      <c r="M235" s="136" t="inlineStr">
        <is>
          <t>v001</t>
        </is>
      </c>
      <c r="N235" s="136" t="inlineStr">
        <is>
          <t>5m网格；30×30m房间；9m层高；9个稳定Prefab</t>
        </is>
      </c>
      <c r="O235" s="136" t="inlineStr">
        <is>
          <t>assets/art/environments/base_facility_3d/runtime/</t>
        </is>
      </c>
      <c r="P235" s="136" t="inlineStr">
        <is>
          <t>assets/art/environments/base_facility_3d/source/env_base99_modular_room/env_base99_modular_room_assets_clean_v001.blend; assets/art/3D模型资产目录与命名规范.md; scripts/blender/export_base99_runtime_modules.py</t>
        </is>
      </c>
      <c r="Q235" s="136" t="inlineStr">
        <is>
          <t>基地99层;模块化房间;5米网格;9个Prefab;GLB;PackedScene</t>
        </is>
      </c>
      <c r="R235" s="136">
        <f>LOWER(TRIM(C235)&amp;"|"&amp;TRIM(D235)&amp;"|"&amp;TRIM(E235)&amp;"|"&amp;TRIM(F235)&amp;"|"&amp;TRIM(H235)&amp;"|"&amp;TRIM(I235))</f>
        <v/>
      </c>
      <c r="S235" s="136">
        <f>IF(COUNTIF($R$6:$R$280,R235)&gt;1,"重复","唯一")</f>
        <v/>
      </c>
      <c r="T235" s="136" t="inlineStr">
        <is>
          <t>d5b6963f5f100d4663ebad75e7379ce5c5f8f248168f7147de6095e13d9dd46a</t>
        </is>
      </c>
      <c r="U235" s="136" t="inlineStr">
        <is>
          <t>Codex</t>
        </is>
      </c>
      <c r="V235" s="137" t="n">
        <v>46252</v>
      </c>
      <c r="W235" s="136" t="inlineStr">
        <is>
          <t>用户自制Blender资产</t>
        </is>
      </c>
      <c r="X235" s="136" t="inlineStr">
        <is>
          <t>九件模块已接入；99层外圈14段普通墙+2段门墙，窗墙仅供100层；楼板/楼梯改由可编辑布局Prefab持有碰撞。</t>
        </is>
      </c>
    </row>
    <row r="236">
      <c r="A236" s="136" t="inlineStr">
        <is>
          <t>ENV-BASE99-WALL-PLAIN-5X9</t>
        </is>
      </c>
      <c r="B236" s="136" t="inlineStr">
        <is>
          <t>基地99层普通墙体5×9米</t>
        </is>
      </c>
      <c r="C236" s="136" t="inlineStr">
        <is>
          <t>场景</t>
        </is>
      </c>
      <c r="D236" s="136" t="inlineStr">
        <is>
          <t>environment_module_3d</t>
        </is>
      </c>
      <c r="E236" s="136" t="inlineStr">
        <is>
          <t>base99_wall_plain_5x9</t>
        </is>
      </c>
      <c r="F236" s="136" t="inlineStr">
        <is>
          <t>wall_plain</t>
        </is>
      </c>
      <c r="G236" s="136" t="inlineStr">
        <is>
          <t>ENV-BASE99-MODULAR-KIT-3D</t>
        </is>
      </c>
      <c r="H236" s="136" t="inlineStr">
        <is>
          <t>Top3D / local -Z 正面</t>
        </is>
      </c>
      <c r="I236" s="136" t="inlineStr">
        <is>
          <t>default / visual_only</t>
        </is>
      </c>
      <c r="J236" s="136" t="inlineStr">
        <is>
          <t>99层基地模块化结构</t>
        </is>
      </c>
      <c r="K236" s="136" t="inlineStr">
        <is>
          <t>正式美术已接入</t>
        </is>
      </c>
      <c r="L236" s="136" t="inlineStr">
        <is>
          <t>P0</t>
        </is>
      </c>
      <c r="M236" s="136" t="inlineStr">
        <is>
          <t>v001</t>
        </is>
      </c>
      <c r="N236" s="136" t="inlineStr">
        <is>
          <t>5×9×0.36m视觉外廓；底边中心原点；2材质表面；无内置碰撞</t>
        </is>
      </c>
      <c r="O236" s="136" t="inlineStr">
        <is>
          <t>assets/art/environments/base_facility_3d/runtime/env_base99_wall_plain_5x9/env_base99_wall_plain_5x9_root_top3d_v001.tscn</t>
        </is>
      </c>
      <c r="P236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6" s="136" t="inlineStr">
        <is>
          <t>基地99层普通墙体5×9米;base99;PaletteUV;cast_and_receive</t>
        </is>
      </c>
      <c r="R236" s="136">
        <f>LOWER(TRIM(C236)&amp;"|"&amp;TRIM(D236)&amp;"|"&amp;TRIM(E236)&amp;"|"&amp;TRIM(F236)&amp;"|"&amp;TRIM(H236)&amp;"|"&amp;TRIM(I236))</f>
        <v/>
      </c>
      <c r="S236" s="136">
        <f>IF(COUNTIF($R$6:$R$280,R236)&gt;1,"重复","唯一")</f>
        <v/>
      </c>
      <c r="T236" s="136" t="inlineStr">
        <is>
          <t>2e7d0d9e6d4fdbd256b34cd443d41ce19200d584589a3aa76c9278b82dd8c604</t>
        </is>
      </c>
      <c r="U236" s="136" t="inlineStr">
        <is>
          <t>Codex</t>
        </is>
      </c>
      <c r="V236" s="137" t="n">
        <v>46252</v>
      </c>
      <c r="W236" s="136" t="inlineStr">
        <is>
          <t>用户自制Blender资产</t>
        </is>
      </c>
      <c r="X236" s="136" t="inlineStr">
        <is>
          <t>99层运行时14段普通墙；不放窗墙；0.30m结构碰撞归DungeonRoom3D；模型参与挡光与投影。</t>
        </is>
      </c>
    </row>
    <row r="237">
      <c r="A237" s="136" t="inlineStr">
        <is>
          <t>ENV-BASE99-WALL-DOOR-5X9</t>
        </is>
      </c>
      <c r="B237" s="136" t="inlineStr">
        <is>
          <t>基地99层带门墙体5×9米</t>
        </is>
      </c>
      <c r="C237" s="136" t="inlineStr">
        <is>
          <t>场景</t>
        </is>
      </c>
      <c r="D237" s="136" t="inlineStr">
        <is>
          <t>environment_module_3d</t>
        </is>
      </c>
      <c r="E237" s="136" t="inlineStr">
        <is>
          <t>base99_wall_door_5x9</t>
        </is>
      </c>
      <c r="F237" s="136" t="inlineStr">
        <is>
          <t>wall_door</t>
        </is>
      </c>
      <c r="G237" s="136" t="inlineStr">
        <is>
          <t>ENV-BASE99-MODULAR-KIT-3D</t>
        </is>
      </c>
      <c r="H237" s="136" t="inlineStr">
        <is>
          <t>Top3D / local -Z 正面</t>
        </is>
      </c>
      <c r="I237" s="136" t="inlineStr">
        <is>
          <t>default / visual_only</t>
        </is>
      </c>
      <c r="J237" s="136" t="inlineStr">
        <is>
          <t>99层基地模块化结构</t>
        </is>
      </c>
      <c r="K237" s="136" t="inlineStr">
        <is>
          <t>正式美术已接入</t>
        </is>
      </c>
      <c r="L237" s="136" t="inlineStr">
        <is>
          <t>P0</t>
        </is>
      </c>
      <c r="M237" s="136" t="inlineStr">
        <is>
          <t>v001</t>
        </is>
      </c>
      <c r="N237" s="136" t="inlineStr">
        <is>
          <t>5×9×1.1712m视觉外廓；2.2×2.5m门洞；底边中心原点</t>
        </is>
      </c>
      <c r="O237" s="136" t="inlineStr">
        <is>
          <t>assets/art/environments/base_facility_3d/runtime/env_base99_wall_door_5x9/env_base99_wall_door_5x9_root_top3d_v001.tscn</t>
        </is>
      </c>
      <c r="P237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7" s="136" t="inlineStr">
        <is>
          <t>基地99层带门墙体5×9米;base99;PaletteUV;cast_and_receive</t>
        </is>
      </c>
      <c r="R237" s="136">
        <f>LOWER(TRIM(C237)&amp;"|"&amp;TRIM(D237)&amp;"|"&amp;TRIM(E237)&amp;"|"&amp;TRIM(F237)&amp;"|"&amp;TRIM(H237)&amp;"|"&amp;TRIM(I237))</f>
        <v/>
      </c>
      <c r="S237" s="136">
        <f>IF(COUNTIF($R$6:$R$280,R237)&gt;1,"重复","唯一")</f>
        <v/>
      </c>
      <c r="T237" s="136" t="inlineStr">
        <is>
          <t>156222718efed91b51448d35a1969d1664af9019079384ab63417d9bc21dca96</t>
        </is>
      </c>
      <c r="U237" s="136" t="inlineStr">
        <is>
          <t>Codex</t>
        </is>
      </c>
      <c r="V237" s="137" t="n">
        <v>46252</v>
      </c>
      <c r="W237" s="136" t="inlineStr">
        <is>
          <t>用户自制Blender资产</t>
        </is>
      </c>
      <c r="X237" s="136" t="inlineStr">
        <is>
          <t>运行时2段独立门墙；墙体模型投影；门扇、门状态机、提示、碰撞和寻路仍由Godot原系统拥有。</t>
        </is>
      </c>
    </row>
    <row r="238">
      <c r="A238" s="136" t="inlineStr">
        <is>
          <t>ENV-BASE99-FLOOR-PLAIN-5M</t>
        </is>
      </c>
      <c r="B238" s="136" t="inlineStr">
        <is>
          <t>基地99层普通地板5×5米</t>
        </is>
      </c>
      <c r="C238" s="136" t="inlineStr">
        <is>
          <t>场景</t>
        </is>
      </c>
      <c r="D238" s="136" t="inlineStr">
        <is>
          <t>environment_module_3d</t>
        </is>
      </c>
      <c r="E238" s="136" t="inlineStr">
        <is>
          <t>base99_floor_plain_5m</t>
        </is>
      </c>
      <c r="F238" s="136" t="inlineStr">
        <is>
          <t>floor_plain</t>
        </is>
      </c>
      <c r="G238" s="136" t="inlineStr">
        <is>
          <t>ENV-BASE99-MODULAR-KIT-3D</t>
        </is>
      </c>
      <c r="H238" s="136" t="inlineStr">
        <is>
          <t>Top3D / local -Z 正面</t>
        </is>
      </c>
      <c r="I238" s="136" t="inlineStr">
        <is>
          <t>default / visual_only</t>
        </is>
      </c>
      <c r="J238" s="136" t="inlineStr">
        <is>
          <t>99层基地模块化结构</t>
        </is>
      </c>
      <c r="K238" s="136" t="inlineStr">
        <is>
          <t>正式美术已接入</t>
        </is>
      </c>
      <c r="L238" s="136" t="inlineStr">
        <is>
          <t>P0</t>
        </is>
      </c>
      <c r="M238" s="136" t="inlineStr">
        <is>
          <t>v001</t>
        </is>
      </c>
      <c r="N238" s="136" t="inlineStr">
        <is>
          <t>5×5×0.30m；平面中心/结构底面原点</t>
        </is>
      </c>
      <c r="O238" s="136" t="inlineStr">
        <is>
          <t>assets/art/environments/base_facility_3d/runtime/env_base99_floor_plain_5m/env_base99_floor_plain_5m_root_top3d_v001.tscn</t>
        </is>
      </c>
      <c r="P238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8" s="136" t="inlineStr">
        <is>
          <t>基地99层普通地板5×5米;base99;PaletteUV;cast_and_receive</t>
        </is>
      </c>
      <c r="R238" s="136">
        <f>LOWER(TRIM(C238)&amp;"|"&amp;TRIM(D238)&amp;"|"&amp;TRIM(E238)&amp;"|"&amp;TRIM(F238)&amp;"|"&amp;TRIM(H238)&amp;"|"&amp;TRIM(I238))</f>
        <v/>
      </c>
      <c r="S238" s="136">
        <f>IF(COUNTIF($R$6:$R$280,R238)&gt;1,"重复","唯一")</f>
        <v/>
      </c>
      <c r="T238" s="136" t="inlineStr">
        <is>
          <t>22085ad0a0afb8948cf0d85e6fb3220a638b11a8eab09c565084bfe79248fe2a</t>
        </is>
      </c>
      <c r="U238" s="136" t="inlineStr">
        <is>
          <t>Codex</t>
        </is>
      </c>
      <c r="V238" s="137" t="n">
        <v>46252</v>
      </c>
      <c r="W238" s="136" t="inlineStr">
        <is>
          <t>用户自制Blender资产</t>
        </is>
      </c>
      <c r="X238" s="136" t="inlineStr">
        <is>
          <t>运行时18块；承重仍由TowerFloorStage地面碰撞负责；模型参与挡光与投影。</t>
        </is>
      </c>
    </row>
    <row r="239">
      <c r="A239" s="136" t="inlineStr">
        <is>
          <t>ENV-BASE99-FLOOR-RIVET-5M</t>
        </is>
      </c>
      <c r="B239" s="136" t="inlineStr">
        <is>
          <t>基地99层铆钉铁皮带地板5×5米</t>
        </is>
      </c>
      <c r="C239" s="136" t="inlineStr">
        <is>
          <t>场景</t>
        </is>
      </c>
      <c r="D239" s="136" t="inlineStr">
        <is>
          <t>environment_module_3d</t>
        </is>
      </c>
      <c r="E239" s="136" t="inlineStr">
        <is>
          <t>base99_floor_rivet_5m</t>
        </is>
      </c>
      <c r="F239" s="136" t="inlineStr">
        <is>
          <t>floor_rivet</t>
        </is>
      </c>
      <c r="G239" s="136" t="inlineStr">
        <is>
          <t>ENV-BASE99-MODULAR-KIT-3D</t>
        </is>
      </c>
      <c r="H239" s="136" t="inlineStr">
        <is>
          <t>Top3D / local -Z 正面</t>
        </is>
      </c>
      <c r="I239" s="136" t="inlineStr">
        <is>
          <t>default / visual_only</t>
        </is>
      </c>
      <c r="J239" s="136" t="inlineStr">
        <is>
          <t>99层基地模块化结构</t>
        </is>
      </c>
      <c r="K239" s="136" t="inlineStr">
        <is>
          <t>正式美术已接入</t>
        </is>
      </c>
      <c r="L239" s="136" t="inlineStr">
        <is>
          <t>P0</t>
        </is>
      </c>
      <c r="M239" s="136" t="inlineStr">
        <is>
          <t>v001</t>
        </is>
      </c>
      <c r="N239" s="136" t="inlineStr">
        <is>
          <t>5×5×0.395m视觉外廓；0.30m结构板+0.095m装饰凸起</t>
        </is>
      </c>
      <c r="O239" s="136" t="inlineStr">
        <is>
          <t>assets/art/environments/base_facility_3d/runtime/env_base99_floor_rivet_5m/env_base99_floor_rivet_5m_root_top3d_v001.tscn</t>
        </is>
      </c>
      <c r="P239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9" s="136" t="inlineStr">
        <is>
          <t>基地99层铆钉铁皮带地板5×5米;base99;PaletteUV;cast_and_receive</t>
        </is>
      </c>
      <c r="R239" s="136">
        <f>LOWER(TRIM(C239)&amp;"|"&amp;TRIM(D239)&amp;"|"&amp;TRIM(E239)&amp;"|"&amp;TRIM(F239)&amp;"|"&amp;TRIM(H239)&amp;"|"&amp;TRIM(I239))</f>
        <v/>
      </c>
      <c r="S239" s="136">
        <f>IF(COUNTIF($R$6:$R$280,R239)&gt;1,"重复","唯一")</f>
        <v/>
      </c>
      <c r="T239" s="136" t="inlineStr">
        <is>
          <t>14fd4be6488e7b6ede08f18b4252f6989702e965b42e5cf098f7d07a8a126631</t>
        </is>
      </c>
      <c r="U239" s="136" t="inlineStr">
        <is>
          <t>Codex</t>
        </is>
      </c>
      <c r="V239" s="137" t="n">
        <v>46252</v>
      </c>
      <c r="W239" s="136" t="inlineStr">
        <is>
          <t>用户自制Blender资产</t>
        </is>
      </c>
      <c r="X239" s="136" t="inlineStr">
        <is>
          <t>运行时18块，与普通基地地板棋盘式互用；承重碰撞不变；模型参与挡光与投影。</t>
        </is>
      </c>
    </row>
    <row r="240">
      <c r="A240" s="136" t="inlineStr">
        <is>
          <t>ENV-BASE99-ART-LAYOUT-3D</t>
        </is>
      </c>
      <c r="B240" s="136" t="inlineStr">
        <is>
          <t>基地99层美术布局参考</t>
        </is>
      </c>
      <c r="C240" s="136" t="inlineStr">
        <is>
          <t>场景</t>
        </is>
      </c>
      <c r="D240" s="136" t="inlineStr">
        <is>
          <t>environment_module_3d</t>
        </is>
      </c>
      <c r="E240" s="136" t="inlineStr">
        <is>
          <t>base_facility_art_layout</t>
        </is>
      </c>
      <c r="F240" s="136" t="inlineStr">
        <is>
          <t>root_3d</t>
        </is>
      </c>
      <c r="G240" s="136" t="inlineStr">
        <is>
          <t>ENV-BASE99-MODULAR-KIT-3D</t>
        </is>
      </c>
      <c r="H240" s="136" t="inlineStr">
        <is>
          <t>Top3D / local -Z 正面</t>
        </is>
      </c>
      <c r="I240" s="136" t="inlineStr">
        <is>
          <t>default / prefab</t>
        </is>
      </c>
      <c r="J240" s="136" t="inlineStr">
        <is>
          <t>场景通用组件</t>
        </is>
      </c>
      <c r="K240" s="136" t="inlineStr">
        <is>
          <t>原型已接入</t>
        </is>
      </c>
      <c r="L240" s="136" t="inlineStr">
        <is>
          <t>P1</t>
        </is>
      </c>
      <c r="M240" s="136" t="inlineStr">
        <is>
          <t>v001</t>
        </is>
      </c>
      <c r="N240" s="136" t="inlineStr">
        <is>
          <t>Godot PackedScene；根=Node3D；碰撞节点=0</t>
        </is>
      </c>
      <c r="O240" s="136" t="inlineStr">
        <is>
          <t>assets/art/environments/base_facility_3d/runtime/env_base_facility_art_layout_top3d_v001.tscn</t>
        </is>
      </c>
      <c r="P240" s="136" t="inlineStr">
        <is>
          <t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t>
        </is>
      </c>
      <c r="Q240" s="136" t="inlineStr">
        <is>
          <t>基地99层美术布局参考;3D;Prefab;场景通用组件;base_facility_art_layout</t>
        </is>
      </c>
      <c r="R240" s="136" t="inlineStr">
        <is>
          <t>场景|environment_module_3d|base_facility_art_layout|root_3d|top3d / local -z 正面|default / prefab</t>
        </is>
      </c>
      <c r="S240" s="136">
        <f>IF(COUNTIF($R$6:$R$280,R240)&gt;1,"重复","唯一")</f>
        <v/>
      </c>
      <c r="T240" s="136" t="inlineStr">
        <is>
          <t>2ecff00457fc749a94d5b8b5f08e3ca520add6d6862990a1a308577435e60863</t>
        </is>
      </c>
      <c r="U240" s="136" t="inlineStr">
        <is>
          <t>Codex</t>
        </is>
      </c>
      <c r="V240" s="137" t="n">
        <v>46252</v>
      </c>
      <c r="W240" s="136" t="inlineStr">
        <is>
          <t>项目现有Godot资产</t>
        </is>
      </c>
      <c r="X240" s="136" t="inlineStr">
        <is>
          <t>主场景可编辑布局；现含8个设施及楼板、L梯、外门小梯三个结构Prefab，位置旋转可在tscn直接调整。</t>
        </is>
      </c>
    </row>
    <row r="241">
      <c r="A241" s="136" t="inlineStr">
        <is>
          <t>ENV-TOWER-CORNER-L-5M</t>
        </is>
      </c>
      <c r="B241" s="136" t="inlineStr">
        <is>
          <t>塔楼L型转角5米</t>
        </is>
      </c>
      <c r="C241" s="136" t="inlineStr">
        <is>
          <t>场景</t>
        </is>
      </c>
      <c r="D241" s="136" t="inlineStr">
        <is>
          <t>environment_module_3d</t>
        </is>
      </c>
      <c r="E241" s="136" t="inlineStr">
        <is>
          <t>corner_L_5m</t>
        </is>
      </c>
      <c r="F241" s="136" t="inlineStr">
        <is>
          <t>root_3d</t>
        </is>
      </c>
      <c r="G241" s="136" t="inlineStr">
        <is>
          <t>ENV-TOWER-DESCENT-KIT-3D</t>
        </is>
      </c>
      <c r="H241" s="136" t="inlineStr">
        <is>
          <t>Top3D / local -Z 正面</t>
        </is>
      </c>
      <c r="I241" s="136" t="inlineStr">
        <is>
          <t>default / prefab</t>
        </is>
      </c>
      <c r="J241" s="136" t="inlineStr">
        <is>
          <t>场景通用组件</t>
        </is>
      </c>
      <c r="K241" s="136" t="inlineStr">
        <is>
          <t>程序占位</t>
        </is>
      </c>
      <c r="L241" s="136" t="inlineStr">
        <is>
          <t>P1</t>
        </is>
      </c>
      <c r="M241" s="136" t="inlineStr">
        <is>
          <t>v001</t>
        </is>
      </c>
      <c r="N241" s="136" t="inlineStr">
        <is>
          <t>Godot PackedScene；根=Node3D；碰撞节点=2</t>
        </is>
      </c>
      <c r="O241" s="136" t="inlineStr">
        <is>
          <t>assets/art/props/dungeon_3d/prp_corner_L_5m.tscn</t>
        </is>
      </c>
      <c r="P241" s="136" t="inlineStr">
        <is>
          <t>assets/art/3D模型资产目录与命名规范.md</t>
        </is>
      </c>
      <c r="Q241" s="136" t="inlineStr">
        <is>
          <t>塔楼L型转角5米;3D;Prefab;场景通用组件;corner_L_5m</t>
        </is>
      </c>
      <c r="R241" s="136" t="inlineStr">
        <is>
          <t>场景|environment_module_3d|corner_L_5m|root_3d|top3d / local -z 正面|default / prefab</t>
        </is>
      </c>
      <c r="S241" s="136">
        <f>IF(COUNTIF($R$6:$R$280,R241)&gt;1,"重复","唯一")</f>
        <v/>
      </c>
      <c r="T241" s="136" t="inlineStr">
        <is>
          <t>667ab19c8054077120bc583a72fed9447e7f2c97e7448104f43fb54d080d7428</t>
        </is>
      </c>
      <c r="U241" s="136" t="inlineStr">
        <is>
          <t>Codex</t>
        </is>
      </c>
      <c r="V241" s="137" t="n">
        <v>46252</v>
      </c>
      <c r="W241" s="136" t="inlineStr">
        <is>
          <t>项目现有Godot资产</t>
        </is>
      </c>
      <c r="X241" s="136" t="inlineStr">
        <is>
          <t>2026-08-18项目扫描补登记；按Prefab独立身份管理；根节点=PrpCornerL5m(Node3D)；2026-08-18扫描补登记资产主表</t>
        </is>
      </c>
    </row>
    <row r="242">
      <c r="A242" s="136" t="inlineStr">
        <is>
          <t>ENV-TOWER-CORNER-L-PARAPET-5M</t>
        </is>
      </c>
      <c r="B242" s="136" t="inlineStr">
        <is>
          <t>塔楼L型女儿墙转角5米</t>
        </is>
      </c>
      <c r="C242" s="136" t="inlineStr">
        <is>
          <t>场景</t>
        </is>
      </c>
      <c r="D242" s="136" t="inlineStr">
        <is>
          <t>environment_module_3d</t>
        </is>
      </c>
      <c r="E242" s="136" t="inlineStr">
        <is>
          <t>corner_L_parapet_5m</t>
        </is>
      </c>
      <c r="F242" s="136" t="inlineStr">
        <is>
          <t>root_3d</t>
        </is>
      </c>
      <c r="G242" s="136" t="inlineStr">
        <is>
          <t>ENV-TOWER-DESCENT-KIT-3D</t>
        </is>
      </c>
      <c r="H242" s="136" t="inlineStr">
        <is>
          <t>Top3D / local -Z 正面</t>
        </is>
      </c>
      <c r="I242" s="136" t="inlineStr">
        <is>
          <t>default / prefab</t>
        </is>
      </c>
      <c r="J242" s="136" t="inlineStr">
        <is>
          <t>场景通用组件</t>
        </is>
      </c>
      <c r="K242" s="136" t="inlineStr">
        <is>
          <t>程序占位</t>
        </is>
      </c>
      <c r="L242" s="136" t="inlineStr">
        <is>
          <t>P1</t>
        </is>
      </c>
      <c r="M242" s="136" t="inlineStr">
        <is>
          <t>v001</t>
        </is>
      </c>
      <c r="N242" s="136" t="inlineStr">
        <is>
          <t>Godot PackedScene；根=Node3D；碰撞节点=2</t>
        </is>
      </c>
      <c r="O242" s="136" t="inlineStr">
        <is>
          <t>assets/art/props/dungeon_3d/prp_corner_L_parapet_5m.tscn</t>
        </is>
      </c>
      <c r="P242" s="136" t="inlineStr">
        <is>
          <t>assets/art/3D模型资产目录与命名规范.md</t>
        </is>
      </c>
      <c r="Q242" s="136" t="inlineStr">
        <is>
          <t>塔楼L型女儿墙转角5米;3D;Prefab;场景通用组件;corner_L_parapet_5m</t>
        </is>
      </c>
      <c r="R242" s="136" t="inlineStr">
        <is>
          <t>场景|environment_module_3d|corner_L_parapet_5m|root_3d|top3d / local -z 正面|default / prefab</t>
        </is>
      </c>
      <c r="S242" s="136">
        <f>IF(COUNTIF($R$6:$R$280,R242)&gt;1,"重复","唯一")</f>
        <v/>
      </c>
      <c r="T242" s="136" t="inlineStr">
        <is>
          <t>beccc43fd192dafae810f4ed407dbf693417347957551b4e76bffdbea48092a8</t>
        </is>
      </c>
      <c r="U242" s="136" t="inlineStr">
        <is>
          <t>Codex</t>
        </is>
      </c>
      <c r="V242" s="137" t="n">
        <v>46252</v>
      </c>
      <c r="W242" s="136" t="inlineStr">
        <is>
          <t>项目现有Godot资产</t>
        </is>
      </c>
      <c r="X242" s="136" t="inlineStr">
        <is>
          <t>2026-08-18项目扫描补登记；按Prefab独立身份管理；根节点=PrpCornerLParapet5m(Node3D)；2026-08-18扫描补登记资产主表</t>
        </is>
      </c>
    </row>
    <row r="243">
      <c r="A243" s="136" t="inlineStr">
        <is>
          <t>ENV-TOWER-CORNER-T-5M</t>
        </is>
      </c>
      <c r="B243" s="136" t="inlineStr">
        <is>
          <t>塔楼T型转角5米</t>
        </is>
      </c>
      <c r="C243" s="136" t="inlineStr">
        <is>
          <t>场景</t>
        </is>
      </c>
      <c r="D243" s="136" t="inlineStr">
        <is>
          <t>environment_module_3d</t>
        </is>
      </c>
      <c r="E243" s="136" t="inlineStr">
        <is>
          <t>corner_T_5m</t>
        </is>
      </c>
      <c r="F243" s="136" t="inlineStr">
        <is>
          <t>root_3d</t>
        </is>
      </c>
      <c r="G243" s="136" t="inlineStr">
        <is>
          <t>ENV-TOWER-DESCENT-KIT-3D</t>
        </is>
      </c>
      <c r="H243" s="136" t="inlineStr">
        <is>
          <t>Top3D / local -Z 正面</t>
        </is>
      </c>
      <c r="I243" s="136" t="inlineStr">
        <is>
          <t>default / prefab</t>
        </is>
      </c>
      <c r="J243" s="136" t="inlineStr">
        <is>
          <t>场景通用组件</t>
        </is>
      </c>
      <c r="K243" s="136" t="inlineStr">
        <is>
          <t>程序占位</t>
        </is>
      </c>
      <c r="L243" s="136" t="inlineStr">
        <is>
          <t>P1</t>
        </is>
      </c>
      <c r="M243" s="136" t="inlineStr">
        <is>
          <t>v001</t>
        </is>
      </c>
      <c r="N243" s="136" t="inlineStr">
        <is>
          <t>Godot PackedScene；根=Node3D；碰撞节点=3</t>
        </is>
      </c>
      <c r="O243" s="136" t="inlineStr">
        <is>
          <t>assets/art/props/dungeon_3d/prp_corner_T_5m.tscn</t>
        </is>
      </c>
      <c r="P243" s="136" t="inlineStr">
        <is>
          <t>assets/art/3D模型资产目录与命名规范.md</t>
        </is>
      </c>
      <c r="Q243" s="136" t="inlineStr">
        <is>
          <t>塔楼T型转角5米;3D;Prefab;场景通用组件;corner_T_5m</t>
        </is>
      </c>
      <c r="R243" s="136" t="inlineStr">
        <is>
          <t>场景|environment_module_3d|corner_T_5m|root_3d|top3d / local -z 正面|default / prefab</t>
        </is>
      </c>
      <c r="S243" s="136">
        <f>IF(COUNTIF($R$6:$R$280,R243)&gt;1,"重复","唯一")</f>
        <v/>
      </c>
      <c r="T243" s="136" t="inlineStr">
        <is>
          <t>e208fdaa099ce8755705a0f68a6b434826d0ce73a7e16cdc0bea35be4076f87e</t>
        </is>
      </c>
      <c r="U243" s="136" t="inlineStr">
        <is>
          <t>Codex</t>
        </is>
      </c>
      <c r="V243" s="137" t="n">
        <v>46252</v>
      </c>
      <c r="W243" s="136" t="inlineStr">
        <is>
          <t>项目现有Godot资产</t>
        </is>
      </c>
      <c r="X243" s="136" t="inlineStr">
        <is>
          <t>2026-08-18项目扫描补登记；按Prefab独立身份管理；根节点=PrpCornerT5m(Node3D)；2026-08-18扫描补登记资产主表</t>
        </is>
      </c>
    </row>
    <row r="244">
      <c r="A244" s="136" t="inlineStr">
        <is>
          <t>ENV-TOWER-CORNER-X-5M</t>
        </is>
      </c>
      <c r="B244" s="136" t="inlineStr">
        <is>
          <t>塔楼十字转角5米</t>
        </is>
      </c>
      <c r="C244" s="136" t="inlineStr">
        <is>
          <t>场景</t>
        </is>
      </c>
      <c r="D244" s="136" t="inlineStr">
        <is>
          <t>environment_module_3d</t>
        </is>
      </c>
      <c r="E244" s="136" t="inlineStr">
        <is>
          <t>corner_X_5m</t>
        </is>
      </c>
      <c r="F244" s="136" t="inlineStr">
        <is>
          <t>root_3d</t>
        </is>
      </c>
      <c r="G244" s="136" t="inlineStr">
        <is>
          <t>ENV-TOWER-DESCENT-KIT-3D</t>
        </is>
      </c>
      <c r="H244" s="136" t="inlineStr">
        <is>
          <t>Top3D / local -Z 正面</t>
        </is>
      </c>
      <c r="I244" s="136" t="inlineStr">
        <is>
          <t>default / prefab</t>
        </is>
      </c>
      <c r="J244" s="136" t="inlineStr">
        <is>
          <t>场景通用组件</t>
        </is>
      </c>
      <c r="K244" s="136" t="inlineStr">
        <is>
          <t>程序占位</t>
        </is>
      </c>
      <c r="L244" s="136" t="inlineStr">
        <is>
          <t>P1</t>
        </is>
      </c>
      <c r="M244" s="136" t="inlineStr">
        <is>
          <t>v001</t>
        </is>
      </c>
      <c r="N244" s="136" t="inlineStr">
        <is>
          <t>Godot PackedScene；根=Node3D；碰撞节点=4</t>
        </is>
      </c>
      <c r="O244" s="136" t="inlineStr">
        <is>
          <t>assets/art/props/dungeon_3d/prp_corner_X_5m.tscn</t>
        </is>
      </c>
      <c r="P244" s="136" t="inlineStr">
        <is>
          <t>assets/art/3D模型资产目录与命名规范.md</t>
        </is>
      </c>
      <c r="Q244" s="136" t="inlineStr">
        <is>
          <t>塔楼十字转角5米;3D;Prefab;场景通用组件;corner_X_5m</t>
        </is>
      </c>
      <c r="R244" s="136" t="inlineStr">
        <is>
          <t>场景|environment_module_3d|corner_X_5m|root_3d|top3d / local -z 正面|default / prefab</t>
        </is>
      </c>
      <c r="S244" s="136">
        <f>IF(COUNTIF($R$6:$R$280,R244)&gt;1,"重复","唯一")</f>
        <v/>
      </c>
      <c r="T244" s="136" t="inlineStr">
        <is>
          <t>5c3db25541269db165dfe1506c7fd65a000b357a5911146a5f9aaaa005c2eb96</t>
        </is>
      </c>
      <c r="U244" s="136" t="inlineStr">
        <is>
          <t>Codex</t>
        </is>
      </c>
      <c r="V244" s="137" t="n">
        <v>46252</v>
      </c>
      <c r="W244" s="136" t="inlineStr">
        <is>
          <t>项目现有Godot资产</t>
        </is>
      </c>
      <c r="X244" s="136" t="inlineStr">
        <is>
          <t>2026-08-18项目扫描补登记；按Prefab独立身份管理；根节点=PrpCornerX5m(Node3D)；2026-08-18扫描补登记资产主表</t>
        </is>
      </c>
    </row>
    <row r="245">
      <c r="A245" s="136" t="inlineStr">
        <is>
          <t>ENV-DUNGEON-CORRIDOR-CEILING-SEGMENT</t>
        </is>
      </c>
      <c r="B245" s="136" t="inlineStr">
        <is>
          <t>地牢走廊天花段</t>
        </is>
      </c>
      <c r="C245" s="136" t="inlineStr">
        <is>
          <t>场景</t>
        </is>
      </c>
      <c r="D245" s="136" t="inlineStr">
        <is>
          <t>environment_module_3d</t>
        </is>
      </c>
      <c r="E245" s="136" t="inlineStr">
        <is>
          <t>corridor_ceiling_segment</t>
        </is>
      </c>
      <c r="F245" s="136" t="inlineStr">
        <is>
          <t>root_3d</t>
        </is>
      </c>
      <c r="G245" s="136" t="inlineStr">
        <is>
          <t>ENV-DUNGEON-RUNTIME-3D</t>
        </is>
      </c>
      <c r="H245" s="136" t="inlineStr">
        <is>
          <t>Top3D / local -Z 正面</t>
        </is>
      </c>
      <c r="I245" s="136" t="inlineStr">
        <is>
          <t>default / prefab</t>
        </is>
      </c>
      <c r="J245" s="136" t="inlineStr">
        <is>
          <t>场景通用组件</t>
        </is>
      </c>
      <c r="K245" s="136" t="inlineStr">
        <is>
          <t>程序占位</t>
        </is>
      </c>
      <c r="L245" s="136" t="inlineStr">
        <is>
          <t>P1</t>
        </is>
      </c>
      <c r="M245" s="136" t="inlineStr">
        <is>
          <t>v001</t>
        </is>
      </c>
      <c r="N245" s="136" t="inlineStr">
        <is>
          <t>Godot PackedScene；根=Node3D；碰撞节点=1</t>
        </is>
      </c>
      <c r="O245" s="136" t="inlineStr">
        <is>
          <t>assets/art/props/dungeon_3d/prp_corridor_ceiling_segment.tscn</t>
        </is>
      </c>
      <c r="P245" s="136" t="inlineStr">
        <is>
          <t>assets/art/3D模型资产目录与命名规范.md</t>
        </is>
      </c>
      <c r="Q245" s="136" t="inlineStr">
        <is>
          <t>地牢走廊天花段;3D;Prefab;场景通用组件;corridor_ceiling_segment</t>
        </is>
      </c>
      <c r="R245" s="136" t="inlineStr">
        <is>
          <t>场景|environment_module_3d|corridor_ceiling_segment|root_3d|top3d / local -z 正面|default / prefab</t>
        </is>
      </c>
      <c r="S245" s="136">
        <f>IF(COUNTIF($R$6:$R$280,R245)&gt;1,"重复","唯一")</f>
        <v/>
      </c>
      <c r="T245" s="136" t="inlineStr">
        <is>
          <t>f9590c3118f3320530003e696667ad670a2c3a7997cf213764b5b45644dd13bc</t>
        </is>
      </c>
      <c r="U245" s="136" t="inlineStr">
        <is>
          <t>Codex</t>
        </is>
      </c>
      <c r="V245" s="137" t="n">
        <v>46252</v>
      </c>
      <c r="W245" s="136" t="inlineStr">
        <is>
          <t>项目现有Godot资产</t>
        </is>
      </c>
      <c r="X245" s="136" t="inlineStr">
        <is>
          <t>2026-08-18项目扫描补登记；按Prefab独立身份管理；根节点=PrpCorridorCeilingSegment(Node3D)；2026-08-18扫描补登记资产主表</t>
        </is>
      </c>
    </row>
    <row r="246">
      <c r="A246" s="136" t="inlineStr">
        <is>
          <t>ENV-DUNGEON-CORRIDOR-FLOOR-SEGMENT</t>
        </is>
      </c>
      <c r="B246" s="136" t="inlineStr">
        <is>
          <t>地牢走廊地板段</t>
        </is>
      </c>
      <c r="C246" s="136" t="inlineStr">
        <is>
          <t>场景</t>
        </is>
      </c>
      <c r="D246" s="136" t="inlineStr">
        <is>
          <t>environment_module_3d</t>
        </is>
      </c>
      <c r="E246" s="136" t="inlineStr">
        <is>
          <t>corridor_floor_segment</t>
        </is>
      </c>
      <c r="F246" s="136" t="inlineStr">
        <is>
          <t>root_3d</t>
        </is>
      </c>
      <c r="G246" s="136" t="inlineStr">
        <is>
          <t>ENV-DUNGEON-RUNTIME-3D</t>
        </is>
      </c>
      <c r="H246" s="136" t="inlineStr">
        <is>
          <t>Top3D / local -Z 正面</t>
        </is>
      </c>
      <c r="I246" s="136" t="inlineStr">
        <is>
          <t>default / prefab</t>
        </is>
      </c>
      <c r="J246" s="136" t="inlineStr">
        <is>
          <t>场景通用组件</t>
        </is>
      </c>
      <c r="K246" s="136" t="inlineStr">
        <is>
          <t>程序占位</t>
        </is>
      </c>
      <c r="L246" s="136" t="inlineStr">
        <is>
          <t>P1</t>
        </is>
      </c>
      <c r="M246" s="136" t="inlineStr">
        <is>
          <t>v001</t>
        </is>
      </c>
      <c r="N246" s="136" t="inlineStr">
        <is>
          <t>Godot PackedScene；根=Node3D；碰撞节点=1</t>
        </is>
      </c>
      <c r="O246" s="136" t="inlineStr">
        <is>
          <t>assets/art/props/dungeon_3d/prp_corridor_floor_segment.tscn</t>
        </is>
      </c>
      <c r="P246" s="136" t="inlineStr">
        <is>
          <t>assets/art/3D模型资产目录与命名规范.md</t>
        </is>
      </c>
      <c r="Q246" s="136" t="inlineStr">
        <is>
          <t>地牢走廊地板段;3D;Prefab;场景通用组件;corridor_floor_segment</t>
        </is>
      </c>
      <c r="R246" s="136" t="inlineStr">
        <is>
          <t>场景|environment_module_3d|corridor_floor_segment|root_3d|top3d / local -z 正面|default / prefab</t>
        </is>
      </c>
      <c r="S246" s="136">
        <f>IF(COUNTIF($R$6:$R$280,R246)&gt;1,"重复","唯一")</f>
        <v/>
      </c>
      <c r="T246" s="136" t="inlineStr">
        <is>
          <t>fe41453c167b2af9f5f6374aa9c35c4271e25dfc18774dc0f8293e412aecfe0c</t>
        </is>
      </c>
      <c r="U246" s="136" t="inlineStr">
        <is>
          <t>Codex</t>
        </is>
      </c>
      <c r="V246" s="137" t="n">
        <v>46252</v>
      </c>
      <c r="W246" s="136" t="inlineStr">
        <is>
          <t>项目现有Godot资产</t>
        </is>
      </c>
      <c r="X246" s="136" t="inlineStr">
        <is>
          <t>2026-08-18项目扫描补登记；按Prefab独立身份管理；根节点=PrpCorridorFloorSegment(Node3D)；2026-08-18扫描补登记资产主表</t>
        </is>
      </c>
    </row>
    <row r="247">
      <c r="A247" s="136" t="inlineStr">
        <is>
          <t>ENV-DUNGEON-CORRIDOR-STAIR-TREAD</t>
        </is>
      </c>
      <c r="B247" s="136" t="inlineStr">
        <is>
          <t>地牢走廊楼梯踏步</t>
        </is>
      </c>
      <c r="C247" s="136" t="inlineStr">
        <is>
          <t>场景</t>
        </is>
      </c>
      <c r="D247" s="136" t="inlineStr">
        <is>
          <t>environment_module_3d</t>
        </is>
      </c>
      <c r="E247" s="136" t="inlineStr">
        <is>
          <t>corridor_stair_tread</t>
        </is>
      </c>
      <c r="F247" s="136" t="inlineStr">
        <is>
          <t>root_3d</t>
        </is>
      </c>
      <c r="G247" s="136" t="inlineStr">
        <is>
          <t>ENV-DUNGEON-RUNTIME-3D</t>
        </is>
      </c>
      <c r="H247" s="136" t="inlineStr">
        <is>
          <t>Top3D / local -Z 正面</t>
        </is>
      </c>
      <c r="I247" s="136" t="inlineStr">
        <is>
          <t>default / prefab</t>
        </is>
      </c>
      <c r="J247" s="136" t="inlineStr">
        <is>
          <t>场景通用组件</t>
        </is>
      </c>
      <c r="K247" s="136" t="inlineStr">
        <is>
          <t>程序占位</t>
        </is>
      </c>
      <c r="L247" s="136" t="inlineStr">
        <is>
          <t>P1</t>
        </is>
      </c>
      <c r="M247" s="136" t="inlineStr">
        <is>
          <t>v001</t>
        </is>
      </c>
      <c r="N247" s="136" t="inlineStr">
        <is>
          <t>Godot PackedScene；根=Node3D；碰撞节点=0</t>
        </is>
      </c>
      <c r="O247" s="136" t="inlineStr">
        <is>
          <t>assets/art/props/dungeon_3d/prp_corridor_stair_tread.tscn</t>
        </is>
      </c>
      <c r="P247" s="136" t="inlineStr">
        <is>
          <t>assets/art/3D模型资产目录与命名规范.md</t>
        </is>
      </c>
      <c r="Q247" s="136" t="inlineStr">
        <is>
          <t>地牢走廊楼梯踏步;3D;Prefab;场景通用组件;corridor_stair_tread</t>
        </is>
      </c>
      <c r="R247" s="136" t="inlineStr">
        <is>
          <t>场景|environment_module_3d|corridor_stair_tread|root_3d|top3d / local -z 正面|default / prefab</t>
        </is>
      </c>
      <c r="S247" s="136">
        <f>IF(COUNTIF($R$6:$R$280,R247)&gt;1,"重复","唯一")</f>
        <v/>
      </c>
      <c r="T247" s="136" t="inlineStr">
        <is>
          <t>0a9f6b1aca61593b4c5f221bc6e4613b62524d2293286bcf34d0d68346397330</t>
        </is>
      </c>
      <c r="U247" s="136" t="inlineStr">
        <is>
          <t>Codex</t>
        </is>
      </c>
      <c r="V247" s="137" t="n">
        <v>46252</v>
      </c>
      <c r="W247" s="136" t="inlineStr">
        <is>
          <t>项目现有Godot资产</t>
        </is>
      </c>
      <c r="X247" s="136" t="inlineStr">
        <is>
          <t>2026-08-18项目扫描补登记；按Prefab独立身份管理；根节点=PrpCorridorStairTread(Node3D)；2026-08-18扫描补登记资产主表</t>
        </is>
      </c>
    </row>
    <row r="248">
      <c r="A248" s="136" t="inlineStr">
        <is>
          <t>ENV-DUNGEON-CORRIDOR-WALL-SEGMENT</t>
        </is>
      </c>
      <c r="B248" s="136" t="inlineStr">
        <is>
          <t>地牢走廊墙段</t>
        </is>
      </c>
      <c r="C248" s="136" t="inlineStr">
        <is>
          <t>场景</t>
        </is>
      </c>
      <c r="D248" s="136" t="inlineStr">
        <is>
          <t>environment_module_3d</t>
        </is>
      </c>
      <c r="E248" s="136" t="inlineStr">
        <is>
          <t>corridor_wall_segment</t>
        </is>
      </c>
      <c r="F248" s="136" t="inlineStr">
        <is>
          <t>root_3d</t>
        </is>
      </c>
      <c r="G248" s="136" t="inlineStr">
        <is>
          <t>ENV-DUNGEON-RUNTIME-3D</t>
        </is>
      </c>
      <c r="H248" s="136" t="inlineStr">
        <is>
          <t>Top3D / local -Z 正面</t>
        </is>
      </c>
      <c r="I248" s="136" t="inlineStr">
        <is>
          <t>default / prefab</t>
        </is>
      </c>
      <c r="J248" s="136" t="inlineStr">
        <is>
          <t>场景通用组件</t>
        </is>
      </c>
      <c r="K248" s="136" t="inlineStr">
        <is>
          <t>程序占位</t>
        </is>
      </c>
      <c r="L248" s="136" t="inlineStr">
        <is>
          <t>P1</t>
        </is>
      </c>
      <c r="M248" s="136" t="inlineStr">
        <is>
          <t>v001</t>
        </is>
      </c>
      <c r="N248" s="136" t="inlineStr">
        <is>
          <t>Godot PackedScene；根=Node3D；碰撞节点=1</t>
        </is>
      </c>
      <c r="O248" s="136" t="inlineStr">
        <is>
          <t>assets/art/props/dungeon_3d/prp_corridor_wall_segment.tscn</t>
        </is>
      </c>
      <c r="P248" s="136" t="inlineStr">
        <is>
          <t>assets/art/3D模型资产目录与命名规范.md</t>
        </is>
      </c>
      <c r="Q248" s="136" t="inlineStr">
        <is>
          <t>地牢走廊墙段;3D;Prefab;场景通用组件;corridor_wall_segment</t>
        </is>
      </c>
      <c r="R248" s="136" t="inlineStr">
        <is>
          <t>场景|environment_module_3d|corridor_wall_segment|root_3d|top3d / local -z 正面|default / prefab</t>
        </is>
      </c>
      <c r="S248" s="136">
        <f>IF(COUNTIF($R$6:$R$280,R248)&gt;1,"重复","唯一")</f>
        <v/>
      </c>
      <c r="T248" s="136" t="inlineStr">
        <is>
          <t>4b5883e3af4a194a782719b239d078863a10826d54c4f1248c68050b1a1294e0</t>
        </is>
      </c>
      <c r="U248" s="136" t="inlineStr">
        <is>
          <t>Codex</t>
        </is>
      </c>
      <c r="V248" s="137" t="n">
        <v>46252</v>
      </c>
      <c r="W248" s="136" t="inlineStr">
        <is>
          <t>项目现有Godot资产</t>
        </is>
      </c>
      <c r="X248" s="136" t="inlineStr">
        <is>
          <t>2026-08-18项目扫描补登记；按Prefab独立身份管理；根节点=PrpCorridorWallSegment(Node3D)；2026-08-18扫描补登记资产主表</t>
        </is>
      </c>
    </row>
    <row r="249">
      <c r="A249" s="136" t="inlineStr">
        <is>
          <t>ENV-DUNGEON-ROOM-ACCESS-STEP</t>
        </is>
      </c>
      <c r="B249" s="136" t="inlineStr">
        <is>
          <t>房间接入台阶</t>
        </is>
      </c>
      <c r="C249" s="136" t="inlineStr">
        <is>
          <t>场景</t>
        </is>
      </c>
      <c r="D249" s="136" t="inlineStr">
        <is>
          <t>environment_module_3d</t>
        </is>
      </c>
      <c r="E249" s="136" t="inlineStr">
        <is>
          <t>room_access_step</t>
        </is>
      </c>
      <c r="F249" s="136" t="inlineStr">
        <is>
          <t>root_3d</t>
        </is>
      </c>
      <c r="G249" s="136" t="inlineStr">
        <is>
          <t>ENV-DUNGEON-RUNTIME-3D</t>
        </is>
      </c>
      <c r="H249" s="136" t="inlineStr">
        <is>
          <t>Top3D / local -Z 正面</t>
        </is>
      </c>
      <c r="I249" s="136" t="inlineStr">
        <is>
          <t>default / prefab</t>
        </is>
      </c>
      <c r="J249" s="136" t="inlineStr">
        <is>
          <t>场景通用组件</t>
        </is>
      </c>
      <c r="K249" s="136" t="inlineStr">
        <is>
          <t>程序占位</t>
        </is>
      </c>
      <c r="L249" s="136" t="inlineStr">
        <is>
          <t>P1</t>
        </is>
      </c>
      <c r="M249" s="136" t="inlineStr">
        <is>
          <t>v001</t>
        </is>
      </c>
      <c r="N249" s="136" t="inlineStr">
        <is>
          <t>Godot PackedScene；根=Node3D；碰撞节点=0</t>
        </is>
      </c>
      <c r="O249" s="136" t="inlineStr">
        <is>
          <t>assets/art/props/dungeon_3d/prp_room_access_step.tscn</t>
        </is>
      </c>
      <c r="P249" s="136" t="inlineStr">
        <is>
          <t>assets/art/3D模型资产目录与命名规范.md</t>
        </is>
      </c>
      <c r="Q249" s="136" t="inlineStr">
        <is>
          <t>房间接入台阶;3D;Prefab;场景通用组件;room_access_step</t>
        </is>
      </c>
      <c r="R249" s="136" t="inlineStr">
        <is>
          <t>场景|environment_module_3d|room_access_step|root_3d|top3d / local -z 正面|default / prefab</t>
        </is>
      </c>
      <c r="S249" s="136">
        <f>IF(COUNTIF($R$6:$R$280,R249)&gt;1,"重复","唯一")</f>
        <v/>
      </c>
      <c r="T249" s="136" t="inlineStr">
        <is>
          <t>15b819343f36ebd8bace159bdd3464912661cb5dba61c5d5e373d2027c6a5e70</t>
        </is>
      </c>
      <c r="U249" s="136" t="inlineStr">
        <is>
          <t>Codex</t>
        </is>
      </c>
      <c r="V249" s="137" t="n">
        <v>46252</v>
      </c>
      <c r="W249" s="136" t="inlineStr">
        <is>
          <t>项目现有Godot资产</t>
        </is>
      </c>
      <c r="X249" s="136" t="inlineStr">
        <is>
          <t>2026-08-18项目扫描补登记；按Prefab独立身份管理；根节点=PrpRoomAccessStep(Node3D)；2026-08-18扫描补登记资产主表</t>
        </is>
      </c>
    </row>
    <row r="250">
      <c r="A250" s="136" t="inlineStr">
        <is>
          <t>ENV-DUNGEON-ROOM-CORNER-POST</t>
        </is>
      </c>
      <c r="B250" s="136" t="inlineStr">
        <is>
          <t>房间转角立柱</t>
        </is>
      </c>
      <c r="C250" s="136" t="inlineStr">
        <is>
          <t>场景</t>
        </is>
      </c>
      <c r="D250" s="136" t="inlineStr">
        <is>
          <t>environment_module_3d</t>
        </is>
      </c>
      <c r="E250" s="136" t="inlineStr">
        <is>
          <t>room_corner_post</t>
        </is>
      </c>
      <c r="F250" s="136" t="inlineStr">
        <is>
          <t>root_3d</t>
        </is>
      </c>
      <c r="G250" s="136" t="inlineStr">
        <is>
          <t>ENV-DUNGEON-RUNTIME-3D</t>
        </is>
      </c>
      <c r="H250" s="136" t="inlineStr">
        <is>
          <t>Top3D / local -Z 正面</t>
        </is>
      </c>
      <c r="I250" s="136" t="inlineStr">
        <is>
          <t>default / prefab</t>
        </is>
      </c>
      <c r="J250" s="136" t="inlineStr">
        <is>
          <t>场景通用组件</t>
        </is>
      </c>
      <c r="K250" s="136" t="inlineStr">
        <is>
          <t>程序占位</t>
        </is>
      </c>
      <c r="L250" s="136" t="inlineStr">
        <is>
          <t>P1</t>
        </is>
      </c>
      <c r="M250" s="136" t="inlineStr">
        <is>
          <t>v001</t>
        </is>
      </c>
      <c r="N250" s="136" t="inlineStr">
        <is>
          <t>Godot PackedScene；根=Node3D；碰撞节点=1</t>
        </is>
      </c>
      <c r="O250" s="136" t="inlineStr">
        <is>
          <t>assets/art/props/dungeon_3d/prp_room_corner_post.tscn</t>
        </is>
      </c>
      <c r="P250" s="136" t="inlineStr">
        <is>
          <t>assets/art/3D模型资产目录与命名规范.md</t>
        </is>
      </c>
      <c r="Q250" s="136" t="inlineStr">
        <is>
          <t>房间转角立柱;3D;Prefab;场景通用组件;room_corner_post</t>
        </is>
      </c>
      <c r="R250" s="136" t="inlineStr">
        <is>
          <t>场景|environment_module_3d|room_corner_post|root_3d|top3d / local -z 正面|default / prefab</t>
        </is>
      </c>
      <c r="S250" s="136">
        <f>IF(COUNTIF($R$6:$R$280,R250)&gt;1,"重复","唯一")</f>
        <v/>
      </c>
      <c r="T250" s="136" t="inlineStr">
        <is>
          <t>b3b4ac77bad469049b46e4161c12b63d455b00fcc6bf747eae901993ec63ed47</t>
        </is>
      </c>
      <c r="U250" s="136" t="inlineStr">
        <is>
          <t>Codex</t>
        </is>
      </c>
      <c r="V250" s="137" t="n">
        <v>46252</v>
      </c>
      <c r="W250" s="136" t="inlineStr">
        <is>
          <t>项目现有Godot资产</t>
        </is>
      </c>
      <c r="X250" s="136" t="inlineStr">
        <is>
          <t>2026-08-18项目扫描补登记；按Prefab独立身份管理；根节点=PrpRoomCornerPost(Node3D)；2026-08-18扫描补登记资产主表</t>
        </is>
      </c>
    </row>
    <row r="251">
      <c r="A251" s="136" t="inlineStr">
        <is>
          <t>ENV-DUNGEON-ROOM-DOOR-LINTEL</t>
        </is>
      </c>
      <c r="B251" s="136" t="inlineStr">
        <is>
          <t>房间门楣</t>
        </is>
      </c>
      <c r="C251" s="136" t="inlineStr">
        <is>
          <t>场景</t>
        </is>
      </c>
      <c r="D251" s="136" t="inlineStr">
        <is>
          <t>environment_module_3d</t>
        </is>
      </c>
      <c r="E251" s="136" t="inlineStr">
        <is>
          <t>room_door_lintel</t>
        </is>
      </c>
      <c r="F251" s="136" t="inlineStr">
        <is>
          <t>root_3d</t>
        </is>
      </c>
      <c r="G251" s="136" t="inlineStr">
        <is>
          <t>ENV-DUNGEON-RUNTIME-3D</t>
        </is>
      </c>
      <c r="H251" s="136" t="inlineStr">
        <is>
          <t>Top3D / local -Z 正面</t>
        </is>
      </c>
      <c r="I251" s="136" t="inlineStr">
        <is>
          <t>default / prefab</t>
        </is>
      </c>
      <c r="J251" s="136" t="inlineStr">
        <is>
          <t>场景通用组件</t>
        </is>
      </c>
      <c r="K251" s="136" t="inlineStr">
        <is>
          <t>程序占位</t>
        </is>
      </c>
      <c r="L251" s="136" t="inlineStr">
        <is>
          <t>P1</t>
        </is>
      </c>
      <c r="M251" s="136" t="inlineStr">
        <is>
          <t>v001</t>
        </is>
      </c>
      <c r="N251" s="136" t="inlineStr">
        <is>
          <t>Godot PackedScene；根=Node3D；碰撞节点=0</t>
        </is>
      </c>
      <c r="O251" s="136" t="inlineStr">
        <is>
          <t>assets/art/props/dungeon_3d/prp_room_door_lintel.tscn</t>
        </is>
      </c>
      <c r="P251" s="136" t="inlineStr">
        <is>
          <t>assets/art/3D模型资产目录与命名规范.md</t>
        </is>
      </c>
      <c r="Q251" s="136" t="inlineStr">
        <is>
          <t>房间门楣;3D;Prefab;场景通用组件;room_door_lintel</t>
        </is>
      </c>
      <c r="R251" s="136" t="inlineStr">
        <is>
          <t>场景|environment_module_3d|room_door_lintel|root_3d|top3d / local -z 正面|default / prefab</t>
        </is>
      </c>
      <c r="S251" s="136">
        <f>IF(COUNTIF($R$6:$R$280,R251)&gt;1,"重复","唯一")</f>
        <v/>
      </c>
      <c r="T251" s="136" t="inlineStr">
        <is>
          <t>9b3192d4afe218e179fc182606ce7f578374fbb230e814aa6697f32ba2864bf5</t>
        </is>
      </c>
      <c r="U251" s="136" t="inlineStr">
        <is>
          <t>Codex</t>
        </is>
      </c>
      <c r="V251" s="137" t="n">
        <v>46252</v>
      </c>
      <c r="W251" s="136" t="inlineStr">
        <is>
          <t>项目现有Godot资产</t>
        </is>
      </c>
      <c r="X251" s="136" t="inlineStr">
        <is>
          <t>2026-08-18项目扫描补登记；按Prefab独立身份管理；根节点=PrpRoomDoorLintel(Node3D)；2026-08-18扫描补登记资产主表</t>
        </is>
      </c>
    </row>
    <row r="252">
      <c r="A252" s="136" t="inlineStr">
        <is>
          <t>ENV-DUNGEON-FACILITY-WALL-DOOR-SIDE</t>
        </is>
      </c>
      <c r="B252" s="136" t="inlineStr">
        <is>
          <t>基地设施门墙侧柱</t>
        </is>
      </c>
      <c r="C252" s="136" t="inlineStr">
        <is>
          <t>场景</t>
        </is>
      </c>
      <c r="D252" s="136" t="inlineStr">
        <is>
          <t>environment_module_3d</t>
        </is>
      </c>
      <c r="E252" s="136" t="inlineStr">
        <is>
          <t>room_facility_base_wall_door_side</t>
        </is>
      </c>
      <c r="F252" s="136" t="inlineStr">
        <is>
          <t>root_3d</t>
        </is>
      </c>
      <c r="G252" s="136" t="inlineStr">
        <is>
          <t>ENV-DUNGEON-RUNTIME-3D</t>
        </is>
      </c>
      <c r="H252" s="136" t="inlineStr">
        <is>
          <t>Top3D / local -Z 正面</t>
        </is>
      </c>
      <c r="I252" s="136" t="inlineStr">
        <is>
          <t>default / prefab</t>
        </is>
      </c>
      <c r="J252" s="136" t="inlineStr">
        <is>
          <t>场景通用组件</t>
        </is>
      </c>
      <c r="K252" s="136" t="inlineStr">
        <is>
          <t>程序占位</t>
        </is>
      </c>
      <c r="L252" s="136" t="inlineStr">
        <is>
          <t>P1</t>
        </is>
      </c>
      <c r="M252" s="136" t="inlineStr">
        <is>
          <t>v001</t>
        </is>
      </c>
      <c r="N252" s="136" t="inlineStr">
        <is>
          <t>Godot PackedScene；根=Node3D；碰撞节点=1</t>
        </is>
      </c>
      <c r="O252" s="136" t="inlineStr">
        <is>
          <t>assets/art/props/dungeon_3d/prp_room_facility_base_wall_door_side.tscn</t>
        </is>
      </c>
      <c r="P252" s="136" t="inlineStr">
        <is>
          <t>assets/art/3D模型资产目录与命名规范.md</t>
        </is>
      </c>
      <c r="Q252" s="136" t="inlineStr">
        <is>
          <t>基地设施门墙侧柱;3D;Prefab;场景通用组件;room_facility_base_wall_door_side</t>
        </is>
      </c>
      <c r="R252" s="136" t="inlineStr">
        <is>
          <t>场景|environment_module_3d|room_facility_base_wall_door_side|root_3d|top3d / local -z 正面|default / prefab</t>
        </is>
      </c>
      <c r="S252" s="136">
        <f>IF(COUNTIF($R$6:$R$280,R252)&gt;1,"重复","唯一")</f>
        <v/>
      </c>
      <c r="T252" s="136" t="inlineStr">
        <is>
          <t>b2b403ad154b7747fb481afc8dea41c7f3a5214cd6e2abaf5d45bdf00a8d7487</t>
        </is>
      </c>
      <c r="U252" s="136" t="inlineStr">
        <is>
          <t>Codex</t>
        </is>
      </c>
      <c r="V252" s="137" t="n">
        <v>46252</v>
      </c>
      <c r="W252" s="136" t="inlineStr">
        <is>
          <t>项目现有Godot资产</t>
        </is>
      </c>
      <c r="X252" s="136" t="inlineStr">
        <is>
          <t>2026-08-18项目扫描补登记；按Prefab独立身份管理；根节点=PrpRoomFacilityBaseWallDoorSide(Node3D)；2026-08-18扫描补登记资产主表</t>
        </is>
      </c>
    </row>
    <row r="253">
      <c r="A253" s="136" t="inlineStr">
        <is>
          <t>ENV-DUNGEON-FACILITY-WALL-LINTEL</t>
        </is>
      </c>
      <c r="B253" s="136" t="inlineStr">
        <is>
          <t>基地设施墙门楣</t>
        </is>
      </c>
      <c r="C253" s="136" t="inlineStr">
        <is>
          <t>场景</t>
        </is>
      </c>
      <c r="D253" s="136" t="inlineStr">
        <is>
          <t>environment_module_3d</t>
        </is>
      </c>
      <c r="E253" s="136" t="inlineStr">
        <is>
          <t>room_facility_base_wall_lintel</t>
        </is>
      </c>
      <c r="F253" s="136" t="inlineStr">
        <is>
          <t>root_3d</t>
        </is>
      </c>
      <c r="G253" s="136" t="inlineStr">
        <is>
          <t>ENV-DUNGEON-RUNTIME-3D</t>
        </is>
      </c>
      <c r="H253" s="136" t="inlineStr">
        <is>
          <t>Top3D / local -Z 正面</t>
        </is>
      </c>
      <c r="I253" s="136" t="inlineStr">
        <is>
          <t>default / prefab</t>
        </is>
      </c>
      <c r="J253" s="136" t="inlineStr">
        <is>
          <t>场景通用组件</t>
        </is>
      </c>
      <c r="K253" s="136" t="inlineStr">
        <is>
          <t>程序占位</t>
        </is>
      </c>
      <c r="L253" s="136" t="inlineStr">
        <is>
          <t>P1</t>
        </is>
      </c>
      <c r="M253" s="136" t="inlineStr">
        <is>
          <t>v001</t>
        </is>
      </c>
      <c r="N253" s="136" t="inlineStr">
        <is>
          <t>Godot PackedScene；根=Node3D；碰撞节点=1</t>
        </is>
      </c>
      <c r="O253" s="136" t="inlineStr">
        <is>
          <t>assets/art/props/dungeon_3d/prp_room_facility_base_wall_lintel.tscn</t>
        </is>
      </c>
      <c r="P253" s="136" t="inlineStr">
        <is>
          <t>assets/art/3D模型资产目录与命名规范.md</t>
        </is>
      </c>
      <c r="Q253" s="136" t="inlineStr">
        <is>
          <t>基地设施墙门楣;3D;Prefab;场景通用组件;room_facility_base_wall_lintel</t>
        </is>
      </c>
      <c r="R253" s="136" t="inlineStr">
        <is>
          <t>场景|environment_module_3d|room_facility_base_wall_lintel|root_3d|top3d / local -z 正面|default / prefab</t>
        </is>
      </c>
      <c r="S253" s="136">
        <f>IF(COUNTIF($R$6:$R$280,R253)&gt;1,"重复","唯一")</f>
        <v/>
      </c>
      <c r="T253" s="136" t="inlineStr">
        <is>
          <t>568c7d7cf5de0a74383a7cc83beec4eb380af34ed1e1596656480e8f5d5102e9</t>
        </is>
      </c>
      <c r="U253" s="136" t="inlineStr">
        <is>
          <t>Codex</t>
        </is>
      </c>
      <c r="V253" s="137" t="n">
        <v>46252</v>
      </c>
      <c r="W253" s="136" t="inlineStr">
        <is>
          <t>项目现有Godot资产</t>
        </is>
      </c>
      <c r="X253" s="136" t="inlineStr">
        <is>
          <t>2026-08-18项目扫描补登记；按Prefab独立身份管理；根节点=PrpRoomFacilityBaseWallLintel(Node3D)；2026-08-18扫描补登记资产主表</t>
        </is>
      </c>
    </row>
    <row r="254">
      <c r="A254" s="136" t="inlineStr">
        <is>
          <t>ENV-DUNGEON-FACILITY-WALL</t>
        </is>
      </c>
      <c r="B254" s="136" t="inlineStr">
        <is>
          <t>基地设施墙段</t>
        </is>
      </c>
      <c r="C254" s="136" t="inlineStr">
        <is>
          <t>场景</t>
        </is>
      </c>
      <c r="D254" s="136" t="inlineStr">
        <is>
          <t>environment_module_3d</t>
        </is>
      </c>
      <c r="E254" s="136" t="inlineStr">
        <is>
          <t>room_facility_base_wall</t>
        </is>
      </c>
      <c r="F254" s="136" t="inlineStr">
        <is>
          <t>root_3d</t>
        </is>
      </c>
      <c r="G254" s="136" t="inlineStr">
        <is>
          <t>ENV-DUNGEON-RUNTIME-3D</t>
        </is>
      </c>
      <c r="H254" s="136" t="inlineStr">
        <is>
          <t>Top3D / local -Z 正面</t>
        </is>
      </c>
      <c r="I254" s="136" t="inlineStr">
        <is>
          <t>default / prefab</t>
        </is>
      </c>
      <c r="J254" s="136" t="inlineStr">
        <is>
          <t>场景通用组件</t>
        </is>
      </c>
      <c r="K254" s="136" t="inlineStr">
        <is>
          <t>程序占位</t>
        </is>
      </c>
      <c r="L254" s="136" t="inlineStr">
        <is>
          <t>P1</t>
        </is>
      </c>
      <c r="M254" s="136" t="inlineStr">
        <is>
          <t>v001</t>
        </is>
      </c>
      <c r="N254" s="136" t="inlineStr">
        <is>
          <t>Godot PackedScene；根=Node3D；碰撞节点=1</t>
        </is>
      </c>
      <c r="O254" s="136" t="inlineStr">
        <is>
          <t>assets/art/props/dungeon_3d/prp_room_facility_base_wall.tscn</t>
        </is>
      </c>
      <c r="P254" s="136" t="inlineStr">
        <is>
          <t>assets/art/3D模型资产目录与命名规范.md</t>
        </is>
      </c>
      <c r="Q254" s="136" t="inlineStr">
        <is>
          <t>基地设施墙段;3D;Prefab;场景通用组件;room_facility_base_wall</t>
        </is>
      </c>
      <c r="R254" s="136" t="inlineStr">
        <is>
          <t>场景|environment_module_3d|room_facility_base_wall|root_3d|top3d / local -z 正面|default / prefab</t>
        </is>
      </c>
      <c r="S254" s="136">
        <f>IF(COUNTIF($R$6:$R$280,R254)&gt;1,"重复","唯一")</f>
        <v/>
      </c>
      <c r="T254" s="136" t="inlineStr">
        <is>
          <t>5ff49357b69fb70cb75a37d369fb62d6632142280d97344327f3fe19ce159228</t>
        </is>
      </c>
      <c r="U254" s="136" t="inlineStr">
        <is>
          <t>Codex</t>
        </is>
      </c>
      <c r="V254" s="137" t="n">
        <v>46252</v>
      </c>
      <c r="W254" s="136" t="inlineStr">
        <is>
          <t>项目现有Godot资产</t>
        </is>
      </c>
      <c r="X254" s="136" t="inlineStr">
        <is>
          <t>2026-08-18项目扫描补登记；按Prefab独立身份管理；根节点=PrpRoomFacilityBaseWall(Node3D)；2026-08-18扫描补登记资产主表</t>
        </is>
      </c>
    </row>
    <row r="255">
      <c r="A255" s="136" t="inlineStr">
        <is>
          <t>ENV-DUNGEON-ROOM-FLOOR-INSET</t>
        </is>
      </c>
      <c r="B255" s="136" t="inlineStr">
        <is>
          <t>房间地板内嵌块</t>
        </is>
      </c>
      <c r="C255" s="136" t="inlineStr">
        <is>
          <t>场景</t>
        </is>
      </c>
      <c r="D255" s="136" t="inlineStr">
        <is>
          <t>environment_module_3d</t>
        </is>
      </c>
      <c r="E255" s="136" t="inlineStr">
        <is>
          <t>room_floor_inset</t>
        </is>
      </c>
      <c r="F255" s="136" t="inlineStr">
        <is>
          <t>root_3d</t>
        </is>
      </c>
      <c r="G255" s="136" t="inlineStr">
        <is>
          <t>ENV-DUNGEON-RUNTIME-3D</t>
        </is>
      </c>
      <c r="H255" s="136" t="inlineStr">
        <is>
          <t>Top3D / local -Z 正面</t>
        </is>
      </c>
      <c r="I255" s="136" t="inlineStr">
        <is>
          <t>default / prefab</t>
        </is>
      </c>
      <c r="J255" s="136" t="inlineStr">
        <is>
          <t>场景通用组件</t>
        </is>
      </c>
      <c r="K255" s="136" t="inlineStr">
        <is>
          <t>程序占位</t>
        </is>
      </c>
      <c r="L255" s="136" t="inlineStr">
        <is>
          <t>P1</t>
        </is>
      </c>
      <c r="M255" s="136" t="inlineStr">
        <is>
          <t>v001</t>
        </is>
      </c>
      <c r="N255" s="136" t="inlineStr">
        <is>
          <t>Godot PackedScene；根=Node3D；碰撞节点=0</t>
        </is>
      </c>
      <c r="O255" s="136" t="inlineStr">
        <is>
          <t>assets/art/props/dungeon_3d/prp_room_floor_inset.tscn</t>
        </is>
      </c>
      <c r="P255" s="136" t="inlineStr">
        <is>
          <t>assets/art/3D模型资产目录与命名规范.md</t>
        </is>
      </c>
      <c r="Q255" s="136" t="inlineStr">
        <is>
          <t>房间地板内嵌块;3D;Prefab;场景通用组件;room_floor_inset</t>
        </is>
      </c>
      <c r="R255" s="136" t="inlineStr">
        <is>
          <t>场景|environment_module_3d|room_floor_inset|root_3d|top3d / local -z 正面|default / prefab</t>
        </is>
      </c>
      <c r="S255" s="136">
        <f>IF(COUNTIF($R$6:$R$280,R255)&gt;1,"重复","唯一")</f>
        <v/>
      </c>
      <c r="T255" s="136" t="inlineStr">
        <is>
          <t>b98d3c90b41648bde81a0ab15ade62fc934112488625b60eac980a4d064d82fe</t>
        </is>
      </c>
      <c r="U255" s="136" t="inlineStr">
        <is>
          <t>Codex</t>
        </is>
      </c>
      <c r="V255" s="137" t="n">
        <v>46252</v>
      </c>
      <c r="W255" s="136" t="inlineStr">
        <is>
          <t>项目现有Godot资产</t>
        </is>
      </c>
      <c r="X255" s="136" t="inlineStr">
        <is>
          <t>2026-08-18项目扫描补登记；按Prefab独立身份管理；根节点=PrpRoomFloorInset(Node3D)；2026-08-18扫描补登记资产主表</t>
        </is>
      </c>
    </row>
    <row r="256">
      <c r="A256" s="136" t="inlineStr">
        <is>
          <t>ENV-DUNGEON-ROOM-FLOOR-PARTITION-H</t>
        </is>
      </c>
      <c r="B256" s="136" t="inlineStr">
        <is>
          <t>房间地板水平分隔</t>
        </is>
      </c>
      <c r="C256" s="136" t="inlineStr">
        <is>
          <t>场景</t>
        </is>
      </c>
      <c r="D256" s="136" t="inlineStr">
        <is>
          <t>environment_module_3d</t>
        </is>
      </c>
      <c r="E256" s="136" t="inlineStr">
        <is>
          <t>room_floor_partition_horizontal</t>
        </is>
      </c>
      <c r="F256" s="136" t="inlineStr">
        <is>
          <t>root_3d</t>
        </is>
      </c>
      <c r="G256" s="136" t="inlineStr">
        <is>
          <t>ENV-DUNGEON-RUNTIME-3D</t>
        </is>
      </c>
      <c r="H256" s="136" t="inlineStr">
        <is>
          <t>Top3D / local -Z 正面</t>
        </is>
      </c>
      <c r="I256" s="136" t="inlineStr">
        <is>
          <t>default / prefab</t>
        </is>
      </c>
      <c r="J256" s="136" t="inlineStr">
        <is>
          <t>场景通用组件</t>
        </is>
      </c>
      <c r="K256" s="136" t="inlineStr">
        <is>
          <t>程序占位</t>
        </is>
      </c>
      <c r="L256" s="136" t="inlineStr">
        <is>
          <t>P1</t>
        </is>
      </c>
      <c r="M256" s="136" t="inlineStr">
        <is>
          <t>v001</t>
        </is>
      </c>
      <c r="N256" s="136" t="inlineStr">
        <is>
          <t>Godot PackedScene；根=Node3D；碰撞节点=1</t>
        </is>
      </c>
      <c r="O256" s="136" t="inlineStr">
        <is>
          <t>assets/art/props/dungeon_3d/prp_room_floor_partition_horizontal.tscn</t>
        </is>
      </c>
      <c r="P256" s="136" t="inlineStr">
        <is>
          <t>assets/art/3D模型资产目录与命名规范.md</t>
        </is>
      </c>
      <c r="Q256" s="136" t="inlineStr">
        <is>
          <t>房间地板水平分隔;3D;Prefab;场景通用组件;room_floor_partition_horizontal</t>
        </is>
      </c>
      <c r="R256" s="136" t="inlineStr">
        <is>
          <t>场景|environment_module_3d|room_floor_partition_horizontal|root_3d|top3d / local -z 正面|default / prefab</t>
        </is>
      </c>
      <c r="S256" s="136">
        <f>IF(COUNTIF($R$6:$R$280,R256)&gt;1,"重复","唯一")</f>
        <v/>
      </c>
      <c r="T256" s="136" t="inlineStr">
        <is>
          <t>491c91c87e0c260770e49c40cb69a11783fcd650bdaacff2b0f29dbce62f0638</t>
        </is>
      </c>
      <c r="U256" s="136" t="inlineStr">
        <is>
          <t>Codex</t>
        </is>
      </c>
      <c r="V256" s="137" t="n">
        <v>46252</v>
      </c>
      <c r="W256" s="136" t="inlineStr">
        <is>
          <t>项目现有Godot资产</t>
        </is>
      </c>
      <c r="X256" s="136" t="inlineStr">
        <is>
          <t>2026-08-18项目扫描补登记；按Prefab独立身份管理；根节点=PrpRoomFloorPartitionHorizontal(Node3D)；2026-08-18扫描补登记资产主表</t>
        </is>
      </c>
    </row>
    <row r="257">
      <c r="A257" s="136" t="inlineStr">
        <is>
          <t>ENV-DUNGEON-ROOM-FLOOR-PARTITION-V</t>
        </is>
      </c>
      <c r="B257" s="136" t="inlineStr">
        <is>
          <t>房间地板垂直分隔</t>
        </is>
      </c>
      <c r="C257" s="136" t="inlineStr">
        <is>
          <t>场景</t>
        </is>
      </c>
      <c r="D257" s="136" t="inlineStr">
        <is>
          <t>environment_module_3d</t>
        </is>
      </c>
      <c r="E257" s="136" t="inlineStr">
        <is>
          <t>room_floor_partition_vertical</t>
        </is>
      </c>
      <c r="F257" s="136" t="inlineStr">
        <is>
          <t>root_3d</t>
        </is>
      </c>
      <c r="G257" s="136" t="inlineStr">
        <is>
          <t>ENV-DUNGEON-RUNTIME-3D</t>
        </is>
      </c>
      <c r="H257" s="136" t="inlineStr">
        <is>
          <t>Top3D / local -Z 正面</t>
        </is>
      </c>
      <c r="I257" s="136" t="inlineStr">
        <is>
          <t>default / prefab</t>
        </is>
      </c>
      <c r="J257" s="136" t="inlineStr">
        <is>
          <t>场景通用组件</t>
        </is>
      </c>
      <c r="K257" s="136" t="inlineStr">
        <is>
          <t>程序占位</t>
        </is>
      </c>
      <c r="L257" s="136" t="inlineStr">
        <is>
          <t>P1</t>
        </is>
      </c>
      <c r="M257" s="136" t="inlineStr">
        <is>
          <t>v001</t>
        </is>
      </c>
      <c r="N257" s="136" t="inlineStr">
        <is>
          <t>Godot PackedScene；根=Node3D；碰撞节点=1</t>
        </is>
      </c>
      <c r="O257" s="136" t="inlineStr">
        <is>
          <t>assets/art/props/dungeon_3d/prp_room_floor_partition_vertical.tscn</t>
        </is>
      </c>
      <c r="P257" s="136" t="inlineStr">
        <is>
          <t>assets/art/3D模型资产目录与命名规范.md</t>
        </is>
      </c>
      <c r="Q257" s="136" t="inlineStr">
        <is>
          <t>房间地板垂直分隔;3D;Prefab;场景通用组件;room_floor_partition_vertical</t>
        </is>
      </c>
      <c r="R257" s="136" t="inlineStr">
        <is>
          <t>场景|environment_module_3d|room_floor_partition_vertical|root_3d|top3d / local -z 正面|default / prefab</t>
        </is>
      </c>
      <c r="S257" s="136">
        <f>IF(COUNTIF($R$6:$R$280,R257)&gt;1,"重复","唯一")</f>
        <v/>
      </c>
      <c r="T257" s="136" t="inlineStr">
        <is>
          <t>0f781e130d0ffc5d292106b1d72e5a4dc834a6042ad79469c13e34d0d57b23c5</t>
        </is>
      </c>
      <c r="U257" s="136" t="inlineStr">
        <is>
          <t>Codex</t>
        </is>
      </c>
      <c r="V257" s="137" t="n">
        <v>46252</v>
      </c>
      <c r="W257" s="136" t="inlineStr">
        <is>
          <t>项目现有Godot资产</t>
        </is>
      </c>
      <c r="X257" s="136" t="inlineStr">
        <is>
          <t>2026-08-18项目扫描补登记；按Prefab独立身份管理；根节点=PrpRoomFloorPartitionVertical(Node3D)；2026-08-18扫描补登记资产主表</t>
        </is>
      </c>
    </row>
    <row r="258">
      <c r="A258" s="136" t="inlineStr">
        <is>
          <t>ENV-DUNGEON-ROOM-FLOOR-SEAM</t>
        </is>
      </c>
      <c r="B258" s="136" t="inlineStr">
        <is>
          <t>房间地板接缝条</t>
        </is>
      </c>
      <c r="C258" s="136" t="inlineStr">
        <is>
          <t>场景</t>
        </is>
      </c>
      <c r="D258" s="136" t="inlineStr">
        <is>
          <t>environment_module_3d</t>
        </is>
      </c>
      <c r="E258" s="136" t="inlineStr">
        <is>
          <t>room_floor_seam_strip</t>
        </is>
      </c>
      <c r="F258" s="136" t="inlineStr">
        <is>
          <t>root_3d</t>
        </is>
      </c>
      <c r="G258" s="136" t="inlineStr">
        <is>
          <t>ENV-DUNGEON-RUNTIME-3D</t>
        </is>
      </c>
      <c r="H258" s="136" t="inlineStr">
        <is>
          <t>Top3D / local -Z 正面</t>
        </is>
      </c>
      <c r="I258" s="136" t="inlineStr">
        <is>
          <t>default / prefab</t>
        </is>
      </c>
      <c r="J258" s="136" t="inlineStr">
        <is>
          <t>场景通用组件</t>
        </is>
      </c>
      <c r="K258" s="136" t="inlineStr">
        <is>
          <t>程序占位</t>
        </is>
      </c>
      <c r="L258" s="136" t="inlineStr">
        <is>
          <t>P1</t>
        </is>
      </c>
      <c r="M258" s="136" t="inlineStr">
        <is>
          <t>v001</t>
        </is>
      </c>
      <c r="N258" s="136" t="inlineStr">
        <is>
          <t>Godot PackedScene；根=Node3D；碰撞节点=0</t>
        </is>
      </c>
      <c r="O258" s="136" t="inlineStr">
        <is>
          <t>assets/art/props/dungeon_3d/prp_room_floor_seam_strip.tscn</t>
        </is>
      </c>
      <c r="P258" s="136" t="inlineStr">
        <is>
          <t>assets/art/3D模型资产目录与命名规范.md</t>
        </is>
      </c>
      <c r="Q258" s="136" t="inlineStr">
        <is>
          <t>房间地板接缝条;3D;Prefab;场景通用组件;room_floor_seam_strip</t>
        </is>
      </c>
      <c r="R258" s="136" t="inlineStr">
        <is>
          <t>场景|environment_module_3d|room_floor_seam_strip|root_3d|top3d / local -z 正面|default / prefab</t>
        </is>
      </c>
      <c r="S258" s="136">
        <f>IF(COUNTIF($R$6:$R$280,R258)&gt;1,"重复","唯一")</f>
        <v/>
      </c>
      <c r="T258" s="136" t="inlineStr">
        <is>
          <t>f8678d9e2abff0f859454e5d80d9905bb0a8a469d7c783dfc821c15e98e9743d</t>
        </is>
      </c>
      <c r="U258" s="136" t="inlineStr">
        <is>
          <t>Codex</t>
        </is>
      </c>
      <c r="V258" s="137" t="n">
        <v>46252</v>
      </c>
      <c r="W258" s="136" t="inlineStr">
        <is>
          <t>项目现有Godot资产</t>
        </is>
      </c>
      <c r="X258" s="136" t="inlineStr">
        <is>
          <t>2026-08-18项目扫描补登记；按Prefab独立身份管理；根节点=PrpRoomFloorSeamStrip(Node3D)；2026-08-18扫描补登记资产主表</t>
        </is>
      </c>
    </row>
    <row r="259">
      <c r="A259" s="136" t="inlineStr">
        <is>
          <t>ENV-DUNGEON-ROOM-FLOOR</t>
        </is>
      </c>
      <c r="B259" s="136" t="inlineStr">
        <is>
          <t>地牢房间地板</t>
        </is>
      </c>
      <c r="C259" s="136" t="inlineStr">
        <is>
          <t>场景</t>
        </is>
      </c>
      <c r="D259" s="136" t="inlineStr">
        <is>
          <t>environment_module_3d</t>
        </is>
      </c>
      <c r="E259" s="136" t="inlineStr">
        <is>
          <t>room_floor</t>
        </is>
      </c>
      <c r="F259" s="136" t="inlineStr">
        <is>
          <t>root_3d</t>
        </is>
      </c>
      <c r="G259" s="136" t="inlineStr">
        <is>
          <t>ENV-DUNGEON-RUNTIME-3D</t>
        </is>
      </c>
      <c r="H259" s="136" t="inlineStr">
        <is>
          <t>Top3D / local -Z 正面</t>
        </is>
      </c>
      <c r="I259" s="136" t="inlineStr">
        <is>
          <t>default / prefab</t>
        </is>
      </c>
      <c r="J259" s="136" t="inlineStr">
        <is>
          <t>场景通用组件</t>
        </is>
      </c>
      <c r="K259" s="136" t="inlineStr">
        <is>
          <t>程序占位</t>
        </is>
      </c>
      <c r="L259" s="136" t="inlineStr">
        <is>
          <t>P1</t>
        </is>
      </c>
      <c r="M259" s="136" t="inlineStr">
        <is>
          <t>v001</t>
        </is>
      </c>
      <c r="N259" s="136" t="inlineStr">
        <is>
          <t>Godot PackedScene；根=Node3D；碰撞节点=1</t>
        </is>
      </c>
      <c r="O259" s="136" t="inlineStr">
        <is>
          <t>assets/art/props/dungeon_3d/prp_room_floor.tscn</t>
        </is>
      </c>
      <c r="P259" s="136" t="inlineStr">
        <is>
          <t>assets/art/3D模型资产目录与命名规范.md</t>
        </is>
      </c>
      <c r="Q259" s="136" t="inlineStr">
        <is>
          <t>地牢房间地板;3D;Prefab;场景通用组件;room_floor</t>
        </is>
      </c>
      <c r="R259" s="136" t="inlineStr">
        <is>
          <t>场景|environment_module_3d|room_floor|root_3d|top3d / local -z 正面|default / prefab</t>
        </is>
      </c>
      <c r="S259" s="136">
        <f>IF(COUNTIF($R$6:$R$280,R259)&gt;1,"重复","唯一")</f>
        <v/>
      </c>
      <c r="T259" s="136" t="inlineStr">
        <is>
          <t>ba23df57df5410c28e1e89606ab96eb67ba7d8afb8b43e6b4e14525f4c0828a8</t>
        </is>
      </c>
      <c r="U259" s="136" t="inlineStr">
        <is>
          <t>Codex</t>
        </is>
      </c>
      <c r="V259" s="137" t="n">
        <v>46252</v>
      </c>
      <c r="W259" s="136" t="inlineStr">
        <is>
          <t>项目现有Godot资产</t>
        </is>
      </c>
      <c r="X259" s="136" t="inlineStr">
        <is>
          <t>2026-08-18项目扫描补登记；按Prefab独立身份管理；根节点=PrpRoomFloor(Node3D)；2026-08-18扫描补登记资产主表</t>
        </is>
      </c>
    </row>
    <row r="260">
      <c r="A260" s="136" t="inlineStr">
        <is>
          <t>ENV-TOWER-ROOFTOP-DESCENT-MARKER</t>
        </is>
      </c>
      <c r="B260" s="136" t="inlineStr">
        <is>
          <t>楼顶下降入口标记</t>
        </is>
      </c>
      <c r="C260" s="136" t="inlineStr">
        <is>
          <t>场景</t>
        </is>
      </c>
      <c r="D260" s="136" t="inlineStr">
        <is>
          <t>environment_module_3d</t>
        </is>
      </c>
      <c r="E260" s="136" t="inlineStr">
        <is>
          <t>room_rooftop_descent_marker</t>
        </is>
      </c>
      <c r="F260" s="136" t="inlineStr">
        <is>
          <t>root_3d</t>
        </is>
      </c>
      <c r="G260" s="136" t="inlineStr">
        <is>
          <t>ENV-TOWER-DESCENT-KIT-3D</t>
        </is>
      </c>
      <c r="H260" s="136" t="inlineStr">
        <is>
          <t>Top3D / local -Z 正面</t>
        </is>
      </c>
      <c r="I260" s="136" t="inlineStr">
        <is>
          <t>default / prefab</t>
        </is>
      </c>
      <c r="J260" s="136" t="inlineStr">
        <is>
          <t>场景通用组件</t>
        </is>
      </c>
      <c r="K260" s="136" t="inlineStr">
        <is>
          <t>程序占位</t>
        </is>
      </c>
      <c r="L260" s="136" t="inlineStr">
        <is>
          <t>P1</t>
        </is>
      </c>
      <c r="M260" s="136" t="inlineStr">
        <is>
          <t>v001</t>
        </is>
      </c>
      <c r="N260" s="136" t="inlineStr">
        <is>
          <t>Godot PackedScene；根=Node3D；碰撞节点=0</t>
        </is>
      </c>
      <c r="O260" s="136" t="inlineStr">
        <is>
          <t>assets/art/props/dungeon_3d/prp_room_rooftop_descent_marker.tscn</t>
        </is>
      </c>
      <c r="P260" s="136" t="inlineStr">
        <is>
          <t>assets/art/3D模型资产目录与命名规范.md</t>
        </is>
      </c>
      <c r="Q260" s="136" t="inlineStr">
        <is>
          <t>楼顶下降入口标记;3D;Prefab;场景通用组件;room_rooftop_descent_marker</t>
        </is>
      </c>
      <c r="R260" s="136" t="inlineStr">
        <is>
          <t>场景|environment_module_3d|room_rooftop_descent_marker|root_3d|top3d / local -z 正面|default / prefab</t>
        </is>
      </c>
      <c r="S260" s="136">
        <f>IF(COUNTIF($R$6:$R$280,R260)&gt;1,"重复","唯一")</f>
        <v/>
      </c>
      <c r="T260" s="136" t="inlineStr">
        <is>
          <t>28e46417accc190f170a48d92ec8156850c37ac8b230d0d19bfcb33b5e55a472</t>
        </is>
      </c>
      <c r="U260" s="136" t="inlineStr">
        <is>
          <t>Codex</t>
        </is>
      </c>
      <c r="V260" s="137" t="n">
        <v>46252</v>
      </c>
      <c r="W260" s="136" t="inlineStr">
        <is>
          <t>项目现有Godot资产</t>
        </is>
      </c>
      <c r="X260" s="136" t="inlineStr">
        <is>
          <t>2026-08-18项目扫描补登记；按Prefab独立身份管理；根节点=PrpRoomRooftopDescentMarker(Node3D)；2026-08-18扫描补登记资产主表</t>
        </is>
      </c>
    </row>
    <row r="261">
      <c r="A261" s="136" t="inlineStr">
        <is>
          <t>ENV-TOWER-ROOFTOP-FACADE-BAND</t>
        </is>
      </c>
      <c r="B261" s="136" t="inlineStr">
        <is>
          <t>楼顶外立面饰带</t>
        </is>
      </c>
      <c r="C261" s="136" t="inlineStr">
        <is>
          <t>场景</t>
        </is>
      </c>
      <c r="D261" s="136" t="inlineStr">
        <is>
          <t>environment_module_3d</t>
        </is>
      </c>
      <c r="E261" s="136" t="inlineStr">
        <is>
          <t>room_rooftop_facade_band</t>
        </is>
      </c>
      <c r="F261" s="136" t="inlineStr">
        <is>
          <t>root_3d</t>
        </is>
      </c>
      <c r="G261" s="136" t="inlineStr">
        <is>
          <t>ENV-TOWER-DESCENT-KIT-3D</t>
        </is>
      </c>
      <c r="H261" s="136" t="inlineStr">
        <is>
          <t>Top3D / local -Z 正面</t>
        </is>
      </c>
      <c r="I261" s="136" t="inlineStr">
        <is>
          <t>default / prefab</t>
        </is>
      </c>
      <c r="J261" s="136" t="inlineStr">
        <is>
          <t>场景通用组件</t>
        </is>
      </c>
      <c r="K261" s="136" t="inlineStr">
        <is>
          <t>程序占位</t>
        </is>
      </c>
      <c r="L261" s="136" t="inlineStr">
        <is>
          <t>P1</t>
        </is>
      </c>
      <c r="M261" s="136" t="inlineStr">
        <is>
          <t>v001</t>
        </is>
      </c>
      <c r="N261" s="136" t="inlineStr">
        <is>
          <t>Godot PackedScene；根=Node3D；碰撞节点=0</t>
        </is>
      </c>
      <c r="O261" s="136" t="inlineStr">
        <is>
          <t>assets/art/props/dungeon_3d/prp_room_rooftop_facade_band.tscn</t>
        </is>
      </c>
      <c r="P261" s="136" t="inlineStr">
        <is>
          <t>assets/art/3D模型资产目录与命名规范.md</t>
        </is>
      </c>
      <c r="Q261" s="136" t="inlineStr">
        <is>
          <t>楼顶外立面饰带;3D;Prefab;场景通用组件;room_rooftop_facade_band</t>
        </is>
      </c>
      <c r="R261" s="136" t="inlineStr">
        <is>
          <t>场景|environment_module_3d|room_rooftop_facade_band|root_3d|top3d / local -z 正面|default / prefab</t>
        </is>
      </c>
      <c r="S261" s="136">
        <f>IF(COUNTIF($R$6:$R$280,R261)&gt;1,"重复","唯一")</f>
        <v/>
      </c>
      <c r="T261" s="136" t="inlineStr">
        <is>
          <t>f393b73b46ae3dc81225ef77b3e0ffa0aeb4d2e5bb2d9df558d45a590c2de776</t>
        </is>
      </c>
      <c r="U261" s="136" t="inlineStr">
        <is>
          <t>Codex</t>
        </is>
      </c>
      <c r="V261" s="137" t="n">
        <v>46252</v>
      </c>
      <c r="W261" s="136" t="inlineStr">
        <is>
          <t>项目现有Godot资产</t>
        </is>
      </c>
      <c r="X261" s="136" t="inlineStr">
        <is>
          <t>2026-08-18项目扫描补登记；按Prefab独立身份管理；根节点=PrpRoomRooftopFacadeBand(Node3D)；2026-08-18扫描补登记资产主表</t>
        </is>
      </c>
    </row>
    <row r="262">
      <c r="A262" s="136" t="inlineStr">
        <is>
          <t>ENV-TOWER-ROOFTOP-FACADE</t>
        </is>
      </c>
      <c r="B262" s="136" t="inlineStr">
        <is>
          <t>楼顶外立面</t>
        </is>
      </c>
      <c r="C262" s="136" t="inlineStr">
        <is>
          <t>场景</t>
        </is>
      </c>
      <c r="D262" s="136" t="inlineStr">
        <is>
          <t>environment_module_3d</t>
        </is>
      </c>
      <c r="E262" s="136" t="inlineStr">
        <is>
          <t>room_rooftop_facade</t>
        </is>
      </c>
      <c r="F262" s="136" t="inlineStr">
        <is>
          <t>root_3d</t>
        </is>
      </c>
      <c r="G262" s="136" t="inlineStr">
        <is>
          <t>ENV-TOWER-DESCENT-KIT-3D</t>
        </is>
      </c>
      <c r="H262" s="136" t="inlineStr">
        <is>
          <t>Top3D / local -Z 正面</t>
        </is>
      </c>
      <c r="I262" s="136" t="inlineStr">
        <is>
          <t>default / prefab</t>
        </is>
      </c>
      <c r="J262" s="136" t="inlineStr">
        <is>
          <t>场景通用组件</t>
        </is>
      </c>
      <c r="K262" s="136" t="inlineStr">
        <is>
          <t>程序占位</t>
        </is>
      </c>
      <c r="L262" s="136" t="inlineStr">
        <is>
          <t>P1</t>
        </is>
      </c>
      <c r="M262" s="136" t="inlineStr">
        <is>
          <t>v001</t>
        </is>
      </c>
      <c r="N262" s="136" t="inlineStr">
        <is>
          <t>Godot PackedScene；根=Node3D；碰撞节点=0</t>
        </is>
      </c>
      <c r="O262" s="136" t="inlineStr">
        <is>
          <t>assets/art/props/dungeon_3d/prp_room_rooftop_facade.tscn</t>
        </is>
      </c>
      <c r="P262" s="136" t="inlineStr">
        <is>
          <t>assets/art/3D模型资产目录与命名规范.md</t>
        </is>
      </c>
      <c r="Q262" s="136" t="inlineStr">
        <is>
          <t>楼顶外立面;3D;Prefab;场景通用组件;room_rooftop_facade</t>
        </is>
      </c>
      <c r="R262" s="136" t="inlineStr">
        <is>
          <t>场景|environment_module_3d|room_rooftop_facade|root_3d|top3d / local -z 正面|default / prefab</t>
        </is>
      </c>
      <c r="S262" s="136">
        <f>IF(COUNTIF($R$6:$R$280,R262)&gt;1,"重复","唯一")</f>
        <v/>
      </c>
      <c r="T262" s="136" t="inlineStr">
        <is>
          <t>76bd8dce1f0f4cf42fdbc5a7a1d64b094f5784455a83a11bac2cea2745a6aa87</t>
        </is>
      </c>
      <c r="U262" s="136" t="inlineStr">
        <is>
          <t>Codex</t>
        </is>
      </c>
      <c r="V262" s="137" t="n">
        <v>46252</v>
      </c>
      <c r="W262" s="136" t="inlineStr">
        <is>
          <t>项目现有Godot资产</t>
        </is>
      </c>
      <c r="X262" s="136" t="inlineStr">
        <is>
          <t>2026-08-18项目扫描补登记；按Prefab独立身份管理；根节点=PrpRoomRooftopFacade(Node3D)；2026-08-18扫描补登记资产主表</t>
        </is>
      </c>
    </row>
    <row r="263">
      <c r="A263" s="136" t="inlineStr">
        <is>
          <t>ENV-TOWER-ROOFTOP-RAIL-POST</t>
        </is>
      </c>
      <c r="B263" s="136" t="inlineStr">
        <is>
          <t>楼顶栏杆立柱</t>
        </is>
      </c>
      <c r="C263" s="136" t="inlineStr">
        <is>
          <t>场景</t>
        </is>
      </c>
      <c r="D263" s="136" t="inlineStr">
        <is>
          <t>environment_module_3d</t>
        </is>
      </c>
      <c r="E263" s="136" t="inlineStr">
        <is>
          <t>room_rooftop_rail_post</t>
        </is>
      </c>
      <c r="F263" s="136" t="inlineStr">
        <is>
          <t>root_3d</t>
        </is>
      </c>
      <c r="G263" s="136" t="inlineStr">
        <is>
          <t>ENV-TOWER-DESCENT-KIT-3D</t>
        </is>
      </c>
      <c r="H263" s="136" t="inlineStr">
        <is>
          <t>Top3D / local -Z 正面</t>
        </is>
      </c>
      <c r="I263" s="136" t="inlineStr">
        <is>
          <t>default / prefab</t>
        </is>
      </c>
      <c r="J263" s="136" t="inlineStr">
        <is>
          <t>场景通用组件</t>
        </is>
      </c>
      <c r="K263" s="136" t="inlineStr">
        <is>
          <t>程序占位</t>
        </is>
      </c>
      <c r="L263" s="136" t="inlineStr">
        <is>
          <t>P1</t>
        </is>
      </c>
      <c r="M263" s="136" t="inlineStr">
        <is>
          <t>v001</t>
        </is>
      </c>
      <c r="N263" s="136" t="inlineStr">
        <is>
          <t>Godot PackedScene；根=Node3D；碰撞节点=0</t>
        </is>
      </c>
      <c r="O263" s="136" t="inlineStr">
        <is>
          <t>assets/art/props/dungeon_3d/prp_room_rooftop_rail_post.tscn</t>
        </is>
      </c>
      <c r="P263" s="136" t="inlineStr">
        <is>
          <t>assets/art/3D模型资产目录与命名规范.md</t>
        </is>
      </c>
      <c r="Q263" s="136" t="inlineStr">
        <is>
          <t>楼顶栏杆立柱;3D;Prefab;场景通用组件;room_rooftop_rail_post</t>
        </is>
      </c>
      <c r="R263" s="136" t="inlineStr">
        <is>
          <t>场景|environment_module_3d|room_rooftop_rail_post|root_3d|top3d / local -z 正面|default / prefab</t>
        </is>
      </c>
      <c r="S263" s="136">
        <f>IF(COUNTIF($R$6:$R$280,R263)&gt;1,"重复","唯一")</f>
        <v/>
      </c>
      <c r="T263" s="136" t="inlineStr">
        <is>
          <t>5cf387b7c830a45141b9f89c9dd6239814a7ff814575ec3efa91d43fd0dca377</t>
        </is>
      </c>
      <c r="U263" s="136" t="inlineStr">
        <is>
          <t>Codex</t>
        </is>
      </c>
      <c r="V263" s="137" t="n">
        <v>46252</v>
      </c>
      <c r="W263" s="136" t="inlineStr">
        <is>
          <t>项目现有Godot资产</t>
        </is>
      </c>
      <c r="X263" s="136" t="inlineStr">
        <is>
          <t>2026-08-18项目扫描补登记；按Prefab独立身份管理；根节点=PrpRoomRooftopRailPost(Node3D)；2026-08-18扫描补登记资产主表</t>
        </is>
      </c>
    </row>
    <row r="264">
      <c r="A264" s="136" t="inlineStr">
        <is>
          <t>ENV-TOWER-ROOFTOP-RAILING-LOWER</t>
        </is>
      </c>
      <c r="B264" s="136" t="inlineStr">
        <is>
          <t>楼顶下层栏杆</t>
        </is>
      </c>
      <c r="C264" s="136" t="inlineStr">
        <is>
          <t>场景</t>
        </is>
      </c>
      <c r="D264" s="136" t="inlineStr">
        <is>
          <t>environment_module_3d</t>
        </is>
      </c>
      <c r="E264" s="136" t="inlineStr">
        <is>
          <t>room_rooftop_railing_lower</t>
        </is>
      </c>
      <c r="F264" s="136" t="inlineStr">
        <is>
          <t>root_3d</t>
        </is>
      </c>
      <c r="G264" s="136" t="inlineStr">
        <is>
          <t>ENV-TOWER-DESCENT-KIT-3D</t>
        </is>
      </c>
      <c r="H264" s="136" t="inlineStr">
        <is>
          <t>Top3D / local -Z 正面</t>
        </is>
      </c>
      <c r="I264" s="136" t="inlineStr">
        <is>
          <t>default / prefab</t>
        </is>
      </c>
      <c r="J264" s="136" t="inlineStr">
        <is>
          <t>场景通用组件</t>
        </is>
      </c>
      <c r="K264" s="136" t="inlineStr">
        <is>
          <t>程序占位</t>
        </is>
      </c>
      <c r="L264" s="136" t="inlineStr">
        <is>
          <t>P1</t>
        </is>
      </c>
      <c r="M264" s="136" t="inlineStr">
        <is>
          <t>v001</t>
        </is>
      </c>
      <c r="N264" s="136" t="inlineStr">
        <is>
          <t>Godot PackedScene；根=Node3D；碰撞节点=1</t>
        </is>
      </c>
      <c r="O264" s="136" t="inlineStr">
        <is>
          <t>assets/art/props/dungeon_3d/prp_room_rooftop_railing_lower.tscn</t>
        </is>
      </c>
      <c r="P264" s="136" t="inlineStr">
        <is>
          <t>assets/art/3D模型资产目录与命名规范.md</t>
        </is>
      </c>
      <c r="Q264" s="136" t="inlineStr">
        <is>
          <t>楼顶下层栏杆;3D;Prefab;场景通用组件;room_rooftop_railing_lower</t>
        </is>
      </c>
      <c r="R264" s="136" t="inlineStr">
        <is>
          <t>场景|environment_module_3d|room_rooftop_railing_lower|root_3d|top3d / local -z 正面|default / prefab</t>
        </is>
      </c>
      <c r="S264" s="136">
        <f>IF(COUNTIF($R$6:$R$280,R264)&gt;1,"重复","唯一")</f>
        <v/>
      </c>
      <c r="T264" s="136" t="inlineStr">
        <is>
          <t>b03403a0c63d8514f51126fd320ca615b17734d409a8d7bb1e2c3a5e3d766eee</t>
        </is>
      </c>
      <c r="U264" s="136" t="inlineStr">
        <is>
          <t>Codex</t>
        </is>
      </c>
      <c r="V264" s="137" t="n">
        <v>46252</v>
      </c>
      <c r="W264" s="136" t="inlineStr">
        <is>
          <t>项目现有Godot资产</t>
        </is>
      </c>
      <c r="X264" s="136" t="inlineStr">
        <is>
          <t>2026-08-18项目扫描补登记；按Prefab独立身份管理；根节点=PrpRoomRooftopRailingLower(Node3D)；2026-08-18扫描补登记资产主表</t>
        </is>
      </c>
    </row>
    <row r="265">
      <c r="A265" s="136" t="inlineStr">
        <is>
          <t>ENV-TOWER-ROOFTOP-RAILING-UPPER</t>
        </is>
      </c>
      <c r="B265" s="136" t="inlineStr">
        <is>
          <t>楼顶上层栏杆</t>
        </is>
      </c>
      <c r="C265" s="136" t="inlineStr">
        <is>
          <t>场景</t>
        </is>
      </c>
      <c r="D265" s="136" t="inlineStr">
        <is>
          <t>environment_module_3d</t>
        </is>
      </c>
      <c r="E265" s="136" t="inlineStr">
        <is>
          <t>room_rooftop_railing_upper</t>
        </is>
      </c>
      <c r="F265" s="136" t="inlineStr">
        <is>
          <t>root_3d</t>
        </is>
      </c>
      <c r="G265" s="136" t="inlineStr">
        <is>
          <t>ENV-TOWER-DESCENT-KIT-3D</t>
        </is>
      </c>
      <c r="H265" s="136" t="inlineStr">
        <is>
          <t>Top3D / local -Z 正面</t>
        </is>
      </c>
      <c r="I265" s="136" t="inlineStr">
        <is>
          <t>default / prefab</t>
        </is>
      </c>
      <c r="J265" s="136" t="inlineStr">
        <is>
          <t>场景通用组件</t>
        </is>
      </c>
      <c r="K265" s="136" t="inlineStr">
        <is>
          <t>程序占位</t>
        </is>
      </c>
      <c r="L265" s="136" t="inlineStr">
        <is>
          <t>P1</t>
        </is>
      </c>
      <c r="M265" s="136" t="inlineStr">
        <is>
          <t>v001</t>
        </is>
      </c>
      <c r="N265" s="136" t="inlineStr">
        <is>
          <t>Godot PackedScene；根=Node3D；碰撞节点=0</t>
        </is>
      </c>
      <c r="O265" s="136" t="inlineStr">
        <is>
          <t>assets/art/props/dungeon_3d/prp_room_rooftop_railing_upper.tscn</t>
        </is>
      </c>
      <c r="P265" s="136" t="inlineStr">
        <is>
          <t>assets/art/3D模型资产目录与命名规范.md</t>
        </is>
      </c>
      <c r="Q265" s="136" t="inlineStr">
        <is>
          <t>楼顶上层栏杆;3D;Prefab;场景通用组件;room_rooftop_railing_upper</t>
        </is>
      </c>
      <c r="R265" s="136" t="inlineStr">
        <is>
          <t>场景|environment_module_3d|room_rooftop_railing_upper|root_3d|top3d / local -z 正面|default / prefab</t>
        </is>
      </c>
      <c r="S265" s="136">
        <f>IF(COUNTIF($R$6:$R$280,R265)&gt;1,"重复","唯一")</f>
        <v/>
      </c>
      <c r="T265" s="136" t="inlineStr">
        <is>
          <t>3e04548da6c8c918ca42a90b409f78918dbce8457d0134c9af3120c61d3a2908</t>
        </is>
      </c>
      <c r="U265" s="136" t="inlineStr">
        <is>
          <t>Codex</t>
        </is>
      </c>
      <c r="V265" s="137" t="n">
        <v>46252</v>
      </c>
      <c r="W265" s="136" t="inlineStr">
        <is>
          <t>项目现有Godot资产</t>
        </is>
      </c>
      <c r="X265" s="136" t="inlineStr">
        <is>
          <t>2026-08-18项目扫描补登记；按Prefab独立身份管理；根节点=PrpRoomRooftopRailingUpper(Node3D)；2026-08-18扫描补登记资产主表</t>
        </is>
      </c>
    </row>
    <row r="266">
      <c r="A266" s="136" t="inlineStr">
        <is>
          <t>ENV-TOWER-ROOFTOP-STAIR-FRAME-LINTEL</t>
        </is>
      </c>
      <c r="B266" s="136" t="inlineStr">
        <is>
          <t>楼顶楼梯框架门楣</t>
        </is>
      </c>
      <c r="C266" s="136" t="inlineStr">
        <is>
          <t>场景</t>
        </is>
      </c>
      <c r="D266" s="136" t="inlineStr">
        <is>
          <t>environment_module_3d</t>
        </is>
      </c>
      <c r="E266" s="136" t="inlineStr">
        <is>
          <t>room_rooftop_stair_frame_lintel</t>
        </is>
      </c>
      <c r="F266" s="136" t="inlineStr">
        <is>
          <t>root_3d</t>
        </is>
      </c>
      <c r="G266" s="136" t="inlineStr">
        <is>
          <t>ENV-TOWER-DESCENT-KIT-3D</t>
        </is>
      </c>
      <c r="H266" s="136" t="inlineStr">
        <is>
          <t>Top3D / local -Z 正面</t>
        </is>
      </c>
      <c r="I266" s="136" t="inlineStr">
        <is>
          <t>default / prefab</t>
        </is>
      </c>
      <c r="J266" s="136" t="inlineStr">
        <is>
          <t>场景通用组件</t>
        </is>
      </c>
      <c r="K266" s="136" t="inlineStr">
        <is>
          <t>程序占位</t>
        </is>
      </c>
      <c r="L266" s="136" t="inlineStr">
        <is>
          <t>P1</t>
        </is>
      </c>
      <c r="M266" s="136" t="inlineStr">
        <is>
          <t>v001</t>
        </is>
      </c>
      <c r="N266" s="136" t="inlineStr">
        <is>
          <t>Godot PackedScene；根=Node3D；碰撞节点=1</t>
        </is>
      </c>
      <c r="O266" s="136" t="inlineStr">
        <is>
          <t>assets/art/props/dungeon_3d/prp_room_rooftop_stair_frame_lintel.tscn</t>
        </is>
      </c>
      <c r="P266" s="136" t="inlineStr">
        <is>
          <t>assets/art/3D模型资产目录与命名规范.md</t>
        </is>
      </c>
      <c r="Q266" s="136" t="inlineStr">
        <is>
          <t>楼顶楼梯框架门楣;3D;Prefab;场景通用组件;room_rooftop_stair_frame_lintel</t>
        </is>
      </c>
      <c r="R266" s="136" t="inlineStr">
        <is>
          <t>场景|environment_module_3d|room_rooftop_stair_frame_lintel|root_3d|top3d / local -z 正面|default / prefab</t>
        </is>
      </c>
      <c r="S266" s="136">
        <f>IF(COUNTIF($R$6:$R$280,R266)&gt;1,"重复","唯一")</f>
        <v/>
      </c>
      <c r="T266" s="136" t="inlineStr">
        <is>
          <t>3162a8f563b225126a9b05fffce79863ab891b6ec0a03a66446fe5804900781e</t>
        </is>
      </c>
      <c r="U266" s="136" t="inlineStr">
        <is>
          <t>Codex</t>
        </is>
      </c>
      <c r="V266" s="137" t="n">
        <v>46252</v>
      </c>
      <c r="W266" s="136" t="inlineStr">
        <is>
          <t>项目现有Godot资产</t>
        </is>
      </c>
      <c r="X266" s="136" t="inlineStr">
        <is>
          <t>2026-08-18项目扫描补登记；按Prefab独立身份管理；根节点=PrpRoomRooftopStairFrameLintel(Node3D)；2026-08-18扫描补登记资产主表</t>
        </is>
      </c>
    </row>
    <row r="267">
      <c r="A267" s="136" t="inlineStr">
        <is>
          <t>ENV-TOWER-ROOFTOP-STAIR-FRAME-POST</t>
        </is>
      </c>
      <c r="B267" s="136" t="inlineStr">
        <is>
          <t>楼顶楼梯框架立柱</t>
        </is>
      </c>
      <c r="C267" s="136" t="inlineStr">
        <is>
          <t>场景</t>
        </is>
      </c>
      <c r="D267" s="136" t="inlineStr">
        <is>
          <t>environment_module_3d</t>
        </is>
      </c>
      <c r="E267" s="136" t="inlineStr">
        <is>
          <t>room_rooftop_stair_frame_post</t>
        </is>
      </c>
      <c r="F267" s="136" t="inlineStr">
        <is>
          <t>root_3d</t>
        </is>
      </c>
      <c r="G267" s="136" t="inlineStr">
        <is>
          <t>ENV-TOWER-DESCENT-KIT-3D</t>
        </is>
      </c>
      <c r="H267" s="136" t="inlineStr">
        <is>
          <t>Top3D / local -Z 正面</t>
        </is>
      </c>
      <c r="I267" s="136" t="inlineStr">
        <is>
          <t>default / prefab</t>
        </is>
      </c>
      <c r="J267" s="136" t="inlineStr">
        <is>
          <t>场景通用组件</t>
        </is>
      </c>
      <c r="K267" s="136" t="inlineStr">
        <is>
          <t>程序占位</t>
        </is>
      </c>
      <c r="L267" s="136" t="inlineStr">
        <is>
          <t>P1</t>
        </is>
      </c>
      <c r="M267" s="136" t="inlineStr">
        <is>
          <t>v001</t>
        </is>
      </c>
      <c r="N267" s="136" t="inlineStr">
        <is>
          <t>Godot PackedScene；根=Node3D；碰撞节点=1</t>
        </is>
      </c>
      <c r="O267" s="136" t="inlineStr">
        <is>
          <t>assets/art/props/dungeon_3d/prp_room_rooftop_stair_frame_post.tscn</t>
        </is>
      </c>
      <c r="P267" s="136" t="inlineStr">
        <is>
          <t>assets/art/3D模型资产目录与命名规范.md</t>
        </is>
      </c>
      <c r="Q267" s="136" t="inlineStr">
        <is>
          <t>楼顶楼梯框架立柱;3D;Prefab;场景通用组件;room_rooftop_stair_frame_post</t>
        </is>
      </c>
      <c r="R267" s="136" t="inlineStr">
        <is>
          <t>场景|environment_module_3d|room_rooftop_stair_frame_post|root_3d|top3d / local -z 正面|default / prefab</t>
        </is>
      </c>
      <c r="S267" s="136">
        <f>IF(COUNTIF($R$6:$R$280,R267)&gt;1,"重复","唯一")</f>
        <v/>
      </c>
      <c r="T267" s="136" t="inlineStr">
        <is>
          <t>a1bbb7dc2b38d6cb483a19532425d67e8c3fec87b130f0037256d324c2cb24b1</t>
        </is>
      </c>
      <c r="U267" s="136" t="inlineStr">
        <is>
          <t>Codex</t>
        </is>
      </c>
      <c r="V267" s="137" t="n">
        <v>46252</v>
      </c>
      <c r="W267" s="136" t="inlineStr">
        <is>
          <t>项目现有Godot资产</t>
        </is>
      </c>
      <c r="X267" s="136" t="inlineStr">
        <is>
          <t>2026-08-18项目扫描补登记；按Prefab独立身份管理；根节点=PrpRoomRooftopStairFramePost(Node3D)；2026-08-18扫描补登记资产主表</t>
        </is>
      </c>
    </row>
    <row r="268">
      <c r="A268" s="136" t="inlineStr">
        <is>
          <t>ENV-DUNGEON-STAIR-LOBBY-ROUTE-GUIDE</t>
        </is>
      </c>
      <c r="B268" s="136" t="inlineStr">
        <is>
          <t>楼梯厅路线引导</t>
        </is>
      </c>
      <c r="C268" s="136" t="inlineStr">
        <is>
          <t>场景</t>
        </is>
      </c>
      <c r="D268" s="136" t="inlineStr">
        <is>
          <t>environment_module_3d</t>
        </is>
      </c>
      <c r="E268" s="136" t="inlineStr">
        <is>
          <t>room_stair_lobby_route_guide</t>
        </is>
      </c>
      <c r="F268" s="136" t="inlineStr">
        <is>
          <t>root_3d</t>
        </is>
      </c>
      <c r="G268" s="136" t="inlineStr">
        <is>
          <t>ENV-DUNGEON-RUNTIME-3D</t>
        </is>
      </c>
      <c r="H268" s="136" t="inlineStr">
        <is>
          <t>Top3D / local -Z 正面</t>
        </is>
      </c>
      <c r="I268" s="136" t="inlineStr">
        <is>
          <t>default / prefab</t>
        </is>
      </c>
      <c r="J268" s="136" t="inlineStr">
        <is>
          <t>场景通用组件</t>
        </is>
      </c>
      <c r="K268" s="136" t="inlineStr">
        <is>
          <t>程序占位</t>
        </is>
      </c>
      <c r="L268" s="136" t="inlineStr">
        <is>
          <t>P1</t>
        </is>
      </c>
      <c r="M268" s="136" t="inlineStr">
        <is>
          <t>v001</t>
        </is>
      </c>
      <c r="N268" s="136" t="inlineStr">
        <is>
          <t>Godot PackedScene；根=Node3D；碰撞节点=0</t>
        </is>
      </c>
      <c r="O268" s="136" t="inlineStr">
        <is>
          <t>assets/art/props/dungeon_3d/prp_room_stair_lobby_route_guide.tscn</t>
        </is>
      </c>
      <c r="P268" s="136" t="inlineStr">
        <is>
          <t>assets/art/3D模型资产目录与命名规范.md</t>
        </is>
      </c>
      <c r="Q268" s="136" t="inlineStr">
        <is>
          <t>楼梯厅路线引导;3D;Prefab;场景通用组件;room_stair_lobby_route_guide</t>
        </is>
      </c>
      <c r="R268" s="136" t="inlineStr">
        <is>
          <t>场景|environment_module_3d|room_stair_lobby_route_guide|root_3d|top3d / local -z 正面|default / prefab</t>
        </is>
      </c>
      <c r="S268" s="136">
        <f>IF(COUNTIF($R$6:$R$280,R268)&gt;1,"重复","唯一")</f>
        <v/>
      </c>
      <c r="T268" s="136" t="inlineStr">
        <is>
          <t>1b84f7aee2e15b88dc5c20e2c2467619e09a49a6714332c42eef2c22bfa57d6a</t>
        </is>
      </c>
      <c r="U268" s="136" t="inlineStr">
        <is>
          <t>Codex</t>
        </is>
      </c>
      <c r="V268" s="137" t="n">
        <v>46252</v>
      </c>
      <c r="W268" s="136" t="inlineStr">
        <is>
          <t>项目现有Godot资产</t>
        </is>
      </c>
      <c r="X268" s="136" t="inlineStr">
        <is>
          <t>2026-08-18项目扫描补登记；按Prefab独立身份管理；根节点=PrpRoomStairLobbyRouteGuide(Node3D)；2026-08-18扫描补登记资产主表</t>
        </is>
      </c>
    </row>
    <row r="269">
      <c r="A269" s="136" t="inlineStr">
        <is>
          <t>ENV-DUNGEON-STAIR-LOBBY-THRESHOLD-GUIDE</t>
        </is>
      </c>
      <c r="B269" s="136" t="inlineStr">
        <is>
          <t>楼梯厅门槛引导</t>
        </is>
      </c>
      <c r="C269" s="136" t="inlineStr">
        <is>
          <t>场景</t>
        </is>
      </c>
      <c r="D269" s="136" t="inlineStr">
        <is>
          <t>environment_module_3d</t>
        </is>
      </c>
      <c r="E269" s="136" t="inlineStr">
        <is>
          <t>room_stair_lobby_threshold_guide</t>
        </is>
      </c>
      <c r="F269" s="136" t="inlineStr">
        <is>
          <t>root_3d</t>
        </is>
      </c>
      <c r="G269" s="136" t="inlineStr">
        <is>
          <t>ENV-DUNGEON-RUNTIME-3D</t>
        </is>
      </c>
      <c r="H269" s="136" t="inlineStr">
        <is>
          <t>Top3D / local -Z 正面</t>
        </is>
      </c>
      <c r="I269" s="136" t="inlineStr">
        <is>
          <t>default / prefab</t>
        </is>
      </c>
      <c r="J269" s="136" t="inlineStr">
        <is>
          <t>场景通用组件</t>
        </is>
      </c>
      <c r="K269" s="136" t="inlineStr">
        <is>
          <t>程序占位</t>
        </is>
      </c>
      <c r="L269" s="136" t="inlineStr">
        <is>
          <t>P1</t>
        </is>
      </c>
      <c r="M269" s="136" t="inlineStr">
        <is>
          <t>v001</t>
        </is>
      </c>
      <c r="N269" s="136" t="inlineStr">
        <is>
          <t>Godot PackedScene；根=Node3D；碰撞节点=0</t>
        </is>
      </c>
      <c r="O269" s="136" t="inlineStr">
        <is>
          <t>assets/art/props/dungeon_3d/prp_room_stair_lobby_threshold_guide.tscn</t>
        </is>
      </c>
      <c r="P269" s="136" t="inlineStr">
        <is>
          <t>assets/art/3D模型资产目录与命名规范.md</t>
        </is>
      </c>
      <c r="Q269" s="136" t="inlineStr">
        <is>
          <t>楼梯厅门槛引导;3D;Prefab;场景通用组件;room_stair_lobby_threshold_guide</t>
        </is>
      </c>
      <c r="R269" s="136" t="inlineStr">
        <is>
          <t>场景|environment_module_3d|room_stair_lobby_threshold_guide|root_3d|top3d / local -z 正面|default / prefab</t>
        </is>
      </c>
      <c r="S269" s="136">
        <f>IF(COUNTIF($R$6:$R$280,R269)&gt;1,"重复","唯一")</f>
        <v/>
      </c>
      <c r="T269" s="136" t="inlineStr">
        <is>
          <t>1e2cac237076bd1601f863c4c354af505164240a43010b27440f5b6b9892725a</t>
        </is>
      </c>
      <c r="U269" s="136" t="inlineStr">
        <is>
          <t>Codex</t>
        </is>
      </c>
      <c r="V269" s="137" t="n">
        <v>46252</v>
      </c>
      <c r="W269" s="136" t="inlineStr">
        <is>
          <t>项目现有Godot资产</t>
        </is>
      </c>
      <c r="X269" s="136" t="inlineStr">
        <is>
          <t>2026-08-18项目扫描补登记；按Prefab独立身份管理；根节点=PrpRoomStairLobbyThresholdGuide(Node3D)；2026-08-18扫描补登记资产主表</t>
        </is>
      </c>
    </row>
    <row r="270">
      <c r="A270" s="136" t="inlineStr">
        <is>
          <t>ENV-DUNGEON-VERTICAL-ACCESS-MARKER</t>
        </is>
      </c>
      <c r="B270" s="136" t="inlineStr">
        <is>
          <t>垂直通行标记</t>
        </is>
      </c>
      <c r="C270" s="136" t="inlineStr">
        <is>
          <t>场景</t>
        </is>
      </c>
      <c r="D270" s="136" t="inlineStr">
        <is>
          <t>environment_module_3d</t>
        </is>
      </c>
      <c r="E270" s="136" t="inlineStr">
        <is>
          <t>room_vertical_access_marker_label</t>
        </is>
      </c>
      <c r="F270" s="136" t="inlineStr">
        <is>
          <t>root_3d</t>
        </is>
      </c>
      <c r="G270" s="136" t="inlineStr">
        <is>
          <t>ENV-DUNGEON-RUNTIME-3D</t>
        </is>
      </c>
      <c r="H270" s="136" t="inlineStr">
        <is>
          <t>Top3D / local -Z 正面</t>
        </is>
      </c>
      <c r="I270" s="136" t="inlineStr">
        <is>
          <t>default / prefab</t>
        </is>
      </c>
      <c r="J270" s="136" t="inlineStr">
        <is>
          <t>场景通用组件</t>
        </is>
      </c>
      <c r="K270" s="136" t="inlineStr">
        <is>
          <t>程序占位</t>
        </is>
      </c>
      <c r="L270" s="136" t="inlineStr">
        <is>
          <t>P1</t>
        </is>
      </c>
      <c r="M270" s="136" t="inlineStr">
        <is>
          <t>v001</t>
        </is>
      </c>
      <c r="N270" s="136" t="inlineStr">
        <is>
          <t>Godot PackedScene；根=Node3D；碰撞节点=0</t>
        </is>
      </c>
      <c r="O270" s="136" t="inlineStr">
        <is>
          <t>assets/art/props/dungeon_3d/prp_room_vertical_access_marker_label.tscn</t>
        </is>
      </c>
      <c r="P270" s="136" t="inlineStr">
        <is>
          <t>assets/art/3D模型资产目录与命名规范.md</t>
        </is>
      </c>
      <c r="Q270" s="136" t="inlineStr">
        <is>
          <t>垂直通行标记;3D;Prefab;场景通用组件;room_vertical_access_marker_label</t>
        </is>
      </c>
      <c r="R270" s="136" t="inlineStr">
        <is>
          <t>场景|environment_module_3d|room_vertical_access_marker_label|root_3d|top3d / local -z 正面|default / prefab</t>
        </is>
      </c>
      <c r="S270" s="136">
        <f>IF(COUNTIF($R$6:$R$280,R270)&gt;1,"重复","唯一")</f>
        <v/>
      </c>
      <c r="T270" s="136" t="inlineStr">
        <is>
          <t>be52421f6f65b5d36130e6a6706675634e26e9b80d7b6787bfbf82ead3dffd8f</t>
        </is>
      </c>
      <c r="U270" s="136" t="inlineStr">
        <is>
          <t>Codex</t>
        </is>
      </c>
      <c r="V270" s="137" t="n">
        <v>46252</v>
      </c>
      <c r="W270" s="136" t="inlineStr">
        <is>
          <t>项目现有Godot资产</t>
        </is>
      </c>
      <c r="X270" s="136" t="inlineStr">
        <is>
          <t>2026-08-18项目扫描补登记；按Prefab独立身份管理；根节点=PrpRoomVerticalAccessMarkerLabel(Node3D)；2026-08-18扫描补登记资产主表</t>
        </is>
      </c>
    </row>
    <row r="271">
      <c r="A271" s="136" t="inlineStr">
        <is>
          <t>ENV-DUNGEON-ROOM-WALL-DOOR-SEGMENT</t>
        </is>
      </c>
      <c r="B271" s="136" t="inlineStr">
        <is>
          <t>房间带门墙段</t>
        </is>
      </c>
      <c r="C271" s="136" t="inlineStr">
        <is>
          <t>场景</t>
        </is>
      </c>
      <c r="D271" s="136" t="inlineStr">
        <is>
          <t>environment_module_3d</t>
        </is>
      </c>
      <c r="E271" s="136" t="inlineStr">
        <is>
          <t>room_wall_door_segment</t>
        </is>
      </c>
      <c r="F271" s="136" t="inlineStr">
        <is>
          <t>root_3d</t>
        </is>
      </c>
      <c r="G271" s="136" t="inlineStr">
        <is>
          <t>ENV-DUNGEON-RUNTIME-3D</t>
        </is>
      </c>
      <c r="H271" s="136" t="inlineStr">
        <is>
          <t>Top3D / local -Z 正面</t>
        </is>
      </c>
      <c r="I271" s="136" t="inlineStr">
        <is>
          <t>default / prefab</t>
        </is>
      </c>
      <c r="J271" s="136" t="inlineStr">
        <is>
          <t>场景通用组件</t>
        </is>
      </c>
      <c r="K271" s="136" t="inlineStr">
        <is>
          <t>程序占位</t>
        </is>
      </c>
      <c r="L271" s="136" t="inlineStr">
        <is>
          <t>P1</t>
        </is>
      </c>
      <c r="M271" s="136" t="inlineStr">
        <is>
          <t>v001</t>
        </is>
      </c>
      <c r="N271" s="136" t="inlineStr">
        <is>
          <t>Godot PackedScene；根=Node3D；碰撞节点=1</t>
        </is>
      </c>
      <c r="O271" s="136" t="inlineStr">
        <is>
          <t>assets/art/props/dungeon_3d/prp_room_wall_door_segment.tscn</t>
        </is>
      </c>
      <c r="P271" s="136" t="inlineStr">
        <is>
          <t>assets/art/3D模型资产目录与命名规范.md</t>
        </is>
      </c>
      <c r="Q271" s="136" t="inlineStr">
        <is>
          <t>房间带门墙段;3D;Prefab;场景通用组件;room_wall_door_segment</t>
        </is>
      </c>
      <c r="R271" s="136" t="inlineStr">
        <is>
          <t>场景|environment_module_3d|room_wall_door_segment|root_3d|top3d / local -z 正面|default / prefab</t>
        </is>
      </c>
      <c r="S271" s="136">
        <f>IF(COUNTIF($R$6:$R$280,R271)&gt;1,"重复","唯一")</f>
        <v/>
      </c>
      <c r="T271" s="136" t="inlineStr">
        <is>
          <t>16456f1e882482b53f215c6272997a0af0d1361c58d65894e853e49b456b7098</t>
        </is>
      </c>
      <c r="U271" s="136" t="inlineStr">
        <is>
          <t>Codex</t>
        </is>
      </c>
      <c r="V271" s="137" t="n">
        <v>46252</v>
      </c>
      <c r="W271" s="136" t="inlineStr">
        <is>
          <t>项目现有Godot资产</t>
        </is>
      </c>
      <c r="X271" s="136" t="inlineStr">
        <is>
          <t>2026-08-18项目扫描补登记；按Prefab独立身份管理；根节点=PrpRoomWallDoorSegment(Node3D)；2026-08-18扫描补登记资产主表</t>
        </is>
      </c>
    </row>
    <row r="272">
      <c r="A272" s="136" t="inlineStr">
        <is>
          <t>ENV-DUNGEON-ROOM-WALL-SEGMENT</t>
        </is>
      </c>
      <c r="B272" s="136" t="inlineStr">
        <is>
          <t>房间普通墙段</t>
        </is>
      </c>
      <c r="C272" s="136" t="inlineStr">
        <is>
          <t>场景</t>
        </is>
      </c>
      <c r="D272" s="136" t="inlineStr">
        <is>
          <t>environment_module_3d</t>
        </is>
      </c>
      <c r="E272" s="136" t="inlineStr">
        <is>
          <t>room_wall_segment</t>
        </is>
      </c>
      <c r="F272" s="136" t="inlineStr">
        <is>
          <t>root_3d</t>
        </is>
      </c>
      <c r="G272" s="136" t="inlineStr">
        <is>
          <t>ENV-DUNGEON-RUNTIME-3D</t>
        </is>
      </c>
      <c r="H272" s="136" t="inlineStr">
        <is>
          <t>Top3D / local -Z 正面</t>
        </is>
      </c>
      <c r="I272" s="136" t="inlineStr">
        <is>
          <t>default / prefab</t>
        </is>
      </c>
      <c r="J272" s="136" t="inlineStr">
        <is>
          <t>场景通用组件</t>
        </is>
      </c>
      <c r="K272" s="136" t="inlineStr">
        <is>
          <t>程序占位</t>
        </is>
      </c>
      <c r="L272" s="136" t="inlineStr">
        <is>
          <t>P1</t>
        </is>
      </c>
      <c r="M272" s="136" t="inlineStr">
        <is>
          <t>v001</t>
        </is>
      </c>
      <c r="N272" s="136" t="inlineStr">
        <is>
          <t>Godot PackedScene；根=Node3D；碰撞节点=1</t>
        </is>
      </c>
      <c r="O272" s="136" t="inlineStr">
        <is>
          <t>assets/art/props/dungeon_3d/prp_room_wall_segment.tscn</t>
        </is>
      </c>
      <c r="P272" s="136" t="inlineStr">
        <is>
          <t>assets/art/3D模型资产目录与命名规范.md</t>
        </is>
      </c>
      <c r="Q272" s="136" t="inlineStr">
        <is>
          <t>房间普通墙段;3D;Prefab;场景通用组件;room_wall_segment</t>
        </is>
      </c>
      <c r="R272" s="136" t="inlineStr">
        <is>
          <t>场景|environment_module_3d|room_wall_segment|root_3d|top3d / local -z 正面|default / prefab</t>
        </is>
      </c>
      <c r="S272" s="136">
        <f>IF(COUNTIF($R$6:$R$280,R272)&gt;1,"重复","唯一")</f>
        <v/>
      </c>
      <c r="T272" s="136" t="inlineStr">
        <is>
          <t>71037ba3c3252f198a98222c48dbec933eb1478484161cc7fb4bbaeebe449ca4</t>
        </is>
      </c>
      <c r="U272" s="136" t="inlineStr">
        <is>
          <t>Codex</t>
        </is>
      </c>
      <c r="V272" s="137" t="n">
        <v>46252</v>
      </c>
      <c r="W272" s="136" t="inlineStr">
        <is>
          <t>项目现有Godot资产</t>
        </is>
      </c>
      <c r="X272" s="136" t="inlineStr">
        <is>
          <t>2026-08-18项目扫描补登记；按Prefab独立身份管理；根节点=PrpRoomWallSegment(Node3D)；2026-08-18扫描补登记资产主表</t>
        </is>
      </c>
    </row>
    <row r="273">
      <c r="A273" s="136" t="inlineStr">
        <is>
          <t>ENV-TOWER-WALL-PARAPET-DOOR-5M</t>
        </is>
      </c>
      <c r="B273" s="136" t="inlineStr">
        <is>
          <t>塔楼带门女儿墙5米</t>
        </is>
      </c>
      <c r="C273" s="136" t="inlineStr">
        <is>
          <t>场景</t>
        </is>
      </c>
      <c r="D273" s="136" t="inlineStr">
        <is>
          <t>environment_module_3d</t>
        </is>
      </c>
      <c r="E273" s="136" t="inlineStr">
        <is>
          <t>tower_wall_parapet_door_5m</t>
        </is>
      </c>
      <c r="F273" s="136" t="inlineStr">
        <is>
          <t>root_3d</t>
        </is>
      </c>
      <c r="G273" s="136" t="inlineStr">
        <is>
          <t>ENV-TOWER-DESCENT-KIT-3D</t>
        </is>
      </c>
      <c r="H273" s="136" t="inlineStr">
        <is>
          <t>Top3D / local -Z 正面</t>
        </is>
      </c>
      <c r="I273" s="136" t="inlineStr">
        <is>
          <t>default / prefab</t>
        </is>
      </c>
      <c r="J273" s="136" t="inlineStr">
        <is>
          <t>场景通用组件</t>
        </is>
      </c>
      <c r="K273" s="136" t="inlineStr">
        <is>
          <t>程序占位</t>
        </is>
      </c>
      <c r="L273" s="136" t="inlineStr">
        <is>
          <t>P1</t>
        </is>
      </c>
      <c r="M273" s="136" t="inlineStr">
        <is>
          <t>v001</t>
        </is>
      </c>
      <c r="N273" s="136" t="inlineStr">
        <is>
          <t>Godot PackedScene；根=Node3D；碰撞节点=2</t>
        </is>
      </c>
      <c r="O273" s="136" t="inlineStr">
        <is>
          <t>assets/art/props/dungeon_3d/prp_tower_wall_parapet_door_5m.tscn</t>
        </is>
      </c>
      <c r="P273" s="136" t="inlineStr">
        <is>
          <t>assets/art/3D模型资产目录与命名规范.md</t>
        </is>
      </c>
      <c r="Q273" s="136" t="inlineStr">
        <is>
          <t>塔楼带门女儿墙5米;3D;Prefab;场景通用组件;tower_wall_parapet_door_5m</t>
        </is>
      </c>
      <c r="R273" s="136" t="inlineStr">
        <is>
          <t>场景|environment_module_3d|tower_wall_parapet_door_5m|root_3d|top3d / local -z 正面|default / prefab</t>
        </is>
      </c>
      <c r="S273" s="136">
        <f>IF(COUNTIF($R$6:$R$280,R273)&gt;1,"重复","唯一")</f>
        <v/>
      </c>
      <c r="T273" s="136" t="inlineStr">
        <is>
          <t>a05cec7fe030202596b358a2e3cb9613f24af3fed4c0454cf422b83d63d168d5</t>
        </is>
      </c>
      <c r="U273" s="136" t="inlineStr">
        <is>
          <t>Codex</t>
        </is>
      </c>
      <c r="V273" s="137" t="n">
        <v>46252</v>
      </c>
      <c r="W273" s="136" t="inlineStr">
        <is>
          <t>项目现有Godot资产</t>
        </is>
      </c>
      <c r="X273" s="136" t="inlineStr">
        <is>
          <t>2026-08-18项目扫描补登记；按Prefab独立身份管理；根节点=PrpTowerWallParapetDoor5m(Node3D)；2026-08-18扫描补登记资产主表</t>
        </is>
      </c>
    </row>
    <row r="274">
      <c r="A274" s="136" t="inlineStr">
        <is>
          <t>PRP-BASE-FACILITY-LIGHT-GRID-3D</t>
        </is>
      </c>
      <c r="B274" s="136" t="inlineStr">
        <is>
          <t>基地设施灯光网格</t>
        </is>
      </c>
      <c r="C274" s="136" t="inlineStr">
        <is>
          <t>场景道具</t>
        </is>
      </c>
      <c r="D274" s="136" t="inlineStr">
        <is>
          <t>facility</t>
        </is>
      </c>
      <c r="E274" s="136" t="inlineStr">
        <is>
          <t>base_facility_light_grid</t>
        </is>
      </c>
      <c r="F274" s="136" t="inlineStr">
        <is>
          <t>root_3d</t>
        </is>
      </c>
      <c r="G274" s="136" t="inlineStr">
        <is>
          <t>PRP-BASE-FACILITY-3D</t>
        </is>
      </c>
      <c r="H274" s="136" t="inlineStr">
        <is>
          <t>Top3D / local -Z 正面</t>
        </is>
      </c>
      <c r="I274" s="136" t="inlineStr">
        <is>
          <t>default / prefab</t>
        </is>
      </c>
      <c r="J274" s="136" t="inlineStr">
        <is>
          <t>设施组件</t>
        </is>
      </c>
      <c r="K274" s="136" t="inlineStr">
        <is>
          <t>程序占位</t>
        </is>
      </c>
      <c r="L274" s="136" t="inlineStr">
        <is>
          <t>P1</t>
        </is>
      </c>
      <c r="M274" s="136" t="inlineStr">
        <is>
          <t>v001</t>
        </is>
      </c>
      <c r="N274" s="136" t="inlineStr">
        <is>
          <t>Godot PackedScene；根=Node3D；碰撞节点=0</t>
        </is>
      </c>
      <c r="O274" s="136" t="inlineStr">
        <is>
          <t>assets/art/props/dungeon_3d/prp_base_facility_light_grid_root_top3d_v001.tscn</t>
        </is>
      </c>
      <c r="P274" s="136" t="inlineStr">
        <is>
          <t>assets/art/props/dungeon_3d/prp_wasteland_light_root_top3d_v001.tscn; assets/art/3D模型资产目录与命名规范.md</t>
        </is>
      </c>
      <c r="Q274" s="136" t="inlineStr">
        <is>
          <t>基地设施灯光网格;3D;Prefab;设施组件;base_facility_light_grid</t>
        </is>
      </c>
      <c r="R274" s="136" t="inlineStr">
        <is>
          <t>场景道具|facility|base_facility_light_grid|root_3d|top3d / local -z 正面|default / prefab</t>
        </is>
      </c>
      <c r="S274" s="136">
        <f>IF(COUNTIF($R$6:$R$280,R274)&gt;1,"重复","唯一")</f>
        <v/>
      </c>
      <c r="T274" s="136" t="inlineStr">
        <is>
          <t>830cd5af5cdbad6e744ebb2eaaa2508aeb70a618f790a9c4edec23d59b5c7043</t>
        </is>
      </c>
      <c r="U274" s="136" t="inlineStr">
        <is>
          <t>Codex</t>
        </is>
      </c>
      <c r="V274" s="137" t="n">
        <v>46252</v>
      </c>
      <c r="W274" s="136" t="inlineStr">
        <is>
          <t>项目现有Godot资产</t>
        </is>
      </c>
      <c r="X274" s="136" t="inlineStr">
        <is>
          <t>2026-08-18项目扫描补登记；按Prefab独立身份管理；根节点=BaseFacilityLightGrid(Node3D)；子Prefab=1；2026-08-18扫描补登记资产主表</t>
        </is>
      </c>
    </row>
    <row r="275">
      <c r="A275" s="136" t="inlineStr">
        <is>
          <t>ENV-BASE99-WALL-WINDOW-5X9</t>
        </is>
      </c>
      <c r="B275" s="136" t="inlineStr">
        <is>
          <t>基地99层带窗墙体5×9米</t>
        </is>
      </c>
      <c r="C275" s="136" t="inlineStr">
        <is>
          <t>场景</t>
        </is>
      </c>
      <c r="D275" s="136" t="inlineStr">
        <is>
          <t>environment_module_3d</t>
        </is>
      </c>
      <c r="E275" s="136" t="inlineStr">
        <is>
          <t>base99_wall_window_5x9</t>
        </is>
      </c>
      <c r="F275" s="136" t="inlineStr">
        <is>
          <t>wall_window</t>
        </is>
      </c>
      <c r="G275" s="136" t="inlineStr">
        <is>
          <t>ENV-BASE99-MODULAR-KIT-3D</t>
        </is>
      </c>
      <c r="H275" s="136" t="inlineStr">
        <is>
          <t>Top3D / local -Z 正面</t>
        </is>
      </c>
      <c r="I275" s="136" t="inlineStr">
        <is>
          <t>default / visual_only</t>
        </is>
      </c>
      <c r="J275" s="136" t="inlineStr">
        <is>
          <t>99层基地模块化结构</t>
        </is>
      </c>
      <c r="K275" s="136" t="inlineStr">
        <is>
          <t>正式美术已接入</t>
        </is>
      </c>
      <c r="L275" s="136" t="inlineStr">
        <is>
          <t>P0</t>
        </is>
      </c>
      <c r="M275" s="136" t="inlineStr">
        <is>
          <t>v001</t>
        </is>
      </c>
      <c r="N275" s="136" t="inlineStr">
        <is>
          <t>5×9×0.60m视觉外廓；底边中心原点</t>
        </is>
      </c>
      <c r="O275" s="136" t="inlineStr">
        <is>
          <t>assets/art/environments/base_facility_3d/runtime/env_base99_wall_window_5x9/env_base99_wall_window_5x9_root_top3d_v001.tscn</t>
        </is>
      </c>
      <c r="P275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5" s="136" t="inlineStr">
        <is>
          <t>基地99层带窗墙体5×9米;base99;PaletteUV;cast_and_receive</t>
        </is>
      </c>
      <c r="R275" s="136">
        <f>LOWER(TRIM(C275)&amp;"|"&amp;TRIM(D275)&amp;"|"&amp;TRIM(E275)&amp;"|"&amp;TRIM(F275)&amp;"|"&amp;TRIM(H275)&amp;"|"&amp;TRIM(I275))</f>
        <v/>
      </c>
      <c r="S275" s="136">
        <f>IF(COUNTIF($R$6:$R$280,R275)&gt;1,"重复","唯一")</f>
        <v/>
      </c>
      <c r="T275" s="136" t="inlineStr">
        <is>
          <t>7014e63573c9bec4a0e944a92b7caa24620cfe5bf0735c8fa486e0fec8f6a1c8</t>
        </is>
      </c>
      <c r="U275" s="136" t="inlineStr">
        <is>
          <t>Codex</t>
        </is>
      </c>
      <c r="V275" s="136" t="n">
        <v>46252</v>
      </c>
      <c r="W275" s="136" t="inlineStr">
        <is>
          <t>用户自制Blender资产</t>
        </is>
      </c>
      <c r="X275" s="136" t="inlineStr">
        <is>
          <t>100层上层围护专用窗墙；99层实例数为0；模型参与挡光与投影，禁止混入99层9米普通墙圈。</t>
        </is>
      </c>
    </row>
    <row r="276">
      <c r="A276" s="136" t="inlineStr">
        <is>
          <t>ENV-BASE99-MEZZANINE-20X10-Z7</t>
        </is>
      </c>
      <c r="B276" s="136" t="inlineStr">
        <is>
          <t>基地99层7米楼中楼楼板</t>
        </is>
      </c>
      <c r="C276" s="136" t="inlineStr">
        <is>
          <t>场景</t>
        </is>
      </c>
      <c r="D276" s="136" t="inlineStr">
        <is>
          <t>environment_module_3d</t>
        </is>
      </c>
      <c r="E276" s="136" t="inlineStr">
        <is>
          <t>base99_mezzanine_20x10_z7</t>
        </is>
      </c>
      <c r="F276" s="136" t="inlineStr">
        <is>
          <t>mezzanine</t>
        </is>
      </c>
      <c r="G276" s="136" t="inlineStr">
        <is>
          <t>ENV-BASE99-MODULAR-KIT-3D</t>
        </is>
      </c>
      <c r="H276" s="136" t="inlineStr">
        <is>
          <t>Top3D / local -Z 正面</t>
        </is>
      </c>
      <c r="I276" s="136" t="inlineStr">
        <is>
          <t>default / visual_only</t>
        </is>
      </c>
      <c r="J276" s="136" t="inlineStr">
        <is>
          <t>99层基地模块化结构</t>
        </is>
      </c>
      <c r="K276" s="136" t="inlineStr">
        <is>
          <t>正式美术已接入</t>
        </is>
      </c>
      <c r="L276" s="136" t="inlineStr">
        <is>
          <t>P0</t>
        </is>
      </c>
      <c r="M276" s="136" t="inlineStr">
        <is>
          <t>v001</t>
        </is>
      </c>
      <c r="N276" s="136" t="inlineStr">
        <is>
          <t>约20.25×10.25m外廓；完成面7m；底部中心原点</t>
        </is>
      </c>
      <c r="O276" s="136" t="inlineStr">
        <is>
          <t>assets/art/environments/base_facility_3d/runtime/env_base99_mezzanine_20x10_z7/env_base99_mezzanine_20x10_z7_root_top3d_v001.tscn</t>
        </is>
      </c>
      <c r="P276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6" s="136" t="inlineStr">
        <is>
          <t>基地99层7米楼中楼楼板;base99;PaletteUV;cast_and_receive</t>
        </is>
      </c>
      <c r="R276" s="136">
        <f>LOWER(TRIM(C276)&amp;"|"&amp;TRIM(D276)&amp;"|"&amp;TRIM(E276)&amp;"|"&amp;TRIM(F276)&amp;"|"&amp;TRIM(H276)&amp;"|"&amp;TRIM(I276))</f>
        <v/>
      </c>
      <c r="S276" s="136">
        <f>IF(COUNTIF($R$6:$R$280,R276)&gt;1,"重复","唯一")</f>
        <v/>
      </c>
      <c r="T276" s="136" t="inlineStr">
        <is>
          <t>d5174145d07622e4ea6e20cb9447b2cd92020ae75915e9b4b11fb039a495e1d8</t>
        </is>
      </c>
      <c r="U276" s="136" t="inlineStr">
        <is>
          <t>Codex</t>
        </is>
      </c>
      <c r="V276" s="136" t="n">
        <v>46252</v>
      </c>
      <c r="W276" s="136" t="inlineStr">
        <is>
          <t>用户自制Blender资产</t>
        </is>
      </c>
      <c r="X276" s="136" t="inlineStr">
        <is>
          <t>实例位于基地美术布局tscn；Prefab自带简化楼板承重面与camera_stair_slab；模型投影，移动实例时碰撞同步。</t>
        </is>
      </c>
    </row>
    <row r="277">
      <c r="A277" s="136" t="inlineStr">
        <is>
          <t>ENV-BASE99-STAIR-L-Z7</t>
        </is>
      </c>
      <c r="B277" s="136" t="inlineStr">
        <is>
          <t>基地99层7米L型楼梯</t>
        </is>
      </c>
      <c r="C277" s="136" t="inlineStr">
        <is>
          <t>场景</t>
        </is>
      </c>
      <c r="D277" s="136" t="inlineStr">
        <is>
          <t>environment_module_3d</t>
        </is>
      </c>
      <c r="E277" s="136" t="inlineStr">
        <is>
          <t>base99_stair_l_z7</t>
        </is>
      </c>
      <c r="F277" s="136" t="inlineStr">
        <is>
          <t>stair_l</t>
        </is>
      </c>
      <c r="G277" s="136" t="inlineStr">
        <is>
          <t>ENV-BASE99-MODULAR-KIT-3D</t>
        </is>
      </c>
      <c r="H277" s="136" t="inlineStr">
        <is>
          <t>Top3D / local -Z 正面</t>
        </is>
      </c>
      <c r="I277" s="136" t="inlineStr">
        <is>
          <t>default / visual_only</t>
        </is>
      </c>
      <c r="J277" s="136" t="inlineStr">
        <is>
          <t>99层基地模块化结构</t>
        </is>
      </c>
      <c r="K277" s="136" t="inlineStr">
        <is>
          <t>正式美术已接入</t>
        </is>
      </c>
      <c r="L277" s="136" t="inlineStr">
        <is>
          <t>P0</t>
        </is>
      </c>
      <c r="M277" s="136" t="inlineStr">
        <is>
          <t>v001</t>
        </is>
      </c>
      <c r="N277" s="136" t="inlineStr">
        <is>
          <t>约9.22×10.54×7.94m外廓；一楼至7m楼板</t>
        </is>
      </c>
      <c r="O277" s="136" t="inlineStr">
        <is>
          <t>assets/art/environments/base_facility_3d/runtime/env_base99_stair_l_z7/env_base99_stair_l_z7_root_top3d_v001.tscn</t>
        </is>
      </c>
      <c r="P277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7" s="136" t="inlineStr">
        <is>
          <t>基地99层7米L型楼梯;base99;PaletteUV;cast_and_receive</t>
        </is>
      </c>
      <c r="R277" s="136">
        <f>LOWER(TRIM(C277)&amp;"|"&amp;TRIM(D277)&amp;"|"&amp;TRIM(E277)&amp;"|"&amp;TRIM(F277)&amp;"|"&amp;TRIM(H277)&amp;"|"&amp;TRIM(I277))</f>
        <v/>
      </c>
      <c r="S277" s="136">
        <f>IF(COUNTIF($R$6:$R$280,R277)&gt;1,"重复","唯一")</f>
        <v/>
      </c>
      <c r="T277" s="136" t="inlineStr">
        <is>
          <t>8b2b2c125e583587c2331197b64eaabc2c3593ac080ab0db86cf1c39142aac72</t>
        </is>
      </c>
      <c r="U277" s="136" t="inlineStr">
        <is>
          <t>Codex</t>
        </is>
      </c>
      <c r="V277" s="136" t="n">
        <v>46252</v>
      </c>
      <c r="W277" s="136" t="inlineStr">
        <is>
          <t>用户自制Blender资产</t>
        </is>
      </c>
      <c r="X277" s="136" t="inlineStr">
        <is>
          <t>实例位于基地美术布局tscn；可行走坡面与camera_stair_slab保持原规则；模型参与挡光与投影。</t>
        </is>
      </c>
    </row>
    <row r="278">
      <c r="A278" s="136" t="inlineStr">
        <is>
          <t>ENV-BASE99-STAIR-EXTERIOR-H2</t>
        </is>
      </c>
      <c r="B278" s="136" t="inlineStr">
        <is>
          <t>基地99层二楼外门2米小楼梯</t>
        </is>
      </c>
      <c r="C278" s="136" t="inlineStr">
        <is>
          <t>场景</t>
        </is>
      </c>
      <c r="D278" s="136" t="inlineStr">
        <is>
          <t>environment_module_3d</t>
        </is>
      </c>
      <c r="E278" s="136" t="inlineStr">
        <is>
          <t>base99_stair_exterior_h2</t>
        </is>
      </c>
      <c r="F278" s="136" t="inlineStr">
        <is>
          <t>stair_exterior</t>
        </is>
      </c>
      <c r="G278" s="136" t="inlineStr">
        <is>
          <t>ENV-BASE99-MODULAR-KIT-3D</t>
        </is>
      </c>
      <c r="H278" s="136" t="inlineStr">
        <is>
          <t>Top3D / local -Z 正面</t>
        </is>
      </c>
      <c r="I278" s="136" t="inlineStr">
        <is>
          <t>default / visual_only</t>
        </is>
      </c>
      <c r="J278" s="136" t="inlineStr">
        <is>
          <t>99层基地模块化结构</t>
        </is>
      </c>
      <c r="K278" s="136" t="inlineStr">
        <is>
          <t>正式美术已接入</t>
        </is>
      </c>
      <c r="L278" s="136" t="inlineStr">
        <is>
          <t>P0</t>
        </is>
      </c>
      <c r="M278" s="136" t="inlineStr">
        <is>
          <t>v001</t>
        </is>
      </c>
      <c r="N278" s="136" t="inlineStr">
        <is>
          <t>4.515×2.80×2.00m；7m楼板至9m外门门槛</t>
        </is>
      </c>
      <c r="O278" s="136" t="inlineStr">
        <is>
          <t>assets/art/environments/base_facility_3d/runtime/env_base99_stair_exterior_h2/env_base99_stair_exterior_h2_root_top3d_v001.tscn</t>
        </is>
      </c>
      <c r="P278" s="136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8" s="136" t="inlineStr">
        <is>
          <t>基地99层二楼外门2米小楼梯;base99;PaletteUV;cast_and_receive</t>
        </is>
      </c>
      <c r="R278" s="136">
        <f>LOWER(TRIM(C278)&amp;"|"&amp;TRIM(D278)&amp;"|"&amp;TRIM(E278)&amp;"|"&amp;TRIM(F278)&amp;"|"&amp;TRIM(H278)&amp;"|"&amp;TRIM(I278))</f>
        <v/>
      </c>
      <c r="S278" s="136">
        <f>IF(COUNTIF($R$6:$R$280,R278)&gt;1,"重复","唯一")</f>
        <v/>
      </c>
      <c r="T278" s="136" t="inlineStr">
        <is>
          <t>47cb6ccd8eca0e96ed7a6eed9bf0f3b5baf5a665b0ef73474b9f7863f9b11a5e</t>
        </is>
      </c>
      <c r="U278" s="136" t="inlineStr">
        <is>
          <t>Codex</t>
        </is>
      </c>
      <c r="V278" s="136" t="n">
        <v>46252</v>
      </c>
      <c r="W278" s="136" t="inlineStr">
        <is>
          <t>用户自制Blender资产</t>
        </is>
      </c>
      <c r="X278" s="136" t="inlineStr">
        <is>
          <t>实例位于基地美术布局tscn；简化坡面与camera_stair_slab保持原规则；模型参与挡光与投影。</t>
        </is>
      </c>
    </row>
    <row r="279">
      <c r="A279" s="136" t="inlineStr">
        <is>
          <t>ENV-BASE99-DOOR-LIFT-22X25</t>
        </is>
      </c>
      <c r="B279" s="136" t="inlineStr">
        <is>
          <t>基地99层2.2×2.5米滑升门扇</t>
        </is>
      </c>
      <c r="C279" s="136" t="inlineStr">
        <is>
          <t>场景</t>
        </is>
      </c>
      <c r="D279" s="136" t="inlineStr">
        <is>
          <t>facility_visual_3d</t>
        </is>
      </c>
      <c r="E279" s="136" t="inlineStr">
        <is>
          <t>base99_door_lift_2p2x2p5</t>
        </is>
      </c>
      <c r="F279" s="136" t="inlineStr">
        <is>
          <t>door_leaf</t>
        </is>
      </c>
      <c r="G279" s="136" t="inlineStr">
        <is>
          <t>ENV-BASE99-MODULAR-KIT-3D</t>
        </is>
      </c>
      <c r="H279" s="136" t="inlineStr">
        <is>
          <t>Top3D / local -Z 正面</t>
        </is>
      </c>
      <c r="I279" s="136" t="inlineStr">
        <is>
          <t>default / visual_only</t>
        </is>
      </c>
      <c r="J279" s="136" t="inlineStr">
        <is>
          <t>99层基地东/西滑升门</t>
        </is>
      </c>
      <c r="K279" s="136" t="inlineStr">
        <is>
          <t>正式美术已接入</t>
        </is>
      </c>
      <c r="L279" s="136" t="inlineStr">
        <is>
          <t>P0</t>
        </is>
      </c>
      <c r="M279" s="136" t="inlineStr">
        <is>
          <t>v001</t>
        </is>
      </c>
      <c r="N279" s="136" t="inlineStr">
        <is>
          <t>2.2×0.325×2.5m；底边中心原点</t>
        </is>
      </c>
      <c r="O279" s="136" t="inlineStr">
        <is>
          <t>assets/art/environments/base_facility_3d/runtime/env_base99_door_lift_2p2x2p5/env_base99_door_lift_2p2x2p5_root_top3d_v001.tscn</t>
        </is>
      </c>
      <c r="P279" s="136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279" s="136" t="inlineStr">
        <is>
          <t>基地99层2.2×2.5米滑升门扇;base99;PaletteUV;cast_and_receive</t>
        </is>
      </c>
      <c r="R279" s="136">
        <f>LOWER(TRIM(C279)&amp;"|"&amp;TRIM(D279)&amp;"|"&amp;TRIM(E279)&amp;"|"&amp;TRIM(F279)&amp;"|"&amp;TRIM(H279)&amp;"|"&amp;TRIM(I279))</f>
        <v/>
      </c>
      <c r="S279" s="136">
        <f>IF(COUNTIF($R$6:$R$280,R279)&gt;1,"重复","唯一")</f>
        <v/>
      </c>
      <c r="T279" s="136" t="inlineStr">
        <is>
          <t>aa19001f06d3f0b7605032be9332b33e147d65d769f75fdb6d163d63c3cf67b7</t>
        </is>
      </c>
      <c r="U279" s="136" t="inlineStr">
        <is>
          <t>Codex</t>
        </is>
      </c>
      <c r="V279" s="136" t="n">
        <v>46252</v>
      </c>
      <c r="W279" s="136" t="inlineStr">
        <is>
          <t>用户自制Blender资产</t>
        </is>
      </c>
      <c r="X279" s="136" t="inlineStr">
        <is>
          <t>只替换RoomDoor3D动画视觉；模型投影；碰撞、锁定、提示和信号不变。</t>
        </is>
      </c>
    </row>
    <row r="280">
      <c r="A280" t="inlineStr">
        <is>
          <t>ENV-BASE100-UPPER-SHELL-30X30-H9</t>
        </is>
      </c>
      <c r="B280" t="inlineStr">
        <is>
          <t>基地100层上层围护与18米封顶</t>
        </is>
      </c>
      <c r="C280" t="inlineStr">
        <is>
          <t>场景</t>
        </is>
      </c>
      <c r="D280" t="inlineStr">
        <is>
          <t>environment_kit_3d</t>
        </is>
      </c>
      <c r="E280" t="inlineStr">
        <is>
          <t>base100_upper_shell_30x30_h9</t>
        </is>
      </c>
      <c r="F280" t="inlineStr">
        <is>
          <t>root_3d</t>
        </is>
      </c>
      <c r="G280" t="inlineStr">
        <is>
          <t>ENV-BASE99-MODULAR-KIT-3D</t>
        </is>
      </c>
      <c r="H280" t="inlineStr">
        <is>
          <t>Top3D / local -Z 正面</t>
        </is>
      </c>
      <c r="I280" t="inlineStr">
        <is>
          <t>default / prefab</t>
        </is>
      </c>
      <c r="J280" t="inlineStr">
        <is>
          <t>场景通用组件</t>
        </is>
      </c>
      <c r="K280" t="inlineStr">
        <is>
          <t>正式美术已接入</t>
        </is>
      </c>
      <c r="L280" t="inlineStr">
        <is>
          <t>P0</t>
        </is>
      </c>
      <c r="M280" t="inlineStr">
        <is>
          <t>v001</t>
        </is>
      </c>
      <c r="N280" t="inlineStr">
        <is>
          <t>30×30m围护；本地9—18m墙体；18m封顶</t>
        </is>
      </c>
      <c r="O280" t="inlineStr">
        <is>
          <t>assets/art/environments/base_facility_3d/runtime/env_base100_upper_shell_30x30_h9/env_base100_upper_shell_30x30_h9_root_top3d_v001.tscn</t>
        </is>
      </c>
      <c r="P280" t="inlineStr">
        <is>
          <t>assets/art/environments/base_facility_3d/source/env_base99_modular_room/env_base99_modular_room_source_v001.blend; src/world3d/Base100UpperShell3D.gd; assets/art/3D模型资产目录与命名规范.md</t>
        </is>
      </c>
      <c r="Q280" t="inlineStr">
        <is>
          <t>基地100层;上层围护;北侧窗墙;18米封顶;可编辑Prefab;cast_and_receive</t>
        </is>
      </c>
      <c r="R280">
        <f>LOWER(TRIM(C280)&amp;"|"&amp;TRIM(D280)&amp;"|"&amp;TRIM(E280)&amp;"|"&amp;TRIM(F280)&amp;"|"&amp;TRIM(H280)&amp;"|"&amp;TRIM(I280))</f>
        <v/>
      </c>
      <c r="S280">
        <f>IF(COUNTIF($R$6:$R$280,R280)&gt;1,"重复","唯一")</f>
        <v/>
      </c>
      <c r="T280" t="inlineStr">
        <is>
          <t>127b01c6d9f554621c84eb06b028133665042ca3ce57b3c938c533b6d5877bc1</t>
        </is>
      </c>
      <c r="U280" t="inlineStr">
        <is>
          <t>Codex</t>
        </is>
      </c>
      <c r="V280" t="n">
        <v>46252</v>
      </c>
      <c r="W280" t="inlineStr">
        <is>
          <t>用户自制Blender资产</t>
        </is>
      </c>
      <c r="X280" t="inlineStr">
        <is>
          <t>北墙两端普通+中间4窗；其余19普通墙，东侧1门墙；18米屋顶挡光；围护与封顶统一投影；不恢复99/100层中间36块。</t>
        </is>
      </c>
    </row>
    <row r="281" ht="66" customHeight="1">
      <c r="A281" s="136" t="inlineStr">
        <is>
          <t>ENV-BASE99-MEZZANINE-20X10-Z5</t>
        </is>
      </c>
      <c r="B281" s="136" t="inlineStr">
        <is>
          <t>基地99层5米楼中楼楼板</t>
        </is>
      </c>
      <c r="C281" s="136" t="inlineStr">
        <is>
          <t>场景</t>
        </is>
      </c>
      <c r="D281" s="136" t="inlineStr">
        <is>
          <t>environment_module</t>
        </is>
      </c>
      <c r="E281" s="136" t="inlineStr">
        <is>
          <t>base99_mezzanine_20x10_z5</t>
        </is>
      </c>
      <c r="F281" s="136" t="inlineStr">
        <is>
          <t>platform</t>
        </is>
      </c>
      <c r="G281" s="136" t="inlineStr">
        <is>
          <t>ENV-BASE99-MODULAR-ROOM</t>
        </is>
      </c>
      <c r="H281" s="136" t="inlineStr">
        <is>
          <t>俯视3D</t>
        </is>
      </c>
      <c r="I281" s="136" t="inlineStr">
        <is>
          <t>default</t>
        </is>
      </c>
      <c r="J281" s="136" t="inlineStr">
        <is>
          <t>基地99F</t>
        </is>
      </c>
      <c r="K281" s="136" t="inlineStr">
        <is>
          <t>正式美术已接入</t>
        </is>
      </c>
      <c r="L281" s="136" t="inlineStr">
        <is>
          <t>P0</t>
        </is>
      </c>
      <c r="M281" s="136" t="inlineStr">
        <is>
          <t>v002</t>
        </is>
      </c>
      <c r="N281" s="136" t="inlineStr">
        <is>
          <t>台面5m；20.2475×10.2475m</t>
        </is>
      </c>
      <c r="O281" s="136" t="inlineStr">
        <is>
          <t>assets/art/environments/base_facility_3d/runtime/env_base99_mezzanine_20x10_z5/env_base99_mezzanine_20x10_z5_root_top3d_v002.tscn</t>
        </is>
      </c>
      <c r="P281" s="136" t="inlineStr">
        <is>
          <t>assets/art/environments/base_facility_3d/source/env_base99_modular_room/env_base99_modular_room_assets_clean_v002.blend</t>
        </is>
      </c>
      <c r="Q281" s="136" t="inlineStr">
        <is>
          <t>5米楼板; 栏杆; 投影</t>
        </is>
      </c>
      <c r="R281" s="136">
        <f>TEXTJOIN("|",TRUE,C281,D281,E281,F281,H281,I281)</f>
        <v/>
      </c>
      <c r="S281" s="136">
        <f>IF(COUNTIF($R$6:$R$400,R281)&gt;1,"重复","唯一")</f>
        <v/>
      </c>
      <c r="T281" s="136" t="n"/>
      <c r="U281" s="136" t="inlineStr">
        <is>
          <t>Codex</t>
        </is>
      </c>
      <c r="V281" s="137" t="n">
        <v>46254</v>
      </c>
      <c r="W281" s="136" t="inlineStr">
        <is>
          <t>用户自制/项目内资产</t>
        </is>
      </c>
      <c r="X281" s="136" t="inlineStr">
        <is>
          <t>2026-08-20：本轮基地系统、角色母版与资产流程登记。</t>
        </is>
      </c>
    </row>
    <row r="282" ht="66" customHeight="1">
      <c r="A282" s="136" t="inlineStr">
        <is>
          <t>ENV-BASE99-STAIR-L-Z5</t>
        </is>
      </c>
      <c r="B282" s="136" t="inlineStr">
        <is>
          <t>基地99层5米L型楼梯</t>
        </is>
      </c>
      <c r="C282" s="136" t="inlineStr">
        <is>
          <t>场景</t>
        </is>
      </c>
      <c r="D282" s="136" t="inlineStr">
        <is>
          <t>environment_module</t>
        </is>
      </c>
      <c r="E282" s="136" t="inlineStr">
        <is>
          <t>base99_stair_l_z5</t>
        </is>
      </c>
      <c r="F282" s="136" t="inlineStr">
        <is>
          <t>stair</t>
        </is>
      </c>
      <c r="G282" s="136" t="inlineStr">
        <is>
          <t>ENV-BASE99-MODULAR-ROOM</t>
        </is>
      </c>
      <c r="H282" s="136" t="inlineStr">
        <is>
          <t>俯视3D</t>
        </is>
      </c>
      <c r="I282" s="136" t="inlineStr">
        <is>
          <t>default</t>
        </is>
      </c>
      <c r="J282" s="136" t="inlineStr">
        <is>
          <t>基地99F</t>
        </is>
      </c>
      <c r="K282" s="136" t="inlineStr">
        <is>
          <t>正式美术已接入</t>
        </is>
      </c>
      <c r="L282" s="136" t="inlineStr">
        <is>
          <t>P0</t>
        </is>
      </c>
      <c r="M282" s="136" t="inlineStr">
        <is>
          <t>v004</t>
        </is>
      </c>
      <c r="N282" s="136" t="inlineStr">
        <is>
          <t>0→2.5→5m；单一行走体</t>
        </is>
      </c>
      <c r="O282" s="136" t="inlineStr">
        <is>
          <t>assets/art/environments/base_facility_3d/runtime/env_base99_stair_l_z5/env_base99_stair_l_z5_root_top3d_v004.tscn</t>
        </is>
      </c>
      <c r="P282" s="136" t="inlineStr">
        <is>
          <t>assets/art/environments/base_facility_3d/source/env_base99_modular_room/env_base99_modular_room_assets_clean_v004.blend</t>
        </is>
      </c>
      <c r="Q282" s="136" t="inlineStr">
        <is>
          <t>L梯; 连续坡面; 单一行走体; 转角扶手收口</t>
        </is>
      </c>
      <c r="R282" s="136">
        <f>TEXTJOIN("|",TRUE,C282,D282,E282,F282,H282,I282)</f>
        <v/>
      </c>
      <c r="S282" s="136">
        <f>IF(COUNTIF($R$6:$R$400,R282)&gt;1,"重复","唯一")</f>
        <v/>
      </c>
      <c r="T282" s="136" t="inlineStr">
        <is>
          <t>abfcfdbff300fd1c6be549b6535ff2576a09ceb5eeec57ced70e8d2990f2c026</t>
        </is>
      </c>
      <c r="U282" s="136" t="inlineStr">
        <is>
          <t>Codex</t>
        </is>
      </c>
      <c r="V282" s="137" t="n">
        <v>46254</v>
      </c>
      <c r="W282" s="136" t="inlineStr">
        <is>
          <t>用户自制/项目内资产</t>
        </is>
      </c>
      <c r="X282" s="136" t="inlineStr">
        <is>
          <t>2026-08-20：v004从完整源组件重建；GLB仅表现，Godot Prefab持有单一StaticBody三段行走形状与独立护栏阻挡。</t>
        </is>
      </c>
    </row>
    <row r="283" ht="66" customHeight="1">
      <c r="A283" s="136" t="inlineStr">
        <is>
          <t>ENV-BASE99-STAIR-EXTERIOR-H4</t>
        </is>
      </c>
      <c r="B283" s="136" t="inlineStr">
        <is>
          <t>基地99至100层4米外梯</t>
        </is>
      </c>
      <c r="C283" s="136" t="inlineStr">
        <is>
          <t>场景</t>
        </is>
      </c>
      <c r="D283" s="136" t="inlineStr">
        <is>
          <t>environment_module</t>
        </is>
      </c>
      <c r="E283" s="136" t="inlineStr">
        <is>
          <t>base99_stair_exterior_h4</t>
        </is>
      </c>
      <c r="F283" s="136" t="inlineStr">
        <is>
          <t>stair_exterior</t>
        </is>
      </c>
      <c r="G283" s="136" t="inlineStr">
        <is>
          <t>ENV-BASE99-MODULAR-ROOM</t>
        </is>
      </c>
      <c r="H283" s="136" t="inlineStr">
        <is>
          <t>俯视3D</t>
        </is>
      </c>
      <c r="I283" s="136" t="inlineStr">
        <is>
          <t>default</t>
        </is>
      </c>
      <c r="J283" s="136" t="inlineStr">
        <is>
          <t>基地99F/100F</t>
        </is>
      </c>
      <c r="K283" s="136" t="inlineStr">
        <is>
          <t>正式美术已接入</t>
        </is>
      </c>
      <c r="L283" s="136" t="inlineStr">
        <is>
          <t>P0</t>
        </is>
      </c>
      <c r="M283" s="136" t="inlineStr">
        <is>
          <t>v002</t>
        </is>
      </c>
      <c r="N283" s="136" t="inlineStr">
        <is>
          <t>5→9m；8.515m包络</t>
        </is>
      </c>
      <c r="O283" s="136" t="inlineStr">
        <is>
          <t>assets/art/environments/base_facility_3d/runtime/env_base99_stair_exterior_h4/env_base99_stair_exterior_h4_root_top3d_v002.tscn</t>
        </is>
      </c>
      <c r="P283" s="136" t="inlineStr">
        <is>
          <t>assets/art/environments/base_facility_3d/source/env_base99_modular_room/env_base99_modular_room_assets_clean_v002.blend</t>
        </is>
      </c>
      <c r="Q283" s="136" t="inlineStr">
        <is>
          <t>外梯; H4; 连续坡面</t>
        </is>
      </c>
      <c r="R283" s="136">
        <f>TEXTJOIN("|",TRUE,C283,D283,E283,F283,H283,I283)</f>
        <v/>
      </c>
      <c r="S283" s="136">
        <f>IF(COUNTIF($R$6:$R$400,R283)&gt;1,"重复","唯一")</f>
        <v/>
      </c>
      <c r="T283" s="136" t="n"/>
      <c r="U283" s="136" t="inlineStr">
        <is>
          <t>Codex</t>
        </is>
      </c>
      <c r="V283" s="137" t="n">
        <v>46254</v>
      </c>
      <c r="W283" s="136" t="inlineStr">
        <is>
          <t>用户自制/项目内资产</t>
        </is>
      </c>
      <c r="X283" s="136" t="inlineStr">
        <is>
          <t>2026-08-20：本轮基地系统、角色母版与资产流程登记。</t>
        </is>
      </c>
    </row>
    <row r="284" ht="66" customHeight="1">
      <c r="A284" s="136" t="inlineStr">
        <is>
          <t>ENV-BASE99-MEZZANINE-UNDERDECK-BLOCKER</t>
        </is>
      </c>
      <c r="B284" s="136" t="inlineStr">
        <is>
          <t>基地99层楼中楼下方工业仓库挡板</t>
        </is>
      </c>
      <c r="C284" s="136" t="inlineStr">
        <is>
          <t>场景</t>
        </is>
      </c>
      <c r="D284" s="136" t="inlineStr">
        <is>
          <t>environment_module</t>
        </is>
      </c>
      <c r="E284" s="136" t="inlineStr">
        <is>
          <t>base99_mezzanine_underdeck_blocker</t>
        </is>
      </c>
      <c r="F284" s="136" t="inlineStr">
        <is>
          <t>underdeck_blocker</t>
        </is>
      </c>
      <c r="G284" s="136" t="inlineStr">
        <is>
          <t>ENV-BASE99-MODULAR-ROOM</t>
        </is>
      </c>
      <c r="H284" s="136" t="inlineStr">
        <is>
          <t>俯视3D / local -Z 正面</t>
        </is>
      </c>
      <c r="I284" s="136" t="inlineStr">
        <is>
          <t>default / permanent solid enclosure</t>
        </is>
      </c>
      <c r="J284" s="136" t="inlineStr">
        <is>
          <t>基地99F楼中楼下方</t>
        </is>
      </c>
      <c r="K284" s="136" t="inlineStr">
        <is>
          <t>正式美术已接入</t>
        </is>
      </c>
      <c r="L284" s="136" t="inlineStr">
        <is>
          <t>P0</t>
        </is>
      </c>
      <c r="M284" s="136" t="inlineStr">
        <is>
          <t>v002</t>
        </is>
      </c>
      <c r="N284" s="136" t="inlineStr">
        <is>
          <t>19.31x9.11x4.65m; 0.55m inset; grey horizontal panels with upright steel supports</t>
        </is>
      </c>
      <c r="O284" s="136" t="inlineStr">
        <is>
          <t>assets/art/environments/base_facility_3d/runtime/env_base99_mezzanine_underdeck_blocker/env_base99_mezzanine_underdeck_blocker_root_top3d_v002.tscn</t>
        </is>
      </c>
      <c r="P284" s="136" t="inlineStr">
        <is>
          <t>assets/art/environments/base_facility_3d/source/env_base99_mezzanine_underdeck_blocker/env_base99_mezzanine_underdeck_blocker_source_v002.blend; scripts/blender/build_base99_mezzanine_underdeck_blocker_v002.py; src/world3d/Base99MezzanineUnderdeckBlocker3D.gd</t>
        </is>
      </c>
      <c r="Q284" s="136" t="inlineStr">
        <is>
          <t>基地99层; 楼中楼; 工业仓库挡板; PaletteUV; 永久阻挡; 0.55米内收</t>
        </is>
      </c>
      <c r="R284" s="136">
        <f>TEXTJOIN("|",TRUE,C284,D284,E284,F284,H284,I284)</f>
        <v/>
      </c>
      <c r="S284" s="136">
        <f>IF(COUNTIF(R6:R400,R284)&gt;1,"重复","唯一")</f>
        <v/>
      </c>
      <c r="T284" s="136" t="inlineStr">
        <is>
          <t>95c71cfd24fd575ea72103100cf7a8359931d50f195ce5b9b7ea06d14c7e2d3d</t>
        </is>
      </c>
      <c r="U284" s="136" t="inlineStr">
        <is>
          <t>Codex</t>
        </is>
      </c>
      <c r="V284" s="137" t="n">
        <v>46261</v>
      </c>
      <c r="W284" s="136" t="inlineStr">
        <is>
          <t>用户自制Blender资产</t>
        </is>
      </c>
      <c r="X284" s="136" t="inlineStr">
        <is>
          <t>v002 replaces vertical green corrugation with grey horizontal cladding and upright supports; Godot collision remains permanent.</t>
        </is>
      </c>
    </row>
    <row r="285" ht="66" customHeight="1">
      <c r="A285" s="136" t="inlineStr">
        <is>
          <t>PRP-BASE-AVATAR-WARDROBE-001</t>
        </is>
      </c>
      <c r="B285" s="136" t="inlineStr">
        <is>
          <t>基地角色衣柜</t>
        </is>
      </c>
      <c r="C285" s="136" t="inlineStr">
        <is>
          <t>设施</t>
        </is>
      </c>
      <c r="D285" s="136" t="inlineStr">
        <is>
          <t>base_facility</t>
        </is>
      </c>
      <c r="E285" s="136" t="inlineStr">
        <is>
          <t>avatar_wardrobe</t>
        </is>
      </c>
      <c r="F285" s="136" t="inlineStr">
        <is>
          <t>root</t>
        </is>
      </c>
      <c r="G285" s="136" t="n"/>
      <c r="H285" s="136" t="inlineStr">
        <is>
          <t>俯视3D</t>
        </is>
      </c>
      <c r="I285" s="136" t="inlineStr">
        <is>
          <t>default</t>
        </is>
      </c>
      <c r="J285" s="136" t="inlineStr">
        <is>
          <t>主基地/99F</t>
        </is>
      </c>
      <c r="K285" s="136" t="inlineStr">
        <is>
          <t>功能已接入/复用模型</t>
        </is>
      </c>
      <c r="L285" s="136" t="inlineStr">
        <is>
          <t>P0</t>
        </is>
      </c>
      <c r="M285" s="136" t="inlineStr">
        <is>
          <t>v001</t>
        </is>
      </c>
      <c r="N285" s="136" t="inlineStr">
        <is>
          <t>根缩放1</t>
        </is>
      </c>
      <c r="O285" s="136" t="inlineStr">
        <is>
          <t>assets/art/props/base_world_3d/runtime/avatar_wardrobe/prp_base_avatar_wardrobe_root_top3d_v001.tscn</t>
        </is>
      </c>
      <c r="P285" s="136" t="inlineStr">
        <is>
          <t>src/ui/wardrobe/WardrobeMenu3D.gd</t>
        </is>
      </c>
      <c r="Q285" s="136" t="inlineStr">
        <is>
          <t>衣柜; avatar; 换装; 6分类</t>
        </is>
      </c>
      <c r="R285" s="136">
        <f>TEXTJOIN("|",TRUE,C285,D285,E285,F285,H285,I285)</f>
        <v/>
      </c>
      <c r="S285" s="136">
        <f>IF(COUNTIF($R$6:$R$400,R285)&gt;1,"重复","唯一")</f>
        <v/>
      </c>
      <c r="T285" s="136" t="n"/>
      <c r="U285" s="136" t="inlineStr">
        <is>
          <t>Codex</t>
        </is>
      </c>
      <c r="V285" s="137" t="n">
        <v>46254</v>
      </c>
      <c r="W285" s="136" t="inlineStr">
        <is>
          <t>用户自制/项目内资产</t>
        </is>
      </c>
      <c r="X285" s="136" t="inlineStr">
        <is>
          <t>2026-08-20：本轮基地系统、角色母版与资产流程登记。</t>
        </is>
      </c>
    </row>
    <row r="286" ht="66" customHeight="1">
      <c r="A286" s="136" t="inlineStr">
        <is>
          <t>CHR-PLAYER-AVATAR-TEMPLATE-001</t>
        </is>
      </c>
      <c r="B286" s="136" t="inlineStr">
        <is>
          <t>玩家角色1.5米制作母版</t>
        </is>
      </c>
      <c r="C286" s="136" t="inlineStr">
        <is>
          <t>角色</t>
        </is>
      </c>
      <c r="D286" s="136" t="inlineStr">
        <is>
          <t>authoring_template</t>
        </is>
      </c>
      <c r="E286" s="136" t="inlineStr">
        <is>
          <t>player_avatar_template</t>
        </is>
      </c>
      <c r="F286" s="136" t="inlineStr">
        <is>
          <t>root</t>
        </is>
      </c>
      <c r="G286" s="136" t="inlineStr">
        <is>
          <t>CHR-PLY-CAPSULE01</t>
        </is>
      </c>
      <c r="H286" s="136" t="inlineStr">
        <is>
          <t>全向3D</t>
        </is>
      </c>
      <c r="I286" s="136" t="inlineStr">
        <is>
          <t>template</t>
        </is>
      </c>
      <c r="J286" s="136" t="inlineStr">
        <is>
          <t>角色制作</t>
        </is>
      </c>
      <c r="K286" s="136" t="inlineStr">
        <is>
          <t>正式制作母版</t>
        </is>
      </c>
      <c r="L286" s="136" t="inlineStr">
        <is>
          <t>P0</t>
        </is>
      </c>
      <c r="M286" s="136" t="inlineStr">
        <is>
          <t>v001</t>
        </is>
      </c>
      <c r="N286" s="136" t="inlineStr">
        <is>
          <t>1.50m；根缩放1</t>
        </is>
      </c>
      <c r="O286" s="136" t="inlineStr">
        <is>
          <t>assets/art/characters/player/chr_player_avatar_template_3d/source/chr_player_avatar_template_source_v001.blend</t>
        </is>
      </c>
      <c r="P286" s="136" t="inlineStr">
        <is>
          <t>scripts/blender/validate_player_avatar_asset_template.py</t>
        </is>
      </c>
      <c r="Q286" s="136" t="inlineStr">
        <is>
          <t>角色母版; 1.5米; 挂点; 配件</t>
        </is>
      </c>
      <c r="R286" s="136">
        <f>TEXTJOIN("|",TRUE,C286,D286,E286,F286,H286,I286)</f>
        <v/>
      </c>
      <c r="S286" s="136">
        <f>IF(COUNTIF($R$6:$R$400,R286)&gt;1,"重复","唯一")</f>
        <v/>
      </c>
      <c r="T286" s="136" t="n"/>
      <c r="U286" s="136" t="inlineStr">
        <is>
          <t>Codex</t>
        </is>
      </c>
      <c r="V286" s="137" t="n">
        <v>46254</v>
      </c>
      <c r="W286" s="136" t="inlineStr">
        <is>
          <t>用户自制/项目内资产</t>
        </is>
      </c>
      <c r="X286" s="136" t="inlineStr">
        <is>
          <t>2026-08-20：本轮基地系统、角色母版与资产流程登记。</t>
        </is>
      </c>
    </row>
    <row r="287" ht="56" customHeight="1">
      <c r="A287" s="136" t="inlineStr">
        <is>
          <t>ENM-ELITE-RIFT-BOAR-ARMED-3D</t>
        </is>
      </c>
      <c r="B287" s="136" t="inlineStr">
        <is>
          <t>背枪的裂口爬虫3D精英根</t>
        </is>
      </c>
      <c r="C287" s="136" t="inlineStr">
        <is>
          <t>敌人</t>
        </is>
      </c>
      <c r="D287" s="136" t="inlineStr">
        <is>
          <t>elite</t>
        </is>
      </c>
      <c r="E287" s="136" t="inlineStr">
        <is>
          <t>elite_rift_boar_armed</t>
        </is>
      </c>
      <c r="F287" s="136" t="inlineStr">
        <is>
          <t>root_3d</t>
        </is>
      </c>
      <c r="G287" s="136" t="inlineStr">
        <is>
          <t>ENM-ECOSYSTEM-KIT-3D</t>
        </is>
      </c>
      <c r="H287" s="136" t="inlineStr">
        <is>
          <t>Top3D / local -Z 正面</t>
        </is>
      </c>
      <c r="I287" s="136" t="inlineStr">
        <is>
          <t>default / armed_rush</t>
        </is>
      </c>
      <c r="J287" s="136" t="inlineStr">
        <is>
          <t>每次行动98—96F三选一；目标层随机ELITE房</t>
        </is>
      </c>
      <c r="K287" s="136" t="inlineStr">
        <is>
          <t>正式美术已接入</t>
        </is>
      </c>
      <c r="L287" s="136" t="inlineStr">
        <is>
          <t>P0</t>
        </is>
      </c>
      <c r="M287" s="136" t="inlineStr">
        <is>
          <t>v001</t>
        </is>
      </c>
      <c r="N287" s="136" t="inlineStr">
        <is>
          <t>1.970×1.843×1.345m；18 Mesh；4材质</t>
        </is>
      </c>
      <c r="O287" s="136" t="inlineStr">
        <is>
          <t>assets/art/enemies/elite_3d/rift_boar_armed/runtime/enm_elite_rift_boar_armed_root_top3d_v001.tscn</t>
        </is>
      </c>
      <c r="P287" s="136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287" s="136" t="inlineStr">
        <is>
          <t>唯一精英;背枪;裂口爬虫;elite_rift_boar_armed;armed_rush;98F;97F;96F;命名血条</t>
        </is>
      </c>
      <c r="R287" s="136">
        <f>TEXTJOIN("|",TRUE,C287,D287,E287,F287,H287,I287)</f>
        <v/>
      </c>
      <c r="S287" s="136">
        <f>IF(COUNTIF($R$6:$R$400,R287)&gt;1,"重复","唯一")</f>
        <v/>
      </c>
      <c r="T287" s="136" t="inlineStr">
        <is>
          <t>c72d424955324da743f681ce384116e36c9972aaf8b64a23287f0e8ec8591f76</t>
        </is>
      </c>
      <c r="U287" s="136" t="inlineStr">
        <is>
          <t>Codex</t>
        </is>
      </c>
      <c r="V287" s="137" t="n">
        <v>46261</v>
      </c>
      <c r="W287" s="136" t="inlineStr">
        <is>
          <t>原创 Blender/Godot 组合</t>
        </is>
      </c>
      <c r="X287" s="136" t="inlineStr">
        <is>
          <t>GLB仅表现；core/shell/appendages/weapon_attachment/state_vfx语义齐全；PackedScene无碰撞；Enemy3D继续持有melee_chaser碰撞、AI、生命、伤害与掉落。Forward+固定机位与专项验收通过。</t>
        </is>
      </c>
    </row>
  </sheetData>
  <mergeCells count="2">
    <mergeCell ref="A1:X2"/>
    <mergeCell ref="A3:X3"/>
  </mergeCells>
  <conditionalFormatting sqref="S6:S112">
    <cfRule type="containsText" priority="1" operator="containsText" dxfId="0" text="重复"/>
  </conditionalFormatting>
  <conditionalFormatting sqref="K6:K112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112" showDropDown="0" showInputMessage="0" showErrorMessage="0" allowBlank="0" type="list">
      <formula1>"角色,敌人,枪械,道具,场景,场景道具,UI,特效,音频"</formula1>
    </dataValidation>
    <dataValidation sqref="K6:K132" showDropDown="0" showInputMessage="0" showErrorMessage="0" allowBlank="0" type="list">
      <formula1>"已完成,原型已接入,程序占位,待制作,待核对,弃用"</formula1>
    </dataValidation>
    <dataValidation sqref="L6:L132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98" t="inlineStr">
        <is>
          <t>角色ID</t>
        </is>
      </c>
      <c r="B5" s="299" t="inlineStr">
        <is>
          <t>组件槽</t>
        </is>
      </c>
      <c r="C5" s="299" t="inlineStr">
        <is>
          <t>节点路径</t>
        </is>
      </c>
      <c r="D5" s="299" t="inlineStr">
        <is>
          <t>父槽</t>
        </is>
      </c>
      <c r="E5" s="299" t="inlineStr">
        <is>
          <t>纹理路径</t>
        </is>
      </c>
      <c r="F5" s="299" t="inlineStr">
        <is>
          <t>运行时尺寸</t>
        </is>
      </c>
      <c r="G5" s="299" t="inlineStr">
        <is>
          <t>局部位置</t>
        </is>
      </c>
      <c r="H5" s="299" t="inlineStr">
        <is>
          <t>旋转/翻转</t>
        </is>
      </c>
      <c r="I5" s="299" t="inlineStr">
        <is>
          <t>Z</t>
        </is>
      </c>
      <c r="J5" s="299" t="inlineStr">
        <is>
          <t>动画职责</t>
        </is>
      </c>
      <c r="K5" s="299" t="inlineStr">
        <is>
          <t>换装边界</t>
        </is>
      </c>
      <c r="L5" s="299" t="inlineStr">
        <is>
          <t>必需</t>
        </is>
      </c>
      <c r="M5" s="300" t="inlineStr">
        <is>
          <t>备注</t>
        </is>
      </c>
    </row>
    <row r="6">
      <c r="A6" s="301" t="inlineStr">
        <is>
          <t>player_capsule01</t>
        </is>
      </c>
      <c r="B6" s="301" t="inlineStr">
        <is>
          <t>body</t>
        </is>
      </c>
      <c r="C6" s="301" t="inlineStr">
        <is>
          <t>PixelComponents/Body</t>
        </is>
      </c>
      <c r="D6" s="301" t="inlineStr">
        <is>
          <t>root</t>
        </is>
      </c>
      <c r="E6" s="301" t="inlineStr">
        <is>
          <t>assets/art/characters/player/chr_player_capsule01/components/chr_player_capsule01_body_side_v001.png</t>
        </is>
      </c>
      <c r="F6" s="301" t="inlineStr">
        <is>
          <t>32×35</t>
        </is>
      </c>
      <c r="G6" s="301" t="inlineStr">
        <is>
          <t>(0, 7)</t>
        </is>
      </c>
      <c r="H6" s="301" t="inlineStr">
        <is>
          <t>随朝向 flip_h</t>
        </is>
      </c>
      <c r="I6" s="301" t="n">
        <v>1</v>
      </c>
      <c r="J6" s="301" t="inlineStr">
        <is>
          <t>呼吸/移动压缩/死亡倾倒</t>
        </is>
      </c>
      <c r="K6" s="301" t="inlineStr">
        <is>
          <t>防护服主体</t>
        </is>
      </c>
      <c r="L6" s="301" t="inlineStr">
        <is>
          <t>是</t>
        </is>
      </c>
      <c r="M6" s="301" t="inlineStr">
        <is>
          <t>已退役（2026-08-09）：旧2D节点/纹理/Marker2D已删除；仅作历史组件记录，禁止运行时引用。</t>
        </is>
      </c>
    </row>
    <row r="7">
      <c r="A7" s="138" t="inlineStr">
        <is>
          <t>player_capsule01</t>
        </is>
      </c>
      <c r="B7" s="138" t="inlineStr">
        <is>
          <t>scarf</t>
        </is>
      </c>
      <c r="C7" s="138" t="inlineStr">
        <is>
          <t>PixelComponents/Scarf</t>
        </is>
      </c>
      <c r="D7" s="138" t="inlineStr">
        <is>
          <t>root</t>
        </is>
      </c>
      <c r="E7" s="138" t="inlineStr">
        <is>
          <t>assets/art/characters/player/chr_player_capsule01/components/chr_player_capsule01_scarf_side_v001.png</t>
        </is>
      </c>
      <c r="F7" s="138" t="inlineStr">
        <is>
          <t>26×14</t>
        </is>
      </c>
      <c r="G7" s="138" t="inlineStr">
        <is>
          <t>(0, -8)</t>
        </is>
      </c>
      <c r="H7" s="138" t="inlineStr">
        <is>
          <t>flip_h + 轻摆</t>
        </is>
      </c>
      <c r="I7" s="138" t="n">
        <v>2</v>
      </c>
      <c r="J7" s="138" t="inlineStr">
        <is>
          <t>移动滞后/冲刺飘动</t>
        </is>
      </c>
      <c r="K7" s="138" t="inlineStr">
        <is>
          <t>身份配件</t>
        </is>
      </c>
      <c r="L7" s="138" t="inlineStr">
        <is>
          <t>否</t>
        </is>
      </c>
      <c r="M7" s="138" t="inlineStr">
        <is>
          <t>已退役（2026-08-09）：旧2D节点/纹理/Marker2D已删除；仅作历史组件记录，禁止运行时引用。</t>
        </is>
      </c>
    </row>
    <row r="8">
      <c r="A8" s="138" t="inlineStr">
        <is>
          <t>player_capsule01</t>
        </is>
      </c>
      <c r="B8" s="138" t="inlineStr">
        <is>
          <t>head</t>
        </is>
      </c>
      <c r="C8" s="138" t="inlineStr">
        <is>
          <t>PixelComponents/Head</t>
        </is>
      </c>
      <c r="D8" s="138" t="inlineStr">
        <is>
          <t>root</t>
        </is>
      </c>
      <c r="E8" s="138" t="inlineStr">
        <is>
          <t>assets/art/characters/player/chr_player_capsule01/components/chr_player_capsule01_head_side_v001.png</t>
        </is>
      </c>
      <c r="F8" s="138" t="inlineStr">
        <is>
          <t>28×24</t>
        </is>
      </c>
      <c r="G8" s="138" t="inlineStr">
        <is>
          <t>(0, -19)</t>
        </is>
      </c>
      <c r="H8" s="138" t="inlineStr">
        <is>
          <t>随朝向 flip_h</t>
        </is>
      </c>
      <c r="I8" s="138" t="n">
        <v>3</v>
      </c>
      <c r="J8" s="138" t="inlineStr">
        <is>
          <t>朝向/受击/死亡</t>
        </is>
      </c>
      <c r="K8" s="138" t="inlineStr">
        <is>
          <t>头壳/传感器</t>
        </is>
      </c>
      <c r="L8" s="138" t="inlineStr">
        <is>
          <t>是</t>
        </is>
      </c>
      <c r="M8" s="138" t="inlineStr">
        <is>
          <t>已退役（2026-08-09）：旧2D节点/纹理/Marker2D已删除；仅作历史组件记录，禁止运行时引用。</t>
        </is>
      </c>
    </row>
    <row r="9">
      <c r="A9" s="138" t="inlineStr">
        <is>
          <t>player_capsule01</t>
        </is>
      </c>
      <c r="B9" s="138" t="inlineStr">
        <is>
          <t>hand_l_source</t>
        </is>
      </c>
      <c r="C9" s="138" t="inlineStr">
        <is>
          <t>不实例化</t>
        </is>
      </c>
      <c r="D9" s="138" t="inlineStr">
        <is>
          <t>root</t>
        </is>
      </c>
      <c r="E9" s="138" t="inlineStr">
        <is>
          <t>assets/art/characters/player/chr_player_capsule01/components/chr_player_capsule01_hand_l_side_v001.png</t>
        </is>
      </c>
      <c r="F9" s="138" t="inlineStr">
        <is>
          <t>22×21</t>
        </is>
      </c>
      <c r="G9" s="138" t="inlineStr">
        <is>
          <t>不适用</t>
        </is>
      </c>
      <c r="H9" s="138" t="inlineStr">
        <is>
          <t>不适用</t>
        </is>
      </c>
      <c r="I9" s="138" t="n">
        <v>4</v>
      </c>
      <c r="J9" s="138" t="inlineStr">
        <is>
          <t>停用；仅保留源文件</t>
        </is>
      </c>
      <c r="K9" s="138" t="inlineStr">
        <is>
          <t>历史副手源</t>
        </is>
      </c>
      <c r="L9" s="138" t="inlineStr">
        <is>
          <t>否</t>
        </is>
      </c>
      <c r="M9" s="138" t="inlineStr">
        <is>
          <t>已退役（2026-08-09）：旧2D节点/纹理/Marker2D已删除；仅作历史组件记录，禁止运行时引用。</t>
        </is>
      </c>
    </row>
    <row r="10">
      <c r="A10" s="138" t="inlineStr">
        <is>
          <t>player_capsule01</t>
        </is>
      </c>
      <c r="B10" s="138" t="inlineStr">
        <is>
          <t>hand</t>
        </is>
      </c>
      <c r="C10" s="138" t="inlineStr">
        <is>
          <t>PixelComponents/Hand</t>
        </is>
      </c>
      <c r="D10" s="138" t="inlineStr">
        <is>
          <t>root</t>
        </is>
      </c>
      <c r="E10" s="138" t="inlineStr">
        <is>
          <t>assets/art/characters/player/chr_player_capsule01/components/chr_player_capsule01_hand_r_side_v001.png</t>
        </is>
      </c>
      <c r="F10" s="138" t="inlineStr">
        <is>
          <t>22×17</t>
        </is>
      </c>
      <c r="G10" s="138" t="inlineStr">
        <is>
          <t>(-19, 0)/(19, 0)</t>
        </is>
      </c>
      <c r="H10" s="138" t="inlineStr">
        <is>
          <t>随身体 flip_h；不连续旋转</t>
        </is>
      </c>
      <c r="I10" s="138" t="n">
        <v>5</v>
      </c>
      <c r="J10" s="138" t="inlineStr">
        <is>
          <t>随身体左右换边；局部距离固定</t>
        </is>
      </c>
      <c r="K10" s="138" t="inlineStr">
        <is>
          <t>唯一握持手</t>
        </is>
      </c>
      <c r="L10" s="138" t="inlineStr">
        <is>
          <t>是</t>
        </is>
      </c>
      <c r="M10" s="138" t="inlineStr">
        <is>
          <t>已退役（2026-08-09）：旧2D节点/纹理/Marker2D已删除；仅作历史组件记录，禁止运行时引用。</t>
        </is>
      </c>
    </row>
    <row r="11">
      <c r="A11" s="138" t="inlineStr">
        <is>
          <t>player_capsule01</t>
        </is>
      </c>
      <c r="B11" s="138" t="inlineStr">
        <is>
          <t>weapon_socket</t>
        </is>
      </c>
      <c r="C11" s="138" t="inlineStr">
        <is>
          <t>Player/WeaponAnchor</t>
        </is>
      </c>
      <c r="D11" s="138" t="inlineStr">
        <is>
          <t>player_root</t>
        </is>
      </c>
      <c r="E11" s="138" t="inlineStr">
        <is>
          <t>无纹理</t>
        </is>
      </c>
      <c r="F11" s="138" t="inlineStr">
        <is>
          <t>Marker2D</t>
        </is>
      </c>
      <c r="G11" s="138" t="inlineStr">
        <is>
          <t>(-24, 0)/(24, 0)</t>
        </is>
      </c>
      <c r="H11" s="138" t="inlineStr">
        <is>
          <t>挂点随身体换边；枪械跟随 aim_direction</t>
        </is>
      </c>
      <c r="I11" s="138" t="n">
        <v>6</v>
      </c>
      <c r="J11" s="138" t="inlineStr">
        <is>
          <t>枪械挂载/枪口特效</t>
        </is>
      </c>
      <c r="K11" s="138" t="inlineStr">
        <is>
          <t>武器系统</t>
        </is>
      </c>
      <c r="L11" s="138" t="inlineStr">
        <is>
          <t>是</t>
        </is>
      </c>
      <c r="M11" s="138" t="inlineStr">
        <is>
          <t>已退役（2026-08-09）：旧2D节点/纹理/Marker2D已删除；仅作历史组件记录，禁止运行时引用。</t>
        </is>
      </c>
    </row>
    <row r="12">
      <c r="A12" s="138" t="inlineStr">
        <is>
          <t>template</t>
        </is>
      </c>
      <c r="B12" s="138" t="inlineStr">
        <is>
          <t>accessory_back</t>
        </is>
      </c>
      <c r="C12" s="138" t="inlineStr">
        <is>
          <t>PixelComponents/AccessoryBack</t>
        </is>
      </c>
      <c r="D12" s="138" t="inlineStr">
        <is>
          <t>root</t>
        </is>
      </c>
      <c r="E12" s="138" t="inlineStr">
        <is>
          <t>按需</t>
        </is>
      </c>
      <c r="F12" s="138" t="inlineStr">
        <is>
          <t>按需</t>
        </is>
      </c>
      <c r="G12" s="138" t="inlineStr">
        <is>
          <t>按需</t>
        </is>
      </c>
      <c r="H12" s="138" t="inlineStr">
        <is>
          <t>随朝向</t>
        </is>
      </c>
      <c r="I12" s="138" t="n">
        <v>0</v>
      </c>
      <c r="J12" s="138" t="inlineStr">
        <is>
          <t>披风/背包/长围巾尾</t>
        </is>
      </c>
      <c r="K12" s="138" t="inlineStr">
        <is>
          <t>背部配件</t>
        </is>
      </c>
      <c r="L12" s="138" t="inlineStr">
        <is>
          <t>否</t>
        </is>
      </c>
      <c r="M12" s="138" t="inlineStr">
        <is>
          <t>避免与 body 合图</t>
        </is>
      </c>
    </row>
    <row r="13">
      <c r="A13" s="138" t="inlineStr">
        <is>
          <t>template</t>
        </is>
      </c>
      <c r="B13" s="138" t="inlineStr">
        <is>
          <t>accessory_front</t>
        </is>
      </c>
      <c r="C13" s="138" t="inlineStr">
        <is>
          <t>PixelComponents/AccessoryFront</t>
        </is>
      </c>
      <c r="D13" s="138" t="inlineStr">
        <is>
          <t>root</t>
        </is>
      </c>
      <c r="E13" s="138" t="inlineStr">
        <is>
          <t>按需</t>
        </is>
      </c>
      <c r="F13" s="138" t="inlineStr">
        <is>
          <t>按需</t>
        </is>
      </c>
      <c r="G13" s="138" t="inlineStr">
        <is>
          <t>按需</t>
        </is>
      </c>
      <c r="H13" s="138" t="inlineStr">
        <is>
          <t>随朝向</t>
        </is>
      </c>
      <c r="I13" s="138" t="n">
        <v>6</v>
      </c>
      <c r="J13" s="138" t="inlineStr">
        <is>
          <t>徽章/护盾/前景饰物</t>
        </is>
      </c>
      <c r="K13" s="138" t="inlineStr">
        <is>
          <t>前景配件</t>
        </is>
      </c>
      <c r="L13" s="138" t="inlineStr">
        <is>
          <t>否</t>
        </is>
      </c>
      <c r="M13" s="138" t="inlineStr">
        <is>
          <t>必要时高于双手</t>
        </is>
      </c>
    </row>
    <row r="14" ht="38" customHeight="1">
      <c r="A14" s="136" t="inlineStr">
        <is>
          <t>player_capsule01_3d</t>
        </is>
      </c>
      <c r="B14" s="136" t="inlineStr">
        <is>
          <t>root</t>
        </is>
      </c>
      <c r="C14" s="136" t="inlineStr">
        <is>
          <t>Avatar3D/CapsuleAvatar3D/VisualRoot</t>
        </is>
      </c>
      <c r="D14" s="136" t="inlineStr">
        <is>
          <t>player_root</t>
        </is>
      </c>
      <c r="E14" s="136" t="inlineStr">
        <is>
          <t>assets/art/characters/player/chr_player_capsule01_3d/chr_player_capsule01_root_top3d_v001.tscn</t>
        </is>
      </c>
      <c r="F14" s="136" t="inlineStr">
        <is>
          <t>Node3D</t>
        </is>
      </c>
      <c r="G14" s="136" t="inlineStr">
        <is>
          <t>(0,0,0)</t>
        </is>
      </c>
      <c r="H14" s="136" t="inlineStr">
        <is>
          <t>整体随准星绕Y轴</t>
        </is>
      </c>
      <c r="I14" s="136" t="n">
        <v>0</v>
      </c>
      <c r="J14" s="136" t="inlineStr">
        <is>
          <t>六态整体 + reloading/firing/charging/knockback覆盖</t>
        </is>
      </c>
      <c r="K14" s="136" t="inlineStr">
        <is>
          <t>3D表现根</t>
        </is>
      </c>
      <c r="L14" s="136" t="inlineStr">
        <is>
          <t>是</t>
        </is>
      </c>
      <c r="M14" s="136" t="inlineStr">
        <is>
          <t>正式3D表现根；旧2D胶囊已完成退役，不再属于兼容范围。</t>
        </is>
      </c>
    </row>
    <row r="15" ht="38" customHeight="1">
      <c r="A15" s="136" t="inlineStr">
        <is>
          <t>player_capsule01_3d</t>
        </is>
      </c>
      <c r="B15" s="136" t="inlineStr">
        <is>
          <t>body</t>
        </is>
      </c>
      <c r="C15" s="136" t="inlineStr">
        <is>
          <t>VisualRoot/Body</t>
        </is>
      </c>
      <c r="D15" s="136" t="inlineStr">
        <is>
          <t>root</t>
        </is>
      </c>
      <c r="E15" s="136" t="inlineStr">
        <is>
          <t>assets/art/characters/player/chr_player_capsule01_3d/chr_player_capsule01_root_top3d_v001.tscn</t>
        </is>
      </c>
      <c r="F15" s="136" t="inlineStr">
        <is>
          <t>BoxMesh + 子件</t>
        </is>
      </c>
      <c r="G15" s="136" t="inlineStr">
        <is>
          <t>(0,0.76,0.02)</t>
        </is>
      </c>
      <c r="H15" s="136" t="inlineStr">
        <is>
          <t>随root</t>
        </is>
      </c>
      <c r="I15" s="136" t="n">
        <v>1</v>
      </c>
      <c r="J15" s="136" t="inlineStr">
        <is>
          <t>呼吸/移动压缩/射击前探/死亡倾倒</t>
        </is>
      </c>
      <c r="K15" s="136" t="inlineStr">
        <is>
          <t>方形猫身</t>
        </is>
      </c>
      <c r="L15" s="136" t="inlineStr">
        <is>
          <t>是</t>
        </is>
      </c>
      <c r="M15" s="136" t="inlineStr">
        <is>
          <t>BodyShell + BellyPatch；方形主轮廓</t>
        </is>
      </c>
    </row>
    <row r="16" ht="38" customHeight="1">
      <c r="A16" s="136" t="inlineStr">
        <is>
          <t>player_capsule01_3d</t>
        </is>
      </c>
      <c r="B16" s="136" t="inlineStr">
        <is>
          <t>head</t>
        </is>
      </c>
      <c r="C16" s="136" t="inlineStr">
        <is>
          <t>VisualRoot/Head</t>
        </is>
      </c>
      <c r="D16" s="136" t="inlineStr">
        <is>
          <t>root</t>
        </is>
      </c>
      <c r="E16" s="136" t="inlineStr">
        <is>
          <t>assets/art/characters/player/chr_player_capsule01_3d/chr_player_capsule01_root_top3d_v001.tscn</t>
        </is>
      </c>
      <c r="F16" s="136" t="inlineStr">
        <is>
          <t>BoxMesh + 子件</t>
        </is>
      </c>
      <c r="G16" s="136" t="inlineStr">
        <is>
          <t>(0,1.72,-0.08)</t>
        </is>
      </c>
      <c r="H16" s="136" t="inlineStr">
        <is>
          <t>随root</t>
        </is>
      </c>
      <c r="I16" s="136" t="n">
        <v>3</v>
      </c>
      <c r="J16" s="136" t="inlineStr">
        <is>
          <t>移动反相滞后/后坐/受击/死亡</t>
        </is>
      </c>
      <c r="K16" s="136" t="inlineStr">
        <is>
          <t>方形猫头</t>
        </is>
      </c>
      <c r="L16" s="136" t="inlineStr">
        <is>
          <t>是</t>
        </is>
      </c>
      <c r="M16" s="136" t="inlineStr">
        <is>
          <t>无嘴无鼻；Eyes与Ears固定归Head</t>
        </is>
      </c>
    </row>
    <row r="17" ht="38" customHeight="1">
      <c r="A17" s="136" t="inlineStr">
        <is>
          <t>player_capsule01_3d</t>
        </is>
      </c>
      <c r="B17" s="136" t="inlineStr">
        <is>
          <t>hand</t>
        </is>
      </c>
      <c r="C17" s="136" t="inlineStr">
        <is>
          <t>VisualRoot/Hand</t>
        </is>
      </c>
      <c r="D17" s="136" t="inlineStr">
        <is>
          <t>root</t>
        </is>
      </c>
      <c r="E17" s="136" t="inlineStr">
        <is>
          <t>assets/art/characters/player/chr_player_capsule01_3d/chr_player_capsule01_root_top3d_v001.tscn</t>
        </is>
      </c>
      <c r="F17" s="136" t="inlineStr">
        <is>
          <t>BoxMesh</t>
        </is>
      </c>
      <c r="G17" s="136" t="inlineStr">
        <is>
          <t>(0.60,1.10,-0.30)</t>
        </is>
      </c>
      <c r="H17" s="136" t="inlineStr">
        <is>
          <t>随root；动作同相</t>
        </is>
      </c>
      <c r="I17" s="136" t="n">
        <v>4</v>
      </c>
      <c r="J17" s="136" t="inlineStr">
        <is>
          <t>移动/换弹/射击/蓄力/击飞保持握持</t>
        </is>
      </c>
      <c r="K17" s="136" t="inlineStr">
        <is>
          <t>唯一悬浮手</t>
        </is>
      </c>
      <c r="L17" s="136" t="inlineStr">
        <is>
          <t>是</t>
        </is>
      </c>
      <c r="M17" s="136" t="inlineStr">
        <is>
          <t>无手臂、无第二手；与WeaponSocket固定相对向量</t>
        </is>
      </c>
    </row>
    <row r="18" ht="38" customHeight="1">
      <c r="A18" s="136" t="inlineStr">
        <is>
          <t>player_capsule01_3d</t>
        </is>
      </c>
      <c r="B18" s="136" t="inlineStr">
        <is>
          <t>feet</t>
        </is>
      </c>
      <c r="C18" s="136" t="inlineStr">
        <is>
          <t>VisualRoot/Feet</t>
        </is>
      </c>
      <c r="D18" s="136" t="inlineStr">
        <is>
          <t>root</t>
        </is>
      </c>
      <c r="E18" s="136" t="inlineStr">
        <is>
          <t>assets/art/characters/player/chr_player_capsule01_3d/chr_player_capsule01_root_top3d_v001.tscn</t>
        </is>
      </c>
      <c r="F18" s="136" t="inlineStr">
        <is>
          <t>BoxMesh×2</t>
        </is>
      </c>
      <c r="G18" s="136" t="inlineStr">
        <is>
          <t>(0,0.22,-0.02)</t>
        </is>
      </c>
      <c r="H18" s="136" t="inlineStr">
        <is>
          <t>随root；FootL/R交替</t>
        </is>
      </c>
      <c r="I18" s="136" t="n">
        <v>1</v>
      </c>
      <c r="J18" s="136" t="inlineStr">
        <is>
          <t>moving交替抬脚；冲刺/受击/死亡随整体</t>
        </is>
      </c>
      <c r="K18" s="136" t="inlineStr">
        <is>
          <t>双脚主模块</t>
        </is>
      </c>
      <c r="L18" s="136" t="inlineStr">
        <is>
          <t>是</t>
        </is>
      </c>
      <c r="M18" s="136" t="inlineStr">
        <is>
          <t>FootL/FootR属于同一可替换Feet模块</t>
        </is>
      </c>
    </row>
    <row r="19" ht="38" customHeight="1">
      <c r="A19" s="136" t="inlineStr">
        <is>
          <t>player_capsule01_3d</t>
        </is>
      </c>
      <c r="B19" s="136" t="inlineStr">
        <is>
          <t>eyes</t>
        </is>
      </c>
      <c r="C19" s="136" t="inlineStr">
        <is>
          <t>VisualRoot/Head/Eyes</t>
        </is>
      </c>
      <c r="D19" s="136" t="inlineStr">
        <is>
          <t>head</t>
        </is>
      </c>
      <c r="E19" s="136" t="inlineStr">
        <is>
          <t>assets/art/characters/player/chr_player_capsule01_3d/chr_player_capsule01_root_top3d_v001.tscn</t>
        </is>
      </c>
      <c r="F19" s="136" t="inlineStr">
        <is>
          <t>BoxMesh×2</t>
        </is>
      </c>
      <c r="G19" s="136" t="inlineStr">
        <is>
          <t>(0,-0.03,-0.56)</t>
        </is>
      </c>
      <c r="H19" s="136" t="inlineStr">
        <is>
          <t>继承Head</t>
        </is>
      </c>
      <c r="I19" s="136" t="n">
        <v>4</v>
      </c>
      <c r="J19" s="136" t="inlineStr">
        <is>
          <t>随头部滞后/后坐/受击</t>
        </is>
      </c>
      <c r="K19" s="136" t="inlineStr">
        <is>
          <t>面部配件</t>
        </is>
      </c>
      <c r="L19" s="136" t="inlineStr">
        <is>
          <t>是</t>
        </is>
      </c>
      <c r="M19" s="136" t="inlineStr">
        <is>
          <t>EyeL/EyeR；深色窄矩形豆豆眼；无嘴</t>
        </is>
      </c>
    </row>
    <row r="20" ht="38" customHeight="1">
      <c r="A20" s="136" t="inlineStr">
        <is>
          <t>player_capsule01_3d</t>
        </is>
      </c>
      <c r="B20" s="136" t="inlineStr">
        <is>
          <t>ears</t>
        </is>
      </c>
      <c r="C20" s="136" t="inlineStr">
        <is>
          <t>VisualRoot/Head/Ears</t>
        </is>
      </c>
      <c r="D20" s="136" t="inlineStr">
        <is>
          <t>head</t>
        </is>
      </c>
      <c r="E20" s="136" t="inlineStr">
        <is>
          <t>assets/art/characters/player/chr_player_capsule01_3d/chr_player_capsule01_root_top3d_v001.tscn</t>
        </is>
      </c>
      <c r="F20" s="136" t="inlineStr">
        <is>
          <t>三边CylinderMesh×4</t>
        </is>
      </c>
      <c r="G20" s="136" t="inlineStr">
        <is>
          <t>沿Head顶部</t>
        </is>
      </c>
      <c r="H20" s="136" t="inlineStr">
        <is>
          <t>继承Head</t>
        </is>
      </c>
      <c r="I20" s="136" t="n">
        <v>4</v>
      </c>
      <c r="J20" s="136" t="inlineStr">
        <is>
          <t>随头部滞后/后坐/受击</t>
        </is>
      </c>
      <c r="K20" s="136" t="inlineStr">
        <is>
          <t>头部配件</t>
        </is>
      </c>
      <c r="L20" s="136" t="inlineStr">
        <is>
          <t>是</t>
        </is>
      </c>
      <c r="M20" s="136" t="inlineStr">
        <is>
          <t>EarL/EarR各含Inner；三角形语言</t>
        </is>
      </c>
    </row>
    <row r="21" ht="38" customHeight="1">
      <c r="A21" s="136" t="inlineStr">
        <is>
          <t>player_capsule01_3d</t>
        </is>
      </c>
      <c r="B21" s="136" t="inlineStr">
        <is>
          <t>tail_stub</t>
        </is>
      </c>
      <c r="C21" s="136" t="inlineStr">
        <is>
          <t>VisualRoot/Body/TailStub</t>
        </is>
      </c>
      <c r="D21" s="136" t="inlineStr">
        <is>
          <t>body</t>
        </is>
      </c>
      <c r="E21" s="136" t="inlineStr">
        <is>
          <t>assets/art/characters/player/chr_player_capsule01_3d/chr_player_capsule01_root_top3d_v001.tscn</t>
        </is>
      </c>
      <c r="F21" s="136" t="inlineStr">
        <is>
          <t>SphereMesh</t>
        </is>
      </c>
      <c r="G21" s="136" t="inlineStr">
        <is>
          <t>(-0.51,-0.02,0.24)</t>
        </is>
      </c>
      <c r="H21" s="136" t="inlineStr">
        <is>
          <t>继承Body + 轻摆</t>
        </is>
      </c>
      <c r="I21" s="136" t="n">
        <v>2</v>
      </c>
      <c r="J21" s="136" t="inlineStr">
        <is>
          <t>moving轻摆/弹性缩放</t>
        </is>
      </c>
      <c r="K21" s="136" t="inlineStr">
        <is>
          <t>身体配件</t>
        </is>
      </c>
      <c r="L21" s="136" t="inlineStr">
        <is>
          <t>是</t>
        </is>
      </c>
      <c r="M21" s="136" t="inlineStr">
        <is>
          <t>唯一圆形例外；短圆尾团，禁止长尾</t>
        </is>
      </c>
    </row>
    <row r="22" ht="38" customHeight="1">
      <c r="A22" s="136" t="inlineStr">
        <is>
          <t>player_capsule01_3d</t>
        </is>
      </c>
      <c r="B22" s="136" t="inlineStr">
        <is>
          <t>weapon_socket</t>
        </is>
      </c>
      <c r="C22" s="136" t="inlineStr">
        <is>
          <t>VisualRoot/WeaponSocket</t>
        </is>
      </c>
      <c r="D22" s="136" t="inlineStr">
        <is>
          <t>root</t>
        </is>
      </c>
      <c r="E22" s="136" t="inlineStr">
        <is>
          <t>无纹理</t>
        </is>
      </c>
      <c r="F22" s="136" t="inlineStr">
        <is>
          <t>Marker3D</t>
        </is>
      </c>
      <c r="G22" s="136" t="inlineStr">
        <is>
          <t>(0.60,1.15,-0.42)</t>
        </is>
      </c>
      <c r="H22" s="136" t="inlineStr">
        <is>
          <t>随root；动作同相</t>
        </is>
      </c>
      <c r="I22" s="136" t="n">
        <v>5</v>
      </c>
      <c r="J22" s="136" t="inlineStr">
        <is>
          <t>枪械挂载/枪口特效</t>
        </is>
      </c>
      <c r="K22" s="136" t="inlineStr">
        <is>
          <t>武器系统</t>
        </is>
      </c>
      <c r="L22" s="136" t="inlineStr">
        <is>
          <t>是</t>
        </is>
      </c>
      <c r="M22" s="136" t="inlineStr">
        <is>
          <t>与唯一手全动作固定局部关系；枪模layer 2</t>
        </is>
      </c>
    </row>
    <row r="23" ht="38" customHeight="1">
      <c r="A23" s="136" t="inlineStr">
        <is>
          <t>player_capsule01_3d</t>
        </is>
      </c>
      <c r="B23" s="136" t="inlineStr">
        <is>
          <t>reload_progress</t>
        </is>
      </c>
      <c r="C23" s="136" t="inlineStr">
        <is>
          <t>ReloadProgress3D</t>
        </is>
      </c>
      <c r="D23" s="136" t="inlineStr">
        <is>
          <t>player_root</t>
        </is>
      </c>
      <c r="E23" s="136" t="inlineStr">
        <is>
          <t>assets/art/characters/player/chr_player_capsule01_3d/chr_player_capsule01_root_top3d_v001.tscn</t>
        </is>
      </c>
      <c r="F23" s="136" t="inlineStr">
        <is>
          <t>QuadMesh×2</t>
        </is>
      </c>
      <c r="G23" s="136" t="inlineStr">
        <is>
          <t>(0,2.92,0.06)</t>
        </is>
      </c>
      <c r="H23" s="136" t="inlineStr">
        <is>
          <t>朝向相机；不随VisualRoot旋转</t>
        </is>
      </c>
      <c r="I23" s="136" t="n">
        <v>6</v>
      </c>
      <c r="J23" s="136" t="inlineStr">
        <is>
          <t>读取真实换弹进度</t>
        </is>
      </c>
      <c r="K23" s="136" t="inlineStr">
        <is>
          <t>状态UI子组件</t>
        </is>
      </c>
      <c r="L23" s="136" t="inlineStr">
        <is>
          <t>是</t>
        </is>
      </c>
      <c r="M23" s="136" t="inlineStr">
        <is>
          <t>高于猫耳；无独立计时器/SubViewport</t>
        </is>
      </c>
    </row>
    <row r="24" ht="38" customHeight="1">
      <c r="A24" s="136" t="inlineStr">
        <is>
          <t>player_capsule01_3d</t>
        </is>
      </c>
      <c r="B24" s="136" t="inlineStr">
        <is>
          <t>body_diy</t>
        </is>
      </c>
      <c r="C24" s="136" t="inlineStr">
        <is>
          <t>VisualRoot/Body</t>
        </is>
      </c>
      <c r="D24" s="136" t="inlineStr">
        <is>
          <t>root</t>
        </is>
      </c>
      <c r="E24" s="136" t="inlineStr">
        <is>
          <t>无独立纹理/程序材质</t>
        </is>
      </c>
      <c r="F24" s="136" t="inlineStr">
        <is>
          <t>4种配色</t>
        </is>
      </c>
      <c r="G24" s="136" t="inlineStr">
        <is>
          <t>沿Body</t>
        </is>
      </c>
      <c r="H24" s="136" t="inlineStr">
        <is>
          <t>随root</t>
        </is>
      </c>
      <c r="I24" s="136" t="n">
        <v>1</v>
      </c>
      <c r="J24" s="136" t="inlineStr">
        <is>
          <t>继承身体动态</t>
        </is>
      </c>
      <c r="K24" s="136" t="inlineStr">
        <is>
          <t>身体外观</t>
        </is>
      </c>
      <c r="L24" s="136" t="inlineStr">
        <is>
          <t>是</t>
        </is>
      </c>
      <c r="M24" s="136" t="inlineStr">
        <is>
          <t>cat_orange + 旧三色兼容</t>
        </is>
      </c>
    </row>
    <row r="25" ht="38" customHeight="1">
      <c r="A25" s="136" t="inlineStr">
        <is>
          <t>player_capsule01_3d</t>
        </is>
      </c>
      <c r="B25" s="136" t="inlineStr">
        <is>
          <t>head_diy</t>
        </is>
      </c>
      <c r="C25" s="136" t="inlineStr">
        <is>
          <t>VisualRoot/Head</t>
        </is>
      </c>
      <c r="D25" s="136" t="inlineStr">
        <is>
          <t>root</t>
        </is>
      </c>
      <c r="E25" s="136" t="inlineStr">
        <is>
          <t>无独立纹理/程序材质</t>
        </is>
      </c>
      <c r="F25" s="136" t="inlineStr">
        <is>
          <t>4种配色</t>
        </is>
      </c>
      <c r="G25" s="136" t="inlineStr">
        <is>
          <t>沿Head</t>
        </is>
      </c>
      <c r="H25" s="136" t="inlineStr">
        <is>
          <t>随root</t>
        </is>
      </c>
      <c r="I25" s="136" t="n">
        <v>3</v>
      </c>
      <c r="J25" s="136" t="inlineStr">
        <is>
          <t>继承头部动态</t>
        </is>
      </c>
      <c r="K25" s="136" t="inlineStr">
        <is>
          <t>头部外观</t>
        </is>
      </c>
      <c r="L25" s="136" t="inlineStr">
        <is>
          <t>是</t>
        </is>
      </c>
      <c r="M25" s="136" t="inlineStr">
        <is>
          <t>cat_orange + 旧三色兼容；双眼/双耳节点不变</t>
        </is>
      </c>
    </row>
    <row r="26" ht="38" customHeight="1">
      <c r="A26" s="136" t="inlineStr">
        <is>
          <t>player_capsule01_3d</t>
        </is>
      </c>
      <c r="B26" s="136" t="inlineStr">
        <is>
          <t>hand_diy</t>
        </is>
      </c>
      <c r="C26" s="136" t="inlineStr">
        <is>
          <t>VisualRoot/Hand</t>
        </is>
      </c>
      <c r="D26" s="136" t="inlineStr">
        <is>
          <t>root</t>
        </is>
      </c>
      <c r="E26" s="136" t="inlineStr">
        <is>
          <t>无独立纹理/程序材质</t>
        </is>
      </c>
      <c r="F26" s="136" t="inlineStr">
        <is>
          <t>4种配色</t>
        </is>
      </c>
      <c r="G26" s="136" t="inlineStr">
        <is>
          <t>(0.60,1.10,-0.30)</t>
        </is>
      </c>
      <c r="H26" s="136" t="inlineStr">
        <is>
          <t>随root+同相动作</t>
        </is>
      </c>
      <c r="I26" s="136" t="n">
        <v>4</v>
      </c>
      <c r="J26" s="136" t="inlineStr">
        <is>
          <t>抓握压缩；与socket同相</t>
        </is>
      </c>
      <c r="K26" s="136" t="inlineStr">
        <is>
          <t>唯一手外观</t>
        </is>
      </c>
      <c r="L26" s="136" t="inlineStr">
        <is>
          <t>是</t>
        </is>
      </c>
      <c r="M26" s="136" t="inlineStr">
        <is>
          <t>cat_orange + 旧三色兼容</t>
        </is>
      </c>
    </row>
    <row r="27" ht="38" customHeight="1">
      <c r="A27" s="136" t="inlineStr">
        <is>
          <t>player_capsule01_3d</t>
        </is>
      </c>
      <c r="B27" s="136" t="inlineStr">
        <is>
          <t>feet_diy</t>
        </is>
      </c>
      <c r="C27" s="136" t="inlineStr">
        <is>
          <t>VisualRoot/Feet</t>
        </is>
      </c>
      <c r="D27" s="136" t="inlineStr">
        <is>
          <t>root</t>
        </is>
      </c>
      <c r="E27" s="136" t="inlineStr">
        <is>
          <t>无独立纹理/程序材质</t>
        </is>
      </c>
      <c r="F27" s="136" t="inlineStr">
        <is>
          <t>4种配色</t>
        </is>
      </c>
      <c r="G27" s="136" t="inlineStr">
        <is>
          <t>沿Feet</t>
        </is>
      </c>
      <c r="H27" s="136" t="inlineStr">
        <is>
          <t>随root+交替步态</t>
        </is>
      </c>
      <c r="I27" s="136" t="n">
        <v>1</v>
      </c>
      <c r="J27" s="136" t="inlineStr">
        <is>
          <t>FootL/R交替抬起</t>
        </is>
      </c>
      <c r="K27" s="136" t="inlineStr">
        <is>
          <t>脚部外观</t>
        </is>
      </c>
      <c r="L27" s="136" t="inlineStr">
        <is>
          <t>是</t>
        </is>
      </c>
      <c r="M27" s="136" t="inlineStr">
        <is>
          <t>cat_orange / boot_sand / boot_cobalt / boot_teal</t>
        </is>
      </c>
    </row>
    <row r="28" ht="38" customHeight="1">
      <c r="A28" s="136" t="inlineStr">
        <is>
          <t>player_capsule01_3d</t>
        </is>
      </c>
      <c r="B28" s="136" t="inlineStr">
        <is>
          <t>hat</t>
        </is>
      </c>
      <c r="C28" s="136" t="inlineStr">
        <is>
          <t>VisualRoot/Head/Wearables/Hat*</t>
        </is>
      </c>
      <c r="D28" s="136" t="inlineStr">
        <is>
          <t>head</t>
        </is>
      </c>
      <c r="E28" s="136" t="inlineStr">
        <is>
          <t>无独立纹理/程序网格</t>
        </is>
      </c>
      <c r="F28" s="136" t="inlineStr">
        <is>
          <t>3种帽型</t>
        </is>
      </c>
      <c r="G28" s="136" t="inlineStr">
        <is>
          <t>沿Head</t>
        </is>
      </c>
      <c r="H28" s="136" t="inlineStr">
        <is>
          <t>继承Head</t>
        </is>
      </c>
      <c r="I28" s="136" t="n">
        <v>5</v>
      </c>
      <c r="J28" s="136" t="inlineStr">
        <is>
          <t>头部滞后/受击/死亡</t>
        </is>
      </c>
      <c r="K28" s="136" t="inlineStr">
        <is>
          <t>头部外戴件</t>
        </is>
      </c>
      <c r="L28" s="136" t="inlineStr">
        <is>
          <t>否</t>
        </is>
      </c>
      <c r="M28" s="136" t="inlineStr">
        <is>
          <t>可选；layer2，禁投影/GI；不得替代猫耳节点</t>
        </is>
      </c>
    </row>
    <row r="29" ht="38" customHeight="1">
      <c r="A29" s="136" t="inlineStr">
        <is>
          <t>player_capsule01_3d</t>
        </is>
      </c>
      <c r="B29" s="136" t="inlineStr">
        <is>
          <t>glasses</t>
        </is>
      </c>
      <c r="C29" s="136" t="inlineStr">
        <is>
          <t>VisualRoot/Head/Wearables/Glasses*</t>
        </is>
      </c>
      <c r="D29" s="136" t="inlineStr">
        <is>
          <t>head</t>
        </is>
      </c>
      <c r="E29" s="136" t="inlineStr">
        <is>
          <t>无独立纹理/程序网格</t>
        </is>
      </c>
      <c r="F29" s="136" t="inlineStr">
        <is>
          <t>3种护目件</t>
        </is>
      </c>
      <c r="G29" s="136" t="inlineStr">
        <is>
          <t>沿Head前侧</t>
        </is>
      </c>
      <c r="H29" s="136" t="inlineStr">
        <is>
          <t>继承Head</t>
        </is>
      </c>
      <c r="I29" s="136" t="n">
        <v>5</v>
      </c>
      <c r="J29" s="136" t="inlineStr">
        <is>
          <t>头部滞后/受击/死亡</t>
        </is>
      </c>
      <c r="K29" s="136" t="inlineStr">
        <is>
          <t>护目件</t>
        </is>
      </c>
      <c r="L29" s="136" t="inlineStr">
        <is>
          <t>否</t>
        </is>
      </c>
      <c r="M29" s="136" t="inlineStr">
        <is>
          <t>可选；layer2；允许太阳/室内灯外部投影；玩家三灯不产生自身投影；GI禁用。</t>
        </is>
      </c>
    </row>
    <row r="30" ht="38" customHeight="1">
      <c r="A30" s="136" t="inlineStr">
        <is>
          <t>player_capsule01_3d</t>
        </is>
      </c>
      <c r="B30" s="136" t="inlineStr">
        <is>
          <t>scarf_legacy</t>
        </is>
      </c>
      <c r="C30" s="136" t="inlineStr">
        <is>
          <t>VisualRoot/Scarf</t>
        </is>
      </c>
      <c r="D30" s="136" t="inlineStr">
        <is>
          <t>root</t>
        </is>
      </c>
      <c r="E30" s="136" t="inlineStr">
        <is>
          <t>assets/art/characters/player/chr_player_capsule01_3d/chr_player_capsule01_root_top3d_v001.tscn</t>
        </is>
      </c>
      <c r="F30" s="136" t="inlineStr">
        <is>
          <t>隐藏兼容节点</t>
        </is>
      </c>
      <c r="G30" s="136" t="inlineStr">
        <is>
          <t>(0,1.32,0)</t>
        </is>
      </c>
      <c r="H30" s="136" t="inlineStr">
        <is>
          <t>随root</t>
        </is>
      </c>
      <c r="I30" s="136" t="n">
        <v>2</v>
      </c>
      <c r="J30" s="136" t="inlineStr">
        <is>
          <t>不参与当前轮廓</t>
        </is>
      </c>
      <c r="K30" s="136" t="inlineStr">
        <is>
          <t>旧场景兼容</t>
        </is>
      </c>
      <c r="L30" s="136" t="inlineStr">
        <is>
          <t>否</t>
        </is>
      </c>
      <c r="M30" s="136" t="inlineStr">
        <is>
          <t>可选；layer2；允许太阳/室内灯外部投影；玩家三灯不产生自身投影；GI禁用。</t>
        </is>
      </c>
    </row>
    <row r="31" ht="104" customHeight="1">
      <c r="A31" s="306" t="inlineStr">
        <is>
          <t>player_capsule01_bunny01_3d</t>
        </is>
      </c>
      <c r="B31" s="306" t="inlineStr">
        <is>
          <t>root</t>
        </is>
      </c>
      <c r="C31" s="306" t="inlineStr">
        <is>
          <t>Avatar3D/VisualRoot/BunnyRig</t>
        </is>
      </c>
      <c r="D31" s="306" t="inlineStr">
        <is>
          <t>player_root</t>
        </is>
      </c>
      <c r="E31" s="306" t="inlineStr">
        <is>
          <t>assets/art/characters/player/chr_player_capsule01_3d/variants/bunny01/chr_player_capsule01_bunny01_root_top3d_v006.tscn</t>
        </is>
      </c>
      <c r="F31" s="306" t="inlineStr">
        <is>
          <t>Node3D刚性骨架 / 完整视觉1.500m</t>
        </is>
      </c>
      <c r="G31" s="306" t="inlineStr">
        <is>
          <t>(0,0,0)</t>
        </is>
      </c>
      <c r="H31" s="306" t="inlineStr">
        <is>
          <t>整体随准星绕Y轴</t>
        </is>
      </c>
      <c r="I31" s="306" t="n">
        <v>0</v>
      </c>
      <c r="J31" s="306" t="inlineStr">
        <is>
          <t>八态整体 + falling收束/landing压缩回弹 + 动作覆盖</t>
        </is>
      </c>
      <c r="K31" s="306" t="inlineStr">
        <is>
          <t>Godot骨架根</t>
        </is>
      </c>
      <c r="L31" s="306" t="inlineStr">
        <is>
          <t>是</t>
        </is>
      </c>
      <c r="M31" s="306" t="inlineStr">
        <is>
          <t>v0.1：v006真实1.5m分体网格与AssetID不变；玩法碰撞位于Player3D/VirtualCollisionCapsule（height=1.5m、radius=0.34m）。falling/landing复用既有Body/Head/Hands/Feet/EarSocket关节。</t>
        </is>
      </c>
    </row>
    <row r="32" ht="104" customHeight="1">
      <c r="A32" s="306" t="inlineStr">
        <is>
          <t>player_capsule01_bunny01_3d</t>
        </is>
      </c>
      <c r="B32" s="306" t="inlineStr">
        <is>
          <t>body</t>
        </is>
      </c>
      <c r="C32" s="306" t="inlineStr">
        <is>
          <t>VisualRoot/BunnyRig/BodyJoint/Model</t>
        </is>
      </c>
      <c r="D32" s="306" t="inlineStr">
        <is>
          <t>BunnyRig</t>
        </is>
      </c>
      <c r="E32" s="306" t="inlineStr">
        <is>
          <t>assets/art/characters/player/chr_player_capsule01_3d/variants/bunny01/components/chr_player_capsule01_bunny01_body_top3d_v006.glb</t>
        </is>
      </c>
      <c r="F32" s="306" t="inlineStr">
        <is>
          <t>pivot-local GLB / 1.5m比例</t>
        </is>
      </c>
      <c r="G32" s="306" t="inlineStr">
        <is>
          <t>(-0.000030,0.155022,-0.000635)</t>
        </is>
      </c>
      <c r="H32" s="306" t="inlineStr">
        <is>
          <t>BodyJoint</t>
        </is>
      </c>
      <c r="I32" s="306" t="n">
        <v>1</v>
      </c>
      <c r="J32" s="306" t="inlineStr">
        <is>
          <t>呼吸/移动挤压/突进翻滚/受击</t>
        </is>
      </c>
      <c r="K32" s="306" t="inlineStr">
        <is>
          <t>身体组件</t>
        </is>
      </c>
      <c r="L32" s="306" t="inlineStr">
        <is>
          <t>是</t>
        </is>
      </c>
      <c r="M32" s="306" t="inlineStr">
        <is>
          <t>Blender原点：身体底部中心；v006真实1.5m几何。</t>
        </is>
      </c>
    </row>
    <row r="33" ht="104" customHeight="1">
      <c r="A33" s="306" t="inlineStr">
        <is>
          <t>player_capsule01_bunny01_3d</t>
        </is>
      </c>
      <c r="B33" s="306" t="inlineStr">
        <is>
          <t>head</t>
        </is>
      </c>
      <c r="C33" s="306" t="inlineStr">
        <is>
          <t>VisualRoot/BunnyRig/HeadJoint/Model</t>
        </is>
      </c>
      <c r="D33" s="306" t="inlineStr">
        <is>
          <t>BunnyRig</t>
        </is>
      </c>
      <c r="E33" s="306" t="inlineStr">
        <is>
          <t>assets/art/characters/player/chr_player_capsule01_3d/variants/bunny01/components/chr_player_capsule01_bunny01_head_top3d_v006.glb</t>
        </is>
      </c>
      <c r="F33" s="306" t="inlineStr">
        <is>
          <t>pivot-local GLB / 1.5m比例</t>
        </is>
      </c>
      <c r="G33" s="306" t="inlineStr">
        <is>
          <t>(-0.000028,0.477110,0.026431)</t>
        </is>
      </c>
      <c r="H33" s="306" t="inlineStr">
        <is>
          <t>HeadJoint</t>
        </is>
      </c>
      <c r="I33" s="306" t="n">
        <v>3</v>
      </c>
      <c r="J33" s="306" t="inlineStr">
        <is>
          <t>移动反相滞后/后坐/受击甩头</t>
        </is>
      </c>
      <c r="K33" s="306" t="inlineStr">
        <is>
          <t>头部组件</t>
        </is>
      </c>
      <c r="L33" s="306" t="inlineStr">
        <is>
          <t>是</t>
        </is>
      </c>
      <c r="M33" s="306" t="inlineStr">
        <is>
          <t>Blender原点：头部下沿中心；不含耳头顶1.103390m。</t>
        </is>
      </c>
    </row>
    <row r="34" ht="104" customHeight="1">
      <c r="A34" s="306" t="inlineStr">
        <is>
          <t>player_capsule01_bunny01_3d</t>
        </is>
      </c>
      <c r="B34" s="306" t="inlineStr">
        <is>
          <t>ear_l</t>
        </is>
      </c>
      <c r="C34" s="306" t="inlineStr">
        <is>
          <t>VisualRoot/BunnyRig/HeadJoint/Ears/EarSocketL/EarAccessory</t>
        </is>
      </c>
      <c r="D34" s="306" t="inlineStr">
        <is>
          <t>head</t>
        </is>
      </c>
      <c r="E34" s="306" t="inlineStr">
        <is>
          <t>assets/art/characters/player/chr_player_capsule01_3d/variants/bunny01/components/chr_player_capsule01_bunny01_ear_top3d_v006.glb</t>
        </is>
      </c>
      <c r="F34" s="306" t="inlineStr">
        <is>
          <t>pivot-local GLB × -X / 1.5m比例</t>
        </is>
      </c>
      <c r="G34" s="306" t="inlineStr">
        <is>
          <t>Head local (-0.245056,0.499653,-0.001671)</t>
        </is>
      </c>
      <c r="H34" s="306" t="inlineStr">
        <is>
          <t>继承HeadJoint</t>
        </is>
      </c>
      <c r="I34" s="306" t="n">
        <v>4</v>
      </c>
      <c r="J34" s="306" t="inlineStr">
        <is>
          <t>移动跟随/冲刺后压/受击收耳</t>
        </is>
      </c>
      <c r="K34" s="306" t="inlineStr">
        <is>
          <t>头部配件</t>
        </is>
      </c>
      <c r="L34" s="306" t="inlineStr">
        <is>
          <t>是</t>
        </is>
      </c>
      <c r="M34" s="306" t="inlineStr">
        <is>
          <t>复用语义右耳并在左挂点镜像；完整视觉顶部1.500m。</t>
        </is>
      </c>
    </row>
    <row r="35" ht="104" customHeight="1">
      <c r="A35" s="306" t="inlineStr">
        <is>
          <t>player_capsule01_bunny01_3d</t>
        </is>
      </c>
      <c r="B35" s="306" t="inlineStr">
        <is>
          <t>ear_r</t>
        </is>
      </c>
      <c r="C35" s="306" t="inlineStr">
        <is>
          <t>VisualRoot/BunnyRig/HeadJoint/Ears/EarSocketR/EarAccessory</t>
        </is>
      </c>
      <c r="D35" s="306" t="inlineStr">
        <is>
          <t>head</t>
        </is>
      </c>
      <c r="E35" s="306" t="inlineStr">
        <is>
          <t>assets/art/characters/player/chr_player_capsule01_3d/variants/bunny01/components/chr_player_capsule01_bunny01_ear_top3d_v006.glb</t>
        </is>
      </c>
      <c r="F35" s="306" t="inlineStr">
        <is>
          <t>pivot-local GLB / 1.5m比例</t>
        </is>
      </c>
      <c r="G35" s="306" t="inlineStr">
        <is>
          <t>Head local (0.245112,0.499653,-0.001671)</t>
        </is>
      </c>
      <c r="H35" s="306" t="inlineStr">
        <is>
          <t>继承HeadJoint</t>
        </is>
      </c>
      <c r="I35" s="306" t="n">
        <v>4</v>
      </c>
      <c r="J35" s="306" t="inlineStr">
        <is>
          <t>移动跟随/冲刺后压/受击收耳</t>
        </is>
      </c>
      <c r="K35" s="306" t="inlineStr">
        <is>
          <t>头部配件</t>
        </is>
      </c>
      <c r="L35" s="306" t="inlineStr">
        <is>
          <t>是</t>
        </is>
      </c>
      <c r="M35" s="306" t="inlineStr">
        <is>
          <t>语义右耳标准实例；完整视觉顶部1.500m。</t>
        </is>
      </c>
    </row>
    <row r="36" ht="104" customHeight="1">
      <c r="A36" s="306" t="inlineStr">
        <is>
          <t>player_capsule01_bunny01_3d</t>
        </is>
      </c>
      <c r="B36" s="306" t="inlineStr">
        <is>
          <t>hand_l</t>
        </is>
      </c>
      <c r="C36" s="306" t="inlineStr">
        <is>
          <t>VisualRoot/BunnyRig/HandRoot/HandJointL/Model</t>
        </is>
      </c>
      <c r="D36" s="306" t="inlineStr">
        <is>
          <t>BunnyRig</t>
        </is>
      </c>
      <c r="E36" s="306" t="inlineStr">
        <is>
          <t>assets/art/characters/player/chr_player_capsule01_3d/variants/bunny01/components/chr_player_capsule01_bunny01_hand_l_top3d_v006.glb</t>
        </is>
      </c>
      <c r="F36" s="306" t="inlineStr">
        <is>
          <t>pivot-local GLB / 1.5m比例</t>
        </is>
      </c>
      <c r="G36" s="306" t="inlineStr">
        <is>
          <t>Authored (-0.285833,0.321773,-0.014435); sidearm ready (-0.145455,0.333333,-0.351515); longgun support (0.121212,0.315152,-0.387879)</t>
        </is>
      </c>
      <c r="H36" s="306" t="inlineStr">
        <is>
          <t>HandRoot 独立左腕</t>
        </is>
      </c>
      <c r="I36" s="306" t="n">
        <v>4</v>
      </c>
      <c r="J36" s="306" t="inlineStr">
        <is>
          <t>手枪待机前伸警戒/移动自由摆臂；长枪托举；换弹服务；双手枪后坐</t>
        </is>
      </c>
      <c r="K36" s="306" t="inlineStr">
        <is>
          <t>左手组件</t>
        </is>
      </c>
      <c r="L36" s="306" t="inlineStr">
        <is>
          <t>是</t>
        </is>
      </c>
      <c r="M36" s="306" t="inlineStr">
        <is>
          <t>手腕圆环近端轴心；手枪仍为自由左手，待机只前伸形成警戒剪影；网格、挂点与动作米制平移使用0.606060606比例。</t>
        </is>
      </c>
    </row>
    <row r="37" ht="104" customHeight="1">
      <c r="A37" s="306" t="inlineStr">
        <is>
          <t>player_capsule01_bunny01_3d</t>
        </is>
      </c>
      <c r="B37" s="306" t="inlineStr">
        <is>
          <t>hand_r</t>
        </is>
      </c>
      <c r="C37" s="306" t="inlineStr">
        <is>
          <t>VisualRoot/BunnyRig/HandRoot/HandJointR/Model</t>
        </is>
      </c>
      <c r="D37" s="306" t="inlineStr">
        <is>
          <t>BunnyRig</t>
        </is>
      </c>
      <c r="E37" s="306" t="inlineStr">
        <is>
          <t>assets/art/characters/player/chr_player_capsule01_3d/variants/bunny01/components/chr_player_capsule01_bunny01_hand_r_top3d_v006.glb</t>
        </is>
      </c>
      <c r="F37" s="306" t="inlineStr">
        <is>
          <t>pivot-local GLB / 1.5m比例</t>
        </is>
      </c>
      <c r="G37" s="30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306" t="inlineStr">
        <is>
          <t>HandRoot 独立右腕 / WeaponSocket 跟随</t>
        </is>
      </c>
      <c r="I37" s="306" t="n">
        <v>4</v>
      </c>
      <c r="J37" s="306" t="inlineStr">
        <is>
          <t>手枪/长枪主握把；掌球中心锁定握把；待机低位警戒；独立跑步；武器差异射击后坐</t>
        </is>
      </c>
      <c r="K37" s="306" t="inlineStr">
        <is>
          <t>右手组件</t>
        </is>
      </c>
      <c r="L37" s="306" t="inlineStr">
        <is>
          <t>是</t>
        </is>
      </c>
      <c r="M37" s="306" t="inlineStr">
        <is>
          <t>右手大球中心=HandJointR=GripSocket；吹风机可见握把中心也由Prefab包装校正到该坐标。圆环仅为近端腕部造型；不改变武器装配、射击、碰撞或玩法事实源。</t>
        </is>
      </c>
    </row>
    <row r="38" ht="104" customHeight="1">
      <c r="A38" s="306" t="inlineStr">
        <is>
          <t>player_capsule01_bunny01_3d</t>
        </is>
      </c>
      <c r="B38" s="306" t="inlineStr">
        <is>
          <t>foot_l</t>
        </is>
      </c>
      <c r="C38" s="306" t="inlineStr">
        <is>
          <t>VisualRoot/BunnyRig/FeetRoot/FootJointL/Model</t>
        </is>
      </c>
      <c r="D38" s="306" t="inlineStr">
        <is>
          <t>FeetRoot</t>
        </is>
      </c>
      <c r="E38" s="306" t="inlineStr">
        <is>
          <t>assets/art/characters/player/chr_player_capsule01_3d/variants/bunny01/components/chr_player_capsule01_bunny01_foot_l_top3d_v006.glb</t>
        </is>
      </c>
      <c r="F38" s="306" t="inlineStr">
        <is>
          <t>pivot-local GLB / 1.5m比例</t>
        </is>
      </c>
      <c r="G38" s="306" t="inlineStr">
        <is>
          <t>(-0.129002,0,-0.010887)</t>
        </is>
      </c>
      <c r="H38" s="306" t="inlineStr">
        <is>
          <t>独立FootJointL</t>
        </is>
      </c>
      <c r="I38" s="306" t="n">
        <v>1</v>
      </c>
      <c r="J38" s="306" t="inlineStr">
        <is>
          <t>moving左脚/翻滚收腿/受击甩脚/falling收腿/landing压缩</t>
        </is>
      </c>
      <c r="K38" s="306" t="inlineStr">
        <is>
          <t>左脚组件</t>
        </is>
      </c>
      <c r="L38" s="306" t="inlineStr">
        <is>
          <t>是</t>
        </is>
      </c>
      <c r="M38" s="306" t="inlineStr">
        <is>
          <t>Blender原点：脚底中心；静态最低点Y=0；v0.1复用同一v006网格增加下落与落地程序动作。</t>
        </is>
      </c>
    </row>
    <row r="39" ht="104" customHeight="1">
      <c r="A39" s="306" t="inlineStr">
        <is>
          <t>player_capsule01_bunny01_3d</t>
        </is>
      </c>
      <c r="B39" s="306" t="inlineStr">
        <is>
          <t>foot_r</t>
        </is>
      </c>
      <c r="C39" s="306" t="inlineStr">
        <is>
          <t>VisualRoot/BunnyRig/FeetRoot/FootJointR/Model</t>
        </is>
      </c>
      <c r="D39" s="306" t="inlineStr">
        <is>
          <t>FeetRoot</t>
        </is>
      </c>
      <c r="E39" s="306" t="inlineStr">
        <is>
          <t>assets/art/characters/player/chr_player_capsule01_3d/variants/bunny01/components/chr_player_capsule01_bunny01_foot_r_top3d_v006.glb</t>
        </is>
      </c>
      <c r="F39" s="306" t="inlineStr">
        <is>
          <t>pivot-local GLB / 1.5m比例</t>
        </is>
      </c>
      <c r="G39" s="306" t="inlineStr">
        <is>
          <t>(0.129002,0,-0.010887)</t>
        </is>
      </c>
      <c r="H39" s="306" t="inlineStr">
        <is>
          <t>独立FootJointR</t>
        </is>
      </c>
      <c r="I39" s="306" t="n">
        <v>1</v>
      </c>
      <c r="J39" s="306" t="inlineStr">
        <is>
          <t>moving右脚/翻滚收腿/受击甩脚/falling收腿/landing压缩</t>
        </is>
      </c>
      <c r="K39" s="306" t="inlineStr">
        <is>
          <t>右脚组件</t>
        </is>
      </c>
      <c r="L39" s="306" t="inlineStr">
        <is>
          <t>是</t>
        </is>
      </c>
      <c r="M39" s="306" t="inlineStr">
        <is>
          <t>Blender原点：脚底中心；静态最低点Y=0；v0.1复用同一v006网格增加下落与落地程序动作。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297" t="inlineStr">
        <is>
          <t>Player3D 八态状态机 × 组件表现（falling/landing为真实垂直物理顶层状态）</t>
        </is>
      </c>
    </row>
    <row r="4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</row>
    <row r="5" ht="32" customHeight="1">
      <c r="A5" s="298" t="inlineStr">
        <is>
          <t>层级</t>
        </is>
      </c>
      <c r="B5" s="299" t="inlineStr">
        <is>
          <t>状态ID</t>
        </is>
      </c>
      <c r="C5" s="299" t="inlineStr">
        <is>
          <t>中文名</t>
        </is>
      </c>
      <c r="D5" s="299" t="inlineStr">
        <is>
          <t>允许来源</t>
        </is>
      </c>
      <c r="E5" s="299" t="inlineStr">
        <is>
          <t>允许去向</t>
        </is>
      </c>
      <c r="F5" s="299" t="inlineStr">
        <is>
          <t>Body</t>
        </is>
      </c>
      <c r="G5" s="299" t="inlineStr">
        <is>
          <t>Head</t>
        </is>
      </c>
      <c r="H5" s="299" t="inlineStr">
        <is>
          <t>Hand L</t>
        </is>
      </c>
      <c r="I5" s="299" t="inlineStr">
        <is>
          <t>Hand R / WeaponSocket</t>
        </is>
      </c>
      <c r="J5" s="299" t="inlineStr">
        <is>
          <t>Scarf</t>
        </is>
      </c>
      <c r="K5" s="299" t="inlineStr">
        <is>
          <t>VFX/UI</t>
        </is>
      </c>
      <c r="L5" s="300" t="inlineStr">
        <is>
          <t>首版实现</t>
        </is>
      </c>
    </row>
    <row r="6" ht="58" customHeight="1">
      <c r="A6" s="347" t="inlineStr">
        <is>
          <t>顶层</t>
        </is>
      </c>
      <c r="B6" s="347" t="inlineStr">
        <is>
          <t>idle</t>
        </is>
      </c>
      <c r="C6" s="347" t="inlineStr">
        <is>
          <t>待命</t>
        </is>
      </c>
      <c r="D6" s="347" t="inlineStr">
        <is>
          <t>start/moving/hurt/locked/landing</t>
        </is>
      </c>
      <c r="E6" s="347" t="inlineStr">
        <is>
          <t>moving,dashing,hurt,locked,falling,dead</t>
        </is>
      </c>
      <c r="F6" s="347" t="inlineStr">
        <is>
          <t>约2.38s呼吸挤压；半速重心换脚；躯干轻微侧移</t>
        </is>
      </c>
      <c r="G6" s="347" t="inlineStr">
        <is>
          <t>与身体反相缩放；反向滞后保持头重感</t>
        </is>
      </c>
      <c r="H6" s="347" t="inlineStr">
        <is>
          <t>手枪自由左手前伸胸前警戒；长枪左手保持托举</t>
        </is>
      </c>
      <c r="I6" s="347" t="inlineStr">
        <is>
          <t>手枪/长枪右手掌球中心、HandJointR与GripSocket三点重合；手枪WeaponSocket待机右前下移，枪管local -Z保持瞄准同向</t>
        </is>
      </c>
      <c r="J6" s="347" t="inlineStr">
        <is>
          <t>低频错相轻摆</t>
        </is>
      </c>
      <c r="K6" s="347" t="inlineStr">
        <is>
          <t>HUD 待命；无新增VFX</t>
        </is>
      </c>
      <c r="L6" s="34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>
      <c r="A7" s="304" t="inlineStr">
        <is>
          <t>顶层</t>
        </is>
      </c>
      <c r="B7" s="304" t="inlineStr">
        <is>
          <t>moving</t>
        </is>
      </c>
      <c r="C7" s="304" t="inlineStr">
        <is>
          <t>机动</t>
        </is>
      </c>
      <c r="D7" s="304" t="inlineStr">
        <is>
          <t>idle/dashing/hurt/locked/landing</t>
        </is>
      </c>
      <c r="E7" s="304" t="inlineStr">
        <is>
          <t>idle,dashing,hurt,locked,falling,dead</t>
        </is>
      </c>
      <c r="F7" s="304" t="inlineStr">
        <is>
          <t>位移驱动弹跳/压缩回弹</t>
        </is>
      </c>
      <c r="G7" s="304" t="inlineStr">
        <is>
          <t>较小反相滞后</t>
        </is>
      </c>
      <c r="H7" s="304" t="inlineStr">
        <is>
          <t>手枪自由左手大幅反摆；长枪左手锁定托举</t>
        </is>
      </c>
      <c r="I7" s="304" t="inlineStr">
        <is>
          <t>手枪右手与右侧挂点紧凑起伏；长枪双手/挂点收胸跑</t>
        </is>
      </c>
      <c r="J7" s="304" t="inlineStr">
        <is>
          <t>周期滞后</t>
        </is>
      </c>
      <c r="K7" s="304" t="inlineStr">
        <is>
          <t>地面划痕</t>
        </is>
      </c>
      <c r="L7" s="304" t="inlineStr">
        <is>
          <t>位移驱动独立循环；WeaponPoseFSM 进入 sidearm_run 或 longgun_run；双脚交替，单手/双手剪影分离</t>
        </is>
      </c>
    </row>
    <row r="8" ht="56" customHeight="1">
      <c r="A8" s="304" t="inlineStr">
        <is>
          <t>顶层</t>
        </is>
      </c>
      <c r="B8" s="304" t="inlineStr">
        <is>
          <t>dashing</t>
        </is>
      </c>
      <c r="C8" s="304" t="inlineStr">
        <is>
          <t>突进</t>
        </is>
      </c>
      <c r="D8" s="304" t="inlineStr">
        <is>
          <t>idle/moving</t>
        </is>
      </c>
      <c r="E8" s="304" t="inlineStr">
        <is>
          <t>idle,moving,hurt,locked,falling,dead</t>
        </is>
      </c>
      <c r="F8" s="304" t="inlineStr">
        <is>
          <t>压缩成团并绕半高轴完整前滚</t>
        </is>
      </c>
      <c r="G8" s="304" t="inlineStr">
        <is>
          <t>随整体轴心翻滚，耳朵大幅后压</t>
        </is>
      </c>
      <c r="H8" s="304" t="inlineStr">
        <is>
          <t>按当前武器握持数收束；自由左手随整体抱团</t>
        </is>
      </c>
      <c r="I8" s="304" t="inlineStr">
        <is>
          <t>右手握把与 WeaponSocket 同轴完整翻滚</t>
        </is>
      </c>
      <c r="J8" s="304" t="inlineStr">
        <is>
          <t>随整体收束</t>
        </is>
      </c>
      <c r="K8" s="304" t="inlineStr">
        <is>
          <t>青色尾迹</t>
        </is>
      </c>
      <c r="L8" s="304" t="inlineStr">
        <is>
          <t>0.17s 内完成 360° 本地X前滚；用半高轴心补偿避免钻地；夸张压缩与抛物线位移</t>
        </is>
      </c>
    </row>
    <row r="9" ht="56" customHeight="1">
      <c r="A9" s="304" t="inlineStr">
        <is>
          <t>顶层</t>
        </is>
      </c>
      <c r="B9" s="304" t="inlineStr">
        <is>
          <t>hurt</t>
        </is>
      </c>
      <c r="C9" s="304" t="inlineStr">
        <is>
          <t>受创</t>
        </is>
      </c>
      <c r="D9" s="304" t="inlineStr">
        <is>
          <t>任意存活态</t>
        </is>
      </c>
      <c r="E9" s="304" t="inlineStr">
        <is>
          <t>idle,moving,locked,falling,dead</t>
        </is>
      </c>
      <c r="F9" s="304" t="inlineStr">
        <is>
          <t>三段压扁/抬起/过冲回正</t>
        </is>
      </c>
      <c r="G9" s="304" t="inlineStr">
        <is>
          <t>大幅后仰甩头 + 反向过冲</t>
        </is>
      </c>
      <c r="H9" s="304" t="inlineStr">
        <is>
          <t>手枪左手自由外甩；长枪左手回护木</t>
        </is>
      </c>
      <c r="I9" s="304" t="inlineStr">
        <is>
          <t>右手/WeaponSocket 同相后退，握把不脱离</t>
        </is>
      </c>
      <c r="J9" s="304" t="inlineStr">
        <is>
          <t>冲击滞后</t>
        </is>
      </c>
      <c r="K9" s="304" t="inlineStr">
        <is>
          <t>红闪/击退轨迹</t>
        </is>
      </c>
      <c r="L9" s="304" t="inlineStr">
        <is>
          <t>真实命中方向 + 受击进度关键姿势；头、双脚、双耳使用独立夸张回弹</t>
        </is>
      </c>
    </row>
    <row r="10">
      <c r="A10" s="304" t="inlineStr">
        <is>
          <t>顶层</t>
        </is>
      </c>
      <c r="B10" s="304" t="inlineStr">
        <is>
          <t>locked</t>
        </is>
      </c>
      <c r="C10" s="304" t="inlineStr">
        <is>
          <t>交互锁定</t>
        </is>
      </c>
      <c r="D10" s="304" t="inlineStr">
        <is>
          <t>任意存活态/landing</t>
        </is>
      </c>
      <c r="E10" s="304" t="inlineStr">
        <is>
          <t>idle,moving,hurt,falling,dead</t>
        </is>
      </c>
      <c r="F10" s="304" t="inlineStr">
        <is>
          <t>降亮稳定</t>
        </is>
      </c>
      <c r="G10" s="304" t="inlineStr">
        <is>
          <t>稳定</t>
        </is>
      </c>
      <c r="H10" s="304" t="inlineStr">
        <is>
          <t>稳定</t>
        </is>
      </c>
      <c r="I10" s="304" t="inlineStr">
        <is>
          <t>保持握持</t>
        </is>
      </c>
      <c r="J10" s="304" t="inlineStr">
        <is>
          <t>低摆</t>
        </is>
      </c>
      <c r="K10" s="304" t="inlineStr">
        <is>
          <t>琥珀锁定环</t>
        </is>
      </c>
      <c r="L10" s="304" t="inlineStr">
        <is>
          <t>降亮 + 锁定环；保持刚性层级</t>
        </is>
      </c>
    </row>
    <row r="11" ht="92" customHeight="1">
      <c r="A11" s="304" t="inlineStr">
        <is>
          <t>顶层</t>
        </is>
      </c>
      <c r="B11" s="304" t="inlineStr">
        <is>
          <t>falling</t>
        </is>
      </c>
      <c r="C11" s="304" t="inlineStr">
        <is>
          <t>下落</t>
        </is>
      </c>
      <c r="D11" s="304" t="inlineStr">
        <is>
          <t>idle/moving/dashing/hurt/locked</t>
        </is>
      </c>
      <c r="E11" s="304" t="inlineStr">
        <is>
          <t>landing,hurt,dead</t>
        </is>
      </c>
      <c r="F11" s="304" t="inlineStr">
        <is>
          <t>随下落速度轻微纵向拉长</t>
        </is>
      </c>
      <c r="G11" s="304" t="inlineStr">
        <is>
          <t>滞后上扬，保持头重感</t>
        </is>
      </c>
      <c r="H11" s="304" t="inlineStr">
        <is>
          <t>手枪自由手收束；长枪托举手不脱离</t>
        </is>
      </c>
      <c r="I11" s="304" t="inlineStr">
        <is>
          <t>握持手与WeaponSocket保持同相</t>
        </is>
      </c>
      <c r="J11" s="304" t="inlineStr">
        <is>
          <t>向上滞后</t>
        </is>
      </c>
      <c r="K11" s="304" t="inlineStr">
        <is>
          <t>无新增VFX</t>
        </is>
      </c>
      <c r="L11" s="304" t="inlineStr">
        <is>
          <t>真实重力+0.10s离地容错；双脚收起、双耳后压；楼梯接缝不误触发</t>
        </is>
      </c>
    </row>
    <row r="12" ht="92" customHeight="1">
      <c r="A12" s="304" t="inlineStr">
        <is>
          <t>顶层</t>
        </is>
      </c>
      <c r="B12" s="304" t="inlineStr">
        <is>
          <t>landing</t>
        </is>
      </c>
      <c r="C12" s="304" t="inlineStr">
        <is>
          <t>落地</t>
        </is>
      </c>
      <c r="D12" s="304" t="inlineStr">
        <is>
          <t>falling</t>
        </is>
      </c>
      <c r="E12" s="304" t="inlineStr">
        <is>
          <t>idle,moving,locked,falling,hurt,dead</t>
        </is>
      </c>
      <c r="F12" s="304" t="inlineStr">
        <is>
          <t>按冲击速度压缩并回弹</t>
        </is>
      </c>
      <c r="G12" s="304" t="inlineStr">
        <is>
          <t>轻微下压后恢复</t>
        </is>
      </c>
      <c r="H12" s="304" t="inlineStr">
        <is>
          <t>随整体吸收冲击</t>
        </is>
      </c>
      <c r="I12" s="304" t="inlineStr">
        <is>
          <t>握持手与WeaponSocket同相稳定</t>
        </is>
      </c>
      <c r="J12" s="304" t="inlineStr">
        <is>
          <t>短促回摆</t>
        </is>
      </c>
      <c r="K12" s="304" t="inlineStr">
        <is>
          <t>落地停顿</t>
        </is>
      </c>
      <c r="L12" s="304" t="inlineStr">
        <is>
          <t>冲击速度映射0.12—0.30s硬直；状态计时结束后恢复地面移动</t>
        </is>
      </c>
    </row>
    <row r="13">
      <c r="A13" s="304" t="inlineStr">
        <is>
          <t>顶层</t>
        </is>
      </c>
      <c r="B13" s="304" t="inlineStr">
        <is>
          <t>dead</t>
        </is>
      </c>
      <c r="C13" s="304" t="inlineStr">
        <is>
          <t>生命终止</t>
        </is>
      </c>
      <c r="D13" s="304" t="inlineStr">
        <is>
          <t>任意存活态</t>
        </is>
      </c>
      <c r="E13" s="304" t="inlineStr">
        <is>
          <t>无（终态）</t>
        </is>
      </c>
      <c r="F13" s="304" t="inlineStr">
        <is>
          <t>按最后受击方向水平击飞并上抛；落地弹起一次后侧倒</t>
        </is>
      </c>
      <c r="G13" s="304" t="inlineStr">
        <is>
          <t>随身体滞后后仰，回弹后贴地</t>
        </is>
      </c>
      <c r="H13" s="304" t="inlineStr">
        <is>
          <t>随击飞惯性展开，回弹时收束</t>
        </is>
      </c>
      <c r="I13" s="304" t="inlineStr">
        <is>
          <t>武器握持层随整体击飞/回弹/侧倒</t>
        </is>
      </c>
      <c r="J13" s="304" t="inlineStr">
        <is>
          <t>惯性拖尾后停止</t>
        </is>
      </c>
      <c r="K13" s="304" t="inlineStr">
        <is>
          <t>1.35秒后显示点击返99F确认框</t>
        </is>
      </c>
      <c r="L13" s="304" t="inlineStr">
        <is>
          <t>真实CharacterBody3D速度+重力；death_animation_finished仅通知表现完成，点击后结算</t>
        </is>
      </c>
    </row>
    <row r="14">
      <c r="A14" s="304" t="inlineStr">
        <is>
          <t>叠加</t>
        </is>
      </c>
      <c r="B14" s="304" t="inlineStr">
        <is>
          <t>low_health</t>
        </is>
      </c>
      <c r="C14" s="304" t="inlineStr">
        <is>
          <t>低血</t>
        </is>
      </c>
      <c r="D14" s="304" t="inlineStr">
        <is>
          <t>任意存活态</t>
        </is>
      </c>
      <c r="E14" s="304" t="inlineStr">
        <is>
          <t>不改变顶层</t>
        </is>
      </c>
      <c r="F14" s="304" t="inlineStr">
        <is>
          <t>不变</t>
        </is>
      </c>
      <c r="G14" s="304" t="inlineStr">
        <is>
          <t>不变</t>
        </is>
      </c>
      <c r="H14" s="304" t="inlineStr">
        <is>
          <t>保持当前动作</t>
        </is>
      </c>
      <c r="I14" s="304" t="inlineStr">
        <is>
          <t>保持当前动作</t>
        </is>
      </c>
      <c r="J14" s="304" t="inlineStr">
        <is>
          <t>不变</t>
        </is>
      </c>
      <c r="K14" s="304" t="inlineStr">
        <is>
          <t>红色呼吸环</t>
        </is>
      </c>
      <c r="L14" s="304" t="inlineStr">
        <is>
          <t>HP≤30%</t>
        </is>
      </c>
    </row>
    <row r="15" ht="56" customHeight="1">
      <c r="A15" s="306" t="inlineStr">
        <is>
          <t>叠加</t>
        </is>
      </c>
      <c r="B15" s="306" t="inlineStr">
        <is>
          <t>silenced</t>
        </is>
      </c>
      <c r="C15" s="306" t="inlineStr">
        <is>
          <t>沉默</t>
        </is>
      </c>
      <c r="D15" s="306" t="inlineStr">
        <is>
          <t>任意存活态</t>
        </is>
      </c>
      <c r="E15" s="306" t="inlineStr">
        <is>
          <t>不改变顶层</t>
        </is>
      </c>
      <c r="F15" s="306" t="inlineStr">
        <is>
          <t>降饱和可选</t>
        </is>
      </c>
      <c r="G15" s="306" t="inlineStr">
        <is>
          <t>传感器干扰</t>
        </is>
      </c>
      <c r="H15" s="306" t="inlineStr">
        <is>
          <t>保持当前动作</t>
        </is>
      </c>
      <c r="I15" s="306" t="inlineStr">
        <is>
          <t>保持当前动作</t>
        </is>
      </c>
      <c r="J15" s="306" t="inlineStr">
        <is>
          <t>不变</t>
        </is>
      </c>
      <c r="K15" s="306" t="inlineStr">
        <is>
          <t>紫色干扰环</t>
        </is>
      </c>
      <c r="L15" s="306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36" customHeight="1">
      <c r="A17" s="306" t="inlineStr">
        <is>
          <t>叠加</t>
        </is>
      </c>
      <c r="B17" s="306" t="inlineStr">
        <is>
          <t>reloading</t>
        </is>
      </c>
      <c r="C17" s="306" t="inlineStr">
        <is>
          <t>换弹</t>
        </is>
      </c>
      <c r="D17" s="306" t="inlineStr">
        <is>
          <t>任意持枪存活态</t>
        </is>
      </c>
      <c r="E17" s="306" t="inlineStr">
        <is>
          <t>不改变顶层；完成/取消退出</t>
        </is>
      </c>
      <c r="F17" s="306" t="inlineStr">
        <is>
          <t>保持当前顶层</t>
        </is>
      </c>
      <c r="G17" s="306" t="inlineStr">
        <is>
          <t>保持当前顶层</t>
        </is>
      </c>
      <c r="H17" s="306" t="inlineStr">
        <is>
          <t>手枪左手近身取弹但不计握持；长枪左手离开护木服务</t>
        </is>
      </c>
      <c r="I17" s="306" t="inlineStr">
        <is>
          <t>右手持续握把并跟随 WeaponSocket 下压/回位</t>
        </is>
      </c>
      <c r="J17" s="306" t="inlineStr">
        <is>
          <t>保持当前顶层</t>
        </is>
      </c>
      <c r="K17" s="306" t="inlineStr">
        <is>
          <t>3D头顶billboard进度条；HUD弹药栏</t>
        </is>
      </c>
      <c r="L17" s="306" t="inlineStr">
        <is>
          <t>WeaponModel3D 唯一计时源；WeaponPoseFSM 进入 sidearm_reload/longgun_reload；右手保持握把，左手按武器类型服务</t>
        </is>
      </c>
    </row>
    <row r="18" ht="42" customHeight="1">
      <c r="A18" s="306" t="inlineStr">
        <is>
          <t>Enemy3D 九态状态机 × 模块表现 × 模型轮廓碰撞</t>
        </is>
      </c>
    </row>
    <row r="19" ht="42" customHeight="1">
      <c r="A19" s="306" t="inlineStr">
        <is>
          <t>层级</t>
        </is>
      </c>
      <c r="B19" s="306" t="inlineStr">
        <is>
          <t>状态ID</t>
        </is>
      </c>
      <c r="C19" s="306" t="inlineStr">
        <is>
          <t>中文名</t>
        </is>
      </c>
      <c r="D19" s="306" t="inlineStr">
        <is>
          <t>允许来源</t>
        </is>
      </c>
      <c r="E19" s="306" t="inlineStr">
        <is>
          <t>允许去向</t>
        </is>
      </c>
      <c r="F19" s="306" t="inlineStr">
        <is>
          <t>Core</t>
        </is>
      </c>
      <c r="G19" s="306" t="inlineStr">
        <is>
          <t>Shell</t>
        </is>
      </c>
      <c r="H19" s="306" t="inlineStr">
        <is>
          <t>Appendages</t>
        </is>
      </c>
      <c r="I19" s="306" t="inlineStr">
        <is>
          <t>StateVFX</t>
        </is>
      </c>
      <c r="J19" s="306" t="inlineStr">
        <is>
          <t>行为职责</t>
        </is>
      </c>
      <c r="K19" s="306" t="inlineStr">
        <is>
          <t>验收</t>
        </is>
      </c>
      <c r="L19" s="306" t="inlineStr">
        <is>
          <t>首版实现</t>
        </is>
      </c>
    </row>
    <row r="20" ht="42" customHeight="1">
      <c r="A20" s="306" t="inlineStr">
        <is>
          <t>顶层</t>
        </is>
      </c>
      <c r="B20" s="306" t="inlineStr">
        <is>
          <t>idle</t>
        </is>
      </c>
      <c r="C20" s="306" t="inlineStr">
        <is>
          <t>待机</t>
        </is>
      </c>
      <c r="D20" s="306" t="inlineStr">
        <is>
          <t>start/patrol/stagger</t>
        </is>
      </c>
      <c r="E20" s="306" t="inlineStr">
        <is>
          <t>patrol/alert/dead</t>
        </is>
      </c>
      <c r="F20" s="306" t="inlineStr">
        <is>
          <t>低频脉冲</t>
        </is>
      </c>
      <c r="G20" s="306" t="inlineStr">
        <is>
          <t>轻浮动</t>
        </is>
      </c>
      <c r="H20" s="306" t="inlineStr">
        <is>
          <t>低速</t>
        </is>
      </c>
      <c r="I20" s="306" t="inlineStr">
        <is>
          <t>关闭</t>
        </is>
      </c>
      <c r="J20" s="306" t="inlineStr">
        <is>
          <t>等待目标</t>
        </is>
      </c>
      <c r="K20" s="306" t="inlineStr">
        <is>
          <t>静态轮廓可读</t>
        </is>
      </c>
      <c r="L20" s="306" t="inlineStr">
        <is>
          <t>模块变换</t>
        </is>
      </c>
    </row>
    <row r="21" ht="42" customHeight="1">
      <c r="A21" s="306" t="inlineStr">
        <is>
          <t>顶层</t>
        </is>
      </c>
      <c r="B21" s="306" t="inlineStr">
        <is>
          <t>patrol</t>
        </is>
      </c>
      <c r="C21" s="306" t="inlineStr">
        <is>
          <t>巡逻</t>
        </is>
      </c>
      <c r="D21" s="306" t="inlineStr">
        <is>
          <t>idle/search</t>
        </is>
      </c>
      <c r="E21" s="306" t="inlineStr">
        <is>
          <t>idle/alert/stagger/dead</t>
        </is>
      </c>
      <c r="F21" s="306" t="inlineStr">
        <is>
          <t>低频脉冲</t>
        </is>
      </c>
      <c r="G21" s="306" t="inlineStr">
        <is>
          <t>朝巡逻点</t>
        </is>
      </c>
      <c r="H21" s="306" t="inlineStr">
        <is>
          <t>慢速步态</t>
        </is>
      </c>
      <c r="I21" s="306" t="inlineStr">
        <is>
          <t>关闭</t>
        </is>
      </c>
      <c r="J21" s="306" t="inlineStr">
        <is>
          <t>出生点附近巡逻</t>
        </is>
      </c>
      <c r="K21" s="306" t="inlineStr">
        <is>
          <t>无目标不原地僵住</t>
        </is>
      </c>
      <c r="L21" s="306" t="inlineStr">
        <is>
          <t>CharacterBody3D</t>
        </is>
      </c>
    </row>
    <row r="22" ht="42" customHeight="1">
      <c r="A22" s="306" t="inlineStr">
        <is>
          <t>顶层</t>
        </is>
      </c>
      <c r="B22" s="306" t="inlineStr">
        <is>
          <t>alert</t>
        </is>
      </c>
      <c r="C22" s="306" t="inlineStr">
        <is>
          <t>警觉</t>
        </is>
      </c>
      <c r="D22" s="306" t="inlineStr">
        <is>
          <t>idle/patrol/search</t>
        </is>
      </c>
      <c r="E22" s="306" t="inlineStr">
        <is>
          <t>chase/stagger/dead</t>
        </is>
      </c>
      <c r="F22" s="306" t="inlineStr">
        <is>
          <t>加速</t>
        </is>
      </c>
      <c r="G22" s="306" t="inlineStr">
        <is>
          <t>抬升</t>
        </is>
      </c>
      <c r="H22" s="306" t="inlineStr">
        <is>
          <t>展开</t>
        </is>
      </c>
      <c r="I22" s="306" t="inlineStr">
        <is>
          <t>关闭</t>
        </is>
      </c>
      <c r="J22" s="306" t="inlineStr">
        <is>
          <t>发现玩家</t>
        </is>
      </c>
      <c r="K22" s="306" t="inlineStr">
        <is>
          <t>0.28s响应</t>
        </is>
      </c>
      <c r="L22" s="306" t="inlineStr">
        <is>
          <t>模块变换</t>
        </is>
      </c>
    </row>
    <row r="23" ht="42" customHeight="1">
      <c r="A23" s="306" t="inlineStr">
        <is>
          <t>顶层</t>
        </is>
      </c>
      <c r="B23" s="306" t="inlineStr">
        <is>
          <t>chase</t>
        </is>
      </c>
      <c r="C23" s="306" t="inlineStr">
        <is>
          <t>追击</t>
        </is>
      </c>
      <c r="D23" s="306" t="inlineStr">
        <is>
          <t>alert/attack/stagger</t>
        </is>
      </c>
      <c r="E23" s="306" t="inlineStr">
        <is>
          <t>search/telegraph/stagger/dead</t>
        </is>
      </c>
      <c r="F23" s="306" t="inlineStr">
        <is>
          <t>稳定</t>
        </is>
      </c>
      <c r="G23" s="306" t="inlineStr">
        <is>
          <t>朝目标</t>
        </is>
      </c>
      <c r="H23" s="306" t="inlineStr">
        <is>
          <t>步态</t>
        </is>
      </c>
      <c r="I23" s="306" t="inlineStr">
        <is>
          <t>关闭</t>
        </is>
      </c>
      <c r="J23" s="306" t="inlineStr">
        <is>
          <t>距离控制</t>
        </is>
      </c>
      <c r="K23" s="306" t="inlineStr">
        <is>
          <t>七类速度差</t>
        </is>
      </c>
      <c r="L23" s="306" t="inlineStr">
        <is>
          <t>CharacterBody3D</t>
        </is>
      </c>
    </row>
    <row r="24" ht="42" customHeight="1">
      <c r="A24" s="306" t="inlineStr">
        <is>
          <t>顶层</t>
        </is>
      </c>
      <c r="B24" s="306" t="inlineStr">
        <is>
          <t>search</t>
        </is>
      </c>
      <c r="C24" s="306" t="inlineStr">
        <is>
          <t>搜索</t>
        </is>
      </c>
      <c r="D24" s="306" t="inlineStr">
        <is>
          <t>chase</t>
        </is>
      </c>
      <c r="E24" s="306" t="inlineStr">
        <is>
          <t>patrol/alert/stagger/dead</t>
        </is>
      </c>
      <c r="F24" s="306" t="inlineStr">
        <is>
          <t>渐缓</t>
        </is>
      </c>
      <c r="G24" s="306" t="inlineStr">
        <is>
          <t>朝最后位置</t>
        </is>
      </c>
      <c r="H24" s="306" t="inlineStr">
        <is>
          <t>搜索步态</t>
        </is>
      </c>
      <c r="I24" s="306" t="inlineStr">
        <is>
          <t>搜索提示</t>
        </is>
      </c>
      <c r="J24" s="306" t="inlineStr">
        <is>
          <t>失去视线后搜索</t>
        </is>
      </c>
      <c r="K24" s="306" t="inlineStr">
        <is>
          <t>2.4s后回巡逻</t>
        </is>
      </c>
      <c r="L24" s="306" t="inlineStr">
        <is>
          <t>射线+最后位置</t>
        </is>
      </c>
    </row>
    <row r="25">
      <c r="A25" s="306" t="inlineStr">
        <is>
          <t>顶层</t>
        </is>
      </c>
      <c r="B25" s="306" t="inlineStr">
        <is>
          <t>telegraph</t>
        </is>
      </c>
      <c r="C25" s="306" t="inlineStr">
        <is>
          <t>预警</t>
        </is>
      </c>
      <c r="D25" s="306" t="inlineStr">
        <is>
          <t>chase</t>
        </is>
      </c>
      <c r="E25" s="306" t="inlineStr">
        <is>
          <t>attack/stagger/dead</t>
        </is>
      </c>
      <c r="F25" s="306" t="inlineStr">
        <is>
          <t>高频脉冲</t>
        </is>
      </c>
      <c r="G25" s="306" t="inlineStr">
        <is>
          <t>稳定</t>
        </is>
      </c>
      <c r="H25" s="306" t="inlineStr">
        <is>
          <t>蓄势</t>
        </is>
      </c>
      <c r="I25" s="306" t="inlineStr">
        <is>
          <t>红色预警环</t>
        </is>
      </c>
      <c r="J25" s="306" t="inlineStr">
        <is>
          <t>攻击前摇</t>
        </is>
      </c>
      <c r="K25" s="306" t="inlineStr">
        <is>
          <t>不可省略</t>
        </is>
      </c>
      <c r="L25" s="306" t="inlineStr">
        <is>
          <t>计时状态</t>
        </is>
      </c>
    </row>
    <row r="26">
      <c r="A26" s="306" t="inlineStr">
        <is>
          <t>顶层</t>
        </is>
      </c>
      <c r="B26" s="306" t="inlineStr">
        <is>
          <t>attack</t>
        </is>
      </c>
      <c r="C26" s="306" t="inlineStr">
        <is>
          <t>攻击</t>
        </is>
      </c>
      <c r="D26" s="306" t="inlineStr">
        <is>
          <t>telegraph</t>
        </is>
      </c>
      <c r="E26" s="306" t="inlineStr">
        <is>
          <t>chase/stagger/dead</t>
        </is>
      </c>
      <c r="F26" s="306" t="inlineStr">
        <is>
          <t>峰值</t>
        </is>
      </c>
      <c r="G26" s="306" t="inlineStr">
        <is>
          <t>反冲</t>
        </is>
      </c>
      <c r="H26" s="306" t="inlineStr">
        <is>
          <t>执行</t>
        </is>
      </c>
      <c r="I26" s="306" t="inlineStr">
        <is>
          <t>按攻击类型</t>
        </is>
      </c>
      <c r="J26" s="306" t="inlineStr">
        <is>
          <t>近战/远程/召唤/爆炸</t>
        </is>
      </c>
      <c r="K26" s="306" t="inlineStr">
        <is>
          <t>七类差异</t>
        </is>
      </c>
      <c r="L26" s="306" t="inlineStr">
        <is>
          <t>profile策略</t>
        </is>
      </c>
    </row>
    <row r="27">
      <c r="A27" s="306" t="inlineStr">
        <is>
          <t>顶层</t>
        </is>
      </c>
      <c r="B27" s="306" t="inlineStr">
        <is>
          <t>stagger</t>
        </is>
      </c>
      <c r="C27" s="306" t="inlineStr">
        <is>
          <t>硬直</t>
        </is>
      </c>
      <c r="D27" s="306" t="inlineStr">
        <is>
          <t>任意存活态</t>
        </is>
      </c>
      <c r="E27" s="306" t="inlineStr">
        <is>
          <t>chase/dead</t>
        </is>
      </c>
      <c r="F27" s="306" t="inlineStr">
        <is>
          <t>闪色</t>
        </is>
      </c>
      <c r="G27" s="306" t="inlineStr">
        <is>
          <t>冲击</t>
        </is>
      </c>
      <c r="H27" s="306" t="inlineStr">
        <is>
          <t>暂停</t>
        </is>
      </c>
      <c r="I27" s="306" t="inlineStr">
        <is>
          <t>伤害反馈</t>
        </is>
      </c>
      <c r="J27" s="306" t="inlineStr">
        <is>
          <t>受击窗口</t>
        </is>
      </c>
      <c r="K27" s="306" t="inlineStr">
        <is>
          <t>方向可读</t>
        </is>
      </c>
      <c r="L27" s="306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306" t="inlineStr">
        <is>
          <t>Player3D 动作覆盖层 × 组件表现（不新增顶层状态）</t>
        </is>
      </c>
    </row>
    <row r="31" ht="56" customHeight="1">
      <c r="A31" s="306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306" t="inlineStr">
        <is>
          <t>叠加</t>
        </is>
      </c>
      <c r="B32" s="306" t="inlineStr">
        <is>
          <t>firing</t>
        </is>
      </c>
      <c r="C32" s="306" t="inlineStr">
        <is>
          <t>射击</t>
        </is>
      </c>
      <c r="D32" s="306" t="inlineStr">
        <is>
          <t>WeaponModel3D.shot_fired</t>
        </is>
      </c>
      <c r="E32" s="306" t="inlineStr">
        <is>
          <t>短时回弹后退出</t>
        </is>
      </c>
      <c r="F32" s="306" t="inlineStr">
        <is>
          <t>前探/压缩/弹性回弹</t>
        </is>
      </c>
      <c r="G32" s="306" t="inlineStr">
        <is>
          <t>小幅前探</t>
        </is>
      </c>
      <c r="H32" s="306" t="inlineStr">
        <is>
          <t>手枪左手不继承后坐；长枪左手托举并小幅刚性回弹</t>
        </is>
      </c>
      <c r="I32" s="306" t="inlineStr">
        <is>
          <t>右手握把跟随WeaponSocket；枪身只沿枪轴平移后坐，local -Z不离开真实弹道；腕部/躯干继续承担枪型差异回弹</t>
        </is>
      </c>
      <c r="J32" s="306" t="inlineStr">
        <is>
          <t>受冲量轻摆</t>
        </is>
      </c>
      <c r="K32" s="306" t="inlineStr">
        <is>
          <t>枪口闪光/后坐</t>
        </is>
      </c>
      <c r="L32" s="306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>
      <c r="A33" s="306" t="inlineStr">
        <is>
          <t>叠加</t>
        </is>
      </c>
      <c r="B33" s="306" t="inlineStr">
        <is>
          <t>charging</t>
        </is>
      </c>
      <c r="C33" s="306" t="inlineStr">
        <is>
          <t>蓄力</t>
        </is>
      </c>
      <c r="D33" s="306" t="inlineStr">
        <is>
          <t>WeaponModel3D.charge_active / charge_ratio</t>
        </is>
      </c>
      <c r="E33" s="306" t="inlineStr">
        <is>
          <t>释放/取消/换枪/死亡</t>
        </is>
      </c>
      <c r="F33" s="306" t="inlineStr">
        <is>
          <t>下压蓄势</t>
        </is>
      </c>
      <c r="G33" s="306" t="inlineStr">
        <is>
          <t>轻微压低</t>
        </is>
      </c>
      <c r="H33" s="306" t="inlineStr">
        <is>
          <t>长枪左手向内压入形成张力；手枪保持自由手</t>
        </is>
      </c>
      <c r="I33" s="306" t="inlineStr">
        <is>
          <t>右手握把与 WeaponSocket 同相蓄势</t>
        </is>
      </c>
      <c r="J33" s="306" t="inlineStr">
        <is>
          <t>低频张力摆动</t>
        </is>
      </c>
      <c r="K33" s="306" t="inlineStr">
        <is>
          <t>紫色能量提示（可选）</t>
        </is>
      </c>
      <c r="L33" s="306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306" t="inlineStr">
        <is>
          <t>Player3D DIY 外观槽 × 动态继承（不影响八态/玩法）</t>
        </is>
      </c>
    </row>
    <row r="37">
      <c r="A37" s="306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306" t="inlineStr">
        <is>
          <t>body/head/hand/feet/hat/glasses</t>
        </is>
      </c>
      <c r="B38" s="306" t="inlineStr">
        <is>
          <t>5+5+5+5+4+4</t>
        </is>
      </c>
      <c r="C38" s="306" t="inlineStr">
        <is>
          <t>BunnyRig Body/Head/Hands/Feet/Wearables</t>
        </is>
      </c>
      <c r="D38" s="306" t="inlineStr">
        <is>
          <t>身体弹性+双脚交替+双耳摆动</t>
        </is>
      </c>
      <c r="E38" s="306" t="inlineStr">
        <is>
          <t>按武器类型单/双手后坐；头前探</t>
        </is>
      </c>
      <c r="F38" s="306" t="inlineStr">
        <is>
          <t>整体后仰/脚随根回正</t>
        </is>
      </c>
      <c r="G38" s="306" t="inlineStr">
        <is>
          <t>主握手+WeaponSocket同相；长枪左手托举</t>
        </is>
      </c>
      <c r="H38" s="306" t="inlineStr">
        <is>
          <t>全部模块随根倾倒</t>
        </is>
      </c>
      <c r="I38" s="306" t="inlineStr">
        <is>
          <t>LowerBodySocket随BodyJoint；武器握持按枪型</t>
        </is>
      </c>
      <c r="J38" s="306" t="inlineStr">
        <is>
          <t>可见GLB材质+双耳+双手+双脚+八态覆盖</t>
        </is>
      </c>
      <c r="K38" s="306" t="inlineStr">
        <is>
          <t>3D玩家/预览场</t>
        </is>
      </c>
      <c r="L38" s="306" t="inlineStr">
        <is>
          <t>Bunny GLB材质/程序挂点；Player3D.set_avatar_customization</t>
        </is>
      </c>
    </row>
    <row r="39" ht="38" customHeight="1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</row>
    <row r="40" ht="38" customHeight="1">
      <c r="A40" s="306" t="inlineStr">
        <is>
          <t>v0.1 兔子组件与动作归属（不新增状态）</t>
        </is>
      </c>
    </row>
    <row r="41">
      <c r="A41" s="306" t="inlineStr">
        <is>
          <t>父模块｜子组件｜节点数量｜Idle｜Moving｜Dashing｜Hurt/Knockback｜Reload/Fire｜Dead｜图形语言｜禁止事项｜验收</t>
        </is>
      </c>
    </row>
    <row r="42">
      <c r="A42" s="306" t="inlineStr">
        <is>
          <t>Head / Body / Hands / Feet</t>
        </is>
      </c>
      <c r="B42" s="306" t="inlineStr">
        <is>
          <t>Ears / LowerBodySocket / HandL / HandR / FootL / FootR</t>
        </is>
      </c>
      <c r="C42" s="306" t="inlineStr">
        <is>
          <t>2 / 1 / 1 / 1 / 1 / 1</t>
        </is>
      </c>
      <c r="D42" s="306" t="inlineStr">
        <is>
          <t>双耳错相呼吸；下身挂点随Body</t>
        </is>
      </c>
      <c r="E42" s="306" t="inlineStr">
        <is>
          <t>双脚交替；双手按武器类型；挂点随Body</t>
        </is>
      </c>
      <c r="F42" s="306" t="inlineStr">
        <is>
          <t>随VisualRoot压缩翻滚</t>
        </is>
      </c>
      <c r="G42" s="306" t="inlineStr">
        <is>
          <t>手/耳/脚分别回弹；挂点继承Body</t>
        </is>
      </c>
      <c r="H42" s="306" t="inlineStr">
        <is>
          <t>手枪右手/长枪双手；下身挂件不参与枪姿</t>
        </is>
      </c>
      <c r="I42" s="306" t="inlineStr">
        <is>
          <t>全部随VisualRoot倾倒</t>
        </is>
      </c>
      <c r="J42" s="306" t="inlineStr">
        <is>
          <t>兔子刚性节点骨架；GLB分件</t>
        </is>
      </c>
      <c r="K42" s="306" t="inlineStr">
        <is>
          <t>禁止把下身附件烘焙进Body或加入玩法碰撞</t>
        </is>
      </c>
      <c r="L42" s="306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  <col width="18" customWidth="1" min="8" max="8"/>
    <col width="52" customWidth="1" min="9" max="9"/>
    <col width="20" customWidth="1" min="10" max="10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4">
      <c r="H4" s="292" t="inlineStr">
        <is>
          <t>3D Prefab分类与分页</t>
        </is>
      </c>
    </row>
    <row r="5" ht="32" customHeight="1">
      <c r="A5" s="298" t="inlineStr">
        <is>
          <t>前缀</t>
        </is>
      </c>
      <c r="B5" s="299" t="inlineStr">
        <is>
          <t>大类</t>
        </is>
      </c>
      <c r="C5" s="299" t="inlineStr">
        <is>
          <t>推荐子类</t>
        </is>
      </c>
      <c r="D5" s="299" t="inlineStr">
        <is>
          <t>标准目录</t>
        </is>
      </c>
      <c r="E5" s="299" t="inlineStr">
        <is>
          <t>文件名模式</t>
        </is>
      </c>
      <c r="F5" s="300" t="inlineStr">
        <is>
          <t>AssetID 示例</t>
        </is>
      </c>
      <c r="H5" s="273" t="inlineStr">
        <is>
          <t>Prefab分类</t>
        </is>
      </c>
      <c r="I5" s="273" t="inlineStr">
        <is>
          <t>归类标准</t>
        </is>
      </c>
      <c r="J5" s="273" t="inlineStr">
        <is>
          <t>分页</t>
        </is>
      </c>
    </row>
    <row r="6" ht="34" customHeight="1">
      <c r="A6" s="301" t="inlineStr">
        <is>
          <t>CHR</t>
        </is>
      </c>
      <c r="B6" s="301" t="inlineStr">
        <is>
          <t>角色</t>
        </is>
      </c>
      <c r="C6" s="301" t="inlineStr">
        <is>
          <t>player / npc / companion</t>
        </is>
      </c>
      <c r="D6" s="301" t="inlineStr">
        <is>
          <t>assets/art/characters/</t>
        </is>
      </c>
      <c r="E6" s="301" t="inlineStr">
        <is>
          <t>chr_{role}_{name}{nn}_{component}_{view}_v{nnn}.{png|glb|tscn}</t>
        </is>
      </c>
      <c r="F6" s="301" t="inlineStr">
        <is>
          <t>CHR-PLY-CAPSULE01-HEAD-SIDE</t>
        </is>
      </c>
      <c r="H6" s="276" t="inlineStr">
        <is>
          <t>场景通用组件</t>
        </is>
      </c>
      <c r="I6" s="277" t="inlineStr">
        <is>
          <t>关卡结构、地板、墙体、走廊、楼梯、楼板与环境套件</t>
        </is>
      </c>
      <c r="J6" s="278" t="inlineStr">
        <is>
          <t>3D-场景通用</t>
        </is>
      </c>
    </row>
    <row r="7" ht="34" customHeight="1">
      <c r="A7" s="138" t="inlineStr">
        <is>
          <t>ENM</t>
        </is>
      </c>
      <c r="B7" s="138" t="inlineStr">
        <is>
          <t>敌人</t>
        </is>
      </c>
      <c r="C7" s="138" t="inlineStr">
        <is>
          <t>normal / elite / boss</t>
        </is>
      </c>
      <c r="D7" s="138" t="inlineStr">
        <is>
          <t>assets/art/enemies/</t>
        </is>
      </c>
      <c r="E7" s="138" t="inlineStr">
        <is>
          <t>enm_{archetype}_{name}{nn}_{part}_{view}_v{nnn}.{png|glb|tscn}</t>
        </is>
      </c>
      <c r="F7" s="138" t="inlineStr">
        <is>
          <t>ENM-MELEE-FUNGBOAR01-BODY</t>
        </is>
      </c>
      <c r="H7" s="279" t="inlineStr">
        <is>
          <t>设施组件</t>
        </is>
      </c>
      <c r="I7" s="280" t="inlineStr">
        <is>
          <t>门扇、灯具、开关、终端、工作台、储物与服务设施</t>
        </is>
      </c>
      <c r="J7" s="281" t="inlineStr">
        <is>
          <t>3D-设施</t>
        </is>
      </c>
    </row>
    <row r="8" ht="34" customHeight="1">
      <c r="A8" s="138" t="inlineStr">
        <is>
          <t>WPN</t>
        </is>
      </c>
      <c r="B8" s="138" t="inlineStr">
        <is>
          <t>武器</t>
        </is>
      </c>
      <c r="C8" s="138" t="inlineStr">
        <is>
          <t>gunbody / melee / bullet / attachment</t>
        </is>
      </c>
      <c r="D8" s="138" t="inlineStr">
        <is>
          <t>assets/art/weapons/</t>
        </is>
      </c>
      <c r="E8" s="138" t="inlineStr">
        <is>
          <t>wpn_{family}_{logic_id}_{view}_v{nnn}.{png|glb|tscn}</t>
        </is>
      </c>
      <c r="F8" s="138" t="inlineStr">
        <is>
          <t>WPN-MELEE-BP-GREATBLADE</t>
        </is>
      </c>
      <c r="H8" s="279" t="inlineStr">
        <is>
          <t>道具</t>
        </is>
      </c>
      <c r="I8" s="280" t="inlineStr">
        <is>
          <t>桌椅、家具、容器和摆放装饰物</t>
        </is>
      </c>
      <c r="J8" s="281" t="inlineStr">
        <is>
          <t>3D-道具</t>
        </is>
      </c>
    </row>
    <row r="9" ht="34" customHeight="1">
      <c r="A9" s="138" t="inlineStr">
        <is>
          <t>ITM</t>
        </is>
      </c>
      <c r="B9" s="138" t="inlineStr">
        <is>
          <t>道具</t>
        </is>
      </c>
      <c r="C9" s="138" t="inlineStr">
        <is>
          <t>pickup / consumable / key / loot</t>
        </is>
      </c>
      <c r="D9" s="138" t="inlineStr">
        <is>
          <t>assets/art/items/</t>
        </is>
      </c>
      <c r="E9" s="138" t="inlineStr">
        <is>
          <t>itm_{type}_{logic_id}_{state}_v{nnn}.png</t>
        </is>
      </c>
      <c r="F9" s="138" t="inlineStr">
        <is>
          <t>ITM-KEY-ROOM-DEFAULT</t>
        </is>
      </c>
      <c r="H9" s="279" t="inlineStr">
        <is>
          <t>角色</t>
        </is>
      </c>
      <c r="I9" s="280" t="inlineStr">
        <is>
          <t>玩家、NPC与角色表现/玩法根</t>
        </is>
      </c>
      <c r="J9" s="281" t="inlineStr">
        <is>
          <t>3D-角色</t>
        </is>
      </c>
    </row>
    <row r="10" ht="34" customHeight="1">
      <c r="A10" s="138" t="inlineStr">
        <is>
          <t>ENV</t>
        </is>
      </c>
      <c r="B10" s="138" t="inlineStr">
        <is>
          <t>场景</t>
        </is>
      </c>
      <c r="C10" s="138" t="inlineStr">
        <is>
          <t>biome / room / environment_kit_3d / environment_module_3d / floor / wall / door / stair</t>
        </is>
      </c>
      <c r="D10" s="138" t="inlineStr">
        <is>
          <t>assets/art/environments/&lt;kit&gt;/{source,components,runtime}/</t>
        </is>
      </c>
      <c r="E10" s="138" t="inlineStr">
        <is>
          <t>env_{set}_{piece}_{source|visual_top3d|root_top3d}_v{nnn}.{blend|glb|tres|tscn}</t>
        </is>
      </c>
      <c r="F10" s="138" t="inlineStr">
        <is>
          <t>ENV-BASE99-WALL-PLAIN-5X9</t>
        </is>
      </c>
      <c r="H10" s="279" t="inlineStr">
        <is>
          <t>敌人</t>
        </is>
      </c>
      <c r="I10" s="280" t="inlineStr">
        <is>
          <t>普通敌人、精英、Boss与敌人共用根</t>
        </is>
      </c>
      <c r="J10" s="281" t="inlineStr">
        <is>
          <t>3D-敌人</t>
        </is>
      </c>
    </row>
    <row r="11" ht="34" customHeight="1">
      <c r="A11" s="138" t="inlineStr">
        <is>
          <t>PRP</t>
        </is>
      </c>
      <c r="B11" s="138" t="inlineStr">
        <is>
          <t>场景道具</t>
        </is>
      </c>
      <c r="C11" s="138" t="inlineStr">
        <is>
          <t>facility / container / door / debris / light / switch</t>
        </is>
      </c>
      <c r="D11" s="138" t="inlineStr">
        <is>
          <t>assets/art/props/</t>
        </is>
      </c>
      <c r="E11" s="138" t="inlineStr">
        <is>
          <t>prp_{set}_{logic_id}_{state}_v{nnn}.{png|glb|tscn}</t>
        </is>
      </c>
      <c r="F11" s="138" t="inlineStr">
        <is>
          <t>PRP-BASE-WORKBENCH-IDLE</t>
        </is>
      </c>
      <c r="H11" s="279" t="inlineStr">
        <is>
          <t>武器</t>
        </is>
      </c>
      <c r="I11" s="280" t="inlineStr">
        <is>
          <t>枪械、近战武器与武器装配根</t>
        </is>
      </c>
      <c r="J11" s="281" t="inlineStr">
        <is>
          <t>3D-武器</t>
        </is>
      </c>
    </row>
    <row r="12" ht="34" customHeight="1">
      <c r="A12" s="138" t="inlineStr">
        <is>
          <t>UI</t>
        </is>
      </c>
      <c r="B12" s="138" t="inlineStr">
        <is>
          <t>UI</t>
        </is>
      </c>
      <c r="C12" s="138" t="inlineStr">
        <is>
          <t>screen / panel / icon / cursor</t>
        </is>
      </c>
      <c r="D12" s="138" t="inlineStr">
        <is>
          <t>assets/art/ui/</t>
        </is>
      </c>
      <c r="E12" s="138" t="inlineStr">
        <is>
          <t>ui_{screen}_{element}_{state}_v{nnn}.png</t>
        </is>
      </c>
      <c r="F12" s="138" t="inlineStr">
        <is>
          <t>UI-HUD-HP-CRITICAL</t>
        </is>
      </c>
      <c r="H12" s="279" t="inlineStr">
        <is>
          <t>物品</t>
        </is>
      </c>
      <c r="I12" s="280" t="inlineStr">
        <is>
          <t>拥有独立PackedScene的拾取物、消耗品、钥匙和掉落物</t>
        </is>
      </c>
      <c r="J12" s="281" t="inlineStr">
        <is>
          <t>3D-物品</t>
        </is>
      </c>
    </row>
    <row r="13" ht="34" customHeight="1">
      <c r="A13" s="138" t="inlineStr">
        <is>
          <t>VFX</t>
        </is>
      </c>
      <c r="B13" s="138" t="inlineStr">
        <is>
          <t>特效</t>
        </is>
      </c>
      <c r="C13" s="138" t="inlineStr">
        <is>
          <t>combat / status / environment</t>
        </is>
      </c>
      <c r="D13" s="138" t="inlineStr">
        <is>
          <t>assets/art/vfx/</t>
        </is>
      </c>
      <c r="E13" s="138" t="inlineStr">
        <is>
          <t>vfx_{system}_{effect}_{variant}_v{nnn}.{png|glb|tscn}</t>
        </is>
      </c>
      <c r="F13" s="138" t="inlineStr">
        <is>
          <t>VFX-PLAYER-DASH-TRAIL-A</t>
        </is>
      </c>
      <c r="H13" s="279" t="inlineStr">
        <is>
          <t>特效</t>
        </is>
      </c>
      <c r="I13" s="280" t="inlineStr">
        <is>
          <t>可独立实例化的3D战斗、环境和可见性特效</t>
        </is>
      </c>
      <c r="J13" s="281" t="inlineStr">
        <is>
          <t>3D-特效</t>
        </is>
      </c>
    </row>
    <row r="14" ht="34" customHeight="1">
      <c r="A14" s="138" t="inlineStr">
        <is>
          <t>AUD</t>
        </is>
      </c>
      <c r="B14" s="138" t="inlineStr">
        <is>
          <t>音频</t>
        </is>
      </c>
      <c r="C14" s="138" t="inlineStr">
        <is>
          <t>bgm / sfx / ambience / ui</t>
        </is>
      </c>
      <c r="D14" s="138" t="inlineStr">
        <is>
          <t>src/assets/audio/sfx/</t>
        </is>
      </c>
      <c r="E14" s="138" t="inlineStr">
        <is>
          <t>{event}_v{nnn}.{ogg|wav}</t>
        </is>
      </c>
      <c r="F14" s="138" t="inlineStr">
        <is>
          <t>AUD-SFX-PLAYER-DASH</t>
        </is>
      </c>
      <c r="H14" s="293" t="inlineStr">
        <is>
          <t>其他</t>
        </is>
      </c>
      <c r="I14" s="294" t="inlineStr">
        <is>
          <t>无法归入以上分类的独立3D Prefab</t>
        </is>
      </c>
      <c r="J14" s="295" t="inlineStr">
        <is>
          <t>3D-其他</t>
        </is>
      </c>
    </row>
  </sheetData>
  <mergeCells count="3">
    <mergeCell ref="A3:F3"/>
    <mergeCell ref="A1:F2"/>
    <mergeCell ref="H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98" t="inlineStr">
        <is>
          <t>步骤</t>
        </is>
      </c>
      <c r="B5" s="299" t="inlineStr">
        <is>
          <t>动作</t>
        </is>
      </c>
      <c r="C5" s="299" t="inlineStr">
        <is>
          <t>必须查询</t>
        </is>
      </c>
      <c r="D5" s="299" t="inlineStr">
        <is>
          <t>通过标准</t>
        </is>
      </c>
      <c r="E5" s="299" t="inlineStr">
        <is>
          <t>禁止事项</t>
        </is>
      </c>
      <c r="F5" s="299" t="inlineStr">
        <is>
          <t>示例输入</t>
        </is>
      </c>
      <c r="G5" s="299" t="inlineStr">
        <is>
          <t>示例输出</t>
        </is>
      </c>
      <c r="H5" s="300" t="inlineStr">
        <is>
          <t>责任字段</t>
        </is>
      </c>
    </row>
    <row r="6">
      <c r="A6" s="301" t="n">
        <v>1</v>
      </c>
      <c r="B6" s="301" t="inlineStr">
        <is>
          <t>需求归一化</t>
        </is>
      </c>
      <c r="C6" s="301" t="inlineStr">
        <is>
          <t>逻辑ID、中文名、别名</t>
        </is>
      </c>
      <c r="D6" s="301" t="inlineStr">
        <is>
          <t>能写出唯一用途与复用范围</t>
        </is>
      </c>
      <c r="E6" s="301" t="inlineStr">
        <is>
          <t>只凭外观起名</t>
        </is>
      </c>
      <c r="F6" s="301" t="inlineStr">
        <is>
          <t>新的玩家右手</t>
        </is>
      </c>
      <c r="G6" s="301" t="inlineStr">
        <is>
          <t>logic=player_capsule01; slot=hand_r</t>
        </is>
      </c>
      <c r="H6" s="301" t="inlineStr">
        <is>
          <t>E/F/Q</t>
        </is>
      </c>
    </row>
    <row r="7">
      <c r="A7" s="138" t="n">
        <v>2</v>
      </c>
      <c r="B7" s="138" t="inlineStr">
        <is>
          <t>四重查重</t>
        </is>
      </c>
      <c r="C7" s="138" t="inlineStr">
        <is>
          <t>AssetID、查重键、文件名、SHA-256</t>
        </is>
      </c>
      <c r="D7" s="138" t="inlineStr">
        <is>
          <t>S列=唯一；无同哈希</t>
        </is>
      </c>
      <c r="E7" s="138" t="inlineStr">
        <is>
          <t>看到不同文件名就重做</t>
        </is>
      </c>
      <c r="F7" s="138" t="inlineStr">
        <is>
          <t>hand_r / 主手 / 枪手</t>
        </is>
      </c>
      <c r="G7" s="138" t="inlineStr">
        <is>
          <t>复用 CHR-PLY-CAPSULE01-HAND-R-SIDE</t>
        </is>
      </c>
      <c r="H7" s="138" t="inlineStr">
        <is>
          <t>A/R/S/T</t>
        </is>
      </c>
    </row>
    <row r="8">
      <c r="A8" s="138" t="n">
        <v>3</v>
      </c>
      <c r="B8" s="138" t="inlineStr">
        <is>
          <t>分类与父子关系</t>
        </is>
      </c>
      <c r="C8" s="138" t="inlineStr">
        <is>
          <t>分类码表、变体父ID</t>
        </is>
      </c>
      <c r="D8" s="138" t="inlineStr">
        <is>
          <t>只有一个大类；变体指向父ID</t>
        </is>
      </c>
      <c r="E8" s="138" t="inlineStr">
        <is>
          <t>跨目录复制同图</t>
        </is>
      </c>
      <c r="F8" s="138" t="inlineStr">
        <is>
          <t>受伤版头壳</t>
        </is>
      </c>
      <c r="G8" s="138" t="inlineStr">
        <is>
          <t>同 AssetID + state=hurt 或父子变体</t>
        </is>
      </c>
      <c r="H8" s="138" t="inlineStr">
        <is>
          <t>C/D/G/I</t>
        </is>
      </c>
    </row>
    <row r="9">
      <c r="A9" s="138" t="n">
        <v>4</v>
      </c>
      <c r="B9" s="138" t="inlineStr">
        <is>
          <t>命名</t>
        </is>
      </c>
      <c r="C9" s="138" t="inlineStr">
        <is>
          <t>前缀、逻辑ID、组件、视角、版本</t>
        </is>
      </c>
      <c r="D9" s="138" t="inlineStr">
        <is>
          <t>小写 snake_case 文件名；ID稳定</t>
        </is>
      </c>
      <c r="E9" s="138" t="inlineStr">
        <is>
          <t>空格/中文文件名/final_final</t>
        </is>
      </c>
      <c r="F9" s="138" t="inlineStr">
        <is>
          <t>玩家头壳 v2</t>
        </is>
      </c>
      <c r="G9" s="138" t="inlineStr">
        <is>
          <t>chr_player_capsule01_head_side_v002.png</t>
        </is>
      </c>
      <c r="H9" s="138" t="inlineStr">
        <is>
          <t>A/M/O</t>
        </is>
      </c>
    </row>
    <row r="10">
      <c r="A10" s="138" t="n">
        <v>5</v>
      </c>
      <c r="B10" s="138" t="inlineStr">
        <is>
          <t>组件制作</t>
        </is>
      </c>
      <c r="C10" s="138" t="inlineStr">
        <is>
          <t>角色/房间/家具尺寸/枪械/怪物/灯具共用根</t>
        </is>
      </c>
      <c r="D10" s="138" t="inlineStr">
        <is>
          <t>组件独立；3D用配置与父子变体</t>
        </is>
      </c>
      <c r="E10" s="138" t="inlineStr">
        <is>
          <t>关卡内复制枪表/房间/怪物根</t>
        </is>
      </c>
      <c r="F10" s="138" t="inlineStr">
        <is>
          <t>large可搜索柜</t>
        </is>
      </c>
      <c r="G10" s="138" t="inlineStr">
        <is>
          <t>seed/暗室开关/遮挡视野/七怪/59组合/撤离 PASS</t>
        </is>
      </c>
      <c r="H10" s="138" t="inlineStr">
        <is>
          <t>F/N/O/X</t>
        </is>
      </c>
    </row>
    <row r="11">
      <c r="A11" s="138" t="n">
        <v>6</v>
      </c>
      <c r="B11" s="138" t="inlineStr">
        <is>
          <t>验收</t>
        </is>
      </c>
      <c r="C11" s="138" t="inlineStr">
        <is>
          <t>透明边缘或3D灯光/雾/碰撞/状态/玩法逻辑/节点预算</t>
        </is>
      </c>
      <c r="D11" s="138" t="inlineStr">
        <is>
          <t>真实游戏镜头 + 玩法专项 + 性能专项通过</t>
        </is>
      </c>
      <c r="E11" s="138" t="inlineStr">
        <is>
          <t>只看母版或编辑器预览</t>
        </is>
      </c>
      <c r="F11" s="138" t="inlineStr">
        <is>
          <t>3D主题关卡</t>
        </is>
      </c>
      <c r="G11" s="138" t="inlineStr">
        <is>
          <t>seed/暗室开关/遮挡视野/七怪/56组合/撤离 PASS</t>
        </is>
      </c>
      <c r="H11" s="138" t="inlineStr">
        <is>
          <t>K/P/X</t>
        </is>
      </c>
    </row>
    <row r="12">
      <c r="A12" s="138" t="n">
        <v>7</v>
      </c>
      <c r="B12" s="138" t="inlineStr">
        <is>
          <t>登记与发布</t>
        </is>
      </c>
      <c r="C12" s="138" t="inlineStr">
        <is>
          <t>路径、尺寸、版本、哈希、许可</t>
        </is>
      </c>
      <c r="D12" s="138" t="inlineStr">
        <is>
          <t>字段齐全；更新时间为当天</t>
        </is>
      </c>
      <c r="E12" s="138" t="inlineStr">
        <is>
          <t>覆盖旧版本；删除历史来源</t>
        </is>
      </c>
      <c r="F12" s="138" t="inlineStr">
        <is>
          <t>通过的 PNG</t>
        </is>
      </c>
      <c r="G12" s="138" t="inlineStr">
        <is>
          <t>K=已完成，登记 SHA-256</t>
        </is>
      </c>
      <c r="H12" s="138" t="inlineStr">
        <is>
          <t>K–W</t>
        </is>
      </c>
    </row>
    <row r="13">
      <c r="A13" s="138" t="n">
        <v>8</v>
      </c>
      <c r="B13" s="138" t="inlineStr">
        <is>
          <t>弃用</t>
        </is>
      </c>
      <c r="C13" s="138" t="inlineStr">
        <is>
          <t>引用搜索、替代 AssetID</t>
        </is>
      </c>
      <c r="D13" s="138" t="inlineStr">
        <is>
          <t>K=弃用；备注写替代项</t>
        </is>
      </c>
      <c r="E13" s="138" t="inlineStr">
        <is>
          <t>直接删除仍被引用文件</t>
        </is>
      </c>
      <c r="F13" s="138" t="inlineStr">
        <is>
          <t>旧人类草案</t>
        </is>
      </c>
      <c r="G13" s="138" t="inlineStr">
        <is>
          <t>不入库或标弃用；不得误用</t>
        </is>
      </c>
      <c r="H13" s="138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98" t="inlineStr">
        <is>
          <t>组件</t>
        </is>
      </c>
      <c r="B5" s="299" t="inlineStr">
        <is>
          <t>AssetID</t>
        </is>
      </c>
      <c r="C5" s="299" t="inlineStr">
        <is>
          <t>尺寸</t>
        </is>
      </c>
      <c r="D5" s="299" t="inlineStr">
        <is>
          <t>用途</t>
        </is>
      </c>
      <c r="E5" s="299" t="inlineStr">
        <is>
          <t>文件</t>
        </is>
      </c>
      <c r="F5" s="299" t="inlineStr">
        <is>
          <t>哈希前12位</t>
        </is>
      </c>
      <c r="G5" s="299" t="inlineStr">
        <is>
          <t>动作方式</t>
        </is>
      </c>
      <c r="H5" s="300" t="inlineStr">
        <is>
          <t>验收</t>
        </is>
      </c>
    </row>
    <row r="6" ht="42" customHeight="1">
      <c r="A6" s="301" t="inlineStr">
        <is>
          <t>root</t>
        </is>
      </c>
      <c r="B6" s="301" t="inlineStr">
        <is>
          <t>CHR-PLY-CAPSULE01-3D-BUNNY01</t>
        </is>
      </c>
      <c r="C6" s="301" t="inlineStr">
        <is>
          <t>1.034×1.500×0.645m</t>
        </is>
      </c>
      <c r="D6" s="301" t="inlineStr">
        <is>
          <t>视觉组件根</t>
        </is>
      </c>
      <c r="E6" s="301" t="inlineStr">
        <is>
          <t>assets/art/characters/player/chr_player_capsule01_3d/variants/bunny01/chr_player_capsule01_bunny01_root_top3d_v006.tscn</t>
        </is>
      </c>
      <c r="F6" s="301" t="inlineStr">
        <is>
          <t>b894e9fe05f8</t>
        </is>
      </c>
      <c r="G6" s="301" t="inlineStr">
        <is>
          <t>八态 + 动作覆盖层</t>
        </is>
      </c>
      <c r="H6" s="301" t="inlineStr">
        <is>
          <t>通过</t>
        </is>
      </c>
    </row>
    <row r="7" ht="42" customHeight="1">
      <c r="A7" s="138" t="inlineStr">
        <is>
          <t>body</t>
        </is>
      </c>
      <c r="B7" s="138" t="inlineStr">
        <is>
          <t>CHR-PLY-CAPSULE01-3D-BUNNY01-BODY</t>
        </is>
      </c>
      <c r="C7" s="138" t="inlineStr">
        <is>
          <t>1.5m角色比例</t>
        </is>
      </c>
      <c r="D7" s="138" t="inlineStr">
        <is>
          <t>身体组件</t>
        </is>
      </c>
      <c r="E7" s="138" t="inlineStr">
        <is>
          <t>assets/art/characters/player/chr_player_capsule01_3d/variants/bunny01/components/chr_player_capsule01_bunny01_body_top3d_v006.glb</t>
        </is>
      </c>
      <c r="F7" s="138" t="inlineStr">
        <is>
          <t>c574d76e0f19</t>
        </is>
      </c>
      <c r="G7" s="138" t="inlineStr">
        <is>
          <t>呼吸/移动/受击</t>
        </is>
      </c>
      <c r="H7" s="138" t="inlineStr">
        <is>
          <t>通过</t>
        </is>
      </c>
    </row>
    <row r="8" ht="42" customHeight="1">
      <c r="A8" s="138" t="inlineStr">
        <is>
          <t>head</t>
        </is>
      </c>
      <c r="B8" s="138" t="inlineStr">
        <is>
          <t>CHR-PLY-CAPSULE01-3D-BUNNY01-HEAD</t>
        </is>
      </c>
      <c r="C8" s="138" t="inlineStr">
        <is>
          <t>头顶1.103390m</t>
        </is>
      </c>
      <c r="D8" s="138" t="inlineStr">
        <is>
          <t>头部组件</t>
        </is>
      </c>
      <c r="E8" s="138" t="inlineStr">
        <is>
          <t>assets/art/characters/player/chr_player_capsule01_3d/variants/bunny01/components/chr_player_capsule01_bunny01_head_top3d_v006.glb</t>
        </is>
      </c>
      <c r="F8" s="138" t="inlineStr">
        <is>
          <t>b8db86c722bb</t>
        </is>
      </c>
      <c r="G8" s="138" t="inlineStr">
        <is>
          <t>延迟跟随/受击</t>
        </is>
      </c>
      <c r="H8" s="138" t="inlineStr">
        <is>
          <t>通过</t>
        </is>
      </c>
    </row>
    <row r="9" ht="42" customHeight="1">
      <c r="A9" s="138" t="inlineStr">
        <is>
          <t>ears</t>
        </is>
      </c>
      <c r="B9" s="138" t="inlineStr">
        <is>
          <t>CHR-PLY-CAPSULE01-3D-BUNNY01-EARS</t>
        </is>
      </c>
      <c r="C9" s="138" t="inlineStr">
        <is>
          <t>单GLB双实例</t>
        </is>
      </c>
      <c r="D9" s="138" t="inlineStr">
        <is>
          <t>双耳配件</t>
        </is>
      </c>
      <c r="E9" s="138" t="inlineStr">
        <is>
          <t>assets/art/characters/player/chr_player_capsule01_3d/variants/bunny01/components/chr_player_capsule01_bunny01_ear_top3d_v006.glb</t>
        </is>
      </c>
      <c r="F9" s="138" t="inlineStr">
        <is>
          <t>ed3c7abe2831</t>
        </is>
      </c>
      <c r="G9" s="138" t="inlineStr">
        <is>
          <t>跟随/摆动</t>
        </is>
      </c>
      <c r="H9" s="138" t="inlineStr">
        <is>
          <t>通过</t>
        </is>
      </c>
    </row>
    <row r="10" ht="42" customHeight="1">
      <c r="A10" s="138" t="inlineStr">
        <is>
          <t>hands</t>
        </is>
      </c>
      <c r="B10" s="138" t="inlineStr">
        <is>
          <t>CHR-PLY-CAPSULE01-3D-BUNNY01-HAND</t>
        </is>
      </c>
      <c r="C10" s="138" t="inlineStr">
        <is>
          <t>左右独立GLB</t>
        </is>
      </c>
      <c r="D10" s="138" t="inlineStr">
        <is>
          <t>握持与支撑手</t>
        </is>
      </c>
      <c r="E10" s="138" t="inlineStr">
        <is>
          <t>assets/art/characters/player/chr_player_capsule01_3d/variants/bunny01/components/chr_player_capsule01_bunny01_hand_l_top3d_v006.glb; ...hand_r...v006.glb</t>
        </is>
      </c>
      <c r="F10" s="138" t="inlineStr">
        <is>
          <t>2c6647c0e4f2</t>
        </is>
      </c>
      <c r="G10" s="138" t="inlineStr">
        <is>
          <t>单手/双手握持</t>
        </is>
      </c>
      <c r="H10" s="138" t="inlineStr">
        <is>
          <t>通过</t>
        </is>
      </c>
    </row>
    <row r="11" ht="42" customHeight="1">
      <c r="A11" t="inlineStr">
        <is>
          <t>foot_l</t>
        </is>
      </c>
      <c r="B11" s="136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136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136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136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98" t="inlineStr">
        <is>
          <t>IDLE</t>
        </is>
      </c>
      <c r="B15" s="299" t="inlineStr">
        <is>
          <t>MOVING</t>
        </is>
      </c>
      <c r="C15" s="299" t="inlineStr">
        <is>
          <t>DASHING</t>
        </is>
      </c>
      <c r="D15" s="299" t="inlineStr">
        <is>
          <t>HURT</t>
        </is>
      </c>
      <c r="E15" s="299" t="inlineStr">
        <is>
          <t>LOCKED</t>
        </is>
      </c>
      <c r="F15" s="30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01" t="inlineStr">
        <is>
          <t>待命</t>
        </is>
      </c>
      <c r="B16" s="301" t="inlineStr">
        <is>
          <t>移动</t>
        </is>
      </c>
      <c r="C16" s="301" t="inlineStr">
        <is>
          <t>突进</t>
        </is>
      </c>
      <c r="D16" s="301" t="inlineStr">
        <is>
          <t>受创</t>
        </is>
      </c>
      <c r="E16" s="301" t="inlineStr">
        <is>
          <t>交互锁定</t>
        </is>
      </c>
      <c r="F16" s="301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138" t="inlineStr">
        <is>
          <t>呼吸/重心</t>
        </is>
      </c>
      <c r="B17" s="138" t="inlineStr">
        <is>
          <t>双脚交替</t>
        </is>
      </c>
      <c r="C17" s="138" t="inlineStr">
        <is>
          <t>翻滚收束</t>
        </is>
      </c>
      <c r="D17" s="138" t="inlineStr">
        <is>
          <t>反向冲击</t>
        </is>
      </c>
      <c r="E17" s="138" t="inlineStr">
        <is>
          <t>姿态稳定</t>
        </is>
      </c>
      <c r="F17" s="138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138" t="inlineStr">
        <is>
          <t>可进移动/突进</t>
        </is>
      </c>
      <c r="B18" s="138" t="inlineStr">
        <is>
          <t>可进待命/突进</t>
        </is>
      </c>
      <c r="C18" s="138" t="inlineStr">
        <is>
          <t>回到待命或移动</t>
        </is>
      </c>
      <c r="D18" s="138" t="inlineStr">
        <is>
          <t>恢复原状态</t>
        </is>
      </c>
      <c r="E18" s="138" t="inlineStr">
        <is>
          <t>由交互释放</t>
        </is>
      </c>
      <c r="F18" s="138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138" t="inlineStr">
        <is>
          <t>允许射击覆盖</t>
        </is>
      </c>
      <c r="B19" s="138" t="inlineStr">
        <is>
          <t>允许射击覆盖</t>
        </is>
      </c>
      <c r="C19" s="138" t="inlineStr">
        <is>
          <t>无敌窗</t>
        </is>
      </c>
      <c r="D19" s="138" t="inlineStr">
        <is>
          <t>受击反馈</t>
        </is>
      </c>
      <c r="E19" s="138" t="inlineStr">
        <is>
          <t>输入锁定</t>
        </is>
      </c>
      <c r="F19" s="138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136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</cols>
  <sheetData>
    <row r="1" ht="25" customHeight="1">
      <c r="A1" s="296" t="inlineStr">
        <is>
          <t>资产台账版本记录 · 游戏设计文档 v0.1</t>
        </is>
      </c>
    </row>
    <row r="2" ht="12" customHeight="1"/>
    <row r="3" ht="23" customHeight="1">
      <c r="A3" s="297" t="inlineStr">
        <is>
          <t>只记录当前有效基线；历史变更通过版本控制追溯</t>
        </is>
      </c>
    </row>
    <row r="4">
      <c r="A4" s="136" t="n"/>
      <c r="B4" s="136" t="n"/>
      <c r="C4" s="136" t="n"/>
      <c r="D4" s="136" t="n"/>
      <c r="E4" s="136" t="n"/>
      <c r="F4" s="136" t="n"/>
      <c r="G4" s="136" t="n"/>
    </row>
    <row r="5" ht="32" customHeight="1">
      <c r="A5" s="298" t="inlineStr">
        <is>
          <t>台账版本</t>
        </is>
      </c>
      <c r="B5" s="299" t="inlineStr">
        <is>
          <t>日期</t>
        </is>
      </c>
      <c r="C5" s="299" t="inlineStr">
        <is>
          <t>变更类型</t>
        </is>
      </c>
      <c r="D5" s="299" t="inlineStr">
        <is>
          <t>范围</t>
        </is>
      </c>
      <c r="E5" s="299" t="inlineStr">
        <is>
          <t>说明</t>
        </is>
      </c>
      <c r="F5" s="299" t="inlineStr">
        <is>
          <t>兼容性</t>
        </is>
      </c>
      <c r="G5" s="300" t="inlineStr">
        <is>
          <t>负责人</t>
        </is>
      </c>
    </row>
    <row r="6" ht="46" customHeight="1">
      <c r="A6" s="301" t="inlineStr">
        <is>
          <t>v0.1.0</t>
        </is>
      </c>
      <c r="B6" s="302" t="n">
        <v>46236</v>
      </c>
      <c r="C6" s="301" t="inlineStr">
        <is>
          <t>游戏设计文档 v0.1</t>
        </is>
      </c>
      <c r="D6" s="301" t="inlineStr">
        <is>
          <t>全项目</t>
        </is>
      </c>
      <c r="E6" s="301" t="inlineStr">
        <is>
          <t>统一3D塔楼主线、测试目录、当前资产路径、状态口径和投影契约；清理历史制作版本。</t>
        </is>
      </c>
      <c r="F6" s="301" t="inlineStr">
        <is>
          <t>只保留当前运行资产；历史追溯使用版本控制。</t>
        </is>
      </c>
      <c r="G6" s="301" t="inlineStr">
        <is>
          <t>Codex</t>
        </is>
      </c>
    </row>
    <row r="7" ht="46" customHeight="1">
      <c r="A7" s="136" t="inlineStr">
        <is>
          <t>v0.1.1</t>
        </is>
      </c>
      <c r="B7" s="137" t="n">
        <v>46240</v>
      </c>
      <c r="C7" s="136" t="inlineStr">
        <is>
          <t>角色武器表现调整</t>
        </is>
      </c>
      <c r="D7" s="136" t="inlineStr">
        <is>
          <t>player_capsule01_3d</t>
        </is>
      </c>
      <c r="E7" s="136" t="inlineStr">
        <is>
          <t>新增主左/副右背部收纳挂点，枪口统一朝下；复用既有武器模型与AssetID。</t>
        </is>
      </c>
      <c r="F7" s="136" t="inlineStr">
        <is>
          <t>不改武器实例、碰撞、伤害或切枪规则。</t>
        </is>
      </c>
      <c r="G7" s="136" t="inlineStr">
        <is>
          <t>Codex</t>
        </is>
      </c>
    </row>
    <row r="8" ht="46" customHeight="1">
      <c r="A8" s="136" t="inlineStr">
        <is>
          <t>v0.1.2</t>
        </is>
      </c>
      <c r="B8" s="137" t="n">
        <v>46241</v>
      </c>
      <c r="C8" s="136" t="inlineStr">
        <is>
          <t>音频与体验一致性</t>
        </is>
      </c>
      <c r="D8" s="136" t="inlineStr">
        <is>
          <t>31项音效/UI/玩家死亡</t>
        </is>
      </c>
      <c r="E8" s="136" t="inlineStr">
        <is>
          <t>登记OGG运行资产与哈希；更新包裹/贩卖机UI版本和死亡击飞回弹状态。</t>
        </is>
      </c>
      <c r="F8" s="136" t="inlineStr">
        <is>
          <t>WAV母版保留；运行时改用版本化OGG；不改变稳定事件键和AssetID。</t>
        </is>
      </c>
      <c r="G8" s="136" t="inlineStr">
        <is>
          <t>Codex</t>
        </is>
      </c>
    </row>
    <row r="9" ht="48" customHeight="1">
      <c r="A9" s="136" t="inlineStr">
        <is>
          <t>v0.1.6</t>
        </is>
      </c>
      <c r="B9" s="137" t="n">
        <v>46244</v>
      </c>
      <c r="C9" s="136" t="inlineStr">
        <is>
          <t>大型近战与动作状态机</t>
        </is>
      </c>
      <c r="D9" s="136" t="inlineStr">
        <is>
          <t>2武器/4动作态/三段连击</t>
        </is>
      </c>
      <c r="E9" s="136" t="inlineStr">
        <is>
          <t>登记巨型工业断刃、攻城裂甲斧程序原型；新增近战ready/windup/active/recovery动作契约与专项验收。</t>
        </is>
      </c>
      <c r="F9" s="136" t="inlineStr">
        <is>
          <t>不改变玩家八态移动机、碰撞体或WeaponInstance稳定身份；近战根无子弹槽。</t>
        </is>
      </c>
      <c r="G9" s="136" t="inlineStr">
        <is>
          <t>Codex</t>
        </is>
      </c>
    </row>
    <row r="10" ht="58" customHeight="1">
      <c r="A10" s="136" t="inlineStr">
        <is>
          <t>v0.1.7</t>
        </is>
      </c>
      <c r="B10" s="137" t="n">
        <v>46244</v>
      </c>
      <c r="C10" s="136" t="inlineStr">
        <is>
          <t>近战打击VFX与音频反馈</t>
        </is>
      </c>
      <c r="D10" s="136" t="inlineStr">
        <is>
          <t>战斗VFX/2音频/2近战</t>
        </is>
      </c>
      <c r="E10" s="136" t="inlineStr">
        <is>
          <t>复用VFX-COMBAT-KIT-3D扩展slash/melee_impact；登记melee_swing/melee_impact OGG与母版哈希；同步动作状态、武器反馈和专项验收。</t>
        </is>
      </c>
      <c r="F10" s="136" t="inlineStr">
        <is>
          <t>不改命中判定、伤害或稳定武器ID；VFX无碰撞；多目标冲击主音去重。</t>
        </is>
      </c>
      <c r="G10" s="136" t="inlineStr">
        <is>
          <t>Codex</t>
        </is>
      </c>
    </row>
    <row r="11" ht="58" customHeight="1">
      <c r="A11" s="136" t="inlineStr">
        <is>
          <t>v0.1.8</t>
        </is>
      </c>
      <c r="B11" s="137" t="n">
        <v>46244</v>
      </c>
      <c r="C11" s="136" t="inlineStr">
        <is>
          <t>初级近战与统一枪械配件槽</t>
        </is>
      </c>
      <c r="D11" s="136" t="inlineStr">
        <is>
          <t>1武器/6公共槽/7枪兼容矩阵</t>
        </is>
      </c>
      <c r="E11" s="136" t="inlineStr">
        <is>
          <t>登记基地初级棒球棍；所有枪显示瞄具/枪口/弹匣/枪托/战术/特性统一位置，不支持槽禁用；配件可单拆，整枪移动保留装配树。</t>
        </is>
      </c>
      <c r="F11" s="136" t="inlineStr">
        <is>
          <t>WeaponInstance schema v2兼容v1 MOUNT旧快照；不改命运永久槽或内部递归挂载。</t>
        </is>
      </c>
      <c r="G11" s="136" t="inlineStr">
        <is>
          <t>Codex</t>
        </is>
      </c>
    </row>
    <row r="12">
      <c r="A12" s="136" t="inlineStr">
        <is>
          <t>v0.1.9</t>
        </is>
      </c>
      <c r="B12" s="332" t="n">
        <v>46244</v>
      </c>
      <c r="C12" s="136" t="inlineStr">
        <is>
          <t>正式基地设施与独立枪械美术接入</t>
        </is>
      </c>
      <c r="D12" s="136" t="inlineStr">
        <is>
          <t>5设施/18枪/统一挂点</t>
        </is>
      </c>
      <c r="E12" s="136" t="inlineStr">
        <is>
          <t>基地接入贩卖机、情报台、工作台；18把枪拆为独立资产，7把映射现有蓝图，其余入未来资产池。</t>
        </is>
      </c>
      <c r="F12" s="136" t="inlineStr">
        <is>
          <t>不改玩法稳定ID；枪械统一Grip原点/local -Z枪口与8类挂点；旧程序模型保留为回退。</t>
        </is>
      </c>
      <c r="G12" s="136" t="inlineStr">
        <is>
          <t>Codex</t>
        </is>
      </c>
    </row>
    <row r="13" ht="60" customHeight="1">
      <c r="A13" s="136" t="inlineStr">
        <is>
          <t>v0.1.8</t>
        </is>
      </c>
      <c r="B13" s="332" t="n">
        <v>46245</v>
      </c>
      <c r="C13" s="136" t="inlineStr">
        <is>
          <t>??????????</t>
        </is>
      </c>
      <c r="D13" s="136" t="inlineStr">
        <is>
          <t>vault / fate_collection</t>
        </is>
      </c>
      <c r="E13" s="136" t="inlineStr">
        <is>
          <t>????????????????????????????????????????????????</t>
        </is>
      </c>
      <c r="F13" s="136" t="inlineStr">
        <is>
          <t>??facility_id???????????????????????</t>
        </is>
      </c>
      <c r="G13" s="136" t="inlineStr">
        <is>
          <t>Codex</t>
        </is>
      </c>
    </row>
    <row r="14" ht="54" customHeight="1">
      <c r="A14" s="136" t="inlineStr">
        <is>
          <t>v0.1.10</t>
        </is>
      </c>
      <c r="B14" s="136" t="n">
        <v>46247</v>
      </c>
      <c r="C14" s="136" t="inlineStr">
        <is>
          <t>Boss/场地/手电筒资产收口</t>
        </is>
      </c>
      <c r="D14" s="136" t="inlineStr">
        <is>
          <t>3 Boss / 3场地 / 3音频</t>
        </is>
      </c>
      <c r="E14" s="136" t="inlineStr">
        <is>
          <t>登记95/90/85层独立Boss和竞技场GLB、三条手电筒OGG及母版；记录永久结构代理与高模流式边界。</t>
        </is>
      </c>
      <c r="F14" s="136" t="inlineStr">
        <is>
          <t>稳定玩法ID不变；楼板、关卡墙和塔楼外墙永久可见；仅正式高模视野外流式。</t>
        </is>
      </c>
      <c r="G14" s="136" t="inlineStr">
        <is>
          <t>Codex</t>
        </is>
      </c>
    </row>
    <row r="15" ht="72" customHeight="1">
      <c r="A15" s="136" t="inlineStr">
        <is>
          <t>v0.1.11</t>
        </is>
      </c>
      <c r="B15" s="137" t="n">
        <v>46252</v>
      </c>
      <c r="C15" s="136" t="inlineStr">
        <is>
          <t>基地99层3D模块资产管理</t>
        </is>
      </c>
      <c r="D15" s="136" t="inlineStr">
        <is>
          <t>模块目录/5项资产/普通墙表现替换</t>
        </is>
      </c>
      <c r="E15" s="136" t="inlineStr">
        <is>
          <t>建立3D source/components/runtime目录与命名契约；登记基地套件、普通墙、带门墙和两种基地地板；普通墙切换为正式GLB。</t>
        </is>
      </c>
      <c r="F15" s="136" t="inlineStr">
        <is>
          <t>只替换99F普通墙表现；14段槽位、0.30m碰撞、两个带门墙、门状态机、寻路和摄像机逻辑不变。</t>
        </is>
      </c>
      <c r="G15" s="136" t="inlineStr">
        <is>
          <t>Codex</t>
        </is>
      </c>
    </row>
    <row r="16" ht="72" customHeight="1">
      <c r="A16" s="136" t="inlineStr">
        <is>
          <t>v0.1.12</t>
        </is>
      </c>
      <c r="B16" s="137" t="n">
        <v>46252</v>
      </c>
      <c r="C16" s="136" t="inlineStr">
        <is>
          <t>3D Prefab总控与原生组合规则</t>
        </is>
      </c>
      <c r="D16" s="136" t="inlineStr">
        <is>
          <t>3D资产管理/基地99层4项Prefab映射</t>
        </is>
      </c>
      <c r="E16" s="136" t="inlineStr">
        <is>
          <t>新增简化3D Prefab总控，记录Prefab、GLB、功能脚本与碰撞归属；现有3D规范补充Godot原生组合和按需建模规则。</t>
        </is>
      </c>
      <c r="F16" s="136" t="inlineStr">
        <is>
          <t>不改变Godot运行结构；不新增未来空壳模块；当前基地普通墙、门墙和地板引用保持不变。</t>
        </is>
      </c>
      <c r="G16" s="136" t="inlineStr">
        <is>
          <t>Codex</t>
        </is>
      </c>
    </row>
    <row r="17" ht="52" customHeight="1">
      <c r="A17" s="136" t="inlineStr">
        <is>
          <t>v0.1.13</t>
        </is>
      </c>
      <c r="B17" s="137" t="n">
        <v>46252</v>
      </c>
      <c r="C17" s="136" t="inlineStr">
        <is>
          <t>3D Prefab资产分类</t>
        </is>
      </c>
      <c r="D17" s="136" t="inlineStr">
        <is>
          <t>Prefab总控/分类与编码/基地99层4项</t>
        </is>
      </c>
      <c r="E17" s="136" t="inlineStr">
        <is>
          <t>Prefab总控新增独立分类列和下拉规则；分类与编码页登记场景通用组件、设施组件、道具等固定分类；现有基地模块归入场景通用组件。</t>
        </is>
      </c>
      <c r="F17" s="136" t="inlineStr">
        <is>
          <t>只更新资产管理分类，不改变AssetID、Prefab路径、模型、脚本、碰撞或Godot运行逻辑。</t>
        </is>
      </c>
      <c r="G17" s="136" t="inlineStr">
        <is>
          <t>Codex</t>
        </is>
      </c>
    </row>
    <row r="18" ht="50" customHeight="1">
      <c r="A18" s="136" t="inlineStr">
        <is>
          <t>v0.1.14</t>
        </is>
      </c>
      <c r="B18" s="137" t="n">
        <v>46252</v>
      </c>
      <c r="C18" s="136" t="inlineStr">
        <is>
          <t>全项目3D Prefab扫描与分类分页</t>
        </is>
      </c>
      <c r="D18" s="136" t="inlineStr">
        <is>
          <t>90个Prefab/9分类分页/补登记35项</t>
        </is>
      </c>
      <c r="E18" s="136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136" t="inlineStr">
        <is>
          <t>只更新资产账本与管理规则；不修改Prefab、GLB、脚本、碰撞或Godot运行逻辑。</t>
        </is>
      </c>
      <c r="G18" s="136" t="inlineStr">
        <is>
          <t>Codex</t>
        </is>
      </c>
    </row>
    <row r="19" ht="52" customHeight="1">
      <c r="A19" s="136" t="inlineStr">
        <is>
          <t>v0.1.15</t>
        </is>
      </c>
      <c r="B19" s="136" t="n">
        <v>46252</v>
      </c>
      <c r="C19" s="136" t="inlineStr">
        <is>
          <t>基地99层九件模块正式接入</t>
        </is>
      </c>
      <c r="D19" s="136" t="inlineStr">
        <is>
          <t>9 Prefab / 9 GLB / 98个3D Prefab</t>
        </is>
      </c>
      <c r="E19" s="136" t="inlineStr">
        <is>
          <t>接入两种地板、三种墙、滑升门、7米楼板、L型楼梯和外门小楼梯；记录外部碰撞、门逻辑、不投影及底部摄像机净空规则。</t>
        </is>
      </c>
      <c r="F19" s="136" t="inlineStr">
        <is>
          <t>只替换表现并复用Godot原生组合；门、房间、碰撞和99→98层摄像机规则保持稳定。</t>
        </is>
      </c>
      <c r="G19" s="136" t="inlineStr">
        <is>
          <t>Codex</t>
        </is>
      </c>
    </row>
    <row r="20" ht="90" customHeight="1">
      <c r="A20" s="136" t="inlineStr">
        <is>
          <t>v0.1.16</t>
        </is>
      </c>
      <c r="B20" s="136" t="n">
        <v>46252</v>
      </c>
      <c r="C20" s="136" t="inlineStr">
        <is>
          <t>基地99/100层布局与楼梯碰撞校正</t>
        </is>
      </c>
      <c r="D20" s="136" t="inlineStr">
        <is>
          <t>99层14普通墙/100层开洞36块/3个可编辑结构Prefab</t>
        </is>
      </c>
      <c r="E20" s="136" t="inlineStr">
        <is>
          <t>按Blender母版校正楼板、L梯和外门小梯坐标；99层移除窗墙；100层楼板与承重碰撞开6×6中庭；楼梯改为可行走简化坡面。</t>
        </is>
      </c>
      <c r="F20" s="136" t="inlineStr">
        <is>
          <t>表现与碰撞保留Prefab分工；门、设施、房间与99→98层逻辑不改；结构组件可在主场景tscn直接摆放。</t>
        </is>
      </c>
      <c r="G20" s="136" t="inlineStr">
        <is>
          <t>Codex</t>
        </is>
      </c>
    </row>
    <row r="21" ht="86" customHeight="1">
      <c r="A21" s="136" t="inlineStr">
        <is>
          <t>v0.1.17</t>
        </is>
      </c>
      <c r="B21" s="136" t="n">
        <v>46252</v>
      </c>
      <c r="C21" s="136" t="inlineStr">
        <is>
          <t>基地100层上层围护与18米封顶</t>
        </is>
      </c>
      <c r="D21" s="136" t="inlineStr">
        <is>
          <t>1个组合Prefab/24块墙/36块封顶/9片结构碰撞</t>
        </is>
      </c>
      <c r="E21" s="136" t="inlineStr">
        <is>
          <t>按Blender母版加入9—18米上层围护：北侧中间4窗、其余19普通墙、东侧1门墙；18米复用5米地板模块封顶。</t>
        </is>
      </c>
      <c r="F21" s="136" t="inlineStr">
        <is>
          <t>新增组合仅负责表现与结构碰撞；99层14普通墙、2功能门、设施、中庭开洞和摄像机规则不变；全部不投影。</t>
        </is>
      </c>
      <c r="G21" s="136" t="inlineStr">
        <is>
          <t>Codex</t>
        </is>
      </c>
    </row>
    <row r="22" ht="72" customHeight="1">
      <c r="A22" s="136" t="inlineStr">
        <is>
          <t>v0.1.18</t>
        </is>
      </c>
      <c r="B22" s="136" t="n">
        <v>46252</v>
      </c>
      <c r="C22" s="136" t="inlineStr">
        <is>
          <t>场景组件真实投影规则</t>
        </is>
      </c>
      <c r="D22" s="136" t="inlineStr">
        <is>
          <t>基地墙/地板/门/楼板/楼梯/封顶/设施模型</t>
        </is>
      </c>
      <c r="E22" s="136" t="inlineStr">
        <is>
          <t>统一cast_shadow=ON；封顶阻挡室外光；中央灯开关形成真实明暗切换。</t>
        </is>
      </c>
      <c r="F22" s="136" t="inlineStr">
        <is>
          <t>只改渲染投影，不改碰撞、门、设施、楼层功能；纯VFX/光池/玩家/UI不纳入场景模型规则。</t>
        </is>
      </c>
      <c r="G22" s="136" t="inlineStr">
        <is>
          <t>Codex</t>
        </is>
      </c>
    </row>
    <row r="23" ht="78" customHeight="1">
      <c r="A23" s="136" t="inlineStr">
        <is>
          <t>v0.1.19</t>
        </is>
      </c>
      <c r="B23" s="137" t="n">
        <v>46254</v>
      </c>
      <c r="C23" s="136" t="inlineStr">
        <is>
          <t>基地系统/时间/Avatar/3D流程收口</t>
        </is>
      </c>
      <c r="D23" s="136" t="inlineStr">
        <is>
          <t>6项资产/3项Skill/5米结构/11设施</t>
        </is>
      </c>
      <c r="E23" s="136" t="inlineStr">
        <is>
          <t>平台改为5米并联动两类楼梯与栏杆碰撞；新增物理楼层权威、时间日夜、基地能源恢复舱、主页面、衣柜、脱困和1.5米角色母版。</t>
        </is>
      </c>
      <c r="F23" s="136" t="inlineStr">
        <is>
          <t>视觉替换不改变原门、设施、玩家碰撞和战斗脚本；旧Z7/H2资产保留回滚；新Skill草稿未安装。</t>
        </is>
      </c>
      <c r="G23" s="136" t="inlineStr">
        <is>
          <t>Codex</t>
        </is>
      </c>
    </row>
    <row r="24" ht="100" customHeight="1">
      <c r="A24" s="136" t="inlineStr">
        <is>
          <t>v0.1.20</t>
        </is>
      </c>
      <c r="B24" s="137" t="n">
        <v>46261</v>
      </c>
      <c r="C24" s="136" t="inlineStr">
        <is>
          <t>首只唯一精英正式资产</t>
        </is>
      </c>
      <c r="D24" s="136" t="inlineStr">
        <is>
          <t>1 Blend / 1 GLB / 1 Prefab / 98—96F投放</t>
        </is>
      </c>
      <c r="E24" s="136" t="inlineStr">
        <is>
          <t>登记背枪的裂口爬虫独立模型、四材质、五类语义组件、命名血条和表现/碰撞解耦。</t>
        </is>
      </c>
      <c r="F24" s="136" t="inlineStr">
        <is>
          <t>稳定elite_id、AI、生命、伤害、掉落、跨局档案与基础碰撞不变；其余11只不投放。</t>
        </is>
      </c>
      <c r="G24" s="136" t="inlineStr">
        <is>
          <t>Codex</t>
        </is>
      </c>
    </row>
    <row r="25" ht="115" customHeight="1">
      <c r="A25" s="136" t="n"/>
      <c r="B25" s="136" t="n"/>
      <c r="C25" s="136" t="n"/>
      <c r="D25" s="136" t="n"/>
      <c r="E25" s="136" t="n"/>
      <c r="F25" s="136" t="n"/>
      <c r="G25" s="136" t="n"/>
    </row>
    <row r="26" ht="118" customHeight="1">
      <c r="A26" s="136" t="n"/>
      <c r="B26" s="136" t="n"/>
      <c r="C26" s="136" t="n"/>
      <c r="D26" s="136" t="n"/>
      <c r="E26" s="136" t="n"/>
      <c r="F26" s="136" t="n"/>
      <c r="G26" s="136" t="n"/>
    </row>
    <row r="27" ht="118" customHeight="1">
      <c r="A27" s="136" t="n"/>
      <c r="B27" s="136" t="n"/>
      <c r="C27" s="136" t="n"/>
      <c r="D27" s="136" t="n"/>
      <c r="E27" s="136" t="n"/>
      <c r="F27" s="136" t="n"/>
      <c r="G27" s="136" t="n"/>
    </row>
    <row r="28" ht="118" customHeight="1">
      <c r="A28" s="136" t="n"/>
      <c r="B28" s="136" t="n"/>
      <c r="C28" s="136" t="n"/>
      <c r="D28" s="136" t="n"/>
      <c r="E28" s="136" t="n"/>
      <c r="F28" s="136" t="n"/>
      <c r="G28" s="136" t="n"/>
    </row>
    <row r="29" ht="84" customHeight="1">
      <c r="A29" s="136" t="n"/>
      <c r="B29" s="136" t="n"/>
      <c r="C29" s="136" t="n"/>
      <c r="D29" s="136" t="n"/>
      <c r="E29" s="136" t="n"/>
      <c r="F29" s="136" t="n"/>
      <c r="G29" s="136" t="n"/>
    </row>
    <row r="30" ht="118" customHeight="1">
      <c r="A30" s="136" t="n"/>
      <c r="B30" s="136" t="n"/>
      <c r="C30" s="136" t="n"/>
      <c r="D30" s="136" t="n"/>
      <c r="E30" s="136" t="n"/>
      <c r="F30" s="136" t="n"/>
      <c r="G30" s="136" t="n"/>
    </row>
    <row r="31" ht="118" customHeight="1">
      <c r="A31" s="136" t="n"/>
      <c r="B31" s="136" t="n"/>
      <c r="C31" s="136" t="n"/>
      <c r="D31" s="136" t="n"/>
      <c r="E31" s="136" t="n"/>
      <c r="F31" s="136" t="n"/>
      <c r="G31" s="136" t="n"/>
    </row>
    <row r="32" ht="118" customHeight="1">
      <c r="A32" s="136" t="n"/>
      <c r="B32" s="136" t="n"/>
      <c r="C32" s="136" t="n"/>
      <c r="D32" s="136" t="n"/>
      <c r="E32" s="136" t="n"/>
      <c r="F32" s="136" t="n"/>
      <c r="G32" s="136" t="n"/>
    </row>
    <row r="33" ht="128" customHeight="1">
      <c r="A33" s="136" t="n"/>
      <c r="B33" s="136" t="n"/>
      <c r="C33" s="136" t="n"/>
      <c r="D33" s="136" t="n"/>
      <c r="E33" s="136" t="n"/>
      <c r="F33" s="136" t="n"/>
      <c r="G33" s="136" t="n"/>
    </row>
    <row r="34" ht="96" customHeight="1">
      <c r="A34" s="136" t="n"/>
      <c r="B34" s="136" t="n"/>
      <c r="C34" s="136" t="n"/>
      <c r="D34" s="136" t="n"/>
      <c r="E34" s="136" t="n"/>
      <c r="F34" s="136" t="n"/>
      <c r="G34" s="136" t="n"/>
    </row>
    <row r="35" ht="108" customHeight="1">
      <c r="A35" s="136" t="n"/>
      <c r="B35" s="136" t="n"/>
      <c r="C35" s="136" t="n"/>
      <c r="D35" s="136" t="n"/>
      <c r="E35" s="136" t="n"/>
      <c r="F35" s="136" t="n"/>
      <c r="G35" s="136" t="n"/>
    </row>
    <row r="36" ht="72" customHeight="1">
      <c r="A36" s="136" t="n"/>
      <c r="B36" s="136" t="n"/>
      <c r="C36" s="136" t="n"/>
      <c r="D36" s="136" t="n"/>
      <c r="E36" s="136" t="n"/>
      <c r="F36" s="136" t="n"/>
      <c r="G36" s="136" t="n"/>
    </row>
    <row r="37">
      <c r="A37" s="136" t="n"/>
      <c r="B37" s="137" t="n"/>
      <c r="C37" s="136" t="n"/>
      <c r="D37" s="136" t="n"/>
      <c r="E37" s="136" t="n"/>
      <c r="F37" s="136" t="n"/>
      <c r="G37" s="136" t="n"/>
    </row>
  </sheetData>
  <mergeCells count="2">
    <mergeCell ref="A3:G3"/>
    <mergeCell ref="A1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5" customWidth="1" min="4" max="4"/>
    <col width="15" customWidth="1" min="5" max="5"/>
    <col width="13" customWidth="1" min="6" max="6"/>
    <col width="58" customWidth="1" min="7" max="7"/>
    <col width="34" customWidth="1" min="8" max="8"/>
    <col width="10" customWidth="1" min="9" max="9"/>
    <col width="12" customWidth="1" min="10" max="10"/>
    <col width="15" customWidth="1" min="11" max="11"/>
    <col width="25" customWidth="1" min="12" max="12"/>
    <col width="26" customWidth="1" min="13" max="13"/>
    <col width="28" customWidth="1" min="14" max="14"/>
    <col width="22" customWidth="1" min="15" max="15"/>
    <col width="10" customWidth="1" min="16" max="16"/>
    <col width="42" customWidth="1" min="17" max="17"/>
  </cols>
  <sheetData>
    <row r="1" ht="30" customHeight="1">
      <c r="A1" s="311" t="inlineStr">
        <is>
          <t>ShellStorm2 · 3D Prefab 分类索引</t>
        </is>
      </c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34" customHeight="1">
      <c r="A2" s="312" t="inlineStr">
        <is>
          <t>详细Prefab不再集中堆放；按分类进入独立分页。本次扫描排除测试场景、UI页面和整关卡入口。</t>
        </is>
      </c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>
      <c r="A3" s="136" t="n"/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</row>
    <row r="4" ht="28" customHeight="1">
      <c r="A4" s="313" t="inlineStr">
        <is>
          <t>分类</t>
        </is>
      </c>
      <c r="B4" s="313" t="inlineStr">
        <is>
          <t>分页</t>
        </is>
      </c>
      <c r="C4" s="313" t="inlineStr">
        <is>
          <t>Prefab数量</t>
        </is>
      </c>
      <c r="D4" s="313" t="inlineStr">
        <is>
          <t>直接引用GLB</t>
        </is>
      </c>
      <c r="E4" s="313" t="inlineStr">
        <is>
          <t>有功能脚本</t>
        </is>
      </c>
      <c r="F4" s="313" t="inlineStr">
        <is>
          <t>碰撞开启</t>
        </is>
      </c>
      <c r="G4" s="313" t="inlineStr">
        <is>
          <t>说明</t>
        </is>
      </c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</row>
    <row r="5" ht="32" customHeight="1">
      <c r="A5" s="276" t="inlineStr">
        <is>
          <t>场景通用组件</t>
        </is>
      </c>
      <c r="B5" s="277" t="inlineStr">
        <is>
          <t>3D-场景通用</t>
        </is>
      </c>
      <c r="C5" s="277" t="n">
        <v>55</v>
      </c>
      <c r="D5" s="277" t="n">
        <v>13</v>
      </c>
      <c r="E5" s="277" t="n">
        <v>55</v>
      </c>
      <c r="F5" s="277" t="n">
        <v>39</v>
      </c>
      <c r="G5" s="278" t="inlineStr">
        <is>
          <t>关卡结构、地板、墙体、走廊、楼梯、楼板与环境套件</t>
        </is>
      </c>
      <c r="H5" s="136" t="n"/>
      <c r="I5" s="136" t="n"/>
      <c r="J5" s="136" t="n"/>
      <c r="K5" s="136" t="n"/>
      <c r="L5" s="136" t="n"/>
      <c r="M5" s="136" t="n"/>
      <c r="N5" s="136" t="n"/>
      <c r="O5" s="136" t="n"/>
      <c r="P5" s="136" t="n"/>
      <c r="Q5" s="136" t="n"/>
    </row>
    <row r="6" ht="32" customHeight="1">
      <c r="A6" s="279" t="inlineStr">
        <is>
          <t>设施组件</t>
        </is>
      </c>
      <c r="B6" s="280" t="inlineStr">
        <is>
          <t>3D-设施</t>
        </is>
      </c>
      <c r="C6" s="280" t="n">
        <v>17</v>
      </c>
      <c r="D6" s="280" t="n">
        <v>7</v>
      </c>
      <c r="E6" s="280" t="n">
        <v>16</v>
      </c>
      <c r="F6" s="280" t="n">
        <v>15</v>
      </c>
      <c r="G6" s="281" t="inlineStr">
        <is>
          <t>门扇、灯具、开关、终端、工作台、储物与服务设施</t>
        </is>
      </c>
      <c r="H6" s="136" t="n"/>
      <c r="I6" s="136" t="n"/>
      <c r="J6" s="136" t="n"/>
      <c r="K6" s="136" t="n"/>
      <c r="L6" s="136" t="n"/>
      <c r="M6" s="136" t="n"/>
      <c r="N6" s="136" t="n"/>
      <c r="O6" s="136" t="n"/>
      <c r="P6" s="136" t="n"/>
      <c r="Q6" s="136" t="n"/>
    </row>
    <row r="7" ht="32" customHeight="1">
      <c r="A7" s="279" t="inlineStr">
        <is>
          <t>道具</t>
        </is>
      </c>
      <c r="B7" s="280" t="inlineStr">
        <is>
          <t>3D-道具</t>
        </is>
      </c>
      <c r="C7" s="280">
        <f>COUNTA('3D-道具'!$A$5:$A$204)</f>
        <v/>
      </c>
      <c r="D7" s="280">
        <f>COUNTIF('3D-道具'!$D$5:$D$204,"&lt;&gt;")</f>
        <v/>
      </c>
      <c r="E7" s="280">
        <f>COUNTIF('3D-道具'!$G$5:$G$204,"&lt;&gt;")</f>
        <v/>
      </c>
      <c r="F7" s="280">
        <f>COUNTIF('3D-道具'!$H$5:$H$204,"开")</f>
        <v/>
      </c>
      <c r="G7" s="281" t="inlineStr">
        <is>
          <t>桌椅、家具、容器和摆放装饰物</t>
        </is>
      </c>
      <c r="H7" s="136" t="n"/>
      <c r="I7" s="136" t="n"/>
      <c r="J7" s="136" t="n"/>
      <c r="K7" s="136" t="n"/>
      <c r="L7" s="136" t="n"/>
      <c r="M7" s="136" t="n"/>
      <c r="N7" s="136" t="n"/>
      <c r="O7" s="136" t="n"/>
      <c r="P7" s="136" t="n"/>
      <c r="Q7" s="136" t="n"/>
    </row>
    <row r="8" ht="32" customHeight="1">
      <c r="A8" s="279" t="inlineStr">
        <is>
          <t>角色</t>
        </is>
      </c>
      <c r="B8" s="280" t="inlineStr">
        <is>
          <t>3D-角色</t>
        </is>
      </c>
      <c r="C8" s="280" t="n">
        <v>4</v>
      </c>
      <c r="D8" s="280" t="n">
        <v>1</v>
      </c>
      <c r="E8" s="280" t="n">
        <v>3</v>
      </c>
      <c r="F8" s="280" t="n">
        <v>1</v>
      </c>
      <c r="G8" s="281" t="inlineStr">
        <is>
          <t>玩家、NPC与角色表现/玩法根</t>
        </is>
      </c>
      <c r="H8" s="136" t="n"/>
      <c r="I8" s="136" t="n"/>
      <c r="J8" s="136" t="n"/>
      <c r="K8" s="136" t="n"/>
      <c r="L8" s="136" t="n"/>
      <c r="M8" s="136" t="n"/>
      <c r="N8" s="136" t="n"/>
      <c r="O8" s="136" t="n"/>
      <c r="P8" s="136" t="n"/>
      <c r="Q8" s="136" t="n"/>
    </row>
    <row r="9" ht="32" customHeight="1">
      <c r="A9" s="279" t="inlineStr">
        <is>
          <t>敌人</t>
        </is>
      </c>
      <c r="B9" s="280" t="inlineStr">
        <is>
          <t>3D-敌人</t>
        </is>
      </c>
      <c r="C9" s="280">
        <f>COUNTA('3D-敌人'!$A$5:$A$204)</f>
        <v/>
      </c>
      <c r="D9" s="280">
        <f>COUNTIF('3D-敌人'!$D$5:$D$204,"&lt;&gt;")</f>
        <v/>
      </c>
      <c r="E9" s="280">
        <f>COUNTIF('3D-敌人'!$G$5:$G$204,"&lt;&gt;")</f>
        <v/>
      </c>
      <c r="F9" s="280">
        <f>COUNTIF('3D-敌人'!$H$5:$H$204,"开")</f>
        <v/>
      </c>
      <c r="G9" s="281" t="inlineStr">
        <is>
          <t>普通敌人、精英、Boss与敌人共用根</t>
        </is>
      </c>
      <c r="H9" s="136" t="n"/>
      <c r="I9" s="136" t="n"/>
      <c r="J9" s="136" t="n"/>
      <c r="K9" s="136" t="n"/>
      <c r="L9" s="136" t="n"/>
      <c r="M9" s="136" t="n"/>
      <c r="N9" s="136" t="n"/>
      <c r="O9" s="136" t="n"/>
      <c r="P9" s="136" t="n"/>
      <c r="Q9" s="136" t="n"/>
    </row>
    <row r="10" ht="32" customHeight="1">
      <c r="A10" s="279" t="inlineStr">
        <is>
          <t>武器</t>
        </is>
      </c>
      <c r="B10" s="280" t="inlineStr">
        <is>
          <t>3D-武器</t>
        </is>
      </c>
      <c r="C10" s="280">
        <f>COUNTA('3D-武器'!$A$5:$A$204)</f>
        <v/>
      </c>
      <c r="D10" s="280">
        <f>COUNTIF('3D-武器'!$D$5:$D$204,"&lt;&gt;")</f>
        <v/>
      </c>
      <c r="E10" s="280">
        <f>COUNTIF('3D-武器'!$G$5:$G$204,"&lt;&gt;")</f>
        <v/>
      </c>
      <c r="F10" s="280">
        <f>COUNTIF('3D-武器'!$H$5:$H$204,"开")</f>
        <v/>
      </c>
      <c r="G10" s="281" t="inlineStr">
        <is>
          <t>枪械、近战武器与武器装配根</t>
        </is>
      </c>
      <c r="H10" s="136" t="n"/>
      <c r="I10" s="136" t="n"/>
      <c r="J10" s="136" t="n"/>
      <c r="K10" s="136" t="n"/>
      <c r="L10" s="136" t="n"/>
      <c r="M10" s="136" t="n"/>
      <c r="N10" s="136" t="n"/>
      <c r="O10" s="136" t="n"/>
      <c r="P10" s="136" t="n"/>
      <c r="Q10" s="136" t="n"/>
    </row>
    <row r="11" ht="32" customHeight="1">
      <c r="A11" s="279" t="inlineStr">
        <is>
          <t>物品</t>
        </is>
      </c>
      <c r="B11" s="280" t="inlineStr">
        <is>
          <t>3D-物品</t>
        </is>
      </c>
      <c r="C11" s="280">
        <f>COUNTA('3D-物品'!$A$5:$A$204)</f>
        <v/>
      </c>
      <c r="D11" s="280">
        <f>COUNTIF('3D-物品'!$D$5:$D$204,"&lt;&gt;")</f>
        <v/>
      </c>
      <c r="E11" s="280">
        <f>COUNTIF('3D-物品'!$G$5:$G$204,"&lt;&gt;")</f>
        <v/>
      </c>
      <c r="F11" s="280">
        <f>COUNTIF('3D-物品'!$H$5:$H$204,"开")</f>
        <v/>
      </c>
      <c r="G11" s="281" t="inlineStr">
        <is>
          <t>拥有独立PackedScene的拾取物、消耗品、钥匙和掉落物</t>
        </is>
      </c>
      <c r="H11" s="136" t="n"/>
      <c r="I11" s="136" t="n"/>
      <c r="J11" s="136" t="n"/>
      <c r="K11" s="136" t="n"/>
      <c r="L11" s="136" t="n"/>
      <c r="M11" s="136" t="n"/>
      <c r="N11" s="136" t="n"/>
      <c r="O11" s="136" t="n"/>
      <c r="P11" s="136" t="n"/>
      <c r="Q11" s="136" t="n"/>
    </row>
    <row r="12" ht="32" customHeight="1">
      <c r="A12" s="279" t="inlineStr">
        <is>
          <t>特效</t>
        </is>
      </c>
      <c r="B12" s="280" t="inlineStr">
        <is>
          <t>3D-特效</t>
        </is>
      </c>
      <c r="C12" s="280">
        <f>COUNTA('3D-特效'!$A$5:$A$204)</f>
        <v/>
      </c>
      <c r="D12" s="280">
        <f>COUNTIF('3D-特效'!$D$5:$D$204,"&lt;&gt;")</f>
        <v/>
      </c>
      <c r="E12" s="280">
        <f>COUNTIF('3D-特效'!$G$5:$G$204,"&lt;&gt;")</f>
        <v/>
      </c>
      <c r="F12" s="280">
        <f>COUNTIF('3D-特效'!$H$5:$H$204,"开")</f>
        <v/>
      </c>
      <c r="G12" s="281" t="inlineStr">
        <is>
          <t>可独立实例化的3D战斗、环境和可见性特效</t>
        </is>
      </c>
      <c r="H12" s="136" t="n"/>
      <c r="I12" s="136" t="n"/>
      <c r="J12" s="136" t="n"/>
      <c r="K12" s="136" t="n"/>
      <c r="L12" s="136" t="n"/>
      <c r="M12" s="136" t="n"/>
      <c r="N12" s="136" t="n"/>
      <c r="O12" s="136" t="n"/>
      <c r="P12" s="136" t="n"/>
      <c r="Q12" s="136" t="n"/>
    </row>
    <row r="13" ht="32" customHeight="1">
      <c r="A13" s="279" t="inlineStr">
        <is>
          <t>其他</t>
        </is>
      </c>
      <c r="B13" s="280" t="inlineStr">
        <is>
          <t>3D-其他</t>
        </is>
      </c>
      <c r="C13" s="280">
        <f>COUNTA('3D-其他'!$A$5:$A$204)</f>
        <v/>
      </c>
      <c r="D13" s="280">
        <f>COUNTIF('3D-其他'!$D$5:$D$204,"&lt;&gt;")</f>
        <v/>
      </c>
      <c r="E13" s="280">
        <f>COUNTIF('3D-其他'!$G$5:$G$204,"&lt;&gt;")</f>
        <v/>
      </c>
      <c r="F13" s="280">
        <f>COUNTIF('3D-其他'!$H$5:$H$204,"开")</f>
        <v/>
      </c>
      <c r="G13" s="281" t="inlineStr">
        <is>
          <t>无法归入以上分类的独立3D Prefab</t>
        </is>
      </c>
      <c r="H13" s="136" t="n"/>
      <c r="I13" s="136" t="n"/>
      <c r="J13" s="136" t="n"/>
      <c r="K13" s="136" t="n"/>
      <c r="L13" s="136" t="n"/>
      <c r="M13" s="136" t="n"/>
      <c r="N13" s="136" t="n"/>
      <c r="O13" s="136" t="n"/>
      <c r="P13" s="136" t="n"/>
      <c r="Q13" s="136" t="n"/>
    </row>
    <row r="14" ht="32" customHeight="1">
      <c r="A14" s="314" t="inlineStr">
        <is>
          <t>合计</t>
        </is>
      </c>
      <c r="B14" s="315" t="inlineStr">
        <is>
          <t>9个分类分页</t>
        </is>
      </c>
      <c r="C14" s="315" t="n">
        <v>105</v>
      </c>
      <c r="D14" s="315" t="n">
        <v>41</v>
      </c>
      <c r="E14" s="315" t="n">
        <v>101</v>
      </c>
      <c r="F14" s="315" t="n">
        <v>58</v>
      </c>
      <c r="G14" s="316" t="inlineStr">
        <is>
          <t>更新日期：2026-08-20；5米基地结构、恢复舱、衣柜与角色母版接入</t>
        </is>
      </c>
      <c r="H14" s="136" t="n"/>
      <c r="I14" s="136" t="n"/>
      <c r="J14" s="136" t="n"/>
      <c r="K14" s="136" t="n"/>
      <c r="L14" s="136" t="n"/>
      <c r="M14" s="136" t="n"/>
      <c r="N14" s="136" t="n"/>
      <c r="O14" s="136" t="n"/>
      <c r="P14" s="136" t="n"/>
      <c r="Q14" s="136" t="n"/>
    </row>
  </sheetData>
  <mergeCells count="2">
    <mergeCell ref="A2:G2"/>
    <mergeCell ref="A1:G1"/>
  </mergeCells>
  <dataValidations count="6">
    <dataValidation sqref="H5:H200" showDropDown="0" showInputMessage="0" showErrorMessage="0" allowBlank="0" type="list">
      <formula1>"开,关,无"</formula1>
    </dataValidation>
    <dataValidation sqref="I5:I200" showDropDown="0" showInputMessage="0" showErrorMessage="0" allowBlank="0" type="list">
      <formula1>"开,关,无"</formula1>
    </dataValidation>
    <dataValidation sqref="N5:N200" showDropDown="0" showInputMessage="0" showErrorMessage="0" allowBlank="0" type="list">
      <formula1>"待制作,程序占位,正式美术已入库/待接入,原型已接入,正式美术已接入,已完成,弃用"</formula1>
    </dataValidation>
    <dataValidation sqref="C5:C200" showDropDown="0" showInputMessage="0" showErrorMessage="0" allowBlank="0" type="list">
      <formula1>"场景通用组件,设施组件,道具,角色,敌人,武器,物品,特效,其他"</formula1>
    </dataValidation>
    <dataValidation sqref="J5:J200" showDropDown="0" showInputMessage="0" showErrorMessage="0" allowBlank="0" type="list">
      <formula1>"Prefab自身,外部脚本,混合,无"</formula1>
    </dataValidation>
    <dataValidation sqref="O5:O20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场景通用组件 3D Prefab</t>
        </is>
      </c>
    </row>
    <row r="2" ht="34" customHeight="1">
      <c r="A2" s="145" t="inlineStr">
        <is>
          <t>关卡结构、地板、墙体、走廊、楼梯、楼板与环境套件；当前 55 个独立Prefab。</t>
        </is>
      </c>
    </row>
    <row r="3">
      <c r="A3" s="136" t="n"/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ENV-BASE99-ART-LAYOUT-3D</t>
        </is>
      </c>
      <c r="B5" s="189" t="inlineStr">
        <is>
          <t>基地99层美术布局参考</t>
        </is>
      </c>
      <c r="C5" s="189" t="inlineStr">
        <is>
          <t>assets/art/environments/base_facility_3d/runtime/env_base_facility_art_layout_top3d_v001.tscn</t>
        </is>
      </c>
      <c r="D5" s="189" t="str"/>
      <c r="E5" s="189" t="str"/>
      <c r="F5" s="189" t="inlineStr">
        <is>
          <t>Godot原生场景结构Prefab；由关卡脚本按模块实例化</t>
        </is>
      </c>
      <c r="G5" s="189" t="inlineStr">
        <is>
          <t>src/world3d/DungeonRoom3D.gd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未声明</t>
        </is>
      </c>
      <c r="L5" s="189" t="inlineStr">
        <is>
          <t>未声明</t>
        </is>
      </c>
      <c r="M5" s="189" t="inlineStr">
        <is>
          <t>场景通用组件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根节点=基地99层_美术布置层(Node3D)；子Prefab=8；2026-08-18扫描补登记资产主表</t>
        </is>
      </c>
    </row>
    <row r="6" ht="66" customHeight="1">
      <c r="A6" s="191" t="inlineStr">
        <is>
          <t>ENV-BASE99-WALL-PLAIN-5X9</t>
        </is>
      </c>
      <c r="B6" s="192" t="inlineStr">
        <is>
          <t>基地99层普通墙体5×9米</t>
        </is>
      </c>
      <c r="C6" s="192" t="inlineStr">
        <is>
          <t>assets/art/environments/base_facility_3d/runtime/env_base99_wall_plain_5x9/env_base99_wall_plain_5x9_root_top3d_v001.tscn</t>
        </is>
      </c>
      <c r="D6" s="192" t="inlineStr">
        <is>
          <t>assets/art/environments/base_facility_3d/components/env_base99_wall_plain_5x9/env_base99_wall_plain_5x9_visual_top3d_v001.glb</t>
        </is>
      </c>
      <c r="E6" s="192" t="inlineStr">
        <is>
          <t>assets/art/environments/base_facility_3d/source/env_base99_modular_room/env_base99_modular_room_assets_clean_v001.blend</t>
        </is>
      </c>
      <c r="F6" s="192" t="inlineStr">
        <is>
          <t>Godot原生场景结构Prefab；由关卡脚本按模块实例化</t>
        </is>
      </c>
      <c r="G6" s="192" t="inlineStr">
        <is>
          <t>src/world3d/DungeonRoom3D.gd</t>
        </is>
      </c>
      <c r="H6" s="192" t="inlineStr">
        <is>
          <t>开</t>
        </is>
      </c>
      <c r="I6" s="192" t="inlineStr">
        <is>
          <t>外部脚本</t>
        </is>
      </c>
      <c r="J6" s="192" t="inlineStr">
        <is>
          <t>BoxShape3D</t>
        </is>
      </c>
      <c r="K6" s="192" t="inlineStr">
        <is>
          <t>GLB；5×9×0.36m视觉外廓；底边中心原点；2材质表面；无碰撞</t>
        </is>
      </c>
      <c r="L6" s="192" t="inlineStr">
        <is>
          <t>bottom_center；-Z</t>
        </is>
      </c>
      <c r="M6" s="192" t="inlineStr">
        <is>
          <t>99层基地普通直墙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根节点=基地99层普通墙体5x9米(Node3D)</t>
        </is>
      </c>
    </row>
    <row r="7" ht="66" customHeight="1">
      <c r="A7" s="191" t="inlineStr">
        <is>
          <t>ENV-BASE-WORLD-KIT-3D</t>
        </is>
      </c>
      <c r="B7" s="192" t="inlineStr">
        <is>
          <t>入口基地3D环境套件</t>
        </is>
      </c>
      <c r="C7" s="192" t="inlineStr">
        <is>
          <t>assets/art/environments/base_world_3d/env_base_world_kit_top3d_v001.tscn</t>
        </is>
      </c>
      <c r="D7" s="192" t="str"/>
      <c r="E7" s="192" t="str"/>
      <c r="F7" s="192" t="inlineStr">
        <is>
          <t>Godot原生场景结构Prefab；由关卡脚本按模块实例化</t>
        </is>
      </c>
      <c r="G7" s="192" t="inlineStr">
        <is>
          <t>src/base3d/BaseWorld3DEnvironment.gd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脚本生成</t>
        </is>
      </c>
      <c r="K7" s="192" t="inlineStr">
        <is>
          <t>约1:100迁移/程序几何</t>
        </is>
      </c>
      <c r="L7" s="192" t="inlineStr">
        <is>
          <t>未声明</t>
        </is>
      </c>
      <c r="M7" s="192" t="inlineStr">
        <is>
          <t>入口基地地图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根节点=BaseWorld3DEnvironment(Node3D)</t>
        </is>
      </c>
    </row>
    <row r="8" ht="66" customHeight="1">
      <c r="A8" s="191" t="inlineStr">
        <is>
          <t>ENV-DUNGEON-RUNTIME-3D</t>
        </is>
      </c>
      <c r="B8" s="192" t="inlineStr">
        <is>
          <t>3D随机关卡通用房间套件</t>
        </is>
      </c>
      <c r="C8" s="192" t="inlineStr">
        <is>
          <t>assets/art/environments/dungeon_3d/env_dungeon_runtime_kit_top3d_v001.tscn</t>
        </is>
      </c>
      <c r="D8" s="192" t="str"/>
      <c r="E8" s="192" t="str"/>
      <c r="F8" s="192" t="inlineStr">
        <is>
          <t>Godot原生场景结构Prefab；由关卡脚本按模块实例化</t>
        </is>
      </c>
      <c r="G8" s="192" t="inlineStr">
        <is>
          <t>src/world3d/DungeonRoom3D.gd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脚本生成</t>
        </is>
      </c>
      <c r="K8" s="192" t="inlineStr">
        <is>
          <t>PackedScene/三档程序几何</t>
        </is>
      </c>
      <c r="L8" s="192" t="inlineStr">
        <is>
          <t>未声明</t>
        </is>
      </c>
      <c r="M8" s="192" t="inlineStr">
        <is>
          <t>四主题副本/随机房间</t>
        </is>
      </c>
      <c r="N8" s="192" t="inlineStr">
        <is>
          <t>原型已接入</t>
        </is>
      </c>
      <c r="O8" s="192" t="inlineStr">
        <is>
          <t>v001</t>
        </is>
      </c>
      <c r="P8" s="193" t="inlineStr">
        <is>
          <t>根节点=DungeonRoom3D(Node3D)</t>
        </is>
      </c>
    </row>
    <row r="9" ht="66" customHeight="1">
      <c r="A9" s="191" t="inlineStr">
        <is>
          <t>ENV-TRAINING-RANGE-KIT-3D</t>
        </is>
      </c>
      <c r="B9" s="192" t="inlineStr">
        <is>
          <t>独立3D训练靶场套件</t>
        </is>
      </c>
      <c r="C9" s="192" t="inlineStr">
        <is>
          <t>assets/art/environments/training_range_3d/env_training_range_kit_top3d_v001.tscn</t>
        </is>
      </c>
      <c r="D9" s="192" t="str"/>
      <c r="E9" s="192" t="str"/>
      <c r="F9" s="192" t="inlineStr">
        <is>
          <t>Godot原生场景结构Prefab；由关卡脚本按模块实例化</t>
        </is>
      </c>
      <c r="G9" s="192" t="inlineStr">
        <is>
          <t>src/training3d/TrainingRangeEnvironment3D.gd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脚本生成</t>
        </is>
      </c>
      <c r="K9" s="192" t="inlineStr">
        <is>
          <t>PackedScene/程序环境</t>
        </is>
      </c>
      <c r="L9" s="192" t="inlineStr">
        <is>
          <t>未声明</t>
        </is>
      </c>
      <c r="M9" s="192" t="inlineStr">
        <is>
          <t>独立训练地图</t>
        </is>
      </c>
      <c r="N9" s="192" t="inlineStr">
        <is>
          <t>原型已接入</t>
        </is>
      </c>
      <c r="O9" s="192" t="inlineStr">
        <is>
          <t>v001</t>
        </is>
      </c>
      <c r="P9" s="193" t="inlineStr">
        <is>
          <t>根节点=TrainingRangeEnvironment3D(Node3D)</t>
        </is>
      </c>
    </row>
    <row r="10" ht="66" customHeight="1">
      <c r="A10" s="191" t="inlineStr">
        <is>
          <t>ENV-TOWER-CORNER-L-5M</t>
        </is>
      </c>
      <c r="B10" s="192" t="inlineStr">
        <is>
          <t>塔楼L型转角5米</t>
        </is>
      </c>
      <c r="C10" s="192" t="inlineStr">
        <is>
          <t>assets/art/props/dungeon_3d/prp_corner_L_5m.tscn</t>
        </is>
      </c>
      <c r="D10" s="192" t="str"/>
      <c r="E10" s="192" t="str"/>
      <c r="F10" s="192" t="inlineStr">
        <is>
          <t>Godot原生场景结构Prefab；由关卡脚本按模块实例化</t>
        </is>
      </c>
      <c r="G10" s="192" t="inlineStr">
        <is>
          <t>src/world3d/DungeonRoom3D.gd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未声明</t>
        </is>
      </c>
      <c r="L10" s="192" t="inlineStr">
        <is>
          <t>未声明</t>
        </is>
      </c>
      <c r="M10" s="192" t="inlineStr">
        <is>
          <t>场景通用组件</t>
        </is>
      </c>
      <c r="N10" s="192" t="inlineStr">
        <is>
          <t>程序占位</t>
        </is>
      </c>
      <c r="O10" s="192" t="inlineStr">
        <is>
          <t>v001</t>
        </is>
      </c>
      <c r="P10" s="193" t="inlineStr">
        <is>
          <t>根节点=PrpCornerL5m(Node3D)；2026-08-18扫描补登记资产主表</t>
        </is>
      </c>
    </row>
    <row r="11" ht="66" customHeight="1">
      <c r="A11" s="191" t="inlineStr">
        <is>
          <t>ENV-TOWER-CORNER-L-PARAPET-5M</t>
        </is>
      </c>
      <c r="B11" s="192" t="inlineStr">
        <is>
          <t>塔楼L型女儿墙转角5米</t>
        </is>
      </c>
      <c r="C11" s="192" t="inlineStr">
        <is>
          <t>assets/art/props/dungeon_3d/prp_corner_L_parapet_5m.tscn</t>
        </is>
      </c>
      <c r="D11" s="192" t="str"/>
      <c r="E11" s="192" t="str"/>
      <c r="F11" s="192" t="inlineStr">
        <is>
          <t>Godot原生场景结构Prefab；由关卡脚本按模块实例化</t>
        </is>
      </c>
      <c r="G11" s="192" t="inlineStr">
        <is>
          <t>src/world3d/TowerFloorStage3D.gd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未声明</t>
        </is>
      </c>
      <c r="L11" s="192" t="inlineStr">
        <is>
          <t>未声明</t>
        </is>
      </c>
      <c r="M11" s="192" t="inlineStr">
        <is>
          <t>场景通用组件</t>
        </is>
      </c>
      <c r="N11" s="192" t="inlineStr">
        <is>
          <t>程序占位</t>
        </is>
      </c>
      <c r="O11" s="192" t="inlineStr">
        <is>
          <t>v001</t>
        </is>
      </c>
      <c r="P11" s="193" t="inlineStr">
        <is>
          <t>根节点=PrpCornerLParapet5m(Node3D)；2026-08-18扫描补登记资产主表</t>
        </is>
      </c>
    </row>
    <row r="12" ht="66" customHeight="1">
      <c r="A12" s="191" t="inlineStr">
        <is>
          <t>ENV-TOWER-CORNER-T-5M</t>
        </is>
      </c>
      <c r="B12" s="192" t="inlineStr">
        <is>
          <t>塔楼T型转角5米</t>
        </is>
      </c>
      <c r="C12" s="192" t="inlineStr">
        <is>
          <t>assets/art/props/dungeon_3d/prp_corner_T_5m.tscn</t>
        </is>
      </c>
      <c r="D12" s="192" t="str"/>
      <c r="E12" s="192" t="str"/>
      <c r="F12" s="192" t="inlineStr">
        <is>
          <t>Godot原生场景结构Prefab；由关卡脚本按模块实例化</t>
        </is>
      </c>
      <c r="G12" s="192" t="inlineStr">
        <is>
          <t>src/world3d/DungeonRoom3D.gd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未声明</t>
        </is>
      </c>
      <c r="L12" s="192" t="inlineStr">
        <is>
          <t>未声明</t>
        </is>
      </c>
      <c r="M12" s="192" t="inlineStr">
        <is>
          <t>场景通用组件</t>
        </is>
      </c>
      <c r="N12" s="192" t="inlineStr">
        <is>
          <t>程序占位</t>
        </is>
      </c>
      <c r="O12" s="192" t="inlineStr">
        <is>
          <t>v001</t>
        </is>
      </c>
      <c r="P12" s="193" t="inlineStr">
        <is>
          <t>根节点=PrpCornerT5m(Node3D)；2026-08-18扫描补登记资产主表</t>
        </is>
      </c>
    </row>
    <row r="13" ht="66" customHeight="1">
      <c r="A13" s="191" t="inlineStr">
        <is>
          <t>ENV-TOWER-CORNER-X-5M</t>
        </is>
      </c>
      <c r="B13" s="192" t="inlineStr">
        <is>
          <t>塔楼十字转角5米</t>
        </is>
      </c>
      <c r="C13" s="192" t="inlineStr">
        <is>
          <t>assets/art/props/dungeon_3d/prp_corner_X_5m.tscn</t>
        </is>
      </c>
      <c r="D13" s="192" t="str"/>
      <c r="E13" s="192" t="str"/>
      <c r="F13" s="192" t="inlineStr">
        <is>
          <t>Godot原生场景结构Prefab；由关卡脚本按模块实例化</t>
        </is>
      </c>
      <c r="G13" s="192" t="inlineStr">
        <is>
          <t>src/world3d/DungeonRoom3D.gd</t>
        </is>
      </c>
      <c r="H13" s="192" t="inlineStr">
        <is>
          <t>开</t>
        </is>
      </c>
      <c r="I13" s="192" t="inlineStr">
        <is>
          <t>Prefab自身</t>
        </is>
      </c>
      <c r="J13" s="192" t="inlineStr">
        <is>
          <t>BoxShape3D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场景通用组件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根节点=PrpCornerX5m(Node3D)；2026-08-18扫描补登记资产主表</t>
        </is>
      </c>
    </row>
    <row r="14" ht="66" customHeight="1">
      <c r="A14" s="191" t="inlineStr">
        <is>
          <t>ENV-DUNGEON-CORRIDOR-CEILING-SEGMENT</t>
        </is>
      </c>
      <c r="B14" s="192" t="inlineStr">
        <is>
          <t>地牢走廊天花段</t>
        </is>
      </c>
      <c r="C14" s="192" t="inlineStr">
        <is>
          <t>assets/art/props/dungeon_3d/prp_corridor_ceiling_segment.tscn</t>
        </is>
      </c>
      <c r="D14" s="192" t="str"/>
      <c r="E14" s="192" t="str"/>
      <c r="F14" s="192" t="inlineStr">
        <is>
          <t>Godot原生场景结构Prefab；由关卡脚本按模块实例化</t>
        </is>
      </c>
      <c r="G14" s="192" t="inlineStr">
        <is>
          <t>src/world3d/DungeonRoom3D.gd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BoxShape3D</t>
        </is>
      </c>
      <c r="K14" s="192" t="inlineStr">
        <is>
          <t>未声明</t>
        </is>
      </c>
      <c r="L14" s="192" t="inlineStr">
        <is>
          <t>未声明</t>
        </is>
      </c>
      <c r="M14" s="192" t="inlineStr">
        <is>
          <t>场景通用组件</t>
        </is>
      </c>
      <c r="N14" s="192" t="inlineStr">
        <is>
          <t>程序占位</t>
        </is>
      </c>
      <c r="O14" s="192" t="inlineStr">
        <is>
          <t>v001</t>
        </is>
      </c>
      <c r="P14" s="193" t="inlineStr">
        <is>
          <t>根节点=PrpCorridorCeilingSegment(Node3D)；2026-08-18扫描补登记资产主表</t>
        </is>
      </c>
    </row>
    <row r="15" ht="66" customHeight="1">
      <c r="A15" s="191" t="inlineStr">
        <is>
          <t>ENV-DUNGEON-CORRIDOR-FLOOR-SEGMENT</t>
        </is>
      </c>
      <c r="B15" s="192" t="inlineStr">
        <is>
          <t>地牢走廊地板段</t>
        </is>
      </c>
      <c r="C15" s="192" t="inlineStr">
        <is>
          <t>assets/art/props/dungeon_3d/prp_corridor_floor_segment.tscn</t>
        </is>
      </c>
      <c r="D15" s="192" t="str"/>
      <c r="E15" s="192" t="str"/>
      <c r="F15" s="192" t="inlineStr">
        <is>
          <t>Godot原生场景结构Prefab；由关卡脚本按模块实例化</t>
        </is>
      </c>
      <c r="G15" s="192" t="inlineStr">
        <is>
          <t>src/world3d/DungeonRoom3D.gd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BoxShape3D</t>
        </is>
      </c>
      <c r="K15" s="192" t="inlineStr">
        <is>
          <t>未声明</t>
        </is>
      </c>
      <c r="L15" s="192" t="inlineStr">
        <is>
          <t>未声明</t>
        </is>
      </c>
      <c r="M15" s="192" t="inlineStr">
        <is>
          <t>场景通用组件</t>
        </is>
      </c>
      <c r="N15" s="192" t="inlineStr">
        <is>
          <t>程序占位</t>
        </is>
      </c>
      <c r="O15" s="192" t="inlineStr">
        <is>
          <t>v001</t>
        </is>
      </c>
      <c r="P15" s="193" t="inlineStr">
        <is>
          <t>根节点=PrpCorridorFloorSegment(Node3D)；2026-08-18扫描补登记资产主表</t>
        </is>
      </c>
    </row>
    <row r="16" ht="66" customHeight="1">
      <c r="A16" s="191" t="inlineStr">
        <is>
          <t>ENV-DUNGEON-CORRIDOR-STAIR-TREAD</t>
        </is>
      </c>
      <c r="B16" s="192" t="inlineStr">
        <is>
          <t>地牢走廊楼梯踏步</t>
        </is>
      </c>
      <c r="C16" s="192" t="inlineStr">
        <is>
          <t>assets/art/props/dungeon_3d/prp_corridor_stair_tread.tscn</t>
        </is>
      </c>
      <c r="D16" s="192" t="str"/>
      <c r="E16" s="192" t="str"/>
      <c r="F16" s="192" t="inlineStr">
        <is>
          <t>Godot原生场景结构Prefab；由关卡脚本按模块实例化</t>
        </is>
      </c>
      <c r="G16" s="192" t="inlineStr">
        <is>
          <t>src/world3d/DungeonRoom3D.gd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未声明</t>
        </is>
      </c>
      <c r="L16" s="192" t="inlineStr">
        <is>
          <t>未声明</t>
        </is>
      </c>
      <c r="M16" s="192" t="inlineStr">
        <is>
          <t>场景通用组件</t>
        </is>
      </c>
      <c r="N16" s="192" t="inlineStr">
        <is>
          <t>程序占位</t>
        </is>
      </c>
      <c r="O16" s="192" t="inlineStr">
        <is>
          <t>v001</t>
        </is>
      </c>
      <c r="P16" s="193" t="inlineStr">
        <is>
          <t>根节点=PrpCorridorStairTread(Node3D)；2026-08-18扫描补登记资产主表</t>
        </is>
      </c>
    </row>
    <row r="17" ht="66" customHeight="1">
      <c r="A17" s="191" t="inlineStr">
        <is>
          <t>ENV-DUNGEON-CORRIDOR-WALL-SEGMENT</t>
        </is>
      </c>
      <c r="B17" s="192" t="inlineStr">
        <is>
          <t>地牢走廊墙段</t>
        </is>
      </c>
      <c r="C17" s="192" t="inlineStr">
        <is>
          <t>assets/art/props/dungeon_3d/prp_corridor_wall_segment.tscn</t>
        </is>
      </c>
      <c r="D17" s="192" t="str"/>
      <c r="E17" s="192" t="str"/>
      <c r="F17" s="192" t="inlineStr">
        <is>
          <t>Godot原生场景结构Prefab；由关卡脚本按模块实例化</t>
        </is>
      </c>
      <c r="G17" s="192" t="inlineStr">
        <is>
          <t>src/world3d/DungeonRoom3D.gd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BoxShape3D</t>
        </is>
      </c>
      <c r="K17" s="192" t="inlineStr">
        <is>
          <t>未声明</t>
        </is>
      </c>
      <c r="L17" s="192" t="inlineStr">
        <is>
          <t>未声明</t>
        </is>
      </c>
      <c r="M17" s="192" t="inlineStr">
        <is>
          <t>场景通用组件</t>
        </is>
      </c>
      <c r="N17" s="192" t="inlineStr">
        <is>
          <t>程序占位</t>
        </is>
      </c>
      <c r="O17" s="192" t="inlineStr">
        <is>
          <t>v001</t>
        </is>
      </c>
      <c r="P17" s="193" t="inlineStr">
        <is>
          <t>根节点=PrpCorridorWallSegment(Node3D)；2026-08-18扫描补登记资产主表</t>
        </is>
      </c>
    </row>
    <row r="18" ht="66" customHeight="1">
      <c r="A18" s="191" t="inlineStr">
        <is>
          <t>ENV-DUNGEON-ROOM-ACCESS-STEP</t>
        </is>
      </c>
      <c r="B18" s="192" t="inlineStr">
        <is>
          <t>房间接入台阶</t>
        </is>
      </c>
      <c r="C18" s="192" t="inlineStr">
        <is>
          <t>assets/art/props/dungeon_3d/prp_room_access_step.tscn</t>
        </is>
      </c>
      <c r="D18" s="192" t="str"/>
      <c r="E18" s="192" t="str"/>
      <c r="F18" s="192" t="inlineStr">
        <is>
          <t>Godot原生场景结构Prefab；由关卡脚本按模块实例化</t>
        </is>
      </c>
      <c r="G18" s="192" t="inlineStr">
        <is>
          <t>src/world3d/DungeonRoom3D.gd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未声明</t>
        </is>
      </c>
      <c r="L18" s="192" t="inlineStr">
        <is>
          <t>未声明</t>
        </is>
      </c>
      <c r="M18" s="192" t="inlineStr">
        <is>
          <t>场景通用组件</t>
        </is>
      </c>
      <c r="N18" s="192" t="inlineStr">
        <is>
          <t>程序占位</t>
        </is>
      </c>
      <c r="O18" s="192" t="inlineStr">
        <is>
          <t>v001</t>
        </is>
      </c>
      <c r="P18" s="193" t="inlineStr">
        <is>
          <t>根节点=PrpRoomAccessStep(Node3D)；2026-08-18扫描补登记资产主表</t>
        </is>
      </c>
    </row>
    <row r="19" ht="66" customHeight="1">
      <c r="A19" s="191" t="inlineStr">
        <is>
          <t>ENV-DUNGEON-ROOM-CORNER-POST</t>
        </is>
      </c>
      <c r="B19" s="192" t="inlineStr">
        <is>
          <t>房间转角立柱</t>
        </is>
      </c>
      <c r="C19" s="192" t="inlineStr">
        <is>
          <t>assets/art/props/dungeon_3d/prp_room_corner_post.tscn</t>
        </is>
      </c>
      <c r="D19" s="192" t="str"/>
      <c r="E19" s="192" t="str"/>
      <c r="F19" s="192" t="inlineStr">
        <is>
          <t>Godot原生场景结构Prefab；由关卡脚本按模块实例化</t>
        </is>
      </c>
      <c r="G19" s="192" t="inlineStr">
        <is>
          <t>src/world3d/DungeonRoom3D.gd</t>
        </is>
      </c>
      <c r="H19" s="192" t="inlineStr">
        <is>
          <t>开</t>
        </is>
      </c>
      <c r="I19" s="192" t="inlineStr">
        <is>
          <t>Prefab自身</t>
        </is>
      </c>
      <c r="J19" s="192" t="inlineStr">
        <is>
          <t>BoxShape3D</t>
        </is>
      </c>
      <c r="K19" s="192" t="inlineStr">
        <is>
          <t>未声明</t>
        </is>
      </c>
      <c r="L19" s="192" t="inlineStr">
        <is>
          <t>未声明</t>
        </is>
      </c>
      <c r="M19" s="192" t="inlineStr">
        <is>
          <t>场景通用组件</t>
        </is>
      </c>
      <c r="N19" s="192" t="inlineStr">
        <is>
          <t>程序占位</t>
        </is>
      </c>
      <c r="O19" s="192" t="inlineStr">
        <is>
          <t>v001</t>
        </is>
      </c>
      <c r="P19" s="193" t="inlineStr">
        <is>
          <t>根节点=PrpRoomCornerPost(Node3D)；2026-08-18扫描补登记资产主表</t>
        </is>
      </c>
    </row>
    <row r="20" ht="66" customHeight="1">
      <c r="A20" s="191" t="inlineStr">
        <is>
          <t>ENV-DUNGEON-ROOM-DOOR-LINTEL</t>
        </is>
      </c>
      <c r="B20" s="192" t="inlineStr">
        <is>
          <t>房间门楣</t>
        </is>
      </c>
      <c r="C20" s="192" t="inlineStr">
        <is>
          <t>assets/art/props/dungeon_3d/prp_room_door_lintel.tscn</t>
        </is>
      </c>
      <c r="D20" s="192" t="str"/>
      <c r="E20" s="192" t="str"/>
      <c r="F20" s="192" t="inlineStr">
        <is>
          <t>Godot原生场景结构Prefab；由关卡脚本按模块实例化</t>
        </is>
      </c>
      <c r="G20" s="192" t="inlineStr">
        <is>
          <t>src/world3d/DungeonRoom3D.gd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未声明</t>
        </is>
      </c>
      <c r="L20" s="192" t="inlineStr">
        <is>
          <t>未声明</t>
        </is>
      </c>
      <c r="M20" s="192" t="inlineStr">
        <is>
          <t>场景通用组件</t>
        </is>
      </c>
      <c r="N20" s="192" t="inlineStr">
        <is>
          <t>程序占位</t>
        </is>
      </c>
      <c r="O20" s="192" t="inlineStr">
        <is>
          <t>v001</t>
        </is>
      </c>
      <c r="P20" s="193" t="inlineStr">
        <is>
          <t>根节点=PrpRoomDoorLintel(Node3D)；2026-08-18扫描补登记资产主表</t>
        </is>
      </c>
    </row>
    <row r="21" ht="66" customHeight="1">
      <c r="A21" s="191" t="inlineStr">
        <is>
          <t>ENV-DUNGEON-FACILITY-WALL-DOOR-SIDE</t>
        </is>
      </c>
      <c r="B21" s="192" t="inlineStr">
        <is>
          <t>基地设施门墙侧柱</t>
        </is>
      </c>
      <c r="C21" s="192" t="inlineStr">
        <is>
          <t>assets/art/props/dungeon_3d/prp_room_facility_base_wall_door_side.tscn</t>
        </is>
      </c>
      <c r="D21" s="192" t="str"/>
      <c r="E21" s="192" t="str"/>
      <c r="F21" s="192" t="inlineStr">
        <is>
          <t>Godot原生场景结构Prefab；由关卡脚本按模块实例化</t>
        </is>
      </c>
      <c r="G21" s="192" t="inlineStr">
        <is>
          <t>src/world3d/DungeonRoom3D.gd</t>
        </is>
      </c>
      <c r="H21" s="192" t="inlineStr">
        <is>
          <t>开</t>
        </is>
      </c>
      <c r="I21" s="192" t="inlineStr">
        <is>
          <t>Prefab自身</t>
        </is>
      </c>
      <c r="J21" s="192" t="inlineStr">
        <is>
          <t>BoxShape3D</t>
        </is>
      </c>
      <c r="K21" s="192" t="inlineStr">
        <is>
          <t>未声明</t>
        </is>
      </c>
      <c r="L21" s="192" t="inlineStr">
        <is>
          <t>未声明</t>
        </is>
      </c>
      <c r="M21" s="192" t="inlineStr">
        <is>
          <t>场景通用组件</t>
        </is>
      </c>
      <c r="N21" s="192" t="inlineStr">
        <is>
          <t>程序占位</t>
        </is>
      </c>
      <c r="O21" s="192" t="inlineStr">
        <is>
          <t>v001</t>
        </is>
      </c>
      <c r="P21" s="193" t="inlineStr">
        <is>
          <t>根节点=PrpRoomFacilityBaseWallDoorSide(Node3D)；2026-08-18扫描补登记资产主表</t>
        </is>
      </c>
    </row>
    <row r="22" ht="66" customHeight="1">
      <c r="A22" s="191" t="inlineStr">
        <is>
          <t>ENV-DUNGEON-FACILITY-WALL-LINTEL</t>
        </is>
      </c>
      <c r="B22" s="192" t="inlineStr">
        <is>
          <t>基地设施墙门楣</t>
        </is>
      </c>
      <c r="C22" s="192" t="inlineStr">
        <is>
          <t>assets/art/props/dungeon_3d/prp_room_facility_base_wall_lintel.tscn</t>
        </is>
      </c>
      <c r="D22" s="192" t="str"/>
      <c r="E22" s="192" t="str"/>
      <c r="F22" s="192" t="inlineStr">
        <is>
          <t>Godot原生场景结构Prefab；由关卡脚本按模块实例化</t>
        </is>
      </c>
      <c r="G22" s="192" t="inlineStr">
        <is>
          <t>src/world3d/DungeonRoom3D.gd</t>
        </is>
      </c>
      <c r="H22" s="192" t="inlineStr">
        <is>
          <t>开</t>
        </is>
      </c>
      <c r="I22" s="192" t="inlineStr">
        <is>
          <t>Prefab自身</t>
        </is>
      </c>
      <c r="J22" s="192" t="inlineStr">
        <is>
          <t>BoxShape3D</t>
        </is>
      </c>
      <c r="K22" s="192" t="inlineStr">
        <is>
          <t>未声明</t>
        </is>
      </c>
      <c r="L22" s="192" t="inlineStr">
        <is>
          <t>未声明</t>
        </is>
      </c>
      <c r="M22" s="192" t="inlineStr">
        <is>
          <t>场景通用组件</t>
        </is>
      </c>
      <c r="N22" s="192" t="inlineStr">
        <is>
          <t>程序占位</t>
        </is>
      </c>
      <c r="O22" s="192" t="inlineStr">
        <is>
          <t>v001</t>
        </is>
      </c>
      <c r="P22" s="193" t="inlineStr">
        <is>
          <t>根节点=PrpRoomFacilityBaseWallLintel(Node3D)；2026-08-18扫描补登记资产主表</t>
        </is>
      </c>
    </row>
    <row r="23" ht="66" customHeight="1">
      <c r="A23" s="191" t="inlineStr">
        <is>
          <t>ENV-DUNGEON-FACILITY-WALL</t>
        </is>
      </c>
      <c r="B23" s="192" t="inlineStr">
        <is>
          <t>基地设施墙段</t>
        </is>
      </c>
      <c r="C23" s="192" t="inlineStr">
        <is>
          <t>assets/art/props/dungeon_3d/prp_room_facility_base_wall.tscn</t>
        </is>
      </c>
      <c r="D23" s="192" t="str"/>
      <c r="E23" s="192" t="str"/>
      <c r="F23" s="192" t="inlineStr">
        <is>
          <t>Godot原生场景结构Prefab；由关卡脚本按模块实例化</t>
        </is>
      </c>
      <c r="G23" s="192" t="inlineStr">
        <is>
          <t>src/world3d/DungeonRoom3D.gd</t>
        </is>
      </c>
      <c r="H23" s="192" t="inlineStr">
        <is>
          <t>开</t>
        </is>
      </c>
      <c r="I23" s="192" t="inlineStr">
        <is>
          <t>Prefab自身</t>
        </is>
      </c>
      <c r="J23" s="192" t="inlineStr">
        <is>
          <t>BoxShape3D</t>
        </is>
      </c>
      <c r="K23" s="192" t="inlineStr">
        <is>
          <t>未声明</t>
        </is>
      </c>
      <c r="L23" s="192" t="inlineStr">
        <is>
          <t>未声明</t>
        </is>
      </c>
      <c r="M23" s="192" t="inlineStr">
        <is>
          <t>场景通用组件</t>
        </is>
      </c>
      <c r="N23" s="192" t="inlineStr">
        <is>
          <t>程序占位</t>
        </is>
      </c>
      <c r="O23" s="192" t="inlineStr">
        <is>
          <t>v001</t>
        </is>
      </c>
      <c r="P23" s="193" t="inlineStr">
        <is>
          <t>根节点=PrpRoomFacilityBaseWall(Node3D)；2026-08-18扫描补登记资产主表</t>
        </is>
      </c>
    </row>
    <row r="24" ht="66" customHeight="1">
      <c r="A24" s="191" t="inlineStr">
        <is>
          <t>ENV-DUNGEON-ROOM-FLOOR-INSET</t>
        </is>
      </c>
      <c r="B24" s="192" t="inlineStr">
        <is>
          <t>房间地板内嵌块</t>
        </is>
      </c>
      <c r="C24" s="192" t="inlineStr">
        <is>
          <t>assets/art/props/dungeon_3d/prp_room_floor_inset.tscn</t>
        </is>
      </c>
      <c r="D24" s="192" t="str"/>
      <c r="E24" s="192" t="str"/>
      <c r="F24" s="192" t="inlineStr">
        <is>
          <t>Godot原生场景结构Prefab；由关卡脚本按模块实例化</t>
        </is>
      </c>
      <c r="G24" s="192" t="inlineStr">
        <is>
          <t>src/world3d/DungeonRoom3D.gd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未声明</t>
        </is>
      </c>
      <c r="L24" s="192" t="inlineStr">
        <is>
          <t>未声明</t>
        </is>
      </c>
      <c r="M24" s="192" t="inlineStr">
        <is>
          <t>场景通用组件</t>
        </is>
      </c>
      <c r="N24" s="192" t="inlineStr">
        <is>
          <t>程序占位</t>
        </is>
      </c>
      <c r="O24" s="192" t="inlineStr">
        <is>
          <t>v001</t>
        </is>
      </c>
      <c r="P24" s="193" t="inlineStr">
        <is>
          <t>根节点=PrpRoomFloorInset(Node3D)；2026-08-18扫描补登记资产主表</t>
        </is>
      </c>
    </row>
    <row r="25" ht="66" customHeight="1">
      <c r="A25" s="191" t="inlineStr">
        <is>
          <t>ENV-DUNGEON-ROOM-FLOOR-PARTITION-H</t>
        </is>
      </c>
      <c r="B25" s="192" t="inlineStr">
        <is>
          <t>房间地板水平分隔</t>
        </is>
      </c>
      <c r="C25" s="192" t="inlineStr">
        <is>
          <t>assets/art/props/dungeon_3d/prp_room_floor_partition_horizontal.tscn</t>
        </is>
      </c>
      <c r="D25" s="192" t="str"/>
      <c r="E25" s="192" t="str"/>
      <c r="F25" s="192" t="inlineStr">
        <is>
          <t>Godot原生场景结构Prefab；由关卡脚本按模块实例化</t>
        </is>
      </c>
      <c r="G25" s="192" t="inlineStr">
        <is>
          <t>src/world3d/DungeonRoom3D.gd</t>
        </is>
      </c>
      <c r="H25" s="192" t="inlineStr">
        <is>
          <t>开</t>
        </is>
      </c>
      <c r="I25" s="192" t="inlineStr">
        <is>
          <t>Prefab自身</t>
        </is>
      </c>
      <c r="J25" s="192" t="inlineStr">
        <is>
          <t>BoxShape3D</t>
        </is>
      </c>
      <c r="K25" s="192" t="inlineStr">
        <is>
          <t>未声明</t>
        </is>
      </c>
      <c r="L25" s="192" t="inlineStr">
        <is>
          <t>未声明</t>
        </is>
      </c>
      <c r="M25" s="192" t="inlineStr">
        <is>
          <t>场景通用组件</t>
        </is>
      </c>
      <c r="N25" s="192" t="inlineStr">
        <is>
          <t>程序占位</t>
        </is>
      </c>
      <c r="O25" s="192" t="inlineStr">
        <is>
          <t>v001</t>
        </is>
      </c>
      <c r="P25" s="193" t="inlineStr">
        <is>
          <t>根节点=PrpRoomFloorPartitionHorizontal(Node3D)；2026-08-18扫描补登记资产主表</t>
        </is>
      </c>
    </row>
    <row r="26" ht="66" customHeight="1">
      <c r="A26" s="191" t="inlineStr">
        <is>
          <t>ENV-DUNGEON-ROOM-FLOOR-PARTITION-V</t>
        </is>
      </c>
      <c r="B26" s="192" t="inlineStr">
        <is>
          <t>房间地板垂直分隔</t>
        </is>
      </c>
      <c r="C26" s="192" t="inlineStr">
        <is>
          <t>assets/art/props/dungeon_3d/prp_room_floor_partition_vertical.tscn</t>
        </is>
      </c>
      <c r="D26" s="192" t="str"/>
      <c r="E26" s="192" t="str"/>
      <c r="F26" s="192" t="inlineStr">
        <is>
          <t>Godot原生场景结构Prefab；由关卡脚本按模块实例化</t>
        </is>
      </c>
      <c r="G26" s="192" t="inlineStr">
        <is>
          <t>src/world3d/DungeonRoom3D.gd</t>
        </is>
      </c>
      <c r="H26" s="192" t="inlineStr">
        <is>
          <t>开</t>
        </is>
      </c>
      <c r="I26" s="192" t="inlineStr">
        <is>
          <t>Prefab自身</t>
        </is>
      </c>
      <c r="J26" s="192" t="inlineStr">
        <is>
          <t>BoxShape3D</t>
        </is>
      </c>
      <c r="K26" s="192" t="inlineStr">
        <is>
          <t>未声明</t>
        </is>
      </c>
      <c r="L26" s="192" t="inlineStr">
        <is>
          <t>未声明</t>
        </is>
      </c>
      <c r="M26" s="192" t="inlineStr">
        <is>
          <t>场景通用组件</t>
        </is>
      </c>
      <c r="N26" s="192" t="inlineStr">
        <is>
          <t>程序占位</t>
        </is>
      </c>
      <c r="O26" s="192" t="inlineStr">
        <is>
          <t>v001</t>
        </is>
      </c>
      <c r="P26" s="193" t="inlineStr">
        <is>
          <t>根节点=PrpRoomFloorPartitionVertical(Node3D)；2026-08-18扫描补登记资产主表</t>
        </is>
      </c>
    </row>
    <row r="27" ht="66" customHeight="1">
      <c r="A27" s="191" t="inlineStr">
        <is>
          <t>ENV-DUNGEON-ROOM-FLOOR-SEAM</t>
        </is>
      </c>
      <c r="B27" s="192" t="inlineStr">
        <is>
          <t>房间地板接缝条</t>
        </is>
      </c>
      <c r="C27" s="192" t="inlineStr">
        <is>
          <t>assets/art/props/dungeon_3d/prp_room_floor_seam_strip.tscn</t>
        </is>
      </c>
      <c r="D27" s="192" t="str"/>
      <c r="E27" s="192" t="str"/>
      <c r="F27" s="192" t="inlineStr">
        <is>
          <t>Godot原生场景结构Prefab；由关卡脚本按模块实例化</t>
        </is>
      </c>
      <c r="G27" s="192" t="inlineStr">
        <is>
          <t>src/world3d/DungeonRoom3D.gd</t>
        </is>
      </c>
      <c r="H27" s="192" t="inlineStr">
        <is>
          <t>无</t>
        </is>
      </c>
      <c r="I27" s="192" t="inlineStr">
        <is>
          <t>无</t>
        </is>
      </c>
      <c r="J27" s="192" t="inlineStr">
        <is>
          <t>无</t>
        </is>
      </c>
      <c r="K27" s="192" t="inlineStr">
        <is>
          <t>未声明</t>
        </is>
      </c>
      <c r="L27" s="192" t="inlineStr">
        <is>
          <t>未声明</t>
        </is>
      </c>
      <c r="M27" s="192" t="inlineStr">
        <is>
          <t>场景通用组件</t>
        </is>
      </c>
      <c r="N27" s="192" t="inlineStr">
        <is>
          <t>程序占位</t>
        </is>
      </c>
      <c r="O27" s="192" t="inlineStr">
        <is>
          <t>v001</t>
        </is>
      </c>
      <c r="P27" s="193" t="inlineStr">
        <is>
          <t>根节点=PrpRoomFloorSeamStrip(Node3D)；2026-08-18扫描补登记资产主表</t>
        </is>
      </c>
    </row>
    <row r="28" ht="66" customHeight="1">
      <c r="A28" s="191" t="inlineStr">
        <is>
          <t>ENV-DUNGEON-ROOM-FLOOR</t>
        </is>
      </c>
      <c r="B28" s="192" t="inlineStr">
        <is>
          <t>地牢房间地板</t>
        </is>
      </c>
      <c r="C28" s="192" t="inlineStr">
        <is>
          <t>assets/art/props/dungeon_3d/prp_room_floor.tscn</t>
        </is>
      </c>
      <c r="D28" s="192" t="str"/>
      <c r="E28" s="192" t="str"/>
      <c r="F28" s="192" t="inlineStr">
        <is>
          <t>Godot原生场景结构Prefab；由关卡脚本按模块实例化</t>
        </is>
      </c>
      <c r="G28" s="192" t="inlineStr">
        <is>
          <t>src/world3d/DungeonRoom3D.gd</t>
        </is>
      </c>
      <c r="H28" s="192" t="inlineStr">
        <is>
          <t>开</t>
        </is>
      </c>
      <c r="I28" s="192" t="inlineStr">
        <is>
          <t>Prefab自身</t>
        </is>
      </c>
      <c r="J28" s="192" t="inlineStr">
        <is>
          <t>BoxShape3D</t>
        </is>
      </c>
      <c r="K28" s="192" t="inlineStr">
        <is>
          <t>未声明</t>
        </is>
      </c>
      <c r="L28" s="192" t="inlineStr">
        <is>
          <t>未声明</t>
        </is>
      </c>
      <c r="M28" s="192" t="inlineStr">
        <is>
          <t>场景通用组件</t>
        </is>
      </c>
      <c r="N28" s="192" t="inlineStr">
        <is>
          <t>程序占位</t>
        </is>
      </c>
      <c r="O28" s="192" t="inlineStr">
        <is>
          <t>v001</t>
        </is>
      </c>
      <c r="P28" s="193" t="inlineStr">
        <is>
          <t>根节点=PrpRoomFloor(Node3D)；2026-08-18扫描补登记资产主表</t>
        </is>
      </c>
    </row>
    <row r="29" ht="66" customHeight="1">
      <c r="A29" s="191" t="inlineStr">
        <is>
          <t>ENV-TOWER-ROOFTOP-DESCENT-MARKER</t>
        </is>
      </c>
      <c r="B29" s="192" t="inlineStr">
        <is>
          <t>楼顶下降入口标记</t>
        </is>
      </c>
      <c r="C29" s="192" t="inlineStr">
        <is>
          <t>assets/art/props/dungeon_3d/prp_room_rooftop_descent_marker.tscn</t>
        </is>
      </c>
      <c r="D29" s="192" t="str"/>
      <c r="E29" s="192" t="str"/>
      <c r="F29" s="192" t="inlineStr">
        <is>
          <t>Godot原生场景结构Prefab；由关卡脚本按模块实例化</t>
        </is>
      </c>
      <c r="G29" s="192" t="inlineStr">
        <is>
          <t>src/world3d/TowerFloorStage3D.gd</t>
        </is>
      </c>
      <c r="H29" s="192" t="inlineStr">
        <is>
          <t>无</t>
        </is>
      </c>
      <c r="I29" s="192" t="inlineStr">
        <is>
          <t>无</t>
        </is>
      </c>
      <c r="J29" s="192" t="inlineStr">
        <is>
          <t>无</t>
        </is>
      </c>
      <c r="K29" s="192" t="inlineStr">
        <is>
          <t>未声明</t>
        </is>
      </c>
      <c r="L29" s="192" t="inlineStr">
        <is>
          <t>未声明</t>
        </is>
      </c>
      <c r="M29" s="192" t="inlineStr">
        <is>
          <t>场景通用组件</t>
        </is>
      </c>
      <c r="N29" s="192" t="inlineStr">
        <is>
          <t>程序占位</t>
        </is>
      </c>
      <c r="O29" s="192" t="inlineStr">
        <is>
          <t>v001</t>
        </is>
      </c>
      <c r="P29" s="193" t="inlineStr">
        <is>
          <t>根节点=PrpRoomRooftopDescentMarker(Node3D)；2026-08-18扫描补登记资产主表</t>
        </is>
      </c>
    </row>
    <row r="30" ht="66" customHeight="1">
      <c r="A30" s="191" t="inlineStr">
        <is>
          <t>ENV-TOWER-ROOFTOP-FACADE-BAND</t>
        </is>
      </c>
      <c r="B30" s="192" t="inlineStr">
        <is>
          <t>楼顶外立面饰带</t>
        </is>
      </c>
      <c r="C30" s="192" t="inlineStr">
        <is>
          <t>assets/art/props/dungeon_3d/prp_room_rooftop_facade_band.tscn</t>
        </is>
      </c>
      <c r="D30" s="192" t="str"/>
      <c r="E30" s="192" t="str"/>
      <c r="F30" s="192" t="inlineStr">
        <is>
          <t>Godot原生场景结构Prefab；由关卡脚本按模块实例化</t>
        </is>
      </c>
      <c r="G30" s="192" t="inlineStr">
        <is>
          <t>src/world3d/TowerFloorStage3D.gd</t>
        </is>
      </c>
      <c r="H30" s="192" t="inlineStr">
        <is>
          <t>无</t>
        </is>
      </c>
      <c r="I30" s="192" t="inlineStr">
        <is>
          <t>无</t>
        </is>
      </c>
      <c r="J30" s="192" t="inlineStr">
        <is>
          <t>无</t>
        </is>
      </c>
      <c r="K30" s="192" t="inlineStr">
        <is>
          <t>未声明</t>
        </is>
      </c>
      <c r="L30" s="192" t="inlineStr">
        <is>
          <t>未声明</t>
        </is>
      </c>
      <c r="M30" s="192" t="inlineStr">
        <is>
          <t>场景通用组件</t>
        </is>
      </c>
      <c r="N30" s="192" t="inlineStr">
        <is>
          <t>程序占位</t>
        </is>
      </c>
      <c r="O30" s="192" t="inlineStr">
        <is>
          <t>v001</t>
        </is>
      </c>
      <c r="P30" s="193" t="inlineStr">
        <is>
          <t>根节点=PrpRoomRooftopFacadeBand(Node3D)；2026-08-18扫描补登记资产主表</t>
        </is>
      </c>
    </row>
    <row r="31" ht="66" customHeight="1">
      <c r="A31" s="191" t="inlineStr">
        <is>
          <t>ENV-TOWER-ROOFTOP-FACADE</t>
        </is>
      </c>
      <c r="B31" s="192" t="inlineStr">
        <is>
          <t>楼顶外立面</t>
        </is>
      </c>
      <c r="C31" s="192" t="inlineStr">
        <is>
          <t>assets/art/props/dungeon_3d/prp_room_rooftop_facade.tscn</t>
        </is>
      </c>
      <c r="D31" s="192" t="str"/>
      <c r="E31" s="192" t="str"/>
      <c r="F31" s="192" t="inlineStr">
        <is>
          <t>Godot原生场景结构Prefab；由关卡脚本按模块实例化</t>
        </is>
      </c>
      <c r="G31" s="192" t="inlineStr">
        <is>
          <t>src/world3d/TowerFloorStage3D.gd</t>
        </is>
      </c>
      <c r="H31" s="192" t="inlineStr">
        <is>
          <t>无</t>
        </is>
      </c>
      <c r="I31" s="192" t="inlineStr">
        <is>
          <t>无</t>
        </is>
      </c>
      <c r="J31" s="192" t="inlineStr">
        <is>
          <t>无</t>
        </is>
      </c>
      <c r="K31" s="192" t="inlineStr">
        <is>
          <t>未声明</t>
        </is>
      </c>
      <c r="L31" s="192" t="inlineStr">
        <is>
          <t>未声明</t>
        </is>
      </c>
      <c r="M31" s="192" t="inlineStr">
        <is>
          <t>场景通用组件</t>
        </is>
      </c>
      <c r="N31" s="192" t="inlineStr">
        <is>
          <t>程序占位</t>
        </is>
      </c>
      <c r="O31" s="192" t="inlineStr">
        <is>
          <t>v001</t>
        </is>
      </c>
      <c r="P31" s="193" t="inlineStr">
        <is>
          <t>根节点=PrpRoomRooftopFacade(Node3D)；2026-08-18扫描补登记资产主表</t>
        </is>
      </c>
    </row>
    <row r="32" ht="66" customHeight="1">
      <c r="A32" s="191" t="inlineStr">
        <is>
          <t>ENV-TOWER-ROOFTOP-RAIL-POST</t>
        </is>
      </c>
      <c r="B32" s="192" t="inlineStr">
        <is>
          <t>楼顶栏杆立柱</t>
        </is>
      </c>
      <c r="C32" s="192" t="inlineStr">
        <is>
          <t>assets/art/props/dungeon_3d/prp_room_rooftop_rail_post.tscn</t>
        </is>
      </c>
      <c r="D32" s="192" t="str"/>
      <c r="E32" s="192" t="str"/>
      <c r="F32" s="192" t="inlineStr">
        <is>
          <t>Godot原生场景结构Prefab；由关卡脚本按模块实例化</t>
        </is>
      </c>
      <c r="G32" s="192" t="inlineStr">
        <is>
          <t>src/world3d/TowerFloorStage3D.gd</t>
        </is>
      </c>
      <c r="H32" s="192" t="inlineStr">
        <is>
          <t>无</t>
        </is>
      </c>
      <c r="I32" s="192" t="inlineStr">
        <is>
          <t>无</t>
        </is>
      </c>
      <c r="J32" s="192" t="inlineStr">
        <is>
          <t>无</t>
        </is>
      </c>
      <c r="K32" s="192" t="inlineStr">
        <is>
          <t>未声明</t>
        </is>
      </c>
      <c r="L32" s="192" t="inlineStr">
        <is>
          <t>未声明</t>
        </is>
      </c>
      <c r="M32" s="192" t="inlineStr">
        <is>
          <t>场景通用组件</t>
        </is>
      </c>
      <c r="N32" s="192" t="inlineStr">
        <is>
          <t>程序占位</t>
        </is>
      </c>
      <c r="O32" s="192" t="inlineStr">
        <is>
          <t>v001</t>
        </is>
      </c>
      <c r="P32" s="193" t="inlineStr">
        <is>
          <t>根节点=PrpRoomRooftopRailPost(Node3D)；2026-08-18扫描补登记资产主表</t>
        </is>
      </c>
    </row>
    <row r="33" ht="66" customHeight="1">
      <c r="A33" s="191" t="inlineStr">
        <is>
          <t>ENV-TOWER-ROOFTOP-RAILING-LOWER</t>
        </is>
      </c>
      <c r="B33" s="192" t="inlineStr">
        <is>
          <t>楼顶下层栏杆</t>
        </is>
      </c>
      <c r="C33" s="192" t="inlineStr">
        <is>
          <t>assets/art/props/dungeon_3d/prp_room_rooftop_railing_lower.tscn</t>
        </is>
      </c>
      <c r="D33" s="192" t="str"/>
      <c r="E33" s="192" t="str"/>
      <c r="F33" s="192" t="inlineStr">
        <is>
          <t>Godot原生场景结构Prefab；由关卡脚本按模块实例化</t>
        </is>
      </c>
      <c r="G33" s="192" t="inlineStr">
        <is>
          <t>src/world3d/TowerFloorStage3D.gd</t>
        </is>
      </c>
      <c r="H33" s="192" t="inlineStr">
        <is>
          <t>开</t>
        </is>
      </c>
      <c r="I33" s="192" t="inlineStr">
        <is>
          <t>Prefab自身</t>
        </is>
      </c>
      <c r="J33" s="192" t="inlineStr">
        <is>
          <t>BoxShape3D</t>
        </is>
      </c>
      <c r="K33" s="192" t="inlineStr">
        <is>
          <t>未声明</t>
        </is>
      </c>
      <c r="L33" s="192" t="inlineStr">
        <is>
          <t>未声明</t>
        </is>
      </c>
      <c r="M33" s="192" t="inlineStr">
        <is>
          <t>场景通用组件</t>
        </is>
      </c>
      <c r="N33" s="192" t="inlineStr">
        <is>
          <t>程序占位</t>
        </is>
      </c>
      <c r="O33" s="192" t="inlineStr">
        <is>
          <t>v001</t>
        </is>
      </c>
      <c r="P33" s="193" t="inlineStr">
        <is>
          <t>根节点=PrpRoomRooftopRailingLower(Node3D)；2026-08-18扫描补登记资产主表</t>
        </is>
      </c>
    </row>
    <row r="34" ht="66" customHeight="1">
      <c r="A34" s="191" t="inlineStr">
        <is>
          <t>ENV-TOWER-ROOFTOP-RAILING-UPPER</t>
        </is>
      </c>
      <c r="B34" s="192" t="inlineStr">
        <is>
          <t>楼顶上层栏杆</t>
        </is>
      </c>
      <c r="C34" s="192" t="inlineStr">
        <is>
          <t>assets/art/props/dungeon_3d/prp_room_rooftop_railing_upper.tscn</t>
        </is>
      </c>
      <c r="D34" s="192" t="str"/>
      <c r="E34" s="192" t="str"/>
      <c r="F34" s="192" t="inlineStr">
        <is>
          <t>Godot原生场景结构Prefab；由关卡脚本按模块实例化</t>
        </is>
      </c>
      <c r="G34" s="192" t="inlineStr">
        <is>
          <t>src/world3d/TowerFloorStage3D.gd</t>
        </is>
      </c>
      <c r="H34" s="192" t="inlineStr">
        <is>
          <t>无</t>
        </is>
      </c>
      <c r="I34" s="192" t="inlineStr">
        <is>
          <t>无</t>
        </is>
      </c>
      <c r="J34" s="192" t="inlineStr">
        <is>
          <t>无</t>
        </is>
      </c>
      <c r="K34" s="192" t="inlineStr">
        <is>
          <t>未声明</t>
        </is>
      </c>
      <c r="L34" s="192" t="inlineStr">
        <is>
          <t>未声明</t>
        </is>
      </c>
      <c r="M34" s="192" t="inlineStr">
        <is>
          <t>场景通用组件</t>
        </is>
      </c>
      <c r="N34" s="192" t="inlineStr">
        <is>
          <t>程序占位</t>
        </is>
      </c>
      <c r="O34" s="192" t="inlineStr">
        <is>
          <t>v001</t>
        </is>
      </c>
      <c r="P34" s="193" t="inlineStr">
        <is>
          <t>根节点=PrpRoomRooftopRailingUpper(Node3D)；2026-08-18扫描补登记资产主表</t>
        </is>
      </c>
    </row>
    <row r="35" ht="66" customHeight="1">
      <c r="A35" s="191" t="inlineStr">
        <is>
          <t>ENV-TOWER-ROOFTOP-STAIR-FRAME-LINTEL</t>
        </is>
      </c>
      <c r="B35" s="192" t="inlineStr">
        <is>
          <t>楼顶楼梯框架门楣</t>
        </is>
      </c>
      <c r="C35" s="192" t="inlineStr">
        <is>
          <t>assets/art/props/dungeon_3d/prp_room_rooftop_stair_frame_lintel.tscn</t>
        </is>
      </c>
      <c r="D35" s="192" t="str"/>
      <c r="E35" s="192" t="str"/>
      <c r="F35" s="192" t="inlineStr">
        <is>
          <t>Godot原生场景结构Prefab；由关卡脚本按模块实例化</t>
        </is>
      </c>
      <c r="G35" s="192" t="inlineStr">
        <is>
          <t>src/world3d/TowerFloorStage3D.gd</t>
        </is>
      </c>
      <c r="H35" s="192" t="inlineStr">
        <is>
          <t>开</t>
        </is>
      </c>
      <c r="I35" s="192" t="inlineStr">
        <is>
          <t>Prefab自身</t>
        </is>
      </c>
      <c r="J35" s="192" t="inlineStr">
        <is>
          <t>BoxShape3D</t>
        </is>
      </c>
      <c r="K35" s="192" t="inlineStr">
        <is>
          <t>未声明</t>
        </is>
      </c>
      <c r="L35" s="192" t="inlineStr">
        <is>
          <t>未声明</t>
        </is>
      </c>
      <c r="M35" s="192" t="inlineStr">
        <is>
          <t>场景通用组件</t>
        </is>
      </c>
      <c r="N35" s="192" t="inlineStr">
        <is>
          <t>程序占位</t>
        </is>
      </c>
      <c r="O35" s="192" t="inlineStr">
        <is>
          <t>v001</t>
        </is>
      </c>
      <c r="P35" s="193" t="inlineStr">
        <is>
          <t>根节点=PrpRoomRooftopStairFrameLintel(Node3D)；2026-08-18扫描补登记资产主表</t>
        </is>
      </c>
    </row>
    <row r="36" ht="66" customHeight="1">
      <c r="A36" s="191" t="inlineStr">
        <is>
          <t>ENV-TOWER-ROOFTOP-STAIR-FRAME-POST</t>
        </is>
      </c>
      <c r="B36" s="192" t="inlineStr">
        <is>
          <t>楼顶楼梯框架立柱</t>
        </is>
      </c>
      <c r="C36" s="192" t="inlineStr">
        <is>
          <t>assets/art/props/dungeon_3d/prp_room_rooftop_stair_frame_post.tscn</t>
        </is>
      </c>
      <c r="D36" s="192" t="str"/>
      <c r="E36" s="192" t="str"/>
      <c r="F36" s="192" t="inlineStr">
        <is>
          <t>Godot原生场景结构Prefab；由关卡脚本按模块实例化</t>
        </is>
      </c>
      <c r="G36" s="192" t="inlineStr">
        <is>
          <t>src/world3d/TowerFloorStage3D.gd</t>
        </is>
      </c>
      <c r="H36" s="192" t="inlineStr">
        <is>
          <t>开</t>
        </is>
      </c>
      <c r="I36" s="192" t="inlineStr">
        <is>
          <t>Prefab自身</t>
        </is>
      </c>
      <c r="J36" s="192" t="inlineStr">
        <is>
          <t>BoxShape3D</t>
        </is>
      </c>
      <c r="K36" s="192" t="inlineStr">
        <is>
          <t>未声明</t>
        </is>
      </c>
      <c r="L36" s="192" t="inlineStr">
        <is>
          <t>未声明</t>
        </is>
      </c>
      <c r="M36" s="192" t="inlineStr">
        <is>
          <t>场景通用组件</t>
        </is>
      </c>
      <c r="N36" s="192" t="inlineStr">
        <is>
          <t>程序占位</t>
        </is>
      </c>
      <c r="O36" s="192" t="inlineStr">
        <is>
          <t>v001</t>
        </is>
      </c>
      <c r="P36" s="193" t="inlineStr">
        <is>
          <t>根节点=PrpRoomRooftopStairFramePost(Node3D)；2026-08-18扫描补登记资产主表</t>
        </is>
      </c>
    </row>
    <row r="37" ht="66" customHeight="1">
      <c r="A37" s="191" t="inlineStr">
        <is>
          <t>ENV-DUNGEON-STAIR-LOBBY-ROUTE-GUIDE</t>
        </is>
      </c>
      <c r="B37" s="192" t="inlineStr">
        <is>
          <t>楼梯厅路线引导</t>
        </is>
      </c>
      <c r="C37" s="192" t="inlineStr">
        <is>
          <t>assets/art/props/dungeon_3d/prp_room_stair_lobby_route_guide.tscn</t>
        </is>
      </c>
      <c r="D37" s="192" t="str"/>
      <c r="E37" s="192" t="str"/>
      <c r="F37" s="192" t="inlineStr">
        <is>
          <t>Godot原生场景结构Prefab；由关卡脚本按模块实例化</t>
        </is>
      </c>
      <c r="G37" s="192" t="inlineStr">
        <is>
          <t>src/world3d/DungeonRoom3D.gd</t>
        </is>
      </c>
      <c r="H37" s="192" t="inlineStr">
        <is>
          <t>无</t>
        </is>
      </c>
      <c r="I37" s="192" t="inlineStr">
        <is>
          <t>无</t>
        </is>
      </c>
      <c r="J37" s="192" t="inlineStr">
        <is>
          <t>无</t>
        </is>
      </c>
      <c r="K37" s="192" t="inlineStr">
        <is>
          <t>未声明</t>
        </is>
      </c>
      <c r="L37" s="192" t="inlineStr">
        <is>
          <t>未声明</t>
        </is>
      </c>
      <c r="M37" s="192" t="inlineStr">
        <is>
          <t>场景通用组件</t>
        </is>
      </c>
      <c r="N37" s="192" t="inlineStr">
        <is>
          <t>程序占位</t>
        </is>
      </c>
      <c r="O37" s="192" t="inlineStr">
        <is>
          <t>v001</t>
        </is>
      </c>
      <c r="P37" s="193" t="inlineStr">
        <is>
          <t>根节点=PrpRoomStairLobbyRouteGuide(Node3D)；2026-08-18扫描补登记资产主表</t>
        </is>
      </c>
    </row>
    <row r="38" ht="66" customHeight="1">
      <c r="A38" s="191" t="inlineStr">
        <is>
          <t>ENV-DUNGEON-STAIR-LOBBY-THRESHOLD-GUIDE</t>
        </is>
      </c>
      <c r="B38" s="192" t="inlineStr">
        <is>
          <t>楼梯厅门槛引导</t>
        </is>
      </c>
      <c r="C38" s="192" t="inlineStr">
        <is>
          <t>assets/art/props/dungeon_3d/prp_room_stair_lobby_threshold_guide.tscn</t>
        </is>
      </c>
      <c r="D38" s="192" t="str"/>
      <c r="E38" s="192" t="str"/>
      <c r="F38" s="192" t="inlineStr">
        <is>
          <t>Godot原生场景结构Prefab；由关卡脚本按模块实例化</t>
        </is>
      </c>
      <c r="G38" s="192" t="inlineStr">
        <is>
          <t>src/world3d/DungeonRoom3D.gd</t>
        </is>
      </c>
      <c r="H38" s="192" t="inlineStr">
        <is>
          <t>无</t>
        </is>
      </c>
      <c r="I38" s="192" t="inlineStr">
        <is>
          <t>无</t>
        </is>
      </c>
      <c r="J38" s="192" t="inlineStr">
        <is>
          <t>无</t>
        </is>
      </c>
      <c r="K38" s="192" t="inlineStr">
        <is>
          <t>未声明</t>
        </is>
      </c>
      <c r="L38" s="192" t="inlineStr">
        <is>
          <t>未声明</t>
        </is>
      </c>
      <c r="M38" s="192" t="inlineStr">
        <is>
          <t>场景通用组件</t>
        </is>
      </c>
      <c r="N38" s="192" t="inlineStr">
        <is>
          <t>程序占位</t>
        </is>
      </c>
      <c r="O38" s="192" t="inlineStr">
        <is>
          <t>v001</t>
        </is>
      </c>
      <c r="P38" s="193" t="inlineStr">
        <is>
          <t>根节点=PrpRoomStairLobbyThresholdGuide(Node3D)；2026-08-18扫描补登记资产主表</t>
        </is>
      </c>
    </row>
    <row r="39" ht="66" customHeight="1">
      <c r="A39" s="191" t="inlineStr">
        <is>
          <t>ENV-DUNGEON-VERTICAL-ACCESS-MARKER</t>
        </is>
      </c>
      <c r="B39" s="192" t="inlineStr">
        <is>
          <t>垂直通行标记</t>
        </is>
      </c>
      <c r="C39" s="192" t="inlineStr">
        <is>
          <t>assets/art/props/dungeon_3d/prp_room_vertical_access_marker_label.tscn</t>
        </is>
      </c>
      <c r="D39" s="192" t="str"/>
      <c r="E39" s="192" t="str"/>
      <c r="F39" s="192" t="inlineStr">
        <is>
          <t>Godot原生场景结构Prefab；由关卡脚本按模块实例化</t>
        </is>
      </c>
      <c r="G39" s="192" t="inlineStr">
        <is>
          <t>src/world3d/DungeonRoom3D.gd</t>
        </is>
      </c>
      <c r="H39" s="192" t="inlineStr">
        <is>
          <t>无</t>
        </is>
      </c>
      <c r="I39" s="192" t="inlineStr">
        <is>
          <t>无</t>
        </is>
      </c>
      <c r="J39" s="192" t="inlineStr">
        <is>
          <t>无</t>
        </is>
      </c>
      <c r="K39" s="192" t="inlineStr">
        <is>
          <t>未声明</t>
        </is>
      </c>
      <c r="L39" s="192" t="inlineStr">
        <is>
          <t>未声明</t>
        </is>
      </c>
      <c r="M39" s="192" t="inlineStr">
        <is>
          <t>场景通用组件</t>
        </is>
      </c>
      <c r="N39" s="192" t="inlineStr">
        <is>
          <t>程序占位</t>
        </is>
      </c>
      <c r="O39" s="192" t="inlineStr">
        <is>
          <t>v001</t>
        </is>
      </c>
      <c r="P39" s="193" t="inlineStr">
        <is>
          <t>根节点=PrpRoomVerticalAccessMarkerLabel(Node3D)；2026-08-18扫描补登记资产主表</t>
        </is>
      </c>
    </row>
    <row r="40" ht="66" customHeight="1">
      <c r="A40" s="191" t="inlineStr">
        <is>
          <t>ENV-DUNGEON-ROOM-WALL-DOOR-SEGMENT</t>
        </is>
      </c>
      <c r="B40" s="192" t="inlineStr">
        <is>
          <t>房间带门墙段</t>
        </is>
      </c>
      <c r="C40" s="192" t="inlineStr">
        <is>
          <t>assets/art/props/dungeon_3d/prp_room_wall_door_segment.tscn</t>
        </is>
      </c>
      <c r="D40" s="192" t="str"/>
      <c r="E40" s="192" t="str"/>
      <c r="F40" s="192" t="inlineStr">
        <is>
          <t>Godot原生场景结构Prefab；由关卡脚本按模块实例化</t>
        </is>
      </c>
      <c r="G40" s="192" t="inlineStr">
        <is>
          <t>src/world3d/DungeonRoom3D.gd</t>
        </is>
      </c>
      <c r="H40" s="192" t="inlineStr">
        <is>
          <t>开</t>
        </is>
      </c>
      <c r="I40" s="192" t="inlineStr">
        <is>
          <t>Prefab自身</t>
        </is>
      </c>
      <c r="J40" s="192" t="inlineStr">
        <is>
          <t>BoxShape3D</t>
        </is>
      </c>
      <c r="K40" s="192" t="inlineStr">
        <is>
          <t>未声明</t>
        </is>
      </c>
      <c r="L40" s="192" t="inlineStr">
        <is>
          <t>未声明</t>
        </is>
      </c>
      <c r="M40" s="192" t="inlineStr">
        <is>
          <t>场景通用组件</t>
        </is>
      </c>
      <c r="N40" s="192" t="inlineStr">
        <is>
          <t>程序占位</t>
        </is>
      </c>
      <c r="O40" s="192" t="inlineStr">
        <is>
          <t>v001</t>
        </is>
      </c>
      <c r="P40" s="193" t="inlineStr">
        <is>
          <t>根节点=PrpRoomWallDoorSegment(Node3D)；2026-08-18扫描补登记资产主表</t>
        </is>
      </c>
    </row>
    <row r="41" ht="66" customHeight="1">
      <c r="A41" s="191" t="inlineStr">
        <is>
          <t>ENV-DUNGEON-ROOM-WALL-SEGMENT</t>
        </is>
      </c>
      <c r="B41" s="192" t="inlineStr">
        <is>
          <t>房间普通墙段</t>
        </is>
      </c>
      <c r="C41" s="192" t="inlineStr">
        <is>
          <t>assets/art/props/dungeon_3d/prp_room_wall_segment.tscn</t>
        </is>
      </c>
      <c r="D41" s="192" t="str"/>
      <c r="E41" s="192" t="str"/>
      <c r="F41" s="192" t="inlineStr">
        <is>
          <t>Godot原生场景结构Prefab；由关卡脚本按模块实例化</t>
        </is>
      </c>
      <c r="G41" s="192" t="inlineStr">
        <is>
          <t>src/world3d/DungeonRoom3D.gd</t>
        </is>
      </c>
      <c r="H41" s="192" t="inlineStr">
        <is>
          <t>开</t>
        </is>
      </c>
      <c r="I41" s="192" t="inlineStr">
        <is>
          <t>Prefab自身</t>
        </is>
      </c>
      <c r="J41" s="192" t="inlineStr">
        <is>
          <t>BoxShape3D</t>
        </is>
      </c>
      <c r="K41" s="192" t="inlineStr">
        <is>
          <t>未声明</t>
        </is>
      </c>
      <c r="L41" s="192" t="inlineStr">
        <is>
          <t>未声明</t>
        </is>
      </c>
      <c r="M41" s="192" t="inlineStr">
        <is>
          <t>场景通用组件</t>
        </is>
      </c>
      <c r="N41" s="192" t="inlineStr">
        <is>
          <t>程序占位</t>
        </is>
      </c>
      <c r="O41" s="192" t="inlineStr">
        <is>
          <t>v001</t>
        </is>
      </c>
      <c r="P41" s="193" t="inlineStr">
        <is>
          <t>根节点=PrpRoomWallSegment(Node3D)；2026-08-18扫描补登记资产主表</t>
        </is>
      </c>
    </row>
    <row r="42" ht="66" customHeight="1">
      <c r="A42" s="191" t="inlineStr">
        <is>
          <t>ENV-TOWER-FLOOR-TILE-5M</t>
        </is>
      </c>
      <c r="B42" s="192" t="inlineStr">
        <is>
          <t>塔楼5米地砖模块</t>
        </is>
      </c>
      <c r="C42" s="192" t="inlineStr">
        <is>
          <t>assets/art/props/dungeon_3d/prp_tower_floor_tile_5m.tscn</t>
        </is>
      </c>
      <c r="D42" s="192" t="str"/>
      <c r="E42" s="192" t="str"/>
      <c r="F42" s="192" t="inlineStr">
        <is>
          <t>Godot原生场景结构Prefab；由关卡脚本按模块实例化</t>
        </is>
      </c>
      <c r="G42" s="192" t="inlineStr">
        <is>
          <t>src/world3d/TowerFloorStage3D.gd</t>
        </is>
      </c>
      <c r="H42" s="192" t="inlineStr">
        <is>
          <t>开</t>
        </is>
      </c>
      <c r="I42" s="192" t="inlineStr">
        <is>
          <t>Prefab自身</t>
        </is>
      </c>
      <c r="J42" s="192" t="inlineStr">
        <is>
          <t>BoxShape3D</t>
        </is>
      </c>
      <c r="K42" s="192" t="inlineStr">
        <is>
          <t>GLB / 5×5×0.30m / 共享Mesh / MultiMesh平铺</t>
        </is>
      </c>
      <c r="L42" s="192" t="inlineStr">
        <is>
          <t>未声明</t>
        </is>
      </c>
      <c r="M42" s="192" t="inlineStr">
        <is>
          <t>塔楼六个物理层楼板/335m MultiMesh网格/动态水平通道</t>
        </is>
      </c>
      <c r="N42" s="192" t="inlineStr">
        <is>
          <t>原型已接入</t>
        </is>
      </c>
      <c r="O42" s="192" t="inlineStr">
        <is>
          <t>v001</t>
        </is>
      </c>
      <c r="P42" s="193" t="inlineStr">
        <is>
          <t>根节点=PrpTowerFloorTile5m(Node3D)；资产主表模型=assets/art/environments/tower_descent_3d/components/env_tower_floor_tile_5m_top3d_v001.glb；当前Prefab尚未直接引用</t>
        </is>
      </c>
    </row>
    <row r="43" ht="66" customHeight="1">
      <c r="A43" s="191" t="inlineStr">
        <is>
          <t>ENV-TOWER-STAIRWELL-GENERIC-9M</t>
        </is>
      </c>
      <c r="B43" s="192" t="inlineStr">
        <is>
          <t>塔楼9米通用双跑楼梯间</t>
        </is>
      </c>
      <c r="C43" s="192" t="inlineStr">
        <is>
          <t>assets/art/props/dungeon_3d/prp_tower_stairwell_generic_9m.tscn</t>
        </is>
      </c>
      <c r="D43" s="192" t="inlineStr">
        <is>
          <t>assets/art/environments/tower_descent_3d/components/env_tower_stairwell_generic_9m_top3d_v001.glb</t>
        </is>
      </c>
      <c r="E43" s="192" t="str"/>
      <c r="F43" s="192" t="inlineStr">
        <is>
          <t>Godot原生场景结构Prefab；由关卡脚本按模块实例化</t>
        </is>
      </c>
      <c r="G43" s="192" t="inlineStr">
        <is>
          <t>src/world3d/TowerFloorStage3D.gd</t>
        </is>
      </c>
      <c r="H43" s="192" t="inlineStr">
        <is>
          <t>无</t>
        </is>
      </c>
      <c r="I43" s="192" t="inlineStr">
        <is>
          <t>无</t>
        </is>
      </c>
      <c r="J43" s="192" t="inlineStr">
        <is>
          <t>无</t>
        </is>
      </c>
      <c r="K43" s="192" t="inlineStr">
        <is>
          <t>GLB / 14.751×27.617×约18.41m包围 / 9m层差 / 48子对象</t>
        </is>
      </c>
      <c r="L43" s="192" t="inlineStr">
        <is>
          <t>未声明</t>
        </is>
      </c>
      <c r="M43" s="192" t="inlineStr">
        <is>
          <t>99层以下通用楼梯/四向旋转/上下楼交通</t>
        </is>
      </c>
      <c r="N43" s="192" t="inlineStr">
        <is>
          <t>原型已接入</t>
        </is>
      </c>
      <c r="O43" s="192" t="inlineStr">
        <is>
          <t>v001</t>
        </is>
      </c>
      <c r="P43" s="193" t="inlineStr">
        <is>
          <t>根节点=PrpTowerStairwellGeneric9m(Node3D)</t>
        </is>
      </c>
    </row>
    <row r="44" ht="66" customHeight="1">
      <c r="A44" s="191" t="inlineStr">
        <is>
          <t>ENV-TOWER-STAIRWELL-ROOFTOP-9M</t>
        </is>
      </c>
      <c r="B44" s="192" t="inlineStr">
        <is>
          <t>塔楼楼顶特殊双跑楼梯间</t>
        </is>
      </c>
      <c r="C44" s="192" t="inlineStr">
        <is>
          <t>assets/art/props/dungeon_3d/prp_tower_stairwell_rooftop_9m.tscn</t>
        </is>
      </c>
      <c r="D44" s="192" t="inlineStr">
        <is>
          <t>assets/art/environments/tower_descent_3d/components/env_tower_stairwell_rooftop_9m_top3d_v001.glb</t>
        </is>
      </c>
      <c r="E44" s="192" t="str"/>
      <c r="F44" s="192" t="inlineStr">
        <is>
          <t>Godot原生场景结构Prefab；由关卡脚本按模块实例化</t>
        </is>
      </c>
      <c r="G44" s="192" t="inlineStr">
        <is>
          <t>src/world3d/TowerFloorStage3D.gd</t>
        </is>
      </c>
      <c r="H44" s="192" t="inlineStr">
        <is>
          <t>无</t>
        </is>
      </c>
      <c r="I44" s="192" t="inlineStr">
        <is>
          <t>无</t>
        </is>
      </c>
      <c r="J44" s="192" t="inlineStr">
        <is>
          <t>无</t>
        </is>
      </c>
      <c r="K44" s="192" t="inlineStr">
        <is>
          <t>GLB / 14.751×27.617×约15.36m包围 / 9m层差 / 47子对象</t>
        </is>
      </c>
      <c r="L44" s="192" t="inlineStr">
        <is>
          <t>未声明</t>
        </is>
      </c>
      <c r="M44" s="192" t="inlineStr">
        <is>
          <t>楼顶至99层特殊交通/保留手调墙高</t>
        </is>
      </c>
      <c r="N44" s="192" t="inlineStr">
        <is>
          <t>原型已接入</t>
        </is>
      </c>
      <c r="O44" s="192" t="inlineStr">
        <is>
          <t>v001</t>
        </is>
      </c>
      <c r="P44" s="193" t="inlineStr">
        <is>
          <t>根节点=PrpTowerStairwellRooftop9m(Node3D)</t>
        </is>
      </c>
    </row>
    <row r="45" ht="66" customHeight="1">
      <c r="A45" s="191" t="inlineStr">
        <is>
          <t>ENV-TOWER-WALL-DOOR-5M</t>
        </is>
      </c>
      <c r="B45" s="192" t="inlineStr">
        <is>
          <t>塔楼5米带门墙模块</t>
        </is>
      </c>
      <c r="C45" s="192" t="inlineStr">
        <is>
          <t>assets/art/props/dungeon_3d/prp_tower_wall_door_5m.tscn</t>
        </is>
      </c>
      <c r="D45" s="192" t="str"/>
      <c r="E45" s="192" t="inlineStr">
        <is>
          <t>assets/art/environments/tower_descent_3d/source/env_tower_descent_kit_top3d_v007.blend</t>
        </is>
      </c>
      <c r="F45" s="192" t="inlineStr">
        <is>
          <t>Godot原生场景结构Prefab；由关卡脚本按模块实例化</t>
        </is>
      </c>
      <c r="G45" s="192" t="inlineStr">
        <is>
          <t>src/world3d/DungeonRoom3D.gd</t>
        </is>
      </c>
      <c r="H45" s="192" t="inlineStr">
        <is>
          <t>开</t>
        </is>
      </c>
      <c r="I45" s="192" t="inlineStr">
        <is>
          <t>Prefab自身</t>
        </is>
      </c>
      <c r="J45" s="192" t="inlineStr">
        <is>
          <t>BoxShape3D</t>
        </is>
      </c>
      <c r="K45" s="192" t="inlineStr">
        <is>
          <t>Blender 4.2 GLB/7个Mesh部件/2.2×2.5m净开口</t>
        </is>
      </c>
      <c r="L45" s="192" t="inlineStr">
        <is>
          <t>未声明</t>
        </is>
      </c>
      <c r="M45" s="192" t="inlineStr">
        <is>
          <t>5m墙位/2.2m净宽/2.5m净高/独立门扇</t>
        </is>
      </c>
      <c r="N45" s="192" t="inlineStr">
        <is>
          <t>原型已接入</t>
        </is>
      </c>
      <c r="O45" s="192" t="inlineStr">
        <is>
          <t>v002</t>
        </is>
      </c>
      <c r="P45" s="193" t="inlineStr">
        <is>
          <t>根节点=PrpTowerWallDoor5m(Node3D)；资产主表模型=assets/art/environments/tower_descent_3d/components/env_tower_wall_door_5m_top3d_v002.glb；当前Prefab尚未直接引用</t>
        </is>
      </c>
    </row>
    <row r="46" ht="66" customHeight="1">
      <c r="A46" s="191" t="inlineStr">
        <is>
          <t>ENV-TOWER-WALL-PARAPET-5M</t>
        </is>
      </c>
      <c r="B46" s="192" t="inlineStr">
        <is>
          <t>塔楼5米楼顶女儿墙模块</t>
        </is>
      </c>
      <c r="C46" s="192" t="inlineStr">
        <is>
          <t>assets/art/props/dungeon_3d/prp_tower_wall_parapet_5m.tscn</t>
        </is>
      </c>
      <c r="D46" s="192" t="str"/>
      <c r="E46" s="192" t="str"/>
      <c r="F46" s="192" t="inlineStr">
        <is>
          <t>Godot原生场景结构Prefab；由关卡脚本按模块实例化</t>
        </is>
      </c>
      <c r="G46" s="192" t="inlineStr">
        <is>
          <t>src/world3d/TowerFloorStage3D.gd</t>
        </is>
      </c>
      <c r="H46" s="192" t="inlineStr">
        <is>
          <t>开</t>
        </is>
      </c>
      <c r="I46" s="192" t="inlineStr">
        <is>
          <t>Prefab自身</t>
        </is>
      </c>
      <c r="J46" s="192" t="inlineStr">
        <is>
          <t>BoxShape3D</t>
        </is>
      </c>
      <c r="K46" s="192" t="inlineStr">
        <is>
          <t>GLB / 5×0.30×1.50m / 共享Mesh</t>
        </is>
      </c>
      <c r="L46" s="192" t="inlineStr">
        <is>
          <t>未声明</t>
        </is>
      </c>
      <c r="M46" s="192" t="inlineStr">
        <is>
          <t>335m楼顶四周边界/268段MultiMesh围栏</t>
        </is>
      </c>
      <c r="N46" s="192" t="inlineStr">
        <is>
          <t>原型已接入</t>
        </is>
      </c>
      <c r="O46" s="192" t="inlineStr">
        <is>
          <t>v001</t>
        </is>
      </c>
      <c r="P46" s="193" t="inlineStr">
        <is>
          <t>根节点=PrpTowerWallParapet5m(Node3D)；资产主表模型=assets/art/environments/tower_descent_3d/components/env_tower_wall_parapet_5m_top3d_v001.glb；当前Prefab尚未直接引用</t>
        </is>
      </c>
    </row>
    <row r="47" ht="66" customHeight="1">
      <c r="A47" s="191" t="inlineStr">
        <is>
          <t>ENV-TOWER-WALL-PARAPET-DOOR-5M</t>
        </is>
      </c>
      <c r="B47" s="192" t="inlineStr">
        <is>
          <t>塔楼带门女儿墙5米</t>
        </is>
      </c>
      <c r="C47" s="192" t="inlineStr">
        <is>
          <t>assets/art/props/dungeon_3d/prp_tower_wall_parapet_door_5m.tscn</t>
        </is>
      </c>
      <c r="D47" s="192" t="str"/>
      <c r="E47" s="192" t="str"/>
      <c r="F47" s="192" t="inlineStr">
        <is>
          <t>Godot原生场景结构Prefab；由关卡脚本按模块实例化</t>
        </is>
      </c>
      <c r="G47" s="192" t="inlineStr">
        <is>
          <t>src/world3d/TowerFloorStage3D.gd</t>
        </is>
      </c>
      <c r="H47" s="192" t="inlineStr">
        <is>
          <t>开</t>
        </is>
      </c>
      <c r="I47" s="192" t="inlineStr">
        <is>
          <t>Prefab自身</t>
        </is>
      </c>
      <c r="J47" s="192" t="inlineStr">
        <is>
          <t>BoxShape3D</t>
        </is>
      </c>
      <c r="K47" s="192" t="inlineStr">
        <is>
          <t>未声明</t>
        </is>
      </c>
      <c r="L47" s="192" t="inlineStr">
        <is>
          <t>未声明</t>
        </is>
      </c>
      <c r="M47" s="192" t="inlineStr">
        <is>
          <t>场景通用组件</t>
        </is>
      </c>
      <c r="N47" s="192" t="inlineStr">
        <is>
          <t>程序占位</t>
        </is>
      </c>
      <c r="O47" s="192" t="inlineStr">
        <is>
          <t>v001</t>
        </is>
      </c>
      <c r="P47" s="193" t="inlineStr">
        <is>
          <t>根节点=PrpTowerWallParapetDoor5m(Node3D)；2026-08-18扫描补登记资产主表</t>
        </is>
      </c>
    </row>
    <row r="48" ht="66" customHeight="1">
      <c r="A48" s="194" t="inlineStr">
        <is>
          <t>ENV-TOWER-WALL-SOLID-5M</t>
        </is>
      </c>
      <c r="B48" s="195" t="inlineStr">
        <is>
          <t>塔楼5米满高实墙模块</t>
        </is>
      </c>
      <c r="C48" s="195" t="inlineStr">
        <is>
          <t>assets/art/props/dungeon_3d/prp_tower_wall_solid_5m.tscn</t>
        </is>
      </c>
      <c r="D48" s="195" t="str"/>
      <c r="E48" s="195" t="str"/>
      <c r="F48" s="195" t="inlineStr">
        <is>
          <t>Godot原生场景结构Prefab；由关卡脚本按模块实例化</t>
        </is>
      </c>
      <c r="G48" s="195" t="inlineStr">
        <is>
          <t>src/world3d/DungeonRoom3D.gd</t>
        </is>
      </c>
      <c r="H48" s="195" t="inlineStr">
        <is>
          <t>开</t>
        </is>
      </c>
      <c r="I48" s="195" t="inlineStr">
        <is>
          <t>Prefab自身</t>
        </is>
      </c>
      <c r="J48" s="195" t="inlineStr">
        <is>
          <t>BoxShape3D</t>
        </is>
      </c>
      <c r="K48" s="195" t="inlineStr">
        <is>
          <t>GLB / 5×0.30×9m / 共享Mesh / 可旋转</t>
        </is>
      </c>
      <c r="L48" s="195" t="inlineStr">
        <is>
          <t>未声明</t>
        </is>
      </c>
      <c r="M48" s="195" t="inlineStr">
        <is>
          <t>整层外墙/65m核心/探索房内墙/5m正交走廊</t>
        </is>
      </c>
      <c r="N48" s="195" t="inlineStr">
        <is>
          <t>原型已接入</t>
        </is>
      </c>
      <c r="O48" s="195" t="inlineStr">
        <is>
          <t>v001</t>
        </is>
      </c>
      <c r="P48" s="196" t="inlineStr">
        <is>
          <t>根节点=PrpTowerWallSolid5m(Node3D)；资产主表模型=assets/art/environments/tower_descent_3d/components/env_tower_wall_solid_5m_top3d_v001.glb；当前Prefab尚未直接引用</t>
        </is>
      </c>
    </row>
    <row r="49">
      <c r="A49" s="136" t="inlineStr">
        <is>
          <t>ENV-BASE99-WALL-DOOR-5X9</t>
        </is>
      </c>
      <c r="B49" s="136" t="inlineStr">
        <is>
          <t>基地99层带门墙体5×9米</t>
        </is>
      </c>
      <c r="C49" s="136" t="inlineStr">
        <is>
          <t>assets/art/environments/base_facility_3d/runtime/env_base99_wall_door_5x9/env_base99_wall_door_5x9_root_top3d_v001.tscn</t>
        </is>
      </c>
      <c r="D49" s="136" t="inlineStr">
        <is>
          <t>assets/art/environments/base_facility_3d/components/env_base99_wall_door_5x9/env_base99_wall_door_5x9_visual_top3d_v001.glb</t>
        </is>
      </c>
      <c r="E49" s="136" t="inlineStr">
        <is>
          <t>assets/art/environments/base_facility_3d/source/env_base99_modular_room/env_base99_modular_room_assets_clean_v001.blend</t>
        </is>
      </c>
      <c r="F49" s="136" t="inlineStr">
        <is>
          <t>仅表现；墙体由DungeonRoom3D按5米槽位组合</t>
        </is>
      </c>
      <c r="G49" s="136" t="inlineStr">
        <is>
          <t>src/world3d/DungeonRoom3D.gd</t>
        </is>
      </c>
      <c r="H49" s="136" t="inlineStr">
        <is>
          <t>开</t>
        </is>
      </c>
      <c r="I49" s="136" t="inlineStr">
        <is>
          <t>外部脚本</t>
        </is>
      </c>
      <c r="J49" s="136" t="inlineStr">
        <is>
          <t>DungeonRoom3D BoxShape3D</t>
        </is>
      </c>
      <c r="K49" s="136" t="inlineStr">
        <is>
          <t>5×9×1.1712m视觉外廓；2.2×2.5m门洞；底边中心原点</t>
        </is>
      </c>
      <c r="L49" s="136" t="inlineStr">
        <is>
          <t>bottom_center；-Z</t>
        </is>
      </c>
      <c r="M49" s="136" t="inlineStr">
        <is>
          <t>99层基地</t>
        </is>
      </c>
      <c r="N49" s="136" t="inlineStr">
        <is>
          <t>正式美术已接入</t>
        </is>
      </c>
      <c r="O49" s="136" t="inlineStr">
        <is>
          <t>v001</t>
        </is>
      </c>
      <c r="P49" s="136" t="inlineStr">
        <is>
          <t>GLB无玩法碰撞；cast_and_receive；替换同路径GLB不改变功能。</t>
        </is>
      </c>
    </row>
    <row r="50">
      <c r="A50" s="136" t="inlineStr">
        <is>
          <t>ENV-BASE99-FLOOR-PLAIN-5M</t>
        </is>
      </c>
      <c r="B50" s="136" t="inlineStr">
        <is>
          <t>基地99层普通地板5×5米</t>
        </is>
      </c>
      <c r="C50" s="136" t="inlineStr">
        <is>
          <t>assets/art/environments/base_facility_3d/runtime/env_base99_floor_plain_5m/env_base99_floor_plain_5m_root_top3d_v001.tscn</t>
        </is>
      </c>
      <c r="D50" s="136" t="inlineStr">
        <is>
          <t>assets/art/environments/base_facility_3d/components/env_base99_floor_plain_5m/env_base99_floor_plain_5m_visual_top3d_v001.glb</t>
        </is>
      </c>
      <c r="E50" s="136" t="inlineStr">
        <is>
          <t>assets/art/environments/base_facility_3d/source/env_base99_modular_room/env_base99_modular_room_assets_clean_v001.blend</t>
        </is>
      </c>
      <c r="F50" s="136" t="inlineStr">
        <is>
          <t>仅表现；5米网格由DungeonRoom3D组合</t>
        </is>
      </c>
      <c r="G50" s="136" t="inlineStr">
        <is>
          <t>src/world3d/DungeonRoom3D.gd</t>
        </is>
      </c>
      <c r="H50" s="136" t="inlineStr">
        <is>
          <t>开</t>
        </is>
      </c>
      <c r="I50" s="136" t="inlineStr">
        <is>
          <t>外部脚本</t>
        </is>
      </c>
      <c r="J50" s="136" t="inlineStr">
        <is>
          <t>TowerFloorStage BoxShape3D</t>
        </is>
      </c>
      <c r="K50" s="136" t="inlineStr">
        <is>
          <t>5×5×0.30m；平面中心/结构底面原点</t>
        </is>
      </c>
      <c r="L50" s="136" t="inlineStr">
        <is>
          <t>bottom_center；-Z</t>
        </is>
      </c>
      <c r="M50" s="136" t="inlineStr">
        <is>
          <t>99层基地</t>
        </is>
      </c>
      <c r="N50" s="136" t="inlineStr">
        <is>
          <t>正式美术已接入</t>
        </is>
      </c>
      <c r="O50" s="136" t="inlineStr">
        <is>
          <t>v001</t>
        </is>
      </c>
      <c r="P50" s="136" t="inlineStr">
        <is>
          <t>GLB无玩法碰撞；cast_and_receive；替换同路径GLB不改变功能。</t>
        </is>
      </c>
    </row>
    <row r="51">
      <c r="A51" s="136" t="inlineStr">
        <is>
          <t>ENV-BASE99-FLOOR-RIVET-5M</t>
        </is>
      </c>
      <c r="B51" s="136" t="inlineStr">
        <is>
          <t>基地99层铆钉铁皮带地板5×5米</t>
        </is>
      </c>
      <c r="C51" s="136" t="inlineStr">
        <is>
          <t>assets/art/environments/base_facility_3d/runtime/env_base99_floor_rivet_5m/env_base99_floor_rivet_5m_root_top3d_v001.tscn</t>
        </is>
      </c>
      <c r="D51" s="136" t="inlineStr">
        <is>
          <t>assets/art/environments/base_facility_3d/components/env_base99_floor_rivet_5m/env_base99_floor_rivet_5m_visual_top3d_v001.glb</t>
        </is>
      </c>
      <c r="E51" s="136" t="inlineStr">
        <is>
          <t>assets/art/environments/base_facility_3d/source/env_base99_modular_room/env_base99_modular_room_assets_clean_v001.blend</t>
        </is>
      </c>
      <c r="F51" s="136" t="inlineStr">
        <is>
          <t>仅表现；5米网格由DungeonRoom3D组合</t>
        </is>
      </c>
      <c r="G51" s="136" t="inlineStr">
        <is>
          <t>src/world3d/DungeonRoom3D.gd</t>
        </is>
      </c>
      <c r="H51" s="136" t="inlineStr">
        <is>
          <t>开</t>
        </is>
      </c>
      <c r="I51" s="136" t="inlineStr">
        <is>
          <t>外部脚本</t>
        </is>
      </c>
      <c r="J51" s="136" t="inlineStr">
        <is>
          <t>TowerFloorStage BoxShape3D</t>
        </is>
      </c>
      <c r="K51" s="136" t="inlineStr">
        <is>
          <t>5×5×0.395m视觉外廓；0.30m结构板+0.095m装饰凸起</t>
        </is>
      </c>
      <c r="L51" s="136" t="inlineStr">
        <is>
          <t>bottom_center；-Z</t>
        </is>
      </c>
      <c r="M51" s="136" t="inlineStr">
        <is>
          <t>99层基地</t>
        </is>
      </c>
      <c r="N51" s="136" t="inlineStr">
        <is>
          <t>正式美术已接入</t>
        </is>
      </c>
      <c r="O51" s="136" t="inlineStr">
        <is>
          <t>v001</t>
        </is>
      </c>
      <c r="P51" s="136" t="inlineStr">
        <is>
          <t>GLB无玩法碰撞；cast_and_receive；替换同路径GLB不改变功能。</t>
        </is>
      </c>
    </row>
    <row r="52">
      <c r="A52" s="136" t="inlineStr">
        <is>
          <t>ENV-BASE99-WALL-WINDOW-5X9</t>
        </is>
      </c>
      <c r="B52" s="136" t="inlineStr">
        <is>
          <t>基地99层带窗墙体5×9米</t>
        </is>
      </c>
      <c r="C52" s="136" t="inlineStr">
        <is>
          <t>assets/art/environments/base_facility_3d/runtime/env_base99_wall_window_5x9/env_base99_wall_window_5x9_root_top3d_v001.tscn</t>
        </is>
      </c>
      <c r="D52" s="136" t="inlineStr">
        <is>
          <t>assets/art/environments/base_facility_3d/components/env_base99_wall_window_5x9/env_base99_wall_window_5x9_visual_top3d_v001.glb</t>
        </is>
      </c>
      <c r="E52" s="136" t="inlineStr">
        <is>
          <t>assets/art/environments/base_facility_3d/source/env_base99_modular_room/env_base99_modular_room_assets_clean_v001.blend</t>
        </is>
      </c>
      <c r="F52" s="136" t="inlineStr">
        <is>
          <t>100层上层围护表现；99层禁止实例化</t>
        </is>
      </c>
      <c r="G52" s="136" t="str"/>
      <c r="H52" s="136" t="inlineStr">
        <is>
          <t>开</t>
        </is>
      </c>
      <c r="I52" s="136" t="inlineStr">
        <is>
          <t>外部脚本</t>
        </is>
      </c>
      <c r="J52" s="136" t="inlineStr">
        <is>
          <t>上层围护独立结构碰撞</t>
        </is>
      </c>
      <c r="K52" s="136" t="inlineStr">
        <is>
          <t>5×9×0.60m视觉外廓；底边中心原点</t>
        </is>
      </c>
      <c r="L52" s="136" t="inlineStr">
        <is>
          <t>bottom_center；-Z</t>
        </is>
      </c>
      <c r="M52" s="136" t="inlineStr">
        <is>
          <t>100层基地</t>
        </is>
      </c>
      <c r="N52" s="136" t="inlineStr">
        <is>
          <t>正式美术已接入</t>
        </is>
      </c>
      <c r="O52" s="136" t="inlineStr">
        <is>
          <t>v001</t>
        </is>
      </c>
      <c r="P52" s="136" t="inlineStr">
        <is>
          <t>GLB仅表现；cast_and_receive；99层使用数量必须为0。</t>
        </is>
      </c>
    </row>
    <row r="53">
      <c r="A53" s="136" t="inlineStr">
        <is>
          <t>ENV-BASE99-MEZZANINE-20X10-Z7</t>
        </is>
      </c>
      <c r="B53" s="136" t="inlineStr">
        <is>
          <t>基地99层7米楼中楼楼板</t>
        </is>
      </c>
      <c r="C53" s="136" t="inlineStr">
        <is>
          <t>assets/art/environments/base_facility_3d/runtime/env_base99_mezzanine_20x10_z7/env_base99_mezzanine_20x10_z7_root_top3d_v001.tscn</t>
        </is>
      </c>
      <c r="D53" s="136" t="inlineStr">
        <is>
          <t>assets/art/environments/base_facility_3d/components/env_base99_mezzanine_20x10_z7/env_base99_mezzanine_20x10_z7_visual_top3d_v001.glb</t>
        </is>
      </c>
      <c r="E53" s="136" t="inlineStr">
        <is>
          <t>assets/art/environments/base_facility_3d/source/env_base99_modular_room/env_base99_modular_room_assets_clean_v001.blend</t>
        </is>
      </c>
      <c r="F53" s="136" t="inlineStr">
        <is>
          <t>可编辑可行走结构；含底部摄像机净空语义</t>
        </is>
      </c>
      <c r="G53" s="136" t="inlineStr">
        <is>
          <t>src/world3d/Base99WalkableModule3D.gd</t>
        </is>
      </c>
      <c r="H53" s="136" t="inlineStr">
        <is>
          <t>开</t>
        </is>
      </c>
      <c r="I53" s="136" t="inlineStr">
        <is>
          <t>Prefab脚本</t>
        </is>
      </c>
      <c r="J53" s="136" t="inlineStr">
        <is>
          <t>简化Box楼板面 + camera_stair_slab</t>
        </is>
      </c>
      <c r="K53" s="136" t="inlineStr">
        <is>
          <t>约20.25×10.25m外廓；完成面7m；底部中心原点</t>
        </is>
      </c>
      <c r="L53" s="136" t="inlineStr">
        <is>
          <t>bottom_center；-Z</t>
        </is>
      </c>
      <c r="M53" s="136" t="inlineStr">
        <is>
          <t>99层基地</t>
        </is>
      </c>
      <c r="N53" s="136" t="inlineStr">
        <is>
          <t>正式美术已接入</t>
        </is>
      </c>
      <c r="O53" s="136" t="inlineStr">
        <is>
          <t>v001</t>
        </is>
      </c>
      <c r="P53" s="136" t="inlineStr">
        <is>
          <t>在基地布局tscn直接移动；模型、碰撞和摄像机语义随实例同步。</t>
        </is>
      </c>
    </row>
    <row r="54">
      <c r="A54" s="136" t="inlineStr">
        <is>
          <t>ENV-BASE99-STAIR-L-Z7</t>
        </is>
      </c>
      <c r="B54" s="136" t="inlineStr">
        <is>
          <t>基地99层7米L型楼梯</t>
        </is>
      </c>
      <c r="C54" s="136" t="inlineStr">
        <is>
          <t>assets/art/environments/base_facility_3d/runtime/env_base99_stair_l_z7/env_base99_stair_l_z7_root_top3d_v001.tscn</t>
        </is>
      </c>
      <c r="D54" s="136" t="inlineStr">
        <is>
          <t>assets/art/environments/base_facility_3d/components/env_base99_stair_l_z7/env_base99_stair_l_z7_visual_top3d_v001.glb</t>
        </is>
      </c>
      <c r="E54" s="136" t="inlineStr">
        <is>
          <t>assets/art/environments/base_facility_3d/source/env_base99_modular_room/env_base99_modular_room_assets_clean_v001.blend</t>
        </is>
      </c>
      <c r="F54" s="136" t="inlineStr">
        <is>
          <t>可编辑可行走结构；含底部摄像机净空语义</t>
        </is>
      </c>
      <c r="G54" s="136" t="inlineStr">
        <is>
          <t>src/world3d/Base99WalkableModule3D.gd</t>
        </is>
      </c>
      <c r="H54" s="136" t="inlineStr">
        <is>
          <t>开</t>
        </is>
      </c>
      <c r="I54" s="136" t="inlineStr">
        <is>
          <t>Prefab脚本</t>
        </is>
      </c>
      <c r="J54" s="136" t="inlineStr">
        <is>
          <t>两段Box斜坡+转角平台 + camera_stair_slab</t>
        </is>
      </c>
      <c r="K54" s="136" t="inlineStr">
        <is>
          <t>约9.22×10.54×7.94m外廓；一楼至7m楼板</t>
        </is>
      </c>
      <c r="L54" s="136" t="inlineStr">
        <is>
          <t>bottom_center；-Z</t>
        </is>
      </c>
      <c r="M54" s="136" t="inlineStr">
        <is>
          <t>99层基地</t>
        </is>
      </c>
      <c r="N54" s="136" t="inlineStr">
        <is>
          <t>正式美术已接入</t>
        </is>
      </c>
      <c r="O54" s="136" t="inlineStr">
        <is>
          <t>v001</t>
        </is>
      </c>
      <c r="P54" s="136" t="inlineStr">
        <is>
          <t>不使用踏步Trimesh；坡面低于角色44度上限；位置由布局tscn管理。</t>
        </is>
      </c>
    </row>
    <row r="55">
      <c r="A55" s="136" t="inlineStr">
        <is>
          <t>ENV-BASE99-STAIR-EXTERIOR-H2</t>
        </is>
      </c>
      <c r="B55" s="136" t="inlineStr">
        <is>
          <t>基地99层二楼外门2米小楼梯</t>
        </is>
      </c>
      <c r="C55" s="136" t="inlineStr">
        <is>
          <t>assets/art/environments/base_facility_3d/runtime/env_base99_stair_exterior_h2/env_base99_stair_exterior_h2_root_top3d_v001.tscn</t>
        </is>
      </c>
      <c r="D55" s="136" t="inlineStr">
        <is>
          <t>assets/art/environments/base_facility_3d/components/env_base99_stair_exterior_h2/env_base99_stair_exterior_h2_visual_top3d_v001.glb</t>
        </is>
      </c>
      <c r="E55" s="136" t="inlineStr">
        <is>
          <t>assets/art/environments/base_facility_3d/source/env_base99_modular_room/env_base99_modular_room_assets_clean_v001.blend</t>
        </is>
      </c>
      <c r="F55" s="136" t="inlineStr">
        <is>
          <t>可编辑可行走结构；含底部摄像机净空语义</t>
        </is>
      </c>
      <c r="G55" s="136" t="inlineStr">
        <is>
          <t>src/world3d/Base99WalkableModule3D.gd</t>
        </is>
      </c>
      <c r="H55" s="136" t="inlineStr">
        <is>
          <t>开</t>
        </is>
      </c>
      <c r="I55" s="136" t="inlineStr">
        <is>
          <t>Prefab脚本</t>
        </is>
      </c>
      <c r="J55" s="136" t="inlineStr">
        <is>
          <t>简化Box斜坡 + camera_stair_slab</t>
        </is>
      </c>
      <c r="K55" s="136" t="inlineStr">
        <is>
          <t>4.515×2.80×2.00m；7m楼板至9m外门门槛</t>
        </is>
      </c>
      <c r="L55" s="136" t="inlineStr">
        <is>
          <t>bottom_center；-Z</t>
        </is>
      </c>
      <c r="M55" s="136" t="inlineStr">
        <is>
          <t>99层基地</t>
        </is>
      </c>
      <c r="N55" s="136" t="inlineStr">
        <is>
          <t>正式美术已接入</t>
        </is>
      </c>
      <c r="O55" s="136" t="inlineStr">
        <is>
          <t>v001</t>
        </is>
      </c>
      <c r="P55" s="136" t="inlineStr">
        <is>
          <t>不使用踏步Trimesh；位置和旋转由布局tscn管理。</t>
        </is>
      </c>
    </row>
    <row r="56">
      <c r="A56" t="inlineStr">
        <is>
          <t>ENV-BASE100-UPPER-SHELL-30X30-H9</t>
        </is>
      </c>
      <c r="B56" t="inlineStr">
        <is>
          <t>基地100层上层围护与18米封顶</t>
        </is>
      </c>
      <c r="C56" t="inlineStr">
        <is>
          <t>assets/art/environments/base_facility_3d/runtime/env_base100_upper_shell_30x30_h9/env_base100_upper_shell_30x30_h9_root_top3d_v001.tscn</t>
        </is>
      </c>
      <c r="E56" t="inlineStr">
        <is>
          <t>assets/art/environments/base_facility_3d/source/env_base99_modular_room/env_base99_modular_room_source_v001.blend</t>
        </is>
      </c>
      <c r="F56" t="inlineStr">
        <is>
          <t>可编辑组合Prefab；24块围护墙与36块封顶模块；统一挡光并投影</t>
        </is>
      </c>
      <c r="G56" t="inlineStr">
        <is>
          <t>src/world3d/Base100UpperShell3D.gd</t>
        </is>
      </c>
      <c r="H56" t="inlineStr">
        <is>
          <t>开</t>
        </is>
      </c>
      <c r="I56" t="inlineStr">
        <is>
          <t>Prefab脚本</t>
        </is>
      </c>
      <c r="J56" t="inlineStr">
        <is>
          <t>9个BoxShape3D（连续墙/东侧门洞框/屋顶）</t>
        </is>
      </c>
      <c r="K56" t="inlineStr">
        <is>
          <t>30×30×9m上层围护；墙底9m；屋顶底18m；东门洞2.2×2.5m</t>
        </is>
      </c>
      <c r="L56" t="inlineStr">
        <is>
          <t>room_center；local -Z为北；根缩放1</t>
        </is>
      </c>
      <c r="M56" t="inlineStr">
        <is>
          <t>基地100层及18米屋顶</t>
        </is>
      </c>
      <c r="N56" t="inlineStr">
        <is>
          <t>正式美术已接入</t>
        </is>
      </c>
      <c r="O56" t="inlineStr">
        <is>
          <t>v001</t>
        </is>
      </c>
      <c r="P56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>
      <c r="A57" s="136" t="inlineStr">
        <is>
          <t>ENV-BASE99-MEZZANINE-20X10-Z5</t>
        </is>
      </c>
      <c r="B57" s="136" t="inlineStr">
        <is>
          <t>基地99层5米楼中楼楼板</t>
        </is>
      </c>
      <c r="C57" s="136" t="inlineStr">
        <is>
          <t>assets/art/environments/base_facility_3d/runtime/env_base99_mezzanine_20x10_z5/env_base99_mezzanine_20x10_z5_root_top3d_v002.tscn</t>
        </is>
      </c>
      <c r="D57" s="136" t="inlineStr">
        <is>
          <t>assets/art/environments/base_facility_3d/components/env_base99_mezzanine_20x10_z5/env_base99_mezzanine_20x10_z5_visual_top3d_v002.glb</t>
        </is>
      </c>
      <c r="E57" s="136" t="inlineStr">
        <is>
          <t>assets/art/environments/base_facility_3d/source/env_base99_modular_room/env_base99_modular_room_assets_clean_v002.blend</t>
        </is>
      </c>
      <c r="F57" s="136" t="inlineStr">
        <is>
          <t>5米承重楼板；连续栏杆阻挡；真实投影</t>
        </is>
      </c>
      <c r="G57" s="136" t="inlineStr">
        <is>
          <t>src/world3d/Base99WalkableModule3D.gd</t>
        </is>
      </c>
      <c r="H57" s="136" t="inlineStr">
        <is>
          <t>开</t>
        </is>
      </c>
      <c r="I57" s="136" t="inlineStr">
        <is>
          <t>Prefab自身</t>
        </is>
      </c>
      <c r="J57" s="136" t="inlineStr">
        <is>
          <t>连续Box楼板+独立栏杆Box</t>
        </is>
      </c>
      <c r="K57" s="136" t="inlineStr">
        <is>
          <t>20.2475×10.2475×5.93m；台面5m</t>
        </is>
      </c>
      <c r="L57" s="136" t="inlineStr">
        <is>
          <t>底面中心；Blender -Y / Godot -Z</t>
        </is>
      </c>
      <c r="M57" s="136" t="inlineStr">
        <is>
          <t>99层基地楼中楼</t>
        </is>
      </c>
      <c r="N57" s="136" t="inlineStr">
        <is>
          <t>正式美术已接入</t>
        </is>
      </c>
      <c r="O57" s="136" t="inlineStr">
        <is>
          <t>v002</t>
        </is>
      </c>
      <c r="P57" s="136" t="inlineStr">
        <is>
          <t>根缩放1；替代Z7版本；视觉/碰撞/功能分离</t>
        </is>
      </c>
    </row>
    <row r="58" ht="78" customHeight="1">
      <c r="A58" s="136" t="inlineStr">
        <is>
          <t>ENV-BASE99-STAIR-L-Z5</t>
        </is>
      </c>
      <c r="B58" s="136" t="inlineStr">
        <is>
          <t>基地99层5米L型楼梯</t>
        </is>
      </c>
      <c r="C58" s="136" t="inlineStr">
        <is>
          <t>assets/art/environments/base_facility_3d/runtime/env_base99_stair_l_z5/env_base99_stair_l_z5_root_top3d_v004.tscn</t>
        </is>
      </c>
      <c r="D58" s="136" t="inlineStr">
        <is>
          <t>assets/art/environments/base_facility_3d/components/env_base99_stair_l_z5/env_base99_stair_l_z5_visual_top3d_v004.glb</t>
        </is>
      </c>
      <c r="E58" s="136" t="inlineStr">
        <is>
          <t>assets/art/environments/base_facility_3d/source/env_base99_modular_room/env_base99_modular_room_assets_clean_v004.blend</t>
        </is>
      </c>
      <c r="F58" s="136" t="inlineStr">
        <is>
          <t>0→2.5→5米完整双跑L梯；转角扶手收口；真实投影与阻挡</t>
        </is>
      </c>
      <c r="G58" s="136" t="inlineStr">
        <is>
          <t>src/world3d/Base99WalkableModule3D.gd</t>
        </is>
      </c>
      <c r="H58" s="136" t="inlineStr">
        <is>
          <t>开</t>
        </is>
      </c>
      <c r="I58" s="136" t="inlineStr">
        <is>
          <t>Prefab自身</t>
        </is>
      </c>
      <c r="J58" s="136" t="inlineStr">
        <is>
          <t>单一StaticBody：斜坡+平台+斜坡；独立连续扶手Box</t>
        </is>
      </c>
      <c r="K58" s="136" t="inlineStr">
        <is>
          <t>9.2176×10.538×5.91015m；终点5m</t>
        </is>
      </c>
      <c r="L58" s="136" t="inlineStr">
        <is>
          <t>底面中心；Blender -Y / Godot -Z</t>
        </is>
      </c>
      <c r="M58" s="136" t="inlineStr">
        <is>
          <t>99层基地一楼至楼中楼</t>
        </is>
      </c>
      <c r="N58" s="136" t="inlineStr">
        <is>
          <t>正式美术已接入</t>
        </is>
      </c>
      <c r="O58" s="136" t="inlineStr">
        <is>
          <t>v004</t>
        </is>
      </c>
      <c r="P58" s="136" t="inlineStr">
        <is>
          <t>由91个可编辑源组件重建；踏步/斜梁/平台/导光条齐全；转角扶手不穿插；三段行走形状接缝齐平并重叠0.04m。</t>
        </is>
      </c>
    </row>
    <row r="59" ht="78" customHeight="1">
      <c r="A59" s="136" t="inlineStr">
        <is>
          <t>ENV-BASE99-STAIR-EXTERIOR-H4</t>
        </is>
      </c>
      <c r="B59" s="136" t="inlineStr">
        <is>
          <t>基地99至100层4米外门楼梯</t>
        </is>
      </c>
      <c r="C59" s="136" t="inlineStr">
        <is>
          <t>assets/art/environments/base_facility_3d/runtime/env_base99_stair_exterior_h4/env_base99_stair_exterior_h4_root_top3d_v002.tscn</t>
        </is>
      </c>
      <c r="D59" s="136" t="inlineStr">
        <is>
          <t>assets/art/environments/base_facility_3d/components/env_base99_stair_exterior_h4/env_base99_stair_exterior_h4_visual_top3d_v002.glb</t>
        </is>
      </c>
      <c r="E59" s="136" t="inlineStr">
        <is>
          <t>assets/art/environments/base_facility_3d/source/env_base99_modular_room/env_base99_modular_room_assets_clean_v002.blend</t>
        </is>
      </c>
      <c r="F59" s="136" t="inlineStr">
        <is>
          <t>平台5米至100层9米；两段原生楼梯组合；真实投影</t>
        </is>
      </c>
      <c r="G59" s="136" t="inlineStr">
        <is>
          <t>src/world3d/Base99WalkableModule3D.gd</t>
        </is>
      </c>
      <c r="H59" s="136" t="inlineStr">
        <is>
          <t>开</t>
        </is>
      </c>
      <c r="I59" s="136" t="inlineStr">
        <is>
          <t>Prefab自身</t>
        </is>
      </c>
      <c r="J59" s="136" t="inlineStr">
        <is>
          <t>覆盖8.515米包络的连续斜坡+双侧护栏</t>
        </is>
      </c>
      <c r="K59" s="136" t="inlineStr">
        <is>
          <t>8.515×2.8×4m；高差4m</t>
        </is>
      </c>
      <c r="L59" s="136" t="inlineStr">
        <is>
          <t>底面中心；Blender -Y / Godot -Z</t>
        </is>
      </c>
      <c r="M59" s="136" t="inlineStr">
        <is>
          <t>基地楼中楼至100层出口</t>
        </is>
      </c>
      <c r="N59" s="136" t="inlineStr">
        <is>
          <t>正式美术已接入</t>
        </is>
      </c>
      <c r="O59" s="136" t="inlineStr">
        <is>
          <t>v002</t>
        </is>
      </c>
      <c r="P59" s="136" t="inlineStr">
        <is>
          <t>不做纵向拉伸；替代H2版本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设施组件 3D Prefab</t>
        </is>
      </c>
    </row>
    <row r="2" ht="34" customHeight="1">
      <c r="A2" s="145" t="inlineStr">
        <is>
          <t>门扇、灯具、开关、终端、工作台、储物与服务设施；当前 17 个独立Prefab。</t>
        </is>
      </c>
    </row>
    <row r="3">
      <c r="A3" s="136" t="n"/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PRP-BASE-FACILITY-3D</t>
        </is>
      </c>
      <c r="B5" s="189" t="inlineStr">
        <is>
          <t>基地设施3D通用模块</t>
        </is>
      </c>
      <c r="C5" s="189" t="inlineStr">
        <is>
          <t>assets/art/props/base_world_3d/prp_base_facility_root_top3d_v001.tscn</t>
        </is>
      </c>
      <c r="D5" s="189" t="str"/>
      <c r="E5" s="189" t="str"/>
      <c r="F5" s="189" t="inlineStr">
        <is>
          <t>设施或交互Prefab；保留自身脚本、碰撞和状态接口</t>
        </is>
      </c>
      <c r="G5" s="189" t="inlineStr">
        <is>
          <t>src/base3d/BaseFacility3D.gd</t>
        </is>
      </c>
      <c r="H5" s="189" t="inlineStr">
        <is>
          <t>开</t>
        </is>
      </c>
      <c r="I5" s="189" t="inlineStr">
        <is>
          <t>Prefab自身</t>
        </is>
      </c>
      <c r="J5" s="189" t="inlineStr">
        <is>
          <t>BoxShape3D</t>
        </is>
      </c>
      <c r="K5" s="189" t="inlineStr">
        <is>
          <t>PackedScene/材质变体/名称与实时摘要共用Label3D</t>
        </is>
      </c>
      <c r="L5" s="189" t="inlineStr">
        <is>
          <t>未声明</t>
        </is>
      </c>
      <c r="M5" s="189" t="inlineStr">
        <is>
          <t>8类基地设施/统一状态牌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根节点=BaseFacility3D(Area3D)</t>
        </is>
      </c>
    </row>
    <row r="6" ht="66" customHeight="1">
      <c r="A6" s="191" t="inlineStr">
        <is>
          <t>PRP-BASE-VENDING-MACHINE-3D</t>
        </is>
      </c>
      <c r="B6" s="192" t="inlineStr">
        <is>
          <t>基地科幻自动贩卖机</t>
        </is>
      </c>
      <c r="C6" s="192" t="inlineStr">
        <is>
          <t>assets/art/props/base_world_3d/prp_base_vending_machine_root_top3d_v001.tscn</t>
        </is>
      </c>
      <c r="D6" s="192" t="str"/>
      <c r="E6" s="192" t="inlineStr">
        <is>
          <t>assets/art/props/base_world_3d/source/vending_machine/prp_base_vending_machine_source_v001.blend</t>
        </is>
      </c>
      <c r="F6" s="192" t="inlineStr">
        <is>
          <t>设施或交互Prefab；保留自身脚本、碰撞和状态接口</t>
        </is>
      </c>
      <c r="G6" s="192" t="inlineStr">
        <is>
          <t>src/base3d/BaseFacility3D.gd</t>
        </is>
      </c>
      <c r="H6" s="192" t="inlineStr">
        <is>
          <t>开</t>
        </is>
      </c>
      <c r="I6" s="192" t="inlineStr">
        <is>
          <t>Prefab自身</t>
        </is>
      </c>
      <c r="J6" s="192" t="inlineStr">
        <is>
          <t>BoxShape3D</t>
        </is>
      </c>
      <c r="K6" s="192" t="inlineStr">
        <is>
          <t>4材质；主体/自发光分离；独立GLB/PackedScene</t>
        </is>
      </c>
      <c r="L6" s="192" t="inlineStr">
        <is>
          <t>未声明</t>
        </is>
      </c>
      <c r="M6" s="192" t="inlineStr">
        <is>
          <t>BaseWorld3D/TowerDescent99F</t>
        </is>
      </c>
      <c r="N6" s="192" t="inlineStr">
        <is>
          <t>正式美术已接入</t>
        </is>
      </c>
      <c r="O6" s="192" t="inlineStr">
        <is>
          <t>v002</t>
        </is>
      </c>
      <c r="P6" s="193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>
      <c r="A7" s="191" t="inlineStr">
        <is>
          <t>PRP-DUNGEON-GATE-3D</t>
        </is>
      </c>
      <c r="B7" s="192" t="inlineStr">
        <is>
          <t>地下城入口3D模块</t>
        </is>
      </c>
      <c r="C7" s="192" t="inlineStr">
        <is>
          <t>assets/art/props/base_world_3d/prp_dungeon_gate_root_top3d_v001.tscn</t>
        </is>
      </c>
      <c r="D7" s="192" t="str"/>
      <c r="E7" s="192" t="str"/>
      <c r="F7" s="192" t="inlineStr">
        <is>
          <t>设施或交互Prefab；保留自身脚本、碰撞和状态接口</t>
        </is>
      </c>
      <c r="G7" s="192" t="inlineStr">
        <is>
          <t>src/base3d/DungeonEntrance3D.gd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BoxShape3D</t>
        </is>
      </c>
      <c r="K7" s="192" t="inlineStr">
        <is>
          <t>PackedScene/材质变体</t>
        </is>
      </c>
      <c r="L7" s="192" t="inlineStr">
        <is>
          <t>未声明</t>
        </is>
      </c>
      <c r="M7" s="192" t="inlineStr">
        <is>
          <t>4个地下城入口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根节点=DungeonEntrance3D(Area3D)</t>
        </is>
      </c>
    </row>
    <row r="8" ht="66" customHeight="1">
      <c r="A8" s="191" t="inlineStr">
        <is>
          <t>PRP-BASE-LOCKER-STATION-3D</t>
        </is>
      </c>
      <c r="B8" s="192" t="inlineStr">
        <is>
          <t>赛博储物站</t>
        </is>
      </c>
      <c r="C8" s="192" t="inlineStr">
        <is>
          <t>assets/art/props/base_world_3d/runtime/locker_station/prp_base_locker_station_root_top3d_v001.tscn</t>
        </is>
      </c>
      <c r="D8" s="192" t="inlineStr">
        <is>
          <t>assets/art/props/base_world_3d/components/locker_station/prp_base_locker_station_visual_top3d_v004.glb</t>
        </is>
      </c>
      <c r="E8" s="192" t="inlineStr">
        <is>
          <t>assets/art/props/base_world_3d/source/locker_station/prp_base_locker_station_source_v004.blend</t>
        </is>
      </c>
      <c r="F8" s="192" t="inlineStr">
        <is>
          <t>设施或交互Prefab；保留自身脚本、碰撞和状态接口</t>
        </is>
      </c>
      <c r="G8" s="192" t="inlineStr">
        <is>
          <t>src/base3d/BaseFacility3D.gd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BoxShape3D</t>
        </is>
      </c>
      <c r="K8" s="192" t="inlineStr">
        <is>
          <t>4材质；主体/自发光分离；独立GLB/PackedScene</t>
        </is>
      </c>
      <c r="L8" s="192" t="inlineStr">
        <is>
          <t>-Z</t>
        </is>
      </c>
      <c r="M8" s="192" t="inlineStr">
        <is>
          <t>基地99层/保险柜设施</t>
        </is>
      </c>
      <c r="N8" s="192" t="inlineStr">
        <is>
          <t>正式美术已接入</t>
        </is>
      </c>
      <c r="O8" s="192" t="inlineStr">
        <is>
          <t>v004</t>
        </is>
      </c>
      <c r="P8" s="193" t="inlineStr">
        <is>
          <t>根节点=赛博储物站(Area3D)</t>
        </is>
      </c>
    </row>
    <row r="9" ht="66" customHeight="1">
      <c r="A9" s="191" t="inlineStr">
        <is>
          <t>PRP-BASE-BRIEFING</t>
        </is>
      </c>
      <c r="B9" s="192" t="inlineStr">
        <is>
          <t>远征情报终端 / 战术情报指挥桌</t>
        </is>
      </c>
      <c r="C9" s="192" t="inlineStr">
        <is>
          <t>assets/art/props/base_world_3d/runtime/mission_operations/prp_base_mission_operations_root_top3d_v001.tscn</t>
        </is>
      </c>
      <c r="D9" s="192" t="inlineStr">
        <is>
          <t>assets/art/props/base_world_3d/components/mission_operations/prp_base_mission_operations_visual_top3d_v005.glb</t>
        </is>
      </c>
      <c r="E9" s="192" t="inlineStr">
        <is>
          <t>assets/art/props/base_world_3d/source/mission_operations/prp_base_mission_operations_source_v003.blend</t>
        </is>
      </c>
      <c r="F9" s="192" t="inlineStr">
        <is>
          <t>设施或交互Prefab；保留自身脚本、碰撞和状态接口</t>
        </is>
      </c>
      <c r="G9" s="192" t="inlineStr">
        <is>
          <t>src/base3d/BaseFacility3D.gd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BoxShape3D</t>
        </is>
      </c>
      <c r="K9" s="192" t="inlineStr">
        <is>
          <t>4材质；主体/自发光分离；独立GLB/PackedScene</t>
        </is>
      </c>
      <c r="L9" s="192" t="inlineStr">
        <is>
          <t>-Z</t>
        </is>
      </c>
      <c r="M9" s="192" t="inlineStr">
        <is>
          <t>BaseWorld3D/TowerDescent99F</t>
        </is>
      </c>
      <c r="N9" s="192" t="inlineStr">
        <is>
          <t>正式美术已接入</t>
        </is>
      </c>
      <c r="O9" s="192" t="inlineStr">
        <is>
          <t>v003</t>
        </is>
      </c>
      <c r="P9" s="193" t="inlineStr">
        <is>
          <t>根节点=远征情报终端(Area3D)</t>
        </is>
      </c>
    </row>
    <row r="10" ht="66" customHeight="1">
      <c r="A10" s="191" t="inlineStr">
        <is>
          <t>PRP-BASE-RETRO-TV-STATION-3D</t>
        </is>
      </c>
      <c r="B10" s="192" t="inlineStr">
        <is>
          <t>复古游戏电视站</t>
        </is>
      </c>
      <c r="C10" s="192" t="inlineStr">
        <is>
          <t>assets/art/props/base_world_3d/runtime/retro_tv_station/prp_base_retro_tv_station_root_top3d_v001.tscn</t>
        </is>
      </c>
      <c r="D10" s="192" t="inlineStr">
        <is>
          <t>assets/art/props/base_world_3d/components/retro_tv_station/prp_base_retro_tv_station_visual_top3d_v004.glb</t>
        </is>
      </c>
      <c r="E10" s="192" t="inlineStr">
        <is>
          <t>assets/art/props/base_world_3d/source/retro_tv_station/prp_base_retro_tv_station_source_v004.blend</t>
        </is>
      </c>
      <c r="F10" s="192" t="inlineStr">
        <is>
          <t>设施或交互Prefab；保留自身脚本、碰撞和状态接口</t>
        </is>
      </c>
      <c r="G10" s="192" t="inlineStr">
        <is>
          <t>src/base3d/BaseFacility3D.gd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4材质；主体/自发光分离；独立GLB/PackedScene</t>
        </is>
      </c>
      <c r="L10" s="192" t="inlineStr">
        <is>
          <t>-Z</t>
        </is>
      </c>
      <c r="M10" s="192" t="inlineStr">
        <is>
          <t>基地99层/命运卡收藏室</t>
        </is>
      </c>
      <c r="N10" s="192" t="inlineStr">
        <is>
          <t>正式美术已接入</t>
        </is>
      </c>
      <c r="O10" s="192" t="inlineStr">
        <is>
          <t>v004</t>
        </is>
      </c>
      <c r="P10" s="193" t="inlineStr">
        <is>
          <t>根节点=复古游戏电视站(Area3D)</t>
        </is>
      </c>
    </row>
    <row r="11" ht="66" customHeight="1">
      <c r="A11" s="191" t="inlineStr">
        <is>
          <t>PRP-BASE-VENDING-MACHINE-3D</t>
        </is>
      </c>
      <c r="B11" s="192" t="inlineStr">
        <is>
          <t>基地科幻自动贩卖机</t>
        </is>
      </c>
      <c r="C11" s="192" t="inlineStr">
        <is>
          <t>assets/art/props/base_world_3d/runtime/vending_machine/prp_base_vending_machine_root_top3d_v002.tscn</t>
        </is>
      </c>
      <c r="D11" s="192" t="inlineStr">
        <is>
          <t>assets/art/props/base_world_3d/components/vending_machine/prp_base_vending_machine_visual_top3d_v003.glb</t>
        </is>
      </c>
      <c r="E11" s="192" t="inlineStr">
        <is>
          <t>assets/art/props/base_world_3d/source/vending_machine/prp_base_vending_machine_source_v001.blend</t>
        </is>
      </c>
      <c r="F11" s="192" t="inlineStr">
        <is>
          <t>设施或交互Prefab；保留自身脚本、碰撞和状态接口</t>
        </is>
      </c>
      <c r="G11" s="192" t="inlineStr">
        <is>
          <t>src/base3d/BaseFacility3D.gd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4材质；主体/自发光分离；独立GLB/PackedScene</t>
        </is>
      </c>
      <c r="L11" s="192" t="inlineStr">
        <is>
          <t>-Z</t>
        </is>
      </c>
      <c r="M11" s="192" t="inlineStr">
        <is>
          <t>BaseWorld3D/TowerDescent99F</t>
        </is>
      </c>
      <c r="N11" s="192" t="inlineStr">
        <is>
          <t>正式美术已接入</t>
        </is>
      </c>
      <c r="O11" s="192" t="inlineStr">
        <is>
          <t>v002</t>
        </is>
      </c>
      <c r="P11" s="193" t="inlineStr">
        <is>
          <t>根节点=自动贩卖机(Area3D)</t>
        </is>
      </c>
    </row>
    <row r="12" ht="66" customHeight="1">
      <c r="A12" s="191" t="inlineStr">
        <is>
          <t>PRP-BASE-WORKSHOP</t>
        </is>
      </c>
      <c r="B12" s="192" t="inlineStr">
        <is>
          <t>枪械工坊 / 赛博维修工作台</t>
        </is>
      </c>
      <c r="C12" s="192" t="inlineStr">
        <is>
          <t>assets/art/props/base_world_3d/runtime/weapon_workshop/prp_base_weapon_workshop_root_top3d_v001.tscn</t>
        </is>
      </c>
      <c r="D12" s="192" t="inlineStr">
        <is>
          <t>assets/art/props/base_world_3d/components/weapon_workshop/prp_base_weapon_workshop_visual_top3d_v005.glb</t>
        </is>
      </c>
      <c r="E12" s="192" t="inlineStr">
        <is>
          <t>assets/art/props/base_world_3d/source/weapon_workshop/prp_base_weapon_workshop_source_v003.blend</t>
        </is>
      </c>
      <c r="F12" s="192" t="inlineStr">
        <is>
          <t>设施或交互Prefab；保留自身脚本、碰撞和状态接口</t>
        </is>
      </c>
      <c r="G12" s="192" t="inlineStr">
        <is>
          <t>src/base3d/BaseFacility3D.gd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4材质；主体/自发光分离；独立GLB/PackedScene</t>
        </is>
      </c>
      <c r="L12" s="192" t="inlineStr">
        <is>
          <t>-Z</t>
        </is>
      </c>
      <c r="M12" s="192" t="inlineStr">
        <is>
          <t>BaseWorld3D/TowerDescent99F</t>
        </is>
      </c>
      <c r="N12" s="192" t="inlineStr">
        <is>
          <t>正式美术已接入</t>
        </is>
      </c>
      <c r="O12" s="192" t="inlineStr">
        <is>
          <t>v003</t>
        </is>
      </c>
      <c r="P12" s="193" t="inlineStr">
        <is>
          <t>根节点=枪械工坊(Area3D)</t>
        </is>
      </c>
    </row>
    <row r="13" ht="66" customHeight="1">
      <c r="A13" s="191" t="inlineStr">
        <is>
          <t>PRP-BASE-FACILITY-LIGHT-GRID-3D</t>
        </is>
      </c>
      <c r="B13" s="192" t="inlineStr">
        <is>
          <t>基地设施灯光网格</t>
        </is>
      </c>
      <c r="C13" s="192" t="inlineStr">
        <is>
          <t>assets/art/props/dungeon_3d/prp_base_facility_light_grid_root_top3d_v001.tscn</t>
        </is>
      </c>
      <c r="D13" s="192" t="str"/>
      <c r="E13" s="192" t="str"/>
      <c r="F13" s="192" t="inlineStr">
        <is>
          <t>设施或交互Prefab；保留自身脚本、碰撞和状态接口</t>
        </is>
      </c>
      <c r="G13" s="192" t="str"/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设施组件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根节点=BaseFacilityLightGrid(Node3D)；子Prefab=1；2026-08-18扫描补登记资产主表</t>
        </is>
      </c>
    </row>
    <row r="14" ht="66" customHeight="1">
      <c r="A14" s="191" t="inlineStr">
        <is>
          <t>PRP-EXTRACTION-BEACON-3D</t>
        </is>
      </c>
      <c r="B14" s="192" t="inlineStr">
        <is>
          <t>撤离信标3D模块</t>
        </is>
      </c>
      <c r="C14" s="192" t="inlineStr">
        <is>
          <t>assets/art/props/dungeon_3d/prp_extraction_beacon_root_top3d_v001.tscn</t>
        </is>
      </c>
      <c r="D14" s="192" t="str"/>
      <c r="E14" s="192" t="str"/>
      <c r="F14" s="192" t="inlineStr">
        <is>
          <t>设施或交互Prefab；保留自身脚本、碰撞和状态接口</t>
        </is>
      </c>
      <c r="G14" s="192" t="inlineStr">
        <is>
          <t>src/world3d/ExtractionBeacon3D.gd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脚本生成</t>
        </is>
      </c>
      <c r="K14" s="192" t="inlineStr">
        <is>
          <t>PackedScene/程序组件</t>
        </is>
      </c>
      <c r="L14" s="192" t="inlineStr">
        <is>
          <t>未声明</t>
        </is>
      </c>
      <c r="M14" s="192" t="inlineStr">
        <is>
          <t>四主题撤离房</t>
        </is>
      </c>
      <c r="N14" s="192" t="inlineStr">
        <is>
          <t>原型已接入</t>
        </is>
      </c>
      <c r="O14" s="192" t="inlineStr">
        <is>
          <t>v001</t>
        </is>
      </c>
      <c r="P14" s="193" t="inlineStr">
        <is>
          <t>根节点=ExtractionBeacon3D(Area3D)</t>
        </is>
      </c>
    </row>
    <row r="15" ht="66" customHeight="1">
      <c r="A15" s="191" t="inlineStr">
        <is>
          <t>PRP-ROOM-LIGHT-SWITCH-3D</t>
        </is>
      </c>
      <c r="B15" s="192" t="inlineStr">
        <is>
          <t>房间中央灯墙面开关3D</t>
        </is>
      </c>
      <c r="C15" s="192" t="inlineStr">
        <is>
          <t>assets/art/props/dungeon_3d/prp_room_light_switch_root_top3d_v001.tscn</t>
        </is>
      </c>
      <c r="D15" s="192" t="str"/>
      <c r="E15" s="192" t="str"/>
      <c r="F15" s="192" t="inlineStr">
        <is>
          <t>设施或交互Prefab；保留自身脚本、碰撞和状态接口</t>
        </is>
      </c>
      <c r="G15" s="192" t="inlineStr">
        <is>
          <t>src/world3d/RoomLightSwitch3D.gd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脚本生成</t>
        </is>
      </c>
      <c r="K15" s="192" t="inlineStr">
        <is>
          <t>PackedScene/Area3D</t>
        </is>
      </c>
      <c r="L15" s="192" t="inlineStr">
        <is>
          <t>未声明</t>
        </is>
      </c>
      <c r="M15" s="192" t="inlineStr">
        <is>
          <t>随机关卡房间/四主题复用</t>
        </is>
      </c>
      <c r="N15" s="192" t="inlineStr">
        <is>
          <t>原型已接入</t>
        </is>
      </c>
      <c r="O15" s="192" t="inlineStr">
        <is>
          <t>v001</t>
        </is>
      </c>
      <c r="P15" s="193" t="inlineStr">
        <is>
          <t>根节点=RoomLightSwitch3D(Area3D)</t>
        </is>
      </c>
    </row>
    <row r="16" ht="66" customHeight="1">
      <c r="A16" s="191" t="inlineStr">
        <is>
          <t>PRP-SEARCH-CONTAINER-3D</t>
        </is>
      </c>
      <c r="B16" s="192" t="inlineStr">
        <is>
          <t>可搜索容器3D通用模块</t>
        </is>
      </c>
      <c r="C16" s="192" t="inlineStr">
        <is>
          <t>assets/art/props/dungeon_3d/prp_search_container_root_top3d_v001.tscn</t>
        </is>
      </c>
      <c r="D16" s="192" t="str"/>
      <c r="E16" s="192" t="str"/>
      <c r="F16" s="192" t="inlineStr">
        <is>
          <t>设施或交互Prefab；保留自身脚本、碰撞和状态接口</t>
        </is>
      </c>
      <c r="G16" s="192" t="inlineStr">
        <is>
          <t>src/world3d/RoomFurniture3D.gd</t>
        </is>
      </c>
      <c r="H16" s="192" t="inlineStr">
        <is>
          <t>开</t>
        </is>
      </c>
      <c r="I16" s="192" t="inlineStr">
        <is>
          <t>Prefab自身</t>
        </is>
      </c>
      <c r="J16" s="192" t="inlineStr">
        <is>
          <t>脚本生成</t>
        </is>
      </c>
      <c r="K16" s="192" t="inlineStr">
        <is>
          <t>PackedScene/搜索状态</t>
        </is>
      </c>
      <c r="L16" s="192" t="inlineStr">
        <is>
          <t>未声明</t>
        </is>
      </c>
      <c r="M16" s="192" t="inlineStr">
        <is>
          <t>搜索房/仓储/事件</t>
        </is>
      </c>
      <c r="N16" s="192" t="inlineStr">
        <is>
          <t>原型已接入</t>
        </is>
      </c>
      <c r="O16" s="192" t="inlineStr">
        <is>
          <t>v001</t>
        </is>
      </c>
      <c r="P16" s="193" t="inlineStr">
        <is>
          <t>根节点=SearchContainer3D(Area3D)</t>
        </is>
      </c>
    </row>
    <row r="17" ht="66" customHeight="1">
      <c r="A17" s="191" t="inlineStr">
        <is>
          <t>PRP-SERVICE-STATION-3D</t>
        </is>
      </c>
      <c r="B17" s="192" t="inlineStr">
        <is>
          <t>废土服务终端3D模块</t>
        </is>
      </c>
      <c r="C17" s="192" t="inlineStr">
        <is>
          <t>assets/art/props/dungeon_3d/prp_service_station_root_top3d_v001.tscn</t>
        </is>
      </c>
      <c r="D17" s="192" t="str"/>
      <c r="E17" s="192" t="str"/>
      <c r="F17" s="192" t="inlineStr">
        <is>
          <t>设施或交互Prefab；保留自身脚本、碰撞和状态接口</t>
        </is>
      </c>
      <c r="G17" s="192" t="inlineStr">
        <is>
          <t>src/world3d/ServiceStation3D.gd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脚本生成</t>
        </is>
      </c>
      <c r="K17" s="192" t="inlineStr">
        <is>
          <t>PackedScene/程序组件</t>
        </is>
      </c>
      <c r="L17" s="192" t="inlineStr">
        <is>
          <t>未声明</t>
        </is>
      </c>
      <c r="M17" s="192" t="inlineStr">
        <is>
          <t>商店/升级/事件/重置</t>
        </is>
      </c>
      <c r="N17" s="192" t="inlineStr">
        <is>
          <t>原型已接入</t>
        </is>
      </c>
      <c r="O17" s="192" t="inlineStr">
        <is>
          <t>v001</t>
        </is>
      </c>
      <c r="P17" s="193" t="inlineStr">
        <is>
          <t>根节点=ServiceStation3D(Area3D)</t>
        </is>
      </c>
    </row>
    <row r="18" ht="66" customHeight="1">
      <c r="A18" s="194" t="inlineStr">
        <is>
          <t>PRP-WASTELAND-LIGHT-3D</t>
        </is>
      </c>
      <c r="B18" s="195" t="inlineStr">
        <is>
          <t>废土灯具3D通用模块（街灯/顶灯）</t>
        </is>
      </c>
      <c r="C18" s="195" t="inlineStr">
        <is>
          <t>assets/art/props/dungeon_3d/prp_wasteland_light_root_top3d_v001.tscn</t>
        </is>
      </c>
      <c r="D18" s="195" t="str"/>
      <c r="E18" s="195" t="str"/>
      <c r="F18" s="195" t="inlineStr">
        <is>
          <t>设施或交互Prefab；保留自身脚本、碰撞和状态接口</t>
        </is>
      </c>
      <c r="G18" s="195" t="inlineStr">
        <is>
          <t>src/world3d/WastelandLight3D.gd</t>
        </is>
      </c>
      <c r="H18" s="195" t="inlineStr">
        <is>
          <t>无</t>
        </is>
      </c>
      <c r="I18" s="195" t="inlineStr">
        <is>
          <t>无</t>
        </is>
      </c>
      <c r="J18" s="195" t="inlineStr">
        <is>
          <t>无</t>
        </is>
      </c>
      <c r="K18" s="195" t="inlineStr">
        <is>
          <t>PackedScene/OmniLight3D</t>
        </is>
      </c>
      <c r="L18" s="195" t="inlineStr">
        <is>
          <t>未声明</t>
        </is>
      </c>
      <c r="M18" s="195" t="inlineStr">
        <is>
          <t>关卡/靶场/房间中央照明</t>
        </is>
      </c>
      <c r="N18" s="195" t="inlineStr">
        <is>
          <t>原型已接入</t>
        </is>
      </c>
      <c r="O18" s="195" t="inlineStr">
        <is>
          <t>v001</t>
        </is>
      </c>
      <c r="P18" s="196" t="inlineStr">
        <is>
          <t>根节点=WastelandLight3D(Node3D)</t>
        </is>
      </c>
    </row>
    <row r="19">
      <c r="A19" s="136" t="inlineStr">
        <is>
          <t>ENV-BASE99-DOOR-LIFT-22X25</t>
        </is>
      </c>
      <c r="B19" s="136" t="inlineStr">
        <is>
          <t>基地99层2.2×2.5米滑升门扇</t>
        </is>
      </c>
      <c r="C19" s="136" t="inlineStr">
        <is>
          <t>assets/art/environments/base_facility_3d/runtime/env_base99_door_lift_2p2x2p5/env_base99_door_lift_2p2x2p5_root_top3d_v001.tscn</t>
        </is>
      </c>
      <c r="D19" s="136" t="inlineStr">
        <is>
          <t>assets/art/environments/base_facility_3d/components/env_base99_door_lift_2p2x2p5/env_base99_door_lift_2p2x2p5_visual_top3d_v001.glb</t>
        </is>
      </c>
      <c r="E19" s="136" t="inlineStr">
        <is>
          <t>assets/art/environments/base_facility_3d/source/env_base99_modular_room/env_base99_modular_room_assets_clean_v001.blend</t>
        </is>
      </c>
      <c r="F19" s="136" t="inlineStr">
        <is>
          <t>滑升门视觉；门功能沿用RoomDoor3D</t>
        </is>
      </c>
      <c r="G19" s="136" t="inlineStr">
        <is>
          <t>src/world3d/RoomDoor3D.gd</t>
        </is>
      </c>
      <c r="H19" s="136" t="inlineStr">
        <is>
          <t>开</t>
        </is>
      </c>
      <c r="I19" s="136" t="inlineStr">
        <is>
          <t>外部脚本</t>
        </is>
      </c>
      <c r="J19" s="136" t="inlineStr">
        <is>
          <t>RoomDoor3D BoxShape3D</t>
        </is>
      </c>
      <c r="K19" s="136" t="inlineStr">
        <is>
          <t>2.2×0.325×2.5m；底边中心原点</t>
        </is>
      </c>
      <c r="L19" s="136" t="inlineStr">
        <is>
          <t>bottom_center；-Z</t>
        </is>
      </c>
      <c r="M19" s="136" t="inlineStr">
        <is>
          <t>99层基地东/西门</t>
        </is>
      </c>
      <c r="N19" s="136" t="inlineStr">
        <is>
          <t>正式美术已接入</t>
        </is>
      </c>
      <c r="O19" s="136" t="inlineStr">
        <is>
          <t>v001</t>
        </is>
      </c>
      <c r="P19" s="136" t="inlineStr">
        <is>
          <t>GLB无玩法碰撞；cast_and_receive；替换同路径GLB不改变门功能。</t>
        </is>
      </c>
    </row>
    <row r="20" ht="78" customHeight="1">
      <c r="A20" s="136" t="inlineStr">
        <is>
          <t>PRP-BASE-RECOVERY-STATION-3D</t>
        </is>
      </c>
      <c r="B20" s="136" t="inlineStr">
        <is>
          <t>基地状态恢复舱</t>
        </is>
      </c>
      <c r="C20" s="136" t="inlineStr">
        <is>
          <t>assets/art/props/base_world_3d/runtime/recovery_station/prp_base_recovery_station_root_top3d_v001.tscn</t>
        </is>
      </c>
      <c r="D20" s="136" t="n"/>
      <c r="E20" s="136" t="n"/>
      <c r="F20" s="136" t="inlineStr">
        <is>
          <t>消耗基地电量恢复HP与手电电量</t>
        </is>
      </c>
      <c r="G20" s="136" t="inlineStr">
        <is>
          <t>src/base3d/BaseFacility3D.gd; src/ui/BaseRecoveryMenu.gd; src/base/BaseEnergyService.gd</t>
        </is>
      </c>
      <c r="H20" s="136" t="inlineStr">
        <is>
          <t>开</t>
        </is>
      </c>
      <c r="I20" s="136" t="inlineStr">
        <is>
          <t>Prefab自身</t>
        </is>
      </c>
      <c r="J20" s="136" t="inlineStr">
        <is>
          <t>Area3D交互+BoxShape3D实体</t>
        </is>
      </c>
      <c r="K20" s="136" t="inlineStr">
        <is>
          <t>设施根缩放1；程序占位视觉</t>
        </is>
      </c>
      <c r="L20" s="136" t="inlineStr">
        <is>
          <t>底面中心；-Z</t>
        </is>
      </c>
      <c r="M20" s="136" t="inlineStr">
        <is>
          <t>BaseWorld3D/TowerDescent99F</t>
        </is>
      </c>
      <c r="N20" s="136" t="inlineStr">
        <is>
          <t>功能已接入/正式模型待补</t>
        </is>
      </c>
      <c r="O20" s="136" t="inlineStr">
        <is>
          <t>v001</t>
        </is>
      </c>
      <c r="P20" s="136" t="inlineStr">
        <is>
          <t>手电在基地只暂停耗电；补电仅走恢复舱或电池</t>
        </is>
      </c>
    </row>
    <row r="21" ht="78" customHeight="1">
      <c r="A21" s="136" t="inlineStr">
        <is>
          <t>PRP-BASE-AVATAR-WARDROBE-001</t>
        </is>
      </c>
      <c r="B21" s="136" t="inlineStr">
        <is>
          <t>基地角色衣柜</t>
        </is>
      </c>
      <c r="C21" s="136" t="inlineStr">
        <is>
          <t>assets/art/props/base_world_3d/runtime/avatar_wardrobe/prp_base_avatar_wardrobe_root_top3d_v001.tscn</t>
        </is>
      </c>
      <c r="D21" s="136" t="inlineStr">
        <is>
          <t>assets/art/props/base_world_3d/components/locker_station/prp_base_locker_station_visual_top3d_v004.glb</t>
        </is>
      </c>
      <c r="E21" s="136" t="inlineStr">
        <is>
          <t>assets/art/props/base_world_3d/source/locker_station/prp_base_locker_station_source_v004.blend</t>
        </is>
      </c>
      <c r="F21" s="136" t="inlineStr">
        <is>
          <t>激活衣柜UI并预览/保存角色外观</t>
        </is>
      </c>
      <c r="G21" s="136" t="inlineStr">
        <is>
          <t>src/base3d/wardrobe/WardrobeFacility3D.gd; src/ui/wardrobe/WardrobeMenu3D.gd</t>
        </is>
      </c>
      <c r="H21" s="136" t="inlineStr">
        <is>
          <t>开</t>
        </is>
      </c>
      <c r="I21" s="136" t="inlineStr">
        <is>
          <t>Prefab自身</t>
        </is>
      </c>
      <c r="J21" s="136" t="inlineStr">
        <is>
          <t>Area3D交互+BoxShape3D实体；复用储物站视觉</t>
        </is>
      </c>
      <c r="K21" s="136" t="inlineStr">
        <is>
          <t>5×3.9×1.63m碰撞；根缩放1</t>
        </is>
      </c>
      <c r="L21" s="136" t="inlineStr">
        <is>
          <t>底面中心；-Z</t>
        </is>
      </c>
      <c r="M21" s="136" t="inlineStr">
        <is>
          <t>BaseWorld3D/TowerDescent99F</t>
        </is>
      </c>
      <c r="N21" s="136" t="inlineStr">
        <is>
          <t>功能已接入/复用模型</t>
        </is>
      </c>
      <c r="O21" s="136" t="inlineStr">
        <is>
          <t>v001</t>
        </is>
      </c>
      <c r="P21" s="136" t="inlineStr">
        <is>
          <t>6类方形物品格；每类≥3款；只改表现，不改碰撞与功能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道具 3D Prefab</t>
        </is>
      </c>
    </row>
    <row r="2" ht="34" customHeight="1">
      <c r="A2" s="250" t="inlineStr">
        <is>
          <t>桌椅、家具、容器和摆放装饰物；本次扫描 3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PRP-BASE-MISSION-COMMAND-CHAIR-3D</t>
        </is>
      </c>
      <c r="B5" s="189" t="inlineStr">
        <is>
          <t>战术指挥椅</t>
        </is>
      </c>
      <c r="C5" s="189" t="inlineStr">
        <is>
          <t>assets/art/props/base_world_3d/runtime/mission_command_chair/prp_base_mission_command_chair_root_top3d_v001.tscn</t>
        </is>
      </c>
      <c r="D5" s="189" t="inlineStr">
        <is>
          <t>assets/art/props/base_world_3d/components/mission_command_chair/prp_base_mission_command_chair_visual_top3d_v003.glb</t>
        </is>
      </c>
      <c r="E5" s="189" t="inlineStr">
        <is>
          <t>assets/art/props/base_world_3d/source/mission_command_chair/prp_base_mission_command_chair_source_v001.blend</t>
        </is>
      </c>
      <c r="F5" s="189" t="inlineStr">
        <is>
          <t>可复用摆放道具Prefab</t>
        </is>
      </c>
      <c r="G5" s="189" t="str"/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最多4材质；独立GLB/PackedScene；无交互碰撞</t>
        </is>
      </c>
      <c r="L5" s="189" t="inlineStr">
        <is>
          <t>-Z</t>
        </is>
      </c>
      <c r="M5" s="189" t="inlineStr">
        <is>
          <t>基地99层美术布置层</t>
        </is>
      </c>
      <c r="N5" s="189" t="inlineStr">
        <is>
          <t>正式美术已接入</t>
        </is>
      </c>
      <c r="O5" s="189" t="inlineStr">
        <is>
          <t>v001</t>
        </is>
      </c>
      <c r="P5" s="190" t="inlineStr">
        <is>
          <t>根节点=战术指挥椅(Node3D)</t>
        </is>
      </c>
    </row>
    <row r="6" ht="66" customHeight="1">
      <c r="A6" s="191" t="inlineStr">
        <is>
          <t>PRP-BASE-WORKSHOP-STOOL-3D</t>
        </is>
      </c>
      <c r="B6" s="192" t="inlineStr">
        <is>
          <t>赛博维修圆凳</t>
        </is>
      </c>
      <c r="C6" s="192" t="inlineStr">
        <is>
          <t>assets/art/props/base_world_3d/runtime/workshop_stool/prp_base_workshop_stool_root_top3d_v001.tscn</t>
        </is>
      </c>
      <c r="D6" s="192" t="inlineStr">
        <is>
          <t>assets/art/props/base_world_3d/components/workshop_stool/prp_base_workshop_stool_visual_top3d_v003.glb</t>
        </is>
      </c>
      <c r="E6" s="192" t="inlineStr">
        <is>
          <t>assets/art/props/base_world_3d/source/workshop_stool/prp_base_workshop_stool_source_v001.blend</t>
        </is>
      </c>
      <c r="F6" s="192" t="inlineStr">
        <is>
          <t>可复用摆放道具Prefab</t>
        </is>
      </c>
      <c r="G6" s="192" t="str"/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最多4材质；独立GLB/PackedScene；无交互碰撞</t>
        </is>
      </c>
      <c r="L6" s="192" t="inlineStr">
        <is>
          <t>-Z</t>
        </is>
      </c>
      <c r="M6" s="192" t="inlineStr">
        <is>
          <t>基地99层美术布置层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根节点=赛博维修圆凳(Node3D)</t>
        </is>
      </c>
    </row>
    <row r="7" ht="66" customHeight="1">
      <c r="A7" s="194" t="inlineStr">
        <is>
          <t>PRP-ROOM-FURNITURE-3D</t>
        </is>
      </c>
      <c r="B7" s="195" t="inlineStr">
        <is>
          <t>房间家具3D通用模块</t>
        </is>
      </c>
      <c r="C7" s="195" t="inlineStr">
        <is>
          <t>assets/art/props/dungeon_3d/prp_room_furniture_root_top3d_v001.tscn</t>
        </is>
      </c>
      <c r="D7" s="195" t="str"/>
      <c r="E7" s="195" t="str"/>
      <c r="F7" s="195" t="inlineStr">
        <is>
          <t>可复用摆放道具Prefab</t>
        </is>
      </c>
      <c r="G7" s="195" t="inlineStr">
        <is>
          <t>src/world3d/RoomFurniture3D.gd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脚本生成</t>
        </is>
      </c>
      <c r="K7" s="195" t="inlineStr">
        <is>
          <t>PackedScene/类型与尺寸配置</t>
        </is>
      </c>
      <c r="L7" s="195" t="inlineStr">
        <is>
          <t>未声明</t>
        </is>
      </c>
      <c r="M7" s="195" t="inlineStr">
        <is>
          <t>全部3D房间</t>
        </is>
      </c>
      <c r="N7" s="195" t="inlineStr">
        <is>
          <t>原型已接入</t>
        </is>
      </c>
      <c r="O7" s="195" t="inlineStr">
        <is>
          <t>v001</t>
        </is>
      </c>
      <c r="P7" s="196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角色 3D Prefab</t>
        </is>
      </c>
    </row>
    <row r="2" ht="34" customHeight="1">
      <c r="A2" s="250" t="inlineStr">
        <is>
          <t>玩家、NPC与角色表现/玩法根及制作母版；当前 4 个登记项。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CHR-PLY-CAPSULE01-3D</t>
        </is>
      </c>
      <c r="B5" s="189" t="inlineStr">
        <is>
          <t>方形猫角色3D根组件</t>
        </is>
      </c>
      <c r="C5" s="189" t="inlineStr">
        <is>
          <t>assets/art/characters/player/chr_player_capsule01_3d/chr_player_capsule01_root_top3d_v001.tscn</t>
        </is>
      </c>
      <c r="D5" s="189" t="str"/>
      <c r="E5" s="189" t="str"/>
      <c r="F5" s="189" t="inlineStr">
        <is>
          <t>角色3D表现Prefab</t>
        </is>
      </c>
      <c r="G5" s="189" t="inlineStr">
        <is>
          <t>src/player3d/PlayerAvatar3D.gd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PackedScene/程序材质</t>
        </is>
      </c>
      <c r="L5" s="189" t="inlineStr">
        <is>
          <t>未声明</t>
        </is>
      </c>
      <c r="M5" s="189" t="inlineStr">
        <is>
          <t>3D玩家场景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根节点=CapsuleAvatar3D(Node3D)</t>
        </is>
      </c>
    </row>
    <row r="6" ht="66" customHeight="1">
      <c r="A6" s="191" t="inlineStr">
        <is>
          <t>CHR-PLY-CAPSULE01</t>
        </is>
      </c>
      <c r="B6" s="192" t="inlineStr">
        <is>
          <t>胶囊防护体玩家</t>
        </is>
      </c>
      <c r="C6" s="192" t="inlineStr">
        <is>
          <t>assets/art/characters/player/chr_player_capsule01_3d/variants/bunny01/chr_player_capsule01_bunny01_root_top3d_v006.tscn</t>
        </is>
      </c>
      <c r="D6" s="192" t="inlineStr">
        <is>
          <t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t>
        </is>
      </c>
      <c r="E6" s="192" t="str"/>
      <c r="F6" s="192" t="inlineStr">
        <is>
          <t>角色3D表现Prefab</t>
        </is>
      </c>
      <c r="G6" s="192" t="inlineStr">
        <is>
          <t>src/player3d/PlayerAvatar3D.gd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稳定逻辑身份；当前表现约1.5m高</t>
        </is>
      </c>
      <c r="L6" s="192" t="inlineStr">
        <is>
          <t>未声明</t>
        </is>
      </c>
      <c r="M6" s="192" t="inlineStr">
        <is>
          <t>正式3D玩家</t>
        </is>
      </c>
      <c r="N6" s="192" t="inlineStr">
        <is>
          <t>原型已接入</t>
        </is>
      </c>
      <c r="O6" s="192" t="inlineStr">
        <is>
          <t>v006</t>
        </is>
      </c>
      <c r="P6" s="193" t="inlineStr">
        <is>
          <t>根节点=CapsuleAvatar3D(实例根)；子Prefab=1</t>
        </is>
      </c>
    </row>
    <row r="7" ht="66" customHeight="1">
      <c r="A7" s="194" t="inlineStr">
        <is>
          <t>CHR-PLY-CAPSULE01</t>
        </is>
      </c>
      <c r="B7" s="195" t="inlineStr">
        <is>
          <t>胶囊防护体玩家</t>
        </is>
      </c>
      <c r="C7" s="195" t="inlineStr">
        <is>
          <t>scenes/Player3D.tscn</t>
        </is>
      </c>
      <c r="D7" s="195" t="str"/>
      <c r="E7" s="195" t="str"/>
      <c r="F7" s="195" t="inlineStr">
        <is>
          <t>玩家3D玩法根</t>
        </is>
      </c>
      <c r="G7" s="195" t="inlineStr">
        <is>
          <t>src/player3d/Player3D.gd; src/player3d/PlayerVision3D.gd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CapsuleShape3D</t>
        </is>
      </c>
      <c r="K7" s="195" t="inlineStr">
        <is>
          <t>稳定逻辑身份；当前表现约1.5m高</t>
        </is>
      </c>
      <c r="L7" s="195" t="inlineStr">
        <is>
          <t>未声明</t>
        </is>
      </c>
      <c r="M7" s="195" t="inlineStr">
        <is>
          <t>正式3D玩家</t>
        </is>
      </c>
      <c r="N7" s="195" t="inlineStr">
        <is>
          <t>原型已接入</t>
        </is>
      </c>
      <c r="O7" s="195" t="inlineStr">
        <is>
          <t>v006</t>
        </is>
      </c>
      <c r="P7" s="196" t="inlineStr">
        <is>
          <t>根节点=Player3D(CharacterBody3D)；子Prefab=2；资产主表当前Prefab=assets/art/characters/player/chr_player_capsule01_3d/variants/bunny01/chr_player_capsule01_bunny01_root_top3d_v006.tscn</t>
        </is>
      </c>
    </row>
    <row r="8" ht="78" customHeight="1">
      <c r="A8" s="136" t="inlineStr">
        <is>
          <t>CHR-PLAYER-AVATAR-TEMPLATE-001</t>
        </is>
      </c>
      <c r="B8" s="136" t="inlineStr">
        <is>
          <t>玩家角色1.5米Blender制作母版</t>
        </is>
      </c>
      <c r="C8" s="136" t="n"/>
      <c r="D8" s="136" t="n"/>
      <c r="E8" s="136" t="inlineStr">
        <is>
          <t>assets/art/characters/player/chr_player_avatar_template_3d/source/chr_player_avatar_template_source_v001.blend</t>
        </is>
      </c>
      <c r="F8" s="136" t="inlineStr">
        <is>
          <t>角色与配件制作尺寸/方向/挂点模板；非运行时Prefab</t>
        </is>
      </c>
      <c r="G8" s="136" t="inlineStr">
        <is>
          <t>scripts/blender/validate_player_avatar_asset_template.py</t>
        </is>
      </c>
      <c r="H8" s="136" t="inlineStr">
        <is>
          <t>无</t>
        </is>
      </c>
      <c r="I8" s="136" t="inlineStr">
        <is>
          <t>Player3D玩法根</t>
        </is>
      </c>
      <c r="J8" s="136" t="inlineStr">
        <is>
          <t>母版只提供表现包络与挂点；CapsuleShape3D不变</t>
        </is>
      </c>
      <c r="K8" s="136" t="inlineStr">
        <is>
          <t>总高1.50m；根缩放1</t>
        </is>
      </c>
      <c r="L8" s="136" t="inlineStr">
        <is>
          <t>脚底中心Z0；Blender -Y / Godot -Z</t>
        </is>
      </c>
      <c r="M8" s="136" t="inlineStr">
        <is>
          <t>玩家角色与换装资产制作</t>
        </is>
      </c>
      <c r="N8" s="136" t="inlineStr">
        <is>
          <t>正式制作母版</t>
        </is>
      </c>
      <c r="O8" s="136" t="inlineStr">
        <is>
          <t>v001</t>
        </is>
      </c>
      <c r="P8" s="136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敌人 3D Prefab</t>
        </is>
      </c>
    </row>
    <row r="2" ht="34" customHeight="1">
      <c r="A2" s="250" t="inlineStr">
        <is>
          <t>普通敌人、精英、Boss与敌人共用根；当前2个独立Prefab，其中首只正式精英资产1/12。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267" t="inlineStr">
        <is>
          <t>ENM-ECOSYSTEM-KIT-3D</t>
        </is>
      </c>
      <c r="B5" s="268" t="inlineStr">
        <is>
          <t>七类怪物3D生态套件</t>
        </is>
      </c>
      <c r="C5" s="268" t="inlineStr">
        <is>
          <t>assets/art/enemies/enemy_3d/enm_ecosystem_kit_root_top3d_v001.tscn</t>
        </is>
      </c>
      <c r="D5" s="268" t="str"/>
      <c r="E5" s="268" t="str"/>
      <c r="F5" s="268" t="inlineStr">
        <is>
          <t>敌人3D共用根与表现系统</t>
        </is>
      </c>
      <c r="G5" s="268" t="inlineStr">
        <is>
          <t>src/enemy3d/Enemy3D.gd; src/enemy3d/EnemyAvatar3D.gd</t>
        </is>
      </c>
      <c r="H5" s="268" t="inlineStr">
        <is>
          <t>开</t>
        </is>
      </c>
      <c r="I5" s="268" t="inlineStr">
        <is>
          <t>Prefab自身</t>
        </is>
      </c>
      <c r="J5" s="268" t="inlineStr">
        <is>
          <t>CapsuleShape3D</t>
        </is>
      </c>
      <c r="K5" s="268" t="inlineStr">
        <is>
          <t>PackedScene/模块敌人</t>
        </is>
      </c>
      <c r="L5" s="268" t="inlineStr">
        <is>
          <t>未声明</t>
        </is>
      </c>
      <c r="M5" s="268" t="inlineStr">
        <is>
          <t>四主题战斗房</t>
        </is>
      </c>
      <c r="N5" s="268" t="inlineStr">
        <is>
          <t>原型已接入</t>
        </is>
      </c>
      <c r="O5" s="268" t="inlineStr">
        <is>
          <t>v001</t>
        </is>
      </c>
      <c r="P5" s="269" t="inlineStr">
        <is>
          <t>根节点=Enemy3D(CharacterBody3D)</t>
        </is>
      </c>
    </row>
    <row r="6" ht="54" customHeight="1">
      <c r="A6" s="136" t="inlineStr">
        <is>
          <t>ENM-ELITE-RIFT-BOAR-ARMED-3D</t>
        </is>
      </c>
      <c r="B6" s="136" t="inlineStr">
        <is>
          <t>背枪的裂口爬虫</t>
        </is>
      </c>
      <c r="C6" s="136" t="inlineStr">
        <is>
          <t>assets/art/enemies/elite_3d/rift_boar_armed/runtime/enm_elite_rift_boar_armed_root_top3d_v001.tscn</t>
        </is>
      </c>
      <c r="D6" s="136" t="inlineStr">
        <is>
          <t>assets/art/enemies/elite_3d/rift_boar_armed/components/enm_elite_rift_boar_armed_visual_top3d_v001.glb</t>
        </is>
      </c>
      <c r="E6" s="136" t="inlineStr">
        <is>
          <t>assets/art/enemies/elite_3d/rift_boar_armed/source/enm_elite_rift_boar_armed_source_v001.blend</t>
        </is>
      </c>
      <c r="F6" s="136" t="inlineStr">
        <is>
          <t>首只唯一精英独立表现、背负副枪与命名专属血条</t>
        </is>
      </c>
      <c r="G6" s="136" t="inlineStr">
        <is>
          <t>src/enemy3d/EliteContentCatalog.gd; src/enemy3d/EliteRosterService.gd; src/enemy3d/EnemyAvatar3D.gd; src/enemy3d/Enemy3D.gd</t>
        </is>
      </c>
      <c r="H6" s="136" t="inlineStr">
        <is>
          <t>关（表现资产）</t>
        </is>
      </c>
      <c r="I6" s="136" t="inlineStr">
        <is>
          <t>Enemy3D</t>
        </is>
      </c>
      <c r="J6" s="136" t="inlineStr">
        <is>
          <t>复用melee_chaser CylinderShape3D</t>
        </is>
      </c>
      <c r="K6" s="136" t="inlineStr">
        <is>
          <t>1.970×1.843×1.345m；18 Mesh；4材质</t>
        </is>
      </c>
      <c r="L6" s="136" t="inlineStr">
        <is>
          <t>底部可预测；Blender -Y / Godot -Z 正面；根Scale=1</t>
        </is>
      </c>
      <c r="M6" s="136" t="inlineStr">
        <is>
          <t>每次行动按run_seed在98F/97F/96F三选一；目标层随机ELITE房</t>
        </is>
      </c>
      <c r="N6" s="136" t="inlineStr">
        <is>
          <t>正式美术已接入</t>
        </is>
      </c>
      <c r="O6" s="136" t="inlineStr">
        <is>
          <t>v001</t>
        </is>
      </c>
      <c r="P6" s="136" t="inlineStr">
        <is>
          <t>AssetID与elite_id稳定；其余11只仍为design_only，完成专项前不投放。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武器 3D Prefab</t>
        </is>
      </c>
    </row>
    <row r="2" ht="34" customHeight="1">
      <c r="A2" s="250" t="inlineStr">
        <is>
          <t>枪械、近战武器与武器装配根；本次扫描 22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WPN-MELEE-BP-BASEBALL-BAT</t>
        </is>
      </c>
      <c r="B5" s="189" t="inlineStr">
        <is>
          <t>废土棒球棍程序原型</t>
        </is>
      </c>
      <c r="C5" s="189" t="inlineStr">
        <is>
          <t>assets/art/weapons/melee_3d/wpn_melee_baseball_bat_root_top3d_v001.tscn</t>
        </is>
      </c>
      <c r="D5" s="189" t="str"/>
      <c r="E5" s="189" t="str"/>
      <c r="F5" s="189" t="inlineStr">
        <is>
          <t>武器3D表现Prefab；由武器系统装配</t>
        </is>
      </c>
      <c r="G5" s="189" t="inlineStr">
        <is>
          <t>src/combat3d/MeleeWeaponVisual3D.gd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程序Mesh；0.28×0.28×1.48m；无碰撞</t>
        </is>
      </c>
      <c r="L5" s="189" t="inlineStr">
        <is>
          <t>未声明</t>
        </is>
      </c>
      <c r="M5" s="189" t="inlineStr">
        <is>
          <t>手持/背负/地面/背包图标/表现页/基地贩卖机</t>
        </is>
      </c>
      <c r="N5" s="189" t="inlineStr">
        <is>
          <t>程序占位</t>
        </is>
      </c>
      <c r="O5" s="189" t="inlineStr">
        <is>
          <t>v001</t>
        </is>
      </c>
      <c r="P5" s="190" t="inlineStr">
        <is>
          <t>根节点=BaseballBatRootTop3D(Node3D)</t>
        </is>
      </c>
    </row>
    <row r="6" ht="66" customHeight="1">
      <c r="A6" s="191" t="inlineStr">
        <is>
          <t>WPN-MELEE-BP-GREATBLADE</t>
        </is>
      </c>
      <c r="B6" s="192" t="inlineStr">
        <is>
          <t>巨型工业断刃程序原型</t>
        </is>
      </c>
      <c r="C6" s="192" t="inlineStr">
        <is>
          <t>assets/art/weapons/melee_3d/wpn_melee_greatblade_root_top3d_v001.tscn</t>
        </is>
      </c>
      <c r="D6" s="192" t="str"/>
      <c r="E6" s="192" t="str"/>
      <c r="F6" s="192" t="inlineStr">
        <is>
          <t>武器3D表现Prefab；由武器系统装配</t>
        </is>
      </c>
      <c r="G6" s="192" t="inlineStr">
        <is>
          <t>src/combat3d/MeleeWeaponVisual3D.gd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程序Mesh；0.82×0.30×2.42m；无碰撞</t>
        </is>
      </c>
      <c r="L6" s="192" t="inlineStr">
        <is>
          <t>未声明</t>
        </is>
      </c>
      <c r="M6" s="192" t="inlineStr">
        <is>
          <t>手持/背负/地面/背包图标/表现页</t>
        </is>
      </c>
      <c r="N6" s="192" t="inlineStr">
        <is>
          <t>程序占位</t>
        </is>
      </c>
      <c r="O6" s="192" t="inlineStr">
        <is>
          <t>v001</t>
        </is>
      </c>
      <c r="P6" s="193" t="inlineStr">
        <is>
          <t>根节点=GreatbladeVisual3D(Node3D)</t>
        </is>
      </c>
    </row>
    <row r="7" ht="66" customHeight="1">
      <c r="A7" s="191" t="inlineStr">
        <is>
          <t>WPN-MELEE-BP-WARAXE</t>
        </is>
      </c>
      <c r="B7" s="192" t="inlineStr">
        <is>
          <t>攻城裂甲斧程序原型</t>
        </is>
      </c>
      <c r="C7" s="192" t="inlineStr">
        <is>
          <t>assets/art/weapons/melee_3d/wpn_melee_waraxe_root_top3d_v001.tscn</t>
        </is>
      </c>
      <c r="D7" s="192" t="str"/>
      <c r="E7" s="192" t="str"/>
      <c r="F7" s="192" t="inlineStr">
        <is>
          <t>武器3D表现Prefab；由武器系统装配</t>
        </is>
      </c>
      <c r="G7" s="192" t="inlineStr">
        <is>
          <t>src/combat3d/MeleeWeaponVisual3D.gd</t>
        </is>
      </c>
      <c r="H7" s="192" t="inlineStr">
        <is>
          <t>无</t>
        </is>
      </c>
      <c r="I7" s="192" t="inlineStr">
        <is>
          <t>无</t>
        </is>
      </c>
      <c r="J7" s="192" t="inlineStr">
        <is>
          <t>无</t>
        </is>
      </c>
      <c r="K7" s="192" t="inlineStr">
        <is>
          <t>程序Mesh；1.18×0.34×2.62m；无碰撞</t>
        </is>
      </c>
      <c r="L7" s="192" t="inlineStr">
        <is>
          <t>未声明</t>
        </is>
      </c>
      <c r="M7" s="192" t="inlineStr">
        <is>
          <t>手持/背负/地面/背包图标/表现页</t>
        </is>
      </c>
      <c r="N7" s="192" t="inlineStr">
        <is>
          <t>程序占位</t>
        </is>
      </c>
      <c r="O7" s="192" t="inlineStr">
        <is>
          <t>v001</t>
        </is>
      </c>
      <c r="P7" s="193" t="inlineStr">
        <is>
          <t>根节点=WaraxeVisual3D(Node3D)</t>
        </is>
      </c>
    </row>
    <row r="8" ht="66" customHeight="1">
      <c r="A8" s="191" t="inlineStr">
        <is>
          <t>WPN-GUN-BP-RIFLE</t>
        </is>
      </c>
      <c r="B8" s="192" t="inlineStr">
        <is>
          <t>步枪 / 扫帚步枪造型</t>
        </is>
      </c>
      <c r="C8" s="192" t="inlineStr">
        <is>
          <t>assets/art/weapons/weapon_3d/runtime/broom_rifle/wpn_broom_rifle_root_top3d_v001.tscn</t>
        </is>
      </c>
      <c r="D8" s="192" t="inlineStr">
        <is>
          <t>assets/art/weapons/weapon_3d/components/broom_rifle/wpn_broom_rifle_visual_top3d_v003.glb</t>
        </is>
      </c>
      <c r="E8" s="192" t="inlineStr">
        <is>
          <t>assets/art/weapons/weapon_3d/source/broom_rifle/wpn_broom_rifle_source_v003.blend</t>
        </is>
      </c>
      <c r="F8" s="192" t="inlineStr">
        <is>
          <t>武器3D表现Prefab；由武器系统装配</t>
        </is>
      </c>
      <c r="G8" s="192" t="inlineStr">
        <is>
          <t>src/player3d/WeaponModel3D.gd</t>
        </is>
      </c>
      <c r="H8" s="192" t="inlineStr">
        <is>
          <t>无</t>
        </is>
      </c>
      <c r="I8" s="192" t="inlineStr">
        <is>
          <t>无</t>
        </is>
      </c>
      <c r="J8" s="192" t="inlineStr">
        <is>
          <t>无</t>
        </is>
      </c>
      <c r="K8" s="192" t="inlineStr">
        <is>
          <t>握把原点；local -Z枪口；3材质；独立GLB/PackedScene</t>
        </is>
      </c>
      <c r="L8" s="192" t="inlineStr">
        <is>
          <t>-Z</t>
        </is>
      </c>
      <c r="M8" s="192" t="inlineStr">
        <is>
          <t>手持/背负/地面/UI 共用独立PackedScene</t>
        </is>
      </c>
      <c r="N8" s="192" t="inlineStr">
        <is>
          <t>正式美术已接入</t>
        </is>
      </c>
      <c r="O8" s="192" t="inlineStr">
        <is>
          <t>v001</t>
        </is>
      </c>
      <c r="P8" s="193" t="inlineStr">
        <is>
          <t>根节点=扫帚步枪(Node3D)</t>
        </is>
      </c>
    </row>
    <row r="9" ht="66" customHeight="1">
      <c r="A9" s="191" t="inlineStr">
        <is>
          <t>WPN-GUN-FUTURE-CAMERA-BLASTER-3D</t>
        </is>
      </c>
      <c r="B9" s="192" t="inlineStr">
        <is>
          <t>相机爆能枪</t>
        </is>
      </c>
      <c r="C9" s="192" t="inlineStr">
        <is>
          <t>assets/art/weapons/weapon_3d/runtime/camera_blaster/wpn_camera_blaster_root_top3d_v001.tscn</t>
        </is>
      </c>
      <c r="D9" s="192" t="inlineStr">
        <is>
          <t>assets/art/weapons/weapon_3d/components/camera_blaster/wpn_camera_blaster_visual_top3d_v003.glb</t>
        </is>
      </c>
      <c r="E9" s="192" t="inlineStr">
        <is>
          <t>assets/art/weapons/weapon_3d/source/camera_blaster/wpn_camera_blaster_source_v003.blend</t>
        </is>
      </c>
      <c r="F9" s="192" t="inlineStr">
        <is>
          <t>武器3D表现Prefab；由武器系统装配</t>
        </is>
      </c>
      <c r="G9" s="192" t="inlineStr">
        <is>
          <t>src/player3d/WeaponModel3D.gd</t>
        </is>
      </c>
      <c r="H9" s="192" t="inlineStr">
        <is>
          <t>无</t>
        </is>
      </c>
      <c r="I9" s="192" t="inlineStr">
        <is>
          <t>无</t>
        </is>
      </c>
      <c r="J9" s="192" t="inlineStr">
        <is>
          <t>无</t>
        </is>
      </c>
      <c r="K9" s="192" t="inlineStr">
        <is>
          <t>握把原点；local -Z枪口；3材质；独立GLB/PackedScene</t>
        </is>
      </c>
      <c r="L9" s="192" t="inlineStr">
        <is>
          <t>-Z</t>
        </is>
      </c>
      <c r="M9" s="192" t="inlineStr">
        <is>
          <t>未来枪械池/独立资产</t>
        </is>
      </c>
      <c r="N9" s="192" t="inlineStr">
        <is>
          <t>正式美术已入库/待玩法映射</t>
        </is>
      </c>
      <c r="O9" s="192" t="inlineStr">
        <is>
          <t>v001</t>
        </is>
      </c>
      <c r="P9" s="193" t="inlineStr">
        <is>
          <t>根节点=相机爆能枪(Node3D)</t>
        </is>
      </c>
    </row>
    <row r="10" ht="66" customHeight="1">
      <c r="A10" s="191" t="inlineStr">
        <is>
          <t>WPN-GUN-BP-SNIPER</t>
        </is>
      </c>
      <c r="B10" s="192" t="inlineStr">
        <is>
          <t>弹弓狙击 / 糖果狙击枪造型</t>
        </is>
      </c>
      <c r="C10" s="192" t="inlineStr">
        <is>
          <t>assets/art/weapons/weapon_3d/runtime/candy_sniper/wpn_candy_sniper_root_top3d_v001.tscn</t>
        </is>
      </c>
      <c r="D10" s="192" t="inlineStr">
        <is>
          <t>assets/art/weapons/weapon_3d/components/candy_sniper/wpn_candy_sniper_visual_top3d_v003.glb</t>
        </is>
      </c>
      <c r="E10" s="192" t="inlineStr">
        <is>
          <t>assets/art/weapons/weapon_3d/source/candy_sniper/wpn_candy_sniper_source_v003.blend</t>
        </is>
      </c>
      <c r="F10" s="192" t="inlineStr">
        <is>
          <t>武器3D表现Prefab；由武器系统装配</t>
        </is>
      </c>
      <c r="G10" s="192" t="inlineStr">
        <is>
          <t>src/player3d/WeaponModel3D.gd</t>
        </is>
      </c>
      <c r="H10" s="192" t="inlineStr">
        <is>
          <t>无</t>
        </is>
      </c>
      <c r="I10" s="192" t="inlineStr">
        <is>
          <t>无</t>
        </is>
      </c>
      <c r="J10" s="192" t="inlineStr">
        <is>
          <t>无</t>
        </is>
      </c>
      <c r="K10" s="192" t="inlineStr">
        <is>
          <t>握把原点；local -Z枪口；3材质；独立GLB/PackedScene</t>
        </is>
      </c>
      <c r="L10" s="192" t="inlineStr">
        <is>
          <t>-Z</t>
        </is>
      </c>
      <c r="M10" s="192" t="inlineStr">
        <is>
          <t>手持/背负/地面/UI 共用独立PackedScene</t>
        </is>
      </c>
      <c r="N10" s="192" t="inlineStr">
        <is>
          <t>正式美术已接入</t>
        </is>
      </c>
      <c r="O10" s="192" t="inlineStr">
        <is>
          <t>v001</t>
        </is>
      </c>
      <c r="P10" s="193" t="inlineStr">
        <is>
          <t>根节点=糖果狙击枪(Node3D)</t>
        </is>
      </c>
    </row>
    <row r="11" ht="66" customHeight="1">
      <c r="A11" s="191" t="inlineStr">
        <is>
          <t>WPN-GUN-FUTURE-CROCODILE-CANNON-3D</t>
        </is>
      </c>
      <c r="B11" s="192" t="inlineStr">
        <is>
          <t>鳄鱼加农炮</t>
        </is>
      </c>
      <c r="C11" s="192" t="inlineStr">
        <is>
          <t>assets/art/weapons/weapon_3d/runtime/crocodile_cannon/wpn_crocodile_cannon_root_top3d_v001.tscn</t>
        </is>
      </c>
      <c r="D11" s="192" t="inlineStr">
        <is>
          <t>assets/art/weapons/weapon_3d/components/crocodile_cannon/wpn_crocodile_cannon_visual_top3d_v003.glb</t>
        </is>
      </c>
      <c r="E11" s="192" t="inlineStr">
        <is>
          <t>assets/art/weapons/weapon_3d/source/crocodile_cannon/wpn_crocodile_cannon_source_v003.blend</t>
        </is>
      </c>
      <c r="F11" s="192" t="inlineStr">
        <is>
          <t>武器3D表现Prefab；由武器系统装配</t>
        </is>
      </c>
      <c r="G11" s="192" t="inlineStr">
        <is>
          <t>src/player3d/WeaponModel3D.gd</t>
        </is>
      </c>
      <c r="H11" s="192" t="inlineStr">
        <is>
          <t>无</t>
        </is>
      </c>
      <c r="I11" s="192" t="inlineStr">
        <is>
          <t>无</t>
        </is>
      </c>
      <c r="J11" s="192" t="inlineStr">
        <is>
          <t>无</t>
        </is>
      </c>
      <c r="K11" s="192" t="inlineStr">
        <is>
          <t>握把原点；local -Z枪口；3材质；独立GLB/PackedScene</t>
        </is>
      </c>
      <c r="L11" s="192" t="inlineStr">
        <is>
          <t>-Z</t>
        </is>
      </c>
      <c r="M11" s="192" t="inlineStr">
        <is>
          <t>未来枪械池/独立资产</t>
        </is>
      </c>
      <c r="N11" s="192" t="inlineStr">
        <is>
          <t>正式美术已入库/待玩法映射</t>
        </is>
      </c>
      <c r="O11" s="192" t="inlineStr">
        <is>
          <t>v001</t>
        </is>
      </c>
      <c r="P11" s="193" t="inlineStr">
        <is>
          <t>根节点=鳄鱼加农炮(Node3D)</t>
        </is>
      </c>
    </row>
    <row r="12" ht="66" customHeight="1">
      <c r="A12" s="191" t="inlineStr">
        <is>
          <t>WPN-GUN-BP-SHOTGUN</t>
        </is>
      </c>
      <c r="B12" s="192" t="inlineStr">
        <is>
          <t>散射喷壶 / 双管炮造型</t>
        </is>
      </c>
      <c r="C12" s="192" t="inlineStr">
        <is>
          <t>assets/art/weapons/weapon_3d/runtime/double_barrel_cannon/wpn_double_barrel_cannon_root_top3d_v001.tscn</t>
        </is>
      </c>
      <c r="D12" s="192" t="inlineStr">
        <is>
          <t>assets/art/weapons/weapon_3d/components/double_barrel_cannon/wpn_double_barrel_cannon_visual_top3d_v003.glb</t>
        </is>
      </c>
      <c r="E12" s="192" t="inlineStr">
        <is>
          <t>assets/art/weapons/weapon_3d/source/double_barrel_cannon/wpn_double_barrel_cannon_source_v003.blend</t>
        </is>
      </c>
      <c r="F12" s="192" t="inlineStr">
        <is>
          <t>武器3D表现Prefab；由武器系统装配</t>
        </is>
      </c>
      <c r="G12" s="192" t="inlineStr">
        <is>
          <t>src/player3d/WeaponModel3D.gd</t>
        </is>
      </c>
      <c r="H12" s="192" t="inlineStr">
        <is>
          <t>无</t>
        </is>
      </c>
      <c r="I12" s="192" t="inlineStr">
        <is>
          <t>无</t>
        </is>
      </c>
      <c r="J12" s="192" t="inlineStr">
        <is>
          <t>无</t>
        </is>
      </c>
      <c r="K12" s="192" t="inlineStr">
        <is>
          <t>握把原点；local -Z枪口；3材质；独立GLB/PackedScene</t>
        </is>
      </c>
      <c r="L12" s="192" t="inlineStr">
        <is>
          <t>-Z</t>
        </is>
      </c>
      <c r="M12" s="192" t="inlineStr">
        <is>
          <t>手持/背负/地面/UI 共用独立PackedScene</t>
        </is>
      </c>
      <c r="N12" s="192" t="inlineStr">
        <is>
          <t>正式美术已接入</t>
        </is>
      </c>
      <c r="O12" s="192" t="inlineStr">
        <is>
          <t>v001</t>
        </is>
      </c>
      <c r="P12" s="193" t="inlineStr">
        <is>
          <t>根节点=双管炮(Node3D)</t>
        </is>
      </c>
    </row>
    <row r="13" ht="66" customHeight="1">
      <c r="A13" s="191" t="inlineStr">
        <is>
          <t>WPN-GUN-FUTURE-FAN-BLASTER-3D</t>
        </is>
      </c>
      <c r="B13" s="192" t="inlineStr">
        <is>
          <t>风扇爆能枪</t>
        </is>
      </c>
      <c r="C13" s="192" t="inlineStr">
        <is>
          <t>assets/art/weapons/weapon_3d/runtime/fan_blaster/wpn_fan_blaster_root_top3d_v001.tscn</t>
        </is>
      </c>
      <c r="D13" s="192" t="inlineStr">
        <is>
          <t>assets/art/weapons/weapon_3d/components/fan_blaster/wpn_fan_blaster_visual_top3d_v003.glb</t>
        </is>
      </c>
      <c r="E13" s="192" t="inlineStr">
        <is>
          <t>assets/art/weapons/weapon_3d/source/fan_blaster/wpn_fan_blaster_source_v003.blend</t>
        </is>
      </c>
      <c r="F13" s="192" t="inlineStr">
        <is>
          <t>武器3D表现Prefab；由武器系统装配</t>
        </is>
      </c>
      <c r="G13" s="192" t="inlineStr">
        <is>
          <t>src/player3d/WeaponModel3D.gd</t>
        </is>
      </c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握把原点；local -Z枪口；3材质；独立GLB/PackedScene</t>
        </is>
      </c>
      <c r="L13" s="192" t="inlineStr">
        <is>
          <t>-Z</t>
        </is>
      </c>
      <c r="M13" s="192" t="inlineStr">
        <is>
          <t>未来枪械池/独立资产</t>
        </is>
      </c>
      <c r="N13" s="192" t="inlineStr">
        <is>
          <t>正式美术已入库/待玩法映射</t>
        </is>
      </c>
      <c r="O13" s="192" t="inlineStr">
        <is>
          <t>v001</t>
        </is>
      </c>
      <c r="P13" s="193" t="inlineStr">
        <is>
          <t>根节点=风扇爆能枪(Node3D)</t>
        </is>
      </c>
    </row>
    <row r="14" ht="66" customHeight="1">
      <c r="A14" s="191" t="inlineStr">
        <is>
          <t>WPN-GUN-FUTURE-FRYING-PAN-CANNON-3D</t>
        </is>
      </c>
      <c r="B14" s="192" t="inlineStr">
        <is>
          <t>平底锅加农炮</t>
        </is>
      </c>
      <c r="C14" s="192" t="inlineStr">
        <is>
          <t>assets/art/weapons/weapon_3d/runtime/frying_pan_cannon/wpn_frying_pan_cannon_root_top3d_v001.tscn</t>
        </is>
      </c>
      <c r="D14" s="192" t="inlineStr">
        <is>
          <t>assets/art/weapons/weapon_3d/components/frying_pan_cannon/wpn_frying_pan_cannon_visual_top3d_v003.glb</t>
        </is>
      </c>
      <c r="E14" s="192" t="inlineStr">
        <is>
          <t>assets/art/weapons/weapon_3d/source/frying_pan_cannon/wpn_frying_pan_cannon_source_v003.blend</t>
        </is>
      </c>
      <c r="F14" s="192" t="inlineStr">
        <is>
          <t>武器3D表现Prefab；由武器系统装配</t>
        </is>
      </c>
      <c r="G14" s="192" t="inlineStr">
        <is>
          <t>src/player3d/WeaponModel3D.gd</t>
        </is>
      </c>
      <c r="H14" s="192" t="inlineStr">
        <is>
          <t>无</t>
        </is>
      </c>
      <c r="I14" s="192" t="inlineStr">
        <is>
          <t>无</t>
        </is>
      </c>
      <c r="J14" s="192" t="inlineStr">
        <is>
          <t>无</t>
        </is>
      </c>
      <c r="K14" s="192" t="inlineStr">
        <is>
          <t>握把原点；local -Z枪口；3材质；独立GLB/PackedScene</t>
        </is>
      </c>
      <c r="L14" s="192" t="inlineStr">
        <is>
          <t>-Z</t>
        </is>
      </c>
      <c r="M14" s="192" t="inlineStr">
        <is>
          <t>未来枪械池/独立资产</t>
        </is>
      </c>
      <c r="N14" s="192" t="inlineStr">
        <is>
          <t>正式美术已入库/待玩法映射</t>
        </is>
      </c>
      <c r="O14" s="192" t="inlineStr">
        <is>
          <t>v001</t>
        </is>
      </c>
      <c r="P14" s="193" t="inlineStr">
        <is>
          <t>根节点=平底锅加农炮(Node3D)</t>
        </is>
      </c>
    </row>
    <row r="15" ht="66" customHeight="1">
      <c r="A15" s="191" t="inlineStr">
        <is>
          <t>WPN-GUN-FUTURE-GUITAR-BLASTER-3D</t>
        </is>
      </c>
      <c r="B15" s="192" t="inlineStr">
        <is>
          <t>吉他爆能枪</t>
        </is>
      </c>
      <c r="C15" s="192" t="inlineStr">
        <is>
          <t>assets/art/weapons/weapon_3d/runtime/guitar_blaster/wpn_guitar_blaster_root_top3d_v001.tscn</t>
        </is>
      </c>
      <c r="D15" s="192" t="inlineStr">
        <is>
          <t>assets/art/weapons/weapon_3d/components/guitar_blaster/wpn_guitar_blaster_visual_top3d_v003.glb</t>
        </is>
      </c>
      <c r="E15" s="192" t="inlineStr">
        <is>
          <t>assets/art/weapons/weapon_3d/source/guitar_blaster/wpn_guitar_blaster_source_v003.blend</t>
        </is>
      </c>
      <c r="F15" s="192" t="inlineStr">
        <is>
          <t>武器3D表现Prefab；由武器系统装配</t>
        </is>
      </c>
      <c r="G15" s="192" t="inlineStr">
        <is>
          <t>src/player3d/WeaponModel3D.gd</t>
        </is>
      </c>
      <c r="H15" s="192" t="inlineStr">
        <is>
          <t>无</t>
        </is>
      </c>
      <c r="I15" s="192" t="inlineStr">
        <is>
          <t>无</t>
        </is>
      </c>
      <c r="J15" s="192" t="inlineStr">
        <is>
          <t>无</t>
        </is>
      </c>
      <c r="K15" s="192" t="inlineStr">
        <is>
          <t>握把原点；local -Z枪口；3材质；独立GLB/PackedScene</t>
        </is>
      </c>
      <c r="L15" s="192" t="inlineStr">
        <is>
          <t>-Z</t>
        </is>
      </c>
      <c r="M15" s="192" t="inlineStr">
        <is>
          <t>未来枪械池/独立资产</t>
        </is>
      </c>
      <c r="N15" s="192" t="inlineStr">
        <is>
          <t>正式美术已入库/待玩法映射</t>
        </is>
      </c>
      <c r="O15" s="192" t="inlineStr">
        <is>
          <t>v001</t>
        </is>
      </c>
      <c r="P15" s="193" t="inlineStr">
        <is>
          <t>根节点=吉他爆能枪(Node3D)</t>
        </is>
      </c>
    </row>
    <row r="16" ht="66" customHeight="1">
      <c r="A16" s="191" t="inlineStr">
        <is>
          <t>WPN-GUN-BP-CHARGE</t>
        </is>
      </c>
      <c r="B16" s="192" t="inlineStr">
        <is>
          <t>蓄力萝卜炮 / 口香糖机造型</t>
        </is>
      </c>
      <c r="C16" s="192" t="inlineStr">
        <is>
          <t>assets/art/weapons/weapon_3d/runtime/gumball_cannon/wpn_gumball_cannon_root_top3d_v001.tscn</t>
        </is>
      </c>
      <c r="D16" s="192" t="inlineStr">
        <is>
          <t>assets/art/weapons/weapon_3d/components/gumball_cannon/wpn_gumball_cannon_visual_top3d_v003.glb</t>
        </is>
      </c>
      <c r="E16" s="192" t="inlineStr">
        <is>
          <t>assets/art/weapons/weapon_3d/source/gumball_cannon/wpn_gumball_cannon_source_v003.blend</t>
        </is>
      </c>
      <c r="F16" s="192" t="inlineStr">
        <is>
          <t>武器3D表现Prefab；由武器系统装配</t>
        </is>
      </c>
      <c r="G16" s="192" t="inlineStr">
        <is>
          <t>src/player3d/WeaponModel3D.gd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握把原点；local -Z枪口；3材质；独立GLB/PackedScene</t>
        </is>
      </c>
      <c r="L16" s="192" t="inlineStr">
        <is>
          <t>-Z</t>
        </is>
      </c>
      <c r="M16" s="192" t="inlineStr">
        <is>
          <t>手持/背负/地面/UI 共用独立PackedScene</t>
        </is>
      </c>
      <c r="N16" s="192" t="inlineStr">
        <is>
          <t>正式美术已接入</t>
        </is>
      </c>
      <c r="O16" s="192" t="inlineStr">
        <is>
          <t>v001</t>
        </is>
      </c>
      <c r="P16" s="193" t="inlineStr">
        <is>
          <t>根节点=口香糖机加农炮(Node3D)</t>
        </is>
      </c>
    </row>
    <row r="17" ht="66" customHeight="1">
      <c r="A17" s="191" t="inlineStr">
        <is>
          <t>WPN-GUN-BP-PISTOL</t>
        </is>
      </c>
      <c r="B17" s="192" t="inlineStr">
        <is>
          <t>豌豆手枪 / 吹风机造型</t>
        </is>
      </c>
      <c r="C17" s="192" t="inlineStr">
        <is>
          <t>assets/art/weapons/weapon_3d/runtime/hair_dryer/wpn_hair_dryer_root_top3d_v001.tscn</t>
        </is>
      </c>
      <c r="D17" s="192" t="inlineStr">
        <is>
          <t>assets/art/weapons/weapon_3d/components/hair_dryer/wpn_hair_dryer_visual_top3d_v003.glb</t>
        </is>
      </c>
      <c r="E17" s="192" t="inlineStr">
        <is>
          <t>assets/art/weapons/weapon_3d/source/hair_dryer/wpn_hair_dryer_source_v003.blend</t>
        </is>
      </c>
      <c r="F17" s="192" t="inlineStr">
        <is>
          <t>武器3D表现Prefab；由武器系统装配</t>
        </is>
      </c>
      <c r="G17" s="192" t="inlineStr">
        <is>
          <t>src/combat3d/WeaponModel3D.gd</t>
        </is>
      </c>
      <c r="H17" s="192" t="inlineStr">
        <is>
          <t>无</t>
        </is>
      </c>
      <c r="I17" s="192" t="inlineStr">
        <is>
          <t>无</t>
        </is>
      </c>
      <c r="J17" s="192" t="inlineStr">
        <is>
          <t>无</t>
        </is>
      </c>
      <c r="K17" s="192" t="inlineStr">
        <is>
          <t>GripSocket根原点；可见握把中心校正到根；local -Z枪口；3材质；独立GLB/PackedScene</t>
        </is>
      </c>
      <c r="L17" s="192" t="inlineStr">
        <is>
          <t>-Z</t>
        </is>
      </c>
      <c r="M17" s="192" t="inlineStr">
        <is>
          <t>手持/背负/地面/UI 共用独立PackedScene</t>
        </is>
      </c>
      <c r="N17" s="192" t="inlineStr">
        <is>
          <t>正式美术已接入</t>
        </is>
      </c>
      <c r="O17" s="192" t="inlineStr">
        <is>
          <t>v001</t>
        </is>
      </c>
      <c r="P17" s="193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>
      <c r="A18" s="191" t="inlineStr">
        <is>
          <t>WPN-GUN-FUTURE-MEGAPHONE-CANNON-3D</t>
        </is>
      </c>
      <c r="B18" s="192" t="inlineStr">
        <is>
          <t>扩音器加农炮</t>
        </is>
      </c>
      <c r="C18" s="192" t="inlineStr">
        <is>
          <t>assets/art/weapons/weapon_3d/runtime/megaphone_cannon/wpn_megaphone_cannon_root_top3d_v001.tscn</t>
        </is>
      </c>
      <c r="D18" s="192" t="inlineStr">
        <is>
          <t>assets/art/weapons/weapon_3d/components/megaphone_cannon/wpn_megaphone_cannon_visual_top3d_v003.glb</t>
        </is>
      </c>
      <c r="E18" s="192" t="inlineStr">
        <is>
          <t>assets/art/weapons/weapon_3d/source/megaphone_cannon/wpn_megaphone_cannon_source_v003.blend</t>
        </is>
      </c>
      <c r="F18" s="192" t="inlineStr">
        <is>
          <t>武器3D表现Prefab；由武器系统装配</t>
        </is>
      </c>
      <c r="G18" s="192" t="inlineStr">
        <is>
          <t>src/player3d/WeaponModel3D.gd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握把原点；local -Z枪口；3材质；独立GLB/PackedScene</t>
        </is>
      </c>
      <c r="L18" s="192" t="inlineStr">
        <is>
          <t>-Z</t>
        </is>
      </c>
      <c r="M18" s="192" t="inlineStr">
        <is>
          <t>未来枪械池/独立资产</t>
        </is>
      </c>
      <c r="N18" s="192" t="inlineStr">
        <is>
          <t>正式美术已入库/待玩法映射</t>
        </is>
      </c>
      <c r="O18" s="192" t="inlineStr">
        <is>
          <t>v001</t>
        </is>
      </c>
      <c r="P18" s="193" t="inlineStr">
        <is>
          <t>根节点=扩音器加农炮(Node3D)</t>
        </is>
      </c>
    </row>
    <row r="19" ht="66" customHeight="1">
      <c r="A19" s="191" t="inlineStr">
        <is>
          <t>WPN-GUN-FUTURE-POPCORN-BLASTER-3D</t>
        </is>
      </c>
      <c r="B19" s="192" t="inlineStr">
        <is>
          <t>爆米花爆能枪</t>
        </is>
      </c>
      <c r="C19" s="192" t="inlineStr">
        <is>
          <t>assets/art/weapons/weapon_3d/runtime/popcorn_blaster/wpn_popcorn_blaster_root_top3d_v001.tscn</t>
        </is>
      </c>
      <c r="D19" s="192" t="inlineStr">
        <is>
          <t>assets/art/weapons/weapon_3d/components/popcorn_blaster/wpn_popcorn_blaster_visual_top3d_v003.glb</t>
        </is>
      </c>
      <c r="E19" s="192" t="inlineStr">
        <is>
          <t>assets/art/weapons/weapon_3d/source/popcorn_blaster/wpn_popcorn_blaster_source_v003.blend</t>
        </is>
      </c>
      <c r="F19" s="192" t="inlineStr">
        <is>
          <t>武器3D表现Prefab；由武器系统装配</t>
        </is>
      </c>
      <c r="G19" s="192" t="inlineStr">
        <is>
          <t>src/player3d/WeaponModel3D.gd</t>
        </is>
      </c>
      <c r="H19" s="192" t="inlineStr">
        <is>
          <t>无</t>
        </is>
      </c>
      <c r="I19" s="192" t="inlineStr">
        <is>
          <t>无</t>
        </is>
      </c>
      <c r="J19" s="192" t="inlineStr">
        <is>
          <t>无</t>
        </is>
      </c>
      <c r="K19" s="192" t="inlineStr">
        <is>
          <t>握把原点；local -Z枪口；3材质；独立GLB/PackedScene</t>
        </is>
      </c>
      <c r="L19" s="192" t="inlineStr">
        <is>
          <t>-Z</t>
        </is>
      </c>
      <c r="M19" s="192" t="inlineStr">
        <is>
          <t>未来枪械池/独立资产</t>
        </is>
      </c>
      <c r="N19" s="192" t="inlineStr">
        <is>
          <t>正式美术已入库/待玩法映射</t>
        </is>
      </c>
      <c r="O19" s="192" t="inlineStr">
        <is>
          <t>v001</t>
        </is>
      </c>
      <c r="P19" s="193" t="inlineStr">
        <is>
          <t>根节点=爆米花爆能枪(Node3D)</t>
        </is>
      </c>
    </row>
    <row r="20" ht="66" customHeight="1">
      <c r="A20" s="191" t="inlineStr">
        <is>
          <t>WPN-GUN-FUTURE-SCOPE-CANNON-3D</t>
        </is>
      </c>
      <c r="B20" s="192" t="inlineStr">
        <is>
          <t>瞄准镜加农炮</t>
        </is>
      </c>
      <c r="C20" s="192" t="inlineStr">
        <is>
          <t>assets/art/weapons/weapon_3d/runtime/scope_cannon/wpn_scope_cannon_root_top3d_v001.tscn</t>
        </is>
      </c>
      <c r="D20" s="192" t="inlineStr">
        <is>
          <t>assets/art/weapons/weapon_3d/components/scope_cannon/wpn_scope_cannon_visual_top3d_v003.glb</t>
        </is>
      </c>
      <c r="E20" s="192" t="inlineStr">
        <is>
          <t>assets/art/weapons/weapon_3d/source/scope_cannon/wpn_scope_cannon_source_v003.blend</t>
        </is>
      </c>
      <c r="F20" s="192" t="inlineStr">
        <is>
          <t>武器3D表现Prefab；由武器系统装配</t>
        </is>
      </c>
      <c r="G20" s="192" t="inlineStr">
        <is>
          <t>src/player3d/WeaponModel3D.gd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握把原点；local -Z枪口；3材质；独立GLB/PackedScene</t>
        </is>
      </c>
      <c r="L20" s="192" t="inlineStr">
        <is>
          <t>-Z</t>
        </is>
      </c>
      <c r="M20" s="192" t="inlineStr">
        <is>
          <t>未来枪械池/独立资产</t>
        </is>
      </c>
      <c r="N20" s="192" t="inlineStr">
        <is>
          <t>正式美术已入库/待玩法映射</t>
        </is>
      </c>
      <c r="O20" s="192" t="inlineStr">
        <is>
          <t>v001</t>
        </is>
      </c>
      <c r="P20" s="193" t="inlineStr">
        <is>
          <t>根节点=瞄准镜加农炮(Node3D)</t>
        </is>
      </c>
    </row>
    <row r="21" ht="66" customHeight="1">
      <c r="A21" s="191" t="inlineStr">
        <is>
          <t>WPN-GUN-FUTURE-SODA-STRAW-BLASTER-3D</t>
        </is>
      </c>
      <c r="B21" s="192" t="inlineStr">
        <is>
          <t>饮料管爆能枪</t>
        </is>
      </c>
      <c r="C21" s="192" t="inlineStr">
        <is>
          <t>assets/art/weapons/weapon_3d/runtime/soda_straw_blaster/wpn_soda_straw_blaster_root_top3d_v001.tscn</t>
        </is>
      </c>
      <c r="D21" s="192" t="inlineStr">
        <is>
          <t>assets/art/weapons/weapon_3d/components/soda_straw_blaster/wpn_soda_straw_blaster_visual_top3d_v003.glb</t>
        </is>
      </c>
      <c r="E21" s="192" t="inlineStr">
        <is>
          <t>assets/art/weapons/weapon_3d/source/soda_straw_blaster/wpn_soda_straw_blaster_source_v003.blend</t>
        </is>
      </c>
      <c r="F21" s="192" t="inlineStr">
        <is>
          <t>武器3D表现Prefab；由武器系统装配</t>
        </is>
      </c>
      <c r="G21" s="192" t="inlineStr">
        <is>
          <t>src/player3d/WeaponModel3D.gd</t>
        </is>
      </c>
      <c r="H21" s="192" t="inlineStr">
        <is>
          <t>无</t>
        </is>
      </c>
      <c r="I21" s="192" t="inlineStr">
        <is>
          <t>无</t>
        </is>
      </c>
      <c r="J21" s="192" t="inlineStr">
        <is>
          <t>无</t>
        </is>
      </c>
      <c r="K21" s="192" t="inlineStr">
        <is>
          <t>握把原点；local -Z枪口；3材质；独立GLB/PackedScene</t>
        </is>
      </c>
      <c r="L21" s="192" t="inlineStr">
        <is>
          <t>-Z</t>
        </is>
      </c>
      <c r="M21" s="192" t="inlineStr">
        <is>
          <t>未来枪械池/独立资产</t>
        </is>
      </c>
      <c r="N21" s="192" t="inlineStr">
        <is>
          <t>正式美术已入库/待玩法映射</t>
        </is>
      </c>
      <c r="O21" s="192" t="inlineStr">
        <is>
          <t>v001</t>
        </is>
      </c>
      <c r="P21" s="193" t="inlineStr">
        <is>
          <t>根节点=饮料管爆能枪(Node3D)</t>
        </is>
      </c>
    </row>
    <row r="22" ht="66" customHeight="1">
      <c r="A22" s="191" t="inlineStr">
        <is>
          <t>WPN-GUN-FUTURE-SPATULA-RIFLE-3D</t>
        </is>
      </c>
      <c r="B22" s="192" t="inlineStr">
        <is>
          <t>锅铲步枪</t>
        </is>
      </c>
      <c r="C22" s="192" t="inlineStr">
        <is>
          <t>assets/art/weapons/weapon_3d/runtime/spatula_rifle/wpn_spatula_rifle_root_top3d_v001.tscn</t>
        </is>
      </c>
      <c r="D22" s="192" t="inlineStr">
        <is>
          <t>assets/art/weapons/weapon_3d/components/spatula_rifle/wpn_spatula_rifle_visual_top3d_v003.glb</t>
        </is>
      </c>
      <c r="E22" s="192" t="inlineStr">
        <is>
          <t>assets/art/weapons/weapon_3d/source/spatula_rifle/wpn_spatula_rifle_source_v003.blend</t>
        </is>
      </c>
      <c r="F22" s="192" t="inlineStr">
        <is>
          <t>武器3D表现Prefab；由武器系统装配</t>
        </is>
      </c>
      <c r="G22" s="192" t="inlineStr">
        <is>
          <t>src/player3d/WeaponModel3D.gd</t>
        </is>
      </c>
      <c r="H22" s="192" t="inlineStr">
        <is>
          <t>无</t>
        </is>
      </c>
      <c r="I22" s="192" t="inlineStr">
        <is>
          <t>无</t>
        </is>
      </c>
      <c r="J22" s="192" t="inlineStr">
        <is>
          <t>无</t>
        </is>
      </c>
      <c r="K22" s="192" t="inlineStr">
        <is>
          <t>握把原点；local -Z枪口；3材质；独立GLB/PackedScene</t>
        </is>
      </c>
      <c r="L22" s="192" t="inlineStr">
        <is>
          <t>-Z</t>
        </is>
      </c>
      <c r="M22" s="192" t="inlineStr">
        <is>
          <t>未来枪械池/独立资产</t>
        </is>
      </c>
      <c r="N22" s="192" t="inlineStr">
        <is>
          <t>正式美术已入库/待玩法映射</t>
        </is>
      </c>
      <c r="O22" s="192" t="inlineStr">
        <is>
          <t>v001</t>
        </is>
      </c>
      <c r="P22" s="193" t="inlineStr">
        <is>
          <t>根节点=锅铲步枪(Node3D)</t>
        </is>
      </c>
    </row>
    <row r="23" ht="66" customHeight="1">
      <c r="A23" s="191" t="inlineStr">
        <is>
          <t>WPN-GUN-FUTURE-TISSUE-BOX-CANNON-3D</t>
        </is>
      </c>
      <c r="B23" s="192" t="inlineStr">
        <is>
          <t>纸巾盒加农炮</t>
        </is>
      </c>
      <c r="C23" s="192" t="inlineStr">
        <is>
          <t>assets/art/weapons/weapon_3d/runtime/tissue_box_cannon/wpn_tissue_box_cannon_root_top3d_v001.tscn</t>
        </is>
      </c>
      <c r="D23" s="192" t="inlineStr">
        <is>
          <t>assets/art/weapons/weapon_3d/components/tissue_box_cannon/wpn_tissue_box_cannon_visual_top3d_v003.glb</t>
        </is>
      </c>
      <c r="E23" s="192" t="inlineStr">
        <is>
          <t>assets/art/weapons/weapon_3d/source/tissue_box_cannon/wpn_tissue_box_cannon_source_v003.blend</t>
        </is>
      </c>
      <c r="F23" s="192" t="inlineStr">
        <is>
          <t>武器3D表现Prefab；由武器系统装配</t>
        </is>
      </c>
      <c r="G23" s="192" t="inlineStr">
        <is>
          <t>src/player3d/WeaponModel3D.gd</t>
        </is>
      </c>
      <c r="H23" s="192" t="inlineStr">
        <is>
          <t>无</t>
        </is>
      </c>
      <c r="I23" s="192" t="inlineStr">
        <is>
          <t>无</t>
        </is>
      </c>
      <c r="J23" s="192" t="inlineStr">
        <is>
          <t>无</t>
        </is>
      </c>
      <c r="K23" s="192" t="inlineStr">
        <is>
          <t>握把原点；local -Z枪口；3材质；独立GLB/PackedScene</t>
        </is>
      </c>
      <c r="L23" s="192" t="inlineStr">
        <is>
          <t>-Z</t>
        </is>
      </c>
      <c r="M23" s="192" t="inlineStr">
        <is>
          <t>未来枪械池/独立资产</t>
        </is>
      </c>
      <c r="N23" s="192" t="inlineStr">
        <is>
          <t>正式美术已入库/待玩法映射</t>
        </is>
      </c>
      <c r="O23" s="192" t="inlineStr">
        <is>
          <t>v001</t>
        </is>
      </c>
      <c r="P23" s="193" t="inlineStr">
        <is>
          <t>根节点=纸巾盒加农炮(Node3D)</t>
        </is>
      </c>
    </row>
    <row r="24" ht="66" customHeight="1">
      <c r="A24" s="191" t="inlineStr">
        <is>
          <t>WPN-GUN-BP-LAUNCHER</t>
        </is>
      </c>
      <c r="B24" s="192" t="inlineStr">
        <is>
          <t>反胃榴弹筒 / 烤面包机造型</t>
        </is>
      </c>
      <c r="C24" s="192" t="inlineStr">
        <is>
          <t>assets/art/weapons/weapon_3d/runtime/toaster_launcher/wpn_toaster_launcher_root_top3d_v001.tscn</t>
        </is>
      </c>
      <c r="D24" s="192" t="inlineStr">
        <is>
          <t>assets/art/weapons/weapon_3d/components/toaster_launcher/wpn_toaster_launcher_visual_top3d_v003.glb</t>
        </is>
      </c>
      <c r="E24" s="192" t="inlineStr">
        <is>
          <t>assets/art/weapons/weapon_3d/source/toaster_launcher/wpn_toaster_launcher_source_v003.blend</t>
        </is>
      </c>
      <c r="F24" s="192" t="inlineStr">
        <is>
          <t>武器3D表现Prefab；由武器系统装配</t>
        </is>
      </c>
      <c r="G24" s="192" t="inlineStr">
        <is>
          <t>src/player3d/WeaponModel3D.gd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握把原点；local -Z枪口；3材质；独立GLB/PackedScene</t>
        </is>
      </c>
      <c r="L24" s="192" t="inlineStr">
        <is>
          <t>-Z</t>
        </is>
      </c>
      <c r="M24" s="192" t="inlineStr">
        <is>
          <t>手持/背负/地面/UI 共用独立PackedScene</t>
        </is>
      </c>
      <c r="N24" s="192" t="inlineStr">
        <is>
          <t>正式美术已接入</t>
        </is>
      </c>
      <c r="O24" s="192" t="inlineStr">
        <is>
          <t>v001</t>
        </is>
      </c>
      <c r="P24" s="193" t="inlineStr">
        <is>
          <t>根节点=烤面包机发射器(Node3D)</t>
        </is>
      </c>
    </row>
    <row r="25" ht="66" customHeight="1">
      <c r="A25" s="191" t="inlineStr">
        <is>
          <t>WPN-GUN-BP-MACHINEGUN</t>
        </is>
      </c>
      <c r="B25" s="192" t="inlineStr">
        <is>
          <t>蜂窝机枪 / 水箱爆能枪造型</t>
        </is>
      </c>
      <c r="C25" s="192" t="inlineStr">
        <is>
          <t>assets/art/weapons/weapon_3d/runtime/water_tank_blaster/wpn_water_tank_blaster_root_top3d_v001.tscn</t>
        </is>
      </c>
      <c r="D25" s="192" t="inlineStr">
        <is>
          <t>assets/art/weapons/weapon_3d/components/water_tank_blaster/wpn_water_tank_blaster_visual_top3d_v003.glb</t>
        </is>
      </c>
      <c r="E25" s="192" t="inlineStr">
        <is>
          <t>assets/art/weapons/weapon_3d/source/water_tank_blaster/wpn_water_tank_blaster_source_v003.blend</t>
        </is>
      </c>
      <c r="F25" s="192" t="inlineStr">
        <is>
          <t>武器3D表现Prefab；由武器系统装配</t>
        </is>
      </c>
      <c r="G25" s="192" t="inlineStr">
        <is>
          <t>src/player3d/WeaponModel3D.gd</t>
        </is>
      </c>
      <c r="H25" s="192" t="inlineStr">
        <is>
          <t>无</t>
        </is>
      </c>
      <c r="I25" s="192" t="inlineStr">
        <is>
          <t>无</t>
        </is>
      </c>
      <c r="J25" s="192" t="inlineStr">
        <is>
          <t>无</t>
        </is>
      </c>
      <c r="K25" s="192" t="inlineStr">
        <is>
          <t>握把原点；local -Z枪口；3材质；独立GLB/PackedScene</t>
        </is>
      </c>
      <c r="L25" s="192" t="inlineStr">
        <is>
          <t>-Z</t>
        </is>
      </c>
      <c r="M25" s="192" t="inlineStr">
        <is>
          <t>手持/背负/地面/UI 共用独立PackedScene</t>
        </is>
      </c>
      <c r="N25" s="192" t="inlineStr">
        <is>
          <t>正式美术已接入</t>
        </is>
      </c>
      <c r="O25" s="192" t="inlineStr">
        <is>
          <t>v001</t>
        </is>
      </c>
      <c r="P25" s="193" t="inlineStr">
        <is>
          <t>根节点=水箱爆能枪(Node3D)</t>
        </is>
      </c>
    </row>
    <row r="26" ht="66" customHeight="1">
      <c r="A26" s="194" t="inlineStr">
        <is>
          <t>WPN-GUN-KIT-3D</t>
        </is>
      </c>
      <c r="B26" s="195" t="inlineStr">
        <is>
          <t>枪械3D通用模型套件</t>
        </is>
      </c>
      <c r="C26" s="195" t="inlineStr">
        <is>
          <t>assets/art/weapons/weapon_3d/wpn_gun_kit_root_top3d_v001.tscn</t>
        </is>
      </c>
      <c r="D26" s="195" t="str"/>
      <c r="E26" s="195" t="str"/>
      <c r="F26" s="195" t="inlineStr">
        <is>
          <t>武器3D表现Prefab；由武器系统装配</t>
        </is>
      </c>
      <c r="G26" s="195" t="inlineStr">
        <is>
          <t>src/combat3d/WeaponModel3D.gd</t>
        </is>
      </c>
      <c r="H26" s="195" t="inlineStr">
        <is>
          <t>无</t>
        </is>
      </c>
      <c r="I26" s="195" t="inlineStr">
        <is>
          <t>无</t>
        </is>
      </c>
      <c r="J26" s="195" t="inlineStr">
        <is>
          <t>无</t>
        </is>
      </c>
      <c r="K26" s="195" t="inlineStr">
        <is>
          <t>PackedScene/7枪配置模型</t>
        </is>
      </c>
      <c r="L26" s="195" t="inlineStr">
        <is>
          <t>未声明</t>
        </is>
      </c>
      <c r="M26" s="195" t="inlineStr">
        <is>
          <t>玩家/靶场/全部副本</t>
        </is>
      </c>
      <c r="N26" s="195" t="inlineStr">
        <is>
          <t>原型已接入</t>
        </is>
      </c>
      <c r="O26" s="195" t="inlineStr">
        <is>
          <t>v001</t>
        </is>
      </c>
      <c r="P26" s="196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物品 3D Prefab</t>
        </is>
      </c>
    </row>
    <row r="2" ht="34" customHeight="1">
      <c r="A2" s="250" t="inlineStr">
        <is>
          <t>拥有独立PackedScene的拾取物、消耗品、钥匙和掉落物；本次扫描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特效 3D Prefab</t>
        </is>
      </c>
    </row>
    <row r="2" ht="34" customHeight="1">
      <c r="A2" s="250" t="inlineStr">
        <is>
          <t>可独立实例化的3D战斗、环境和可见性特效；本次扫描 3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VFX-COMBAT-KIT-3D</t>
        </is>
      </c>
      <c r="B5" s="189" t="inlineStr">
        <is>
          <t>战斗反馈3D通用特效套件</t>
        </is>
      </c>
      <c r="C5" s="189" t="inlineStr">
        <is>
          <t>assets/art/vfx/combat_3d/vfx_combat_kit_root_top3d_v001.tscn</t>
        </is>
      </c>
      <c r="D5" s="189" t="str"/>
      <c r="E5" s="189" t="str"/>
      <c r="F5" s="189" t="inlineStr">
        <is>
          <t>可复用3D特效Prefab</t>
        </is>
      </c>
      <c r="G5" s="189" t="inlineStr">
        <is>
          <t>src/combat3d/CombatEffect3D.gd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PackedScene/参数化特效</t>
        </is>
      </c>
      <c r="L5" s="189" t="inlineStr">
        <is>
          <t>未声明</t>
        </is>
      </c>
      <c r="M5" s="189" t="inlineStr">
        <is>
          <t>枪械/近战/敌人/关卡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根节点=CombatEffect3D(Node3D)</t>
        </is>
      </c>
    </row>
    <row r="6" ht="66" customHeight="1">
      <c r="A6" s="191" t="inlineStr">
        <is>
          <t>VFX-HAZARD-FIELD-3D</t>
        </is>
      </c>
      <c r="B6" s="192" t="inlineStr">
        <is>
          <t>房间危险场3D特效</t>
        </is>
      </c>
      <c r="C6" s="192" t="inlineStr">
        <is>
          <t>assets/art/vfx/environment_3d/vfx_hazard_field_root_top3d_v001.tscn</t>
        </is>
      </c>
      <c r="D6" s="192" t="str"/>
      <c r="E6" s="192" t="str"/>
      <c r="F6" s="192" t="inlineStr">
        <is>
          <t>可复用3D特效Prefab</t>
        </is>
      </c>
      <c r="G6" s="192" t="inlineStr">
        <is>
          <t>src/world3d/HazardField3D.gd</t>
        </is>
      </c>
      <c r="H6" s="192" t="inlineStr">
        <is>
          <t>开</t>
        </is>
      </c>
      <c r="I6" s="192" t="inlineStr">
        <is>
          <t>Prefab自身</t>
        </is>
      </c>
      <c r="J6" s="192" t="inlineStr">
        <is>
          <t>脚本生成</t>
        </is>
      </c>
      <c r="K6" s="192" t="inlineStr">
        <is>
          <t>PackedScene/程序环形特效</t>
        </is>
      </c>
      <c r="L6" s="192" t="inlineStr">
        <is>
          <t>未声明</t>
        </is>
      </c>
      <c r="M6" s="192" t="inlineStr">
        <is>
          <t>陷阱房</t>
        </is>
      </c>
      <c r="N6" s="192" t="inlineStr">
        <is>
          <t>原型已接入</t>
        </is>
      </c>
      <c r="O6" s="192" t="inlineStr">
        <is>
          <t>v001</t>
        </is>
      </c>
      <c r="P6" s="193" t="inlineStr">
        <is>
          <t>根节点=HazardField3D(Area3D)</t>
        </is>
      </c>
    </row>
    <row r="7" ht="66" customHeight="1">
      <c r="A7" s="194" t="inlineStr">
        <is>
          <t>VFX-PLAYER-FLASHLIGHT-3D</t>
        </is>
      </c>
      <c r="B7" s="195" t="inlineStr">
        <is>
          <t>玩家真实探照灯组件3D</t>
        </is>
      </c>
      <c r="C7" s="195" t="inlineStr">
        <is>
          <t>assets/art/vfx/visibility_3d/vfx_player_flashlight_root_top3d_v001.tscn</t>
        </is>
      </c>
      <c r="D7" s="195" t="str"/>
      <c r="E7" s="195" t="str"/>
      <c r="F7" s="195" t="inlineStr">
        <is>
          <t>可复用3D特效Prefab</t>
        </is>
      </c>
      <c r="G7" s="195" t="inlineStr">
        <is>
          <t>src/player3d/PlayerFlashlight3D.gd</t>
        </is>
      </c>
      <c r="H7" s="195" t="inlineStr">
        <is>
          <t>无</t>
        </is>
      </c>
      <c r="I7" s="195" t="inlineStr">
        <is>
          <t>无</t>
        </is>
      </c>
      <c r="J7" s="195" t="inlineStr">
        <is>
          <t>无</t>
        </is>
      </c>
      <c r="K7" s="195" t="inlineStr">
        <is>
          <t>PackedScene/2 SpotLight3D+1 OmniLight3D</t>
        </is>
      </c>
      <c r="L7" s="195" t="inlineStr">
        <is>
          <t>未声明</t>
        </is>
      </c>
      <c r="M7" s="195" t="inlineStr">
        <is>
          <t>3D行动区/靶场/基地</t>
        </is>
      </c>
      <c r="N7" s="195" t="inlineStr">
        <is>
          <t>原型已接入</t>
        </is>
      </c>
      <c r="O7" s="195" t="inlineStr">
        <is>
          <t>v001</t>
        </is>
      </c>
      <c r="P7" s="196" t="inlineStr">
        <is>
          <t>根节点=PlayerFlashlight3D(Node3D)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其他 3D Prefab</t>
        </is>
      </c>
    </row>
    <row r="2" ht="34" customHeight="1">
      <c r="A2" s="250" t="inlineStr">
        <is>
          <t>无法归入以上分类的独立3D Prefab；本次扫描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4" customWidth="1" min="2" max="2"/>
    <col width="36" customWidth="1" min="3" max="3"/>
    <col width="58" customWidth="1" min="4" max="4"/>
    <col width="22" customWidth="1" min="5" max="5"/>
    <col width="34" customWidth="1" min="6" max="6"/>
    <col width="12" customWidth="1" min="7" max="7"/>
    <col width="16" customWidth="1" min="8" max="8"/>
    <col width="14" customWidth="1" min="9" max="9"/>
    <col width="38" customWidth="1" min="10" max="10"/>
  </cols>
  <sheetData>
    <row r="1" ht="28" customHeight="1">
      <c r="A1" s="335" t="inlineStr">
        <is>
          <t>ShellStorm2 · 资产制作与带入 Skill 清单</t>
        </is>
      </c>
    </row>
    <row r="2" ht="24" customHeight="1">
      <c r="A2" s="338" t="inlineStr">
        <is>
          <t>只登记实际使用或项目预备的Skill；项目草稿不等于已安装。</t>
        </is>
      </c>
    </row>
    <row r="4" ht="34" customHeight="1">
      <c r="A4" s="344" t="inlineStr">
        <is>
          <t>SkillID</t>
        </is>
      </c>
      <c r="B4" s="344" t="inlineStr">
        <is>
          <t>名称</t>
        </is>
      </c>
      <c r="C4" s="344" t="inlineStr">
        <is>
          <t>用途</t>
        </is>
      </c>
      <c r="D4" s="344" t="inlineStr">
        <is>
          <t>路径</t>
        </is>
      </c>
      <c r="E4" s="344" t="inlineStr">
        <is>
          <t>安装状态</t>
        </is>
      </c>
      <c r="F4" s="344" t="inlineStr">
        <is>
          <t>触发范围</t>
        </is>
      </c>
      <c r="G4" s="344" t="inlineStr">
        <is>
          <t>版本</t>
        </is>
      </c>
      <c r="H4" s="344" t="inlineStr">
        <is>
          <t>状态</t>
        </is>
      </c>
      <c r="I4" s="344" t="inlineStr">
        <is>
          <t>更新时间</t>
        </is>
      </c>
      <c r="J4" s="344" t="inlineStr">
        <is>
          <t>备注</t>
        </is>
      </c>
    </row>
    <row r="5" ht="56" customHeight="1">
      <c r="A5" s="345" t="inlineStr">
        <is>
          <t>SKILL-SHELLSTORM-ART-ASSETS</t>
        </is>
      </c>
      <c r="B5" s="345" t="inlineStr">
        <is>
          <t>ShellStorm2美术资产管理</t>
        </is>
      </c>
      <c r="C5" s="345" t="inlineStr">
        <is>
          <t>资产分类、命名、查重、登记与QA</t>
        </is>
      </c>
      <c r="D5" s="345" t="inlineStr">
        <is>
          <t>/Users/summercards/.codex/skills/shellstorm-art-assets/SKILL.md</t>
        </is>
      </c>
      <c r="E5" s="345" t="inlineStr">
        <is>
          <t>已安装</t>
        </is>
      </c>
      <c r="F5" s="345" t="inlineStr">
        <is>
          <t>ShellStorm2全类别美术资产</t>
        </is>
      </c>
      <c r="G5" s="345" t="inlineStr">
        <is>
          <t>current</t>
        </is>
      </c>
      <c r="H5" s="345" t="inlineStr">
        <is>
          <t>使用中</t>
        </is>
      </c>
      <c r="I5" s="346" t="n">
        <v>46254</v>
      </c>
      <c r="J5" s="345" t="inlineStr">
        <is>
          <t>项目资产总流程</t>
        </is>
      </c>
    </row>
    <row r="6" ht="56" customHeight="1">
      <c r="A6" s="345" t="inlineStr">
        <is>
          <t>SKILL-BLENDER-GAME-PROP</t>
        </is>
      </c>
      <c r="B6" s="345" t="inlineStr">
        <is>
          <t>Blender游戏资产制作规范</t>
        </is>
      </c>
      <c r="C6" s="345" t="inlineStr">
        <is>
          <t>单物件与模块化建筑制作/验收</t>
        </is>
      </c>
      <c r="D6" s="345" t="inlineStr">
        <is>
          <t>.codex/skills/blender-game-prop-standard/SKILL.md</t>
        </is>
      </c>
      <c r="E6" s="345" t="inlineStr">
        <is>
          <t>项目内已安装</t>
        </is>
      </c>
      <c r="F6" s="345" t="inlineStr">
        <is>
          <t>设施、道具、墙、楼板、楼梯、栏杆</t>
        </is>
      </c>
      <c r="G6" s="345" t="inlineStr">
        <is>
          <t>current</t>
        </is>
      </c>
      <c r="H6" s="345" t="inlineStr">
        <is>
          <t>本轮已迭代</t>
        </is>
      </c>
      <c r="I6" s="346" t="n">
        <v>46254</v>
      </c>
      <c r="J6" s="345" t="inlineStr">
        <is>
          <t>新增连接模块、高度、坡面、栏杆和投影规则</t>
        </is>
      </c>
    </row>
    <row r="7" ht="56" customHeight="1">
      <c r="A7" s="345" t="inlineStr">
        <is>
          <t>SKILL-GODOT-MODEL-IMPORT</t>
        </is>
      </c>
      <c r="B7" s="345" t="inlineStr">
        <is>
          <t>Godot模型资产导入规范</t>
        </is>
      </c>
      <c r="C7" s="345" t="inlineStr">
        <is>
          <t>GLB、PackedScene、引用替换、台账和验收</t>
        </is>
      </c>
      <c r="D7" s="345" t="inlineStr">
        <is>
          <t>.codex/skills/godot-model-asset-import-standard/SKILL.md</t>
        </is>
      </c>
      <c r="E7" s="345" t="inlineStr">
        <is>
          <t>项目内已安装</t>
        </is>
      </c>
      <c r="F7" s="345" t="inlineStr">
        <is>
          <t>所有3D模型导入与替换</t>
        </is>
      </c>
      <c r="G7" s="345" t="inlineStr">
        <is>
          <t>current</t>
        </is>
      </c>
      <c r="H7" s="345" t="inlineStr">
        <is>
          <t>本轮已迭代</t>
        </is>
      </c>
      <c r="I7" s="346" t="n">
        <v>46254</v>
      </c>
      <c r="J7" s="345" t="inlineStr">
        <is>
          <t>新增Prefab台账、结构碰撞和物理楼层规则</t>
        </is>
      </c>
    </row>
    <row r="8" ht="56" customHeight="1">
      <c r="A8" s="345" t="inlineStr">
        <is>
          <t>SKILL-PLAYER-AVATAR-DRAFT</t>
        </is>
      </c>
      <c r="B8" s="345" t="inlineStr">
        <is>
          <t>玩家角色资产制作与带入规范</t>
        </is>
      </c>
      <c r="C8" s="345" t="inlineStr">
        <is>
          <t>1.5米角色母版、槽位、挂点、换装与导入</t>
        </is>
      </c>
      <c r="D8" s="345" t="inlineStr">
        <is>
          <t>skills_drafts/player-avatar-asset-standard/SKILL.md</t>
        </is>
      </c>
      <c r="E8" s="345" t="inlineStr">
        <is>
          <t>未安装（项目草稿）</t>
        </is>
      </c>
      <c r="F8" s="345" t="inlineStr">
        <is>
          <t>玩家角色与配件</t>
        </is>
      </c>
      <c r="G8" s="345" t="inlineStr">
        <is>
          <t>v001</t>
        </is>
      </c>
      <c r="H8" s="345" t="inlineStr">
        <is>
          <t>预备完成</t>
        </is>
      </c>
      <c r="I8" s="346" t="n">
        <v>46254</v>
      </c>
      <c r="J8" s="345" t="inlineStr">
        <is>
          <t>等待用户未来明确授权后再安装</t>
        </is>
      </c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2026-08-27T14:55:00Z</dcterms:created>
  <dcterms:modified xmlns:dcterms="http://purl.org/dc/terms/" xmlns:xsi="http://www.w3.org/2001/XMLSchema-instance" xsi:type="dcterms:W3CDTF">2026-08-27T15:15:30Z</dcterms:modified>
</cp:coreProperties>
</file>