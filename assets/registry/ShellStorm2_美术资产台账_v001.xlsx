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cfbd85745d4d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fbb048e441f4596"/>
    <x:sheet xmlns:r="http://schemas.openxmlformats.org/officeDocument/2006/relationships" name="资产主表" sheetId="2" r:id="Ra3e1101e2eac4045"/>
    <x:sheet xmlns:r="http://schemas.openxmlformats.org/officeDocument/2006/relationships" name="角色组件" sheetId="3" r:id="R223e66e6fb724b88"/>
    <x:sheet xmlns:r="http://schemas.openxmlformats.org/officeDocument/2006/relationships" name="动画与状态" sheetId="4" r:id="R2486a64db6284474"/>
    <x:sheet xmlns:r="http://schemas.openxmlformats.org/officeDocument/2006/relationships" name="分类与编码" sheetId="5" r:id="Ra200e32d1a904c4e"/>
    <x:sheet xmlns:r="http://schemas.openxmlformats.org/officeDocument/2006/relationships" name="命名与查重" sheetId="6" r:id="Rfe4a095bea01414a"/>
    <x:sheet xmlns:r="http://schemas.openxmlformats.org/officeDocument/2006/relationships" name="原型角色" sheetId="7" r:id="R8b13e6d5bb8c450b"/>
    <x:sheet xmlns:r="http://schemas.openxmlformats.org/officeDocument/2006/relationships" name="版本记录" sheetId="8" r:id="Rdd4093ae2b4f40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fb6b67f01d42c6" /><Relationship Type="http://schemas.openxmlformats.org/officeDocument/2006/relationships/theme" Target="/xl/theme/theme1.xml" Id="Rf9f5e138fe8e4856" /><Relationship Type="http://schemas.openxmlformats.org/officeDocument/2006/relationships/sharedStrings" Target="/xl/sharedStrings.xml" Id="Rbcc112e251e448e9" /><Relationship Type="http://schemas.openxmlformats.org/officeDocument/2006/relationships/worksheet" Target="/xl/worksheets/sheet1.xml" Id="R5fbb048e441f4596" /><Relationship Type="http://schemas.openxmlformats.org/officeDocument/2006/relationships/worksheet" Target="/xl/worksheets/sheet2.xml" Id="Ra3e1101e2eac4045" /><Relationship Type="http://schemas.openxmlformats.org/officeDocument/2006/relationships/worksheet" Target="/xl/worksheets/sheet3.xml" Id="R223e66e6fb724b88" /><Relationship Type="http://schemas.openxmlformats.org/officeDocument/2006/relationships/worksheet" Target="/xl/worksheets/sheet4.xml" Id="R2486a64db6284474" /><Relationship Type="http://schemas.openxmlformats.org/officeDocument/2006/relationships/worksheet" Target="/xl/worksheets/sheet5.xml" Id="Ra200e32d1a904c4e" /><Relationship Type="http://schemas.openxmlformats.org/officeDocument/2006/relationships/worksheet" Target="/xl/worksheets/sheet6.xml" Id="Rfe4a095bea01414a" /><Relationship Type="http://schemas.openxmlformats.org/officeDocument/2006/relationships/worksheet" Target="/xl/worksheets/sheet7.xml" Id="R8b13e6d5bb8c450b" /><Relationship Type="http://schemas.openxmlformats.org/officeDocument/2006/relationships/worksheet" Target="/xl/worksheets/sheet8.xml" Id="Rdd4093ae2b4f4078" /><Relationship Type="http://schemas.microsoft.com/office/2017/10/relationships/person" Target="/xl/persons/person.xml" Id="Rbe7b0ee72d7e4e7b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c057befe3b4e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当前原型</x:v>
      </x:c>
      <x:c r="J5" s="44" t="str">
        <x:v>胶囊防护体 v001</x:v>
      </x:c>
    </x:row>
    <x:row r="6" ht="42" customHeight="1">
      <x:c r="A6" s="45" t="n">
        <x:f>COUNTA('资产主表'!$A$6:$A$200)</x:f>
        <x:v>107</x:v>
      </x:c>
      <x:c r="B6" s="43"/>
      <x:c r="C6" s="45" t="n">
        <x:f>COUNTIF('资产主表'!$K$6:$K$200,"已完成")+COUNTIF('资产主表'!$K$6:$K$200,"原型已接入")</x:f>
        <x:v>7</x:v>
      </x:c>
      <x:c r="D6" s="43"/>
      <x:c r="E6" s="45" t="n">
        <x:f>COUNTIF('资产主表'!$K$6:$K$200,"待制作")+COUNTIF('资产主表'!$K$6:$K$200,"程序占位")</x:f>
        <x:v>99</x:v>
      </x:c>
      <x:c r="F6" s="43"/>
      <x:c r="G6" s="45" t="n">
        <x:f>COUNTIF('资产主表'!$S$6:$S$200,"重复")</x:f>
        <x:v>0</x:v>
      </x:c>
      <x:c r="H6" s="43"/>
      <x:c r="I6" s="46" t="str">
        <x:v>侧面 / 无腿 / 单手随向镜像 / 独立红围巾</x:v>
      </x:c>
      <x:c r="J6" s="46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COUNTIF('资产主表'!$C$6:$C$200,A10)</x:f>
        <x:v>7</x:v>
      </x:c>
      <x:c r="C10" s="50" t="n">
        <x:f>COUNTIFS('资产主表'!$C$6:$C$200,A10,'资产主表'!$K$6:$K$200,"已完成")+COUNTIFS('资产主表'!$C$6:$C$200,A10,'资产主表'!$K$6:$K$200,"原型已接入")</x:f>
        <x:v>6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7</x:v>
      </x:c>
      <x:c r="C11" s="52" t="n">
        <x:f>COUNTIFS('资产主表'!$C$6:$C$200,A11,'资产主表'!$K$6:$K$200,"已完成")+COUNTIFS('资产主表'!$C$6:$C$200,A11,'资产主表'!$K$6:$K$200,"原型已接入")</x:f>
        <x:v>0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21</x:v>
      </x:c>
      <x:c r="C12" s="52" t="n">
        <x:f>COUNTIFS('资产主表'!$C$6:$C$200,A12,'资产主表'!$K$6:$K$200,"已完成")+COUNTIFS('资产主表'!$C$6:$C$200,A12,'资产主表'!$K$6:$K$200,"原型已接入")</x:f>
        <x:v>0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0</x:v>
      </x:c>
      <x:c r="D13" s="43"/>
      <x:c r="E13" s="51" t="str">
        <x:v>4</x:v>
      </x:c>
      <x:c r="F13" s="52" t="str">
        <x:v>角色先拆 head/body/hand/accessory；按设计决定是否需要第二只手</x:v>
      </x:c>
      <x:c r="G13" s="52" t="str">
        <x:v>枪械和 UI 也按挂点/组件拆分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18</x:v>
      </x:c>
      <x:c r="C14" s="52" t="n">
        <x:f>COUNTIFS('资产主表'!$C$6:$C$200,A14,'资产主表'!$K$6:$K$200,"已完成")+COUNTIFS('资产主表'!$C$6:$C$200,A14,'资产主表'!$K$6:$K$200,"原型已接入")</x:f>
        <x:v>0</x:v>
      </x:c>
      <x:c r="D14" s="43"/>
      <x:c r="E14" s="51" t="str">
        <x:v>5</x:v>
      </x:c>
      <x:c r="F14" s="52" t="str">
        <x:v>游戏内、状态矩阵、透明边缘三项验收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10</x:v>
      </x:c>
      <x:c r="C15" s="52" t="n">
        <x:f>COUNTIFS('资产主表'!$C$6:$C$200,A15,'资产主表'!$K$6:$K$200,"已完成")+COUNTIFS('资产主表'!$C$6:$C$200,A15,'资产主表'!$K$6:$K$200,"原型已接入")</x:f>
        <x:v>0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13</x:v>
      </x:c>
      <x:c r="C16" s="52" t="n">
        <x:f>COUNTIFS('资产主表'!$C$6:$C$200,A16,'资产主表'!$K$6:$K$200,"已完成")+COUNTIFS('资产主表'!$C$6:$C$200,A16,'资产主表'!$K$6:$K$200,"原型已接入")</x:f>
        <x:v>0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12</x:v>
      </x:c>
      <x:c r="C17" s="52" t="n">
        <x:f>COUNTIFS('资产主表'!$C$6:$C$200,A17,'资产主表'!$K$6:$K$200,"已完成")+COUNTIFS('资产主表'!$C$6:$C$200,A17,'资产主表'!$K$6:$K$200,"原型已接入")</x:f>
        <x:v>0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48" hidden="0" customWidth="1"/>
    <x:col min="16" max="16" width="38" hidden="0" customWidth="1"/>
    <x:col min="17" max="17" width="26" hidden="0" customWidth="1"/>
    <x:col min="18" max="18" width="42" hidden="0" customWidth="1"/>
    <x:col min="19" max="19" width="12" hidden="0" customWidth="1"/>
    <x:col min="20" max="20" width="34" hidden="0" customWidth="1"/>
    <x:col min="21" max="21" width="12" hidden="0" customWidth="1"/>
    <x:col min="22" max="22" width="13" hidden="0" customWidth="1"/>
    <x:col min="23" max="23" width="16" hidden="0" customWidth="1"/>
    <x:col min="24" max="24" width="44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IF(A6="","",IF(COUNTIF($R$6:$R$112,R6)&gt;1,"重复","唯一"))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IF(A7="","",IF(COUNTIF($R$6:$R$112,R7)&gt;1,"重复","唯一"))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IF(A8="","",IF(COUNTIF($R$6:$R$112,R8)&gt;1,"重复","唯一"))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IF(A9="","",IF(COUNTIF($R$6:$R$112,R9)&gt;1,"重复","唯一"))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IF(A10="","",IF(COUNTIF($R$6:$R$112,R10)&gt;1,"重复","唯一"))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IF(A11="","",IF(COUNTIF($R$6:$R$112,R11)&gt;1,"重复","唯一"))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IF(A12="","",IF(COUNTIF($R$6:$R$112,R12)&gt;1,"重复","唯一"))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IF(A13="","",IF(COUNTIF($R$6:$R$112,R13)&gt;1,"重复","唯一"))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IF(A14="","",IF(COUNTIF($R$6:$R$112,R14)&gt;1,"重复","唯一"))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IF(A15="","",IF(COUNTIF($R$6:$R$112,R15)&gt;1,"重复","唯一"))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IF(A16="","",IF(COUNTIF($R$6:$R$112,R16)&gt;1,"重复","唯一"))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IF(A17="","",IF(COUNTIF($R$6:$R$112,R17)&gt;1,"重复","唯一"))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IF(A18="","",IF(COUNTIF($R$6:$R$112,R18)&gt;1,"重复","唯一"))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IF(A19="","",IF(COUNTIF($R$6:$R$112,R19)&gt;1,"重复","唯一"))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IF(A20="","",IF(COUNTIF($R$6:$R$112,R20)&gt;1,"重复","唯一"))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IF(A21="","",IF(COUNTIF($R$6:$R$112,R21)&gt;1,"重复","唯一"))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IF(A22="","",IF(COUNTIF($R$6:$R$112,R22)&gt;1,"重复","唯一"))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IF(A23="","",IF(COUNTIF($R$6:$R$112,R23)&gt;1,"重复","唯一"))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IF(A24="","",IF(COUNTIF($R$6:$R$112,R24)&gt;1,"重复","唯一"))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IF(A25="","",IF(COUNTIF($R$6:$R$112,R25)&gt;1,"重复","唯一"))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IF(A26="","",IF(COUNTIF($R$6:$R$112,R26)&gt;1,"重复","唯一"))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IF(A27="","",IF(COUNTIF($R$6:$R$112,R27)&gt;1,"重复","唯一"))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IF(A28="","",IF(COUNTIF($R$6:$R$112,R28)&gt;1,"重复","唯一"))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IF(A29="","",IF(COUNTIF($R$6:$R$112,R29)&gt;1,"重复","唯一"))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IF(A30="","",IF(COUNTIF($R$6:$R$112,R30)&gt;1,"重复","唯一"))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IF(A31="","",IF(COUNTIF($R$6:$R$112,R31)&gt;1,"重复","唯一"))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IF(A32="","",IF(COUNTIF($R$6:$R$112,R32)&gt;1,"重复","唯一"))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IF(A33="","",IF(COUNTIF($R$6:$R$112,R33)&gt;1,"重复","唯一"))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IF(A34="","",IF(COUNTIF($R$6:$R$112,R34)&gt;1,"重复","唯一"))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IF(A35="","",IF(COUNTIF($R$6:$R$112,R35)&gt;1,"重复","唯一"))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IF(A36="","",IF(COUNTIF($R$6:$R$112,R36)&gt;1,"重复","唯一"))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IF(A37="","",IF(COUNTIF($R$6:$R$112,R37)&gt;1,"重复","唯一"))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IF(A38="","",IF(COUNTIF($R$6:$R$112,R38)&gt;1,"重复","唯一"))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IF(A39="","",IF(COUNTIF($R$6:$R$112,R39)&gt;1,"重复","唯一"))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IF(A40="","",IF(COUNTIF($R$6:$R$112,R40)&gt;1,"重复","唯一"))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IF(A41="","",IF(COUNTIF($R$6:$R$112,R41)&gt;1,"重复","唯一"))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IF(A42="","",IF(COUNTIF($R$6:$R$112,R42)&gt;1,"重复","唯一"))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IF(A43="","",IF(COUNTIF($R$6:$R$112,R43)&gt;1,"重复","唯一"))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IF(A44="","",IF(COUNTIF($R$6:$R$112,R44)&gt;1,"重复","唯一"))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IF(A45="","",IF(COUNTIF($R$6:$R$112,R45)&gt;1,"重复","唯一"))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IF(A46="","",IF(COUNTIF($R$6:$R$112,R46)&gt;1,"重复","唯一"))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IF(A47="","",IF(COUNTIF($R$6:$R$112,R47)&gt;1,"重复","唯一"))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IF(A48="","",IF(COUNTIF($R$6:$R$112,R48)&gt;1,"重复","唯一"))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世界拾取/UI 图标</x:v>
      </x:c>
      <x:c r="K49" s="37" t="str">
        <x:v>程序占位</x:v>
      </x:c>
      <x:c r="L49" s="37" t="str">
        <x:v>P1</x:v>
      </x:c>
      <x:c r="M49" s="37" t="str">
        <x:v>v001</x:v>
      </x:c>
      <x:c r="N49" s="37" t="str">
        <x:v>世界 24–40 px；UI 32 px</x:v>
      </x:c>
      <x:c r="O49" s="37" t="str"/>
      <x:c r="P49" s="37" t="str">
        <x:v>scenes/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IF(A49="","",IF(COUNTIF($R$6:$R$112,R49)&gt;1,"重复","唯一"))</x:f>
        <x:v>唯一</x:v>
      </x:c>
      <x:c r="T49" s="37" t="str"/>
      <x:c r="U49" s="37" t="str">
        <x:v>待分配</x:v>
      </x:c>
      <x:c r="V49" s="54" t="n">
        <x:v>46224</x:v>
      </x:c>
      <x:c r="W49" s="37" t="str">
        <x:v>原创/待确认</x:v>
      </x:c>
      <x:c r="X49" s="37" t="str"/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世界拾取/UI 图标</x:v>
      </x:c>
      <x:c r="K50" s="37" t="str">
        <x:v>程序占位</x:v>
      </x:c>
      <x:c r="L50" s="37" t="str">
        <x:v>P2</x:v>
      </x:c>
      <x:c r="M50" s="37" t="str">
        <x:v>v001</x:v>
      </x:c>
      <x:c r="N50" s="37" t="str">
        <x:v>世界 24–40 px；UI 32 px</x:v>
      </x:c>
      <x:c r="O50" s="37" t="str"/>
      <x:c r="P50" s="37" t="str">
        <x:v>scenes/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IF(A50="","",IF(COUNTIF($R$6:$R$112,R50)&gt;1,"重复","唯一"))</x:f>
        <x:v>唯一</x:v>
      </x:c>
      <x:c r="T50" s="37" t="str"/>
      <x:c r="U50" s="37" t="str">
        <x:v>待分配</x:v>
      </x:c>
      <x:c r="V50" s="54" t="n">
        <x:v>46224</x:v>
      </x:c>
      <x:c r="W50" s="37" t="str">
        <x:v>原创/待确认</x:v>
      </x:c>
      <x:c r="X50" s="37" t="str"/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IF(A51="","",IF(COUNTIF($R$6:$R$112,R51)&gt;1,"重复","唯一"))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IF(A52="","",IF(COUNTIF($R$6:$R$112,R52)&gt;1,"重复","唯一"))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IF(A53="","",IF(COUNTIF($R$6:$R$112,R53)&gt;1,"重复","唯一"))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IF(A54="","",IF(COUNTIF($R$6:$R$112,R54)&gt;1,"重复","唯一"))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IF(A55="","",IF(COUNTIF($R$6:$R$112,R55)&gt;1,"重复","唯一"))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IF(A56="","",IF(COUNTIF($R$6:$R$112,R56)&gt;1,"重复","唯一"))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IF(A57="","",IF(COUNTIF($R$6:$R$112,R57)&gt;1,"重复","唯一"))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IF(A58="","",IF(COUNTIF($R$6:$R$112,R58)&gt;1,"重复","唯一"))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IF(A59="","",IF(COUNTIF($R$6:$R$112,R59)&gt;1,"重复","唯一"))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IF(A60="","",IF(COUNTIF($R$6:$R$112,R60)&gt;1,"重复","唯一"))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IF(A61="","",IF(COUNTIF($R$6:$R$112,R61)&gt;1,"重复","唯一"))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IF(A62="","",IF(COUNTIF($R$6:$R$112,R62)&gt;1,"重复","唯一"))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IF(A63="","",IF(COUNTIF($R$6:$R$112,R63)&gt;1,"重复","唯一"))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IF(A64="","",IF(COUNTIF($R$6:$R$112,R64)&gt;1,"重复","唯一"))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IF(A65="","",IF(COUNTIF($R$6:$R$112,R65)&gt;1,"重复","唯一"))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IF(A66="","",IF(COUNTIF($R$6:$R$112,R66)&gt;1,"重复","唯一"))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IF(A67="","",IF(COUNTIF($R$6:$R$112,R67)&gt;1,"重复","唯一"))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IF(A68="","",IF(COUNTIF($R$6:$R$112,R68)&gt;1,"重复","唯一"))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IF(A69="","",IF(COUNTIF($R$6:$R$112,R69)&gt;1,"重复","唯一"))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IF(A70="","",IF(COUNTIF($R$6:$R$112,R70)&gt;1,"重复","唯一"))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IF(A71="","",IF(COUNTIF($R$6:$R$112,R71)&gt;1,"重复","唯一"))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IF(A72="","",IF(COUNTIF($R$6:$R$112,R72)&gt;1,"重复","唯一"))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IF(A73="","",IF(COUNTIF($R$6:$R$112,R73)&gt;1,"重复","唯一"))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IF(A74="","",IF(COUNTIF($R$6:$R$112,R74)&gt;1,"重复","唯一"))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IF(A75="","",IF(COUNTIF($R$6:$R$112,R75)&gt;1,"重复","唯一"))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IF(A76="","",IF(COUNTIF($R$6:$R$112,R76)&gt;1,"重复","唯一"))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IF(A77="","",IF(COUNTIF($R$6:$R$112,R77)&gt;1,"重复","唯一"))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IF(A78="","",IF(COUNTIF($R$6:$R$112,R78)&gt;1,"重复","唯一"))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IF(A79="","",IF(COUNTIF($R$6:$R$112,R79)&gt;1,"重复","唯一"))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程序占位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IF(A80="","",IF(COUNTIF($R$6:$R$112,R80)&gt;1,"重复","唯一"))</x:f>
        <x:v>唯一</x:v>
      </x:c>
      <x:c r="T80" s="37" t="str"/>
      <x:c r="U80" s="37" t="str">
        <x:v>待分配</x:v>
      </x:c>
      <x:c r="V80" s="54" t="n">
        <x:v>46224</x:v>
      </x:c>
      <x:c r="W80" s="37" t="str">
        <x:v>原创/待确认</x:v>
      </x:c>
      <x:c r="X80" s="37" t="str">
        <x:v>先建组件库，再做页面，避免每页重复画按钮/面板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IF(A81="","",IF(COUNTIF($R$6:$R$112,R81)&gt;1,"重复","唯一"))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IF(A82="","",IF(COUNTIF($R$6:$R$112,R82)&gt;1,"重复","唯一"))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IF(A83="","",IF(COUNTIF($R$6:$R$112,R83)&gt;1,"重复","唯一"))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IF(A84="","",IF(COUNTIF($R$6:$R$112,R84)&gt;1,"重复","唯一"))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IF(A85="","",IF(COUNTIF($R$6:$R$112,R85)&gt;1,"重复","唯一"))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IF(A86="","",IF(COUNTIF($R$6:$R$112,R86)&gt;1,"重复","唯一"))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IF(A87="","",IF(COUNTIF($R$6:$R$112,R87)&gt;1,"重复","唯一"))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IF(A88="","",IF(COUNTIF($R$6:$R$112,R88)&gt;1,"重复","唯一"))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IF(A89="","",IF(COUNTIF($R$6:$R$112,R89)&gt;1,"重复","唯一"))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IF(A90="","",IF(COUNTIF($R$6:$R$112,R90)&gt;1,"重复","唯一"))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IF(A91="","",IF(COUNTIF($R$6:$R$112,R91)&gt;1,"重复","唯一"))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IF(A92="","",IF(COUNTIF($R$6:$R$112,R92)&gt;1,"重复","唯一"))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IF(A93="","",IF(COUNTIF($R$6:$R$112,R93)&gt;1,"重复","唯一"))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IF(A94="","",IF(COUNTIF($R$6:$R$112,R94)&gt;1,"重复","唯一"))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IF(A95="","",IF(COUNTIF($R$6:$R$112,R95)&gt;1,"重复","唯一"))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IF(A96="","",IF(COUNTIF($R$6:$R$112,R96)&gt;1,"重复","唯一"))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程序占位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/>
      <x:c r="P97" s="37" t="str">
        <x:v>src/fx/HealthVignette.gd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IF(A97="","",IF(COUNTIF($R$6:$R$112,R97)&gt;1,"重复","唯一"))</x:f>
        <x:v>唯一</x:v>
      </x:c>
      <x:c r="T97" s="37" t="str"/>
      <x:c r="U97" s="37" t="str">
        <x:v>待分配</x:v>
      </x:c>
      <x:c r="V97" s="54" t="n">
        <x:v>46224</x:v>
      </x:c>
      <x:c r="W97" s="37" t="str">
        <x:v>原创/待确认</x:v>
      </x:c>
      <x:c r="X97" s="37" t="str">
        <x:v>颜色/尺寸作参数变体，禁止复制整套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IF(A98="","",IF(COUNTIF($R$6:$R$112,R98)&gt;1,"重复","唯一"))</x:f>
        <x:v>唯一</x:v>
      </x:c>
      <x:c r="T98" s="37" t="str"/>
      <x:c r="U98" s="37" t="str">
        <x:v>待分配</x:v>
      </x:c>
      <x:c r="V98" s="54" t="n">
        <x:v>46224</x:v>
      </x:c>
      <x:c r="W98" s="37" t="str">
        <x:v>原创/待确认</x:v>
      </x:c>
      <x:c r="X98" s="37" t="str">
        <x:v>颜色/尺寸作参数变体，禁止复制整套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IF(A99="","",IF(COUNTIF($R$6:$R$112,R99)&gt;1,"重复","唯一"))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IF(A100="","",IF(COUNTIF($R$6:$R$112,R100)&gt;1,"重复","唯一"))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IF(A101="","",IF(COUNTIF($R$6:$R$112,R101)&gt;1,"重复","唯一"))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IF(A102="","",IF(COUNTIF($R$6:$R$112,R102)&gt;1,"重复","唯一"))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IF(A103="","",IF(COUNTIF($R$6:$R$112,R103)&gt;1,"重复","唯一"))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IF(A104="","",IF(COUNTIF($R$6:$R$112,R104)&gt;1,"重复","唯一"))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IF(A105="","",IF(COUNTIF($R$6:$R$112,R105)&gt;1,"重复","唯一"))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IF(A106="","",IF(COUNTIF($R$6:$R$112,R106)&gt;1,"重复","唯一"))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IF(A107="","",IF(COUNTIF($R$6:$R$112,R107)&gt;1,"重复","唯一"))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IF(A108="","",IF(COUNTIF($R$6:$R$112,R108)&gt;1,"重复","唯一"))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IF(A109="","",IF(COUNTIF($R$6:$R$112,R109)&gt;1,"重复","唯一"))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IF(A110="","",IF(COUNTIF($R$6:$R$112,R110)&gt;1,"重复","唯一"))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IF(A111="","",IF(COUNTIF($R$6:$R$112,R111)&gt;1,"重复","唯一"))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IF(A112="","",IF(COUNTIF($R$6:$R$112,R112)&gt;1,"重复","唯一"))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c057befe3b4ed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15" hidden="0" customWidth="1"/>
    <x:col min="5" max="5" width="52" hidden="0" customWidth="1"/>
    <x:col min="6" max="6" width="14" hidden="0" customWidth="1"/>
    <x:col min="7" max="7" width="14" hidden="0" customWidth="1"/>
    <x:col min="8" max="8" width="19" hidden="0" customWidth="1"/>
    <x:col min="9" max="9" width="6" hidden="0" customWidth="1"/>
    <x:col min="10" max="10" width="30" hidden="0" customWidth="1"/>
    <x:col min="11" max="11" width="20" hidden="0" customWidth="1"/>
    <x:col min="12" max="12" width="8" hidden="0" customWidth="1"/>
    <x:col min="13" max="13" width="36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34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顶层六态互斥；Low HP / Silenced / Invincible 是可叠加层。首版用组件变换，新增逐帧图前先查本表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L（停用）</x:v>
      </x:c>
      <x:c r="I5" s="29" t="str">
        <x:v>Hand（握持）</x:v>
      </x:c>
      <x:c r="J5" s="29" t="str">
        <x:v>Scarf</x:v>
      </x:c>
      <x:c r="K5" s="29" t="str">
        <x:v>VFX/UI</x:v>
      </x:c>
      <x:c r="L5" s="30" t="str">
        <x:v>首版实现</x:v>
      </x:c>
    </x:row>
    <x:row r="6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低频呼吸</x:v>
      </x:c>
      <x:c r="G6" s="36" t="str">
        <x:v>轻微滞后</x:v>
      </x:c>
      <x:c r="H6" s="36" t="str">
        <x:v>不显示</x:v>
      </x:c>
      <x:c r="I6" s="36" t="str">
        <x:v>随身体左右镜像</x:v>
      </x:c>
      <x:c r="J6" s="36" t="str">
        <x:v>轻摆</x:v>
      </x:c>
      <x:c r="K6" s="36" t="str">
        <x:v>HUD 待命</x:v>
      </x:c>
      <x:c r="L6" s="36" t="str">
        <x:v>代码变换；单手离散镜像插槽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上下弹性</x:v>
      </x:c>
      <x:c r="G7" s="37" t="str">
        <x:v>随身滞后</x:v>
      </x:c>
      <x:c r="H7" s="37" t="str">
        <x:v>不显示</x:v>
      </x:c>
      <x:c r="I7" s="37" t="str">
        <x:v>随身体左右镜像</x:v>
      </x:c>
      <x:c r="J7" s="37" t="str">
        <x:v>移动滞后</x:v>
      </x:c>
      <x:c r="K7" s="37" t="str">
        <x:v>地面划痕</x:v>
      </x:c>
      <x:c r="L7" s="37" t="str">
        <x:v>代码变换；枪械独立连续瞄准</x:v>
      </x:c>
    </x:row>
    <x:row r="8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横向压缩</x:v>
      </x:c>
      <x:c r="G8" s="37" t="str">
        <x:v>随整体压缩</x:v>
      </x:c>
      <x:c r="H8" s="37" t="str">
        <x:v>不显示</x:v>
      </x:c>
      <x:c r="I8" s="37" t="str">
        <x:v>随身体左右镜像</x:v>
      </x:c>
      <x:c r="J8" s="37" t="str">
        <x:v>顺风</x:v>
      </x:c>
      <x:c r="K8" s="37" t="str">
        <x:v>青色尾迹</x:v>
      </x:c>
      <x:c r="L8" s="37" t="str">
        <x:v>代码变换 + 程序尾迹；局部距离不变</x:v>
      </x:c>
    </x:row>
    <x:row r="9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冲击压缩</x:v>
      </x:c>
      <x:c r="G9" s="37" t="str">
        <x:v>后仰</x:v>
      </x:c>
      <x:c r="H9" s="37" t="str">
        <x:v>不显示</x:v>
      </x:c>
      <x:c r="I9" s="37" t="str">
        <x:v>随身体左右镜像</x:v>
      </x:c>
      <x:c r="J9" s="37" t="str">
        <x:v>抖动</x:v>
      </x:c>
      <x:c r="K9" s="37" t="str">
        <x:v>红闪/屏闪</x:v>
      </x:c>
      <x:c r="L9" s="37" t="str">
        <x:v>0.14s 整体变换；握持关系不变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不显示</x:v>
      </x:c>
      <x:c r="I10" s="37" t="str">
        <x:v>随身体左右镜像</x:v>
      </x:c>
      <x:c r="J10" s="37" t="str">
        <x:v>低摆</x:v>
      </x:c>
      <x:c r="K10" s="37" t="str">
        <x:v>琥珀锁定环</x:v>
      </x:c>
      <x:c r="L10" s="37" t="str">
        <x:v>代码变换；握持关系不变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不显示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终态守卫 + 整体倾倒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不显示</x:v>
      </x:c>
      <x:c r="I12" s="37" t="str">
        <x:v>保持当前朝向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不显示</x:v>
      </x:c>
      <x:c r="I13" s="37" t="str">
        <x:v>保持当前朝向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不显示</x:v>
      </x:c>
      <x:c r="I14" s="37" t="str">
        <x:v>保持当前朝向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</x:sheetData>
  <x:mergeCells>
    <x:mergeCell ref="A1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chr_{role}_{name}{nn}_{component}_{view}_v{nnn}.png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enm_{archetype}_{name}{nn}_{part}_{view}_v{nnn}.png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wpn_{family}_{logic_id}_{view}_v{nnn}.png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env_{biome}_{set}_{piece}_v{nnn}.png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</x:v>
      </x:c>
      <x:c r="D11" s="37" t="str">
        <x:v>assets/art/props/</x:v>
      </x:c>
      <x:c r="E11" s="37" t="str">
        <x:v>prp_{set}_{logic_id}_{state}_v{nnn}.png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vfx_{system}_{effect}_{variant}_v{nnn}.png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角色组件契约/挂点</x:v>
      </x:c>
      <x:c r="D10" s="37" t="str">
        <x:v>独立透明 PNG；共同像素密度</x:v>
      </x:c>
      <x:c r="E10" s="37" t="str">
        <x:v>手臂并回 body；武器烘焙进手</x:v>
      </x:c>
      <x:c r="F10" s="37" t="str">
        <x:v>悬浮主手</x:v>
      </x:c>
      <x:c r="G10" s="37" t="str">
        <x:v>独立 hand_r + weapon_socket</x:v>
      </x:c>
      <x:c r="H10" s="37" t="str">
        <x:v>F/N/O</x:v>
      </x:c>
    </x:row>
    <x:row r="11">
      <x:c r="A11" s="37" t="n">
        <x:v>6</x:v>
      </x:c>
      <x:c r="B11" s="37" t="str">
        <x:v>验收</x:v>
      </x:c>
      <x:c r="C11" s="37" t="str">
        <x:v>透明边缘、比例、状态矩阵、游戏内截图</x:v>
      </x:c>
      <x:c r="D11" s="37" t="str">
        <x:v>最近邻清晰；六态无遮挡</x:v>
      </x:c>
      <x:c r="E11" s="37" t="str">
        <x:v>只看母版不进游戏</x:v>
      </x:c>
      <x:c r="F11" s="37" t="str">
        <x:v>capsule01 v001</x:v>
      </x:c>
      <x:c r="G11" s="37" t="str">
        <x:v>verify_player_pixel_art_flow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</x:sheetData>
  <x:mergeCells>
    <x:mergeCell ref="A1:N2"/>
    <x:mergeCell ref="A3:N3"/>
    <x:mergeCell ref="A13:H13"/>
    <x:mergeCell ref="A21:H21"/>
    <x:mergeCell ref="A23:H2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