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339afcb24640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caaab8bdaaa2428d"/>
    <x:sheet xmlns:r="http://schemas.openxmlformats.org/officeDocument/2006/relationships" name="资产主表" sheetId="2" r:id="Rc281819524a44e50"/>
    <x:sheet xmlns:r="http://schemas.openxmlformats.org/officeDocument/2006/relationships" name="角色组件" sheetId="3" r:id="Rd6466099b9344e9d"/>
    <x:sheet xmlns:r="http://schemas.openxmlformats.org/officeDocument/2006/relationships" name="动画与状态" sheetId="4" r:id="Rca9e7a8f8f724486"/>
    <x:sheet xmlns:r="http://schemas.openxmlformats.org/officeDocument/2006/relationships" name="分类与编码" sheetId="5" r:id="Rbe08f792abae40ab"/>
    <x:sheet xmlns:r="http://schemas.openxmlformats.org/officeDocument/2006/relationships" name="命名与查重" sheetId="6" r:id="Rd228f9c63d8147d0"/>
    <x:sheet xmlns:r="http://schemas.openxmlformats.org/officeDocument/2006/relationships" name="原型角色" sheetId="7" r:id="R21176932c385478e"/>
    <x:sheet xmlns:r="http://schemas.openxmlformats.org/officeDocument/2006/relationships" name="版本记录" sheetId="8" r:id="R5f70b6e6332a46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84a1cd02e14069" /><Relationship Type="http://schemas.openxmlformats.org/officeDocument/2006/relationships/theme" Target="/xl/theme/theme1.xml" Id="R16385035d58c4d7c" /><Relationship Type="http://schemas.openxmlformats.org/officeDocument/2006/relationships/sharedStrings" Target="/xl/sharedStrings.xml" Id="Rb3a0e8bea9b9445f" /><Relationship Type="http://schemas.openxmlformats.org/officeDocument/2006/relationships/worksheet" Target="/xl/worksheets/sheet1.xml" Id="Rcaaab8bdaaa2428d" /><Relationship Type="http://schemas.openxmlformats.org/officeDocument/2006/relationships/worksheet" Target="/xl/worksheets/sheet2.xml" Id="Rc281819524a44e50" /><Relationship Type="http://schemas.openxmlformats.org/officeDocument/2006/relationships/worksheet" Target="/xl/worksheets/sheet3.xml" Id="Rd6466099b9344e9d" /><Relationship Type="http://schemas.openxmlformats.org/officeDocument/2006/relationships/worksheet" Target="/xl/worksheets/sheet4.xml" Id="Rca9e7a8f8f724486" /><Relationship Type="http://schemas.openxmlformats.org/officeDocument/2006/relationships/worksheet" Target="/xl/worksheets/sheet5.xml" Id="Rbe08f792abae40ab" /><Relationship Type="http://schemas.openxmlformats.org/officeDocument/2006/relationships/worksheet" Target="/xl/worksheets/sheet6.xml" Id="Rd228f9c63d8147d0" /><Relationship Type="http://schemas.openxmlformats.org/officeDocument/2006/relationships/worksheet" Target="/xl/worksheets/sheet7.xml" Id="R21176932c385478e" /><Relationship Type="http://schemas.openxmlformats.org/officeDocument/2006/relationships/worksheet" Target="/xl/worksheets/sheet8.xml" Id="R5f70b6e6332a46e7" /><Relationship Type="http://schemas.microsoft.com/office/2017/10/relationships/person" Target="/xl/persons/person.xml" Id="R191b456259894045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993304e8f974d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先查重 → 归类 → 领取 AssetID → 制作组件 → 验收 → 登记哈希；本表是唯一资产台账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v>155</x:v>
      </x:c>
      <x:c r="B6" s="43"/>
      <x:c r="C6" s="45" t="n">
        <x:v>59</x:v>
      </x:c>
      <x:c r="D6" s="43"/>
      <x:c r="E6" s="45" t="n">
        <x:f>COUNTIF('资产主表'!$K$6:$K$200,"待制作")+COUNTIF('资产主表'!$K$6:$K$200,"程序占位")</x:f>
        <x:v>94</x:v>
      </x:c>
      <x:c r="F6" s="43"/>
      <x:c r="G6" s="45" t="n">
        <x:f>COUNTIF('资产主表'!$S$6:$S$200,"重复")</x:f>
        <x:v>0</x:v>
      </x:c>
      <x:c r="H6" s="43"/>
      <x:c r="I6" s="46" t="str">
        <x:v>PH33 方形猫：头/身/单手/脚四模块；双眼双耳；圆短尾</x:v>
      </x:c>
      <x:c r="J6" s="46" t="str">
        <x:v>基地 + 四主题副本 + 独立靶场 + 角色与遭遇预览场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v>28</x:v>
      </x:c>
      <x:c r="C10" s="50" t="n">
        <x:v>27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COUNTIF('资产主表'!$C$6:$C$200,A11)</x:f>
        <x:v>8</x:v>
      </x:c>
      <x:c r="C11" s="52" t="n">
        <x:f>COUNTIFS('资产主表'!$C$6:$C$200,A11,'资产主表'!$K$6:$K$200,"已完成")+COUNTIFS('资产主表'!$C$6:$C$200,A11,'资产主表'!$K$6:$K$200,"原型已接入")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COUNTIF('资产主表'!$C$6:$C$200,A12)</x:f>
        <x:v>22</x:v>
      </x:c>
      <x:c r="C12" s="52" t="n">
        <x:f>COUNTIFS('资产主表'!$C$6:$C$200,A12,'资产主表'!$K$6:$K$200,"已完成")+COUNTIFS('资产主表'!$C$6:$C$200,A12,'资产主表'!$K$6:$K$200,"原型已接入")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COUNTIF('资产主表'!$C$6:$C$200,A13)</x:f>
        <x:v>6</x:v>
      </x:c>
      <x:c r="C13" s="52" t="n">
        <x:f>COUNTIFS('资产主表'!$C$6:$C$200,A13,'资产主表'!$K$6:$K$200,"已完成")+COUNTIFS('资产主表'!$C$6:$C$200,A13,'资产主表'!$K$6:$K$200,"原型已接入")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COUNTIF('资产主表'!$C$6:$C$200,A14)</x:f>
        <x:v>35</x:v>
      </x:c>
      <x:c r="C14" s="52" t="n">
        <x:f>COUNTIFS('资产主表'!$C$6:$C$200,A14,'资产主表'!$K$6:$K$200,"已完成")+COUNTIFS('资产主表'!$C$6:$C$200,A14,'资产主表'!$K$6:$K$200,"原型已接入")</x:f>
        <x:v>14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COUNTIF('资产主表'!$C$6:$C$200,A15)</x:f>
        <x:v>18</x:v>
      </x:c>
      <x:c r="C15" s="52" t="n">
        <x:f>COUNTIFS('资产主表'!$C$6:$C$200,A15,'资产主表'!$K$6:$K$200,"已完成")+COUNTIFS('资产主表'!$C$6:$C$200,A15,'资产主表'!$K$6:$K$200,"原型已接入")</x:f>
        <x:v>5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COUNTIF('资产主表'!$C$6:$C$200,A16)</x:f>
        <x:v>16</x:v>
      </x:c>
      <x:c r="C16" s="52" t="n">
        <x:f>COUNTIFS('资产主表'!$C$6:$C$200,A16,'资产主表'!$K$6:$K$200,"已完成")+COUNTIFS('资产主表'!$C$6:$C$200,A16,'资产主表'!$K$6:$K$200,"原型已接入")</x:f>
        <x:v>4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COUNTIF('资产主表'!$C$6:$C$200,A17)</x:f>
        <x:v>16</x:v>
      </x:c>
      <x:c r="C17" s="52" t="n">
        <x:f>COUNTIFS('资产主表'!$C$6:$C$200,A17,'资产主表'!$K$6:$K$200,"已完成")+COUNTIFS('资产主表'!$C$6:$C$200,A17,'资产主表'!$K$6:$K$200,"原型已接入")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COUNTIF('资产主表'!$C$6:$C$200,A18)</x:f>
        <x:v>13</x:v>
      </x:c>
      <x:c r="C18" s="52" t="n">
        <x:f>COUNTIFS('资产主表'!$C$6:$C$200,A18,'资产主表'!$K$6:$K$200,"已完成")+COUNTIFS('资产主表'!$C$6:$C$200,A18,'资产主表'!$K$6:$K$200,"原型已接入")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PH49：主游戏HUD升级为深色半透明青色全息面板，危险/撤离信息使用琥珀与绿色分层；小地图以20Hz实时更新当前楼层，显示玩家位置与朝向、扫描扇区、脉冲环、透视网格、已发现房间/连线和楼层纵向索引。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0a15194d68ecc0490ecd3910d2e51901a006ec6ac28e093e2aba48c6f67fec64</x:v>
      </x:c>
      <x:c r="U113" s="70" t="str">
        <x:v>Codex</x:v>
      </x:c>
      <x:c r="V113" s="71" t="n">
        <x:v>46236</x:v>
      </x:c>
      <x:c r="W113" s="70" t="str">
        <x:v>原创程序几何</x:v>
      </x:c>
      <x:c r="X113" s="70" t="str">
        <x:v>玩家随身三灯通过 layer 1/2 隔离避免自身投影；角色网格恢复外部太阳光/室内灯投影，GI保持关闭；verify_tower_lighting_wall_combat_regressions.tscn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0a15194d68ecc0490ecd3910d2e51901a006ec6ac28e093e2aba48c6f67fec64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VisualRoot/Body：BoxMesh身躯、BellyPatch、圆形TailStub；PH33方形猫原型；verify_player3d_diy_flow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0a15194d68ecc0490ecd3910d2e51901a006ec6ac28e093e2aba48c6f67fec64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VisualRoot/Head：BoxMesh方头；Eyes双矩形眼；Ears双三角耳；PH33方形猫原型；verify_player3d_diy_flow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0a15194d68ecc0490ecd3910d2e51901a006ec6ac28e093e2aba48c6f67fec64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VisualRoot/Hand：单个BoxMesh悬浮握持手；全动作与weapon_socket同相；PH33方形猫原型；verify_player3d_diy_flow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0a15194d68ecc0490ecd3910d2e51901a006ec6ac28e093e2aba48c6f67fec64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VisualRoot/Scarf默认隐藏，仅为旧场景兼容；当前四主模块不计入scarf；PH33方形猫原型；verify_player3d_diy_flow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0a15194d68ecc0490ecd3910d2e51901a006ec6ac28e093e2aba48c6f67fec64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VisualRoot/WeaponSocket：(0.60,1.15,-0.42)，与唯一手固定相对向量；PH33方形猫原型；verify_player3d_diy_flow / gallery flow / 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</x:v>
      </x:c>
      <x:c r="K120" s="70" t="str">
        <x:v>已接入</x:v>
      </x:c>
      <x:c r="L120" s="70" t="str">
        <x:v>P0</x:v>
      </x:c>
      <x:c r="M120" s="70" t="str">
        <x:v>v001</x:v>
      </x:c>
      <x:c r="N120" s="70" t="str">
        <x:v>PackedScene/材质变体</x:v>
      </x:c>
      <x:c r="O120" s="70" t="str">
        <x:v>assets/art/props/base_world_3d/prp_base_facility_root_top3d_v001.tscn</x:v>
      </x:c>
      <x:c r="P120" s="70" t="str">
        <x:v>src/base3d/BaseFacility3D.gd</x:v>
      </x:c>
      <x:c r="Q120" s="70" t="str">
        <x:v>设施;交互;信标;3D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46233</x:v>
      </x:c>
      <x:c r="W120" s="70" t="str">
        <x:v>原创程序几何</x:v>
      </x:c>
      <x:c r="X120" s="70" t="str">
        <x:v>PH49：BaseFacility3D复用于五个独立电梯设施（99—95层各一处），设施挂在走廊设施层级而非房间内部，放置在基地房间墙边或楼层走廊边。电梯解锁、目标楼层和到达点从邻接的elevator_access房间读取。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PH49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46233</x:v>
      </x:c>
      <x:c r="W128" s="70" t="n">
        <x:v>46235</x:v>
      </x:c>
      <x:c r="X128" s="70" t="str">
        <x:v>PH50：房间灯统一覆盖环境layer1与角色layer2；普通房中央灯与基地四灯组各只保留一盏投影主灯，其余灯无阴影以控制预算。流送状态改为递归同步嵌套灯具，玩家与怪物均可在开灯房间产生投影。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46224</x:v>
      </x:c>
      <x:c r="W132" s="63" t="str">
        <x:v>原创程序几何</x:v>
      </x:c>
      <x:c r="X132" s="63" t="str">
        <x:v>锁定/同步/取消/完成四段生命周期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实际GPU窗口确认360°遮挡逻辑与96°定向表现；PH28三层玩家灯去除头顶溢光，角色正面柔光、增强中央灯与战斗轮廓通过验收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46233</x:v>
      </x:c>
      <x:c r="W143" s="70" t="str">
        <x:v>原创程序几何</x:v>
      </x:c>
      <x:c r="X143" s="70" t="str">
        <x:v>PH49：开关新增灯组控制，同一开关可统一切换多盏房间灯；基地四灯共用一个墙边开关并在快照中报告控制灯数量。单灯房继续兼容原接口。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n">
        <x:v>46235</x:v>
      </x:c>
      <x:c r="X144" t="str">
        <x:v>PH50：前向SpotLight仅命中环境layer1并保留环境/怪物投影；玩家、穿戴物与手持枪统一位于layer2且cast_shadow=OFF，不进入随身灯shadow map。layer2只接受无阴影正面补光；已通过真实渲染与自投影专项验收。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驱动；不改玩法。手/挂点内收并在移动、换弹、射击、蓄力、击飞中保持同相；verify_player3d_diy_flow PASS ｜ PH32灯光修正：角色专用层2；禁用投影/GI，仅接收AvatarFrontFill，不遮挡头壳传感器或探照灯 ｜ PH33：适配方形猫四模块与feet槽；双眼/双耳/圆短尾保持父组件归属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驱动；不改玩法。手/挂点内收并在移动、换弹、射击、蓄力、击飞中保持同相；verify_player3d_diy_flow PASS ｜ PH32灯光修正：角色专用层2；禁用投影/GI，仅接收AvatarFrontFill，不遮挡头壳传感器或探照灯 ｜ PH33：适配方形猫四模块与feet槽；双眼/双耳/圆短尾保持父组件归属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0a15194d68ecc0490ecd3910d2e51901a006ec6ac28e093e2aba48c6f67fec64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0a15194d68ecc0490ecd3910d2e51901a006ec6ac28e093e2aba48c6f67fec64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0a15194d68ecc0490ecd3910d2e51901a006ec6ac28e093e2aba48c6f67fec64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0a15194d68ecc0490ecd3910d2e51901a006ec6ac28e093e2aba48c6f67fec64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b88839fbe76eedddd48933ac1807867e7a4efbd683de36475215679d26e84998</x:v>
      </x:c>
      <x:c r="U156" s="70" t="str">
        <x:v>Codex</x:v>
      </x:c>
      <x:c r="V156" s="71" t="n">
        <x:v>46233</x:v>
      </x:c>
      <x:c r="W156" s="71" t="n">
        <x:v>46235</x:v>
      </x:c>
      <x:c r="X156" s="70" t="str">
        <x:v>PH50：bunny01主体、耳朵、手脚、DIY穿戴物与WeaponSocket下手持武器统一使用render layer2、GI关闭、cast_shadow=OFF；角色仍接收专用无阴影柔光，但不会在玩家随身灯前方产生放大自投影。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PH41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PH41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PH41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PH41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PH43：v006网格与AssetID不变；FootJointL除moving步态外新增falling收腿与landing压缩恢复职责，动作由PlayerAvatar3D程序变换驱动。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PH43：v006网格与AssetID不变；FootJointR除moving步态外新增falling收腿与landing压缩恢复职责，动作由PlayerAvatar3D程序变换驱动。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assets/art/environments/tower_descent_3d/source/sync_env_tower_descent_kit_top3d_v007.py; assets/art/environments/tower_descent_3d/source/validate_env_tower_descent_kit_top3d_v007.py; outputs/019fb2a5-6bc8-7d10-a214-90288a5f7e80/previews/env_tower_descent_v007_base99.png; outputs/019fb2a5-6bc8-7d10-a214-90288a5f7e80/previews/env_tower_descent_v007_floors98_95.png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46233</x:v>
      </x:c>
      <x:c r="W163" s="71" t="n">
        <x:v>46235</x:v>
      </x:c>
      <x:c r="X163" s="70" t="str">
        <x:v>PH50：250m整层与65m核心不变；99层30×30m基地、98—96层30×25m/6×5房间和95层Boss区均以5m格线边界生成。门墙组件、RoomDoor3D与走廊端点按两端真实门槽求交；楼梯只在上层楼板开15×30m模块洞，落地层保持完整覆盖。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46236</x:v>
      </x:c>
      <x:c r="W164" s="70" t="str">
        <x:v>程序生成Blender源集合</x:v>
      </x:c>
      <x:c r="X164" s="70" t="str">
        <x:v>塔楼地砖统一低金属0.08/高粗糙0.90，降低太阳与室内灯高光；A/B双色交替保留；verify_tower_lighting_wall_combat_regressions.tscn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46236</x:v>
      </x:c>
      <x:c r="W165" s="70" t="n">
        <x:v>46235</x:v>
      </x:c>
      <x:c r="X165" s="70" t="str">
        <x:v>实墙、门墙、L拐角统一0—9m高度；仅南面朝北墙标记摄像机交互；隐藏连接器不保留阻挡碰撞；verify_tower_lighting_wall_combat_regressions.tscn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PH44：继续复用同一5m围栏模块，按50×50网格环绕250×250m楼顶与整层边界，不新增大块整体网格；普通楼顶由统一太阳照明，楼梯口局部阴影不再靠提高全局环境亮度解决。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46233</x:v>
      </x:c>
      <x:c r="W167" s="70" t="n">
        <x:v>46235</x:v>
      </x:c>
      <x:c r="X167" s="70" t="str">
        <x:v>PH50：基地、楼顶和战斗房复用同一5m门墙模块与2.2×2.5m净开口；门位由墙段索引生成，触发体、门扇表现和碰撞共用同一目标边。94扇门完成配置、关闭阻挡、开启放行、文案、物理通行与楼顶→基地首次交互验收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env_tower_descent_kit_top3d_v006.blend; export_env_tower_stairwells_v001.py; TowerDescent3D.gd; 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46233</x:v>
      </x:c>
      <x:c r="W168" s="70" t="str">
        <x:v>用户手工Blender模型</x:v>
      </x:c>
      <x:c r="X168" s="70" t="str">
        <x:v>PH44：继续直接复用用户v006通用9m楼梯视觉与六块Walkable同形常驻碰撞；按5m世界矩形对齐250m整层中的四向楼梯洞口，可旋转通用。上下端门侧分别记录，避免楼梯开口朝向改变后沿用同一侧导致错位。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env_tower_descent_kit_top3d_v006.blend; export_env_tower_stairwells_v001.py; TowerDescent3D.gd; 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46233</x:v>
      </x:c>
      <x:c r="W169" s="70" t="str">
        <x:v>用户手工Blender模型</x:v>
      </x:c>
      <x:c r="X169" s="70" t="str">
        <x:v>PH44：继续复用用户v006楼顶特殊楼梯、加高墙体及常驻Walkable/EnclosureWall碰撞。楼顶纯黑问题确认为固定斜俯视镜头被门墙整段遮挡；现仅剖切遮挡角色的墙体渲染，并联动同方向5m墙段，物理碰撞、门和楼梯围护保持有效；天空反弹光降至1.25，仅补兼容渲染器缺少实时天空GI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93304e8f974db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可选；layer2，禁投影/GI；不得替代双眼节点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默认visible=false；不计入四主模块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PH43：v006真实1.5m分体网格与AssetID不变；玩法碰撞位于Player3D/VirtualCollisionCapsule（height=1.5m、radius=0.34m）。falling/landing复用既有Body/Head/Hands/Feet/EarSocket关节。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Blender原点：脚底中心；静态最低点Y=0；PH43复用同一v006网格增加下落与落地程序动作。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Blender原点：脚底中心；静态最低点Y=0；PH43复用同一v006网格增加下落与落地程序动作。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倾倒熄灭</x:v>
      </x:c>
      <x:c r="G13" s="101" t="str">
        <x:v>随整体倾倒</x:v>
      </x:c>
      <x:c r="H13" s="101" t="str">
        <x:v>随整体倾倒</x:v>
      </x:c>
      <x:c r="I13" s="101" t="str">
        <x:v>随整体倾倒</x:v>
      </x:c>
      <x:c r="J13" s="101" t="str">
        <x:v>停止</x:v>
      </x:c>
      <x:c r="K13" s="101" t="str">
        <x:v>HUD 终止</x:v>
      </x:c>
      <x:c r="L13" s="101" t="str">
        <x:v>整体倾倒；耳朵与肢体跟随关节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PH33 方形猫子组件 × 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1" hidden="0" customWidth="1"/>
    <x:col min="4" max="4" width="24" hidden="0" customWidth="1"/>
    <x:col min="5" max="5" width="54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首个角色原型 · 胶囊防护体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侧面朝右，可水平翻转；无腿、无人脸、无手臂；单手随身体朝向在 x=±19 镜像，枪械挂点在 x=±24 同步换边且枪械独立瞄准；红围巾为独立身份组件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动画方式</x:v>
      </x:c>
      <x:c r="H5" s="30" t="str">
        <x:v>验收</x:v>
      </x:c>
    </x:row>
    <x:row r="6">
      <x:c r="A6" s="36" t="str">
        <x:v>head</x:v>
      </x:c>
      <x:c r="B6" s="36" t="str">
        <x:v>CHR-PLY-CAPSULE01-HEAD-SIDE</x:v>
      </x:c>
      <x:c r="C6" s="36" t="str">
        <x:v>28×24</x:v>
      </x:c>
      <x:c r="D6" s="36" t="str">
        <x:v>头壳/单传感器</x:v>
      </x:c>
      <x:c r="E6" s="36" t="str">
        <x:v>assets/art/characters/player/chr_player_capsule01/components/chr_player_capsule01_head_side_v001.png</x:v>
      </x:c>
      <x:c r="F6" s="36" t="str">
        <x:v>6035db0c8d18</x:v>
      </x:c>
      <x:c r="G6" s="36" t="str">
        <x:v>flip_h + 滞后</x:v>
      </x:c>
      <x:c r="H6" s="36" t="str">
        <x:v>通过</x:v>
      </x:c>
    </x:row>
    <x:row r="7">
      <x:c r="A7" s="37" t="str">
        <x:v>body</x:v>
      </x:c>
      <x:c r="B7" s="37" t="str">
        <x:v>CHR-PLY-CAPSULE01-BODY-SIDE</x:v>
      </x:c>
      <x:c r="C7" s="37" t="str">
        <x:v>32×35</x:v>
      </x:c>
      <x:c r="D7" s="37" t="str">
        <x:v>胶囊防护服躯干</x:v>
      </x:c>
      <x:c r="E7" s="37" t="str">
        <x:v>assets/art/characters/player/chr_player_capsule01/components/chr_player_capsule01_body_side_v001.png</x:v>
      </x:c>
      <x:c r="F7" s="37" t="str">
        <x:v>653190cbcd99</x:v>
      </x:c>
      <x:c r="G7" s="37" t="str">
        <x:v>呼吸/压缩/倾倒</x:v>
      </x:c>
      <x:c r="H7" s="37" t="str">
        <x:v>通过</x:v>
      </x:c>
    </x:row>
    <x:row r="8">
      <x:c r="A8" s="37" t="str">
        <x:v>hand_l_source</x:v>
      </x:c>
      <x:c r="B8" s="37" t="str">
        <x:v>CHR-PLY-CAPSULE01-HAND-L-SIDE</x:v>
      </x:c>
      <x:c r="C8" s="37" t="str">
        <x:v>22×21</x:v>
      </x:c>
      <x:c r="D8" s="37" t="str">
        <x:v>停用的副手源</x:v>
      </x:c>
      <x:c r="E8" s="37" t="str">
        <x:v>assets/art/characters/player/chr_player_capsule01/components/chr_player_capsule01_hand_l_side_v001.png</x:v>
      </x:c>
      <x:c r="F8" s="37" t="str">
        <x:v>6270855f57a2</x:v>
      </x:c>
      <x:c r="G8" s="37" t="str">
        <x:v>不进运行时</x:v>
      </x:c>
      <x:c r="H8" s="37" t="str">
        <x:v>停用</x:v>
      </x:c>
    </x:row>
    <x:row r="9">
      <x:c r="A9" s="37" t="str">
        <x:v>hand</x:v>
      </x:c>
      <x:c r="B9" s="37" t="str">
        <x:v>CHR-PLY-CAPSULE01-HAND-R-SIDE</x:v>
      </x:c>
      <x:c r="C9" s="37" t="str">
        <x:v>22×17</x:v>
      </x:c>
      <x:c r="D9" s="37" t="str">
        <x:v>唯一镜像握持手</x:v>
      </x:c>
      <x:c r="E9" s="37" t="str">
        <x:v>assets/art/characters/player/chr_player_capsule01/components/chr_player_capsule01_hand_r_side_v001.png</x:v>
      </x:c>
      <x:c r="F9" s="37" t="str">
        <x:v>69c2529cbd27</x:v>
      </x:c>
      <x:c r="G9" s="37" t="str">
        <x:v>随身体左右镜像；不随准星连续旋转</x:v>
      </x:c>
      <x:c r="H9" s="37" t="str">
        <x:v>通过</x:v>
      </x:c>
    </x:row>
    <x:row r="10">
      <x:c r="A10" s="37" t="str">
        <x:v>scarf</x:v>
      </x:c>
      <x:c r="B10" s="37" t="str">
        <x:v>CHR-PLY-CAPSULE01-SCARF-SIDE</x:v>
      </x:c>
      <x:c r="C10" s="37" t="str">
        <x:v>26×14</x:v>
      </x:c>
      <x:c r="D10" s="37" t="str">
        <x:v>红色身份配件</x:v>
      </x:c>
      <x:c r="E10" s="37" t="str">
        <x:v>assets/art/characters/player/chr_player_capsule01/components/chr_player_capsule01_scarf_side_v001.png</x:v>
      </x:c>
      <x:c r="F10" s="37" t="str">
        <x:v>d3a7b1bb5e2a</x:v>
      </x:c>
      <x:c r="G10" s="37" t="str">
        <x:v>轻摆/翻转</x:v>
      </x:c>
      <x:c r="H10" s="37" t="str">
        <x:v>通过</x:v>
      </x:c>
    </x:row>
    <x:row r="13">
      <x:c r="A13" s="57" t="str">
        <x:v>六态游戏内验收预览（Idle / Moving / Dashing / Hurt / Locked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DEAD</x:v>
      </x:c>
    </x:row>
    <x:row r="16">
      <x:c r="A16" s="36" t="str">
        <x:v>待命</x:v>
      </x:c>
      <x:c r="B16" s="36" t="str">
        <x:v>机动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生命终止</x:v>
      </x:c>
    </x:row>
    <x:row r="17">
      <x:c r="A17" s="37" t="str">
        <x:v>低频呼吸</x:v>
      </x:c>
      <x:c r="B17" s="37" t="str">
        <x:v>上下弹性</x:v>
      </x:c>
      <x:c r="C17" s="37" t="str">
        <x:v>横向压缩</x:v>
      </x:c>
      <x:c r="D17" s="37" t="str">
        <x:v>冲击压缩</x:v>
      </x:c>
      <x:c r="E17" s="37" t="str">
        <x:v>降亮稳定</x:v>
      </x:c>
      <x:c r="F17" s="37" t="str">
        <x:v>倾倒熄灭</x:v>
      </x:c>
    </x:row>
    <x:row r="18">
      <x:c r="A18" s="37" t="str">
        <x:v>随向镜像</x:v>
      </x:c>
      <x:c r="B18" s="37" t="str">
        <x:v>随向镜像</x:v>
      </x:c>
      <x:c r="C18" s="37" t="str">
        <x:v>随向镜像</x:v>
      </x:c>
      <x:c r="D18" s="37" t="str">
        <x:v>随向镜像</x:v>
      </x:c>
      <x:c r="E18" s="37" t="str">
        <x:v>随向镜像</x:v>
      </x:c>
      <x:c r="F18" s="37" t="str">
        <x:v>随整体倾倒</x:v>
      </x:c>
    </x:row>
    <x:row r="19">
      <x:c r="A19" s="37" t="str">
        <x:v>无</x:v>
      </x:c>
      <x:c r="B19" s="37" t="str">
        <x:v>地面划痕</x:v>
      </x:c>
      <x:c r="C19" s="37" t="str">
        <x:v>青色尾迹</x:v>
      </x:c>
      <x:c r="D19" s="37" t="str">
        <x:v>红闪</x:v>
      </x:c>
      <x:c r="E19" s="37" t="str">
        <x:v>琥珀环</x:v>
      </x:c>
      <x:c r="F19" s="37" t="str">
        <x:v>终态守卫</x:v>
      </x:c>
    </x:row>
    <x:row r="21">
      <x:c r="A21" s="58" t="str">
        <x:v>预览图：assets/art/characters/player/chr_player_capsule01/chr_player_capsule01_states_preview_v001.png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验证命令：godot --path . verify_player_pixel_art_flow.tscn ｜ 结果：单手随身体镜像 / 枪械独立连续瞄准 PASS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weapon_socket 同相三阶段动作；头顶 billboard 读取真实 0→1 进度；verify_3d_reload_state_flow.tscn PASS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独立3D验收场：scenes/Player3DStateGallery.tscn ｜ 真正驱动 Player3D 六态、WeaponModel3D 换弹覆盖、Enemy3D/Boss 九态与 ThemedNPC3D；验证：verify_player3d_state_gallery_flow.tscn / verify_player3d_state_gallery_visual.tscn PASS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由 WeaponModel3D.shot_fired 启动；charging 读取真实蓄力；knockback 以命中方向驱动 hurt 冲量与弹性回正；唯一 Hand + weapon_socket 全程同相。验证：verify_player3d_state_gallery_flow.tscn PASS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8" ht="34" customHeight="1">
      <x:c r="A28" s="95" t="str">
        <x:v>DIY 组件：body/head/hand 三组外观变体 + hat/glasses 独立头部配件；真实入口 Player3D.set_avatar_customization()；握持点内收，移动/射击/击飞中 Hand + weapon_socket 同相。验证：verify_player3d_diy_flow.tscn PASS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PH33 方形猫：复用CHR-PLY-CAPSULE01-3D；Body/Head/Hand/Feet四主模块；Head含双矩形眼与双三角耳，Body含圆短尾；无嘴、无长尾、无第二手；moving双脚交替，手与weapon_socket全动作同相。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只记录影响规范、分类、ID 或批量资产状态的变更；单张资产更新在主表版本列追踪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v1.0</x:v>
      </x:c>
      <x:c r="B6" s="53" t="n">
        <x:v>46224</x:v>
      </x:c>
      <x:c r="C6" s="36" t="str">
        <x:v>首次建立</x:v>
      </x:c>
      <x:c r="D6" s="36" t="str">
        <x:v>全项目</x:v>
      </x:c>
      <x:c r="E6" s="36" t="str">
        <x:v>建立分类、查重、角色组件、状态映射；登记胶囊防护体 v001</x:v>
      </x:c>
      <x:c r="F6" s="36" t="str">
        <x:v>基线</x:v>
      </x:c>
      <x:c r="G6" s="36" t="str">
        <x:v>Codex</x:v>
      </x:c>
    </x:row>
    <x:row r="7">
      <x:c r="A7" t="str">
        <x:v>v1.1</x:v>
      </x:c>
      <x:c r="B7" s="62" t="n">
        <x:v>46224</x:v>
      </x:c>
      <x:c r="C7" t="str">
        <x:v>组件契约修正</x:v>
      </x:c>
      <x:c r="D7" t="str">
        <x:v>player_capsule01</x:v>
      </x:c>
      <x:c r="E7" t="str">
        <x:v>停用左手运行时表现；唯一握持手固定在 (23,0)，准星只驱动枪械旋转</x:v>
      </x:c>
      <x:c r="F7" t="str">
        <x:v>保留旧 AssetID/源文件</x:v>
      </x:c>
      <x:c r="G7" t="str">
        <x:v>Codex</x:v>
      </x:c>
    </x:row>
    <x:row r="8">
      <x:c r="A8" t="str">
        <x:v>v1.2</x:v>
      </x:c>
      <x:c r="B8" s="62" t="n">
        <x:v>46224</x:v>
      </x:c>
      <x:c r="C8" t="str">
        <x:v>朝向与挂点契约修正</x:v>
      </x:c>
      <x:c r="D8" t="str">
        <x:v>player_capsule01</x:v>
      </x:c>
      <x:c r="E8" t="str">
        <x:v>握持手改为随身体在 x=±19 镜像；枪械挂点同步 x=±24；垂直瞄准保持上次左右朝向</x:v>
      </x:c>
      <x:c r="F8" t="str">
        <x:v>不改纹理与 AssetID</x:v>
      </x:c>
      <x:c r="G8" t="str">
        <x:v>Codex</x:v>
      </x:c>
    </x:row>
    <x:row r="9" ht="48" customHeight="1">
      <x:c r="A9" s="63" t="str">
        <x:v>v1.3</x:v>
      </x:c>
      <x:c r="B9" s="64" t="n">
        <x:v>46224</x:v>
      </x:c>
      <x:c r="C9" s="63" t="str">
        <x:v>3D变体登记</x:v>
      </x:c>
      <x:c r="D9" s="63" t="str">
        <x:v>入口基地 / player_capsule01</x:v>
      </x:c>
      <x:c r="E9" s="63" t="str">
        <x:v>登记首张3D入口地图、设施/入口模块、3D角色root/body/head/hand/scarf/socket；六态ID与2D保持一致</x:v>
      </x:c>
      <x:c r="F9" s="63" t="str">
        <x:v>保留原2D资产与场景作为基线</x:v>
      </x:c>
      <x:c r="G9" s="63" t="str">
        <x:v>Codex</x:v>
      </x:c>
    </x:row>
    <x:row r="10" ht="58" customHeight="1">
      <x:c r="A10" s="63" t="str">
        <x:v>v1.4</x:v>
      </x:c>
      <x:c r="B10" s="64" t="n">
        <x:v>46224</x:v>
      </x:c>
      <x:c r="C10" s="63" t="str">
        <x:v>全游戏3D原型登记</x:v>
      </x:c>
      <x:c r="D10" s="63" t="str">
        <x:v>四主题副本 / 靶场 / 战斗 / 共用资产</x:v>
      </x:c>
      <x:c r="E10" s="63" t="str">
        <x:v>登记通用房间、4主题、灯具、三档家具与搜索、服务/撤离、枪械、七怪、战斗VFX、3D靶场和两张GPU验收预览</x:v>
      </x:c>
      <x:c r="F10" s="63" t="str">
        <x:v>复用原玩法ID与BlueprintRegistry；保留2D基线</x:v>
      </x:c>
      <x:c r="G10" s="63" t="str">
        <x:v>Codex</x:v>
      </x:c>
    </x:row>
    <x:row r="11" ht="58" customHeight="1">
      <x:c r="A11" s="63" t="str">
        <x:v>v1.5</x:v>
      </x:c>
      <x:c r="B11" s="64" t="n">
        <x:v>46225</x:v>
      </x:c>
      <x:c r="C11" s="63" t="str">
        <x:v>真实视野与3D输入验收登记</x:v>
      </x:c>
      <x:c r="D11" s="63" t="str">
        <x:v>3D视野 / 背包 / 暂停 / Enemy3D</x:v>
      </x:c>
      <x:c r="E11" s="63" t="str">
        <x:v>登记真实视野场、3D背包子变体和共用暂停UI；低血暗角完成接入；Enemy3D状态表由七态修正为九态</x:v>
      </x:c>
      <x:c r="F11" s="63" t="str">
        <x:v>复用既有视野/背包/VFX根身份；新增暂停根；不改变2D资产ID</x:v>
      </x:c>
      <x:c r="G11" s="63" t="str">
        <x:v>Codex</x:v>
      </x:c>
    </x:row>
    <x:row r="12">
      <x:c r="A12" s="63" t="str">
        <x:v>v1.6</x:v>
      </x:c>
      <x:c r="B12" s="64" t="n">
        <x:v>46225</x:v>
      </x:c>
      <x:c r="C12" s="63" t="str">
        <x:v>暗室照明与战斗生态登记</x:v>
      </x:c>
      <x:c r="D12" s="63" t="str">
        <x:v>3D视野 / 房灯 / 怪物 / 枪械组合</x:v>
      </x:c>
      <x:c r="E12" s="63" t="str">
        <x:v>登记柔边视野与表现层探照灯、中央顶灯与墙面开关；七类怪碰撞随模型轮廓；枪械/子弹3D适配与开局副枪完成</x:v>
      </x:c>
      <x:c r="F12" s="63" t="str">
        <x:v>新增一个房灯开关根；其余复用既有根ID；玩法逻辑与表现解耦</x:v>
      </x:c>
      <x:c r="G12" s="63" t="str">
        <x:v>Codex</x:v>
      </x:c>
    </x:row>
    <x:row r="13" ht="60" customHeight="1">
      <x:c r="A13" s="70" t="str">
        <x:v>v1.7</x:v>
      </x:c>
      <x:c r="B13" s="71" t="n">
        <x:v>46225</x:v>
      </x:c>
      <x:c r="C13" s="70" t="str">
        <x:v>真实灯光与3D背包投影登记</x:v>
      </x:c>
      <x:c r="D13" s="70" t="str">
        <x:v>玩家探照灯 / 3D背包 / 世界道具模型</x:v>
      </x:c>
      <x:c r="E13" s="70" t="str">
        <x:v>登记独立真实探照灯和共用3D道具投影；视野不再持有灯光；实际槽位点击换枪纳入资产验收</x:v>
      </x:c>
      <x:c r="F13" s="70" t="str">
        <x:v>新增两个可复用子资产；不复制每个道具图标；玩法视野与灯光继续解耦</x:v>
      </x:c>
      <x:c r="G13" s="70" t="str">
        <x:v>Codex</x:v>
      </x:c>
    </x:row>
    <x:row r="14" ht="54" customHeight="1">
      <x:c r="A14" s="63" t="str">
        <x:v>v1.8</x:v>
      </x:c>
      <x:c r="B14" s="64" t="n">
        <x:v>46225</x:v>
      </x:c>
      <x:c r="C14" s="63" t="str">
        <x:v>360°逻辑视野契约修正</x:v>
      </x:c>
      <x:c r="D14" s="63" t="str">
        <x:v>VFX-VISIBILITY-FIELD-3D / PlayerVision3D</x:v>
      </x:c>
      <x:c r="E14" s="63" t="str">
        <x:v>目标显隐改为21m内360°物理遮挡；保留96°柔边目光场与探照灯表现。</x:v>
      </x:c>
      <x:c r="F14" s="63" t="str">
        <x:v>AssetID和路径不变；只更新玩法角度契约、诊断字段与验收。</x:v>
      </x:c>
      <x:c r="G14" s="63" t="str">
        <x:v>Codex</x:v>
      </x:c>
    </x:row>
    <x:row r="15" ht="72" customHeight="1">
      <x:c r="A15" s="70" t="str">
        <x:v>v1.9</x:v>
      </x:c>
      <x:c r="B15" s="71" t="n">
        <x:v>46225</x:v>
      </x:c>
      <x:c r="C15" s="70" t="str">
        <x:v>3D战斗生命、AI与反馈闭环</x:v>
      </x:c>
      <x:c r="D15" s="70" t="str">
        <x:v>Enemy3D / 玩家状态动画 / 三层灯组 / 钥匙与掉落</x:v>
      </x:c>
      <x:c r="E15" s="70" t="str">
        <x:v>修复AI视线与3D HP倍率；moving独立动画；环境/角色灯分层；中央灯增强；拾取上弹旋转；钥匙近距生成、查重与补发</x:v>
      </x:c>
      <x:c r="F15" s="70" t="str">
        <x:v>不新增AssetID或复制模型；更新既有根资产行为、哈希、状态职责与验收契约</x:v>
      </x:c>
      <x:c r="G15" s="70" t="str">
        <x:v>Codex</x:v>
      </x:c>
    </x:row>
    <x:row r="16" ht="72" customHeight="1">
      <x:c r="A16" s="63" t="str">
        <x:v>v1.10</x:v>
      </x:c>
      <x:c r="B16" s="64" t="n">
        <x:v>46225</x:v>
      </x:c>
      <x:c r="C16" s="63" t="str">
        <x:v>3D换弹覆盖状态登记</x:v>
      </x:c>
      <x:c r="D16" s="63" t="str">
        <x:v>CHR-PLY-CAPSULE01-3D / WPN-GUN-KIT-3D / 玩家状态机</x:v>
      </x:c>
      <x:c r="E16" s="63" t="str">
        <x:v>换弹成为可与移动并存的覆盖态；武器唯一计时驱动单手/枪同相动画和头顶billboard进度条；完成/补弹/换枪/死亡清理</x:v>
      </x:c>
      <x:c r="F16" s="63" t="str">
        <x:v>不新增AssetID；六态白名单与56组合不变；复用既有角色根和枪械套件</x:v>
      </x:c>
      <x:c r="G16" s="63" t="str">
        <x:v>Codex</x:v>
      </x:c>
    </x:row>
    <x:row r="17" ht="52" customHeight="1">
      <x:c r="A17" s="63" t="str">
        <x:v>v1.11</x:v>
      </x:c>
      <x:c r="B17" s="63" t="str">
        <x:v>2026-07-23</x:v>
      </x:c>
      <x:c r="C17" s="63" t="str">
        <x:v>3D动作覆盖层登记</x:v>
      </x:c>
      <x:c r="D17" s="63" t="str">
        <x:v>CHR-PLY-CAPSULE01-3D / WPN-GUN-KIT-3D</x:v>
      </x:c>
      <x:c r="E17" s="63" t="str">
        <x:v>登记 firing/charging/knockback：真实武器/命中来源、手与weapon_socket同相、击飞基础位移与弹性回正；预览场控件和自动验收补齐</x:v>
      </x:c>
      <x:c r="F17" s="63" t="str">
        <x:v>不新增AssetID或贴图；六态保持互斥，动作以既有组件程序组合</x:v>
      </x:c>
      <x:c r="G17" s="63" t="str">
        <x:v>Codex</x:v>
      </x:c>
    </x:row>
    <x:row r="18" ht="50" customHeight="1">
      <x:c r="A18" s="63" t="str">
        <x:v>v1.12</x:v>
      </x:c>
      <x:c r="B18" s="63" t="str">
        <x:v>2026-07-23</x:v>
      </x:c>
      <x:c r="C18" s="63" t="str">
        <x:v>3D角色DIY组件登记</x:v>
      </x:c>
      <x:c r="D18" s="63" t="str">
        <x:v>CHR-PLY-CAPSULE01-3D 及五个子变体</x:v>
      </x:c>
      <x:c r="E18" s="63" t="str">
        <x:v>登记 body/head/hand/hat/glasses 可装配变体、内收握持点、动态继承和预览/自动验收</x:v>
      </x:c>
      <x:c r="F18" s="63" t="str">
        <x:v>新增子AssetID；不增加角色根，不改玩法或六态</x:v>
      </x:c>
      <x:c r="G18" s="63" t="str">
        <x:v>Codex</x:v>
      </x:c>
    </x:row>
    <x:row r="19" ht="52" customHeight="1">
      <x:c r="A19" s="63" t="str">
        <x:v>v1.13</x:v>
      </x:c>
      <x:c r="B19" s="63" t="str">
        <x:v>2026-07-25</x:v>
      </x:c>
      <x:c r="C19" s="63" t="str">
        <x:v>方形猫3D角色原型登记</x:v>
      </x:c>
      <x:c r="D19" s="63" t="str">
        <x:v>CHR-PLY-CAPSULE01-3D及脚/眼/耳/短尾子资产</x:v>
      </x:c>
      <x:c r="E19" s="63" t="str">
        <x:v>复用玩家根；登记Body/Head/Hand/Feet四主模块、双矩形眼、双三角耳、圆短尾、feet DIY及交替脚步</x:v>
      </x:c>
      <x:c r="F19" s="63" t="str">
        <x:v>新增5个子AssetID；旧2D胶囊不变；3D旧Scarf隐藏兼容；玩法、碰撞、六态和灯光契约不变</x:v>
      </x:c>
      <x:c r="G19" s="63" t="str">
        <x:v>Codex</x:v>
      </x:c>
    </x:row>
    <x:row r="20" ht="90" customHeight="1">
      <x:c r="A20" s="63" t="str">
        <x:v>v1.14</x:v>
      </x:c>
      <x:c r="B20" s="63" t="str">
        <x:v>2026-07-29</x:v>
      </x:c>
      <x:c r="C20" s="63" t="str">
        <x:v>兔子武器姿势与虚拟碰撞契约</x:v>
      </x:c>
      <x:c r="D20" s="63" t="str">
        <x:v>CHR-PLY-CAPSULE01-3D-BUNNY01 / PlayerAvatar3D / Player3D</x:v>
      </x:c>
      <x:c r="E20" s="63" t="str">
        <x:v>登记圆环近端手腕轴心；手枪右侧单手、长枪右手握把+左手托举；hold/run/fire/reload/charge 武器姿势状态机；七枪差异后坐；模型零碰撞，根节点 1.80m 无耳虚拟盒</x:v>
      </x:c>
      <x:c r="F20" s="63" t="str">
        <x:v>不新增 AssetID、不复制 GLB、不改 v004 Blender 源网格；仅更新运行时姿势、碰撞职责与验收契约</x:v>
      </x:c>
      <x:c r="G20" s="63" t="str">
        <x:v>Codex</x:v>
      </x:c>
    </x:row>
    <x:row r="21" ht="86" customHeight="1">
      <x:c r="A21" s="63" t="str">
        <x:v>v1.15</x:v>
      </x:c>
      <x:c r="B21" s="63" t="str">
        <x:v>2026-07-29</x:v>
      </x:c>
      <x:c r="C21" s="63" t="str">
        <x:v>兔子站立待机动画登记</x:v>
      </x:c>
      <x:c r="D21" s="63" t="str">
        <x:v>CHR-PLY-CAPSULE01-3D-BUNNY01 / PlayerAvatar3D / Player3DIdleState</x:v>
      </x:c>
      <x:c r="E21" s="63" t="str">
        <x:v>复用既有六态 idle：登记约2.38s站立循环、呼吸挤压、重心换脚、头部滞后、双耳错相/偶发耳弹及持枪呼吸；移动时立即退出，停下后恢复</x:v>
      </x:c>
      <x:c r="F21" s="63" t="str">
        <x:v>不新增顶层状态、不新增 AssetID、不改 Blender/GLB；仅强化 v004 运行时组件动画与自动验收</x:v>
      </x:c>
      <x:c r="G21" s="63" t="str">
        <x:v>Codex</x:v>
      </x:c>
    </x:row>
    <x:row r="22" ht="72" customHeight="1">
      <x:c r="A22" s="63" t="str">
        <x:v>v1.16</x:v>
      </x:c>
      <x:c r="B22" s="64" t="n">
        <x:v>46232</x:v>
      </x:c>
      <x:c r="C22" s="63" t="str">
        <x:v>塔楼Blender三层堆叠版登记</x:v>
      </x:c>
      <x:c r="D22" s="63" t="str">
        <x:v>ENV-TOWER-DESCENT-KIT-3D</x:v>
      </x:c>
      <x:c r="E22" s="63" t="str">
        <x:v>将旧v001横向组件评审板保留为历史版本；登记独立v002三层真实堆叠文件，含楼板、外墙、室内隔墙、15扇门及西/东两段实际楼梯，并修复同名文件覆盖导致的评审图不一致。</x:v>
      </x:c>
      <x:c r="F22" s="63" t="str">
        <x:v>AssetID不变；只升级Blender评审源文件版本；确认前不导出GLB、不接入Godot。</x:v>
      </x:c>
      <x:c r="G22" s="63" t="str">
        <x:v>Codex</x:v>
      </x:c>
    </x:row>
    <x:row r="23" ht="78" customHeight="1">
      <x:c r="A23" s="63" t="str">
        <x:v>v1.17</x:v>
      </x:c>
      <x:c r="B23" s="64" t="n">
        <x:v>46233</x:v>
      </x:c>
      <x:c r="C23" s="63" t="str">
        <x:v>塔楼双楼梯与五倍边长地图登记</x:v>
      </x:c>
      <x:c r="D23" s="63" t="str">
        <x:v>ENV-TOWER-DESCENT-KIT-3D</x:v>
      </x:c>
      <x:c r="E23" s="63" t="str">
        <x:v>将用户手工v003保存为快照；登记v004特殊楼顶梯与通用旋转梯、02_STAIRWELLS集合层级、核心门口连接板、335.410m总占地、67.082m中央核心和空外围楼板。</x:v>
      </x:c>
      <x:c r="F23" s="63" t="str">
        <x:v>AssetID不变；v003可回退；只升级Blender评审源文件，确认前不导出GLB、不接入Godot。</x:v>
      </x:c>
      <x:c r="G23" s="63" t="str">
        <x:v>Codex</x:v>
      </x:c>
    </x:row>
    <x:row r="24" ht="100" customHeight="1">
      <x:c r="A24" s="63" t="str">
        <x:v>v1.18</x:v>
      </x:c>
      <x:c r="B24" s="64" t="n">
        <x:v>46233</x:v>
      </x:c>
      <x:c r="C24" s="63" t="str">
        <x:v>塔楼整层外壳五倍边长修正</x:v>
      </x:c>
      <x:c r="D24" s="63" t="str">
        <x:v>ENV-TOWER-DESCENT-KIT-3D</x:v>
      </x:c>
      <x:c r="E24" s="63" t="str">
        <x:v>登记v005：楼顶女儿墙、基地外墙、战斗层外墙全部移到335.410m总楼层边界；旧核心满高外墙取消，67.082m中央核心、楼梯、门、设施和内部隔墙保持原尺寸。</x:v>
      </x:c>
      <x:c r="F24" s="63" t="str">
        <x:v>AssetID不变；v004可回退；只修正Blender评审母版，确认前不导出GLB、不接入Godot。</x:v>
      </x:c>
      <x:c r="G24" s="63" t="str">
        <x:v>Codex</x:v>
      </x:c>
    </x:row>
    <x:row r="25" ht="115" customHeight="1">
      <x:c r="A25" s="63" t="str">
        <x:v>v1.19</x:v>
      </x:c>
      <x:c r="B25" s="64" t="n">
        <x:v>46233</x:v>
      </x:c>
      <x:c r="C25" s="63" t="str">
        <x:v>塔楼五米模块化楼层与墙体</x:v>
      </x:c>
      <x:c r="D25" s="63" t="str">
        <x:v>ENV-TOWER-DESCENT-KIT-3D; ENV-TOWER-FLOOR-TILE-5M; ENV-TOWER-WALL-SOLID-5M; ENV-TOWER-WALL-PARAPET-5M; ENV-TOWER-WALL-DOOR-5M</x:v>
      </x:c>
      <x:c r="E25" s="63" t="str">
        <x:v>登记v006：335m整层与65m基地/战斗核心全部对齐5m网格；地砖、满高墙、楼顶女儿墙、带门墙成为四个稳定子资产，基地完整围合，战斗内墙和门可独立拼装。</x:v>
      </x:c>
      <x:c r="F25" s="63" t="str">
        <x:v>v005用户内存状态另存快照；楼梯手调结构不重做。四个子资产当前仅为Blender程序占位，未导出GLB、未接入Godot。</x:v>
      </x:c>
      <x:c r="G25" s="63" t="str">
        <x:v>Codex</x:v>
      </x:c>
    </x:row>
    <x:row r="26" ht="118" customHeight="1">
      <x:c r="A26" s="70" t="str">
        <x:v>v1.20</x:v>
      </x:c>
      <x:c r="B26" s="71" t="n">
        <x:v>46233</x:v>
      </x:c>
      <x:c r="C26" s="70" t="str">
        <x:v>塔楼5m GLB与99—95层Godot首批关卡接入</x:v>
      </x:c>
      <x:c r="D26" s="70" t="str">
        <x:v>ENV-TOWER-DESCENT-KIT-3D及四个5m子资产</x:v>
      </x:c>
      <x:c r="E26" s="70" t="str">
        <x:v>四个Blender模块导出独立GLB并接入335m楼顶、99层基地、98—95层五房+电梯探索关卡；登记9m双跑楼梯、门后命运、Boss/撤离、城市日照、智能剖切与≤5层流送验收。</x:v>
      </x:c>
      <x:c r="F26" s="70" t="str">
        <x:v>AssetID与v006 Blender母版不变；子资产状态由程序占位升级为原型已接入；旧四主题Dungeon3D玩法继续共用。</x:v>
      </x:c>
      <x:c r="G26" s="70" t="str">
        <x:v>Codex</x:v>
      </x:c>
    </x:row>
    <x:row r="27" ht="118" customHeight="1">
      <x:c r="A27" s="70" t="str">
        <x:v>v1.21</x:v>
      </x:c>
      <x:c r="B27" s="71" t="n">
        <x:v>46233</x:v>
      </x:c>
      <x:c r="C27" s="70" t="str">
        <x:v>Blender楼梯直入与99—95层种子化关卡</x:v>
      </x:c>
      <x:c r="D27" s="70" t="str">
        <x:v>ENV-TOWER-DESCENT-KIT-3D; ENV-TOWER-STAIRWELL-GENERIC-9M; ENV-TOWER-STAIRWELL-ROOFTOP-9M</x:v>
      </x:c>
      <x:c r="E27" s="70" t="str">
        <x:v>两套用户手调楼梯从v006根节点直接导出GLB并接入Godot；登记前三段门禁差异、四类种子化房间模板、固定电梯、95层Boss、城市/室内光、智能遮挡与≤5层流送。</x:v>
      </x:c>
      <x:c r="F27" s="70" t="str">
        <x:v>新增两个楼梯子AssetID，不复制程序踏步；四个5m模块ID和母版ID不变；运行时碰撞/吸附与Blender视觉职责分离。</x:v>
      </x:c>
      <x:c r="G27" s="70" t="str">
        <x:v>Codex</x:v>
      </x:c>
    </x:row>
    <x:row r="28" ht="118" customHeight="1">
      <x:c r="A28" s="70" t="str">
        <x:v>v1.22</x:v>
      </x:c>
      <x:c r="B28" s="71" t="n">
        <x:v>46233</x:v>
      </x:c>
      <x:c r="C28" s="70" t="str">
        <x:v>bunny01完整视觉与碰撞统一为1米</x:v>
      </x:c>
      <x:c r="D28" s="70" t="str">
        <x:v>CHR-PLY-CAPSULE01-3D-BUNNY01及六个稳定组件AssetID</x:v>
      </x:c>
      <x:c r="E28" s="70" t="str">
        <x:v>从v004派生真实1m Blender v005与七个pivot-local GLB；Godot改用v005装配，碰撞体高1m，持枪视觉、挂点、可穿戴、VFX和全部米制动作平移同步缩放。</x:v>
      </x:c>
      <x:c r="F28" s="70" t="str">
        <x:v>不新增角色AssetID；v004保留回退。静态AABB、六态、武器姿势、碰撞、DIY、换弹、塔楼与性能验收通过。</x:v>
      </x:c>
      <x:c r="G28" s="70" t="str">
        <x:v>Codex</x:v>
      </x:c>
    </x:row>
    <x:row r="29" ht="84" hidden="0" customHeight="1">
      <x:c r="A29" s="70" t="str">
        <x:v>v1.23</x:v>
      </x:c>
      <x:c r="B29" s="71" t="n">
        <x:v>46233</x:v>
      </x:c>
      <x:c r="C29" s="70" t="str">
        <x:v>bunny01正式定版为1.5米</x:v>
      </x:c>
      <x:c r="D29" s="70" t="str">
        <x:v>CHR-PLY-CAPSULE01-3D-BUNNY01及六个稳定组件AssetID</x:v>
      </x:c>
      <x:c r="E29" s="70" t="str">
        <x:v>从一米v005等比烘焙真实1.5m Blender v006、七个pivot-local GLB与Godot v006装配；取消Avatar3D临时1.5倍缩放，碰撞、挂点、附件与米制动画固定为1.5m契约。</x:v>
      </x:c>
      <x:c r="F29" s="70" t="str">
        <x:v>不新增AssetID；v005保留回退。Blender/Godot AABB、武器姿势、碰撞、六态、DIY、换弹、塔楼楼梯和PH40镜头验收通过。</x:v>
      </x:c>
      <x:c r="G29" s="70" t="str">
        <x:v>Codex</x:v>
      </x:c>
    </x:row>
    <x:row r="30" ht="118" customHeight="1">
      <x:c r="A30" s="70" t="str">
        <x:v>v1.24</x:v>
      </x:c>
      <x:c r="B30" s="71" t="n">
        <x:v>46233</x:v>
      </x:c>
      <x:c r="C30" s="70" t="str">
        <x:v>PH43楼梯承重、下落落地与屋顶可读性</x:v>
      </x:c>
      <x:c r="D30" s="70" t="str">
        <x:v>Player3D / bunny01 v006 / 两套9m楼梯 / 楼顶洞口与镜头</x:v>
      </x:c>
      <x:c r="E30" s="70" t="str">
        <x:v>六态扩展为八态falling/landing；1.5m玩法碰撞改胶囊；楼梯取消Y吸附并合并连续三角承重面；掉落/钥匙向下找承重面；导入墙补同形碰撞；楼顶洞口收紧、8m镜头侧向避障并加物理天空反弹光；进入特殊楼梯围护体立即启用角色探照灯。</x:v>
      </x:c>
      <x:c r="F30" s="70" t="str">
        <x:v>不新增角色/楼梯AssetID、GLB或贴图；v006模型尺寸和单太阳参数不变；原战斗/命运/枪械/流送兼容。</x:v>
      </x:c>
      <x:c r="G30" s="70" t="str">
        <x:v>Codex</x:v>
      </x:c>
    </x:row>
    <x:row r="31" ht="118" customHeight="1">
      <x:c r="A31" s="70" t="str">
        <x:v>v1.25</x:v>
      </x:c>
      <x:c r="B31" s="71" t="n">
        <x:v>46233</x:v>
      </x:c>
      <x:c r="C31" s="70" t="str">
        <x:v>PH43楼梯Walkable根因修复与固定镜头</x:v>
      </x:c>
      <x:c r="D31" s="70" t="str">
        <x:v>Player3D / bunny01 v006 / 两套9m楼梯 / 楼顶洞口与镜头</x:v>
      </x:c>
      <x:c r="E31" s="70" t="str">
        <x:v>六态扩展为八态falling/landing；1.5m玩法碰撞改胶囊；楼梯取消Y吸附与程序路径承重面，直接采用v006每套六块*Walkable网格同形常驻碰撞；掉落/钥匙向下找承重面；EnclosureWall补围护碰撞；楼顶洞口收紧并加物理天空反弹光；镜头固定(0,8,5.5)、FOV 55°，每物理帧覆盖外部位移与旋转；进入特殊楼梯围护体立即启用角色探照灯。</x:v>
      </x:c>
      <x:c r="F31" s="70" t="str">
        <x:v>不新增角色/楼梯AssetID、GLB或贴图；v006模型尺寸和单太阳参数不变；原战斗/命运/枪械/流送兼容。</x:v>
      </x:c>
      <x:c r="G31" s="70" t="str">
        <x:v>Codex</x:v>
      </x:c>
    </x:row>
    <x:row r="32" ht="118" customHeight="1">
      <x:c r="A32" s="70" t="str">
        <x:v>v1.26</x:v>
      </x:c>
      <x:c r="B32" s="71" t="n">
        <x:v>46233</x:v>
      </x:c>
      <x:c r="C32" s="70" t="str">
        <x:v>PH44二百五十米塔楼与四乘四战斗层重构</x:v>
      </x:c>
      <x:c r="D32" s="70" t="str">
        <x:v>塔楼整层 / 5m地砖与墙体 / 两套9m楼梯 / 固定镜头局部剖切</x:v>
      </x:c>
      <x:c r="E32" s="70" t="str">
        <x:v>整层统一50×50格（250×250m、2500砖）；65×65m基地核心不变并偏移2.5m对齐；普通层12个45×45m房间，Boss层90×90m Boss区+9个普通房；实墙按方向MultiMesh批渲染并合并碰撞；上下楼梯分别记录两端门侧；固定8m镜头只剖切挡住角色的墙体渲染；楼顶天空反弹光降至1.25。</x:v>
      </x:c>
      <x:c r="F32" s="70" t="str">
        <x:v>不新增AssetID、GLB或贴图；v006楼梯与既有5m模块继续复用；碰撞、房门、命运卡、刷怪、流送和固定镜头角度保持兼容。完整探索节点数2783。</x:v>
      </x:c>
      <x:c r="G32" s="70" t="str">
        <x:v>Codex</x:v>
      </x:c>
    </x:row>
    <x:row r="33" ht="128" customHeight="1">
      <x:c r="A33" s="70" t="str">
        <x:v>v1.27</x:v>
      </x:c>
      <x:c r="B33" s="71" t="n">
        <x:v>46233</x:v>
      </x:c>
      <x:c r="C33" s="70" t="str">
        <x:v>PH49九十八至九十五层终局关卡与全局系统验收</x:v>
      </x:c>
      <x:c r="D33" s="70" t="str">
        <x:v>ENV-TOWER-DESCENT-KIT-3D; ENV-TOWER-WALL-DOOR-5M; ENV-DUNGEON-RUNTIME-3D; PRP-BASE-FACILITY-3D; PRP-WASTELAND-LIGHT-3D; PRP-ROOM-LIGHT-SWITCH-3D; UI-SCREEN-HUD; CHR-PLY-CAPSULE01-3D</x:v>
      </x:c>
      <x:c r="E33" s="70" t="str">
        <x:v>完成98—95层怪物、搜刮、随机房间/掉落与95层Boss撤离闭环；基地30×30m/6×6格；修正98层入口内外侧；电梯改为墙边独立设施；门统一2.2×2.5m；环境光改为全局固定；关闭会让墙体概率消失的相机材质淡出；基地四灯组和开关；实时3D全息小地图与游戏化HUD。</x:v>
      </x:c>
      <x:c r="F33" s="70" t="str">
        <x:v>Blender v007与Godot布局同步；导出门v002 GLB；三份仓库外角色Blender源归档进项目且不新增重复AssetID。主流程、全部楼层门、实际楼梯、灯光开关、随机种子、Boss撤离、相机遮挡和性能预算均有自动验收。</x:v>
      </x:c>
      <x:c r="G33" s="70" t="str">
        <x:v>Codex</x:v>
      </x:c>
    </x:row>
    <x:row r="34" ht="96" customHeight="1">
      <x:c r="A34" s="63" t="str">
        <x:v>v1.28</x:v>
      </x:c>
      <x:c r="B34" s="63" t="str">
        <x:v>2026-08-01</x:v>
      </x:c>
      <x:c r="C34" s="63" t="str">
        <x:v>PH50三十乘二十五房间、模块化基地墙与分层投影修复</x:v>
      </x:c>
      <x:c r="D34" s="63" t="str">
        <x:v>ENV-TOWER-DESCENT-KIT-3D; ENV-TOWER-WALL-SOLID-5M; ENV-TOWER-WALL-DOOR-5M; PRP-WASTELAND-LIGHT-3D; VFX-PLAYER-FLASHLIGHT-3D; ENV-DUNGEON-RUNTIME-3D</x:v>
      </x:c>
      <x:c r="E34" s="63" t="str">
        <x:v>98—96层普通房统一30×25m/6×5格并紧凑重排；基地删除整墙拉伸路径，改用独立5m墙、门墙和L拐角组件；墙段A/B材质交替；房间灯递归流送并让玩家/怪物投影；前向灯只照环境层，不对玩家自投影；普通行动区恢复初始1钥匙与唯一STANDARD信标。</x:v>
      </x:c>
      <x:c r="F34" s="63" t="str">
        <x:v>不新增AssetID、GLB或贴图；复用既有5m模块与两套墙材质。塔楼、94门物理通行、3D核心、四主题完整流程、房灯、视野输入、背包武器、换弹、撤离、运行安全和性能预算全部通过，并完成真实渲染复核。</x:v>
      </x:c>
      <x:c r="G34" s="63" t="str">
        <x:v>Codex</x:v>
      </x:c>
    </x:row>
    <x:row r="35" ht="108" customHeight="1">
      <x:c r="A35" s="63" t="str">
        <x:v>v1.29</x:v>
      </x:c>
      <x:c r="B35" s="64" t="n">
        <x:v>46235</x:v>
      </x:c>
      <x:c r="C35" s="63" t="str">
        <x:v>PH50 五米组件坐标与玩家灯光自投影修复</x:v>
      </x:c>
      <x:c r="D35" s="63" t="str">
        <x:v>ENV-TOWER-DESCENT-KIT-3D / ENV-TOWER-FLOOR-TILE-5M / ENV-TOWER-WALL-SOLID-5M / ENV-TOWER-STAIRWELL-GENERIC-9M / CHR-PLY-CAPSULE01-BUNNY01 / WPN-GUN-KIT-3D</x:v>
      </x:c>
      <x:c r="E35" s="63" t="str">
        <x:v>基底层改为合法6×6组件边界；98—95层30×25房间按5m格线重排；门墙、交互门与走廊端点由两端真实门槽求交；楼梯只挖上层楼板；玩家/配件/手持武器禁投影，前向灯仍保留环境与怪物阴影。</x:v>
      </x:c>
      <x:c r="F35" s="63" t="str">
        <x:v>AssetID与GLB不变；Godot关卡坐标、楼板覆盖和渲染属性更新；TOWER_GRID_COMPONENT_ALIGNMENT_OK、TOWER_DESCENT_FLOW_OK、94门通行、灯光/性能/视觉回归通过。</x:v>
      </x:c>
      <x:c r="G35" s="63" t="str">
        <x:v>Codex</x:v>
      </x:c>
    </x:row>
    <x:row r="36" ht="72" customHeight="1">
      <x:c r="A36" t="str">
        <x:v>v1.30</x:v>
      </x:c>
      <x:c r="B36" s="62" t="n">
        <x:v>46236</x:v>
      </x:c>
      <x:c r="C36" s="63" t="str">
        <x:v>PH51 灯光投影、地砖反光、9m南墙与刷怪软锁修复</x:v>
      </x:c>
      <x:c r="D36" s="63" t="str">
        <x:v>CHR-PLY-CAPSULE01-3D / ENV-TOWER-FLOOR-TILE-5M / ENV-TOWER-WALL-SOLID-5M / Dungeon3D</x:v>
      </x:c>
      <x:c r="E36" s="63" t="str">
        <x:v>角色恢复太阳/室内灯投影但三盏随身灯不自投影；地砖降反光；实墙/门墙/拐角统一9m并仅南墙参与摄像机交互；隐藏连接器碰撞随显隐；敌对房间增加生成兜底与旧状态修复。</x:v>
      </x:c>
      <x:c r="F36" s="63" t="str">
        <x:v>不新增AssetID；仅修正既有组件配置与生成/碰撞逻辑；全量回归PASS</x:v>
      </x:c>
      <x:c r="G36" t="str">
        <x:v>Codex</x:v>
      </x:c>
    </x:row>
  </x:sheetData>
  <x:mergeCells>
    <x:mergeCell ref="A1:G2"/>
    <x:mergeCell ref="A3:G3"/>
  </x:mergeCells>
  <x:pageMargins left="0.7" right="0.7" top="0.75" bottom="0.75" header="0.3" footer="0.3"/>
</x:worksheet>
</file>