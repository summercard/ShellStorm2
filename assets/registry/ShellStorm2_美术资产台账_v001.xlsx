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23ec7377ae41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e1c4750dddce4157"/>
    <x:sheet xmlns:r="http://schemas.openxmlformats.org/officeDocument/2006/relationships" name="资产主表" sheetId="2" r:id="R539f00cb558747e1"/>
    <x:sheet xmlns:r="http://schemas.openxmlformats.org/officeDocument/2006/relationships" name="角色组件" sheetId="3" r:id="Reb8a47642c0b4ff5"/>
    <x:sheet xmlns:r="http://schemas.openxmlformats.org/officeDocument/2006/relationships" name="动画与状态" sheetId="4" r:id="Rcfa9c3631db84e8f"/>
    <x:sheet xmlns:r="http://schemas.openxmlformats.org/officeDocument/2006/relationships" name="分类与编码" sheetId="5" r:id="R4c084c6dd44240fc"/>
    <x:sheet xmlns:r="http://schemas.openxmlformats.org/officeDocument/2006/relationships" name="命名与查重" sheetId="6" r:id="Rb56ebbb0bf3b4b38"/>
    <x:sheet xmlns:r="http://schemas.openxmlformats.org/officeDocument/2006/relationships" name="原型角色" sheetId="7" r:id="Ra77c69430f474a65"/>
    <x:sheet xmlns:r="http://schemas.openxmlformats.org/officeDocument/2006/relationships" name="版本记录" sheetId="8" r:id="R833ffce7681d43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5" fillId="23" borderId="0" xfId="0" applyNumberFormat="1" applyFont="1" applyFill="1" applyBorder="1"/>
    <x:xf numFmtId="0" fontId="5" fillId="23" borderId="0" xfId="0" applyNumberFormat="1" applyFont="1" applyFill="1" applyBorder="1" applyAlignment="1">
      <x:alignment horizontal="center"/>
    </x:xf>
    <x:xf numFmtId="0" fontId="5" fillId="23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daa4ee60e347ac" /><Relationship Type="http://schemas.openxmlformats.org/officeDocument/2006/relationships/theme" Target="/xl/theme/theme1.xml" Id="R71adc41153cc487b" /><Relationship Type="http://schemas.openxmlformats.org/officeDocument/2006/relationships/sharedStrings" Target="/xl/sharedStrings.xml" Id="Ra083dc580a094a1a" /><Relationship Type="http://schemas.openxmlformats.org/officeDocument/2006/relationships/worksheet" Target="/xl/worksheets/sheet1.xml" Id="Re1c4750dddce4157" /><Relationship Type="http://schemas.openxmlformats.org/officeDocument/2006/relationships/worksheet" Target="/xl/worksheets/sheet2.xml" Id="R539f00cb558747e1" /><Relationship Type="http://schemas.openxmlformats.org/officeDocument/2006/relationships/worksheet" Target="/xl/worksheets/sheet3.xml" Id="Reb8a47642c0b4ff5" /><Relationship Type="http://schemas.openxmlformats.org/officeDocument/2006/relationships/worksheet" Target="/xl/worksheets/sheet4.xml" Id="Rcfa9c3631db84e8f" /><Relationship Type="http://schemas.openxmlformats.org/officeDocument/2006/relationships/worksheet" Target="/xl/worksheets/sheet5.xml" Id="R4c084c6dd44240fc" /><Relationship Type="http://schemas.openxmlformats.org/officeDocument/2006/relationships/worksheet" Target="/xl/worksheets/sheet6.xml" Id="Rb56ebbb0bf3b4b38" /><Relationship Type="http://schemas.openxmlformats.org/officeDocument/2006/relationships/worksheet" Target="/xl/worksheets/sheet7.xml" Id="Ra77c69430f474a65" /><Relationship Type="http://schemas.openxmlformats.org/officeDocument/2006/relationships/worksheet" Target="/xl/worksheets/sheet8.xml" Id="R833ffce7681d439a" /><Relationship Type="http://schemas.microsoft.com/office/2017/10/relationships/person" Target="/xl/persons/person.xml" Id="Rea0327815c364d39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e612d2613ce4ab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 v0.1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查重 → 归类 → 领取 AssetID → 组件制作 → 游戏内验收 → 回填哈希；本表是唯一资产登记源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f>COUNTA('资产主表'!$A$6:$A$205)</x:f>
        <x:v>164</x:v>
      </x:c>
      <x:c r="B6" s="43"/>
      <x:c r="C6" s="45" t="n">
        <x:f>COUNTIF('资产主表'!$K$6:$K$205,"已完成")+COUNTIF('资产主表'!$K$6:$K$205,"原型已接入")</x:f>
        <x:v>69</x:v>
      </x:c>
      <x:c r="D6" s="43"/>
      <x:c r="E6" s="45" t="n">
        <x:f>COUNTIF('资产主表'!$K$6:$K$205,"待制作")+COUNTIF('资产主表'!$K$6:$K$205,"程序占位")</x:f>
        <x:v>94</x:v>
      </x:c>
      <x:c r="F6" s="43"/>
      <x:c r="G6" s="45" t="n">
        <x:f>COUNTIF('资产主表'!$S$6:$S$205,"重复")</x:f>
        <x:v>0</x:v>
      </x:c>
      <x:c r="H6" s="43"/>
      <x:c r="I6" s="46" t="str">
        <x:v>v0.1 3D塔楼：5m组件网格 / 30×25m战斗房 / 9m层高</x:v>
      </x:c>
      <x:c r="J6" s="46" t="str">
        <x:v>楼顶 → 99层基地 → 98—95层战斗与撤离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f>COUNTIF('资产主表'!$C$6:$C$205,A10)</x:f>
        <x:v>30</x:v>
      </x:c>
      <x:c r="C10" s="50" t="n">
        <x:f>COUNTIFS('资产主表'!$C$6:$C$205,A10,'资产主表'!$K$6:$K$205,"已完成")+COUNTIFS('资产主表'!$C$6:$C$205,A10,'资产主表'!$K$6:$K$205,"原型已接入")</x:f>
        <x:v>29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COUNTIF('资产主表'!$C$6:$C$205,A11)</x:f>
        <x:v>8</x:v>
      </x:c>
      <x:c r="C11" s="52" t="n">
        <x:f>COUNTIFS('资产主表'!$C$6:$C$205,A11,'资产主表'!$K$6:$K$205,"已完成")+COUNTIFS('资产主表'!$C$6:$C$205,A11,'资产主表'!$K$6:$K$205,"原型已接入")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COUNTIF('资产主表'!$C$6:$C$205,A12)</x:f>
        <x:v>22</x:v>
      </x:c>
      <x:c r="C12" s="52" t="n">
        <x:f>COUNTIFS('资产主表'!$C$6:$C$205,A12,'资产主表'!$K$6:$K$205,"已完成")+COUNTIFS('资产主表'!$C$6:$C$205,A12,'资产主表'!$K$6:$K$205,"原型已接入")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COUNTIF('资产主表'!$C$6:$C$205,A13)</x:f>
        <x:v>6</x:v>
      </x:c>
      <x:c r="C13" s="52" t="n">
        <x:f>COUNTIFS('资产主表'!$C$6:$C$205,A13,'资产主表'!$K$6:$K$205,"已完成")+COUNTIFS('资产主表'!$C$6:$C$205,A13,'资产主表'!$K$6:$K$205,"原型已接入")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COUNTIF('资产主表'!$C$6:$C$205,A14)</x:f>
        <x:v>35</x:v>
      </x:c>
      <x:c r="C14" s="52" t="n">
        <x:f>COUNTIFS('资产主表'!$C$6:$C$205,A14,'资产主表'!$K$6:$K$205,"已完成")+COUNTIFS('资产主表'!$C$6:$C$205,A14,'资产主表'!$K$6:$K$205,"原型已接入")</x:f>
        <x:v>17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COUNTIF('资产主表'!$C$6:$C$205,A15)</x:f>
        <x:v>18</x:v>
      </x:c>
      <x:c r="C15" s="52" t="n">
        <x:f>COUNTIFS('资产主表'!$C$6:$C$205,A15,'资产主表'!$K$6:$K$205,"已完成")+COUNTIFS('资产主表'!$C$6:$C$205,A15,'资产主表'!$K$6:$K$205,"原型已接入")</x:f>
        <x:v>8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COUNTIF('资产主表'!$C$6:$C$205,A16)</x:f>
        <x:v>16</x:v>
      </x:c>
      <x:c r="C16" s="52" t="n">
        <x:f>COUNTIFS('资产主表'!$C$6:$C$205,A16,'资产主表'!$K$6:$K$205,"已完成")+COUNTIFS('资产主表'!$C$6:$C$205,A16,'资产主表'!$K$6:$K$205,"原型已接入")</x:f>
        <x:v>5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COUNTIF('资产主表'!$C$6:$C$205,A17)</x:f>
        <x:v>16</x:v>
      </x:c>
      <x:c r="C17" s="52" t="n">
        <x:f>COUNTIFS('资产主表'!$C$6:$C$205,A17,'资产主表'!$K$6:$K$205,"已完成")+COUNTIFS('资产主表'!$C$6:$C$205,A17,'资产主表'!$K$6:$K$205,"原型已接入")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COUNTIF('资产主表'!$C$6:$C$205,A18)</x:f>
        <x:v>13</x:v>
      </x:c>
      <x:c r="C18" s="52" t="n">
        <x:f>COUNTIFS('资产主表'!$C$6:$C$205,A18,'资产主表'!$K$6:$K$205,"已完成")+COUNTIFS('资产主表'!$C$6:$C$205,A18,'资产主表'!$K$6:$K$205,"原型已接入")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36" hidden="0" customWidth="1"/>
    <x:col min="16" max="16" width="34" hidden="0" customWidth="1"/>
    <x:col min="17" max="17" width="26" hidden="0" customWidth="1"/>
    <x:col min="18" max="18" width="42" hidden="0" customWidth="1"/>
    <x:col min="19" max="19" width="12" hidden="0" customWidth="1"/>
    <x:col min="20" max="20" width="30" hidden="0" customWidth="1"/>
    <x:col min="21" max="21" width="12" hidden="0" customWidth="1"/>
    <x:col min="22" max="22" width="13" hidden="0" customWidth="1"/>
    <x:col min="23" max="23" width="16" hidden="0" customWidth="1"/>
    <x:col min="24" max="24" width="52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IF(A6="","",IF(COUNTIF($R$6:$R$162,R6)&gt;1,"重复","唯一"))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IF(A7="","",IF(COUNTIF($R$6:$R$162,R7)&gt;1,"重复","唯一"))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IF(A8="","",IF(COUNTIF($R$6:$R$162,R8)&gt;1,"重复","唯一"))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IF(A10="","",IF(COUNTIF($R$6:$R$162,R10)&gt;1,"重复","唯一"))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IF(A11="","",IF(COUNTIF($R$6:$R$162,R11)&gt;1,"重复","唯一"))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tests/verification/verify_player_pixel_art_flow.tscn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IF(A12="","",IF(COUNTIF($R$6:$R$162,R12)&gt;1,"重复","唯一"))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IF(A24="","",IF(COUNTIF($R$6:$R$162,R24)&gt;1,"重复","唯一"))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IF(A25="","",IF(COUNTIF($R$6:$R$162,R25)&gt;1,"重复","唯一"))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IF(A26="","",IF(COUNTIF($R$6:$R$162,R26)&gt;1,"重复","唯一"))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IF(A27="","",IF(COUNTIF($R$6:$R$162,R27)&gt;1,"重复","唯一"))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IF(A28="","",IF(COUNTIF($R$6:$R$162,R28)&gt;1,"重复","唯一"))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IF(A29="","",IF(COUNTIF($R$6:$R$162,R29)&gt;1,"重复","唯一"))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IF(A30="","",IF(COUNTIF($R$6:$R$162,R30)&gt;1,"重复","唯一"))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IF(A69="","",IF(COUNTIF($R$6:$R$162,R69)&gt;1,"重复","唯一"))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IF(A70="","",IF(COUNTIF($R$6:$R$162,R70)&gt;1,"重复","唯一"))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 ht="155" customHeight="1">
      <x:c r="A79" s="101" t="str">
        <x:v>UI-SCREEN-HUD</x:v>
      </x:c>
      <x:c r="B79" s="101" t="str">
        <x:v>战斗 HUD</x:v>
      </x:c>
      <x:c r="C79" s="101" t="str">
        <x:v>UI</x:v>
      </x:c>
      <x:c r="D79" s="101" t="str">
        <x:v>screen</x:v>
      </x:c>
      <x:c r="E79" s="101" t="str">
        <x:v>hud</x:v>
      </x:c>
      <x:c r="F79" s="101" t="str">
        <x:v>root</x:v>
      </x:c>
      <x:c r="G79" s="101" t="str"/>
      <x:c r="H79" s="101" t="str">
        <x:v>屏幕空间</x:v>
      </x:c>
      <x:c r="I79" s="101" t="str">
        <x:v>default</x:v>
      </x:c>
      <x:c r="J79" s="101" t="str">
        <x:v>跨分辨率</x:v>
      </x:c>
      <x:c r="K79" s="101" t="str">
        <x:v>原型已接入</x:v>
      </x:c>
      <x:c r="L79" s="101" t="str">
        <x:v>P0</x:v>
      </x:c>
      <x:c r="M79" s="101" t="str">
        <x:v>v002</x:v>
      </x:c>
      <x:c r="N79" s="101" t="str">
        <x:v>1280×720 基准；九宫格/矢量优先</x:v>
      </x:c>
      <x:c r="O79" s="101" t="str"/>
      <x:c r="P79" s="101" t="str">
        <x:v>src/ui/GameUIManager.gd</x:v>
      </x:c>
      <x:c r="Q79" s="101" t="str"/>
      <x:c r="R79" s="101" t="str">
        <x:f>LOWER(TRIM(C79)&amp;"|"&amp;TRIM(D79)&amp;"|"&amp;TRIM(E79)&amp;"|"&amp;TRIM(F79)&amp;"|"&amp;TRIM(H79)&amp;"|"&amp;TRIM(I79))</x:f>
        <x:v>ui|screen|hud|root|屏幕空间|default</x:v>
      </x:c>
      <x:c r="S79" s="101" t="str">
        <x:f>IF(A79="","",IF(COUNTIF($R$6:$R$162,R79)&gt;1,"重复","唯一"))</x:f>
        <x:v>唯一</x:v>
      </x:c>
      <x:c r="T79" s="101" t="str"/>
      <x:c r="U79" s="101" t="str">
        <x:v>待分配</x:v>
      </x:c>
      <x:c r="V79" s="104" t="n">
        <x:v>46233</x:v>
      </x:c>
      <x:c r="W79" s="101" t="str">
        <x:v>原创/待确认</x:v>
      </x:c>
      <x:c r="X79" s="101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 ht="155" customHeight="1">
      <x:c r="A113" s="70" t="str">
        <x:v>CHR-PLY-CAPSULE01-3D</x:v>
      </x:c>
      <x:c r="B113" s="70" t="str">
        <x:v>方形猫角色3D根组件</x:v>
      </x:c>
      <x:c r="C113" s="70" t="str">
        <x:v>角色</x:v>
      </x:c>
      <x:c r="D113" s="70" t="str">
        <x:v>player</x:v>
      </x:c>
      <x:c r="E113" s="70" t="str">
        <x:v>player_capsule01</x:v>
      </x:c>
      <x:c r="F113" s="70" t="str">
        <x:v>root_3d</x:v>
      </x:c>
      <x:c r="G113" s="70" t="str">
        <x:v>CHR-PLY-CAPSULE01</x:v>
      </x:c>
      <x:c r="H113" s="70" t="str">
        <x:v>俯视3D</x:v>
      </x:c>
      <x:c r="I113" s="70" t="str">
        <x:v>default</x:v>
      </x:c>
      <x:c r="J113" s="70" t="str">
        <x:v>3D玩家场景</x:v>
      </x:c>
      <x:c r="K113" s="70" t="str">
        <x:v>原型已接入</x:v>
      </x:c>
      <x:c r="L113" s="70" t="str">
        <x:v>P0</x:v>
      </x:c>
      <x:c r="M113" s="70" t="str">
        <x:v>v001</x:v>
      </x:c>
      <x:c r="N113" s="70" t="str">
        <x:v>PackedScene/程序材质</x:v>
      </x:c>
      <x:c r="O113" s="70" t="str">
        <x:v>assets/art/characters/player/chr_player_capsule01_3d/chr_player_capsule01_root_top3d_v001.tscn</x:v>
      </x:c>
      <x:c r="P113" s="70" t="str">
        <x:v>scenes/Player3D.tscn</x:v>
      </x:c>
      <x:c r="Q113" s="70" t="str">
        <x:v>胶囊;防护服;3D;模块角色</x:v>
      </x:c>
      <x:c r="R113" s="70" t="str">
        <x:f>LOWER(TRIM(C113)&amp;"|"&amp;TRIM(D113)&amp;"|"&amp;TRIM(E113)&amp;"|"&amp;TRIM(F113)&amp;"|"&amp;TRIM(H113)&amp;"|"&amp;TRIM(I113))</x:f>
        <x:v>角色|player|player_capsule01|root_3d|俯视3d|default</x:v>
      </x:c>
      <x:c r="S113" s="70" t="str">
        <x:f>IF(A113="","",IF(COUNTIF($R$6:$R$162,R113)&gt;1,"重复","唯一"))</x:f>
        <x:v>唯一</x:v>
      </x:c>
      <x:c r="T113" s="70" t="str">
        <x:v>0a15194d68ecc0490ecd3910d2e51901a006ec6ac28e093e2aba48c6f67fec64</x:v>
      </x:c>
      <x:c r="U113" s="70" t="str">
        <x:v>Codex</x:v>
      </x:c>
      <x:c r="V113" s="71" t="n">
        <x:v>46236</x:v>
      </x:c>
      <x:c r="W113" s="70" t="str">
        <x:v>原创程序几何</x:v>
      </x:c>
      <x:c r="X113" s="70" t="str">
        <x:v>玩家随身三灯通过 layer 1/2 隔离避免自身投影；角色网格恢复外部太阳光/室内灯投影，GI保持关闭；tests/verification/verify_tower_lighting_wall_combat_regressions.tscn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str">
        <x:v>0a15194d68ecc0490ecd3910d2e51901a006ec6ac28e093e2aba48c6f67fec64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VisualRoot/Body：BoxMesh身躯、BellyPatch、圆形TailStub；v0.1方形猫原型；tests/verification/verify_player3d_diy_flow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str">
        <x:v>0a15194d68ecc0490ecd3910d2e51901a006ec6ac28e093e2aba48c6f67fec64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VisualRoot/Head：BoxMesh方头；Eyes双矩形眼；Ears双三角耳；v0.1方形猫原型；tests/verification/verify_player3d_diy_flow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str">
        <x:v>0a15194d68ecc0490ecd3910d2e51901a006ec6ac28e093e2aba48c6f67fec64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VisualRoot/Hand：单个BoxMesh悬浮握持手；全动作与weapon_socket同相；v0.1方形猫原型；tests/verification/verify_player3d_diy_flow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str">
        <x:v>0a15194d68ecc0490ecd3910d2e51901a006ec6ac28e093e2aba48c6f67fec64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VisualRoot/Scarf默认隐藏，仅为旧场景兼容；当前四主模块不计入scarf；v0.1方形猫原型；tests/verification/verify_player3d_diy_flow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str">
        <x:v>0a15194d68ecc0490ecd3910d2e51901a006ec6ac28e093e2aba48c6f67fec64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VisualRoot/WeaponSocket：(0.60,1.15,-0.42)，与唯一手固定相对向量；v0.1方形猫原型；tests/verification/verify_player3d_diy_flow / gallery flow / 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 ht="155" customHeight="1">
      <x:c r="A120" s="70" t="str">
        <x:v>PRP-BASE-FACILITY-3D</x:v>
      </x:c>
      <x:c r="B120" s="70" t="str">
        <x:v>基地设施3D通用模块</x:v>
      </x:c>
      <x:c r="C120" s="70" t="str">
        <x:v>场景道具</x:v>
      </x:c>
      <x:c r="D120" s="70" t="str">
        <x:v>facility</x:v>
      </x:c>
      <x:c r="E120" s="70" t="str">
        <x:v>base_facility_module</x:v>
      </x:c>
      <x:c r="F120" s="70" t="str">
        <x:v>root_3d</x:v>
      </x:c>
      <x:c r="G120" s="70" t="str">
        <x:v>ENV-BASE-WORLD-KIT-3D</x:v>
      </x:c>
      <x:c r="H120" s="70" t="str">
        <x:v>俯视3D</x:v>
      </x:c>
      <x:c r="I120" s="70" t="str">
        <x:v>default</x:v>
      </x:c>
      <x:c r="J120" s="70" t="str">
        <x:v>8类基地设施</x:v>
      </x:c>
      <x:c r="K120" s="70" t="str">
        <x:v>原型已接入</x:v>
      </x:c>
      <x:c r="L120" s="70" t="str">
        <x:v>P0</x:v>
      </x:c>
      <x:c r="M120" s="70" t="str">
        <x:v>v001</x:v>
      </x:c>
      <x:c r="N120" s="70" t="str">
        <x:v>PackedScene/材质变体</x:v>
      </x:c>
      <x:c r="O120" s="70" t="str">
        <x:v>assets/art/props/base_world_3d/prp_base_facility_root_top3d_v001.tscn</x:v>
      </x:c>
      <x:c r="P120" s="70" t="str">
        <x:v>src/base3d/BaseFacility3D.gd</x:v>
      </x:c>
      <x:c r="Q120" s="70" t="str">
        <x:v>设施;交互;信标;3D</x:v>
      </x:c>
      <x:c r="R120" s="7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70" t="str">
        <x:f>IF(A120="","",IF(COUNTIF($R$6:$R$162,R120)&gt;1,"重复","唯一"))</x:f>
        <x:v>唯一</x:v>
      </x:c>
      <x:c r="T120" s="70" t="str">
        <x:v>18921dbda4e5997f5c49c6efa66b7af030310d5d086b60fe476e8f0e664e104e</x:v>
      </x:c>
      <x:c r="U120" s="70" t="str">
        <x:v>Codex</x:v>
      </x:c>
      <x:c r="V120" s="71" t="n">
        <x:v>46233</x:v>
      </x:c>
      <x:c r="W120" s="70" t="str">
        <x:v>原创程序几何</x:v>
      </x:c>
      <x:c r="X120" s="70" t="str">
        <x:v>v0.1：BaseFacility3D复用于五个独立电梯设施（99—95层各一处），设施挂在走廊设施层级而非房间内部，放置在基地房间墙边或楼层走廊边。电梯解锁、目标楼层和到达点从邻接的elevator_access房间读取。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tests/verification/verify_base_world_3d_visual.tscn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155" customHeight="1">
      <x:c r="A123" s="70" t="str">
        <x:v>ENV-DUNGEON-RUNTIME-3D</x:v>
      </x:c>
      <x:c r="B123" s="70" t="str">
        <x:v>3D随机关卡通用房间套件</x:v>
      </x:c>
      <x:c r="C123" s="70" t="str">
        <x:v>场景</x:v>
      </x:c>
      <x:c r="D123" s="70" t="str">
        <x:v>room</x:v>
      </x:c>
      <x:c r="E123" s="70" t="str">
        <x:v>dungeon_runtime</x:v>
      </x:c>
      <x:c r="F123" s="70" t="str">
        <x:v>root_3d</x:v>
      </x:c>
      <x:c r="G123" s="70"/>
      <x:c r="H123" s="70" t="str">
        <x:v>俯视3D</x:v>
      </x:c>
      <x:c r="I123" s="70" t="str">
        <x:v>default</x:v>
      </x:c>
      <x:c r="J123" s="70" t="str">
        <x:v>四主题副本/随机房间</x:v>
      </x:c>
      <x:c r="K123" s="70" t="str">
        <x:v>原型已接入</x:v>
      </x:c>
      <x:c r="L123" s="70" t="str">
        <x:v>P0</x:v>
      </x:c>
      <x:c r="M123" s="70" t="str">
        <x:v>v001</x:v>
      </x:c>
      <x:c r="N123" s="70" t="str">
        <x:v>PackedScene/三档程序几何</x:v>
      </x:c>
      <x:c r="O123" s="70" t="str">
        <x:v>assets/art/environments/dungeon_3d/env_dungeon_runtime_kit_top3d_v001.tscn</x:v>
      </x:c>
      <x:c r="P123" s="70" t="str">
        <x:v>src/world3d/DungeonRoom3D.gd</x:v>
      </x:c>
      <x:c r="Q123" s="70" t="str">
        <x:v>房间;门洞;走廊;随机地图;3D</x:v>
      </x:c>
      <x:c r="R123" s="70" t="str">
        <x:f>LOWER(TRIM(C123)&amp;"|"&amp;TRIM(D123)&amp;"|"&amp;TRIM(E123)&amp;"|"&amp;TRIM(F123)&amp;"|"&amp;TRIM(H123)&amp;"|"&amp;TRIM(I123))</x:f>
        <x:v>场景|room|dungeon_runtime|root_3d|俯视3d|default</x:v>
      </x:c>
      <x:c r="S123" s="70" t="str">
        <x:f>IF(A123="","",IF(COUNTIF($R$6:$R$162,R123)&gt;1,"重复","唯一"))</x:f>
        <x:v>唯一</x:v>
      </x:c>
      <x:c r="T123" s="70" t="str">
        <x:v>fc33ac084150c3e3cbba89505b3e04f35712abbceaa5cec297c94fe4d7dcc2f3</x:v>
      </x:c>
      <x:c r="U123" s="70" t="str">
        <x:v>Codex</x:v>
      </x:c>
      <x:c r="V123" s="71" t="n">
        <x:v>46233</x:v>
      </x:c>
      <x:c r="W123" s="70" t="str">
        <x:v>原创程序几何</x:v>
      </x:c>
      <x:c r="X123" s="70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155" customHeight="1">
      <x:c r="A128" s="70" t="str">
        <x:v>PRP-WASTELAND-LIGHT-3D</x:v>
      </x:c>
      <x:c r="B128" s="70" t="str">
        <x:v>废土灯具3D通用模块（街灯/顶灯）</x:v>
      </x:c>
      <x:c r="C128" s="70" t="str">
        <x:v>场景道具</x:v>
      </x:c>
      <x:c r="D128" s="70" t="str">
        <x:v>light</x:v>
      </x:c>
      <x:c r="E128" s="70" t="str">
        <x:v>wasteland_light</x:v>
      </x:c>
      <x:c r="F128" s="70" t="str">
        <x:v>root_3d</x:v>
      </x:c>
      <x:c r="G128" s="70" t="str">
        <x:v>ENV-DUNGEON-RUNTIME-3D</x:v>
      </x:c>
      <x:c r="H128" s="70" t="str">
        <x:v>俯视3D</x:v>
      </x:c>
      <x:c r="I128" s="70" t="str">
        <x:v>default</x:v>
      </x:c>
      <x:c r="J128" s="70" t="str">
        <x:v>关卡/靶场/房间中央照明</x:v>
      </x:c>
      <x:c r="K128" s="70" t="str">
        <x:v>原型已接入</x:v>
      </x:c>
      <x:c r="L128" s="70" t="str">
        <x:v>P0</x:v>
      </x:c>
      <x:c r="M128" s="70" t="str">
        <x:v>v001</x:v>
      </x:c>
      <x:c r="N128" s="70" t="str">
        <x:v>PackedScene/OmniLight3D</x:v>
      </x:c>
      <x:c r="O128" s="70" t="str">
        <x:v>assets/art/props/dungeon_3d/prp_wasteland_light_root_top3d_v001.tscn</x:v>
      </x:c>
      <x:c r="P128" s="70" t="str">
        <x:v>src/world3d/WastelandLight3D.gd</x:v>
      </x:c>
      <x:c r="Q128" s="70" t="str">
        <x:v>灯具;街灯;中央顶灯;故障灯;废土</x:v>
      </x:c>
      <x:c r="R128" s="70" t="str">
        <x:f>LOWER(TRIM(C128)&amp;"|"&amp;TRIM(D128)&amp;"|"&amp;TRIM(E128)&amp;"|"&amp;TRIM(F128)&amp;"|"&amp;TRIM(H128)&amp;"|"&amp;TRIM(I128))</x:f>
        <x:v>场景道具|light|wasteland_light|root_3d|俯视3d|default</x:v>
      </x:c>
      <x:c r="S128" s="70" t="str">
        <x:f>IF(A128="","",IF(COUNTIF($R$6:$R$162,R128)&gt;1,"重复","唯一"))</x:f>
        <x:v>唯一</x:v>
      </x:c>
      <x:c r="T128" s="70" t="str">
        <x:v>0a6ec0add8b6e01b83f4dbaae421ff0dc69ed08648d304bac061f540af27d99b</x:v>
      </x:c>
      <x:c r="U128" s="70" t="str">
        <x:v>Codex</x:v>
      </x:c>
      <x:c r="V128" s="71" t="n">
        <x:v>46237</x:v>
      </x:c>
      <x:c r="W128" s="70" t="str">
        <x:v>原创程序几何</x:v>
      </x:c>
      <x:c r="X128" s="70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46237</x:v>
      </x:c>
      <x:c r="W132" s="63" t="str">
        <x:v>原创程序几何</x:v>
      </x:c>
      <x:c r="X132" s="63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IF(A136="","",IF(COUNTIF($R$6:$R$162,R136)&gt;1,"重复","唯一"))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tests/verification/verify_full_3d_visual.tscn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实际GPU窗口确认360°遮挡逻辑与96°定向表现；v0.1三层玩家灯去除头顶溢光，角色正面柔光、增强中央灯与战斗轮廓通过验收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tests/verification/verify_training_range_3d_visual.tscn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v001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 ht="155" customHeight="1">
      <x:c r="A143" s="70" t="str">
        <x:v>PRP-ROOM-LIGHT-SWITCH-3D</x:v>
      </x:c>
      <x:c r="B143" s="70" t="str">
        <x:v>房间中央灯墙面开关3D</x:v>
      </x:c>
      <x:c r="C143" s="70" t="str">
        <x:v>场景道具</x:v>
      </x:c>
      <x:c r="D143" s="70" t="str">
        <x:v>facility</x:v>
      </x:c>
      <x:c r="E143" s="70" t="str">
        <x:v>room_light_switch</x:v>
      </x:c>
      <x:c r="F143" s="70" t="str">
        <x:v>root_3d</x:v>
      </x:c>
      <x:c r="G143" s="70" t="str">
        <x:v>ENV-DUNGEON-RUNTIME-3D</x:v>
      </x:c>
      <x:c r="H143" s="70" t="str">
        <x:v>俯视3D</x:v>
      </x:c>
      <x:c r="I143" s="70" t="str">
        <x:v>default</x:v>
      </x:c>
      <x:c r="J143" s="70" t="str">
        <x:v>随机关卡房间/四主题复用</x:v>
      </x:c>
      <x:c r="K143" s="70" t="str">
        <x:v>原型已接入</x:v>
      </x:c>
      <x:c r="L143" s="70" t="str">
        <x:v>P0</x:v>
      </x:c>
      <x:c r="M143" s="70" t="str">
        <x:v>v001</x:v>
      </x:c>
      <x:c r="N143" s="70" t="str">
        <x:v>PackedScene/Area3D</x:v>
      </x:c>
      <x:c r="O143" s="70" t="str">
        <x:v>assets/art/props/dungeon_3d/prp_room_light_switch_root_top3d_v001.tscn</x:v>
      </x:c>
      <x:c r="P143" s="70" t="str">
        <x:v>src/world3d/RoomLightSwitch3D.gd</x:v>
      </x:c>
      <x:c r="Q143" s="70" t="str">
        <x:v>房灯开关;墙面交互;中央顶灯;E键</x:v>
      </x:c>
      <x:c r="R143" s="70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70" t="str">
        <x:f>IF(A143="","",IF(COUNTIF($R$6:$R$162,R143)&gt;1,"重复","唯一"))</x:f>
        <x:v>唯一</x:v>
      </x:c>
      <x:c r="T143" s="70" t="str">
        <x:v>7802bc3a71d892072e43962875e26b60443d19de35bcc77fe0cbedcfa6dd5d94</x:v>
      </x:c>
      <x:c r="U143" s="70" t="str">
        <x:v>Codex</x:v>
      </x:c>
      <x:c r="V143" s="71" t="n">
        <x:v>46237</x:v>
      </x:c>
      <x:c r="W143" s="70" t="str">
        <x:v>原创程序几何</x:v>
      </x:c>
      <x:c r="X143" s="70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s="62" t="str">
        <x:v>原创程序几何</x:v>
      </x:c>
      <x:c r="X144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str">
        <x:v>0a15194d68ecc0490ecd3910d2e51901a006ec6ac28e093e2aba48c6f67fec64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str">
        <x:v>0a15194d68ecc0490ecd3910d2e51901a006ec6ac28e093e2aba48c6f67fec64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str">
        <x:v>0a15194d68ecc0490ecd3910d2e51901a006ec6ac28e093e2aba48c6f67fec64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str">
        <x:v>0a15194d68ecc0490ecd3910d2e51901a006ec6ac28e093e2aba48c6f67fec64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  <x:row r="156" ht="132" customHeight="1">
      <x:c r="A156" s="70" t="str">
        <x:v>CHR-PLY-CAPSULE01-3D-BUNNY01</x:v>
      </x:c>
      <x:c r="B156" s="70" t="str">
        <x:v>兔子主角3D根变体</x:v>
      </x:c>
      <x:c r="C156" s="70" t="str">
        <x:v>角色</x:v>
      </x:c>
      <x:c r="D156" s="70" t="str">
        <x:v>player_variant</x:v>
      </x:c>
      <x:c r="E156" s="70" t="str">
        <x:v>player_capsule01</x:v>
      </x:c>
      <x:c r="F156" s="70" t="str">
        <x:v>root_3d_bunny01</x:v>
      </x:c>
      <x:c r="G156" s="70" t="str">
        <x:v>CHR-PLY-CAPSULE01-3D</x:v>
      </x:c>
      <x:c r="H156" s="70" t="str">
        <x:v>俯视3D</x:v>
      </x:c>
      <x:c r="I156" s="70" t="str">
        <x:v>default</x:v>
      </x:c>
      <x:c r="J156" s="70" t="str">
        <x:v>3D玩家场景</x:v>
      </x:c>
      <x:c r="K156" s="70" t="str">
        <x:v>原型已接入</x:v>
      </x:c>
      <x:c r="L156" s="70" t="str">
        <x:v>P0</x:v>
      </x:c>
      <x:c r="M156" s="70" t="str">
        <x:v>v006</x:v>
      </x:c>
      <x:c r="N156" s="70" t="str">
        <x:v>1.034×1.500×0.645 m / 完整视觉含耳</x:v>
      </x:c>
      <x:c r="O156" s="70" t="str">
        <x:v>assets/art/characters/player/chr_player_capsule01_3d/variants/bunny01/chr_player_capsule01_bunny01_root_top3d_v006.tscn</x:v>
      </x:c>
      <x:c r="P156" s="70" t="str">
        <x:v>assets/art/characters/player/chr_player_capsule01_3d/variants/bunny01/source/chr_player_capsule01_bunny01_top3d_v006.blend</x:v>
      </x:c>
      <x:c r="Q156" s="70" t="str">
        <x:v>兔子;主角;兔耳;3D;Blender;bunny01</x:v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str">
        <x:v>b88839fbe76eedddd48933ac1807867e7a4efbd683de36475215679d26e84998</x:v>
      </x:c>
      <x:c r="U156" s="70" t="str">
        <x:v>Codex</x:v>
      </x:c>
      <x:c r="V156" s="71" t="n">
        <x:v>46233</x:v>
      </x:c>
      <x:c r="W156" s="71" t="str">
        <x:v>原创 Blender/Godot 组合</x:v>
      </x:c>
      <x:c r="X156" s="70" t="str">
        <x:v>v0.1：玩家网格位于layer2并保持cast_shadow=ON；太阳与室内灯的shadow_caster_mask包含layer1|layer2，可产生正常外部投影。玩家随身三盏灯的阴影图排除layer2，不对角色自身投影；GI关闭。</x:v>
      </x:c>
    </x:row>
    <x:row r="157" ht="118" customHeight="1">
      <x:c r="A157" s="70" t="str">
        <x:v>CHR-PLY-CAPSULE01-3D-BUNNY01-BODY</x:v>
      </x:c>
      <x:c r="B157" s="70" t="str">
        <x:v>兔子主角3D身体</x:v>
      </x:c>
      <x:c r="C157" s="70" t="str">
        <x:v>角色</x:v>
      </x:c>
      <x:c r="D157" s="70" t="str">
        <x:v>player_component</x:v>
      </x:c>
      <x:c r="E157" s="70" t="str">
        <x:v>player_capsule01</x:v>
      </x:c>
      <x:c r="F157" s="70" t="str">
        <x:v>body_3d_bunny01</x:v>
      </x:c>
      <x:c r="G157" s="70" t="str">
        <x:v>CHR-PLY-CAPSULE01-3D-BUNNY01</x:v>
      </x:c>
      <x:c r="H157" s="70" t="str">
        <x:v>俯视3D</x:v>
      </x:c>
      <x:c r="I157" s="70" t="str">
        <x:v>default</x:v>
      </x:c>
      <x:c r="J157" s="70" t="str">
        <x:v>3D玩家场景</x:v>
      </x:c>
      <x:c r="K157" s="70" t="str">
        <x:v>原型已接入</x:v>
      </x:c>
      <x:c r="L157" s="70" t="str">
        <x:v>P0</x:v>
      </x:c>
      <x:c r="M157" s="70" t="str">
        <x:v>v006</x:v>
      </x:c>
      <x:c r="N157" s="70" t="str">
        <x:v>GLB / 1,958 verts / pivot-local / 1.5m总高比例</x:v>
      </x:c>
      <x:c r="O157" s="70" t="str">
        <x:v>assets/art/characters/player/chr_player_capsule01_3d/variants/bunny01/components/chr_player_capsule01_bunny01_body_top3d_v006.glb</x:v>
      </x:c>
      <x:c r="P157" s="70" t="str">
        <x:v>assets/art/characters/player/chr_player_capsule01_3d/variants/bunny01/source/chr_player_capsule01_bunny01_top3d_v006.blend</x:v>
      </x:c>
      <x:c r="Q157" s="70" t="str">
        <x:v>兔子;身体;服装;body;bunny01</x:v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str">
        <x:v>c574d76e0f19c1aaa4bee5f427a81028d7b3f0f50299f67b4dbf02a60fc5668d</x:v>
      </x:c>
      <x:c r="U157" s="70" t="str">
        <x:v>Codex</x:v>
      </x:c>
      <x:c r="V157" s="71" t="n">
        <x:v>46233</x:v>
      </x:c>
      <x:c r="W157" s="70" t="str">
        <x:v>用户提供 Blender 源文件</x:v>
      </x:c>
      <x:c r="X157" s="70" t="str">
        <x:v>v0.1 v006：身体网格与底部中心原点从v005等比放大1.5倍；Godot BodyJoint=(-0.000030,0.155022,-0.000635)。</x:v>
      </x:c>
    </x:row>
    <x:row r="158" ht="118" customHeight="1">
      <x:c r="A158" s="70" t="str">
        <x:v>CHR-PLY-CAPSULE01-3D-BUNNY01-HEAD</x:v>
      </x:c>
      <x:c r="B158" s="70" t="str">
        <x:v>兔子主角3D头部</x:v>
      </x:c>
      <x:c r="C158" s="70" t="str">
        <x:v>角色</x:v>
      </x:c>
      <x:c r="D158" s="70" t="str">
        <x:v>player_component</x:v>
      </x:c>
      <x:c r="E158" s="70" t="str">
        <x:v>player_capsule01</x:v>
      </x:c>
      <x:c r="F158" s="70" t="str">
        <x:v>head_3d_bunny01</x:v>
      </x:c>
      <x:c r="G158" s="70" t="str">
        <x:v>CHR-PLY-CAPSULE01-3D-BUNNY01</x:v>
      </x:c>
      <x:c r="H158" s="70" t="str">
        <x:v>俯视3D</x:v>
      </x:c>
      <x:c r="I158" s="70" t="str">
        <x:v>default</x:v>
      </x:c>
      <x:c r="J158" s="70" t="str">
        <x:v>3D玩家场景</x:v>
      </x:c>
      <x:c r="K158" s="70" t="str">
        <x:v>原型已接入</x:v>
      </x:c>
      <x:c r="L158" s="70" t="str">
        <x:v>P0</x:v>
      </x:c>
      <x:c r="M158" s="70" t="str">
        <x:v>v006</x:v>
      </x:c>
      <x:c r="N158" s="70" t="str">
        <x:v>GLB / 5,936 verts / pivot-local / 头顶1.103390m</x:v>
      </x:c>
      <x:c r="O158" s="70" t="str">
        <x:v>assets/art/characters/player/chr_player_capsule01_3d/variants/bunny01/components/chr_player_capsule01_bunny01_head_top3d_v006.glb</x:v>
      </x:c>
      <x:c r="P158" s="70" t="str">
        <x:v>assets/art/characters/player/chr_player_capsule01_3d/variants/bunny01/source/chr_player_capsule01_bunny01_top3d_v006.blend</x:v>
      </x:c>
      <x:c r="Q158" s="70" t="str">
        <x:v>兔子;头部;head;bunny01</x:v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str">
        <x:v>b8db86c722bb2ae4d760b8219051f492251f6b9fa29882c8e32453b020973c24</x:v>
      </x:c>
      <x:c r="U158" s="70" t="str">
        <x:v>Codex</x:v>
      </x:c>
      <x:c r="V158" s="71" t="n">
        <x:v>46233</x:v>
      </x:c>
      <x:c r="W158" s="70" t="str">
        <x:v>用户提供 Blender 源文件</x:v>
      </x:c>
      <x:c r="X158" s="70" t="str">
        <x:v>v0.1 v006：头部与下沿中心原点真实1.5倍；不含耳头顶1.103390m，完整双耳顶部1.500m。</x:v>
      </x:c>
    </x:row>
    <x:row r="159" ht="118" customHeight="1">
      <x:c r="A159" s="70" t="str">
        <x:v>CHR-PLY-CAPSULE01-3D-BUNNY01-EARS</x:v>
      </x:c>
      <x:c r="B159" s="70" t="str">
        <x:v>兔子主角3D双耳配件</x:v>
      </x:c>
      <x:c r="C159" s="70" t="str">
        <x:v>角色</x:v>
      </x:c>
      <x:c r="D159" s="70" t="str">
        <x:v>player_accessory</x:v>
      </x:c>
      <x:c r="E159" s="70" t="str">
        <x:v>player_capsule01</x:v>
      </x:c>
      <x:c r="F159" s="70" t="str">
        <x:v>ears_3d_bunny01</x:v>
      </x:c>
      <x:c r="G159" s="70" t="str">
        <x:v>CHR-PLY-CAPSULE01-3D-BUNNY01-HEAD</x:v>
      </x:c>
      <x:c r="H159" s="70" t="str">
        <x:v>俯视3D</x:v>
      </x:c>
      <x:c r="I159" s="70" t="str">
        <x:v>default</x:v>
      </x:c>
      <x:c r="J159" s="70" t="str">
        <x:v>3D玩家场景</x:v>
      </x:c>
      <x:c r="K159" s="70" t="str">
        <x:v>原型已接入</x:v>
      </x:c>
      <x:c r="L159" s="70" t="str">
        <x:v>P0</x:v>
      </x:c>
      <x:c r="M159" s="70" t="str">
        <x:v>v006</x:v>
      </x:c>
      <x:c r="N159" s="70" t="str">
        <x:v>单 GLB / 1,536 verts / pivot-local / 双实例</x:v>
      </x:c>
      <x:c r="O159" s="70" t="str">
        <x:v>assets/art/characters/player/chr_player_capsule01_3d/variants/bunny01/components/chr_player_capsule01_bunny01_ear_top3d_v006.glb</x:v>
      </x:c>
      <x:c r="P159" s="70" t="str">
        <x:v>assets/art/characters/player/chr_player_capsule01_3d/variants/bunny01/source/chr_player_capsule01_bunny01_top3d_v006.blend</x:v>
      </x:c>
      <x:c r="Q159" s="70" t="str">
        <x:v>兔耳;耳朵;耳部配件;EarSocketL;EarSocketR;bunny01</x:v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str">
        <x:v>ed3c7abe283166648fafb43373c1dc2222bf9134f3d7bb8e0ebd8d3a05242ebf</x:v>
      </x:c>
      <x:c r="U159" s="70" t="str">
        <x:v>Codex</x:v>
      </x:c>
      <x:c r="V159" s="71" t="n">
        <x:v>46233</x:v>
      </x:c>
      <x:c r="W159" s="70" t="str">
        <x:v>用户提供 Blender 源文件</x:v>
      </x:c>
      <x:c r="X159" s="70" t="str">
        <x:v>v0.1 v006：耳朵网格与耳根原点真实1.5倍；左右挂点复用单资产，装配后最高点严格1.500m。</x:v>
      </x:c>
    </x:row>
    <x:row r="160" ht="118" customHeight="1">
      <x:c r="A160" s="70" t="str">
        <x:v>CHR-PLY-CAPSULE01-3D-BUNNY01-HAND</x:v>
      </x:c>
      <x:c r="B160" s="70" t="str">
        <x:v>兔子主角3D双爪表现组件</x:v>
      </x:c>
      <x:c r="C160" s="70" t="str">
        <x:v>角色</x:v>
      </x:c>
      <x:c r="D160" s="70" t="str">
        <x:v>player_component</x:v>
      </x:c>
      <x:c r="E160" s="70" t="str">
        <x:v>player_capsule01</x:v>
      </x:c>
      <x:c r="F160" s="70" t="str">
        <x:v>hand_3d_bunny01</x:v>
      </x:c>
      <x:c r="G160" s="70" t="str">
        <x:v>CHR-PLY-CAPSULE01-3D-BUNNY01</x:v>
      </x:c>
      <x:c r="H160" s="70" t="str">
        <x:v>俯视3D</x:v>
      </x:c>
      <x:c r="I160" s="70" t="str">
        <x:v>default</x:v>
      </x:c>
      <x:c r="J160" s="70" t="str">
        <x:v>3D玩家场景</x:v>
      </x:c>
      <x:c r="K160" s="70" t="str">
        <x:v>原型已接入</x:v>
      </x:c>
      <x:c r="L160" s="70" t="str">
        <x:v>P0</x:v>
      </x:c>
      <x:c r="M160" s="70" t="str">
        <x:v>v006</x:v>
      </x:c>
      <x:c r="N160" s="70" t="str">
        <x:v>双 GLB / 左右各1,058 verts / pivot-local / 1.5m角色比例</x:v>
      </x:c>
      <x:c r="O160" s="70" t="str">
        <x:v>assets/art/characters/player/chr_player_capsule01_3d/variants/bunny01/components/chr_player_capsule01_bunny01_hand_l_top3d_v006.glb; assets/art/characters/player/chr_player_capsule01_3d/variants/bunny01/components/chr_player_capsule01_bunny01_hand_r_top3d_v006.glb</x:v>
      </x:c>
      <x:c r="P160" s="70" t="str">
        <x:v>assets/art/characters/player/chr_player_capsule01_3d/variants/bunny01/source/chr_player_capsule01_bunny01_top3d_v006.blend</x:v>
      </x:c>
      <x:c r="Q160" s="70" t="str">
        <x:v>兔爪;手;握持;weapon_socket;bunny01</x:v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str">
        <x:v>2c6647c0e4f234e9312ba65e7c73f55c02627be9b7a2c35d1591d86a20cb5f16 / b3ada7b67d0224156d1c39af0bdc0e53af02cb5d26ba68d4746b7859a84a1d10</x:v>
      </x:c>
      <x:c r="U160" s="70" t="str">
        <x:v>Codex</x:v>
      </x:c>
      <x:c r="V160" s="71" t="n">
        <x:v>46233</x:v>
      </x:c>
      <x:c r="W160" s="70" t="str">
        <x:v>用户提供 Blender 源文件</x:v>
      </x:c>
      <x:c r="X160" s="70" t="str">
        <x:v>v0.1 v006：左右手、手腕原点、单/双手握持目标和动作平移统一改用0.606060606米制比例；持枪外观与确认预览一致。</x:v>
      </x:c>
    </x:row>
    <x:row r="161" ht="132" customHeight="1">
      <x:c r="A161" s="70" t="str">
        <x:v>CHR-PLY-CAPSULE01-3D-BUNNY01-FOOT-L</x:v>
      </x:c>
      <x:c r="B161" s="70" t="str">
        <x:v>兔子主角3D左脚</x:v>
      </x:c>
      <x:c r="C161" s="70" t="str">
        <x:v>角色</x:v>
      </x:c>
      <x:c r="D161" s="70" t="str">
        <x:v>player_component</x:v>
      </x:c>
      <x:c r="E161" s="70" t="str">
        <x:v>player_capsule01</x:v>
      </x:c>
      <x:c r="F161" s="70" t="str">
        <x:v>foot_l_3d_bunny01</x:v>
      </x:c>
      <x:c r="G161" s="70" t="str">
        <x:v>CHR-PLY-CAPSULE01-3D-BUNNY01</x:v>
      </x:c>
      <x:c r="H161" s="70" t="str">
        <x:v>俯视3D</x:v>
      </x:c>
      <x:c r="I161" s="70" t="str">
        <x:v>moving</x:v>
      </x:c>
      <x:c r="J161" s="70" t="str">
        <x:v>3D玩家场景</x:v>
      </x:c>
      <x:c r="K161" s="70" t="str">
        <x:v>原型已接入</x:v>
      </x:c>
      <x:c r="L161" s="70" t="str">
        <x:v>P0</x:v>
      </x:c>
      <x:c r="M161" s="70" t="str">
        <x:v>v006</x:v>
      </x:c>
      <x:c r="N161" s="70" t="str">
        <x:v>GLB / 5,396 verts / pivot-local / 1.5m角色比例</x:v>
      </x:c>
      <x:c r="O161" s="70" t="str">
        <x:v>assets/art/characters/player/chr_player_capsule01_3d/variants/bunny01/components/chr_player_capsule01_bunny01_foot_l_top3d_v006.glb</x:v>
      </x:c>
      <x:c r="P161" s="70" t="str">
        <x:v>assets/art/characters/player/chr_player_capsule01_3d/variants/bunny01/source/chr_player_capsule01_bunny01_top3d_v006.blend</x:v>
      </x:c>
      <x:c r="Q161" s="70" t="str">
        <x:v>兔脚;左脚;步态;FootL;bunny01</x:v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str">
        <x:v>52051cba0db701d977c8baa8d7ed9899825b10406803ac63e6a3f66efbd80b64</x:v>
      </x:c>
      <x:c r="U161" s="70" t="str">
        <x:v>Codex</x:v>
      </x:c>
      <x:c r="V161" s="71" t="n">
        <x:v>46233</x:v>
      </x:c>
      <x:c r="W161" s="70" t="str">
        <x:v>用户提供 Blender 源文件</x:v>
      </x:c>
      <x:c r="X161" s="70" t="str">
        <x:v>v0.1：v006网格与AssetID不变；FootJointL除moving步态外新增falling收腿与landing压缩恢复职责，动作由PlayerAvatar3D程序变换驱动。</x:v>
      </x:c>
    </x:row>
    <x:row r="162" ht="132" customHeight="1">
      <x:c r="A162" s="70" t="str">
        <x:v>CHR-PLY-CAPSULE01-3D-BUNNY01-FOOT-R</x:v>
      </x:c>
      <x:c r="B162" s="70" t="str">
        <x:v>兔子主角3D右脚</x:v>
      </x:c>
      <x:c r="C162" s="70" t="str">
        <x:v>角色</x:v>
      </x:c>
      <x:c r="D162" s="70" t="str">
        <x:v>player_component</x:v>
      </x:c>
      <x:c r="E162" s="70" t="str">
        <x:v>player_capsule01</x:v>
      </x:c>
      <x:c r="F162" s="70" t="str">
        <x:v>foot_r_3d_bunny01</x:v>
      </x:c>
      <x:c r="G162" s="70" t="str">
        <x:v>CHR-PLY-CAPSULE01-3D-BUNNY01</x:v>
      </x:c>
      <x:c r="H162" s="70" t="str">
        <x:v>俯视3D</x:v>
      </x:c>
      <x:c r="I162" s="70" t="str">
        <x:v>moving</x:v>
      </x:c>
      <x:c r="J162" s="70" t="str">
        <x:v>3D玩家场景</x:v>
      </x:c>
      <x:c r="K162" s="70" t="str">
        <x:v>原型已接入</x:v>
      </x:c>
      <x:c r="L162" s="70" t="str">
        <x:v>P0</x:v>
      </x:c>
      <x:c r="M162" s="70" t="str">
        <x:v>v006</x:v>
      </x:c>
      <x:c r="N162" s="70" t="str">
        <x:v>GLB / 5,396 verts / pivot-local / 1.5m角色比例</x:v>
      </x:c>
      <x:c r="O162" s="70" t="str">
        <x:v>assets/art/characters/player/chr_player_capsule01_3d/variants/bunny01/components/chr_player_capsule01_bunny01_foot_r_top3d_v006.glb</x:v>
      </x:c>
      <x:c r="P162" s="70" t="str">
        <x:v>assets/art/characters/player/chr_player_capsule01_3d/variants/bunny01/source/chr_player_capsule01_bunny01_top3d_v006.blend</x:v>
      </x:c>
      <x:c r="Q162" s="70" t="str">
        <x:v>兔脚;右脚;步态;FootR;bunny01</x:v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str">
        <x:v>d81e840f5c087b349fd6e19b4cb7e65eb79294edb937fdc75192b66967c29e2e</x:v>
      </x:c>
      <x:c r="U162" s="70" t="str">
        <x:v>Codex</x:v>
      </x:c>
      <x:c r="V162" s="71" t="n">
        <x:v>46233</x:v>
      </x:c>
      <x:c r="W162" s="70" t="str">
        <x:v>用户提供 Blender 源文件</x:v>
      </x:c>
      <x:c r="X162" s="70" t="str">
        <x:v>v0.1：v006网格与AssetID不变；FootJointR除moving步态外新增falling收腿与landing压缩恢复职责，动作由PlayerAvatar3D程序变换驱动。</x:v>
      </x:c>
    </x:row>
    <x:row r="163" ht="155" customHeight="1">
      <x:c r="A163" s="70" t="str">
        <x:v>ENV-TOWER-DESCENT-KIT-3D</x:v>
      </x:c>
      <x:c r="B163" s="70" t="str">
        <x:v>向下爬楼塔楼3D五米模块化母版</x:v>
      </x:c>
      <x:c r="C163" s="70" t="str">
        <x:v>场景</x:v>
      </x:c>
      <x:c r="D163" s="70" t="str">
        <x:v>room_kit</x:v>
      </x:c>
      <x:c r="E163" s="70" t="str">
        <x:v>tower_descent</x:v>
      </x:c>
      <x:c r="F163" s="70" t="str">
        <x:v>root_3d</x:v>
      </x:c>
      <x:c r="G163" s="70" t="str">
        <x:v>ENV-DUNGEON-RUNTIME-3D</x:v>
      </x:c>
      <x:c r="H163" s="70" t="str">
        <x:v>俯视3D</x:v>
      </x:c>
      <x:c r="I163" s="70" t="str">
        <x:v>godot_runtime</x:v>
      </x:c>
      <x:c r="J163" s="70" t="str">
        <x:v>250×250m整层；99层30×30m/6×6格基地；98—95层终局路线；2.2×2.5m门</x:v>
      </x:c>
      <x:c r="K163" s="70" t="str">
        <x:v>原型已接入</x:v>
      </x:c>
      <x:c r="L163" s="70" t="str">
        <x:v>P0</x:v>
      </x:c>
      <x:c r="M163" s="70" t="str">
        <x:v>v007</x:v>
      </x:c>
      <x:c r="N163" s="70" t="str">
        <x:v>Blender 4.2源文件/1单位=1m/PH49运行时布局审阅集合</x:v>
      </x:c>
      <x:c r="O163" s="70" t="str">
        <x:v>assets/art/environments/tower_descent_3d/source/env_tower_descent_kit_top3d_v007.blend</x:v>
      </x:c>
      <x:c r="P163" s="70" t="str">
        <x:v>assets/art/environments/tower_descent_3d/source/validate_env_tower_descent_kit_top3d_v007.py; assets/art/environments/tower_descent_3d/source/render_env_tower_descent_kit_top3d_v007.py; docs/v0.1/03_关卡与场景设计.md</x:v>
      </x:c>
      <x:c r="Q163" s="70" t="str">
        <x:v>塔楼;向下爬楼;楼顶;基地层;战斗层;特殊楼梯;通用楼梯;五米网格;模块化地砖;模块化墙;模块化门;Blender</x:v>
      </x:c>
      <x:c r="R163" s="70" t="str">
        <x:v>场景|room_kit|tower_descent|root_3d|俯视3d|blender_review</x:v>
      </x:c>
      <x:c r="S163" s="70" t="str">
        <x:v>唯一</x:v>
      </x:c>
      <x:c r="T163" s="70" t="str">
        <x:v>ef19c00e61478f0b3268edd9746e7fcf6704a2865aac0b4121474ab9b98e7552</x:v>
      </x:c>
      <x:c r="U163" s="70" t="str">
        <x:v>Codex</x:v>
      </x:c>
      <x:c r="V163" s="71" t="n">
        <x:v>46237</x:v>
      </x:c>
      <x:c r="W163" s="71" t="str">
        <x:v>程序生成 Blender 源集合</x:v>
      </x:c>
      <x:c r="X163" s="70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</x:v>
      </x:c>
    </x:row>
    <x:row r="164" ht="132" customHeight="1">
      <x:c r="A164" s="70" t="str">
        <x:v>ENV-TOWER-FLOOR-TILE-5M</x:v>
      </x:c>
      <x:c r="B164" s="70" t="str">
        <x:v>塔楼5米地砖模块</x:v>
      </x:c>
      <x:c r="C164" s="70" t="str">
        <x:v>场景</x:v>
      </x:c>
      <x:c r="D164" s="70" t="str">
        <x:v>room_kit</x:v>
      </x:c>
      <x:c r="E164" s="70" t="str">
        <x:v>tower_descent</x:v>
      </x:c>
      <x:c r="F164" s="70" t="str">
        <x:v>floor_tile_5m</x:v>
      </x:c>
      <x:c r="G164" s="70" t="str">
        <x:v>ENV-TOWER-DESCENT-KIT-3D</x:v>
      </x:c>
      <x:c r="H164" s="70" t="str">
        <x:v>俯视3D</x:v>
      </x:c>
      <x:c r="I164" s="70" t="str">
        <x:v>godot_runtime</x:v>
      </x:c>
      <x:c r="J164" s="70" t="str">
        <x:v>塔楼六个物理层楼板/335m MultiMesh网格/动态水平通道</x:v>
      </x:c>
      <x:c r="K164" s="70" t="str">
        <x:v>原型已接入</x:v>
      </x:c>
      <x:c r="L164" s="70" t="str">
        <x:v>P0</x:v>
      </x:c>
      <x:c r="M164" s="70" t="str">
        <x:v>v001</x:v>
      </x:c>
      <x:c r="N164" s="70" t="str">
        <x:v>GLB / 5×5×0.30m / 共享Mesh / MultiMesh平铺</x:v>
      </x:c>
      <x:c r="O164" s="70" t="str">
        <x:v>assets/art/environments/tower_descent_3d/components/env_tower_floor_tile_5m_top3d_v001.glb</x:v>
      </x:c>
      <x:c r="P164" s="70" t="str">
        <x:v>Blender集合=10A_MOD_FLOOR_TILE_5M_U01; export_env_tower_5m_modules_v001.py; TowerFloorStage3D.gd; tests/verification/verify_tower_descent_flow.tscn</x:v>
      </x:c>
      <x:c r="Q164" s="70" t="str">
        <x:v>塔楼;地砖;楼板;5米;模块化;平铺;四向接口</x:v>
      </x:c>
      <x:c r="R164" s="70" t="str">
        <x:v>场景|room_kit|tower_descent|floor_tile_5m|俯视3d|blender_review</x:v>
      </x:c>
      <x:c r="S164" s="70" t="str">
        <x:v>母版子集合</x:v>
      </x:c>
      <x:c r="T164" s="70" t="str">
        <x:v>987b220bef57c4176590caf7568c909d90768450c00f7e4e27c4c61986e6ef2d</x:v>
      </x:c>
      <x:c r="U164" s="70" t="str">
        <x:v>Codex</x:v>
      </x:c>
      <x:c r="V164" s="71" t="n">
        <x:v>46237</x:v>
      </x:c>
      <x:c r="W164" s="70" t="str">
        <x:v>程序生成Blender源集合</x:v>
      </x:c>
      <x:c r="X164" s="70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</x:v>
      </x:c>
    </x:row>
    <x:row r="165" ht="132" customHeight="1">
      <x:c r="A165" s="70" t="str">
        <x:v>ENV-TOWER-WALL-SOLID-5M</x:v>
      </x:c>
      <x:c r="B165" s="70" t="str">
        <x:v>塔楼5米满高实墙模块</x:v>
      </x:c>
      <x:c r="C165" s="70" t="str">
        <x:v>场景</x:v>
      </x:c>
      <x:c r="D165" s="70" t="str">
        <x:v>room_kit</x:v>
      </x:c>
      <x:c r="E165" s="70" t="str">
        <x:v>tower_descent</x:v>
      </x:c>
      <x:c r="F165" s="70" t="str">
        <x:v>wall_solid_5m</x:v>
      </x:c>
      <x:c r="G165" s="70" t="str">
        <x:v>ENV-TOWER-DESCENT-KIT-3D</x:v>
      </x:c>
      <x:c r="H165" s="70" t="str">
        <x:v>俯视3D</x:v>
      </x:c>
      <x:c r="I165" s="70" t="str">
        <x:v>godot_runtime</x:v>
      </x:c>
      <x:c r="J165" s="70" t="str">
        <x:v>整层外墙/65m核心/探索房内墙/5m正交走廊</x:v>
      </x:c>
      <x:c r="K165" s="70" t="str">
        <x:v>原型已接入</x:v>
      </x:c>
      <x:c r="L165" s="70" t="str">
        <x:v>P0</x:v>
      </x:c>
      <x:c r="M165" s="70" t="str">
        <x:v>v001</x:v>
      </x:c>
      <x:c r="N165" s="70" t="str">
        <x:v>GLB / 5×0.30×9m / 共享Mesh / 可旋转</x:v>
      </x:c>
      <x:c r="O165" s="70" t="str">
        <x:v>assets/art/environments/tower_descent_3d/components/env_tower_wall_solid_5m_top3d_v001.glb</x:v>
      </x:c>
      <x:c r="P165" s="70" t="str">
        <x:v>Blender集合=10B_MOD_WALL_SOLID_5M_U01; export_env_tower_5m_modules_v001.py; DungeonRoom3D.gd; TowerFloorStage3D.gd; mat_tower_wall_solid_a_v001.tres; mat_tower_wall_solid_b_v001.tres; tests/verification/verify_tower_descent_flow.tscn</x:v>
      </x:c>
      <x:c r="Q165" s="70" t="str">
        <x:v>塔楼;实墙;满高墙;5米;模块化;室内隔墙;核心外墙</x:v>
      </x:c>
      <x:c r="R165" s="70" t="str">
        <x:v>场景|room_kit|tower_descent|wall_solid_5m|俯视3d|blender_review</x:v>
      </x:c>
      <x:c r="S165" s="70" t="str">
        <x:v>母版子集合</x:v>
      </x:c>
      <x:c r="T165" s="70" t="str">
        <x:v>5680bf2dedc964fcbfd5e5ee7d5ba86af5ba8a2c77c64a02151aee19a7f2cc33</x:v>
      </x:c>
      <x:c r="U165" s="70" t="str">
        <x:v>Codex</x:v>
      </x:c>
      <x:c r="V165" s="71" t="n">
        <x:v>46237</x:v>
      </x:c>
      <x:c r="W165" s="70" t="str">
        <x:v>程序生成 Blender 源集合</x:v>
      </x:c>
      <x:c r="X165" s="70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70" t="str">
        <x:v>ENV-TOWER-WALL-PARAPET-5M</x:v>
      </x:c>
      <x:c r="B166" s="70" t="str">
        <x:v>塔楼5米楼顶女儿墙模块</x:v>
      </x:c>
      <x:c r="C166" s="70" t="str">
        <x:v>场景</x:v>
      </x:c>
      <x:c r="D166" s="70" t="str">
        <x:v>room_kit</x:v>
      </x:c>
      <x:c r="E166" s="70" t="str">
        <x:v>tower_descent</x:v>
      </x:c>
      <x:c r="F166" s="70" t="str">
        <x:v>wall_parapet_5m</x:v>
      </x:c>
      <x:c r="G166" s="70" t="str">
        <x:v>ENV-TOWER-DESCENT-KIT-3D</x:v>
      </x:c>
      <x:c r="H166" s="70" t="str">
        <x:v>俯视3D</x:v>
      </x:c>
      <x:c r="I166" s="70" t="str">
        <x:v>godot_runtime</x:v>
      </x:c>
      <x:c r="J166" s="70" t="str">
        <x:v>335m楼顶四周边界/268段MultiMesh围栏</x:v>
      </x:c>
      <x:c r="K166" s="70" t="str">
        <x:v>原型已接入</x:v>
      </x:c>
      <x:c r="L166" s="70" t="str">
        <x:v>P1</x:v>
      </x:c>
      <x:c r="M166" s="70" t="str">
        <x:v>v001</x:v>
      </x:c>
      <x:c r="N166" s="70" t="str">
        <x:v>GLB / 5×0.30×1.50m / 共享Mesh</x:v>
      </x:c>
      <x:c r="O166" s="70" t="str">
        <x:v>assets/art/environments/tower_descent_3d/components/env_tower_wall_parapet_5m_top3d_v001.glb</x:v>
      </x:c>
      <x:c r="P166" s="70" t="str">
        <x:v>Blender集合=10C_MOD_WALL_PARAPET_5M_U01; export_env_tower_5m_modules_v001.py; TowerFloorStage3D.gd; tests/verification/verify_tower_descent_visual.tscn</x:v>
      </x:c>
      <x:c r="Q166" s="70" t="str">
        <x:v>塔楼;女儿墙;护栏;5米;模块化;楼顶边界</x:v>
      </x:c>
      <x:c r="R166" s="70" t="str">
        <x:v>场景|room_kit|tower_descent|wall_parapet_5m|俯视3d|blender_review</x:v>
      </x:c>
      <x:c r="S166" s="70" t="str">
        <x:v>母版子集合</x:v>
      </x:c>
      <x:c r="T166" s="70" t="str">
        <x:v>44fdb663487a9bf010d8fa249a2f9811843409c35d9f7ce8d09c48f7de7bf808</x:v>
      </x:c>
      <x:c r="U166" s="70" t="str">
        <x:v>Codex</x:v>
      </x:c>
      <x:c r="V166" s="71" t="n">
        <x:v>46233</x:v>
      </x:c>
      <x:c r="W166" s="70" t="str">
        <x:v>程序生成Blender源集合</x:v>
      </x:c>
      <x:c r="X166" s="70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70" t="str">
        <x:v>ENV-TOWER-WALL-DOOR-5M</x:v>
      </x:c>
      <x:c r="B167" s="70" t="str">
        <x:v>塔楼5米带门墙模块</x:v>
      </x:c>
      <x:c r="C167" s="70" t="str">
        <x:v>场景</x:v>
      </x:c>
      <x:c r="D167" s="70" t="str">
        <x:v>room_kit</x:v>
      </x:c>
      <x:c r="E167" s="70" t="str">
        <x:v>tower_descent</x:v>
      </x:c>
      <x:c r="F167" s="70" t="str">
        <x:v>wall_door_5m</x:v>
      </x:c>
      <x:c r="G167" s="70" t="str">
        <x:v>ENV-TOWER-DESCENT-KIT-3D</x:v>
      </x:c>
      <x:c r="H167" s="70" t="str">
        <x:v>俯视3D</x:v>
      </x:c>
      <x:c r="I167" s="70" t="str">
        <x:v>godot_runtime</x:v>
      </x:c>
      <x:c r="J167" s="70" t="str">
        <x:v>5m墙位/2.2m净宽/2.5m净高/独立门扇</x:v>
      </x:c>
      <x:c r="K167" s="70" t="str">
        <x:v>原型已接入</x:v>
      </x:c>
      <x:c r="L167" s="70" t="str">
        <x:v>P0</x:v>
      </x:c>
      <x:c r="M167" s="70" t="str">
        <x:v>v002</x:v>
      </x:c>
      <x:c r="N167" s="70" t="str">
        <x:v>Blender 4.2 GLB/7个Mesh部件/2.2×2.5m净开口</x:v>
      </x:c>
      <x:c r="O167" s="70" t="str">
        <x:v>assets/art/environments/tower_descent_3d/components/env_tower_wall_door_5m_top3d_v002.glb</x:v>
      </x:c>
      <x:c r="P167" s="70" t="str">
        <x:v>assets/art/environments/tower_descent_3d/source/export_env_tower_door_5m_v002.py; assets/art/environments/tower_descent_3d/source/env_tower_descent_kit_top3d_v007.blend</x:v>
      </x:c>
      <x:c r="Q167" s="70" t="str">
        <x:v>塔楼;门;门洞;5米;模块化;肉鸽触发;独立门扇</x:v>
      </x:c>
      <x:c r="R167" s="70" t="str">
        <x:v>场景|room_kit|tower_descent|wall_door_5m|俯视3d|blender_review</x:v>
      </x:c>
      <x:c r="S167" s="70" t="str">
        <x:v>母版子集合</x:v>
      </x:c>
      <x:c r="T167" s="70" t="str">
        <x:v>75f03e2bc785b0d957df9e27940ac9a024097ce6f2c371ae947b2c48cce69ca1</x:v>
      </x:c>
      <x:c r="U167" s="70" t="str">
        <x:v>Codex</x:v>
      </x:c>
      <x:c r="V167" s="71" t="n">
        <x:v>46236</x:v>
      </x:c>
      <x:c r="W167" s="70" t="str">
        <x:v>程序生成 Blender 源集合</x:v>
      </x:c>
      <x:c r="X167" s="70" t="str">
        <x:v>2026-08-02：南北门墙统一使用仅限相机层的门洞代理，开门不再全局绕过后墙检测；代理不阻挡玩家、怪物或子弹。</x:v>
      </x:c>
    </x:row>
    <x:row r="168" ht="132" customHeight="1">
      <x:c r="A168" s="70" t="str">
        <x:v>ENV-TOWER-STAIRWELL-GENERIC-9M</x:v>
      </x:c>
      <x:c r="B168" s="70" t="str">
        <x:v>塔楼9米通用双跑楼梯间</x:v>
      </x:c>
      <x:c r="C168" s="70" t="str">
        <x:v>场景</x:v>
      </x:c>
      <x:c r="D168" s="70" t="str">
        <x:v>room_kit</x:v>
      </x:c>
      <x:c r="E168" s="70" t="str">
        <x:v>tower_descent</x:v>
      </x:c>
      <x:c r="F168" s="70" t="str">
        <x:v>stairwell_generic_9m</x:v>
      </x:c>
      <x:c r="G168" s="70" t="str">
        <x:v>ENV-TOWER-DESCENT-KIT-3D</x:v>
      </x:c>
      <x:c r="H168" s="70" t="str">
        <x:v>俯视3D</x:v>
      </x:c>
      <x:c r="I168" s="70" t="str">
        <x:v>godot_runtime</x:v>
      </x:c>
      <x:c r="J168" s="70" t="str">
        <x:v>99层以下通用楼梯/四向旋转/上下楼交通</x:v>
      </x:c>
      <x:c r="K168" s="70" t="str">
        <x:v>原型已接入</x:v>
      </x:c>
      <x:c r="L168" s="70" t="str">
        <x:v>P0</x:v>
      </x:c>
      <x:c r="M168" s="70" t="str">
        <x:v>v001</x:v>
      </x:c>
      <x:c r="N168" s="70" t="str">
        <x:v>GLB / 14.751×27.617×约18.41m包围 / 9m层差 / 48子对象</x:v>
      </x:c>
      <x:c r="O168" s="70" t="str">
        <x:v>assets/art/environments/tower_descent_3d/components/env_tower_stairwell_generic_9m_top3d_v001.glb</x:v>
      </x:c>
      <x:c r="P168" s="70" t="str">
        <x:v>Blender根=Stair_Generic_Rotatable_ROOT; env_tower_descent_kit_top3d_v007.blend; export_env_tower_stairwells_v001.py; TowerDescent3D.gd; tests/verification/verify_tower_descent_flow.tscn</x:v>
      </x:c>
      <x:c r="Q168" s="70" t="str">
        <x:v>塔楼;通用楼梯;双跑楼梯;折角平台;9米层高;四向旋转;Blender直出</x:v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str">
        <x:v>b0416e02b70673bb4cc38a58436210ff04343f6d68b4f5b80f8e1a0c5daaf844</x:v>
      </x:c>
      <x:c r="U168" s="70" t="str">
        <x:v>Codex</x:v>
      </x:c>
      <x:c r="V168" s="71" t="n">
        <x:v>46237</x:v>
      </x:c>
      <x:c r="W168" s="70" t="str">
        <x:v>用户手工Blender模型</x:v>
      </x:c>
      <x:c r="X168" s="70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v>
      </x:c>
    </x:row>
    <x:row r="169" ht="132" customHeight="1">
      <x:c r="A169" s="70" t="str">
        <x:v>ENV-TOWER-STAIRWELL-ROOFTOP-9M</x:v>
      </x:c>
      <x:c r="B169" s="70" t="str">
        <x:v>塔楼楼顶特殊双跑楼梯间</x:v>
      </x:c>
      <x:c r="C169" s="70" t="str">
        <x:v>场景</x:v>
      </x:c>
      <x:c r="D169" s="70" t="str">
        <x:v>room_kit</x:v>
      </x:c>
      <x:c r="E169" s="70" t="str">
        <x:v>tower_descent</x:v>
      </x:c>
      <x:c r="F169" s="70" t="str">
        <x:v>stairwell_rooftop_9m</x:v>
      </x:c>
      <x:c r="G169" s="70" t="str">
        <x:v>ENV-TOWER-DESCENT-KIT-3D</x:v>
      </x:c>
      <x:c r="H169" s="70" t="str">
        <x:v>俯视3D</x:v>
      </x:c>
      <x:c r="I169" s="70" t="str">
        <x:v>godot_runtime</x:v>
      </x:c>
      <x:c r="J169" s="70" t="str">
        <x:v>楼顶至99层特殊交通/保留手调墙高</x:v>
      </x:c>
      <x:c r="K169" s="70" t="str">
        <x:v>原型已接入</x:v>
      </x:c>
      <x:c r="L169" s="70" t="str">
        <x:v>P0</x:v>
      </x:c>
      <x:c r="M169" s="70" t="str">
        <x:v>v001</x:v>
      </x:c>
      <x:c r="N169" s="70" t="str">
        <x:v>GLB / 14.751×27.617×约15.36m包围 / 9m层差 / 47子对象</x:v>
      </x:c>
      <x:c r="O169" s="70" t="str">
        <x:v>assets/art/environments/tower_descent_3d/components/env_tower_stairwell_rooftop_9m_top3d_v001.glb</x:v>
      </x:c>
      <x:c r="P169" s="70" t="str">
        <x:v>Blender根=Stair_Special_Rooftop_ROOT; env_tower_descent_kit_top3d_v007.blend; export_env_tower_stairwells_v001.py; TowerDescent3D.gd; tests/verification/verify_tower_descent_flow.tscn</x:v>
      </x:c>
      <x:c r="Q169" s="70" t="str">
        <x:v>塔楼;楼顶楼梯;特殊楼梯;双跑楼梯;特殊墙高;9米层高;Blender直出</x:v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唯一</x:v>
      </x:c>
      <x:c r="T169" s="70" t="str">
        <x:v>88198a579cc846974f17f5203b46b568b7ab2421fd7bb63c0b7868ddd05684a2</x:v>
      </x:c>
      <x:c r="U169" s="70" t="str">
        <x:v>Codex</x:v>
      </x:c>
      <x:c r="V169" s="71" t="n">
        <x:v>46237</x:v>
      </x:c>
      <x:c r="W169" s="70" t="str">
        <x:v>用户手工Blender模型</x:v>
      </x:c>
      <x:c r="X169" s="70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612d2613ce4ab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42" hidden="0" customWidth="1"/>
    <x:col min="4" max="4" width="15" hidden="0" customWidth="1"/>
    <x:col min="5" max="5" width="44" hidden="0" customWidth="1"/>
    <x:col min="6" max="6" width="14" hidden="0" customWidth="1"/>
    <x:col min="7" max="7" width="34" hidden="0" customWidth="1"/>
    <x:col min="8" max="8" width="19" hidden="0" customWidth="1"/>
    <x:col min="9" max="9" width="6" hidden="0" customWidth="1"/>
    <x:col min="10" max="10" width="26" hidden="0" customWidth="1"/>
    <x:col min="11" max="11" width="20" hidden="0" customWidth="1"/>
    <x:col min="12" max="12" width="8" hidden="0" customWidth="1"/>
    <x:col min="13" max="13" width="42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四主模块：Body/Head/Hand/Feet；2D旧胶囊不在本次迁移范围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可选；layer2；允许太阳/室内灯外部投影；玩家三灯不产生自身投影；GI禁用。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可选；layer2；允许太阳/室内灯外部投影；玩家三灯不产生自身投影；GI禁用。</x:v>
      </x:c>
    </x:row>
    <x:row r="31" ht="104" customHeight="1">
      <x:c r="A31" s="70" t="str">
        <x:v>player_capsule01_bunny01_3d</x:v>
      </x:c>
      <x:c r="B31" s="70" t="str">
        <x:v>root</x:v>
      </x:c>
      <x:c r="C31" s="70" t="str">
        <x:v>Avatar3D/VisualRoot/BunnyRig</x:v>
      </x:c>
      <x:c r="D31" s="70" t="str">
        <x:v>player_root</x:v>
      </x:c>
      <x:c r="E31" s="70" t="str">
        <x:v>assets/art/characters/player/chr_player_capsule01_3d/variants/bunny01/chr_player_capsule01_bunny01_root_top3d_v006.tscn</x:v>
      </x:c>
      <x:c r="F31" s="70" t="str">
        <x:v>Node3D刚性骨架 / 完整视觉1.500m</x:v>
      </x:c>
      <x:c r="G31" s="70" t="str">
        <x:v>(0,0,0)</x:v>
      </x:c>
      <x:c r="H31" s="70" t="str">
        <x:v>整体随准星绕Y轴</x:v>
      </x:c>
      <x:c r="I31" s="70" t="n">
        <x:v>0</x:v>
      </x:c>
      <x:c r="J31" s="70" t="str">
        <x:v>八态整体 + falling收束/landing压缩回弹 + 动作覆盖</x:v>
      </x:c>
      <x:c r="K31" s="70" t="str">
        <x:v>Godot骨架根</x:v>
      </x:c>
      <x:c r="L31" s="70" t="str">
        <x:v>是</x:v>
      </x:c>
      <x:c r="M31" s="70" t="str">
        <x:v>v0.1：v006真实1.5m分体网格与AssetID不变；玩法碰撞位于Player3D/VirtualCollisionCapsule（height=1.5m、radius=0.34m）。falling/landing复用既有Body/Head/Hands/Feet/EarSocket关节。</x:v>
      </x:c>
    </x:row>
    <x:row r="32" ht="104" customHeight="1">
      <x:c r="A32" s="70" t="str">
        <x:v>player_capsule01_bunny01_3d</x:v>
      </x:c>
      <x:c r="B32" s="70" t="str">
        <x:v>body</x:v>
      </x:c>
      <x:c r="C32" s="70" t="str">
        <x:v>VisualRoot/BunnyRig/BodyJoint/Model</x:v>
      </x:c>
      <x:c r="D32" s="70" t="str">
        <x:v>BunnyRig</x:v>
      </x:c>
      <x:c r="E32" s="70" t="str">
        <x:v>assets/art/characters/player/chr_player_capsule01_3d/variants/bunny01/components/chr_player_capsule01_bunny01_body_top3d_v006.glb</x:v>
      </x:c>
      <x:c r="F32" s="70" t="str">
        <x:v>pivot-local GLB / 1.5m比例</x:v>
      </x:c>
      <x:c r="G32" s="70" t="str">
        <x:v>(-0.000030,0.155022,-0.000635)</x:v>
      </x:c>
      <x:c r="H32" s="70" t="str">
        <x:v>BodyJoint</x:v>
      </x:c>
      <x:c r="I32" s="70" t="n">
        <x:v>1</x:v>
      </x:c>
      <x:c r="J32" s="70" t="str">
        <x:v>呼吸/移动挤压/突进翻滚/受击</x:v>
      </x:c>
      <x:c r="K32" s="70" t="str">
        <x:v>身体组件</x:v>
      </x:c>
      <x:c r="L32" s="70" t="str">
        <x:v>是</x:v>
      </x:c>
      <x:c r="M32" s="70" t="str">
        <x:v>Blender原点：身体底部中心；v006真实1.5m几何。</x:v>
      </x:c>
    </x:row>
    <x:row r="33" ht="104" customHeight="1">
      <x:c r="A33" s="70" t="str">
        <x:v>player_capsule01_bunny01_3d</x:v>
      </x:c>
      <x:c r="B33" s="70" t="str">
        <x:v>head</x:v>
      </x:c>
      <x:c r="C33" s="70" t="str">
        <x:v>VisualRoot/BunnyRig/HeadJoint/Model</x:v>
      </x:c>
      <x:c r="D33" s="70" t="str">
        <x:v>BunnyRig</x:v>
      </x:c>
      <x:c r="E33" s="70" t="str">
        <x:v>assets/art/characters/player/chr_player_capsule01_3d/variants/bunny01/components/chr_player_capsule01_bunny01_head_top3d_v006.glb</x:v>
      </x:c>
      <x:c r="F33" s="70" t="str">
        <x:v>pivot-local GLB / 1.5m比例</x:v>
      </x:c>
      <x:c r="G33" s="70" t="str">
        <x:v>(-0.000028,0.477110,0.026431)</x:v>
      </x:c>
      <x:c r="H33" s="70" t="str">
        <x:v>HeadJoint</x:v>
      </x:c>
      <x:c r="I33" s="70" t="n">
        <x:v>3</x:v>
      </x:c>
      <x:c r="J33" s="70" t="str">
        <x:v>移动反相滞后/后坐/受击甩头</x:v>
      </x:c>
      <x:c r="K33" s="70" t="str">
        <x:v>头部组件</x:v>
      </x:c>
      <x:c r="L33" s="70" t="str">
        <x:v>是</x:v>
      </x:c>
      <x:c r="M33" s="70" t="str">
        <x:v>Blender原点：头部下沿中心；不含耳头顶1.103390m。</x:v>
      </x:c>
    </x:row>
    <x:row r="34" ht="104" customHeight="1">
      <x:c r="A34" s="70" t="str">
        <x:v>player_capsule01_bunny01_3d</x:v>
      </x:c>
      <x:c r="B34" s="70" t="str">
        <x:v>ear_l</x:v>
      </x:c>
      <x:c r="C34" s="70" t="str">
        <x:v>VisualRoot/BunnyRig/HeadJoint/Ears/EarSocketL/EarAccessory</x:v>
      </x:c>
      <x:c r="D34" s="70" t="str">
        <x:v>head</x:v>
      </x:c>
      <x:c r="E34" s="70" t="str">
        <x:v>assets/art/characters/player/chr_player_capsule01_3d/variants/bunny01/components/chr_player_capsule01_bunny01_ear_top3d_v006.glb</x:v>
      </x:c>
      <x:c r="F34" s="70" t="str">
        <x:v>pivot-local GLB × -X / 1.5m比例</x:v>
      </x:c>
      <x:c r="G34" s="70" t="str">
        <x:v>Head local (-0.245056,0.499653,-0.001671)</x:v>
      </x:c>
      <x:c r="H34" s="70" t="str">
        <x:v>继承HeadJoint</x:v>
      </x:c>
      <x:c r="I34" s="70" t="n">
        <x:v>4</x:v>
      </x:c>
      <x:c r="J34" s="70" t="str">
        <x:v>移动跟随/冲刺后压/受击收耳</x:v>
      </x:c>
      <x:c r="K34" s="70" t="str">
        <x:v>头部配件</x:v>
      </x:c>
      <x:c r="L34" s="70" t="str">
        <x:v>是</x:v>
      </x:c>
      <x:c r="M34" s="70" t="str">
        <x:v>复用语义右耳并在左挂点镜像；完整视觉顶部1.500m。</x:v>
      </x:c>
    </x:row>
    <x:row r="35" ht="104" customHeight="1">
      <x:c r="A35" s="70" t="str">
        <x:v>player_capsule01_bunny01_3d</x:v>
      </x:c>
      <x:c r="B35" s="70" t="str">
        <x:v>ear_r</x:v>
      </x:c>
      <x:c r="C35" s="70" t="str">
        <x:v>VisualRoot/BunnyRig/HeadJoint/Ears/EarSocketR/EarAccessory</x:v>
      </x:c>
      <x:c r="D35" s="70" t="str">
        <x:v>head</x:v>
      </x:c>
      <x:c r="E35" s="70" t="str">
        <x:v>assets/art/characters/player/chr_player_capsule01_3d/variants/bunny01/components/chr_player_capsule01_bunny01_ear_top3d_v006.glb</x:v>
      </x:c>
      <x:c r="F35" s="70" t="str">
        <x:v>pivot-local GLB / 1.5m比例</x:v>
      </x:c>
      <x:c r="G35" s="70" t="str">
        <x:v>Head local (0.245112,0.499653,-0.001671)</x:v>
      </x:c>
      <x:c r="H35" s="70" t="str">
        <x:v>继承HeadJoint</x:v>
      </x:c>
      <x:c r="I35" s="70" t="n">
        <x:v>4</x:v>
      </x:c>
      <x:c r="J35" s="70" t="str">
        <x:v>移动跟随/冲刺后压/受击收耳</x:v>
      </x:c>
      <x:c r="K35" s="70" t="str">
        <x:v>头部配件</x:v>
      </x:c>
      <x:c r="L35" s="70" t="str">
        <x:v>是</x:v>
      </x:c>
      <x:c r="M35" s="70" t="str">
        <x:v>语义右耳标准实例；完整视觉顶部1.500m。</x:v>
      </x:c>
    </x:row>
    <x:row r="36" ht="104" customHeight="1">
      <x:c r="A36" s="70" t="str">
        <x:v>player_capsule01_bunny01_3d</x:v>
      </x:c>
      <x:c r="B36" s="70" t="str">
        <x:v>hand_l</x:v>
      </x:c>
      <x:c r="C36" s="70" t="str">
        <x:v>VisualRoot/BunnyRig/HandRoot/HandJointL/Model</x:v>
      </x:c>
      <x:c r="D36" s="70" t="str">
        <x:v>BunnyRig</x:v>
      </x:c>
      <x:c r="E36" s="70" t="str">
        <x:v>assets/art/characters/player/chr_player_capsule01_3d/variants/bunny01/components/chr_player_capsule01_bunny01_hand_l_top3d_v006.glb</x:v>
      </x:c>
      <x:c r="F36" s="70" t="str">
        <x:v>pivot-local GLB / 1.5m比例</x:v>
      </x:c>
      <x:c r="G36" s="70" t="str">
        <x:v>Authored (-0.285833,0.321773,-0.014435); longgun support (0.121212,0.315152,-0.387879)</x:v>
      </x:c>
      <x:c r="H36" s="70" t="str">
        <x:v>HandRoot 独立左腕</x:v>
      </x:c>
      <x:c r="I36" s="70" t="n">
        <x:v>4</x:v>
      </x:c>
      <x:c r="J36" s="70" t="str">
        <x:v>手枪自由摆臂；长枪托举；换弹服务；双手枪后坐</x:v>
      </x:c>
      <x:c r="K36" s="70" t="str">
        <x:v>左手组件</x:v>
      </x:c>
      <x:c r="L36" s="70" t="str">
        <x:v>是</x:v>
      </x:c>
      <x:c r="M36" s="70" t="str">
        <x:v>手腕圆环近端轴心；网格、挂点与动作米制平移使用0.606060606比例。</x:v>
      </x:c>
    </x:row>
    <x:row r="37" ht="104" customHeight="1">
      <x:c r="A37" s="70" t="str">
        <x:v>player_capsule01_bunny01_3d</x:v>
      </x:c>
      <x:c r="B37" s="70" t="str">
        <x:v>hand_r</x:v>
      </x:c>
      <x:c r="C37" s="70" t="str">
        <x:v>VisualRoot/BunnyRig/HandRoot/HandJointR/Model</x:v>
      </x:c>
      <x:c r="D37" s="70" t="str">
        <x:v>BunnyRig</x:v>
      </x:c>
      <x:c r="E37" s="70" t="str">
        <x:v>assets/art/characters/player/chr_player_capsule01_3d/variants/bunny01/components/chr_player_capsule01_bunny01_hand_r_top3d_v006.glb</x:v>
      </x:c>
      <x:c r="F37" s="70" t="str">
        <x:v>pivot-local GLB / 1.5m比例</x:v>
      </x:c>
      <x:c r="G37" s="70" t="str">
        <x:v>Authored (0.285833,0.321773,-0.014435); sidearm (0.048485,0.339394,-0.296970)+socket X0.145455; longgun (0.078788,0.339394,-0.296970)</x:v>
      </x:c>
      <x:c r="H37" s="70" t="str">
        <x:v>HandRoot 独立右腕 / WeaponSocket 跟随</x:v>
      </x:c>
      <x:c r="I37" s="70" t="n">
        <x:v>4</x:v>
      </x:c>
      <x:c r="J37" s="70" t="str">
        <x:v>手枪/长枪主握把；独立跑步；武器差异射击后坐</x:v>
      </x:c>
      <x:c r="K37" s="70" t="str">
        <x:v>右手组件</x:v>
      </x:c>
      <x:c r="L37" s="70" t="str">
        <x:v>是</x:v>
      </x:c>
      <x:c r="M37" s="70" t="str">
        <x:v>右手主握把；持枪视觉与手/挂点使用同一0.606060606比例。</x:v>
      </x:c>
    </x:row>
    <x:row r="38" ht="104" customHeight="1">
      <x:c r="A38" s="70" t="str">
        <x:v>player_capsule01_bunny01_3d</x:v>
      </x:c>
      <x:c r="B38" s="70" t="str">
        <x:v>foot_l</x:v>
      </x:c>
      <x:c r="C38" s="70" t="str">
        <x:v>VisualRoot/BunnyRig/FeetRoot/FootJointL/Model</x:v>
      </x:c>
      <x:c r="D38" s="70" t="str">
        <x:v>FeetRoot</x:v>
      </x:c>
      <x:c r="E38" s="70" t="str">
        <x:v>assets/art/characters/player/chr_player_capsule01_3d/variants/bunny01/components/chr_player_capsule01_bunny01_foot_l_top3d_v006.glb</x:v>
      </x:c>
      <x:c r="F38" s="70" t="str">
        <x:v>pivot-local GLB / 1.5m比例</x:v>
      </x:c>
      <x:c r="G38" s="70" t="str">
        <x:v>(-0.129002,0,-0.010887)</x:v>
      </x:c>
      <x:c r="H38" s="70" t="str">
        <x:v>独立FootJointL</x:v>
      </x:c>
      <x:c r="I38" s="70" t="n">
        <x:v>1</x:v>
      </x:c>
      <x:c r="J38" s="70" t="str">
        <x:v>moving左脚/翻滚收腿/受击甩脚/falling收腿/landing压缩</x:v>
      </x:c>
      <x:c r="K38" s="70" t="str">
        <x:v>左脚组件</x:v>
      </x:c>
      <x:c r="L38" s="70" t="str">
        <x:v>是</x:v>
      </x:c>
      <x:c r="M38" s="70" t="str">
        <x:v>Blender原点：脚底中心；静态最低点Y=0；v0.1复用同一v006网格增加下落与落地程序动作。</x:v>
      </x:c>
    </x:row>
    <x:row r="39" ht="104" customHeight="1">
      <x:c r="A39" s="70" t="str">
        <x:v>player_capsule01_bunny01_3d</x:v>
      </x:c>
      <x:c r="B39" s="70" t="str">
        <x:v>foot_r</x:v>
      </x:c>
      <x:c r="C39" s="70" t="str">
        <x:v>VisualRoot/BunnyRig/FeetRoot/FootJointR/Model</x:v>
      </x:c>
      <x:c r="D39" s="70" t="str">
        <x:v>FeetRoot</x:v>
      </x:c>
      <x:c r="E39" s="70" t="str">
        <x:v>assets/art/characters/player/chr_player_capsule01_3d/variants/bunny01/components/chr_player_capsule01_bunny01_foot_r_top3d_v006.glb</x:v>
      </x:c>
      <x:c r="F39" s="70" t="str">
        <x:v>pivot-local GLB / 1.5m比例</x:v>
      </x:c>
      <x:c r="G39" s="70" t="str">
        <x:v>(0.129002,0,-0.010887)</x:v>
      </x:c>
      <x:c r="H39" s="70" t="str">
        <x:v>独立FootJointR</x:v>
      </x:c>
      <x:c r="I39" s="70" t="n">
        <x:v>1</x:v>
      </x:c>
      <x:c r="J39" s="70" t="str">
        <x:v>moving右脚/翻滚收腿/受击甩脚/falling收腿/landing压缩</x:v>
      </x:c>
      <x:c r="K39" s="70" t="str">
        <x:v>右脚组件</x:v>
      </x:c>
      <x:c r="L39" s="70" t="str">
        <x:v>是</x:v>
      </x:c>
      <x:c r="M39" s="70" t="str">
        <x:v>Blender原点：脚底中心；静态最低点Y=0；v0.1复用同一v006网格增加下落与落地程序动作。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42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74" customHeight="1">
      <x:c r="A3" s="96" t="str">
        <x:v>Player3D 八态状态机 × 组件表现（falling/landing为真实垂直物理顶层状态）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</x:v>
      </x:c>
      <x:c r="I5" s="29" t="str">
        <x:v>Hand R / WeaponSocket</x:v>
      </x:c>
      <x:c r="J5" s="29" t="str">
        <x:v>Scarf</x:v>
      </x:c>
      <x:c r="K5" s="29" t="str">
        <x:v>VFX/UI</x:v>
      </x:c>
      <x:c r="L5" s="30" t="str">
        <x:v>首版实现</x:v>
      </x:c>
    </x:row>
    <x:row r="6" ht="58" customHeight="1">
      <x:c r="A6" s="100" t="str">
        <x:v>顶层</x:v>
      </x:c>
      <x:c r="B6" s="100" t="str">
        <x:v>idle</x:v>
      </x:c>
      <x:c r="C6" s="100" t="str">
        <x:v>待命</x:v>
      </x:c>
      <x:c r="D6" s="100" t="str">
        <x:v>start/moving/hurt/locked/landing</x:v>
      </x:c>
      <x:c r="E6" s="100" t="str">
        <x:v>moving,dashing,hurt,locked,falling,dead</x:v>
      </x:c>
      <x:c r="F6" s="100" t="str">
        <x:v>约2.38s呼吸挤压；半速重心换脚；躯干轻微侧移</x:v>
      </x:c>
      <x:c r="G6" s="100" t="str">
        <x:v>与身体反相缩放；反向滞后保持头重感</x:v>
      </x:c>
      <x:c r="H6" s="100" t="str">
        <x:v>手枪自由左手轻摆；长枪左手保持托举</x:v>
      </x:c>
      <x:c r="I6" s="100" t="str">
        <x:v>握持手与 WeaponSocket 同步稳定呼吸，不脱离握把</x:v>
      </x:c>
      <x:c r="J6" s="100" t="str">
        <x:v>低频错相轻摆</x:v>
      </x:c>
      <x:c r="K6" s="100" t="str">
        <x:v>HUD 待命；无新增VFX</x:v>
      </x:c>
      <x:c r="L6" s="100" t="str">
        <x:v>八态 StateMachine 的 idle 唯一驱动；idle_cycle 推进呼吸/换脚；双耳错相并偶发单耳轻弹；moving 本帧归零，停下后恢复</x:v>
      </x:c>
    </x:row>
    <x:row r="7">
      <x:c r="A7" s="101" t="str">
        <x:v>顶层</x:v>
      </x:c>
      <x:c r="B7" s="101" t="str">
        <x:v>moving</x:v>
      </x:c>
      <x:c r="C7" s="101" t="str">
        <x:v>机动</x:v>
      </x:c>
      <x:c r="D7" s="101" t="str">
        <x:v>idle/dashing/hurt/locked/landing</x:v>
      </x:c>
      <x:c r="E7" s="101" t="str">
        <x:v>idle,dashing,hurt,locked,falling,dead</x:v>
      </x:c>
      <x:c r="F7" s="101" t="str">
        <x:v>位移驱动弹跳/压缩回弹</x:v>
      </x:c>
      <x:c r="G7" s="101" t="str">
        <x:v>较小反相滞后</x:v>
      </x:c>
      <x:c r="H7" s="101" t="str">
        <x:v>手枪自由左手大幅反摆；长枪左手锁定托举</x:v>
      </x:c>
      <x:c r="I7" s="101" t="str">
        <x:v>手枪右手与右侧挂点紧凑起伏；长枪双手/挂点收胸跑</x:v>
      </x:c>
      <x:c r="J7" s="101" t="str">
        <x:v>周期滞后</x:v>
      </x:c>
      <x:c r="K7" s="101" t="str">
        <x:v>地面划痕</x:v>
      </x:c>
      <x:c r="L7" s="101" t="str">
        <x:v>位移驱动独立循环；WeaponPoseFSM 进入 sidearm_run 或 longgun_run；双脚交替，单手/双手剪影分离</x:v>
      </x:c>
    </x:row>
    <x:row r="8" ht="56" customHeight="1">
      <x:c r="A8" s="101" t="str">
        <x:v>顶层</x:v>
      </x:c>
      <x:c r="B8" s="101" t="str">
        <x:v>dashing</x:v>
      </x:c>
      <x:c r="C8" s="101" t="str">
        <x:v>突进</x:v>
      </x:c>
      <x:c r="D8" s="101" t="str">
        <x:v>idle/moving</x:v>
      </x:c>
      <x:c r="E8" s="101" t="str">
        <x:v>idle,moving,hurt,locked,falling,dead</x:v>
      </x:c>
      <x:c r="F8" s="101" t="str">
        <x:v>压缩成团并绕半高轴完整前滚</x:v>
      </x:c>
      <x:c r="G8" s="101" t="str">
        <x:v>随整体轴心翻滚，耳朵大幅后压</x:v>
      </x:c>
      <x:c r="H8" s="101" t="str">
        <x:v>按当前武器握持数收束；自由左手随整体抱团</x:v>
      </x:c>
      <x:c r="I8" s="101" t="str">
        <x:v>右手握把与 WeaponSocket 同轴完整翻滚</x:v>
      </x:c>
      <x:c r="J8" s="101" t="str">
        <x:v>随整体收束</x:v>
      </x:c>
      <x:c r="K8" s="101" t="str">
        <x:v>青色尾迹</x:v>
      </x:c>
      <x:c r="L8" s="101" t="str">
        <x:v>0.17s 内完成 360° 本地X前滚；用半高轴心补偿避免钻地；夸张压缩与抛物线位移</x:v>
      </x:c>
    </x:row>
    <x:row r="9" ht="56" customHeight="1">
      <x:c r="A9" s="101" t="str">
        <x:v>顶层</x:v>
      </x:c>
      <x:c r="B9" s="101" t="str">
        <x:v>hurt</x:v>
      </x:c>
      <x:c r="C9" s="101" t="str">
        <x:v>受创</x:v>
      </x:c>
      <x:c r="D9" s="101" t="str">
        <x:v>任意存活态</x:v>
      </x:c>
      <x:c r="E9" s="101" t="str">
        <x:v>idle,moving,locked,falling,dead</x:v>
      </x:c>
      <x:c r="F9" s="101" t="str">
        <x:v>三段压扁/抬起/过冲回正</x:v>
      </x:c>
      <x:c r="G9" s="101" t="str">
        <x:v>大幅后仰甩头 + 反向过冲</x:v>
      </x:c>
      <x:c r="H9" s="101" t="str">
        <x:v>手枪左手自由外甩；长枪左手回护木</x:v>
      </x:c>
      <x:c r="I9" s="101" t="str">
        <x:v>右手/WeaponSocket 同相后退，握把不脱离</x:v>
      </x:c>
      <x:c r="J9" s="101" t="str">
        <x:v>冲击滞后</x:v>
      </x:c>
      <x:c r="K9" s="101" t="str">
        <x:v>红闪/击退轨迹</x:v>
      </x:c>
      <x:c r="L9" s="101" t="str">
        <x:v>真实命中方向 + 受击进度关键姿势；头、双脚、双耳使用独立夸张回弹</x:v>
      </x:c>
    </x:row>
    <x:row r="10">
      <x:c r="A10" s="101" t="str">
        <x:v>顶层</x:v>
      </x:c>
      <x:c r="B10" s="101" t="str">
        <x:v>locked</x:v>
      </x:c>
      <x:c r="C10" s="101" t="str">
        <x:v>交互锁定</x:v>
      </x:c>
      <x:c r="D10" s="101" t="str">
        <x:v>任意存活态/landing</x:v>
      </x:c>
      <x:c r="E10" s="101" t="str">
        <x:v>idle,moving,hurt,falling,dead</x:v>
      </x:c>
      <x:c r="F10" s="101" t="str">
        <x:v>降亮稳定</x:v>
      </x:c>
      <x:c r="G10" s="101" t="str">
        <x:v>稳定</x:v>
      </x:c>
      <x:c r="H10" s="101" t="str">
        <x:v>稳定</x:v>
      </x:c>
      <x:c r="I10" s="101" t="str">
        <x:v>保持握持</x:v>
      </x:c>
      <x:c r="J10" s="101" t="str">
        <x:v>低摆</x:v>
      </x:c>
      <x:c r="K10" s="101" t="str">
        <x:v>琥珀锁定环</x:v>
      </x:c>
      <x:c r="L10" s="101" t="str">
        <x:v>降亮 + 锁定环；保持刚性层级</x:v>
      </x:c>
    </x:row>
    <x:row r="11" ht="92" customHeight="1">
      <x:c r="A11" s="101" t="str">
        <x:v>顶层</x:v>
      </x:c>
      <x:c r="B11" s="101" t="str">
        <x:v>falling</x:v>
      </x:c>
      <x:c r="C11" s="101" t="str">
        <x:v>下落</x:v>
      </x:c>
      <x:c r="D11" s="101" t="str">
        <x:v>idle/moving/dashing/hurt/locked</x:v>
      </x:c>
      <x:c r="E11" s="101" t="str">
        <x:v>landing,hurt,dead</x:v>
      </x:c>
      <x:c r="F11" s="101" t="str">
        <x:v>随下落速度轻微纵向拉长</x:v>
      </x:c>
      <x:c r="G11" s="101" t="str">
        <x:v>滞后上扬，保持头重感</x:v>
      </x:c>
      <x:c r="H11" s="101" t="str">
        <x:v>手枪自由手收束；长枪托举手不脱离</x:v>
      </x:c>
      <x:c r="I11" s="101" t="str">
        <x:v>握持手与WeaponSocket保持同相</x:v>
      </x:c>
      <x:c r="J11" s="101" t="str">
        <x:v>向上滞后</x:v>
      </x:c>
      <x:c r="K11" s="101" t="str">
        <x:v>无新增VFX</x:v>
      </x:c>
      <x:c r="L11" s="101" t="str">
        <x:v>真实重力+0.10s离地容错；双脚收起、双耳后压；楼梯接缝不误触发</x:v>
      </x:c>
    </x:row>
    <x:row r="12" ht="92" customHeight="1">
      <x:c r="A12" s="101" t="str">
        <x:v>顶层</x:v>
      </x:c>
      <x:c r="B12" s="101" t="str">
        <x:v>landing</x:v>
      </x:c>
      <x:c r="C12" s="101" t="str">
        <x:v>落地</x:v>
      </x:c>
      <x:c r="D12" s="101" t="str">
        <x:v>falling</x:v>
      </x:c>
      <x:c r="E12" s="101" t="str">
        <x:v>idle,moving,locked,falling,hurt,dead</x:v>
      </x:c>
      <x:c r="F12" s="101" t="str">
        <x:v>按冲击速度压缩并回弹</x:v>
      </x:c>
      <x:c r="G12" s="101" t="str">
        <x:v>轻微下压后恢复</x:v>
      </x:c>
      <x:c r="H12" s="101" t="str">
        <x:v>随整体吸收冲击</x:v>
      </x:c>
      <x:c r="I12" s="101" t="str">
        <x:v>握持手与WeaponSocket同相稳定</x:v>
      </x:c>
      <x:c r="J12" s="101" t="str">
        <x:v>短促回摆</x:v>
      </x:c>
      <x:c r="K12" s="101" t="str">
        <x:v>落地停顿</x:v>
      </x:c>
      <x:c r="L12" s="101" t="str">
        <x:v>冲击速度映射0.12—0.30s硬直；状态计时结束后恢复地面移动</x:v>
      </x:c>
    </x:row>
    <x:row r="13">
      <x:c r="A13" s="101" t="str">
        <x:v>顶层</x:v>
      </x:c>
      <x:c r="B13" s="101" t="str">
        <x:v>dead</x:v>
      </x:c>
      <x:c r="C13" s="101" t="str">
        <x:v>生命终止</x:v>
      </x:c>
      <x:c r="D13" s="101" t="str">
        <x:v>任意存活态</x:v>
      </x:c>
      <x:c r="E13" s="101" t="str">
        <x:v>无（终态）</x:v>
      </x:c>
      <x:c r="F13" s="101" t="str">
        <x:v>倾倒熄灭</x:v>
      </x:c>
      <x:c r="G13" s="101" t="str">
        <x:v>随整体倾倒</x:v>
      </x:c>
      <x:c r="H13" s="101" t="str">
        <x:v>随整体倾倒</x:v>
      </x:c>
      <x:c r="I13" s="101" t="str">
        <x:v>随整体倾倒</x:v>
      </x:c>
      <x:c r="J13" s="101" t="str">
        <x:v>停止</x:v>
      </x:c>
      <x:c r="K13" s="101" t="str">
        <x:v>HUD 终止</x:v>
      </x:c>
      <x:c r="L13" s="101" t="str">
        <x:v>整体倾倒；耳朵与肢体跟随关节</x:v>
      </x:c>
    </x:row>
    <x:row r="14">
      <x:c r="A14" s="101" t="str">
        <x:v>叠加</x:v>
      </x:c>
      <x:c r="B14" s="101" t="str">
        <x:v>low_health</x:v>
      </x:c>
      <x:c r="C14" s="101" t="str">
        <x:v>低血</x:v>
      </x:c>
      <x:c r="D14" s="101" t="str">
        <x:v>任意存活态</x:v>
      </x:c>
      <x:c r="E14" s="101" t="str">
        <x:v>不改变顶层</x:v>
      </x:c>
      <x:c r="F14" s="101" t="str">
        <x:v>不变</x:v>
      </x:c>
      <x:c r="G14" s="101" t="str">
        <x:v>不变</x:v>
      </x:c>
      <x:c r="H14" s="101" t="str">
        <x:v>保持当前动作</x:v>
      </x:c>
      <x:c r="I14" s="101" t="str">
        <x:v>保持当前动作</x:v>
      </x:c>
      <x:c r="J14" s="101" t="str">
        <x:v>不变</x:v>
      </x:c>
      <x:c r="K14" s="101" t="str">
        <x:v>红色呼吸环</x:v>
      </x:c>
      <x:c r="L14" s="101" t="str">
        <x:v>HP≤30%</x:v>
      </x:c>
    </x:row>
    <x:row r="15" ht="56" customHeight="1">
      <x:c r="A15" s="70" t="str">
        <x:v>叠加</x:v>
      </x:c>
      <x:c r="B15" s="70" t="str">
        <x:v>silenced</x:v>
      </x:c>
      <x:c r="C15" s="70" t="str">
        <x:v>沉默</x:v>
      </x:c>
      <x:c r="D15" s="70" t="str">
        <x:v>任意存活态</x:v>
      </x:c>
      <x:c r="E15" s="70" t="str">
        <x:v>不改变顶层</x:v>
      </x:c>
      <x:c r="F15" s="70" t="str">
        <x:v>降饱和可选</x:v>
      </x:c>
      <x:c r="G15" s="70" t="str">
        <x:v>传感器干扰</x:v>
      </x:c>
      <x:c r="H15" s="70" t="str">
        <x:v>保持当前动作</x:v>
      </x:c>
      <x:c r="I15" s="70" t="str">
        <x:v>保持当前动作</x:v>
      </x:c>
      <x:c r="J15" s="70" t="str">
        <x:v>不变</x:v>
      </x:c>
      <x:c r="K15" s="70" t="str">
        <x:v>紫色干扰环</x:v>
      </x:c>
      <x:c r="L15" s="70" t="str">
        <x:v>计时标志</x:v>
      </x:c>
    </x:row>
    <x:row r="16" ht="28" customHeight="1">
      <x:c r="A16" s="97" t="str">
        <x:v>叠加</x:v>
      </x:c>
      <x:c r="B16" s="97" t="str">
        <x:v>invincible</x:v>
      </x:c>
      <x:c r="C16" s="97" t="str">
        <x:v>无敌</x:v>
      </x:c>
      <x:c r="D16" s="97" t="str">
        <x:v>dash/hurt</x:v>
      </x:c>
      <x:c r="E16" s="97" t="str">
        <x:v>不改变顶层</x:v>
      </x:c>
      <x:c r="F16" s="97" t="str">
        <x:v>闪烁</x:v>
      </x:c>
      <x:c r="G16" s="97" t="str">
        <x:v>闪烁</x:v>
      </x:c>
      <x:c r="H16" s="97" t="str">
        <x:v>保持当前动作</x:v>
      </x:c>
      <x:c r="I16" s="97" t="str">
        <x:v>保持当前动作</x:v>
      </x:c>
      <x:c r="J16" s="97" t="str">
        <x:v>闪烁</x:v>
      </x:c>
      <x:c r="K16" s="97" t="str">
        <x:v>透明闪烁</x:v>
      </x:c>
      <x:c r="L16" s="97" t="str">
        <x:v>InvincibleTimer 唯一解除</x:v>
      </x:c>
    </x:row>
    <x:row r="17" ht="36" customHeight="1">
      <x:c r="A17" s="70" t="str">
        <x:v>叠加</x:v>
      </x:c>
      <x:c r="B17" s="70" t="str">
        <x:v>reloading</x:v>
      </x:c>
      <x:c r="C17" s="70" t="str">
        <x:v>换弹</x:v>
      </x:c>
      <x:c r="D17" s="70" t="str">
        <x:v>任意持枪存活态</x:v>
      </x:c>
      <x:c r="E17" s="70" t="str">
        <x:v>不改变顶层；完成/取消退出</x:v>
      </x:c>
      <x:c r="F17" s="70" t="str">
        <x:v>保持当前顶层</x:v>
      </x:c>
      <x:c r="G17" s="70" t="str">
        <x:v>保持当前顶层</x:v>
      </x:c>
      <x:c r="H17" s="70" t="str">
        <x:v>手枪左手近身取弹但不计握持；长枪左手离开护木服务</x:v>
      </x:c>
      <x:c r="I17" s="70" t="str">
        <x:v>右手持续握把并跟随 WeaponSocket 下压/回位</x:v>
      </x:c>
      <x:c r="J17" s="70" t="str">
        <x:v>保持当前顶层</x:v>
      </x:c>
      <x:c r="K17" s="70" t="str">
        <x:v>3D头顶billboard进度条；2D弹药栏</x:v>
      </x:c>
      <x:c r="L17" s="70" t="str">
        <x:v>WeaponModel3D 唯一计时源；WeaponPoseFSM 进入 sidearm_reload/longgun_reload；右手保持握把，左手按武器类型服务</x:v>
      </x:c>
    </x:row>
    <x:row r="18" ht="42" customHeight="1">
      <x:c r="A18" s="70" t="str">
        <x:v>Enemy3D 九态状态机 × 模块表现 × 模型轮廓碰撞</x:v>
      </x:c>
      <x:c r="B18" s="70"/>
      <x:c r="C18" s="70"/>
      <x:c r="D18" s="70"/>
      <x:c r="E18" s="70"/>
      <x:c r="F18" s="70"/>
      <x:c r="G18" s="70"/>
      <x:c r="H18" s="70"/>
      <x:c r="I18" s="70"/>
      <x:c r="J18" s="70"/>
      <x:c r="K18" s="70"/>
      <x:c r="L18" s="70"/>
    </x:row>
    <x:row r="19" ht="42" customHeight="1">
      <x:c r="A19" s="70" t="str">
        <x:v>层级</x:v>
      </x:c>
      <x:c r="B19" s="70" t="str">
        <x:v>状态ID</x:v>
      </x:c>
      <x:c r="C19" s="70" t="str">
        <x:v>中文名</x:v>
      </x:c>
      <x:c r="D19" s="70" t="str">
        <x:v>允许来源</x:v>
      </x:c>
      <x:c r="E19" s="70" t="str">
        <x:v>允许去向</x:v>
      </x:c>
      <x:c r="F19" s="70" t="str">
        <x:v>Core</x:v>
      </x:c>
      <x:c r="G19" s="70" t="str">
        <x:v>Shell</x:v>
      </x:c>
      <x:c r="H19" s="70" t="str">
        <x:v>Appendages</x:v>
      </x:c>
      <x:c r="I19" s="70" t="str">
        <x:v>StateVFX</x:v>
      </x:c>
      <x:c r="J19" s="70" t="str">
        <x:v>行为职责</x:v>
      </x:c>
      <x:c r="K19" s="70" t="str">
        <x:v>验收</x:v>
      </x:c>
      <x:c r="L19" s="70" t="str">
        <x:v>首版实现</x:v>
      </x:c>
    </x:row>
    <x:row r="20" ht="42" customHeight="1">
      <x:c r="A20" s="70" t="str">
        <x:v>顶层</x:v>
      </x:c>
      <x:c r="B20" s="70" t="str">
        <x:v>idle</x:v>
      </x:c>
      <x:c r="C20" s="70" t="str">
        <x:v>待机</x:v>
      </x:c>
      <x:c r="D20" s="70" t="str">
        <x:v>start/patrol/stagger</x:v>
      </x:c>
      <x:c r="E20" s="70" t="str">
        <x:v>patrol/alert/dead</x:v>
      </x:c>
      <x:c r="F20" s="70" t="str">
        <x:v>低频脉冲</x:v>
      </x:c>
      <x:c r="G20" s="70" t="str">
        <x:v>轻浮动</x:v>
      </x:c>
      <x:c r="H20" s="70" t="str">
        <x:v>低速</x:v>
      </x:c>
      <x:c r="I20" s="70" t="str">
        <x:v>关闭</x:v>
      </x:c>
      <x:c r="J20" s="70" t="str">
        <x:v>等待目标</x:v>
      </x:c>
      <x:c r="K20" s="70" t="str">
        <x:v>静态轮廓可读</x:v>
      </x:c>
      <x:c r="L20" s="70" t="str">
        <x:v>模块变换</x:v>
      </x:c>
    </x:row>
    <x:row r="21" ht="42" customHeight="1">
      <x:c r="A21" s="70" t="str">
        <x:v>顶层</x:v>
      </x:c>
      <x:c r="B21" s="70" t="str">
        <x:v>patrol</x:v>
      </x:c>
      <x:c r="C21" s="70" t="str">
        <x:v>巡逻</x:v>
      </x:c>
      <x:c r="D21" s="70" t="str">
        <x:v>idle/search</x:v>
      </x:c>
      <x:c r="E21" s="70" t="str">
        <x:v>idle/alert/stagger/dead</x:v>
      </x:c>
      <x:c r="F21" s="70" t="str">
        <x:v>低频脉冲</x:v>
      </x:c>
      <x:c r="G21" s="70" t="str">
        <x:v>朝巡逻点</x:v>
      </x:c>
      <x:c r="H21" s="70" t="str">
        <x:v>慢速步态</x:v>
      </x:c>
      <x:c r="I21" s="70" t="str">
        <x:v>关闭</x:v>
      </x:c>
      <x:c r="J21" s="70" t="str">
        <x:v>出生点附近巡逻</x:v>
      </x:c>
      <x:c r="K21" s="70" t="str">
        <x:v>无目标不原地僵住</x:v>
      </x:c>
      <x:c r="L21" s="70" t="str">
        <x:v>CharacterBody3D</x:v>
      </x:c>
    </x:row>
    <x:row r="22" ht="42" customHeight="1">
      <x:c r="A22" s="70" t="str">
        <x:v>顶层</x:v>
      </x:c>
      <x:c r="B22" s="70" t="str">
        <x:v>alert</x:v>
      </x:c>
      <x:c r="C22" s="70" t="str">
        <x:v>警觉</x:v>
      </x:c>
      <x:c r="D22" s="70" t="str">
        <x:v>idle/patrol/search</x:v>
      </x:c>
      <x:c r="E22" s="70" t="str">
        <x:v>chase/stagger/dead</x:v>
      </x:c>
      <x:c r="F22" s="70" t="str">
        <x:v>加速</x:v>
      </x:c>
      <x:c r="G22" s="70" t="str">
        <x:v>抬升</x:v>
      </x:c>
      <x:c r="H22" s="70" t="str">
        <x:v>展开</x:v>
      </x:c>
      <x:c r="I22" s="70" t="str">
        <x:v>关闭</x:v>
      </x:c>
      <x:c r="J22" s="70" t="str">
        <x:v>发现玩家</x:v>
      </x:c>
      <x:c r="K22" s="70" t="str">
        <x:v>0.28s响应</x:v>
      </x:c>
      <x:c r="L22" s="70" t="str">
        <x:v>模块变换</x:v>
      </x:c>
    </x:row>
    <x:row r="23" ht="42" customHeight="1">
      <x:c r="A23" s="70" t="str">
        <x:v>顶层</x:v>
      </x:c>
      <x:c r="B23" s="70" t="str">
        <x:v>chase</x:v>
      </x:c>
      <x:c r="C23" s="70" t="str">
        <x:v>追击</x:v>
      </x:c>
      <x:c r="D23" s="70" t="str">
        <x:v>alert/attack/stagger</x:v>
      </x:c>
      <x:c r="E23" s="70" t="str">
        <x:v>search/telegraph/stagger/dead</x:v>
      </x:c>
      <x:c r="F23" s="70" t="str">
        <x:v>稳定</x:v>
      </x:c>
      <x:c r="G23" s="70" t="str">
        <x:v>朝目标</x:v>
      </x:c>
      <x:c r="H23" s="70" t="str">
        <x:v>步态</x:v>
      </x:c>
      <x:c r="I23" s="70" t="str">
        <x:v>关闭</x:v>
      </x:c>
      <x:c r="J23" s="70" t="str">
        <x:v>距离控制</x:v>
      </x:c>
      <x:c r="K23" s="70" t="str">
        <x:v>七类速度差</x:v>
      </x:c>
      <x:c r="L23" s="70" t="str">
        <x:v>CharacterBody3D</x:v>
      </x:c>
    </x:row>
    <x:row r="24" ht="42" customHeight="1">
      <x:c r="A24" s="70" t="str">
        <x:v>顶层</x:v>
      </x:c>
      <x:c r="B24" s="70" t="str">
        <x:v>search</x:v>
      </x:c>
      <x:c r="C24" s="70" t="str">
        <x:v>搜索</x:v>
      </x:c>
      <x:c r="D24" s="70" t="str">
        <x:v>chase</x:v>
      </x:c>
      <x:c r="E24" s="70" t="str">
        <x:v>patrol/alert/stagger/dead</x:v>
      </x:c>
      <x:c r="F24" s="70" t="str">
        <x:v>渐缓</x:v>
      </x:c>
      <x:c r="G24" s="70" t="str">
        <x:v>朝最后位置</x:v>
      </x:c>
      <x:c r="H24" s="70" t="str">
        <x:v>搜索步态</x:v>
      </x:c>
      <x:c r="I24" s="70" t="str">
        <x:v>搜索提示</x:v>
      </x:c>
      <x:c r="J24" s="70" t="str">
        <x:v>失去视线后搜索</x:v>
      </x:c>
      <x:c r="K24" s="70" t="str">
        <x:v>2.4s后回巡逻</x:v>
      </x:c>
      <x:c r="L24" s="70" t="str">
        <x:v>射线+最后位置</x:v>
      </x:c>
    </x:row>
    <x:row r="25">
      <x:c r="A25" s="70" t="str">
        <x:v>顶层</x:v>
      </x:c>
      <x:c r="B25" s="70" t="str">
        <x:v>telegraph</x:v>
      </x:c>
      <x:c r="C25" s="70" t="str">
        <x:v>预警</x:v>
      </x:c>
      <x:c r="D25" s="70" t="str">
        <x:v>chase</x:v>
      </x:c>
      <x:c r="E25" s="70" t="str">
        <x:v>attack/stagger/dead</x:v>
      </x:c>
      <x:c r="F25" s="70" t="str">
        <x:v>高频脉冲</x:v>
      </x:c>
      <x:c r="G25" s="70" t="str">
        <x:v>稳定</x:v>
      </x:c>
      <x:c r="H25" s="70" t="str">
        <x:v>蓄势</x:v>
      </x:c>
      <x:c r="I25" s="70" t="str">
        <x:v>红色预警环</x:v>
      </x:c>
      <x:c r="J25" s="70" t="str">
        <x:v>攻击前摇</x:v>
      </x:c>
      <x:c r="K25" s="70" t="str">
        <x:v>不可省略</x:v>
      </x:c>
      <x:c r="L25" s="70" t="str">
        <x:v>计时状态</x:v>
      </x:c>
    </x:row>
    <x:row r="26">
      <x:c r="A26" s="70" t="str">
        <x:v>顶层</x:v>
      </x:c>
      <x:c r="B26" s="70" t="str">
        <x:v>attack</x:v>
      </x:c>
      <x:c r="C26" s="70" t="str">
        <x:v>攻击</x:v>
      </x:c>
      <x:c r="D26" s="70" t="str">
        <x:v>telegraph</x:v>
      </x:c>
      <x:c r="E26" s="70" t="str">
        <x:v>chase/stagger/dead</x:v>
      </x:c>
      <x:c r="F26" s="70" t="str">
        <x:v>峰值</x:v>
      </x:c>
      <x:c r="G26" s="70" t="str">
        <x:v>反冲</x:v>
      </x:c>
      <x:c r="H26" s="70" t="str">
        <x:v>执行</x:v>
      </x:c>
      <x:c r="I26" s="70" t="str">
        <x:v>按攻击类型</x:v>
      </x:c>
      <x:c r="J26" s="70" t="str">
        <x:v>近战/远程/召唤/爆炸</x:v>
      </x:c>
      <x:c r="K26" s="70" t="str">
        <x:v>七类差异</x:v>
      </x:c>
      <x:c r="L26" s="70" t="str">
        <x:v>profile策略</x:v>
      </x:c>
    </x:row>
    <x:row r="27">
      <x:c r="A27" s="70" t="str">
        <x:v>顶层</x:v>
      </x:c>
      <x:c r="B27" s="70" t="str">
        <x:v>stagger</x:v>
      </x:c>
      <x:c r="C27" s="70" t="str">
        <x:v>硬直</x:v>
      </x:c>
      <x:c r="D27" s="70" t="str">
        <x:v>任意存活态</x:v>
      </x:c>
      <x:c r="E27" s="70" t="str">
        <x:v>chase/dead</x:v>
      </x:c>
      <x:c r="F27" s="70" t="str">
        <x:v>闪色</x:v>
      </x:c>
      <x:c r="G27" s="70" t="str">
        <x:v>冲击</x:v>
      </x:c>
      <x:c r="H27" s="70" t="str">
        <x:v>暂停</x:v>
      </x:c>
      <x:c r="I27" s="70" t="str">
        <x:v>伤害反馈</x:v>
      </x:c>
      <x:c r="J27" s="70" t="str">
        <x:v>受击窗口</x:v>
      </x:c>
      <x:c r="K27" s="70" t="str">
        <x:v>方向可读</x:v>
      </x:c>
      <x:c r="L27" s="70" t="str">
        <x:v>统一伤害入口</x:v>
      </x:c>
    </x:row>
    <x:row r="28" ht="38" customHeight="1">
      <x:c r="A28" s="102" t="str">
        <x:v>顶层</x:v>
      </x:c>
      <x:c r="B28" s="102" t="str">
        <x:v>dead</x:v>
      </x:c>
      <x:c r="C28" s="102" t="str">
        <x:v>死亡</x:v>
      </x:c>
      <x:c r="D28" s="102" t="str">
        <x:v>任意存活态</x:v>
      </x:c>
      <x:c r="E28" s="102" t="str">
        <x:v>无（终态）</x:v>
      </x:c>
      <x:c r="F28" s="102" t="str">
        <x:v>熄灭</x:v>
      </x:c>
      <x:c r="G28" s="102" t="str">
        <x:v>压扁</x:v>
      </x:c>
      <x:c r="H28" s="102" t="str">
        <x:v>停止</x:v>
      </x:c>
      <x:c r="I28" s="102" t="str">
        <x:v>爆散/淡出</x:v>
      </x:c>
      <x:c r="J28" s="102" t="str">
        <x:v>掉落与计数</x:v>
      </x:c>
      <x:c r="K28" s="102" t="str">
        <x:v>不可回存活态</x:v>
      </x:c>
      <x:c r="L28" s="102" t="str">
        <x:v>终态 + Tween</x:v>
      </x:c>
    </x:row>
    <x:row r="29" ht="38" customHeight="1">
      <x:c r="A29" s="103"/>
      <x:c r="B29" s="103"/>
      <x:c r="C29" s="103"/>
      <x:c r="D29" s="103"/>
      <x:c r="E29" s="103"/>
      <x:c r="F29" s="103"/>
      <x:c r="G29" s="103"/>
      <x:c r="H29" s="103"/>
      <x:c r="I29" s="103"/>
      <x:c r="J29" s="103"/>
      <x:c r="K29" s="103"/>
      <x:c r="L29" s="103"/>
    </x:row>
    <x:row r="30" ht="56" customHeight="1">
      <x:c r="A30" s="70" t="str">
        <x:v>Player3D 动作覆盖层 × 组件表现（不新增顶层状态）</x:v>
      </x:c>
      <x:c r="B30" s="70"/>
      <x:c r="C30" s="70"/>
      <x:c r="D30" s="70"/>
      <x:c r="E30" s="70"/>
      <x:c r="F30" s="70"/>
      <x:c r="G30" s="70"/>
      <x:c r="H30" s="70"/>
      <x:c r="I30" s="70"/>
      <x:c r="J30" s="70"/>
      <x:c r="K30" s="70"/>
      <x:c r="L30" s="70"/>
    </x:row>
    <x:row r="31" ht="56" customHeight="1">
      <x:c r="A31" s="70" t="str">
        <x:v>层级｜状态ID｜中文名｜唯一来源｜退出｜Body｜Head｜Hand L（停用）｜Hand（握持）｜Scarf｜VFX/UI｜首版实现</x:v>
      </x:c>
      <x:c r="B31" s="70"/>
      <x:c r="C31" s="70"/>
      <x:c r="D31" s="70"/>
      <x:c r="E31" s="70"/>
      <x:c r="F31" s="70"/>
      <x:c r="G31" s="70"/>
      <x:c r="H31" s="70"/>
      <x:c r="I31" s="70"/>
      <x:c r="J31" s="70"/>
      <x:c r="K31" s="70"/>
      <x:c r="L31" s="70"/>
    </x:row>
    <x:row r="32" ht="56" customHeight="1">
      <x:c r="A32" s="70" t="str">
        <x:v>叠加</x:v>
      </x:c>
      <x:c r="B32" s="70" t="str">
        <x:v>firing</x:v>
      </x:c>
      <x:c r="C32" s="70" t="str">
        <x:v>射击</x:v>
      </x:c>
      <x:c r="D32" s="70" t="str">
        <x:v>WeaponModel3D.shot_fired</x:v>
      </x:c>
      <x:c r="E32" s="70" t="str">
        <x:v>短时回弹后退出</x:v>
      </x:c>
      <x:c r="F32" s="70" t="str">
        <x:v>前探/压缩/弹性回弹</x:v>
      </x:c>
      <x:c r="G32" s="70" t="str">
        <x:v>小幅前探</x:v>
      </x:c>
      <x:c r="H32" s="70" t="str">
        <x:v>手枪左手不继承后坐；长枪左手托举并小幅刚性回弹</x:v>
      </x:c>
      <x:c r="I32" s="70" t="str">
        <x:v>右手握把跟随 WeaponSocket；手枪单腕上挑，长枪双手与躯干共同吃后坐</x:v>
      </x:c>
      <x:c r="J32" s="70" t="str">
        <x:v>受冲量轻摆</x:v>
      </x:c>
      <x:c r="K32" s="70" t="str">
        <x:v>枪口闪光/后坐</x:v>
      </x:c>
      <x:c r="L32" s="70" t="str">
        <x:v>真实 shot_fired 信号；WeaponPoseFSM 进入 sidearm_fire/longgun_fire；七种枪体读取独立 fire_style、kick、pitch、roll、lift 参数</x:v>
      </x:c>
    </x:row>
    <x:row r="33">
      <x:c r="A33" s="70" t="str">
        <x:v>叠加</x:v>
      </x:c>
      <x:c r="B33" s="70" t="str">
        <x:v>charging</x:v>
      </x:c>
      <x:c r="C33" s="70" t="str">
        <x:v>蓄力</x:v>
      </x:c>
      <x:c r="D33" s="70" t="str">
        <x:v>WeaponModel3D.charge_active / charge_ratio</x:v>
      </x:c>
      <x:c r="E33" s="70" t="str">
        <x:v>释放/取消/换枪/死亡</x:v>
      </x:c>
      <x:c r="F33" s="70" t="str">
        <x:v>下压蓄势</x:v>
      </x:c>
      <x:c r="G33" s="70" t="str">
        <x:v>轻微压低</x:v>
      </x:c>
      <x:c r="H33" s="70" t="str">
        <x:v>长枪左手向内压入形成张力；手枪保持自由手</x:v>
      </x:c>
      <x:c r="I33" s="70" t="str">
        <x:v>右手握把与 WeaponSocket 同相蓄势</x:v>
      </x:c>
      <x:c r="J33" s="70" t="str">
        <x:v>低频张力摆动</x:v>
      </x:c>
      <x:c r="K33" s="70" t="str">
        <x:v>紫色能量提示（可选）</x:v>
      </x:c>
      <x:c r="L33" s="70" t="str">
        <x:v>读取真实蓄力进度；WeaponPoseFSM 进入对应 charge 状态；释放后按枪体 profile 回弹</x:v>
      </x:c>
    </x:row>
    <x:row r="34" ht="34" customHeight="1">
      <x:c r="A34" s="102" t="str">
        <x:v>叠加</x:v>
      </x:c>
      <x:c r="B34" s="102" t="str">
        <x:v>knockback</x:v>
      </x:c>
      <x:c r="C34" s="102" t="str">
        <x:v>受击击飞</x:v>
      </x:c>
      <x:c r="D34" s="102" t="str">
        <x:v>Player3D 命中方向/强度/时长</x:v>
      </x:c>
      <x:c r="E34" s="102" t="str">
        <x:v>冲量归零或死亡</x:v>
      </x:c>
      <x:c r="F34" s="102" t="str">
        <x:v>反向位移/压缩/弹回</x:v>
      </x:c>
      <x:c r="G34" s="102" t="str">
        <x:v>夸张后仰甩头/回正</x:v>
      </x:c>
      <x:c r="H34" s="102" t="str">
        <x:v>手枪自由左手外甩；长枪左手回护木</x:v>
      </x:c>
      <x:c r="I34" s="102" t="str">
        <x:v>右手与 WeaponSocket 同相后退/回正</x:v>
      </x:c>
      <x:c r="J34" s="102" t="str">
        <x:v>滞后甩动</x:v>
      </x:c>
      <x:c r="K34" s="102" t="str">
        <x:v>红闪/短轨迹</x:v>
      </x:c>
      <x:c r="L34" s="102" t="str">
        <x:v>hurt 消费递减XZ冲量；双耳/双脚/双手分层过冲，不新增顶层状态</x:v>
      </x:c>
    </x:row>
    <x:row r="35" ht="34" customHeight="1">
      <x:c r="A35" s="103"/>
      <x:c r="B35" s="103"/>
      <x:c r="C35" s="103"/>
      <x:c r="D35" s="103"/>
      <x:c r="E35" s="103"/>
      <x:c r="F35" s="103"/>
      <x:c r="G35" s="103"/>
      <x:c r="H35" s="103"/>
      <x:c r="I35" s="103"/>
      <x:c r="J35" s="103"/>
      <x:c r="K35" s="103"/>
      <x:c r="L35" s="103"/>
    </x:row>
    <x:row r="36" ht="34" customHeight="1">
      <x:c r="A36" s="70" t="str">
        <x:v>Player3D DIY 外观槽 × 动态继承（不影响八态/玩法）</x:v>
      </x:c>
      <x:c r="B36" s="70"/>
      <x:c r="C36" s="70"/>
      <x:c r="D36" s="70"/>
      <x:c r="E36" s="70"/>
      <x:c r="F36" s="70"/>
      <x:c r="G36" s="70"/>
      <x:c r="H36" s="70"/>
      <x:c r="I36" s="70"/>
      <x:c r="J36" s="70"/>
      <x:c r="K36" s="70"/>
      <x:c r="L36" s="70"/>
    </x:row>
    <x:row r="37">
      <x:c r="A37" s="70" t="str">
        <x:v>槽位｜候选变体｜父组件｜移动｜射击/蓄力｜受击/击飞｜换弹｜死亡｜挂点契约｜验收｜复用范围｜首版实现</x:v>
      </x:c>
      <x:c r="B37" s="70"/>
      <x:c r="C37" s="70"/>
      <x:c r="D37" s="70"/>
      <x:c r="E37" s="70"/>
      <x:c r="F37" s="70"/>
      <x:c r="G37" s="70"/>
      <x:c r="H37" s="70"/>
      <x:c r="I37" s="70"/>
      <x:c r="J37" s="70"/>
      <x:c r="K37" s="70"/>
      <x:c r="L37" s="70"/>
    </x:row>
    <x:row r="38" ht="38" customHeight="1">
      <x:c r="A38" s="70" t="str">
        <x:v>body/head/hand/feet/hat/glasses</x:v>
      </x:c>
      <x:c r="B38" s="70" t="str">
        <x:v>4+4+4+4+3+3</x:v>
      </x:c>
      <x:c r="C38" s="70" t="str">
        <x:v>Body/Head/Hand/Feet/Wearables</x:v>
      </x:c>
      <x:c r="D38" s="70" t="str">
        <x:v>身体弹性+双脚交替+圆短尾轻摆</x:v>
      </x:c>
      <x:c r="E38" s="70" t="str">
        <x:v>手/枪同相后坐；头前探</x:v>
      </x:c>
      <x:c r="F38" s="70" t="str">
        <x:v>整体后仰/脚随根回正</x:v>
      </x:c>
      <x:c r="G38" s="70" t="str">
        <x:v>Hand+Socket同相</x:v>
      </x:c>
      <x:c r="H38" s="70" t="str">
        <x:v>四主模块随根倾倒</x:v>
      </x:c>
      <x:c r="I38" s="70" t="str">
        <x:v>唯一手/挂点相对向量固定</x:v>
      </x:c>
      <x:c r="J38" s="70" t="str">
        <x:v>四主模块+双眼双耳短尾+八态覆盖</x:v>
      </x:c>
      <x:c r="K38" s="70" t="str">
        <x:v>3D玩家/预览场</x:v>
      </x:c>
      <x:c r="L38" s="70" t="str">
        <x:v>Godot原生方体/三角耳/圆尾；Player3D.set_avatar_customization</x:v>
      </x:c>
    </x:row>
    <x:row r="39" ht="38" customHeight="1">
      <x:c r="A39" s="70"/>
      <x:c r="B39" s="70"/>
      <x:c r="C39" s="70"/>
      <x:c r="D39" s="70"/>
      <x:c r="E39" s="70"/>
      <x:c r="F39" s="70"/>
      <x:c r="G39" s="70"/>
      <x:c r="H39" s="70"/>
      <x:c r="I39" s="70"/>
      <x:c r="J39" s="70"/>
      <x:c r="K39" s="70"/>
      <x:c r="L39" s="70"/>
    </x:row>
    <x:row r="40" ht="38" customHeight="1">
      <x:c r="A40" s="70" t="str">
        <x:v>v0.1 兔子组件与动作归属（不新增状态）</x:v>
      </x:c>
      <x:c r="B40" s="70"/>
      <x:c r="C40" s="70"/>
      <x:c r="D40" s="70"/>
      <x:c r="E40" s="70"/>
      <x:c r="F40" s="70"/>
      <x:c r="G40" s="70"/>
      <x:c r="H40" s="70"/>
      <x:c r="I40" s="70"/>
      <x:c r="J40" s="70"/>
      <x:c r="K40" s="70"/>
      <x:c r="L40" s="70"/>
    </x:row>
    <x:row r="41">
      <x:c r="A41" s="70" t="str">
        <x:v>父模块｜子组件｜节点数量｜Idle｜Moving｜Dashing｜Hurt/Knockback｜Reload/Fire｜Dead｜图形语言｜禁止事项｜验收</x:v>
      </x:c>
      <x:c r="B41" s="70"/>
      <x:c r="C41" s="70"/>
      <x:c r="D41" s="70"/>
      <x:c r="E41" s="70"/>
      <x:c r="F41" s="70"/>
      <x:c r="G41" s="70"/>
      <x:c r="H41" s="70"/>
      <x:c r="I41" s="70"/>
      <x:c r="J41" s="70"/>
      <x:c r="K41" s="70"/>
      <x:c r="L41" s="70"/>
    </x:row>
    <x:row r="42">
      <x:c r="A42" s="70" t="str">
        <x:v>Head / Body / Feet</x:v>
      </x:c>
      <x:c r="B42" s="70" t="str">
        <x:v>Eyes / Ears / TailStub / FootL / FootR</x:v>
      </x:c>
      <x:c r="C42" s="70" t="str">
        <x:v>2 / 2 / 1 / 2</x:v>
      </x:c>
      <x:c r="D42" s="70" t="str">
        <x:v>双眼双耳稳定；短尾微摆</x:v>
      </x:c>
      <x:c r="E42" s="70" t="str">
        <x:v>双脚交替抬起；短尾轻摆</x:v>
      </x:c>
      <x:c r="F42" s="70" t="str">
        <x:v>随VisualRoot压缩</x:v>
      </x:c>
      <x:c r="G42" s="70" t="str">
        <x:v>随父模块后仰回正</x:v>
      </x:c>
      <x:c r="H42" s="70" t="str">
        <x:v>手/枪动作不牵动脚；头部继承</x:v>
      </x:c>
      <x:c r="I42" s="70" t="str">
        <x:v>随父模块倾倒</x:v>
      </x:c>
      <x:c r="J42" s="70" t="str">
        <x:v>方头方身方手方脚；圆尾唯一例外</x:v>
      </x:c>
      <x:c r="K42" s="70" t="str">
        <x:v>嘴/鼻/第二手/长尾/烘焙跨模块</x:v>
      </x:c>
      <x:c r="L42" s="70" t="str">
        <x:v>节点路径+数量+步态+持枪+视觉</x:v>
      </x:c>
    </x:row>
  </x:sheetData>
  <x:mergeCells>
    <x:mergeCell ref="A1:L2"/>
    <x:mergeCell ref="A3:L3"/>
    <x:mergeCell ref="A18:L18"/>
    <x:mergeCell ref="A30:L30"/>
    <x:mergeCell ref="A31:L31"/>
    <x:mergeCell ref="A36:L36"/>
    <x:mergeCell ref="A37:L37"/>
    <x:mergeCell ref="A40:L40"/>
    <x:mergeCell ref="A41:L4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6" hidden="0" customWidth="1"/>
    <x:col min="3" max="3" width="11" hidden="0" customWidth="1"/>
    <x:col min="4" max="4" width="24" hidden="0" customWidth="1"/>
    <x:col min="5" max="5" width="58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当前角色原型 · 兔子组件角色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1.5m 俯视3D角色；逻辑根、虚拟碰撞胶囊、视觉组件和 WeaponSocket 相互独立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动作方式</x:v>
      </x:c>
      <x:c r="H5" s="30" t="str">
        <x:v>验收</x:v>
      </x:c>
    </x:row>
    <x:row r="6" ht="42" customHeight="1">
      <x:c r="A6" s="36" t="str">
        <x:v>root</x:v>
      </x:c>
      <x:c r="B6" s="36" t="str">
        <x:v>CHR-PLY-CAPSULE01-3D-BUNNY01</x:v>
      </x:c>
      <x:c r="C6" s="36" t="str">
        <x:v>1.034×1.500×0.645m</x:v>
      </x:c>
      <x:c r="D6" s="36" t="str">
        <x:v>视觉组件根</x:v>
      </x:c>
      <x:c r="E6" s="36" t="str">
        <x:v>assets/art/characters/player/chr_player_capsule01_3d/variants/bunny01/chr_player_capsule01_bunny01_root_top3d_v006.tscn</x:v>
      </x:c>
      <x:c r="F6" s="36" t="str">
        <x:v>b88839fbe76e</x:v>
      </x:c>
      <x:c r="G6" s="36" t="str">
        <x:v>八态 + 动作覆盖层</x:v>
      </x:c>
      <x:c r="H6" s="36" t="str">
        <x:v>通过</x:v>
      </x:c>
    </x:row>
    <x:row r="7" ht="42" customHeight="1">
      <x:c r="A7" s="37" t="str">
        <x:v>body</x:v>
      </x:c>
      <x:c r="B7" s="37" t="str">
        <x:v>CHR-PLY-CAPSULE01-3D-BUNNY01-BODY</x:v>
      </x:c>
      <x:c r="C7" s="37" t="str">
        <x:v>1.5m角色比例</x:v>
      </x:c>
      <x:c r="D7" s="37" t="str">
        <x:v>身体组件</x:v>
      </x:c>
      <x:c r="E7" s="37" t="str">
        <x:v>assets/art/characters/player/chr_player_capsule01_3d/variants/bunny01/components/chr_player_capsule01_bunny01_body_top3d_v006.glb</x:v>
      </x:c>
      <x:c r="F7" s="37" t="str">
        <x:v>c574d76e0f19</x:v>
      </x:c>
      <x:c r="G7" s="37" t="str">
        <x:v>呼吸/移动/受击</x:v>
      </x:c>
      <x:c r="H7" s="37" t="str">
        <x:v>通过</x:v>
      </x:c>
    </x:row>
    <x:row r="8" ht="42" customHeight="1">
      <x:c r="A8" s="37" t="str">
        <x:v>head</x:v>
      </x:c>
      <x:c r="B8" s="37" t="str">
        <x:v>CHR-PLY-CAPSULE01-3D-BUNNY01-HEAD</x:v>
      </x:c>
      <x:c r="C8" s="37" t="str">
        <x:v>头顶1.103390m</x:v>
      </x:c>
      <x:c r="D8" s="37" t="str">
        <x:v>头部组件</x:v>
      </x:c>
      <x:c r="E8" s="37" t="str">
        <x:v>assets/art/characters/player/chr_player_capsule01_3d/variants/bunny01/components/chr_player_capsule01_bunny01_head_top3d_v006.glb</x:v>
      </x:c>
      <x:c r="F8" s="37" t="str">
        <x:v>b8db86c722bb</x:v>
      </x:c>
      <x:c r="G8" s="37" t="str">
        <x:v>延迟跟随/受击</x:v>
      </x:c>
      <x:c r="H8" s="37" t="str">
        <x:v>通过</x:v>
      </x:c>
    </x:row>
    <x:row r="9" ht="42" customHeight="1">
      <x:c r="A9" s="37" t="str">
        <x:v>ears</x:v>
      </x:c>
      <x:c r="B9" s="37" t="str">
        <x:v>CHR-PLY-CAPSULE01-3D-BUNNY01-EARS</x:v>
      </x:c>
      <x:c r="C9" s="37" t="str">
        <x:v>单GLB双实例</x:v>
      </x:c>
      <x:c r="D9" s="37" t="str">
        <x:v>双耳配件</x:v>
      </x:c>
      <x:c r="E9" s="37" t="str">
        <x:v>assets/art/characters/player/chr_player_capsule01_3d/variants/bunny01/components/chr_player_capsule01_bunny01_ear_top3d_v006.glb</x:v>
      </x:c>
      <x:c r="F9" s="37" t="str">
        <x:v>ed3c7abe2831</x:v>
      </x:c>
      <x:c r="G9" s="37" t="str">
        <x:v>跟随/摆动</x:v>
      </x:c>
      <x:c r="H9" s="37" t="str">
        <x:v>通过</x:v>
      </x:c>
    </x:row>
    <x:row r="10" ht="42" customHeight="1">
      <x:c r="A10" s="37" t="str">
        <x:v>hands</x:v>
      </x:c>
      <x:c r="B10" s="37" t="str">
        <x:v>CHR-PLY-CAPSULE01-3D-BUNNY01-HAND</x:v>
      </x:c>
      <x:c r="C10" s="37" t="str">
        <x:v>左右独立GLB</x:v>
      </x:c>
      <x:c r="D10" s="37" t="str">
        <x:v>握持与支撑手</x:v>
      </x:c>
      <x:c r="E10" s="37" t="str">
        <x:v>assets/art/characters/player/chr_player_capsule01_3d/variants/bunny01/components/chr_player_capsule01_bunny01_hand_l_top3d_v006.glb; ...hand_r...v006.glb</x:v>
      </x:c>
      <x:c r="F10" s="37" t="str">
        <x:v>2c6647c0e4f2</x:v>
      </x:c>
      <x:c r="G10" s="37" t="str">
        <x:v>单手/双手握持</x:v>
      </x:c>
      <x:c r="H10" s="37" t="str">
        <x:v>通过</x:v>
      </x:c>
    </x:row>
    <x:row r="11" ht="42" customHeight="1">
      <x:c r="A11" t="str">
        <x:v>foot_l</x:v>
      </x:c>
      <x:c r="B11" s="63" t="str">
        <x:v>CHR-PLY-CAPSULE01-3D-BUNNY01-FOOT-L</x:v>
      </x:c>
      <x:c r="C11" t="str">
        <x:v>1.5m角色比例</x:v>
      </x:c>
      <x:c r="D11" t="str">
        <x:v>左脚组件</x:v>
      </x:c>
      <x:c r="E11" s="63" t="str">
        <x:v>assets/art/characters/player/chr_player_capsule01_3d/variants/bunny01/components/chr_player_capsule01_bunny01_foot_l_top3d_v006.glb</x:v>
      </x:c>
      <x:c r="F11" t="str">
        <x:v>52051cba0db7</x:v>
      </x:c>
      <x:c r="G11" t="str">
        <x:v>步态/下落/落地</x:v>
      </x:c>
      <x:c r="H11" t="str">
        <x:v>通过</x:v>
      </x:c>
    </x:row>
    <x:row r="12" ht="42" customHeight="1">
      <x:c r="A12" t="str">
        <x:v>foot_r</x:v>
      </x:c>
      <x:c r="B12" s="63" t="str">
        <x:v>CHR-PLY-CAPSULE01-3D-BUNNY01-FOOT-R</x:v>
      </x:c>
      <x:c r="C12" t="str">
        <x:v>1.5m角色比例</x:v>
      </x:c>
      <x:c r="D12" t="str">
        <x:v>右脚组件</x:v>
      </x:c>
      <x:c r="E12" s="63" t="str">
        <x:v>assets/art/characters/player/chr_player_capsule01_3d/variants/bunny01/components/chr_player_capsule01_bunny01_foot_r_top3d_v006.glb</x:v>
      </x:c>
      <x:c r="F12" t="str">
        <x:v>d81e840f5c08</x:v>
      </x:c>
      <x:c r="G12" t="str">
        <x:v>步态/下落/落地</x:v>
      </x:c>
      <x:c r="H12" t="str">
        <x:v>通过</x:v>
      </x:c>
    </x:row>
    <x:row r="13">
      <x:c r="A13" s="57" t="str">
        <x:v>八态游戏内验收（Idle / Moving / Dashing / Hurt / Locked / Falling / Landing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FALLING</x:v>
      </x:c>
      <x:c r="G15" s="108" t="str">
        <x:v>LANDING</x:v>
      </x:c>
      <x:c r="H15" s="108" t="str">
        <x:v>DEAD</x:v>
      </x:c>
    </x:row>
    <x:row r="16">
      <x:c r="A16" s="36" t="str">
        <x:v>待命</x:v>
      </x:c>
      <x:c r="B16" s="36" t="str">
        <x:v>移动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下落</x:v>
      </x:c>
      <x:c r="G16" t="str">
        <x:v>落地</x:v>
      </x:c>
      <x:c r="H16" t="str">
        <x:v>生命终止</x:v>
      </x:c>
    </x:row>
    <x:row r="17">
      <x:c r="A17" s="37" t="str">
        <x:v>呼吸/重心</x:v>
      </x:c>
      <x:c r="B17" s="37" t="str">
        <x:v>双脚交替</x:v>
      </x:c>
      <x:c r="C17" s="37" t="str">
        <x:v>翻滚收束</x:v>
      </x:c>
      <x:c r="D17" s="37" t="str">
        <x:v>反向冲击</x:v>
      </x:c>
      <x:c r="E17" s="37" t="str">
        <x:v>姿态稳定</x:v>
      </x:c>
      <x:c r="F17" s="37" t="str">
        <x:v>收腿下落</x:v>
      </x:c>
      <x:c r="G17" t="str">
        <x:v>压缩回弹</x:v>
      </x:c>
      <x:c r="H17" t="str">
        <x:v>整体倒伏</x:v>
      </x:c>
    </x:row>
    <x:row r="18">
      <x:c r="A18" s="37" t="str">
        <x:v>可进移动/突进</x:v>
      </x:c>
      <x:c r="B18" s="37" t="str">
        <x:v>可进待命/突进</x:v>
      </x:c>
      <x:c r="C18" s="37" t="str">
        <x:v>回到待命或移动</x:v>
      </x:c>
      <x:c r="D18" s="37" t="str">
        <x:v>恢复原状态</x:v>
      </x:c>
      <x:c r="E18" s="37" t="str">
        <x:v>由交互释放</x:v>
      </x:c>
      <x:c r="F18" s="37" t="str">
        <x:v>只进落地或死亡</x:v>
      </x:c>
      <x:c r="G18" t="str">
        <x:v>回到可控态</x:v>
      </x:c>
      <x:c r="H18" t="str">
        <x:v>终态</x:v>
      </x:c>
    </x:row>
    <x:row r="19">
      <x:c r="A19" s="37" t="str">
        <x:v>允许射击覆盖</x:v>
      </x:c>
      <x:c r="B19" s="37" t="str">
        <x:v>允许射击覆盖</x:v>
      </x:c>
      <x:c r="C19" s="37" t="str">
        <x:v>无敌窗</x:v>
      </x:c>
      <x:c r="D19" s="37" t="str">
        <x:v>受击反馈</x:v>
      </x:c>
      <x:c r="E19" s="37" t="str">
        <x:v>输入锁定</x:v>
      </x:c>
      <x:c r="F19" s="37" t="str">
        <x:v>关闭地面步态</x:v>
      </x:c>
      <x:c r="G19" t="str">
        <x:v>短时落地冲击</x:v>
      </x:c>
      <x:c r="H19" t="str">
        <x:v>停止动作</x:v>
      </x:c>
    </x:row>
    <x:row r="21">
      <x:c r="A21" s="58" t="str">
        <x:v>视觉输出：outputs/verification/player3d_state_gallery.png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验证命令：./scripts/run_verification_suite.sh scene verify_player3d_state_gallery_flow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WeaponSocket 同相动作；测试 tests/verification/verify_3d_reload_state_flow.tscn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独立3D验收：scenes/Player3DStateGallery.tscn；验证位于 tests/verification/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/ charging / knockback 不新增顶层状态；测试 tests/verification/verify_player3d_state_gallery_flow.tscn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7">
      <x:c r="A27"/>
    </x:row>
    <x:row r="28" ht="34" customHeight="1">
      <x:c r="A28" s="95" t="str">
        <x:v>DIY：body / head / hand / feet / hat / glasses 只改表现；测试 tests/verification/verify_player3d_diy_flow.tscn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v0.1 兔子组件：Body / Head / Ears / HandL / HandR / FootL / FootR；视觉根不含玩法碰撞。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 · 游戏设计文档 v0.1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只记录当前有效基线；历史变更通过版本控制追溯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v0.1.0</x:v>
      </x:c>
      <x:c r="B6" s="53" t="n">
        <x:v>46236</x:v>
      </x:c>
      <x:c r="C6" s="36" t="str">
        <x:v>游戏设计文档 v0.1</x:v>
      </x:c>
      <x:c r="D6" s="36" t="str">
        <x:v>全项目</x:v>
      </x:c>
      <x:c r="E6" s="36" t="str">
        <x:v>统一3D塔楼主线、测试目录、当前资产路径、状态口径和投影契约；清理历史制作版本。</x:v>
      </x:c>
      <x:c r="F6" s="36" t="str">
        <x:v>只保留当前运行资产；历史追溯使用版本控制。</x:v>
      </x:c>
      <x:c r="G6" s="36" t="str">
        <x:v>Codex</x:v>
      </x:c>
    </x:row>
    <x:row r="7">
      <x:c r="A7"/>
      <x:c r="B7"/>
      <x:c r="C7"/>
      <x:c r="D7"/>
      <x:c r="E7"/>
      <x:c r="F7"/>
      <x:c r="G7"/>
    </x:row>
    <x:row r="8">
      <x:c r="A8"/>
      <x:c r="B8"/>
      <x:c r="C8"/>
      <x:c r="D8"/>
      <x:c r="E8"/>
      <x:c r="F8"/>
      <x:c r="G8"/>
    </x:row>
    <x:row r="9" ht="48" customHeight="1">
      <x:c r="A9"/>
      <x:c r="B9"/>
      <x:c r="C9"/>
      <x:c r="D9"/>
      <x:c r="E9"/>
      <x:c r="F9"/>
      <x:c r="G9"/>
    </x:row>
    <x:row r="10" ht="58" customHeight="1">
      <x:c r="A10"/>
      <x:c r="B10"/>
      <x:c r="C10"/>
      <x:c r="D10"/>
      <x:c r="E10"/>
      <x:c r="F10"/>
      <x:c r="G10"/>
    </x:row>
    <x:row r="11" ht="58" customHeight="1">
      <x:c r="A11"/>
      <x:c r="B11"/>
      <x:c r="C11"/>
      <x:c r="D11"/>
      <x:c r="E11"/>
      <x:c r="F11"/>
      <x:c r="G11"/>
    </x:row>
    <x:row r="12">
      <x:c r="A12"/>
      <x:c r="B12"/>
      <x:c r="C12"/>
      <x:c r="D12"/>
      <x:c r="E12"/>
      <x:c r="F12"/>
      <x:c r="G12"/>
    </x:row>
    <x:row r="13" ht="60" customHeight="1">
      <x:c r="A13"/>
      <x:c r="B13"/>
      <x:c r="C13"/>
      <x:c r="D13"/>
      <x:c r="E13"/>
      <x:c r="F13"/>
      <x:c r="G13"/>
    </x:row>
    <x:row r="14" ht="54" customHeight="1">
      <x:c r="A14"/>
      <x:c r="B14"/>
      <x:c r="C14"/>
      <x:c r="D14"/>
      <x:c r="E14"/>
      <x:c r="F14"/>
      <x:c r="G14"/>
    </x:row>
    <x:row r="15" ht="72" customHeight="1">
      <x:c r="A15"/>
      <x:c r="B15"/>
      <x:c r="C15"/>
      <x:c r="D15"/>
      <x:c r="E15"/>
      <x:c r="F15"/>
      <x:c r="G15"/>
    </x:row>
    <x:row r="16" ht="72" customHeight="1">
      <x:c r="A16"/>
      <x:c r="B16"/>
      <x:c r="C16"/>
      <x:c r="D16"/>
      <x:c r="E16"/>
      <x:c r="F16"/>
      <x:c r="G16"/>
    </x:row>
    <x:row r="17" ht="52" customHeight="1">
      <x:c r="A17"/>
      <x:c r="B17"/>
      <x:c r="C17"/>
      <x:c r="D17"/>
      <x:c r="E17"/>
      <x:c r="F17"/>
      <x:c r="G17"/>
    </x:row>
    <x:row r="18" ht="50" customHeight="1">
      <x:c r="A18"/>
      <x:c r="B18"/>
      <x:c r="C18"/>
      <x:c r="D18"/>
      <x:c r="E18"/>
      <x:c r="F18"/>
      <x:c r="G18"/>
    </x:row>
    <x:row r="19" ht="52" customHeight="1">
      <x:c r="A19"/>
      <x:c r="B19"/>
      <x:c r="C19"/>
      <x:c r="D19"/>
      <x:c r="E19"/>
      <x:c r="F19"/>
      <x:c r="G19"/>
    </x:row>
    <x:row r="20" ht="90" customHeight="1">
      <x:c r="A20"/>
      <x:c r="B20"/>
      <x:c r="C20"/>
      <x:c r="D20"/>
      <x:c r="E20"/>
      <x:c r="F20"/>
      <x:c r="G20"/>
    </x:row>
    <x:row r="21" ht="86" customHeight="1">
      <x:c r="A21"/>
      <x:c r="B21"/>
      <x:c r="C21"/>
      <x:c r="D21"/>
      <x:c r="E21"/>
      <x:c r="F21"/>
      <x:c r="G21"/>
    </x:row>
    <x:row r="22" ht="72" customHeight="1">
      <x:c r="A22"/>
      <x:c r="B22"/>
      <x:c r="C22"/>
      <x:c r="D22"/>
      <x:c r="E22"/>
      <x:c r="F22"/>
      <x:c r="G22"/>
    </x:row>
    <x:row r="23" ht="78" customHeight="1">
      <x:c r="A23"/>
      <x:c r="B23"/>
      <x:c r="C23"/>
      <x:c r="D23"/>
      <x:c r="E23"/>
      <x:c r="F23"/>
      <x:c r="G23"/>
    </x:row>
    <x:row r="24" ht="100" customHeight="1">
      <x:c r="A24"/>
      <x:c r="B24"/>
      <x:c r="C24"/>
      <x:c r="D24"/>
      <x:c r="E24"/>
      <x:c r="F24"/>
      <x:c r="G24"/>
    </x:row>
    <x:row r="25" ht="115" customHeight="1">
      <x:c r="A25"/>
      <x:c r="B25"/>
      <x:c r="C25"/>
      <x:c r="D25"/>
      <x:c r="E25"/>
      <x:c r="F25"/>
      <x:c r="G25"/>
    </x:row>
    <x:row r="26" ht="118" customHeight="1">
      <x:c r="A26"/>
      <x:c r="B26"/>
      <x:c r="C26"/>
      <x:c r="D26"/>
      <x:c r="E26"/>
      <x:c r="F26"/>
      <x:c r="G26"/>
    </x:row>
    <x:row r="27" ht="118" customHeight="1">
      <x:c r="A27"/>
      <x:c r="B27"/>
      <x:c r="C27"/>
      <x:c r="D27"/>
      <x:c r="E27"/>
      <x:c r="F27"/>
      <x:c r="G27"/>
    </x:row>
    <x:row r="28" ht="118" customHeight="1">
      <x:c r="A28"/>
      <x:c r="B28"/>
      <x:c r="C28"/>
      <x:c r="D28"/>
      <x:c r="E28"/>
      <x:c r="F28"/>
      <x:c r="G28"/>
    </x:row>
    <x:row r="29" ht="84" hidden="0" customHeight="1">
      <x:c r="A29"/>
      <x:c r="B29"/>
      <x:c r="C29"/>
      <x:c r="D29"/>
      <x:c r="E29"/>
      <x:c r="F29"/>
      <x:c r="G29"/>
    </x:row>
    <x:row r="30" ht="118" customHeight="1">
      <x:c r="A30"/>
      <x:c r="B30"/>
      <x:c r="C30"/>
      <x:c r="D30"/>
      <x:c r="E30"/>
      <x:c r="F30"/>
      <x:c r="G30"/>
    </x:row>
    <x:row r="31" ht="118" customHeight="1">
      <x:c r="A31"/>
      <x:c r="B31"/>
      <x:c r="C31"/>
      <x:c r="D31"/>
      <x:c r="E31"/>
      <x:c r="F31"/>
      <x:c r="G31"/>
    </x:row>
    <x:row r="32" ht="118" customHeight="1">
      <x:c r="A32"/>
      <x:c r="B32"/>
      <x:c r="C32"/>
      <x:c r="D32"/>
      <x:c r="E32"/>
      <x:c r="F32"/>
      <x:c r="G32"/>
    </x:row>
    <x:row r="33" ht="128" customHeight="1">
      <x:c r="A33"/>
      <x:c r="B33"/>
      <x:c r="C33"/>
      <x:c r="D33"/>
      <x:c r="E33"/>
      <x:c r="F33"/>
      <x:c r="G33"/>
    </x:row>
    <x:row r="34" ht="96" customHeight="1">
      <x:c r="A34"/>
      <x:c r="B34"/>
      <x:c r="C34"/>
      <x:c r="D34"/>
      <x:c r="E34"/>
      <x:c r="F34"/>
      <x:c r="G34"/>
    </x:row>
    <x:row r="35" ht="108" customHeight="1">
      <x:c r="A35"/>
      <x:c r="B35"/>
      <x:c r="C35"/>
      <x:c r="D35"/>
      <x:c r="E35"/>
      <x:c r="F35"/>
      <x:c r="G35"/>
    </x:row>
    <x:row r="36" ht="72" customHeight="1">
      <x:c r="A36"/>
      <x:c r="B36"/>
      <x:c r="C36"/>
      <x:c r="D36"/>
      <x:c r="E36"/>
      <x:c r="F36"/>
      <x:c r="G36"/>
    </x:row>
  </x:sheetData>
  <x:mergeCells>
    <x:mergeCell ref="A1:G2"/>
    <x:mergeCell ref="A3:G3"/>
  </x:mergeCells>
  <x:pageMargins left="0.7" right="0.7" top="0.75" bottom="0.75" header="0.3" footer="0.3"/>
</x:worksheet>
</file>