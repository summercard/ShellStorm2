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67c18539744d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5d4eac042494d63"/>
    <x:sheet xmlns:r="http://schemas.openxmlformats.org/officeDocument/2006/relationships" name="资产主表" sheetId="2" r:id="Rffc421c440ba4260"/>
    <x:sheet xmlns:r="http://schemas.openxmlformats.org/officeDocument/2006/relationships" name="角色组件" sheetId="3" r:id="R38cb38a55a0043b8"/>
    <x:sheet xmlns:r="http://schemas.openxmlformats.org/officeDocument/2006/relationships" name="动画与状态" sheetId="4" r:id="Rb5585ae8e5354959"/>
    <x:sheet xmlns:r="http://schemas.openxmlformats.org/officeDocument/2006/relationships" name="分类与编码" sheetId="5" r:id="R6d0966278a3d49dc"/>
    <x:sheet xmlns:r="http://schemas.openxmlformats.org/officeDocument/2006/relationships" name="命名与查重" sheetId="6" r:id="R4461a72bf5304843"/>
    <x:sheet xmlns:r="http://schemas.openxmlformats.org/officeDocument/2006/relationships" name="原型角色" sheetId="7" r:id="Ra5ec9800d3be472b"/>
    <x:sheet xmlns:r="http://schemas.openxmlformats.org/officeDocument/2006/relationships" name="版本记录" sheetId="8" r:id="R9e7e2e12ebc346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5" fillId="23" borderId="0" xfId="0" applyNumberFormat="1" applyFont="1" applyFill="1" applyBorder="1"/>
    <x:xf numFmtId="0" fontId="5" fillId="23" borderId="0" xfId="0" applyNumberFormat="1" applyFont="1" applyFill="1" applyBorder="1" applyAlignment="1">
      <x:alignment horizontal="center"/>
    </x:xf>
    <x:xf numFmtId="0" fontId="5" fillId="23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d3b814b66844b4" /><Relationship Type="http://schemas.openxmlformats.org/officeDocument/2006/relationships/theme" Target="/xl/theme/theme1.xml" Id="R34b82fadba114615" /><Relationship Type="http://schemas.openxmlformats.org/officeDocument/2006/relationships/sharedStrings" Target="/xl/sharedStrings.xml" Id="Rf7ef2db0a1774e21" /><Relationship Type="http://schemas.openxmlformats.org/officeDocument/2006/relationships/worksheet" Target="/xl/worksheets/sheet1.xml" Id="R75d4eac042494d63" /><Relationship Type="http://schemas.openxmlformats.org/officeDocument/2006/relationships/worksheet" Target="/xl/worksheets/sheet2.xml" Id="Rffc421c440ba4260" /><Relationship Type="http://schemas.openxmlformats.org/officeDocument/2006/relationships/worksheet" Target="/xl/worksheets/sheet3.xml" Id="R38cb38a55a0043b8" /><Relationship Type="http://schemas.openxmlformats.org/officeDocument/2006/relationships/worksheet" Target="/xl/worksheets/sheet4.xml" Id="Rb5585ae8e5354959" /><Relationship Type="http://schemas.openxmlformats.org/officeDocument/2006/relationships/worksheet" Target="/xl/worksheets/sheet5.xml" Id="R6d0966278a3d49dc" /><Relationship Type="http://schemas.openxmlformats.org/officeDocument/2006/relationships/worksheet" Target="/xl/worksheets/sheet6.xml" Id="R4461a72bf5304843" /><Relationship Type="http://schemas.openxmlformats.org/officeDocument/2006/relationships/worksheet" Target="/xl/worksheets/sheet7.xml" Id="Ra5ec9800d3be472b" /><Relationship Type="http://schemas.openxmlformats.org/officeDocument/2006/relationships/worksheet" Target="/xl/worksheets/sheet8.xml" Id="R9e7e2e12ebc346cd" /><Relationship Type="http://schemas.microsoft.com/office/2017/10/relationships/person" Target="/xl/persons/person.xml" Id="R42c5fdb8350447a2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59a8883ce7d492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 v0.1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查重 → 归类 → 领取 AssetID → 组件制作 → 游戏内验收 → 回填哈希；本表是唯一资产登记源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COUNTA('资产主表'!$A$6:$A$205)</x:f>
        <x:v>166</x:v>
      </x:c>
      <x:c r="B6" s="43"/>
      <x:c r="C6" s="45" t="n">
        <x:f>COUNTIF('资产主表'!$K$6:$K$205,"已完成")+COUNTIF('资产主表'!$K$6:$K$205,"原型已接入")</x:f>
        <x:v>70</x:v>
      </x:c>
      <x:c r="D6" s="43"/>
      <x:c r="E6" s="45" t="n">
        <x:f>COUNTIF('资产主表'!$K$6:$K$205,"待制作")+COUNTIF('资产主表'!$K$6:$K$205,"程序占位")</x:f>
        <x:v>95</x:v>
      </x:c>
      <x:c r="F6" s="43"/>
      <x:c r="G6" s="45" t="n">
        <x:f>COUNTIF('资产主表'!$S$6:$S$205,"重复")</x:f>
        <x:v>1</x:v>
      </x:c>
      <x:c r="H6" s="43"/>
      <x:c r="I6" s="46" t="str">
        <x:v>v0.1 3D塔楼：5m组件网格 / 30×25m战斗房 / 9m层高</x:v>
      </x:c>
      <x:c r="J6" s="46" t="str">
        <x:v>楼顶 → 99层基地 → 98—95层战斗与撤离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COUNTIF('资产主表'!$C$6:$C$205,A10)</x:f>
        <x:v>31</x:v>
      </x:c>
      <x:c r="C10" s="50" t="n">
        <x:f>COUNTIFS('资产主表'!$C$6:$C$205,A10,'资产主表'!$K$6:$K$205,"已完成")+COUNTIFS('资产主表'!$C$6:$C$205,A10,'资产主表'!$K$6:$K$205,"原型已接入")</x:f>
        <x:v>30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COUNTIF('资产主表'!$C$6:$C$205,A11)</x:f>
        <x:v>8</x:v>
      </x:c>
      <x:c r="C11" s="52" t="n">
        <x:f>COUNTIFS('资产主表'!$C$6:$C$205,A11,'资产主表'!$K$6:$K$205,"已完成")+COUNTIFS('资产主表'!$C$6:$C$205,A11,'资产主表'!$K$6:$K$205,"原型已接入")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COUNTIF('资产主表'!$C$6:$C$205,A12)</x:f>
        <x:v>22</x:v>
      </x:c>
      <x:c r="C12" s="52" t="n">
        <x:f>COUNTIFS('资产主表'!$C$6:$C$205,A12,'资产主表'!$K$6:$K$205,"已完成")+COUNTIFS('资产主表'!$C$6:$C$205,A12,'资产主表'!$K$6:$K$205,"原型已接入")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COUNTIF('资产主表'!$C$6:$C$205,A13)</x:f>
        <x:v>7</x:v>
      </x:c>
      <x:c r="C13" s="52" t="n">
        <x:f>COUNTIFS('资产主表'!$C$6:$C$205,A13,'资产主表'!$K$6:$K$205,"已完成")+COUNTIFS('资产主表'!$C$6:$C$205,A13,'资产主表'!$K$6:$K$205,"原型已接入")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COUNTIF('资产主表'!$C$6:$C$205,A14)</x:f>
        <x:v>35</x:v>
      </x:c>
      <x:c r="C14" s="52" t="n">
        <x:f>COUNTIFS('资产主表'!$C$6:$C$205,A14,'资产主表'!$K$6:$K$205,"已完成")+COUNTIFS('资产主表'!$C$6:$C$205,A14,'资产主表'!$K$6:$K$205,"原型已接入")</x:f>
        <x:v>17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COUNTIF('资产主表'!$C$6:$C$205,A15)</x:f>
        <x:v>18</x:v>
      </x:c>
      <x:c r="C15" s="52" t="n">
        <x:f>COUNTIFS('资产主表'!$C$6:$C$205,A15,'资产主表'!$K$6:$K$205,"已完成")+COUNTIFS('资产主表'!$C$6:$C$205,A15,'资产主表'!$K$6:$K$205,"原型已接入")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COUNTIF('资产主表'!$C$6:$C$205,A16)</x:f>
        <x:v>16</x:v>
      </x:c>
      <x:c r="C16" s="52" t="n">
        <x:f>COUNTIFS('资产主表'!$C$6:$C$205,A16,'资产主表'!$K$6:$K$205,"已完成")+COUNTIFS('资产主表'!$C$6:$C$205,A16,'资产主表'!$K$6:$K$205,"原型已接入")</x:f>
        <x:v>5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COUNTIF('资产主表'!$C$6:$C$205,A17)</x:f>
        <x:v>16</x:v>
      </x:c>
      <x:c r="C17" s="52" t="n">
        <x:f>COUNTIFS('资产主表'!$C$6:$C$205,A17,'资产主表'!$K$6:$K$205,"已完成")+COUNTIFS('资产主表'!$C$6:$C$205,A17,'资产主表'!$K$6:$K$205,"原型已接入")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COUNTIF('资产主表'!$C$6:$C$205,A18)</x:f>
        <x:v>13</x:v>
      </x:c>
      <x:c r="C18" s="52" t="n">
        <x:f>COUNTIFS('资产主表'!$C$6:$C$205,A18,'资产主表'!$K$6:$K$205,"已完成")+COUNTIFS('资产主表'!$C$6:$C$205,A18,'资产主表'!$K$6:$K$205,"原型已接入")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tests/verification/verify_player_pixel_art_flow.tscn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原型已接入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cf0b3b648d56590f1e024553d224df35007358452ea16ad1651ae9af4a7dde49</x:v>
      </x:c>
      <x:c r="U113" s="70" t="str">
        <x:v>Codex</x:v>
      </x:c>
      <x:c r="V113" s="71" t="n">
        <x:v>46236</x:v>
      </x:c>
      <x:c r="W113" s="70" t="str">
        <x:v>原创程序几何</x:v>
      </x:c>
      <x:c r="X113" s="70" t="str">
        <x:v>玩家随身三灯通过 layer 1/2 隔离避免自身投影；角色网格恢复外部太阳光/室内灯投影，GI保持关闭；tests/verification/verify_tower_lighting_wall_combat_regressions.tscn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cf0b3b648d56590f1e024553d224df35007358452ea16ad1651ae9af4a7dde49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VisualRoot/Body：BoxMesh身躯、BellyPatch、圆形TailStub；v0.1方形猫原型；tests/verification/verify_player3d_diy_flow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cf0b3b648d56590f1e024553d224df35007358452ea16ad1651ae9af4a7dde49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VisualRoot/Head：BoxMesh方头；Eyes双矩形眼；Ears双三角耳；v0.1方形猫原型；tests/verification/verify_player3d_diy_flow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cf0b3b648d56590f1e024553d224df35007358452ea16ad1651ae9af4a7dde49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VisualRoot/Hand：单个BoxMesh悬浮握持手；全动作与weapon_socket同相；v0.1方形猫原型；tests/verification/verify_player3d_diy_flow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cf0b3b648d56590f1e024553d224df35007358452ea16ad1651ae9af4a7dde49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VisualRoot/Scarf默认隐藏，仅为旧场景兼容；当前四主模块不计入scarf；v0.1方形猫原型；tests/verification/verify_player3d_diy_flow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cf0b3b648d56590f1e024553d224df35007358452ea16ad1651ae9af4a7dde49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</x:v>
      </x:c>
      <x:c r="K120" s="70" t="str">
        <x:v>原型已接入</x:v>
      </x:c>
      <x:c r="L120" s="70" t="str">
        <x:v>P0</x:v>
      </x:c>
      <x:c r="M120" s="70" t="str">
        <x:v>v001</x:v>
      </x:c>
      <x:c r="N120" s="70" t="str">
        <x:v>PackedScene/材质变体</x:v>
      </x:c>
      <x:c r="O120" s="70" t="str">
        <x:v>assets/art/props/base_world_3d/prp_base_facility_root_top3d_v001.tscn</x:v>
      </x:c>
      <x:c r="P120" s="70" t="str">
        <x:v>src/base3d/BaseFacility3D.gd</x:v>
      </x:c>
      <x:c r="Q120" s="70" t="str">
        <x:v>设施;交互;信标;3D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46233</x:v>
      </x:c>
      <x:c r="W120" s="70" t="str">
        <x:v>原创程序几何</x:v>
      </x:c>
      <x:c r="X120" s="70" t="str">
        <x:v>v0.1：BaseFacility3D复用于五个独立电梯设施（99—95层各一处），设施挂在走廊设施层级而非房间内部，放置在基地房间墙边或楼层走廊边。电梯解锁、目标楼层和到达点从邻接的elevator_access房间读取。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tests/verification/verify_base_world_3d_visual.tscn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原型已接入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原型已接入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46237</x:v>
      </x:c>
      <x:c r="W128" s="70" t="str">
        <x:v>原创程序几何</x:v>
      </x:c>
      <x:c r="X128" s="70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46237</x:v>
      </x:c>
      <x:c r="W132" s="63" t="str">
        <x:v>原创程序几何</x:v>
      </x:c>
      <x:c r="X132" s="63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tests/verification/verify_full_3d_visual.tscn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实际GPU窗口确认360°遮挡逻辑与96°定向表现；v0.1三层玩家灯去除头顶溢光，角色正面柔光、增强中央灯与战斗轮廓通过验收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tests/verification/verify_training_range_3d_visual.tscn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原型已接入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46237</x:v>
      </x:c>
      <x:c r="W143" s="70" t="str">
        <x:v>原创程序几何</x:v>
      </x:c>
      <x:c r="X143" s="70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s="62" t="str">
        <x:v>原创程序几何</x:v>
      </x:c>
      <x:c r="X144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cf0b3b648d56590f1e024553d224df35007358452ea16ad1651ae9af4a7dde49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cf0b3b648d56590f1e024553d224df35007358452ea16ad1651ae9af4a7dde49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cf0b3b648d56590f1e024553d224df35007358452ea16ad1651ae9af4a7dde49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cf0b3b648d56590f1e024553d224df35007358452ea16ad1651ae9af4a7dde49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3aeed15ba17514e5e92ddda3b7303f9f29f576abe826d3039a7b8fc080c320bb</x:v>
      </x:c>
      <x:c r="U156" s="70" t="str">
        <x:v>Codex</x:v>
      </x:c>
      <x:c r="V156" s="71" t="n">
        <x:v>46233</x:v>
      </x:c>
      <x:c r="W156" s="71" t="str">
        <x:v>原创 Blender/Godot 组合</x:v>
      </x:c>
      <x:c r="X156" s="70" t="str">
        <x:v>v0.1：玩家网格位于layer2并保持cast_shadow=ON；太阳与室内灯的shadow_caster_mask包含layer1|layer2，可产生正常外部投影。玩家随身三盏灯的阴影图排除layer2，不对角色自身投影；GI关闭。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v0.1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v0.1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v0.1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v0.1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v0.1：v006网格与AssetID不变；FootJointL除moving步态外新增falling收腿与landing压缩恢复职责，动作由PlayerAvatar3D程序变换驱动。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v0.1：v006网格与AssetID不变；FootJointR除moving步态外新增falling收腿与landing压缩恢复职责，动作由PlayerAvatar3D程序变换驱动。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原型已接入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assets/art/environments/tower_descent_3d/source/validate_env_tower_descent_kit_top3d_v007.py; assets/art/environments/tower_descent_3d/source/render_env_tower_descent_kit_top3d_v007.py; docs/v0.1/03_关卡与场景设计.md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46237</x:v>
      </x:c>
      <x:c r="W163" s="71" t="str">
        <x:v>程序生成 Blender 源集合</x:v>
      </x:c>
      <x:c r="X163" s="70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MultiMesh网格/动态水平通道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tests/verification/verify_tower_descent_flow.tscn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46237</x:v>
      </x:c>
      <x:c r="W164" s="70" t="str">
        <x:v>程序生成Blender源集合</x:v>
      </x:c>
      <x:c r="X164" s="70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TowerFloorStage3D.gd; mat_tower_wall_solid_a_v001.tres; mat_tower_wall_solid_b_v001.tres; tests/verification/verify_tower_descent_flow.tscn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46237</x:v>
      </x:c>
      <x:c r="W165" s="70" t="str">
        <x:v>程序生成 Blender 源集合</x:v>
      </x:c>
      <x:c r="X165" s="70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tests/verification/verify_tower_descent_visual.tscn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原型已接入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46236</x:v>
      </x:c>
      <x:c r="W167" s="70" t="str">
        <x:v>程序生成 Blender 源集合</x:v>
      </x:c>
      <x:c r="X167" s="70" t="str">
        <x:v>2026-08-02：南北门墙统一使用仅限相机层的门洞代理，开门不再全局绕过后墙检测；代理不阻挡玩家、怪物或子弹。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env_tower_descent_kit_top3d_v007.blend; export_env_tower_stairwells_v001.py; TowerDescent3D.gd; tests/verification/verify_tower_descent_flow.tscn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46237</x:v>
      </x:c>
      <x:c r="W168" s="70" t="str">
        <x:v>用户手工Blender模型</x:v>
      </x:c>
      <x:c r="X168" s="70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env_tower_descent_kit_top3d_v007.blend; export_env_tower_stairwells_v001.py; TowerDescent3D.gd; tests/verification/verify_tower_descent_flow.tscn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重复</x:v>
      </x:c>
      <x:c r="T169" s="70" t="str">
        <x:v>88198a579cc846974f17f5203b46b568b7ab2421fd7bb63c0b7868ddd05684a2</x:v>
      </x:c>
      <x:c r="U169" s="70" t="str">
        <x:v>Codex</x:v>
      </x:c>
      <x:c r="V169" s="71" t="n">
        <x:v>46237</x:v>
      </x:c>
      <x:c r="W169" s="70" t="str">
        <x:v>用户手工Blender模型</x:v>
      </x:c>
      <x:c r="X169" s="70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v>
      </x:c>
    </x:row>
    <x:row r="170">
      <x:c r="A170" t="str">
        <x:v>CHR-PLY-CAPSULE01-BACKPACK-SOCKET-3D</x:v>
      </x:c>
      <x:c r="B170" t="str">
        <x:v>玩家背包装备挂点</x:v>
      </x:c>
      <x:c r="C170" t="str">
        <x:v>角色</x:v>
      </x:c>
      <x:c r="D170" t="str">
        <x:v>player_accessory_socket</x:v>
      </x:c>
      <x:c r="E170" t="str">
        <x:v>player_capsule01</x:v>
      </x:c>
      <x:c r="F170" t="str">
        <x:v>backpack_socket_3d</x:v>
      </x:c>
      <x:c r="G170" t="str">
        <x:v>CHR-PLY-CAPSULE01-3D</x:v>
      </x:c>
      <x:c r="H170" t="str">
        <x:v>俯视3D</x:v>
      </x:c>
      <x:c r="I170" t="str">
        <x:v>default</x:v>
      </x:c>
      <x:c r="J170" t="str">
        <x:v>3D玩家场景/可装备背包</x:v>
      </x:c>
      <x:c r="K170" t="str">
        <x:v>原型已接入</x:v>
      </x:c>
      <x:c r="L170" t="str">
        <x:v>P0</x:v>
      </x:c>
      <x:c r="M170" t="str">
        <x:v>v001</x:v>
      </x:c>
      <x:c r="N170" t="str">
        <x:v>Marker3D；bunny=(0,0.74,0.30)；fallback=(0,1.25,0.48)</x:v>
      </x:c>
      <x:c r="O170" t="str">
        <x:v>assets/art/characters/player/chr_player_capsule01_3d/chr_player_capsule01_root_top3d_v001.tscn; assets/art/characters/player/chr_player_capsule01_3d/variants/bunny01/chr_player_capsule01_bunny01_root_top3d_v006.tscn</x:v>
      </x:c>
      <x:c r="P170" t="str">
        <x:v>src/player3d/PlayerAvatar3D.gd; tests/verification/verify_backpack_equipment_flow.tscn</x:v>
      </x:c>
      <x:c r="Q170" t="str">
        <x:v>背包挂点;BackpackSocket;背部装备;wearable;capacity</x:v>
      </x:c>
      <x:c r="R170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t="str">
        <x:f>IF(COUNTIF($R:$R,R170)&gt;1,"重复","唯一")</x:f>
        <x:v>唯一</x:v>
      </x:c>
      <x:c r="T170"/>
      <x:c r="U170" t="str">
        <x:v>Codex</x:v>
      </x:c>
      <x:c r="V170" t="n">
        <x:v>46240</x:v>
      </x:c>
      <x:c r="W170" t="str">
        <x:v>原创程序挂点</x:v>
      </x:c>
      <x:c r="X170" t="str">
        <x:v>独立于左右武器收纳挂点；只承载表现，不改变角色碰撞。装备/卸下由backpack_equipment_changed同步；专项与Metal/OpenGL战术背包画面通过。</x:v>
      </x:c>
    </x:row>
    <x:row r="171">
      <x:c r="A171" t="str">
        <x:v>ITM-EQUIPMENT-BACKPACK-3D</x:v>
      </x:c>
      <x:c r="B171" t="str">
        <x:v>可装备背包3D占位模型</x:v>
      </x:c>
      <x:c r="C171" t="str">
        <x:v>道具</x:v>
      </x:c>
      <x:c r="D171" t="str">
        <x:v>equipment</x:v>
      </x:c>
      <x:c r="E171" t="str">
        <x:v>equipment_backpack</x:v>
      </x:c>
      <x:c r="F171" t="str">
        <x:v>root_3d</x:v>
      </x:c>
      <x:c r="G171"/>
      <x:c r="H171" t="str">
        <x:v>俯视3D</x:v>
      </x:c>
      <x:c r="I171" t="str">
        <x:v>default</x:v>
      </x:c>
      <x:c r="J171" t="str">
        <x:v>地面拾取/UI图标/角色背部共用</x:v>
      </x:c>
      <x:c r="K171" t="str">
        <x:v>程序占位</x:v>
      </x:c>
      <x:c r="L171" t="str">
        <x:v>P0</x:v>
      </x:c>
      <x:c r="M171" t="str">
        <x:v>v001</x:v>
      </x:c>
      <x:c r="N171" t="str">
        <x:v>BoxMesh组件；2/4/8格三档体积、主色与1/2/3附袋</x:v>
      </x:c>
      <x:c r="O171"/>
      <x:c r="P171" t="str">
        <x:v>src/world3d/ItemModelFactory3D.gd; src/base/ItemRegistry.gd; tests/verification/verify_backpack_equipment_flow.tscn</x:v>
      </x:c>
      <x:c r="Q171" t="str">
        <x:v>轻型腰包;战术背包;远征背包;backpack;2格;4格;8格</x:v>
      </x:c>
      <x:c r="R171" t="str">
        <x:f>LOWER(TRIM(C171)&amp;"|"&amp;TRIM(D171)&amp;"|"&amp;TRIM(E171)&amp;"|"&amp;TRIM(F171)&amp;"|"&amp;TRIM(H171)&amp;"|"&amp;TRIM(I171))</x:f>
        <x:v>道具|equipment|equipment_backpack|root_3d|俯视3d|default</x:v>
      </x:c>
      <x:c r="S171" t="str">
        <x:f>IF(COUNTIF($R:$R,R171)&gt;1,"重复","唯一")</x:f>
        <x:v>唯一</x:v>
      </x:c>
      <x:c r="T171"/>
      <x:c r="U171" t="str">
        <x:v>Codex</x:v>
      </x:c>
      <x:c r="V171" t="n">
        <x:v>46240</x:v>
      </x:c>
      <x:c r="W171" t="str">
        <x:v>原创程序几何</x:v>
      </x:c>
      <x:c r="X171" t="str">
        <x:v>同一模型工厂服务equipment_backpack_2/4/8，避免世界物、UI图标和背部表现重复资产；无玩法碰撞，正式模型完成前保持程序占位状态。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9a8883ce7d492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可选；layer2；允许太阳/室内灯外部投影；玩家三灯不产生自身投影；GI禁用。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可选；layer2；允许太阳/室内灯外部投影；玩家三灯不产生自身投影；GI禁用。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v0.1：v006真实1.5m分体网格与AssetID不变；玩法碰撞位于Player3D/VirtualCollisionCapsule（height=1.5m、radius=0.34m）。falling/landing复用既有Body/Head/Hands/Feet/EarSocket关节。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Blender原点：脚底中心；静态最低点Y=0；v0.1复用同一v006网格增加下落与落地程序动作。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Blender原点：脚底中心；静态最低点Y=0；v0.1复用同一v006网格增加下落与落地程序动作。</x:v>
      </x:c>
    </x:row>
    <x:row r="40">
      <x:c r="A40" t="str">
        <x:v>player_capsule01_3d</x:v>
      </x:c>
      <x:c r="B40" t="str">
        <x:v>weapon_stow_primary</x:v>
      </x:c>
      <x:c r="C40" t="str">
        <x:v>VisualRoot/BunnyRig/StowedWeaponSocketPrimary</x:v>
      </x:c>
      <x:c r="D40" t="str">
        <x:v>root</x:v>
      </x:c>
      <x:c r="E40" t="str">
        <x:v>无纹理</x:v>
      </x:c>
      <x:c r="F40" t="str">
        <x:v>Marker3D</x:v>
      </x:c>
      <x:c r="G40" t="str">
        <x:v>(-0.42,1.12,0.25)</x:v>
      </x:c>
      <x:c r="H40" t="str">
        <x:v>随root；local -Z枪口轴转向世界下方</x:v>
      </x:c>
      <x:c r="I40" t="str">
        <x:v>5</x:v>
      </x:c>
      <x:c r="J40" t="str">
        <x:v>主武器未激活时背部左侧收纳</x:v>
      </x:c>
      <x:c r="K40" t="str">
        <x:v>武器系统</x:v>
      </x:c>
      <x:c r="L40" t="str">
        <x:v>是</x:v>
      </x:c>
      <x:c r="M40" t="str">
        <x:v>主武器槽0专属；枪口朝下；回退节点VisualRoot/StowedWeaponSocketPrimary</x:v>
      </x:c>
    </x:row>
    <x:row r="41">
      <x:c r="A41" t="str">
        <x:v>player_capsule01_3d</x:v>
      </x:c>
      <x:c r="B41" t="str">
        <x:v>weapon_stow_secondary</x:v>
      </x:c>
      <x:c r="C41" t="str">
        <x:v>VisualRoot/BunnyRig/StowedWeaponSocketSecondary</x:v>
      </x:c>
      <x:c r="D41" t="str">
        <x:v>root</x:v>
      </x:c>
      <x:c r="E41" t="str">
        <x:v>无纹理</x:v>
      </x:c>
      <x:c r="F41" t="str">
        <x:v>Marker3D</x:v>
      </x:c>
      <x:c r="G41" t="str">
        <x:v>(0.42,1.12,0.25)</x:v>
      </x:c>
      <x:c r="H41" t="str">
        <x:v>随root；local -Z枪口轴转向世界下方</x:v>
      </x:c>
      <x:c r="I41" t="str">
        <x:v>5</x:v>
      </x:c>
      <x:c r="J41" t="str">
        <x:v>副武器未激活时背部右侧收纳</x:v>
      </x:c>
      <x:c r="K41" t="str">
        <x:v>武器系统</x:v>
      </x:c>
      <x:c r="L41" t="str">
        <x:v>是</x:v>
      </x:c>
      <x:c r="M41" t="str">
        <x:v>副武器槽1专属；枪口朝下；回退节点VisualRoot/StowedWeaponSocketSecondary</x:v>
      </x:c>
    </x:row>
    <x:row r="42">
      <x:c r="A42" t="str">
        <x:v>player_capsule01_3d</x:v>
      </x:c>
      <x:c r="B42" t="str">
        <x:v>backpack_socket</x:v>
      </x:c>
      <x:c r="C42" t="str">
        <x:v>VisualRoot/BunnyRig/BackpackSocket（fallback: VisualRoot/BackpackSocket）</x:v>
      </x:c>
      <x:c r="D42" t="str">
        <x:v>root</x:v>
      </x:c>
      <x:c r="E42" t="str">
        <x:v>无纹理；子模型来自ItemModelFactory3D</x:v>
      </x:c>
      <x:c r="F42" t="str">
        <x:v>Marker3D + 程序Mesh</x:v>
      </x:c>
      <x:c r="G42" t="str">
        <x:v>bunny (0,0.74,0.30)；fallback (0,1.25,0.48)</x:v>
      </x:c>
      <x:c r="H42" t="str">
        <x:v>继承VisualRoot朝向</x:v>
      </x:c>
      <x:c r="I42" t="n">
        <x:v>3</x:v>
      </x:c>
      <x:c r="J42" t="str">
        <x:v>装备时生成背包占位Mesh；卸下时移除</x:v>
      </x:c>
      <x:c r="K42" t="str">
        <x:v>背包装备系统</x:v>
      </x:c>
      <x:c r="L42" t="str">
        <x:v>是</x:v>
      </x:c>
      <x:c r="M42" t="str">
        <x:v>与StowedWeaponSocketPrimary/Secondary分离；2/4/8格共用模型工厂；无碰撞；verify_backpack_equipment_flow与Metal/OpenGL实机渲染通过。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倾倒熄灭</x:v>
      </x:c>
      <x:c r="G13" s="101" t="str">
        <x:v>随整体倾倒</x:v>
      </x:c>
      <x:c r="H13" s="101" t="str">
        <x:v>随整体倾倒</x:v>
      </x:c>
      <x:c r="I13" s="101" t="str">
        <x:v>随整体倾倒</x:v>
      </x:c>
      <x:c r="J13" s="101" t="str">
        <x:v>停止</x:v>
      </x:c>
      <x:c r="K13" s="101" t="str">
        <x:v>HUD 终止</x:v>
      </x:c>
      <x:c r="L13" s="101" t="str">
        <x:v>整体倾倒；耳朵与肢体跟随关节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v0.1 兔子组件与动作归属（不新增状态）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11" hidden="0" customWidth="1"/>
    <x:col min="4" max="4" width="24" hidden="0" customWidth="1"/>
    <x:col min="5" max="5" width="58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当前角色原型 · 兔子组件角色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1.5m 俯视3D角色；逻辑根、虚拟碰撞胶囊、视觉组件和 WeaponSocket 相互独立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动作方式</x:v>
      </x:c>
      <x:c r="H5" s="30" t="str">
        <x:v>验收</x:v>
      </x:c>
    </x:row>
    <x:row r="6" ht="42" customHeight="1">
      <x:c r="A6" s="36" t="str">
        <x:v>root</x:v>
      </x:c>
      <x:c r="B6" s="36" t="str">
        <x:v>CHR-PLY-CAPSULE01-3D-BUNNY01</x:v>
      </x:c>
      <x:c r="C6" s="36" t="str">
        <x:v>1.034×1.500×0.645m</x:v>
      </x:c>
      <x:c r="D6" s="36" t="str">
        <x:v>视觉组件根</x:v>
      </x:c>
      <x:c r="E6" s="36" t="str">
        <x:v>assets/art/characters/player/chr_player_capsule01_3d/variants/bunny01/chr_player_capsule01_bunny01_root_top3d_v006.tscn</x:v>
      </x:c>
      <x:c r="F6" s="36" t="str">
        <x:v>b88839fbe76e</x:v>
      </x:c>
      <x:c r="G6" s="36" t="str">
        <x:v>八态 + 动作覆盖层</x:v>
      </x:c>
      <x:c r="H6" s="36" t="str">
        <x:v>通过</x:v>
      </x:c>
    </x:row>
    <x:row r="7" ht="42" customHeight="1">
      <x:c r="A7" s="37" t="str">
        <x:v>body</x:v>
      </x:c>
      <x:c r="B7" s="37" t="str">
        <x:v>CHR-PLY-CAPSULE01-3D-BUNNY01-BODY</x:v>
      </x:c>
      <x:c r="C7" s="37" t="str">
        <x:v>1.5m角色比例</x:v>
      </x:c>
      <x:c r="D7" s="37" t="str">
        <x:v>身体组件</x:v>
      </x:c>
      <x:c r="E7" s="37" t="str">
        <x:v>assets/art/characters/player/chr_player_capsule01_3d/variants/bunny01/components/chr_player_capsule01_bunny01_body_top3d_v006.glb</x:v>
      </x:c>
      <x:c r="F7" s="37" t="str">
        <x:v>c574d76e0f19</x:v>
      </x:c>
      <x:c r="G7" s="37" t="str">
        <x:v>呼吸/移动/受击</x:v>
      </x:c>
      <x:c r="H7" s="37" t="str">
        <x:v>通过</x:v>
      </x:c>
    </x:row>
    <x:row r="8" ht="42" customHeight="1">
      <x:c r="A8" s="37" t="str">
        <x:v>head</x:v>
      </x:c>
      <x:c r="B8" s="37" t="str">
        <x:v>CHR-PLY-CAPSULE01-3D-BUNNY01-HEAD</x:v>
      </x:c>
      <x:c r="C8" s="37" t="str">
        <x:v>头顶1.103390m</x:v>
      </x:c>
      <x:c r="D8" s="37" t="str">
        <x:v>头部组件</x:v>
      </x:c>
      <x:c r="E8" s="37" t="str">
        <x:v>assets/art/characters/player/chr_player_capsule01_3d/variants/bunny01/components/chr_player_capsule01_bunny01_head_top3d_v006.glb</x:v>
      </x:c>
      <x:c r="F8" s="37" t="str">
        <x:v>b8db86c722bb</x:v>
      </x:c>
      <x:c r="G8" s="37" t="str">
        <x:v>延迟跟随/受击</x:v>
      </x:c>
      <x:c r="H8" s="37" t="str">
        <x:v>通过</x:v>
      </x:c>
    </x:row>
    <x:row r="9" ht="42" customHeight="1">
      <x:c r="A9" s="37" t="str">
        <x:v>ears</x:v>
      </x:c>
      <x:c r="B9" s="37" t="str">
        <x:v>CHR-PLY-CAPSULE01-3D-BUNNY01-EARS</x:v>
      </x:c>
      <x:c r="C9" s="37" t="str">
        <x:v>单GLB双实例</x:v>
      </x:c>
      <x:c r="D9" s="37" t="str">
        <x:v>双耳配件</x:v>
      </x:c>
      <x:c r="E9" s="37" t="str">
        <x:v>assets/art/characters/player/chr_player_capsule01_3d/variants/bunny01/components/chr_player_capsule01_bunny01_ear_top3d_v006.glb</x:v>
      </x:c>
      <x:c r="F9" s="37" t="str">
        <x:v>ed3c7abe2831</x:v>
      </x:c>
      <x:c r="G9" s="37" t="str">
        <x:v>跟随/摆动</x:v>
      </x:c>
      <x:c r="H9" s="37" t="str">
        <x:v>通过</x:v>
      </x:c>
    </x:row>
    <x:row r="10" ht="42" customHeight="1">
      <x:c r="A10" s="37" t="str">
        <x:v>hands</x:v>
      </x:c>
      <x:c r="B10" s="37" t="str">
        <x:v>CHR-PLY-CAPSULE01-3D-BUNNY01-HAND</x:v>
      </x:c>
      <x:c r="C10" s="37" t="str">
        <x:v>左右独立GLB</x:v>
      </x:c>
      <x:c r="D10" s="37" t="str">
        <x:v>握持与支撑手</x:v>
      </x:c>
      <x:c r="E10" s="37" t="str">
        <x:v>assets/art/characters/player/chr_player_capsule01_3d/variants/bunny01/components/chr_player_capsule01_bunny01_hand_l_top3d_v006.glb; ...hand_r...v006.glb</x:v>
      </x:c>
      <x:c r="F10" s="37" t="str">
        <x:v>2c6647c0e4f2</x:v>
      </x:c>
      <x:c r="G10" s="37" t="str">
        <x:v>单手/双手握持</x:v>
      </x:c>
      <x:c r="H10" s="37" t="str">
        <x:v>通过</x:v>
      </x:c>
    </x:row>
    <x:row r="11" ht="42" customHeight="1">
      <x:c r="A11" t="str">
        <x:v>foot_l</x:v>
      </x:c>
      <x:c r="B11" s="63" t="str">
        <x:v>CHR-PLY-CAPSULE01-3D-BUNNY01-FOOT-L</x:v>
      </x:c>
      <x:c r="C11" t="str">
        <x:v>1.5m角色比例</x:v>
      </x:c>
      <x:c r="D11" t="str">
        <x:v>左脚组件</x:v>
      </x:c>
      <x:c r="E11" s="63" t="str">
        <x:v>assets/art/characters/player/chr_player_capsule01_3d/variants/bunny01/components/chr_player_capsule01_bunny01_foot_l_top3d_v006.glb</x:v>
      </x:c>
      <x:c r="F11" t="str">
        <x:v>52051cba0db7</x:v>
      </x:c>
      <x:c r="G11" t="str">
        <x:v>步态/下落/落地</x:v>
      </x:c>
      <x:c r="H11" t="str">
        <x:v>通过</x:v>
      </x:c>
    </x:row>
    <x:row r="12" ht="42" customHeight="1">
      <x:c r="A12" t="str">
        <x:v>foot_r</x:v>
      </x:c>
      <x:c r="B12" s="63" t="str">
        <x:v>CHR-PLY-CAPSULE01-3D-BUNNY01-FOOT-R</x:v>
      </x:c>
      <x:c r="C12" t="str">
        <x:v>1.5m角色比例</x:v>
      </x:c>
      <x:c r="D12" t="str">
        <x:v>右脚组件</x:v>
      </x:c>
      <x:c r="E12" s="63" t="str">
        <x:v>assets/art/characters/player/chr_player_capsule01_3d/variants/bunny01/components/chr_player_capsule01_bunny01_foot_r_top3d_v006.glb</x:v>
      </x:c>
      <x:c r="F12" t="str">
        <x:v>d81e840f5c08</x:v>
      </x:c>
      <x:c r="G12" t="str">
        <x:v>步态/下落/落地</x:v>
      </x:c>
      <x:c r="H12" t="str">
        <x:v>通过</x:v>
      </x:c>
    </x:row>
    <x:row r="13">
      <x:c r="A13" s="57" t="str">
        <x:v>八态游戏内验收（Idle / Moving / Dashing / Hurt / Locked / Falling / Landing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FALLING</x:v>
      </x:c>
      <x:c r="G15" s="108" t="str">
        <x:v>LANDING</x:v>
      </x:c>
      <x:c r="H15" s="108" t="str">
        <x:v>DEAD</x:v>
      </x:c>
    </x:row>
    <x:row r="16">
      <x:c r="A16" s="36" t="str">
        <x:v>待命</x:v>
      </x:c>
      <x:c r="B16" s="36" t="str">
        <x:v>移动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下落</x:v>
      </x:c>
      <x:c r="G16" t="str">
        <x:v>落地</x:v>
      </x:c>
      <x:c r="H16" t="str">
        <x:v>生命终止</x:v>
      </x:c>
    </x:row>
    <x:row r="17">
      <x:c r="A17" s="37" t="str">
        <x:v>呼吸/重心</x:v>
      </x:c>
      <x:c r="B17" s="37" t="str">
        <x:v>双脚交替</x:v>
      </x:c>
      <x:c r="C17" s="37" t="str">
        <x:v>翻滚收束</x:v>
      </x:c>
      <x:c r="D17" s="37" t="str">
        <x:v>反向冲击</x:v>
      </x:c>
      <x:c r="E17" s="37" t="str">
        <x:v>姿态稳定</x:v>
      </x:c>
      <x:c r="F17" s="37" t="str">
        <x:v>收腿下落</x:v>
      </x:c>
      <x:c r="G17" t="str">
        <x:v>压缩回弹</x:v>
      </x:c>
      <x:c r="H17" t="str">
        <x:v>整体倒伏</x:v>
      </x:c>
    </x:row>
    <x:row r="18">
      <x:c r="A18" s="37" t="str">
        <x:v>可进移动/突进</x:v>
      </x:c>
      <x:c r="B18" s="37" t="str">
        <x:v>可进待命/突进</x:v>
      </x:c>
      <x:c r="C18" s="37" t="str">
        <x:v>回到待命或移动</x:v>
      </x:c>
      <x:c r="D18" s="37" t="str">
        <x:v>恢复原状态</x:v>
      </x:c>
      <x:c r="E18" s="37" t="str">
        <x:v>由交互释放</x:v>
      </x:c>
      <x:c r="F18" s="37" t="str">
        <x:v>只进落地或死亡</x:v>
      </x:c>
      <x:c r="G18" t="str">
        <x:v>回到可控态</x:v>
      </x:c>
      <x:c r="H18" t="str">
        <x:v>终态</x:v>
      </x:c>
    </x:row>
    <x:row r="19">
      <x:c r="A19" s="37" t="str">
        <x:v>允许射击覆盖</x:v>
      </x:c>
      <x:c r="B19" s="37" t="str">
        <x:v>允许射击覆盖</x:v>
      </x:c>
      <x:c r="C19" s="37" t="str">
        <x:v>无敌窗</x:v>
      </x:c>
      <x:c r="D19" s="37" t="str">
        <x:v>受击反馈</x:v>
      </x:c>
      <x:c r="E19" s="37" t="str">
        <x:v>输入锁定</x:v>
      </x:c>
      <x:c r="F19" s="37" t="str">
        <x:v>关闭地面步态</x:v>
      </x:c>
      <x:c r="G19" t="str">
        <x:v>短时落地冲击</x:v>
      </x:c>
      <x:c r="H19" t="str">
        <x:v>停止动作</x:v>
      </x:c>
    </x:row>
    <x:row r="21">
      <x:c r="A21" s="58" t="str">
        <x:v>视觉输出：outputs/verification/player3d_state_gallery.png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验证命令：./scripts/run_verification_suite.sh scene verify_player3d_state_gallery_flow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WeaponSocket 同相动作；测试 tests/verification/verify_3d_reload_state_flow.tscn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独立3D验收：scenes/Player3DStateGallery.tscn；验证位于 tests/verification/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/ charging / knockback 不新增顶层状态；测试 tests/verification/verify_player3d_state_gallery_flow.tscn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7">
      <x:c r="A27"/>
    </x:row>
    <x:row r="28" ht="34" customHeight="1">
      <x:c r="A28" s="95" t="str">
        <x:v>DIY：body / head / hand / feet / hat / glasses 只改表现；测试 tests/verification/verify_player3d_diy_flow.tscn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v0.1 兔子组件：Body / Head / Ears / HandL / HandR / FootL / FootR；视觉根不含玩法碰撞。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 · 游戏设计文档 v0.1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只记录当前有效基线；历史变更通过版本控制追溯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v0.1.0</x:v>
      </x:c>
      <x:c r="B6" s="53" t="n">
        <x:v>46236</x:v>
      </x:c>
      <x:c r="C6" s="36" t="str">
        <x:v>游戏设计文档 v0.1</x:v>
      </x:c>
      <x:c r="D6" s="36" t="str">
        <x:v>全项目</x:v>
      </x:c>
      <x:c r="E6" s="36" t="str">
        <x:v>统一3D塔楼主线、测试目录、当前资产路径、状态口径和投影契约；清理历史制作版本。</x:v>
      </x:c>
      <x:c r="F6" s="36" t="str">
        <x:v>只保留当前运行资产；历史追溯使用版本控制。</x:v>
      </x:c>
      <x:c r="G6" s="36" t="str">
        <x:v>Codex</x:v>
      </x:c>
    </x:row>
    <x:row r="7">
      <x:c r="A7" t="str">
        <x:v>v0.1.1</x:v>
      </x:c>
      <x:c r="B7" s="62" t="n">
        <x:v>46240</x:v>
      </x:c>
      <x:c r="C7" t="str">
        <x:v>角色武器表现调整</x:v>
      </x:c>
      <x:c r="D7" t="str">
        <x:v>player_capsule01_3d</x:v>
      </x:c>
      <x:c r="E7" t="str">
        <x:v>新增主左/副右背部收纳挂点，枪口统一朝下；复用既有武器模型与AssetID。</x:v>
      </x:c>
      <x:c r="F7" t="str">
        <x:v>不改武器实例、碰撞、伤害或切枪规则。</x:v>
      </x:c>
      <x:c r="G7" t="str">
        <x:v>Codex</x:v>
      </x:c>
    </x:row>
    <x:row r="8">
      <x:c r="A8"/>
      <x:c r="B8"/>
      <x:c r="C8"/>
      <x:c r="D8"/>
      <x:c r="E8"/>
      <x:c r="F8"/>
      <x:c r="G8"/>
    </x:row>
    <x:row r="9" ht="48" customHeight="1">
      <x:c r="A9"/>
      <x:c r="B9"/>
      <x:c r="C9"/>
      <x:c r="D9"/>
      <x:c r="E9"/>
      <x:c r="F9"/>
      <x:c r="G9"/>
    </x:row>
    <x:row r="10" ht="58" customHeight="1">
      <x:c r="A10"/>
      <x:c r="B10"/>
      <x:c r="C10"/>
      <x:c r="D10"/>
      <x:c r="E10"/>
      <x:c r="F10"/>
      <x:c r="G10"/>
    </x:row>
    <x:row r="11" ht="58" customHeight="1">
      <x:c r="A11"/>
      <x:c r="B11"/>
      <x:c r="C11"/>
      <x:c r="D11"/>
      <x:c r="E11"/>
      <x:c r="F11"/>
      <x:c r="G11"/>
    </x:row>
    <x:row r="12">
      <x:c r="A12"/>
      <x:c r="B12"/>
      <x:c r="C12"/>
      <x:c r="D12"/>
      <x:c r="E12"/>
      <x:c r="F12"/>
      <x:c r="G12"/>
    </x:row>
    <x:row r="13" ht="60" customHeight="1">
      <x:c r="A13"/>
      <x:c r="B13"/>
      <x:c r="C13"/>
      <x:c r="D13"/>
      <x:c r="E13"/>
      <x:c r="F13"/>
      <x:c r="G13"/>
    </x:row>
    <x:row r="14" ht="54" customHeight="1">
      <x:c r="A14"/>
      <x:c r="B14"/>
      <x:c r="C14"/>
      <x:c r="D14"/>
      <x:c r="E14"/>
      <x:c r="F14"/>
      <x:c r="G14"/>
    </x:row>
    <x:row r="15" ht="72" customHeight="1">
      <x:c r="A15"/>
      <x:c r="B15"/>
      <x:c r="C15"/>
      <x:c r="D15"/>
      <x:c r="E15"/>
      <x:c r="F15"/>
      <x:c r="G15"/>
    </x:row>
    <x:row r="16" ht="72" customHeight="1">
      <x:c r="A16"/>
      <x:c r="B16"/>
      <x:c r="C16"/>
      <x:c r="D16"/>
      <x:c r="E16"/>
      <x:c r="F16"/>
      <x:c r="G16"/>
    </x:row>
    <x:row r="17" ht="52" customHeight="1">
      <x:c r="A17"/>
      <x:c r="B17"/>
      <x:c r="C17"/>
      <x:c r="D17"/>
      <x:c r="E17"/>
      <x:c r="F17"/>
      <x:c r="G17"/>
    </x:row>
    <x:row r="18" ht="50" customHeight="1">
      <x:c r="A18"/>
      <x:c r="B18"/>
      <x:c r="C18"/>
      <x:c r="D18"/>
      <x:c r="E18"/>
      <x:c r="F18"/>
      <x:c r="G18"/>
    </x:row>
    <x:row r="19" ht="52" customHeight="1">
      <x:c r="A19"/>
      <x:c r="B19"/>
      <x:c r="C19"/>
      <x:c r="D19"/>
      <x:c r="E19"/>
      <x:c r="F19"/>
      <x:c r="G19"/>
    </x:row>
    <x:row r="20" ht="90" customHeight="1">
      <x:c r="A20"/>
      <x:c r="B20"/>
      <x:c r="C20"/>
      <x:c r="D20"/>
      <x:c r="E20"/>
      <x:c r="F20"/>
      <x:c r="G20"/>
    </x:row>
    <x:row r="21" ht="86" customHeight="1">
      <x:c r="A21"/>
      <x:c r="B21"/>
      <x:c r="C21"/>
      <x:c r="D21"/>
      <x:c r="E21"/>
      <x:c r="F21"/>
      <x:c r="G21"/>
    </x:row>
    <x:row r="22" ht="72" customHeight="1">
      <x:c r="A22"/>
      <x:c r="B22"/>
      <x:c r="C22"/>
      <x:c r="D22"/>
      <x:c r="E22"/>
      <x:c r="F22"/>
      <x:c r="G22"/>
    </x:row>
    <x:row r="23" ht="78" customHeight="1">
      <x:c r="A23"/>
      <x:c r="B23"/>
      <x:c r="C23"/>
      <x:c r="D23"/>
      <x:c r="E23"/>
      <x:c r="F23"/>
      <x:c r="G23"/>
    </x:row>
    <x:row r="24" ht="100" customHeight="1">
      <x:c r="A24"/>
      <x:c r="B24"/>
      <x:c r="C24"/>
      <x:c r="D24"/>
      <x:c r="E24"/>
      <x:c r="F24"/>
      <x:c r="G24"/>
    </x:row>
    <x:row r="25" ht="115" customHeight="1">
      <x:c r="A25"/>
      <x:c r="B25"/>
      <x:c r="C25"/>
      <x:c r="D25"/>
      <x:c r="E25"/>
      <x:c r="F25"/>
      <x:c r="G25"/>
    </x:row>
    <x:row r="26" ht="118" customHeight="1">
      <x:c r="A26"/>
      <x:c r="B26"/>
      <x:c r="C26"/>
      <x:c r="D26"/>
      <x:c r="E26"/>
      <x:c r="F26"/>
      <x:c r="G26"/>
    </x:row>
    <x:row r="27" ht="118" customHeight="1">
      <x:c r="A27"/>
      <x:c r="B27"/>
      <x:c r="C27"/>
      <x:c r="D27"/>
      <x:c r="E27"/>
      <x:c r="F27"/>
      <x:c r="G27"/>
    </x:row>
    <x:row r="28" ht="118" customHeight="1">
      <x:c r="A28"/>
      <x:c r="B28"/>
      <x:c r="C28"/>
      <x:c r="D28"/>
      <x:c r="E28"/>
      <x:c r="F28"/>
      <x:c r="G28"/>
    </x:row>
    <x:row r="29" ht="84" hidden="0" customHeight="1">
      <x:c r="A29"/>
      <x:c r="B29"/>
      <x:c r="C29"/>
      <x:c r="D29"/>
      <x:c r="E29"/>
      <x:c r="F29"/>
      <x:c r="G29"/>
    </x:row>
    <x:row r="30" ht="118" customHeight="1">
      <x:c r="A30"/>
      <x:c r="B30"/>
      <x:c r="C30"/>
      <x:c r="D30"/>
      <x:c r="E30"/>
      <x:c r="F30"/>
      <x:c r="G30"/>
    </x:row>
    <x:row r="31" ht="118" customHeight="1">
      <x:c r="A31"/>
      <x:c r="B31"/>
      <x:c r="C31"/>
      <x:c r="D31"/>
      <x:c r="E31"/>
      <x:c r="F31"/>
      <x:c r="G31"/>
    </x:row>
    <x:row r="32" ht="118" customHeight="1">
      <x:c r="A32"/>
      <x:c r="B32"/>
      <x:c r="C32"/>
      <x:c r="D32"/>
      <x:c r="E32"/>
      <x:c r="F32"/>
      <x:c r="G32"/>
    </x:row>
    <x:row r="33" ht="128" customHeight="1">
      <x:c r="A33"/>
      <x:c r="B33"/>
      <x:c r="C33"/>
      <x:c r="D33"/>
      <x:c r="E33"/>
      <x:c r="F33"/>
      <x:c r="G33"/>
    </x:row>
    <x:row r="34" ht="96" customHeight="1">
      <x:c r="A34"/>
      <x:c r="B34"/>
      <x:c r="C34"/>
      <x:c r="D34"/>
      <x:c r="E34"/>
      <x:c r="F34"/>
      <x:c r="G34"/>
    </x:row>
    <x:row r="35" ht="108" customHeight="1">
      <x:c r="A35"/>
      <x:c r="B35"/>
      <x:c r="C35"/>
      <x:c r="D35"/>
      <x:c r="E35"/>
      <x:c r="F35"/>
      <x:c r="G35"/>
    </x:row>
    <x:row r="36" ht="72" customHeight="1">
      <x:c r="A36"/>
      <x:c r="B36"/>
      <x:c r="C36"/>
      <x:c r="D36"/>
      <x:c r="E36"/>
      <x:c r="F36"/>
      <x:c r="G36"/>
    </x:row>
  </x:sheetData>
  <x:mergeCells>
    <x:mergeCell ref="A1:G2"/>
    <x:mergeCell ref="A3:G3"/>
  </x:mergeCells>
  <x:pageMargins left="0.7" right="0.7" top="0.75" bottom="0.75" header="0.3" footer="0.3"/>
</x:worksheet>
</file>