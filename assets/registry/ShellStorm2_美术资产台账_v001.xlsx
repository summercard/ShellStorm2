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788f8eb4bb4b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8db6a911985d42be"/>
    <x:sheet xmlns:r="http://schemas.openxmlformats.org/officeDocument/2006/relationships" name="资产主表" sheetId="2" r:id="R35b8b0bedd9b4554"/>
    <x:sheet xmlns:r="http://schemas.openxmlformats.org/officeDocument/2006/relationships" name="角色组件" sheetId="3" r:id="Rc39ac0ba6b8d4f2e"/>
    <x:sheet xmlns:r="http://schemas.openxmlformats.org/officeDocument/2006/relationships" name="动画与状态" sheetId="4" r:id="Re947ec0d70f2431b"/>
    <x:sheet xmlns:r="http://schemas.openxmlformats.org/officeDocument/2006/relationships" name="分类与编码" sheetId="5" r:id="R0d468249c12e48b2"/>
    <x:sheet xmlns:r="http://schemas.openxmlformats.org/officeDocument/2006/relationships" name="命名与查重" sheetId="6" r:id="R07671a5e19124163"/>
    <x:sheet xmlns:r="http://schemas.openxmlformats.org/officeDocument/2006/relationships" name="原型角色" sheetId="7" r:id="R7cb7398f221e4b8c"/>
    <x:sheet xmlns:r="http://schemas.openxmlformats.org/officeDocument/2006/relationships" name="版本记录" sheetId="8" r:id="Rb332978a099b43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</x:fills>
  <x:borders count="6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</x:borders>
  <x:cellStyleXfs count="1">
    <x:xf numFmtId="0" fontId="0" fillId="0" borderId="0"/>
  </x:cellStyleXfs>
  <x:cellXfs count="9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0"/>
    </x:xf>
    <x:xf numFmtId="0" fontId="18" fillId="8" borderId="0" xfId="0" applyNumberFormat="1" applyFont="1" applyFill="1" applyBorder="1" applyAlignment="1">
      <x:alignment vertical="center" wrapText="0"/>
    </x:xf>
    <x:xf numFmtId="0" fontId="18" fillId="9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9" fillId="10" borderId="0" xfId="0" applyNumberFormat="1" applyFont="1" applyFill="1" applyBorder="1"/>
    <x:xf numFmtId="0" fontId="0" fillId="11" borderId="0" xfId="0" applyNumberFormat="1" applyFont="1" applyFill="1" applyBorder="1"/>
    <x:xf numFmtId="0" fontId="20" fillId="11" borderId="0" xfId="0" applyNumberFormat="1" applyFont="1" applyFill="1" applyBorder="1"/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0" fillId="13" borderId="0" xfId="0" applyNumberFormat="1" applyFont="1" applyFill="1" applyBorder="1"/>
    <x:xf numFmtId="0" fontId="21" fillId="13" borderId="0" xfId="0" applyNumberFormat="1" applyFont="1" applyFill="1" applyBorder="1"/>
    <x:xf numFmtId="0" fontId="21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5" fillId="15" borderId="0" xfId="0" applyNumberFormat="1" applyFont="1" applyFill="1" applyBorder="1"/>
    <x:xf numFmtId="0" fontId="21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0" fillId="17" borderId="0" xfId="0" applyNumberFormat="1" applyFont="1" applyFill="1" applyBorder="1"/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20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wrapText="1"/>
    </x:xf>
    <x:xf numFmtId="0" fontId="20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51591cb92d4574" /><Relationship Type="http://schemas.openxmlformats.org/officeDocument/2006/relationships/theme" Target="/xl/theme/theme1.xml" Id="Rc677be8ee45541b2" /><Relationship Type="http://schemas.openxmlformats.org/officeDocument/2006/relationships/sharedStrings" Target="/xl/sharedStrings.xml" Id="R4f8e6f4f3f7641a9" /><Relationship Type="http://schemas.openxmlformats.org/officeDocument/2006/relationships/worksheet" Target="/xl/worksheets/sheet1.xml" Id="R8db6a911985d42be" /><Relationship Type="http://schemas.openxmlformats.org/officeDocument/2006/relationships/worksheet" Target="/xl/worksheets/sheet2.xml" Id="R35b8b0bedd9b4554" /><Relationship Type="http://schemas.openxmlformats.org/officeDocument/2006/relationships/worksheet" Target="/xl/worksheets/sheet3.xml" Id="Rc39ac0ba6b8d4f2e" /><Relationship Type="http://schemas.openxmlformats.org/officeDocument/2006/relationships/worksheet" Target="/xl/worksheets/sheet4.xml" Id="Re947ec0d70f2431b" /><Relationship Type="http://schemas.openxmlformats.org/officeDocument/2006/relationships/worksheet" Target="/xl/worksheets/sheet5.xml" Id="R0d468249c12e48b2" /><Relationship Type="http://schemas.openxmlformats.org/officeDocument/2006/relationships/worksheet" Target="/xl/worksheets/sheet6.xml" Id="R07671a5e19124163" /><Relationship Type="http://schemas.openxmlformats.org/officeDocument/2006/relationships/worksheet" Target="/xl/worksheets/sheet7.xml" Id="R7cb7398f221e4b8c" /><Relationship Type="http://schemas.openxmlformats.org/officeDocument/2006/relationships/worksheet" Target="/xl/worksheets/sheet8.xml" Id="Rb332978a099b43a4" /><Relationship Type="http://schemas.microsoft.com/office/2017/10/relationships/person" Target="/xl/persons/person.xml" Id="R7c08b455d91e43ab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4ff6c904d8a485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先查重 → 归类 → 领取 AssetID → 制作组件 → 验收 → 登记哈希；本表是唯一资产台账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当前3D原型</x:v>
      </x:c>
      <x:c r="J5" s="44" t="str">
        <x:v>基地 + 四主题副本 + 独立靶场</x:v>
      </x:c>
    </x:row>
    <x:row r="6" ht="42" customHeight="1">
      <x:c r="A6" s="45" t="n">
        <x:v>155</x:v>
      </x:c>
      <x:c r="B6" s="43"/>
      <x:c r="C6" s="45" t="n">
        <x:v>59</x:v>
      </x:c>
      <x:c r="D6" s="43"/>
      <x:c r="E6" s="45" t="n">
        <x:f>COUNTIF('资产主表'!$K$6:$K$200,"待制作")+COUNTIF('资产主表'!$K$6:$K$200,"程序占位")</x:f>
        <x:v>95</x:v>
      </x:c>
      <x:c r="F6" s="43"/>
      <x:c r="G6" s="45" t="n">
        <x:f>COUNTIF('资产主表'!$S$6:$S$200,"重复")</x:f>
        <x:v>0</x:v>
      </x:c>
      <x:c r="H6" s="43"/>
      <x:c r="I6" s="46" t="str">
        <x:v>PH33 方形猫：头/身/单手/脚四模块；双眼双耳；圆短尾</x:v>
      </x:c>
      <x:c r="J6" s="46" t="str">
        <x:v>基地 + 四主题副本 + 独立靶场 + 角色与遭遇预览场</x:v>
      </x:c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v>28</x:v>
      </x:c>
      <x:c r="C10" s="50" t="n">
        <x:v>27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f>COUNTIF('资产主表'!$C$6:$C$200,A11)</x:f>
        <x:v>8</x:v>
      </x:c>
      <x:c r="C11" s="52" t="n">
        <x:f>COUNTIFS('资产主表'!$C$6:$C$200,A11,'资产主表'!$K$6:$K$200,"已完成")+COUNTIFS('资产主表'!$C$6:$C$200,A11,'资产主表'!$K$6:$K$200,"原型已接入")</x:f>
        <x:v>1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f>COUNTIF('资产主表'!$C$6:$C$200,A12)</x:f>
        <x:v>22</x:v>
      </x:c>
      <x:c r="C12" s="52" t="n">
        <x:f>COUNTIFS('资产主表'!$C$6:$C$200,A12,'资产主表'!$K$6:$K$200,"已完成")+COUNTIFS('资产主表'!$C$6:$C$200,A12,'资产主表'!$K$6:$K$200,"原型已接入")</x:f>
        <x:v>1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f>COUNTIF('资产主表'!$C$6:$C$200,A13)</x:f>
        <x:v>6</x:v>
      </x:c>
      <x:c r="C13" s="52" t="n">
        <x:f>COUNTIFS('资产主表'!$C$6:$C$200,A13,'资产主表'!$K$6:$K$200,"已完成")+COUNTIFS('资产主表'!$C$6:$C$200,A13,'资产主表'!$K$6:$K$200,"原型已接入")</x:f>
        <x:v>2</x:v>
      </x:c>
      <x:c r="D13" s="43"/>
      <x:c r="E13" s="51" t="str">
        <x:v>4</x:v>
      </x:c>
      <x:c r="F13" s="52" t="str">
        <x:v>3D房间/家具/枪械/怪物/灯具先查共用根与尺寸类</x:v>
      </x:c>
      <x:c r="G13" s="52" t="str">
        <x:v>主题差异进入资源或配置，禁止复制关卡局部目录</x:v>
      </x:c>
      <x:c r="H13" s="43"/>
      <x:c r="I13" s="43"/>
      <x:c r="J13" s="43"/>
    </x:row>
    <x:row r="14">
      <x:c r="A14" s="52" t="str">
        <x:v>场景</x:v>
      </x:c>
      <x:c r="B14" s="52" t="n">
        <x:f>COUNTIF('资产主表'!$C$6:$C$200,A14)</x:f>
        <x:v>28</x:v>
      </x:c>
      <x:c r="C14" s="52" t="n">
        <x:f>COUNTIFS('资产主表'!$C$6:$C$200,A14,'资产主表'!$K$6:$K$200,"已完成")+COUNTIFS('资产主表'!$C$6:$C$200,A14,'资产主表'!$K$6:$K$200,"原型已接入")</x:f>
        <x:v>10</x:v>
      </x:c>
      <x:c r="D14" s="43"/>
      <x:c r="E14" s="51" t="str">
        <x:v>5</x:v>
      </x:c>
      <x:c r="F14" s="52" t="str">
        <x:v>游戏内表现、状态机、玩法逻辑、性能四项验收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f>COUNTIF('资产主表'!$C$6:$C$200,A15)</x:f>
        <x:v>18</x:v>
      </x:c>
      <x:c r="C15" s="52" t="n">
        <x:f>COUNTIFS('资产主表'!$C$6:$C$200,A15,'资产主表'!$K$6:$K$200,"已完成")+COUNTIFS('资产主表'!$C$6:$C$200,A15,'资产主表'!$K$6:$K$200,"原型已接入")</x:f>
        <x:v>8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f>COUNTIF('资产主表'!$C$6:$C$200,A16)</x:f>
        <x:v>16</x:v>
      </x:c>
      <x:c r="C16" s="52" t="n">
        <x:f>COUNTIFS('资产主表'!$C$6:$C$200,A16,'资产主表'!$K$6:$K$200,"已完成")+COUNTIFS('资产主表'!$C$6:$C$200,A16,'资产主表'!$K$6:$K$200,"原型已接入")</x:f>
        <x:v>4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f>COUNTIF('资产主表'!$C$6:$C$200,A17)</x:f>
        <x:v>16</x:v>
      </x:c>
      <x:c r="C17" s="52" t="n">
        <x:f>COUNTIFS('资产主表'!$C$6:$C$200,A17,'资产主表'!$K$6:$K$200,"已完成")+COUNTIFS('资产主表'!$C$6:$C$200,A17,'资产主表'!$K$6:$K$200,"原型已接入")</x:f>
        <x:v>5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f>COUNTIF('资产主表'!$C$6:$C$200,A18)</x:f>
        <x:v>13</x:v>
      </x:c>
      <x:c r="C18" s="52" t="n">
        <x:f>COUNTIFS('资产主表'!$C$6:$C$200,A18,'资产主表'!$K$6:$K$200,"已完成")+COUNTIFS('资产主表'!$C$6:$C$200,A18,'资产主表'!$K$6:$K$200,"原型已接入")</x:f>
        <x:v>1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48" hidden="0" customWidth="1"/>
    <x:col min="16" max="16" width="38" hidden="0" customWidth="1"/>
    <x:col min="17" max="17" width="26" hidden="0" customWidth="1"/>
    <x:col min="18" max="18" width="42" hidden="0" customWidth="1"/>
    <x:col min="19" max="19" width="12" hidden="0" customWidth="1"/>
    <x:col min="20" max="20" width="34" hidden="0" customWidth="1"/>
    <x:col min="21" max="21" width="12" hidden="0" customWidth="1"/>
    <x:col min="22" max="22" width="13" hidden="0" customWidth="1"/>
    <x:col min="23" max="23" width="16" hidden="0" customWidth="1"/>
    <x:col min="24" max="24" width="44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侧面朝右（可水平翻转）</x:v>
      </x:c>
      <x:c r="I6" s="36" t="str">
        <x:v>default</x:v>
      </x:c>
      <x:c r="J6" s="36" t="str">
        <x:v>全模式玩家</x:v>
      </x:c>
      <x:c r="K6" s="36" t="str">
        <x:v>原型已接入</x:v>
      </x:c>
      <x:c r="L6" s="36" t="str">
        <x:v>P0</x:v>
      </x:c>
      <x:c r="M6" s="36" t="str">
        <x:v>v001</x:v>
      </x:c>
      <x:c r="N6" s="36" t="str">
        <x:v>组装后约 56×64 px</x:v>
      </x:c>
      <x:c r="O6" s="36" t="str">
        <x:v>assets/art/characters/player/chr_player_capsule01/</x:v>
      </x:c>
      <x:c r="P6" s="36" t="str">
        <x:v>src/player/PlayerAvatarRenderer.gd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角色|player|player_capsule01|root|侧面朝右（可水平翻转）|default</x:v>
      </x:c>
      <x:c r="S6" s="36" t="str">
        <x:f>IF(A6="","",IF(COUNTIF($R$6:$R$155,R6)&gt;1,"重复","唯一"))</x:f>
        <x:v>唯一</x:v>
      </x:c>
      <x:c r="T6" s="36" t="str"/>
      <x:c r="U6" s="36" t="str">
        <x:v>待分配</x:v>
      </x:c>
      <x:c r="V6" s="53" t="n">
        <x:v>46224</x:v>
      </x:c>
      <x:c r="W6" s="36" t="str">
        <x:v>原创/待确认</x:v>
      </x:c>
      <x:c r="X6" s="36" t="str">
        <x:v>非人类抽象体；无腿；单手随身体朝向左右镜像；红围巾识别色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default</x:v>
      </x:c>
      <x:c r="J7" s="37" t="str">
        <x:v>单资产</x:v>
      </x:c>
      <x:c r="K7" s="37" t="str">
        <x:v>已完成</x:v>
      </x:c>
      <x:c r="L7" s="37" t="str">
        <x:v>P0</x:v>
      </x:c>
      <x:c r="M7" s="37" t="str">
        <x:v>v001</x:v>
      </x:c>
      <x:c r="N7" s="37" t="str">
        <x:v>28×24 px</x:v>
      </x:c>
      <x:c r="O7" s="37" t="str">
        <x:v>assets/art/characters/player/chr_player_capsule01/components/chr_player_capsule01_head_side_v001.png</x:v>
      </x:c>
      <x:c r="P7" s="37" t="str">
        <x:v>AI 母版 + 色键裁切</x:v>
      </x:c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角色|player_component|player_capsule01|head|侧面朝右（可水平翻转）|default</x:v>
      </x:c>
      <x:c r="S7" s="37" t="str">
        <x:f>IF(A7="","",IF(COUNTIF($R$6:$R$155,R7)&gt;1,"重复","唯一"))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46224</x:v>
      </x:c>
      <x:c r="W7" s="37" t="str">
        <x:v>原创/待确认</x:v>
      </x:c>
      <x:c r="X7" s="37" t="str">
        <x:v>侧面单传感器；无脸；禁止补嘴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default</x:v>
      </x:c>
      <x:c r="J8" s="37" t="str">
        <x:v>单资产</x:v>
      </x:c>
      <x:c r="K8" s="37" t="str">
        <x:v>已完成</x:v>
      </x:c>
      <x:c r="L8" s="37" t="str">
        <x:v>P0</x:v>
      </x:c>
      <x:c r="M8" s="37" t="str">
        <x:v>v001</x:v>
      </x:c>
      <x:c r="N8" s="37" t="str">
        <x:v>32×35 px</x:v>
      </x:c>
      <x:c r="O8" s="37" t="str">
        <x:v>assets/art/characters/player/chr_player_capsule01/components/chr_player_capsule01_body_side_v001.png</x:v>
      </x:c>
      <x:c r="P8" s="37" t="str">
        <x:v>AI 母版 + 色键裁切</x:v>
      </x:c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角色|player_component|player_capsule01|body|侧面朝右（可水平翻转）|default</x:v>
      </x:c>
      <x:c r="S8" s="37" t="str">
        <x:f>IF(A8="","",IF(COUNTIF($R$6:$R$155,R8)&gt;1,"重复","唯一"))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46224</x:v>
      </x:c>
      <x:c r="W8" s="37" t="str">
        <x:v>原创/待确认</x:v>
      </x:c>
      <x:c r="X8" s="37" t="str">
        <x:v>身体不含腿、脚、手臂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 t="str">
        <x:v>assets/art/characters/player/chr_player_capsule01/components/chr_player_capsule01_hand_l_side_v001.png</x:v>
      </x:c>
      <x:c r="P9" s="37" t="str">
        <x:v>AI 母版 + 色键裁切</x:v>
      </x:c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IF(A9="","",IF(COUNTIF($R$6:$R$155,R9)&gt;1,"重复","唯一"))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46224</x:v>
      </x:c>
      <x:c r="W9" s="37" t="str">
        <x:v>原创/待确认</x:v>
      </x:c>
      <x:c r="X9" s="37" t="str">
        <x:v>单手持枪方案不再实例化；保留源文件与历史 AssetID，运行时改用 CHR-PLY-CAPSULE01-HAND-R-SIDE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default</x:v>
      </x:c>
      <x:c r="J10" s="37" t="str">
        <x:v>单资产</x:v>
      </x:c>
      <x:c r="K10" s="37" t="str">
        <x:v>已完成</x:v>
      </x:c>
      <x:c r="L10" s="37" t="str">
        <x:v>P0</x:v>
      </x:c>
      <x:c r="M10" s="37" t="str">
        <x:v>v001</x:v>
      </x:c>
      <x:c r="N10" s="37" t="str">
        <x:v>22×17 px</x:v>
      </x:c>
      <x:c r="O10" s="37" t="str">
        <x:v>assets/art/characters/player/chr_player_capsule01/components/chr_player_capsule01_hand_r_side_v001.png</x:v>
      </x:c>
      <x:c r="P10" s="37" t="str">
        <x:v>AI 母版 + 色键裁切</x:v>
      </x:c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角色|player_component|player_capsule01|hand|侧面朝右（可水平翻转）|default</x:v>
      </x:c>
      <x:c r="S10" s="37" t="str">
        <x:f>IF(A10="","",IF(COUNTIF($R$6:$R$155,R10)&gt;1,"重复","唯一"))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46224</x:v>
      </x:c>
      <x:c r="W10" s="37" t="str">
        <x:v>原创/待确认</x:v>
      </x:c>
      <x:c r="X10" s="37" t="str">
        <x:v>运行时唯一可见手；随身体朝向在 (-19,0)/(19,0) 两个插槽镜像，不随准星连续旋转；枪械挂点同步在 x=±24 换边，枪械视觉独立读取 aim_direction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default</x:v>
      </x:c>
      <x:c r="J11" s="37" t="str">
        <x:v>单资产</x:v>
      </x:c>
      <x:c r="K11" s="37" t="str">
        <x:v>已完成</x:v>
      </x:c>
      <x:c r="L11" s="37" t="str">
        <x:v>P0</x:v>
      </x:c>
      <x:c r="M11" s="37" t="str">
        <x:v>v001</x:v>
      </x:c>
      <x:c r="N11" s="37" t="str">
        <x:v>26×14 px</x:v>
      </x:c>
      <x:c r="O11" s="37" t="str">
        <x:v>assets/art/characters/player/chr_player_capsule01/components/chr_player_capsule01_scarf_side_v001.png</x:v>
      </x:c>
      <x:c r="P11" s="37" t="str">
        <x:v>AI 母版 + 色键裁切</x:v>
      </x:c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角色|player_accessory|player_capsule01|scarf|侧面朝右（可水平翻转）|default</x:v>
      </x:c>
      <x:c r="S11" s="37" t="str">
        <x:f>IF(A11="","",IF(COUNTIF($R$6:$R$155,R11)&gt;1,"重复","唯一"))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46224</x:v>
      </x:c>
      <x:c r="W11" s="37" t="str">
        <x:v>原创/待确认</x:v>
      </x:c>
      <x:c r="X11" s="37" t="str">
        <x:v>独立配件；位于头壳与躯干之间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default</x:v>
      </x:c>
      <x:c r="J12" s="37" t="str">
        <x:v>评审/回归</x:v>
      </x:c>
      <x:c r="K12" s="37" t="str">
        <x:v>已完成</x:v>
      </x:c>
      <x:c r="L12" s="37" t="str">
        <x:v>P0</x:v>
      </x:c>
      <x:c r="M12" s="37" t="str">
        <x:v>v001</x:v>
      </x:c>
      <x:c r="N12" s="37" t="str">
        <x:v>1280×720 px</x:v>
      </x:c>
      <x:c r="O12" s="37" t="str">
        <x:v>assets/art/characters/player/chr_player_capsule01/chr_player_capsule01_states_preview_v001.png</x:v>
      </x:c>
      <x:c r="P12" s="37" t="str">
        <x:v>verify_player_pixel_art_flow.tscn</x:v>
      </x:c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角色|review_board|player_capsule01|preview|侧面朝右（可水平翻转）|default</x:v>
      </x:c>
      <x:c r="S12" s="37" t="str">
        <x:f>IF(A12="","",IF(COUNTIF($R$6:$R$155,R12)&gt;1,"重复","唯一"))</x:f>
        <x:v>唯一</x:v>
      </x:c>
      <x:c r="T12" s="37" t="str"/>
      <x:c r="U12" s="37" t="str">
        <x:v>待分配</x:v>
      </x:c>
      <x:c r="V12" s="54" t="n">
        <x:v>46224</x:v>
      </x:c>
      <x:c r="W12" s="37" t="str">
        <x:v>原创/待确认</x:v>
      </x:c>
      <x:c r="X12" s="37" t="str">
        <x:v>非运行时纹理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程序占位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 t="str">
        <x:v>src/player/PlayerAvatarRenderer.gd</x:v>
      </x:c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IF(A13="","",IF(COUNTIF($R$6:$R$155,R13)&gt;1,"重复","唯一"))</x:f>
        <x:v>唯一</x:v>
      </x:c>
      <x:c r="T13" s="37" t="str"/>
      <x:c r="U13" s="37" t="str">
        <x:v>待分配</x:v>
      </x:c>
      <x:c r="V13" s="54" t="n">
        <x:v>46224</x:v>
      </x:c>
      <x:c r="W13" s="37" t="str">
        <x:v>原创/待确认</x:v>
      </x:c>
      <x:c r="X13" s="37" t="str">
        <x:v>正式像素特效可替换绘制线段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程序占位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 t="str">
        <x:v>src/player/PlayerAvatarRenderer.gd</x:v>
      </x:c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IF(A14="","",IF(COUNTIF($R$6:$R$155,R14)&gt;1,"重复","唯一"))</x:f>
        <x:v>唯一</x:v>
      </x:c>
      <x:c r="T14" s="37" t="str"/>
      <x:c r="U14" s="37" t="str">
        <x:v>待分配</x:v>
      </x:c>
      <x:c r="V14" s="54" t="n">
        <x:v>46224</x:v>
      </x:c>
      <x:c r="W14" s="37" t="str">
        <x:v>原创/待确认</x:v>
      </x:c>
      <x:c r="X14" s="37" t="str"/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程序占位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 t="str">
        <x:v>src/player/PlayerAvatarRenderer.gd</x:v>
      </x:c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IF(A15="","",IF(COUNTIF($R$6:$R$155,R15)&gt;1,"重复","唯一"))</x:f>
        <x:v>唯一</x:v>
      </x:c>
      <x:c r="T15" s="37" t="str"/>
      <x:c r="U15" s="37" t="str">
        <x:v>待分配</x:v>
      </x:c>
      <x:c r="V15" s="54" t="n">
        <x:v>46224</x:v>
      </x:c>
      <x:c r="W15" s="37" t="str">
        <x:v>原创/待确认</x:v>
      </x:c>
      <x:c r="X15" s="37" t="str"/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程序占位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 t="str">
        <x:v>src/player/PlayerAvatarRenderer.gd</x:v>
      </x:c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IF(A16="","",IF(COUNTIF($R$6:$R$155,R16)&gt;1,"重复","唯一"))</x:f>
        <x:v>唯一</x:v>
      </x:c>
      <x:c r="T16" s="37" t="str"/>
      <x:c r="U16" s="37" t="str">
        <x:v>待分配</x:v>
      </x:c>
      <x:c r="V16" s="54" t="n">
        <x:v>46224</x:v>
      </x:c>
      <x:c r="W16" s="37" t="str">
        <x:v>原创/待确认</x:v>
      </x:c>
      <x:c r="X16" s="37" t="str"/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IF(A17="","",IF(COUNTIF($R$6:$R$155,R17)&gt;1,"重复","唯一"))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IF(A18="","",IF(COUNTIF($R$6:$R$155,R18)&gt;1,"重复","唯一"))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IF(A19="","",IF(COUNTIF($R$6:$R$155,R19)&gt;1,"重复","唯一"))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IF(A20="","",IF(COUNTIF($R$6:$R$155,R20)&gt;1,"重复","唯一"))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IF(A21="","",IF(COUNTIF($R$6:$R$155,R21)&gt;1,"重复","唯一"))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IF(A22="","",IF(COUNTIF($R$6:$R$155,R22)&gt;1,"重复","唯一"))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IF(A23="","",IF(COUNTIF($R$6:$R$155,R23)&gt;1,"重复","唯一"))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IF(A24="","",IF(COUNTIF($R$6:$R$155,R24)&gt;1,"重复","唯一"))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IF(A25="","",IF(COUNTIF($R$6:$R$155,R25)&gt;1,"重复","唯一"))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IF(A26="","",IF(COUNTIF($R$6:$R$155,R26)&gt;1,"重复","唯一"))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IF(A27="","",IF(COUNTIF($R$6:$R$155,R27)&gt;1,"重复","唯一"))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IF(A28="","",IF(COUNTIF($R$6:$R$155,R28)&gt;1,"重复","唯一"))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IF(A29="","",IF(COUNTIF($R$6:$R$155,R29)&gt;1,"重复","唯一"))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IF(A30="","",IF(COUNTIF($R$6:$R$155,R30)&gt;1,"重复","唯一"))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IF(A31="","",IF(COUNTIF($R$6:$R$155,R31)&gt;1,"重复","唯一"))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IF(A32="","",IF(COUNTIF($R$6:$R$155,R32)&gt;1,"重复","唯一"))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IF(A33="","",IF(COUNTIF($R$6:$R$155,R33)&gt;1,"重复","唯一"))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IF(A34="","",IF(COUNTIF($R$6:$R$155,R34)&gt;1,"重复","唯一"))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IF(A35="","",IF(COUNTIF($R$6:$R$155,R35)&gt;1,"重复","唯一"))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IF(A36="","",IF(COUNTIF($R$6:$R$155,R36)&gt;1,"重复","唯一"))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IF(A37="","",IF(COUNTIF($R$6:$R$155,R37)&gt;1,"重复","唯一"))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IF(A38="","",IF(COUNTIF($R$6:$R$155,R38)&gt;1,"重复","唯一"))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IF(A39="","",IF(COUNTIF($R$6:$R$155,R39)&gt;1,"重复","唯一"))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IF(A40="","",IF(COUNTIF($R$6:$R$155,R40)&gt;1,"重复","唯一"))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IF(A41="","",IF(COUNTIF($R$6:$R$155,R41)&gt;1,"重复","唯一"))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IF(A42="","",IF(COUNTIF($R$6:$R$155,R42)&gt;1,"重复","唯一"))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IF(A43="","",IF(COUNTIF($R$6:$R$155,R43)&gt;1,"重复","唯一"))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IF(A44="","",IF(COUNTIF($R$6:$R$155,R44)&gt;1,"重复","唯一"))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IF(A45="","",IF(COUNTIF($R$6:$R$155,R45)&gt;1,"重复","唯一"))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IF(A46="","",IF(COUNTIF($R$6:$R$155,R46)&gt;1,"重复","唯一"))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IF(A47="","",IF(COUNTIF($R$6:$R$155,R47)&gt;1,"重复","唯一"))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IF(A48="","",IF(COUNTIF($R$6:$R$155,R48)&gt;1,"重复","唯一"))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全部3D房间/清房奖励</x:v>
      </x:c>
      <x:c r="K49" s="37" t="str">
        <x:v>原型已接入</x:v>
      </x:c>
      <x:c r="L49" s="37" t="str">
        <x:v>P1</x:v>
      </x:c>
      <x:c r="M49" s="37" t="str">
        <x:v>v001</x:v>
      </x:c>
      <x:c r="N49" s="37" t="str">
        <x:v>程序模型/0.32s Tween</x:v>
      </x:c>
      <x:c r="O49" s="37"/>
      <x:c r="P49" s="37" t="str">
        <x:v>src/world3d/RoomKeyPickup3D.gd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IF(A49="","",IF(COUNTIF($R$6:$R$155,R49)&gt;1,"重复","唯一"))</x:f>
        <x:v>唯一</x:v>
      </x:c>
      <x:c r="T49" s="37" t="str"/>
      <x:c r="U49" s="37" t="str">
        <x:v>Codex</x:v>
      </x:c>
      <x:c r="V49" s="54" t="n">
        <x:v>46225</x:v>
      </x:c>
      <x:c r="W49" s="37" t="str">
        <x:v>原创程序几何</x:v>
      </x:c>
      <x:c r="X49" s="37" t="str">
        <x:v>清房后在玩家附近安全边界生成；同房唯一且返回时可补发；成功拾取先关闭碰撞，再上弹旋转缩小后回收</x:v>
      </x:c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地面掉落/背包投影</x:v>
      </x:c>
      <x:c r="K50" s="37" t="str">
        <x:v>原型已接入</x:v>
      </x:c>
      <x:c r="L50" s="37" t="str">
        <x:v>P2</x:v>
      </x:c>
      <x:c r="M50" s="37" t="str">
        <x:v>v001</x:v>
      </x:c>
      <x:c r="N50" s="37" t="str">
        <x:v>程序模型/0.32s Tween</x:v>
      </x:c>
      <x:c r="O50" s="37"/>
      <x:c r="P50" s="37" t="str">
        <x:v>src/world3d/GroundLootPickup3D.gd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IF(A50="","",IF(COUNTIF($R$6:$R$155,R50)&gt;1,"重复","唯一"))</x:f>
        <x:v>唯一</x:v>
      </x:c>
      <x:c r="T50" s="37" t="str"/>
      <x:c r="U50" s="37" t="str">
        <x:v>Codex</x:v>
      </x:c>
      <x:c r="V50" s="54" t="n">
        <x:v>46225</x:v>
      </x:c>
      <x:c r="W50" s="37" t="str">
        <x:v>原创程序几何</x:v>
      </x:c>
      <x:c r="X50" s="37" t="str">
        <x:v>与背包投影共用 ItemModelFactory3D；满包时保留，成功接收后播放0.32秒上弹旋转缩小动画</x:v>
      </x:c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IF(A51="","",IF(COUNTIF($R$6:$R$155,R51)&gt;1,"重复","唯一"))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IF(A52="","",IF(COUNTIF($R$6:$R$155,R52)&gt;1,"重复","唯一"))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IF(A53="","",IF(COUNTIF($R$6:$R$155,R53)&gt;1,"重复","唯一"))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IF(A54="","",IF(COUNTIF($R$6:$R$155,R54)&gt;1,"重复","唯一"))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IF(A55="","",IF(COUNTIF($R$6:$R$155,R55)&gt;1,"重复","唯一"))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IF(A56="","",IF(COUNTIF($R$6:$R$155,R56)&gt;1,"重复","唯一"))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IF(A57="","",IF(COUNTIF($R$6:$R$155,R57)&gt;1,"重复","唯一"))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IF(A58="","",IF(COUNTIF($R$6:$R$155,R58)&gt;1,"重复","唯一"))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IF(A59="","",IF(COUNTIF($R$6:$R$155,R59)&gt;1,"重复","唯一"))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IF(A60="","",IF(COUNTIF($R$6:$R$155,R60)&gt;1,"重复","唯一"))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IF(A61="","",IF(COUNTIF($R$6:$R$155,R61)&gt;1,"重复","唯一"))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IF(A62="","",IF(COUNTIF($R$6:$R$155,R62)&gt;1,"重复","唯一"))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IF(A63="","",IF(COUNTIF($R$6:$R$155,R63)&gt;1,"重复","唯一"))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IF(A64="","",IF(COUNTIF($R$6:$R$155,R64)&gt;1,"重复","唯一"))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IF(A65="","",IF(COUNTIF($R$6:$R$155,R65)&gt;1,"重复","唯一"))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IF(A66="","",IF(COUNTIF($R$6:$R$155,R66)&gt;1,"重复","唯一"))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IF(A67="","",IF(COUNTIF($R$6:$R$155,R67)&gt;1,"重复","唯一"))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IF(A68="","",IF(COUNTIF($R$6:$R$155,R68)&gt;1,"重复","唯一"))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IF(A69="","",IF(COUNTIF($R$6:$R$155,R69)&gt;1,"重复","唯一"))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IF(A70="","",IF(COUNTIF($R$6:$R$155,R70)&gt;1,"重复","唯一"))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IF(A71="","",IF(COUNTIF($R$6:$R$155,R71)&gt;1,"重复","唯一"))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IF(A72="","",IF(COUNTIF($R$6:$R$155,R72)&gt;1,"重复","唯一"))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IF(A73="","",IF(COUNTIF($R$6:$R$155,R73)&gt;1,"重复","唯一"))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IF(A74="","",IF(COUNTIF($R$6:$R$155,R74)&gt;1,"重复","唯一"))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IF(A75="","",IF(COUNTIF($R$6:$R$155,R75)&gt;1,"重复","唯一"))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IF(A76="","",IF(COUNTIF($R$6:$R$155,R76)&gt;1,"重复","唯一"))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IF(A77="","",IF(COUNTIF($R$6:$R$155,R77)&gt;1,"重复","唯一"))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IF(A78="","",IF(COUNTIF($R$6:$R$155,R78)&gt;1,"重复","唯一"))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>
      <x:c r="A79" s="37" t="str">
        <x:v>UI-SCREEN-HUD</x:v>
      </x:c>
      <x:c r="B79" s="37" t="str">
        <x:v>战斗 HUD</x:v>
      </x:c>
      <x:c r="C79" s="37" t="str">
        <x:v>UI</x:v>
      </x:c>
      <x:c r="D79" s="37" t="str">
        <x:v>screen</x:v>
      </x:c>
      <x:c r="E79" s="37" t="str">
        <x:v>hud</x:v>
      </x:c>
      <x:c r="F79" s="37" t="str">
        <x:v>root</x:v>
      </x:c>
      <x:c r="G79" s="37" t="str"/>
      <x:c r="H79" s="37" t="str">
        <x:v>屏幕空间</x:v>
      </x:c>
      <x:c r="I79" s="37" t="str">
        <x:v>default</x:v>
      </x:c>
      <x:c r="J79" s="37" t="str">
        <x:v>跨分辨率</x:v>
      </x:c>
      <x:c r="K79" s="37" t="str">
        <x:v>程序占位</x:v>
      </x:c>
      <x:c r="L79" s="37" t="str">
        <x:v>P0</x:v>
      </x:c>
      <x:c r="M79" s="37" t="str">
        <x:v>v001</x:v>
      </x:c>
      <x:c r="N79" s="37" t="str">
        <x:v>1280×720 基准；九宫格/矢量优先</x:v>
      </x:c>
      <x:c r="O79" s="37" t="str"/>
      <x:c r="P79" s="37" t="str">
        <x:v>src/ui/GameUIManager.gd</x:v>
      </x:c>
      <x:c r="Q79" s="37" t="str"/>
      <x:c r="R79" s="37" t="str">
        <x:f>LOWER(TRIM(C79)&amp;"|"&amp;TRIM(D79)&amp;"|"&amp;TRIM(E79)&amp;"|"&amp;TRIM(F79)&amp;"|"&amp;TRIM(H79)&amp;"|"&amp;TRIM(I79))</x:f>
        <x:v>ui|screen|hud|root|屏幕空间|default</x:v>
      </x:c>
      <x:c r="S79" s="37" t="str">
        <x:f>IF(A79="","",IF(COUNTIF($R$6:$R$155,R79)&gt;1,"重复","唯一"))</x:f>
        <x:v>唯一</x:v>
      </x:c>
      <x:c r="T79" s="37" t="str"/>
      <x:c r="U79" s="37" t="str">
        <x:v>待分配</x:v>
      </x:c>
      <x:c r="V79" s="54" t="n">
        <x:v>46224</x:v>
      </x:c>
      <x:c r="W79" s="37" t="str">
        <x:v>原创/待确认</x:v>
      </x:c>
      <x:c r="X79" s="37" t="str">
        <x:v>先建组件库，再做页面，避免每页重复画按钮/面板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原型已接入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IF(A80="","",IF(COUNTIF($R$6:$R$155,R80)&gt;1,"重复","唯一"))</x:f>
        <x:v>唯一</x:v>
      </x:c>
      <x:c r="T80" s="37" t="str"/>
      <x:c r="U80" s="37" t="str">
        <x:v>待分配</x:v>
      </x:c>
      <x:c r="V80" s="54" t="n">
        <x:v>46225</x:v>
      </x:c>
      <x:c r="W80" s="37" t="str">
        <x:v>原创/待确认</x:v>
      </x:c>
      <x:c r="X80" s="37" t="str">
        <x:v>背包共享逻辑根；3D表现登记为 UI-SCREEN-INVENTORY-3D；12+2槽与保险契约不变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IF(A81="","",IF(COUNTIF($R$6:$R$155,R81)&gt;1,"重复","唯一"))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IF(A82="","",IF(COUNTIF($R$6:$R$155,R82)&gt;1,"重复","唯一"))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IF(A83="","",IF(COUNTIF($R$6:$R$155,R83)&gt;1,"重复","唯一"))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IF(A84="","",IF(COUNTIF($R$6:$R$155,R84)&gt;1,"重复","唯一"))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IF(A85="","",IF(COUNTIF($R$6:$R$155,R85)&gt;1,"重复","唯一"))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IF(A86="","",IF(COUNTIF($R$6:$R$155,R86)&gt;1,"重复","唯一"))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IF(A87="","",IF(COUNTIF($R$6:$R$155,R87)&gt;1,"重复","唯一"))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IF(A88="","",IF(COUNTIF($R$6:$R$155,R88)&gt;1,"重复","唯一"))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IF(A89="","",IF(COUNTIF($R$6:$R$155,R89)&gt;1,"重复","唯一"))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IF(A90="","",IF(COUNTIF($R$6:$R$155,R90)&gt;1,"重复","唯一"))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IF(A91="","",IF(COUNTIF($R$6:$R$155,R91)&gt;1,"重复","唯一"))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IF(A92="","",IF(COUNTIF($R$6:$R$155,R92)&gt;1,"重复","唯一"))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IF(A93="","",IF(COUNTIF($R$6:$R$155,R93)&gt;1,"重复","唯一"))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IF(A94="","",IF(COUNTIF($R$6:$R$155,R94)&gt;1,"重复","唯一"))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IF(A95="","",IF(COUNTIF($R$6:$R$155,R95)&gt;1,"重复","唯一"))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IF(A96="","",IF(COUNTIF($R$6:$R$155,R96)&gt;1,"重复","唯一"))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原型已接入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>
        <x:v>scenes/Dungeon3D.tscn</x:v>
      </x:c>
      <x:c r="P97" s="37" t="str">
        <x:v>src/world3d/Dungeon3D.gd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IF(A97="","",IF(COUNTIF($R$6:$R$155,R97)&gt;1,"重复","唯一"))</x:f>
        <x:v>唯一</x:v>
      </x:c>
      <x:c r="T97" s="37" t="str"/>
      <x:c r="U97" s="37" t="str">
        <x:v>待分配</x:v>
      </x:c>
      <x:c r="V97" s="54" t="n">
        <x:v>46225</x:v>
      </x:c>
      <x:c r="W97" s="37" t="str">
        <x:v>原创/待确认</x:v>
      </x:c>
      <x:c r="X97" s="37" t="str">
        <x:v>复用低血暗角身份；3D HUD低血时提高边缘强度，不复制第二套逻辑ID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IF(A98="","",IF(COUNTIF($R$6:$R$155,R98)&gt;1,"重复","唯一"))</x:f>
        <x:v>唯一</x:v>
      </x:c>
      <x:c r="T98" s="37" t="str"/>
      <x:c r="U98" s="37" t="str">
        <x:v>待分配</x:v>
      </x:c>
      <x:c r="V98" s="54" t="n">
        <x:v>46225</x:v>
      </x:c>
      <x:c r="W98" s="37" t="str">
        <x:v>原创/待确认</x:v>
      </x:c>
      <x:c r="X98" s="37" t="str">
        <x:v>2D视野表现根；3D真实判定与地面网格登记为 VFX-VISIBILITY-FIELD-3D，禁止用灯光替代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IF(A99="","",IF(COUNTIF($R$6:$R$155,R99)&gt;1,"重复","唯一"))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IF(A100="","",IF(COUNTIF($R$6:$R$155,R100)&gt;1,"重复","唯一"))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IF(A101="","",IF(COUNTIF($R$6:$R$155,R101)&gt;1,"重复","唯一"))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IF(A102="","",IF(COUNTIF($R$6:$R$155,R102)&gt;1,"重复","唯一"))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IF(A103="","",IF(COUNTIF($R$6:$R$155,R103)&gt;1,"重复","唯一"))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IF(A104="","",IF(COUNTIF($R$6:$R$155,R104)&gt;1,"重复","唯一"))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IF(A105="","",IF(COUNTIF($R$6:$R$155,R105)&gt;1,"重复","唯一"))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IF(A106="","",IF(COUNTIF($R$6:$R$155,R106)&gt;1,"重复","唯一"))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IF(A107="","",IF(COUNTIF($R$6:$R$155,R107)&gt;1,"重复","唯一"))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IF(A108="","",IF(COUNTIF($R$6:$R$155,R108)&gt;1,"重复","唯一"))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IF(A109="","",IF(COUNTIF($R$6:$R$155,R109)&gt;1,"重复","唯一"))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IF(A110="","",IF(COUNTIF($R$6:$R$155,R110)&gt;1,"重复","唯一"))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IF(A111="","",IF(COUNTIF($R$6:$R$155,R111)&gt;1,"重复","唯一"))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IF(A112="","",IF(COUNTIF($R$6:$R$155,R112)&gt;1,"重复","唯一"))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  <x:row r="113">
      <x:c r="A113" t="str">
        <x:v>CHR-PLY-CAPSULE01-3D</x:v>
      </x:c>
      <x:c r="B113" t="str">
        <x:v>方形猫角色3D根组件</x:v>
      </x:c>
      <x:c r="C113" t="str">
        <x:v>角色</x:v>
      </x:c>
      <x:c r="D113" t="str">
        <x:v>player</x:v>
      </x:c>
      <x:c r="E113" t="str">
        <x:v>player_capsule01</x:v>
      </x:c>
      <x:c r="F113" t="str">
        <x:v>root_3d</x:v>
      </x:c>
      <x:c r="G113" t="str">
        <x:v>CHR-PLY-CAPSULE01</x:v>
      </x:c>
      <x:c r="H113" t="str">
        <x:v>俯视3D</x:v>
      </x:c>
      <x:c r="I113" t="str">
        <x:v>default</x:v>
      </x:c>
      <x:c r="J113" t="str">
        <x:v>3D玩家场景</x:v>
      </x:c>
      <x:c r="K113" t="str">
        <x:v>原型已接入</x:v>
      </x:c>
      <x:c r="L113" t="str">
        <x:v>P0</x:v>
      </x:c>
      <x:c r="M113" t="str">
        <x:v>v001</x:v>
      </x:c>
      <x:c r="N113" t="str">
        <x:v>PackedScene/程序材质</x:v>
      </x:c>
      <x:c r="O113" t="str">
        <x:v>assets/art/characters/player/chr_player_capsule01_3d/chr_player_capsule01_root_top3d_v001.tscn</x:v>
      </x:c>
      <x:c r="P113" t="str">
        <x:v>scenes/Player3D.tscn</x:v>
      </x:c>
      <x:c r="Q113" t="str">
        <x:v>胶囊;防护服;3D;模块角色</x:v>
      </x:c>
      <x:c r="R113" t="str">
        <x:f>LOWER(TRIM(C113)&amp;"|"&amp;TRIM(D113)&amp;"|"&amp;TRIM(E113)&amp;"|"&amp;TRIM(F113)&amp;"|"&amp;TRIM(H113)&amp;"|"&amp;TRIM(I113))</x:f>
        <x:v>角色|player|player_capsule01|root_3d|俯视3d|default</x:v>
      </x:c>
      <x:c r="S113" t="str">
        <x:f>IF(A113="","",IF(COUNTIF($R$6:$R$155,R113)&gt;1,"重复","唯一"))</x:f>
        <x:v>唯一</x:v>
      </x:c>
      <x:c r="T113" t="str">
        <x:v>0a15194d68ecc0490ecd3910d2e51901a006ec6ac28e093e2aba48c6f67fec64</x:v>
      </x:c>
      <x:c r="U113" t="str">
        <x:v>Codex</x:v>
      </x:c>
      <x:c r="V113" s="62" t="str">
        <x:v>2026-07-25</x:v>
      </x:c>
      <x:c r="W113" t="str">
        <x:v>原创程序几何</x:v>
      </x:c>
      <x:c r="X113" s="63" t="str">
        <x:v>VisualRoot四主模块；方头/方身/方手/方脚；双眼双耳；圆短尾；六态与动作覆盖保持；PH33方形猫原型；verify_player3d_diy_flow / gallery flow / visual PASS</x:v>
      </x:c>
    </x:row>
    <x:row r="114">
      <x:c r="A114" t="str">
        <x:v>CHR-PLY-CAPSULE01-BODY-3D</x:v>
      </x:c>
      <x:c r="B114" t="str">
        <x:v>方形猫角色3D身躯</x:v>
      </x:c>
      <x:c r="C114" t="str">
        <x:v>角色</x:v>
      </x:c>
      <x:c r="D114" t="str">
        <x:v>player</x:v>
      </x:c>
      <x:c r="E114" t="str">
        <x:v>player_capsule01</x:v>
      </x:c>
      <x:c r="F114" t="str">
        <x:v>body_3d</x:v>
      </x:c>
      <x:c r="G114" t="str">
        <x:v>CHR-PLY-CAPSULE01-3D</x:v>
      </x:c>
      <x:c r="H114" t="str">
        <x:v>俯视3D</x:v>
      </x:c>
      <x:c r="I114" t="str">
        <x:v>default</x:v>
      </x:c>
      <x:c r="J114" t="str">
        <x:v>3D玩家场景</x:v>
      </x:c>
      <x:c r="K114" t="str">
        <x:v>原型已接入</x:v>
      </x:c>
      <x:c r="L114" t="str">
        <x:v>P0</x:v>
      </x:c>
      <x:c r="M114" t="str">
        <x:v>v001</x:v>
      </x:c>
      <x:c r="N114" t="str">
        <x:v>CapsuleMesh节点</x:v>
      </x:c>
      <x:c r="O114" t="str">
        <x:v>assets/art/characters/player/chr_player_capsule01_3d/chr_player_capsule01_root_top3d_v001.tscn</x:v>
      </x:c>
      <x:c r="P114" t="str">
        <x:v>VisualRoot/Body</x:v>
      </x:c>
      <x:c r="Q114" t="str">
        <x:v>身躯;防护服;无腿;3D</x:v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IF(A114="","",IF(COUNTIF($R$6:$R$155,R114)&gt;1,"重复","唯一"))</x:f>
        <x:v>唯一</x:v>
      </x:c>
      <x:c r="T114" t="str">
        <x:v>0a15194d68ecc0490ecd3910d2e51901a006ec6ac28e093e2aba48c6f67fec64</x:v>
      </x:c>
      <x:c r="U114" t="str">
        <x:v>Codex</x:v>
      </x:c>
      <x:c r="V114" s="62" t="str">
        <x:v>2026-07-25</x:v>
      </x:c>
      <x:c r="W114" t="str">
        <x:v>原创程序几何</x:v>
      </x:c>
      <x:c r="X114" t="str">
        <x:v>VisualRoot/Body：BoxMesh身躯、BellyPatch、圆形TailStub；PH33方形猫原型；verify_player3d_diy_flow / gallery flow / visual PASS</x:v>
      </x:c>
    </x:row>
    <x:row r="115">
      <x:c r="A115" t="str">
        <x:v>CHR-PLY-CAPSULE01-HEAD-3D</x:v>
      </x:c>
      <x:c r="B115" t="str">
        <x:v>方形猫角色3D头部</x:v>
      </x:c>
      <x:c r="C115" t="str">
        <x:v>角色</x:v>
      </x:c>
      <x:c r="D115" t="str">
        <x:v>player</x:v>
      </x:c>
      <x:c r="E115" t="str">
        <x:v>player_capsule01</x:v>
      </x:c>
      <x:c r="F115" t="str">
        <x:v>head_3d</x:v>
      </x:c>
      <x:c r="G115" t="str">
        <x:v>CHR-PLY-CAPSULE01-3D</x:v>
      </x:c>
      <x:c r="H115" t="str">
        <x:v>俯视3D</x:v>
      </x:c>
      <x:c r="I115" t="str">
        <x:v>default</x:v>
      </x:c>
      <x:c r="J115" t="str">
        <x:v>3D玩家场景</x:v>
      </x:c>
      <x:c r="K115" t="str">
        <x:v>原型已接入</x:v>
      </x:c>
      <x:c r="L115" t="str">
        <x:v>P0</x:v>
      </x:c>
      <x:c r="M115" t="str">
        <x:v>v001</x:v>
      </x:c>
      <x:c r="N115" t="str">
        <x:v>SphereMesh节点</x:v>
      </x:c>
      <x:c r="O115" t="str">
        <x:v>assets/art/characters/player/chr_player_capsule01_3d/chr_player_capsule01_root_top3d_v001.tscn</x:v>
      </x:c>
      <x:c r="P115" t="str">
        <x:v>VisualRoot/Head</x:v>
      </x:c>
      <x:c r="Q115" t="str">
        <x:v>头壳;单传感器;3D</x:v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IF(A115="","",IF(COUNTIF($R$6:$R$155,R115)&gt;1,"重复","唯一"))</x:f>
        <x:v>唯一</x:v>
      </x:c>
      <x:c r="T115" t="str">
        <x:v>0a15194d68ecc0490ecd3910d2e51901a006ec6ac28e093e2aba48c6f67fec64</x:v>
      </x:c>
      <x:c r="U115" t="str">
        <x:v>Codex</x:v>
      </x:c>
      <x:c r="V115" s="62" t="str">
        <x:v>2026-07-25</x:v>
      </x:c>
      <x:c r="W115" t="str">
        <x:v>原创程序几何</x:v>
      </x:c>
      <x:c r="X115" t="str">
        <x:v>VisualRoot/Head：BoxMesh方头；Eyes双矩形眼；Ears双三角耳；PH33方形猫原型；verify_player3d_diy_flow / gallery flow / visual PASS</x:v>
      </x:c>
    </x:row>
    <x:row r="116">
      <x:c r="A116" t="str">
        <x:v>CHR-PLY-CAPSULE01-HAND-3D</x:v>
      </x:c>
      <x:c r="B116" t="str">
        <x:v>方形猫角色3D唯一手部</x:v>
      </x:c>
      <x:c r="C116" t="str">
        <x:v>角色</x:v>
      </x:c>
      <x:c r="D116" t="str">
        <x:v>player</x:v>
      </x:c>
      <x:c r="E116" t="str">
        <x:v>player_capsule01</x:v>
      </x:c>
      <x:c r="F116" t="str">
        <x:v>hand_3d</x:v>
      </x:c>
      <x:c r="G116" t="str">
        <x:v>CHR-PLY-CAPSULE01-3D</x:v>
      </x:c>
      <x:c r="H116" t="str">
        <x:v>俯视3D</x:v>
      </x:c>
      <x:c r="I116" t="str">
        <x:v>default</x:v>
      </x:c>
      <x:c r="J116" t="str">
        <x:v>3D玩家场景</x:v>
      </x:c>
      <x:c r="K116" t="str">
        <x:v>原型已接入</x:v>
      </x:c>
      <x:c r="L116" t="str">
        <x:v>P0</x:v>
      </x:c>
      <x:c r="M116" t="str">
        <x:v>v001</x:v>
      </x:c>
      <x:c r="N116" t="str">
        <x:v>SphereMesh节点</x:v>
      </x:c>
      <x:c r="O116" t="str">
        <x:v>assets/art/characters/player/chr_player_capsule01_3d/chr_player_capsule01_root_top3d_v001.tscn</x:v>
      </x:c>
      <x:c r="P116" t="str">
        <x:v>VisualRoot/Hand</x:v>
      </x:c>
      <x:c r="Q116" t="str">
        <x:v>单手;悬浮手;握持;3D</x:v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IF(A116="","",IF(COUNTIF($R$6:$R$155,R116)&gt;1,"重复","唯一"))</x:f>
        <x:v>唯一</x:v>
      </x:c>
      <x:c r="T116" t="str">
        <x:v>0a15194d68ecc0490ecd3910d2e51901a006ec6ac28e093e2aba48c6f67fec64</x:v>
      </x:c>
      <x:c r="U116" t="str">
        <x:v>Codex</x:v>
      </x:c>
      <x:c r="V116" s="62" t="str">
        <x:v>2026-07-25</x:v>
      </x:c>
      <x:c r="W116" t="str">
        <x:v>原创程序几何</x:v>
      </x:c>
      <x:c r="X116" t="str">
        <x:v>VisualRoot/Hand：单个BoxMesh悬浮握持手；全动作与weapon_socket同相；PH33方形猫原型；verify_player3d_diy_flow / gallery flow / visual PASS</x:v>
      </x:c>
    </x:row>
    <x:row r="117">
      <x:c r="A117" t="str">
        <x:v>CHR-PLY-CAPSULE01-SCARF-3D</x:v>
      </x:c>
      <x:c r="B117" t="str">
        <x:v>旧3D红围巾兼容节点</x:v>
      </x:c>
      <x:c r="C117" t="str">
        <x:v>角色</x:v>
      </x:c>
      <x:c r="D117" t="str">
        <x:v>player</x:v>
      </x:c>
      <x:c r="E117" t="str">
        <x:v>player_capsule01</x:v>
      </x:c>
      <x:c r="F117" t="str">
        <x:v>scarf_3d</x:v>
      </x:c>
      <x:c r="G117" t="str">
        <x:v>CHR-PLY-CAPSULE01-3D</x:v>
      </x:c>
      <x:c r="H117" t="str">
        <x:v>俯视3D</x:v>
      </x:c>
      <x:c r="I117" t="str">
        <x:v>default</x:v>
      </x:c>
      <x:c r="J117" t="str">
        <x:v>3D玩家场景</x:v>
      </x:c>
      <x:c r="K117" t="str">
        <x:v>原型已接入</x:v>
      </x:c>
      <x:c r="L117" t="str">
        <x:v>P0</x:v>
      </x:c>
      <x:c r="M117" t="str">
        <x:v>v001</x:v>
      </x:c>
      <x:c r="N117" t="str">
        <x:v>Cylinder+Box节点</x:v>
      </x:c>
      <x:c r="O117" t="str">
        <x:v>assets/art/characters/player/chr_player_capsule01_3d/chr_player_capsule01_root_top3d_v001.tscn</x:v>
      </x:c>
      <x:c r="P117" t="str">
        <x:v>VisualRoot/Scarf</x:v>
      </x:c>
      <x:c r="Q117" t="str">
        <x:v>红围巾;身份配件;3D</x:v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IF(A117="","",IF(COUNTIF($R$6:$R$155,R117)&gt;1,"重复","唯一"))</x:f>
        <x:v>唯一</x:v>
      </x:c>
      <x:c r="T117" t="str">
        <x:v>0a15194d68ecc0490ecd3910d2e51901a006ec6ac28e093e2aba48c6f67fec64</x:v>
      </x:c>
      <x:c r="U117" t="str">
        <x:v>Codex</x:v>
      </x:c>
      <x:c r="V117" s="62" t="str">
        <x:v>2026-07-25</x:v>
      </x:c>
      <x:c r="W117" t="str">
        <x:v>原创程序几何</x:v>
      </x:c>
      <x:c r="X117" t="str">
        <x:v>VisualRoot/Scarf默认隐藏，仅为旧场景兼容；当前四主模块不计入scarf；PH33方形猫原型；verify_player3d_diy_flow / gallery flow / visual PASS</x:v>
      </x:c>
    </x:row>
    <x:row r="118">
      <x:c r="A118" t="str">
        <x:v>CHR-PLY-CAPSULE01-WEAPON-SOCKET-3D</x:v>
      </x:c>
      <x:c r="B118" t="str">
        <x:v>方形猫角色3D武器挂点</x:v>
      </x:c>
      <x:c r="C118" t="str">
        <x:v>角色</x:v>
      </x:c>
      <x:c r="D118" t="str">
        <x:v>player</x:v>
      </x:c>
      <x:c r="E118" t="str">
        <x:v>player_capsule01</x:v>
      </x:c>
      <x:c r="F118" t="str">
        <x:v>weapon_socket_3d</x:v>
      </x:c>
      <x:c r="G118" t="str">
        <x:v>CHR-PLY-CAPSULE01-3D</x:v>
      </x:c>
      <x:c r="H118" t="str">
        <x:v>俯视3D</x:v>
      </x:c>
      <x:c r="I118" t="str">
        <x:v>default</x:v>
      </x:c>
      <x:c r="J118" t="str">
        <x:v>武器系统</x:v>
      </x:c>
      <x:c r="K118" t="str">
        <x:v>原型已接入</x:v>
      </x:c>
      <x:c r="L118" t="str">
        <x:v>P0</x:v>
      </x:c>
      <x:c r="M118" t="str">
        <x:v>v001</x:v>
      </x:c>
      <x:c r="N118" t="str">
        <x:v>Marker3D</x:v>
      </x:c>
      <x:c r="O118" t="str">
        <x:v>assets/art/characters/player/chr_player_capsule01_3d/chr_player_capsule01_root_top3d_v001.tscn</x:v>
      </x:c>
      <x:c r="P118" t="str">
        <x:v>VisualRoot/WeaponSocket</x:v>
      </x:c>
      <x:c r="Q118" t="str">
        <x:v>武器挂点;Marker3D;瞄准</x:v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IF(A118="","",IF(COUNTIF($R$6:$R$155,R118)&gt;1,"重复","唯一"))</x:f>
        <x:v>唯一</x:v>
      </x:c>
      <x:c r="T118" t="str">
        <x:v>0a15194d68ecc0490ecd3910d2e51901a006ec6ac28e093e2aba48c6f67fec64</x:v>
      </x:c>
      <x:c r="U118" t="str">
        <x:v>Codex</x:v>
      </x:c>
      <x:c r="V118" s="62" t="str">
        <x:v>2026-07-25</x:v>
      </x:c>
      <x:c r="W118" t="str">
        <x:v>原创逻辑挂点</x:v>
      </x:c>
      <x:c r="X118" t="str">
        <x:v>VisualRoot/WeaponSocket：(0.60,1.15,-0.42)，与唯一手固定相对向量；PH33方形猫原型；verify_player3d_diy_flow / gallery flow / visual PASS</x:v>
      </x:c>
    </x:row>
    <x:row r="119">
      <x:c r="A119" t="str">
        <x:v>ENV-BASE-WORLD-KIT-3D</x:v>
      </x:c>
      <x:c r="B119" t="str">
        <x:v>入口基地3D环境套件</x:v>
      </x:c>
      <x:c r="C119" t="str">
        <x:v>场景</x:v>
      </x:c>
      <x:c r="D119" t="str">
        <x:v>base</x:v>
      </x:c>
      <x:c r="E119" t="str">
        <x:v>base_world</x:v>
      </x:c>
      <x:c r="F119" t="str">
        <x:v>root_3d</x:v>
      </x:c>
      <x:c r="G119" t="str">
        <x:v>ENV-BASE-WORLD-KIT</x:v>
      </x:c>
      <x:c r="H119" t="str">
        <x:v>俯视3D</x:v>
      </x:c>
      <x:c r="I119" t="str">
        <x:v>default</x:v>
      </x:c>
      <x:c r="J119" t="str">
        <x:v>入口基地地图</x:v>
      </x:c>
      <x:c r="K119" t="str">
        <x:v>原型已接入</x:v>
      </x:c>
      <x:c r="L119" t="str">
        <x:v>P0</x:v>
      </x:c>
      <x:c r="M119" t="str">
        <x:v>v001</x:v>
      </x:c>
      <x:c r="N119" t="str">
        <x:v>约1:100迁移/程序几何</x:v>
      </x:c>
      <x:c r="O119" t="str">
        <x:v>assets/art/environments/base_world_3d/env_base_world_kit_top3d_v001.tscn</x:v>
      </x:c>
      <x:c r="P119" t="str">
        <x:v>scenes/BaseWorld3D.tscn</x:v>
      </x:c>
      <x:c r="Q119" t="str">
        <x:v>基地;道路;废墟;3D;入口地图</x:v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IF(A119="","",IF(COUNTIF($R$6:$R$155,R119)&gt;1,"重复","唯一"))</x:f>
        <x:v>唯一</x:v>
      </x:c>
      <x:c r="T119" t="str">
        <x:v>63c840d59bcecefab946690136474c9ca7b70408fb7b6bcc264819f9b66f14a5</x:v>
      </x:c>
      <x:c r="U119" t="str">
        <x:v>Codex</x:v>
      </x:c>
      <x:c r="V119" s="62" t="n">
        <x:v>46224</x:v>
      </x:c>
      <x:c r="W119" t="str">
        <x:v>原创程序几何</x:v>
      </x:c>
      <x:c r="X119" t="str">
        <x:v>保留原2D布局语义；首张3D迁移地图</x:v>
      </x:c>
    </x:row>
    <x:row r="120">
      <x:c r="A120" t="str">
        <x:v>PRP-BASE-FACILITY-3D</x:v>
      </x:c>
      <x:c r="B120" t="str">
        <x:v>基地设施3D通用模块</x:v>
      </x:c>
      <x:c r="C120" t="str">
        <x:v>场景道具</x:v>
      </x:c>
      <x:c r="D120" t="str">
        <x:v>facility</x:v>
      </x:c>
      <x:c r="E120" t="str">
        <x:v>base_facility_module</x:v>
      </x:c>
      <x:c r="F120" t="str">
        <x:v>root_3d</x:v>
      </x:c>
      <x:c r="G120" t="str">
        <x:v>ENV-BASE-WORLD-KIT-3D</x:v>
      </x:c>
      <x:c r="H120" t="str">
        <x:v>俯视3D</x:v>
      </x:c>
      <x:c r="I120" t="str">
        <x:v>default</x:v>
      </x:c>
      <x:c r="J120" t="str">
        <x:v>8类基地设施</x:v>
      </x:c>
      <x:c r="K120" t="str">
        <x:v>原型已接入</x:v>
      </x:c>
      <x:c r="L120" t="str">
        <x:v>P0</x:v>
      </x:c>
      <x:c r="M120" t="str">
        <x:v>v001</x:v>
      </x:c>
      <x:c r="N120" t="str">
        <x:v>PackedScene/材质变体</x:v>
      </x:c>
      <x:c r="O120" t="str">
        <x:v>assets/art/props/base_world_3d/prp_base_facility_root_top3d_v001.tscn</x:v>
      </x:c>
      <x:c r="P120" t="str">
        <x:v>src/base3d/BaseFacility3D.gd</x:v>
      </x:c>
      <x:c r="Q120" t="str">
        <x:v>设施;交互;信标;3D</x:v>
      </x:c>
      <x:c r="R12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t="str">
        <x:f>IF(A120="","",IF(COUNTIF($R$6:$R$155,R120)&gt;1,"重复","唯一"))</x:f>
        <x:v>唯一</x:v>
      </x:c>
      <x:c r="T120" t="str">
        <x:v>18921dbda4e5997f5c49c6efa66b7af030310d5d086b60fe476e8f0e664e104e</x:v>
      </x:c>
      <x:c r="U120" t="str">
        <x:v>Codex</x:v>
      </x:c>
      <x:c r="V120" s="62" t="n">
        <x:v>46224</x:v>
      </x:c>
      <x:c r="W120" t="str">
        <x:v>原创程序几何</x:v>
      </x:c>
      <x:c r="X120" t="str">
        <x:v>由配置生成8个设施变体；复用同一场景</x:v>
      </x:c>
    </x:row>
    <x:row r="121">
      <x:c r="A121" t="str">
        <x:v>PRP-DUNGEON-GATE-3D</x:v>
      </x:c>
      <x:c r="B121" t="str">
        <x:v>地下城入口3D模块</x:v>
      </x:c>
      <x:c r="C121" t="str">
        <x:v>场景道具</x:v>
      </x:c>
      <x:c r="D121" t="str">
        <x:v>door</x:v>
      </x:c>
      <x:c r="E121" t="str">
        <x:v>dungeon_gate</x:v>
      </x:c>
      <x:c r="F121" t="str">
        <x:v>root_3d</x:v>
      </x:c>
      <x:c r="G121" t="str">
        <x:v>PRP-DUNGEON-GATE</x:v>
      </x:c>
      <x:c r="H121" t="str">
        <x:v>俯视3D</x:v>
      </x:c>
      <x:c r="I121" t="str">
        <x:v>default</x:v>
      </x:c>
      <x:c r="J121" t="str">
        <x:v>4个地下城入口</x:v>
      </x:c>
      <x:c r="K121" t="str">
        <x:v>原型已接入</x:v>
      </x:c>
      <x:c r="L121" t="str">
        <x:v>P0</x:v>
      </x:c>
      <x:c r="M121" t="str">
        <x:v>v001</x:v>
      </x:c>
      <x:c r="N121" t="str">
        <x:v>PackedScene/材质变体</x:v>
      </x:c>
      <x:c r="O121" t="str">
        <x:v>assets/art/props/base_world_3d/prp_dungeon_gate_root_top3d_v001.tscn</x:v>
      </x:c>
      <x:c r="P121" t="str">
        <x:v>src/base3d/DungeonEntrance3D.gd</x:v>
      </x:c>
      <x:c r="Q121" t="str">
        <x:v>地下城;门;交互;3D</x:v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IF(A121="","",IF(COUNTIF($R$6:$R$155,R121)&gt;1,"重复","唯一"))</x:f>
        <x:v>唯一</x:v>
      </x:c>
      <x:c r="T121" t="str">
        <x:v>1fc802ceb8caef1ce77a54958a8b5e82a0fcae37459106fee970c8941146ba8f</x:v>
      </x:c>
      <x:c r="U121" t="str">
        <x:v>Codex</x:v>
      </x:c>
      <x:c r="V121" s="62" t="n">
        <x:v>46224</x:v>
      </x:c>
      <x:c r="W121" t="str">
        <x:v>原创程序几何</x:v>
      </x:c>
      <x:c r="X121" t="str">
        <x:v>保持旧入口ID与目标场景；地下城内部暂保留2D</x:v>
      </x:c>
    </x:row>
    <x:row r="122">
      <x:c r="A122" t="str">
        <x:v>ENV-BASE-WORLD-3D-PREVIEW</x:v>
      </x:c>
      <x:c r="B122" t="str">
        <x:v>入口基地3D验收预览</x:v>
      </x:c>
      <x:c r="C122" t="str">
        <x:v>场景</x:v>
      </x:c>
      <x:c r="D122" t="str">
        <x:v>review_board</x:v>
      </x:c>
      <x:c r="E122" t="str">
        <x:v>base_world</x:v>
      </x:c>
      <x:c r="F122" t="str">
        <x:v>preview_3d</x:v>
      </x:c>
      <x:c r="G122" t="str">
        <x:v>ENV-BASE-WORLD-KIT-3D</x:v>
      </x:c>
      <x:c r="H122" t="str">
        <x:v>俯视3D</x:v>
      </x:c>
      <x:c r="I122" t="str">
        <x:v>default</x:v>
      </x:c>
      <x:c r="J122" t="str">
        <x:v>评审与资产QA</x:v>
      </x:c>
      <x:c r="K122" t="str">
        <x:v>已完成</x:v>
      </x:c>
      <x:c r="L122" t="str">
        <x:v>P1</x:v>
      </x:c>
      <x:c r="M122" t="str">
        <x:v>v001</x:v>
      </x:c>
      <x:c r="N122" t="str">
        <x:v>1280×720 PNG</x:v>
      </x:c>
      <x:c r="O122" t="str">
        <x:v>assets/art/environments/base_world_3d/env_base_world_preview_top3d_v001.png</x:v>
      </x:c>
      <x:c r="P122" t="str">
        <x:v>verify_base_world_3d_visual.tscn</x:v>
      </x:c>
      <x:c r="Q122" t="str">
        <x:v>3D预览;评审;入口地图</x:v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IF(A122="","",IF(COUNTIF($R$6:$R$155,R122)&gt;1,"重复","唯一"))</x:f>
        <x:v>唯一</x:v>
      </x:c>
      <x:c r="T122" t="str">
        <x:v>7dc3ff5d1bb5942c8340359bfa6d55374604dfbc9fc8b2a23b68a3079fac2e01</x:v>
      </x:c>
      <x:c r="U122" t="str">
        <x:v>Codex</x:v>
      </x:c>
      <x:c r="V122" s="62" t="n">
        <x:v>46224</x:v>
      </x:c>
      <x:c r="W122" t="str">
        <x:v>项目运行截图</x:v>
      </x:c>
      <x:c r="X122" t="str">
        <x:v>用于检查3D布局、镜头、组件比例与交互可读性</x:v>
      </x:c>
    </x:row>
    <x:row r="123" ht="34" customHeight="1">
      <x:c r="A123" s="63" t="str">
        <x:v>ENV-DUNGEON-RUNTIME-3D</x:v>
      </x:c>
      <x:c r="B123" s="63" t="str">
        <x:v>3D随机关卡通用房间套件</x:v>
      </x:c>
      <x:c r="C123" s="63" t="str">
        <x:v>场景</x:v>
      </x:c>
      <x:c r="D123" s="63" t="str">
        <x:v>room</x:v>
      </x:c>
      <x:c r="E123" s="63" t="str">
        <x:v>dungeon_runtime</x:v>
      </x:c>
      <x:c r="F123" s="63" t="str">
        <x:v>root_3d</x:v>
      </x:c>
      <x:c r="G123" s="63"/>
      <x:c r="H123" s="63" t="str">
        <x:v>俯视3D</x:v>
      </x:c>
      <x:c r="I123" s="63" t="str">
        <x:v>default</x:v>
      </x:c>
      <x:c r="J123" s="63" t="str">
        <x:v>四主题副本/随机房间</x:v>
      </x:c>
      <x:c r="K123" s="63" t="str">
        <x:v>原型已接入</x:v>
      </x:c>
      <x:c r="L123" s="63" t="str">
        <x:v>P0</x:v>
      </x:c>
      <x:c r="M123" s="63" t="str">
        <x:v>v001</x:v>
      </x:c>
      <x:c r="N123" s="63" t="str">
        <x:v>PackedScene/三档程序几何</x:v>
      </x:c>
      <x:c r="O123" s="63" t="str">
        <x:v>assets/art/environments/dungeon_3d/env_dungeon_runtime_kit_top3d_v001.tscn</x:v>
      </x:c>
      <x:c r="P123" s="63" t="str">
        <x:v>src/world3d/DungeonRoom3D.gd</x:v>
      </x:c>
      <x:c r="Q123" s="63" t="str">
        <x:v>房间;门洞;走廊;随机地图;3D</x:v>
      </x:c>
      <x:c r="R123" s="63" t="str">
        <x:f>LOWER(TRIM(C123)&amp;"|"&amp;TRIM(D123)&amp;"|"&amp;TRIM(E123)&amp;"|"&amp;TRIM(F123)&amp;"|"&amp;TRIM(H123)&amp;"|"&amp;TRIM(I123))</x:f>
        <x:v>场景|room|dungeon_runtime|root_3d|俯视3d|default</x:v>
      </x:c>
      <x:c r="S123" s="63" t="str">
        <x:f>IF(A123="","",IF(COUNTIF($R$6:$R$155,R123)&gt;1,"重复","唯一"))</x:f>
        <x:v>唯一</x:v>
      </x:c>
      <x:c r="T123" s="63" t="str">
        <x:v>fc33ac084150c3e3cbba89505b3e04f35712abbceaa5cec297c94fe4d7dcc2f3</x:v>
      </x:c>
      <x:c r="U123" s="63" t="str">
        <x:v>Codex</x:v>
      </x:c>
      <x:c r="V123" s="64" t="n">
        <x:v>46224</x:v>
      </x:c>
      <x:c r="W123" s="63" t="str">
        <x:v>原创程序几何</x:v>
      </x:c>
      <x:c r="X123" s="63" t="str">
        <x:v>small/medium/large；四向门；家具、搜索、服务、危险区共用根</x:v>
      </x:c>
    </x:row>
    <x:row r="124" ht="34" customHeight="1">
      <x:c r="A124" s="63" t="str">
        <x:v>ENV-DUNGEON-IRON-FRONTIER-3D</x:v>
      </x:c>
      <x:c r="B124" s="63" t="str">
        <x:v>冷钢边境3D主题资源</x:v>
      </x:c>
      <x:c r="C124" s="63" t="str">
        <x:v>场景</x:v>
      </x:c>
      <x:c r="D124" s="63" t="str">
        <x:v>biome</x:v>
      </x:c>
      <x:c r="E124" s="63" t="str">
        <x:v>iron_frontier</x:v>
      </x:c>
      <x:c r="F124" s="63" t="str">
        <x:v>theme_3d</x:v>
      </x:c>
      <x:c r="G124" s="63" t="str">
        <x:v>ENV-DUNGEON-RUNTIME-3D</x:v>
      </x:c>
      <x:c r="H124" s="63" t="str">
        <x:v>俯视3D</x:v>
      </x:c>
      <x:c r="I124" s="63" t="str">
        <x:v>default</x:v>
      </x:c>
      <x:c r="J124" s="63" t="str">
        <x:v>冷钢边境</x:v>
      </x:c>
      <x:c r="K124" s="63" t="str">
        <x:v>原型已接入</x:v>
      </x:c>
      <x:c r="L124" s="63" t="str">
        <x:v>P0</x:v>
      </x:c>
      <x:c r="M124" s="63" t="str">
        <x:v>v001</x:v>
      </x:c>
      <x:c r="N124" s="63" t="str">
        <x:v>DungeonTheme3D Resource</x:v>
      </x:c>
      <x:c r="O124" s="63" t="str">
        <x:v>assets/art/environments/dungeon_3d/env_iron_frontier_kit_top3d_v001.tres</x:v>
      </x:c>
      <x:c r="P124" s="63" t="str">
        <x:v>scenes/levels3d/IronFrontier3D.tscn</x:v>
      </x:c>
      <x:c r="Q124" s="63" t="str">
        <x:v>冷钢;冷蓝;边境;雾;灯光</x:v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IF(A124="","",IF(COUNTIF($R$6:$R$155,R124)&gt;1,"重复","唯一"))</x:f>
        <x:v>唯一</x:v>
      </x:c>
      <x:c r="T124" s="63" t="str">
        <x:v>a3c6e7e5433928b790e1fa0fe5124beaeb5ab579f2d376aa35a1be25b6736b58</x:v>
      </x:c>
      <x:c r="U124" s="63" t="str">
        <x:v>Codex</x:v>
      </x:c>
      <x:c r="V124" s="64" t="n">
        <x:v>46224</x:v>
      </x:c>
      <x:c r="W124" s="63" t="str">
        <x:v>原创程序配置</x:v>
      </x:c>
      <x:c r="X124" s="63" t="str">
        <x:v>只保存3D色彩/雾/灯光/家具倾向；玩法读取MapThemeProfile</x:v>
      </x:c>
    </x:row>
    <x:row r="125" ht="34" customHeight="1">
      <x:c r="A125" s="63" t="str">
        <x:v>ENV-DUNGEON-RUST-FOUNDRY-3D</x:v>
      </x:c>
      <x:c r="B125" s="63" t="str">
        <x:v>锈蚀铸造厂3D主题资源</x:v>
      </x:c>
      <x:c r="C125" s="63" t="str">
        <x:v>场景</x:v>
      </x:c>
      <x:c r="D125" s="63" t="str">
        <x:v>biome</x:v>
      </x:c>
      <x:c r="E125" s="63" t="str">
        <x:v>rust_foundry</x:v>
      </x:c>
      <x:c r="F125" s="63" t="str">
        <x:v>theme_3d</x:v>
      </x:c>
      <x:c r="G125" s="63" t="str">
        <x:v>ENV-DUNGEON-RUNTIME-3D</x:v>
      </x:c>
      <x:c r="H125" s="63" t="str">
        <x:v>俯视3D</x:v>
      </x:c>
      <x:c r="I125" s="63" t="str">
        <x:v>default</x:v>
      </x:c>
      <x:c r="J125" s="63" t="str">
        <x:v>锈蚀铸造厂</x:v>
      </x:c>
      <x:c r="K125" s="63" t="str">
        <x:v>原型已接入</x:v>
      </x:c>
      <x:c r="L125" s="63" t="str">
        <x:v>P0</x:v>
      </x:c>
      <x:c r="M125" s="63" t="str">
        <x:v>v001</x:v>
      </x:c>
      <x:c r="N125" s="63" t="str">
        <x:v>DungeonTheme3D Resource</x:v>
      </x:c>
      <x:c r="O125" s="63" t="str">
        <x:v>assets/art/environments/dungeon_3d/env_rust_foundry_kit_top3d_v001.tres</x:v>
      </x:c>
      <x:c r="P125" s="63" t="str">
        <x:v>scenes/levels3d/RustFoundry3D.tscn</x:v>
      </x:c>
      <x:c r="Q125" s="63" t="str">
        <x:v>锈蚀;铸造;橙光;工业</x:v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IF(A125="","",IF(COUNTIF($R$6:$R$155,R125)&gt;1,"重复","唯一"))</x:f>
        <x:v>唯一</x:v>
      </x:c>
      <x:c r="T125" s="63" t="str">
        <x:v>0c14c1dd5a5b8edcb51fa5bb024666d845611bfd87c3c4ee0ded56c4614010a8</x:v>
      </x:c>
      <x:c r="U125" s="63" t="str">
        <x:v>Codex</x:v>
      </x:c>
      <x:c r="V125" s="64" t="n">
        <x:v>46224</x:v>
      </x:c>
      <x:c r="W125" s="63" t="str">
        <x:v>原创程序配置</x:v>
      </x:c>
      <x:c r="X125" s="63" t="str">
        <x:v>复用通用房间根；主题资源不复制玩法规则</x:v>
      </x:c>
    </x:row>
    <x:row r="126" ht="34" customHeight="1">
      <x:c r="A126" s="63" t="str">
        <x:v>ENV-DUNGEON-SPORE-DEPTHS-3D</x:v>
      </x:c>
      <x:c r="B126" s="63" t="str">
        <x:v>孢子深层3D主题资源</x:v>
      </x:c>
      <x:c r="C126" s="63" t="str">
        <x:v>场景</x:v>
      </x:c>
      <x:c r="D126" s="63" t="str">
        <x:v>biome</x:v>
      </x:c>
      <x:c r="E126" s="63" t="str">
        <x:v>spore_depths</x:v>
      </x:c>
      <x:c r="F126" s="63" t="str">
        <x:v>theme_3d</x:v>
      </x:c>
      <x:c r="G126" s="63" t="str">
        <x:v>ENV-DUNGEON-RUNTIME-3D</x:v>
      </x:c>
      <x:c r="H126" s="63" t="str">
        <x:v>俯视3D</x:v>
      </x:c>
      <x:c r="I126" s="63" t="str">
        <x:v>default</x:v>
      </x:c>
      <x:c r="J126" s="63" t="str">
        <x:v>孢子深层</x:v>
      </x:c>
      <x:c r="K126" s="63" t="str">
        <x:v>原型已接入</x:v>
      </x:c>
      <x:c r="L126" s="63" t="str">
        <x:v>P0</x:v>
      </x:c>
      <x:c r="M126" s="63" t="str">
        <x:v>v001</x:v>
      </x:c>
      <x:c r="N126" s="63" t="str">
        <x:v>DungeonTheme3D Resource</x:v>
      </x:c>
      <x:c r="O126" s="63" t="str">
        <x:v>assets/art/environments/dungeon_3d/env_spore_depths_kit_top3d_v001.tres</x:v>
      </x:c>
      <x:c r="P126" s="63" t="str">
        <x:v>scenes/levels3d/SporeDepths3D.tscn</x:v>
      </x:c>
      <x:c r="Q126" s="63" t="str">
        <x:v>孢子;病绿;地下;异化</x:v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IF(A126="","",IF(COUNTIF($R$6:$R$155,R126)&gt;1,"重复","唯一"))</x:f>
        <x:v>唯一</x:v>
      </x:c>
      <x:c r="T126" s="63" t="str">
        <x:v>bbd5cc04028e3962ce9eb8ea04c1c06157d128b5dbad1cea64bed7b4a02e7689</x:v>
      </x:c>
      <x:c r="U126" s="63" t="str">
        <x:v>Codex</x:v>
      </x:c>
      <x:c r="V126" s="64" t="n">
        <x:v>46224</x:v>
      </x:c>
      <x:c r="W126" s="63" t="str">
        <x:v>原创程序配置</x:v>
      </x:c>
      <x:c r="X126" s="63" t="str">
        <x:v>复用通用房间根；主题资源不复制玩法规则</x:v>
      </x:c>
    </x:row>
    <x:row r="127" ht="34" customHeight="1">
      <x:c r="A127" s="63" t="str">
        <x:v>ENV-DUNGEON-ABYSS-ARCHIVE-3D</x:v>
      </x:c>
      <x:c r="B127" s="63" t="str">
        <x:v>深渊档案库3D主题资源</x:v>
      </x:c>
      <x:c r="C127" s="63" t="str">
        <x:v>场景</x:v>
      </x:c>
      <x:c r="D127" s="63" t="str">
        <x:v>biome</x:v>
      </x:c>
      <x:c r="E127" s="63" t="str">
        <x:v>abyss_archive</x:v>
      </x:c>
      <x:c r="F127" s="63" t="str">
        <x:v>theme_3d</x:v>
      </x:c>
      <x:c r="G127" s="63" t="str">
        <x:v>ENV-DUNGEON-RUNTIME-3D</x:v>
      </x:c>
      <x:c r="H127" s="63" t="str">
        <x:v>俯视3D</x:v>
      </x:c>
      <x:c r="I127" s="63" t="str">
        <x:v>default</x:v>
      </x:c>
      <x:c r="J127" s="63" t="str">
        <x:v>深渊档案库</x:v>
      </x:c>
      <x:c r="K127" s="63" t="str">
        <x:v>原型已接入</x:v>
      </x:c>
      <x:c r="L127" s="63" t="str">
        <x:v>P0</x:v>
      </x:c>
      <x:c r="M127" s="63" t="str">
        <x:v>v001</x:v>
      </x:c>
      <x:c r="N127" s="63" t="str">
        <x:v>DungeonTheme3D Resource</x:v>
      </x:c>
      <x:c r="O127" s="63" t="str">
        <x:v>assets/art/environments/dungeon_3d/env_abyss_archive_kit_top3d_v001.tres</x:v>
      </x:c>
      <x:c r="P127" s="63" t="str">
        <x:v>scenes/levels3d/AbyssArchive3D.tscn</x:v>
      </x:c>
      <x:c r="Q127" s="63" t="str">
        <x:v>深渊;档案;紫光;禁区</x:v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IF(A127="","",IF(COUNTIF($R$6:$R$155,R127)&gt;1,"重复","唯一"))</x:f>
        <x:v>唯一</x:v>
      </x:c>
      <x:c r="T127" s="63" t="str">
        <x:v>fb276fb1586de1b69d306ff894800f51da600b8dfb2780cf8bc8d22695ad3a52</x:v>
      </x:c>
      <x:c r="U127" s="63" t="str">
        <x:v>Codex</x:v>
      </x:c>
      <x:c r="V127" s="64" t="n">
        <x:v>46224</x:v>
      </x:c>
      <x:c r="W127" s="63" t="str">
        <x:v>原创程序配置</x:v>
      </x:c>
      <x:c r="X127" s="63" t="str">
        <x:v>复用通用房间根；主题资源不复制玩法规则</x:v>
      </x:c>
    </x:row>
    <x:row r="128" ht="34" customHeight="1">
      <x:c r="A128" s="63" t="str">
        <x:v>PRP-WASTELAND-LIGHT-3D</x:v>
      </x:c>
      <x:c r="B128" s="63" t="str">
        <x:v>废土灯具3D通用模块（街灯/顶灯）</x:v>
      </x:c>
      <x:c r="C128" s="63" t="str">
        <x:v>场景道具</x:v>
      </x:c>
      <x:c r="D128" s="63" t="str">
        <x:v>light</x:v>
      </x:c>
      <x:c r="E128" s="63" t="str">
        <x:v>wasteland_light</x:v>
      </x:c>
      <x:c r="F128" s="63" t="str">
        <x:v>root_3d</x:v>
      </x:c>
      <x:c r="G128" s="63" t="str">
        <x:v>ENV-DUNGEON-RUNTIME-3D</x:v>
      </x:c>
      <x:c r="H128" s="63" t="str">
        <x:v>俯视3D</x:v>
      </x:c>
      <x:c r="I128" s="63" t="str">
        <x:v>default</x:v>
      </x:c>
      <x:c r="J128" s="63" t="str">
        <x:v>关卡/靶场/房间中央照明</x:v>
      </x:c>
      <x:c r="K128" s="63" t="str">
        <x:v>原型已接入</x:v>
      </x:c>
      <x:c r="L128" s="63" t="str">
        <x:v>P0</x:v>
      </x:c>
      <x:c r="M128" s="63" t="str">
        <x:v>v001</x:v>
      </x:c>
      <x:c r="N128" s="63" t="str">
        <x:v>PackedScene/OmniLight3D</x:v>
      </x:c>
      <x:c r="O128" s="63" t="str">
        <x:v>assets/art/props/dungeon_3d/prp_wasteland_light_root_top3d_v001.tscn</x:v>
      </x:c>
      <x:c r="P128" s="63" t="str">
        <x:v>src/world3d/WastelandLight3D.gd</x:v>
      </x:c>
      <x:c r="Q128" s="63" t="str">
        <x:v>灯具;街灯;中央顶灯;故障灯;废土</x:v>
      </x:c>
      <x:c r="R128" s="63" t="str">
        <x:f>LOWER(TRIM(C128)&amp;"|"&amp;TRIM(D128)&amp;"|"&amp;TRIM(E128)&amp;"|"&amp;TRIM(F128)&amp;"|"&amp;TRIM(H128)&amp;"|"&amp;TRIM(I128))</x:f>
        <x:v>场景道具|light|wasteland_light|root_3d|俯视3d|default</x:v>
      </x:c>
      <x:c r="S128" s="63" t="str">
        <x:f>IF(A128="","",IF(COUNTIF($R$6:$R$155,R128)&gt;1,"重复","唯一"))</x:f>
        <x:v>唯一</x:v>
      </x:c>
      <x:c r="T128" s="63" t="str">
        <x:v>0a6ec0add8b6e01b83f4dbaae421ff0dc69ed08648d304bac061f540af27d99b</x:v>
      </x:c>
      <x:c r="U128" s="63" t="str">
        <x:v>Codex</x:v>
      </x:c>
      <x:c r="V128" s="64" t="n">
        <x:v>46225</x:v>
      </x:c>
      <x:c r="W128" s="63" t="str">
        <x:v>原创程序几何</x:v>
      </x:c>
      <x:c r="X128" s="63" t="str">
        <x:v>同根支持street/ceiling；房间只实例化唯一中央顶灯，默认关闭并由墙面开关控制；PH28开启能量较旧基线提高约22%</x:v>
      </x:c>
    </x:row>
    <x:row r="129" ht="34" customHeight="1">
      <x:c r="A129" s="63" t="str">
        <x:v>PRP-ROOM-FURNITURE-3D</x:v>
      </x:c>
      <x:c r="B129" s="63" t="str">
        <x:v>房间家具3D通用模块</x:v>
      </x:c>
      <x:c r="C129" s="63" t="str">
        <x:v>场景道具</x:v>
      </x:c>
      <x:c r="D129" s="63" t="str">
        <x:v>furniture</x:v>
      </x:c>
      <x:c r="E129" s="63" t="str">
        <x:v>room_furniture</x:v>
      </x:c>
      <x:c r="F129" s="63" t="str">
        <x:v>root_3d</x:v>
      </x:c>
      <x:c r="G129" s="63" t="str">
        <x:v>ENV-DUNGEON-RUNTIME-3D</x:v>
      </x:c>
      <x:c r="H129" s="63" t="str">
        <x:v>俯视3D</x:v>
      </x:c>
      <x:c r="I129" s="63" t="str">
        <x:v>default</x:v>
      </x:c>
      <x:c r="J129" s="63" t="str">
        <x:v>全部3D房间</x:v>
      </x:c>
      <x:c r="K129" s="63" t="str">
        <x:v>原型已接入</x:v>
      </x:c>
      <x:c r="L129" s="63" t="str">
        <x:v>P0</x:v>
      </x:c>
      <x:c r="M129" s="63" t="str">
        <x:v>v001</x:v>
      </x:c>
      <x:c r="N129" s="63" t="str">
        <x:v>PackedScene/类型与尺寸配置</x:v>
      </x:c>
      <x:c r="O129" s="63" t="str">
        <x:v>assets/art/props/dungeon_3d/prp_room_furniture_root_top3d_v001.tscn</x:v>
      </x:c>
      <x:c r="P129" s="63" t="str">
        <x:v>src/world3d/RoomFurniture3D.gd</x:v>
      </x:c>
      <x:c r="Q129" s="63" t="str">
        <x:v>家具;小中大;箱柜;工作台</x:v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IF(A129="","",IF(COUNTIF($R$6:$R$155,R129)&gt;1,"重复","唯一"))</x:f>
        <x:v>唯一</x:v>
      </x:c>
      <x:c r="T129" s="63" t="str">
        <x:v>a78a7eaac02ce39add97d8a57754cc86ea34e740e24e0e901f4e037198a086e9</x:v>
      </x:c>
      <x:c r="U129" s="63" t="str">
        <x:v>Codex</x:v>
      </x:c>
      <x:c r="V129" s="64" t="n">
        <x:v>46224</x:v>
      </x:c>
      <x:c r="W129" s="63" t="str">
        <x:v>原创程序几何</x:v>
      </x:c>
      <x:c r="X129" s="63" t="str">
        <x:v>11类轮廓；small/medium/large影响占地与碰撞</x:v>
      </x:c>
    </x:row>
    <x:row r="130" ht="34" customHeight="1">
      <x:c r="A130" s="63" t="str">
        <x:v>PRP-SEARCH-CONTAINER-3D</x:v>
      </x:c>
      <x:c r="B130" s="63" t="str">
        <x:v>可搜索容器3D通用模块</x:v>
      </x:c>
      <x:c r="C130" s="63" t="str">
        <x:v>场景道具</x:v>
      </x:c>
      <x:c r="D130" s="63" t="str">
        <x:v>container</x:v>
      </x:c>
      <x:c r="E130" s="63" t="str">
        <x:v>search_container</x:v>
      </x:c>
      <x:c r="F130" s="63" t="str">
        <x:v>root_3d</x:v>
      </x:c>
      <x:c r="G130" s="63" t="str">
        <x:v>PRP-ROOM-FURNITURE-3D</x:v>
      </x:c>
      <x:c r="H130" s="63" t="str">
        <x:v>俯视3D</x:v>
      </x:c>
      <x:c r="I130" s="63" t="str">
        <x:v>closed_opened</x:v>
      </x:c>
      <x:c r="J130" s="63" t="str">
        <x:v>搜索房/仓储/事件</x:v>
      </x:c>
      <x:c r="K130" s="63" t="str">
        <x:v>原型已接入</x:v>
      </x:c>
      <x:c r="L130" s="63" t="str">
        <x:v>P0</x:v>
      </x:c>
      <x:c r="M130" s="63" t="str">
        <x:v>v001</x:v>
      </x:c>
      <x:c r="N130" s="63" t="str">
        <x:v>PackedScene/搜索状态</x:v>
      </x:c>
      <x:c r="O130" s="63" t="str">
        <x:v>assets/art/props/dungeon_3d/prp_search_container_root_top3d_v001.tscn</x:v>
      </x:c>
      <x:c r="P130" s="63" t="str">
        <x:v>src/world3d/RoomFurniture3D.gd</x:v>
      </x:c>
      <x:c r="Q130" s="63" t="str">
        <x:v>搜索;容器;战利品;小中大</x:v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IF(A130="","",IF(COUNTIF($R$6:$R$155,R130)&gt;1,"重复","唯一"))</x:f>
        <x:v>唯一</x:v>
      </x:c>
      <x:c r="T130" s="63" t="str">
        <x:v>2c0852d86e7c0e635e76197ff8d2f6a030daa186f760dfb339d3fdeddf3c192d</x:v>
      </x:c>
      <x:c r="U130" s="63" t="str">
        <x:v>Codex</x:v>
      </x:c>
      <x:c r="V130" s="64" t="n">
        <x:v>46224</x:v>
      </x:c>
      <x:c r="W130" s="63" t="str">
        <x:v>原创程序几何</x:v>
      </x:c>
      <x:c r="X130" s="63" t="str">
        <x:v>搜索为家具状态与配置，不建立关卡局部重复模型</x:v>
      </x:c>
    </x:row>
    <x:row r="131" ht="34" customHeight="1">
      <x:c r="A131" s="63" t="str">
        <x:v>PRP-SERVICE-STATION-3D</x:v>
      </x:c>
      <x:c r="B131" s="63" t="str">
        <x:v>废土服务终端3D模块</x:v>
      </x:c>
      <x:c r="C131" s="63" t="str">
        <x:v>场景道具</x:v>
      </x:c>
      <x:c r="D131" s="63" t="str">
        <x:v>facility</x:v>
      </x:c>
      <x:c r="E131" s="63" t="str">
        <x:v>service_station</x:v>
      </x:c>
      <x:c r="F131" s="63" t="str">
        <x:v>root_3d</x:v>
      </x:c>
      <x:c r="G131" s="63" t="str">
        <x:v>ENV-DUNGEON-RUNTIME-3D</x:v>
      </x:c>
      <x:c r="H131" s="63" t="str">
        <x:v>俯视3D</x:v>
      </x:c>
      <x:c r="I131" s="63" t="str">
        <x:v>default</x:v>
      </x:c>
      <x:c r="J131" s="63" t="str">
        <x:v>商店/升级/事件/重置</x:v>
      </x:c>
      <x:c r="K131" s="63" t="str">
        <x:v>原型已接入</x:v>
      </x:c>
      <x:c r="L131" s="63" t="str">
        <x:v>P0</x:v>
      </x:c>
      <x:c r="M131" s="63" t="str">
        <x:v>v001</x:v>
      </x:c>
      <x:c r="N131" s="63" t="str">
        <x:v>PackedScene/程序组件</x:v>
      </x:c>
      <x:c r="O131" s="63" t="str">
        <x:v>assets/art/props/dungeon_3d/prp_service_station_root_top3d_v001.tscn</x:v>
      </x:c>
      <x:c r="P131" s="63" t="str">
        <x:v>src/world3d/ServiceStation3D.gd</x:v>
      </x:c>
      <x:c r="Q131" s="63" t="str">
        <x:v>终端;商店;升级;事件;重置</x:v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IF(A131="","",IF(COUNTIF($R$6:$R$155,R131)&gt;1,"重复","唯一"))</x:f>
        <x:v>唯一</x:v>
      </x:c>
      <x:c r="T131" s="63" t="str">
        <x:v>da288e4a8ffc005053741d2eda3bbcbf2f6ad34c32c6657e35d0ddf62b837be4</x:v>
      </x:c>
      <x:c r="U131" s="63" t="str">
        <x:v>Codex</x:v>
      </x:c>
      <x:c r="V131" s="64" t="n">
        <x:v>46224</x:v>
      </x:c>
      <x:c r="W131" s="63" t="str">
        <x:v>原创程序几何</x:v>
      </x:c>
      <x:c r="X131" s="63" t="str">
        <x:v>四种服务行为复用同一视觉与交互组件</x:v>
      </x:c>
    </x:row>
    <x:row r="132" ht="34" customHeight="1">
      <x:c r="A132" s="63" t="str">
        <x:v>PRP-EXTRACTION-BEACON-3D</x:v>
      </x:c>
      <x:c r="B132" s="63" t="str">
        <x:v>撤离信标3D模块</x:v>
      </x:c>
      <x:c r="C132" s="63" t="str">
        <x:v>场景道具</x:v>
      </x:c>
      <x:c r="D132" s="63" t="str">
        <x:v>facility</x:v>
      </x:c>
      <x:c r="E132" s="63" t="str">
        <x:v>extraction_beacon</x:v>
      </x:c>
      <x:c r="F132" s="63" t="str">
        <x:v>root_3d</x:v>
      </x:c>
      <x:c r="G132" s="63" t="str">
        <x:v>ENV-DUNGEON-RUNTIME-3D</x:v>
      </x:c>
      <x:c r="H132" s="63" t="str">
        <x:v>俯视3D</x:v>
      </x:c>
      <x:c r="I132" s="63" t="str">
        <x:v>locked_active_done</x:v>
      </x:c>
      <x:c r="J132" s="63" t="str">
        <x:v>四主题撤离房</x:v>
      </x:c>
      <x:c r="K132" s="63" t="str">
        <x:v>原型已接入</x:v>
      </x:c>
      <x:c r="L132" s="63" t="str">
        <x:v>P0</x:v>
      </x:c>
      <x:c r="M132" s="63" t="str">
        <x:v>v001</x:v>
      </x:c>
      <x:c r="N132" s="63" t="str">
        <x:v>PackedScene/程序组件</x:v>
      </x:c>
      <x:c r="O132" s="63" t="str">
        <x:v>assets/art/props/dungeon_3d/prp_extraction_beacon_root_top3d_v001.tscn</x:v>
      </x:c>
      <x:c r="P132" s="63" t="str">
        <x:v>src/world3d/ExtractionBeacon3D.gd</x:v>
      </x:c>
      <x:c r="Q132" s="63" t="str">
        <x:v>撤离;信标;倒计时;Boss解锁</x:v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IF(A132="","",IF(COUNTIF($R$6:$R$155,R132)&gt;1,"重复","唯一"))</x:f>
        <x:v>唯一</x:v>
      </x:c>
      <x:c r="T132" s="63" t="str">
        <x:v>f2638fdaca3f9542e918a56750bda04a5828b18a763569eb16a36619e9e336b4</x:v>
      </x:c>
      <x:c r="U132" s="63" t="str">
        <x:v>Codex</x:v>
      </x:c>
      <x:c r="V132" s="64" t="n">
        <x:v>46224</x:v>
      </x:c>
      <x:c r="W132" s="63" t="str">
        <x:v>原创程序几何</x:v>
      </x:c>
      <x:c r="X132" s="63" t="str">
        <x:v>锁定/同步/取消/完成四段生命周期</x:v>
      </x:c>
    </x:row>
    <x:row r="133" ht="34" customHeight="1">
      <x:c r="A133" s="63" t="str">
        <x:v>VFX-HAZARD-FIELD-3D</x:v>
      </x:c>
      <x:c r="B133" s="63" t="str">
        <x:v>房间危险场3D特效</x:v>
      </x:c>
      <x:c r="C133" s="63" t="str">
        <x:v>特效</x:v>
      </x:c>
      <x:c r="D133" s="63" t="str">
        <x:v>environment</x:v>
      </x:c>
      <x:c r="E133" s="63" t="str">
        <x:v>hazard_field</x:v>
      </x:c>
      <x:c r="F133" s="63" t="str">
        <x:v>root_3d</x:v>
      </x:c>
      <x:c r="G133" s="63" t="str">
        <x:v>ENV-DUNGEON-RUNTIME-3D</x:v>
      </x:c>
      <x:c r="H133" s="63" t="str">
        <x:v>俯视3D</x:v>
      </x:c>
      <x:c r="I133" s="63" t="str">
        <x:v>active</x:v>
      </x:c>
      <x:c r="J133" s="63" t="str">
        <x:v>陷阱房</x:v>
      </x:c>
      <x:c r="K133" s="63" t="str">
        <x:v>原型已接入</x:v>
      </x:c>
      <x:c r="L133" s="63" t="str">
        <x:v>P0</x:v>
      </x:c>
      <x:c r="M133" s="63" t="str">
        <x:v>v001</x:v>
      </x:c>
      <x:c r="N133" s="63" t="str">
        <x:v>PackedScene/程序环形特效</x:v>
      </x:c>
      <x:c r="O133" s="63" t="str">
        <x:v>assets/art/vfx/environment_3d/vfx_hazard_field_root_top3d_v001.tscn</x:v>
      </x:c>
      <x:c r="P133" s="63" t="str">
        <x:v>src/world3d/HazardField3D.gd</x:v>
      </x:c>
      <x:c r="Q133" s="63" t="str">
        <x:v>危险区;陷阱;范围伤害;3D</x:v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IF(A133="","",IF(COUNTIF($R$6:$R$155,R133)&gt;1,"重复","唯一"))</x:f>
        <x:v>唯一</x:v>
      </x:c>
      <x:c r="T133" s="63" t="str">
        <x:v>66ab8d6bc0e2729ca56c7f3c46a588e5f74890cfdf02b90de1fdc46fd1a67648</x:v>
      </x:c>
      <x:c r="U133" s="63" t="str">
        <x:v>Codex</x:v>
      </x:c>
      <x:c r="V133" s="64" t="n">
        <x:v>46224</x:v>
      </x:c>
      <x:c r="W133" s="63" t="str">
        <x:v>原创程序特效</x:v>
      </x:c>
      <x:c r="X133" s="63" t="str">
        <x:v>颜色、半径与伤害可按主题配置</x:v>
      </x:c>
    </x:row>
    <x:row r="134" ht="34" customHeight="1">
      <x:c r="A134" s="63" t="str">
        <x:v>WPN-GUN-KIT-3D</x:v>
      </x:c>
      <x:c r="B134" s="63" t="str">
        <x:v>枪械3D通用模型套件</x:v>
      </x:c>
      <x:c r="C134" s="63" t="str">
        <x:v>枪械</x:v>
      </x:c>
      <x:c r="D134" s="63" t="str">
        <x:v>gunbody</x:v>
      </x:c>
      <x:c r="E134" s="63" t="str">
        <x:v>blueprint_gun_catalog</x:v>
      </x:c>
      <x:c r="F134" s="63" t="str">
        <x:v>root_3d</x:v>
      </x:c>
      <x:c r="G134" s="63"/>
      <x:c r="H134" s="63" t="str">
        <x:v>俯视3D</x:v>
      </x:c>
      <x:c r="I134" s="63" t="str">
        <x:v>default</x:v>
      </x:c>
      <x:c r="J134" s="63" t="str">
        <x:v>玩家/靶场/全部副本</x:v>
      </x:c>
      <x:c r="K134" s="63" t="str">
        <x:v>原型已接入</x:v>
      </x:c>
      <x:c r="L134" s="63" t="str">
        <x:v>P0</x:v>
      </x:c>
      <x:c r="M134" s="63" t="str">
        <x:v>v001</x:v>
      </x:c>
      <x:c r="N134" s="63" t="str">
        <x:v>PackedScene/7枪配置模型</x:v>
      </x:c>
      <x:c r="O134" s="63" t="str">
        <x:v>assets/art/weapons/weapon_3d/wpn_gun_kit_root_top3d_v001.tscn</x:v>
      </x:c>
      <x:c r="P134" s="63" t="str">
        <x:v>src/combat3d/WeaponModel3D.gd</x:v>
      </x:c>
      <x:c r="Q134" s="63" t="str">
        <x:v>枪械;7枪身;8弹药;后坐力;枪口</x:v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IF(A134="","",IF(COUNTIF($R$6:$R$155,R134)&gt;1,"重复","唯一"))</x:f>
        <x:v>唯一</x:v>
      </x:c>
      <x:c r="T134" s="63" t="str">
        <x:v>e13801540404433f6fc5f00faa0f523b804d18ec7fa30c0f6c15fab48f1ec4c9</x:v>
      </x:c>
      <x:c r="U134" s="63" t="str">
        <x:v>Codex</x:v>
      </x:c>
      <x:c r="V134" s="64" t="n">
        <x:v>46225</x:v>
      </x:c>
      <x:c r="W134" s="63" t="str">
        <x:v>原创程序几何</x:v>
      </x:c>
      <x:c r="X134" s="63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v>
      </x:c>
    </x:row>
    <x:row r="135" ht="34" customHeight="1">
      <x:c r="A135" s="63" t="str">
        <x:v>ENM-ECOSYSTEM-KIT-3D</x:v>
      </x:c>
      <x:c r="B135" s="63" t="str">
        <x:v>七类怪物3D生态套件</x:v>
      </x:c>
      <x:c r="C135" s="63" t="str">
        <x:v>敌人</x:v>
      </x:c>
      <x:c r="D135" s="63" t="str">
        <x:v>normal_elite_boss</x:v>
      </x:c>
      <x:c r="E135" s="63" t="str">
        <x:v>enemy_ecosystem</x:v>
      </x:c>
      <x:c r="F135" s="63" t="str">
        <x:v>root_3d</x:v>
      </x:c>
      <x:c r="G135" s="63"/>
      <x:c r="H135" s="63" t="str">
        <x:v>俯视3D</x:v>
      </x:c>
      <x:c r="I135" s="63" t="str">
        <x:v>default</x:v>
      </x:c>
      <x:c r="J135" s="63" t="str">
        <x:v>四主题战斗房</x:v>
      </x:c>
      <x:c r="K135" s="63" t="str">
        <x:v>原型已接入</x:v>
      </x:c>
      <x:c r="L135" s="63" t="str">
        <x:v>P0</x:v>
      </x:c>
      <x:c r="M135" s="63" t="str">
        <x:v>v001</x:v>
      </x:c>
      <x:c r="N135" s="63" t="str">
        <x:v>PackedScene/模块敌人</x:v>
      </x:c>
      <x:c r="O135" s="63" t="str">
        <x:v>assets/art/enemies/enemy_3d/enm_ecosystem_kit_root_top3d_v001.tscn</x:v>
      </x:c>
      <x:c r="P135" s="63" t="str">
        <x:v>src/enemy3d/Enemy3D.gd</x:v>
      </x:c>
      <x:c r="Q135" s="63" t="str">
        <x:v>怪物;七类;核心;外壳;附肢;状态</x:v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IF(A135="","",IF(COUNTIF($R$6:$R$155,R135)&gt;1,"重复","唯一"))</x:f>
        <x:v>唯一</x:v>
      </x:c>
      <x:c r="T135" s="63" t="str">
        <x:v>d9d8a49bed3fdcb863bad72f60be1f774309c7dda52753f5efb3d4e56159c12d</x:v>
      </x:c>
      <x:c r="U135" s="63" t="str">
        <x:v>Codex</x:v>
      </x:c>
      <x:c r="V135" s="64" t="n">
        <x:v>46225</x:v>
      </x:c>
      <x:c r="W135" s="63" t="str">
        <x:v>原创程序几何</x:v>
      </x:c>
      <x:c r="X135" s="63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63" t="str">
        <x:v>VFX-COMBAT-KIT-3D</x:v>
      </x:c>
      <x:c r="B136" s="63" t="str">
        <x:v>战斗反馈3D通用特效套件</x:v>
      </x:c>
      <x:c r="C136" s="63" t="str">
        <x:v>特效</x:v>
      </x:c>
      <x:c r="D136" s="63" t="str">
        <x:v>combat</x:v>
      </x:c>
      <x:c r="E136" s="63" t="str">
        <x:v>combat_feedback</x:v>
      </x:c>
      <x:c r="F136" s="63" t="str">
        <x:v>root_3d</x:v>
      </x:c>
      <x:c r="G136" s="63"/>
      <x:c r="H136" s="63" t="str">
        <x:v>俯视3D</x:v>
      </x:c>
      <x:c r="I136" s="63" t="str">
        <x:v>muzzle_impact_damage_explosion</x:v>
      </x:c>
      <x:c r="J136" s="63" t="str">
        <x:v>枪械/敌人/关卡</x:v>
      </x:c>
      <x:c r="K136" s="63" t="str">
        <x:v>原型已接入</x:v>
      </x:c>
      <x:c r="L136" s="63" t="str">
        <x:v>P0</x:v>
      </x:c>
      <x:c r="M136" s="63" t="str">
        <x:v>v001</x:v>
      </x:c>
      <x:c r="N136" s="63" t="str">
        <x:v>PackedScene/参数化特效</x:v>
      </x:c>
      <x:c r="O136" s="63" t="str">
        <x:v>assets/art/vfx/combat_3d/vfx_combat_kit_root_top3d_v001.tscn</x:v>
      </x:c>
      <x:c r="P136" s="63" t="str">
        <x:v>src/combat3d/CombatEffect3D.gd</x:v>
      </x:c>
      <x:c r="Q136" s="63" t="str">
        <x:v>枪口;命中;伤害;爆炸;3D</x:v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</x:v>
      </x:c>
      <x:c r="S136" s="63" t="str">
        <x:f>IF(A136="","",IF(COUNTIF($R$6:$R$155,R136)&gt;1,"重复","唯一"))</x:f>
        <x:v>唯一</x:v>
      </x:c>
      <x:c r="T136" s="63" t="str">
        <x:v>2ee5109b1876ea2114ac5c73b4bd0e2fc0348e1209a9d2ca16bc8ef9834ff357</x:v>
      </x:c>
      <x:c r="U136" s="63" t="str">
        <x:v>Codex</x:v>
      </x:c>
      <x:c r="V136" s="64" t="n">
        <x:v>46224</x:v>
      </x:c>
      <x:c r="W136" s="63" t="str">
        <x:v>原创程序特效</x:v>
      </x:c>
      <x:c r="X136" s="63" t="str">
        <x:v>effect kind、颜色与尺寸参数化，避免每把枪复制特效</x:v>
      </x:c>
    </x:row>
    <x:row r="137" ht="34" customHeight="1">
      <x:c r="A137" s="63" t="str">
        <x:v>ENV-TRAINING-RANGE-KIT-3D</x:v>
      </x:c>
      <x:c r="B137" s="63" t="str">
        <x:v>独立3D训练靶场套件</x:v>
      </x:c>
      <x:c r="C137" s="63" t="str">
        <x:v>场景</x:v>
      </x:c>
      <x:c r="D137" s="63" t="str">
        <x:v>training_range</x:v>
      </x:c>
      <x:c r="E137" s="63" t="str">
        <x:v>training_range</x:v>
      </x:c>
      <x:c r="F137" s="63" t="str">
        <x:v>root_3d</x:v>
      </x:c>
      <x:c r="G137" s="63"/>
      <x:c r="H137" s="63" t="str">
        <x:v>俯视3D</x:v>
      </x:c>
      <x:c r="I137" s="63" t="str">
        <x:v>default</x:v>
      </x:c>
      <x:c r="J137" s="63" t="str">
        <x:v>独立训练地图</x:v>
      </x:c>
      <x:c r="K137" s="63" t="str">
        <x:v>原型已接入</x:v>
      </x:c>
      <x:c r="L137" s="63" t="str">
        <x:v>P0</x:v>
      </x:c>
      <x:c r="M137" s="63" t="str">
        <x:v>v001</x:v>
      </x:c>
      <x:c r="N137" s="63" t="str">
        <x:v>PackedScene/程序环境</x:v>
      </x:c>
      <x:c r="O137" s="63" t="str">
        <x:v>assets/art/environments/training_range_3d/env_training_range_kit_top3d_v001.tscn</x:v>
      </x:c>
      <x:c r="P137" s="63" t="str">
        <x:v>scenes/TrainingRange3D.tscn</x:v>
      </x:c>
      <x:c r="Q137" s="63" t="str">
        <x:v>靶场;射击道;货架;56组合;三类靶</x:v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IF(A137="","",IF(COUNTIF($R$6:$R$155,R137)&gt;1,"重复","唯一"))</x:f>
        <x:v>唯一</x:v>
      </x:c>
      <x:c r="T137" s="63" t="str">
        <x:v>4d1153bc736fab0790300f171beef8435002670f3789d6434e966bca0a79d28e</x:v>
      </x:c>
      <x:c r="U137" s="63" t="str">
        <x:v>Codex</x:v>
      </x:c>
      <x:c r="V137" s="64" t="n">
        <x:v>46224</x:v>
      </x:c>
      <x:c r="W137" s="63" t="str">
        <x:v>原创程序几何</x:v>
      </x:c>
      <x:c r="X137" s="63" t="str">
        <x:v>15货架、三射击道、三靶标、重置与返回；BaseData隔离</x:v>
      </x:c>
    </x:row>
    <x:row r="138" ht="34" customHeight="1">
      <x:c r="A138" s="63" t="str">
        <x:v>ENV-DUNGEON-RUNTIME-3D-PREVIEW</x:v>
      </x:c>
      <x:c r="B138" s="63" t="str">
        <x:v>3D关卡运行时验收预览</x:v>
      </x:c>
      <x:c r="C138" s="63" t="str">
        <x:v>场景</x:v>
      </x:c>
      <x:c r="D138" s="63" t="str">
        <x:v>review_board</x:v>
      </x:c>
      <x:c r="E138" s="63" t="str">
        <x:v>dungeon_runtime</x:v>
      </x:c>
      <x:c r="F138" s="63" t="str">
        <x:v>preview_3d</x:v>
      </x:c>
      <x:c r="G138" s="63" t="str">
        <x:v>ENV-DUNGEON-RUNTIME-3D</x:v>
      </x:c>
      <x:c r="H138" s="63" t="str">
        <x:v>俯视3D</x:v>
      </x:c>
      <x:c r="I138" s="63" t="str">
        <x:v>default</x:v>
      </x:c>
      <x:c r="J138" s="63" t="str">
        <x:v>评审与资产QA</x:v>
      </x:c>
      <x:c r="K138" s="63" t="str">
        <x:v>已完成</x:v>
      </x:c>
      <x:c r="L138" s="63" t="str">
        <x:v>P1</x:v>
      </x:c>
      <x:c r="M138" s="63" t="str">
        <x:v>v001</x:v>
      </x:c>
      <x:c r="N138" s="63" t="str">
        <x:v>1280×720 PNG</x:v>
      </x:c>
      <x:c r="O138" s="63" t="str">
        <x:v>assets/art/environments/dungeon_3d/env_dungeon_runtime_preview_top3d_v001.png</x:v>
      </x:c>
      <x:c r="P138" s="63" t="str">
        <x:v>verify_full_3d_visual.tscn</x:v>
      </x:c>
      <x:c r="Q138" s="63" t="str">
        <x:v>3D关卡;预览;灯光;战斗;QA</x:v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IF(A138="","",IF(COUNTIF($R$6:$R$155,R138)&gt;1,"重复","唯一"))</x:f>
        <x:v>唯一</x:v>
      </x:c>
      <x:c r="T138" s="63" t="str">
        <x:v>3b2c2212f1283ed366a31dc3a101b3555c78768c3906600eb0b18c74423fb247</x:v>
      </x:c>
      <x:c r="U138" s="63" t="str">
        <x:v>Codex</x:v>
      </x:c>
      <x:c r="V138" s="64" t="n">
        <x:v>46225</x:v>
      </x:c>
      <x:c r="W138" s="63" t="str">
        <x:v>项目运行截图</x:v>
      </x:c>
      <x:c r="X138" s="63" t="str">
        <x:v>实际GPU窗口确认360°遮挡逻辑与96°定向表现；PH28三层玩家灯去除头顶溢光，角色正面柔光、增强中央灯与战斗轮廓通过验收</x:v>
      </x:c>
    </x:row>
    <x:row r="139" ht="34" customHeight="1">
      <x:c r="A139" s="63" t="str">
        <x:v>ENV-TRAINING-RANGE-3D-PREVIEW</x:v>
      </x:c>
      <x:c r="B139" s="63" t="str">
        <x:v>3D训练靶场验收预览</x:v>
      </x:c>
      <x:c r="C139" s="63" t="str">
        <x:v>场景</x:v>
      </x:c>
      <x:c r="D139" s="63" t="str">
        <x:v>review_board</x:v>
      </x:c>
      <x:c r="E139" s="63" t="str">
        <x:v>training_range</x:v>
      </x:c>
      <x:c r="F139" s="63" t="str">
        <x:v>preview_3d</x:v>
      </x:c>
      <x:c r="G139" s="63" t="str">
        <x:v>ENV-TRAINING-RANGE-KIT-3D</x:v>
      </x:c>
      <x:c r="H139" s="63" t="str">
        <x:v>俯视3D</x:v>
      </x:c>
      <x:c r="I139" s="63" t="str">
        <x:v>default</x:v>
      </x:c>
      <x:c r="J139" s="63" t="str">
        <x:v>评审与资产QA</x:v>
      </x:c>
      <x:c r="K139" s="63" t="str">
        <x:v>已完成</x:v>
      </x:c>
      <x:c r="L139" s="63" t="str">
        <x:v>P1</x:v>
      </x:c>
      <x:c r="M139" s="63" t="str">
        <x:v>v001</x:v>
      </x:c>
      <x:c r="N139" s="63" t="str">
        <x:v>1280×720 PNG</x:v>
      </x:c>
      <x:c r="O139" s="63" t="str">
        <x:v>assets/art/environments/training_range_3d/env_training_range_preview_top3d_v001.png</x:v>
      </x:c>
      <x:c r="P139" s="63" t="str">
        <x:v>verify_training_range_3d_visual.tscn</x:v>
      </x:c>
      <x:c r="Q139" s="63" t="str">
        <x:v>3D靶场;预览;射击道;目标;QA</x:v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IF(A139="","",IF(COUNTIF($R$6:$R$155,R139)&gt;1,"重复","唯一"))</x:f>
        <x:v>唯一</x:v>
      </x:c>
      <x:c r="T139" s="63" t="str">
        <x:v>51b63097607e69009e9b2e5ed9315b3c642cdc05e823a2fee547cb0bb1ad8377</x:v>
      </x:c>
      <x:c r="U139" s="63" t="str">
        <x:v>Codex</x:v>
      </x:c>
      <x:c r="V139" s="64" t="n">
        <x:v>46224</x:v>
      </x:c>
      <x:c r="W139" s="63" t="str">
        <x:v>项目运行截图</x:v>
      </x:c>
      <x:c r="X139" s="63" t="str">
        <x:v>真实GPU窗口检查三条射击道、三类靶、枪弹组合区与灯光</x:v>
      </x:c>
    </x:row>
    <x:row r="140">
      <x:c r="A140" t="str">
        <x:v>VFX-VISIBILITY-FIELD-3D</x:v>
      </x:c>
      <x:c r="B140" t="str">
        <x:v>柔边真实单位视野场3D</x:v>
      </x:c>
      <x:c r="C140" t="str">
        <x:v>特效</x:v>
      </x:c>
      <x:c r="D140" t="str">
        <x:v>gameplay_vfx</x:v>
      </x:c>
      <x:c r="E140" t="str">
        <x:v>visibility_field</x:v>
      </x:c>
      <x:c r="F140" t="str">
        <x:v>field_mesh_3d</x:v>
      </x:c>
      <x:c r="G140" t="str">
        <x:v>VFX-VISIBILITY-LIGHT</x:v>
      </x:c>
      <x:c r="H140" t="str">
        <x:v>俯视3D</x:v>
      </x:c>
      <x:c r="I140" t="str">
        <x:v>default</x:v>
      </x:c>
      <x:c r="J140" t="str">
        <x:v>3D行动区/靶场/基地</x:v>
      </x:c>
      <x:c r="K140" t="str">
        <x:v>原型已接入</x:v>
      </x:c>
      <x:c r="L140" t="str">
        <x:v>P0</x:v>
      </x:c>
      <x:c r="M140" t="str">
        <x:v>v001</x:v>
      </x:c>
      <x:c r="N140" t="str">
        <x:v>360°逻辑射线 + ImmediateMesh 49+28表现射线</x:v>
      </x:c>
      <x:c r="O140" t="str">
        <x:v>src/player3d/PlayerVision3D.gd</x:v>
      </x:c>
      <x:c r="P140" t="str">
        <x:v>scenes/Player3D.tscn</x:v>
      </x:c>
      <x:c r="Q140" t="str">
        <x:v>360度逻辑视野;96度目光表现;柔边;墙体遮挡;无描边;非灯光判定</x:v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IF(A140="","",IF(COUNTIF($R$6:$R$155,R140)&gt;1,"重复","唯一"))</x:f>
        <x:v>唯一</x:v>
      </x:c>
      <x:c r="T140" t="str">
        <x:v>f2b2eaf61798845c9068d45db0fdad2b32930df5b14a259e36bb8be67eefda07</x:v>
      </x:c>
      <x:c r="U140" t="str">
        <x:v>Codex</x:v>
      </x:c>
      <x:c r="V140" t="n">
        <x:v>46225</x:v>
      </x:c>
      <x:c r="W140" t="str">
        <x:v>原创程序几何</x:v>
      </x:c>
      <x:c r="X140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v>
      </x:c>
    </x:row>
    <x:row r="141">
      <x:c r="A141" t="str">
        <x:v>UI-SCREEN-INVENTORY-3D</x:v>
      </x:c>
      <x:c r="B141" t="str">
        <x:v>3D背包与保险界面</x:v>
      </x:c>
      <x:c r="C141" t="str">
        <x:v>UI</x:v>
      </x:c>
      <x:c r="D141" t="str">
        <x:v>screen</x:v>
      </x:c>
      <x:c r="E141" t="str">
        <x:v>inventory</x:v>
      </x:c>
      <x:c r="F141" t="str">
        <x:v>root_3d</x:v>
      </x:c>
      <x:c r="G141" t="str">
        <x:v>UI-SCREEN-INVENTORY</x:v>
      </x:c>
      <x:c r="H141" t="str">
        <x:v>屏幕空间</x:v>
      </x:c>
      <x:c r="I141" t="str">
        <x:v>default</x:v>
      </x:c>
      <x:c r="J141" t="str">
        <x:v>3D行动区</x:v>
      </x:c>
      <x:c r="K141" t="str">
        <x:v>原型已接入</x:v>
      </x:c>
      <x:c r="L141" t="str">
        <x:v>P0</x:v>
      </x:c>
      <x:c r="M141" t="str">
        <x:v>v001</x:v>
      </x:c>
      <x:c r="N141" t="str">
        <x:v>全屏Control/12+2槽/96×96投影</x:v>
      </x:c>
      <x:c r="O141" t="str">
        <x:v>src/ui/InventoryUI.gd</x:v>
      </x:c>
      <x:c r="P141" t="str">
        <x:v>scenes/Dungeon3D.tscn</x:v>
      </x:c>
      <x:c r="Q141" t="str">
        <x:v>背包;保险;I键;Tab;模态输入锁;3D道具投影;实际点击装备</x:v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IF(A141="","",IF(COUNTIF($R$6:$R$155,R141)&gt;1,"重复","唯一"))</x:f>
        <x:v>唯一</x:v>
      </x:c>
      <x:c r="T141" t="str">
        <x:v>ccd8f7d7f3c99454d157f0dfd2f34631a4d404931f2e1997b5c381db9ac90c99</x:v>
      </x:c>
      <x:c r="U141" t="str">
        <x:v>Codex</x:v>
      </x:c>
      <x:c r="V141" t="n">
        <x:v>46225</x:v>
      </x:c>
      <x:c r="W141" t="str">
        <x:v>原创程序UI</x:v>
      </x:c>
      <x:c r="X141" t="str">
        <x:v>复用背包根身份的3D子变体；I/Tab；打开时锁输入；道具共用 ItemModelFactory3D；实际 ItemSlot 信号完成换枪</x:v>
      </x:c>
    </x:row>
    <x:row r="142">
      <x:c r="A142" t="str">
        <x:v>UI-SCREEN-PAUSE-3D</x:v>
      </x:c>
      <x:c r="B142" t="str">
        <x:v>3D共用暂停界面</x:v>
      </x:c>
      <x:c r="C142" t="str">
        <x:v>UI</x:v>
      </x:c>
      <x:c r="D142" t="str">
        <x:v>screen</x:v>
      </x:c>
      <x:c r="E142" t="str">
        <x:v>pause</x:v>
      </x:c>
      <x:c r="F142" t="str">
        <x:v>root_3d</x:v>
      </x:c>
      <x:c r="G142"/>
      <x:c r="H142" t="str">
        <x:v>屏幕空间</x:v>
      </x:c>
      <x:c r="I142" t="str">
        <x:v>default</x:v>
      </x:c>
      <x:c r="J142" t="str">
        <x:v>地下城/基地/靶场</x:v>
      </x:c>
      <x:c r="K142" t="str">
        <x:v>已完成</x:v>
      </x:c>
      <x:c r="L142" t="str">
        <x:v>P0</x:v>
      </x:c>
      <x:c r="M142" t="str">
        <x:v>v001</x:v>
      </x:c>
      <x:c r="N142" t="str">
        <x:v>PackedScene/全屏Control</x:v>
      </x:c>
      <x:c r="O142" t="str">
        <x:v>assets/art/ui/pause_3d/ui_pause_overlay_screen_v001.tscn</x:v>
      </x:c>
      <x:c r="P142" t="str">
        <x:v>src/ui/PauseMenu3D.gd</x:v>
      </x:c>
      <x:c r="Q142" t="str">
        <x:v>暂停;Esc;继续;全局模态;3D HUD</x:v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IF(A142="","",IF(COUNTIF($R$6:$R$155,R142)&gt;1,"重复","唯一"))</x:f>
        <x:v>唯一</x:v>
      </x:c>
      <x:c r="T142" t="str">
        <x:v>8fed542ebf6b89002c6922a287e666394472252ad9673d8183dd9db604c19a88</x:v>
      </x:c>
      <x:c r="U142" t="str">
        <x:v>Codex</x:v>
      </x:c>
      <x:c r="V142" t="n">
        <x:v>46225</x:v>
      </x:c>
      <x:c r="W142" t="str">
        <x:v>原创程序UI</x:v>
      </x:c>
      <x:c r="X142" t="str">
        <x:v>三张3D地图共用；Esc先关闭最上层模态，再进入真实暂停</x:v>
      </x:c>
    </x:row>
    <x:row r="143">
      <x:c r="A143" t="str">
        <x:v>PRP-ROOM-LIGHT-SWITCH-3D</x:v>
      </x:c>
      <x:c r="B143" t="str">
        <x:v>房间中央灯墙面开关3D</x:v>
      </x:c>
      <x:c r="C143" t="str">
        <x:v>场景道具</x:v>
      </x:c>
      <x:c r="D143" t="str">
        <x:v>facility</x:v>
      </x:c>
      <x:c r="E143" t="str">
        <x:v>room_light_switch</x:v>
      </x:c>
      <x:c r="F143" t="str">
        <x:v>root_3d</x:v>
      </x:c>
      <x:c r="G143" t="str">
        <x:v>ENV-DUNGEON-RUNTIME-3D</x:v>
      </x:c>
      <x:c r="H143" t="str">
        <x:v>俯视3D</x:v>
      </x:c>
      <x:c r="I143" t="str">
        <x:v>default</x:v>
      </x:c>
      <x:c r="J143" t="str">
        <x:v>随机关卡房间/四主题复用</x:v>
      </x:c>
      <x:c r="K143" t="str">
        <x:v>原型已接入</x:v>
      </x:c>
      <x:c r="L143" t="str">
        <x:v>P0</x:v>
      </x:c>
      <x:c r="M143" t="str">
        <x:v>v001</x:v>
      </x:c>
      <x:c r="N143" t="str">
        <x:v>PackedScene/Area3D</x:v>
      </x:c>
      <x:c r="O143" t="str">
        <x:v>assets/art/props/dungeon_3d/prp_room_light_switch_root_top3d_v001.tscn</x:v>
      </x:c>
      <x:c r="P143" t="str">
        <x:v>src/world3d/RoomLightSwitch3D.gd</x:v>
      </x:c>
      <x:c r="Q143" t="str">
        <x:v>房灯开关;墙面交互;中央顶灯;E键</x:v>
      </x:c>
      <x:c r="R143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t="str">
        <x:f>IF(A143="","",IF(COUNTIF($R$6:$R$155,R143)&gt;1,"重复","唯一"))</x:f>
        <x:v>唯一</x:v>
      </x:c>
      <x:c r="T143" t="str">
        <x:v>7802bc3a71d892072e43962875e26b60443d19de35bcc77fe0cbedcfa6dd5d94</x:v>
      </x:c>
      <x:c r="U143" t="str">
        <x:v>Codex</x:v>
      </x:c>
      <x:c r="V143" s="62" t="n">
        <x:v>46225</x:v>
      </x:c>
      <x:c r="W143" t="str">
        <x:v>原创程序几何</x:v>
      </x:c>
      <x:c r="X143" t="str">
        <x:v>每个房间共用一件；E键切换唯一中央顶灯；禁止复制到各主题局部目录</x:v>
      </x:c>
    </x:row>
    <x:row r="144">
      <x:c r="A144" t="str">
        <x:v>VFX-PLAYER-FLASHLIGHT-3D</x:v>
      </x:c>
      <x:c r="B144" t="str">
        <x:v>玩家真实探照灯组件3D</x:v>
      </x:c>
      <x:c r="C144" t="str">
        <x:v>特效</x:v>
      </x:c>
      <x:c r="D144" t="str">
        <x:v>gameplay_vfx</x:v>
      </x:c>
      <x:c r="E144" t="str">
        <x:v>player_flashlight</x:v>
      </x:c>
      <x:c r="F144" t="str">
        <x:v>light_rig_3d</x:v>
      </x:c>
      <x:c r="G144" t="str">
        <x:v>VFX-VISIBILITY-FIELD-3D</x:v>
      </x:c>
      <x:c r="H144" t="str">
        <x:v>俯视3D</x:v>
      </x:c>
      <x:c r="I144" t="str">
        <x:v>default</x:v>
      </x:c>
      <x:c r="J144" t="str">
        <x:v>3D行动区/靶场/基地</x:v>
      </x:c>
      <x:c r="K144" t="str">
        <x:v>原型已接入</x:v>
      </x:c>
      <x:c r="L144" t="str">
        <x:v>P0</x:v>
      </x:c>
      <x:c r="M144" t="str">
        <x:v>v001</x:v>
      </x:c>
      <x:c r="N144" t="str">
        <x:v>PackedScene/2 SpotLight3D+1 OmniLight3D</x:v>
      </x:c>
      <x:c r="O144" t="str">
        <x:v>assets/art/vfx/visibility_3d/vfx_player_flashlight_root_top3d_v001.tscn</x:v>
      </x:c>
      <x:c r="P144" t="str">
        <x:v>src/player3d/PlayerFlashlight3D.gd</x:v>
      </x:c>
      <x:c r="Q144" t="str">
        <x:v>真实探照灯;玩家灯光;前向聚光;角色补光;可调灯光</x:v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IF(A144="","",IF(COUNTIF($R$6:$R$155,R144)&gt;1,"重复","唯一"))</x:f>
        <x:v>唯一</x:v>
      </x:c>
      <x:c r="T144" t="str">
        <x:v>b389efe1d1fcfd30087a6d3f3f2784effee95cf6c54769fde27ecb6806011a05</x:v>
      </x:c>
      <x:c r="U144" t="str">
        <x:v>Codex</x:v>
      </x:c>
      <x:c r="V144" s="62" t="n">
        <x:v>46225</x:v>
      </x:c>
      <x:c r="W144" t="str">
        <x:v>原创程序灯光</x:v>
      </x:c>
      <x:c r="X144" t="str">
        <x:v>独立于玩法视野；环境layer1=投影主聚光+无阴影近身溢光，角色/手持枪layer2=微弱无阴影正面柔光；头顶环境灯不影响角色</x:v>
      </x:c>
    </x:row>
    <x:row r="145">
      <x:c r="A145" t="str">
        <x:v>UI-ICON-ITEM-MODEL-3D</x:v>
      </x:c>
      <x:c r="B145" t="str">
        <x:v>背包道具3D模型投影组件</x:v>
      </x:c>
      <x:c r="C145" t="str">
        <x:v>UI</x:v>
      </x:c>
      <x:c r="D145" t="str">
        <x:v>icon</x:v>
      </x:c>
      <x:c r="E145" t="str">
        <x:v>item_model_icon</x:v>
      </x:c>
      <x:c r="F145" t="str">
        <x:v>root_3d</x:v>
      </x:c>
      <x:c r="G145" t="str">
        <x:v>UI-SCREEN-INVENTORY-3D</x:v>
      </x:c>
      <x:c r="H145" t="str">
        <x:v>屏幕空间/3D投影</x:v>
      </x:c>
      <x:c r="I145" t="str">
        <x:v>default</x:v>
      </x:c>
      <x:c r="J145" t="str">
        <x:v>背包/保险格/道具预览</x:v>
      </x:c>
      <x:c r="K145" t="str">
        <x:v>原型已接入</x:v>
      </x:c>
      <x:c r="L145" t="str">
        <x:v>P0</x:v>
      </x:c>
      <x:c r="M145" t="str">
        <x:v>v001</x:v>
      </x:c>
      <x:c r="N145" t="str">
        <x:v>96×96 SubViewport/UPDATE_ONCE</x:v>
      </x:c>
      <x:c r="O145" t="str">
        <x:v>assets/art/ui/inventory_3d/ui_item_model_icon_root_v001.tscn</x:v>
      </x:c>
      <x:c r="P145" t="str">
        <x:v>src/ui/ItemModelIcon3D.gd</x:v>
      </x:c>
      <x:c r="Q145" t="str">
        <x:v>3D道具图标;模型投影;背包图标;共享世界模型;单次渲染</x:v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IF(A145="","",IF(COUNTIF($R$6:$R$155,R145)&gt;1,"重复","唯一"))</x:f>
        <x:v>唯一</x:v>
      </x:c>
      <x:c r="T145" t="str">
        <x:v>97c10f3884107c1263f3de1f8bc1ce84bb568ecd80418b62bdb023c55cdab9fe</x:v>
      </x:c>
      <x:c r="U145" t="str">
        <x:v>Codex</x:v>
      </x:c>
      <x:c r="V145" s="62" t="n">
        <x:v>46225</x:v>
      </x:c>
      <x:c r="W145" t="str">
        <x:v>原创程序UI</x:v>
      </x:c>
      <x:c r="X145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63" t="str">
        <x:v>CHR-PLY-CAPSULE01-BODY-DIY-3D</x:v>
      </x:c>
      <x:c r="B146" s="63" t="str">
        <x:v>胶囊防护体3D身体DIY变体</x:v>
      </x:c>
      <x:c r="C146" s="63" t="str">
        <x:v>角色</x:v>
      </x:c>
      <x:c r="D146" s="63" t="str">
        <x:v>player_variant</x:v>
      </x:c>
      <x:c r="E146" s="63" t="str">
        <x:v>player_capsule01</x:v>
      </x:c>
      <x:c r="F146" s="63" t="str">
        <x:v>body_diy_3d</x:v>
      </x:c>
      <x:c r="G146" s="63" t="str">
        <x:v>CHR-PLY-CAPSULE01-BODY-3D</x:v>
      </x:c>
      <x:c r="H146" s="63" t="str">
        <x:v>俯视3D</x:v>
      </x:c>
      <x:c r="I146" s="63" t="str">
        <x:v>diy</x:v>
      </x:c>
      <x:c r="J146" s="63" t="str">
        <x:v>3D玩家/预览场</x:v>
      </x:c>
      <x:c r="K146" s="63" t="str">
        <x:v>原型已接入</x:v>
      </x:c>
      <x:c r="L146" s="63" t="str">
        <x:v>P1</x:v>
      </x:c>
      <x:c r="M146" s="63" t="str">
        <x:v>v001</x:v>
      </x:c>
      <x:c r="N146" s="63" t="str">
        <x:v>3种程序材质</x:v>
      </x:c>
      <x:c r="O146" s="63" t="str">
        <x:v>src/player3d/PlayerAvatar3D.gd</x:v>
      </x:c>
      <x:c r="P146" s="63" t="str">
        <x:v>VisualRoot/Body</x:v>
      </x:c>
      <x:c r="Q146" s="63" t="str">
        <x:v>身体;防护服;DIY;橄榄;沙色;钴蓝</x:v>
      </x:c>
      <x:c r="R146" s="63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63" t="str">
        <x:f>IF(A146="","",IF(COUNTIF($R$6:$R$155,R146)&gt;1,"重复","唯一"))</x:f>
        <x:v>唯一</x:v>
      </x:c>
      <x:c r="T146" s="63" t="str">
        <x:v>43c7fa3fa002c9e5a2ec27f04fedeefacee2f32f3a91cb232e98f080513e2f7b</x:v>
      </x:c>
      <x:c r="U146" s="63" t="str">
        <x:v>Codex</x:v>
      </x:c>
      <x:c r="V146" s="63" t="str">
        <x:v>2026-07-25</x:v>
      </x:c>
      <x:c r="W146" s="63" t="str">
        <x:v>原创程序几何</x:v>
      </x:c>
      <x:c r="X146" s="63" t="str">
        <x:v>胶囊防护体3D身体DIY变体；作为 CHR-PLY-CAPSULE01-3D 子变体，由 Player3D.set_avatar_customization() 驱动；不改玩法。手/挂点内收并在移动、换弹、射击、蓄力、击飞中保持同相；verify_player3d_diy_flow PASS ｜ PH33：适配方形猫四模块与feet槽；双眼/双耳/圆短尾保持父组件归属</x:v>
      </x:c>
    </x:row>
    <x:row r="147" ht="44" customHeight="1">
      <x:c r="A147" s="63" t="str">
        <x:v>CHR-PLY-CAPSULE01-HEAD-DIY-3D</x:v>
      </x:c>
      <x:c r="B147" s="63" t="str">
        <x:v>胶囊防护体3D头部DIY变体</x:v>
      </x:c>
      <x:c r="C147" s="63" t="str">
        <x:v>角色</x:v>
      </x:c>
      <x:c r="D147" s="63" t="str">
        <x:v>player_variant</x:v>
      </x:c>
      <x:c r="E147" s="63" t="str">
        <x:v>player_capsule01</x:v>
      </x:c>
      <x:c r="F147" s="63" t="str">
        <x:v>head_diy_3d</x:v>
      </x:c>
      <x:c r="G147" s="63" t="str">
        <x:v>CHR-PLY-CAPSULE01-HEAD-3D</x:v>
      </x:c>
      <x:c r="H147" s="63" t="str">
        <x:v>俯视3D</x:v>
      </x:c>
      <x:c r="I147" s="63" t="str">
        <x:v>diy</x:v>
      </x:c>
      <x:c r="J147" s="63" t="str">
        <x:v>3D玩家/预览场</x:v>
      </x:c>
      <x:c r="K147" s="63" t="str">
        <x:v>原型已接入</x:v>
      </x:c>
      <x:c r="L147" s="63" t="str">
        <x:v>P1</x:v>
      </x:c>
      <x:c r="M147" s="63" t="str">
        <x:v>v001</x:v>
      </x:c>
      <x:c r="N147" s="63" t="str">
        <x:v>3种程序材质</x:v>
      </x:c>
      <x:c r="O147" s="63" t="str">
        <x:v>src/player3d/PlayerAvatar3D.gd</x:v>
      </x:c>
      <x:c r="P147" s="63" t="str">
        <x:v>VisualRoot/Head</x:v>
      </x:c>
      <x:c r="Q147" s="63" t="str">
        <x:v>头壳;传感器;DIY;青色面板;琥珀装甲</x:v>
      </x:c>
      <x:c r="R147" s="63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63" t="str">
        <x:f>IF(A147="","",IF(COUNTIF($R$6:$R$155,R147)&gt;1,"重复","唯一"))</x:f>
        <x:v>唯一</x:v>
      </x:c>
      <x:c r="T147" s="63" t="str">
        <x:v>43c7fa3fa002c9e5a2ec27f04fedeefacee2f32f3a91cb232e98f080513e2f7b</x:v>
      </x:c>
      <x:c r="U147" s="63" t="str">
        <x:v>Codex</x:v>
      </x:c>
      <x:c r="V147" s="63" t="str">
        <x:v>2026-07-25</x:v>
      </x:c>
      <x:c r="W147" s="63" t="str">
        <x:v>原创程序几何</x:v>
      </x:c>
      <x:c r="X147" s="63" t="str">
        <x:v>胶囊防护体3D头部DIY变体；作为 CHR-PLY-CAPSULE01-3D 子变体，由 Player3D.set_avatar_customization() 驱动；不改玩法。手/挂点内收并在移动、换弹、射击、蓄力、击飞中保持同相；verify_player3d_diy_flow PASS ｜ PH33：适配方形猫四模块与feet槽；双眼/双耳/圆短尾保持父组件归属</x:v>
      </x:c>
    </x:row>
    <x:row r="148" ht="44" customHeight="1">
      <x:c r="A148" s="63" t="str">
        <x:v>CHR-PLY-CAPSULE01-HAND-DIY-3D</x:v>
      </x:c>
      <x:c r="B148" s="63" t="str">
        <x:v>胶囊防护体3D手部DIY变体</x:v>
      </x:c>
      <x:c r="C148" s="63" t="str">
        <x:v>角色</x:v>
      </x:c>
      <x:c r="D148" s="63" t="str">
        <x:v>player_variant</x:v>
      </x:c>
      <x:c r="E148" s="63" t="str">
        <x:v>player_capsule01</x:v>
      </x:c>
      <x:c r="F148" s="63" t="str">
        <x:v>hand_diy_3d</x:v>
      </x:c>
      <x:c r="G148" s="63" t="str">
        <x:v>CHR-PLY-CAPSULE01-HAND-3D</x:v>
      </x:c>
      <x:c r="H148" s="63" t="str">
        <x:v>俯视3D</x:v>
      </x:c>
      <x:c r="I148" s="63" t="str">
        <x:v>diy</x:v>
      </x:c>
      <x:c r="J148" s="63" t="str">
        <x:v>3D玩家/预览场</x:v>
      </x:c>
      <x:c r="K148" s="63" t="str">
        <x:v>原型已接入</x:v>
      </x:c>
      <x:c r="L148" s="63" t="str">
        <x:v>P1</x:v>
      </x:c>
      <x:c r="M148" s="63" t="str">
        <x:v>v001</x:v>
      </x:c>
      <x:c r="N148" s="63" t="str">
        <x:v>3种程序材质/抓握压缩</x:v>
      </x:c>
      <x:c r="O148" s="63" t="str">
        <x:v>src/player3d/PlayerAvatar3D.gd</x:v>
      </x:c>
      <x:c r="P148" s="63" t="str">
        <x:v>VisualRoot/Hand</x:v>
      </x:c>
      <x:c r="Q148" s="63" t="str">
        <x:v>唯一手;握持;DIY;橙色;青绿</x:v>
      </x:c>
      <x:c r="R148" s="63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63" t="str">
        <x:f>IF(A148="","",IF(COUNTIF($R$6:$R$155,R148)&gt;1,"重复","唯一"))</x:f>
        <x:v>唯一</x:v>
      </x:c>
      <x:c r="T148" s="63" t="str">
        <x:v>43c7fa3fa002c9e5a2ec27f04fedeefacee2f32f3a91cb232e98f080513e2f7b</x:v>
      </x:c>
      <x:c r="U148" s="63" t="str">
        <x:v>Codex</x:v>
      </x:c>
      <x:c r="V148" s="63" t="str">
        <x:v>2026-07-25</x:v>
      </x:c>
      <x:c r="W148" s="63" t="str">
        <x:v>原创程序几何</x:v>
      </x:c>
      <x:c r="X148" s="63" t="str">
        <x:v>胶囊防护体3D手部DIY变体；作为 CHR-PLY-CAPSULE01-3D 子变体，由 Player3D.set_avatar_customization() 驱动；不改玩法。手/挂点内收并在移动、换弹、射击、蓄力、击飞中保持同相；verify_player3d_diy_flow PASS ｜ PH33：适配方形猫四模块与feet槽；双眼/双耳/圆短尾保持父组件归属</x:v>
      </x:c>
    </x:row>
    <x:row r="149" ht="44" customHeight="1">
      <x:c r="A149" s="63" t="str">
        <x:v>CHR-PLY-CAPSULE01-HAT-DIY-3D</x:v>
      </x:c>
      <x:c r="B149" s="63" t="str">
        <x:v>胶囊防护体3D帽子DIY组件</x:v>
      </x:c>
      <x:c r="C149" s="63" t="str">
        <x:v>角色</x:v>
      </x:c>
      <x:c r="D149" s="63" t="str">
        <x:v>player_accessory</x:v>
      </x:c>
      <x:c r="E149" s="63" t="str">
        <x:v>player_capsule01</x:v>
      </x:c>
      <x:c r="F149" s="63" t="str">
        <x:v>hat_diy_3d</x:v>
      </x:c>
      <x:c r="G149" s="63" t="str">
        <x:v>CHR-PLY-CAPSULE01-HEAD-3D</x:v>
      </x:c>
      <x:c r="H149" s="63" t="str">
        <x:v>俯视3D</x:v>
      </x:c>
      <x:c r="I149" s="63" t="str">
        <x:v>diy</x:v>
      </x:c>
      <x:c r="J149" s="63" t="str">
        <x:v>3D玩家/预览场</x:v>
      </x:c>
      <x:c r="K149" s="63" t="str">
        <x:v>原型已接入</x:v>
      </x:c>
      <x:c r="L149" s="63" t="str">
        <x:v>P1</x:v>
      </x:c>
      <x:c r="M149" s="63" t="str">
        <x:v>v001</x:v>
      </x:c>
      <x:c r="N149" s="63" t="str">
        <x:v>软帽/安全帽/密封兜帽</x:v>
      </x:c>
      <x:c r="O149" s="63" t="str">
        <x:v>src/player3d/PlayerAvatar3D.gd</x:v>
      </x:c>
      <x:c r="P149" s="63" t="str">
        <x:v>VisualRoot/Head/Wearables</x:v>
      </x:c>
      <x:c r="Q149" s="63" t="str">
        <x:v>帽子;软帽;安全帽;兜帽;DIY</x:v>
      </x:c>
      <x:c r="R149" s="63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63" t="str">
        <x:f>IF(A149="","",IF(COUNTIF($R$6:$R$155,R149)&gt;1,"重复","唯一"))</x:f>
        <x:v>唯一</x:v>
      </x:c>
      <x:c r="T149" s="63" t="str">
        <x:v>43c7fa3fa002c9e5a2ec27f04fedeefacee2f32f3a91cb232e98f080513e2f7b</x:v>
      </x:c>
      <x:c r="U149" s="63" t="str">
        <x:v>Codex</x:v>
      </x:c>
      <x:c r="V149" s="63" t="str">
        <x:v>2026-07-25</x:v>
      </x:c>
      <x:c r="W149" s="63" t="str">
        <x:v>原创程序几何</x:v>
      </x:c>
      <x:c r="X149" s="63" t="str">
        <x:v>胶囊防护体3D帽子DIY组件；作为 CHR-PLY-CAPSULE01-3D 子变体，由 Player3D.set_avatar_customization() 驱动；不改玩法。手/挂点内收并在移动、换弹、射击、蓄力、击飞中保持同相；verify_player3d_diy_flow PASS ｜ PH32灯光修正：角色专用层2；禁用投影/GI，仅接收AvatarFrontFill，不遮挡头壳传感器或探照灯 ｜ PH33：适配方形猫四模块与feet槽；双眼/双耳/圆短尾保持父组件归属</x:v>
      </x:c>
    </x:row>
    <x:row r="150" ht="44" customHeight="1">
      <x:c r="A150" s="63" t="str">
        <x:v>CHR-PLY-CAPSULE01-GLASSES-DIY-3D</x:v>
      </x:c>
      <x:c r="B150" s="63" t="str">
        <x:v>胶囊防护体3D眼镜DIY组件</x:v>
      </x:c>
      <x:c r="C150" s="63" t="str">
        <x:v>角色</x:v>
      </x:c>
      <x:c r="D150" s="63" t="str">
        <x:v>player_accessory</x:v>
      </x:c>
      <x:c r="E150" s="63" t="str">
        <x:v>player_capsule01</x:v>
      </x:c>
      <x:c r="F150" s="63" t="str">
        <x:v>glasses_diy_3d</x:v>
      </x:c>
      <x:c r="G150" s="63" t="str">
        <x:v>CHR-PLY-CAPSULE01-HEAD-3D</x:v>
      </x:c>
      <x:c r="H150" s="63" t="str">
        <x:v>俯视3D</x:v>
      </x:c>
      <x:c r="I150" s="63" t="str">
        <x:v>diy</x:v>
      </x:c>
      <x:c r="J150" s="63" t="str">
        <x:v>3D玩家/预览场</x:v>
      </x:c>
      <x:c r="K150" s="63" t="str">
        <x:v>原型已接入</x:v>
      </x:c>
      <x:c r="L150" s="63" t="str">
        <x:v>P1</x:v>
      </x:c>
      <x:c r="M150" s="63" t="str">
        <x:v>v001</x:v>
      </x:c>
      <x:c r="N150" s="63" t="str">
        <x:v>单目镜/双目护镜/宽面护目镜</x:v>
      </x:c>
      <x:c r="O150" s="63" t="str">
        <x:v>src/player3d/PlayerAvatar3D.gd</x:v>
      </x:c>
      <x:c r="P150" s="63" t="str">
        <x:v>VisualRoot/Head/Wearables</x:v>
      </x:c>
      <x:c r="Q150" s="63" t="str">
        <x:v>眼镜;单目镜;护目镜;宽面护目镜;DIY</x:v>
      </x:c>
      <x:c r="R150" s="63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63" t="str">
        <x:f>IF(A150="","",IF(COUNTIF($R$6:$R$155,R150)&gt;1,"重复","唯一"))</x:f>
        <x:v>唯一</x:v>
      </x:c>
      <x:c r="T150" s="63" t="str">
        <x:v>43c7fa3fa002c9e5a2ec27f04fedeefacee2f32f3a91cb232e98f080513e2f7b</x:v>
      </x:c>
      <x:c r="U150" s="63" t="str">
        <x:v>Codex</x:v>
      </x:c>
      <x:c r="V150" s="63" t="str">
        <x:v>2026-07-25</x:v>
      </x:c>
      <x:c r="W150" s="63" t="str">
        <x:v>原创程序几何</x:v>
      </x:c>
      <x:c r="X150" s="63" t="str">
        <x:v>胶囊防护体3D眼镜DIY组件；作为 CHR-PLY-CAPSULE01-3D 子变体，由 Player3D.set_avatar_customization() 驱动；不改玩法。手/挂点内收并在移动、换弹、射击、蓄力、击飞中保持同相；verify_player3d_diy_flow PASS ｜ PH32灯光修正：角色专用层2；禁用投影/GI，仅接收AvatarFrontFill，不遮挡头壳传感器或探照灯 ｜ PH33：适配方形猫四模块与feet槽；双眼/双耳/圆短尾保持父组件归属</x:v>
      </x:c>
    </x:row>
    <x:row r="151" ht="44" customHeight="1">
      <x:c r="A151" s="63" t="str">
        <x:v>CHR-PLY-CAPSULE01-FOOT-3D</x:v>
      </x:c>
      <x:c r="B151" s="63" t="str">
        <x:v>方形猫角色3D脚部模块</x:v>
      </x:c>
      <x:c r="C151" s="63" t="str">
        <x:v>角色</x:v>
      </x:c>
      <x:c r="D151" s="63" t="str">
        <x:v>player</x:v>
      </x:c>
      <x:c r="E151" s="63" t="str">
        <x:v>player_capsule01</x:v>
      </x:c>
      <x:c r="F151" s="63" t="str">
        <x:v>feet_3d</x:v>
      </x:c>
      <x:c r="G151" s="63" t="str">
        <x:v>CHR-PLY-CAPSULE01-3D</x:v>
      </x:c>
      <x:c r="H151" s="63" t="str">
        <x:v>俯视3D</x:v>
      </x:c>
      <x:c r="I151" s="63" t="str">
        <x:v>default</x:v>
      </x:c>
      <x:c r="J151" s="63" t="str">
        <x:v>3D玩家/预览场</x:v>
      </x:c>
      <x:c r="K151" s="63" t="str">
        <x:v>原型已接入</x:v>
      </x:c>
      <x:c r="L151" s="63" t="str">
        <x:v>P1</x:v>
      </x:c>
      <x:c r="M151" s="63" t="str">
        <x:v>v001</x:v>
      </x:c>
      <x:c r="N151" s="63" t="str">
        <x:v>双BoxMesh短脚</x:v>
      </x:c>
      <x:c r="O151" s="63" t="str">
        <x:v>assets/art/characters/player/chr_player_capsule01_3d/chr_player_capsule01_root_top3d_v001.tscn</x:v>
      </x:c>
      <x:c r="P151" s="63" t="str">
        <x:v>VisualRoot/Feet</x:v>
      </x:c>
      <x:c r="Q151" s="63" t="str">
        <x:v>脚;脚部;双脚;方脚;猫脚</x:v>
      </x:c>
      <x:c r="R151" s="63" t="str">
        <x:f>LOWER(TRIM(C151)&amp;"|"&amp;TRIM(D151)&amp;"|"&amp;TRIM(E151)&amp;"|"&amp;TRIM(F151)&amp;"|"&amp;TRIM(H151)&amp;"|"&amp;TRIM(I151))</x:f>
        <x:v>角色|player|player_capsule01|feet_3d|俯视3d|default</x:v>
      </x:c>
      <x:c r="S151" s="63" t="str">
        <x:f>IF(A151="","",IF(COUNTIF($R$6:$R$155,R151)&gt;1,"重复","唯一"))</x:f>
        <x:v>唯一</x:v>
      </x:c>
      <x:c r="T151" s="63" t="str">
        <x:v>0a15194d68ecc0490ecd3910d2e51901a006ec6ac28e093e2aba48c6f67fec64</x:v>
      </x:c>
      <x:c r="U151" s="63" t="str">
        <x:v>Codex</x:v>
      </x:c>
      <x:c r="V151" s="63" t="str">
        <x:v>2026-07-25</x:v>
      </x:c>
      <x:c r="W151" s="63" t="str">
        <x:v>原创程序几何</x:v>
      </x:c>
      <x:c r="X151" s="63" t="str">
        <x:v>方形猫角色3D脚部模块；复用CHR-PLY-CAPSULE01-3D玩家根；方形主语言，TailStub为用户指定圆尾例外；自动与视觉验收PASS</x:v>
      </x:c>
    </x:row>
    <x:row r="152" ht="44" customHeight="1">
      <x:c r="A152" s="63" t="str">
        <x:v>CHR-PLY-CAPSULE01-EYES-3D</x:v>
      </x:c>
      <x:c r="B152" s="63" t="str">
        <x:v>方形猫角色3D双眼配件</x:v>
      </x:c>
      <x:c r="C152" s="63" t="str">
        <x:v>角色</x:v>
      </x:c>
      <x:c r="D152" s="63" t="str">
        <x:v>player_accessory</x:v>
      </x:c>
      <x:c r="E152" s="63" t="str">
        <x:v>player_capsule01</x:v>
      </x:c>
      <x:c r="F152" s="63" t="str">
        <x:v>eyes_3d</x:v>
      </x:c>
      <x:c r="G152" s="63" t="str">
        <x:v>CHR-PLY-CAPSULE01-HEAD-3D</x:v>
      </x:c>
      <x:c r="H152" s="63" t="str">
        <x:v>俯视3D</x:v>
      </x:c>
      <x:c r="I152" s="63" t="str">
        <x:v>default</x:v>
      </x:c>
      <x:c r="J152" s="63" t="str">
        <x:v>3D玩家/预览场</x:v>
      </x:c>
      <x:c r="K152" s="63" t="str">
        <x:v>原型已接入</x:v>
      </x:c>
      <x:c r="L152" s="63" t="str">
        <x:v>P1</x:v>
      </x:c>
      <x:c r="M152" s="63" t="str">
        <x:v>v001</x:v>
      </x:c>
      <x:c r="N152" s="63" t="str">
        <x:v>2个矩形豆豆眼</x:v>
      </x:c>
      <x:c r="O152" s="63" t="str">
        <x:v>assets/art/characters/player/chr_player_capsule01_3d/chr_player_capsule01_root_top3d_v001.tscn</x:v>
      </x:c>
      <x:c r="P152" s="63" t="str">
        <x:v>VisualRoot/Head/Eyes</x:v>
      </x:c>
      <x:c r="Q152" s="63" t="str">
        <x:v>眼睛;双眼;豆豆眼;矩形眼</x:v>
      </x:c>
      <x:c r="R152" s="63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63" t="str">
        <x:f>IF(A152="","",IF(COUNTIF($R$6:$R$155,R152)&gt;1,"重复","唯一"))</x:f>
        <x:v>唯一</x:v>
      </x:c>
      <x:c r="T152" s="63" t="str">
        <x:v>0a15194d68ecc0490ecd3910d2e51901a006ec6ac28e093e2aba48c6f67fec64</x:v>
      </x:c>
      <x:c r="U152" s="63" t="str">
        <x:v>Codex</x:v>
      </x:c>
      <x:c r="V152" s="63" t="str">
        <x:v>2026-07-25</x:v>
      </x:c>
      <x:c r="W152" s="63" t="str">
        <x:v>原创程序几何</x:v>
      </x:c>
      <x:c r="X152" s="63" t="str">
        <x:v>方形猫角色3D双眼配件；复用CHR-PLY-CAPSULE01-3D玩家根；方形主语言，TailStub为用户指定圆尾例外；自动与视觉验收PASS</x:v>
      </x:c>
    </x:row>
    <x:row r="153" ht="44" customHeight="1">
      <x:c r="A153" s="63" t="str">
        <x:v>CHR-PLY-CAPSULE01-EARS-3D</x:v>
      </x:c>
      <x:c r="B153" s="63" t="str">
        <x:v>方形猫角色3D双耳配件</x:v>
      </x:c>
      <x:c r="C153" s="63" t="str">
        <x:v>角色</x:v>
      </x:c>
      <x:c r="D153" s="63" t="str">
        <x:v>player_accessory</x:v>
      </x:c>
      <x:c r="E153" s="63" t="str">
        <x:v>player_capsule01</x:v>
      </x:c>
      <x:c r="F153" s="63" t="str">
        <x:v>ears_3d</x:v>
      </x:c>
      <x:c r="G153" s="63" t="str">
        <x:v>CHR-PLY-CAPSULE01-HEAD-3D</x:v>
      </x:c>
      <x:c r="H153" s="63" t="str">
        <x:v>俯视3D</x:v>
      </x:c>
      <x:c r="I153" s="63" t="str">
        <x:v>default</x:v>
      </x:c>
      <x:c r="J153" s="63" t="str">
        <x:v>3D玩家/预览场</x:v>
      </x:c>
      <x:c r="K153" s="63" t="str">
        <x:v>原型已接入</x:v>
      </x:c>
      <x:c r="L153" s="63" t="str">
        <x:v>P1</x:v>
      </x:c>
      <x:c r="M153" s="63" t="str">
        <x:v>v001</x:v>
      </x:c>
      <x:c r="N153" s="63" t="str">
        <x:v>2个三角耳</x:v>
      </x:c>
      <x:c r="O153" s="63" t="str">
        <x:v>assets/art/characters/player/chr_player_capsule01_3d/chr_player_capsule01_root_top3d_v001.tscn</x:v>
      </x:c>
      <x:c r="P153" s="63" t="str">
        <x:v>VisualRoot/Head/Ears</x:v>
      </x:c>
      <x:c r="Q153" s="63" t="str">
        <x:v>耳朵;双耳;猫耳;三角耳</x:v>
      </x:c>
      <x:c r="R153" s="63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63" t="str">
        <x:f>IF(A153="","",IF(COUNTIF($R$6:$R$155,R153)&gt;1,"重复","唯一"))</x:f>
        <x:v>唯一</x:v>
      </x:c>
      <x:c r="T153" s="63" t="str">
        <x:v>0a15194d68ecc0490ecd3910d2e51901a006ec6ac28e093e2aba48c6f67fec64</x:v>
      </x:c>
      <x:c r="U153" s="63" t="str">
        <x:v>Codex</x:v>
      </x:c>
      <x:c r="V153" s="63" t="str">
        <x:v>2026-07-25</x:v>
      </x:c>
      <x:c r="W153" s="63" t="str">
        <x:v>原创程序几何</x:v>
      </x:c>
      <x:c r="X153" s="63" t="str">
        <x:v>方形猫角色3D双耳配件；复用CHR-PLY-CAPSULE01-3D玩家根；方形主语言，TailStub为用户指定圆尾例外；自动与视觉验收PASS</x:v>
      </x:c>
    </x:row>
    <x:row r="154" ht="44" customHeight="1">
      <x:c r="A154" s="63" t="str">
        <x:v>CHR-PLY-CAPSULE01-TAIL-STUB-3D</x:v>
      </x:c>
      <x:c r="B154" s="63" t="str">
        <x:v>方形猫角色3D圆短尾</x:v>
      </x:c>
      <x:c r="C154" s="63" t="str">
        <x:v>角色</x:v>
      </x:c>
      <x:c r="D154" s="63" t="str">
        <x:v>player_accessory</x:v>
      </x:c>
      <x:c r="E154" s="63" t="str">
        <x:v>player_capsule01</x:v>
      </x:c>
      <x:c r="F154" s="63" t="str">
        <x:v>tail_stub_3d</x:v>
      </x:c>
      <x:c r="G154" s="63" t="str">
        <x:v>CHR-PLY-CAPSULE01-BODY-3D</x:v>
      </x:c>
      <x:c r="H154" s="63" t="str">
        <x:v>俯视3D</x:v>
      </x:c>
      <x:c r="I154" s="63" t="str">
        <x:v>default</x:v>
      </x:c>
      <x:c r="J154" s="63" t="str">
        <x:v>3D玩家/预览场</x:v>
      </x:c>
      <x:c r="K154" s="63" t="str">
        <x:v>原型已接入</x:v>
      </x:c>
      <x:c r="L154" s="63" t="str">
        <x:v>P1</x:v>
      </x:c>
      <x:c r="M154" s="63" t="str">
        <x:v>v001</x:v>
      </x:c>
      <x:c r="N154" s="63" t="str">
        <x:v>单个SphereMesh圆尾团</x:v>
      </x:c>
      <x:c r="O154" s="63" t="str">
        <x:v>assets/art/characters/player/chr_player_capsule01_3d/chr_player_capsule01_root_top3d_v001.tscn</x:v>
      </x:c>
      <x:c r="P154" s="63" t="str">
        <x:v>VisualRoot/Body/TailStub</x:v>
      </x:c>
      <x:c r="Q154" s="63" t="str">
        <x:v>尾巴;短尾;圆尾;尾团;无长尾</x:v>
      </x:c>
      <x:c r="R154" s="63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63" t="str">
        <x:f>IF(A154="","",IF(COUNTIF($R$6:$R$155,R154)&gt;1,"重复","唯一"))</x:f>
        <x:v>唯一</x:v>
      </x:c>
      <x:c r="T154" s="63" t="str">
        <x:v>0a15194d68ecc0490ecd3910d2e51901a006ec6ac28e093e2aba48c6f67fec64</x:v>
      </x:c>
      <x:c r="U154" s="63" t="str">
        <x:v>Codex</x:v>
      </x:c>
      <x:c r="V154" s="63" t="str">
        <x:v>2026-07-25</x:v>
      </x:c>
      <x:c r="W154" s="63" t="str">
        <x:v>原创程序几何</x:v>
      </x:c>
      <x:c r="X154" s="63" t="str">
        <x:v>方形猫角色3D圆短尾；复用CHR-PLY-CAPSULE01-3D玩家根；方形主语言，TailStub为用户指定圆尾例外；自动与视觉验收PASS</x:v>
      </x:c>
    </x:row>
    <x:row r="155" ht="44" customHeight="1">
      <x:c r="A155" s="63" t="str">
        <x:v>CHR-PLY-CAPSULE01-FEET-DIY-3D</x:v>
      </x:c>
      <x:c r="B155" s="63" t="str">
        <x:v>方形猫角色3D脚部DIY变体</x:v>
      </x:c>
      <x:c r="C155" s="63" t="str">
        <x:v>角色</x:v>
      </x:c>
      <x:c r="D155" s="63" t="str">
        <x:v>player_variant</x:v>
      </x:c>
      <x:c r="E155" s="63" t="str">
        <x:v>player_capsule01</x:v>
      </x:c>
      <x:c r="F155" s="63" t="str">
        <x:v>feet_diy_3d</x:v>
      </x:c>
      <x:c r="G155" s="63" t="str">
        <x:v>CHR-PLY-CAPSULE01-FOOT-3D</x:v>
      </x:c>
      <x:c r="H155" s="63" t="str">
        <x:v>俯视3D</x:v>
      </x:c>
      <x:c r="I155" s="63" t="str">
        <x:v>diy</x:v>
      </x:c>
      <x:c r="J155" s="63" t="str">
        <x:v>3D玩家/预览场</x:v>
      </x:c>
      <x:c r="K155" s="63" t="str">
        <x:v>原型已接入</x:v>
      </x:c>
      <x:c r="L155" s="63" t="str">
        <x:v>P1</x:v>
      </x:c>
      <x:c r="M155" s="63" t="str">
        <x:v>v001</x:v>
      </x:c>
      <x:c r="N155" s="63" t="str">
        <x:v>4种程序材质</x:v>
      </x:c>
      <x:c r="O155" s="63" t="str">
        <x:v>src/player3d/PlayerAvatar3D.gd</x:v>
      </x:c>
      <x:c r="P155" s="63" t="str">
        <x:v>VisualRoot/Feet</x:v>
      </x:c>
      <x:c r="Q155" s="63" t="str">
        <x:v>脚部DIY;猫脚;短靴;橙色;沙色;钴蓝;青绿</x:v>
      </x:c>
      <x:c r="R155" s="63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63" t="str">
        <x:f>IF(A155="","",IF(COUNTIF($R$6:$R$155,R155)&gt;1,"重复","唯一"))</x:f>
        <x:v>唯一</x:v>
      </x:c>
      <x:c r="T155" s="63" t="str">
        <x:v>43c7fa3fa002c9e5a2ec27f04fedeefacee2f32f3a91cb232e98f080513e2f7b</x:v>
      </x:c>
      <x:c r="U155" s="63" t="str">
        <x:v>Codex</x:v>
      </x:c>
      <x:c r="V155" s="63" t="str">
        <x:v>2026-07-25</x:v>
      </x:c>
      <x:c r="W155" s="63" t="str">
        <x:v>原创程序几何</x:v>
      </x:c>
      <x:c r="X155" s="63" t="str">
        <x:v>方形猫角色3D脚部DIY变体；复用CHR-PLY-CAPSULE01-3D玩家根；方形主语言，TailStub为用户指定圆尾例外；自动与视觉验收PASS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ff6c904d8a485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30" hidden="0" customWidth="1"/>
    <x:col min="4" max="4" width="15" hidden="0" customWidth="1"/>
    <x:col min="5" max="5" width="52" hidden="0" customWidth="1"/>
    <x:col min="6" max="6" width="14" hidden="0" customWidth="1"/>
    <x:col min="7" max="7" width="14" hidden="0" customWidth="1"/>
    <x:col min="8" max="8" width="19" hidden="0" customWidth="1"/>
    <x:col min="9" max="9" width="6" hidden="0" customWidth="1"/>
    <x:col min="10" max="10" width="30" hidden="0" customWidth="1"/>
    <x:col min="11" max="11" width="20" hidden="0" customWidth="1"/>
    <x:col min="12" max="12" width="8" hidden="0" customWidth="1"/>
    <x:col min="13" max="13" width="36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无腿、无脚、无手臂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红色识别色；可换其他颈部配件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单传感器，无人脸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单手方案不进入运行时；替代项为 hand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手读取身体左右朝向，不读取准星连续角度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逻辑挂点无 PNG；垂直瞄准沿用上次左右朝向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  <x:row r="14" ht="38" customHeight="1">
      <x:c r="A14" s="63" t="str">
        <x:v>player_capsule01_3d</x:v>
      </x:c>
      <x:c r="B14" s="63" t="str">
        <x:v>root</x:v>
      </x:c>
      <x:c r="C14" s="63" t="str">
        <x:v>Avatar3D/CapsuleAvatar3D/VisualRoot</x:v>
      </x:c>
      <x:c r="D14" s="63" t="str">
        <x:v>player_root</x:v>
      </x:c>
      <x:c r="E14" s="63" t="str">
        <x:v>assets/art/characters/player/chr_player_capsule01_3d/chr_player_capsule01_root_top3d_v001.tscn</x:v>
      </x:c>
      <x:c r="F14" s="63" t="str">
        <x:v>Node3D</x:v>
      </x:c>
      <x:c r="G14" s="63" t="str">
        <x:v>(0,0,0)</x:v>
      </x:c>
      <x:c r="H14" s="63" t="str">
        <x:v>整体随准星绕Y轴</x:v>
      </x:c>
      <x:c r="I14" s="63" t="n">
        <x:v>0</x:v>
      </x:c>
      <x:c r="J14" s="63" t="str">
        <x:v>六态整体 + reloading/firing/charging/knockback覆盖</x:v>
      </x:c>
      <x:c r="K14" s="63" t="str">
        <x:v>3D表现根</x:v>
      </x:c>
      <x:c r="L14" s="63" t="str">
        <x:v>是</x:v>
      </x:c>
      <x:c r="M14" s="63" t="str">
        <x:v>四主模块：Body/Head/Hand/Feet；2D旧胶囊不在本次迁移范围</x:v>
      </x:c>
    </x:row>
    <x:row r="15" ht="38" customHeight="1">
      <x:c r="A15" s="63" t="str">
        <x:v>player_capsule01_3d</x:v>
      </x:c>
      <x:c r="B15" s="63" t="str">
        <x:v>body</x:v>
      </x:c>
      <x:c r="C15" s="63" t="str">
        <x:v>VisualRoot/Body</x:v>
      </x:c>
      <x:c r="D15" s="63" t="str">
        <x:v>root</x:v>
      </x:c>
      <x:c r="E15" s="63" t="str">
        <x:v>assets/art/characters/player/chr_player_capsule01_3d/chr_player_capsule01_root_top3d_v001.tscn</x:v>
      </x:c>
      <x:c r="F15" s="63" t="str">
        <x:v>BoxMesh + 子件</x:v>
      </x:c>
      <x:c r="G15" s="63" t="str">
        <x:v>(0,0.76,0.02)</x:v>
      </x:c>
      <x:c r="H15" s="63" t="str">
        <x:v>随root</x:v>
      </x:c>
      <x:c r="I15" s="63" t="n">
        <x:v>1</x:v>
      </x:c>
      <x:c r="J15" s="63" t="str">
        <x:v>呼吸/移动压缩/射击前探/死亡倾倒</x:v>
      </x:c>
      <x:c r="K15" s="63" t="str">
        <x:v>方形猫身</x:v>
      </x:c>
      <x:c r="L15" s="63" t="str">
        <x:v>是</x:v>
      </x:c>
      <x:c r="M15" s="63" t="str">
        <x:v>BodyShell + BellyPatch；方形主轮廓</x:v>
      </x:c>
    </x:row>
    <x:row r="16" ht="38" customHeight="1">
      <x:c r="A16" s="63" t="str">
        <x:v>player_capsule01_3d</x:v>
      </x:c>
      <x:c r="B16" s="63" t="str">
        <x:v>head</x:v>
      </x:c>
      <x:c r="C16" s="63" t="str">
        <x:v>VisualRoot/Head</x:v>
      </x:c>
      <x:c r="D16" s="63" t="str">
        <x:v>root</x:v>
      </x:c>
      <x:c r="E16" s="63" t="str">
        <x:v>assets/art/characters/player/chr_player_capsule01_3d/chr_player_capsule01_root_top3d_v001.tscn</x:v>
      </x:c>
      <x:c r="F16" s="63" t="str">
        <x:v>BoxMesh + 子件</x:v>
      </x:c>
      <x:c r="G16" s="63" t="str">
        <x:v>(0,1.72,-0.08)</x:v>
      </x:c>
      <x:c r="H16" s="63" t="str">
        <x:v>随root</x:v>
      </x:c>
      <x:c r="I16" s="63" t="n">
        <x:v>3</x:v>
      </x:c>
      <x:c r="J16" s="63" t="str">
        <x:v>移动反相滞后/后坐/受击/死亡</x:v>
      </x:c>
      <x:c r="K16" s="63" t="str">
        <x:v>方形猫头</x:v>
      </x:c>
      <x:c r="L16" s="63" t="str">
        <x:v>是</x:v>
      </x:c>
      <x:c r="M16" s="63" t="str">
        <x:v>无嘴无鼻；Eyes与Ears固定归Head</x:v>
      </x:c>
    </x:row>
    <x:row r="17" ht="38" customHeight="1">
      <x:c r="A17" s="63" t="str">
        <x:v>player_capsule01_3d</x:v>
      </x:c>
      <x:c r="B17" s="63" t="str">
        <x:v>hand</x:v>
      </x:c>
      <x:c r="C17" s="63" t="str">
        <x:v>VisualRoot/Hand</x:v>
      </x:c>
      <x:c r="D17" s="63" t="str">
        <x:v>root</x:v>
      </x:c>
      <x:c r="E17" s="63" t="str">
        <x:v>assets/art/characters/player/chr_player_capsule01_3d/chr_player_capsule01_root_top3d_v001.tscn</x:v>
      </x:c>
      <x:c r="F17" s="63" t="str">
        <x:v>BoxMesh</x:v>
      </x:c>
      <x:c r="G17" s="63" t="str">
        <x:v>(0.60,1.10,-0.30)</x:v>
      </x:c>
      <x:c r="H17" s="63" t="str">
        <x:v>随root；动作同相</x:v>
      </x:c>
      <x:c r="I17" s="63" t="n">
        <x:v>4</x:v>
      </x:c>
      <x:c r="J17" s="63" t="str">
        <x:v>移动/换弹/射击/蓄力/击飞保持握持</x:v>
      </x:c>
      <x:c r="K17" s="63" t="str">
        <x:v>唯一悬浮手</x:v>
      </x:c>
      <x:c r="L17" s="63" t="str">
        <x:v>是</x:v>
      </x:c>
      <x:c r="M17" s="63" t="str">
        <x:v>无手臂、无第二手；与WeaponSocket固定相对向量</x:v>
      </x:c>
    </x:row>
    <x:row r="18" ht="38" customHeight="1">
      <x:c r="A18" s="63" t="str">
        <x:v>player_capsule01_3d</x:v>
      </x:c>
      <x:c r="B18" s="63" t="str">
        <x:v>feet</x:v>
      </x:c>
      <x:c r="C18" s="63" t="str">
        <x:v>VisualRoot/Feet</x:v>
      </x:c>
      <x:c r="D18" s="63" t="str">
        <x:v>root</x:v>
      </x:c>
      <x:c r="E18" s="63" t="str">
        <x:v>assets/art/characters/player/chr_player_capsule01_3d/chr_player_capsule01_root_top3d_v001.tscn</x:v>
      </x:c>
      <x:c r="F18" s="63" t="str">
        <x:v>BoxMesh×2</x:v>
      </x:c>
      <x:c r="G18" s="63" t="str">
        <x:v>(0,0.22,-0.02)</x:v>
      </x:c>
      <x:c r="H18" s="63" t="str">
        <x:v>随root；FootL/R交替</x:v>
      </x:c>
      <x:c r="I18" s="63" t="n">
        <x:v>1</x:v>
      </x:c>
      <x:c r="J18" s="63" t="str">
        <x:v>moving交替抬脚；冲刺/受击/死亡随整体</x:v>
      </x:c>
      <x:c r="K18" s="63" t="str">
        <x:v>双脚主模块</x:v>
      </x:c>
      <x:c r="L18" s="63" t="str">
        <x:v>是</x:v>
      </x:c>
      <x:c r="M18" s="63" t="str">
        <x:v>FootL/FootR属于同一可替换Feet模块</x:v>
      </x:c>
    </x:row>
    <x:row r="19" ht="38" customHeight="1">
      <x:c r="A19" s="63" t="str">
        <x:v>player_capsule01_3d</x:v>
      </x:c>
      <x:c r="B19" s="63" t="str">
        <x:v>eyes</x:v>
      </x:c>
      <x:c r="C19" s="63" t="str">
        <x:v>VisualRoot/Head/Eyes</x:v>
      </x:c>
      <x:c r="D19" s="63" t="str">
        <x:v>head</x:v>
      </x:c>
      <x:c r="E19" s="63" t="str">
        <x:v>assets/art/characters/player/chr_player_capsule01_3d/chr_player_capsule01_root_top3d_v001.tscn</x:v>
      </x:c>
      <x:c r="F19" s="63" t="str">
        <x:v>BoxMesh×2</x:v>
      </x:c>
      <x:c r="G19" s="63" t="str">
        <x:v>(0,-0.03,-0.56)</x:v>
      </x:c>
      <x:c r="H19" s="63" t="str">
        <x:v>继承Head</x:v>
      </x:c>
      <x:c r="I19" s="63" t="n">
        <x:v>4</x:v>
      </x:c>
      <x:c r="J19" s="63" t="str">
        <x:v>随头部滞后/后坐/受击</x:v>
      </x:c>
      <x:c r="K19" s="63" t="str">
        <x:v>面部配件</x:v>
      </x:c>
      <x:c r="L19" s="63" t="str">
        <x:v>是</x:v>
      </x:c>
      <x:c r="M19" s="63" t="str">
        <x:v>EyeL/EyeR；深色窄矩形豆豆眼；无嘴</x:v>
      </x:c>
    </x:row>
    <x:row r="20" ht="38" customHeight="1">
      <x:c r="A20" s="63" t="str">
        <x:v>player_capsule01_3d</x:v>
      </x:c>
      <x:c r="B20" s="63" t="str">
        <x:v>ears</x:v>
      </x:c>
      <x:c r="C20" s="63" t="str">
        <x:v>VisualRoot/Head/Ears</x:v>
      </x:c>
      <x:c r="D20" s="63" t="str">
        <x:v>head</x:v>
      </x:c>
      <x:c r="E20" s="63" t="str">
        <x:v>assets/art/characters/player/chr_player_capsule01_3d/chr_player_capsule01_root_top3d_v001.tscn</x:v>
      </x:c>
      <x:c r="F20" s="63" t="str">
        <x:v>三边CylinderMesh×4</x:v>
      </x:c>
      <x:c r="G20" s="63" t="str">
        <x:v>沿Head顶部</x:v>
      </x:c>
      <x:c r="H20" s="63" t="str">
        <x:v>继承Head</x:v>
      </x:c>
      <x:c r="I20" s="63" t="n">
        <x:v>4</x:v>
      </x:c>
      <x:c r="J20" s="63" t="str">
        <x:v>随头部滞后/后坐/受击</x:v>
      </x:c>
      <x:c r="K20" s="63" t="str">
        <x:v>头部配件</x:v>
      </x:c>
      <x:c r="L20" s="63" t="str">
        <x:v>是</x:v>
      </x:c>
      <x:c r="M20" s="63" t="str">
        <x:v>EarL/EarR各含Inner；三角形语言</x:v>
      </x:c>
    </x:row>
    <x:row r="21" ht="38" customHeight="1">
      <x:c r="A21" s="63" t="str">
        <x:v>player_capsule01_3d</x:v>
      </x:c>
      <x:c r="B21" s="63" t="str">
        <x:v>tail_stub</x:v>
      </x:c>
      <x:c r="C21" s="63" t="str">
        <x:v>VisualRoot/Body/TailStub</x:v>
      </x:c>
      <x:c r="D21" s="63" t="str">
        <x:v>body</x:v>
      </x:c>
      <x:c r="E21" s="63" t="str">
        <x:v>assets/art/characters/player/chr_player_capsule01_3d/chr_player_capsule01_root_top3d_v001.tscn</x:v>
      </x:c>
      <x:c r="F21" s="63" t="str">
        <x:v>SphereMesh</x:v>
      </x:c>
      <x:c r="G21" s="63" t="str">
        <x:v>(-0.51,-0.02,0.24)</x:v>
      </x:c>
      <x:c r="H21" s="63" t="str">
        <x:v>继承Body + 轻摆</x:v>
      </x:c>
      <x:c r="I21" s="63" t="n">
        <x:v>2</x:v>
      </x:c>
      <x:c r="J21" s="63" t="str">
        <x:v>moving轻摆/弹性缩放</x:v>
      </x:c>
      <x:c r="K21" s="63" t="str">
        <x:v>身体配件</x:v>
      </x:c>
      <x:c r="L21" s="63" t="str">
        <x:v>是</x:v>
      </x:c>
      <x:c r="M21" s="63" t="str">
        <x:v>唯一圆形例外；短圆尾团，禁止长尾</x:v>
      </x:c>
    </x:row>
    <x:row r="22" ht="38" customHeight="1">
      <x:c r="A22" s="63" t="str">
        <x:v>player_capsule01_3d</x:v>
      </x:c>
      <x:c r="B22" s="63" t="str">
        <x:v>weapon_socket</x:v>
      </x:c>
      <x:c r="C22" s="63" t="str">
        <x:v>VisualRoot/WeaponSocket</x:v>
      </x:c>
      <x:c r="D22" s="63" t="str">
        <x:v>root</x:v>
      </x:c>
      <x:c r="E22" s="63" t="str">
        <x:v>无纹理</x:v>
      </x:c>
      <x:c r="F22" s="63" t="str">
        <x:v>Marker3D</x:v>
      </x:c>
      <x:c r="G22" s="63" t="str">
        <x:v>(0.60,1.15,-0.42)</x:v>
      </x:c>
      <x:c r="H22" s="63" t="str">
        <x:v>随root；动作同相</x:v>
      </x:c>
      <x:c r="I22" s="63" t="n">
        <x:v>5</x:v>
      </x:c>
      <x:c r="J22" s="63" t="str">
        <x:v>枪械挂载/枪口特效</x:v>
      </x:c>
      <x:c r="K22" s="63" t="str">
        <x:v>武器系统</x:v>
      </x:c>
      <x:c r="L22" s="63" t="str">
        <x:v>是</x:v>
      </x:c>
      <x:c r="M22" s="63" t="str">
        <x:v>与唯一手全动作固定局部关系；枪模layer 2</x:v>
      </x:c>
    </x:row>
    <x:row r="23" ht="38" customHeight="1">
      <x:c r="A23" s="63" t="str">
        <x:v>player_capsule01_3d</x:v>
      </x:c>
      <x:c r="B23" s="63" t="str">
        <x:v>reload_progress</x:v>
      </x:c>
      <x:c r="C23" s="63" t="str">
        <x:v>ReloadProgress3D</x:v>
      </x:c>
      <x:c r="D23" s="63" t="str">
        <x:v>player_root</x:v>
      </x:c>
      <x:c r="E23" s="63" t="str">
        <x:v>assets/art/characters/player/chr_player_capsule01_3d/chr_player_capsule01_root_top3d_v001.tscn</x:v>
      </x:c>
      <x:c r="F23" s="63" t="str">
        <x:v>QuadMesh×2</x:v>
      </x:c>
      <x:c r="G23" s="63" t="str">
        <x:v>(0,2.92,0.06)</x:v>
      </x:c>
      <x:c r="H23" s="63" t="str">
        <x:v>朝向相机；不随VisualRoot旋转</x:v>
      </x:c>
      <x:c r="I23" s="63" t="n">
        <x:v>6</x:v>
      </x:c>
      <x:c r="J23" s="63" t="str">
        <x:v>读取真实换弹进度</x:v>
      </x:c>
      <x:c r="K23" s="63" t="str">
        <x:v>状态UI子组件</x:v>
      </x:c>
      <x:c r="L23" s="63" t="str">
        <x:v>是</x:v>
      </x:c>
      <x:c r="M23" s="63" t="str">
        <x:v>高于猫耳；无独立计时器/SubViewport</x:v>
      </x:c>
    </x:row>
    <x:row r="24" ht="38" customHeight="1">
      <x:c r="A24" s="63" t="str">
        <x:v>player_capsule01_3d</x:v>
      </x:c>
      <x:c r="B24" s="63" t="str">
        <x:v>body_diy</x:v>
      </x:c>
      <x:c r="C24" s="63" t="str">
        <x:v>VisualRoot/Body</x:v>
      </x:c>
      <x:c r="D24" s="63" t="str">
        <x:v>root</x:v>
      </x:c>
      <x:c r="E24" s="63" t="str">
        <x:v>无独立纹理/程序材质</x:v>
      </x:c>
      <x:c r="F24" s="63" t="str">
        <x:v>4种配色</x:v>
      </x:c>
      <x:c r="G24" s="63" t="str">
        <x:v>沿Body</x:v>
      </x:c>
      <x:c r="H24" s="63" t="str">
        <x:v>随root</x:v>
      </x:c>
      <x:c r="I24" s="63" t="n">
        <x:v>1</x:v>
      </x:c>
      <x:c r="J24" s="63" t="str">
        <x:v>继承身体动态</x:v>
      </x:c>
      <x:c r="K24" s="63" t="str">
        <x:v>身体外观</x:v>
      </x:c>
      <x:c r="L24" s="63" t="str">
        <x:v>是</x:v>
      </x:c>
      <x:c r="M24" s="63" t="str">
        <x:v>cat_orange + 旧三色兼容</x:v>
      </x:c>
    </x:row>
    <x:row r="25" ht="38" customHeight="1">
      <x:c r="A25" s="63" t="str">
        <x:v>player_capsule01_3d</x:v>
      </x:c>
      <x:c r="B25" s="63" t="str">
        <x:v>head_diy</x:v>
      </x:c>
      <x:c r="C25" s="63" t="str">
        <x:v>VisualRoot/Head</x:v>
      </x:c>
      <x:c r="D25" s="63" t="str">
        <x:v>root</x:v>
      </x:c>
      <x:c r="E25" s="63" t="str">
        <x:v>无独立纹理/程序材质</x:v>
      </x:c>
      <x:c r="F25" s="63" t="str">
        <x:v>4种配色</x:v>
      </x:c>
      <x:c r="G25" s="63" t="str">
        <x:v>沿Head</x:v>
      </x:c>
      <x:c r="H25" s="63" t="str">
        <x:v>随root</x:v>
      </x:c>
      <x:c r="I25" s="63" t="n">
        <x:v>3</x:v>
      </x:c>
      <x:c r="J25" s="63" t="str">
        <x:v>继承头部动态</x:v>
      </x:c>
      <x:c r="K25" s="63" t="str">
        <x:v>头部外观</x:v>
      </x:c>
      <x:c r="L25" s="63" t="str">
        <x:v>是</x:v>
      </x:c>
      <x:c r="M25" s="63" t="str">
        <x:v>cat_orange + 旧三色兼容；双眼/双耳节点不变</x:v>
      </x:c>
    </x:row>
    <x:row r="26" ht="38" customHeight="1">
      <x:c r="A26" s="63" t="str">
        <x:v>player_capsule01_3d</x:v>
      </x:c>
      <x:c r="B26" s="63" t="str">
        <x:v>hand_diy</x:v>
      </x:c>
      <x:c r="C26" s="63" t="str">
        <x:v>VisualRoot/Hand</x:v>
      </x:c>
      <x:c r="D26" s="63" t="str">
        <x:v>root</x:v>
      </x:c>
      <x:c r="E26" s="63" t="str">
        <x:v>无独立纹理/程序材质</x:v>
      </x:c>
      <x:c r="F26" s="63" t="str">
        <x:v>4种配色</x:v>
      </x:c>
      <x:c r="G26" s="63" t="str">
        <x:v>(0.60,1.10,-0.30)</x:v>
      </x:c>
      <x:c r="H26" s="63" t="str">
        <x:v>随root+同相动作</x:v>
      </x:c>
      <x:c r="I26" s="63" t="n">
        <x:v>4</x:v>
      </x:c>
      <x:c r="J26" s="63" t="str">
        <x:v>抓握压缩；与socket同相</x:v>
      </x:c>
      <x:c r="K26" s="63" t="str">
        <x:v>唯一手外观</x:v>
      </x:c>
      <x:c r="L26" s="63" t="str">
        <x:v>是</x:v>
      </x:c>
      <x:c r="M26" s="63" t="str">
        <x:v>cat_orange + 旧三色兼容</x:v>
      </x:c>
    </x:row>
    <x:row r="27" ht="38" customHeight="1">
      <x:c r="A27" s="63" t="str">
        <x:v>player_capsule01_3d</x:v>
      </x:c>
      <x:c r="B27" s="63" t="str">
        <x:v>feet_diy</x:v>
      </x:c>
      <x:c r="C27" s="63" t="str">
        <x:v>VisualRoot/Feet</x:v>
      </x:c>
      <x:c r="D27" s="63" t="str">
        <x:v>root</x:v>
      </x:c>
      <x:c r="E27" s="63" t="str">
        <x:v>无独立纹理/程序材质</x:v>
      </x:c>
      <x:c r="F27" s="63" t="str">
        <x:v>4种配色</x:v>
      </x:c>
      <x:c r="G27" s="63" t="str">
        <x:v>沿Feet</x:v>
      </x:c>
      <x:c r="H27" s="63" t="str">
        <x:v>随root+交替步态</x:v>
      </x:c>
      <x:c r="I27" s="63" t="n">
        <x:v>1</x:v>
      </x:c>
      <x:c r="J27" s="63" t="str">
        <x:v>FootL/R交替抬起</x:v>
      </x:c>
      <x:c r="K27" s="63" t="str">
        <x:v>脚部外观</x:v>
      </x:c>
      <x:c r="L27" s="63" t="str">
        <x:v>是</x:v>
      </x:c>
      <x:c r="M27" s="63" t="str">
        <x:v>cat_orange / boot_sand / boot_cobalt / boot_teal</x:v>
      </x:c>
    </x:row>
    <x:row r="28" ht="38" customHeight="1">
      <x:c r="A28" s="63" t="str">
        <x:v>player_capsule01_3d</x:v>
      </x:c>
      <x:c r="B28" s="63" t="str">
        <x:v>hat</x:v>
      </x:c>
      <x:c r="C28" s="63" t="str">
        <x:v>VisualRoot/Head/Wearables/Hat*</x:v>
      </x:c>
      <x:c r="D28" s="63" t="str">
        <x:v>head</x:v>
      </x:c>
      <x:c r="E28" s="63" t="str">
        <x:v>无独立纹理/程序网格</x:v>
      </x:c>
      <x:c r="F28" s="63" t="str">
        <x:v>3种帽型</x:v>
      </x:c>
      <x:c r="G28" s="63" t="str">
        <x:v>沿Head</x:v>
      </x:c>
      <x:c r="H28" s="63" t="str">
        <x:v>继承Head</x:v>
      </x:c>
      <x:c r="I28" s="63" t="n">
        <x:v>5</x:v>
      </x:c>
      <x:c r="J28" s="63" t="str">
        <x:v>头部滞后/受击/死亡</x:v>
      </x:c>
      <x:c r="K28" s="63" t="str">
        <x:v>头部外戴件</x:v>
      </x:c>
      <x:c r="L28" s="63" t="str">
        <x:v>否</x:v>
      </x:c>
      <x:c r="M28" s="63" t="str">
        <x:v>可选；layer2，禁投影/GI；不得替代猫耳节点</x:v>
      </x:c>
    </x:row>
    <x:row r="29" ht="38" customHeight="1">
      <x:c r="A29" s="63" t="str">
        <x:v>player_capsule01_3d</x:v>
      </x:c>
      <x:c r="B29" s="63" t="str">
        <x:v>glasses</x:v>
      </x:c>
      <x:c r="C29" s="63" t="str">
        <x:v>VisualRoot/Head/Wearables/Glasses*</x:v>
      </x:c>
      <x:c r="D29" s="63" t="str">
        <x:v>head</x:v>
      </x:c>
      <x:c r="E29" s="63" t="str">
        <x:v>无独立纹理/程序网格</x:v>
      </x:c>
      <x:c r="F29" s="63" t="str">
        <x:v>3种护目件</x:v>
      </x:c>
      <x:c r="G29" s="63" t="str">
        <x:v>沿Head前侧</x:v>
      </x:c>
      <x:c r="H29" s="63" t="str">
        <x:v>继承Head</x:v>
      </x:c>
      <x:c r="I29" s="63" t="n">
        <x:v>5</x:v>
      </x:c>
      <x:c r="J29" s="63" t="str">
        <x:v>头部滞后/受击/死亡</x:v>
      </x:c>
      <x:c r="K29" s="63" t="str">
        <x:v>护目件</x:v>
      </x:c>
      <x:c r="L29" s="63" t="str">
        <x:v>否</x:v>
      </x:c>
      <x:c r="M29" s="63" t="str">
        <x:v>可选；layer2，禁投影/GI；不得替代双眼节点</x:v>
      </x:c>
    </x:row>
    <x:row r="30" ht="38" customHeight="1">
      <x:c r="A30" s="63" t="str">
        <x:v>player_capsule01_3d</x:v>
      </x:c>
      <x:c r="B30" s="63" t="str">
        <x:v>scarf_legacy</x:v>
      </x:c>
      <x:c r="C30" s="63" t="str">
        <x:v>VisualRoot/Scarf</x:v>
      </x:c>
      <x:c r="D30" s="63" t="str">
        <x:v>root</x:v>
      </x:c>
      <x:c r="E30" s="63" t="str">
        <x:v>assets/art/characters/player/chr_player_capsule01_3d/chr_player_capsule01_root_top3d_v001.tscn</x:v>
      </x:c>
      <x:c r="F30" s="63" t="str">
        <x:v>隐藏兼容节点</x:v>
      </x:c>
      <x:c r="G30" s="63" t="str">
        <x:v>(0,1.32,0)</x:v>
      </x:c>
      <x:c r="H30" s="63" t="str">
        <x:v>随root</x:v>
      </x:c>
      <x:c r="I30" s="63" t="n">
        <x:v>2</x:v>
      </x:c>
      <x:c r="J30" s="63" t="str">
        <x:v>不参与当前轮廓</x:v>
      </x:c>
      <x:c r="K30" s="63" t="str">
        <x:v>旧场景兼容</x:v>
      </x:c>
      <x:c r="L30" s="63" t="str">
        <x:v>否</x:v>
      </x:c>
      <x:c r="M30" s="63" t="str">
        <x:v>默认visible=false；不计入四主模块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4" hidden="0" customWidth="1"/>
    <x:col min="12" max="12" width="34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23" customHeight="1">
      <x:c r="A3" s="6" t="str">
        <x:v>2D/3D 共用六态 ID 与转换白名单；Low HP / Silenced / Invincible / Reloading / Firing / Charging / Knockback 为叠加层。武器与命中是唯一动作来源，新增动画前先查本表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L（停用）</x:v>
      </x:c>
      <x:c r="I5" s="29" t="str">
        <x:v>Hand（握持）</x:v>
      </x:c>
      <x:c r="J5" s="29" t="str">
        <x:v>Scarf</x:v>
      </x:c>
      <x:c r="K5" s="29" t="str">
        <x:v>VFX/UI</x:v>
      </x:c>
      <x:c r="L5" s="30" t="str">
        <x:v>首版实现</x:v>
      </x:c>
    </x:row>
    <x:row r="6">
      <x:c r="A6" s="36" t="str">
        <x:v>顶层</x:v>
      </x:c>
      <x:c r="B6" s="36" t="str">
        <x:v>idle</x:v>
      </x:c>
      <x:c r="C6" s="36" t="str">
        <x:v>待命</x:v>
      </x:c>
      <x:c r="D6" s="36" t="str">
        <x:v>start/moving/hurt/locked</x:v>
      </x:c>
      <x:c r="E6" s="36" t="str">
        <x:v>moving,dashing,hurt,locked,dead</x:v>
      </x:c>
      <x:c r="F6" s="36" t="str">
        <x:v>低频呼吸</x:v>
      </x:c>
      <x:c r="G6" s="36" t="str">
        <x:v>轻微滞后</x:v>
      </x:c>
      <x:c r="H6" s="36" t="str">
        <x:v>不显示</x:v>
      </x:c>
      <x:c r="I6" s="36" t="str">
        <x:v>随身体左右镜像</x:v>
      </x:c>
      <x:c r="J6" s="36" t="str">
        <x:v>轻摆</x:v>
      </x:c>
      <x:c r="K6" s="36" t="str">
        <x:v>HUD 待命</x:v>
      </x:c>
      <x:c r="L6" s="36" t="str">
        <x:v>2D/3D组件变换；单手保持局部挂点</x:v>
      </x:c>
    </x:row>
    <x:row r="7">
      <x:c r="A7" s="37" t="str">
        <x:v>顶层</x:v>
      </x:c>
      <x:c r="B7" s="37" t="str">
        <x:v>moving</x:v>
      </x:c>
      <x:c r="C7" s="37" t="str">
        <x:v>机动</x:v>
      </x:c>
      <x:c r="D7" s="37" t="str">
        <x:v>idle/dashing/hurt/locked</x:v>
      </x:c>
      <x:c r="E7" s="37" t="str">
        <x:v>idle,dashing,hurt,locked,dead</x:v>
      </x:c>
      <x:c r="F7" s="37" t="str">
        <x:v>位移驱动弹跳/压缩回弹</x:v>
      </x:c>
      <x:c r="G7" s="37" t="str">
        <x:v>较小反相滞后</x:v>
      </x:c>
      <x:c r="H7" s="37" t="str">
        <x:v>不显示</x:v>
      </x:c>
      <x:c r="I7" s="37" t="str">
        <x:v>与挂点同相移动</x:v>
      </x:c>
      <x:c r="J7" s="37" t="str">
        <x:v>周期滞后</x:v>
      </x:c>
      <x:c r="K7" s="37" t="str">
        <x:v>地面划痕</x:v>
      </x:c>
      <x:c r="L7" s="37" t="str">
        <x:v>2D/3D组件变换；独立moving循环；整体根随准星；手与挂点局部关系固定</x:v>
      </x:c>
    </x:row>
    <x:row r="8">
      <x:c r="A8" s="37" t="str">
        <x:v>顶层</x:v>
      </x:c>
      <x:c r="B8" s="37" t="str">
        <x:v>dashing</x:v>
      </x:c>
      <x:c r="C8" s="37" t="str">
        <x:v>突进</x:v>
      </x:c>
      <x:c r="D8" s="37" t="str">
        <x:v>idle/moving</x:v>
      </x:c>
      <x:c r="E8" s="37" t="str">
        <x:v>idle,moving,hurt,locked,dead</x:v>
      </x:c>
      <x:c r="F8" s="37" t="str">
        <x:v>横向压缩</x:v>
      </x:c>
      <x:c r="G8" s="37" t="str">
        <x:v>随整体压缩</x:v>
      </x:c>
      <x:c r="H8" s="37" t="str">
        <x:v>不显示</x:v>
      </x:c>
      <x:c r="I8" s="37" t="str">
        <x:v>随身体左右镜像</x:v>
      </x:c>
      <x:c r="J8" s="37" t="str">
        <x:v>顺风</x:v>
      </x:c>
      <x:c r="K8" s="37" t="str">
        <x:v>青色尾迹</x:v>
      </x:c>
      <x:c r="L8" s="37" t="str">
        <x:v>2D/3D组件变换 + 程序尾迹；握持关系不变</x:v>
      </x:c>
    </x:row>
    <x:row r="9">
      <x:c r="A9" s="37" t="str">
        <x:v>顶层</x:v>
      </x:c>
      <x:c r="B9" s="37" t="str">
        <x:v>hurt</x:v>
      </x:c>
      <x:c r="C9" s="37" t="str">
        <x:v>受创</x:v>
      </x:c>
      <x:c r="D9" s="37" t="str">
        <x:v>任意存活态</x:v>
      </x:c>
      <x:c r="E9" s="37" t="str">
        <x:v>idle,moving,locked,dead</x:v>
      </x:c>
      <x:c r="F9" s="37" t="str">
        <x:v>冲击压缩 + 击退弹性</x:v>
      </x:c>
      <x:c r="G9" s="37" t="str">
        <x:v>后仰 + 回弹</x:v>
      </x:c>
      <x:c r="H9" s="37" t="str">
        <x:v>不显示</x:v>
      </x:c>
      <x:c r="I9" s="37" t="str">
        <x:v>与weapon_socket同相后退/回正</x:v>
      </x:c>
      <x:c r="J9" s="37" t="str">
        <x:v>抖动/滞后</x:v>
      </x:c>
      <x:c r="K9" s="37" t="str">
        <x:v>红闪/击退轨迹</x:v>
      </x:c>
      <x:c r="L9" s="37" t="str">
        <x:v>真实命中方向 + 递减XZ冲量；不扩张六态</x:v>
      </x:c>
    </x:row>
    <x:row r="10">
      <x:c r="A10" s="37" t="str">
        <x:v>顶层</x:v>
      </x:c>
      <x:c r="B10" s="37" t="str">
        <x:v>locked</x:v>
      </x:c>
      <x:c r="C10" s="37" t="str">
        <x:v>交互锁定</x:v>
      </x:c>
      <x:c r="D10" s="37" t="str">
        <x:v>任意存活态</x:v>
      </x:c>
      <x:c r="E10" s="37" t="str">
        <x:v>idle,moving,hurt,dead</x:v>
      </x:c>
      <x:c r="F10" s="37" t="str">
        <x:v>降亮稳定</x:v>
      </x:c>
      <x:c r="G10" s="37" t="str">
        <x:v>稳定</x:v>
      </x:c>
      <x:c r="H10" s="37" t="str">
        <x:v>不显示</x:v>
      </x:c>
      <x:c r="I10" s="37" t="str">
        <x:v>随身体左右镜像</x:v>
      </x:c>
      <x:c r="J10" s="37" t="str">
        <x:v>低摆</x:v>
      </x:c>
      <x:c r="K10" s="37" t="str">
        <x:v>琥珀锁定环</x:v>
      </x:c>
      <x:c r="L10" s="37" t="str">
        <x:v>2D/3D降亮 + 锁定环；输入锁转换一致</x:v>
      </x:c>
    </x:row>
    <x:row r="11">
      <x:c r="A11" s="37" t="str">
        <x:v>顶层</x:v>
      </x:c>
      <x:c r="B11" s="37" t="str">
        <x:v>dead</x:v>
      </x:c>
      <x:c r="C11" s="37" t="str">
        <x:v>生命终止</x:v>
      </x:c>
      <x:c r="D11" s="37" t="str">
        <x:v>任意存活态</x:v>
      </x:c>
      <x:c r="E11" s="37" t="str">
        <x:v>无（终态）</x:v>
      </x:c>
      <x:c r="F11" s="37" t="str">
        <x:v>倾倒熄灭</x:v>
      </x:c>
      <x:c r="G11" s="37" t="str">
        <x:v>随整体倾倒</x:v>
      </x:c>
      <x:c r="H11" s="37" t="str">
        <x:v>不显示</x:v>
      </x:c>
      <x:c r="I11" s="37" t="str">
        <x:v>随整体倾倒</x:v>
      </x:c>
      <x:c r="J11" s="37" t="str">
        <x:v>停止</x:v>
      </x:c>
      <x:c r="K11" s="37" t="str">
        <x:v>HUD 终止</x:v>
      </x:c>
      <x:c r="L11" s="37" t="str">
        <x:v>2D/3D终态守卫 + 整体倾倒</x:v>
      </x:c>
    </x:row>
    <x:row r="12">
      <x:c r="A12" s="37" t="str">
        <x:v>叠加</x:v>
      </x:c>
      <x:c r="B12" s="37" t="str">
        <x:v>low_health</x:v>
      </x:c>
      <x:c r="C12" s="37" t="str">
        <x:v>低血</x:v>
      </x:c>
      <x:c r="D12" s="37" t="str">
        <x:v>任意存活态</x:v>
      </x:c>
      <x:c r="E12" s="37" t="str">
        <x:v>不改变顶层</x:v>
      </x:c>
      <x:c r="F12" s="37" t="str">
        <x:v>不变</x:v>
      </x:c>
      <x:c r="G12" s="37" t="str">
        <x:v>不变</x:v>
      </x:c>
      <x:c r="H12" s="37" t="str">
        <x:v>不显示</x:v>
      </x:c>
      <x:c r="I12" s="37" t="str">
        <x:v>保持当前朝向</x:v>
      </x:c>
      <x:c r="J12" s="37" t="str">
        <x:v>不变</x:v>
      </x:c>
      <x:c r="K12" s="37" t="str">
        <x:v>红色呼吸环</x:v>
      </x:c>
      <x:c r="L12" s="37" t="str">
        <x:v>HP≤30%</x:v>
      </x:c>
    </x:row>
    <x:row r="13">
      <x:c r="A13" s="37" t="str">
        <x:v>叠加</x:v>
      </x:c>
      <x:c r="B13" s="37" t="str">
        <x:v>silenced</x:v>
      </x:c>
      <x:c r="C13" s="37" t="str">
        <x:v>沉默</x:v>
      </x:c>
      <x:c r="D13" s="37" t="str">
        <x:v>任意存活态</x:v>
      </x:c>
      <x:c r="E13" s="37" t="str">
        <x:v>不改变顶层</x:v>
      </x:c>
      <x:c r="F13" s="37" t="str">
        <x:v>降饱和可选</x:v>
      </x:c>
      <x:c r="G13" s="37" t="str">
        <x:v>传感器干扰</x:v>
      </x:c>
      <x:c r="H13" s="37" t="str">
        <x:v>不显示</x:v>
      </x:c>
      <x:c r="I13" s="37" t="str">
        <x:v>保持当前朝向</x:v>
      </x:c>
      <x:c r="J13" s="37" t="str">
        <x:v>不变</x:v>
      </x:c>
      <x:c r="K13" s="37" t="str">
        <x:v>紫色干扰环</x:v>
      </x:c>
      <x:c r="L13" s="37" t="str">
        <x:v>计时标志</x:v>
      </x:c>
    </x:row>
    <x:row r="14">
      <x:c r="A14" s="37" t="str">
        <x:v>叠加</x:v>
      </x:c>
      <x:c r="B14" s="37" t="str">
        <x:v>invincible</x:v>
      </x:c>
      <x:c r="C14" s="37" t="str">
        <x:v>无敌</x:v>
      </x:c>
      <x:c r="D14" s="37" t="str">
        <x:v>dash/hurt</x:v>
      </x:c>
      <x:c r="E14" s="37" t="str">
        <x:v>不改变顶层</x:v>
      </x:c>
      <x:c r="F14" s="37" t="str">
        <x:v>闪烁</x:v>
      </x:c>
      <x:c r="G14" s="37" t="str">
        <x:v>闪烁</x:v>
      </x:c>
      <x:c r="H14" s="37" t="str">
        <x:v>不显示</x:v>
      </x:c>
      <x:c r="I14" s="37" t="str">
        <x:v>保持当前朝向</x:v>
      </x:c>
      <x:c r="J14" s="37" t="str">
        <x:v>闪烁</x:v>
      </x:c>
      <x:c r="K14" s="37" t="str">
        <x:v>透明闪烁</x:v>
      </x:c>
      <x:c r="L14" s="37" t="str">
        <x:v>InvincibleTimer 唯一解除</x:v>
      </x:c>
    </x:row>
    <x:row r="15" ht="34" customHeight="1">
      <x:c r="A15" s="63" t="str">
        <x:v>叠加</x:v>
      </x:c>
      <x:c r="B15" s="63" t="str">
        <x:v>reloading</x:v>
      </x:c>
      <x:c r="C15" s="63" t="str">
        <x:v>换弹</x:v>
      </x:c>
      <x:c r="D15" s="63" t="str">
        <x:v>任意持枪存活态</x:v>
      </x:c>
      <x:c r="E15" s="63" t="str">
        <x:v>不改变顶层；完成/取消退出</x:v>
      </x:c>
      <x:c r="F15" s="63" t="str">
        <x:v>保持当前顶层</x:v>
      </x:c>
      <x:c r="G15" s="63" t="str">
        <x:v>保持当前顶层</x:v>
      </x:c>
      <x:c r="H15" s="63" t="str">
        <x:v>不显示</x:v>
      </x:c>
      <x:c r="I15" s="63" t="str">
        <x:v>与weapon_socket同相下压/操作/回位</x:v>
      </x:c>
      <x:c r="J15" s="63" t="str">
        <x:v>保持当前顶层</x:v>
      </x:c>
      <x:c r="K15" s="63" t="str">
        <x:v>3D头顶billboard进度条；2D弹药栏</x:v>
      </x:c>
      <x:c r="L15" s="63" t="str">
        <x:v>WeaponModel3D唯一计时源；0→1；换枪/补弹/清空/死亡取消</x:v>
      </x:c>
    </x:row>
    <x:row r="16" ht="28" customHeight="1">
      <x:c r="A16" s="69" t="str">
        <x:v>Enemy3D 九态状态机 × 模块表现 × 模型轮廓碰撞</x:v>
      </x:c>
      <x:c r="B16" s="69"/>
      <x:c r="C16" s="69"/>
      <x:c r="D16" s="69"/>
      <x:c r="E16" s="69"/>
      <x:c r="F16" s="69"/>
      <x:c r="G16" s="69"/>
      <x:c r="H16" s="69"/>
      <x:c r="I16" s="69"/>
      <x:c r="J16" s="69"/>
      <x:c r="K16" s="69"/>
      <x:c r="L16" s="69"/>
    </x:row>
    <x:row r="17" ht="36" customHeight="1">
      <x:c r="A17" s="63" t="str">
        <x:v>层级</x:v>
      </x:c>
      <x:c r="B17" s="63" t="str">
        <x:v>状态ID</x:v>
      </x:c>
      <x:c r="C17" s="63" t="str">
        <x:v>中文名</x:v>
      </x:c>
      <x:c r="D17" s="63" t="str">
        <x:v>允许来源</x:v>
      </x:c>
      <x:c r="E17" s="63" t="str">
        <x:v>允许去向</x:v>
      </x:c>
      <x:c r="F17" s="63" t="str">
        <x:v>Core</x:v>
      </x:c>
      <x:c r="G17" s="63" t="str">
        <x:v>Shell</x:v>
      </x:c>
      <x:c r="H17" s="63" t="str">
        <x:v>Appendages</x:v>
      </x:c>
      <x:c r="I17" s="63" t="str">
        <x:v>StateVFX</x:v>
      </x:c>
      <x:c r="J17" s="63" t="str">
        <x:v>行为职责</x:v>
      </x:c>
      <x:c r="K17" s="63" t="str">
        <x:v>验收</x:v>
      </x:c>
      <x:c r="L17" s="63" t="str">
        <x:v>首版实现</x:v>
      </x:c>
    </x:row>
    <x:row r="18" ht="42" customHeight="1">
      <x:c r="A18" s="63" t="str">
        <x:v>顶层</x:v>
      </x:c>
      <x:c r="B18" s="63" t="str">
        <x:v>idle</x:v>
      </x:c>
      <x:c r="C18" s="63" t="str">
        <x:v>待机</x:v>
      </x:c>
      <x:c r="D18" s="63" t="str">
        <x:v>start/patrol/stagger</x:v>
      </x:c>
      <x:c r="E18" s="63" t="str">
        <x:v>patrol/alert/dead</x:v>
      </x:c>
      <x:c r="F18" s="63" t="str">
        <x:v>低频脉冲</x:v>
      </x:c>
      <x:c r="G18" s="63" t="str">
        <x:v>轻浮动</x:v>
      </x:c>
      <x:c r="H18" s="63" t="str">
        <x:v>低速</x:v>
      </x:c>
      <x:c r="I18" s="63" t="str">
        <x:v>关闭</x:v>
      </x:c>
      <x:c r="J18" s="63" t="str">
        <x:v>等待目标</x:v>
      </x:c>
      <x:c r="K18" s="63" t="str">
        <x:v>静态轮廓可读</x:v>
      </x:c>
      <x:c r="L18" s="63" t="str">
        <x:v>模块变换</x:v>
      </x:c>
    </x:row>
    <x:row r="19" ht="42" customHeight="1">
      <x:c r="A19" s="63" t="str">
        <x:v>顶层</x:v>
      </x:c>
      <x:c r="B19" s="63" t="str">
        <x:v>patrol</x:v>
      </x:c>
      <x:c r="C19" s="63" t="str">
        <x:v>巡逻</x:v>
      </x:c>
      <x:c r="D19" s="63" t="str">
        <x:v>idle/search</x:v>
      </x:c>
      <x:c r="E19" s="63" t="str">
        <x:v>idle/alert/stagger/dead</x:v>
      </x:c>
      <x:c r="F19" s="63" t="str">
        <x:v>低频脉冲</x:v>
      </x:c>
      <x:c r="G19" s="63" t="str">
        <x:v>朝巡逻点</x:v>
      </x:c>
      <x:c r="H19" s="63" t="str">
        <x:v>慢速步态</x:v>
      </x:c>
      <x:c r="I19" s="63" t="str">
        <x:v>关闭</x:v>
      </x:c>
      <x:c r="J19" s="63" t="str">
        <x:v>出生点附近巡逻</x:v>
      </x:c>
      <x:c r="K19" s="63" t="str">
        <x:v>无目标不原地僵住</x:v>
      </x:c>
      <x:c r="L19" s="63" t="str">
        <x:v>CharacterBody3D</x:v>
      </x:c>
    </x:row>
    <x:row r="20" ht="42" customHeight="1">
      <x:c r="A20" s="63" t="str">
        <x:v>顶层</x:v>
      </x:c>
      <x:c r="B20" s="63" t="str">
        <x:v>alert</x:v>
      </x:c>
      <x:c r="C20" s="63" t="str">
        <x:v>警觉</x:v>
      </x:c>
      <x:c r="D20" s="63" t="str">
        <x:v>idle/patrol/search</x:v>
      </x:c>
      <x:c r="E20" s="63" t="str">
        <x:v>chase/stagger/dead</x:v>
      </x:c>
      <x:c r="F20" s="63" t="str">
        <x:v>加速</x:v>
      </x:c>
      <x:c r="G20" s="63" t="str">
        <x:v>抬升</x:v>
      </x:c>
      <x:c r="H20" s="63" t="str">
        <x:v>展开</x:v>
      </x:c>
      <x:c r="I20" s="63" t="str">
        <x:v>关闭</x:v>
      </x:c>
      <x:c r="J20" s="63" t="str">
        <x:v>发现玩家</x:v>
      </x:c>
      <x:c r="K20" s="63" t="str">
        <x:v>0.28s响应</x:v>
      </x:c>
      <x:c r="L20" s="63" t="str">
        <x:v>模块变换</x:v>
      </x:c>
    </x:row>
    <x:row r="21" ht="42" customHeight="1">
      <x:c r="A21" s="63" t="str">
        <x:v>顶层</x:v>
      </x:c>
      <x:c r="B21" s="63" t="str">
        <x:v>chase</x:v>
      </x:c>
      <x:c r="C21" s="63" t="str">
        <x:v>追击</x:v>
      </x:c>
      <x:c r="D21" s="63" t="str">
        <x:v>alert/attack/stagger</x:v>
      </x:c>
      <x:c r="E21" s="63" t="str">
        <x:v>search/telegraph/stagger/dead</x:v>
      </x:c>
      <x:c r="F21" s="63" t="str">
        <x:v>稳定</x:v>
      </x:c>
      <x:c r="G21" s="63" t="str">
        <x:v>朝目标</x:v>
      </x:c>
      <x:c r="H21" s="63" t="str">
        <x:v>步态</x:v>
      </x:c>
      <x:c r="I21" s="63" t="str">
        <x:v>关闭</x:v>
      </x:c>
      <x:c r="J21" s="63" t="str">
        <x:v>距离控制</x:v>
      </x:c>
      <x:c r="K21" s="63" t="str">
        <x:v>七类速度差</x:v>
      </x:c>
      <x:c r="L21" s="63" t="str">
        <x:v>CharacterBody3D</x:v>
      </x:c>
    </x:row>
    <x:row r="22" ht="42" customHeight="1">
      <x:c r="A22" s="63" t="str">
        <x:v>顶层</x:v>
      </x:c>
      <x:c r="B22" s="63" t="str">
        <x:v>search</x:v>
      </x:c>
      <x:c r="C22" s="63" t="str">
        <x:v>搜索</x:v>
      </x:c>
      <x:c r="D22" s="63" t="str">
        <x:v>chase</x:v>
      </x:c>
      <x:c r="E22" s="63" t="str">
        <x:v>patrol/alert/stagger/dead</x:v>
      </x:c>
      <x:c r="F22" s="63" t="str">
        <x:v>渐缓</x:v>
      </x:c>
      <x:c r="G22" s="63" t="str">
        <x:v>朝最后位置</x:v>
      </x:c>
      <x:c r="H22" s="63" t="str">
        <x:v>搜索步态</x:v>
      </x:c>
      <x:c r="I22" s="63" t="str">
        <x:v>搜索提示</x:v>
      </x:c>
      <x:c r="J22" s="63" t="str">
        <x:v>失去视线后搜索</x:v>
      </x:c>
      <x:c r="K22" s="63" t="str">
        <x:v>2.4s后回巡逻</x:v>
      </x:c>
      <x:c r="L22" s="63" t="str">
        <x:v>射线+最后位置</x:v>
      </x:c>
    </x:row>
    <x:row r="23" ht="42" customHeight="1">
      <x:c r="A23" s="63" t="str">
        <x:v>顶层</x:v>
      </x:c>
      <x:c r="B23" s="63" t="str">
        <x:v>telegraph</x:v>
      </x:c>
      <x:c r="C23" s="63" t="str">
        <x:v>预警</x:v>
      </x:c>
      <x:c r="D23" s="63" t="str">
        <x:v>chase</x:v>
      </x:c>
      <x:c r="E23" s="63" t="str">
        <x:v>attack/stagger/dead</x:v>
      </x:c>
      <x:c r="F23" s="63" t="str">
        <x:v>高频脉冲</x:v>
      </x:c>
      <x:c r="G23" s="63" t="str">
        <x:v>稳定</x:v>
      </x:c>
      <x:c r="H23" s="63" t="str">
        <x:v>蓄势</x:v>
      </x:c>
      <x:c r="I23" s="63" t="str">
        <x:v>红色预警环</x:v>
      </x:c>
      <x:c r="J23" s="63" t="str">
        <x:v>攻击前摇</x:v>
      </x:c>
      <x:c r="K23" s="63" t="str">
        <x:v>不可省略</x:v>
      </x:c>
      <x:c r="L23" s="63" t="str">
        <x:v>计时状态</x:v>
      </x:c>
    </x:row>
    <x:row r="24" ht="42" customHeight="1">
      <x:c r="A24" s="63" t="str">
        <x:v>顶层</x:v>
      </x:c>
      <x:c r="B24" s="63" t="str">
        <x:v>attack</x:v>
      </x:c>
      <x:c r="C24" s="63" t="str">
        <x:v>攻击</x:v>
      </x:c>
      <x:c r="D24" s="63" t="str">
        <x:v>telegraph</x:v>
      </x:c>
      <x:c r="E24" s="63" t="str">
        <x:v>chase/stagger/dead</x:v>
      </x:c>
      <x:c r="F24" s="63" t="str">
        <x:v>峰值</x:v>
      </x:c>
      <x:c r="G24" s="63" t="str">
        <x:v>反冲</x:v>
      </x:c>
      <x:c r="H24" s="63" t="str">
        <x:v>执行</x:v>
      </x:c>
      <x:c r="I24" s="63" t="str">
        <x:v>按攻击类型</x:v>
      </x:c>
      <x:c r="J24" s="63" t="str">
        <x:v>近战/远程/召唤/爆炸</x:v>
      </x:c>
      <x:c r="K24" s="63" t="str">
        <x:v>七类差异</x:v>
      </x:c>
      <x:c r="L24" s="63" t="str">
        <x:v>profile策略</x:v>
      </x:c>
    </x:row>
    <x:row r="25">
      <x:c r="A25" t="str">
        <x:v>顶层</x:v>
      </x:c>
      <x:c r="B25" t="str">
        <x:v>stagger</x:v>
      </x:c>
      <x:c r="C25" t="str">
        <x:v>硬直</x:v>
      </x:c>
      <x:c r="D25" t="str">
        <x:v>任意存活态</x:v>
      </x:c>
      <x:c r="E25" t="str">
        <x:v>chase/dead</x:v>
      </x:c>
      <x:c r="F25" t="str">
        <x:v>闪色</x:v>
      </x:c>
      <x:c r="G25" t="str">
        <x:v>冲击</x:v>
      </x:c>
      <x:c r="H25" t="str">
        <x:v>暂停</x:v>
      </x:c>
      <x:c r="I25" t="str">
        <x:v>伤害反馈</x:v>
      </x:c>
      <x:c r="J25" t="str">
        <x:v>受击窗口</x:v>
      </x:c>
      <x:c r="K25" t="str">
        <x:v>方向可读</x:v>
      </x:c>
      <x:c r="L25" t="str">
        <x:v>统一伤害入口</x:v>
      </x:c>
    </x:row>
    <x:row r="26">
      <x:c r="A26" t="str">
        <x:v>顶层</x:v>
      </x:c>
      <x:c r="B26" t="str">
        <x:v>dead</x:v>
      </x:c>
      <x:c r="C26" t="str">
        <x:v>死亡</x:v>
      </x:c>
      <x:c r="D26" t="str">
        <x:v>任意存活态</x:v>
      </x:c>
      <x:c r="E26" t="str">
        <x:v>无（终态）</x:v>
      </x:c>
      <x:c r="F26" t="str">
        <x:v>熄灭</x:v>
      </x:c>
      <x:c r="G26" t="str">
        <x:v>压扁</x:v>
      </x:c>
      <x:c r="H26" t="str">
        <x:v>停止</x:v>
      </x:c>
      <x:c r="I26" t="str">
        <x:v>爆散/淡出</x:v>
      </x:c>
      <x:c r="J26" t="str">
        <x:v>掉落与计数</x:v>
      </x:c>
      <x:c r="K26" t="str">
        <x:v>不可回存活态</x:v>
      </x:c>
      <x:c r="L26" t="str">
        <x:v>终态 + Tween</x:v>
      </x:c>
    </x:row>
    <x:row r="28" ht="38" customHeight="1">
      <x:c r="A28" s="81" t="str">
        <x:v>Player3D 动作覆盖层 × 组件表现（不新增顶层状态）</x:v>
      </x:c>
      <x:c r="B28" s="81"/>
      <x:c r="C28" s="81"/>
      <x:c r="D28" s="81"/>
      <x:c r="E28" s="81"/>
      <x:c r="F28" s="81"/>
      <x:c r="G28" s="81"/>
      <x:c r="H28" s="81"/>
      <x:c r="I28" s="81"/>
      <x:c r="J28" s="81"/>
      <x:c r="K28" s="81"/>
      <x:c r="L28" s="81"/>
    </x:row>
    <x:row r="29" ht="38" customHeight="1">
      <x:c r="A29" s="82" t="str">
        <x:v>层级｜状态ID｜中文名｜唯一来源｜退出｜Body｜Head｜Hand L（停用）｜Hand（握持）｜Scarf｜VFX/UI｜首版实现</x:v>
      </x:c>
      <x:c r="B29" s="82"/>
      <x:c r="C29" s="82"/>
      <x:c r="D29" s="82"/>
      <x:c r="E29" s="82"/>
      <x:c r="F29" s="82"/>
      <x:c r="G29" s="82"/>
      <x:c r="H29" s="82"/>
      <x:c r="I29" s="82"/>
      <x:c r="J29" s="82"/>
      <x:c r="K29" s="82"/>
      <x:c r="L29" s="82"/>
    </x:row>
    <x:row r="30" ht="38" customHeight="1">
      <x:c r="A30" s="63" t="str">
        <x:v>叠加</x:v>
      </x:c>
      <x:c r="B30" s="63" t="str">
        <x:v>firing</x:v>
      </x:c>
      <x:c r="C30" s="63" t="str">
        <x:v>射击</x:v>
      </x:c>
      <x:c r="D30" s="63" t="str">
        <x:v>WeaponModel3D.shot_fired</x:v>
      </x:c>
      <x:c r="E30" s="63" t="str">
        <x:v>短时回弹后退出</x:v>
      </x:c>
      <x:c r="F30" s="63" t="str">
        <x:v>前探/压缩/回弹</x:v>
      </x:c>
      <x:c r="G30" s="63" t="str">
        <x:v>小幅前探</x:v>
      </x:c>
      <x:c r="H30" s="63" t="str">
        <x:v>不显示</x:v>
      </x:c>
      <x:c r="I30" s="63" t="str">
        <x:v>与weapon_socket同相后坐</x:v>
      </x:c>
      <x:c r="J30" s="63" t="str">
        <x:v>受冲量轻摆</x:v>
      </x:c>
      <x:c r="K30" s="63" t="str">
        <x:v>枪口闪光/后坐</x:v>
      </x:c>
      <x:c r="L30" s="63" t="str">
        <x:v>真实发射信号；0.14s基础弹性；不独立计时</x:v>
      </x:c>
    </x:row>
    <x:row r="31" ht="38" customHeight="1">
      <x:c r="A31" s="63" t="str">
        <x:v>叠加</x:v>
      </x:c>
      <x:c r="B31" s="63" t="str">
        <x:v>charging</x:v>
      </x:c>
      <x:c r="C31" s="63" t="str">
        <x:v>蓄力</x:v>
      </x:c>
      <x:c r="D31" s="63" t="str">
        <x:v>WeaponModel3D.charge_active / charge_ratio</x:v>
      </x:c>
      <x:c r="E31" s="63" t="str">
        <x:v>释放/取消/换枪/死亡</x:v>
      </x:c>
      <x:c r="F31" s="63" t="str">
        <x:v>下压蓄势</x:v>
      </x:c>
      <x:c r="G31" s="63" t="str">
        <x:v>轻微压低</x:v>
      </x:c>
      <x:c r="H31" s="63" t="str">
        <x:v>不显示</x:v>
      </x:c>
      <x:c r="I31" s="63" t="str">
        <x:v>与weapon_socket同相蓄势</x:v>
      </x:c>
      <x:c r="J31" s="63" t="str">
        <x:v>低频张力摆动</x:v>
      </x:c>
      <x:c r="K31" s="63" t="str">
        <x:v>紫色能量提示（可选）</x:v>
      </x:c>
      <x:c r="L31" s="63" t="str">
        <x:v>读取真实蓄力进度；禁用输入不取消脚本蓄力</x:v>
      </x:c>
    </x:row>
    <x:row r="32" ht="38" customHeight="1">
      <x:c r="A32" s="63" t="str">
        <x:v>叠加</x:v>
      </x:c>
      <x:c r="B32" s="63" t="str">
        <x:v>knockback</x:v>
      </x:c>
      <x:c r="C32" s="63" t="str">
        <x:v>受击击飞</x:v>
      </x:c>
      <x:c r="D32" s="63" t="str">
        <x:v>Player3D 命中方向/强度/时长</x:v>
      </x:c>
      <x:c r="E32" s="63" t="str">
        <x:v>冲量归零或死亡</x:v>
      </x:c>
      <x:c r="F32" s="63" t="str">
        <x:v>反向位移/压缩/弹回</x:v>
      </x:c>
      <x:c r="G32" s="63" t="str">
        <x:v>后仰/回正</x:v>
      </x:c>
      <x:c r="H32" s="63" t="str">
        <x:v>不显示</x:v>
      </x:c>
      <x:c r="I32" s="63" t="str">
        <x:v>与weapon_socket同相后退/回正</x:v>
      </x:c>
      <x:c r="J32" s="63" t="str">
        <x:v>滞后甩动</x:v>
      </x:c>
      <x:c r="K32" s="63" t="str">
        <x:v>红闪/短轨迹</x:v>
      </x:c>
      <x:c r="L32" s="63" t="str">
        <x:v>hurt 消费递减XZ冲量；不新增顶层状态</x:v>
      </x:c>
    </x:row>
    <x:row r="34" ht="34" customHeight="1">
      <x:c r="A34" s="93" t="str">
        <x:v>Player3D DIY 外观槽 × 动态继承（不影响六态/玩法）</x:v>
      </x:c>
      <x:c r="B34" s="93"/>
      <x:c r="C34" s="93"/>
      <x:c r="D34" s="93"/>
      <x:c r="E34" s="93"/>
      <x:c r="F34" s="93"/>
      <x:c r="G34" s="93"/>
      <x:c r="H34" s="93"/>
      <x:c r="I34" s="93"/>
      <x:c r="J34" s="93"/>
      <x:c r="K34" s="93"/>
      <x:c r="L34" s="93"/>
    </x:row>
    <x:row r="35" ht="34" customHeight="1">
      <x:c r="A35" s="94" t="str">
        <x:v>槽位｜候选变体｜父组件｜移动｜射击/蓄力｜受击/击飞｜换弹｜死亡｜挂点契约｜验收｜复用范围｜首版实现</x:v>
      </x:c>
      <x:c r="B35" s="94"/>
      <x:c r="C35" s="94"/>
      <x:c r="D35" s="94"/>
      <x:c r="E35" s="94"/>
      <x:c r="F35" s="94"/>
      <x:c r="G35" s="94"/>
      <x:c r="H35" s="94"/>
      <x:c r="I35" s="94"/>
      <x:c r="J35" s="94"/>
      <x:c r="K35" s="94"/>
      <x:c r="L35" s="94"/>
    </x:row>
    <x:row r="36" ht="34" customHeight="1">
      <x:c r="A36" s="63" t="str">
        <x:v>body/head/hand/feet/hat/glasses</x:v>
      </x:c>
      <x:c r="B36" s="63" t="str">
        <x:v>4+4+4+4+3+3</x:v>
      </x:c>
      <x:c r="C36" s="63" t="str">
        <x:v>Body/Head/Hand/Feet/Wearables</x:v>
      </x:c>
      <x:c r="D36" s="63" t="str">
        <x:v>身体弹性+双脚交替+圆短尾轻摆</x:v>
      </x:c>
      <x:c r="E36" s="63" t="str">
        <x:v>手/枪同相后坐；头前探</x:v>
      </x:c>
      <x:c r="F36" s="63" t="str">
        <x:v>整体后仰/脚随根回正</x:v>
      </x:c>
      <x:c r="G36" s="63" t="str">
        <x:v>Hand+Socket同相</x:v>
      </x:c>
      <x:c r="H36" s="63" t="str">
        <x:v>四主模块随根倾倒</x:v>
      </x:c>
      <x:c r="I36" s="63" t="str">
        <x:v>唯一手/挂点相对向量固定</x:v>
      </x:c>
      <x:c r="J36" s="63" t="str">
        <x:v>四主模块+双眼双耳短尾+六态覆盖</x:v>
      </x:c>
      <x:c r="K36" s="63" t="str">
        <x:v>3D玩家/预览场</x:v>
      </x:c>
      <x:c r="L36" s="63" t="str">
        <x:v>Godot原生方体/三角耳/圆尾；Player3D.set_avatar_customization</x:v>
      </x:c>
    </x:row>
    <x:row r="38" ht="38" customHeight="1">
      <x:c r="A38" s="63" t="str">
        <x:v>PH33 方形猫子组件 × 动作归属（不新增状态）</x:v>
      </x:c>
      <x:c r="B38" s="63"/>
      <x:c r="C38" s="63"/>
      <x:c r="D38" s="63"/>
      <x:c r="E38" s="63"/>
      <x:c r="F38" s="63"/>
      <x:c r="G38" s="63"/>
      <x:c r="H38" s="63"/>
      <x:c r="I38" s="63"/>
      <x:c r="J38" s="63"/>
      <x:c r="K38" s="63"/>
      <x:c r="L38" s="63"/>
    </x:row>
    <x:row r="39" ht="38" customHeight="1">
      <x:c r="A39" s="63" t="str">
        <x:v>父模块｜子组件｜节点数量｜Idle｜Moving｜Dashing｜Hurt/Knockback｜Reload/Fire｜Dead｜图形语言｜禁止事项｜验收</x:v>
      </x:c>
      <x:c r="B39" s="63"/>
      <x:c r="C39" s="63"/>
      <x:c r="D39" s="63"/>
      <x:c r="E39" s="63"/>
      <x:c r="F39" s="63"/>
      <x:c r="G39" s="63"/>
      <x:c r="H39" s="63"/>
      <x:c r="I39" s="63"/>
      <x:c r="J39" s="63"/>
      <x:c r="K39" s="63"/>
      <x:c r="L39" s="63"/>
    </x:row>
    <x:row r="40" ht="38" customHeight="1">
      <x:c r="A40" s="63" t="str">
        <x:v>Head / Body / Feet</x:v>
      </x:c>
      <x:c r="B40" s="63" t="str">
        <x:v>Eyes / Ears / TailStub / FootL / FootR</x:v>
      </x:c>
      <x:c r="C40" s="63" t="str">
        <x:v>2 / 2 / 1 / 2</x:v>
      </x:c>
      <x:c r="D40" s="63" t="str">
        <x:v>双眼双耳稳定；短尾微摆</x:v>
      </x:c>
      <x:c r="E40" s="63" t="str">
        <x:v>双脚交替抬起；短尾轻摆</x:v>
      </x:c>
      <x:c r="F40" s="63" t="str">
        <x:v>随VisualRoot压缩</x:v>
      </x:c>
      <x:c r="G40" s="63" t="str">
        <x:v>随父模块后仰回正</x:v>
      </x:c>
      <x:c r="H40" s="63" t="str">
        <x:v>手/枪动作不牵动脚；头部继承</x:v>
      </x:c>
      <x:c r="I40" s="63" t="str">
        <x:v>随父模块倾倒</x:v>
      </x:c>
      <x:c r="J40" s="63" t="str">
        <x:v>方头方身方手方脚；圆尾唯一例外</x:v>
      </x:c>
      <x:c r="K40" s="63" t="str">
        <x:v>嘴/鼻/第二手/长尾/烘焙跨模块</x:v>
      </x:c>
      <x:c r="L40" s="63" t="str">
        <x:v>节点路径+数量+步态+持枪+视觉</x:v>
      </x:c>
    </x:row>
  </x:sheetData>
  <x:mergeCells>
    <x:mergeCell ref="A1:L2"/>
    <x:mergeCell ref="A3:L3"/>
    <x:mergeCell ref="A16:L16"/>
    <x:mergeCell ref="A28:L28"/>
    <x:mergeCell ref="A29:L29"/>
    <x:mergeCell ref="A34:L34"/>
    <x:mergeCell ref="A35:L35"/>
    <x:mergeCell ref="A38:L38"/>
    <x:mergeCell ref="A39:L3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chr_{role}_{name}{nn}_{component}_{view}_v{nnn}.{png|glb|tscn}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enm_{archetype}_{name}{nn}_{part}_{view}_v{nnn}.{png|glb|tscn}</x:v>
      </x:c>
      <x:c r="F7" s="37" t="str">
        <x:v>ENM-MELEE-FUNGBOAR01-BODY</x:v>
      </x:c>
    </x:row>
    <x:row r="8">
      <x:c r="A8" s="37" t="str">
        <x:v>WPN</x:v>
      </x:c>
      <x:c r="B8" s="37" t="str">
        <x:v>枪械</x:v>
      </x:c>
      <x:c r="C8" s="37" t="str">
        <x:v>gunbody / bullet / attachment</x:v>
      </x:c>
      <x:c r="D8" s="37" t="str">
        <x:v>assets/art/weapons/</x:v>
      </x:c>
      <x:c r="E8" s="37" t="str">
        <x:v>wpn_{family}_{logic_id}_{view}_v{nnn}.{png|glb|tscn}</x:v>
      </x:c>
      <x:c r="F8" s="37" t="str">
        <x:v>WPN-GUN-BP-PISTOL-SIDE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env_{biome}_{set}_{piece}_v{nnn}.{png|glb|tres|tscn}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 / light / switch</x:v>
      </x:c>
      <x:c r="D11" s="37" t="str">
        <x:v>assets/art/props/</x:v>
      </x:c>
      <x:c r="E11" s="37" t="str">
        <x:v>prp_{set}_{logic_id}_{state}_v{nnn}.{png|glb|tscn}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vfx_{system}_{effect}_{variant}_v{nnn}.{png|glb|tscn}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assets/audio/</x:v>
      </x:c>
      <x:c r="E14" s="37" t="str">
        <x:v>aud_{type}_{event}_{variant}_v{nnn}.wav</x:v>
      </x:c>
      <x:c r="F14" s="37" t="str">
        <x:v>AUD-SFX-PLAYER-DASH-A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角色/房间/家具尺寸/枪械/怪物/灯具共用根</x:v>
      </x:c>
      <x:c r="D10" s="37" t="str">
        <x:v>组件独立；3D用配置与父子变体</x:v>
      </x:c>
      <x:c r="E10" s="37" t="str">
        <x:v>关卡内复制枪表/房间/怪物根</x:v>
      </x:c>
      <x:c r="F10" s="37" t="str">
        <x:v>large可搜索柜</x:v>
      </x:c>
      <x:c r="G10" s="37" t="str">
        <x:v>复用RoomFurniture3D + size=large</x:v>
      </x:c>
      <x:c r="H10" s="37" t="str">
        <x:v>F/N/O/X</x:v>
      </x:c>
    </x:row>
    <x:row r="11">
      <x:c r="A11" s="37" t="n">
        <x:v>6</x:v>
      </x:c>
      <x:c r="B11" s="37" t="str">
        <x:v>验收</x:v>
      </x:c>
      <x:c r="C11" s="37" t="str">
        <x:v>透明边缘或3D灯光/雾/碰撞/状态/玩法逻辑/节点预算</x:v>
      </x:c>
      <x:c r="D11" s="37" t="str">
        <x:v>真实游戏镜头 + 玩法专项 + 性能专项通过</x:v>
      </x:c>
      <x:c r="E11" s="37" t="str">
        <x:v>只看母版或编辑器预览</x:v>
      </x:c>
      <x:c r="F11" s="37" t="str">
        <x:v>3D主题关卡</x:v>
      </x:c>
      <x:c r="G11" s="37" t="str">
        <x:v>seed/暗室开关/遮挡视野/七怪/56组合/撤离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^[a-z0-9]+(?:_[a-z0-9]+)*_v[0-9]{3}\.(png|webp|svg|wav|ogg|glb|gltf|tres|tscn)$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1" hidden="0" customWidth="1"/>
    <x:col min="4" max="4" width="24" hidden="0" customWidth="1"/>
    <x:col min="5" max="5" width="54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首个角色原型 · 胶囊防护体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侧面朝右，可水平翻转；无腿、无人脸、无手臂；单手随身体朝向在 x=±19 镜像，枪械挂点在 x=±24 同步换边且枪械独立瞄准；红围巾为独立身份组件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动画方式</x:v>
      </x:c>
      <x:c r="H5" s="30" t="str">
        <x:v>验收</x:v>
      </x:c>
    </x:row>
    <x:row r="6">
      <x:c r="A6" s="36" t="str">
        <x:v>head</x:v>
      </x:c>
      <x:c r="B6" s="36" t="str">
        <x:v>CHR-PLY-CAPSULE01-HEAD-SIDE</x:v>
      </x:c>
      <x:c r="C6" s="36" t="str">
        <x:v>28×24</x:v>
      </x:c>
      <x:c r="D6" s="36" t="str">
        <x:v>头壳/单传感器</x:v>
      </x:c>
      <x:c r="E6" s="36" t="str">
        <x:v>assets/art/characters/player/chr_player_capsule01/components/chr_player_capsule01_head_side_v001.png</x:v>
      </x:c>
      <x:c r="F6" s="36" t="str">
        <x:v>6035db0c8d18</x:v>
      </x:c>
      <x:c r="G6" s="36" t="str">
        <x:v>flip_h + 滞后</x:v>
      </x:c>
      <x:c r="H6" s="36" t="str">
        <x:v>通过</x:v>
      </x:c>
    </x:row>
    <x:row r="7">
      <x:c r="A7" s="37" t="str">
        <x:v>body</x:v>
      </x:c>
      <x:c r="B7" s="37" t="str">
        <x:v>CHR-PLY-CAPSULE01-BODY-SIDE</x:v>
      </x:c>
      <x:c r="C7" s="37" t="str">
        <x:v>32×35</x:v>
      </x:c>
      <x:c r="D7" s="37" t="str">
        <x:v>胶囊防护服躯干</x:v>
      </x:c>
      <x:c r="E7" s="37" t="str">
        <x:v>assets/art/characters/player/chr_player_capsule01/components/chr_player_capsule01_body_side_v001.png</x:v>
      </x:c>
      <x:c r="F7" s="37" t="str">
        <x:v>653190cbcd99</x:v>
      </x:c>
      <x:c r="G7" s="37" t="str">
        <x:v>呼吸/压缩/倾倒</x:v>
      </x:c>
      <x:c r="H7" s="37" t="str">
        <x:v>通过</x:v>
      </x:c>
    </x:row>
    <x:row r="8">
      <x:c r="A8" s="37" t="str">
        <x:v>hand_l_source</x:v>
      </x:c>
      <x:c r="B8" s="37" t="str">
        <x:v>CHR-PLY-CAPSULE01-HAND-L-SIDE</x:v>
      </x:c>
      <x:c r="C8" s="37" t="str">
        <x:v>22×21</x:v>
      </x:c>
      <x:c r="D8" s="37" t="str">
        <x:v>停用的副手源</x:v>
      </x:c>
      <x:c r="E8" s="37" t="str">
        <x:v>assets/art/characters/player/chr_player_capsule01/components/chr_player_capsule01_hand_l_side_v001.png</x:v>
      </x:c>
      <x:c r="F8" s="37" t="str">
        <x:v>6270855f57a2</x:v>
      </x:c>
      <x:c r="G8" s="37" t="str">
        <x:v>不进运行时</x:v>
      </x:c>
      <x:c r="H8" s="37" t="str">
        <x:v>停用</x:v>
      </x:c>
    </x:row>
    <x:row r="9">
      <x:c r="A9" s="37" t="str">
        <x:v>hand</x:v>
      </x:c>
      <x:c r="B9" s="37" t="str">
        <x:v>CHR-PLY-CAPSULE01-HAND-R-SIDE</x:v>
      </x:c>
      <x:c r="C9" s="37" t="str">
        <x:v>22×17</x:v>
      </x:c>
      <x:c r="D9" s="37" t="str">
        <x:v>唯一镜像握持手</x:v>
      </x:c>
      <x:c r="E9" s="37" t="str">
        <x:v>assets/art/characters/player/chr_player_capsule01/components/chr_player_capsule01_hand_r_side_v001.png</x:v>
      </x:c>
      <x:c r="F9" s="37" t="str">
        <x:v>69c2529cbd27</x:v>
      </x:c>
      <x:c r="G9" s="37" t="str">
        <x:v>随身体左右镜像；不随准星连续旋转</x:v>
      </x:c>
      <x:c r="H9" s="37" t="str">
        <x:v>通过</x:v>
      </x:c>
    </x:row>
    <x:row r="10">
      <x:c r="A10" s="37" t="str">
        <x:v>scarf</x:v>
      </x:c>
      <x:c r="B10" s="37" t="str">
        <x:v>CHR-PLY-CAPSULE01-SCARF-SIDE</x:v>
      </x:c>
      <x:c r="C10" s="37" t="str">
        <x:v>26×14</x:v>
      </x:c>
      <x:c r="D10" s="37" t="str">
        <x:v>红色身份配件</x:v>
      </x:c>
      <x:c r="E10" s="37" t="str">
        <x:v>assets/art/characters/player/chr_player_capsule01/components/chr_player_capsule01_scarf_side_v001.png</x:v>
      </x:c>
      <x:c r="F10" s="37" t="str">
        <x:v>d3a7b1bb5e2a</x:v>
      </x:c>
      <x:c r="G10" s="37" t="str">
        <x:v>轻摆/翻转</x:v>
      </x:c>
      <x:c r="H10" s="37" t="str">
        <x:v>通过</x:v>
      </x:c>
    </x:row>
    <x:row r="13">
      <x:c r="A13" s="57" t="str">
        <x:v>六态游戏内验收预览（Idle / Moving / Dashing / Hurt / Locked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DEAD</x:v>
      </x:c>
    </x:row>
    <x:row r="16">
      <x:c r="A16" s="36" t="str">
        <x:v>待命</x:v>
      </x:c>
      <x:c r="B16" s="36" t="str">
        <x:v>机动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生命终止</x:v>
      </x:c>
    </x:row>
    <x:row r="17">
      <x:c r="A17" s="37" t="str">
        <x:v>低频呼吸</x:v>
      </x:c>
      <x:c r="B17" s="37" t="str">
        <x:v>上下弹性</x:v>
      </x:c>
      <x:c r="C17" s="37" t="str">
        <x:v>横向压缩</x:v>
      </x:c>
      <x:c r="D17" s="37" t="str">
        <x:v>冲击压缩</x:v>
      </x:c>
      <x:c r="E17" s="37" t="str">
        <x:v>降亮稳定</x:v>
      </x:c>
      <x:c r="F17" s="37" t="str">
        <x:v>倾倒熄灭</x:v>
      </x:c>
    </x:row>
    <x:row r="18">
      <x:c r="A18" s="37" t="str">
        <x:v>随向镜像</x:v>
      </x:c>
      <x:c r="B18" s="37" t="str">
        <x:v>随向镜像</x:v>
      </x:c>
      <x:c r="C18" s="37" t="str">
        <x:v>随向镜像</x:v>
      </x:c>
      <x:c r="D18" s="37" t="str">
        <x:v>随向镜像</x:v>
      </x:c>
      <x:c r="E18" s="37" t="str">
        <x:v>随向镜像</x:v>
      </x:c>
      <x:c r="F18" s="37" t="str">
        <x:v>随整体倾倒</x:v>
      </x:c>
    </x:row>
    <x:row r="19">
      <x:c r="A19" s="37" t="str">
        <x:v>无</x:v>
      </x:c>
      <x:c r="B19" s="37" t="str">
        <x:v>地面划痕</x:v>
      </x:c>
      <x:c r="C19" s="37" t="str">
        <x:v>青色尾迹</x:v>
      </x:c>
      <x:c r="D19" s="37" t="str">
        <x:v>红闪</x:v>
      </x:c>
      <x:c r="E19" s="37" t="str">
        <x:v>琥珀环</x:v>
      </x:c>
      <x:c r="F19" s="37" t="str">
        <x:v>终态守卫</x:v>
      </x:c>
    </x:row>
    <x:row r="21">
      <x:c r="A21" s="58" t="str">
        <x:v>预览图：assets/art/characters/player/chr_player_capsule01/chr_player_capsule01_states_preview_v001.png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验证命令：godot --path . verify_player_pixel_art_flow.tscn ｜ 结果：单手随身体镜像 / 枪械独立连续瞄准 PASS</x:v>
      </x:c>
      <x:c r="B23" s="61"/>
      <x:c r="C23" s="61"/>
      <x:c r="D23" s="61"/>
      <x:c r="E23" s="61"/>
      <x:c r="F23" s="61"/>
      <x:c r="G23" s="61"/>
      <x:c r="H23" s="61"/>
    </x:row>
    <x:row r="24" ht="24" customHeight="1">
      <x:c r="A24" s="73" t="str">
        <x:v>换弹覆盖层：唯一手 + weapon_socket 同相三阶段动作；头顶 billboard 读取真实 0→1 进度；verify_3d_reload_state_flow.tscn PASS</x:v>
      </x:c>
      <x:c r="B24" s="73"/>
      <x:c r="C24" s="73"/>
      <x:c r="D24" s="73"/>
      <x:c r="E24" s="73"/>
      <x:c r="F24" s="73"/>
      <x:c r="G24" s="73"/>
      <x:c r="H24" s="73"/>
      <x:c r="I24" s="73"/>
      <x:c r="J24" s="73"/>
      <x:c r="K24" s="73"/>
      <x:c r="L24" s="73"/>
      <x:c r="M24" s="73"/>
      <x:c r="N24" s="73"/>
    </x:row>
    <x:row r="25" ht="30" customHeight="1">
      <x:c r="A25" s="63" t="str">
        <x:v>独立3D验收场：scenes/Player3DStateGallery.tscn ｜ 真正驱动 Player3D 六态、WeaponModel3D 换弹覆盖、Enemy3D/Boss 九态与 ThemedNPC3D；验证：verify_player3d_state_gallery_flow.tscn / verify_player3d_state_gallery_visual.tscn PASS</x:v>
      </x:c>
      <x:c r="B25" s="63"/>
      <x:c r="C25" s="63"/>
      <x:c r="D25" s="63"/>
      <x:c r="E25" s="63"/>
      <x:c r="F25" s="63"/>
      <x:c r="G25" s="63"/>
      <x:c r="H25" s="63"/>
      <x:c r="I25" s="63"/>
      <x:c r="J25" s="63"/>
      <x:c r="K25" s="63"/>
      <x:c r="L25" s="63"/>
      <x:c r="M25" s="63"/>
      <x:c r="N25" s="63"/>
    </x:row>
    <x:row r="26" ht="32" customHeight="1">
      <x:c r="A26" s="83" t="str">
        <x:v>动作覆盖层：firing 由 WeaponModel3D.shot_fired 启动；charging 读取真实蓄力；knockback 以命中方向驱动 hurt 冲量与弹性回正；唯一 Hand + weapon_socket 全程同相。验证：verify_player3d_state_gallery_flow.tscn PASS</x:v>
      </x:c>
      <x:c r="B26" s="83"/>
      <x:c r="C26" s="83"/>
      <x:c r="D26" s="83"/>
      <x:c r="E26" s="83"/>
      <x:c r="F26" s="83"/>
      <x:c r="G26" s="83"/>
      <x:c r="H26" s="83"/>
      <x:c r="I26" s="83"/>
      <x:c r="J26" s="83"/>
      <x:c r="K26" s="83"/>
      <x:c r="L26" s="83"/>
      <x:c r="M26" s="83"/>
      <x:c r="N26" s="83"/>
    </x:row>
    <x:row r="28" ht="34" customHeight="1">
      <x:c r="A28" s="95" t="str">
        <x:v>DIY 组件：body/head/hand 三组外观变体 + hat/glasses 独立头部配件；真实入口 Player3D.set_avatar_customization()；握持点内收，移动/射击/击飞中 Hand + weapon_socket 同相。验证：verify_player3d_diy_flow.tscn PASS</x:v>
      </x:c>
      <x:c r="B28" s="95"/>
      <x:c r="C28" s="95"/>
      <x:c r="D28" s="95"/>
      <x:c r="E28" s="95"/>
      <x:c r="F28" s="95"/>
      <x:c r="G28" s="95"/>
      <x:c r="H28" s="95"/>
      <x:c r="I28" s="95"/>
      <x:c r="J28" s="95"/>
      <x:c r="K28" s="95"/>
      <x:c r="L28" s="95"/>
      <x:c r="M28" s="95"/>
      <x:c r="N28" s="95"/>
    </x:row>
    <x:row r="29" ht="38" customHeight="1">
      <x:c r="A29" t="str">
        <x:v>PH33 方形猫：复用CHR-PLY-CAPSULE01-3D；Body/Head/Hand/Feet四主模块；Head含双矩形眼与双三角耳，Body含圆短尾；无嘴、无长尾、无第二手；moving双脚交替，手与weapon_socket全动作同相。</x:v>
      </x:c>
      <x:c r="B29"/>
      <x:c r="C29"/>
      <x:c r="D29"/>
      <x:c r="E29"/>
      <x:c r="F29"/>
      <x:c r="G29"/>
      <x:c r="H29"/>
      <x:c r="I29"/>
      <x:c r="J29"/>
      <x:c r="K29"/>
      <x:c r="L29"/>
      <x:c r="M29"/>
      <x:c r="N29"/>
    </x:row>
  </x:sheetData>
  <x:mergeCells>
    <x:mergeCell ref="A1:N2"/>
    <x:mergeCell ref="A3:N3"/>
    <x:mergeCell ref="A13:H13"/>
    <x:mergeCell ref="A21:H21"/>
    <x:mergeCell ref="A23:H23"/>
    <x:mergeCell ref="A24:N24"/>
    <x:mergeCell ref="A25:N25"/>
    <x:mergeCell ref="A26:N26"/>
    <x:mergeCell ref="A28:N28"/>
    <x:mergeCell ref="A29:N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6" hidden="0" customWidth="1"/>
    <x:col min="4" max="4" width="18" hidden="0" customWidth="1"/>
    <x:col min="5" max="5" width="58" hidden="0" customWidth="1"/>
    <x:col min="6" max="6" width="18" hidden="0" customWidth="1"/>
    <x:col min="7" max="7" width="14" hidden="0" customWidth="1"/>
  </x:cols>
  <x:sheetData>
    <x:row r="1" ht="25" customHeight="1">
      <x:c r="A1" s="3" t="str">
        <x:v>资产台账版本记录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只记录影响规范、分类、ID 或批量资产状态的变更；单张资产更新在主表版本列追踪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>
      <x:c r="A6" s="36" t="str">
        <x:v>v1.0</x:v>
      </x:c>
      <x:c r="B6" s="53" t="n">
        <x:v>46224</x:v>
      </x:c>
      <x:c r="C6" s="36" t="str">
        <x:v>首次建立</x:v>
      </x:c>
      <x:c r="D6" s="36" t="str">
        <x:v>全项目</x:v>
      </x:c>
      <x:c r="E6" s="36" t="str">
        <x:v>建立分类、查重、角色组件、状态映射；登记胶囊防护体 v001</x:v>
      </x:c>
      <x:c r="F6" s="36" t="str">
        <x:v>基线</x:v>
      </x:c>
      <x:c r="G6" s="36" t="str">
        <x:v>Codex</x:v>
      </x:c>
    </x:row>
    <x:row r="7">
      <x:c r="A7" t="str">
        <x:v>v1.1</x:v>
      </x:c>
      <x:c r="B7" s="62" t="n">
        <x:v>46224</x:v>
      </x:c>
      <x:c r="C7" t="str">
        <x:v>组件契约修正</x:v>
      </x:c>
      <x:c r="D7" t="str">
        <x:v>player_capsule01</x:v>
      </x:c>
      <x:c r="E7" t="str">
        <x:v>停用左手运行时表现；唯一握持手固定在 (23,0)，准星只驱动枪械旋转</x:v>
      </x:c>
      <x:c r="F7" t="str">
        <x:v>保留旧 AssetID/源文件</x:v>
      </x:c>
      <x:c r="G7" t="str">
        <x:v>Codex</x:v>
      </x:c>
    </x:row>
    <x:row r="8">
      <x:c r="A8" t="str">
        <x:v>v1.2</x:v>
      </x:c>
      <x:c r="B8" s="62" t="n">
        <x:v>46224</x:v>
      </x:c>
      <x:c r="C8" t="str">
        <x:v>朝向与挂点契约修正</x:v>
      </x:c>
      <x:c r="D8" t="str">
        <x:v>player_capsule01</x:v>
      </x:c>
      <x:c r="E8" t="str">
        <x:v>握持手改为随身体在 x=±19 镜像；枪械挂点同步 x=±24；垂直瞄准保持上次左右朝向</x:v>
      </x:c>
      <x:c r="F8" t="str">
        <x:v>不改纹理与 AssetID</x:v>
      </x:c>
      <x:c r="G8" t="str">
        <x:v>Codex</x:v>
      </x:c>
    </x:row>
    <x:row r="9" ht="48" customHeight="1">
      <x:c r="A9" s="63" t="str">
        <x:v>v1.3</x:v>
      </x:c>
      <x:c r="B9" s="64" t="n">
        <x:v>46224</x:v>
      </x:c>
      <x:c r="C9" s="63" t="str">
        <x:v>3D变体登记</x:v>
      </x:c>
      <x:c r="D9" s="63" t="str">
        <x:v>入口基地 / player_capsule01</x:v>
      </x:c>
      <x:c r="E9" s="63" t="str">
        <x:v>登记首张3D入口地图、设施/入口模块、3D角色root/body/head/hand/scarf/socket；六态ID与2D保持一致</x:v>
      </x:c>
      <x:c r="F9" s="63" t="str">
        <x:v>保留原2D资产与场景作为基线</x:v>
      </x:c>
      <x:c r="G9" s="63" t="str">
        <x:v>Codex</x:v>
      </x:c>
    </x:row>
    <x:row r="10" ht="58" customHeight="1">
      <x:c r="A10" s="63" t="str">
        <x:v>v1.4</x:v>
      </x:c>
      <x:c r="B10" s="64" t="n">
        <x:v>46224</x:v>
      </x:c>
      <x:c r="C10" s="63" t="str">
        <x:v>全游戏3D原型登记</x:v>
      </x:c>
      <x:c r="D10" s="63" t="str">
        <x:v>四主题副本 / 靶场 / 战斗 / 共用资产</x:v>
      </x:c>
      <x:c r="E10" s="63" t="str">
        <x:v>登记通用房间、4主题、灯具、三档家具与搜索、服务/撤离、枪械、七怪、战斗VFX、3D靶场和两张GPU验收预览</x:v>
      </x:c>
      <x:c r="F10" s="63" t="str">
        <x:v>复用原玩法ID与BlueprintRegistry；保留2D基线</x:v>
      </x:c>
      <x:c r="G10" s="63" t="str">
        <x:v>Codex</x:v>
      </x:c>
    </x:row>
    <x:row r="11" ht="58" customHeight="1">
      <x:c r="A11" s="63" t="str">
        <x:v>v1.5</x:v>
      </x:c>
      <x:c r="B11" s="64" t="n">
        <x:v>46225</x:v>
      </x:c>
      <x:c r="C11" s="63" t="str">
        <x:v>真实视野与3D输入验收登记</x:v>
      </x:c>
      <x:c r="D11" s="63" t="str">
        <x:v>3D视野 / 背包 / 暂停 / Enemy3D</x:v>
      </x:c>
      <x:c r="E11" s="63" t="str">
        <x:v>登记真实视野场、3D背包子变体和共用暂停UI；低血暗角完成接入；Enemy3D状态表由七态修正为九态</x:v>
      </x:c>
      <x:c r="F11" s="63" t="str">
        <x:v>复用既有视野/背包/VFX根身份；新增暂停根；不改变2D资产ID</x:v>
      </x:c>
      <x:c r="G11" s="63" t="str">
        <x:v>Codex</x:v>
      </x:c>
    </x:row>
    <x:row r="12">
      <x:c r="A12" s="63" t="str">
        <x:v>v1.6</x:v>
      </x:c>
      <x:c r="B12" s="64" t="n">
        <x:v>46225</x:v>
      </x:c>
      <x:c r="C12" s="63" t="str">
        <x:v>暗室照明与战斗生态登记</x:v>
      </x:c>
      <x:c r="D12" s="63" t="str">
        <x:v>3D视野 / 房灯 / 怪物 / 枪械组合</x:v>
      </x:c>
      <x:c r="E12" s="63" t="str">
        <x:v>登记柔边视野与表现层探照灯、中央顶灯与墙面开关；七类怪碰撞随模型轮廓；枪械/子弹3D适配与开局副枪完成</x:v>
      </x:c>
      <x:c r="F12" s="63" t="str">
        <x:v>新增一个房灯开关根；其余复用既有根ID；玩法逻辑与表现解耦</x:v>
      </x:c>
      <x:c r="G12" s="63" t="str">
        <x:v>Codex</x:v>
      </x:c>
    </x:row>
    <x:row r="13" ht="60" customHeight="1">
      <x:c r="A13" s="70" t="str">
        <x:v>v1.7</x:v>
      </x:c>
      <x:c r="B13" s="71" t="n">
        <x:v>46225</x:v>
      </x:c>
      <x:c r="C13" s="70" t="str">
        <x:v>真实灯光与3D背包投影登记</x:v>
      </x:c>
      <x:c r="D13" s="70" t="str">
        <x:v>玩家探照灯 / 3D背包 / 世界道具模型</x:v>
      </x:c>
      <x:c r="E13" s="70" t="str">
        <x:v>登记独立真实探照灯和共用3D道具投影；视野不再持有灯光；实际槽位点击换枪纳入资产验收</x:v>
      </x:c>
      <x:c r="F13" s="70" t="str">
        <x:v>新增两个可复用子资产；不复制每个道具图标；玩法视野与灯光继续解耦</x:v>
      </x:c>
      <x:c r="G13" s="70" t="str">
        <x:v>Codex</x:v>
      </x:c>
    </x:row>
    <x:row r="14" ht="54" customHeight="1">
      <x:c r="A14" s="63" t="str">
        <x:v>v1.8</x:v>
      </x:c>
      <x:c r="B14" s="64" t="n">
        <x:v>46225</x:v>
      </x:c>
      <x:c r="C14" s="63" t="str">
        <x:v>360°逻辑视野契约修正</x:v>
      </x:c>
      <x:c r="D14" s="63" t="str">
        <x:v>VFX-VISIBILITY-FIELD-3D / PlayerVision3D</x:v>
      </x:c>
      <x:c r="E14" s="63" t="str">
        <x:v>目标显隐改为21m内360°物理遮挡；保留96°柔边目光场与探照灯表现。</x:v>
      </x:c>
      <x:c r="F14" s="63" t="str">
        <x:v>AssetID和路径不变；只更新玩法角度契约、诊断字段与验收。</x:v>
      </x:c>
      <x:c r="G14" s="63" t="str">
        <x:v>Codex</x:v>
      </x:c>
    </x:row>
    <x:row r="15" ht="72" customHeight="1">
      <x:c r="A15" s="70" t="str">
        <x:v>v1.9</x:v>
      </x:c>
      <x:c r="B15" s="71" t="n">
        <x:v>46225</x:v>
      </x:c>
      <x:c r="C15" s="70" t="str">
        <x:v>3D战斗生命、AI与反馈闭环</x:v>
      </x:c>
      <x:c r="D15" s="70" t="str">
        <x:v>Enemy3D / 玩家状态动画 / 三层灯组 / 钥匙与掉落</x:v>
      </x:c>
      <x:c r="E15" s="70" t="str">
        <x:v>修复AI视线与3D HP倍率；moving独立动画；环境/角色灯分层；中央灯增强；拾取上弹旋转；钥匙近距生成、查重与补发</x:v>
      </x:c>
      <x:c r="F15" s="70" t="str">
        <x:v>不新增AssetID或复制模型；更新既有根资产行为、哈希、状态职责与验收契约</x:v>
      </x:c>
      <x:c r="G15" s="70" t="str">
        <x:v>Codex</x:v>
      </x:c>
    </x:row>
    <x:row r="16" ht="72" customHeight="1">
      <x:c r="A16" s="63" t="str">
        <x:v>v1.10</x:v>
      </x:c>
      <x:c r="B16" s="64" t="n">
        <x:v>46225</x:v>
      </x:c>
      <x:c r="C16" s="63" t="str">
        <x:v>3D换弹覆盖状态登记</x:v>
      </x:c>
      <x:c r="D16" s="63" t="str">
        <x:v>CHR-PLY-CAPSULE01-3D / WPN-GUN-KIT-3D / 玩家状态机</x:v>
      </x:c>
      <x:c r="E16" s="63" t="str">
        <x:v>换弹成为可与移动并存的覆盖态；武器唯一计时驱动单手/枪同相动画和头顶billboard进度条；完成/补弹/换枪/死亡清理</x:v>
      </x:c>
      <x:c r="F16" s="63" t="str">
        <x:v>不新增AssetID；六态白名单与56组合不变；复用既有角色根和枪械套件</x:v>
      </x:c>
      <x:c r="G16" s="63" t="str">
        <x:v>Codex</x:v>
      </x:c>
    </x:row>
    <x:row r="17" ht="52" customHeight="1">
      <x:c r="A17" s="63" t="str">
        <x:v>v1.11</x:v>
      </x:c>
      <x:c r="B17" s="63" t="str">
        <x:v>2026-07-23</x:v>
      </x:c>
      <x:c r="C17" s="63" t="str">
        <x:v>3D动作覆盖层登记</x:v>
      </x:c>
      <x:c r="D17" s="63" t="str">
        <x:v>CHR-PLY-CAPSULE01-3D / WPN-GUN-KIT-3D</x:v>
      </x:c>
      <x:c r="E17" s="63" t="str">
        <x:v>登记 firing/charging/knockback：真实武器/命中来源、手与weapon_socket同相、击飞基础位移与弹性回正；预览场控件和自动验收补齐</x:v>
      </x:c>
      <x:c r="F17" s="63" t="str">
        <x:v>不新增AssetID或贴图；六态保持互斥，动作以既有组件程序组合</x:v>
      </x:c>
      <x:c r="G17" s="63" t="str">
        <x:v>Codex</x:v>
      </x:c>
    </x:row>
    <x:row r="18" ht="50" customHeight="1">
      <x:c r="A18" s="63" t="str">
        <x:v>v1.12</x:v>
      </x:c>
      <x:c r="B18" s="63" t="str">
        <x:v>2026-07-23</x:v>
      </x:c>
      <x:c r="C18" s="63" t="str">
        <x:v>3D角色DIY组件登记</x:v>
      </x:c>
      <x:c r="D18" s="63" t="str">
        <x:v>CHR-PLY-CAPSULE01-3D 及五个子变体</x:v>
      </x:c>
      <x:c r="E18" s="63" t="str">
        <x:v>登记 body/head/hand/hat/glasses 可装配变体、内收握持点、动态继承和预览/自动验收</x:v>
      </x:c>
      <x:c r="F18" s="63" t="str">
        <x:v>新增子AssetID；不增加角色根，不改玩法或六态</x:v>
      </x:c>
      <x:c r="G18" s="63" t="str">
        <x:v>Codex</x:v>
      </x:c>
    </x:row>
    <x:row r="19" ht="52" customHeight="1">
      <x:c r="A19" s="63" t="str">
        <x:v>v1.13</x:v>
      </x:c>
      <x:c r="B19" s="63" t="str">
        <x:v>2026-07-25</x:v>
      </x:c>
      <x:c r="C19" s="63" t="str">
        <x:v>方形猫3D角色原型登记</x:v>
      </x:c>
      <x:c r="D19" s="63" t="str">
        <x:v>CHR-PLY-CAPSULE01-3D及脚/眼/耳/短尾子资产</x:v>
      </x:c>
      <x:c r="E19" s="63" t="str">
        <x:v>复用玩家根；登记Body/Head/Hand/Feet四主模块、双矩形眼、双三角耳、圆短尾、feet DIY及交替脚步</x:v>
      </x:c>
      <x:c r="F19" s="63" t="str">
        <x:v>新增5个子AssetID；旧2D胶囊不变；3D旧Scarf隐藏兼容；玩法、碰撞、六态和灯光契约不变</x:v>
      </x:c>
      <x:c r="G19" s="63" t="str">
        <x:v>Codex</x:v>
      </x:c>
    </x:row>
  </x:sheetData>
  <x:mergeCells>
    <x:mergeCell ref="A1:G2"/>
    <x:mergeCell ref="A3:G3"/>
  </x:mergeCells>
  <x:pageMargins left="0.7" right="0.7" top="0.75" bottom="0.75" header="0.3" footer="0.3"/>
</x:worksheet>
</file>