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资产主表" sheetId="2" state="visible" r:id="rId2"/>
    <sheet name="角色组件" sheetId="3" state="visible" r:id="rId3"/>
    <sheet name="动画与状态" sheetId="4" state="visible" r:id="rId4"/>
    <sheet name="分类与编码" sheetId="5" state="visible" r:id="rId5"/>
    <sheet name="命名与查重" sheetId="6" state="visible" r:id="rId6"/>
    <sheet name="原型角色" sheetId="7" state="visible" r:id="rId7"/>
    <sheet name="版本记录" sheetId="8" state="visible" r:id="rId8"/>
    <sheet name="3D Prefab总控" sheetId="9" state="visible" r:id="rId9"/>
    <sheet name="3D-场景通用" sheetId="10" state="visible" r:id="rId10"/>
    <sheet name="3D-设施" sheetId="11" state="visible" r:id="rId11"/>
    <sheet name="3D-道具" sheetId="12" state="visible" r:id="rId12"/>
    <sheet name="3D-角色" sheetId="13" state="visible" r:id="rId13"/>
    <sheet name="3D-敌人" sheetId="14" state="visible" r:id="rId14"/>
    <sheet name="3D-武器" sheetId="15" state="visible" r:id="rId15"/>
    <sheet name="3D-物品" sheetId="16" state="visible" r:id="rId16"/>
    <sheet name="3D-特效" sheetId="17" state="visible" r:id="rId17"/>
    <sheet name="3D-其他" sheetId="18" state="visible" r:id="rId18"/>
    <sheet name="Skill清单" sheetId="19" state="visible" r:id="rId19"/>
    <sheet name="角色中转记录" sheetId="20" state="visible" r:id="rId20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002E7D32"/>
      <sz val="11"/>
    </font>
    <font>
      <b val="1"/>
      <color rgb="0017324D"/>
      <sz val="14"/>
    </font>
    <font>
      <i val="1"/>
      <color rgb="00555555"/>
    </font>
    <font>
      <b val="1"/>
      <color rgb="00FFFFFF"/>
    </font>
    <font>
      <b val="1"/>
      <color rgb="00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00E8F5E9"/>
      </patternFill>
    </fill>
    <fill>
      <patternFill patternType="solid">
        <fgColor rgb="0017324D"/>
      </patternFill>
    </fill>
    <fill>
      <patternFill patternType="solid">
        <fgColor rgb="00E3F2FD"/>
      </patternFill>
    </fill>
  </fills>
  <borders count="41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</borders>
  <cellStyleXfs count="1">
    <xf numFmtId="0" fontId="0" fillId="0" borderId="0"/>
  </cellStyleXfs>
  <cellXfs count="39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美术资产中枢 v0.1</t>
        </is>
      </c>
    </row>
    <row r="2" ht="12" customHeight="1"/>
    <row r="3" ht="23" customHeight="1">
      <c r="A3" s="318" t="inlineStr">
        <is>
          <t>查重 → 归类 → 领取 AssetID → 组件制作 → 游戏内验收 → 回填哈希；本表是唯一资产登记源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当前3D原型</t>
        </is>
      </c>
      <c r="J5" s="320" t="inlineStr">
        <is>
          <t>基地 + 四主题副本 + 独立靶场</t>
        </is>
      </c>
    </row>
    <row r="6" ht="42" customHeight="1">
      <c r="A6" s="321" t="n">
        <v>306</v>
      </c>
      <c r="B6" s="354" t="n"/>
      <c r="C6" s="321" t="n">
        <v>176</v>
      </c>
      <c r="D6" s="354" t="n"/>
      <c r="E6" s="321">
        <f>COUNTIF('资产主表'!$K$6:$K$300,"待制作")+COUNTIF('资产主表'!$K$6:$K$300,"程序占位")</f>
        <v/>
      </c>
      <c r="F6" s="354" t="n"/>
      <c r="G6" s="321">
        <f>COUNTIF('资产主表'!$S$6:$S$300,"重复")</f>
        <v/>
      </c>
      <c r="H6" s="354" t="n"/>
      <c r="I6" s="322" t="inlineStr">
        <is>
          <t>v0.1 3D塔楼：5m组件网格 / 99+100F基地打通 / 90×80m天台北侧贴边抬高生活棚、36项独立阻挡、黄色动线零阻挡与双净空契约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4" t="inlineStr">
        <is>
          <t>资产数</t>
        </is>
      </c>
      <c r="C9" s="325" t="inlineStr">
        <is>
          <t>完成/接入</t>
        </is>
      </c>
      <c r="D9" s="354" t="n"/>
      <c r="E9" s="326" t="inlineStr">
        <is>
          <t>新增资产强制门禁</t>
        </is>
      </c>
      <c r="F9" s="125" t="n"/>
      <c r="G9" s="125" t="n"/>
      <c r="H9" s="125" t="n"/>
      <c r="I9" s="125" t="n"/>
      <c r="J9" s="126" t="n"/>
    </row>
    <row r="10">
      <c r="A10" s="329" t="inlineStr">
        <is>
          <t>角色</t>
        </is>
      </c>
      <c r="B10" s="329" t="n">
        <v>34</v>
      </c>
      <c r="C10" s="329" t="n">
        <v>28</v>
      </c>
      <c r="D10" s="354" t="n"/>
      <c r="E10" s="330" t="inlineStr">
        <is>
          <t>1</t>
        </is>
      </c>
      <c r="F10" s="329" t="inlineStr">
        <is>
          <t>查逻辑 ID / 中文名 / 别名 / 文件哈希</t>
        </is>
      </c>
      <c r="G10" s="329" t="inlineStr">
        <is>
          <t>有同义资产则复用或建立变体父子关系</t>
        </is>
      </c>
      <c r="H10" s="354" t="n"/>
      <c r="I10" s="354" t="n"/>
      <c r="J10" s="354" t="n"/>
    </row>
    <row r="11">
      <c r="A11" s="331" t="inlineStr">
        <is>
          <t>敌人</t>
        </is>
      </c>
      <c r="B11" s="331" t="n">
        <v>12</v>
      </c>
      <c r="C11" s="331" t="n">
        <v>5</v>
      </c>
      <c r="D11" s="354" t="n"/>
      <c r="E11" s="330" t="inlineStr">
        <is>
          <t>2</t>
        </is>
      </c>
      <c r="F11" s="331" t="inlineStr">
        <is>
          <t>在分类码表选择唯一大类与子类</t>
        </is>
      </c>
      <c r="G11" s="331" t="inlineStr">
        <is>
          <t>禁止同一资产跨目录复制</t>
        </is>
      </c>
      <c r="H11" s="354" t="n"/>
      <c r="I11" s="354" t="n"/>
      <c r="J11" s="354" t="n"/>
    </row>
    <row r="12">
      <c r="A12" s="331" t="inlineStr">
        <is>
          <t>武器</t>
        </is>
      </c>
      <c r="B12" s="331" t="n">
        <v>36</v>
      </c>
      <c r="C12" s="331" t="n">
        <v>19</v>
      </c>
      <c r="D12" s="354" t="n"/>
      <c r="E12" s="330" t="inlineStr">
        <is>
          <t>3</t>
        </is>
      </c>
      <c r="F12" s="331" t="inlineStr">
        <is>
          <t>领取稳定 AssetID 与小写 snake_case 文件名</t>
        </is>
      </c>
      <c r="G12" s="331" t="inlineStr">
        <is>
          <t>版本只加 _v002，不改 AssetID</t>
        </is>
      </c>
      <c r="H12" s="354" t="n"/>
      <c r="I12" s="354" t="n"/>
      <c r="J12" s="354" t="n"/>
    </row>
    <row r="13">
      <c r="A13" s="331" t="inlineStr">
        <is>
          <t>道具</t>
        </is>
      </c>
      <c r="B13" s="331" t="n">
        <v>14</v>
      </c>
      <c r="C13" s="331" t="n">
        <v>9</v>
      </c>
      <c r="D13" s="354" t="n"/>
      <c r="E13" s="330" t="inlineStr">
        <is>
          <t>4</t>
        </is>
      </c>
      <c r="F13" s="331" t="inlineStr">
        <is>
          <t>3D房间/家具/枪械/怪物/灯具先查共用根与尺寸类</t>
        </is>
      </c>
      <c r="G13" s="331" t="inlineStr">
        <is>
          <t>主题差异进入资源或配置，禁止复制关卡局部目录</t>
        </is>
      </c>
      <c r="H13" s="354" t="n"/>
      <c r="I13" s="354" t="n"/>
      <c r="J13" s="354" t="n"/>
    </row>
    <row r="14">
      <c r="A14" s="331" t="inlineStr">
        <is>
          <t>场景</t>
        </is>
      </c>
      <c r="B14" s="331" t="n">
        <v>93</v>
      </c>
      <c r="C14" s="331" t="n">
        <v>42</v>
      </c>
      <c r="D14" s="354" t="n"/>
      <c r="E14" s="330" t="inlineStr">
        <is>
          <t>5</t>
        </is>
      </c>
      <c r="F14" s="331" t="inlineStr">
        <is>
          <t>游戏内表现、状态机、玩法逻辑、性能四项验收</t>
        </is>
      </c>
      <c r="G14" s="331" t="inlineStr">
        <is>
          <t>通过后填写路径、尺寸、哈希、日期</t>
        </is>
      </c>
      <c r="H14" s="354" t="n"/>
      <c r="I14" s="354" t="n"/>
      <c r="J14" s="354" t="n"/>
    </row>
    <row r="15">
      <c r="A15" s="331" t="inlineStr">
        <is>
          <t>场景道具</t>
        </is>
      </c>
      <c r="B15" s="331" t="n">
        <v>20</v>
      </c>
      <c r="C15" s="331" t="n">
        <v>11</v>
      </c>
      <c r="D15" s="354" t="n"/>
      <c r="E15" s="354" t="n"/>
      <c r="F15" s="354" t="n"/>
      <c r="G15" s="354" t="n"/>
      <c r="H15" s="354" t="n"/>
      <c r="I15" s="354" t="n"/>
      <c r="J15" s="354" t="n"/>
    </row>
    <row r="16">
      <c r="A16" s="331" t="inlineStr">
        <is>
          <t>UI</t>
        </is>
      </c>
      <c r="B16" s="331" t="n">
        <v>17</v>
      </c>
      <c r="C16" s="331" t="n">
        <v>6</v>
      </c>
      <c r="D16" s="354" t="n"/>
      <c r="E16" s="354" t="n"/>
      <c r="F16" s="354" t="n"/>
      <c r="G16" s="354" t="n"/>
      <c r="H16" s="354" t="n"/>
      <c r="I16" s="354" t="n"/>
      <c r="J16" s="354" t="n"/>
    </row>
    <row r="17">
      <c r="A17" s="331" t="inlineStr">
        <is>
          <t>特效</t>
        </is>
      </c>
      <c r="B17" s="331" t="n">
        <v>23</v>
      </c>
      <c r="C17" s="331" t="n">
        <v>9</v>
      </c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inlineStr">
        <is>
          <t>音频</t>
        </is>
      </c>
      <c r="B18" s="331" t="n">
        <v>57</v>
      </c>
      <c r="C18" s="331" t="n">
        <v>44</v>
      </c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4">
    <mergeCell ref="E9:J9"/>
    <mergeCell ref="A3:J3"/>
    <mergeCell ref="A1:J2"/>
    <mergeCell ref="I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18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49" t="n"/>
      <c r="B4" s="349" t="n"/>
      <c r="C4" s="349" t="n"/>
      <c r="D4" s="349" t="n"/>
      <c r="E4" s="349" t="n"/>
      <c r="F4" s="349" t="n"/>
      <c r="G4" s="349" t="n"/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  <c r="R4" s="349" t="n"/>
      <c r="S4" s="349" t="n"/>
      <c r="T4" s="349" t="n"/>
      <c r="U4" s="349" t="n"/>
      <c r="V4" s="349" t="n"/>
      <c r="W4" s="349" t="n"/>
      <c r="Y4" s="349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301" t="inlineStr">
        <is>
          <t>CHR-PLY-CAPSULE01</t>
        </is>
      </c>
      <c r="B6" s="301" t="inlineStr">
        <is>
          <t>胶囊防护体玩家</t>
        </is>
      </c>
      <c r="C6" s="301" t="inlineStr">
        <is>
          <t>角色</t>
        </is>
      </c>
      <c r="D6" s="301" t="inlineStr">
        <is>
          <t>player</t>
        </is>
      </c>
      <c r="E6" s="301" t="inlineStr">
        <is>
          <t>player_capsule01</t>
        </is>
      </c>
      <c r="F6" s="301" t="inlineStr">
        <is>
          <t>root</t>
        </is>
      </c>
      <c r="G6" s="301" t="str"/>
      <c r="H6" s="301" t="inlineStr">
        <is>
          <t>俯视3D</t>
        </is>
      </c>
      <c r="I6" s="301" t="inlineStr">
        <is>
          <t>default</t>
        </is>
      </c>
      <c r="J6" s="301" t="inlineStr">
        <is>
          <t>正式3D玩家</t>
        </is>
      </c>
      <c r="K6" s="301" t="inlineStr">
        <is>
          <t>原型已接入</t>
        </is>
      </c>
      <c r="L6" s="301" t="inlineStr">
        <is>
          <t>P0</t>
        </is>
      </c>
      <c r="M6" s="301" t="inlineStr">
        <is>
          <t>v021</t>
        </is>
      </c>
      <c r="N6" s="301" t="inlineStr">
        <is>
          <t>可见边界0.724×1.050×0.452m（含耳）；Player3D 碰撞胶囊高1.5m、半径0.34m</t>
        </is>
      </c>
      <c r="O6" s="301" t="inlineStr">
        <is>
          <t>assets/art/characters/player/chr_player_capsule01_3d/variants/bunny01/production/v021/runtime/chr_bunny01_root_v021.tscn</t>
        </is>
      </c>
      <c r="P6" s="301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6" s="301" t="inlineStr">
        <is>
          <t>玩家; 胶囊体; 防护服; 主角</t>
        </is>
      </c>
      <c r="R6" s="301">
        <f>LOWER(TRIM(C6)&amp;"|"&amp;TRIM(D6)&amp;"|"&amp;TRIM(E6)&amp;"|"&amp;TRIM(F6)&amp;"|"&amp;TRIM(H6)&amp;"|"&amp;TRIM(I6))</f>
        <v/>
      </c>
      <c r="S6" s="301">
        <f>IF(COUNTIF($R$6:$R$300,R6)&gt;1,"重复","唯一")</f>
        <v/>
      </c>
      <c r="T6" s="301" t="inlineStr">
        <is>
          <t>c571c093bab22f38361fabb0317d30602035d8e5187b7bf7279aec5b14a370ea</t>
        </is>
      </c>
      <c r="U6" s="301" t="inlineStr">
        <is>
          <t>待分配</t>
        </is>
      </c>
      <c r="V6" s="302" t="n">
        <v>46264</v>
      </c>
      <c r="W6" s="301" t="inlineStr">
        <is>
          <t>稳定玩法根 AssetID</t>
        </is>
      </c>
      <c r="X6" s="375" t="inlineStr">
        <is>
          <t>—</t>
        </is>
      </c>
      <c r="Y6" s="301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7">
      <c r="A7" s="138" t="inlineStr">
        <is>
          <t>CHR-PLY-CAPSULE01-HEAD-SIDE</t>
        </is>
      </c>
      <c r="B7" s="138" t="inlineStr">
        <is>
          <t>胶囊头壳</t>
        </is>
      </c>
      <c r="C7" s="138" t="inlineStr">
        <is>
          <t>角色</t>
        </is>
      </c>
      <c r="D7" s="138" t="inlineStr">
        <is>
          <t>player_component</t>
        </is>
      </c>
      <c r="E7" s="138" t="inlineStr">
        <is>
          <t>player_capsule01</t>
        </is>
      </c>
      <c r="F7" s="138" t="inlineStr">
        <is>
          <t>head</t>
        </is>
      </c>
      <c r="G7" s="138" t="inlineStr">
        <is>
          <t>CHR-PLY-CAPSULE01</t>
        </is>
      </c>
      <c r="H7" s="138" t="inlineStr">
        <is>
          <t>侧面朝右（可水平翻转）</t>
        </is>
      </c>
      <c r="I7" s="138" t="inlineStr">
        <is>
          <t>deprecated</t>
        </is>
      </c>
      <c r="J7" s="138" t="inlineStr">
        <is>
          <t>单资产</t>
        </is>
      </c>
      <c r="K7" s="138" t="inlineStr">
        <is>
          <t>弃用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28×24 px</t>
        </is>
      </c>
      <c r="O7" s="138" t="n"/>
      <c r="P7" s="138" t="n"/>
      <c r="Q7" s="138" t="inlineStr">
        <is>
          <t>头; 头盔; 传感器</t>
        </is>
      </c>
      <c r="R7" s="138">
        <f>LOWER(TRIM(C7)&amp;"|"&amp;TRIM(D7)&amp;"|"&amp;TRIM(E7)&amp;"|"&amp;TRIM(F7)&amp;"|"&amp;TRIM(H7)&amp;"|"&amp;TRIM(I7))</f>
        <v/>
      </c>
      <c r="S7" s="138">
        <f>IF(COUNTIF($R$6:$R$300,R7)&gt;1,"重复","唯一")</f>
        <v/>
      </c>
      <c r="T7" s="138" t="inlineStr">
        <is>
          <t>6035db0c8d1824ee0d0f12c0bcf7d5ebced8e37666541b7c31000ff7bad2f905</t>
        </is>
      </c>
      <c r="U7" s="138" t="inlineStr">
        <is>
          <t>待分配</t>
        </is>
      </c>
      <c r="V7" s="303" t="n">
        <v>46243</v>
      </c>
      <c r="W7" s="138" t="inlineStr">
        <is>
          <t>原创/待确认</t>
        </is>
      </c>
      <c r="X7" s="375" t="inlineStr">
        <is>
          <t>—</t>
        </is>
      </c>
      <c r="Y7" s="138" t="inlineStr">
        <is>
          <t>2026-08-09：旧2D玩家像素表现文件已从仓库删除；仅保留AssetID/哈希作为历史记录，替代项为 CHR-PLY-CAPSULE01-3D-BUNNY01。</t>
        </is>
      </c>
    </row>
    <row r="8">
      <c r="A8" s="138" t="inlineStr">
        <is>
          <t>CHR-PLY-CAPSULE01-BODY-SIDE</t>
        </is>
      </c>
      <c r="B8" s="138" t="inlineStr">
        <is>
          <t>胶囊防护服躯干</t>
        </is>
      </c>
      <c r="C8" s="138" t="inlineStr">
        <is>
          <t>角色</t>
        </is>
      </c>
      <c r="D8" s="138" t="inlineStr">
        <is>
          <t>player_component</t>
        </is>
      </c>
      <c r="E8" s="138" t="inlineStr">
        <is>
          <t>player_capsule01</t>
        </is>
      </c>
      <c r="F8" s="138" t="inlineStr">
        <is>
          <t>body</t>
        </is>
      </c>
      <c r="G8" s="138" t="inlineStr">
        <is>
          <t>CHR-PLY-CAPSULE01</t>
        </is>
      </c>
      <c r="H8" s="138" t="inlineStr">
        <is>
          <t>侧面朝右（可水平翻转）</t>
        </is>
      </c>
      <c r="I8" s="138" t="inlineStr">
        <is>
          <t>deprecated</t>
        </is>
      </c>
      <c r="J8" s="138" t="inlineStr">
        <is>
          <t>单资产</t>
        </is>
      </c>
      <c r="K8" s="138" t="inlineStr">
        <is>
          <t>弃用</t>
        </is>
      </c>
      <c r="L8" s="138" t="inlineStr">
        <is>
          <t>P0</t>
        </is>
      </c>
      <c r="M8" s="138" t="inlineStr">
        <is>
          <t>v001</t>
        </is>
      </c>
      <c r="N8" s="138" t="inlineStr">
        <is>
          <t>32×35 px</t>
        </is>
      </c>
      <c r="O8" s="138" t="n"/>
      <c r="P8" s="138" t="n"/>
      <c r="Q8" s="138" t="inlineStr">
        <is>
          <t>身子; 躯干; 防护服</t>
        </is>
      </c>
      <c r="R8" s="138">
        <f>LOWER(TRIM(C8)&amp;"|"&amp;TRIM(D8)&amp;"|"&amp;TRIM(E8)&amp;"|"&amp;TRIM(F8)&amp;"|"&amp;TRIM(H8)&amp;"|"&amp;TRIM(I8))</f>
        <v/>
      </c>
      <c r="S8" s="138">
        <f>IF(COUNTIF($R$6:$R$300,R8)&gt;1,"重复","唯一")</f>
        <v/>
      </c>
      <c r="T8" s="138" t="inlineStr">
        <is>
          <t>653190cbcd99aaa10735842e4ee694c61e3c04b2d6aee7acfc3b03e0c7a65d6e</t>
        </is>
      </c>
      <c r="U8" s="138" t="inlineStr">
        <is>
          <t>待分配</t>
        </is>
      </c>
      <c r="V8" s="303" t="n">
        <v>46243</v>
      </c>
      <c r="W8" s="138" t="inlineStr">
        <is>
          <t>原创/待确认</t>
        </is>
      </c>
      <c r="X8" s="375" t="inlineStr">
        <is>
          <t>—</t>
        </is>
      </c>
      <c r="Y8" s="138" t="inlineStr">
        <is>
          <t>2026-08-09：旧2D玩家像素表现文件已从仓库删除；仅保留AssetID/哈希作为历史记录，替代项为 CHR-PLY-CAPSULE01-3D-BUNNY01。</t>
        </is>
      </c>
    </row>
    <row r="9">
      <c r="A9" s="138" t="inlineStr">
        <is>
          <t>CHR-PLY-CAPSULE01-HAND-L-SIDE</t>
        </is>
      </c>
      <c r="B9" s="138" t="inlineStr">
        <is>
          <t>左悬浮手（停用）</t>
        </is>
      </c>
      <c r="C9" s="138" t="inlineStr">
        <is>
          <t>角色</t>
        </is>
      </c>
      <c r="D9" s="138" t="inlineStr">
        <is>
          <t>player_component</t>
        </is>
      </c>
      <c r="E9" s="138" t="inlineStr">
        <is>
          <t>player_capsule01</t>
        </is>
      </c>
      <c r="F9" s="138" t="inlineStr">
        <is>
          <t>hand_l_source</t>
        </is>
      </c>
      <c r="G9" s="138" t="inlineStr">
        <is>
          <t>CHR-PLY-CAPSULE01</t>
        </is>
      </c>
      <c r="H9" s="138" t="inlineStr">
        <is>
          <t>侧面朝右（可水平翻转）</t>
        </is>
      </c>
      <c r="I9" s="138" t="inlineStr">
        <is>
          <t>deprecated</t>
        </is>
      </c>
      <c r="J9" s="138" t="inlineStr">
        <is>
          <t>单资产</t>
        </is>
      </c>
      <c r="K9" s="138" t="inlineStr">
        <is>
          <t>弃用</t>
        </is>
      </c>
      <c r="L9" s="138" t="inlineStr">
        <is>
          <t>P0</t>
        </is>
      </c>
      <c r="M9" s="138" t="inlineStr">
        <is>
          <t>v001</t>
        </is>
      </c>
      <c r="N9" s="138" t="inlineStr">
        <is>
          <t>22×21 px</t>
        </is>
      </c>
      <c r="O9" s="138" t="n"/>
      <c r="P9" s="138" t="n"/>
      <c r="Q9" s="138" t="inlineStr">
        <is>
          <t>左手; 辅助手</t>
        </is>
      </c>
      <c r="R9" s="138">
        <f>LOWER(TRIM(C9)&amp;"|"&amp;TRIM(D9)&amp;"|"&amp;TRIM(E9)&amp;"|"&amp;TRIM(F9)&amp;"|"&amp;TRIM(H9)&amp;"|"&amp;TRIM(I9))</f>
        <v/>
      </c>
      <c r="S9" s="138">
        <f>IF(COUNTIF($R$6:$R$300,R9)&gt;1,"重复","唯一")</f>
        <v/>
      </c>
      <c r="T9" s="138" t="inlineStr">
        <is>
          <t>6270855f57a22aa2c1bc156b4fb85c98d8cc1b3978cd19082a0874e3d901c7c9</t>
        </is>
      </c>
      <c r="U9" s="138" t="inlineStr">
        <is>
          <t>待分配</t>
        </is>
      </c>
      <c r="V9" s="303" t="n">
        <v>46243</v>
      </c>
      <c r="W9" s="138" t="inlineStr">
        <is>
          <t>原创/待确认</t>
        </is>
      </c>
      <c r="X9" s="375" t="inlineStr">
        <is>
          <t>—</t>
        </is>
      </c>
      <c r="Y9" s="138" t="inlineStr">
        <is>
          <t>2026-08-09：旧2D玩家像素表现文件已从仓库删除；仅保留AssetID/哈希作为历史记录，替代项为 CHR-PLY-CAPSULE01-3D-BUNNY01。</t>
        </is>
      </c>
    </row>
    <row r="10">
      <c r="A10" s="138" t="inlineStr">
        <is>
          <t>CHR-PLY-CAPSULE01-HAND-R-SIDE</t>
        </is>
      </c>
      <c r="B10" s="138" t="inlineStr">
        <is>
          <t>唯一镜像握持手</t>
        </is>
      </c>
      <c r="C10" s="138" t="inlineStr">
        <is>
          <t>角色</t>
        </is>
      </c>
      <c r="D10" s="138" t="inlineStr">
        <is>
          <t>player_component</t>
        </is>
      </c>
      <c r="E10" s="138" t="inlineStr">
        <is>
          <t>player_capsule01</t>
        </is>
      </c>
      <c r="F10" s="138" t="inlineStr">
        <is>
          <t>hand</t>
        </is>
      </c>
      <c r="G10" s="138" t="inlineStr">
        <is>
          <t>CHR-PLY-CAPSULE01</t>
        </is>
      </c>
      <c r="H10" s="138" t="inlineStr">
        <is>
          <t>侧面朝右（可水平翻转）</t>
        </is>
      </c>
      <c r="I10" s="138" t="inlineStr">
        <is>
          <t>deprecated</t>
        </is>
      </c>
      <c r="J10" s="138" t="inlineStr">
        <is>
          <t>单资产</t>
        </is>
      </c>
      <c r="K10" s="138" t="inlineStr">
        <is>
          <t>弃用</t>
        </is>
      </c>
      <c r="L10" s="138" t="inlineStr">
        <is>
          <t>P0</t>
        </is>
      </c>
      <c r="M10" s="138" t="inlineStr">
        <is>
          <t>v001</t>
        </is>
      </c>
      <c r="N10" s="138" t="inlineStr">
        <is>
          <t>22×17 px</t>
        </is>
      </c>
      <c r="O10" s="138" t="n"/>
      <c r="P10" s="138" t="n"/>
      <c r="Q10" s="138" t="inlineStr">
        <is>
          <t>右手; 主手; 枪手; 镜像握持</t>
        </is>
      </c>
      <c r="R10" s="138">
        <f>LOWER(TRIM(C10)&amp;"|"&amp;TRIM(D10)&amp;"|"&amp;TRIM(E10)&amp;"|"&amp;TRIM(F10)&amp;"|"&amp;TRIM(H10)&amp;"|"&amp;TRIM(I10))</f>
        <v/>
      </c>
      <c r="S10" s="138">
        <f>IF(COUNTIF($R$6:$R$300,R10)&gt;1,"重复","唯一")</f>
        <v/>
      </c>
      <c r="T10" s="138" t="inlineStr">
        <is>
          <t>69c2529cbd277ed337ce3b0a02a1994a2b470c99e545fad297e314a60485cfdf</t>
        </is>
      </c>
      <c r="U10" s="138" t="inlineStr">
        <is>
          <t>待分配</t>
        </is>
      </c>
      <c r="V10" s="303" t="n">
        <v>46243</v>
      </c>
      <c r="W10" s="138" t="inlineStr">
        <is>
          <t>原创/待确认</t>
        </is>
      </c>
      <c r="X10" s="375" t="inlineStr">
        <is>
          <t>—</t>
        </is>
      </c>
      <c r="Y10" s="138" t="inlineStr">
        <is>
          <t>2026-08-09：旧2D玩家像素表现文件已从仓库删除；仅保留AssetID/哈希作为历史记录，替代项为 CHR-PLY-CAPSULE01-3D-BUNNY01。</t>
        </is>
      </c>
    </row>
    <row r="11">
      <c r="A11" s="138" t="inlineStr">
        <is>
          <t>CHR-PLY-CAPSULE01-SCARF-SIDE</t>
        </is>
      </c>
      <c r="B11" s="138" t="inlineStr">
        <is>
          <t>红色安全围巾</t>
        </is>
      </c>
      <c r="C11" s="138" t="inlineStr">
        <is>
          <t>角色</t>
        </is>
      </c>
      <c r="D11" s="138" t="inlineStr">
        <is>
          <t>player_accessory</t>
        </is>
      </c>
      <c r="E11" s="138" t="inlineStr">
        <is>
          <t>player_capsule01</t>
        </is>
      </c>
      <c r="F11" s="138" t="inlineStr">
        <is>
          <t>scarf</t>
        </is>
      </c>
      <c r="G11" s="138" t="inlineStr">
        <is>
          <t>CHR-PLY-CAPSULE01</t>
        </is>
      </c>
      <c r="H11" s="138" t="inlineStr">
        <is>
          <t>侧面朝右（可水平翻转）</t>
        </is>
      </c>
      <c r="I11" s="138" t="inlineStr">
        <is>
          <t>deprecated</t>
        </is>
      </c>
      <c r="J11" s="138" t="inlineStr">
        <is>
          <t>单资产</t>
        </is>
      </c>
      <c r="K11" s="138" t="inlineStr">
        <is>
          <t>弃用</t>
        </is>
      </c>
      <c r="L11" s="138" t="inlineStr">
        <is>
          <t>P0</t>
        </is>
      </c>
      <c r="M11" s="138" t="inlineStr">
        <is>
          <t>v001</t>
        </is>
      </c>
      <c r="N11" s="138" t="inlineStr">
        <is>
          <t>26×14 px</t>
        </is>
      </c>
      <c r="O11" s="138" t="n"/>
      <c r="P11" s="138" t="n"/>
      <c r="Q11" s="138" t="inlineStr">
        <is>
          <t>红围巾; 牛仔围巾; 识别色</t>
        </is>
      </c>
      <c r="R11" s="138">
        <f>LOWER(TRIM(C11)&amp;"|"&amp;TRIM(D11)&amp;"|"&amp;TRIM(E11)&amp;"|"&amp;TRIM(F11)&amp;"|"&amp;TRIM(H11)&amp;"|"&amp;TRIM(I11))</f>
        <v/>
      </c>
      <c r="S11" s="138">
        <f>IF(COUNTIF($R$6:$R$300,R11)&gt;1,"重复","唯一")</f>
        <v/>
      </c>
      <c r="T11" s="138" t="inlineStr">
        <is>
          <t>d3a7b1bb5e2ac0ef0c2129854ce59e91d7503a88e478326e1bd3b918a74fc079</t>
        </is>
      </c>
      <c r="U11" s="138" t="inlineStr">
        <is>
          <t>待分配</t>
        </is>
      </c>
      <c r="V11" s="303" t="n">
        <v>46243</v>
      </c>
      <c r="W11" s="138" t="inlineStr">
        <is>
          <t>原创/待确认</t>
        </is>
      </c>
      <c r="X11" s="375" t="inlineStr">
        <is>
          <t>—</t>
        </is>
      </c>
      <c r="Y11" s="138" t="inlineStr">
        <is>
          <t>2026-08-09：旧2D玩家像素表现文件已从仓库删除；仅保留AssetID/哈希作为历史记录，替代项为 CHR-PLY-CAPSULE01-3D-BUNNY01。</t>
        </is>
      </c>
    </row>
    <row r="12">
      <c r="A12" s="138" t="inlineStr">
        <is>
          <t>CHR-PLY-CAPSULE01-PREVIEW-STATES</t>
        </is>
      </c>
      <c r="B12" s="138" t="inlineStr">
        <is>
          <t>玩家六态验收预览</t>
        </is>
      </c>
      <c r="C12" s="138" t="inlineStr">
        <is>
          <t>角色</t>
        </is>
      </c>
      <c r="D12" s="138" t="inlineStr">
        <is>
          <t>review_board</t>
        </is>
      </c>
      <c r="E12" s="138" t="inlineStr">
        <is>
          <t>player_capsule01</t>
        </is>
      </c>
      <c r="F12" s="138" t="inlineStr">
        <is>
          <t>preview</t>
        </is>
      </c>
      <c r="G12" s="138" t="inlineStr">
        <is>
          <t>CHR-PLY-CAPSULE01</t>
        </is>
      </c>
      <c r="H12" s="138" t="inlineStr">
        <is>
          <t>侧面朝右（可水平翻转）</t>
        </is>
      </c>
      <c r="I12" s="138" t="inlineStr">
        <is>
          <t>deprecated</t>
        </is>
      </c>
      <c r="J12" s="138" t="inlineStr">
        <is>
          <t>评审/回归</t>
        </is>
      </c>
      <c r="K12" s="138" t="inlineStr">
        <is>
          <t>弃用</t>
        </is>
      </c>
      <c r="L12" s="138" t="inlineStr">
        <is>
          <t>P0</t>
        </is>
      </c>
      <c r="M12" s="138" t="inlineStr">
        <is>
          <t>v001</t>
        </is>
      </c>
      <c r="N12" s="138" t="inlineStr">
        <is>
          <t>1280×720 px</t>
        </is>
      </c>
      <c r="O12" s="138" t="n"/>
      <c r="P12" s="138" t="n"/>
      <c r="Q12" s="138" t="inlineStr">
        <is>
          <t>六态; 验收板</t>
        </is>
      </c>
      <c r="R12" s="138">
        <f>LOWER(TRIM(C12)&amp;"|"&amp;TRIM(D12)&amp;"|"&amp;TRIM(E12)&amp;"|"&amp;TRIM(F12)&amp;"|"&amp;TRIM(H12)&amp;"|"&amp;TRIM(I12))</f>
        <v/>
      </c>
      <c r="S12" s="138">
        <f>IF(COUNTIF($R$6:$R$300,R12)&gt;1,"重复","唯一")</f>
        <v/>
      </c>
      <c r="T12" s="138" t="str"/>
      <c r="U12" s="138" t="inlineStr">
        <is>
          <t>待分配</t>
        </is>
      </c>
      <c r="V12" s="303" t="n">
        <v>46243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2026-08-09：旧2D玩家像素表现文件已从仓库删除；仅保留AssetID/哈希作为历史记录，替代项为 CHR-PLY-CAPSULE01-3D-BUNNY01。</t>
        </is>
      </c>
    </row>
    <row r="13">
      <c r="A13" s="138" t="inlineStr">
        <is>
          <t>VFX-PLY-DASH-TRAIL</t>
        </is>
      </c>
      <c r="B13" s="138" t="inlineStr">
        <is>
          <t>玩家冲刺尾迹</t>
        </is>
      </c>
      <c r="C13" s="138" t="inlineStr">
        <is>
          <t>特效</t>
        </is>
      </c>
      <c r="D13" s="138" t="inlineStr">
        <is>
          <t>player_state</t>
        </is>
      </c>
      <c r="E13" s="138" t="inlineStr">
        <is>
          <t>player_dash</t>
        </is>
      </c>
      <c r="F13" s="138" t="inlineStr">
        <is>
          <t>root</t>
        </is>
      </c>
      <c r="G13" s="138" t="str"/>
      <c r="H13" s="138" t="inlineStr">
        <is>
          <t>侧面朝右（可水平翻转）</t>
        </is>
      </c>
      <c r="I13" s="138" t="inlineStr">
        <is>
          <t>dashing</t>
        </is>
      </c>
      <c r="J13" s="138" t="inlineStr">
        <is>
          <t>玩家状态</t>
        </is>
      </c>
      <c r="K13" s="138" t="inlineStr">
        <is>
          <t>弃用</t>
        </is>
      </c>
      <c r="L13" s="138" t="inlineStr">
        <is>
          <t>P1</t>
        </is>
      </c>
      <c r="M13" s="138" t="inlineStr">
        <is>
          <t>v001</t>
        </is>
      </c>
      <c r="N13" s="138" t="inlineStr">
        <is>
          <t>待定</t>
        </is>
      </c>
      <c r="O13" s="138" t="str"/>
      <c r="P13" s="138" t="n"/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IF(COUNTIF($R$6:$R$300,R13)&gt;1,"重复","唯一")</f>
        <v/>
      </c>
      <c r="T13" s="138" t="str"/>
      <c r="U13" s="138" t="inlineStr">
        <is>
          <t>待分配</t>
        </is>
      </c>
      <c r="V13" s="303" t="n">
        <v>46243</v>
      </c>
      <c r="W13" s="138" t="inlineStr">
        <is>
          <t>原创/待确认</t>
        </is>
      </c>
      <c r="X13" s="375" t="inlineStr">
        <is>
          <t>—</t>
        </is>
      </c>
      <c r="Y13" s="138" t="inlineStr">
        <is>
          <t>2026-08-09：旧2D PlayerAvatarRenderer专用表现已删除；当前3D状态表现由 PlayerAvatar3D / WeaponModel3D 持有。</t>
        </is>
      </c>
    </row>
    <row r="14">
      <c r="A14" s="138" t="inlineStr">
        <is>
          <t>VFX-PLY-HURT-FLASH</t>
        </is>
      </c>
      <c r="B14" s="138" t="inlineStr">
        <is>
          <t>玩家受击闪光</t>
        </is>
      </c>
      <c r="C14" s="138" t="inlineStr">
        <is>
          <t>特效</t>
        </is>
      </c>
      <c r="D14" s="138" t="inlineStr">
        <is>
          <t>player_state</t>
        </is>
      </c>
      <c r="E14" s="138" t="inlineStr">
        <is>
          <t>player_hurt</t>
        </is>
      </c>
      <c r="F14" s="138" t="inlineStr">
        <is>
          <t>root</t>
        </is>
      </c>
      <c r="G14" s="138" t="str"/>
      <c r="H14" s="138" t="inlineStr">
        <is>
          <t>侧面朝右（可水平翻转）</t>
        </is>
      </c>
      <c r="I14" s="138" t="inlineStr">
        <is>
          <t>hurt</t>
        </is>
      </c>
      <c r="J14" s="138" t="inlineStr">
        <is>
          <t>玩家状态</t>
        </is>
      </c>
      <c r="K14" s="138" t="inlineStr">
        <is>
          <t>弃用</t>
        </is>
      </c>
      <c r="L14" s="138" t="inlineStr">
        <is>
          <t>P1</t>
        </is>
      </c>
      <c r="M14" s="138" t="inlineStr">
        <is>
          <t>v001</t>
        </is>
      </c>
      <c r="N14" s="138" t="inlineStr">
        <is>
          <t>待定</t>
        </is>
      </c>
      <c r="O14" s="138" t="str"/>
      <c r="P14" s="138" t="n"/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IF(COUNTIF($R$6:$R$300,R14)&gt;1,"重复","唯一")</f>
        <v/>
      </c>
      <c r="T14" s="138" t="str"/>
      <c r="U14" s="138" t="inlineStr">
        <is>
          <t>待分配</t>
        </is>
      </c>
      <c r="V14" s="303" t="n">
        <v>46243</v>
      </c>
      <c r="W14" s="138" t="inlineStr">
        <is>
          <t>原创/待确认</t>
        </is>
      </c>
      <c r="X14" s="375" t="inlineStr">
        <is>
          <t>—</t>
        </is>
      </c>
      <c r="Y14" s="138" t="inlineStr">
        <is>
          <t>2026-08-09：旧2D PlayerAvatarRenderer专用表现已删除；当前3D状态表现由 PlayerAvatar3D / WeaponModel3D 持有。</t>
        </is>
      </c>
    </row>
    <row r="15">
      <c r="A15" s="138" t="inlineStr">
        <is>
          <t>VFX-PLY-LOWHP-RING</t>
        </is>
      </c>
      <c r="B15" s="138" t="inlineStr">
        <is>
          <t>玩家低血环</t>
        </is>
      </c>
      <c r="C15" s="138" t="inlineStr">
        <is>
          <t>特效</t>
        </is>
      </c>
      <c r="D15" s="138" t="inlineStr">
        <is>
          <t>player_overlay</t>
        </is>
      </c>
      <c r="E15" s="138" t="inlineStr">
        <is>
          <t>player_low_hp</t>
        </is>
      </c>
      <c r="F15" s="138" t="inlineStr">
        <is>
          <t>root</t>
        </is>
      </c>
      <c r="G15" s="138" t="str"/>
      <c r="H15" s="138" t="inlineStr">
        <is>
          <t>侧面朝右（可水平翻转）</t>
        </is>
      </c>
      <c r="I15" s="138" t="inlineStr">
        <is>
          <t>low_health</t>
        </is>
      </c>
      <c r="J15" s="138" t="inlineStr">
        <is>
          <t>叠加状态</t>
        </is>
      </c>
      <c r="K15" s="138" t="inlineStr">
        <is>
          <t>弃用</t>
        </is>
      </c>
      <c r="L15" s="138" t="inlineStr">
        <is>
          <t>P2</t>
        </is>
      </c>
      <c r="M15" s="138" t="inlineStr">
        <is>
          <t>v001</t>
        </is>
      </c>
      <c r="N15" s="138" t="inlineStr">
        <is>
          <t>待定</t>
        </is>
      </c>
      <c r="O15" s="138" t="str"/>
      <c r="P15" s="138" t="n"/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IF(COUNTIF($R$6:$R$300,R15)&gt;1,"重复","唯一")</f>
        <v/>
      </c>
      <c r="T15" s="138" t="str"/>
      <c r="U15" s="138" t="inlineStr">
        <is>
          <t>待分配</t>
        </is>
      </c>
      <c r="V15" s="303" t="n">
        <v>46243</v>
      </c>
      <c r="W15" s="138" t="inlineStr">
        <is>
          <t>原创/待确认</t>
        </is>
      </c>
      <c r="X15" s="375" t="inlineStr">
        <is>
          <t>—</t>
        </is>
      </c>
      <c r="Y15" s="138" t="inlineStr">
        <is>
          <t>2026-08-09：旧2D PlayerAvatarRenderer专用表现已删除；当前3D状态表现由 PlayerAvatar3D / WeaponModel3D 持有。</t>
        </is>
      </c>
    </row>
    <row r="16">
      <c r="A16" s="138" t="inlineStr">
        <is>
          <t>VFX-PLY-SILENCED-RING</t>
        </is>
      </c>
      <c r="B16" s="138" t="inlineStr">
        <is>
          <t>玩家沉默干扰环</t>
        </is>
      </c>
      <c r="C16" s="138" t="inlineStr">
        <is>
          <t>特效</t>
        </is>
      </c>
      <c r="D16" s="138" t="inlineStr">
        <is>
          <t>player_overlay</t>
        </is>
      </c>
      <c r="E16" s="138" t="inlineStr">
        <is>
          <t>player_silenced</t>
        </is>
      </c>
      <c r="F16" s="138" t="inlineStr">
        <is>
          <t>root</t>
        </is>
      </c>
      <c r="G16" s="138" t="str"/>
      <c r="H16" s="138" t="inlineStr">
        <is>
          <t>侧面朝右（可水平翻转）</t>
        </is>
      </c>
      <c r="I16" s="138" t="inlineStr">
        <is>
          <t>silenced</t>
        </is>
      </c>
      <c r="J16" s="138" t="inlineStr">
        <is>
          <t>叠加状态</t>
        </is>
      </c>
      <c r="K16" s="138" t="inlineStr">
        <is>
          <t>弃用</t>
        </is>
      </c>
      <c r="L16" s="138" t="inlineStr">
        <is>
          <t>P2</t>
        </is>
      </c>
      <c r="M16" s="138" t="inlineStr">
        <is>
          <t>v001</t>
        </is>
      </c>
      <c r="N16" s="138" t="inlineStr">
        <is>
          <t>待定</t>
        </is>
      </c>
      <c r="O16" s="138" t="str"/>
      <c r="P16" s="138" t="n"/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IF(COUNTIF($R$6:$R$300,R16)&gt;1,"重复","唯一")</f>
        <v/>
      </c>
      <c r="T16" s="138" t="str"/>
      <c r="U16" s="138" t="inlineStr">
        <is>
          <t>待分配</t>
        </is>
      </c>
      <c r="V16" s="303" t="n">
        <v>46243</v>
      </c>
      <c r="W16" s="138" t="inlineStr">
        <is>
          <t>原创/待确认</t>
        </is>
      </c>
      <c r="X16" s="375" t="inlineStr">
        <is>
          <t>—</t>
        </is>
      </c>
      <c r="Y16" s="138" t="inlineStr">
        <is>
          <t>2026-08-09：旧2D PlayerAvatarRenderer专用表现已删除；当前3D状态表现由 PlayerAvatar3D / WeaponModel3D 持有。</t>
        </is>
      </c>
    </row>
    <row r="17">
      <c r="A17" s="138" t="inlineStr">
        <is>
          <t>ENM-MELEE-FUNGBOAR01</t>
        </is>
      </c>
      <c r="B17" s="138" t="inlineStr">
        <is>
          <t>小菌猪</t>
        </is>
      </c>
      <c r="C17" s="138" t="inlineStr">
        <is>
          <t>敌人</t>
        </is>
      </c>
      <c r="D17" s="138" t="inlineStr">
        <is>
          <t>normal_melee</t>
        </is>
      </c>
      <c r="E17" s="138" t="inlineStr">
        <is>
          <t>melee_chaser</t>
        </is>
      </c>
      <c r="F17" s="138" t="inlineStr">
        <is>
          <t>root</t>
        </is>
      </c>
      <c r="G17" s="138" t="str"/>
      <c r="H17" s="138" t="inlineStr">
        <is>
          <t>侧面朝右（可水平翻转）</t>
        </is>
      </c>
      <c r="I17" s="138" t="inlineStr">
        <is>
          <t>default</t>
        </is>
      </c>
      <c r="J17" s="138" t="inlineStr">
        <is>
          <t>单资产</t>
        </is>
      </c>
      <c r="K17" s="138" t="inlineStr">
        <is>
          <t>程序占位</t>
        </is>
      </c>
      <c r="L17" s="138" t="inlineStr">
        <is>
          <t>P0</t>
        </is>
      </c>
      <c r="M17" s="138" t="inlineStr">
        <is>
          <t>v001</t>
        </is>
      </c>
      <c r="N17" s="138" t="inlineStr">
        <is>
          <t>待定</t>
        </is>
      </c>
      <c r="O17" s="138" t="str"/>
      <c r="P17" s="138" t="inlineStr">
        <is>
          <t>src/enemy/EnemyTypes.gd</t>
        </is>
      </c>
      <c r="Q17" s="138" t="inlineStr">
        <is>
          <t>近战追击; chaser</t>
        </is>
      </c>
      <c r="R17" s="138">
        <f>LOWER(TRIM(C17)&amp;"|"&amp;TRIM(D17)&amp;"|"&amp;TRIM(E17)&amp;"|"&amp;TRIM(F17)&amp;"|"&amp;TRIM(H17)&amp;"|"&amp;TRIM(I17))</f>
        <v/>
      </c>
      <c r="S17" s="138">
        <f>IF(COUNTIF($R$6:$R$300,R17)&gt;1,"重复","唯一")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375" t="inlineStr">
        <is>
          <t>—</t>
        </is>
      </c>
      <c r="Y17" s="138" t="inlineStr">
        <is>
          <t>需保持快速贴脸轮廓</t>
        </is>
      </c>
    </row>
    <row r="18">
      <c r="A18" s="138" t="inlineStr">
        <is>
          <t>ENM-RANGED-SPORESHOOTER01</t>
        </is>
      </c>
      <c r="B18" s="138" t="inlineStr">
        <is>
          <t>孢子射手</t>
        </is>
      </c>
      <c r="C18" s="138" t="inlineStr">
        <is>
          <t>敌人</t>
        </is>
      </c>
      <c r="D18" s="138" t="inlineStr">
        <is>
          <t>normal_ranged</t>
        </is>
      </c>
      <c r="E18" s="138" t="inlineStr">
        <is>
          <t>ranged_caster</t>
        </is>
      </c>
      <c r="F18" s="138" t="inlineStr">
        <is>
          <t>root</t>
        </is>
      </c>
      <c r="G18" s="138" t="str"/>
      <c r="H18" s="138" t="inlineStr">
        <is>
          <t>侧面朝右（可水平翻转）</t>
        </is>
      </c>
      <c r="I18" s="138" t="inlineStr">
        <is>
          <t>default</t>
        </is>
      </c>
      <c r="J18" s="138" t="inlineStr">
        <is>
          <t>单资产</t>
        </is>
      </c>
      <c r="K18" s="138" t="inlineStr">
        <is>
          <t>程序占位</t>
        </is>
      </c>
      <c r="L18" s="138" t="inlineStr">
        <is>
          <t>P0</t>
        </is>
      </c>
      <c r="M18" s="138" t="inlineStr">
        <is>
          <t>v001</t>
        </is>
      </c>
      <c r="N18" s="138" t="inlineStr">
        <is>
          <t>待定</t>
        </is>
      </c>
      <c r="O18" s="138" t="str"/>
      <c r="P18" s="138" t="inlineStr">
        <is>
          <t>src/enemy/EnemyTypes.gd</t>
        </is>
      </c>
      <c r="Q18" s="138" t="inlineStr">
        <is>
          <t>远程弹幕; ranged</t>
        </is>
      </c>
      <c r="R18" s="138">
        <f>LOWER(TRIM(C18)&amp;"|"&amp;TRIM(D18)&amp;"|"&amp;TRIM(E18)&amp;"|"&amp;TRIM(F18)&amp;"|"&amp;TRIM(H18)&amp;"|"&amp;TRIM(I18))</f>
        <v/>
      </c>
      <c r="S18" s="138">
        <f>IF(COUNTIF($R$6:$R$300,R18)&gt;1,"重复","唯一")</f>
        <v/>
      </c>
      <c r="T18" s="138" t="str"/>
      <c r="U18" s="138" t="inlineStr">
        <is>
          <t>待分配</t>
        </is>
      </c>
      <c r="V18" s="303" t="n">
        <v>46224</v>
      </c>
      <c r="W18" s="138" t="inlineStr">
        <is>
          <t>原创/待确认</t>
        </is>
      </c>
      <c r="X18" s="375" t="inlineStr">
        <is>
          <t>—</t>
        </is>
      </c>
      <c r="Y18" s="138" t="n"/>
    </row>
    <row r="19">
      <c r="A19" s="138" t="inlineStr">
        <is>
          <t>ENM-SUMMON-HIVE01</t>
        </is>
      </c>
      <c r="B19" s="138" t="inlineStr">
        <is>
          <t>蜂巢怪</t>
        </is>
      </c>
      <c r="C19" s="138" t="inlineStr">
        <is>
          <t>敌人</t>
        </is>
      </c>
      <c r="D19" s="138" t="inlineStr">
        <is>
          <t>normal_summoner</t>
        </is>
      </c>
      <c r="E19" s="138" t="inlineStr">
        <is>
          <t>summoner</t>
        </is>
      </c>
      <c r="F19" s="138" t="inlineStr">
        <is>
          <t>root</t>
        </is>
      </c>
      <c r="G19" s="138" t="str"/>
      <c r="H19" s="138" t="inlineStr">
        <is>
          <t>侧面朝右（可水平翻转）</t>
        </is>
      </c>
      <c r="I19" s="138" t="inlineStr">
        <is>
          <t>default</t>
        </is>
      </c>
      <c r="J19" s="138" t="inlineStr">
        <is>
          <t>单资产</t>
        </is>
      </c>
      <c r="K19" s="138" t="inlineStr">
        <is>
          <t>程序占位</t>
        </is>
      </c>
      <c r="L19" s="138" t="inlineStr">
        <is>
          <t>P0</t>
        </is>
      </c>
      <c r="M19" s="138" t="inlineStr">
        <is>
          <t>v001</t>
        </is>
      </c>
      <c r="N19" s="138" t="inlineStr">
        <is>
          <t>待定</t>
        </is>
      </c>
      <c r="O19" s="138" t="str"/>
      <c r="P19" s="138" t="inlineStr">
        <is>
          <t>src/enemy/EnemyTypes.gd</t>
        </is>
      </c>
      <c r="Q19" s="138" t="inlineStr">
        <is>
          <t>召唤型; hive</t>
        </is>
      </c>
      <c r="R19" s="138">
        <f>LOWER(TRIM(C19)&amp;"|"&amp;TRIM(D19)&amp;"|"&amp;TRIM(E19)&amp;"|"&amp;TRIM(F19)&amp;"|"&amp;TRIM(H19)&amp;"|"&amp;TRIM(I19))</f>
        <v/>
      </c>
      <c r="S19" s="138">
        <f>IF(COUNTIF($R$6:$R$300,R19)&gt;1,"重复","唯一")</f>
        <v/>
      </c>
      <c r="T19" s="138" t="str"/>
      <c r="U19" s="138" t="inlineStr">
        <is>
          <t>待分配</t>
        </is>
      </c>
      <c r="V19" s="303" t="n">
        <v>46224</v>
      </c>
      <c r="W19" s="138" t="inlineStr">
        <is>
          <t>原创/待确认</t>
        </is>
      </c>
      <c r="X19" s="375" t="inlineStr">
        <is>
          <t>—</t>
        </is>
      </c>
      <c r="Y19" s="138" t="n"/>
    </row>
    <row r="20">
      <c r="A20" s="138" t="inlineStr">
        <is>
          <t>ENM-TANK-SHELLGUARD01</t>
        </is>
      </c>
      <c r="B20" s="138" t="inlineStr">
        <is>
          <t>壳甲卫兵</t>
        </is>
      </c>
      <c r="C20" s="138" t="inlineStr">
        <is>
          <t>敌人</t>
        </is>
      </c>
      <c r="D20" s="138" t="inlineStr">
        <is>
          <t>normal_tank</t>
        </is>
      </c>
      <c r="E20" s="138" t="inlineStr">
        <is>
          <t>shielded</t>
        </is>
      </c>
      <c r="F20" s="138" t="inlineStr">
        <is>
          <t>root</t>
        </is>
      </c>
      <c r="G20" s="138" t="str"/>
      <c r="H20" s="138" t="inlineStr">
        <is>
          <t>侧面朝右（可水平翻转）</t>
        </is>
      </c>
      <c r="I20" s="138" t="inlineStr">
        <is>
          <t>default</t>
        </is>
      </c>
      <c r="J20" s="138" t="inlineStr">
        <is>
          <t>单资产</t>
        </is>
      </c>
      <c r="K20" s="138" t="inlineStr">
        <is>
          <t>程序占位</t>
        </is>
      </c>
      <c r="L20" s="138" t="inlineStr">
        <is>
          <t>P0</t>
        </is>
      </c>
      <c r="M20" s="138" t="inlineStr">
        <is>
          <t>v001</t>
        </is>
      </c>
      <c r="N20" s="138" t="inlineStr">
        <is>
          <t>待定</t>
        </is>
      </c>
      <c r="O20" s="138" t="str"/>
      <c r="P20" s="138" t="inlineStr">
        <is>
          <t>src/enemy/EnemyTypes.gd</t>
        </is>
      </c>
      <c r="Q20" s="138" t="inlineStr">
        <is>
          <t>护盾型; tank</t>
        </is>
      </c>
      <c r="R20" s="138">
        <f>LOWER(TRIM(C20)&amp;"|"&amp;TRIM(D20)&amp;"|"&amp;TRIM(E20)&amp;"|"&amp;TRIM(F20)&amp;"|"&amp;TRIM(H20)&amp;"|"&amp;TRIM(I20))</f>
        <v/>
      </c>
      <c r="S20" s="138">
        <f>IF(COUNTIF($R$6:$R$300,R20)&gt;1,"重复","唯一")</f>
        <v/>
      </c>
      <c r="T20" s="138" t="str"/>
      <c r="U20" s="138" t="inlineStr">
        <is>
          <t>待分配</t>
        </is>
      </c>
      <c r="V20" s="303" t="n">
        <v>46224</v>
      </c>
      <c r="W20" s="138" t="inlineStr">
        <is>
          <t>原创/待确认</t>
        </is>
      </c>
      <c r="X20" s="375" t="inlineStr">
        <is>
          <t>—</t>
        </is>
      </c>
      <c r="Y20" s="138" t="n"/>
    </row>
    <row r="21">
      <c r="A21" s="138" t="inlineStr">
        <is>
          <t>ENM-BOMBER-FRUIT01</t>
        </is>
      </c>
      <c r="B21" s="138" t="inlineStr">
        <is>
          <t>炸弹果</t>
        </is>
      </c>
      <c r="C21" s="138" t="inlineStr">
        <is>
          <t>敌人</t>
        </is>
      </c>
      <c r="D21" s="138" t="inlineStr">
        <is>
          <t>normal_bomber</t>
        </is>
      </c>
      <c r="E21" s="138" t="inlineStr">
        <is>
          <t>exploder</t>
        </is>
      </c>
      <c r="F21" s="138" t="inlineStr">
        <is>
          <t>root</t>
        </is>
      </c>
      <c r="G21" s="138" t="str"/>
      <c r="H21" s="138" t="inlineStr">
        <is>
          <t>侧面朝右（可水平翻转）</t>
        </is>
      </c>
      <c r="I21" s="138" t="inlineStr">
        <is>
          <t>default</t>
        </is>
      </c>
      <c r="J21" s="138" t="inlineStr">
        <is>
          <t>单资产</t>
        </is>
      </c>
      <c r="K21" s="138" t="inlineStr">
        <is>
          <t>程序占位</t>
        </is>
      </c>
      <c r="L21" s="138" t="inlineStr">
        <is>
          <t>P0</t>
        </is>
      </c>
      <c r="M21" s="138" t="inlineStr">
        <is>
          <t>v001</t>
        </is>
      </c>
      <c r="N21" s="138" t="inlineStr">
        <is>
          <t>待定</t>
        </is>
      </c>
      <c r="O21" s="138" t="str"/>
      <c r="P21" s="138" t="inlineStr">
        <is>
          <t>src/enemy/EnemyTypes.gd</t>
        </is>
      </c>
      <c r="Q21" s="138" t="inlineStr">
        <is>
          <t>膨胀鼠; 自爆型; bomber</t>
        </is>
      </c>
      <c r="R21" s="138">
        <f>LOWER(TRIM(C21)&amp;"|"&amp;TRIM(D21)&amp;"|"&amp;TRIM(E21)&amp;"|"&amp;TRIM(F21)&amp;"|"&amp;TRIM(H21)&amp;"|"&amp;TRIM(I21))</f>
        <v/>
      </c>
      <c r="S21" s="138">
        <f>IF(COUNTIF($R$6:$R$300,R21)&gt;1,"重复","唯一")</f>
        <v/>
      </c>
      <c r="T21" s="138" t="str"/>
      <c r="U21" s="138" t="inlineStr">
        <is>
          <t>待分配</t>
        </is>
      </c>
      <c r="V21" s="303" t="n">
        <v>46224</v>
      </c>
      <c r="W21" s="138" t="inlineStr">
        <is>
          <t>原创/待确认</t>
        </is>
      </c>
      <c r="X21" s="375" t="inlineStr">
        <is>
          <t>—</t>
        </is>
      </c>
      <c r="Y21" s="138" t="n"/>
    </row>
    <row r="22">
      <c r="A22" s="138" t="inlineStr">
        <is>
          <t>ENM-TRAP-SPIKEWORM01</t>
        </is>
      </c>
      <c r="B22" s="138" t="inlineStr">
        <is>
          <t>地刺虫</t>
        </is>
      </c>
      <c r="C22" s="138" t="inlineStr">
        <is>
          <t>敌人</t>
        </is>
      </c>
      <c r="D22" s="138" t="inlineStr">
        <is>
          <t>normal_ambusher</t>
        </is>
      </c>
      <c r="E22" s="138" t="inlineStr">
        <is>
          <t>ambusher</t>
        </is>
      </c>
      <c r="F22" s="138" t="inlineStr">
        <is>
          <t>root</t>
        </is>
      </c>
      <c r="G22" s="138" t="str"/>
      <c r="H22" s="138" t="inlineStr">
        <is>
          <t>侧面朝右（可水平翻转）</t>
        </is>
      </c>
      <c r="I22" s="138" t="inlineStr">
        <is>
          <t>default</t>
        </is>
      </c>
      <c r="J22" s="138" t="inlineStr">
        <is>
          <t>单资产</t>
        </is>
      </c>
      <c r="K22" s="138" t="inlineStr">
        <is>
          <t>程序占位</t>
        </is>
      </c>
      <c r="L22" s="138" t="inlineStr">
        <is>
          <t>P0</t>
        </is>
      </c>
      <c r="M22" s="138" t="inlineStr">
        <is>
          <t>v001</t>
        </is>
      </c>
      <c r="N22" s="138" t="inlineStr">
        <is>
          <t>待定</t>
        </is>
      </c>
      <c r="O22" s="138" t="str"/>
      <c r="P22" s="138" t="inlineStr">
        <is>
          <t>src/enemy/EnemyTypes.gd</t>
        </is>
      </c>
      <c r="Q22" s="138" t="inlineStr">
        <is>
          <t>潜伏型; trapper</t>
        </is>
      </c>
      <c r="R22" s="138">
        <f>LOWER(TRIM(C22)&amp;"|"&amp;TRIM(D22)&amp;"|"&amp;TRIM(E22)&amp;"|"&amp;TRIM(F22)&amp;"|"&amp;TRIM(H22)&amp;"|"&amp;TRIM(I22))</f>
        <v/>
      </c>
      <c r="S22" s="138">
        <f>IF(COUNTIF($R$6:$R$300,R22)&gt;1,"重复","唯一")</f>
        <v/>
      </c>
      <c r="T22" s="138" t="str"/>
      <c r="U22" s="138" t="inlineStr">
        <is>
          <t>待分配</t>
        </is>
      </c>
      <c r="V22" s="303" t="n">
        <v>46224</v>
      </c>
      <c r="W22" s="138" t="inlineStr">
        <is>
          <t>原创/待确认</t>
        </is>
      </c>
      <c r="X22" s="375" t="inlineStr">
        <is>
          <t>—</t>
        </is>
      </c>
      <c r="Y22" s="138" t="n"/>
    </row>
    <row r="23">
      <c r="A23" s="138" t="inlineStr">
        <is>
          <t>ENM-BOSS-ABYSS01</t>
        </is>
      </c>
      <c r="B23" s="138" t="inlineStr">
        <is>
          <t>深渊 Boss</t>
        </is>
      </c>
      <c r="C23" s="138" t="inlineStr">
        <is>
          <t>敌人</t>
        </is>
      </c>
      <c r="D23" s="138" t="inlineStr">
        <is>
          <t>boss</t>
        </is>
      </c>
      <c r="E23" s="138" t="inlineStr">
        <is>
          <t>boss</t>
        </is>
      </c>
      <c r="F23" s="138" t="inlineStr">
        <is>
          <t>root</t>
        </is>
      </c>
      <c r="G23" s="138" t="str"/>
      <c r="H23" s="138" t="inlineStr">
        <is>
          <t>侧面朝右（可水平翻转）</t>
        </is>
      </c>
      <c r="I23" s="138" t="inlineStr">
        <is>
          <t>default</t>
        </is>
      </c>
      <c r="J23" s="138" t="inlineStr">
        <is>
          <t>单资产</t>
        </is>
      </c>
      <c r="K23" s="138" t="inlineStr">
        <is>
          <t>程序占位</t>
        </is>
      </c>
      <c r="L23" s="138" t="inlineStr">
        <is>
          <t>P1</t>
        </is>
      </c>
      <c r="M23" s="138" t="inlineStr">
        <is>
          <t>v001</t>
        </is>
      </c>
      <c r="N23" s="138" t="inlineStr">
        <is>
          <t>待定</t>
        </is>
      </c>
      <c r="O23" s="138" t="str"/>
      <c r="P23" s="138" t="inlineStr">
        <is>
          <t>src/enemy/BossAvatarRenderer.gd</t>
        </is>
      </c>
      <c r="Q23" s="138" t="inlineStr">
        <is>
          <t>BossActor; 三阶段</t>
        </is>
      </c>
      <c r="R23" s="138">
        <f>LOWER(TRIM(C23)&amp;"|"&amp;TRIM(D23)&amp;"|"&amp;TRIM(E23)&amp;"|"&amp;TRIM(F23)&amp;"|"&amp;TRIM(H23)&amp;"|"&amp;TRIM(I23))</f>
        <v/>
      </c>
      <c r="S23" s="138">
        <f>IF(COUNTIF($R$6:$R$300,R23)&gt;1,"重复","唯一")</f>
        <v/>
      </c>
      <c r="T23" s="138" t="str"/>
      <c r="U23" s="138" t="inlineStr">
        <is>
          <t>待分配</t>
        </is>
      </c>
      <c r="V23" s="303" t="n">
        <v>46224</v>
      </c>
      <c r="W23" s="138" t="inlineStr">
        <is>
          <t>原创/待确认</t>
        </is>
      </c>
      <c r="X23" s="375" t="inlineStr">
        <is>
          <t>—</t>
        </is>
      </c>
      <c r="Y23" s="138" t="inlineStr">
        <is>
          <t>三阶段由同一主体加部件/发光变化，不重复做整套</t>
        </is>
      </c>
    </row>
    <row r="24">
      <c r="A24" s="138" t="inlineStr">
        <is>
          <t>WPN-GUN-BP-PISTOL</t>
        </is>
      </c>
      <c r="B24" s="138" t="inlineStr">
        <is>
          <t>豌豆手枪 / 吹风机造型</t>
        </is>
      </c>
      <c r="C24" s="138" t="inlineStr">
        <is>
          <t>武器</t>
        </is>
      </c>
      <c r="D24" s="138" t="inlineStr">
        <is>
          <t>gunbody</t>
        </is>
      </c>
      <c r="E24" s="138" t="inlineStr">
        <is>
          <t>bp_pistol</t>
        </is>
      </c>
      <c r="F24" s="138" t="inlineStr">
        <is>
          <t>root</t>
        </is>
      </c>
      <c r="G24" s="138" t="str"/>
      <c r="H24" s="138" t="inlineStr">
        <is>
          <t>俯视3D / local -Z 枪口</t>
        </is>
      </c>
      <c r="I24" s="138" t="inlineStr">
        <is>
          <t>default / 标准握把与8类挂点</t>
        </is>
      </c>
      <c r="J24" s="138" t="inlineStr">
        <is>
          <t>手持/背负/地面/UI 共用独立PackedScene</t>
        </is>
      </c>
      <c r="K24" s="138" t="inlineStr">
        <is>
          <t>已完成</t>
        </is>
      </c>
      <c r="L24" s="138" t="inlineStr">
        <is>
          <t>P0</t>
        </is>
      </c>
      <c r="M24" s="138" t="inlineStr">
        <is>
          <t>v001</t>
        </is>
      </c>
      <c r="N24" s="138" t="inlineStr">
        <is>
          <t>握把原点；local -Z枪口；3材质；独立GLB/PackedScene</t>
        </is>
      </c>
      <c r="O24" s="138" t="inlineStr">
        <is>
          <t>assets/art/weapons/weapon_3d/runtime/hair_dryer/wpn_hair_dryer_root_top3d_v001.tscn</t>
        </is>
      </c>
      <c r="P24" s="138" t="inlineStr">
        <is>
          <t>assets/art/weapons/weapon_3d/source/hair_dryer/wpn_hair_dryer_source_v003.blend; src/combat3d/WeaponModel3D.gd</t>
        </is>
      </c>
      <c r="Q24" s="138" t="inlineStr">
        <is>
          <t>bp_pistol; 吹风机; 握把原点; -Z枪口; 通用挂点; 多巴胺配色</t>
        </is>
      </c>
      <c r="R24" s="138">
        <f>LOWER(TRIM(C24)&amp;"|"&amp;TRIM(D24)&amp;"|"&amp;TRIM(E24)&amp;"|"&amp;TRIM(F24)&amp;"|"&amp;TRIM(H24)&amp;"|"&amp;TRIM(I24))</f>
        <v/>
      </c>
      <c r="S24" s="138">
        <f>IF(COUNTIF($R$6:$R$300,R24)&gt;1,"重复","唯一")</f>
        <v/>
      </c>
      <c r="T24" s="138" t="inlineStr">
        <is>
          <t>ec5be48b60ec8724759108b9d8f0530473e324e0df25f392622474909f52f05e</t>
        </is>
      </c>
      <c r="U24" s="138" t="inlineStr">
        <is>
          <t>Codex</t>
        </is>
      </c>
      <c r="V24" s="303" t="n">
        <v>46264</v>
      </c>
      <c r="W24" s="138" t="inlineStr">
        <is>
          <t>用户自制Blender资产</t>
        </is>
      </c>
      <c r="X24" s="375" t="inlineStr">
        <is>
          <t>—</t>
        </is>
      </c>
      <c r="Y24" s="138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25">
      <c r="A25" s="138" t="inlineStr">
        <is>
          <t>WPN-GUN-BP-SHOTGUN</t>
        </is>
      </c>
      <c r="B25" s="138" t="inlineStr">
        <is>
          <t>散射喷壶 / 双管炮造型</t>
        </is>
      </c>
      <c r="C25" s="138" t="inlineStr">
        <is>
          <t>武器</t>
        </is>
      </c>
      <c r="D25" s="138" t="inlineStr">
        <is>
          <t>gunbody</t>
        </is>
      </c>
      <c r="E25" s="138" t="inlineStr">
        <is>
          <t>bp_shotgun</t>
        </is>
      </c>
      <c r="F25" s="138" t="inlineStr">
        <is>
          <t>root</t>
        </is>
      </c>
      <c r="G25" s="138" t="str"/>
      <c r="H25" s="138" t="inlineStr">
        <is>
          <t>俯视3D / local -Z 枪口</t>
        </is>
      </c>
      <c r="I25" s="138" t="inlineStr">
        <is>
          <t>default / 标准握把与8类挂点</t>
        </is>
      </c>
      <c r="J25" s="138" t="inlineStr">
        <is>
          <t>手持/背负/地面/UI 共用独立PackedScene</t>
        </is>
      </c>
      <c r="K25" s="138" t="inlineStr">
        <is>
          <t>已完成</t>
        </is>
      </c>
      <c r="L25" s="138" t="inlineStr">
        <is>
          <t>P0</t>
        </is>
      </c>
      <c r="M25" s="138" t="inlineStr">
        <is>
          <t>v001</t>
        </is>
      </c>
      <c r="N25" s="138" t="inlineStr">
        <is>
          <t>握把原点；local -Z枪口；3材质；独立GLB/PackedScene</t>
        </is>
      </c>
      <c r="O25" s="138" t="inlineStr">
        <is>
          <t>assets/art/weapons/weapon_3d/runtime/double_barrel_cannon/wpn_double_barrel_cannon_root_top3d_v001.tscn</t>
        </is>
      </c>
      <c r="P25" s="138" t="inlineStr">
        <is>
          <t>assets/art/weapons/weapon_3d/source/double_barrel_cannon/wpn_double_barrel_cannon_source_v001.blend; src/combat3d/WeaponModel3D.gd</t>
        </is>
      </c>
      <c r="Q25" s="138" t="inlineStr">
        <is>
          <t>bp_shotgun; 双管炮; 握把原点; -Z枪口; 通用挂点; 多巴胺配色</t>
        </is>
      </c>
      <c r="R25" s="138">
        <f>LOWER(TRIM(C25)&amp;"|"&amp;TRIM(D25)&amp;"|"&amp;TRIM(E25)&amp;"|"&amp;TRIM(F25)&amp;"|"&amp;TRIM(H25)&amp;"|"&amp;TRIM(I25))</f>
        <v/>
      </c>
      <c r="S25" s="138">
        <f>IF(COUNTIF($R$6:$R$300,R25)&gt;1,"重复","唯一")</f>
        <v/>
      </c>
      <c r="T25" s="138" t="inlineStr">
        <is>
          <t>67aa2883793ca21ce27b41732c48b1f4b250182c505dfab8267fcd45eb74831b</t>
        </is>
      </c>
      <c r="U25" s="138" t="inlineStr">
        <is>
          <t>Codex</t>
        </is>
      </c>
      <c r="V25" s="303" t="n">
        <v>46264</v>
      </c>
      <c r="W25" s="138" t="inlineStr">
        <is>
          <t>用户自制Blender资产</t>
        </is>
      </c>
      <c r="X25" s="375" t="inlineStr">
        <is>
          <t>—</t>
        </is>
      </c>
      <c r="Y25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26">
      <c r="A26" s="138" t="inlineStr">
        <is>
          <t>WPN-GUN-BP-RIFLE</t>
        </is>
      </c>
      <c r="B26" s="138" t="inlineStr">
        <is>
          <t>步枪 / 扫帚步枪造型</t>
        </is>
      </c>
      <c r="C26" s="138" t="inlineStr">
        <is>
          <t>武器</t>
        </is>
      </c>
      <c r="D26" s="138" t="inlineStr">
        <is>
          <t>gunbody</t>
        </is>
      </c>
      <c r="E26" s="138" t="inlineStr">
        <is>
          <t>bp_rifle</t>
        </is>
      </c>
      <c r="F26" s="138" t="inlineStr">
        <is>
          <t>root</t>
        </is>
      </c>
      <c r="G26" s="138" t="str"/>
      <c r="H26" s="138" t="inlineStr">
        <is>
          <t>俯视3D / local -Z 枪口</t>
        </is>
      </c>
      <c r="I26" s="138" t="inlineStr">
        <is>
          <t>default / 标准握把与8类挂点</t>
        </is>
      </c>
      <c r="J26" s="138" t="inlineStr">
        <is>
          <t>手持/背负/地面/UI 共用独立PackedScene</t>
        </is>
      </c>
      <c r="K26" s="138" t="inlineStr">
        <is>
          <t>已完成</t>
        </is>
      </c>
      <c r="L26" s="138" t="inlineStr">
        <is>
          <t>P0</t>
        </is>
      </c>
      <c r="M26" s="138" t="inlineStr">
        <is>
          <t>v001</t>
        </is>
      </c>
      <c r="N26" s="138" t="inlineStr">
        <is>
          <t>握把原点；local -Z枪口；3材质；独立GLB/PackedScene</t>
        </is>
      </c>
      <c r="O26" s="138" t="inlineStr">
        <is>
          <t>assets/art/weapons/weapon_3d/runtime/broom_rifle/wpn_broom_rifle_root_top3d_v001.tscn</t>
        </is>
      </c>
      <c r="P26" s="138" t="inlineStr">
        <is>
          <t>assets/art/weapons/weapon_3d/source/broom_rifle/wpn_broom_rifle_source_v001.blend; src/combat3d/WeaponModel3D.gd</t>
        </is>
      </c>
      <c r="Q26" s="138" t="inlineStr">
        <is>
          <t>bp_rifle; 扫帚步枪; 握把原点; -Z枪口; 通用挂点; 多巴胺配色</t>
        </is>
      </c>
      <c r="R26" s="138">
        <f>LOWER(TRIM(C26)&amp;"|"&amp;TRIM(D26)&amp;"|"&amp;TRIM(E26)&amp;"|"&amp;TRIM(F26)&amp;"|"&amp;TRIM(H26)&amp;"|"&amp;TRIM(I26))</f>
        <v/>
      </c>
      <c r="S26" s="138">
        <f>IF(COUNTIF($R$6:$R$300,R26)&gt;1,"重复","唯一")</f>
        <v/>
      </c>
      <c r="T26" s="138" t="inlineStr">
        <is>
          <t>ce12927b14a1cb3be4f8403dfca41347f21a038faab502b3779245ef9f211cd8</t>
        </is>
      </c>
      <c r="U26" s="138" t="inlineStr">
        <is>
          <t>Codex</t>
        </is>
      </c>
      <c r="V26" s="303" t="n">
        <v>46264</v>
      </c>
      <c r="W26" s="138" t="inlineStr">
        <is>
          <t>用户自制Blender资产</t>
        </is>
      </c>
      <c r="X26" s="375" t="inlineStr">
        <is>
          <t>—</t>
        </is>
      </c>
      <c r="Y26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27">
      <c r="A27" s="138" t="inlineStr">
        <is>
          <t>WPN-GUN-BP-MACHINEGUN</t>
        </is>
      </c>
      <c r="B27" s="138" t="inlineStr">
        <is>
          <t>蜂窝机枪 / 水箱爆能枪造型</t>
        </is>
      </c>
      <c r="C27" s="138" t="inlineStr">
        <is>
          <t>武器</t>
        </is>
      </c>
      <c r="D27" s="138" t="inlineStr">
        <is>
          <t>gunbody</t>
        </is>
      </c>
      <c r="E27" s="138" t="inlineStr">
        <is>
          <t>bp_machinegun</t>
        </is>
      </c>
      <c r="F27" s="138" t="inlineStr">
        <is>
          <t>root</t>
        </is>
      </c>
      <c r="G27" s="138" t="str"/>
      <c r="H27" s="138" t="inlineStr">
        <is>
          <t>俯视3D / local -Z 枪口</t>
        </is>
      </c>
      <c r="I27" s="138" t="inlineStr">
        <is>
          <t>default / 标准握把与8类挂点</t>
        </is>
      </c>
      <c r="J27" s="138" t="inlineStr">
        <is>
          <t>手持/背负/地面/UI 共用独立PackedScene</t>
        </is>
      </c>
      <c r="K27" s="138" t="inlineStr">
        <is>
          <t>已完成</t>
        </is>
      </c>
      <c r="L27" s="138" t="inlineStr">
        <is>
          <t>P1</t>
        </is>
      </c>
      <c r="M27" s="138" t="inlineStr">
        <is>
          <t>v001</t>
        </is>
      </c>
      <c r="N27" s="138" t="inlineStr">
        <is>
          <t>握把原点；local -Z枪口；3材质；独立GLB/PackedScene</t>
        </is>
      </c>
      <c r="O27" s="138" t="inlineStr">
        <is>
          <t>assets/art/weapons/weapon_3d/runtime/water_tank_blaster/wpn_water_tank_blaster_root_top3d_v001.tscn</t>
        </is>
      </c>
      <c r="P27" s="138" t="inlineStr">
        <is>
          <t>assets/art/weapons/weapon_3d/source/water_tank_blaster/wpn_water_tank_blaster_source_v001.blend; src/combat3d/WeaponModel3D.gd</t>
        </is>
      </c>
      <c r="Q27" s="138" t="inlineStr">
        <is>
          <t>bp_machinegun; 水箱爆能枪; 握把原点; -Z枪口; 通用挂点; 多巴胺配色</t>
        </is>
      </c>
      <c r="R27" s="138">
        <f>LOWER(TRIM(C27)&amp;"|"&amp;TRIM(D27)&amp;"|"&amp;TRIM(E27)&amp;"|"&amp;TRIM(F27)&amp;"|"&amp;TRIM(H27)&amp;"|"&amp;TRIM(I27))</f>
        <v/>
      </c>
      <c r="S27" s="138">
        <f>IF(COUNTIF($R$6:$R$300,R27)&gt;1,"重复","唯一")</f>
        <v/>
      </c>
      <c r="T27" s="138" t="inlineStr">
        <is>
          <t>037a040062930e47d813d7b1ffd5f6cff96b826750d4a9b2e38f42a78b5f5f98</t>
        </is>
      </c>
      <c r="U27" s="138" t="inlineStr">
        <is>
          <t>Codex</t>
        </is>
      </c>
      <c r="V27" s="303" t="n">
        <v>46264</v>
      </c>
      <c r="W27" s="138" t="inlineStr">
        <is>
          <t>用户自制Blender资产</t>
        </is>
      </c>
      <c r="X27" s="375" t="inlineStr">
        <is>
          <t>—</t>
        </is>
      </c>
      <c r="Y27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28">
      <c r="A28" s="138" t="inlineStr">
        <is>
          <t>WPN-GUN-BP-SNIPER</t>
        </is>
      </c>
      <c r="B28" s="138" t="inlineStr">
        <is>
          <t>弹弓狙击 / 糖果狙击枪造型</t>
        </is>
      </c>
      <c r="C28" s="138" t="inlineStr">
        <is>
          <t>武器</t>
        </is>
      </c>
      <c r="D28" s="138" t="inlineStr">
        <is>
          <t>gunbody</t>
        </is>
      </c>
      <c r="E28" s="138" t="inlineStr">
        <is>
          <t>bp_sniper</t>
        </is>
      </c>
      <c r="F28" s="138" t="inlineStr">
        <is>
          <t>root</t>
        </is>
      </c>
      <c r="G28" s="138" t="str"/>
      <c r="H28" s="138" t="inlineStr">
        <is>
          <t>俯视3D / local -Z 枪口</t>
        </is>
      </c>
      <c r="I28" s="138" t="inlineStr">
        <is>
          <t>default / 标准握把与8类挂点</t>
        </is>
      </c>
      <c r="J28" s="138" t="inlineStr">
        <is>
          <t>手持/背负/地面/UI 共用独立PackedScene</t>
        </is>
      </c>
      <c r="K28" s="138" t="inlineStr">
        <is>
          <t>已完成</t>
        </is>
      </c>
      <c r="L28" s="138" t="inlineStr">
        <is>
          <t>P1</t>
        </is>
      </c>
      <c r="M28" s="138" t="inlineStr">
        <is>
          <t>v001</t>
        </is>
      </c>
      <c r="N28" s="138" t="inlineStr">
        <is>
          <t>握把原点；local -Z枪口；3材质；独立GLB/PackedScene</t>
        </is>
      </c>
      <c r="O28" s="138" t="inlineStr">
        <is>
          <t>assets/art/weapons/weapon_3d/runtime/candy_sniper/wpn_candy_sniper_root_top3d_v001.tscn</t>
        </is>
      </c>
      <c r="P28" s="138" t="inlineStr">
        <is>
          <t>assets/art/weapons/weapon_3d/source/candy_sniper/wpn_candy_sniper_source_v001.blend; src/combat3d/WeaponModel3D.gd</t>
        </is>
      </c>
      <c r="Q28" s="138" t="inlineStr">
        <is>
          <t>bp_sniper; 糖果狙击枪; 握把原点; -Z枪口; 通用挂点; 多巴胺配色</t>
        </is>
      </c>
      <c r="R28" s="138">
        <f>LOWER(TRIM(C28)&amp;"|"&amp;TRIM(D28)&amp;"|"&amp;TRIM(E28)&amp;"|"&amp;TRIM(F28)&amp;"|"&amp;TRIM(H28)&amp;"|"&amp;TRIM(I28))</f>
        <v/>
      </c>
      <c r="S28" s="138">
        <f>IF(COUNTIF($R$6:$R$300,R28)&gt;1,"重复","唯一")</f>
        <v/>
      </c>
      <c r="T28" s="138" t="inlineStr">
        <is>
          <t>a9c319e031c0f30b7404a435de8b5aaf2f5d5e470bd591e7dfbcf2e6ed8f2753</t>
        </is>
      </c>
      <c r="U28" s="138" t="inlineStr">
        <is>
          <t>Codex</t>
        </is>
      </c>
      <c r="V28" s="303" t="n">
        <v>46264</v>
      </c>
      <c r="W28" s="138" t="inlineStr">
        <is>
          <t>用户自制Blender资产</t>
        </is>
      </c>
      <c r="X28" s="375" t="inlineStr">
        <is>
          <t>—</t>
        </is>
      </c>
      <c r="Y28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29">
      <c r="A29" s="138" t="inlineStr">
        <is>
          <t>WPN-GUN-BP-LAUNCHER</t>
        </is>
      </c>
      <c r="B29" s="138" t="inlineStr">
        <is>
          <t>反胃榴弹筒 / 烤面包机造型</t>
        </is>
      </c>
      <c r="C29" s="138" t="inlineStr">
        <is>
          <t>武器</t>
        </is>
      </c>
      <c r="D29" s="138" t="inlineStr">
        <is>
          <t>gunbody</t>
        </is>
      </c>
      <c r="E29" s="138" t="inlineStr">
        <is>
          <t>bp_launcher</t>
        </is>
      </c>
      <c r="F29" s="138" t="inlineStr">
        <is>
          <t>root</t>
        </is>
      </c>
      <c r="G29" s="138" t="str"/>
      <c r="H29" s="138" t="inlineStr">
        <is>
          <t>俯视3D / local -Z 枪口</t>
        </is>
      </c>
      <c r="I29" s="138" t="inlineStr">
        <is>
          <t>default / 标准握把与8类挂点</t>
        </is>
      </c>
      <c r="J29" s="138" t="inlineStr">
        <is>
          <t>手持/背负/地面/UI 共用独立PackedScene</t>
        </is>
      </c>
      <c r="K29" s="138" t="inlineStr">
        <is>
          <t>已完成</t>
        </is>
      </c>
      <c r="L29" s="138" t="inlineStr">
        <is>
          <t>P1</t>
        </is>
      </c>
      <c r="M29" s="138" t="inlineStr">
        <is>
          <t>v001</t>
        </is>
      </c>
      <c r="N29" s="138" t="inlineStr">
        <is>
          <t>握把原点；local -Z枪口；3材质；独立GLB/PackedScene</t>
        </is>
      </c>
      <c r="O29" s="138" t="inlineStr">
        <is>
          <t>assets/art/weapons/weapon_3d/runtime/toaster_launcher/wpn_toaster_launcher_root_top3d_v001.tscn</t>
        </is>
      </c>
      <c r="P29" s="138" t="inlineStr">
        <is>
          <t>assets/art/weapons/weapon_3d/source/toaster_launcher/wpn_toaster_launcher_source_v001.blend; src/combat3d/WeaponModel3D.gd</t>
        </is>
      </c>
      <c r="Q29" s="138" t="inlineStr">
        <is>
          <t>bp_launcher; 烤面包机发射器; 握把原点; -Z枪口; 通用挂点; 多巴胺配色</t>
        </is>
      </c>
      <c r="R29" s="138">
        <f>LOWER(TRIM(C29)&amp;"|"&amp;TRIM(D29)&amp;"|"&amp;TRIM(E29)&amp;"|"&amp;TRIM(F29)&amp;"|"&amp;TRIM(H29)&amp;"|"&amp;TRIM(I29))</f>
        <v/>
      </c>
      <c r="S29" s="138">
        <f>IF(COUNTIF($R$6:$R$300,R29)&gt;1,"重复","唯一")</f>
        <v/>
      </c>
      <c r="T29" s="138" t="inlineStr">
        <is>
          <t>97d05fc29d0ed170225489c8d7282c0065757d557c9bfaa31bd31761f8f67a41</t>
        </is>
      </c>
      <c r="U29" s="138" t="inlineStr">
        <is>
          <t>Codex</t>
        </is>
      </c>
      <c r="V29" s="303" t="n">
        <v>46264</v>
      </c>
      <c r="W29" s="138" t="inlineStr">
        <is>
          <t>用户自制Blender资产</t>
        </is>
      </c>
      <c r="X29" s="375" t="inlineStr">
        <is>
          <t>—</t>
        </is>
      </c>
      <c r="Y29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30">
      <c r="A30" s="138" t="inlineStr">
        <is>
          <t>WPN-GUN-BP-CHARGE</t>
        </is>
      </c>
      <c r="B30" s="138" t="inlineStr">
        <is>
          <t>蓄力萝卜炮 / 口香糖机造型</t>
        </is>
      </c>
      <c r="C30" s="138" t="inlineStr">
        <is>
          <t>武器</t>
        </is>
      </c>
      <c r="D30" s="138" t="inlineStr">
        <is>
          <t>gunbody</t>
        </is>
      </c>
      <c r="E30" s="138" t="inlineStr">
        <is>
          <t>bp_charge</t>
        </is>
      </c>
      <c r="F30" s="138" t="inlineStr">
        <is>
          <t>root</t>
        </is>
      </c>
      <c r="G30" s="138" t="str"/>
      <c r="H30" s="138" t="inlineStr">
        <is>
          <t>俯视3D / local -Z 枪口</t>
        </is>
      </c>
      <c r="I30" s="138" t="inlineStr">
        <is>
          <t>default / 标准握把与8类挂点</t>
        </is>
      </c>
      <c r="J30" s="138" t="inlineStr">
        <is>
          <t>手持/背负/地面/UI 共用独立PackedScene</t>
        </is>
      </c>
      <c r="K30" s="138" t="inlineStr">
        <is>
          <t>已完成</t>
        </is>
      </c>
      <c r="L30" s="138" t="inlineStr">
        <is>
          <t>P2</t>
        </is>
      </c>
      <c r="M30" s="138" t="inlineStr">
        <is>
          <t>v001</t>
        </is>
      </c>
      <c r="N30" s="138" t="inlineStr">
        <is>
          <t>握把原点；local -Z枪口；3材质；独立GLB/PackedScene</t>
        </is>
      </c>
      <c r="O30" s="138" t="inlineStr">
        <is>
          <t>assets/art/weapons/weapon_3d/runtime/gumball_cannon/wpn_gumball_cannon_root_top3d_v001.tscn</t>
        </is>
      </c>
      <c r="P30" s="138" t="inlineStr">
        <is>
          <t>assets/art/weapons/weapon_3d/source/gumball_cannon/wpn_gumball_cannon_source_v001.blend; src/combat3d/WeaponModel3D.gd</t>
        </is>
      </c>
      <c r="Q30" s="138" t="inlineStr">
        <is>
          <t>bp_charge; 口香糖机加农炮; 握把原点; -Z枪口; 通用挂点; 多巴胺配色</t>
        </is>
      </c>
      <c r="R30" s="138">
        <f>LOWER(TRIM(C30)&amp;"|"&amp;TRIM(D30)&amp;"|"&amp;TRIM(E30)&amp;"|"&amp;TRIM(F30)&amp;"|"&amp;TRIM(H30)&amp;"|"&amp;TRIM(I30))</f>
        <v/>
      </c>
      <c r="S30" s="138">
        <f>IF(COUNTIF($R$6:$R$300,R30)&gt;1,"重复","唯一")</f>
        <v/>
      </c>
      <c r="T30" s="138" t="inlineStr">
        <is>
          <t>1c494d0811ef503c74e8dc61277b307e35db210241b46083a6da7b2121b54cee</t>
        </is>
      </c>
      <c r="U30" s="138" t="inlineStr">
        <is>
          <t>Codex</t>
        </is>
      </c>
      <c r="V30" s="303" t="n">
        <v>46264</v>
      </c>
      <c r="W30" s="138" t="inlineStr">
        <is>
          <t>用户自制Blender资产</t>
        </is>
      </c>
      <c r="X30" s="375" t="inlineStr">
        <is>
          <t>—</t>
        </is>
      </c>
      <c r="Y30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31">
      <c r="A31" s="138" t="inlineStr">
        <is>
          <t>WPN-BUL-MOD-BULLET-STANDARD</t>
        </is>
      </c>
      <c r="B31" s="138" t="inlineStr">
        <is>
          <t>标准子弹</t>
        </is>
      </c>
      <c r="C31" s="138" t="inlineStr">
        <is>
          <t>武器</t>
        </is>
      </c>
      <c r="D31" s="138" t="inlineStr">
        <is>
          <t>bullet_module</t>
        </is>
      </c>
      <c r="E31" s="138" t="inlineStr">
        <is>
          <t>mod_bullet_standard</t>
        </is>
      </c>
      <c r="F31" s="138" t="inlineStr">
        <is>
          <t>root</t>
        </is>
      </c>
      <c r="G31" s="138" t="str"/>
      <c r="H31" s="138" t="inlineStr">
        <is>
          <t>顶视/方向无关</t>
        </is>
      </c>
      <c r="I31" s="138" t="inlineStr">
        <is>
          <t>default</t>
        </is>
      </c>
      <c r="J31" s="138" t="inlineStr">
        <is>
          <t>弹体/VFX/UI 图标</t>
        </is>
      </c>
      <c r="K31" s="138" t="inlineStr">
        <is>
          <t>程序占位</t>
        </is>
      </c>
      <c r="L31" s="138" t="inlineStr">
        <is>
          <t>P1</t>
        </is>
      </c>
      <c r="M31" s="138" t="inlineStr">
        <is>
          <t>v001</t>
        </is>
      </c>
      <c r="N31" s="138" t="inlineStr">
        <is>
          <t>建议 12×12 px</t>
        </is>
      </c>
      <c r="O31" s="138" t="str"/>
      <c r="P31" s="138" t="inlineStr">
        <is>
          <t>src/base/BlueprintRegistry.gd</t>
        </is>
      </c>
      <c r="Q31" s="138" t="str"/>
      <c r="R31" s="138">
        <f>LOWER(TRIM(C31)&amp;"|"&amp;TRIM(D31)&amp;"|"&amp;TRIM(E31)&amp;"|"&amp;TRIM(F31)&amp;"|"&amp;TRIM(H31)&amp;"|"&amp;TRIM(I31))</f>
        <v/>
      </c>
      <c r="S31" s="138">
        <f>IF(COUNTIF($R$6:$R$300,R31)&gt;1,"重复","唯一")</f>
        <v/>
      </c>
      <c r="T31" s="138" t="str"/>
      <c r="U31" s="138" t="inlineStr">
        <is>
          <t>待分配</t>
        </is>
      </c>
      <c r="V31" s="303" t="n">
        <v>46224</v>
      </c>
      <c r="W31" s="138" t="inlineStr">
        <is>
          <t>原创/待确认</t>
        </is>
      </c>
      <c r="X31" s="375" t="inlineStr">
        <is>
          <t>—</t>
        </is>
      </c>
      <c r="Y31" s="138" t="inlineStr">
        <is>
          <t>优先复用颜色和弹道特效，不为每把枪重复制作
2026-08-30 AST-01规范化（原大类：枪械）</t>
        </is>
      </c>
    </row>
    <row r="32">
      <c r="A32" s="138" t="inlineStr">
        <is>
          <t>WPN-BUL-MOD-BULLET-STICKY</t>
        </is>
      </c>
      <c r="B32" s="138" t="inlineStr">
        <is>
          <t>黏黏弹</t>
        </is>
      </c>
      <c r="C32" s="138" t="inlineStr">
        <is>
          <t>武器</t>
        </is>
      </c>
      <c r="D32" s="138" t="inlineStr">
        <is>
          <t>bullet_module</t>
        </is>
      </c>
      <c r="E32" s="138" t="inlineStr">
        <is>
          <t>mod_bullet_sticky</t>
        </is>
      </c>
      <c r="F32" s="138" t="inlineStr">
        <is>
          <t>root</t>
        </is>
      </c>
      <c r="G32" s="138" t="str"/>
      <c r="H32" s="138" t="inlineStr">
        <is>
          <t>顶视/方向无关</t>
        </is>
      </c>
      <c r="I32" s="138" t="inlineStr">
        <is>
          <t>default</t>
        </is>
      </c>
      <c r="J32" s="138" t="inlineStr">
        <is>
          <t>弹体/VFX/UI 图标</t>
        </is>
      </c>
      <c r="K32" s="138" t="inlineStr">
        <is>
          <t>程序占位</t>
        </is>
      </c>
      <c r="L32" s="138" t="inlineStr">
        <is>
          <t>P1</t>
        </is>
      </c>
      <c r="M32" s="138" t="inlineStr">
        <is>
          <t>v001</t>
        </is>
      </c>
      <c r="N32" s="138" t="inlineStr">
        <is>
          <t>建议 12×12 px</t>
        </is>
      </c>
      <c r="O32" s="138" t="str"/>
      <c r="P32" s="138" t="inlineStr">
        <is>
          <t>src/base/BlueprintRegistry.gd</t>
        </is>
      </c>
      <c r="Q32" s="138" t="str"/>
      <c r="R32" s="138">
        <f>LOWER(TRIM(C32)&amp;"|"&amp;TRIM(D32)&amp;"|"&amp;TRIM(E32)&amp;"|"&amp;TRIM(F32)&amp;"|"&amp;TRIM(H32)&amp;"|"&amp;TRIM(I32))</f>
        <v/>
      </c>
      <c r="S32" s="138">
        <f>IF(COUNTIF($R$6:$R$300,R32)&gt;1,"重复","唯一")</f>
        <v/>
      </c>
      <c r="T32" s="138" t="str"/>
      <c r="U32" s="138" t="inlineStr">
        <is>
          <t>待分配</t>
        </is>
      </c>
      <c r="V32" s="303" t="n">
        <v>46224</v>
      </c>
      <c r="W32" s="138" t="inlineStr">
        <is>
          <t>原创/待确认</t>
        </is>
      </c>
      <c r="X32" s="375" t="inlineStr">
        <is>
          <t>—</t>
        </is>
      </c>
      <c r="Y32" s="138" t="inlineStr">
        <is>
          <t>优先复用颜色和弹道特效，不为每把枪重复制作
2026-08-30 AST-01规范化（原大类：枪械）</t>
        </is>
      </c>
    </row>
    <row r="33">
      <c r="A33" s="138" t="inlineStr">
        <is>
          <t>WPN-BUL-MOD-BULLET-BOUNCE</t>
        </is>
      </c>
      <c r="B33" s="138" t="inlineStr">
        <is>
          <t>回旋镖弹</t>
        </is>
      </c>
      <c r="C33" s="138" t="inlineStr">
        <is>
          <t>武器</t>
        </is>
      </c>
      <c r="D33" s="138" t="inlineStr">
        <is>
          <t>bullet_module</t>
        </is>
      </c>
      <c r="E33" s="138" t="inlineStr">
        <is>
          <t>mod_bullet_bounce</t>
        </is>
      </c>
      <c r="F33" s="138" t="inlineStr">
        <is>
          <t>root</t>
        </is>
      </c>
      <c r="G33" s="138" t="str"/>
      <c r="H33" s="138" t="inlineStr">
        <is>
          <t>顶视/方向无关</t>
        </is>
      </c>
      <c r="I33" s="138" t="inlineStr">
        <is>
          <t>default</t>
        </is>
      </c>
      <c r="J33" s="138" t="inlineStr">
        <is>
          <t>弹体/VFX/UI 图标</t>
        </is>
      </c>
      <c r="K33" s="138" t="inlineStr">
        <is>
          <t>程序占位</t>
        </is>
      </c>
      <c r="L33" s="138" t="inlineStr">
        <is>
          <t>P1</t>
        </is>
      </c>
      <c r="M33" s="138" t="inlineStr">
        <is>
          <t>v001</t>
        </is>
      </c>
      <c r="N33" s="138" t="inlineStr">
        <is>
          <t>建议 12×12 px</t>
        </is>
      </c>
      <c r="O33" s="138" t="str"/>
      <c r="P33" s="138" t="inlineStr">
        <is>
          <t>src/base/BlueprintRegistry.gd</t>
        </is>
      </c>
      <c r="Q33" s="138" t="str"/>
      <c r="R33" s="138">
        <f>LOWER(TRIM(C33)&amp;"|"&amp;TRIM(D33)&amp;"|"&amp;TRIM(E33)&amp;"|"&amp;TRIM(F33)&amp;"|"&amp;TRIM(H33)&amp;"|"&amp;TRIM(I33))</f>
        <v/>
      </c>
      <c r="S33" s="138">
        <f>IF(COUNTIF($R$6:$R$300,R33)&gt;1,"重复","唯一")</f>
        <v/>
      </c>
      <c r="T33" s="138" t="str"/>
      <c r="U33" s="138" t="inlineStr">
        <is>
          <t>待分配</t>
        </is>
      </c>
      <c r="V33" s="303" t="n">
        <v>46224</v>
      </c>
      <c r="W33" s="138" t="inlineStr">
        <is>
          <t>原创/待确认</t>
        </is>
      </c>
      <c r="X33" s="375" t="inlineStr">
        <is>
          <t>—</t>
        </is>
      </c>
      <c r="Y33" s="138" t="inlineStr">
        <is>
          <t>优先复用颜色和弹道特效，不为每把枪重复制作
2026-08-30 AST-01规范化（原大类：枪械）</t>
        </is>
      </c>
    </row>
    <row r="34">
      <c r="A34" s="138" t="inlineStr">
        <is>
          <t>WPN-BUL-MOD-BULLET-PIERCING</t>
        </is>
      </c>
      <c r="B34" s="138" t="inlineStr">
        <is>
          <t>穿甲弹</t>
        </is>
      </c>
      <c r="C34" s="138" t="inlineStr">
        <is>
          <t>武器</t>
        </is>
      </c>
      <c r="D34" s="138" t="inlineStr">
        <is>
          <t>bullet_module</t>
        </is>
      </c>
      <c r="E34" s="138" t="inlineStr">
        <is>
          <t>mod_bullet_piercing</t>
        </is>
      </c>
      <c r="F34" s="138" t="inlineStr">
        <is>
          <t>root</t>
        </is>
      </c>
      <c r="G34" s="138" t="str"/>
      <c r="H34" s="138" t="inlineStr">
        <is>
          <t>顶视/方向无关</t>
        </is>
      </c>
      <c r="I34" s="138" t="inlineStr">
        <is>
          <t>default</t>
        </is>
      </c>
      <c r="J34" s="138" t="inlineStr">
        <is>
          <t>弹体/VFX/UI 图标</t>
        </is>
      </c>
      <c r="K34" s="138" t="inlineStr">
        <is>
          <t>程序占位</t>
        </is>
      </c>
      <c r="L34" s="138" t="inlineStr">
        <is>
          <t>P1</t>
        </is>
      </c>
      <c r="M34" s="138" t="inlineStr">
        <is>
          <t>v001</t>
        </is>
      </c>
      <c r="N34" s="138" t="inlineStr">
        <is>
          <t>建议 12×12 px</t>
        </is>
      </c>
      <c r="O34" s="138" t="str"/>
      <c r="P34" s="138" t="inlineStr">
        <is>
          <t>src/base/BlueprintRegistry.gd</t>
        </is>
      </c>
      <c r="Q34" s="138" t="str"/>
      <c r="R34" s="138">
        <f>LOWER(TRIM(C34)&amp;"|"&amp;TRIM(D34)&amp;"|"&amp;TRIM(E34)&amp;"|"&amp;TRIM(F34)&amp;"|"&amp;TRIM(H34)&amp;"|"&amp;TRIM(I34))</f>
        <v/>
      </c>
      <c r="S34" s="138">
        <f>IF(COUNTIF($R$6:$R$300,R34)&gt;1,"重复","唯一")</f>
        <v/>
      </c>
      <c r="T34" s="138" t="str"/>
      <c r="U34" s="138" t="inlineStr">
        <is>
          <t>待分配</t>
        </is>
      </c>
      <c r="V34" s="303" t="n">
        <v>46224</v>
      </c>
      <c r="W34" s="138" t="inlineStr">
        <is>
          <t>原创/待确认</t>
        </is>
      </c>
      <c r="X34" s="375" t="inlineStr">
        <is>
          <t>—</t>
        </is>
      </c>
      <c r="Y34" s="138" t="inlineStr">
        <is>
          <t>优先复用颜色和弹道特效，不为每把枪重复制作
2026-08-30 AST-01规范化（原大类：枪械）</t>
        </is>
      </c>
    </row>
    <row r="35">
      <c r="A35" s="138" t="inlineStr">
        <is>
          <t>WPN-BUL-MOD-BULLET-EXPLOSIVE</t>
        </is>
      </c>
      <c r="B35" s="138" t="inlineStr">
        <is>
          <t>爆炸弹</t>
        </is>
      </c>
      <c r="C35" s="138" t="inlineStr">
        <is>
          <t>武器</t>
        </is>
      </c>
      <c r="D35" s="138" t="inlineStr">
        <is>
          <t>bullet_module</t>
        </is>
      </c>
      <c r="E35" s="138" t="inlineStr">
        <is>
          <t>mod_bullet_explosive</t>
        </is>
      </c>
      <c r="F35" s="138" t="inlineStr">
        <is>
          <t>root</t>
        </is>
      </c>
      <c r="G35" s="138" t="str"/>
      <c r="H35" s="138" t="inlineStr">
        <is>
          <t>顶视/方向无关</t>
        </is>
      </c>
      <c r="I35" s="138" t="inlineStr">
        <is>
          <t>default</t>
        </is>
      </c>
      <c r="J35" s="138" t="inlineStr">
        <is>
          <t>弹体/VFX/UI 图标</t>
        </is>
      </c>
      <c r="K35" s="138" t="inlineStr">
        <is>
          <t>程序占位</t>
        </is>
      </c>
      <c r="L35" s="138" t="inlineStr">
        <is>
          <t>P1</t>
        </is>
      </c>
      <c r="M35" s="138" t="inlineStr">
        <is>
          <t>v001</t>
        </is>
      </c>
      <c r="N35" s="138" t="inlineStr">
        <is>
          <t>建议 12×12 px</t>
        </is>
      </c>
      <c r="O35" s="138" t="str"/>
      <c r="P35" s="138" t="inlineStr">
        <is>
          <t>src/base/BlueprintRegistry.gd</t>
        </is>
      </c>
      <c r="Q35" s="138" t="str"/>
      <c r="R35" s="138">
        <f>LOWER(TRIM(C35)&amp;"|"&amp;TRIM(D35)&amp;"|"&amp;TRIM(E35)&amp;"|"&amp;TRIM(F35)&amp;"|"&amp;TRIM(H35)&amp;"|"&amp;TRIM(I35))</f>
        <v/>
      </c>
      <c r="S35" s="138">
        <f>IF(COUNTIF($R$6:$R$300,R35)&gt;1,"重复","唯一")</f>
        <v/>
      </c>
      <c r="T35" s="138" t="str"/>
      <c r="U35" s="138" t="inlineStr">
        <is>
          <t>待分配</t>
        </is>
      </c>
      <c r="V35" s="303" t="n">
        <v>46224</v>
      </c>
      <c r="W35" s="138" t="inlineStr">
        <is>
          <t>原创/待确认</t>
        </is>
      </c>
      <c r="X35" s="375" t="inlineStr">
        <is>
          <t>—</t>
        </is>
      </c>
      <c r="Y35" s="138" t="inlineStr">
        <is>
          <t>优先复用颜色和弹道特效，不为每把枪重复制作
2026-08-30 AST-01规范化（原大类：枪械）</t>
        </is>
      </c>
    </row>
    <row r="36">
      <c r="A36" s="138" t="inlineStr">
        <is>
          <t>WPN-BUL-MOD-BULLET-HOMING</t>
        </is>
      </c>
      <c r="B36" s="138" t="inlineStr">
        <is>
          <t>蜂卵弹</t>
        </is>
      </c>
      <c r="C36" s="138" t="inlineStr">
        <is>
          <t>武器</t>
        </is>
      </c>
      <c r="D36" s="138" t="inlineStr">
        <is>
          <t>bullet_module</t>
        </is>
      </c>
      <c r="E36" s="138" t="inlineStr">
        <is>
          <t>mod_bullet_homing</t>
        </is>
      </c>
      <c r="F36" s="138" t="inlineStr">
        <is>
          <t>root</t>
        </is>
      </c>
      <c r="G36" s="138" t="str"/>
      <c r="H36" s="138" t="inlineStr">
        <is>
          <t>顶视/方向无关</t>
        </is>
      </c>
      <c r="I36" s="138" t="inlineStr">
        <is>
          <t>default</t>
        </is>
      </c>
      <c r="J36" s="138" t="inlineStr">
        <is>
          <t>弹体/VFX/UI 图标</t>
        </is>
      </c>
      <c r="K36" s="138" t="inlineStr">
        <is>
          <t>程序占位</t>
        </is>
      </c>
      <c r="L36" s="138" t="inlineStr">
        <is>
          <t>P1</t>
        </is>
      </c>
      <c r="M36" s="138" t="inlineStr">
        <is>
          <t>v001</t>
        </is>
      </c>
      <c r="N36" s="138" t="inlineStr">
        <is>
          <t>建议 12×12 px</t>
        </is>
      </c>
      <c r="O36" s="138" t="str"/>
      <c r="P36" s="138" t="inlineStr">
        <is>
          <t>src/base/BlueprintRegistry.gd</t>
        </is>
      </c>
      <c r="Q36" s="138" t="str"/>
      <c r="R36" s="138">
        <f>LOWER(TRIM(C36)&amp;"|"&amp;TRIM(D36)&amp;"|"&amp;TRIM(E36)&amp;"|"&amp;TRIM(F36)&amp;"|"&amp;TRIM(H36)&amp;"|"&amp;TRIM(I36))</f>
        <v/>
      </c>
      <c r="S36" s="138">
        <f>IF(COUNTIF($R$6:$R$300,R36)&gt;1,"重复","唯一")</f>
        <v/>
      </c>
      <c r="T36" s="138" t="str"/>
      <c r="U36" s="138" t="inlineStr">
        <is>
          <t>待分配</t>
        </is>
      </c>
      <c r="V36" s="303" t="n">
        <v>46224</v>
      </c>
      <c r="W36" s="138" t="inlineStr">
        <is>
          <t>原创/待确认</t>
        </is>
      </c>
      <c r="X36" s="375" t="inlineStr">
        <is>
          <t>—</t>
        </is>
      </c>
      <c r="Y36" s="138" t="inlineStr">
        <is>
          <t>优先复用颜色和弹道特效，不为每把枪重复制作
2026-08-30 AST-01规范化（原大类：枪械）</t>
        </is>
      </c>
    </row>
    <row r="37">
      <c r="A37" s="138" t="inlineStr">
        <is>
          <t>WPN-BUL-MOD-BULLET-BLACKHOLE</t>
        </is>
      </c>
      <c r="B37" s="138" t="inlineStr">
        <is>
          <t>黑洞弹</t>
        </is>
      </c>
      <c r="C37" s="138" t="inlineStr">
        <is>
          <t>武器</t>
        </is>
      </c>
      <c r="D37" s="138" t="inlineStr">
        <is>
          <t>bullet_module</t>
        </is>
      </c>
      <c r="E37" s="138" t="inlineStr">
        <is>
          <t>mod_bullet_blackhole</t>
        </is>
      </c>
      <c r="F37" s="138" t="inlineStr">
        <is>
          <t>root</t>
        </is>
      </c>
      <c r="G37" s="138" t="str"/>
      <c r="H37" s="138" t="inlineStr">
        <is>
          <t>顶视/方向无关</t>
        </is>
      </c>
      <c r="I37" s="138" t="inlineStr">
        <is>
          <t>default</t>
        </is>
      </c>
      <c r="J37" s="138" t="inlineStr">
        <is>
          <t>弹体/VFX/UI 图标</t>
        </is>
      </c>
      <c r="K37" s="138" t="inlineStr">
        <is>
          <t>程序占位</t>
        </is>
      </c>
      <c r="L37" s="138" t="inlineStr">
        <is>
          <t>P1</t>
        </is>
      </c>
      <c r="M37" s="138" t="inlineStr">
        <is>
          <t>v001</t>
        </is>
      </c>
      <c r="N37" s="138" t="inlineStr">
        <is>
          <t>建议 12×12 px</t>
        </is>
      </c>
      <c r="O37" s="138" t="str"/>
      <c r="P37" s="138" t="inlineStr">
        <is>
          <t>src/base/BlueprintRegistry.gd</t>
        </is>
      </c>
      <c r="Q37" s="138" t="str"/>
      <c r="R37" s="138">
        <f>LOWER(TRIM(C37)&amp;"|"&amp;TRIM(D37)&amp;"|"&amp;TRIM(E37)&amp;"|"&amp;TRIM(F37)&amp;"|"&amp;TRIM(H37)&amp;"|"&amp;TRIM(I37))</f>
        <v/>
      </c>
      <c r="S37" s="138">
        <f>IF(COUNTIF($R$6:$R$300,R37)&gt;1,"重复","唯一")</f>
        <v/>
      </c>
      <c r="T37" s="138" t="str"/>
      <c r="U37" s="138" t="inlineStr">
        <is>
          <t>待分配</t>
        </is>
      </c>
      <c r="V37" s="303" t="n">
        <v>46224</v>
      </c>
      <c r="W37" s="138" t="inlineStr">
        <is>
          <t>原创/待确认</t>
        </is>
      </c>
      <c r="X37" s="375" t="inlineStr">
        <is>
          <t>—</t>
        </is>
      </c>
      <c r="Y37" s="138" t="inlineStr">
        <is>
          <t>优先复用颜色和弹道特效，不为每把枪重复制作
2026-08-30 AST-01规范化（原大类：枪械）</t>
        </is>
      </c>
    </row>
    <row r="38">
      <c r="A38" s="138" t="inlineStr">
        <is>
          <t>WPN-BUL-MOD-BULLET-BALLOON</t>
        </is>
      </c>
      <c r="B38" s="138" t="inlineStr">
        <is>
          <t>气球弹</t>
        </is>
      </c>
      <c r="C38" s="138" t="inlineStr">
        <is>
          <t>武器</t>
        </is>
      </c>
      <c r="D38" s="138" t="inlineStr">
        <is>
          <t>bullet_module</t>
        </is>
      </c>
      <c r="E38" s="138" t="inlineStr">
        <is>
          <t>mod_bullet_balloon</t>
        </is>
      </c>
      <c r="F38" s="138" t="inlineStr">
        <is>
          <t>root</t>
        </is>
      </c>
      <c r="G38" s="138" t="str"/>
      <c r="H38" s="138" t="inlineStr">
        <is>
          <t>顶视/方向无关</t>
        </is>
      </c>
      <c r="I38" s="138" t="inlineStr">
        <is>
          <t>default</t>
        </is>
      </c>
      <c r="J38" s="138" t="inlineStr">
        <is>
          <t>弹体/VFX/UI 图标</t>
        </is>
      </c>
      <c r="K38" s="138" t="inlineStr">
        <is>
          <t>程序占位</t>
        </is>
      </c>
      <c r="L38" s="138" t="inlineStr">
        <is>
          <t>P1</t>
        </is>
      </c>
      <c r="M38" s="138" t="inlineStr">
        <is>
          <t>v001</t>
        </is>
      </c>
      <c r="N38" s="138" t="inlineStr">
        <is>
          <t>建议 12×12 px</t>
        </is>
      </c>
      <c r="O38" s="138" t="str"/>
      <c r="P38" s="138" t="inlineStr">
        <is>
          <t>src/base/BlueprintRegistry.gd</t>
        </is>
      </c>
      <c r="Q38" s="138" t="str"/>
      <c r="R38" s="138">
        <f>LOWER(TRIM(C38)&amp;"|"&amp;TRIM(D38)&amp;"|"&amp;TRIM(E38)&amp;"|"&amp;TRIM(F38)&amp;"|"&amp;TRIM(H38)&amp;"|"&amp;TRIM(I38))</f>
        <v/>
      </c>
      <c r="S38" s="138">
        <f>IF(COUNTIF($R$6:$R$300,R38)&gt;1,"重复","唯一")</f>
        <v/>
      </c>
      <c r="T38" s="138" t="str"/>
      <c r="U38" s="138" t="inlineStr">
        <is>
          <t>待分配</t>
        </is>
      </c>
      <c r="V38" s="303" t="n">
        <v>46224</v>
      </c>
      <c r="W38" s="138" t="inlineStr">
        <is>
          <t>原创/待确认</t>
        </is>
      </c>
      <c r="X38" s="375" t="inlineStr">
        <is>
          <t>—</t>
        </is>
      </c>
      <c r="Y38" s="138" t="inlineStr">
        <is>
          <t>优先复用颜色和弹道特效，不为每把枪重复制作
2026-08-30 AST-01规范化（原大类：枪械）</t>
        </is>
      </c>
    </row>
    <row r="39">
      <c r="A39" s="138" t="inlineStr">
        <is>
          <t>WPN-ATT-ATTACH-TRIPLE-MUZZLE</t>
        </is>
      </c>
      <c r="B39" s="138" t="inlineStr">
        <is>
          <t>三叉枪口</t>
        </is>
      </c>
      <c r="C39" s="138" t="inlineStr">
        <is>
          <t>武器</t>
        </is>
      </c>
      <c r="D39" s="138" t="inlineStr">
        <is>
          <t>attachment</t>
        </is>
      </c>
      <c r="E39" s="138" t="inlineStr">
        <is>
          <t>attach_triple_muzzle</t>
        </is>
      </c>
      <c r="F39" s="138" t="inlineStr">
        <is>
          <t>root</t>
        </is>
      </c>
      <c r="G39" s="138" t="str"/>
      <c r="H39" s="138" t="inlineStr">
        <is>
          <t>侧面朝右</t>
        </is>
      </c>
      <c r="I39" s="138" t="inlineStr">
        <is>
          <t>default</t>
        </is>
      </c>
      <c r="J39" s="138" t="inlineStr">
        <is>
          <t>装配树/枪身/UI 图标</t>
        </is>
      </c>
      <c r="K39" s="138" t="inlineStr">
        <is>
          <t>程序占位</t>
        </is>
      </c>
      <c r="L39" s="138" t="inlineStr">
        <is>
          <t>P2</t>
        </is>
      </c>
      <c r="M39" s="138" t="inlineStr">
        <is>
          <t>v001</t>
        </is>
      </c>
      <c r="N39" s="138" t="inlineStr">
        <is>
          <t>建议 12–24 px</t>
        </is>
      </c>
      <c r="O39" s="138" t="str"/>
      <c r="P39" s="138" t="inlineStr">
        <is>
          <t>src/base/BlueprintRegistry.gd</t>
        </is>
      </c>
      <c r="Q39" s="138" t="str"/>
      <c r="R39" s="138">
        <f>LOWER(TRIM(C39)&amp;"|"&amp;TRIM(D39)&amp;"|"&amp;TRIM(E39)&amp;"|"&amp;TRIM(F39)&amp;"|"&amp;TRIM(H39)&amp;"|"&amp;TRIM(I39))</f>
        <v/>
      </c>
      <c r="S39" s="138">
        <f>IF(COUNTIF($R$6:$R$300,R39)&gt;1,"重复","唯一")</f>
        <v/>
      </c>
      <c r="T39" s="138" t="str"/>
      <c r="U39" s="138" t="inlineStr">
        <is>
          <t>待分配</t>
        </is>
      </c>
      <c r="V39" s="303" t="n">
        <v>46224</v>
      </c>
      <c r="W39" s="138" t="inlineStr">
        <is>
          <t>原创/待确认</t>
        </is>
      </c>
      <c r="X39" s="375" t="inlineStr">
        <is>
          <t>—</t>
        </is>
      </c>
      <c r="Y39" s="138" t="inlineStr">
        <is>
          <t>以挂点部件制作，不烘焙进整枪
2026-08-30 AST-01规范化（原大类：枪械）</t>
        </is>
      </c>
    </row>
    <row r="40">
      <c r="A40" s="138" t="inlineStr">
        <is>
          <t>WPN-ATT-ATTACH-RUBBER-STOCK</t>
        </is>
      </c>
      <c r="B40" s="138" t="inlineStr">
        <is>
          <t>橡皮枪托</t>
        </is>
      </c>
      <c r="C40" s="138" t="inlineStr">
        <is>
          <t>武器</t>
        </is>
      </c>
      <c r="D40" s="138" t="inlineStr">
        <is>
          <t>attachment</t>
        </is>
      </c>
      <c r="E40" s="138" t="inlineStr">
        <is>
          <t>attach_rubber_stock</t>
        </is>
      </c>
      <c r="F40" s="138" t="inlineStr">
        <is>
          <t>root</t>
        </is>
      </c>
      <c r="G40" s="138" t="str"/>
      <c r="H40" s="138" t="inlineStr">
        <is>
          <t>侧面朝右</t>
        </is>
      </c>
      <c r="I40" s="138" t="inlineStr">
        <is>
          <t>default</t>
        </is>
      </c>
      <c r="J40" s="138" t="inlineStr">
        <is>
          <t>装配树/枪身/UI 图标</t>
        </is>
      </c>
      <c r="K40" s="138" t="inlineStr">
        <is>
          <t>程序占位</t>
        </is>
      </c>
      <c r="L40" s="138" t="inlineStr">
        <is>
          <t>P2</t>
        </is>
      </c>
      <c r="M40" s="138" t="inlineStr">
        <is>
          <t>v001</t>
        </is>
      </c>
      <c r="N40" s="138" t="inlineStr">
        <is>
          <t>建议 12–24 px</t>
        </is>
      </c>
      <c r="O40" s="138" t="str"/>
      <c r="P40" s="138" t="inlineStr">
        <is>
          <t>src/base/BlueprintRegistry.gd</t>
        </is>
      </c>
      <c r="Q40" s="138" t="str"/>
      <c r="R40" s="138">
        <f>LOWER(TRIM(C40)&amp;"|"&amp;TRIM(D40)&amp;"|"&amp;TRIM(E40)&amp;"|"&amp;TRIM(F40)&amp;"|"&amp;TRIM(H40)&amp;"|"&amp;TRIM(I40))</f>
        <v/>
      </c>
      <c r="S40" s="138">
        <f>IF(COUNTIF($R$6:$R$300,R40)&gt;1,"重复","唯一")</f>
        <v/>
      </c>
      <c r="T40" s="138" t="str"/>
      <c r="U40" s="138" t="inlineStr">
        <is>
          <t>待分配</t>
        </is>
      </c>
      <c r="V40" s="303" t="n">
        <v>46224</v>
      </c>
      <c r="W40" s="138" t="inlineStr">
        <is>
          <t>原创/待确认</t>
        </is>
      </c>
      <c r="X40" s="375" t="inlineStr">
        <is>
          <t>—</t>
        </is>
      </c>
      <c r="Y40" s="138" t="inlineStr">
        <is>
          <t>以挂点部件制作，不烘焙进整枪
2026-08-30 AST-01规范化（原大类：枪械）</t>
        </is>
      </c>
    </row>
    <row r="41">
      <c r="A41" s="138" t="inlineStr">
        <is>
          <t>WPN-ATT-ATTACH-SCOPE</t>
        </is>
      </c>
      <c r="B41" s="138" t="inlineStr">
        <is>
          <t>放大镜瞄具</t>
        </is>
      </c>
      <c r="C41" s="138" t="inlineStr">
        <is>
          <t>武器</t>
        </is>
      </c>
      <c r="D41" s="138" t="inlineStr">
        <is>
          <t>attachment</t>
        </is>
      </c>
      <c r="E41" s="138" t="inlineStr">
        <is>
          <t>attach_scope</t>
        </is>
      </c>
      <c r="F41" s="138" t="inlineStr">
        <is>
          <t>root</t>
        </is>
      </c>
      <c r="G41" s="138" t="str"/>
      <c r="H41" s="138" t="inlineStr">
        <is>
          <t>侧面朝右</t>
        </is>
      </c>
      <c r="I41" s="138" t="inlineStr">
        <is>
          <t>default</t>
        </is>
      </c>
      <c r="J41" s="138" t="inlineStr">
        <is>
          <t>装配树/枪身/UI 图标</t>
        </is>
      </c>
      <c r="K41" s="138" t="inlineStr">
        <is>
          <t>程序占位</t>
        </is>
      </c>
      <c r="L41" s="138" t="inlineStr">
        <is>
          <t>P2</t>
        </is>
      </c>
      <c r="M41" s="138" t="inlineStr">
        <is>
          <t>v001</t>
        </is>
      </c>
      <c r="N41" s="138" t="inlineStr">
        <is>
          <t>建议 12–24 px</t>
        </is>
      </c>
      <c r="O41" s="138" t="str"/>
      <c r="P41" s="138" t="inlineStr">
        <is>
          <t>src/base/BlueprintRegistry.gd</t>
        </is>
      </c>
      <c r="Q41" s="138" t="str"/>
      <c r="R41" s="138">
        <f>LOWER(TRIM(C41)&amp;"|"&amp;TRIM(D41)&amp;"|"&amp;TRIM(E41)&amp;"|"&amp;TRIM(F41)&amp;"|"&amp;TRIM(H41)&amp;"|"&amp;TRIM(I41))</f>
        <v/>
      </c>
      <c r="S41" s="138">
        <f>IF(COUNTIF($R$6:$R$300,R41)&gt;1,"重复","唯一")</f>
        <v/>
      </c>
      <c r="T41" s="138" t="str"/>
      <c r="U41" s="138" t="inlineStr">
        <is>
          <t>待分配</t>
        </is>
      </c>
      <c r="V41" s="303" t="n">
        <v>46224</v>
      </c>
      <c r="W41" s="138" t="inlineStr">
        <is>
          <t>原创/待确认</t>
        </is>
      </c>
      <c r="X41" s="375" t="inlineStr">
        <is>
          <t>—</t>
        </is>
      </c>
      <c r="Y41" s="138" t="inlineStr">
        <is>
          <t>以挂点部件制作，不烘焙进整枪
2026-08-30 AST-01规范化（原大类：枪械）</t>
        </is>
      </c>
    </row>
    <row r="42">
      <c r="A42" s="138" t="inlineStr">
        <is>
          <t>WPN-ATT-ATTACH-BIG-MAG</t>
        </is>
      </c>
      <c r="B42" s="138" t="inlineStr">
        <is>
          <t>肉质弹匣</t>
        </is>
      </c>
      <c r="C42" s="138" t="inlineStr">
        <is>
          <t>武器</t>
        </is>
      </c>
      <c r="D42" s="138" t="inlineStr">
        <is>
          <t>attachment</t>
        </is>
      </c>
      <c r="E42" s="138" t="inlineStr">
        <is>
          <t>attach_big_mag</t>
        </is>
      </c>
      <c r="F42" s="138" t="inlineStr">
        <is>
          <t>root</t>
        </is>
      </c>
      <c r="G42" s="138" t="str"/>
      <c r="H42" s="138" t="inlineStr">
        <is>
          <t>侧面朝右</t>
        </is>
      </c>
      <c r="I42" s="138" t="inlineStr">
        <is>
          <t>default</t>
        </is>
      </c>
      <c r="J42" s="138" t="inlineStr">
        <is>
          <t>装配树/枪身/UI 图标</t>
        </is>
      </c>
      <c r="K42" s="138" t="inlineStr">
        <is>
          <t>程序占位</t>
        </is>
      </c>
      <c r="L42" s="138" t="inlineStr">
        <is>
          <t>P2</t>
        </is>
      </c>
      <c r="M42" s="138" t="inlineStr">
        <is>
          <t>v001</t>
        </is>
      </c>
      <c r="N42" s="138" t="inlineStr">
        <is>
          <t>建议 12–24 px</t>
        </is>
      </c>
      <c r="O42" s="138" t="str"/>
      <c r="P42" s="138" t="inlineStr">
        <is>
          <t>src/base/BlueprintRegistry.gd</t>
        </is>
      </c>
      <c r="Q42" s="138" t="str"/>
      <c r="R42" s="138">
        <f>LOWER(TRIM(C42)&amp;"|"&amp;TRIM(D42)&amp;"|"&amp;TRIM(E42)&amp;"|"&amp;TRIM(F42)&amp;"|"&amp;TRIM(H42)&amp;"|"&amp;TRIM(I42))</f>
        <v/>
      </c>
      <c r="S42" s="138">
        <f>IF(COUNTIF($R$6:$R$300,R42)&gt;1,"重复","唯一")</f>
        <v/>
      </c>
      <c r="T42" s="138" t="str"/>
      <c r="U42" s="138" t="inlineStr">
        <is>
          <t>待分配</t>
        </is>
      </c>
      <c r="V42" s="303" t="n">
        <v>46224</v>
      </c>
      <c r="W42" s="138" t="inlineStr">
        <is>
          <t>原创/待确认</t>
        </is>
      </c>
      <c r="X42" s="375" t="inlineStr">
        <is>
          <t>—</t>
        </is>
      </c>
      <c r="Y42" s="138" t="inlineStr">
        <is>
          <t>以挂点部件制作，不烘焙进整枪
2026-08-30 AST-01规范化（原大类：枪械）</t>
        </is>
      </c>
    </row>
    <row r="43">
      <c r="A43" s="138" t="inlineStr">
        <is>
          <t>WPN-ATT-ATTACH-FAN</t>
        </is>
      </c>
      <c r="B43" s="138" t="inlineStr">
        <is>
          <t>小风扇</t>
        </is>
      </c>
      <c r="C43" s="138" t="inlineStr">
        <is>
          <t>武器</t>
        </is>
      </c>
      <c r="D43" s="138" t="inlineStr">
        <is>
          <t>attachment</t>
        </is>
      </c>
      <c r="E43" s="138" t="inlineStr">
        <is>
          <t>attach_fan</t>
        </is>
      </c>
      <c r="F43" s="138" t="inlineStr">
        <is>
          <t>root</t>
        </is>
      </c>
      <c r="G43" s="138" t="str"/>
      <c r="H43" s="138" t="inlineStr">
        <is>
          <t>侧面朝右</t>
        </is>
      </c>
      <c r="I43" s="138" t="inlineStr">
        <is>
          <t>default</t>
        </is>
      </c>
      <c r="J43" s="138" t="inlineStr">
        <is>
          <t>装配树/枪身/UI 图标</t>
        </is>
      </c>
      <c r="K43" s="138" t="inlineStr">
        <is>
          <t>程序占位</t>
        </is>
      </c>
      <c r="L43" s="138" t="inlineStr">
        <is>
          <t>P2</t>
        </is>
      </c>
      <c r="M43" s="138" t="inlineStr">
        <is>
          <t>v001</t>
        </is>
      </c>
      <c r="N43" s="138" t="inlineStr">
        <is>
          <t>建议 12–24 px</t>
        </is>
      </c>
      <c r="O43" s="138" t="str"/>
      <c r="P43" s="138" t="inlineStr">
        <is>
          <t>src/base/BlueprintRegistry.gd</t>
        </is>
      </c>
      <c r="Q43" s="138" t="str"/>
      <c r="R43" s="138">
        <f>LOWER(TRIM(C43)&amp;"|"&amp;TRIM(D43)&amp;"|"&amp;TRIM(E43)&amp;"|"&amp;TRIM(F43)&amp;"|"&amp;TRIM(H43)&amp;"|"&amp;TRIM(I43))</f>
        <v/>
      </c>
      <c r="S43" s="138">
        <f>IF(COUNTIF($R$6:$R$300,R43)&gt;1,"重复","唯一")</f>
        <v/>
      </c>
      <c r="T43" s="138" t="str"/>
      <c r="U43" s="138" t="inlineStr">
        <is>
          <t>待分配</t>
        </is>
      </c>
      <c r="V43" s="303" t="n">
        <v>46224</v>
      </c>
      <c r="W43" s="138" t="inlineStr">
        <is>
          <t>原创/待确认</t>
        </is>
      </c>
      <c r="X43" s="375" t="inlineStr">
        <is>
          <t>—</t>
        </is>
      </c>
      <c r="Y43" s="138" t="inlineStr">
        <is>
          <t>以挂点部件制作，不烘焙进整枪
2026-08-30 AST-01规范化（原大类：枪械）</t>
        </is>
      </c>
    </row>
    <row r="44">
      <c r="A44" s="138" t="inlineStr">
        <is>
          <t>WPN-ATT-ATTACH-COPY-STICKER</t>
        </is>
      </c>
      <c r="B44" s="138" t="inlineStr">
        <is>
          <t>复制贴纸</t>
        </is>
      </c>
      <c r="C44" s="138" t="inlineStr">
        <is>
          <t>武器</t>
        </is>
      </c>
      <c r="D44" s="138" t="inlineStr">
        <is>
          <t>attachment</t>
        </is>
      </c>
      <c r="E44" s="138" t="inlineStr">
        <is>
          <t>attach_copy_sticker</t>
        </is>
      </c>
      <c r="F44" s="138" t="inlineStr">
        <is>
          <t>root</t>
        </is>
      </c>
      <c r="G44" s="138" t="str"/>
      <c r="H44" s="138" t="inlineStr">
        <is>
          <t>侧面朝右</t>
        </is>
      </c>
      <c r="I44" s="138" t="inlineStr">
        <is>
          <t>default</t>
        </is>
      </c>
      <c r="J44" s="138" t="inlineStr">
        <is>
          <t>装配树/枪身/UI 图标</t>
        </is>
      </c>
      <c r="K44" s="138" t="inlineStr">
        <is>
          <t>程序占位</t>
        </is>
      </c>
      <c r="L44" s="138" t="inlineStr">
        <is>
          <t>P2</t>
        </is>
      </c>
      <c r="M44" s="138" t="inlineStr">
        <is>
          <t>v001</t>
        </is>
      </c>
      <c r="N44" s="138" t="inlineStr">
        <is>
          <t>建议 12–24 px</t>
        </is>
      </c>
      <c r="O44" s="138" t="str"/>
      <c r="P44" s="138" t="inlineStr">
        <is>
          <t>src/base/BlueprintRegistry.gd</t>
        </is>
      </c>
      <c r="Q44" s="138" t="str"/>
      <c r="R44" s="138">
        <f>LOWER(TRIM(C44)&amp;"|"&amp;TRIM(D44)&amp;"|"&amp;TRIM(E44)&amp;"|"&amp;TRIM(F44)&amp;"|"&amp;TRIM(H44)&amp;"|"&amp;TRIM(I44))</f>
        <v/>
      </c>
      <c r="S44" s="138">
        <f>IF(COUNTIF($R$6:$R$300,R44)&gt;1,"重复","唯一")</f>
        <v/>
      </c>
      <c r="T44" s="138" t="str"/>
      <c r="U44" s="138" t="inlineStr">
        <is>
          <t>待分配</t>
        </is>
      </c>
      <c r="V44" s="303" t="n">
        <v>46224</v>
      </c>
      <c r="W44" s="138" t="inlineStr">
        <is>
          <t>原创/待确认</t>
        </is>
      </c>
      <c r="X44" s="375" t="inlineStr">
        <is>
          <t>—</t>
        </is>
      </c>
      <c r="Y44" s="138" t="inlineStr">
        <is>
          <t>以挂点部件制作，不烘焙进整枪
2026-08-30 AST-01规范化（原大类：枪械）</t>
        </is>
      </c>
    </row>
    <row r="45">
      <c r="A45" s="138" t="inlineStr">
        <is>
          <t>ITM-CONSUMABLE-ITEM-BEACON</t>
        </is>
      </c>
      <c r="B45" s="138" t="inlineStr">
        <is>
          <t>撤离信标</t>
        </is>
      </c>
      <c r="C45" s="138" t="inlineStr">
        <is>
          <t>道具</t>
        </is>
      </c>
      <c r="D45" s="138" t="inlineStr">
        <is>
          <t>consumable</t>
        </is>
      </c>
      <c r="E45" s="138" t="inlineStr">
        <is>
          <t>item_beacon</t>
        </is>
      </c>
      <c r="F45" s="138" t="inlineStr">
        <is>
          <t>root</t>
        </is>
      </c>
      <c r="G45" s="138" t="str"/>
      <c r="H45" s="138" t="inlineStr">
        <is>
          <t>顶视/图标</t>
        </is>
      </c>
      <c r="I45" s="138" t="inlineStr">
        <is>
          <t>default</t>
        </is>
      </c>
      <c r="J45" s="138" t="inlineStr">
        <is>
          <t>世界拾取/UI 图标</t>
        </is>
      </c>
      <c r="K45" s="138" t="inlineStr">
        <is>
          <t>程序占位</t>
        </is>
      </c>
      <c r="L45" s="138" t="inlineStr">
        <is>
          <t>P0</t>
        </is>
      </c>
      <c r="M45" s="138" t="inlineStr">
        <is>
          <t>v001</t>
        </is>
      </c>
      <c r="N45" s="138" t="inlineStr">
        <is>
          <t>世界 24–40 px；UI 32 px</t>
        </is>
      </c>
      <c r="O45" s="138" t="str"/>
      <c r="P45" s="138" t="inlineStr">
        <is>
          <t>src/base/ItemRegistry.gd</t>
        </is>
      </c>
      <c r="Q45" s="138" t="str"/>
      <c r="R45" s="138">
        <f>LOWER(TRIM(C45)&amp;"|"&amp;TRIM(D45)&amp;"|"&amp;TRIM(E45)&amp;"|"&amp;TRIM(F45)&amp;"|"&amp;TRIM(H45)&amp;"|"&amp;TRIM(I45))</f>
        <v/>
      </c>
      <c r="S45" s="138">
        <f>IF(COUNTIF($R$6:$R$300,R45)&gt;1,"重复","唯一")</f>
        <v/>
      </c>
      <c r="T45" s="138" t="str"/>
      <c r="U45" s="138" t="inlineStr">
        <is>
          <t>待分配</t>
        </is>
      </c>
      <c r="V45" s="303" t="n">
        <v>46224</v>
      </c>
      <c r="W45" s="138" t="inlineStr">
        <is>
          <t>原创/待确认</t>
        </is>
      </c>
      <c r="X45" s="375" t="inlineStr">
        <is>
          <t>—</t>
        </is>
      </c>
      <c r="Y45" s="138" t="n"/>
    </row>
    <row r="46">
      <c r="A46" s="138" t="inlineStr">
        <is>
          <t>ITM-KEY-ITEM-ROOM-KEY</t>
        </is>
      </c>
      <c r="B46" s="138" t="inlineStr">
        <is>
          <t>房间钥匙</t>
        </is>
      </c>
      <c r="C46" s="138" t="inlineStr">
        <is>
          <t>道具</t>
        </is>
      </c>
      <c r="D46" s="138" t="inlineStr">
        <is>
          <t>key</t>
        </is>
      </c>
      <c r="E46" s="138" t="inlineStr">
        <is>
          <t>item_room_key</t>
        </is>
      </c>
      <c r="F46" s="138" t="inlineStr">
        <is>
          <t>root</t>
        </is>
      </c>
      <c r="G46" s="138" t="str"/>
      <c r="H46" s="138" t="inlineStr">
        <is>
          <t>顶视/图标</t>
        </is>
      </c>
      <c r="I46" s="138" t="inlineStr">
        <is>
          <t>default</t>
        </is>
      </c>
      <c r="J46" s="138" t="inlineStr">
        <is>
          <t>世界拾取/UI 图标</t>
        </is>
      </c>
      <c r="K46" s="138" t="inlineStr">
        <is>
          <t>程序占位</t>
        </is>
      </c>
      <c r="L46" s="138" t="inlineStr">
        <is>
          <t>P0</t>
        </is>
      </c>
      <c r="M46" s="138" t="inlineStr">
        <is>
          <t>v001</t>
        </is>
      </c>
      <c r="N46" s="138" t="inlineStr">
        <is>
          <t>世界 24–40 px；UI 32 px</t>
        </is>
      </c>
      <c r="O46" s="138" t="str"/>
      <c r="P46" s="138" t="inlineStr">
        <is>
          <t>src/base/ItemRegistry.gd</t>
        </is>
      </c>
      <c r="Q46" s="138" t="str"/>
      <c r="R46" s="138">
        <f>LOWER(TRIM(C46)&amp;"|"&amp;TRIM(D46)&amp;"|"&amp;TRIM(E46)&amp;"|"&amp;TRIM(F46)&amp;"|"&amp;TRIM(H46)&amp;"|"&amp;TRIM(I46))</f>
        <v/>
      </c>
      <c r="S46" s="138">
        <f>IF(COUNTIF($R$6:$R$300,R46)&gt;1,"重复","唯一")</f>
        <v/>
      </c>
      <c r="T46" s="138" t="str"/>
      <c r="U46" s="138" t="inlineStr">
        <is>
          <t>待分配</t>
        </is>
      </c>
      <c r="V46" s="303" t="n">
        <v>46224</v>
      </c>
      <c r="W46" s="138" t="inlineStr">
        <is>
          <t>原创/待确认</t>
        </is>
      </c>
      <c r="X46" s="375" t="inlineStr">
        <is>
          <t>—</t>
        </is>
      </c>
      <c r="Y46" s="138" t="n"/>
    </row>
    <row r="47">
      <c r="A47" s="138" t="inlineStr">
        <is>
          <t>ITM-PICKUP-SOUL-ORB</t>
        </is>
      </c>
      <c r="B47" s="138" t="inlineStr">
        <is>
          <t>灵魂球</t>
        </is>
      </c>
      <c r="C47" s="138" t="inlineStr">
        <is>
          <t>道具</t>
        </is>
      </c>
      <c r="D47" s="138" t="inlineStr">
        <is>
          <t>pickup</t>
        </is>
      </c>
      <c r="E47" s="138" t="inlineStr">
        <is>
          <t>soul_orb</t>
        </is>
      </c>
      <c r="F47" s="138" t="inlineStr">
        <is>
          <t>root</t>
        </is>
      </c>
      <c r="G47" s="138" t="str"/>
      <c r="H47" s="138" t="inlineStr">
        <is>
          <t>顶视/图标</t>
        </is>
      </c>
      <c r="I47" s="138" t="inlineStr">
        <is>
          <t>default</t>
        </is>
      </c>
      <c r="J47" s="138" t="inlineStr">
        <is>
          <t>世界拾取/UI 图标</t>
        </is>
      </c>
      <c r="K47" s="138" t="inlineStr">
        <is>
          <t>程序占位</t>
        </is>
      </c>
      <c r="L47" s="138" t="inlineStr">
        <is>
          <t>P1</t>
        </is>
      </c>
      <c r="M47" s="138" t="inlineStr">
        <is>
          <t>v001</t>
        </is>
      </c>
      <c r="N47" s="138" t="inlineStr">
        <is>
          <t>世界 24–40 px；UI 32 px</t>
        </is>
      </c>
      <c r="O47" s="138" t="str"/>
      <c r="P47" s="138" t="inlineStr">
        <is>
          <t>scenes/</t>
        </is>
      </c>
      <c r="Q47" s="138" t="str"/>
      <c r="R47" s="138">
        <f>LOWER(TRIM(C47)&amp;"|"&amp;TRIM(D47)&amp;"|"&amp;TRIM(E47)&amp;"|"&amp;TRIM(F47)&amp;"|"&amp;TRIM(H47)&amp;"|"&amp;TRIM(I47))</f>
        <v/>
      </c>
      <c r="S47" s="138">
        <f>IF(COUNTIF($R$6:$R$300,R47)&gt;1,"重复","唯一")</f>
        <v/>
      </c>
      <c r="T47" s="138" t="str"/>
      <c r="U47" s="138" t="inlineStr">
        <is>
          <t>待分配</t>
        </is>
      </c>
      <c r="V47" s="303" t="n">
        <v>46224</v>
      </c>
      <c r="W47" s="138" t="inlineStr">
        <is>
          <t>原创/待确认</t>
        </is>
      </c>
      <c r="X47" s="375" t="inlineStr">
        <is>
          <t>—</t>
        </is>
      </c>
      <c r="Y47" s="138" t="n"/>
    </row>
    <row r="48">
      <c r="A48" s="138" t="inlineStr">
        <is>
          <t>ITM-CONTAINER-CONTAINER</t>
        </is>
      </c>
      <c r="B48" s="138" t="inlineStr">
        <is>
          <t>战利品容器</t>
        </is>
      </c>
      <c r="C48" s="138" t="inlineStr">
        <is>
          <t>道具</t>
        </is>
      </c>
      <c r="D48" s="138" t="inlineStr">
        <is>
          <t>container</t>
        </is>
      </c>
      <c r="E48" s="138" t="inlineStr">
        <is>
          <t>container</t>
        </is>
      </c>
      <c r="F48" s="138" t="inlineStr">
        <is>
          <t>root</t>
        </is>
      </c>
      <c r="G48" s="138" t="str"/>
      <c r="H48" s="138" t="inlineStr">
        <is>
          <t>顶视/图标</t>
        </is>
      </c>
      <c r="I48" s="138" t="inlineStr">
        <is>
          <t>default</t>
        </is>
      </c>
      <c r="J48" s="138" t="inlineStr">
        <is>
          <t>世界拾取/UI 图标</t>
        </is>
      </c>
      <c r="K48" s="138" t="inlineStr">
        <is>
          <t>程序占位</t>
        </is>
      </c>
      <c r="L48" s="138" t="inlineStr">
        <is>
          <t>P1</t>
        </is>
      </c>
      <c r="M48" s="138" t="inlineStr">
        <is>
          <t>v001</t>
        </is>
      </c>
      <c r="N48" s="138" t="inlineStr">
        <is>
          <t>世界 24–40 px；UI 32 px</t>
        </is>
      </c>
      <c r="O48" s="138" t="str"/>
      <c r="P48" s="138" t="inlineStr">
        <is>
          <t>scenes/</t>
        </is>
      </c>
      <c r="Q48" s="138" t="str"/>
      <c r="R48" s="138">
        <f>LOWER(TRIM(C48)&amp;"|"&amp;TRIM(D48)&amp;"|"&amp;TRIM(E48)&amp;"|"&amp;TRIM(F48)&amp;"|"&amp;TRIM(H48)&amp;"|"&amp;TRIM(I48))</f>
        <v/>
      </c>
      <c r="S48" s="138">
        <f>IF(COUNTIF($R$6:$R$300,R48)&gt;1,"重复","唯一")</f>
        <v/>
      </c>
      <c r="T48" s="138" t="str"/>
      <c r="U48" s="138" t="inlineStr">
        <is>
          <t>待分配</t>
        </is>
      </c>
      <c r="V48" s="303" t="n">
        <v>46224</v>
      </c>
      <c r="W48" s="138" t="inlineStr">
        <is>
          <t>原创/待确认</t>
        </is>
      </c>
      <c r="X48" s="375" t="inlineStr">
        <is>
          <t>—</t>
        </is>
      </c>
      <c r="Y48" s="138" t="n"/>
    </row>
    <row r="49">
      <c r="A49" s="138" t="inlineStr">
        <is>
          <t>ITM-PICKUP-ROOM-KEY-PICKUP</t>
        </is>
      </c>
      <c r="B49" s="138" t="inlineStr">
        <is>
          <t>房间钥匙掉落</t>
        </is>
      </c>
      <c r="C49" s="138" t="inlineStr">
        <is>
          <t>道具</t>
        </is>
      </c>
      <c r="D49" s="138" t="inlineStr">
        <is>
          <t>pickup</t>
        </is>
      </c>
      <c r="E49" s="138" t="inlineStr">
        <is>
          <t>room_key_pickup</t>
        </is>
      </c>
      <c r="F49" s="138" t="inlineStr">
        <is>
          <t>root</t>
        </is>
      </c>
      <c r="G49" s="138" t="str"/>
      <c r="H49" s="138" t="inlineStr">
        <is>
          <t>顶视/图标</t>
        </is>
      </c>
      <c r="I49" s="138" t="inlineStr">
        <is>
          <t>default</t>
        </is>
      </c>
      <c r="J49" s="138" t="inlineStr">
        <is>
          <t>全部3D房间/清房奖励</t>
        </is>
      </c>
      <c r="K49" s="138" t="inlineStr">
        <is>
          <t>原型已接入</t>
        </is>
      </c>
      <c r="L49" s="138" t="inlineStr">
        <is>
          <t>P1</t>
        </is>
      </c>
      <c r="M49" s="138" t="inlineStr">
        <is>
          <t>v001</t>
        </is>
      </c>
      <c r="N49" s="138" t="inlineStr">
        <is>
          <t>程序模型/0.32s Tween</t>
        </is>
      </c>
      <c r="O49" s="138" t="inlineStr">
        <is>
          <t>src/world3d/RoomKeyPickup3D.gd</t>
        </is>
      </c>
      <c r="P49" s="138" t="inlineStr">
        <is>
          <t>src/world3d/RoomKeyPickup3D.gd</t>
        </is>
      </c>
      <c r="Q49" s="138" t="str"/>
      <c r="R49" s="138">
        <f>LOWER(TRIM(C49)&amp;"|"&amp;TRIM(D49)&amp;"|"&amp;TRIM(E49)&amp;"|"&amp;TRIM(F49)&amp;"|"&amp;TRIM(H49)&amp;"|"&amp;TRIM(I49))</f>
        <v/>
      </c>
      <c r="S49" s="138">
        <f>IF(COUNTIF($R$6:$R$300,R49)&gt;1,"重复","唯一")</f>
        <v/>
      </c>
      <c r="T49" s="138" t="inlineStr">
        <is>
          <t>1f5953cef11cc376d18ecc875a4a88eae6ce3dff05eba2f5479cb006926fb928</t>
        </is>
      </c>
      <c r="U49" s="138" t="inlineStr">
        <is>
          <t>Codex</t>
        </is>
      </c>
      <c r="V49" s="303" t="n">
        <v>46264</v>
      </c>
      <c r="W49" s="138" t="inlineStr">
        <is>
          <t>原创程序几何</t>
        </is>
      </c>
      <c r="X49" s="375" t="inlineStr">
        <is>
          <t>—</t>
        </is>
      </c>
      <c r="Y49" s="138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50">
      <c r="A50" s="138" t="inlineStr">
        <is>
          <t>ITM-PICKUP-BASE-GROUND-ITEM</t>
        </is>
      </c>
      <c r="B50" s="138" t="inlineStr">
        <is>
          <t>地面物品底座</t>
        </is>
      </c>
      <c r="C50" s="138" t="inlineStr">
        <is>
          <t>道具</t>
        </is>
      </c>
      <c r="D50" s="138" t="inlineStr">
        <is>
          <t>pickup_base</t>
        </is>
      </c>
      <c r="E50" s="138" t="inlineStr">
        <is>
          <t>ground_item</t>
        </is>
      </c>
      <c r="F50" s="138" t="inlineStr">
        <is>
          <t>root</t>
        </is>
      </c>
      <c r="G50" s="138" t="str"/>
      <c r="H50" s="138" t="inlineStr">
        <is>
          <t>顶视/图标</t>
        </is>
      </c>
      <c r="I50" s="138" t="inlineStr">
        <is>
          <t>default</t>
        </is>
      </c>
      <c r="J50" s="138" t="inlineStr">
        <is>
          <t>地面掉落/背包投影</t>
        </is>
      </c>
      <c r="K50" s="138" t="inlineStr">
        <is>
          <t>原型已接入</t>
        </is>
      </c>
      <c r="L50" s="138" t="inlineStr">
        <is>
          <t>P2</t>
        </is>
      </c>
      <c r="M50" s="138" t="inlineStr">
        <is>
          <t>v001</t>
        </is>
      </c>
      <c r="N50" s="138" t="inlineStr">
        <is>
          <t>程序模型/0.32s Tween</t>
        </is>
      </c>
      <c r="O50" s="138" t="inlineStr">
        <is>
          <t>src/world3d/GroundLootPickup3D.gd</t>
        </is>
      </c>
      <c r="P50" s="138" t="inlineStr">
        <is>
          <t>src/world3d/GroundLootPickup3D.gd</t>
        </is>
      </c>
      <c r="Q50" s="138" t="str"/>
      <c r="R50" s="138">
        <f>LOWER(TRIM(C50)&amp;"|"&amp;TRIM(D50)&amp;"|"&amp;TRIM(E50)&amp;"|"&amp;TRIM(F50)&amp;"|"&amp;TRIM(H50)&amp;"|"&amp;TRIM(I50))</f>
        <v/>
      </c>
      <c r="S50" s="138">
        <f>IF(COUNTIF($R$6:$R$300,R50)&gt;1,"重复","唯一")</f>
        <v/>
      </c>
      <c r="T50" s="138" t="inlineStr">
        <is>
          <t>14eca357cf5198a232d95231ccbf07e15b67a1428f7d27bf2f32222e59bcb29d</t>
        </is>
      </c>
      <c r="U50" s="138" t="inlineStr">
        <is>
          <t>Codex</t>
        </is>
      </c>
      <c r="V50" s="303" t="n">
        <v>46264</v>
      </c>
      <c r="W50" s="138" t="inlineStr">
        <is>
          <t>原创程序几何</t>
        </is>
      </c>
      <c r="X50" s="375" t="inlineStr">
        <is>
          <t>—</t>
        </is>
      </c>
      <c r="Y50" s="138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51">
      <c r="A51" s="138" t="inlineStr">
        <is>
          <t>ENV-BASE-WORLD-KIT</t>
        </is>
      </c>
      <c r="B51" s="138" t="inlineStr">
        <is>
          <t>末日基地与荒野</t>
        </is>
      </c>
      <c r="C51" s="138" t="inlineStr">
        <is>
          <t>场景</t>
        </is>
      </c>
      <c r="D51" s="138" t="inlineStr">
        <is>
          <t>biome_kit</t>
        </is>
      </c>
      <c r="E51" s="138" t="inlineStr">
        <is>
          <t>base_world</t>
        </is>
      </c>
      <c r="F51" s="138" t="inlineStr">
        <is>
          <t>root</t>
        </is>
      </c>
      <c r="G51" s="138" t="str"/>
      <c r="H51" s="138" t="inlineStr">
        <is>
          <t>顶视</t>
        </is>
      </c>
      <c r="I51" s="138" t="inlineStr">
        <is>
          <t>default</t>
        </is>
      </c>
      <c r="J51" s="138" t="inlineStr">
        <is>
          <t>同主题房间共享</t>
        </is>
      </c>
      <c r="K51" s="138" t="inlineStr">
        <is>
          <t>程序占位</t>
        </is>
      </c>
      <c r="L51" s="138" t="inlineStr">
        <is>
          <t>P0</t>
        </is>
      </c>
      <c r="M51" s="138" t="inlineStr">
        <is>
          <t>v001</t>
        </is>
      </c>
      <c r="N51" s="138" t="inlineStr">
        <is>
          <t>64 px 网格；模块化 Tile/Prop</t>
        </is>
      </c>
      <c r="O51" s="138" t="str"/>
      <c r="P51" s="138" t="inlineStr">
        <is>
          <t>scenes/BaseWorld.tscn</t>
        </is>
      </c>
      <c r="Q51" s="138" t="str"/>
      <c r="R51" s="138">
        <f>LOWER(TRIM(C51)&amp;"|"&amp;TRIM(D51)&amp;"|"&amp;TRIM(E51)&amp;"|"&amp;TRIM(F51)&amp;"|"&amp;TRIM(H51)&amp;"|"&amp;TRIM(I51))</f>
        <v/>
      </c>
      <c r="S51" s="138">
        <f>IF(COUNTIF($R$6:$R$300,R51)&gt;1,"重复","唯一")</f>
        <v/>
      </c>
      <c r="T51" s="138" t="str"/>
      <c r="U51" s="138" t="inlineStr">
        <is>
          <t>待分配</t>
        </is>
      </c>
      <c r="V51" s="303" t="n">
        <v>46224</v>
      </c>
      <c r="W51" s="138" t="inlineStr">
        <is>
          <t>原创/待确认</t>
        </is>
      </c>
      <c r="X51" s="375" t="inlineStr">
        <is>
          <t>—</t>
        </is>
      </c>
      <c r="Y51" s="138" t="inlineStr">
        <is>
          <t>先拆地面/墙/门/大中小道具，禁止整张场景烘焙</t>
        </is>
      </c>
    </row>
    <row r="52">
      <c r="A52" s="138" t="inlineStr">
        <is>
          <t>ENV-IRON-FRONTIER-KIT</t>
        </is>
      </c>
      <c r="B52" s="138" t="inlineStr">
        <is>
          <t>冷钢边境</t>
        </is>
      </c>
      <c r="C52" s="138" t="inlineStr">
        <is>
          <t>场景</t>
        </is>
      </c>
      <c r="D52" s="138" t="inlineStr">
        <is>
          <t>biome_kit</t>
        </is>
      </c>
      <c r="E52" s="138" t="inlineStr">
        <is>
          <t>iron_frontier</t>
        </is>
      </c>
      <c r="F52" s="138" t="inlineStr">
        <is>
          <t>root</t>
        </is>
      </c>
      <c r="G52" s="138" t="str"/>
      <c r="H52" s="138" t="inlineStr">
        <is>
          <t>顶视</t>
        </is>
      </c>
      <c r="I52" s="138" t="inlineStr">
        <is>
          <t>default</t>
        </is>
      </c>
      <c r="J52" s="138" t="inlineStr">
        <is>
          <t>同主题房间共享</t>
        </is>
      </c>
      <c r="K52" s="138" t="inlineStr">
        <is>
          <t>程序占位</t>
        </is>
      </c>
      <c r="L52" s="138" t="inlineStr">
        <is>
          <t>P0</t>
        </is>
      </c>
      <c r="M52" s="138" t="inlineStr">
        <is>
          <t>v001</t>
        </is>
      </c>
      <c r="N52" s="138" t="inlineStr">
        <is>
          <t>64 px 网格；模块化 Tile/Prop</t>
        </is>
      </c>
      <c r="O52" s="138" t="str"/>
      <c r="P52" s="138" t="inlineStr">
        <is>
          <t>scenes/levels/IronFrontier.tscn</t>
        </is>
      </c>
      <c r="Q52" s="138" t="str"/>
      <c r="R52" s="138">
        <f>LOWER(TRIM(C52)&amp;"|"&amp;TRIM(D52)&amp;"|"&amp;TRIM(E52)&amp;"|"&amp;TRIM(F52)&amp;"|"&amp;TRIM(H52)&amp;"|"&amp;TRIM(I52))</f>
        <v/>
      </c>
      <c r="S52" s="138">
        <f>IF(COUNTIF($R$6:$R$300,R52)&gt;1,"重复","唯一")</f>
        <v/>
      </c>
      <c r="T52" s="138" t="str"/>
      <c r="U52" s="138" t="inlineStr">
        <is>
          <t>待分配</t>
        </is>
      </c>
      <c r="V52" s="303" t="n">
        <v>46224</v>
      </c>
      <c r="W52" s="138" t="inlineStr">
        <is>
          <t>原创/待确认</t>
        </is>
      </c>
      <c r="X52" s="375" t="inlineStr">
        <is>
          <t>—</t>
        </is>
      </c>
      <c r="Y52" s="138" t="inlineStr">
        <is>
          <t>先拆地面/墙/门/大中小道具，禁止整张场景烘焙</t>
        </is>
      </c>
    </row>
    <row r="53">
      <c r="A53" s="138" t="inlineStr">
        <is>
          <t>ENV-RUST-FOUNDRY-KIT</t>
        </is>
      </c>
      <c r="B53" s="138" t="inlineStr">
        <is>
          <t>锈蚀铸造厂</t>
        </is>
      </c>
      <c r="C53" s="138" t="inlineStr">
        <is>
          <t>场景</t>
        </is>
      </c>
      <c r="D53" s="138" t="inlineStr">
        <is>
          <t>biome_kit</t>
        </is>
      </c>
      <c r="E53" s="138" t="inlineStr">
        <is>
          <t>rust_foundry</t>
        </is>
      </c>
      <c r="F53" s="138" t="inlineStr">
        <is>
          <t>root</t>
        </is>
      </c>
      <c r="G53" s="138" t="str"/>
      <c r="H53" s="138" t="inlineStr">
        <is>
          <t>顶视</t>
        </is>
      </c>
      <c r="I53" s="138" t="inlineStr">
        <is>
          <t>default</t>
        </is>
      </c>
      <c r="J53" s="138" t="inlineStr">
        <is>
          <t>同主题房间共享</t>
        </is>
      </c>
      <c r="K53" s="138" t="inlineStr">
        <is>
          <t>程序占位</t>
        </is>
      </c>
      <c r="L53" s="138" t="inlineStr">
        <is>
          <t>P1</t>
        </is>
      </c>
      <c r="M53" s="138" t="inlineStr">
        <is>
          <t>v001</t>
        </is>
      </c>
      <c r="N53" s="138" t="inlineStr">
        <is>
          <t>64 px 网格；模块化 Tile/Prop</t>
        </is>
      </c>
      <c r="O53" s="138" t="str"/>
      <c r="P53" s="138" t="inlineStr">
        <is>
          <t>scenes/levels/RustFoundry.tscn</t>
        </is>
      </c>
      <c r="Q53" s="138" t="str"/>
      <c r="R53" s="138">
        <f>LOWER(TRIM(C53)&amp;"|"&amp;TRIM(D53)&amp;"|"&amp;TRIM(E53)&amp;"|"&amp;TRIM(F53)&amp;"|"&amp;TRIM(H53)&amp;"|"&amp;TRIM(I53))</f>
        <v/>
      </c>
      <c r="S53" s="138">
        <f>IF(COUNTIF($R$6:$R$300,R53)&gt;1,"重复","唯一")</f>
        <v/>
      </c>
      <c r="T53" s="138" t="str"/>
      <c r="U53" s="138" t="inlineStr">
        <is>
          <t>待分配</t>
        </is>
      </c>
      <c r="V53" s="303" t="n">
        <v>46224</v>
      </c>
      <c r="W53" s="138" t="inlineStr">
        <is>
          <t>原创/待确认</t>
        </is>
      </c>
      <c r="X53" s="375" t="inlineStr">
        <is>
          <t>—</t>
        </is>
      </c>
      <c r="Y53" s="138" t="inlineStr">
        <is>
          <t>先拆地面/墙/门/大中小道具，禁止整张场景烘焙</t>
        </is>
      </c>
    </row>
    <row r="54">
      <c r="A54" s="138" t="inlineStr">
        <is>
          <t>ENV-SPORE-DEPTHS-KIT</t>
        </is>
      </c>
      <c r="B54" s="138" t="inlineStr">
        <is>
          <t>孢子深层</t>
        </is>
      </c>
      <c r="C54" s="138" t="inlineStr">
        <is>
          <t>场景</t>
        </is>
      </c>
      <c r="D54" s="138" t="inlineStr">
        <is>
          <t>biome_kit</t>
        </is>
      </c>
      <c r="E54" s="138" t="inlineStr">
        <is>
          <t>spore_depths</t>
        </is>
      </c>
      <c r="F54" s="138" t="inlineStr">
        <is>
          <t>root</t>
        </is>
      </c>
      <c r="G54" s="138" t="str"/>
      <c r="H54" s="138" t="inlineStr">
        <is>
          <t>顶视</t>
        </is>
      </c>
      <c r="I54" s="138" t="inlineStr">
        <is>
          <t>default</t>
        </is>
      </c>
      <c r="J54" s="138" t="inlineStr">
        <is>
          <t>同主题房间共享</t>
        </is>
      </c>
      <c r="K54" s="138" t="inlineStr">
        <is>
          <t>程序占位</t>
        </is>
      </c>
      <c r="L54" s="138" t="inlineStr">
        <is>
          <t>P1</t>
        </is>
      </c>
      <c r="M54" s="138" t="inlineStr">
        <is>
          <t>v001</t>
        </is>
      </c>
      <c r="N54" s="138" t="inlineStr">
        <is>
          <t>64 px 网格；模块化 Tile/Prop</t>
        </is>
      </c>
      <c r="O54" s="138" t="str"/>
      <c r="P54" s="138" t="inlineStr">
        <is>
          <t>scenes/levels/SporeDepths.tscn</t>
        </is>
      </c>
      <c r="Q54" s="138" t="str"/>
      <c r="R54" s="138">
        <f>LOWER(TRIM(C54)&amp;"|"&amp;TRIM(D54)&amp;"|"&amp;TRIM(E54)&amp;"|"&amp;TRIM(F54)&amp;"|"&amp;TRIM(H54)&amp;"|"&amp;TRIM(I54))</f>
        <v/>
      </c>
      <c r="S54" s="138">
        <f>IF(COUNTIF($R$6:$R$300,R54)&gt;1,"重复","唯一")</f>
        <v/>
      </c>
      <c r="T54" s="138" t="str"/>
      <c r="U54" s="138" t="inlineStr">
        <is>
          <t>待分配</t>
        </is>
      </c>
      <c r="V54" s="303" t="n">
        <v>46224</v>
      </c>
      <c r="W54" s="138" t="inlineStr">
        <is>
          <t>原创/待确认</t>
        </is>
      </c>
      <c r="X54" s="375" t="inlineStr">
        <is>
          <t>—</t>
        </is>
      </c>
      <c r="Y54" s="138" t="inlineStr">
        <is>
          <t>先拆地面/墙/门/大中小道具，禁止整张场景烘焙</t>
        </is>
      </c>
    </row>
    <row r="55">
      <c r="A55" s="138" t="inlineStr">
        <is>
          <t>ENV-ABYSS-ARCHIVE-KIT</t>
        </is>
      </c>
      <c r="B55" s="138" t="inlineStr">
        <is>
          <t>深渊档案库</t>
        </is>
      </c>
      <c r="C55" s="138" t="inlineStr">
        <is>
          <t>场景</t>
        </is>
      </c>
      <c r="D55" s="138" t="inlineStr">
        <is>
          <t>biome_kit</t>
        </is>
      </c>
      <c r="E55" s="138" t="inlineStr">
        <is>
          <t>abyss_archive</t>
        </is>
      </c>
      <c r="F55" s="138" t="inlineStr">
        <is>
          <t>root</t>
        </is>
      </c>
      <c r="G55" s="138" t="str"/>
      <c r="H55" s="138" t="inlineStr">
        <is>
          <t>顶视</t>
        </is>
      </c>
      <c r="I55" s="138" t="inlineStr">
        <is>
          <t>default</t>
        </is>
      </c>
      <c r="J55" s="138" t="inlineStr">
        <is>
          <t>同主题房间共享</t>
        </is>
      </c>
      <c r="K55" s="138" t="inlineStr">
        <is>
          <t>程序占位</t>
        </is>
      </c>
      <c r="L55" s="138" t="inlineStr">
        <is>
          <t>P1</t>
        </is>
      </c>
      <c r="M55" s="138" t="inlineStr">
        <is>
          <t>v001</t>
        </is>
      </c>
      <c r="N55" s="138" t="inlineStr">
        <is>
          <t>64 px 网格；模块化 Tile/Prop</t>
        </is>
      </c>
      <c r="O55" s="138" t="str"/>
      <c r="P55" s="138" t="inlineStr">
        <is>
          <t>scenes/levels/AbyssArchive.tscn</t>
        </is>
      </c>
      <c r="Q55" s="138" t="str"/>
      <c r="R55" s="138">
        <f>LOWER(TRIM(C55)&amp;"|"&amp;TRIM(D55)&amp;"|"&amp;TRIM(E55)&amp;"|"&amp;TRIM(F55)&amp;"|"&amp;TRIM(H55)&amp;"|"&amp;TRIM(I55))</f>
        <v/>
      </c>
      <c r="S55" s="138">
        <f>IF(COUNTIF($R$6:$R$300,R55)&gt;1,"重复","唯一")</f>
        <v/>
      </c>
      <c r="T55" s="138" t="str"/>
      <c r="U55" s="138" t="inlineStr">
        <is>
          <t>待分配</t>
        </is>
      </c>
      <c r="V55" s="303" t="n">
        <v>46224</v>
      </c>
      <c r="W55" s="138" t="inlineStr">
        <is>
          <t>原创/待确认</t>
        </is>
      </c>
      <c r="X55" s="375" t="inlineStr">
        <is>
          <t>—</t>
        </is>
      </c>
      <c r="Y55" s="138" t="inlineStr">
        <is>
          <t>先拆地面/墙/门/大中小道具，禁止整张场景烘焙</t>
        </is>
      </c>
    </row>
    <row r="56">
      <c r="A56" s="138" t="inlineStr">
        <is>
          <t>ENV-TRAINING-RANGE-KIT</t>
        </is>
      </c>
      <c r="B56" s="138" t="inlineStr">
        <is>
          <t>地下训练靶场</t>
        </is>
      </c>
      <c r="C56" s="138" t="inlineStr">
        <is>
          <t>场景</t>
        </is>
      </c>
      <c r="D56" s="138" t="inlineStr">
        <is>
          <t>biome_kit</t>
        </is>
      </c>
      <c r="E56" s="138" t="inlineStr">
        <is>
          <t>training_range</t>
        </is>
      </c>
      <c r="F56" s="138" t="inlineStr">
        <is>
          <t>root</t>
        </is>
      </c>
      <c r="G56" s="138" t="str"/>
      <c r="H56" s="138" t="inlineStr">
        <is>
          <t>顶视</t>
        </is>
      </c>
      <c r="I56" s="138" t="inlineStr">
        <is>
          <t>default</t>
        </is>
      </c>
      <c r="J56" s="138" t="inlineStr">
        <is>
          <t>同主题房间共享</t>
        </is>
      </c>
      <c r="K56" s="138" t="inlineStr">
        <is>
          <t>程序占位</t>
        </is>
      </c>
      <c r="L56" s="138" t="inlineStr">
        <is>
          <t>P0</t>
        </is>
      </c>
      <c r="M56" s="138" t="inlineStr">
        <is>
          <t>v001</t>
        </is>
      </c>
      <c r="N56" s="138" t="inlineStr">
        <is>
          <t>64 px 网格；模块化 Tile/Prop</t>
        </is>
      </c>
      <c r="O56" s="138" t="str"/>
      <c r="P56" s="138" t="inlineStr">
        <is>
          <t>scenes/TrainingRange.tscn</t>
        </is>
      </c>
      <c r="Q56" s="138" t="str"/>
      <c r="R56" s="138">
        <f>LOWER(TRIM(C56)&amp;"|"&amp;TRIM(D56)&amp;"|"&amp;TRIM(E56)&amp;"|"&amp;TRIM(F56)&amp;"|"&amp;TRIM(H56)&amp;"|"&amp;TRIM(I56))</f>
        <v/>
      </c>
      <c r="S56" s="138">
        <f>IF(COUNTIF($R$6:$R$300,R56)&gt;1,"重复","唯一")</f>
        <v/>
      </c>
      <c r="T56" s="138" t="str"/>
      <c r="U56" s="138" t="inlineStr">
        <is>
          <t>待分配</t>
        </is>
      </c>
      <c r="V56" s="303" t="n">
        <v>46224</v>
      </c>
      <c r="W56" s="138" t="inlineStr">
        <is>
          <t>原创/待确认</t>
        </is>
      </c>
      <c r="X56" s="375" t="inlineStr">
        <is>
          <t>—</t>
        </is>
      </c>
      <c r="Y56" s="138" t="inlineStr">
        <is>
          <t>先拆地面/墙/门/大中小道具，禁止整张场景烘焙</t>
        </is>
      </c>
    </row>
    <row r="57">
      <c r="A57" s="138" t="inlineStr">
        <is>
          <t>ENV-ROOM-COMBAT-DRESSING</t>
        </is>
      </c>
      <c r="B57" s="138" t="inlineStr">
        <is>
          <t>combat 房间陈设包</t>
        </is>
      </c>
      <c r="C57" s="138" t="inlineStr">
        <is>
          <t>场景</t>
        </is>
      </c>
      <c r="D57" s="138" t="inlineStr">
        <is>
          <t>room_dressing</t>
        </is>
      </c>
      <c r="E57" s="138" t="inlineStr">
        <is>
          <t>room_combat</t>
        </is>
      </c>
      <c r="F57" s="138" t="inlineStr">
        <is>
          <t>root</t>
        </is>
      </c>
      <c r="G57" s="138" t="str"/>
      <c r="H57" s="138" t="inlineStr">
        <is>
          <t>顶视</t>
        </is>
      </c>
      <c r="I57" s="138" t="inlineStr">
        <is>
          <t>default</t>
        </is>
      </c>
      <c r="J57" s="138" t="inlineStr">
        <is>
          <t>跨楼层配色变体</t>
        </is>
      </c>
      <c r="K57" s="138" t="inlineStr">
        <is>
          <t>程序占位</t>
        </is>
      </c>
      <c r="L57" s="138" t="inlineStr">
        <is>
          <t>P1</t>
        </is>
      </c>
      <c r="M57" s="138" t="inlineStr">
        <is>
          <t>v001</t>
        </is>
      </c>
      <c r="N57" s="138" t="inlineStr">
        <is>
          <t>64 px 网格</t>
        </is>
      </c>
      <c r="O57" s="138" t="str"/>
      <c r="P57" s="138" t="inlineStr">
        <is>
          <t>scenes/RoomCombat.tscn</t>
        </is>
      </c>
      <c r="Q57" s="138" t="str"/>
      <c r="R57" s="138">
        <f>LOWER(TRIM(C57)&amp;"|"&amp;TRIM(D57)&amp;"|"&amp;TRIM(E57)&amp;"|"&amp;TRIM(F57)&amp;"|"&amp;TRIM(H57)&amp;"|"&amp;TRIM(I57))</f>
        <v/>
      </c>
      <c r="S57" s="138">
        <f>IF(COUNTIF($R$6:$R$300,R57)&gt;1,"重复","唯一")</f>
        <v/>
      </c>
      <c r="T57" s="138" t="str"/>
      <c r="U57" s="138" t="inlineStr">
        <is>
          <t>待分配</t>
        </is>
      </c>
      <c r="V57" s="303" t="n">
        <v>46224</v>
      </c>
      <c r="W57" s="138" t="inlineStr">
        <is>
          <t>原创/待确认</t>
        </is>
      </c>
      <c r="X57" s="375" t="inlineStr">
        <is>
          <t>—</t>
        </is>
      </c>
      <c r="Y57" s="138" t="inlineStr">
        <is>
          <t>只登记房间独有件；地板墙体引用 biome kit</t>
        </is>
      </c>
    </row>
    <row r="58">
      <c r="A58" s="138" t="inlineStr">
        <is>
          <t>ENV-ROOM-ELITE-DRESSING</t>
        </is>
      </c>
      <c r="B58" s="138" t="inlineStr">
        <is>
          <t>elite 房间陈设包</t>
        </is>
      </c>
      <c r="C58" s="138" t="inlineStr">
        <is>
          <t>场景</t>
        </is>
      </c>
      <c r="D58" s="138" t="inlineStr">
        <is>
          <t>room_dressing</t>
        </is>
      </c>
      <c r="E58" s="138" t="inlineStr">
        <is>
          <t>room_elite</t>
        </is>
      </c>
      <c r="F58" s="138" t="inlineStr">
        <is>
          <t>root</t>
        </is>
      </c>
      <c r="G58" s="138" t="str"/>
      <c r="H58" s="138" t="inlineStr">
        <is>
          <t>顶视</t>
        </is>
      </c>
      <c r="I58" s="138" t="inlineStr">
        <is>
          <t>default</t>
        </is>
      </c>
      <c r="J58" s="138" t="inlineStr">
        <is>
          <t>跨楼层配色变体</t>
        </is>
      </c>
      <c r="K58" s="138" t="inlineStr">
        <is>
          <t>程序占位</t>
        </is>
      </c>
      <c r="L58" s="138" t="inlineStr">
        <is>
          <t>P2</t>
        </is>
      </c>
      <c r="M58" s="138" t="inlineStr">
        <is>
          <t>v001</t>
        </is>
      </c>
      <c r="N58" s="138" t="inlineStr">
        <is>
          <t>64 px 网格</t>
        </is>
      </c>
      <c r="O58" s="138" t="str"/>
      <c r="P58" s="138" t="inlineStr">
        <is>
          <t>scenes/RoomElite.tscn</t>
        </is>
      </c>
      <c r="Q58" s="138" t="str"/>
      <c r="R58" s="138">
        <f>LOWER(TRIM(C58)&amp;"|"&amp;TRIM(D58)&amp;"|"&amp;TRIM(E58)&amp;"|"&amp;TRIM(F58)&amp;"|"&amp;TRIM(H58)&amp;"|"&amp;TRIM(I58))</f>
        <v/>
      </c>
      <c r="S58" s="138">
        <f>IF(COUNTIF($R$6:$R$300,R58)&gt;1,"重复","唯一")</f>
        <v/>
      </c>
      <c r="T58" s="138" t="str"/>
      <c r="U58" s="138" t="inlineStr">
        <is>
          <t>待分配</t>
        </is>
      </c>
      <c r="V58" s="303" t="n">
        <v>46224</v>
      </c>
      <c r="W58" s="138" t="inlineStr">
        <is>
          <t>原创/待确认</t>
        </is>
      </c>
      <c r="X58" s="375" t="inlineStr">
        <is>
          <t>—</t>
        </is>
      </c>
      <c r="Y58" s="138" t="inlineStr">
        <is>
          <t>只登记房间独有件；地板墙体引用 biome kit</t>
        </is>
      </c>
    </row>
    <row r="59">
      <c r="A59" s="138" t="inlineStr">
        <is>
          <t>ENV-ROOM-BOSS-DRESSING</t>
        </is>
      </c>
      <c r="B59" s="138" t="inlineStr">
        <is>
          <t>boss 房间陈设包</t>
        </is>
      </c>
      <c r="C59" s="138" t="inlineStr">
        <is>
          <t>场景</t>
        </is>
      </c>
      <c r="D59" s="138" t="inlineStr">
        <is>
          <t>room_dressing</t>
        </is>
      </c>
      <c r="E59" s="138" t="inlineStr">
        <is>
          <t>room_boss</t>
        </is>
      </c>
      <c r="F59" s="138" t="inlineStr">
        <is>
          <t>root</t>
        </is>
      </c>
      <c r="G59" s="138" t="str"/>
      <c r="H59" s="138" t="inlineStr">
        <is>
          <t>顶视</t>
        </is>
      </c>
      <c r="I59" s="138" t="inlineStr">
        <is>
          <t>default</t>
        </is>
      </c>
      <c r="J59" s="138" t="inlineStr">
        <is>
          <t>跨楼层配色变体</t>
        </is>
      </c>
      <c r="K59" s="138" t="inlineStr">
        <is>
          <t>程序占位</t>
        </is>
      </c>
      <c r="L59" s="138" t="inlineStr">
        <is>
          <t>P1</t>
        </is>
      </c>
      <c r="M59" s="138" t="inlineStr">
        <is>
          <t>v001</t>
        </is>
      </c>
      <c r="N59" s="138" t="inlineStr">
        <is>
          <t>64 px 网格</t>
        </is>
      </c>
      <c r="O59" s="138" t="str"/>
      <c r="P59" s="138" t="inlineStr">
        <is>
          <t>scenes/RoomBoss.tscn</t>
        </is>
      </c>
      <c r="Q59" s="138" t="str"/>
      <c r="R59" s="138">
        <f>LOWER(TRIM(C59)&amp;"|"&amp;TRIM(D59)&amp;"|"&amp;TRIM(E59)&amp;"|"&amp;TRIM(F59)&amp;"|"&amp;TRIM(H59)&amp;"|"&amp;TRIM(I59))</f>
        <v/>
      </c>
      <c r="S59" s="138">
        <f>IF(COUNTIF($R$6:$R$300,R59)&gt;1,"重复","唯一")</f>
        <v/>
      </c>
      <c r="T59" s="138" t="str"/>
      <c r="U59" s="138" t="inlineStr">
        <is>
          <t>待分配</t>
        </is>
      </c>
      <c r="V59" s="303" t="n">
        <v>46224</v>
      </c>
      <c r="W59" s="138" t="inlineStr">
        <is>
          <t>原创/待确认</t>
        </is>
      </c>
      <c r="X59" s="375" t="inlineStr">
        <is>
          <t>—</t>
        </is>
      </c>
      <c r="Y59" s="138" t="inlineStr">
        <is>
          <t>只登记房间独有件；地板墙体引用 biome kit</t>
        </is>
      </c>
    </row>
    <row r="60">
      <c r="A60" s="138" t="inlineStr">
        <is>
          <t>ENV-ROOM-EVENT-DRESSING</t>
        </is>
      </c>
      <c r="B60" s="138" t="inlineStr">
        <is>
          <t>event 房间陈设包</t>
        </is>
      </c>
      <c r="C60" s="138" t="inlineStr">
        <is>
          <t>场景</t>
        </is>
      </c>
      <c r="D60" s="138" t="inlineStr">
        <is>
          <t>room_dressing</t>
        </is>
      </c>
      <c r="E60" s="138" t="inlineStr">
        <is>
          <t>room_event</t>
        </is>
      </c>
      <c r="F60" s="138" t="inlineStr">
        <is>
          <t>root</t>
        </is>
      </c>
      <c r="G60" s="138" t="str"/>
      <c r="H60" s="138" t="inlineStr">
        <is>
          <t>顶视</t>
        </is>
      </c>
      <c r="I60" s="138" t="inlineStr">
        <is>
          <t>default</t>
        </is>
      </c>
      <c r="J60" s="138" t="inlineStr">
        <is>
          <t>跨楼层配色变体</t>
        </is>
      </c>
      <c r="K60" s="138" t="inlineStr">
        <is>
          <t>程序占位</t>
        </is>
      </c>
      <c r="L60" s="138" t="inlineStr">
        <is>
          <t>P2</t>
        </is>
      </c>
      <c r="M60" s="138" t="inlineStr">
        <is>
          <t>v001</t>
        </is>
      </c>
      <c r="N60" s="138" t="inlineStr">
        <is>
          <t>64 px 网格</t>
        </is>
      </c>
      <c r="O60" s="138" t="str"/>
      <c r="P60" s="138" t="inlineStr">
        <is>
          <t>scenes/RoomEvent.tscn</t>
        </is>
      </c>
      <c r="Q60" s="138" t="str"/>
      <c r="R60" s="138">
        <f>LOWER(TRIM(C60)&amp;"|"&amp;TRIM(D60)&amp;"|"&amp;TRIM(E60)&amp;"|"&amp;TRIM(F60)&amp;"|"&amp;TRIM(H60)&amp;"|"&amp;TRIM(I60))</f>
        <v/>
      </c>
      <c r="S60" s="138">
        <f>IF(COUNTIF($R$6:$R$300,R60)&gt;1,"重复","唯一")</f>
        <v/>
      </c>
      <c r="T60" s="138" t="str"/>
      <c r="U60" s="138" t="inlineStr">
        <is>
          <t>待分配</t>
        </is>
      </c>
      <c r="V60" s="303" t="n">
        <v>46224</v>
      </c>
      <c r="W60" s="138" t="inlineStr">
        <is>
          <t>原创/待确认</t>
        </is>
      </c>
      <c r="X60" s="375" t="inlineStr">
        <is>
          <t>—</t>
        </is>
      </c>
      <c r="Y60" s="138" t="inlineStr">
        <is>
          <t>只登记房间独有件；地板墙体引用 biome kit</t>
        </is>
      </c>
    </row>
    <row r="61">
      <c r="A61" s="138" t="inlineStr">
        <is>
          <t>ENV-ROOM-EXTRACTION-DRESSING</t>
        </is>
      </c>
      <c r="B61" s="138" t="inlineStr">
        <is>
          <t>extraction 房间陈设包</t>
        </is>
      </c>
      <c r="C61" s="138" t="inlineStr">
        <is>
          <t>场景</t>
        </is>
      </c>
      <c r="D61" s="138" t="inlineStr">
        <is>
          <t>room_dressing</t>
        </is>
      </c>
      <c r="E61" s="138" t="inlineStr">
        <is>
          <t>room_extraction</t>
        </is>
      </c>
      <c r="F61" s="138" t="inlineStr">
        <is>
          <t>root</t>
        </is>
      </c>
      <c r="G61" s="138" t="str"/>
      <c r="H61" s="138" t="inlineStr">
        <is>
          <t>顶视</t>
        </is>
      </c>
      <c r="I61" s="138" t="inlineStr">
        <is>
          <t>default</t>
        </is>
      </c>
      <c r="J61" s="138" t="inlineStr">
        <is>
          <t>跨楼层配色变体</t>
        </is>
      </c>
      <c r="K61" s="138" t="inlineStr">
        <is>
          <t>程序占位</t>
        </is>
      </c>
      <c r="L61" s="138" t="inlineStr">
        <is>
          <t>P1</t>
        </is>
      </c>
      <c r="M61" s="138" t="inlineStr">
        <is>
          <t>v001</t>
        </is>
      </c>
      <c r="N61" s="138" t="inlineStr">
        <is>
          <t>64 px 网格</t>
        </is>
      </c>
      <c r="O61" s="138" t="str"/>
      <c r="P61" s="138" t="inlineStr">
        <is>
          <t>scenes/RoomExtraction.tscn</t>
        </is>
      </c>
      <c r="Q61" s="138" t="str"/>
      <c r="R61" s="138">
        <f>LOWER(TRIM(C61)&amp;"|"&amp;TRIM(D61)&amp;"|"&amp;TRIM(E61)&amp;"|"&amp;TRIM(F61)&amp;"|"&amp;TRIM(H61)&amp;"|"&amp;TRIM(I61))</f>
        <v/>
      </c>
      <c r="S61" s="138">
        <f>IF(COUNTIF($R$6:$R$300,R61)&gt;1,"重复","唯一")</f>
        <v/>
      </c>
      <c r="T61" s="138" t="str"/>
      <c r="U61" s="138" t="inlineStr">
        <is>
          <t>待分配</t>
        </is>
      </c>
      <c r="V61" s="303" t="n">
        <v>46224</v>
      </c>
      <c r="W61" s="138" t="inlineStr">
        <is>
          <t>原创/待确认</t>
        </is>
      </c>
      <c r="X61" s="375" t="inlineStr">
        <is>
          <t>—</t>
        </is>
      </c>
      <c r="Y61" s="138" t="inlineStr">
        <is>
          <t>只登记房间独有件；地板墙体引用 biome kit</t>
        </is>
      </c>
    </row>
    <row r="62">
      <c r="A62" s="138" t="inlineStr">
        <is>
          <t>ENV-ROOM-MERCHANT-DRESSING</t>
        </is>
      </c>
      <c r="B62" s="138" t="inlineStr">
        <is>
          <t>merchant 房间陈设包</t>
        </is>
      </c>
      <c r="C62" s="138" t="inlineStr">
        <is>
          <t>场景</t>
        </is>
      </c>
      <c r="D62" s="138" t="inlineStr">
        <is>
          <t>room_dressing</t>
        </is>
      </c>
      <c r="E62" s="138" t="inlineStr">
        <is>
          <t>room_merchant</t>
        </is>
      </c>
      <c r="F62" s="138" t="inlineStr">
        <is>
          <t>root</t>
        </is>
      </c>
      <c r="G62" s="138" t="str"/>
      <c r="H62" s="138" t="inlineStr">
        <is>
          <t>顶视</t>
        </is>
      </c>
      <c r="I62" s="138" t="inlineStr">
        <is>
          <t>default</t>
        </is>
      </c>
      <c r="J62" s="138" t="inlineStr">
        <is>
          <t>跨楼层配色变体</t>
        </is>
      </c>
      <c r="K62" s="138" t="inlineStr">
        <is>
          <t>程序占位</t>
        </is>
      </c>
      <c r="L62" s="138" t="inlineStr">
        <is>
          <t>P2</t>
        </is>
      </c>
      <c r="M62" s="138" t="inlineStr">
        <is>
          <t>v001</t>
        </is>
      </c>
      <c r="N62" s="138" t="inlineStr">
        <is>
          <t>64 px 网格</t>
        </is>
      </c>
      <c r="O62" s="138" t="str"/>
      <c r="P62" s="138" t="inlineStr">
        <is>
          <t>scenes/RoomMerchant.tscn</t>
        </is>
      </c>
      <c r="Q62" s="138" t="str"/>
      <c r="R62" s="138">
        <f>LOWER(TRIM(C62)&amp;"|"&amp;TRIM(D62)&amp;"|"&amp;TRIM(E62)&amp;"|"&amp;TRIM(F62)&amp;"|"&amp;TRIM(H62)&amp;"|"&amp;TRIM(I62))</f>
        <v/>
      </c>
      <c r="S62" s="138">
        <f>IF(COUNTIF($R$6:$R$300,R62)&gt;1,"重复","唯一")</f>
        <v/>
      </c>
      <c r="T62" s="138" t="str"/>
      <c r="U62" s="138" t="inlineStr">
        <is>
          <t>待分配</t>
        </is>
      </c>
      <c r="V62" s="303" t="n">
        <v>46224</v>
      </c>
      <c r="W62" s="138" t="inlineStr">
        <is>
          <t>原创/待确认</t>
        </is>
      </c>
      <c r="X62" s="375" t="inlineStr">
        <is>
          <t>—</t>
        </is>
      </c>
      <c r="Y62" s="138" t="inlineStr">
        <is>
          <t>只登记房间独有件；地板墙体引用 biome kit</t>
        </is>
      </c>
    </row>
    <row r="63">
      <c r="A63" s="138" t="inlineStr">
        <is>
          <t>ENV-ROOM-SCAVENGE-DRESSING</t>
        </is>
      </c>
      <c r="B63" s="138" t="inlineStr">
        <is>
          <t>scavenge 房间陈设包</t>
        </is>
      </c>
      <c r="C63" s="138" t="inlineStr">
        <is>
          <t>场景</t>
        </is>
      </c>
      <c r="D63" s="138" t="inlineStr">
        <is>
          <t>room_dressing</t>
        </is>
      </c>
      <c r="E63" s="138" t="inlineStr">
        <is>
          <t>room_scavenge</t>
        </is>
      </c>
      <c r="F63" s="138" t="inlineStr">
        <is>
          <t>root</t>
        </is>
      </c>
      <c r="G63" s="138" t="str"/>
      <c r="H63" s="138" t="inlineStr">
        <is>
          <t>顶视</t>
        </is>
      </c>
      <c r="I63" s="138" t="inlineStr">
        <is>
          <t>default</t>
        </is>
      </c>
      <c r="J63" s="138" t="inlineStr">
        <is>
          <t>跨楼层配色变体</t>
        </is>
      </c>
      <c r="K63" s="138" t="inlineStr">
        <is>
          <t>程序占位</t>
        </is>
      </c>
      <c r="L63" s="138" t="inlineStr">
        <is>
          <t>P2</t>
        </is>
      </c>
      <c r="M63" s="138" t="inlineStr">
        <is>
          <t>v001</t>
        </is>
      </c>
      <c r="N63" s="138" t="inlineStr">
        <is>
          <t>64 px 网格</t>
        </is>
      </c>
      <c r="O63" s="138" t="str"/>
      <c r="P63" s="138" t="inlineStr">
        <is>
          <t>scenes/RoomScavenge.tscn</t>
        </is>
      </c>
      <c r="Q63" s="138" t="str"/>
      <c r="R63" s="138">
        <f>LOWER(TRIM(C63)&amp;"|"&amp;TRIM(D63)&amp;"|"&amp;TRIM(E63)&amp;"|"&amp;TRIM(F63)&amp;"|"&amp;TRIM(H63)&amp;"|"&amp;TRIM(I63))</f>
        <v/>
      </c>
      <c r="S63" s="138">
        <f>IF(COUNTIF($R$6:$R$300,R63)&gt;1,"重复","唯一")</f>
        <v/>
      </c>
      <c r="T63" s="138" t="str"/>
      <c r="U63" s="138" t="inlineStr">
        <is>
          <t>待分配</t>
        </is>
      </c>
      <c r="V63" s="303" t="n">
        <v>46224</v>
      </c>
      <c r="W63" s="138" t="inlineStr">
        <is>
          <t>原创/待确认</t>
        </is>
      </c>
      <c r="X63" s="375" t="inlineStr">
        <is>
          <t>—</t>
        </is>
      </c>
      <c r="Y63" s="138" t="inlineStr">
        <is>
          <t>只登记房间独有件；地板墙体引用 biome kit</t>
        </is>
      </c>
    </row>
    <row r="64">
      <c r="A64" s="138" t="inlineStr">
        <is>
          <t>ENV-ROOM-STORAGE-DRESSING</t>
        </is>
      </c>
      <c r="B64" s="138" t="inlineStr">
        <is>
          <t>storage 房间陈设包</t>
        </is>
      </c>
      <c r="C64" s="138" t="inlineStr">
        <is>
          <t>场景</t>
        </is>
      </c>
      <c r="D64" s="138" t="inlineStr">
        <is>
          <t>room_dressing</t>
        </is>
      </c>
      <c r="E64" s="138" t="inlineStr">
        <is>
          <t>room_storage</t>
        </is>
      </c>
      <c r="F64" s="138" t="inlineStr">
        <is>
          <t>root</t>
        </is>
      </c>
      <c r="G64" s="138" t="str"/>
      <c r="H64" s="138" t="inlineStr">
        <is>
          <t>顶视</t>
        </is>
      </c>
      <c r="I64" s="138" t="inlineStr">
        <is>
          <t>default</t>
        </is>
      </c>
      <c r="J64" s="138" t="inlineStr">
        <is>
          <t>跨楼层配色变体</t>
        </is>
      </c>
      <c r="K64" s="138" t="inlineStr">
        <is>
          <t>程序占位</t>
        </is>
      </c>
      <c r="L64" s="138" t="inlineStr">
        <is>
          <t>P2</t>
        </is>
      </c>
      <c r="M64" s="138" t="inlineStr">
        <is>
          <t>v001</t>
        </is>
      </c>
      <c r="N64" s="138" t="inlineStr">
        <is>
          <t>64 px 网格</t>
        </is>
      </c>
      <c r="O64" s="138" t="str"/>
      <c r="P64" s="138" t="inlineStr">
        <is>
          <t>scenes/RoomStorage.tscn</t>
        </is>
      </c>
      <c r="Q64" s="138" t="str"/>
      <c r="R64" s="138">
        <f>LOWER(TRIM(C64)&amp;"|"&amp;TRIM(D64)&amp;"|"&amp;TRIM(E64)&amp;"|"&amp;TRIM(F64)&amp;"|"&amp;TRIM(H64)&amp;"|"&amp;TRIM(I64))</f>
        <v/>
      </c>
      <c r="S64" s="138">
        <f>IF(COUNTIF($R$6:$R$300,R64)&gt;1,"重复","唯一")</f>
        <v/>
      </c>
      <c r="T64" s="138" t="str"/>
      <c r="U64" s="138" t="inlineStr">
        <is>
          <t>待分配</t>
        </is>
      </c>
      <c r="V64" s="303" t="n">
        <v>46224</v>
      </c>
      <c r="W64" s="138" t="inlineStr">
        <is>
          <t>原创/待确认</t>
        </is>
      </c>
      <c r="X64" s="375" t="inlineStr">
        <is>
          <t>—</t>
        </is>
      </c>
      <c r="Y64" s="138" t="inlineStr">
        <is>
          <t>只登记房间独有件；地板墙体引用 biome kit</t>
        </is>
      </c>
    </row>
    <row r="65">
      <c r="A65" s="138" t="inlineStr">
        <is>
          <t>ENV-ROOM-TRAP-DRESSING</t>
        </is>
      </c>
      <c r="B65" s="138" t="inlineStr">
        <is>
          <t>trap 房间陈设包</t>
        </is>
      </c>
      <c r="C65" s="138" t="inlineStr">
        <is>
          <t>场景</t>
        </is>
      </c>
      <c r="D65" s="138" t="inlineStr">
        <is>
          <t>room_dressing</t>
        </is>
      </c>
      <c r="E65" s="138" t="inlineStr">
        <is>
          <t>room_trap</t>
        </is>
      </c>
      <c r="F65" s="138" t="inlineStr">
        <is>
          <t>root</t>
        </is>
      </c>
      <c r="G65" s="138" t="str"/>
      <c r="H65" s="138" t="inlineStr">
        <is>
          <t>顶视</t>
        </is>
      </c>
      <c r="I65" s="138" t="inlineStr">
        <is>
          <t>default</t>
        </is>
      </c>
      <c r="J65" s="138" t="inlineStr">
        <is>
          <t>跨楼层配色变体</t>
        </is>
      </c>
      <c r="K65" s="138" t="inlineStr">
        <is>
          <t>程序占位</t>
        </is>
      </c>
      <c r="L65" s="138" t="inlineStr">
        <is>
          <t>P2</t>
        </is>
      </c>
      <c r="M65" s="138" t="inlineStr">
        <is>
          <t>v001</t>
        </is>
      </c>
      <c r="N65" s="138" t="inlineStr">
        <is>
          <t>64 px 网格</t>
        </is>
      </c>
      <c r="O65" s="138" t="str"/>
      <c r="P65" s="138" t="inlineStr">
        <is>
          <t>scenes/RoomTrap.tscn</t>
        </is>
      </c>
      <c r="Q65" s="138" t="str"/>
      <c r="R65" s="138">
        <f>LOWER(TRIM(C65)&amp;"|"&amp;TRIM(D65)&amp;"|"&amp;TRIM(E65)&amp;"|"&amp;TRIM(F65)&amp;"|"&amp;TRIM(H65)&amp;"|"&amp;TRIM(I65))</f>
        <v/>
      </c>
      <c r="S65" s="138">
        <f>IF(COUNTIF($R$6:$R$300,R65)&gt;1,"重复","唯一")</f>
        <v/>
      </c>
      <c r="T65" s="138" t="str"/>
      <c r="U65" s="138" t="inlineStr">
        <is>
          <t>待分配</t>
        </is>
      </c>
      <c r="V65" s="303" t="n">
        <v>46224</v>
      </c>
      <c r="W65" s="138" t="inlineStr">
        <is>
          <t>原创/待确认</t>
        </is>
      </c>
      <c r="X65" s="375" t="inlineStr">
        <is>
          <t>—</t>
        </is>
      </c>
      <c r="Y65" s="138" t="inlineStr">
        <is>
          <t>只登记房间独有件；地板墙体引用 biome kit</t>
        </is>
      </c>
    </row>
    <row r="66">
      <c r="A66" s="138" t="inlineStr">
        <is>
          <t>ENV-ROOM-UPGRADE-DRESSING</t>
        </is>
      </c>
      <c r="B66" s="138" t="inlineStr">
        <is>
          <t>upgrade 房间陈设包</t>
        </is>
      </c>
      <c r="C66" s="138" t="inlineStr">
        <is>
          <t>场景</t>
        </is>
      </c>
      <c r="D66" s="138" t="inlineStr">
        <is>
          <t>room_dressing</t>
        </is>
      </c>
      <c r="E66" s="138" t="inlineStr">
        <is>
          <t>room_upgrade</t>
        </is>
      </c>
      <c r="F66" s="138" t="inlineStr">
        <is>
          <t>root</t>
        </is>
      </c>
      <c r="G66" s="138" t="str"/>
      <c r="H66" s="138" t="inlineStr">
        <is>
          <t>顶视</t>
        </is>
      </c>
      <c r="I66" s="138" t="inlineStr">
        <is>
          <t>default</t>
        </is>
      </c>
      <c r="J66" s="138" t="inlineStr">
        <is>
          <t>跨楼层配色变体</t>
        </is>
      </c>
      <c r="K66" s="138" t="inlineStr">
        <is>
          <t>程序占位</t>
        </is>
      </c>
      <c r="L66" s="138" t="inlineStr">
        <is>
          <t>P2</t>
        </is>
      </c>
      <c r="M66" s="138" t="inlineStr">
        <is>
          <t>v001</t>
        </is>
      </c>
      <c r="N66" s="138" t="inlineStr">
        <is>
          <t>64 px 网格</t>
        </is>
      </c>
      <c r="O66" s="138" t="str"/>
      <c r="P66" s="138" t="inlineStr">
        <is>
          <t>scenes/RoomUpgrade.tscn</t>
        </is>
      </c>
      <c r="Q66" s="138" t="str"/>
      <c r="R66" s="138">
        <f>LOWER(TRIM(C66)&amp;"|"&amp;TRIM(D66)&amp;"|"&amp;TRIM(E66)&amp;"|"&amp;TRIM(F66)&amp;"|"&amp;TRIM(H66)&amp;"|"&amp;TRIM(I66))</f>
        <v/>
      </c>
      <c r="S66" s="138">
        <f>IF(COUNTIF($R$6:$R$300,R66)&gt;1,"重复","唯一")</f>
        <v/>
      </c>
      <c r="T66" s="138" t="str"/>
      <c r="U66" s="138" t="inlineStr">
        <is>
          <t>待分配</t>
        </is>
      </c>
      <c r="V66" s="303" t="n">
        <v>46224</v>
      </c>
      <c r="W66" s="138" t="inlineStr">
        <is>
          <t>原创/待确认</t>
        </is>
      </c>
      <c r="X66" s="375" t="inlineStr">
        <is>
          <t>—</t>
        </is>
      </c>
      <c r="Y66" s="138" t="inlineStr">
        <is>
          <t>只登记房间独有件；地板墙体引用 biome kit</t>
        </is>
      </c>
    </row>
    <row r="67">
      <c r="A67" s="138" t="inlineStr">
        <is>
          <t>ENV-ROOM-SPAWN-DRESSING</t>
        </is>
      </c>
      <c r="B67" s="138" t="inlineStr">
        <is>
          <t>spawn 房间陈设包</t>
        </is>
      </c>
      <c r="C67" s="138" t="inlineStr">
        <is>
          <t>场景</t>
        </is>
      </c>
      <c r="D67" s="138" t="inlineStr">
        <is>
          <t>room_dressing</t>
        </is>
      </c>
      <c r="E67" s="138" t="inlineStr">
        <is>
          <t>room_spawn</t>
        </is>
      </c>
      <c r="F67" s="138" t="inlineStr">
        <is>
          <t>root</t>
        </is>
      </c>
      <c r="G67" s="138" t="str"/>
      <c r="H67" s="138" t="inlineStr">
        <is>
          <t>顶视</t>
        </is>
      </c>
      <c r="I67" s="138" t="inlineStr">
        <is>
          <t>default</t>
        </is>
      </c>
      <c r="J67" s="138" t="inlineStr">
        <is>
          <t>跨楼层配色变体</t>
        </is>
      </c>
      <c r="K67" s="138" t="inlineStr">
        <is>
          <t>程序占位</t>
        </is>
      </c>
      <c r="L67" s="138" t="inlineStr">
        <is>
          <t>P2</t>
        </is>
      </c>
      <c r="M67" s="138" t="inlineStr">
        <is>
          <t>v001</t>
        </is>
      </c>
      <c r="N67" s="138" t="inlineStr">
        <is>
          <t>64 px 网格</t>
        </is>
      </c>
      <c r="O67" s="138" t="str"/>
      <c r="P67" s="138" t="inlineStr">
        <is>
          <t>scenes/RoomSpawn.tscn</t>
        </is>
      </c>
      <c r="Q67" s="138" t="str"/>
      <c r="R67" s="138">
        <f>LOWER(TRIM(C67)&amp;"|"&amp;TRIM(D67)&amp;"|"&amp;TRIM(E67)&amp;"|"&amp;TRIM(F67)&amp;"|"&amp;TRIM(H67)&amp;"|"&amp;TRIM(I67))</f>
        <v/>
      </c>
      <c r="S67" s="138">
        <f>IF(COUNTIF($R$6:$R$300,R67)&gt;1,"重复","唯一")</f>
        <v/>
      </c>
      <c r="T67" s="138" t="str"/>
      <c r="U67" s="138" t="inlineStr">
        <is>
          <t>待分配</t>
        </is>
      </c>
      <c r="V67" s="303" t="n">
        <v>46224</v>
      </c>
      <c r="W67" s="138" t="inlineStr">
        <is>
          <t>原创/待确认</t>
        </is>
      </c>
      <c r="X67" s="375" t="inlineStr">
        <is>
          <t>—</t>
        </is>
      </c>
      <c r="Y67" s="138" t="inlineStr">
        <is>
          <t>只登记房间独有件；地板墙体引用 biome kit</t>
        </is>
      </c>
    </row>
    <row r="68">
      <c r="A68" s="138" t="inlineStr">
        <is>
          <t>ENV-ROOM-STAIRS-DRESSING</t>
        </is>
      </c>
      <c r="B68" s="138" t="inlineStr">
        <is>
          <t>stairs 房间陈设包</t>
        </is>
      </c>
      <c r="C68" s="138" t="inlineStr">
        <is>
          <t>场景</t>
        </is>
      </c>
      <c r="D68" s="138" t="inlineStr">
        <is>
          <t>room_dressing</t>
        </is>
      </c>
      <c r="E68" s="138" t="inlineStr">
        <is>
          <t>room_stairs</t>
        </is>
      </c>
      <c r="F68" s="138" t="inlineStr">
        <is>
          <t>root</t>
        </is>
      </c>
      <c r="G68" s="138" t="str"/>
      <c r="H68" s="138" t="inlineStr">
        <is>
          <t>顶视</t>
        </is>
      </c>
      <c r="I68" s="138" t="inlineStr">
        <is>
          <t>default</t>
        </is>
      </c>
      <c r="J68" s="138" t="inlineStr">
        <is>
          <t>跨楼层配色变体</t>
        </is>
      </c>
      <c r="K68" s="138" t="inlineStr">
        <is>
          <t>程序占位</t>
        </is>
      </c>
      <c r="L68" s="138" t="inlineStr">
        <is>
          <t>P2</t>
        </is>
      </c>
      <c r="M68" s="138" t="inlineStr">
        <is>
          <t>v001</t>
        </is>
      </c>
      <c r="N68" s="138" t="inlineStr">
        <is>
          <t>64 px 网格</t>
        </is>
      </c>
      <c r="O68" s="138" t="str"/>
      <c r="P68" s="138" t="inlineStr">
        <is>
          <t>scenes/RoomStairs.tscn</t>
        </is>
      </c>
      <c r="Q68" s="138" t="str"/>
      <c r="R68" s="138">
        <f>LOWER(TRIM(C68)&amp;"|"&amp;TRIM(D68)&amp;"|"&amp;TRIM(E68)&amp;"|"&amp;TRIM(F68)&amp;"|"&amp;TRIM(H68)&amp;"|"&amp;TRIM(I68))</f>
        <v/>
      </c>
      <c r="S68" s="138">
        <f>IF(COUNTIF($R$6:$R$300,R68)&gt;1,"重复","唯一")</f>
        <v/>
      </c>
      <c r="T68" s="138" t="str"/>
      <c r="U68" s="138" t="inlineStr">
        <is>
          <t>待分配</t>
        </is>
      </c>
      <c r="V68" s="303" t="n">
        <v>46224</v>
      </c>
      <c r="W68" s="138" t="inlineStr">
        <is>
          <t>原创/待确认</t>
        </is>
      </c>
      <c r="X68" s="375" t="inlineStr">
        <is>
          <t>—</t>
        </is>
      </c>
      <c r="Y68" s="138" t="inlineStr">
        <is>
          <t>只登记房间独有件；地板墙体引用 biome kit</t>
        </is>
      </c>
    </row>
    <row r="69">
      <c r="A69" s="138" t="inlineStr">
        <is>
          <t>PRP-BASE-BRIEFING</t>
        </is>
      </c>
      <c r="B69" s="138" t="inlineStr">
        <is>
          <t>远征情报终端 / 战术情报指挥桌</t>
        </is>
      </c>
      <c r="C69" s="138" t="inlineStr">
        <is>
          <t>道具</t>
        </is>
      </c>
      <c r="D69" s="138" t="inlineStr">
        <is>
          <t>base_facility</t>
        </is>
      </c>
      <c r="E69" s="138" t="inlineStr">
        <is>
          <t>mission_operations</t>
        </is>
      </c>
      <c r="F69" s="138" t="inlineStr">
        <is>
          <t>root</t>
        </is>
      </c>
      <c r="G69" s="138" t="str"/>
      <c r="H69" s="138" t="inlineStr">
        <is>
          <t>Top3D / local -Z 正面</t>
        </is>
      </c>
      <c r="I69" s="138" t="inlineStr">
        <is>
          <t>default / 独立交互场景</t>
        </is>
      </c>
      <c r="J69" s="138" t="inlineStr">
        <is>
          <t>BaseWorld3D/TowerDescent99F</t>
        </is>
      </c>
      <c r="K69" s="138" t="inlineStr">
        <is>
          <t>已完成</t>
        </is>
      </c>
      <c r="L69" s="138" t="inlineStr">
        <is>
          <t>P1</t>
        </is>
      </c>
      <c r="M69" s="138" t="inlineStr">
        <is>
          <t>v003</t>
        </is>
      </c>
      <c r="N69" s="138" t="inlineStr">
        <is>
          <t>4材质；主体/自发光分离；独立GLB/PackedScene</t>
        </is>
      </c>
      <c r="O69" s="138" t="inlineStr">
        <is>
          <t>assets/art/props/base_world_3d/runtime/mission_operations/prp_base_mission_operations_root_top3d_v001.tscn</t>
        </is>
      </c>
      <c r="P69" s="138" t="inlineStr">
        <is>
          <t>assets/art/props/base_world_3d/source/mission_operations/prp_base_mission_operations_source_v003.blend; src/base3d/BaseFacility3D.gd; src/world3d/TowerDescent3D.gd</t>
        </is>
      </c>
      <c r="Q69" s="138" t="inlineStr">
        <is>
          <t>mission_operations; 战术情报指挥桌; 基地设施; 多巴胺配色; 自发光分离</t>
        </is>
      </c>
      <c r="R69" s="138">
        <f>LOWER(TRIM(C69)&amp;"|"&amp;TRIM(D69)&amp;"|"&amp;TRIM(E69)&amp;"|"&amp;TRIM(F69)&amp;"|"&amp;TRIM(H69)&amp;"|"&amp;TRIM(I69))</f>
        <v/>
      </c>
      <c r="S69" s="138">
        <f>IF(COUNTIF($R$6:$R$300,R69)&gt;1,"重复","唯一")</f>
        <v/>
      </c>
      <c r="T69" s="138" t="inlineStr">
        <is>
          <t>ab5196f29c8c5944647b85133625dd485b8ed0834d0c0ac6db7053031b638be5</t>
        </is>
      </c>
      <c r="U69" s="138" t="inlineStr">
        <is>
          <t>Codex</t>
        </is>
      </c>
      <c r="V69" s="303" t="n">
        <v>46264</v>
      </c>
      <c r="W69" s="138" t="inlineStr">
        <is>
          <t>用户自制Blender资产</t>
        </is>
      </c>
      <c r="X69" s="375" t="inlineStr">
        <is>
          <t>—</t>
        </is>
      </c>
      <c r="Y69" s="138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70">
      <c r="A70" s="138" t="inlineStr">
        <is>
          <t>PRP-BASE-WORKSHOP</t>
        </is>
      </c>
      <c r="B70" s="138" t="inlineStr">
        <is>
          <t>枪械工坊 / 赛博维修工作台</t>
        </is>
      </c>
      <c r="C70" s="138" t="inlineStr">
        <is>
          <t>道具</t>
        </is>
      </c>
      <c r="D70" s="138" t="inlineStr">
        <is>
          <t>base_facility</t>
        </is>
      </c>
      <c r="E70" s="138" t="inlineStr">
        <is>
          <t>weapon_workshop</t>
        </is>
      </c>
      <c r="F70" s="138" t="inlineStr">
        <is>
          <t>root</t>
        </is>
      </c>
      <c r="G70" s="138" t="str"/>
      <c r="H70" s="138" t="inlineStr">
        <is>
          <t>Top3D / local -Z 正面</t>
        </is>
      </c>
      <c r="I70" s="138" t="inlineStr">
        <is>
          <t>default / 独立交互场景</t>
        </is>
      </c>
      <c r="J70" s="138" t="inlineStr">
        <is>
          <t>BaseWorld3D/TowerDescent99F</t>
        </is>
      </c>
      <c r="K70" s="138" t="inlineStr">
        <is>
          <t>已完成</t>
        </is>
      </c>
      <c r="L70" s="138" t="inlineStr">
        <is>
          <t>P1</t>
        </is>
      </c>
      <c r="M70" s="138" t="inlineStr">
        <is>
          <t>v003</t>
        </is>
      </c>
      <c r="N70" s="138" t="inlineStr">
        <is>
          <t>4材质；主体/自发光分离；独立GLB/PackedScene</t>
        </is>
      </c>
      <c r="O70" s="138" t="inlineStr">
        <is>
          <t>assets/art/props/base_world_3d/runtime/weapon_workshop/prp_base_weapon_workshop_root_top3d_v001.tscn</t>
        </is>
      </c>
      <c r="P70" s="138" t="inlineStr">
        <is>
          <t>assets/art/props/base_world_3d/source/weapon_workshop/prp_base_weapon_workshop_source_v003.blend; src/base3d/BaseFacility3D.gd; src/world3d/TowerDescent3D.gd</t>
        </is>
      </c>
      <c r="Q70" s="138" t="inlineStr">
        <is>
          <t>weapon_workshop; 赛博维修工作台; 基地设施; 多巴胺配色; 自发光分离</t>
        </is>
      </c>
      <c r="R70" s="138">
        <f>LOWER(TRIM(C70)&amp;"|"&amp;TRIM(D70)&amp;"|"&amp;TRIM(E70)&amp;"|"&amp;TRIM(F70)&amp;"|"&amp;TRIM(H70)&amp;"|"&amp;TRIM(I70))</f>
        <v/>
      </c>
      <c r="S70" s="138">
        <f>IF(COUNTIF($R$6:$R$300,R70)&gt;1,"重复","唯一")</f>
        <v/>
      </c>
      <c r="T70" s="138" t="inlineStr">
        <is>
          <t>207785d3d2576cf80ecab4f9629522b32156e1a635c62257c12537195a0fdb61</t>
        </is>
      </c>
      <c r="U70" s="138" t="inlineStr">
        <is>
          <t>Codex</t>
        </is>
      </c>
      <c r="V70" s="303" t="n">
        <v>46264</v>
      </c>
      <c r="W70" s="138" t="inlineStr">
        <is>
          <t>用户自制Blender资产</t>
        </is>
      </c>
      <c r="X70" s="375" t="inlineStr">
        <is>
          <t>—</t>
        </is>
      </c>
      <c r="Y70" s="138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71">
      <c r="A71" s="138" t="inlineStr">
        <is>
          <t>PRP-BASE-DIVINATION</t>
        </is>
      </c>
      <c r="B71" s="138" t="inlineStr">
        <is>
          <t>命运占卜屋</t>
        </is>
      </c>
      <c r="C71" s="138" t="inlineStr">
        <is>
          <t>场景道具</t>
        </is>
      </c>
      <c r="D71" s="138" t="inlineStr">
        <is>
          <t>facility</t>
        </is>
      </c>
      <c r="E71" s="138" t="inlineStr">
        <is>
          <t>base_divination</t>
        </is>
      </c>
      <c r="F71" s="138" t="inlineStr">
        <is>
          <t>root</t>
        </is>
      </c>
      <c r="G71" s="138" t="str"/>
      <c r="H71" s="138" t="inlineStr">
        <is>
          <t>顶视</t>
        </is>
      </c>
      <c r="I71" s="138" t="inlineStr">
        <is>
          <t>default</t>
        </is>
      </c>
      <c r="J71" s="138" t="inlineStr">
        <is>
          <t>基地/房间</t>
        </is>
      </c>
      <c r="K71" s="138" t="inlineStr">
        <is>
          <t>程序占位</t>
        </is>
      </c>
      <c r="L71" s="138" t="inlineStr">
        <is>
          <t>P1</t>
        </is>
      </c>
      <c r="M71" s="138" t="inlineStr">
        <is>
          <t>v001</t>
        </is>
      </c>
      <c r="N71" s="138" t="inlineStr">
        <is>
          <t>64 px 网格对齐</t>
        </is>
      </c>
      <c r="O71" s="138" t="str"/>
      <c r="P71" s="138" t="inlineStr">
        <is>
          <t>scenes/BaseWorld.tscn</t>
        </is>
      </c>
      <c r="Q71" s="138" t="str"/>
      <c r="R71" s="138">
        <f>LOWER(TRIM(C71)&amp;"|"&amp;TRIM(D71)&amp;"|"&amp;TRIM(E71)&amp;"|"&amp;TRIM(F71)&amp;"|"&amp;TRIM(H71)&amp;"|"&amp;TRIM(I71))</f>
        <v/>
      </c>
      <c r="S71" s="138">
        <f>IF(COUNTIF($R$6:$R$300,R71)&gt;1,"重复","唯一")</f>
        <v/>
      </c>
      <c r="T71" s="138" t="str"/>
      <c r="U71" s="138" t="inlineStr">
        <is>
          <t>待分配</t>
        </is>
      </c>
      <c r="V71" s="303" t="n">
        <v>46224</v>
      </c>
      <c r="W71" s="138" t="inlineStr">
        <is>
          <t>原创/待确认</t>
        </is>
      </c>
      <c r="X71" s="375" t="inlineStr">
        <is>
          <t>—</t>
        </is>
      </c>
      <c r="Y71" s="138" t="inlineStr">
        <is>
          <t>状态变体使用同一 AssetID + state，不复制新命名根</t>
        </is>
      </c>
    </row>
    <row r="72">
      <c r="A72" s="138" t="inlineStr">
        <is>
          <t>PRP-BASE-VAULT</t>
        </is>
      </c>
      <c r="B72" s="138" t="inlineStr">
        <is>
          <t>保险柜</t>
        </is>
      </c>
      <c r="C72" s="138" t="inlineStr">
        <is>
          <t>场景道具</t>
        </is>
      </c>
      <c r="D72" s="138" t="inlineStr">
        <is>
          <t>facility</t>
        </is>
      </c>
      <c r="E72" s="138" t="inlineStr">
        <is>
          <t>base_vault</t>
        </is>
      </c>
      <c r="F72" s="138" t="inlineStr">
        <is>
          <t>root</t>
        </is>
      </c>
      <c r="G72" s="138" t="str"/>
      <c r="H72" s="138" t="inlineStr">
        <is>
          <t>顶视</t>
        </is>
      </c>
      <c r="I72" s="138" t="inlineStr">
        <is>
          <t>default</t>
        </is>
      </c>
      <c r="J72" s="138" t="inlineStr">
        <is>
          <t>基地/房间</t>
        </is>
      </c>
      <c r="K72" s="138" t="inlineStr">
        <is>
          <t>程序占位</t>
        </is>
      </c>
      <c r="L72" s="138" t="inlineStr">
        <is>
          <t>P1</t>
        </is>
      </c>
      <c r="M72" s="138" t="inlineStr">
        <is>
          <t>v001</t>
        </is>
      </c>
      <c r="N72" s="138" t="inlineStr">
        <is>
          <t>64 px 网格对齐</t>
        </is>
      </c>
      <c r="O72" s="138" t="str"/>
      <c r="P72" s="138" t="inlineStr">
        <is>
          <t>scenes/BaseWorld.tscn</t>
        </is>
      </c>
      <c r="Q72" s="138" t="str"/>
      <c r="R72" s="138">
        <f>LOWER(TRIM(C72)&amp;"|"&amp;TRIM(D72)&amp;"|"&amp;TRIM(E72)&amp;"|"&amp;TRIM(F72)&amp;"|"&amp;TRIM(H72)&amp;"|"&amp;TRIM(I72))</f>
        <v/>
      </c>
      <c r="S72" s="138">
        <f>IF(COUNTIF($R$6:$R$300,R72)&gt;1,"重复","唯一")</f>
        <v/>
      </c>
      <c r="T72" s="138" t="str"/>
      <c r="U72" s="138" t="inlineStr">
        <is>
          <t>待分配</t>
        </is>
      </c>
      <c r="V72" s="303" t="n">
        <v>46224</v>
      </c>
      <c r="W72" s="138" t="inlineStr">
        <is>
          <t>原创/待确认</t>
        </is>
      </c>
      <c r="X72" s="375" t="inlineStr">
        <is>
          <t>—</t>
        </is>
      </c>
      <c r="Y72" s="138" t="inlineStr">
        <is>
          <t>状态变体使用同一 AssetID + state，不复制新命名根</t>
        </is>
      </c>
    </row>
    <row r="73">
      <c r="A73" s="138" t="inlineStr">
        <is>
          <t>PRP-BASE-MONSTER-ARCHIVE</t>
        </is>
      </c>
      <c r="B73" s="138" t="inlineStr">
        <is>
          <t>怪物档案室</t>
        </is>
      </c>
      <c r="C73" s="138" t="inlineStr">
        <is>
          <t>场景道具</t>
        </is>
      </c>
      <c r="D73" s="138" t="inlineStr">
        <is>
          <t>facility</t>
        </is>
      </c>
      <c r="E73" s="138" t="inlineStr">
        <is>
          <t>base_monster_archive</t>
        </is>
      </c>
      <c r="F73" s="138" t="inlineStr">
        <is>
          <t>root</t>
        </is>
      </c>
      <c r="G73" s="138" t="str"/>
      <c r="H73" s="138" t="inlineStr">
        <is>
          <t>顶视</t>
        </is>
      </c>
      <c r="I73" s="138" t="inlineStr">
        <is>
          <t>default</t>
        </is>
      </c>
      <c r="J73" s="138" t="inlineStr">
        <is>
          <t>基地/房间</t>
        </is>
      </c>
      <c r="K73" s="138" t="inlineStr">
        <is>
          <t>程序占位</t>
        </is>
      </c>
      <c r="L73" s="138" t="inlineStr">
        <is>
          <t>P1</t>
        </is>
      </c>
      <c r="M73" s="138" t="inlineStr">
        <is>
          <t>v001</t>
        </is>
      </c>
      <c r="N73" s="138" t="inlineStr">
        <is>
          <t>64 px 网格对齐</t>
        </is>
      </c>
      <c r="O73" s="138" t="str"/>
      <c r="P73" s="138" t="inlineStr">
        <is>
          <t>scenes/BaseWorld.tscn</t>
        </is>
      </c>
      <c r="Q73" s="138" t="str"/>
      <c r="R73" s="138">
        <f>LOWER(TRIM(C73)&amp;"|"&amp;TRIM(D73)&amp;"|"&amp;TRIM(E73)&amp;"|"&amp;TRIM(F73)&amp;"|"&amp;TRIM(H73)&amp;"|"&amp;TRIM(I73))</f>
        <v/>
      </c>
      <c r="S73" s="138">
        <f>IF(COUNTIF($R$6:$R$300,R73)&gt;1,"重复","唯一")</f>
        <v/>
      </c>
      <c r="T73" s="138" t="str"/>
      <c r="U73" s="138" t="inlineStr">
        <is>
          <t>待分配</t>
        </is>
      </c>
      <c r="V73" s="303" t="n">
        <v>46224</v>
      </c>
      <c r="W73" s="138" t="inlineStr">
        <is>
          <t>原创/待确认</t>
        </is>
      </c>
      <c r="X73" s="375" t="inlineStr">
        <is>
          <t>—</t>
        </is>
      </c>
      <c r="Y73" s="138" t="inlineStr">
        <is>
          <t>状态变体使用同一 AssetID + state，不复制新命名根</t>
        </is>
      </c>
    </row>
    <row r="74">
      <c r="A74" s="138" t="inlineStr">
        <is>
          <t>PRP-BASE-CARD-COLLECTION</t>
        </is>
      </c>
      <c r="B74" s="138" t="inlineStr">
        <is>
          <t>命运卡牌收藏室</t>
        </is>
      </c>
      <c r="C74" s="138" t="inlineStr">
        <is>
          <t>场景道具</t>
        </is>
      </c>
      <c r="D74" s="138" t="inlineStr">
        <is>
          <t>facility</t>
        </is>
      </c>
      <c r="E74" s="138" t="inlineStr">
        <is>
          <t>base_card_collection</t>
        </is>
      </c>
      <c r="F74" s="138" t="inlineStr">
        <is>
          <t>root</t>
        </is>
      </c>
      <c r="G74" s="138" t="str"/>
      <c r="H74" s="138" t="inlineStr">
        <is>
          <t>顶视</t>
        </is>
      </c>
      <c r="I74" s="138" t="inlineStr">
        <is>
          <t>default</t>
        </is>
      </c>
      <c r="J74" s="138" t="inlineStr">
        <is>
          <t>基地/房间</t>
        </is>
      </c>
      <c r="K74" s="138" t="inlineStr">
        <is>
          <t>程序占位</t>
        </is>
      </c>
      <c r="L74" s="138" t="inlineStr">
        <is>
          <t>P1</t>
        </is>
      </c>
      <c r="M74" s="138" t="inlineStr">
        <is>
          <t>v001</t>
        </is>
      </c>
      <c r="N74" s="138" t="inlineStr">
        <is>
          <t>64 px 网格对齐</t>
        </is>
      </c>
      <c r="O74" s="138" t="str"/>
      <c r="P74" s="138" t="inlineStr">
        <is>
          <t>scenes/BaseWorld.tscn</t>
        </is>
      </c>
      <c r="Q74" s="138" t="str"/>
      <c r="R74" s="138">
        <f>LOWER(TRIM(C74)&amp;"|"&amp;TRIM(D74)&amp;"|"&amp;TRIM(E74)&amp;"|"&amp;TRIM(F74)&amp;"|"&amp;TRIM(H74)&amp;"|"&amp;TRIM(I74))</f>
        <v/>
      </c>
      <c r="S74" s="138">
        <f>IF(COUNTIF($R$6:$R$300,R74)&gt;1,"重复","唯一")</f>
        <v/>
      </c>
      <c r="T74" s="138" t="str"/>
      <c r="U74" s="138" t="inlineStr">
        <is>
          <t>待分配</t>
        </is>
      </c>
      <c r="V74" s="303" t="n">
        <v>46224</v>
      </c>
      <c r="W74" s="138" t="inlineStr">
        <is>
          <t>原创/待确认</t>
        </is>
      </c>
      <c r="X74" s="375" t="inlineStr">
        <is>
          <t>—</t>
        </is>
      </c>
      <c r="Y74" s="138" t="inlineStr">
        <is>
          <t>状态变体使用同一 AssetID + state，不复制新命名根</t>
        </is>
      </c>
    </row>
    <row r="75">
      <c r="A75" s="138" t="inlineStr">
        <is>
          <t>PRP-BASE-TERMINAL</t>
        </is>
      </c>
      <c r="B75" s="138" t="inlineStr">
        <is>
          <t>基地管理终端</t>
        </is>
      </c>
      <c r="C75" s="138" t="inlineStr">
        <is>
          <t>场景道具</t>
        </is>
      </c>
      <c r="D75" s="138" t="inlineStr">
        <is>
          <t>facility</t>
        </is>
      </c>
      <c r="E75" s="138" t="inlineStr">
        <is>
          <t>base_terminal</t>
        </is>
      </c>
      <c r="F75" s="138" t="inlineStr">
        <is>
          <t>root</t>
        </is>
      </c>
      <c r="G75" s="138" t="str"/>
      <c r="H75" s="138" t="inlineStr">
        <is>
          <t>顶视</t>
        </is>
      </c>
      <c r="I75" s="138" t="inlineStr">
        <is>
          <t>default</t>
        </is>
      </c>
      <c r="J75" s="138" t="inlineStr">
        <is>
          <t>基地/房间</t>
        </is>
      </c>
      <c r="K75" s="138" t="inlineStr">
        <is>
          <t>程序占位</t>
        </is>
      </c>
      <c r="L75" s="138" t="inlineStr">
        <is>
          <t>P1</t>
        </is>
      </c>
      <c r="M75" s="138" t="inlineStr">
        <is>
          <t>v001</t>
        </is>
      </c>
      <c r="N75" s="138" t="inlineStr">
        <is>
          <t>64 px 网格对齐</t>
        </is>
      </c>
      <c r="O75" s="138" t="str"/>
      <c r="P75" s="138" t="inlineStr">
        <is>
          <t>scenes/BaseWorld.tscn</t>
        </is>
      </c>
      <c r="Q75" s="138" t="str"/>
      <c r="R75" s="138">
        <f>LOWER(TRIM(C75)&amp;"|"&amp;TRIM(D75)&amp;"|"&amp;TRIM(E75)&amp;"|"&amp;TRIM(F75)&amp;"|"&amp;TRIM(H75)&amp;"|"&amp;TRIM(I75))</f>
        <v/>
      </c>
      <c r="S75" s="138">
        <f>IF(COUNTIF($R$6:$R$300,R75)&gt;1,"重复","唯一")</f>
        <v/>
      </c>
      <c r="T75" s="138" t="str"/>
      <c r="U75" s="138" t="inlineStr">
        <is>
          <t>待分配</t>
        </is>
      </c>
      <c r="V75" s="303" t="n">
        <v>46224</v>
      </c>
      <c r="W75" s="138" t="inlineStr">
        <is>
          <t>原创/待确认</t>
        </is>
      </c>
      <c r="X75" s="375" t="inlineStr">
        <is>
          <t>—</t>
        </is>
      </c>
      <c r="Y75" s="138" t="inlineStr">
        <is>
          <t>状态变体使用同一 AssetID + state，不复制新命名根</t>
        </is>
      </c>
    </row>
    <row r="76">
      <c r="A76" s="138" t="inlineStr">
        <is>
          <t>PRP-DUNGEON-GATE</t>
        </is>
      </c>
      <c r="B76" s="138" t="inlineStr">
        <is>
          <t>副本入口</t>
        </is>
      </c>
      <c r="C76" s="138" t="inlineStr">
        <is>
          <t>场景道具</t>
        </is>
      </c>
      <c r="D76" s="138" t="inlineStr">
        <is>
          <t>facility</t>
        </is>
      </c>
      <c r="E76" s="138" t="inlineStr">
        <is>
          <t>dungeon_gate</t>
        </is>
      </c>
      <c r="F76" s="138" t="inlineStr">
        <is>
          <t>root</t>
        </is>
      </c>
      <c r="G76" s="138" t="str"/>
      <c r="H76" s="138" t="inlineStr">
        <is>
          <t>顶视</t>
        </is>
      </c>
      <c r="I76" s="138" t="inlineStr">
        <is>
          <t>default</t>
        </is>
      </c>
      <c r="J76" s="138" t="inlineStr">
        <is>
          <t>基地/房间</t>
        </is>
      </c>
      <c r="K76" s="138" t="inlineStr">
        <is>
          <t>程序占位</t>
        </is>
      </c>
      <c r="L76" s="138" t="inlineStr">
        <is>
          <t>P1</t>
        </is>
      </c>
      <c r="M76" s="138" t="inlineStr">
        <is>
          <t>v001</t>
        </is>
      </c>
      <c r="N76" s="138" t="inlineStr">
        <is>
          <t>64 px 网格对齐</t>
        </is>
      </c>
      <c r="O76" s="138" t="str"/>
      <c r="P76" s="138" t="inlineStr">
        <is>
          <t>scenes/BaseWorld.tscn</t>
        </is>
      </c>
      <c r="Q76" s="138" t="str"/>
      <c r="R76" s="138">
        <f>LOWER(TRIM(C76)&amp;"|"&amp;TRIM(D76)&amp;"|"&amp;TRIM(E76)&amp;"|"&amp;TRIM(F76)&amp;"|"&amp;TRIM(H76)&amp;"|"&amp;TRIM(I76))</f>
        <v/>
      </c>
      <c r="S76" s="138">
        <f>IF(COUNTIF($R$6:$R$300,R76)&gt;1,"重复","唯一")</f>
        <v/>
      </c>
      <c r="T76" s="138" t="str"/>
      <c r="U76" s="138" t="inlineStr">
        <is>
          <t>待分配</t>
        </is>
      </c>
      <c r="V76" s="303" t="n">
        <v>46224</v>
      </c>
      <c r="W76" s="138" t="inlineStr">
        <is>
          <t>原创/待确认</t>
        </is>
      </c>
      <c r="X76" s="375" t="inlineStr">
        <is>
          <t>—</t>
        </is>
      </c>
      <c r="Y76" s="138" t="inlineStr">
        <is>
          <t>状态变体使用同一 AssetID + state，不复制新命名根</t>
        </is>
      </c>
    </row>
    <row r="77">
      <c r="A77" s="138" t="inlineStr">
        <is>
          <t>PRP-WORKBENCH</t>
        </is>
      </c>
      <c r="B77" s="138" t="inlineStr">
        <is>
          <t>工作台</t>
        </is>
      </c>
      <c r="C77" s="138" t="inlineStr">
        <is>
          <t>场景道具</t>
        </is>
      </c>
      <c r="D77" s="138" t="inlineStr">
        <is>
          <t>facility</t>
        </is>
      </c>
      <c r="E77" s="138" t="inlineStr">
        <is>
          <t>workbench</t>
        </is>
      </c>
      <c r="F77" s="138" t="inlineStr">
        <is>
          <t>root</t>
        </is>
      </c>
      <c r="G77" s="138" t="str"/>
      <c r="H77" s="138" t="inlineStr">
        <is>
          <t>顶视</t>
        </is>
      </c>
      <c r="I77" s="138" t="inlineStr">
        <is>
          <t>default</t>
        </is>
      </c>
      <c r="J77" s="138" t="inlineStr">
        <is>
          <t>基地/房间</t>
        </is>
      </c>
      <c r="K77" s="138" t="inlineStr">
        <is>
          <t>程序占位</t>
        </is>
      </c>
      <c r="L77" s="138" t="inlineStr">
        <is>
          <t>P1</t>
        </is>
      </c>
      <c r="M77" s="138" t="inlineStr">
        <is>
          <t>v001</t>
        </is>
      </c>
      <c r="N77" s="138" t="inlineStr">
        <is>
          <t>64 px 网格对齐</t>
        </is>
      </c>
      <c r="O77" s="138" t="str"/>
      <c r="P77" s="138" t="inlineStr">
        <is>
          <t>scenes/BaseWorld.tscn</t>
        </is>
      </c>
      <c r="Q77" s="138" t="str"/>
      <c r="R77" s="138">
        <f>LOWER(TRIM(C77)&amp;"|"&amp;TRIM(D77)&amp;"|"&amp;TRIM(E77)&amp;"|"&amp;TRIM(F77)&amp;"|"&amp;TRIM(H77)&amp;"|"&amp;TRIM(I77))</f>
        <v/>
      </c>
      <c r="S77" s="138">
        <f>IF(COUNTIF($R$6:$R$300,R77)&gt;1,"重复","唯一")</f>
        <v/>
      </c>
      <c r="T77" s="138" t="str"/>
      <c r="U77" s="138" t="inlineStr">
        <is>
          <t>待分配</t>
        </is>
      </c>
      <c r="V77" s="303" t="n">
        <v>46224</v>
      </c>
      <c r="W77" s="138" t="inlineStr">
        <is>
          <t>原创/待确认</t>
        </is>
      </c>
      <c r="X77" s="375" t="inlineStr">
        <is>
          <t>—</t>
        </is>
      </c>
      <c r="Y77" s="138" t="inlineStr">
        <is>
          <t>状态变体使用同一 AssetID + state，不复制新命名根</t>
        </is>
      </c>
    </row>
    <row r="78">
      <c r="A78" s="138" t="inlineStr">
        <is>
          <t>PRP-DOOR</t>
        </is>
      </c>
      <c r="B78" s="138" t="inlineStr">
        <is>
          <t>房门</t>
        </is>
      </c>
      <c r="C78" s="138" t="inlineStr">
        <is>
          <t>场景道具</t>
        </is>
      </c>
      <c r="D78" s="138" t="inlineStr">
        <is>
          <t>facility</t>
        </is>
      </c>
      <c r="E78" s="138" t="inlineStr">
        <is>
          <t>door</t>
        </is>
      </c>
      <c r="F78" s="138" t="inlineStr">
        <is>
          <t>root</t>
        </is>
      </c>
      <c r="G78" s="138" t="str"/>
      <c r="H78" s="138" t="inlineStr">
        <is>
          <t>顶视</t>
        </is>
      </c>
      <c r="I78" s="138" t="inlineStr">
        <is>
          <t>default</t>
        </is>
      </c>
      <c r="J78" s="138" t="inlineStr">
        <is>
          <t>基地/房间</t>
        </is>
      </c>
      <c r="K78" s="138" t="inlineStr">
        <is>
          <t>程序占位</t>
        </is>
      </c>
      <c r="L78" s="138" t="inlineStr">
        <is>
          <t>P1</t>
        </is>
      </c>
      <c r="M78" s="138" t="inlineStr">
        <is>
          <t>v001</t>
        </is>
      </c>
      <c r="N78" s="138" t="inlineStr">
        <is>
          <t>64 px 网格对齐</t>
        </is>
      </c>
      <c r="O78" s="138" t="str"/>
      <c r="P78" s="138" t="inlineStr">
        <is>
          <t>scenes/BaseWorld.tscn</t>
        </is>
      </c>
      <c r="Q78" s="138" t="str"/>
      <c r="R78" s="138">
        <f>LOWER(TRIM(C78)&amp;"|"&amp;TRIM(D78)&amp;"|"&amp;TRIM(E78)&amp;"|"&amp;TRIM(F78)&amp;"|"&amp;TRIM(H78)&amp;"|"&amp;TRIM(I78))</f>
        <v/>
      </c>
      <c r="S78" s="138">
        <f>IF(COUNTIF($R$6:$R$300,R78)&gt;1,"重复","唯一")</f>
        <v/>
      </c>
      <c r="T78" s="138" t="str"/>
      <c r="U78" s="138" t="inlineStr">
        <is>
          <t>待分配</t>
        </is>
      </c>
      <c r="V78" s="303" t="n">
        <v>46224</v>
      </c>
      <c r="W78" s="138" t="inlineStr">
        <is>
          <t>原创/待确认</t>
        </is>
      </c>
      <c r="X78" s="375" t="inlineStr">
        <is>
          <t>—</t>
        </is>
      </c>
      <c r="Y78" s="138" t="inlineStr">
        <is>
          <t>状态变体使用同一 AssetID + state，不复制新命名根</t>
        </is>
      </c>
    </row>
    <row r="79" ht="155" customHeight="1">
      <c r="A79" s="304" t="inlineStr">
        <is>
          <t>UI-SCREEN-HUD</t>
        </is>
      </c>
      <c r="B79" s="304" t="inlineStr">
        <is>
          <t>战斗 HUD</t>
        </is>
      </c>
      <c r="C79" s="304" t="inlineStr">
        <is>
          <t>UI</t>
        </is>
      </c>
      <c r="D79" s="304" t="inlineStr">
        <is>
          <t>screen</t>
        </is>
      </c>
      <c r="E79" s="304" t="inlineStr">
        <is>
          <t>hud</t>
        </is>
      </c>
      <c r="F79" s="304" t="inlineStr">
        <is>
          <t>root</t>
        </is>
      </c>
      <c r="G79" s="304" t="str"/>
      <c r="H79" s="304" t="inlineStr">
        <is>
          <t>屏幕空间</t>
        </is>
      </c>
      <c r="I79" s="304" t="inlineStr">
        <is>
          <t>default</t>
        </is>
      </c>
      <c r="J79" s="304" t="inlineStr">
        <is>
          <t>跨分辨率</t>
        </is>
      </c>
      <c r="K79" s="304" t="inlineStr">
        <is>
          <t>原型已接入</t>
        </is>
      </c>
      <c r="L79" s="304" t="inlineStr">
        <is>
          <t>P0</t>
        </is>
      </c>
      <c r="M79" s="304" t="inlineStr">
        <is>
          <t>v002</t>
        </is>
      </c>
      <c r="N79" s="304" t="inlineStr">
        <is>
          <t>1280×720 基准；九宫格/矢量优先</t>
        </is>
      </c>
      <c r="O79" s="304" t="inlineStr">
        <is>
          <t>scenes/Dungeon3D.tscn</t>
        </is>
      </c>
      <c r="P79" s="304" t="inlineStr">
        <is>
          <t>src/ui/GameUIManager.gd</t>
        </is>
      </c>
      <c r="Q79" s="304" t="str"/>
      <c r="R79" s="304">
        <f>LOWER(TRIM(C79)&amp;"|"&amp;TRIM(D79)&amp;"|"&amp;TRIM(E79)&amp;"|"&amp;TRIM(F79)&amp;"|"&amp;TRIM(H79)&amp;"|"&amp;TRIM(I79))</f>
        <v/>
      </c>
      <c r="S79" s="304">
        <f>IF(COUNTIF($R$6:$R$300,R79)&gt;1,"重复","唯一")</f>
        <v/>
      </c>
      <c r="T79" s="304" t="inlineStr">
        <is>
          <t>4e61089a3bcd77427f88f2fde2419ce365f7d42072685db4815f0dc41188934b</t>
        </is>
      </c>
      <c r="U79" s="304" t="inlineStr">
        <is>
          <t>待分配</t>
        </is>
      </c>
      <c r="V79" s="305" t="n">
        <v>46264</v>
      </c>
      <c r="W79" s="304" t="inlineStr">
        <is>
          <t>原创/待确认</t>
        </is>
      </c>
      <c r="X79" s="375" t="inlineStr">
        <is>
          <t>—</t>
        </is>
      </c>
      <c r="Y79" s="304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t>
        </is>
      </c>
    </row>
    <row r="80">
      <c r="A80" s="138" t="inlineStr">
        <is>
          <t>UI-SCREEN-INVENTORY</t>
        </is>
      </c>
      <c r="B80" s="138" t="inlineStr">
        <is>
          <t>背包</t>
        </is>
      </c>
      <c r="C80" s="138" t="inlineStr">
        <is>
          <t>UI</t>
        </is>
      </c>
      <c r="D80" s="138" t="inlineStr">
        <is>
          <t>screen</t>
        </is>
      </c>
      <c r="E80" s="138" t="inlineStr">
        <is>
          <t>inventory</t>
        </is>
      </c>
      <c r="F80" s="138" t="inlineStr">
        <is>
          <t>root</t>
        </is>
      </c>
      <c r="G80" s="138" t="str"/>
      <c r="H80" s="138" t="inlineStr">
        <is>
          <t>屏幕空间</t>
        </is>
      </c>
      <c r="I80" s="138" t="inlineStr">
        <is>
          <t>default</t>
        </is>
      </c>
      <c r="J80" s="138" t="inlineStr">
        <is>
          <t>跨分辨率</t>
        </is>
      </c>
      <c r="K80" s="138" t="inlineStr">
        <is>
          <t>原型已接入</t>
        </is>
      </c>
      <c r="L80" s="138" t="inlineStr">
        <is>
          <t>P0</t>
        </is>
      </c>
      <c r="M80" s="138" t="inlineStr">
        <is>
          <t>v001</t>
        </is>
      </c>
      <c r="N80" s="138" t="inlineStr">
        <is>
          <t>1280×720 基准；九宫格/矢量优先</t>
        </is>
      </c>
      <c r="O80" s="138" t="inlineStr">
        <is>
          <t>src/ui/InventoryUI.gd</t>
        </is>
      </c>
      <c r="P80" s="138" t="inlineStr">
        <is>
          <t>src/ui/InventoryUI.gd</t>
        </is>
      </c>
      <c r="Q80" s="138" t="str"/>
      <c r="R80" s="138">
        <f>LOWER(TRIM(C80)&amp;"|"&amp;TRIM(D80)&amp;"|"&amp;TRIM(E80)&amp;"|"&amp;TRIM(F80)&amp;"|"&amp;TRIM(H80)&amp;"|"&amp;TRIM(I80))</f>
        <v/>
      </c>
      <c r="S80" s="138">
        <f>IF(COUNTIF($R$6:$R$300,R80)&gt;1,"重复","唯一")</f>
        <v/>
      </c>
      <c r="T80" s="138" t="inlineStr">
        <is>
          <t>e2c3f432a5612775615ad87768a934d23f89356b0cde1cd7e5ad666a8d84f6ed</t>
        </is>
      </c>
      <c r="U80" s="138" t="inlineStr">
        <is>
          <t>待分配</t>
        </is>
      </c>
      <c r="V80" s="303" t="n">
        <v>46264</v>
      </c>
      <c r="W80" s="138" t="inlineStr">
        <is>
          <t>原创/待确认</t>
        </is>
      </c>
      <c r="X80" s="375" t="inlineStr">
        <is>
          <t>—</t>
        </is>
      </c>
      <c r="Y80" s="138" t="inlineStr">
        <is>
          <t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t>
        </is>
      </c>
    </row>
    <row r="81">
      <c r="A81" s="138" t="inlineStr">
        <is>
          <t>UI-SCREEN-MERCHANT</t>
        </is>
      </c>
      <c r="B81" s="138" t="inlineStr">
        <is>
          <t>商人</t>
        </is>
      </c>
      <c r="C81" s="138" t="inlineStr">
        <is>
          <t>UI</t>
        </is>
      </c>
      <c r="D81" s="138" t="inlineStr">
        <is>
          <t>screen</t>
        </is>
      </c>
      <c r="E81" s="138" t="inlineStr">
        <is>
          <t>merchant</t>
        </is>
      </c>
      <c r="F81" s="138" t="inlineStr">
        <is>
          <t>root</t>
        </is>
      </c>
      <c r="G81" s="138" t="str"/>
      <c r="H81" s="138" t="inlineStr">
        <is>
          <t>屏幕空间</t>
        </is>
      </c>
      <c r="I81" s="138" t="inlineStr">
        <is>
          <t>default</t>
        </is>
      </c>
      <c r="J81" s="138" t="inlineStr">
        <is>
          <t>跨分辨率</t>
        </is>
      </c>
      <c r="K81" s="138" t="inlineStr">
        <is>
          <t>程序占位</t>
        </is>
      </c>
      <c r="L81" s="138" t="inlineStr">
        <is>
          <t>P2</t>
        </is>
      </c>
      <c r="M81" s="138" t="inlineStr">
        <is>
          <t>v001</t>
        </is>
      </c>
      <c r="N81" s="138" t="inlineStr">
        <is>
          <t>1280×720 基准；九宫格/矢量优先</t>
        </is>
      </c>
      <c r="O81" s="138" t="str"/>
      <c r="P81" s="138" t="inlineStr">
        <is>
          <t>src/ui/MerchantUI.gd</t>
        </is>
      </c>
      <c r="Q81" s="138" t="str"/>
      <c r="R81" s="138">
        <f>LOWER(TRIM(C81)&amp;"|"&amp;TRIM(D81)&amp;"|"&amp;TRIM(E81)&amp;"|"&amp;TRIM(F81)&amp;"|"&amp;TRIM(H81)&amp;"|"&amp;TRIM(I81))</f>
        <v/>
      </c>
      <c r="S81" s="138">
        <f>IF(COUNTIF($R$6:$R$300,R81)&gt;1,"重复","唯一")</f>
        <v/>
      </c>
      <c r="T81" s="138" t="str"/>
      <c r="U81" s="138" t="inlineStr">
        <is>
          <t>待分配</t>
        </is>
      </c>
      <c r="V81" s="303" t="n">
        <v>46224</v>
      </c>
      <c r="W81" s="138" t="inlineStr">
        <is>
          <t>原创/待确认</t>
        </is>
      </c>
      <c r="X81" s="375" t="inlineStr">
        <is>
          <t>—</t>
        </is>
      </c>
      <c r="Y81" s="138" t="inlineStr">
        <is>
          <t>先建组件库，再做页面，避免每页重复画按钮/面板</t>
        </is>
      </c>
    </row>
    <row r="82">
      <c r="A82" s="138" t="inlineStr">
        <is>
          <t>UI-SCREEN-WORKSHOP</t>
        </is>
      </c>
      <c r="B82" s="138" t="inlineStr">
        <is>
          <t>枪械工坊</t>
        </is>
      </c>
      <c r="C82" s="138" t="inlineStr">
        <is>
          <t>UI</t>
        </is>
      </c>
      <c r="D82" s="138" t="inlineStr">
        <is>
          <t>screen</t>
        </is>
      </c>
      <c r="E82" s="138" t="inlineStr">
        <is>
          <t>workshop</t>
        </is>
      </c>
      <c r="F82" s="138" t="inlineStr">
        <is>
          <t>root</t>
        </is>
      </c>
      <c r="G82" s="138" t="str"/>
      <c r="H82" s="138" t="inlineStr">
        <is>
          <t>屏幕空间</t>
        </is>
      </c>
      <c r="I82" s="138" t="inlineStr">
        <is>
          <t>default</t>
        </is>
      </c>
      <c r="J82" s="138" t="inlineStr">
        <is>
          <t>跨分辨率</t>
        </is>
      </c>
      <c r="K82" s="138" t="inlineStr">
        <is>
          <t>程序占位</t>
        </is>
      </c>
      <c r="L82" s="138" t="inlineStr">
        <is>
          <t>P2</t>
        </is>
      </c>
      <c r="M82" s="138" t="inlineStr">
        <is>
          <t>v001</t>
        </is>
      </c>
      <c r="N82" s="138" t="inlineStr">
        <is>
          <t>1280×720 基准；九宫格/矢量优先</t>
        </is>
      </c>
      <c r="O82" s="138" t="str"/>
      <c r="P82" s="138" t="inlineStr">
        <is>
          <t>src/ui/WorkshopMenu.gd</t>
        </is>
      </c>
      <c r="Q82" s="138" t="str"/>
      <c r="R82" s="138">
        <f>LOWER(TRIM(C82)&amp;"|"&amp;TRIM(D82)&amp;"|"&amp;TRIM(E82)&amp;"|"&amp;TRIM(F82)&amp;"|"&amp;TRIM(H82)&amp;"|"&amp;TRIM(I82))</f>
        <v/>
      </c>
      <c r="S82" s="138">
        <f>IF(COUNTIF($R$6:$R$300,R82)&gt;1,"重复","唯一")</f>
        <v/>
      </c>
      <c r="T82" s="138" t="str"/>
      <c r="U82" s="138" t="inlineStr">
        <is>
          <t>待分配</t>
        </is>
      </c>
      <c r="V82" s="303" t="n">
        <v>46224</v>
      </c>
      <c r="W82" s="138" t="inlineStr">
        <is>
          <t>原创/待确认</t>
        </is>
      </c>
      <c r="X82" s="375" t="inlineStr">
        <is>
          <t>—</t>
        </is>
      </c>
      <c r="Y82" s="138" t="inlineStr">
        <is>
          <t>先建组件库，再做页面，避免每页重复画按钮/面板</t>
        </is>
      </c>
    </row>
    <row r="83">
      <c r="A83" s="138" t="inlineStr">
        <is>
          <t>UI-SCREEN-WORKBENCH</t>
        </is>
      </c>
      <c r="B83" s="138" t="inlineStr">
        <is>
          <t>工作台</t>
        </is>
      </c>
      <c r="C83" s="138" t="inlineStr">
        <is>
          <t>UI</t>
        </is>
      </c>
      <c r="D83" s="138" t="inlineStr">
        <is>
          <t>screen</t>
        </is>
      </c>
      <c r="E83" s="138" t="inlineStr">
        <is>
          <t>workbench</t>
        </is>
      </c>
      <c r="F83" s="138" t="inlineStr">
        <is>
          <t>root</t>
        </is>
      </c>
      <c r="G83" s="138" t="str"/>
      <c r="H83" s="138" t="inlineStr">
        <is>
          <t>屏幕空间</t>
        </is>
      </c>
      <c r="I83" s="138" t="inlineStr">
        <is>
          <t>default</t>
        </is>
      </c>
      <c r="J83" s="138" t="inlineStr">
        <is>
          <t>跨分辨率</t>
        </is>
      </c>
      <c r="K83" s="138" t="inlineStr">
        <is>
          <t>程序占位</t>
        </is>
      </c>
      <c r="L83" s="138" t="inlineStr">
        <is>
          <t>P2</t>
        </is>
      </c>
      <c r="M83" s="138" t="inlineStr">
        <is>
          <t>v001</t>
        </is>
      </c>
      <c r="N83" s="138" t="inlineStr">
        <is>
          <t>1280×720 基准；九宫格/矢量优先</t>
        </is>
      </c>
      <c r="O83" s="138" t="str"/>
      <c r="P83" s="138" t="inlineStr">
        <is>
          <t>src/ui/WorkbenchPanel.gd</t>
        </is>
      </c>
      <c r="Q83" s="138" t="str"/>
      <c r="R83" s="138">
        <f>LOWER(TRIM(C83)&amp;"|"&amp;TRIM(D83)&amp;"|"&amp;TRIM(E83)&amp;"|"&amp;TRIM(F83)&amp;"|"&amp;TRIM(H83)&amp;"|"&amp;TRIM(I83))</f>
        <v/>
      </c>
      <c r="S83" s="138">
        <f>IF(COUNTIF($R$6:$R$300,R83)&gt;1,"重复","唯一")</f>
        <v/>
      </c>
      <c r="T83" s="138" t="str"/>
      <c r="U83" s="138" t="inlineStr">
        <is>
          <t>待分配</t>
        </is>
      </c>
      <c r="V83" s="303" t="n">
        <v>46224</v>
      </c>
      <c r="W83" s="138" t="inlineStr">
        <is>
          <t>原创/待确认</t>
        </is>
      </c>
      <c r="X83" s="375" t="inlineStr">
        <is>
          <t>—</t>
        </is>
      </c>
      <c r="Y83" s="138" t="inlineStr">
        <is>
          <t>先建组件库，再做页面，避免每页重复画按钮/面板</t>
        </is>
      </c>
    </row>
    <row r="84">
      <c r="A84" s="138" t="inlineStr">
        <is>
          <t>UI-SCREEN-WEAPON-TREE</t>
        </is>
      </c>
      <c r="B84" s="138" t="inlineStr">
        <is>
          <t>武器装配树</t>
        </is>
      </c>
      <c r="C84" s="138" t="inlineStr">
        <is>
          <t>UI</t>
        </is>
      </c>
      <c r="D84" s="138" t="inlineStr">
        <is>
          <t>screen</t>
        </is>
      </c>
      <c r="E84" s="138" t="inlineStr">
        <is>
          <t>weapon_tree</t>
        </is>
      </c>
      <c r="F84" s="138" t="inlineStr">
        <is>
          <t>root</t>
        </is>
      </c>
      <c r="G84" s="138" t="str"/>
      <c r="H84" s="138" t="inlineStr">
        <is>
          <t>屏幕空间</t>
        </is>
      </c>
      <c r="I84" s="138" t="inlineStr">
        <is>
          <t>default</t>
        </is>
      </c>
      <c r="J84" s="138" t="inlineStr">
        <is>
          <t>跨分辨率</t>
        </is>
      </c>
      <c r="K84" s="138" t="inlineStr">
        <is>
          <t>程序占位</t>
        </is>
      </c>
      <c r="L84" s="138" t="inlineStr">
        <is>
          <t>P2</t>
        </is>
      </c>
      <c r="M84" s="138" t="inlineStr">
        <is>
          <t>v001</t>
        </is>
      </c>
      <c r="N84" s="138" t="inlineStr">
        <is>
          <t>1280×720 基准；九宫格/矢量优先</t>
        </is>
      </c>
      <c r="O84" s="138" t="str"/>
      <c r="P84" s="138" t="inlineStr">
        <is>
          <t>src/ui/WeaponAssemblyTreePanel.gd</t>
        </is>
      </c>
      <c r="Q84" s="138" t="str"/>
      <c r="R84" s="138">
        <f>LOWER(TRIM(C84)&amp;"|"&amp;TRIM(D84)&amp;"|"&amp;TRIM(E84)&amp;"|"&amp;TRIM(F84)&amp;"|"&amp;TRIM(H84)&amp;"|"&amp;TRIM(I84))</f>
        <v/>
      </c>
      <c r="S84" s="138">
        <f>IF(COUNTIF($R$6:$R$300,R84)&gt;1,"重复","唯一")</f>
        <v/>
      </c>
      <c r="T84" s="138" t="str"/>
      <c r="U84" s="138" t="inlineStr">
        <is>
          <t>待分配</t>
        </is>
      </c>
      <c r="V84" s="303" t="n">
        <v>46224</v>
      </c>
      <c r="W84" s="138" t="inlineStr">
        <is>
          <t>原创/待确认</t>
        </is>
      </c>
      <c r="X84" s="375" t="inlineStr">
        <is>
          <t>—</t>
        </is>
      </c>
      <c r="Y84" s="138" t="inlineStr">
        <is>
          <t>先建组件库，再做页面，避免每页重复画按钮/面板</t>
        </is>
      </c>
    </row>
    <row r="85">
      <c r="A85" s="138" t="inlineStr">
        <is>
          <t>UI-SCREEN-FATE-SELECT</t>
        </is>
      </c>
      <c r="B85" s="138" t="inlineStr">
        <is>
          <t>命运卡选择</t>
        </is>
      </c>
      <c r="C85" s="138" t="inlineStr">
        <is>
          <t>UI</t>
        </is>
      </c>
      <c r="D85" s="138" t="inlineStr">
        <is>
          <t>screen</t>
        </is>
      </c>
      <c r="E85" s="138" t="inlineStr">
        <is>
          <t>fate_select</t>
        </is>
      </c>
      <c r="F85" s="138" t="inlineStr">
        <is>
          <t>root</t>
        </is>
      </c>
      <c r="G85" s="138" t="str"/>
      <c r="H85" s="138" t="inlineStr">
        <is>
          <t>屏幕空间</t>
        </is>
      </c>
      <c r="I85" s="138" t="inlineStr">
        <is>
          <t>default</t>
        </is>
      </c>
      <c r="J85" s="138" t="inlineStr">
        <is>
          <t>跨分辨率</t>
        </is>
      </c>
      <c r="K85" s="138" t="inlineStr">
        <is>
          <t>程序占位</t>
        </is>
      </c>
      <c r="L85" s="138" t="inlineStr">
        <is>
          <t>P2</t>
        </is>
      </c>
      <c r="M85" s="138" t="inlineStr">
        <is>
          <t>v001</t>
        </is>
      </c>
      <c r="N85" s="138" t="inlineStr">
        <is>
          <t>1280×720 基准；九宫格/矢量优先</t>
        </is>
      </c>
      <c r="O85" s="138" t="str"/>
      <c r="P85" s="138" t="inlineStr">
        <is>
          <t>src/ui/FateCardUIController.gd</t>
        </is>
      </c>
      <c r="Q85" s="138" t="str"/>
      <c r="R85" s="138">
        <f>LOWER(TRIM(C85)&amp;"|"&amp;TRIM(D85)&amp;"|"&amp;TRIM(E85)&amp;"|"&amp;TRIM(F85)&amp;"|"&amp;TRIM(H85)&amp;"|"&amp;TRIM(I85))</f>
        <v/>
      </c>
      <c r="S85" s="138">
        <f>IF(COUNTIF($R$6:$R$300,R85)&gt;1,"重复","唯一")</f>
        <v/>
      </c>
      <c r="T85" s="138" t="str"/>
      <c r="U85" s="138" t="inlineStr">
        <is>
          <t>待分配</t>
        </is>
      </c>
      <c r="V85" s="303" t="n">
        <v>46224</v>
      </c>
      <c r="W85" s="138" t="inlineStr">
        <is>
          <t>原创/待确认</t>
        </is>
      </c>
      <c r="X85" s="375" t="inlineStr">
        <is>
          <t>—</t>
        </is>
      </c>
      <c r="Y85" s="138" t="inlineStr">
        <is>
          <t>先建组件库，再做页面，避免每页重复画按钮/面板</t>
        </is>
      </c>
    </row>
    <row r="86">
      <c r="A86" s="138" t="inlineStr">
        <is>
          <t>UI-SCREEN-FATE-COLLECTION</t>
        </is>
      </c>
      <c r="B86" s="138" t="inlineStr">
        <is>
          <t>命运卡收藏</t>
        </is>
      </c>
      <c r="C86" s="138" t="inlineStr">
        <is>
          <t>UI</t>
        </is>
      </c>
      <c r="D86" s="138" t="inlineStr">
        <is>
          <t>screen</t>
        </is>
      </c>
      <c r="E86" s="138" t="inlineStr">
        <is>
          <t>fate_collection</t>
        </is>
      </c>
      <c r="F86" s="138" t="inlineStr">
        <is>
          <t>root</t>
        </is>
      </c>
      <c r="G86" s="138" t="str"/>
      <c r="H86" s="138" t="inlineStr">
        <is>
          <t>屏幕空间</t>
        </is>
      </c>
      <c r="I86" s="138" t="inlineStr">
        <is>
          <t>default</t>
        </is>
      </c>
      <c r="J86" s="138" t="inlineStr">
        <is>
          <t>跨分辨率</t>
        </is>
      </c>
      <c r="K86" s="138" t="inlineStr">
        <is>
          <t>程序占位</t>
        </is>
      </c>
      <c r="L86" s="138" t="inlineStr">
        <is>
          <t>P2</t>
        </is>
      </c>
      <c r="M86" s="138" t="inlineStr">
        <is>
          <t>v001</t>
        </is>
      </c>
      <c r="N86" s="138" t="inlineStr">
        <is>
          <t>1280×720 基准；九宫格/矢量优先</t>
        </is>
      </c>
      <c r="O86" s="138" t="str"/>
      <c r="P86" s="138" t="inlineStr">
        <is>
          <t>src/ui/FateCardCollectionMenu.gd</t>
        </is>
      </c>
      <c r="Q86" s="138" t="str"/>
      <c r="R86" s="138">
        <f>LOWER(TRIM(C86)&amp;"|"&amp;TRIM(D86)&amp;"|"&amp;TRIM(E86)&amp;"|"&amp;TRIM(F86)&amp;"|"&amp;TRIM(H86)&amp;"|"&amp;TRIM(I86))</f>
        <v/>
      </c>
      <c r="S86" s="138">
        <f>IF(COUNTIF($R$6:$R$300,R86)&gt;1,"重复","唯一")</f>
        <v/>
      </c>
      <c r="T86" s="138" t="str"/>
      <c r="U86" s="138" t="inlineStr">
        <is>
          <t>待分配</t>
        </is>
      </c>
      <c r="V86" s="303" t="n">
        <v>46224</v>
      </c>
      <c r="W86" s="138" t="inlineStr">
        <is>
          <t>原创/待确认</t>
        </is>
      </c>
      <c r="X86" s="375" t="inlineStr">
        <is>
          <t>—</t>
        </is>
      </c>
      <c r="Y86" s="138" t="inlineStr">
        <is>
          <t>先建组件库，再做页面，避免每页重复画按钮/面板</t>
        </is>
      </c>
    </row>
    <row r="87">
      <c r="A87" s="138" t="inlineStr">
        <is>
          <t>UI-SCREEN-LEVEL-SELECT</t>
        </is>
      </c>
      <c r="B87" s="138" t="inlineStr">
        <is>
          <t>关卡选择</t>
        </is>
      </c>
      <c r="C87" s="138" t="inlineStr">
        <is>
          <t>UI</t>
        </is>
      </c>
      <c r="D87" s="138" t="inlineStr">
        <is>
          <t>screen</t>
        </is>
      </c>
      <c r="E87" s="138" t="inlineStr">
        <is>
          <t>level_select</t>
        </is>
      </c>
      <c r="F87" s="138" t="inlineStr">
        <is>
          <t>root</t>
        </is>
      </c>
      <c r="G87" s="138" t="str"/>
      <c r="H87" s="138" t="inlineStr">
        <is>
          <t>屏幕空间</t>
        </is>
      </c>
      <c r="I87" s="138" t="inlineStr">
        <is>
          <t>default</t>
        </is>
      </c>
      <c r="J87" s="138" t="inlineStr">
        <is>
          <t>跨分辨率</t>
        </is>
      </c>
      <c r="K87" s="138" t="inlineStr">
        <is>
          <t>程序占位</t>
        </is>
      </c>
      <c r="L87" s="138" t="inlineStr">
        <is>
          <t>P2</t>
        </is>
      </c>
      <c r="M87" s="138" t="inlineStr">
        <is>
          <t>v001</t>
        </is>
      </c>
      <c r="N87" s="138" t="inlineStr">
        <is>
          <t>1280×720 基准；九宫格/矢量优先</t>
        </is>
      </c>
      <c r="O87" s="138" t="str"/>
      <c r="P87" s="138" t="inlineStr">
        <is>
          <t>src/ui/LevelSelectMenu.gd</t>
        </is>
      </c>
      <c r="Q87" s="138" t="str"/>
      <c r="R87" s="138">
        <f>LOWER(TRIM(C87)&amp;"|"&amp;TRIM(D87)&amp;"|"&amp;TRIM(E87)&amp;"|"&amp;TRIM(F87)&amp;"|"&amp;TRIM(H87)&amp;"|"&amp;TRIM(I87))</f>
        <v/>
      </c>
      <c r="S87" s="138">
        <f>IF(COUNTIF($R$6:$R$300,R87)&gt;1,"重复","唯一")</f>
        <v/>
      </c>
      <c r="T87" s="138" t="str"/>
      <c r="U87" s="138" t="inlineStr">
        <is>
          <t>待分配</t>
        </is>
      </c>
      <c r="V87" s="303" t="n">
        <v>46224</v>
      </c>
      <c r="W87" s="138" t="inlineStr">
        <is>
          <t>原创/待确认</t>
        </is>
      </c>
      <c r="X87" s="375" t="inlineStr">
        <is>
          <t>—</t>
        </is>
      </c>
      <c r="Y87" s="138" t="inlineStr">
        <is>
          <t>先建组件库，再做页面，避免每页重复画按钮/面板</t>
        </is>
      </c>
    </row>
    <row r="88">
      <c r="A88" s="138" t="inlineStr">
        <is>
          <t>UI-SCREEN-VAULT</t>
        </is>
      </c>
      <c r="B88" s="138" t="inlineStr">
        <is>
          <t>保险柜</t>
        </is>
      </c>
      <c r="C88" s="138" t="inlineStr">
        <is>
          <t>UI</t>
        </is>
      </c>
      <c r="D88" s="138" t="inlineStr">
        <is>
          <t>screen</t>
        </is>
      </c>
      <c r="E88" s="138" t="inlineStr">
        <is>
          <t>vault</t>
        </is>
      </c>
      <c r="F88" s="138" t="inlineStr">
        <is>
          <t>root</t>
        </is>
      </c>
      <c r="G88" s="138" t="str"/>
      <c r="H88" s="138" t="inlineStr">
        <is>
          <t>屏幕空间</t>
        </is>
      </c>
      <c r="I88" s="138" t="inlineStr">
        <is>
          <t>default</t>
        </is>
      </c>
      <c r="J88" s="138" t="inlineStr">
        <is>
          <t>跨分辨率</t>
        </is>
      </c>
      <c r="K88" s="138" t="inlineStr">
        <is>
          <t>程序占位</t>
        </is>
      </c>
      <c r="L88" s="138" t="inlineStr">
        <is>
          <t>P2</t>
        </is>
      </c>
      <c r="M88" s="138" t="inlineStr">
        <is>
          <t>v001</t>
        </is>
      </c>
      <c r="N88" s="138" t="inlineStr">
        <is>
          <t>1280×720 基准；九宫格/矢量优先</t>
        </is>
      </c>
      <c r="O88" s="138" t="str"/>
      <c r="P88" s="138" t="inlineStr">
        <is>
          <t>src/ui/VaultMenu.gd</t>
        </is>
      </c>
      <c r="Q88" s="138" t="str"/>
      <c r="R88" s="138">
        <f>LOWER(TRIM(C88)&amp;"|"&amp;TRIM(D88)&amp;"|"&amp;TRIM(E88)&amp;"|"&amp;TRIM(F88)&amp;"|"&amp;TRIM(H88)&amp;"|"&amp;TRIM(I88))</f>
        <v/>
      </c>
      <c r="S88" s="138">
        <f>IF(COUNTIF($R$6:$R$300,R88)&gt;1,"重复","唯一")</f>
        <v/>
      </c>
      <c r="T88" s="138" t="str"/>
      <c r="U88" s="138" t="inlineStr">
        <is>
          <t>待分配</t>
        </is>
      </c>
      <c r="V88" s="303" t="n">
        <v>46224</v>
      </c>
      <c r="W88" s="138" t="inlineStr">
        <is>
          <t>原创/待确认</t>
        </is>
      </c>
      <c r="X88" s="375" t="inlineStr">
        <is>
          <t>—</t>
        </is>
      </c>
      <c r="Y88" s="138" t="inlineStr">
        <is>
          <t>先建组件库，再做页面，避免每页重复画按钮/面板</t>
        </is>
      </c>
    </row>
    <row r="89">
      <c r="A89" s="138" t="inlineStr">
        <is>
          <t>UI-SCREEN-MONSTER-ARCHIVE</t>
        </is>
      </c>
      <c r="B89" s="138" t="inlineStr">
        <is>
          <t>怪物档案</t>
        </is>
      </c>
      <c r="C89" s="138" t="inlineStr">
        <is>
          <t>UI</t>
        </is>
      </c>
      <c r="D89" s="138" t="inlineStr">
        <is>
          <t>screen</t>
        </is>
      </c>
      <c r="E89" s="138" t="inlineStr">
        <is>
          <t>monster_archive</t>
        </is>
      </c>
      <c r="F89" s="138" t="inlineStr">
        <is>
          <t>root</t>
        </is>
      </c>
      <c r="G89" s="138" t="str"/>
      <c r="H89" s="138" t="inlineStr">
        <is>
          <t>屏幕空间</t>
        </is>
      </c>
      <c r="I89" s="138" t="inlineStr">
        <is>
          <t>default</t>
        </is>
      </c>
      <c r="J89" s="138" t="inlineStr">
        <is>
          <t>跨分辨率</t>
        </is>
      </c>
      <c r="K89" s="138" t="inlineStr">
        <is>
          <t>程序占位</t>
        </is>
      </c>
      <c r="L89" s="138" t="inlineStr">
        <is>
          <t>P2</t>
        </is>
      </c>
      <c r="M89" s="138" t="inlineStr">
        <is>
          <t>v001</t>
        </is>
      </c>
      <c r="N89" s="138" t="inlineStr">
        <is>
          <t>1280×720 基准；九宫格/矢量优先</t>
        </is>
      </c>
      <c r="O89" s="138" t="str"/>
      <c r="P89" s="138" t="inlineStr">
        <is>
          <t>src/ui/MonsterArchiveMenu.gd</t>
        </is>
      </c>
      <c r="Q89" s="138" t="str"/>
      <c r="R89" s="138">
        <f>LOWER(TRIM(C89)&amp;"|"&amp;TRIM(D89)&amp;"|"&amp;TRIM(E89)&amp;"|"&amp;TRIM(F89)&amp;"|"&amp;TRIM(H89)&amp;"|"&amp;TRIM(I89))</f>
        <v/>
      </c>
      <c r="S89" s="138">
        <f>IF(COUNTIF($R$6:$R$300,R89)&gt;1,"重复","唯一")</f>
        <v/>
      </c>
      <c r="T89" s="138" t="str"/>
      <c r="U89" s="138" t="inlineStr">
        <is>
          <t>待分配</t>
        </is>
      </c>
      <c r="V89" s="303" t="n">
        <v>46224</v>
      </c>
      <c r="W89" s="138" t="inlineStr">
        <is>
          <t>原创/待确认</t>
        </is>
      </c>
      <c r="X89" s="375" t="inlineStr">
        <is>
          <t>—</t>
        </is>
      </c>
      <c r="Y89" s="138" t="inlineStr">
        <is>
          <t>先建组件库，再做页面，避免每页重复画按钮/面板</t>
        </is>
      </c>
    </row>
    <row r="90">
      <c r="A90" s="138" t="inlineStr">
        <is>
          <t>UI-SCREEN-BASE-MENU</t>
        </is>
      </c>
      <c r="B90" s="138" t="inlineStr">
        <is>
          <t>基地菜单</t>
        </is>
      </c>
      <c r="C90" s="138" t="inlineStr">
        <is>
          <t>UI</t>
        </is>
      </c>
      <c r="D90" s="138" t="inlineStr">
        <is>
          <t>screen</t>
        </is>
      </c>
      <c r="E90" s="138" t="inlineStr">
        <is>
          <t>base_menu</t>
        </is>
      </c>
      <c r="F90" s="138" t="inlineStr">
        <is>
          <t>root</t>
        </is>
      </c>
      <c r="G90" s="138" t="str"/>
      <c r="H90" s="138" t="inlineStr">
        <is>
          <t>屏幕空间</t>
        </is>
      </c>
      <c r="I90" s="138" t="inlineStr">
        <is>
          <t>default</t>
        </is>
      </c>
      <c r="J90" s="138" t="inlineStr">
        <is>
          <t>跨分辨率</t>
        </is>
      </c>
      <c r="K90" s="138" t="inlineStr">
        <is>
          <t>程序占位</t>
        </is>
      </c>
      <c r="L90" s="138" t="inlineStr">
        <is>
          <t>P2</t>
        </is>
      </c>
      <c r="M90" s="138" t="inlineStr">
        <is>
          <t>v001</t>
        </is>
      </c>
      <c r="N90" s="138" t="inlineStr">
        <is>
          <t>1280×720 基准；九宫格/矢量优先</t>
        </is>
      </c>
      <c r="O90" s="138" t="str"/>
      <c r="P90" s="138" t="inlineStr">
        <is>
          <t>src/ui/BaseMenu.gd</t>
        </is>
      </c>
      <c r="Q90" s="138" t="str"/>
      <c r="R90" s="138">
        <f>LOWER(TRIM(C90)&amp;"|"&amp;TRIM(D90)&amp;"|"&amp;TRIM(E90)&amp;"|"&amp;TRIM(F90)&amp;"|"&amp;TRIM(H90)&amp;"|"&amp;TRIM(I90))</f>
        <v/>
      </c>
      <c r="S90" s="138">
        <f>IF(COUNTIF($R$6:$R$300,R90)&gt;1,"重复","唯一")</f>
        <v/>
      </c>
      <c r="T90" s="138" t="str"/>
      <c r="U90" s="138" t="inlineStr">
        <is>
          <t>待分配</t>
        </is>
      </c>
      <c r="V90" s="303" t="n">
        <v>46224</v>
      </c>
      <c r="W90" s="138" t="inlineStr">
        <is>
          <t>原创/待确认</t>
        </is>
      </c>
      <c r="X90" s="375" t="inlineStr">
        <is>
          <t>—</t>
        </is>
      </c>
      <c r="Y90" s="138" t="inlineStr">
        <is>
          <t>先建组件库，再做页面，避免每页重复画按钮/面板</t>
        </is>
      </c>
    </row>
    <row r="91">
      <c r="A91" s="138" t="inlineStr">
        <is>
          <t>UI-SCREEN-MOBILE-CONTROLS</t>
        </is>
      </c>
      <c r="B91" s="138" t="inlineStr">
        <is>
          <t>移动端控制</t>
        </is>
      </c>
      <c r="C91" s="138" t="inlineStr">
        <is>
          <t>UI</t>
        </is>
      </c>
      <c r="D91" s="138" t="inlineStr">
        <is>
          <t>screen</t>
        </is>
      </c>
      <c r="E91" s="138" t="inlineStr">
        <is>
          <t>mobile_controls</t>
        </is>
      </c>
      <c r="F91" s="138" t="inlineStr">
        <is>
          <t>root</t>
        </is>
      </c>
      <c r="G91" s="138" t="str"/>
      <c r="H91" s="138" t="inlineStr">
        <is>
          <t>屏幕空间</t>
        </is>
      </c>
      <c r="I91" s="138" t="inlineStr">
        <is>
          <t>default</t>
        </is>
      </c>
      <c r="J91" s="138" t="inlineStr">
        <is>
          <t>跨分辨率</t>
        </is>
      </c>
      <c r="K91" s="138" t="inlineStr">
        <is>
          <t>程序占位</t>
        </is>
      </c>
      <c r="L91" s="138" t="inlineStr">
        <is>
          <t>P2</t>
        </is>
      </c>
      <c r="M91" s="138" t="inlineStr">
        <is>
          <t>v001</t>
        </is>
      </c>
      <c r="N91" s="138" t="inlineStr">
        <is>
          <t>1280×720 基准；九宫格/矢量优先</t>
        </is>
      </c>
      <c r="O91" s="138" t="str"/>
      <c r="P91" s="138" t="inlineStr">
        <is>
          <t>src/ui/MobileControls.gd</t>
        </is>
      </c>
      <c r="Q91" s="138" t="str"/>
      <c r="R91" s="138">
        <f>LOWER(TRIM(C91)&amp;"|"&amp;TRIM(D91)&amp;"|"&amp;TRIM(E91)&amp;"|"&amp;TRIM(F91)&amp;"|"&amp;TRIM(H91)&amp;"|"&amp;TRIM(I91))</f>
        <v/>
      </c>
      <c r="S91" s="138">
        <f>IF(COUNTIF($R$6:$R$300,R91)&gt;1,"重复","唯一")</f>
        <v/>
      </c>
      <c r="T91" s="138" t="str"/>
      <c r="U91" s="138" t="inlineStr">
        <is>
          <t>待分配</t>
        </is>
      </c>
      <c r="V91" s="303" t="n">
        <v>46224</v>
      </c>
      <c r="W91" s="138" t="inlineStr">
        <is>
          <t>原创/待确认</t>
        </is>
      </c>
      <c r="X91" s="375" t="inlineStr">
        <is>
          <t>—</t>
        </is>
      </c>
      <c r="Y91" s="138" t="inlineStr">
        <is>
          <t>先建组件库，再做页面，避免每页重复画按钮/面板</t>
        </is>
      </c>
    </row>
    <row r="92">
      <c r="A92" s="138" t="inlineStr">
        <is>
          <t>VFX-EXPLOSION</t>
        </is>
      </c>
      <c r="B92" s="138" t="inlineStr">
        <is>
          <t>爆炸</t>
        </is>
      </c>
      <c r="C92" s="138" t="inlineStr">
        <is>
          <t>特效</t>
        </is>
      </c>
      <c r="D92" s="138" t="inlineStr">
        <is>
          <t>gameplay_vfx</t>
        </is>
      </c>
      <c r="E92" s="138" t="inlineStr">
        <is>
          <t>explosion</t>
        </is>
      </c>
      <c r="F92" s="138" t="inlineStr">
        <is>
          <t>root</t>
        </is>
      </c>
      <c r="G92" s="138" t="str"/>
      <c r="H92" s="138" t="inlineStr">
        <is>
          <t>顶视/屏幕空间</t>
        </is>
      </c>
      <c r="I92" s="138" t="inlineStr">
        <is>
          <t>default</t>
        </is>
      </c>
      <c r="J92" s="138" t="inlineStr">
        <is>
          <t>跨武器/跨场景</t>
        </is>
      </c>
      <c r="K92" s="138" t="inlineStr">
        <is>
          <t>程序占位</t>
        </is>
      </c>
      <c r="L92" s="138" t="inlineStr">
        <is>
          <t>P1</t>
        </is>
      </c>
      <c r="M92" s="138" t="inlineStr">
        <is>
          <t>v001</t>
        </is>
      </c>
      <c r="N92" s="138" t="inlineStr">
        <is>
          <t>粒子或 8–16 帧序列</t>
        </is>
      </c>
      <c r="O92" s="138" t="str"/>
      <c r="P92" s="138" t="inlineStr">
        <is>
          <t>scenes/ExplosionEffect.tscn</t>
        </is>
      </c>
      <c r="Q92" s="138" t="str"/>
      <c r="R92" s="138">
        <f>LOWER(TRIM(C92)&amp;"|"&amp;TRIM(D92)&amp;"|"&amp;TRIM(E92)&amp;"|"&amp;TRIM(F92)&amp;"|"&amp;TRIM(H92)&amp;"|"&amp;TRIM(I92))</f>
        <v/>
      </c>
      <c r="S92" s="138">
        <f>IF(COUNTIF($R$6:$R$300,R92)&gt;1,"重复","唯一")</f>
        <v/>
      </c>
      <c r="T92" s="138" t="str"/>
      <c r="U92" s="138" t="inlineStr">
        <is>
          <t>待分配</t>
        </is>
      </c>
      <c r="V92" s="303" t="n">
        <v>46224</v>
      </c>
      <c r="W92" s="138" t="inlineStr">
        <is>
          <t>原创/待确认</t>
        </is>
      </c>
      <c r="X92" s="375" t="inlineStr">
        <is>
          <t>—</t>
        </is>
      </c>
      <c r="Y92" s="138" t="inlineStr">
        <is>
          <t>颜色/尺寸作参数变体，禁止复制整套</t>
        </is>
      </c>
    </row>
    <row r="93">
      <c r="A93" s="138" t="inlineStr">
        <is>
          <t>VFX-MUZZLE-FLASH</t>
        </is>
      </c>
      <c r="B93" s="138" t="inlineStr">
        <is>
          <t>枪口火焰</t>
        </is>
      </c>
      <c r="C93" s="138" t="inlineStr">
        <is>
          <t>特效</t>
        </is>
      </c>
      <c r="D93" s="138" t="inlineStr">
        <is>
          <t>gameplay_vfx</t>
        </is>
      </c>
      <c r="E93" s="138" t="inlineStr">
        <is>
          <t>muzzle_flash</t>
        </is>
      </c>
      <c r="F93" s="138" t="inlineStr">
        <is>
          <t>root</t>
        </is>
      </c>
      <c r="G93" s="138" t="str"/>
      <c r="H93" s="138" t="inlineStr">
        <is>
          <t>顶视/屏幕空间</t>
        </is>
      </c>
      <c r="I93" s="138" t="inlineStr">
        <is>
          <t>default</t>
        </is>
      </c>
      <c r="J93" s="138" t="inlineStr">
        <is>
          <t>跨武器/跨场景</t>
        </is>
      </c>
      <c r="K93" s="138" t="inlineStr">
        <is>
          <t>程序占位</t>
        </is>
      </c>
      <c r="L93" s="138" t="inlineStr">
        <is>
          <t>P1</t>
        </is>
      </c>
      <c r="M93" s="138" t="inlineStr">
        <is>
          <t>v001</t>
        </is>
      </c>
      <c r="N93" s="138" t="inlineStr">
        <is>
          <t>粒子或 8–16 帧序列</t>
        </is>
      </c>
      <c r="O93" s="138" t="str"/>
      <c r="P93" s="138" t="inlineStr">
        <is>
          <t>src/weapon/WeaponDisplay.gd</t>
        </is>
      </c>
      <c r="Q93" s="138" t="str"/>
      <c r="R93" s="138">
        <f>LOWER(TRIM(C93)&amp;"|"&amp;TRIM(D93)&amp;"|"&amp;TRIM(E93)&amp;"|"&amp;TRIM(F93)&amp;"|"&amp;TRIM(H93)&amp;"|"&amp;TRIM(I93))</f>
        <v/>
      </c>
      <c r="S93" s="138">
        <f>IF(COUNTIF($R$6:$R$300,R93)&gt;1,"重复","唯一")</f>
        <v/>
      </c>
      <c r="T93" s="138" t="str"/>
      <c r="U93" s="138" t="inlineStr">
        <is>
          <t>待分配</t>
        </is>
      </c>
      <c r="V93" s="303" t="n">
        <v>46224</v>
      </c>
      <c r="W93" s="138" t="inlineStr">
        <is>
          <t>原创/待确认</t>
        </is>
      </c>
      <c r="X93" s="375" t="inlineStr">
        <is>
          <t>—</t>
        </is>
      </c>
      <c r="Y93" s="138" t="inlineStr">
        <is>
          <t>颜色/尺寸作参数变体，禁止复制整套</t>
        </is>
      </c>
    </row>
    <row r="94">
      <c r="A94" s="138" t="inlineStr">
        <is>
          <t>VFX-DAMAGE-NUMBER</t>
        </is>
      </c>
      <c r="B94" s="138" t="inlineStr">
        <is>
          <t>伤害数字</t>
        </is>
      </c>
      <c r="C94" s="138" t="inlineStr">
        <is>
          <t>特效</t>
        </is>
      </c>
      <c r="D94" s="138" t="inlineStr">
        <is>
          <t>gameplay_vfx</t>
        </is>
      </c>
      <c r="E94" s="138" t="inlineStr">
        <is>
          <t>damage_number</t>
        </is>
      </c>
      <c r="F94" s="138" t="inlineStr">
        <is>
          <t>root</t>
        </is>
      </c>
      <c r="G94" s="138" t="str"/>
      <c r="H94" s="138" t="inlineStr">
        <is>
          <t>顶视/屏幕空间</t>
        </is>
      </c>
      <c r="I94" s="138" t="inlineStr">
        <is>
          <t>default</t>
        </is>
      </c>
      <c r="J94" s="138" t="inlineStr">
        <is>
          <t>跨武器/跨场景</t>
        </is>
      </c>
      <c r="K94" s="138" t="inlineStr">
        <is>
          <t>程序占位</t>
        </is>
      </c>
      <c r="L94" s="138" t="inlineStr">
        <is>
          <t>P2</t>
        </is>
      </c>
      <c r="M94" s="138" t="inlineStr">
        <is>
          <t>v001</t>
        </is>
      </c>
      <c r="N94" s="138" t="inlineStr">
        <is>
          <t>粒子或 8–16 帧序列</t>
        </is>
      </c>
      <c r="O94" s="138" t="str"/>
      <c r="P94" s="138" t="inlineStr">
        <is>
          <t>scenes/DamageNumber.tscn</t>
        </is>
      </c>
      <c r="Q94" s="138" t="str"/>
      <c r="R94" s="138">
        <f>LOWER(TRIM(C94)&amp;"|"&amp;TRIM(D94)&amp;"|"&amp;TRIM(E94)&amp;"|"&amp;TRIM(F94)&amp;"|"&amp;TRIM(H94)&amp;"|"&amp;TRIM(I94))</f>
        <v/>
      </c>
      <c r="S94" s="138">
        <f>IF(COUNTIF($R$6:$R$300,R94)&gt;1,"重复","唯一")</f>
        <v/>
      </c>
      <c r="T94" s="138" t="str"/>
      <c r="U94" s="138" t="inlineStr">
        <is>
          <t>待分配</t>
        </is>
      </c>
      <c r="V94" s="303" t="n">
        <v>46224</v>
      </c>
      <c r="W94" s="138" t="inlineStr">
        <is>
          <t>原创/待确认</t>
        </is>
      </c>
      <c r="X94" s="375" t="inlineStr">
        <is>
          <t>—</t>
        </is>
      </c>
      <c r="Y94" s="138" t="inlineStr">
        <is>
          <t>颜色/尺寸作参数变体，禁止复制整套</t>
        </is>
      </c>
    </row>
    <row r="95">
      <c r="A95" s="138" t="inlineStr">
        <is>
          <t>VFX-SPARK</t>
        </is>
      </c>
      <c r="B95" s="138" t="inlineStr">
        <is>
          <t>火花</t>
        </is>
      </c>
      <c r="C95" s="138" t="inlineStr">
        <is>
          <t>特效</t>
        </is>
      </c>
      <c r="D95" s="138" t="inlineStr">
        <is>
          <t>gameplay_vfx</t>
        </is>
      </c>
      <c r="E95" s="138" t="inlineStr">
        <is>
          <t>spark</t>
        </is>
      </c>
      <c r="F95" s="138" t="inlineStr">
        <is>
          <t>root</t>
        </is>
      </c>
      <c r="G95" s="138" t="str"/>
      <c r="H95" s="138" t="inlineStr">
        <is>
          <t>顶视/屏幕空间</t>
        </is>
      </c>
      <c r="I95" s="138" t="inlineStr">
        <is>
          <t>default</t>
        </is>
      </c>
      <c r="J95" s="138" t="inlineStr">
        <is>
          <t>跨武器/跨场景</t>
        </is>
      </c>
      <c r="K95" s="138" t="inlineStr">
        <is>
          <t>程序占位</t>
        </is>
      </c>
      <c r="L95" s="138" t="inlineStr">
        <is>
          <t>P2</t>
        </is>
      </c>
      <c r="M95" s="138" t="inlineStr">
        <is>
          <t>v001</t>
        </is>
      </c>
      <c r="N95" s="138" t="inlineStr">
        <is>
          <t>粒子或 8–16 帧序列</t>
        </is>
      </c>
      <c r="O95" s="138" t="str"/>
      <c r="P95" s="138" t="inlineStr">
        <is>
          <t>src/fx/SparkParticles.gd</t>
        </is>
      </c>
      <c r="Q95" s="138" t="str"/>
      <c r="R95" s="138">
        <f>LOWER(TRIM(C95)&amp;"|"&amp;TRIM(D95)&amp;"|"&amp;TRIM(E95)&amp;"|"&amp;TRIM(F95)&amp;"|"&amp;TRIM(H95)&amp;"|"&amp;TRIM(I95))</f>
        <v/>
      </c>
      <c r="S95" s="138">
        <f>IF(COUNTIF($R$6:$R$300,R95)&gt;1,"重复","唯一")</f>
        <v/>
      </c>
      <c r="T95" s="138" t="str"/>
      <c r="U95" s="138" t="inlineStr">
        <is>
          <t>待分配</t>
        </is>
      </c>
      <c r="V95" s="303" t="n">
        <v>46224</v>
      </c>
      <c r="W95" s="138" t="inlineStr">
        <is>
          <t>原创/待确认</t>
        </is>
      </c>
      <c r="X95" s="375" t="inlineStr">
        <is>
          <t>—</t>
        </is>
      </c>
      <c r="Y95" s="138" t="inlineStr">
        <is>
          <t>颜色/尺寸作参数变体，禁止复制整套</t>
        </is>
      </c>
    </row>
    <row r="96">
      <c r="A96" s="138" t="inlineStr">
        <is>
          <t>VFX-ROOM-TRANSITION</t>
        </is>
      </c>
      <c r="B96" s="138" t="inlineStr">
        <is>
          <t>房间转场</t>
        </is>
      </c>
      <c r="C96" s="138" t="inlineStr">
        <is>
          <t>特效</t>
        </is>
      </c>
      <c r="D96" s="138" t="inlineStr">
        <is>
          <t>gameplay_vfx</t>
        </is>
      </c>
      <c r="E96" s="138" t="inlineStr">
        <is>
          <t>room_transition</t>
        </is>
      </c>
      <c r="F96" s="138" t="inlineStr">
        <is>
          <t>root</t>
        </is>
      </c>
      <c r="G96" s="138" t="str"/>
      <c r="H96" s="138" t="inlineStr">
        <is>
          <t>顶视/屏幕空间</t>
        </is>
      </c>
      <c r="I96" s="138" t="inlineStr">
        <is>
          <t>default</t>
        </is>
      </c>
      <c r="J96" s="138" t="inlineStr">
        <is>
          <t>跨武器/跨场景</t>
        </is>
      </c>
      <c r="K96" s="138" t="inlineStr">
        <is>
          <t>程序占位</t>
        </is>
      </c>
      <c r="L96" s="138" t="inlineStr">
        <is>
          <t>P2</t>
        </is>
      </c>
      <c r="M96" s="138" t="inlineStr">
        <is>
          <t>v001</t>
        </is>
      </c>
      <c r="N96" s="138" t="inlineStr">
        <is>
          <t>粒子或 8–16 帧序列</t>
        </is>
      </c>
      <c r="O96" s="138" t="str"/>
      <c r="P96" s="138" t="inlineStr">
        <is>
          <t>src/fx/RoomTransitionFX.gd</t>
        </is>
      </c>
      <c r="Q96" s="138" t="str"/>
      <c r="R96" s="138">
        <f>LOWER(TRIM(C96)&amp;"|"&amp;TRIM(D96)&amp;"|"&amp;TRIM(E96)&amp;"|"&amp;TRIM(F96)&amp;"|"&amp;TRIM(H96)&amp;"|"&amp;TRIM(I96))</f>
        <v/>
      </c>
      <c r="S96" s="138">
        <f>IF(COUNTIF($R$6:$R$300,R96)&gt;1,"重复","唯一")</f>
        <v/>
      </c>
      <c r="T96" s="138" t="str"/>
      <c r="U96" s="138" t="inlineStr">
        <is>
          <t>待分配</t>
        </is>
      </c>
      <c r="V96" s="303" t="n">
        <v>46224</v>
      </c>
      <c r="W96" s="138" t="inlineStr">
        <is>
          <t>原创/待确认</t>
        </is>
      </c>
      <c r="X96" s="375" t="inlineStr">
        <is>
          <t>—</t>
        </is>
      </c>
      <c r="Y96" s="138" t="inlineStr">
        <is>
          <t>颜色/尺寸作参数变体，禁止复制整套</t>
        </is>
      </c>
    </row>
    <row r="97">
      <c r="A97" s="138" t="inlineStr">
        <is>
          <t>VFX-HEALTH-VIGNETTE</t>
        </is>
      </c>
      <c r="B97" s="138" t="inlineStr">
        <is>
          <t>低血暗角</t>
        </is>
      </c>
      <c r="C97" s="138" t="inlineStr">
        <is>
          <t>特效</t>
        </is>
      </c>
      <c r="D97" s="138" t="inlineStr">
        <is>
          <t>gameplay_vfx</t>
        </is>
      </c>
      <c r="E97" s="138" t="inlineStr">
        <is>
          <t>health_vignette</t>
        </is>
      </c>
      <c r="F97" s="138" t="inlineStr">
        <is>
          <t>root</t>
        </is>
      </c>
      <c r="G97" s="138" t="str"/>
      <c r="H97" s="138" t="inlineStr">
        <is>
          <t>顶视/屏幕空间</t>
        </is>
      </c>
      <c r="I97" s="138" t="inlineStr">
        <is>
          <t>default</t>
        </is>
      </c>
      <c r="J97" s="138" t="inlineStr">
        <is>
          <t>跨武器/跨场景</t>
        </is>
      </c>
      <c r="K97" s="138" t="inlineStr">
        <is>
          <t>原型已接入</t>
        </is>
      </c>
      <c r="L97" s="138" t="inlineStr">
        <is>
          <t>P2</t>
        </is>
      </c>
      <c r="M97" s="138" t="inlineStr">
        <is>
          <t>v001</t>
        </is>
      </c>
      <c r="N97" s="138" t="inlineStr">
        <is>
          <t>粒子或 8–16 帧序列</t>
        </is>
      </c>
      <c r="O97" s="138" t="inlineStr">
        <is>
          <t>scenes/Dungeon3D.tscn</t>
        </is>
      </c>
      <c r="P97" s="138" t="inlineStr">
        <is>
          <t>src/world3d/Dungeon3D.gd</t>
        </is>
      </c>
      <c r="Q97" s="138" t="str"/>
      <c r="R97" s="138">
        <f>LOWER(TRIM(C97)&amp;"|"&amp;TRIM(D97)&amp;"|"&amp;TRIM(E97)&amp;"|"&amp;TRIM(F97)&amp;"|"&amp;TRIM(H97)&amp;"|"&amp;TRIM(I97))</f>
        <v/>
      </c>
      <c r="S97" s="138">
        <f>IF(COUNTIF($R$6:$R$300,R97)&gt;1,"重复","唯一")</f>
        <v/>
      </c>
      <c r="T97" s="138" t="inlineStr">
        <is>
          <t>4e61089a3bcd77427f88f2fde2419ce365f7d42072685db4815f0dc41188934b</t>
        </is>
      </c>
      <c r="U97" s="138" t="inlineStr">
        <is>
          <t>待分配</t>
        </is>
      </c>
      <c r="V97" s="303" t="n">
        <v>46264</v>
      </c>
      <c r="W97" s="138" t="inlineStr">
        <is>
          <t>原创/待确认</t>
        </is>
      </c>
      <c r="X97" s="375" t="inlineStr">
        <is>
          <t>—</t>
        </is>
      </c>
      <c r="Y97" s="138" t="inlineStr">
        <is>
          <t>复用低血暗角身份；3D HUD低血时提高边缘强度，不复制第二套逻辑ID
2026-08-30 AST-02：补齐单一生产路径SHA；验收：verify_3d_vision_input_flow；SHA 4e61089a3bcd。</t>
        </is>
      </c>
    </row>
    <row r="98">
      <c r="A98" s="138" t="inlineStr">
        <is>
          <t>VFX-VISIBILITY-LIGHT</t>
        </is>
      </c>
      <c r="B98" s="138" t="inlineStr">
        <is>
          <t>视野光锥</t>
        </is>
      </c>
      <c r="C98" s="138" t="inlineStr">
        <is>
          <t>特效</t>
        </is>
      </c>
      <c r="D98" s="138" t="inlineStr">
        <is>
          <t>gameplay_vfx</t>
        </is>
      </c>
      <c r="E98" s="138" t="inlineStr">
        <is>
          <t>visibility_light</t>
        </is>
      </c>
      <c r="F98" s="138" t="inlineStr">
        <is>
          <t>root</t>
        </is>
      </c>
      <c r="G98" s="138" t="str"/>
      <c r="H98" s="138" t="inlineStr">
        <is>
          <t>顶视/屏幕空间</t>
        </is>
      </c>
      <c r="I98" s="138" t="inlineStr">
        <is>
          <t>default</t>
        </is>
      </c>
      <c r="J98" s="138" t="inlineStr">
        <is>
          <t>跨武器/跨场景</t>
        </is>
      </c>
      <c r="K98" s="138" t="inlineStr">
        <is>
          <t>程序占位</t>
        </is>
      </c>
      <c r="L98" s="138" t="inlineStr">
        <is>
          <t>P2</t>
        </is>
      </c>
      <c r="M98" s="138" t="inlineStr">
        <is>
          <t>v001</t>
        </is>
      </c>
      <c r="N98" s="138" t="inlineStr">
        <is>
          <t>粒子或 8–16 帧序列</t>
        </is>
      </c>
      <c r="O98" s="138" t="str"/>
      <c r="P98" s="138" t="inlineStr">
        <is>
          <t>src/fx/VisibilityLight2D.gd</t>
        </is>
      </c>
      <c r="Q98" s="138" t="str"/>
      <c r="R98" s="138">
        <f>LOWER(TRIM(C98)&amp;"|"&amp;TRIM(D98)&amp;"|"&amp;TRIM(E98)&amp;"|"&amp;TRIM(F98)&amp;"|"&amp;TRIM(H98)&amp;"|"&amp;TRIM(I98))</f>
        <v/>
      </c>
      <c r="S98" s="138">
        <f>IF(COUNTIF($R$6:$R$300,R98)&gt;1,"重复","唯一")</f>
        <v/>
      </c>
      <c r="T98" s="138" t="str"/>
      <c r="U98" s="138" t="inlineStr">
        <is>
          <t>待分配</t>
        </is>
      </c>
      <c r="V98" s="303" t="n">
        <v>46225</v>
      </c>
      <c r="W98" s="138" t="inlineStr">
        <is>
          <t>原创/待确认</t>
        </is>
      </c>
      <c r="X98" s="375" t="inlineStr">
        <is>
          <t>—</t>
        </is>
      </c>
      <c r="Y98" s="138" t="inlineStr">
        <is>
          <t>2D视野表现根；3D真实判定与地面网格登记为 VFX-VISIBILITY-FIELD-3D，禁止用灯光替代</t>
        </is>
      </c>
    </row>
    <row r="99">
      <c r="A99" s="138" t="inlineStr">
        <is>
          <t>VFX-EXTRACTION-BEACON</t>
        </is>
      </c>
      <c r="B99" s="138" t="inlineStr">
        <is>
          <t>撤离信标效果</t>
        </is>
      </c>
      <c r="C99" s="138" t="inlineStr">
        <is>
          <t>特效</t>
        </is>
      </c>
      <c r="D99" s="138" t="inlineStr">
        <is>
          <t>gameplay_vfx</t>
        </is>
      </c>
      <c r="E99" s="138" t="inlineStr">
        <is>
          <t>extraction_beacon</t>
        </is>
      </c>
      <c r="F99" s="138" t="inlineStr">
        <is>
          <t>root</t>
        </is>
      </c>
      <c r="G99" s="138" t="str"/>
      <c r="H99" s="138" t="inlineStr">
        <is>
          <t>顶视/屏幕空间</t>
        </is>
      </c>
      <c r="I99" s="138" t="inlineStr">
        <is>
          <t>default</t>
        </is>
      </c>
      <c r="J99" s="138" t="inlineStr">
        <is>
          <t>跨武器/跨场景</t>
        </is>
      </c>
      <c r="K99" s="138" t="inlineStr">
        <is>
          <t>程序占位</t>
        </is>
      </c>
      <c r="L99" s="138" t="inlineStr">
        <is>
          <t>P2</t>
        </is>
      </c>
      <c r="M99" s="138" t="inlineStr">
        <is>
          <t>v001</t>
        </is>
      </c>
      <c r="N99" s="138" t="inlineStr">
        <is>
          <t>粒子或 8–16 帧序列</t>
        </is>
      </c>
      <c r="O99" s="138" t="str"/>
      <c r="P99" s="138" t="inlineStr">
        <is>
          <t>src/map/ExtractionDirector.gd</t>
        </is>
      </c>
      <c r="Q99" s="138" t="str"/>
      <c r="R99" s="138">
        <f>LOWER(TRIM(C99)&amp;"|"&amp;TRIM(D99)&amp;"|"&amp;TRIM(E99)&amp;"|"&amp;TRIM(F99)&amp;"|"&amp;TRIM(H99)&amp;"|"&amp;TRIM(I99))</f>
        <v/>
      </c>
      <c r="S99" s="138">
        <f>IF(COUNTIF($R$6:$R$300,R99)&gt;1,"重复","唯一")</f>
        <v/>
      </c>
      <c r="T99" s="138" t="str"/>
      <c r="U99" s="138" t="inlineStr">
        <is>
          <t>待分配</t>
        </is>
      </c>
      <c r="V99" s="303" t="n">
        <v>46224</v>
      </c>
      <c r="W99" s="138" t="inlineStr">
        <is>
          <t>原创/待确认</t>
        </is>
      </c>
      <c r="X99" s="375" t="inlineStr">
        <is>
          <t>—</t>
        </is>
      </c>
      <c r="Y99" s="138" t="inlineStr">
        <is>
          <t>颜色/尺寸作参数变体，禁止复制整套</t>
        </is>
      </c>
    </row>
    <row r="100">
      <c r="A100" s="138" t="inlineStr">
        <is>
          <t>AUD-BGM-WASTELAND</t>
        </is>
      </c>
      <c r="B100" s="138" t="inlineStr">
        <is>
          <t>末日荒野 BGM</t>
        </is>
      </c>
      <c r="C100" s="138" t="inlineStr">
        <is>
          <t>音频</t>
        </is>
      </c>
      <c r="D100" s="138" t="inlineStr">
        <is>
          <t>bgm</t>
        </is>
      </c>
      <c r="E100" s="138" t="inlineStr">
        <is>
          <t>bgm_wasteland</t>
        </is>
      </c>
      <c r="F100" s="138" t="inlineStr">
        <is>
          <t>root</t>
        </is>
      </c>
      <c r="G100" s="138" t="str"/>
      <c r="H100" s="138" t="inlineStr">
        <is>
          <t>不适用</t>
        </is>
      </c>
      <c r="I100" s="138" t="inlineStr">
        <is>
          <t>default</t>
        </is>
      </c>
      <c r="J100" s="138" t="inlineStr">
        <is>
          <t>按事件复用</t>
        </is>
      </c>
      <c r="K100" s="138" t="inlineStr">
        <is>
          <t>待制作</t>
        </is>
      </c>
      <c r="L100" s="138" t="inlineStr">
        <is>
          <t>P2</t>
        </is>
      </c>
      <c r="M100" s="138" t="inlineStr">
        <is>
          <t>v001</t>
        </is>
      </c>
      <c r="N100" s="138" t="inlineStr">
        <is>
          <t>循环 WAV/OGG</t>
        </is>
      </c>
      <c r="O100" s="138" t="str"/>
      <c r="P100" s="138" t="inlineStr">
        <is>
          <t>bgm_wasteland.wav</t>
        </is>
      </c>
      <c r="Q100" s="138" t="str"/>
      <c r="R100" s="138">
        <f>LOWER(TRIM(C100)&amp;"|"&amp;TRIM(D100)&amp;"|"&amp;TRIM(E100)&amp;"|"&amp;TRIM(F100)&amp;"|"&amp;TRIM(H100)&amp;"|"&amp;TRIM(I100))</f>
        <v/>
      </c>
      <c r="S100" s="138">
        <f>IF(COUNTIF($R$6:$R$300,R100)&gt;1,"重复","唯一")</f>
        <v/>
      </c>
      <c r="T100" s="138" t="str"/>
      <c r="U100" s="138" t="inlineStr">
        <is>
          <t>待分配</t>
        </is>
      </c>
      <c r="V100" s="303" t="n">
        <v>46224</v>
      </c>
      <c r="W100" s="138" t="inlineStr">
        <is>
          <t>项目现有/待核对</t>
        </is>
      </c>
      <c r="X100" s="375" t="inlineStr">
        <is>
          <t>—</t>
        </is>
      </c>
      <c r="Y100" s="138" t="inlineStr">
        <is>
          <t>2026-08-30 AST-02：仓库未找到 bgm_wasteland.wav/.ogg，原“已完成”状态无文件证据，降级为待制作；不伪造路径或SHA。</t>
        </is>
      </c>
    </row>
    <row r="101">
      <c r="A101" s="138" t="inlineStr">
        <is>
          <t>AUD-PISTOL-FIRE</t>
        </is>
      </c>
      <c r="B101" s="138" t="inlineStr">
        <is>
          <t>手枪射击</t>
        </is>
      </c>
      <c r="C101" s="138" t="inlineStr">
        <is>
          <t>音频</t>
        </is>
      </c>
      <c r="D101" s="138" t="inlineStr">
        <is>
          <t>sfx</t>
        </is>
      </c>
      <c r="E101" s="138" t="inlineStr">
        <is>
          <t>pistol_fire</t>
        </is>
      </c>
      <c r="F101" s="138" t="inlineStr">
        <is>
          <t>root</t>
        </is>
      </c>
      <c r="G101" s="138" t="str"/>
      <c r="H101" s="138" t="inlineStr">
        <is>
          <t>不适用</t>
        </is>
      </c>
      <c r="I101" s="138" t="inlineStr">
        <is>
          <t>default</t>
        </is>
      </c>
      <c r="J101" s="138" t="inlineStr">
        <is>
          <t>按事件复用</t>
        </is>
      </c>
      <c r="K101" s="138" t="inlineStr">
        <is>
          <t>待制作</t>
        </is>
      </c>
      <c r="L101" s="138" t="inlineStr">
        <is>
          <t>P2</t>
        </is>
      </c>
      <c r="M101" s="138" t="inlineStr">
        <is>
          <t>v001</t>
        </is>
      </c>
      <c r="N101" s="138" t="inlineStr">
        <is>
          <t>0.1–2.0s WAV/OGG</t>
        </is>
      </c>
      <c r="O101" s="138" t="str"/>
      <c r="P101" s="138" t="inlineStr">
        <is>
          <t>src/core/AudioManager.gd</t>
        </is>
      </c>
      <c r="Q101" s="138" t="str"/>
      <c r="R101" s="138">
        <f>LOWER(TRIM(C101)&amp;"|"&amp;TRIM(D101)&amp;"|"&amp;TRIM(E101)&amp;"|"&amp;TRIM(F101)&amp;"|"&amp;TRIM(H101)&amp;"|"&amp;TRIM(I101))</f>
        <v/>
      </c>
      <c r="S101" s="138">
        <f>IF(COUNTIF($R$6:$R$300,R101)&gt;1,"重复","唯一")</f>
        <v/>
      </c>
      <c r="T101" s="138" t="str"/>
      <c r="U101" s="138" t="inlineStr">
        <is>
          <t>待分配</t>
        </is>
      </c>
      <c r="V101" s="303" t="n">
        <v>46224</v>
      </c>
      <c r="W101" s="138" t="inlineStr">
        <is>
          <t>原创/待确认</t>
        </is>
      </c>
      <c r="X101" s="375" t="inlineStr">
        <is>
          <t>—</t>
        </is>
      </c>
      <c r="Y101" s="138" t="n"/>
    </row>
    <row r="102">
      <c r="A102" s="138" t="inlineStr">
        <is>
          <t>AUD-RIFLE-FIRE</t>
        </is>
      </c>
      <c r="B102" s="138" t="inlineStr">
        <is>
          <t>步枪射击</t>
        </is>
      </c>
      <c r="C102" s="138" t="inlineStr">
        <is>
          <t>音频</t>
        </is>
      </c>
      <c r="D102" s="138" t="inlineStr">
        <is>
          <t>sfx</t>
        </is>
      </c>
      <c r="E102" s="138" t="inlineStr">
        <is>
          <t>rifle_fire</t>
        </is>
      </c>
      <c r="F102" s="138" t="inlineStr">
        <is>
          <t>root</t>
        </is>
      </c>
      <c r="G102" s="138" t="str"/>
      <c r="H102" s="138" t="inlineStr">
        <is>
          <t>不适用</t>
        </is>
      </c>
      <c r="I102" s="138" t="inlineStr">
        <is>
          <t>default</t>
        </is>
      </c>
      <c r="J102" s="138" t="inlineStr">
        <is>
          <t>按事件复用</t>
        </is>
      </c>
      <c r="K102" s="138" t="inlineStr">
        <is>
          <t>待制作</t>
        </is>
      </c>
      <c r="L102" s="138" t="inlineStr">
        <is>
          <t>P2</t>
        </is>
      </c>
      <c r="M102" s="138" t="inlineStr">
        <is>
          <t>v001</t>
        </is>
      </c>
      <c r="N102" s="138" t="inlineStr">
        <is>
          <t>0.1–2.0s WAV/OGG</t>
        </is>
      </c>
      <c r="O102" s="138" t="str"/>
      <c r="P102" s="138" t="inlineStr">
        <is>
          <t>src/core/AudioManager.gd</t>
        </is>
      </c>
      <c r="Q102" s="138" t="str"/>
      <c r="R102" s="138">
        <f>LOWER(TRIM(C102)&amp;"|"&amp;TRIM(D102)&amp;"|"&amp;TRIM(E102)&amp;"|"&amp;TRIM(F102)&amp;"|"&amp;TRIM(H102)&amp;"|"&amp;TRIM(I102))</f>
        <v/>
      </c>
      <c r="S102" s="138">
        <f>IF(COUNTIF($R$6:$R$300,R102)&gt;1,"重复","唯一")</f>
        <v/>
      </c>
      <c r="T102" s="138" t="str"/>
      <c r="U102" s="138" t="inlineStr">
        <is>
          <t>待分配</t>
        </is>
      </c>
      <c r="V102" s="303" t="n">
        <v>46224</v>
      </c>
      <c r="W102" s="138" t="inlineStr">
        <is>
          <t>原创/待确认</t>
        </is>
      </c>
      <c r="X102" s="375" t="inlineStr">
        <is>
          <t>—</t>
        </is>
      </c>
      <c r="Y102" s="138" t="n"/>
    </row>
    <row r="103">
      <c r="A103" s="138" t="inlineStr">
        <is>
          <t>AUD-SHOTGUN-FIRE</t>
        </is>
      </c>
      <c r="B103" s="138" t="inlineStr">
        <is>
          <t>霰弹枪射击</t>
        </is>
      </c>
      <c r="C103" s="138" t="inlineStr">
        <is>
          <t>音频</t>
        </is>
      </c>
      <c r="D103" s="138" t="inlineStr">
        <is>
          <t>sfx</t>
        </is>
      </c>
      <c r="E103" s="138" t="inlineStr">
        <is>
          <t>shotgun_fire</t>
        </is>
      </c>
      <c r="F103" s="138" t="inlineStr">
        <is>
          <t>root</t>
        </is>
      </c>
      <c r="G103" s="138" t="str"/>
      <c r="H103" s="138" t="inlineStr">
        <is>
          <t>不适用</t>
        </is>
      </c>
      <c r="I103" s="138" t="inlineStr">
        <is>
          <t>default</t>
        </is>
      </c>
      <c r="J103" s="138" t="inlineStr">
        <is>
          <t>按事件复用</t>
        </is>
      </c>
      <c r="K103" s="138" t="inlineStr">
        <is>
          <t>待制作</t>
        </is>
      </c>
      <c r="L103" s="138" t="inlineStr">
        <is>
          <t>P2</t>
        </is>
      </c>
      <c r="M103" s="138" t="inlineStr">
        <is>
          <t>v001</t>
        </is>
      </c>
      <c r="N103" s="138" t="inlineStr">
        <is>
          <t>0.1–2.0s WAV/OGG</t>
        </is>
      </c>
      <c r="O103" s="138" t="str"/>
      <c r="P103" s="138" t="inlineStr">
        <is>
          <t>src/core/AudioManager.gd</t>
        </is>
      </c>
      <c r="Q103" s="138" t="str"/>
      <c r="R103" s="138">
        <f>LOWER(TRIM(C103)&amp;"|"&amp;TRIM(D103)&amp;"|"&amp;TRIM(E103)&amp;"|"&amp;TRIM(F103)&amp;"|"&amp;TRIM(H103)&amp;"|"&amp;TRIM(I103))</f>
        <v/>
      </c>
      <c r="S103" s="138">
        <f>IF(COUNTIF($R$6:$R$300,R103)&gt;1,"重复","唯一")</f>
        <v/>
      </c>
      <c r="T103" s="138" t="str"/>
      <c r="U103" s="138" t="inlineStr">
        <is>
          <t>待分配</t>
        </is>
      </c>
      <c r="V103" s="303" t="n">
        <v>46224</v>
      </c>
      <c r="W103" s="138" t="inlineStr">
        <is>
          <t>原创/待确认</t>
        </is>
      </c>
      <c r="X103" s="375" t="inlineStr">
        <is>
          <t>—</t>
        </is>
      </c>
      <c r="Y103" s="138" t="n"/>
    </row>
    <row r="104">
      <c r="A104" s="138" t="inlineStr">
        <is>
          <t>AUD-SMG-FIRE</t>
        </is>
      </c>
      <c r="B104" s="138" t="inlineStr">
        <is>
          <t>机枪射击</t>
        </is>
      </c>
      <c r="C104" s="138" t="inlineStr">
        <is>
          <t>音频</t>
        </is>
      </c>
      <c r="D104" s="138" t="inlineStr">
        <is>
          <t>sfx</t>
        </is>
      </c>
      <c r="E104" s="138" t="inlineStr">
        <is>
          <t>smg_fire</t>
        </is>
      </c>
      <c r="F104" s="138" t="inlineStr">
        <is>
          <t>root</t>
        </is>
      </c>
      <c r="G104" s="138" t="str"/>
      <c r="H104" s="138" t="inlineStr">
        <is>
          <t>不适用</t>
        </is>
      </c>
      <c r="I104" s="138" t="inlineStr">
        <is>
          <t>default</t>
        </is>
      </c>
      <c r="J104" s="138" t="inlineStr">
        <is>
          <t>按事件复用</t>
        </is>
      </c>
      <c r="K104" s="138" t="inlineStr">
        <is>
          <t>待制作</t>
        </is>
      </c>
      <c r="L104" s="138" t="inlineStr">
        <is>
          <t>P2</t>
        </is>
      </c>
      <c r="M104" s="138" t="inlineStr">
        <is>
          <t>v001</t>
        </is>
      </c>
      <c r="N104" s="138" t="inlineStr">
        <is>
          <t>0.1–2.0s WAV/OGG</t>
        </is>
      </c>
      <c r="O104" s="138" t="str"/>
      <c r="P104" s="138" t="inlineStr">
        <is>
          <t>src/core/AudioManager.gd</t>
        </is>
      </c>
      <c r="Q104" s="138" t="str"/>
      <c r="R104" s="138">
        <f>LOWER(TRIM(C104)&amp;"|"&amp;TRIM(D104)&amp;"|"&amp;TRIM(E104)&amp;"|"&amp;TRIM(F104)&amp;"|"&amp;TRIM(H104)&amp;"|"&amp;TRIM(I104))</f>
        <v/>
      </c>
      <c r="S104" s="138">
        <f>IF(COUNTIF($R$6:$R$300,R104)&gt;1,"重复","唯一")</f>
        <v/>
      </c>
      <c r="T104" s="138" t="str"/>
      <c r="U104" s="138" t="inlineStr">
        <is>
          <t>待分配</t>
        </is>
      </c>
      <c r="V104" s="303" t="n">
        <v>46224</v>
      </c>
      <c r="W104" s="138" t="inlineStr">
        <is>
          <t>原创/待确认</t>
        </is>
      </c>
      <c r="X104" s="375" t="inlineStr">
        <is>
          <t>—</t>
        </is>
      </c>
      <c r="Y104" s="138" t="n"/>
    </row>
    <row r="105">
      <c r="A105" s="138" t="inlineStr">
        <is>
          <t>AUD-SNIPER-FIRE</t>
        </is>
      </c>
      <c r="B105" s="138" t="inlineStr">
        <is>
          <t>狙击射击</t>
        </is>
      </c>
      <c r="C105" s="138" t="inlineStr">
        <is>
          <t>音频</t>
        </is>
      </c>
      <c r="D105" s="138" t="inlineStr">
        <is>
          <t>sfx</t>
        </is>
      </c>
      <c r="E105" s="138" t="inlineStr">
        <is>
          <t>sniper_fire</t>
        </is>
      </c>
      <c r="F105" s="138" t="inlineStr">
        <is>
          <t>root</t>
        </is>
      </c>
      <c r="G105" s="138" t="str"/>
      <c r="H105" s="138" t="inlineStr">
        <is>
          <t>不适用</t>
        </is>
      </c>
      <c r="I105" s="138" t="inlineStr">
        <is>
          <t>default</t>
        </is>
      </c>
      <c r="J105" s="138" t="inlineStr">
        <is>
          <t>按事件复用</t>
        </is>
      </c>
      <c r="K105" s="138" t="inlineStr">
        <is>
          <t>待制作</t>
        </is>
      </c>
      <c r="L105" s="138" t="inlineStr">
        <is>
          <t>P2</t>
        </is>
      </c>
      <c r="M105" s="138" t="inlineStr">
        <is>
          <t>v001</t>
        </is>
      </c>
      <c r="N105" s="138" t="inlineStr">
        <is>
          <t>0.1–2.0s WAV/OGG</t>
        </is>
      </c>
      <c r="O105" s="138" t="str"/>
      <c r="P105" s="138" t="inlineStr">
        <is>
          <t>src/core/AudioManager.gd</t>
        </is>
      </c>
      <c r="Q105" s="138" t="str"/>
      <c r="R105" s="138">
        <f>LOWER(TRIM(C105)&amp;"|"&amp;TRIM(D105)&amp;"|"&amp;TRIM(E105)&amp;"|"&amp;TRIM(F105)&amp;"|"&amp;TRIM(H105)&amp;"|"&amp;TRIM(I105))</f>
        <v/>
      </c>
      <c r="S105" s="138">
        <f>IF(COUNTIF($R$6:$R$300,R105)&gt;1,"重复","唯一")</f>
        <v/>
      </c>
      <c r="T105" s="138" t="str"/>
      <c r="U105" s="138" t="inlineStr">
        <is>
          <t>待分配</t>
        </is>
      </c>
      <c r="V105" s="303" t="n">
        <v>46224</v>
      </c>
      <c r="W105" s="138" t="inlineStr">
        <is>
          <t>原创/待确认</t>
        </is>
      </c>
      <c r="X105" s="375" t="inlineStr">
        <is>
          <t>—</t>
        </is>
      </c>
      <c r="Y105" s="138" t="n"/>
    </row>
    <row r="106">
      <c r="A106" s="138" t="inlineStr">
        <is>
          <t>AUD-PLAYER-HIT</t>
        </is>
      </c>
      <c r="B106" s="138" t="inlineStr">
        <is>
          <t>玩家受击</t>
        </is>
      </c>
      <c r="C106" s="138" t="inlineStr">
        <is>
          <t>音频</t>
        </is>
      </c>
      <c r="D106" s="138" t="inlineStr">
        <is>
          <t>sfx</t>
        </is>
      </c>
      <c r="E106" s="138" t="inlineStr">
        <is>
          <t>player_hit</t>
        </is>
      </c>
      <c r="F106" s="138" t="inlineStr">
        <is>
          <t>root</t>
        </is>
      </c>
      <c r="G106" s="138" t="str"/>
      <c r="H106" s="138" t="inlineStr">
        <is>
          <t>不适用</t>
        </is>
      </c>
      <c r="I106" s="138" t="inlineStr">
        <is>
          <t>default</t>
        </is>
      </c>
      <c r="J106" s="138" t="inlineStr">
        <is>
          <t>按事件复用</t>
        </is>
      </c>
      <c r="K106" s="138" t="inlineStr">
        <is>
          <t>待制作</t>
        </is>
      </c>
      <c r="L106" s="138" t="inlineStr">
        <is>
          <t>P2</t>
        </is>
      </c>
      <c r="M106" s="138" t="inlineStr">
        <is>
          <t>v001</t>
        </is>
      </c>
      <c r="N106" s="138" t="inlineStr">
        <is>
          <t>0.1–2.0s WAV/OGG</t>
        </is>
      </c>
      <c r="O106" s="138" t="str"/>
      <c r="P106" s="138" t="inlineStr">
        <is>
          <t>src/core/AudioManager.gd</t>
        </is>
      </c>
      <c r="Q106" s="138" t="str"/>
      <c r="R106" s="138">
        <f>LOWER(TRIM(C106)&amp;"|"&amp;TRIM(D106)&amp;"|"&amp;TRIM(E106)&amp;"|"&amp;TRIM(F106)&amp;"|"&amp;TRIM(H106)&amp;"|"&amp;TRIM(I106))</f>
        <v/>
      </c>
      <c r="S106" s="138">
        <f>IF(COUNTIF($R$6:$R$300,R106)&gt;1,"重复","唯一")</f>
        <v/>
      </c>
      <c r="T106" s="138" t="str"/>
      <c r="U106" s="138" t="inlineStr">
        <is>
          <t>待分配</t>
        </is>
      </c>
      <c r="V106" s="303" t="n">
        <v>46224</v>
      </c>
      <c r="W106" s="138" t="inlineStr">
        <is>
          <t>原创/待确认</t>
        </is>
      </c>
      <c r="X106" s="375" t="inlineStr">
        <is>
          <t>—</t>
        </is>
      </c>
      <c r="Y106" s="138" t="n"/>
    </row>
    <row r="107">
      <c r="A107" s="138" t="inlineStr">
        <is>
          <t>AUD-PLAYER-DASH</t>
        </is>
      </c>
      <c r="B107" s="138" t="inlineStr">
        <is>
          <t>玩家冲刺</t>
        </is>
      </c>
      <c r="C107" s="138" t="inlineStr">
        <is>
          <t>音频</t>
        </is>
      </c>
      <c r="D107" s="138" t="inlineStr">
        <is>
          <t>sfx</t>
        </is>
      </c>
      <c r="E107" s="138" t="inlineStr">
        <is>
          <t>player_dash</t>
        </is>
      </c>
      <c r="F107" s="138" t="inlineStr">
        <is>
          <t>root</t>
        </is>
      </c>
      <c r="G107" s="138" t="str"/>
      <c r="H107" s="138" t="inlineStr">
        <is>
          <t>不适用</t>
        </is>
      </c>
      <c r="I107" s="138" t="inlineStr">
        <is>
          <t>default</t>
        </is>
      </c>
      <c r="J107" s="138" t="inlineStr">
        <is>
          <t>按事件复用</t>
        </is>
      </c>
      <c r="K107" s="138" t="inlineStr">
        <is>
          <t>待制作</t>
        </is>
      </c>
      <c r="L107" s="138" t="inlineStr">
        <is>
          <t>P2</t>
        </is>
      </c>
      <c r="M107" s="138" t="inlineStr">
        <is>
          <t>v001</t>
        </is>
      </c>
      <c r="N107" s="138" t="inlineStr">
        <is>
          <t>0.1–2.0s WAV/OGG</t>
        </is>
      </c>
      <c r="O107" s="138" t="str"/>
      <c r="P107" s="138" t="inlineStr">
        <is>
          <t>src/core/AudioManager.gd</t>
        </is>
      </c>
      <c r="Q107" s="138" t="str"/>
      <c r="R107" s="138">
        <f>LOWER(TRIM(C107)&amp;"|"&amp;TRIM(D107)&amp;"|"&amp;TRIM(E107)&amp;"|"&amp;TRIM(F107)&amp;"|"&amp;TRIM(H107)&amp;"|"&amp;TRIM(I107))</f>
        <v/>
      </c>
      <c r="S107" s="138">
        <f>IF(COUNTIF($R$6:$R$300,R107)&gt;1,"重复","唯一")</f>
        <v/>
      </c>
      <c r="T107" s="138" t="str"/>
      <c r="U107" s="138" t="inlineStr">
        <is>
          <t>待分配</t>
        </is>
      </c>
      <c r="V107" s="303" t="n">
        <v>46224</v>
      </c>
      <c r="W107" s="138" t="inlineStr">
        <is>
          <t>原创/待确认</t>
        </is>
      </c>
      <c r="X107" s="375" t="inlineStr">
        <is>
          <t>—</t>
        </is>
      </c>
      <c r="Y107" s="138" t="n"/>
    </row>
    <row r="108">
      <c r="A108" s="138" t="inlineStr">
        <is>
          <t>AUD-ENEMY-HIT</t>
        </is>
      </c>
      <c r="B108" s="138" t="inlineStr">
        <is>
          <t>敌人受击</t>
        </is>
      </c>
      <c r="C108" s="138" t="inlineStr">
        <is>
          <t>音频</t>
        </is>
      </c>
      <c r="D108" s="138" t="inlineStr">
        <is>
          <t>sfx</t>
        </is>
      </c>
      <c r="E108" s="138" t="inlineStr">
        <is>
          <t>enemy_hit</t>
        </is>
      </c>
      <c r="F108" s="138" t="inlineStr">
        <is>
          <t>root</t>
        </is>
      </c>
      <c r="G108" s="138" t="str"/>
      <c r="H108" s="138" t="inlineStr">
        <is>
          <t>不适用</t>
        </is>
      </c>
      <c r="I108" s="138" t="inlineStr">
        <is>
          <t>default</t>
        </is>
      </c>
      <c r="J108" s="138" t="inlineStr">
        <is>
          <t>按事件复用</t>
        </is>
      </c>
      <c r="K108" s="138" t="inlineStr">
        <is>
          <t>待制作</t>
        </is>
      </c>
      <c r="L108" s="138" t="inlineStr">
        <is>
          <t>P2</t>
        </is>
      </c>
      <c r="M108" s="138" t="inlineStr">
        <is>
          <t>v001</t>
        </is>
      </c>
      <c r="N108" s="138" t="inlineStr">
        <is>
          <t>0.1–2.0s WAV/OGG</t>
        </is>
      </c>
      <c r="O108" s="138" t="str"/>
      <c r="P108" s="138" t="inlineStr">
        <is>
          <t>src/core/AudioManager.gd</t>
        </is>
      </c>
      <c r="Q108" s="138" t="str"/>
      <c r="R108" s="138">
        <f>LOWER(TRIM(C108)&amp;"|"&amp;TRIM(D108)&amp;"|"&amp;TRIM(E108)&amp;"|"&amp;TRIM(F108)&amp;"|"&amp;TRIM(H108)&amp;"|"&amp;TRIM(I108))</f>
        <v/>
      </c>
      <c r="S108" s="138">
        <f>IF(COUNTIF($R$6:$R$300,R108)&gt;1,"重复","唯一")</f>
        <v/>
      </c>
      <c r="T108" s="138" t="str"/>
      <c r="U108" s="138" t="inlineStr">
        <is>
          <t>待分配</t>
        </is>
      </c>
      <c r="V108" s="303" t="n">
        <v>46224</v>
      </c>
      <c r="W108" s="138" t="inlineStr">
        <is>
          <t>原创/待确认</t>
        </is>
      </c>
      <c r="X108" s="375" t="inlineStr">
        <is>
          <t>—</t>
        </is>
      </c>
      <c r="Y108" s="138" t="n"/>
    </row>
    <row r="109">
      <c r="A109" s="138" t="inlineStr">
        <is>
          <t>AUD-ENEMY-DIE</t>
        </is>
      </c>
      <c r="B109" s="138" t="inlineStr">
        <is>
          <t>敌人死亡</t>
        </is>
      </c>
      <c r="C109" s="138" t="inlineStr">
        <is>
          <t>音频</t>
        </is>
      </c>
      <c r="D109" s="138" t="inlineStr">
        <is>
          <t>sfx</t>
        </is>
      </c>
      <c r="E109" s="138" t="inlineStr">
        <is>
          <t>enemy_die</t>
        </is>
      </c>
      <c r="F109" s="138" t="inlineStr">
        <is>
          <t>root</t>
        </is>
      </c>
      <c r="G109" s="138" t="str"/>
      <c r="H109" s="138" t="inlineStr">
        <is>
          <t>不适用</t>
        </is>
      </c>
      <c r="I109" s="138" t="inlineStr">
        <is>
          <t>default</t>
        </is>
      </c>
      <c r="J109" s="138" t="inlineStr">
        <is>
          <t>按事件复用</t>
        </is>
      </c>
      <c r="K109" s="138" t="inlineStr">
        <is>
          <t>待制作</t>
        </is>
      </c>
      <c r="L109" s="138" t="inlineStr">
        <is>
          <t>P2</t>
        </is>
      </c>
      <c r="M109" s="138" t="inlineStr">
        <is>
          <t>v001</t>
        </is>
      </c>
      <c r="N109" s="138" t="inlineStr">
        <is>
          <t>0.1–2.0s WAV/OGG</t>
        </is>
      </c>
      <c r="O109" s="138" t="str"/>
      <c r="P109" s="138" t="inlineStr">
        <is>
          <t>src/core/AudioManager.gd</t>
        </is>
      </c>
      <c r="Q109" s="138" t="str"/>
      <c r="R109" s="138">
        <f>LOWER(TRIM(C109)&amp;"|"&amp;TRIM(D109)&amp;"|"&amp;TRIM(E109)&amp;"|"&amp;TRIM(F109)&amp;"|"&amp;TRIM(H109)&amp;"|"&amp;TRIM(I109))</f>
        <v/>
      </c>
      <c r="S109" s="138">
        <f>IF(COUNTIF($R$6:$R$300,R109)&gt;1,"重复","唯一")</f>
        <v/>
      </c>
      <c r="T109" s="138" t="str"/>
      <c r="U109" s="138" t="inlineStr">
        <is>
          <t>待分配</t>
        </is>
      </c>
      <c r="V109" s="303" t="n">
        <v>46224</v>
      </c>
      <c r="W109" s="138" t="inlineStr">
        <is>
          <t>原创/待确认</t>
        </is>
      </c>
      <c r="X109" s="375" t="inlineStr">
        <is>
          <t>—</t>
        </is>
      </c>
      <c r="Y109" s="138" t="n"/>
    </row>
    <row r="110">
      <c r="A110" s="138" t="inlineStr">
        <is>
          <t>AUD-RELOAD</t>
        </is>
      </c>
      <c r="B110" s="138" t="inlineStr">
        <is>
          <t>换弹</t>
        </is>
      </c>
      <c r="C110" s="138" t="inlineStr">
        <is>
          <t>音频</t>
        </is>
      </c>
      <c r="D110" s="138" t="inlineStr">
        <is>
          <t>sfx</t>
        </is>
      </c>
      <c r="E110" s="138" t="inlineStr">
        <is>
          <t>reload</t>
        </is>
      </c>
      <c r="F110" s="138" t="inlineStr">
        <is>
          <t>root</t>
        </is>
      </c>
      <c r="G110" s="138" t="str"/>
      <c r="H110" s="138" t="inlineStr">
        <is>
          <t>不适用</t>
        </is>
      </c>
      <c r="I110" s="138" t="inlineStr">
        <is>
          <t>default</t>
        </is>
      </c>
      <c r="J110" s="138" t="inlineStr">
        <is>
          <t>按事件复用</t>
        </is>
      </c>
      <c r="K110" s="138" t="inlineStr">
        <is>
          <t>待制作</t>
        </is>
      </c>
      <c r="L110" s="138" t="inlineStr">
        <is>
          <t>P2</t>
        </is>
      </c>
      <c r="M110" s="138" t="inlineStr">
        <is>
          <t>v001</t>
        </is>
      </c>
      <c r="N110" s="138" t="inlineStr">
        <is>
          <t>0.1–2.0s WAV/OGG</t>
        </is>
      </c>
      <c r="O110" s="138" t="str"/>
      <c r="P110" s="138" t="inlineStr">
        <is>
          <t>src/core/AudioManager.gd</t>
        </is>
      </c>
      <c r="Q110" s="138" t="str"/>
      <c r="R110" s="138">
        <f>LOWER(TRIM(C110)&amp;"|"&amp;TRIM(D110)&amp;"|"&amp;TRIM(E110)&amp;"|"&amp;TRIM(F110)&amp;"|"&amp;TRIM(H110)&amp;"|"&amp;TRIM(I110))</f>
        <v/>
      </c>
      <c r="S110" s="138">
        <f>IF(COUNTIF($R$6:$R$300,R110)&gt;1,"重复","唯一")</f>
        <v/>
      </c>
      <c r="T110" s="138" t="str"/>
      <c r="U110" s="138" t="inlineStr">
        <is>
          <t>待分配</t>
        </is>
      </c>
      <c r="V110" s="303" t="n">
        <v>46224</v>
      </c>
      <c r="W110" s="138" t="inlineStr">
        <is>
          <t>原创/待确认</t>
        </is>
      </c>
      <c r="X110" s="375" t="inlineStr">
        <is>
          <t>—</t>
        </is>
      </c>
      <c r="Y110" s="138" t="n"/>
    </row>
    <row r="111">
      <c r="A111" s="138" t="inlineStr">
        <is>
          <t>AUD-EXTRACTION-START</t>
        </is>
      </c>
      <c r="B111" s="138" t="inlineStr">
        <is>
          <t>撤离启动</t>
        </is>
      </c>
      <c r="C111" s="138" t="inlineStr">
        <is>
          <t>音频</t>
        </is>
      </c>
      <c r="D111" s="138" t="inlineStr">
        <is>
          <t>sfx</t>
        </is>
      </c>
      <c r="E111" s="138" t="inlineStr">
        <is>
          <t>extraction_start</t>
        </is>
      </c>
      <c r="F111" s="138" t="inlineStr">
        <is>
          <t>root</t>
        </is>
      </c>
      <c r="G111" s="138" t="str"/>
      <c r="H111" s="138" t="inlineStr">
        <is>
          <t>不适用</t>
        </is>
      </c>
      <c r="I111" s="138" t="inlineStr">
        <is>
          <t>default</t>
        </is>
      </c>
      <c r="J111" s="138" t="inlineStr">
        <is>
          <t>按事件复用</t>
        </is>
      </c>
      <c r="K111" s="138" t="inlineStr">
        <is>
          <t>待制作</t>
        </is>
      </c>
      <c r="L111" s="138" t="inlineStr">
        <is>
          <t>P2</t>
        </is>
      </c>
      <c r="M111" s="138" t="inlineStr">
        <is>
          <t>v001</t>
        </is>
      </c>
      <c r="N111" s="138" t="inlineStr">
        <is>
          <t>0.1–2.0s WAV/OGG</t>
        </is>
      </c>
      <c r="O111" s="138" t="str"/>
      <c r="P111" s="138" t="inlineStr">
        <is>
          <t>src/core/AudioManager.gd</t>
        </is>
      </c>
      <c r="Q111" s="138" t="str"/>
      <c r="R111" s="138">
        <f>LOWER(TRIM(C111)&amp;"|"&amp;TRIM(D111)&amp;"|"&amp;TRIM(E111)&amp;"|"&amp;TRIM(F111)&amp;"|"&amp;TRIM(H111)&amp;"|"&amp;TRIM(I111))</f>
        <v/>
      </c>
      <c r="S111" s="138">
        <f>IF(COUNTIF($R$6:$R$300,R111)&gt;1,"重复","唯一")</f>
        <v/>
      </c>
      <c r="T111" s="138" t="str"/>
      <c r="U111" s="138" t="inlineStr">
        <is>
          <t>待分配</t>
        </is>
      </c>
      <c r="V111" s="303" t="n">
        <v>46224</v>
      </c>
      <c r="W111" s="138" t="inlineStr">
        <is>
          <t>原创/待确认</t>
        </is>
      </c>
      <c r="X111" s="375" t="inlineStr">
        <is>
          <t>—</t>
        </is>
      </c>
      <c r="Y111" s="138" t="n"/>
    </row>
    <row r="112">
      <c r="A112" s="138" t="inlineStr">
        <is>
          <t>AUD-EXTRACTION-DONE</t>
        </is>
      </c>
      <c r="B112" s="138" t="inlineStr">
        <is>
          <t>撤离完成</t>
        </is>
      </c>
      <c r="C112" s="138" t="inlineStr">
        <is>
          <t>音频</t>
        </is>
      </c>
      <c r="D112" s="138" t="inlineStr">
        <is>
          <t>sfx</t>
        </is>
      </c>
      <c r="E112" s="138" t="inlineStr">
        <is>
          <t>extraction_done</t>
        </is>
      </c>
      <c r="F112" s="138" t="inlineStr">
        <is>
          <t>root</t>
        </is>
      </c>
      <c r="G112" s="138" t="str"/>
      <c r="H112" s="138" t="inlineStr">
        <is>
          <t>不适用</t>
        </is>
      </c>
      <c r="I112" s="138" t="inlineStr">
        <is>
          <t>default</t>
        </is>
      </c>
      <c r="J112" s="138" t="inlineStr">
        <is>
          <t>按事件复用</t>
        </is>
      </c>
      <c r="K112" s="138" t="inlineStr">
        <is>
          <t>待制作</t>
        </is>
      </c>
      <c r="L112" s="138" t="inlineStr">
        <is>
          <t>P2</t>
        </is>
      </c>
      <c r="M112" s="138" t="inlineStr">
        <is>
          <t>v001</t>
        </is>
      </c>
      <c r="N112" s="138" t="inlineStr">
        <is>
          <t>0.1–2.0s WAV/OGG</t>
        </is>
      </c>
      <c r="O112" s="138" t="str"/>
      <c r="P112" s="138" t="inlineStr">
        <is>
          <t>src/core/AudioManager.gd</t>
        </is>
      </c>
      <c r="Q112" s="138" t="str"/>
      <c r="R112" s="138">
        <f>LOWER(TRIM(C112)&amp;"|"&amp;TRIM(D112)&amp;"|"&amp;TRIM(E112)&amp;"|"&amp;TRIM(F112)&amp;"|"&amp;TRIM(H112)&amp;"|"&amp;TRIM(I112))</f>
        <v/>
      </c>
      <c r="S112" s="138">
        <f>IF(COUNTIF($R$6:$R$300,R112)&gt;1,"重复","唯一")</f>
        <v/>
      </c>
      <c r="T112" s="138" t="str"/>
      <c r="U112" s="138" t="inlineStr">
        <is>
          <t>待分配</t>
        </is>
      </c>
      <c r="V112" s="303" t="n">
        <v>46224</v>
      </c>
      <c r="W112" s="138" t="inlineStr">
        <is>
          <t>原创/待确认</t>
        </is>
      </c>
      <c r="X112" s="375" t="inlineStr">
        <is>
          <t>—</t>
        </is>
      </c>
      <c r="Y112" s="138" t="n"/>
    </row>
    <row r="113" ht="155" customHeight="1">
      <c r="A113" s="364" t="inlineStr">
        <is>
          <t>ENV-BASE99-FLOOR-DETAILS-V017</t>
        </is>
      </c>
      <c r="B113" s="364" t="inlineStr">
        <is>
          <t>基地99层完整地板替换 V021</t>
        </is>
      </c>
      <c r="C113" s="364" t="inlineStr">
        <is>
          <t>场景</t>
        </is>
      </c>
      <c r="D113" s="364" t="inlineStr">
        <is>
          <t>environment_module_3d</t>
        </is>
      </c>
      <c r="E113" s="364" t="inlineStr">
        <is>
          <t>base99_floor_full_replacement_v021</t>
        </is>
      </c>
      <c r="F113" s="364" t="inlineStr">
        <is>
          <t>full_floor_visual_replacement</t>
        </is>
      </c>
      <c r="G113" s="364" t="inlineStr">
        <is>
          <t>ENV-BASE99-ART-LAYOUT-3D</t>
        </is>
      </c>
      <c r="H113" s="364" t="inlineStr">
        <is>
          <t>Top3D / local -Z 正面</t>
        </is>
      </c>
      <c r="I113" s="364" t="inlineStr">
        <is>
          <t>default / visual_only</t>
        </is>
      </c>
      <c r="J113" s="364" t="inlineStr">
        <is>
          <t>99层基地地面表现</t>
        </is>
      </c>
      <c r="K113" s="364" t="inlineStr">
        <is>
          <t>已完成</t>
        </is>
      </c>
      <c r="L113" s="364" t="inlineStr">
        <is>
          <t>P0</t>
        </is>
      </c>
      <c r="M113" s="364" t="inlineStr">
        <is>
          <t>v003</t>
        </is>
      </c>
      <c r="N113" s="364" t="inlineStr">
        <is>
          <t>30×30m；6×6×5m；2网格；4材质表面；498,920三角面；无内置碰撞</t>
        </is>
      </c>
      <c r="O113" s="364" t="inlineStr">
        <is>
          <t>assets/art/environments/base_facility_3d/runtime/env_base99_floor_full_replacement_v021/env_base99_floor_full_replacement_v021_root_top3d_v003.tscn</t>
        </is>
      </c>
      <c r="P113" s="364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113" s="364" t="inlineStr">
        <is>
          <t>基地99层;完整地板替换;V021;PaletteUV;visual_only;旧MultiMesh已移除;无重叠</t>
        </is>
      </c>
      <c r="R113" s="364" t="inlineStr">
        <is>
          <t>场景|environment_module_3d|base99_floor_full_replacement_v021|full_floor_visual_replacement|top3d / local -z 正面|default / visual_only</t>
        </is>
      </c>
      <c r="S113" s="364">
        <f>IF(COUNTIF($R$6:$R$419,R113)&gt;1,"重复","唯一")</f>
        <v/>
      </c>
      <c r="T113" s="364" t="inlineStr">
        <is>
          <t>aee79560972e7d301486cd1dc1388259105ae10a47a3a77045959fd8e29b0498</t>
        </is>
      </c>
      <c r="U113" s="364" t="inlineStr">
        <is>
          <t>Codex</t>
        </is>
      </c>
      <c r="V113" s="307" t="n">
        <v>46269</v>
      </c>
      <c r="W113" s="364" t="inlineStr">
        <is>
          <t>用户自制Blender资产</t>
        </is>
      </c>
      <c r="X113" s="375" t="inlineStr">
        <is>
          <t>—</t>
        </is>
      </c>
      <c r="Y113" s="364" t="inlineStr">
        <is>
          <t>GLB SHA256=6655e4322cd654e533e53670fb1e6611ce65818068de016faaea1b59ffb6835a；基础18普通板+18铆钉板保持复用；V017独占细节聚合为2网格，承重碰撞不变。</t>
        </is>
      </c>
    </row>
    <row r="114">
      <c r="A114" s="349" t="inlineStr">
        <is>
          <t>ENV-BASE99-LOFT-FLOOR-FINISH-V017</t>
        </is>
      </c>
      <c r="B114" s="349" t="inlineStr">
        <is>
          <t>基地99层二层地板面层 V020</t>
        </is>
      </c>
      <c r="C114" s="349" t="inlineStr">
        <is>
          <t>场景</t>
        </is>
      </c>
      <c r="D114" s="349" t="inlineStr">
        <is>
          <t>environment_module_3d</t>
        </is>
      </c>
      <c r="E114" s="349" t="inlineStr">
        <is>
          <t>base99_loft_floor_finish_v020</t>
        </is>
      </c>
      <c r="F114" s="349" t="inlineStr">
        <is>
          <t>loft_floor_finish_overlay</t>
        </is>
      </c>
      <c r="G114" s="349" t="inlineStr">
        <is>
          <t>ENV-BASE99-ART-LAYOUT-3D</t>
        </is>
      </c>
      <c r="H114" s="349" t="inlineStr">
        <is>
          <t>Top3D / local -Z 正面</t>
        </is>
      </c>
      <c r="I114" s="349" t="inlineStr">
        <is>
          <t>default / visual_only</t>
        </is>
      </c>
      <c r="J114" s="349" t="inlineStr">
        <is>
          <t>99层基地楼中楼地面表现</t>
        </is>
      </c>
      <c r="K114" s="349" t="inlineStr">
        <is>
          <t>已完成</t>
        </is>
      </c>
      <c r="L114" s="349" t="inlineStr">
        <is>
          <t>P0</t>
        </is>
      </c>
      <c r="M114" s="349" t="inlineStr">
        <is>
          <t>v002</t>
        </is>
      </c>
      <c r="N114" s="349" t="inlineStr">
        <is>
          <t>19.6×9.6×0.108m；1网格；2材质表面；206三角面；无内置碰撞</t>
        </is>
      </c>
      <c r="O114" s="349" t="inlineStr">
        <is>
          <t>assets/art/environments/base_facility_3d/runtime/env_base99_loft_floor_finish_v020/env_base99_loft_floor_finish_v020_root_top3d_v002.tscn</t>
        </is>
      </c>
      <c r="P114" s="34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114" s="349" t="inlineStr">
        <is>
          <t>基地99层;二层地板;V020;PaletteUV;visual_only;无重叠</t>
        </is>
      </c>
      <c r="R114" s="349" t="inlineStr">
        <is>
          <t>场景|environment_module_3d|base99_loft_floor_finish_v020|loft_floor_finish_overlay|top3d / local -z 正面|default / visual_only</t>
        </is>
      </c>
      <c r="S114" s="349">
        <f>IF(COUNTIF($R$6:$R$419,R114)&gt;1,"重复","唯一")</f>
        <v/>
      </c>
      <c r="T114" s="349" t="inlineStr">
        <is>
          <t>aee79560972e7d301486cd1dc1388259105ae10a47a3a77045959fd8e29b0498</t>
        </is>
      </c>
      <c r="U114" s="349" t="inlineStr">
        <is>
          <t>Codex</t>
        </is>
      </c>
      <c r="V114" s="348" t="n">
        <v>46269</v>
      </c>
      <c r="W114" s="349" t="inlineStr">
        <is>
          <t>用户自制Blender资产</t>
        </is>
      </c>
      <c r="X114" s="375" t="inlineStr">
        <is>
          <t>—</t>
        </is>
      </c>
      <c r="Y114" s="34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115">
      <c r="A115" s="349" t="inlineStr">
        <is>
          <t>ENV-BASE99-FLOOR-VISUAL-LAYOUT-V017</t>
        </is>
      </c>
      <c r="B115" s="349" t="inlineStr">
        <is>
          <t>基地99层完整地板表现装配 V021</t>
        </is>
      </c>
      <c r="C115" s="349" t="inlineStr">
        <is>
          <t>场景</t>
        </is>
      </c>
      <c r="D115" s="349" t="inlineStr">
        <is>
          <t>environment_module_3d</t>
        </is>
      </c>
      <c r="E115" s="349" t="inlineStr">
        <is>
          <t>base99_floor_visual_layout_v021</t>
        </is>
      </c>
      <c r="F115" s="349" t="inlineStr">
        <is>
          <t>floor_visual_assembly</t>
        </is>
      </c>
      <c r="G115" s="349" t="inlineStr">
        <is>
          <t>ENV-BASE99-ART-LAYOUT-3D</t>
        </is>
      </c>
      <c r="H115" s="349" t="inlineStr">
        <is>
          <t>Top3D / local -Z 正面</t>
        </is>
      </c>
      <c r="I115" s="349" t="inlineStr">
        <is>
          <t>default / visual_only</t>
        </is>
      </c>
      <c r="J115" s="349" t="inlineStr">
        <is>
          <t>99层基地美术布局</t>
        </is>
      </c>
      <c r="K115" s="349" t="inlineStr">
        <is>
          <t>已完成</t>
        </is>
      </c>
      <c r="L115" s="349" t="inlineStr">
        <is>
          <t>P0</t>
        </is>
      </c>
      <c r="M115" s="349" t="inlineStr">
        <is>
          <t>v003</t>
        </is>
      </c>
      <c r="N115" s="349" t="inlineStr">
        <is>
          <t>一层30×30m + 二层20×10m；无内置碰撞</t>
        </is>
      </c>
      <c r="O115" s="349" t="inlineStr">
        <is>
          <t>assets/art/environments/base_facility_3d/runtime/env_base99_floor_visuals_v021/env_base99_floor_visuals_root_top3d_v003.tscn</t>
        </is>
      </c>
      <c r="P115" s="34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115" s="349" t="inlineStr">
        <is>
          <t>基地99层;完整地板表现装配;V021;visual_only;旧MultiMesh已移除</t>
        </is>
      </c>
      <c r="R115" s="349" t="inlineStr">
        <is>
          <t>场景|environment_module_3d|base99_floor_visual_layout_v021|floor_visual_assembly|top3d / local -z 正面|default / visual_only</t>
        </is>
      </c>
      <c r="S115" s="349">
        <f>IF(COUNTIF($R$6:$R$419,R115)&gt;1,"重复","唯一")</f>
        <v/>
      </c>
      <c r="T115" s="349" t="inlineStr">
        <is>
          <t>aee79560972e7d301486cd1dc1388259105ae10a47a3a77045959fd8e29b0498</t>
        </is>
      </c>
      <c r="U115" s="349" t="inlineStr">
        <is>
          <t>Codex</t>
        </is>
      </c>
      <c r="V115" s="348" t="n">
        <v>46269</v>
      </c>
      <c r="W115" s="349" t="inlineStr">
        <is>
          <t>项目现有Godot资产</t>
        </is>
      </c>
      <c r="X115" s="375" t="inlineStr">
        <is>
          <t>—</t>
        </is>
      </c>
      <c r="Y115" s="34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116">
      <c r="A116" s="349" t="inlineStr">
        <is>
          <t>CHR-PLY-CAPSULE01-HAND-3D</t>
        </is>
      </c>
      <c r="B116" s="349" t="inlineStr">
        <is>
          <t>方形猫角色3D唯一手部</t>
        </is>
      </c>
      <c r="C116" s="349" t="inlineStr">
        <is>
          <t>角色</t>
        </is>
      </c>
      <c r="D116" s="349" t="inlineStr">
        <is>
          <t>player</t>
        </is>
      </c>
      <c r="E116" s="349" t="inlineStr">
        <is>
          <t>player_capsule01</t>
        </is>
      </c>
      <c r="F116" s="349" t="inlineStr">
        <is>
          <t>hand_3d</t>
        </is>
      </c>
      <c r="G116" s="349" t="inlineStr">
        <is>
          <t>CHR-PLY-CAPSULE01-3D</t>
        </is>
      </c>
      <c r="H116" s="349" t="inlineStr">
        <is>
          <t>俯视3D</t>
        </is>
      </c>
      <c r="I116" s="349" t="inlineStr">
        <is>
          <t>default</t>
        </is>
      </c>
      <c r="J116" s="349" t="inlineStr">
        <is>
          <t>3D玩家场景</t>
        </is>
      </c>
      <c r="K116" s="349" t="inlineStr">
        <is>
          <t>原型已接入</t>
        </is>
      </c>
      <c r="L116" s="349" t="inlineStr">
        <is>
          <t>P0</t>
        </is>
      </c>
      <c r="M116" s="349" t="inlineStr">
        <is>
          <t>v001</t>
        </is>
      </c>
      <c r="N116" s="349" t="inlineStr">
        <is>
          <t>SphereMesh节点</t>
        </is>
      </c>
      <c r="O116" s="349" t="inlineStr">
        <is>
          <t>assets/art/characters/player/chr_player_capsule01_3d/chr_player_capsule01_root_top3d_v001.tscn</t>
        </is>
      </c>
      <c r="P116" s="349" t="inlineStr">
        <is>
          <t>VisualRoot/Hand</t>
        </is>
      </c>
      <c r="Q116" s="349" t="inlineStr">
        <is>
          <t>单手;悬浮手;握持;3D</t>
        </is>
      </c>
      <c r="R116" s="349">
        <f>LOWER(TRIM(C116)&amp;"|"&amp;TRIM(D116)&amp;"|"&amp;TRIM(E116)&amp;"|"&amp;TRIM(F116)&amp;"|"&amp;TRIM(H116)&amp;"|"&amp;TRIM(I116))</f>
        <v/>
      </c>
      <c r="S116" s="349">
        <f>IF(COUNTIF($R$6:$R$300,R116)&gt;1,"重复","唯一")</f>
        <v/>
      </c>
      <c r="T116" s="349" t="inlineStr">
        <is>
          <t>2802d5526c3eb7a8ab01a09bb9d2115c7dc531563442527460ddfd71870cbdec</t>
        </is>
      </c>
      <c r="U116" s="349" t="inlineStr">
        <is>
          <t>Codex</t>
        </is>
      </c>
      <c r="V116" s="348" t="n">
        <v>46264</v>
      </c>
      <c r="W116" s="349" t="inlineStr">
        <is>
          <t>原创程序几何</t>
        </is>
      </c>
      <c r="X116" s="375" t="inlineStr">
        <is>
          <t>—</t>
        </is>
      </c>
      <c r="Y116" s="349" t="inlineStr">
        <is>
          <t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17">
      <c r="A117" s="349" t="inlineStr">
        <is>
          <t>CHR-PLY-CAPSULE01-SCARF-3D</t>
        </is>
      </c>
      <c r="B117" s="349" t="inlineStr">
        <is>
          <t>旧3D红围巾兼容节点</t>
        </is>
      </c>
      <c r="C117" s="349" t="inlineStr">
        <is>
          <t>角色</t>
        </is>
      </c>
      <c r="D117" s="349" t="inlineStr">
        <is>
          <t>player</t>
        </is>
      </c>
      <c r="E117" s="349" t="inlineStr">
        <is>
          <t>player_capsule01</t>
        </is>
      </c>
      <c r="F117" s="349" t="inlineStr">
        <is>
          <t>scarf_3d</t>
        </is>
      </c>
      <c r="G117" s="349" t="inlineStr">
        <is>
          <t>CHR-PLY-CAPSULE01-3D</t>
        </is>
      </c>
      <c r="H117" s="349" t="inlineStr">
        <is>
          <t>俯视3D</t>
        </is>
      </c>
      <c r="I117" s="349" t="inlineStr">
        <is>
          <t>default</t>
        </is>
      </c>
      <c r="J117" s="349" t="inlineStr">
        <is>
          <t>3D玩家场景</t>
        </is>
      </c>
      <c r="K117" s="349" t="inlineStr">
        <is>
          <t>原型已接入</t>
        </is>
      </c>
      <c r="L117" s="349" t="inlineStr">
        <is>
          <t>P0</t>
        </is>
      </c>
      <c r="M117" s="349" t="inlineStr">
        <is>
          <t>v001</t>
        </is>
      </c>
      <c r="N117" s="349" t="inlineStr">
        <is>
          <t>Cylinder+Box节点</t>
        </is>
      </c>
      <c r="O117" s="349" t="inlineStr">
        <is>
          <t>assets/art/characters/player/chr_player_capsule01_3d/chr_player_capsule01_root_top3d_v001.tscn</t>
        </is>
      </c>
      <c r="P117" s="349" t="inlineStr">
        <is>
          <t>VisualRoot/Scarf</t>
        </is>
      </c>
      <c r="Q117" s="349" t="inlineStr">
        <is>
          <t>红围巾;身份配件;3D</t>
        </is>
      </c>
      <c r="R117" s="349">
        <f>LOWER(TRIM(C117)&amp;"|"&amp;TRIM(D117)&amp;"|"&amp;TRIM(E117)&amp;"|"&amp;TRIM(F117)&amp;"|"&amp;TRIM(H117)&amp;"|"&amp;TRIM(I117))</f>
        <v/>
      </c>
      <c r="S117" s="349">
        <f>IF(COUNTIF($R$6:$R$300,R117)&gt;1,"重复","唯一")</f>
        <v/>
      </c>
      <c r="T117" s="349" t="inlineStr">
        <is>
          <t>2802d5526c3eb7a8ab01a09bb9d2115c7dc531563442527460ddfd71870cbdec</t>
        </is>
      </c>
      <c r="U117" s="349" t="inlineStr">
        <is>
          <t>Codex</t>
        </is>
      </c>
      <c r="V117" s="348" t="n">
        <v>46264</v>
      </c>
      <c r="W117" s="349" t="inlineStr">
        <is>
          <t>原创程序几何</t>
        </is>
      </c>
      <c r="X117" s="375" t="inlineStr">
        <is>
          <t>—</t>
        </is>
      </c>
      <c r="Y117" s="349" t="inlineStr">
        <is>
          <t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18">
      <c r="A118" s="349" t="inlineStr">
        <is>
          <t>CHR-PLY-CAPSULE01-WEAPON-SOCKET-3D</t>
        </is>
      </c>
      <c r="B118" s="349" t="inlineStr">
        <is>
          <t>方形猫角色3D武器挂点</t>
        </is>
      </c>
      <c r="C118" s="349" t="inlineStr">
        <is>
          <t>角色</t>
        </is>
      </c>
      <c r="D118" s="349" t="inlineStr">
        <is>
          <t>player</t>
        </is>
      </c>
      <c r="E118" s="349" t="inlineStr">
        <is>
          <t>player_capsule01</t>
        </is>
      </c>
      <c r="F118" s="349" t="inlineStr">
        <is>
          <t>weapon_socket_3d</t>
        </is>
      </c>
      <c r="G118" s="349" t="inlineStr">
        <is>
          <t>CHR-PLY-CAPSULE01-3D</t>
        </is>
      </c>
      <c r="H118" s="349" t="inlineStr">
        <is>
          <t>俯视3D</t>
        </is>
      </c>
      <c r="I118" s="349" t="inlineStr">
        <is>
          <t>default</t>
        </is>
      </c>
      <c r="J118" s="349" t="inlineStr">
        <is>
          <t>武器系统</t>
        </is>
      </c>
      <c r="K118" s="349" t="inlineStr">
        <is>
          <t>原型已接入</t>
        </is>
      </c>
      <c r="L118" s="349" t="inlineStr">
        <is>
          <t>P0</t>
        </is>
      </c>
      <c r="M118" s="349" t="inlineStr">
        <is>
          <t>v001</t>
        </is>
      </c>
      <c r="N118" s="349" t="inlineStr">
        <is>
          <t>Marker3D</t>
        </is>
      </c>
      <c r="O118" s="349" t="inlineStr">
        <is>
          <t>assets/art/characters/player/chr_player_capsule01_3d/chr_player_capsule01_root_top3d_v001.tscn</t>
        </is>
      </c>
      <c r="P118" s="349" t="inlineStr">
        <is>
          <t>VisualRoot/WeaponSocket</t>
        </is>
      </c>
      <c r="Q118" s="349" t="inlineStr">
        <is>
          <t>武器挂点;Marker3D;瞄准</t>
        </is>
      </c>
      <c r="R118" s="349">
        <f>LOWER(TRIM(C118)&amp;"|"&amp;TRIM(D118)&amp;"|"&amp;TRIM(E118)&amp;"|"&amp;TRIM(F118)&amp;"|"&amp;TRIM(H118)&amp;"|"&amp;TRIM(I118))</f>
        <v/>
      </c>
      <c r="S118" s="349">
        <f>IF(COUNTIF($R$6:$R$300,R118)&gt;1,"重复","唯一")</f>
        <v/>
      </c>
      <c r="T118" s="349" t="inlineStr">
        <is>
          <t>2802d5526c3eb7a8ab01a09bb9d2115c7dc531563442527460ddfd71870cbdec</t>
        </is>
      </c>
      <c r="U118" s="349" t="inlineStr">
        <is>
          <t>Codex</t>
        </is>
      </c>
      <c r="V118" s="348" t="n">
        <v>46264</v>
      </c>
      <c r="W118" s="349" t="inlineStr">
        <is>
          <t>原创逻辑挂点</t>
        </is>
      </c>
      <c r="X118" s="375" t="inlineStr">
        <is>
          <t>—</t>
        </is>
      </c>
      <c r="Y118" s="349" t="inlineStr">
        <is>
          <t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19">
      <c r="A119" s="349" t="inlineStr">
        <is>
          <t>ENV-BASE-WORLD-KIT-3D</t>
        </is>
      </c>
      <c r="B119" s="349" t="inlineStr">
        <is>
          <t>入口基地3D环境套件</t>
        </is>
      </c>
      <c r="C119" s="349" t="inlineStr">
        <is>
          <t>场景</t>
        </is>
      </c>
      <c r="D119" s="349" t="inlineStr">
        <is>
          <t>base</t>
        </is>
      </c>
      <c r="E119" s="349" t="inlineStr">
        <is>
          <t>base_world</t>
        </is>
      </c>
      <c r="F119" s="349" t="inlineStr">
        <is>
          <t>root_3d</t>
        </is>
      </c>
      <c r="G119" s="349" t="inlineStr">
        <is>
          <t>ENV-BASE-WORLD-KIT</t>
        </is>
      </c>
      <c r="H119" s="349" t="inlineStr">
        <is>
          <t>俯视3D</t>
        </is>
      </c>
      <c r="I119" s="349" t="inlineStr">
        <is>
          <t>default</t>
        </is>
      </c>
      <c r="J119" s="349" t="inlineStr">
        <is>
          <t>入口基地地图</t>
        </is>
      </c>
      <c r="K119" s="349" t="inlineStr">
        <is>
          <t>原型已接入</t>
        </is>
      </c>
      <c r="L119" s="349" t="inlineStr">
        <is>
          <t>P0</t>
        </is>
      </c>
      <c r="M119" s="349" t="inlineStr">
        <is>
          <t>v001</t>
        </is>
      </c>
      <c r="N119" s="349" t="inlineStr">
        <is>
          <t>约1:100迁移/程序几何</t>
        </is>
      </c>
      <c r="O119" s="349" t="inlineStr">
        <is>
          <t>assets/art/environments/base_world_3d/env_base_world_kit_top3d_v001.tscn</t>
        </is>
      </c>
      <c r="P119" s="349" t="inlineStr">
        <is>
          <t>scenes/BaseWorld3D.tscn</t>
        </is>
      </c>
      <c r="Q119" s="349" t="inlineStr">
        <is>
          <t>基地;道路;废墟;3D;入口地图</t>
        </is>
      </c>
      <c r="R119" s="349">
        <f>LOWER(TRIM(C119)&amp;"|"&amp;TRIM(D119)&amp;"|"&amp;TRIM(E119)&amp;"|"&amp;TRIM(F119)&amp;"|"&amp;TRIM(H119)&amp;"|"&amp;TRIM(I119))</f>
        <v/>
      </c>
      <c r="S119" s="349">
        <f>IF(COUNTIF($R$6:$R$300,R119)&gt;1,"重复","唯一")</f>
        <v/>
      </c>
      <c r="T119" s="349" t="inlineStr">
        <is>
          <t>63c840d59bcecefab946690136474c9ca7b70408fb7b6bcc264819f9b66f14a5</t>
        </is>
      </c>
      <c r="U119" s="349" t="inlineStr">
        <is>
          <t>Codex</t>
        </is>
      </c>
      <c r="V119" s="348" t="n">
        <v>46224</v>
      </c>
      <c r="W119" s="349" t="inlineStr">
        <is>
          <t>原创程序几何</t>
        </is>
      </c>
      <c r="X119" s="375" t="inlineStr">
        <is>
          <t>—</t>
        </is>
      </c>
      <c r="Y119" s="349" t="inlineStr">
        <is>
          <t>保留原2D布局语义；首张3D迁移地图</t>
        </is>
      </c>
    </row>
    <row r="120" ht="155" customHeight="1">
      <c r="A120" s="364" t="inlineStr">
        <is>
          <t>PRP-BASE-FACILITY-3D</t>
        </is>
      </c>
      <c r="B120" s="364" t="inlineStr">
        <is>
          <t>基地设施3D通用模块</t>
        </is>
      </c>
      <c r="C120" s="364" t="inlineStr">
        <is>
          <t>场景道具</t>
        </is>
      </c>
      <c r="D120" s="364" t="inlineStr">
        <is>
          <t>facility</t>
        </is>
      </c>
      <c r="E120" s="364" t="inlineStr">
        <is>
          <t>base_facility_module</t>
        </is>
      </c>
      <c r="F120" s="364" t="inlineStr">
        <is>
          <t>root_3d</t>
        </is>
      </c>
      <c r="G120" s="364" t="inlineStr">
        <is>
          <t>ENV-BASE-WORLD-KIT-3D</t>
        </is>
      </c>
      <c r="H120" s="364" t="inlineStr">
        <is>
          <t>俯视3D</t>
        </is>
      </c>
      <c r="I120" s="364" t="inlineStr">
        <is>
          <t>default</t>
        </is>
      </c>
      <c r="J120" s="364" t="inlineStr">
        <is>
          <t>8类基地设施/统一状态牌</t>
        </is>
      </c>
      <c r="K120" s="364" t="inlineStr">
        <is>
          <t>原型已接入</t>
        </is>
      </c>
      <c r="L120" s="364" t="inlineStr">
        <is>
          <t>P0</t>
        </is>
      </c>
      <c r="M120" s="364" t="inlineStr">
        <is>
          <t>v001</t>
        </is>
      </c>
      <c r="N120" s="364" t="inlineStr">
        <is>
          <t>PackedScene/材质变体/名称与实时摘要共用Label3D</t>
        </is>
      </c>
      <c r="O120" s="364" t="inlineStr">
        <is>
          <t>assets/art/props/base_world_3d/prp_base_facility_root_top3d_v001.tscn</t>
        </is>
      </c>
      <c r="P120" s="364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120" s="364" t="inlineStr">
        <is>
          <t>设施;交互;信标;3D;facility_id;实时摘要;状态牌;共享目录</t>
        </is>
      </c>
      <c r="R120" s="364">
        <f>LOWER(TRIM(C120)&amp;"|"&amp;TRIM(D120)&amp;"|"&amp;TRIM(E120)&amp;"|"&amp;TRIM(F120)&amp;"|"&amp;TRIM(H120)&amp;"|"&amp;TRIM(I120))</f>
        <v/>
      </c>
      <c r="S120" s="364">
        <f>IF(COUNTIF($R$6:$R$300,R120)&gt;1,"重复","唯一")</f>
        <v/>
      </c>
      <c r="T120" s="364" t="inlineStr">
        <is>
          <t>391cad1c83f33586ba70d208dca713c52c05e62c6c8100801a615c84d2d7c719</t>
        </is>
      </c>
      <c r="U120" s="364" t="inlineStr">
        <is>
          <t>Codex</t>
        </is>
      </c>
      <c r="V120" s="307" t="n">
        <v>46264</v>
      </c>
      <c r="W120" s="364" t="inlineStr">
        <is>
          <t>原创程序几何</t>
        </is>
      </c>
      <c r="X120" s="375" t="inlineStr">
        <is>
          <t>—</t>
        </is>
      </c>
      <c r="Y120" s="364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121">
      <c r="A121" s="349" t="inlineStr">
        <is>
          <t>PRP-DUNGEON-GATE-3D</t>
        </is>
      </c>
      <c r="B121" s="349" t="inlineStr">
        <is>
          <t>地下城入口3D模块</t>
        </is>
      </c>
      <c r="C121" s="349" t="inlineStr">
        <is>
          <t>场景道具</t>
        </is>
      </c>
      <c r="D121" s="349" t="inlineStr">
        <is>
          <t>door</t>
        </is>
      </c>
      <c r="E121" s="349" t="inlineStr">
        <is>
          <t>dungeon_gate</t>
        </is>
      </c>
      <c r="F121" s="349" t="inlineStr">
        <is>
          <t>root_3d</t>
        </is>
      </c>
      <c r="G121" s="349" t="inlineStr">
        <is>
          <t>PRP-DUNGEON-GATE</t>
        </is>
      </c>
      <c r="H121" s="349" t="inlineStr">
        <is>
          <t>俯视3D</t>
        </is>
      </c>
      <c r="I121" s="349" t="inlineStr">
        <is>
          <t>default</t>
        </is>
      </c>
      <c r="J121" s="349" t="inlineStr">
        <is>
          <t>4个地下城入口</t>
        </is>
      </c>
      <c r="K121" s="349" t="inlineStr">
        <is>
          <t>原型已接入</t>
        </is>
      </c>
      <c r="L121" s="349" t="inlineStr">
        <is>
          <t>P0</t>
        </is>
      </c>
      <c r="M121" s="349" t="inlineStr">
        <is>
          <t>v001</t>
        </is>
      </c>
      <c r="N121" s="349" t="inlineStr">
        <is>
          <t>PackedScene/材质变体</t>
        </is>
      </c>
      <c r="O121" s="349" t="inlineStr">
        <is>
          <t>assets/art/props/base_world_3d/prp_dungeon_gate_root_top3d_v001.tscn</t>
        </is>
      </c>
      <c r="P121" s="349" t="inlineStr">
        <is>
          <t>src/base3d/DungeonEntrance3D.gd</t>
        </is>
      </c>
      <c r="Q121" s="349" t="inlineStr">
        <is>
          <t>地下城;门;交互;3D</t>
        </is>
      </c>
      <c r="R121" s="349">
        <f>LOWER(TRIM(C121)&amp;"|"&amp;TRIM(D121)&amp;"|"&amp;TRIM(E121)&amp;"|"&amp;TRIM(F121)&amp;"|"&amp;TRIM(H121)&amp;"|"&amp;TRIM(I121))</f>
        <v/>
      </c>
      <c r="S121" s="349">
        <f>IF(COUNTIF($R$6:$R$300,R121)&gt;1,"重复","唯一")</f>
        <v/>
      </c>
      <c r="T121" s="349" t="inlineStr">
        <is>
          <t>1fc802ceb8caef1ce77a54958a8b5e82a0fcae37459106fee970c8941146ba8f</t>
        </is>
      </c>
      <c r="U121" s="349" t="inlineStr">
        <is>
          <t>Codex</t>
        </is>
      </c>
      <c r="V121" s="348" t="n">
        <v>46224</v>
      </c>
      <c r="W121" s="349" t="inlineStr">
        <is>
          <t>原创程序几何</t>
        </is>
      </c>
      <c r="X121" s="375" t="inlineStr">
        <is>
          <t>—</t>
        </is>
      </c>
      <c r="Y121" s="349" t="inlineStr">
        <is>
          <t>保持旧入口ID与目标场景；地下城内部暂保留2D</t>
        </is>
      </c>
    </row>
    <row r="122">
      <c r="A122" s="349" t="inlineStr">
        <is>
          <t>ENV-BASE-WORLD-3D-PREVIEW</t>
        </is>
      </c>
      <c r="B122" s="349" t="inlineStr">
        <is>
          <t>入口基地3D验收预览</t>
        </is>
      </c>
      <c r="C122" s="349" t="inlineStr">
        <is>
          <t>场景</t>
        </is>
      </c>
      <c r="D122" s="349" t="inlineStr">
        <is>
          <t>review_board</t>
        </is>
      </c>
      <c r="E122" s="349" t="inlineStr">
        <is>
          <t>base_world</t>
        </is>
      </c>
      <c r="F122" s="349" t="inlineStr">
        <is>
          <t>preview_3d</t>
        </is>
      </c>
      <c r="G122" s="349" t="inlineStr">
        <is>
          <t>ENV-BASE-WORLD-KIT-3D</t>
        </is>
      </c>
      <c r="H122" s="349" t="inlineStr">
        <is>
          <t>俯视3D</t>
        </is>
      </c>
      <c r="I122" s="349" t="inlineStr">
        <is>
          <t>default</t>
        </is>
      </c>
      <c r="J122" s="349" t="inlineStr">
        <is>
          <t>评审与资产QA</t>
        </is>
      </c>
      <c r="K122" s="349" t="inlineStr">
        <is>
          <t>已完成</t>
        </is>
      </c>
      <c r="L122" s="349" t="inlineStr">
        <is>
          <t>P1</t>
        </is>
      </c>
      <c r="M122" s="349" t="inlineStr">
        <is>
          <t>v001</t>
        </is>
      </c>
      <c r="N122" s="349" t="inlineStr">
        <is>
          <t>1280×720 PNG</t>
        </is>
      </c>
      <c r="O122" s="349" t="inlineStr">
        <is>
          <t>assets/art/environments/base_world_3d/env_base_world_preview_top3d_v001.png</t>
        </is>
      </c>
      <c r="P122" s="349" t="inlineStr">
        <is>
          <t>tests/verification/verify_base_world_3d_visual.tscn</t>
        </is>
      </c>
      <c r="Q122" s="349" t="inlineStr">
        <is>
          <t>3D预览;评审;入口地图</t>
        </is>
      </c>
      <c r="R122" s="349">
        <f>LOWER(TRIM(C122)&amp;"|"&amp;TRIM(D122)&amp;"|"&amp;TRIM(E122)&amp;"|"&amp;TRIM(F122)&amp;"|"&amp;TRIM(H122)&amp;"|"&amp;TRIM(I122))</f>
        <v/>
      </c>
      <c r="S122" s="349">
        <f>IF(COUNTIF($R$6:$R$300,R122)&gt;1,"重复","唯一")</f>
        <v/>
      </c>
      <c r="T122" s="349" t="inlineStr">
        <is>
          <t>7dc3ff5d1bb5942c8340359bfa6d55374604dfbc9fc8b2a23b68a3079fac2e01</t>
        </is>
      </c>
      <c r="U122" s="349" t="inlineStr">
        <is>
          <t>Codex</t>
        </is>
      </c>
      <c r="V122" s="348" t="n">
        <v>46224</v>
      </c>
      <c r="W122" s="349" t="inlineStr">
        <is>
          <t>项目运行截图</t>
        </is>
      </c>
      <c r="X122" s="375" t="inlineStr">
        <is>
          <t>—</t>
        </is>
      </c>
      <c r="Y122" s="349" t="inlineStr">
        <is>
          <t>用于检查3D布局、镜头、组件比例与交互可读性</t>
        </is>
      </c>
    </row>
    <row r="123" ht="155" customHeight="1">
      <c r="A123" s="364" t="inlineStr">
        <is>
          <t>ENV-DUNGEON-RUNTIME-3D</t>
        </is>
      </c>
      <c r="B123" s="364" t="inlineStr">
        <is>
          <t>3D随机关卡通用房间套件</t>
        </is>
      </c>
      <c r="C123" s="364" t="inlineStr">
        <is>
          <t>场景</t>
        </is>
      </c>
      <c r="D123" s="364" t="inlineStr">
        <is>
          <t>room</t>
        </is>
      </c>
      <c r="E123" s="364" t="inlineStr">
        <is>
          <t>dungeon_runtime</t>
        </is>
      </c>
      <c r="F123" s="364" t="inlineStr">
        <is>
          <t>root_3d</t>
        </is>
      </c>
      <c r="G123" s="364" t="n"/>
      <c r="H123" s="364" t="inlineStr">
        <is>
          <t>俯视3D</t>
        </is>
      </c>
      <c r="I123" s="364" t="inlineStr">
        <is>
          <t>default</t>
        </is>
      </c>
      <c r="J123" s="364" t="inlineStr">
        <is>
          <t>四主题副本/随机房间</t>
        </is>
      </c>
      <c r="K123" s="364" t="inlineStr">
        <is>
          <t>原型已接入</t>
        </is>
      </c>
      <c r="L123" s="364" t="inlineStr">
        <is>
          <t>P0</t>
        </is>
      </c>
      <c r="M123" s="364" t="inlineStr">
        <is>
          <t>v001</t>
        </is>
      </c>
      <c r="N123" s="364" t="inlineStr">
        <is>
          <t>PackedScene/三档程序几何</t>
        </is>
      </c>
      <c r="O123" s="364" t="inlineStr">
        <is>
          <t>assets/art/environments/dungeon_3d/env_dungeon_runtime_kit_top3d_v001.tscn</t>
        </is>
      </c>
      <c r="P123" s="364" t="inlineStr">
        <is>
          <t>src/world3d/DungeonRoom3D.gd</t>
        </is>
      </c>
      <c r="Q123" s="364" t="inlineStr">
        <is>
          <t>房间;门洞;走廊;随机地图;3D</t>
        </is>
      </c>
      <c r="R123" s="364">
        <f>LOWER(TRIM(C123)&amp;"|"&amp;TRIM(D123)&amp;"|"&amp;TRIM(E123)&amp;"|"&amp;TRIM(F123)&amp;"|"&amp;TRIM(H123)&amp;"|"&amp;TRIM(I123))</f>
        <v/>
      </c>
      <c r="S123" s="364">
        <f>IF(COUNTIF($R$6:$R$300,R123)&gt;1,"重复","唯一")</f>
        <v/>
      </c>
      <c r="T123" s="364" t="inlineStr">
        <is>
          <t>fc33ac084150c3e3cbba89505b3e04f35712abbceaa5cec297c94fe4d7dcc2f3</t>
        </is>
      </c>
      <c r="U123" s="364" t="inlineStr">
        <is>
          <t>Codex</t>
        </is>
      </c>
      <c r="V123" s="307" t="n">
        <v>46233</v>
      </c>
      <c r="W123" s="364" t="inlineStr">
        <is>
          <t>原创程序几何</t>
        </is>
      </c>
      <c r="X123" s="375" t="inlineStr">
        <is>
          <t>—</t>
        </is>
      </c>
      <c r="Y123" s="364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124" ht="34" customHeight="1">
      <c r="A124" s="349" t="inlineStr">
        <is>
          <t>ENV-DUNGEON-IRON-FRONTIER-3D</t>
        </is>
      </c>
      <c r="B124" s="349" t="inlineStr">
        <is>
          <t>冷钢边境3D主题资源</t>
        </is>
      </c>
      <c r="C124" s="349" t="inlineStr">
        <is>
          <t>场景</t>
        </is>
      </c>
      <c r="D124" s="349" t="inlineStr">
        <is>
          <t>biome</t>
        </is>
      </c>
      <c r="E124" s="349" t="inlineStr">
        <is>
          <t>iron_frontier</t>
        </is>
      </c>
      <c r="F124" s="349" t="inlineStr">
        <is>
          <t>theme_3d</t>
        </is>
      </c>
      <c r="G124" s="349" t="inlineStr">
        <is>
          <t>ENV-DUNGEON-RUNTIME-3D</t>
        </is>
      </c>
      <c r="H124" s="349" t="inlineStr">
        <is>
          <t>俯视3D</t>
        </is>
      </c>
      <c r="I124" s="349" t="inlineStr">
        <is>
          <t>default</t>
        </is>
      </c>
      <c r="J124" s="349" t="inlineStr">
        <is>
          <t>冷钢边境</t>
        </is>
      </c>
      <c r="K124" s="349" t="inlineStr">
        <is>
          <t>原型已接入</t>
        </is>
      </c>
      <c r="L124" s="349" t="inlineStr">
        <is>
          <t>P0</t>
        </is>
      </c>
      <c r="M124" s="349" t="inlineStr">
        <is>
          <t>v001</t>
        </is>
      </c>
      <c r="N124" s="349" t="inlineStr">
        <is>
          <t>DungeonTheme3D Resource</t>
        </is>
      </c>
      <c r="O124" s="349" t="inlineStr">
        <is>
          <t>assets/art/environments/dungeon_3d/env_iron_frontier_kit_top3d_v001.tres</t>
        </is>
      </c>
      <c r="P124" s="349" t="inlineStr">
        <is>
          <t>scenes/levels3d/IronFrontier3D.tscn</t>
        </is>
      </c>
      <c r="Q124" s="349" t="inlineStr">
        <is>
          <t>冷钢;冷蓝;边境;雾;灯光</t>
        </is>
      </c>
      <c r="R124" s="349">
        <f>LOWER(TRIM(C124)&amp;"|"&amp;TRIM(D124)&amp;"|"&amp;TRIM(E124)&amp;"|"&amp;TRIM(F124)&amp;"|"&amp;TRIM(H124)&amp;"|"&amp;TRIM(I124))</f>
        <v/>
      </c>
      <c r="S124" s="349">
        <f>IF(COUNTIF($R$6:$R$300,R124)&gt;1,"重复","唯一")</f>
        <v/>
      </c>
      <c r="T124" s="349" t="inlineStr">
        <is>
          <t>a3c6e7e5433928b790e1fa0fe5124beaeb5ab579f2d376aa35a1be25b6736b58</t>
        </is>
      </c>
      <c r="U124" s="349" t="inlineStr">
        <is>
          <t>Codex</t>
        </is>
      </c>
      <c r="V124" s="348" t="n">
        <v>46224</v>
      </c>
      <c r="W124" s="349" t="inlineStr">
        <is>
          <t>原创程序配置</t>
        </is>
      </c>
      <c r="X124" s="375" t="inlineStr">
        <is>
          <t>—</t>
        </is>
      </c>
      <c r="Y124" s="349" t="inlineStr">
        <is>
          <t>只保存3D色彩/雾/灯光/家具倾向；玩法读取MapThemeProfile</t>
        </is>
      </c>
    </row>
    <row r="125" ht="34" customHeight="1">
      <c r="A125" s="349" t="inlineStr">
        <is>
          <t>ENV-DUNGEON-RUST-FOUNDRY-3D</t>
        </is>
      </c>
      <c r="B125" s="349" t="inlineStr">
        <is>
          <t>锈蚀铸造厂3D主题资源</t>
        </is>
      </c>
      <c r="C125" s="349" t="inlineStr">
        <is>
          <t>场景</t>
        </is>
      </c>
      <c r="D125" s="349" t="inlineStr">
        <is>
          <t>biome</t>
        </is>
      </c>
      <c r="E125" s="349" t="inlineStr">
        <is>
          <t>rust_foundry</t>
        </is>
      </c>
      <c r="F125" s="349" t="inlineStr">
        <is>
          <t>theme_3d</t>
        </is>
      </c>
      <c r="G125" s="349" t="inlineStr">
        <is>
          <t>ENV-DUNGEON-RUNTIME-3D</t>
        </is>
      </c>
      <c r="H125" s="349" t="inlineStr">
        <is>
          <t>俯视3D</t>
        </is>
      </c>
      <c r="I125" s="349" t="inlineStr">
        <is>
          <t>default</t>
        </is>
      </c>
      <c r="J125" s="349" t="inlineStr">
        <is>
          <t>锈蚀铸造厂</t>
        </is>
      </c>
      <c r="K125" s="349" t="inlineStr">
        <is>
          <t>原型已接入</t>
        </is>
      </c>
      <c r="L125" s="349" t="inlineStr">
        <is>
          <t>P0</t>
        </is>
      </c>
      <c r="M125" s="349" t="inlineStr">
        <is>
          <t>v001</t>
        </is>
      </c>
      <c r="N125" s="349" t="inlineStr">
        <is>
          <t>DungeonTheme3D Resource</t>
        </is>
      </c>
      <c r="O125" s="349" t="inlineStr">
        <is>
          <t>assets/art/environments/dungeon_3d/env_rust_foundry_kit_top3d_v001.tres</t>
        </is>
      </c>
      <c r="P125" s="349" t="inlineStr">
        <is>
          <t>scenes/levels3d/RustFoundry3D.tscn</t>
        </is>
      </c>
      <c r="Q125" s="349" t="inlineStr">
        <is>
          <t>锈蚀;铸造;橙光;工业</t>
        </is>
      </c>
      <c r="R125" s="349">
        <f>LOWER(TRIM(C125)&amp;"|"&amp;TRIM(D125)&amp;"|"&amp;TRIM(E125)&amp;"|"&amp;TRIM(F125)&amp;"|"&amp;TRIM(H125)&amp;"|"&amp;TRIM(I125))</f>
        <v/>
      </c>
      <c r="S125" s="349">
        <f>IF(COUNTIF($R$6:$R$300,R125)&gt;1,"重复","唯一")</f>
        <v/>
      </c>
      <c r="T125" s="349" t="inlineStr">
        <is>
          <t>0c14c1dd5a5b8edcb51fa5bb024666d845611bfd87c3c4ee0ded56c4614010a8</t>
        </is>
      </c>
      <c r="U125" s="349" t="inlineStr">
        <is>
          <t>Codex</t>
        </is>
      </c>
      <c r="V125" s="348" t="n">
        <v>46224</v>
      </c>
      <c r="W125" s="349" t="inlineStr">
        <is>
          <t>原创程序配置</t>
        </is>
      </c>
      <c r="X125" s="375" t="inlineStr">
        <is>
          <t>—</t>
        </is>
      </c>
      <c r="Y125" s="349" t="inlineStr">
        <is>
          <t>复用通用房间根；主题资源不复制玩法规则</t>
        </is>
      </c>
    </row>
    <row r="126" ht="34" customHeight="1">
      <c r="A126" s="349" t="inlineStr">
        <is>
          <t>ENV-DUNGEON-SPORE-DEPTHS-3D</t>
        </is>
      </c>
      <c r="B126" s="349" t="inlineStr">
        <is>
          <t>孢子深层3D主题资源</t>
        </is>
      </c>
      <c r="C126" s="349" t="inlineStr">
        <is>
          <t>场景</t>
        </is>
      </c>
      <c r="D126" s="349" t="inlineStr">
        <is>
          <t>biome</t>
        </is>
      </c>
      <c r="E126" s="349" t="inlineStr">
        <is>
          <t>spore_depths</t>
        </is>
      </c>
      <c r="F126" s="349" t="inlineStr">
        <is>
          <t>theme_3d</t>
        </is>
      </c>
      <c r="G126" s="349" t="inlineStr">
        <is>
          <t>ENV-DUNGEON-RUNTIME-3D</t>
        </is>
      </c>
      <c r="H126" s="349" t="inlineStr">
        <is>
          <t>俯视3D</t>
        </is>
      </c>
      <c r="I126" s="349" t="inlineStr">
        <is>
          <t>default</t>
        </is>
      </c>
      <c r="J126" s="349" t="inlineStr">
        <is>
          <t>孢子深层</t>
        </is>
      </c>
      <c r="K126" s="349" t="inlineStr">
        <is>
          <t>原型已接入</t>
        </is>
      </c>
      <c r="L126" s="349" t="inlineStr">
        <is>
          <t>P0</t>
        </is>
      </c>
      <c r="M126" s="349" t="inlineStr">
        <is>
          <t>v001</t>
        </is>
      </c>
      <c r="N126" s="349" t="inlineStr">
        <is>
          <t>DungeonTheme3D Resource</t>
        </is>
      </c>
      <c r="O126" s="349" t="inlineStr">
        <is>
          <t>assets/art/environments/dungeon_3d/env_spore_depths_kit_top3d_v001.tres</t>
        </is>
      </c>
      <c r="P126" s="349" t="inlineStr">
        <is>
          <t>scenes/levels3d/SporeDepths3D.tscn</t>
        </is>
      </c>
      <c r="Q126" s="349" t="inlineStr">
        <is>
          <t>孢子;病绿;地下;异化</t>
        </is>
      </c>
      <c r="R126" s="349">
        <f>LOWER(TRIM(C126)&amp;"|"&amp;TRIM(D126)&amp;"|"&amp;TRIM(E126)&amp;"|"&amp;TRIM(F126)&amp;"|"&amp;TRIM(H126)&amp;"|"&amp;TRIM(I126))</f>
        <v/>
      </c>
      <c r="S126" s="349">
        <f>IF(COUNTIF($R$6:$R$300,R126)&gt;1,"重复","唯一")</f>
        <v/>
      </c>
      <c r="T126" s="349" t="inlineStr">
        <is>
          <t>bbd5cc04028e3962ce9eb8ea04c1c06157d128b5dbad1cea64bed7b4a02e7689</t>
        </is>
      </c>
      <c r="U126" s="349" t="inlineStr">
        <is>
          <t>Codex</t>
        </is>
      </c>
      <c r="V126" s="348" t="n">
        <v>46224</v>
      </c>
      <c r="W126" s="349" t="inlineStr">
        <is>
          <t>原创程序配置</t>
        </is>
      </c>
      <c r="X126" s="375" t="inlineStr">
        <is>
          <t>—</t>
        </is>
      </c>
      <c r="Y126" s="349" t="inlineStr">
        <is>
          <t>复用通用房间根；主题资源不复制玩法规则</t>
        </is>
      </c>
    </row>
    <row r="127" ht="34" customHeight="1">
      <c r="A127" s="349" t="inlineStr">
        <is>
          <t>ENV-DUNGEON-ABYSS-ARCHIVE-3D</t>
        </is>
      </c>
      <c r="B127" s="349" t="inlineStr">
        <is>
          <t>深渊档案库3D主题资源</t>
        </is>
      </c>
      <c r="C127" s="349" t="inlineStr">
        <is>
          <t>场景</t>
        </is>
      </c>
      <c r="D127" s="349" t="inlineStr">
        <is>
          <t>biome</t>
        </is>
      </c>
      <c r="E127" s="349" t="inlineStr">
        <is>
          <t>abyss_archive</t>
        </is>
      </c>
      <c r="F127" s="349" t="inlineStr">
        <is>
          <t>theme_3d</t>
        </is>
      </c>
      <c r="G127" s="349" t="inlineStr">
        <is>
          <t>ENV-DUNGEON-RUNTIME-3D</t>
        </is>
      </c>
      <c r="H127" s="349" t="inlineStr">
        <is>
          <t>俯视3D</t>
        </is>
      </c>
      <c r="I127" s="349" t="inlineStr">
        <is>
          <t>default</t>
        </is>
      </c>
      <c r="J127" s="349" t="inlineStr">
        <is>
          <t>深渊档案库</t>
        </is>
      </c>
      <c r="K127" s="349" t="inlineStr">
        <is>
          <t>原型已接入</t>
        </is>
      </c>
      <c r="L127" s="349" t="inlineStr">
        <is>
          <t>P0</t>
        </is>
      </c>
      <c r="M127" s="349" t="inlineStr">
        <is>
          <t>v001</t>
        </is>
      </c>
      <c r="N127" s="349" t="inlineStr">
        <is>
          <t>DungeonTheme3D Resource</t>
        </is>
      </c>
      <c r="O127" s="349" t="inlineStr">
        <is>
          <t>assets/art/environments/dungeon_3d/env_abyss_archive_kit_top3d_v001.tres</t>
        </is>
      </c>
      <c r="P127" s="349" t="inlineStr">
        <is>
          <t>scenes/levels3d/AbyssArchive3D.tscn</t>
        </is>
      </c>
      <c r="Q127" s="349" t="inlineStr">
        <is>
          <t>深渊;档案;紫光;禁区</t>
        </is>
      </c>
      <c r="R127" s="349">
        <f>LOWER(TRIM(C127)&amp;"|"&amp;TRIM(D127)&amp;"|"&amp;TRIM(E127)&amp;"|"&amp;TRIM(F127)&amp;"|"&amp;TRIM(H127)&amp;"|"&amp;TRIM(I127))</f>
        <v/>
      </c>
      <c r="S127" s="349">
        <f>IF(COUNTIF($R$6:$R$300,R127)&gt;1,"重复","唯一")</f>
        <v/>
      </c>
      <c r="T127" s="349" t="inlineStr">
        <is>
          <t>fb276fb1586de1b69d306ff894800f51da600b8dfb2780cf8bc8d22695ad3a52</t>
        </is>
      </c>
      <c r="U127" s="349" t="inlineStr">
        <is>
          <t>Codex</t>
        </is>
      </c>
      <c r="V127" s="348" t="n">
        <v>46224</v>
      </c>
      <c r="W127" s="349" t="inlineStr">
        <is>
          <t>原创程序配置</t>
        </is>
      </c>
      <c r="X127" s="375" t="inlineStr">
        <is>
          <t>—</t>
        </is>
      </c>
      <c r="Y127" s="349" t="inlineStr">
        <is>
          <t>复用通用房间根；主题资源不复制玩法规则</t>
        </is>
      </c>
    </row>
    <row r="128" ht="155" customHeight="1">
      <c r="A128" s="364" t="inlineStr">
        <is>
          <t>PRP-WASTELAND-LIGHT-3D</t>
        </is>
      </c>
      <c r="B128" s="364" t="inlineStr">
        <is>
          <t>废土灯具3D通用模块（街灯/顶灯）</t>
        </is>
      </c>
      <c r="C128" s="364" t="inlineStr">
        <is>
          <t>场景道具</t>
        </is>
      </c>
      <c r="D128" s="364" t="inlineStr">
        <is>
          <t>light</t>
        </is>
      </c>
      <c r="E128" s="364" t="inlineStr">
        <is>
          <t>wasteland_light</t>
        </is>
      </c>
      <c r="F128" s="364" t="inlineStr">
        <is>
          <t>root_3d</t>
        </is>
      </c>
      <c r="G128" s="364" t="inlineStr">
        <is>
          <t>ENV-DUNGEON-RUNTIME-3D</t>
        </is>
      </c>
      <c r="H128" s="364" t="inlineStr">
        <is>
          <t>俯视3D</t>
        </is>
      </c>
      <c r="I128" s="364" t="inlineStr">
        <is>
          <t>default</t>
        </is>
      </c>
      <c r="J128" s="364" t="inlineStr">
        <is>
          <t>关卡/靶场/房间中央照明</t>
        </is>
      </c>
      <c r="K128" s="364" t="inlineStr">
        <is>
          <t>原型已接入</t>
        </is>
      </c>
      <c r="L128" s="364" t="inlineStr">
        <is>
          <t>P0</t>
        </is>
      </c>
      <c r="M128" s="364" t="inlineStr">
        <is>
          <t>v001</t>
        </is>
      </c>
      <c r="N128" s="364" t="inlineStr">
        <is>
          <t>PackedScene/OmniLight3D</t>
        </is>
      </c>
      <c r="O128" s="364" t="inlineStr">
        <is>
          <t>assets/art/props/dungeon_3d/prp_wasteland_light_root_top3d_v001.tscn</t>
        </is>
      </c>
      <c r="P128" s="364" t="inlineStr">
        <is>
          <t>src/world3d/WastelandLight3D.gd</t>
        </is>
      </c>
      <c r="Q128" s="364" t="inlineStr">
        <is>
          <t>灯具;街灯;中央顶灯;故障灯;废土</t>
        </is>
      </c>
      <c r="R128" s="364">
        <f>LOWER(TRIM(C128)&amp;"|"&amp;TRIM(D128)&amp;"|"&amp;TRIM(E128)&amp;"|"&amp;TRIM(F128)&amp;"|"&amp;TRIM(H128)&amp;"|"&amp;TRIM(I128))</f>
        <v/>
      </c>
      <c r="S128" s="364">
        <f>IF(COUNTIF($R$6:$R$300,R128)&gt;1,"重复","唯一")</f>
        <v/>
      </c>
      <c r="T128" s="364" t="inlineStr">
        <is>
          <t>0a6ec0add8b6e01b83f4dbaae421ff0dc69ed08648d304bac061f540af27d99b</t>
        </is>
      </c>
      <c r="U128" s="364" t="inlineStr">
        <is>
          <t>Codex</t>
        </is>
      </c>
      <c r="V128" s="307" t="n">
        <v>46237</v>
      </c>
      <c r="W128" s="364" t="inlineStr">
        <is>
          <t>原创程序几何</t>
        </is>
      </c>
      <c r="X128" s="375" t="inlineStr">
        <is>
          <t>—</t>
        </is>
      </c>
      <c r="Y128" s="364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129" ht="34" customHeight="1">
      <c r="A129" s="349" t="inlineStr">
        <is>
          <t>PRP-ROOM-FURNITURE-3D</t>
        </is>
      </c>
      <c r="B129" s="349" t="inlineStr">
        <is>
          <t>房间家具3D通用模块</t>
        </is>
      </c>
      <c r="C129" s="349" t="inlineStr">
        <is>
          <t>场景道具</t>
        </is>
      </c>
      <c r="D129" s="349" t="inlineStr">
        <is>
          <t>furniture</t>
        </is>
      </c>
      <c r="E129" s="349" t="inlineStr">
        <is>
          <t>room_furniture</t>
        </is>
      </c>
      <c r="F129" s="349" t="inlineStr">
        <is>
          <t>root_3d</t>
        </is>
      </c>
      <c r="G129" s="349" t="inlineStr">
        <is>
          <t>ENV-DUNGEON-RUNTIME-3D</t>
        </is>
      </c>
      <c r="H129" s="349" t="inlineStr">
        <is>
          <t>俯视3D</t>
        </is>
      </c>
      <c r="I129" s="349" t="inlineStr">
        <is>
          <t>default</t>
        </is>
      </c>
      <c r="J129" s="349" t="inlineStr">
        <is>
          <t>全部3D房间</t>
        </is>
      </c>
      <c r="K129" s="349" t="inlineStr">
        <is>
          <t>原型已接入</t>
        </is>
      </c>
      <c r="L129" s="349" t="inlineStr">
        <is>
          <t>P0</t>
        </is>
      </c>
      <c r="M129" s="349" t="inlineStr">
        <is>
          <t>v001</t>
        </is>
      </c>
      <c r="N129" s="349" t="inlineStr">
        <is>
          <t>PackedScene/类型与尺寸配置</t>
        </is>
      </c>
      <c r="O129" s="349" t="inlineStr">
        <is>
          <t>assets/art/props/dungeon_3d/prp_room_furniture_root_top3d_v001.tscn</t>
        </is>
      </c>
      <c r="P129" s="349" t="inlineStr">
        <is>
          <t>src/world3d/RoomFurniture3D.gd</t>
        </is>
      </c>
      <c r="Q129" s="349" t="inlineStr">
        <is>
          <t>家具;小中大;箱柜;工作台</t>
        </is>
      </c>
      <c r="R129" s="349">
        <f>LOWER(TRIM(C129)&amp;"|"&amp;TRIM(D129)&amp;"|"&amp;TRIM(E129)&amp;"|"&amp;TRIM(F129)&amp;"|"&amp;TRIM(H129)&amp;"|"&amp;TRIM(I129))</f>
        <v/>
      </c>
      <c r="S129" s="349">
        <f>IF(COUNTIF($R$6:$R$300,R129)&gt;1,"重复","唯一")</f>
        <v/>
      </c>
      <c r="T129" s="349" t="inlineStr">
        <is>
          <t>a78a7eaac02ce39add97d8a57754cc86ea34e740e24e0e901f4e037198a086e9</t>
        </is>
      </c>
      <c r="U129" s="349" t="inlineStr">
        <is>
          <t>Codex</t>
        </is>
      </c>
      <c r="V129" s="348" t="n">
        <v>46224</v>
      </c>
      <c r="W129" s="349" t="inlineStr">
        <is>
          <t>原创程序几何</t>
        </is>
      </c>
      <c r="X129" s="375" t="inlineStr">
        <is>
          <t>—</t>
        </is>
      </c>
      <c r="Y129" s="349" t="inlineStr">
        <is>
          <t>11类轮廓；small/medium/large影响占地与碰撞</t>
        </is>
      </c>
    </row>
    <row r="130" ht="34" customHeight="1">
      <c r="A130" s="349" t="inlineStr">
        <is>
          <t>PRP-SEARCH-CONTAINER-3D</t>
        </is>
      </c>
      <c r="B130" s="349" t="inlineStr">
        <is>
          <t>可搜索容器3D通用模块</t>
        </is>
      </c>
      <c r="C130" s="349" t="inlineStr">
        <is>
          <t>场景道具</t>
        </is>
      </c>
      <c r="D130" s="349" t="inlineStr">
        <is>
          <t>container</t>
        </is>
      </c>
      <c r="E130" s="349" t="inlineStr">
        <is>
          <t>search_container</t>
        </is>
      </c>
      <c r="F130" s="349" t="inlineStr">
        <is>
          <t>root_3d</t>
        </is>
      </c>
      <c r="G130" s="349" t="inlineStr">
        <is>
          <t>PRP-ROOM-FURNITURE-3D</t>
        </is>
      </c>
      <c r="H130" s="349" t="inlineStr">
        <is>
          <t>俯视3D</t>
        </is>
      </c>
      <c r="I130" s="349" t="inlineStr">
        <is>
          <t>closed_opened</t>
        </is>
      </c>
      <c r="J130" s="349" t="inlineStr">
        <is>
          <t>搜索房/仓储/事件</t>
        </is>
      </c>
      <c r="K130" s="349" t="inlineStr">
        <is>
          <t>原型已接入</t>
        </is>
      </c>
      <c r="L130" s="349" t="inlineStr">
        <is>
          <t>P0</t>
        </is>
      </c>
      <c r="M130" s="349" t="inlineStr">
        <is>
          <t>v001</t>
        </is>
      </c>
      <c r="N130" s="349" t="inlineStr">
        <is>
          <t>PackedScene/搜索状态</t>
        </is>
      </c>
      <c r="O130" s="349" t="inlineStr">
        <is>
          <t>assets/art/props/dungeon_3d/prp_search_container_root_top3d_v001.tscn</t>
        </is>
      </c>
      <c r="P130" s="349" t="inlineStr">
        <is>
          <t>src/world3d/RoomFurniture3D.gd</t>
        </is>
      </c>
      <c r="Q130" s="349" t="inlineStr">
        <is>
          <t>搜索;容器;战利品;小中大</t>
        </is>
      </c>
      <c r="R130" s="349">
        <f>LOWER(TRIM(C130)&amp;"|"&amp;TRIM(D130)&amp;"|"&amp;TRIM(E130)&amp;"|"&amp;TRIM(F130)&amp;"|"&amp;TRIM(H130)&amp;"|"&amp;TRIM(I130))</f>
        <v/>
      </c>
      <c r="S130" s="349">
        <f>IF(COUNTIF($R$6:$R$300,R130)&gt;1,"重复","唯一")</f>
        <v/>
      </c>
      <c r="T130" s="349" t="inlineStr">
        <is>
          <t>2c0852d86e7c0e635e76197ff8d2f6a030daa186f760dfb339d3fdeddf3c192d</t>
        </is>
      </c>
      <c r="U130" s="349" t="inlineStr">
        <is>
          <t>Codex</t>
        </is>
      </c>
      <c r="V130" s="348" t="n">
        <v>46224</v>
      </c>
      <c r="W130" s="349" t="inlineStr">
        <is>
          <t>原创程序几何</t>
        </is>
      </c>
      <c r="X130" s="375" t="inlineStr">
        <is>
          <t>—</t>
        </is>
      </c>
      <c r="Y130" s="349" t="inlineStr">
        <is>
          <t>搜索为家具状态与配置，不建立关卡局部重复模型</t>
        </is>
      </c>
    </row>
    <row r="131" ht="34" customHeight="1">
      <c r="A131" s="349" t="inlineStr">
        <is>
          <t>PRP-SERVICE-STATION-3D</t>
        </is>
      </c>
      <c r="B131" s="349" t="inlineStr">
        <is>
          <t>废土服务终端3D模块</t>
        </is>
      </c>
      <c r="C131" s="349" t="inlineStr">
        <is>
          <t>场景道具</t>
        </is>
      </c>
      <c r="D131" s="349" t="inlineStr">
        <is>
          <t>facility</t>
        </is>
      </c>
      <c r="E131" s="349" t="inlineStr">
        <is>
          <t>service_station</t>
        </is>
      </c>
      <c r="F131" s="349" t="inlineStr">
        <is>
          <t>root_3d</t>
        </is>
      </c>
      <c r="G131" s="349" t="inlineStr">
        <is>
          <t>ENV-DUNGEON-RUNTIME-3D</t>
        </is>
      </c>
      <c r="H131" s="349" t="inlineStr">
        <is>
          <t>俯视3D</t>
        </is>
      </c>
      <c r="I131" s="349" t="inlineStr">
        <is>
          <t>default</t>
        </is>
      </c>
      <c r="J131" s="349" t="inlineStr">
        <is>
          <t>商店/升级/事件/重置</t>
        </is>
      </c>
      <c r="K131" s="349" t="inlineStr">
        <is>
          <t>原型已接入</t>
        </is>
      </c>
      <c r="L131" s="349" t="inlineStr">
        <is>
          <t>P0</t>
        </is>
      </c>
      <c r="M131" s="349" t="inlineStr">
        <is>
          <t>v001</t>
        </is>
      </c>
      <c r="N131" s="349" t="inlineStr">
        <is>
          <t>PackedScene/程序组件</t>
        </is>
      </c>
      <c r="O131" s="349" t="inlineStr">
        <is>
          <t>assets/art/props/dungeon_3d/prp_service_station_root_top3d_v001.tscn</t>
        </is>
      </c>
      <c r="P131" s="349" t="inlineStr">
        <is>
          <t>src/world3d/ServiceStation3D.gd</t>
        </is>
      </c>
      <c r="Q131" s="349" t="inlineStr">
        <is>
          <t>终端;商店;升级;事件;重置</t>
        </is>
      </c>
      <c r="R131" s="349">
        <f>LOWER(TRIM(C131)&amp;"|"&amp;TRIM(D131)&amp;"|"&amp;TRIM(E131)&amp;"|"&amp;TRIM(F131)&amp;"|"&amp;TRIM(H131)&amp;"|"&amp;TRIM(I131))</f>
        <v/>
      </c>
      <c r="S131" s="349">
        <f>IF(COUNTIF($R$6:$R$300,R131)&gt;1,"重复","唯一")</f>
        <v/>
      </c>
      <c r="T131" s="349" t="inlineStr">
        <is>
          <t>da288e4a8ffc005053741d2eda3bbcbf2f6ad34c32c6657e35d0ddf62b837be4</t>
        </is>
      </c>
      <c r="U131" s="349" t="inlineStr">
        <is>
          <t>Codex</t>
        </is>
      </c>
      <c r="V131" s="348" t="n">
        <v>46224</v>
      </c>
      <c r="W131" s="349" t="inlineStr">
        <is>
          <t>原创程序几何</t>
        </is>
      </c>
      <c r="X131" s="375" t="inlineStr">
        <is>
          <t>—</t>
        </is>
      </c>
      <c r="Y131" s="349" t="inlineStr">
        <is>
          <t>四种服务行为复用同一视觉与交互组件</t>
        </is>
      </c>
    </row>
    <row r="132" ht="34" customHeight="1">
      <c r="A132" s="349" t="inlineStr">
        <is>
          <t>PRP-EXTRACTION-BEACON-3D</t>
        </is>
      </c>
      <c r="B132" s="349" t="inlineStr">
        <is>
          <t>撤离信标3D模块</t>
        </is>
      </c>
      <c r="C132" s="349" t="inlineStr">
        <is>
          <t>场景道具</t>
        </is>
      </c>
      <c r="D132" s="349" t="inlineStr">
        <is>
          <t>facility</t>
        </is>
      </c>
      <c r="E132" s="349" t="inlineStr">
        <is>
          <t>extraction_beacon</t>
        </is>
      </c>
      <c r="F132" s="349" t="inlineStr">
        <is>
          <t>root_3d</t>
        </is>
      </c>
      <c r="G132" s="349" t="inlineStr">
        <is>
          <t>ENV-DUNGEON-RUNTIME-3D</t>
        </is>
      </c>
      <c r="H132" s="349" t="inlineStr">
        <is>
          <t>俯视3D</t>
        </is>
      </c>
      <c r="I132" s="349" t="inlineStr">
        <is>
          <t>locked_active_done</t>
        </is>
      </c>
      <c r="J132" s="349" t="inlineStr">
        <is>
          <t>四主题撤离房</t>
        </is>
      </c>
      <c r="K132" s="349" t="inlineStr">
        <is>
          <t>原型已接入</t>
        </is>
      </c>
      <c r="L132" s="349" t="inlineStr">
        <is>
          <t>P0</t>
        </is>
      </c>
      <c r="M132" s="349" t="inlineStr">
        <is>
          <t>v001</t>
        </is>
      </c>
      <c r="N132" s="349" t="inlineStr">
        <is>
          <t>PackedScene/程序组件</t>
        </is>
      </c>
      <c r="O132" s="349" t="inlineStr">
        <is>
          <t>assets/art/props/dungeon_3d/prp_extraction_beacon_root_top3d_v001.tscn</t>
        </is>
      </c>
      <c r="P132" s="349" t="inlineStr">
        <is>
          <t>src/world3d/ExtractionBeacon3D.gd</t>
        </is>
      </c>
      <c r="Q132" s="349" t="inlineStr">
        <is>
          <t>撤离;信标;倒计时;Boss解锁</t>
        </is>
      </c>
      <c r="R132" s="349">
        <f>LOWER(TRIM(C132)&amp;"|"&amp;TRIM(D132)&amp;"|"&amp;TRIM(E132)&amp;"|"&amp;TRIM(F132)&amp;"|"&amp;TRIM(H132)&amp;"|"&amp;TRIM(I132))</f>
        <v/>
      </c>
      <c r="S132" s="349">
        <f>IF(COUNTIF($R$6:$R$300,R132)&gt;1,"重复","唯一")</f>
        <v/>
      </c>
      <c r="T132" s="349" t="inlineStr">
        <is>
          <t>f2638fdaca3f9542e918a56750bda04a5828b18a763569eb16a36619e9e336b4</t>
        </is>
      </c>
      <c r="U132" s="349" t="inlineStr">
        <is>
          <t>Codex</t>
        </is>
      </c>
      <c r="V132" s="348" t="n">
        <v>46237</v>
      </c>
      <c r="W132" s="349" t="inlineStr">
        <is>
          <t>原创程序几何</t>
        </is>
      </c>
      <c r="X132" s="375" t="inlineStr">
        <is>
          <t>—</t>
        </is>
      </c>
      <c r="Y132" s="34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133" ht="34" customHeight="1">
      <c r="A133" s="349" t="inlineStr">
        <is>
          <t>VFX-HAZARD-FIELD-3D</t>
        </is>
      </c>
      <c r="B133" s="349" t="inlineStr">
        <is>
          <t>房间危险场3D特效</t>
        </is>
      </c>
      <c r="C133" s="349" t="inlineStr">
        <is>
          <t>特效</t>
        </is>
      </c>
      <c r="D133" s="349" t="inlineStr">
        <is>
          <t>environment</t>
        </is>
      </c>
      <c r="E133" s="349" t="inlineStr">
        <is>
          <t>hazard_field</t>
        </is>
      </c>
      <c r="F133" s="349" t="inlineStr">
        <is>
          <t>root_3d</t>
        </is>
      </c>
      <c r="G133" s="349" t="inlineStr">
        <is>
          <t>ENV-DUNGEON-RUNTIME-3D</t>
        </is>
      </c>
      <c r="H133" s="349" t="inlineStr">
        <is>
          <t>俯视3D</t>
        </is>
      </c>
      <c r="I133" s="349" t="inlineStr">
        <is>
          <t>active</t>
        </is>
      </c>
      <c r="J133" s="349" t="inlineStr">
        <is>
          <t>陷阱房</t>
        </is>
      </c>
      <c r="K133" s="349" t="inlineStr">
        <is>
          <t>原型已接入</t>
        </is>
      </c>
      <c r="L133" s="349" t="inlineStr">
        <is>
          <t>P0</t>
        </is>
      </c>
      <c r="M133" s="349" t="inlineStr">
        <is>
          <t>v001</t>
        </is>
      </c>
      <c r="N133" s="349" t="inlineStr">
        <is>
          <t>PackedScene/程序环形特效</t>
        </is>
      </c>
      <c r="O133" s="349" t="inlineStr">
        <is>
          <t>assets/art/vfx/environment_3d/vfx_hazard_field_root_top3d_v001.tscn</t>
        </is>
      </c>
      <c r="P133" s="349" t="inlineStr">
        <is>
          <t>src/world3d/HazardField3D.gd</t>
        </is>
      </c>
      <c r="Q133" s="349" t="inlineStr">
        <is>
          <t>危险区;陷阱;范围伤害;3D</t>
        </is>
      </c>
      <c r="R133" s="349">
        <f>LOWER(TRIM(C133)&amp;"|"&amp;TRIM(D133)&amp;"|"&amp;TRIM(E133)&amp;"|"&amp;TRIM(F133)&amp;"|"&amp;TRIM(H133)&amp;"|"&amp;TRIM(I133))</f>
        <v/>
      </c>
      <c r="S133" s="349">
        <f>IF(COUNTIF($R$6:$R$300,R133)&gt;1,"重复","唯一")</f>
        <v/>
      </c>
      <c r="T133" s="349" t="inlineStr">
        <is>
          <t>66ab8d6bc0e2729ca56c7f3c46a588e5f74890cfdf02b90de1fdc46fd1a67648</t>
        </is>
      </c>
      <c r="U133" s="349" t="inlineStr">
        <is>
          <t>Codex</t>
        </is>
      </c>
      <c r="V133" s="348" t="n">
        <v>46224</v>
      </c>
      <c r="W133" s="349" t="inlineStr">
        <is>
          <t>原创程序特效</t>
        </is>
      </c>
      <c r="X133" s="375" t="inlineStr">
        <is>
          <t>—</t>
        </is>
      </c>
      <c r="Y133" s="349" t="inlineStr">
        <is>
          <t>颜色、半径与伤害可按主题配置</t>
        </is>
      </c>
    </row>
    <row r="134" ht="34" customHeight="1">
      <c r="A134" s="349" t="inlineStr">
        <is>
          <t>WPN-GUN-KIT-3D</t>
        </is>
      </c>
      <c r="B134" s="349" t="inlineStr">
        <is>
          <t>枪械3D通用模型套件</t>
        </is>
      </c>
      <c r="C134" s="349" t="inlineStr">
        <is>
          <t>武器</t>
        </is>
      </c>
      <c r="D134" s="349" t="inlineStr">
        <is>
          <t>gunbody</t>
        </is>
      </c>
      <c r="E134" s="349" t="inlineStr">
        <is>
          <t>blueprint_gun_catalog</t>
        </is>
      </c>
      <c r="F134" s="349" t="inlineStr">
        <is>
          <t>root_3d</t>
        </is>
      </c>
      <c r="G134" s="349" t="n"/>
      <c r="H134" s="349" t="inlineStr">
        <is>
          <t>俯视3D</t>
        </is>
      </c>
      <c r="I134" s="349" t="inlineStr">
        <is>
          <t>default</t>
        </is>
      </c>
      <c r="J134" s="349" t="inlineStr">
        <is>
          <t>玩家/靶场/全部副本</t>
        </is>
      </c>
      <c r="K134" s="349" t="inlineStr">
        <is>
          <t>原型已接入</t>
        </is>
      </c>
      <c r="L134" s="349" t="inlineStr">
        <is>
          <t>P0</t>
        </is>
      </c>
      <c r="M134" s="349" t="inlineStr">
        <is>
          <t>v001</t>
        </is>
      </c>
      <c r="N134" s="349" t="inlineStr">
        <is>
          <t>PackedScene/7枪配置模型</t>
        </is>
      </c>
      <c r="O134" s="349" t="inlineStr">
        <is>
          <t>assets/art/weapons/weapon_3d/wpn_gun_kit_root_top3d_v001.tscn</t>
        </is>
      </c>
      <c r="P134" s="349" t="inlineStr">
        <is>
          <t>src/combat3d/WeaponModel3D.gd</t>
        </is>
      </c>
      <c r="Q134" s="349" t="inlineStr">
        <is>
          <t>枪械;7枪身;8弹药;后坐力;枪口</t>
        </is>
      </c>
      <c r="R134" s="349">
        <f>LOWER(TRIM(C134)&amp;"|"&amp;TRIM(D134)&amp;"|"&amp;TRIM(E134)&amp;"|"&amp;TRIM(F134)&amp;"|"&amp;TRIM(H134)&amp;"|"&amp;TRIM(I134))</f>
        <v/>
      </c>
      <c r="S134" s="349">
        <f>IF(COUNTIF($R$6:$R$300,R134)&gt;1,"重复","唯一")</f>
        <v/>
      </c>
      <c r="T134" s="349" t="inlineStr">
        <is>
          <t>e13801540404433f6fc5f00faa0f523b804d18ec7fa30c0f6c15fab48f1ec4c9</t>
        </is>
      </c>
      <c r="U134" s="349" t="inlineStr">
        <is>
          <t>Codex</t>
        </is>
      </c>
      <c r="V134" s="348" t="n">
        <v>46225</v>
      </c>
      <c r="W134" s="349" t="inlineStr">
        <is>
          <t>原创程序几何</t>
        </is>
      </c>
      <c r="X134" s="375" t="inlineStr">
        <is>
          <t>—</t>
        </is>
      </c>
      <c r="Y134" s="3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135" ht="34" customHeight="1">
      <c r="A135" s="349" t="inlineStr">
        <is>
          <t>ENM-ECOSYSTEM-KIT-3D</t>
        </is>
      </c>
      <c r="B135" s="349" t="inlineStr">
        <is>
          <t>七类怪物3D生态套件</t>
        </is>
      </c>
      <c r="C135" s="349" t="inlineStr">
        <is>
          <t>敌人</t>
        </is>
      </c>
      <c r="D135" s="349" t="inlineStr">
        <is>
          <t>normal_elite_boss</t>
        </is>
      </c>
      <c r="E135" s="349" t="inlineStr">
        <is>
          <t>enemy_ecosystem</t>
        </is>
      </c>
      <c r="F135" s="349" t="inlineStr">
        <is>
          <t>root_3d</t>
        </is>
      </c>
      <c r="G135" s="349" t="n"/>
      <c r="H135" s="349" t="inlineStr">
        <is>
          <t>俯视3D</t>
        </is>
      </c>
      <c r="I135" s="349" t="inlineStr">
        <is>
          <t>default</t>
        </is>
      </c>
      <c r="J135" s="349" t="inlineStr">
        <is>
          <t>四主题战斗房</t>
        </is>
      </c>
      <c r="K135" s="349" t="inlineStr">
        <is>
          <t>原型已接入</t>
        </is>
      </c>
      <c r="L135" s="349" t="inlineStr">
        <is>
          <t>P0</t>
        </is>
      </c>
      <c r="M135" s="349" t="inlineStr">
        <is>
          <t>v001</t>
        </is>
      </c>
      <c r="N135" s="349" t="inlineStr">
        <is>
          <t>PackedScene/模块敌人</t>
        </is>
      </c>
      <c r="O135" s="349" t="inlineStr">
        <is>
          <t>assets/art/enemies/enemy_3d/enm_ecosystem_kit_root_top3d_v001.tscn</t>
        </is>
      </c>
      <c r="P135" s="349" t="inlineStr">
        <is>
          <t>src/enemy3d/Enemy3D.gd</t>
        </is>
      </c>
      <c r="Q135" s="349" t="inlineStr">
        <is>
          <t>怪物;七类;核心;外壳;附肢;状态</t>
        </is>
      </c>
      <c r="R135" s="349">
        <f>LOWER(TRIM(C135)&amp;"|"&amp;TRIM(D135)&amp;"|"&amp;TRIM(E135)&amp;"|"&amp;TRIM(F135)&amp;"|"&amp;TRIM(H135)&amp;"|"&amp;TRIM(I135))</f>
        <v/>
      </c>
      <c r="S135" s="349">
        <f>IF(COUNTIF($R$6:$R$300,R135)&gt;1,"重复","唯一")</f>
        <v/>
      </c>
      <c r="T135" s="349" t="inlineStr">
        <is>
          <t>d9d8a49bed3fdcb863bad72f60be1f774309c7dda52753f5efb3d4e56159c12d</t>
        </is>
      </c>
      <c r="U135" s="349" t="inlineStr">
        <is>
          <t>Codex</t>
        </is>
      </c>
      <c r="V135" s="348" t="n">
        <v>46225</v>
      </c>
      <c r="W135" s="349" t="inlineStr">
        <is>
          <t>原创程序几何</t>
        </is>
      </c>
      <c r="X135" s="375" t="inlineStr">
        <is>
          <t>—</t>
        </is>
      </c>
      <c r="Y135" s="349" t="inlineStr">
        <is>
          <t>九态AI视线允许射线命中玩家本体并保留实体墙遮挡；3D基础HP乘旧楼层/主题/精英倍率，开局手枪普通命中不秒杀基础怪</t>
        </is>
      </c>
    </row>
    <row r="136" ht="34" customHeight="1">
      <c r="A136" s="349" t="inlineStr">
        <is>
          <t>VFX-COMBAT-KIT-3D</t>
        </is>
      </c>
      <c r="B136" s="349" t="inlineStr">
        <is>
          <t>战斗反馈3D通用特效套件</t>
        </is>
      </c>
      <c r="C136" s="349" t="inlineStr">
        <is>
          <t>特效</t>
        </is>
      </c>
      <c r="D136" s="349" t="inlineStr">
        <is>
          <t>combat</t>
        </is>
      </c>
      <c r="E136" s="349" t="inlineStr">
        <is>
          <t>combat_feedback</t>
        </is>
      </c>
      <c r="F136" s="349" t="inlineStr">
        <is>
          <t>root_3d</t>
        </is>
      </c>
      <c r="G136" s="349" t="n"/>
      <c r="H136" s="349" t="inlineStr">
        <is>
          <t>俯视3D</t>
        </is>
      </c>
      <c r="I136" s="349" t="inlineStr">
        <is>
          <t>muzzle_impact_damage_explosion_slash_melee_impact</t>
        </is>
      </c>
      <c r="J136" s="349" t="inlineStr">
        <is>
          <t>枪械/近战/敌人/关卡</t>
        </is>
      </c>
      <c r="K136" s="349" t="inlineStr">
        <is>
          <t>原型已接入</t>
        </is>
      </c>
      <c r="L136" s="349" t="inlineStr">
        <is>
          <t>P0</t>
        </is>
      </c>
      <c r="M136" s="349" t="inlineStr">
        <is>
          <t>v001</t>
        </is>
      </c>
      <c r="N136" s="349" t="inlineStr">
        <is>
          <t>PackedScene/参数化特效</t>
        </is>
      </c>
      <c r="O136" s="349" t="inlineStr">
        <is>
          <t>assets/art/vfx/combat_3d/vfx_combat_kit_root_top3d_v001.tscn</t>
        </is>
      </c>
      <c r="P136" s="349" t="inlineStr">
        <is>
          <t>src/combat3d/CombatEffect3D.gd; src/combat3d/CombatEffectPool3D.gd; src/player3d/melee/PlayerMeleeCombat3D.gd</t>
        </is>
      </c>
      <c r="Q136" s="349" t="inlineStr">
        <is>
          <t>枪口;命中;伤害;爆炸;挥砍;近战冲击;slash;melee_impact;3D</t>
        </is>
      </c>
      <c r="R136" s="349">
        <f>LOWER(TRIM(C136)&amp;"|"&amp;TRIM(D136)&amp;"|"&amp;TRIM(E136)&amp;"|"&amp;TRIM(F136)&amp;"|"&amp;TRIM(H136)&amp;"|"&amp;TRIM(I136))</f>
        <v/>
      </c>
      <c r="S136" s="349">
        <f>IF(COUNTIF($R$6:$R$300,R136)&gt;1,"重复","唯一")</f>
        <v/>
      </c>
      <c r="T136" s="349" t="inlineStr">
        <is>
          <t>2ee5109b1876ea2114ac5c73b4bd0e2fc0348e1209a9d2ca16bc8ef9834ff357</t>
        </is>
      </c>
      <c r="U136" s="349" t="inlineStr">
        <is>
          <t>Codex</t>
        </is>
      </c>
      <c r="V136" s="348" t="n">
        <v>46224</v>
      </c>
      <c r="W136" s="349" t="inlineStr">
        <is>
          <t>原创程序特效</t>
        </is>
      </c>
      <c r="X136" s="375" t="inlineStr">
        <is>
          <t>—</t>
        </is>
      </c>
      <c r="Y136" s="34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37" ht="34" customHeight="1">
      <c r="A137" s="349" t="inlineStr">
        <is>
          <t>ENV-TRAINING-RANGE-KIT-3D</t>
        </is>
      </c>
      <c r="B137" s="349" t="inlineStr">
        <is>
          <t>独立3D训练靶场套件</t>
        </is>
      </c>
      <c r="C137" s="349" t="inlineStr">
        <is>
          <t>场景</t>
        </is>
      </c>
      <c r="D137" s="349" t="inlineStr">
        <is>
          <t>training_range</t>
        </is>
      </c>
      <c r="E137" s="349" t="inlineStr">
        <is>
          <t>training_range</t>
        </is>
      </c>
      <c r="F137" s="349" t="inlineStr">
        <is>
          <t>root_3d</t>
        </is>
      </c>
      <c r="G137" s="349" t="n"/>
      <c r="H137" s="349" t="inlineStr">
        <is>
          <t>俯视3D</t>
        </is>
      </c>
      <c r="I137" s="349" t="inlineStr">
        <is>
          <t>default</t>
        </is>
      </c>
      <c r="J137" s="349" t="inlineStr">
        <is>
          <t>独立训练地图</t>
        </is>
      </c>
      <c r="K137" s="349" t="inlineStr">
        <is>
          <t>原型已接入</t>
        </is>
      </c>
      <c r="L137" s="349" t="inlineStr">
        <is>
          <t>P0</t>
        </is>
      </c>
      <c r="M137" s="349" t="inlineStr">
        <is>
          <t>v001</t>
        </is>
      </c>
      <c r="N137" s="349" t="inlineStr">
        <is>
          <t>PackedScene/程序环境</t>
        </is>
      </c>
      <c r="O137" s="349" t="inlineStr">
        <is>
          <t>assets/art/environments/training_range_3d/env_training_range_kit_top3d_v001.tscn</t>
        </is>
      </c>
      <c r="P137" s="349" t="inlineStr">
        <is>
          <t>scenes/TrainingRange3D.tscn</t>
        </is>
      </c>
      <c r="Q137" s="349" t="inlineStr">
        <is>
          <t>靶场;射击道;货架;59组合;三类靶</t>
        </is>
      </c>
      <c r="R137" s="349">
        <f>LOWER(TRIM(C137)&amp;"|"&amp;TRIM(D137)&amp;"|"&amp;TRIM(E137)&amp;"|"&amp;TRIM(F137)&amp;"|"&amp;TRIM(H137)&amp;"|"&amp;TRIM(I137))</f>
        <v/>
      </c>
      <c r="S137" s="349">
        <f>IF(COUNTIF($R$6:$R$300,R137)&gt;1,"重复","唯一")</f>
        <v/>
      </c>
      <c r="T137" s="349" t="inlineStr">
        <is>
          <t>4d1153bc736fab0790300f171beef8435002670f3789d6434e966bca0a79d28e</t>
        </is>
      </c>
      <c r="U137" s="349" t="inlineStr">
        <is>
          <t>Codex</t>
        </is>
      </c>
      <c r="V137" s="348" t="n">
        <v>46224</v>
      </c>
      <c r="W137" s="349" t="inlineStr">
        <is>
          <t>原创程序几何</t>
        </is>
      </c>
      <c r="X137" s="375" t="inlineStr">
        <is>
          <t>—</t>
        </is>
      </c>
      <c r="Y137" s="349" t="inlineStr">
        <is>
          <t>18货架（7远程+3近战+8子弹）、三射击道、三靶标、重置与返回；BaseData隔离</t>
        </is>
      </c>
    </row>
    <row r="138" ht="34" customHeight="1">
      <c r="A138" s="349" t="inlineStr">
        <is>
          <t>ENV-DUNGEON-RUNTIME-3D-PREVIEW</t>
        </is>
      </c>
      <c r="B138" s="349" t="inlineStr">
        <is>
          <t>3D关卡运行时验收预览</t>
        </is>
      </c>
      <c r="C138" s="349" t="inlineStr">
        <is>
          <t>场景</t>
        </is>
      </c>
      <c r="D138" s="349" t="inlineStr">
        <is>
          <t>review_board</t>
        </is>
      </c>
      <c r="E138" s="349" t="inlineStr">
        <is>
          <t>dungeon_runtime</t>
        </is>
      </c>
      <c r="F138" s="349" t="inlineStr">
        <is>
          <t>preview_3d</t>
        </is>
      </c>
      <c r="G138" s="349" t="inlineStr">
        <is>
          <t>ENV-DUNGEON-RUNTIME-3D</t>
        </is>
      </c>
      <c r="H138" s="349" t="inlineStr">
        <is>
          <t>俯视3D</t>
        </is>
      </c>
      <c r="I138" s="349" t="inlineStr">
        <is>
          <t>default</t>
        </is>
      </c>
      <c r="J138" s="349" t="inlineStr">
        <is>
          <t>评审与资产QA</t>
        </is>
      </c>
      <c r="K138" s="349" t="inlineStr">
        <is>
          <t>已完成</t>
        </is>
      </c>
      <c r="L138" s="349" t="inlineStr">
        <is>
          <t>P1</t>
        </is>
      </c>
      <c r="M138" s="349" t="inlineStr">
        <is>
          <t>v001</t>
        </is>
      </c>
      <c r="N138" s="349" t="inlineStr">
        <is>
          <t>1280×720 PNG</t>
        </is>
      </c>
      <c r="O138" s="349" t="inlineStr">
        <is>
          <t>assets/art/environments/dungeon_3d/previews/env_dungeon_runtime_preview_top3d_v001.png</t>
        </is>
      </c>
      <c r="P138" s="349" t="inlineStr">
        <is>
          <t>tests/verification/verify_full_3d_visual.tscn</t>
        </is>
      </c>
      <c r="Q138" s="349" t="inlineStr">
        <is>
          <t>3D关卡;预览;灯光;战斗;QA</t>
        </is>
      </c>
      <c r="R138" s="349">
        <f>LOWER(TRIM(C138)&amp;"|"&amp;TRIM(D138)&amp;"|"&amp;TRIM(E138)&amp;"|"&amp;TRIM(F138)&amp;"|"&amp;TRIM(H138)&amp;"|"&amp;TRIM(I138))</f>
        <v/>
      </c>
      <c r="S138" s="349">
        <f>IF(COUNTIF($R$6:$R$300,R138)&gt;1,"重复","唯一")</f>
        <v/>
      </c>
      <c r="T138" s="349" t="inlineStr">
        <is>
          <t>3b2c2212f1283ed366a31dc3a101b3555c78768c3906600eb0b18c74423fb247</t>
        </is>
      </c>
      <c r="U138" s="349" t="inlineStr">
        <is>
          <t>Codex</t>
        </is>
      </c>
      <c r="V138" s="348" t="n">
        <v>46264</v>
      </c>
      <c r="W138" s="349" t="inlineStr">
        <is>
          <t>项目运行截图</t>
        </is>
      </c>
      <c r="X138" s="375" t="inlineStr">
        <is>
          <t>—</t>
        </is>
      </c>
      <c r="Y138" s="34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139" ht="34" customHeight="1">
      <c r="A139" s="349" t="inlineStr">
        <is>
          <t>ENV-TRAINING-RANGE-3D-PREVIEW</t>
        </is>
      </c>
      <c r="B139" s="349" t="inlineStr">
        <is>
          <t>3D训练靶场验收预览</t>
        </is>
      </c>
      <c r="C139" s="349" t="inlineStr">
        <is>
          <t>场景</t>
        </is>
      </c>
      <c r="D139" s="349" t="inlineStr">
        <is>
          <t>review_board</t>
        </is>
      </c>
      <c r="E139" s="349" t="inlineStr">
        <is>
          <t>training_range</t>
        </is>
      </c>
      <c r="F139" s="349" t="inlineStr">
        <is>
          <t>preview_3d</t>
        </is>
      </c>
      <c r="G139" s="349" t="inlineStr">
        <is>
          <t>ENV-TRAINING-RANGE-KIT-3D</t>
        </is>
      </c>
      <c r="H139" s="349" t="inlineStr">
        <is>
          <t>俯视3D</t>
        </is>
      </c>
      <c r="I139" s="349" t="inlineStr">
        <is>
          <t>default</t>
        </is>
      </c>
      <c r="J139" s="349" t="inlineStr">
        <is>
          <t>评审与资产QA</t>
        </is>
      </c>
      <c r="K139" s="349" t="inlineStr">
        <is>
          <t>已完成</t>
        </is>
      </c>
      <c r="L139" s="349" t="inlineStr">
        <is>
          <t>P1</t>
        </is>
      </c>
      <c r="M139" s="349" t="inlineStr">
        <is>
          <t>v001</t>
        </is>
      </c>
      <c r="N139" s="349" t="inlineStr">
        <is>
          <t>1280×720 PNG</t>
        </is>
      </c>
      <c r="O139" s="349" t="inlineStr">
        <is>
          <t>assets/art/environments/training_range_3d/env_training_range_preview_top3d_v001.png</t>
        </is>
      </c>
      <c r="P139" s="349" t="inlineStr">
        <is>
          <t>tests/verification/verify_training_range_3d_visual.tscn</t>
        </is>
      </c>
      <c r="Q139" s="349" t="inlineStr">
        <is>
          <t>3D靶场;预览;射击道;目标;QA</t>
        </is>
      </c>
      <c r="R139" s="349">
        <f>LOWER(TRIM(C139)&amp;"|"&amp;TRIM(D139)&amp;"|"&amp;TRIM(E139)&amp;"|"&amp;TRIM(F139)&amp;"|"&amp;TRIM(H139)&amp;"|"&amp;TRIM(I139))</f>
        <v/>
      </c>
      <c r="S139" s="349">
        <f>IF(COUNTIF($R$6:$R$300,R139)&gt;1,"重复","唯一")</f>
        <v/>
      </c>
      <c r="T139" s="349" t="inlineStr">
        <is>
          <t>51b63097607e69009e9b2e5ed9315b3c642cdc05e823a2fee547cb0bb1ad8377</t>
        </is>
      </c>
      <c r="U139" s="349" t="inlineStr">
        <is>
          <t>Codex</t>
        </is>
      </c>
      <c r="V139" s="348" t="n">
        <v>46224</v>
      </c>
      <c r="W139" s="349" t="inlineStr">
        <is>
          <t>项目运行截图</t>
        </is>
      </c>
      <c r="X139" s="375" t="inlineStr">
        <is>
          <t>—</t>
        </is>
      </c>
      <c r="Y139" s="349" t="inlineStr">
        <is>
          <t>真实GPU窗口检查三条射击道、三类靶、枪弹组合区与灯光</t>
        </is>
      </c>
    </row>
    <row r="140">
      <c r="A140" s="349" t="inlineStr">
        <is>
          <t>VFX-VISIBILITY-FIELD-3D</t>
        </is>
      </c>
      <c r="B140" s="349" t="inlineStr">
        <is>
          <t>柔边真实单位视野场3D</t>
        </is>
      </c>
      <c r="C140" s="349" t="inlineStr">
        <is>
          <t>特效</t>
        </is>
      </c>
      <c r="D140" s="349" t="inlineStr">
        <is>
          <t>gameplay_vfx</t>
        </is>
      </c>
      <c r="E140" s="349" t="inlineStr">
        <is>
          <t>visibility_field</t>
        </is>
      </c>
      <c r="F140" s="349" t="inlineStr">
        <is>
          <t>field_mesh_3d</t>
        </is>
      </c>
      <c r="G140" s="349" t="inlineStr">
        <is>
          <t>VFX-VISIBILITY-LIGHT</t>
        </is>
      </c>
      <c r="H140" s="349" t="inlineStr">
        <is>
          <t>俯视3D</t>
        </is>
      </c>
      <c r="I140" s="349" t="inlineStr">
        <is>
          <t>default</t>
        </is>
      </c>
      <c r="J140" s="349" t="inlineStr">
        <is>
          <t>3D行动区/靶场/基地</t>
        </is>
      </c>
      <c r="K140" s="349" t="inlineStr">
        <is>
          <t>原型已接入</t>
        </is>
      </c>
      <c r="L140" s="349" t="inlineStr">
        <is>
          <t>P0</t>
        </is>
      </c>
      <c r="M140" s="349" t="inlineStr">
        <is>
          <t>v001</t>
        </is>
      </c>
      <c r="N140" s="349" t="inlineStr">
        <is>
          <t>360°逻辑射线 + ImmediateMesh 49+28表现射线</t>
        </is>
      </c>
      <c r="O140" s="349" t="inlineStr">
        <is>
          <t>src/player3d/PlayerVision3D.gd</t>
        </is>
      </c>
      <c r="P140" s="349" t="inlineStr">
        <is>
          <t>scenes/Player3D.tscn</t>
        </is>
      </c>
      <c r="Q140" s="349" t="inlineStr">
        <is>
          <t>360度逻辑视野;96度目光表现;柔边;墙体遮挡;无描边;非灯光判定</t>
        </is>
      </c>
      <c r="R140" s="349">
        <f>LOWER(TRIM(C140)&amp;"|"&amp;TRIM(D140)&amp;"|"&amp;TRIM(E140)&amp;"|"&amp;TRIM(F140)&amp;"|"&amp;TRIM(H140)&amp;"|"&amp;TRIM(I140))</f>
        <v/>
      </c>
      <c r="S140" s="349">
        <f>IF(COUNTIF($R$6:$R$300,R140)&gt;1,"重复","唯一")</f>
        <v/>
      </c>
      <c r="T140" s="349" t="inlineStr">
        <is>
          <t>3405769a7da2c227a4ad0239e08963851ff8b739dcaff1f80fd8d5e35eb705ce</t>
        </is>
      </c>
      <c r="U140" s="349" t="inlineStr">
        <is>
          <t>Codex</t>
        </is>
      </c>
      <c r="V140" s="349" t="n">
        <v>46264</v>
      </c>
      <c r="W140" s="349" t="inlineStr">
        <is>
          <t>原创程序几何</t>
        </is>
      </c>
      <c r="X140" s="375" t="inlineStr">
        <is>
          <t>—</t>
        </is>
      </c>
      <c r="Y140" s="349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141">
      <c r="A141" s="349" t="inlineStr">
        <is>
          <t>UI-SCREEN-INVENTORY-3D</t>
        </is>
      </c>
      <c r="B141" s="349" t="inlineStr">
        <is>
          <t>3D背包与保险界面</t>
        </is>
      </c>
      <c r="C141" s="349" t="inlineStr">
        <is>
          <t>UI</t>
        </is>
      </c>
      <c r="D141" s="349" t="inlineStr">
        <is>
          <t>screen</t>
        </is>
      </c>
      <c r="E141" s="349" t="inlineStr">
        <is>
          <t>inventory</t>
        </is>
      </c>
      <c r="F141" s="349" t="inlineStr">
        <is>
          <t>root_3d</t>
        </is>
      </c>
      <c r="G141" s="349" t="inlineStr">
        <is>
          <t>UI-SCREEN-INVENTORY</t>
        </is>
      </c>
      <c r="H141" s="349" t="inlineStr">
        <is>
          <t>屏幕空间</t>
        </is>
      </c>
      <c r="I141" s="349" t="inlineStr">
        <is>
          <t>default</t>
        </is>
      </c>
      <c r="J141" s="349" t="inlineStr">
        <is>
          <t>3D行动区</t>
        </is>
      </c>
      <c r="K141" s="349" t="inlineStr">
        <is>
          <t>原型已接入</t>
        </is>
      </c>
      <c r="L141" s="349" t="inlineStr">
        <is>
          <t>P0</t>
        </is>
      </c>
      <c r="M141" s="349" t="inlineStr">
        <is>
          <t>v002</t>
        </is>
      </c>
      <c r="N141" s="349" t="inlineStr">
        <is>
          <t>全屏Control/12+2槽/96×96投影</t>
        </is>
      </c>
      <c r="O141" s="349" t="inlineStr">
        <is>
          <t>src/ui/InventoryUI.gd</t>
        </is>
      </c>
      <c r="P141" s="349" t="inlineStr">
        <is>
          <t>scenes/Dungeon3D.tscn</t>
        </is>
      </c>
      <c r="Q141" s="349" t="inlineStr">
        <is>
          <t>背包;保险;I键;Tab;模态输入锁;3D道具投影;实际点击装备</t>
        </is>
      </c>
      <c r="R141" s="349">
        <f>LOWER(TRIM(C141)&amp;"|"&amp;TRIM(D141)&amp;"|"&amp;TRIM(E141)&amp;"|"&amp;TRIM(F141)&amp;"|"&amp;TRIM(H141)&amp;"|"&amp;TRIM(I141))</f>
        <v/>
      </c>
      <c r="S141" s="349">
        <f>IF(COUNTIF($R$6:$R$300,R141)&gt;1,"重复","唯一")</f>
        <v/>
      </c>
      <c r="T141" s="349" t="inlineStr">
        <is>
          <t>e2c3f432a5612775615ad87768a934d23f89356b0cde1cd7e5ad666a8d84f6ed</t>
        </is>
      </c>
      <c r="U141" s="349" t="inlineStr">
        <is>
          <t>Codex</t>
        </is>
      </c>
      <c r="V141" s="349" t="n">
        <v>46264</v>
      </c>
      <c r="W141" s="349" t="inlineStr">
        <is>
          <t>原创程序UI</t>
        </is>
      </c>
      <c r="X141" s="375" t="inlineStr">
        <is>
          <t>—</t>
        </is>
      </c>
      <c r="Y141" s="349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t>
        </is>
      </c>
    </row>
    <row r="142">
      <c r="A142" s="349" t="inlineStr">
        <is>
          <t>UI-SCREEN-PAUSE-3D</t>
        </is>
      </c>
      <c r="B142" s="349" t="inlineStr">
        <is>
          <t>3D共用暂停界面</t>
        </is>
      </c>
      <c r="C142" s="349" t="inlineStr">
        <is>
          <t>UI</t>
        </is>
      </c>
      <c r="D142" s="349" t="inlineStr">
        <is>
          <t>screen</t>
        </is>
      </c>
      <c r="E142" s="349" t="inlineStr">
        <is>
          <t>pause</t>
        </is>
      </c>
      <c r="F142" s="349" t="inlineStr">
        <is>
          <t>root_3d</t>
        </is>
      </c>
      <c r="G142" s="349" t="n"/>
      <c r="H142" s="349" t="inlineStr">
        <is>
          <t>屏幕空间</t>
        </is>
      </c>
      <c r="I142" s="349" t="inlineStr">
        <is>
          <t>default</t>
        </is>
      </c>
      <c r="J142" s="349" t="inlineStr">
        <is>
          <t>地下城/基地/靶场</t>
        </is>
      </c>
      <c r="K142" s="349" t="inlineStr">
        <is>
          <t>已完成</t>
        </is>
      </c>
      <c r="L142" s="349" t="inlineStr">
        <is>
          <t>P0</t>
        </is>
      </c>
      <c r="M142" s="349" t="inlineStr">
        <is>
          <t>v001</t>
        </is>
      </c>
      <c r="N142" s="349" t="inlineStr">
        <is>
          <t>PackedScene/全屏Control</t>
        </is>
      </c>
      <c r="O142" s="349" t="inlineStr">
        <is>
          <t>assets/art/ui/pause_3d/ui_pause_overlay_screen_v001.tscn</t>
        </is>
      </c>
      <c r="P142" s="349" t="inlineStr">
        <is>
          <t>src/ui/PauseMenu3D.gd</t>
        </is>
      </c>
      <c r="Q142" s="349" t="inlineStr">
        <is>
          <t>暂停;Esc;继续;全局模态;3D HUD</t>
        </is>
      </c>
      <c r="R142" s="349">
        <f>LOWER(TRIM(C142)&amp;"|"&amp;TRIM(D142)&amp;"|"&amp;TRIM(E142)&amp;"|"&amp;TRIM(F142)&amp;"|"&amp;TRIM(H142)&amp;"|"&amp;TRIM(I142))</f>
        <v/>
      </c>
      <c r="S142" s="349">
        <f>IF(COUNTIF($R$6:$R$300,R142)&gt;1,"重复","唯一")</f>
        <v/>
      </c>
      <c r="T142" s="349" t="inlineStr">
        <is>
          <t>47f097938d22b6355b3b58cb89ea349ce52ba1586d502835fde0d54268f3abc4</t>
        </is>
      </c>
      <c r="U142" s="349" t="inlineStr">
        <is>
          <t>Codex</t>
        </is>
      </c>
      <c r="V142" s="349" t="n">
        <v>46264</v>
      </c>
      <c r="W142" s="349" t="inlineStr">
        <is>
          <t>原创程序UI</t>
        </is>
      </c>
      <c r="X142" s="375" t="inlineStr">
        <is>
          <t>—</t>
        </is>
      </c>
      <c r="Y142" s="349" t="inlineStr">
        <is>
          <t>三张3D地图共用；Esc先关闭最上层模态，再进入真实暂停
2026-08-30 AST-02：合法内容更新；文件为Git已跟踪且修改时间不早于原台账日期；验收：verify_pause_game_save_reset_flow；SHA 8fed542ebf6b→47f097938d22。</t>
        </is>
      </c>
    </row>
    <row r="143" ht="155" customHeight="1">
      <c r="A143" s="364" t="inlineStr">
        <is>
          <t>PRP-ROOM-LIGHT-SWITCH-3D</t>
        </is>
      </c>
      <c r="B143" s="364" t="inlineStr">
        <is>
          <t>房间中央灯墙面开关3D</t>
        </is>
      </c>
      <c r="C143" s="364" t="inlineStr">
        <is>
          <t>场景道具</t>
        </is>
      </c>
      <c r="D143" s="364" t="inlineStr">
        <is>
          <t>facility</t>
        </is>
      </c>
      <c r="E143" s="364" t="inlineStr">
        <is>
          <t>room_light_switch</t>
        </is>
      </c>
      <c r="F143" s="364" t="inlineStr">
        <is>
          <t>root_3d</t>
        </is>
      </c>
      <c r="G143" s="364" t="inlineStr">
        <is>
          <t>ENV-DUNGEON-RUNTIME-3D</t>
        </is>
      </c>
      <c r="H143" s="364" t="inlineStr">
        <is>
          <t>俯视3D</t>
        </is>
      </c>
      <c r="I143" s="364" t="inlineStr">
        <is>
          <t>default</t>
        </is>
      </c>
      <c r="J143" s="364" t="inlineStr">
        <is>
          <t>随机关卡房间/四主题复用</t>
        </is>
      </c>
      <c r="K143" s="364" t="inlineStr">
        <is>
          <t>原型已接入</t>
        </is>
      </c>
      <c r="L143" s="364" t="inlineStr">
        <is>
          <t>P0</t>
        </is>
      </c>
      <c r="M143" s="364" t="inlineStr">
        <is>
          <t>v001</t>
        </is>
      </c>
      <c r="N143" s="364" t="inlineStr">
        <is>
          <t>PackedScene/Area3D</t>
        </is>
      </c>
      <c r="O143" s="364" t="inlineStr">
        <is>
          <t>assets/art/props/dungeon_3d/prp_room_light_switch_root_top3d_v001.tscn</t>
        </is>
      </c>
      <c r="P143" s="364" t="inlineStr">
        <is>
          <t>src/world3d/RoomLightSwitch3D.gd</t>
        </is>
      </c>
      <c r="Q143" s="364" t="inlineStr">
        <is>
          <t>房灯开关;墙面交互;中央顶灯;E键</t>
        </is>
      </c>
      <c r="R143" s="364">
        <f>LOWER(TRIM(C143)&amp;"|"&amp;TRIM(D143)&amp;"|"&amp;TRIM(E143)&amp;"|"&amp;TRIM(F143)&amp;"|"&amp;TRIM(H143)&amp;"|"&amp;TRIM(I143))</f>
        <v/>
      </c>
      <c r="S143" s="364">
        <f>IF(COUNTIF($R$6:$R$300,R143)&gt;1,"重复","唯一")</f>
        <v/>
      </c>
      <c r="T143" s="364" t="inlineStr">
        <is>
          <t>7802bc3a71d892072e43962875e26b60443d19de35bcc77fe0cbedcfa6dd5d94</t>
        </is>
      </c>
      <c r="U143" s="364" t="inlineStr">
        <is>
          <t>Codex</t>
        </is>
      </c>
      <c r="V143" s="307" t="n">
        <v>46237</v>
      </c>
      <c r="W143" s="364" t="inlineStr">
        <is>
          <t>原创程序几何</t>
        </is>
      </c>
      <c r="X143" s="375" t="inlineStr">
        <is>
          <t>—</t>
        </is>
      </c>
      <c r="Y143" s="364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144">
      <c r="A144" s="349" t="inlineStr">
        <is>
          <t>VFX-PLAYER-FLASHLIGHT-3D</t>
        </is>
      </c>
      <c r="B144" s="349" t="inlineStr">
        <is>
          <t>玩家真实探照灯组件3D</t>
        </is>
      </c>
      <c r="C144" s="349" t="inlineStr">
        <is>
          <t>特效</t>
        </is>
      </c>
      <c r="D144" s="349" t="inlineStr">
        <is>
          <t>gameplay_vfx</t>
        </is>
      </c>
      <c r="E144" s="349" t="inlineStr">
        <is>
          <t>player_flashlight</t>
        </is>
      </c>
      <c r="F144" s="349" t="inlineStr">
        <is>
          <t>light_rig_3d</t>
        </is>
      </c>
      <c r="G144" s="349" t="inlineStr">
        <is>
          <t>VFX-VISIBILITY-FIELD-3D</t>
        </is>
      </c>
      <c r="H144" s="349" t="inlineStr">
        <is>
          <t>俯视3D</t>
        </is>
      </c>
      <c r="I144" s="349" t="inlineStr">
        <is>
          <t>default</t>
        </is>
      </c>
      <c r="J144" s="349" t="inlineStr">
        <is>
          <t>3D行动区/靶场/基地</t>
        </is>
      </c>
      <c r="K144" s="349" t="inlineStr">
        <is>
          <t>原型已接入</t>
        </is>
      </c>
      <c r="L144" s="349" t="inlineStr">
        <is>
          <t>P0</t>
        </is>
      </c>
      <c r="M144" s="349" t="inlineStr">
        <is>
          <t>v001</t>
        </is>
      </c>
      <c r="N144" s="349" t="inlineStr">
        <is>
          <t>PackedScene/2 SpotLight3D+1 OmniLight3D</t>
        </is>
      </c>
      <c r="O144" s="349" t="inlineStr">
        <is>
          <t>assets/art/vfx/visibility_3d/vfx_player_flashlight_root_top3d_v001.tscn</t>
        </is>
      </c>
      <c r="P144" s="349" t="inlineStr">
        <is>
          <t>src/player3d/PlayerFlashlight3D.gd</t>
        </is>
      </c>
      <c r="Q144" s="349" t="inlineStr">
        <is>
          <t>真实探照灯;玩家灯光;前向聚光;角色补光;可调灯光</t>
        </is>
      </c>
      <c r="R144" s="349">
        <f>LOWER(TRIM(C144)&amp;"|"&amp;TRIM(D144)&amp;"|"&amp;TRIM(E144)&amp;"|"&amp;TRIM(F144)&amp;"|"&amp;TRIM(H144)&amp;"|"&amp;TRIM(I144))</f>
        <v/>
      </c>
      <c r="S144" s="349">
        <f>IF(COUNTIF($R$6:$R$300,R144)&gt;1,"重复","唯一")</f>
        <v/>
      </c>
      <c r="T144" s="349" t="inlineStr">
        <is>
          <t>b389efe1d1fcfd30087a6d3f3f2784effee95cf6c54769fde27ecb6806011a05</t>
        </is>
      </c>
      <c r="U144" s="349" t="inlineStr">
        <is>
          <t>Codex</t>
        </is>
      </c>
      <c r="V144" s="348" t="n">
        <v>46225</v>
      </c>
      <c r="W144" s="348" t="inlineStr">
        <is>
          <t>原创程序几何</t>
        </is>
      </c>
      <c r="X144" s="375" t="inlineStr">
        <is>
          <t>—</t>
        </is>
      </c>
      <c r="Y144" s="34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145">
      <c r="A145" s="349" t="inlineStr">
        <is>
          <t>UI-ICON-ITEM-MODEL-3D</t>
        </is>
      </c>
      <c r="B145" s="349" t="inlineStr">
        <is>
          <t>背包道具3D模型投影组件</t>
        </is>
      </c>
      <c r="C145" s="349" t="inlineStr">
        <is>
          <t>UI</t>
        </is>
      </c>
      <c r="D145" s="349" t="inlineStr">
        <is>
          <t>icon</t>
        </is>
      </c>
      <c r="E145" s="349" t="inlineStr">
        <is>
          <t>item_model_icon</t>
        </is>
      </c>
      <c r="F145" s="349" t="inlineStr">
        <is>
          <t>root_3d</t>
        </is>
      </c>
      <c r="G145" s="349" t="inlineStr">
        <is>
          <t>UI-SCREEN-INVENTORY-3D</t>
        </is>
      </c>
      <c r="H145" s="349" t="inlineStr">
        <is>
          <t>屏幕空间/3D投影</t>
        </is>
      </c>
      <c r="I145" s="349" t="inlineStr">
        <is>
          <t>default</t>
        </is>
      </c>
      <c r="J145" s="349" t="inlineStr">
        <is>
          <t>背包/保险格/道具预览</t>
        </is>
      </c>
      <c r="K145" s="349" t="inlineStr">
        <is>
          <t>原型已接入</t>
        </is>
      </c>
      <c r="L145" s="349" t="inlineStr">
        <is>
          <t>P0</t>
        </is>
      </c>
      <c r="M145" s="349" t="inlineStr">
        <is>
          <t>v001</t>
        </is>
      </c>
      <c r="N145" s="349" t="inlineStr">
        <is>
          <t>96×96 SubViewport/UPDATE_ONCE</t>
        </is>
      </c>
      <c r="O145" s="349" t="inlineStr">
        <is>
          <t>assets/art/ui/inventory_3d/ui_item_model_icon_root_v001.tscn</t>
        </is>
      </c>
      <c r="P145" s="349" t="inlineStr">
        <is>
          <t>src/ui/ItemModelIcon3D.gd</t>
        </is>
      </c>
      <c r="Q145" s="349" t="inlineStr">
        <is>
          <t>3D道具图标;模型投影;背包图标;共享世界模型;单次渲染</t>
        </is>
      </c>
      <c r="R145" s="349">
        <f>LOWER(TRIM(C145)&amp;"|"&amp;TRIM(D145)&amp;"|"&amp;TRIM(E145)&amp;"|"&amp;TRIM(F145)&amp;"|"&amp;TRIM(H145)&amp;"|"&amp;TRIM(I145))</f>
        <v/>
      </c>
      <c r="S145" s="349">
        <f>IF(COUNTIF($R$6:$R$300,R145)&gt;1,"重复","唯一")</f>
        <v/>
      </c>
      <c r="T145" s="349" t="inlineStr">
        <is>
          <t>97c10f3884107c1263f3de1f8bc1ce84bb568ecd80418b62bdb023c55cdab9fe</t>
        </is>
      </c>
      <c r="U145" s="349" t="inlineStr">
        <is>
          <t>Codex</t>
        </is>
      </c>
      <c r="V145" s="348" t="n">
        <v>46225</v>
      </c>
      <c r="W145" s="349" t="inlineStr">
        <is>
          <t>原创程序UI</t>
        </is>
      </c>
      <c r="X145" s="375" t="inlineStr">
        <is>
          <t>—</t>
        </is>
      </c>
      <c r="Y145" s="349" t="inlineStr">
        <is>
          <t>与地面拾取共用 ItemModelFactory3D；96×96 内部视口缩放至56px槽位；只渲染一次；验收图：assets/art/ui/inventory_3d/ui_inventory_item_model_preview_v001.png</t>
        </is>
      </c>
    </row>
    <row r="146" ht="44" customHeight="1">
      <c r="A146" s="349" t="inlineStr">
        <is>
          <t>CHR-PLY-CAPSULE01-BODY-DIY-3D</t>
        </is>
      </c>
      <c r="B146" s="349" t="inlineStr">
        <is>
          <t>胶囊防护体3D身体DIY变体</t>
        </is>
      </c>
      <c r="C146" s="349" t="inlineStr">
        <is>
          <t>角色</t>
        </is>
      </c>
      <c r="D146" s="349" t="inlineStr">
        <is>
          <t>player_variant</t>
        </is>
      </c>
      <c r="E146" s="349" t="inlineStr">
        <is>
          <t>player_capsule01</t>
        </is>
      </c>
      <c r="F146" s="349" t="inlineStr">
        <is>
          <t>body_diy_3d</t>
        </is>
      </c>
      <c r="G146" s="349" t="inlineStr">
        <is>
          <t>CHR-PLY-CAPSULE01-BODY-3D</t>
        </is>
      </c>
      <c r="H146" s="349" t="inlineStr">
        <is>
          <t>俯视3D</t>
        </is>
      </c>
      <c r="I146" s="349" t="inlineStr">
        <is>
          <t>diy</t>
        </is>
      </c>
      <c r="J146" s="349" t="inlineStr">
        <is>
          <t>3D玩家/预览场</t>
        </is>
      </c>
      <c r="K146" s="349" t="inlineStr">
        <is>
          <t>原型已接入</t>
        </is>
      </c>
      <c r="L146" s="349" t="inlineStr">
        <is>
          <t>P1</t>
        </is>
      </c>
      <c r="M146" s="349" t="inlineStr">
        <is>
          <t>v001</t>
        </is>
      </c>
      <c r="N146" s="349" t="inlineStr">
        <is>
          <t>3种程序材质</t>
        </is>
      </c>
      <c r="O146" s="349" t="inlineStr">
        <is>
          <t>src/player3d/PlayerAvatar3D.gd</t>
        </is>
      </c>
      <c r="P146" s="349" t="inlineStr">
        <is>
          <t>VisualRoot/Body</t>
        </is>
      </c>
      <c r="Q146" s="349" t="inlineStr">
        <is>
          <t>身体;防护服;DIY;橄榄;沙色;钴蓝</t>
        </is>
      </c>
      <c r="R146" s="349">
        <f>LOWER(TRIM(C146)&amp;"|"&amp;TRIM(D146)&amp;"|"&amp;TRIM(E146)&amp;"|"&amp;TRIM(F146)&amp;"|"&amp;TRIM(H146)&amp;"|"&amp;TRIM(I146))</f>
        <v/>
      </c>
      <c r="S146" s="349">
        <f>IF(COUNTIF($R$6:$R$300,R146)&gt;1,"重复","唯一")</f>
        <v/>
      </c>
      <c r="T146" s="349" t="inlineStr">
        <is>
          <t>2068ecdbee00fefeb546f15eecf7cf3591715338c8aad732ac972136a9377e72</t>
        </is>
      </c>
      <c r="U146" s="349" t="inlineStr">
        <is>
          <t>Codex</t>
        </is>
      </c>
      <c r="V146" s="349" t="n">
        <v>46264</v>
      </c>
      <c r="W146" s="349" t="inlineStr">
        <is>
          <t>原创程序几何</t>
        </is>
      </c>
      <c r="X146" s="375" t="inlineStr">
        <is>
          <t>—</t>
        </is>
      </c>
      <c r="Y146" s="349" t="inlineStr">
        <is>
          <t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47" ht="44" customHeight="1">
      <c r="A147" s="349" t="inlineStr">
        <is>
          <t>CHR-PLY-CAPSULE01-HEAD-DIY-3D</t>
        </is>
      </c>
      <c r="B147" s="349" t="inlineStr">
        <is>
          <t>胶囊防护体3D头部DIY变体</t>
        </is>
      </c>
      <c r="C147" s="349" t="inlineStr">
        <is>
          <t>角色</t>
        </is>
      </c>
      <c r="D147" s="349" t="inlineStr">
        <is>
          <t>player_variant</t>
        </is>
      </c>
      <c r="E147" s="349" t="inlineStr">
        <is>
          <t>player_capsule01</t>
        </is>
      </c>
      <c r="F147" s="349" t="inlineStr">
        <is>
          <t>head_diy_3d</t>
        </is>
      </c>
      <c r="G147" s="349" t="inlineStr">
        <is>
          <t>CHR-PLY-CAPSULE01-HEAD-3D</t>
        </is>
      </c>
      <c r="H147" s="349" t="inlineStr">
        <is>
          <t>俯视3D</t>
        </is>
      </c>
      <c r="I147" s="349" t="inlineStr">
        <is>
          <t>diy</t>
        </is>
      </c>
      <c r="J147" s="349" t="inlineStr">
        <is>
          <t>3D玩家/预览场</t>
        </is>
      </c>
      <c r="K147" s="349" t="inlineStr">
        <is>
          <t>原型已接入</t>
        </is>
      </c>
      <c r="L147" s="349" t="inlineStr">
        <is>
          <t>P1</t>
        </is>
      </c>
      <c r="M147" s="349" t="inlineStr">
        <is>
          <t>v001</t>
        </is>
      </c>
      <c r="N147" s="349" t="inlineStr">
        <is>
          <t>3种程序材质</t>
        </is>
      </c>
      <c r="O147" s="349" t="inlineStr">
        <is>
          <t>src/player3d/PlayerAvatar3D.gd</t>
        </is>
      </c>
      <c r="P147" s="349" t="inlineStr">
        <is>
          <t>VisualRoot/Head</t>
        </is>
      </c>
      <c r="Q147" s="349" t="inlineStr">
        <is>
          <t>头壳;传感器;DIY;青色面板;琥珀装甲</t>
        </is>
      </c>
      <c r="R147" s="349">
        <f>LOWER(TRIM(C147)&amp;"|"&amp;TRIM(D147)&amp;"|"&amp;TRIM(E147)&amp;"|"&amp;TRIM(F147)&amp;"|"&amp;TRIM(H147)&amp;"|"&amp;TRIM(I147))</f>
        <v/>
      </c>
      <c r="S147" s="349">
        <f>IF(COUNTIF($R$6:$R$300,R147)&gt;1,"重复","唯一")</f>
        <v/>
      </c>
      <c r="T147" s="349" t="inlineStr">
        <is>
          <t>2068ecdbee00fefeb546f15eecf7cf3591715338c8aad732ac972136a9377e72</t>
        </is>
      </c>
      <c r="U147" s="349" t="inlineStr">
        <is>
          <t>Codex</t>
        </is>
      </c>
      <c r="V147" s="349" t="n">
        <v>46264</v>
      </c>
      <c r="W147" s="349" t="inlineStr">
        <is>
          <t>原创程序几何</t>
        </is>
      </c>
      <c r="X147" s="375" t="inlineStr">
        <is>
          <t>—</t>
        </is>
      </c>
      <c r="Y147" s="349" t="inlineStr">
        <is>
          <t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48" ht="44" customHeight="1">
      <c r="A148" s="349" t="inlineStr">
        <is>
          <t>CHR-PLY-CAPSULE01-HAND-DIY-3D</t>
        </is>
      </c>
      <c r="B148" s="349" t="inlineStr">
        <is>
          <t>胶囊防护体3D手部DIY变体</t>
        </is>
      </c>
      <c r="C148" s="349" t="inlineStr">
        <is>
          <t>角色</t>
        </is>
      </c>
      <c r="D148" s="349" t="inlineStr">
        <is>
          <t>player_variant</t>
        </is>
      </c>
      <c r="E148" s="349" t="inlineStr">
        <is>
          <t>player_capsule01</t>
        </is>
      </c>
      <c r="F148" s="349" t="inlineStr">
        <is>
          <t>hand_diy_3d</t>
        </is>
      </c>
      <c r="G148" s="349" t="inlineStr">
        <is>
          <t>CHR-PLY-CAPSULE01-HAND-3D</t>
        </is>
      </c>
      <c r="H148" s="349" t="inlineStr">
        <is>
          <t>俯视3D</t>
        </is>
      </c>
      <c r="I148" s="349" t="inlineStr">
        <is>
          <t>diy</t>
        </is>
      </c>
      <c r="J148" s="349" t="inlineStr">
        <is>
          <t>3D玩家/预览场</t>
        </is>
      </c>
      <c r="K148" s="349" t="inlineStr">
        <is>
          <t>原型已接入</t>
        </is>
      </c>
      <c r="L148" s="349" t="inlineStr">
        <is>
          <t>P1</t>
        </is>
      </c>
      <c r="M148" s="349" t="inlineStr">
        <is>
          <t>v001</t>
        </is>
      </c>
      <c r="N148" s="349" t="inlineStr">
        <is>
          <t>3种程序材质/抓握压缩</t>
        </is>
      </c>
      <c r="O148" s="349" t="inlineStr">
        <is>
          <t>src/player3d/PlayerAvatar3D.gd</t>
        </is>
      </c>
      <c r="P148" s="349" t="inlineStr">
        <is>
          <t>VisualRoot/Hand</t>
        </is>
      </c>
      <c r="Q148" s="349" t="inlineStr">
        <is>
          <t>唯一手;握持;DIY;橙色;青绿</t>
        </is>
      </c>
      <c r="R148" s="349">
        <f>LOWER(TRIM(C148)&amp;"|"&amp;TRIM(D148)&amp;"|"&amp;TRIM(E148)&amp;"|"&amp;TRIM(F148)&amp;"|"&amp;TRIM(H148)&amp;"|"&amp;TRIM(I148))</f>
        <v/>
      </c>
      <c r="S148" s="349">
        <f>IF(COUNTIF($R$6:$R$300,R148)&gt;1,"重复","唯一")</f>
        <v/>
      </c>
      <c r="T148" s="349" t="inlineStr">
        <is>
          <t>2068ecdbee00fefeb546f15eecf7cf3591715338c8aad732ac972136a9377e72</t>
        </is>
      </c>
      <c r="U148" s="349" t="inlineStr">
        <is>
          <t>Codex</t>
        </is>
      </c>
      <c r="V148" s="349" t="n">
        <v>46264</v>
      </c>
      <c r="W148" s="349" t="inlineStr">
        <is>
          <t>原创程序几何</t>
        </is>
      </c>
      <c r="X148" s="375" t="inlineStr">
        <is>
          <t>—</t>
        </is>
      </c>
      <c r="Y148" s="349" t="inlineStr">
        <is>
          <t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49" ht="44" customHeight="1">
      <c r="A149" s="349" t="inlineStr">
        <is>
          <t>CHR-PLY-CAPSULE01-HAT-DIY-3D</t>
        </is>
      </c>
      <c r="B149" s="349" t="inlineStr">
        <is>
          <t>胶囊防护体3D帽子DIY组件</t>
        </is>
      </c>
      <c r="C149" s="349" t="inlineStr">
        <is>
          <t>角色</t>
        </is>
      </c>
      <c r="D149" s="349" t="inlineStr">
        <is>
          <t>player_accessory</t>
        </is>
      </c>
      <c r="E149" s="349" t="inlineStr">
        <is>
          <t>player_capsule01</t>
        </is>
      </c>
      <c r="F149" s="349" t="inlineStr">
        <is>
          <t>hat_diy_3d</t>
        </is>
      </c>
      <c r="G149" s="349" t="inlineStr">
        <is>
          <t>CHR-PLY-CAPSULE01-HEAD-3D</t>
        </is>
      </c>
      <c r="H149" s="349" t="inlineStr">
        <is>
          <t>俯视3D</t>
        </is>
      </c>
      <c r="I149" s="349" t="inlineStr">
        <is>
          <t>diy</t>
        </is>
      </c>
      <c r="J149" s="349" t="inlineStr">
        <is>
          <t>3D玩家/预览场</t>
        </is>
      </c>
      <c r="K149" s="349" t="inlineStr">
        <is>
          <t>原型已接入</t>
        </is>
      </c>
      <c r="L149" s="349" t="inlineStr">
        <is>
          <t>P1</t>
        </is>
      </c>
      <c r="M149" s="349" t="inlineStr">
        <is>
          <t>v001</t>
        </is>
      </c>
      <c r="N149" s="349" t="inlineStr">
        <is>
          <t>软帽/安全帽/密封兜帽</t>
        </is>
      </c>
      <c r="O149" s="349" t="inlineStr">
        <is>
          <t>src/player3d/PlayerAvatar3D.gd</t>
        </is>
      </c>
      <c r="P149" s="349" t="inlineStr">
        <is>
          <t>VisualRoot/Head/Wearables</t>
        </is>
      </c>
      <c r="Q149" s="349" t="inlineStr">
        <is>
          <t>帽子;软帽;安全帽;兜帽;DIY</t>
        </is>
      </c>
      <c r="R149" s="349">
        <f>LOWER(TRIM(C149)&amp;"|"&amp;TRIM(D149)&amp;"|"&amp;TRIM(E149)&amp;"|"&amp;TRIM(F149)&amp;"|"&amp;TRIM(H149)&amp;"|"&amp;TRIM(I149))</f>
        <v/>
      </c>
      <c r="S149" s="349">
        <f>IF(COUNTIF($R$6:$R$300,R149)&gt;1,"重复","唯一")</f>
        <v/>
      </c>
      <c r="T149" s="349" t="inlineStr">
        <is>
          <t>2068ecdbee00fefeb546f15eecf7cf3591715338c8aad732ac972136a9377e72</t>
        </is>
      </c>
      <c r="U149" s="349" t="inlineStr">
        <is>
          <t>Codex</t>
        </is>
      </c>
      <c r="V149" s="349" t="n">
        <v>46264</v>
      </c>
      <c r="W149" s="349" t="inlineStr">
        <is>
          <t>原创程序几何</t>
        </is>
      </c>
      <c r="X149" s="375" t="inlineStr">
        <is>
          <t>—</t>
        </is>
      </c>
      <c r="Y149" s="349" t="inlineStr">
        <is>
          <t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50" ht="44" customHeight="1">
      <c r="A150" s="349" t="inlineStr">
        <is>
          <t>CHR-PLY-CAPSULE01-GLASSES-DIY-3D</t>
        </is>
      </c>
      <c r="B150" s="349" t="inlineStr">
        <is>
          <t>胶囊防护体3D眼镜DIY组件</t>
        </is>
      </c>
      <c r="C150" s="349" t="inlineStr">
        <is>
          <t>角色</t>
        </is>
      </c>
      <c r="D150" s="349" t="inlineStr">
        <is>
          <t>player_accessory</t>
        </is>
      </c>
      <c r="E150" s="349" t="inlineStr">
        <is>
          <t>player_capsule01</t>
        </is>
      </c>
      <c r="F150" s="349" t="inlineStr">
        <is>
          <t>glasses_diy_3d</t>
        </is>
      </c>
      <c r="G150" s="349" t="inlineStr">
        <is>
          <t>CHR-PLY-CAPSULE01-HEAD-3D</t>
        </is>
      </c>
      <c r="H150" s="349" t="inlineStr">
        <is>
          <t>俯视3D</t>
        </is>
      </c>
      <c r="I150" s="349" t="inlineStr">
        <is>
          <t>diy</t>
        </is>
      </c>
      <c r="J150" s="349" t="inlineStr">
        <is>
          <t>3D玩家/预览场</t>
        </is>
      </c>
      <c r="K150" s="349" t="inlineStr">
        <is>
          <t>原型已接入</t>
        </is>
      </c>
      <c r="L150" s="349" t="inlineStr">
        <is>
          <t>P1</t>
        </is>
      </c>
      <c r="M150" s="349" t="inlineStr">
        <is>
          <t>v001</t>
        </is>
      </c>
      <c r="N150" s="349" t="inlineStr">
        <is>
          <t>单目镜/双目护镜/宽面护目镜</t>
        </is>
      </c>
      <c r="O150" s="349" t="inlineStr">
        <is>
          <t>src/player3d/PlayerAvatar3D.gd</t>
        </is>
      </c>
      <c r="P150" s="349" t="inlineStr">
        <is>
          <t>VisualRoot/Head/Wearables</t>
        </is>
      </c>
      <c r="Q150" s="349" t="inlineStr">
        <is>
          <t>眼镜;单目镜;护目镜;宽面护目镜;DIY</t>
        </is>
      </c>
      <c r="R150" s="349">
        <f>LOWER(TRIM(C150)&amp;"|"&amp;TRIM(D150)&amp;"|"&amp;TRIM(E150)&amp;"|"&amp;TRIM(F150)&amp;"|"&amp;TRIM(H150)&amp;"|"&amp;TRIM(I150))</f>
        <v/>
      </c>
      <c r="S150" s="349">
        <f>IF(COUNTIF($R$6:$R$300,R150)&gt;1,"重复","唯一")</f>
        <v/>
      </c>
      <c r="T150" s="349" t="inlineStr">
        <is>
          <t>2068ecdbee00fefeb546f15eecf7cf3591715338c8aad732ac972136a9377e72</t>
        </is>
      </c>
      <c r="U150" s="349" t="inlineStr">
        <is>
          <t>Codex</t>
        </is>
      </c>
      <c r="V150" s="349" t="n">
        <v>46264</v>
      </c>
      <c r="W150" s="349" t="inlineStr">
        <is>
          <t>原创程序几何</t>
        </is>
      </c>
      <c r="X150" s="375" t="inlineStr">
        <is>
          <t>—</t>
        </is>
      </c>
      <c r="Y150" s="349" t="inlineStr">
        <is>
          <t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51" ht="44" customHeight="1">
      <c r="A151" s="349" t="inlineStr">
        <is>
          <t>CHR-PLY-CAPSULE01-FOOT-3D</t>
        </is>
      </c>
      <c r="B151" s="349" t="inlineStr">
        <is>
          <t>方形猫角色3D脚部模块</t>
        </is>
      </c>
      <c r="C151" s="349" t="inlineStr">
        <is>
          <t>角色</t>
        </is>
      </c>
      <c r="D151" s="349" t="inlineStr">
        <is>
          <t>player</t>
        </is>
      </c>
      <c r="E151" s="349" t="inlineStr">
        <is>
          <t>player_capsule01</t>
        </is>
      </c>
      <c r="F151" s="349" t="inlineStr">
        <is>
          <t>feet_3d</t>
        </is>
      </c>
      <c r="G151" s="349" t="inlineStr">
        <is>
          <t>CHR-PLY-CAPSULE01-3D</t>
        </is>
      </c>
      <c r="H151" s="349" t="inlineStr">
        <is>
          <t>俯视3D</t>
        </is>
      </c>
      <c r="I151" s="349" t="inlineStr">
        <is>
          <t>default</t>
        </is>
      </c>
      <c r="J151" s="349" t="inlineStr">
        <is>
          <t>3D玩家/预览场</t>
        </is>
      </c>
      <c r="K151" s="349" t="inlineStr">
        <is>
          <t>原型已接入</t>
        </is>
      </c>
      <c r="L151" s="349" t="inlineStr">
        <is>
          <t>P1</t>
        </is>
      </c>
      <c r="M151" s="349" t="inlineStr">
        <is>
          <t>v001</t>
        </is>
      </c>
      <c r="N151" s="349" t="inlineStr">
        <is>
          <t>双BoxMesh短脚</t>
        </is>
      </c>
      <c r="O151" s="349" t="inlineStr">
        <is>
          <t>assets/art/characters/player/chr_player_capsule01_3d/chr_player_capsule01_root_top3d_v001.tscn</t>
        </is>
      </c>
      <c r="P151" s="349" t="inlineStr">
        <is>
          <t>VisualRoot/Feet</t>
        </is>
      </c>
      <c r="Q151" s="349" t="inlineStr">
        <is>
          <t>脚;脚部;双脚;方脚;猫脚</t>
        </is>
      </c>
      <c r="R151" s="349">
        <f>LOWER(TRIM(C151)&amp;"|"&amp;TRIM(D151)&amp;"|"&amp;TRIM(E151)&amp;"|"&amp;TRIM(F151)&amp;"|"&amp;TRIM(H151)&amp;"|"&amp;TRIM(I151))</f>
        <v/>
      </c>
      <c r="S151" s="349">
        <f>IF(COUNTIF($R$6:$R$300,R151)&gt;1,"重复","唯一")</f>
        <v/>
      </c>
      <c r="T151" s="349" t="inlineStr">
        <is>
          <t>2802d5526c3eb7a8ab01a09bb9d2115c7dc531563442527460ddfd71870cbdec</t>
        </is>
      </c>
      <c r="U151" s="349" t="inlineStr">
        <is>
          <t>Codex</t>
        </is>
      </c>
      <c r="V151" s="349" t="n">
        <v>46264</v>
      </c>
      <c r="W151" s="349" t="inlineStr">
        <is>
          <t>原创程序几何</t>
        </is>
      </c>
      <c r="X151" s="375" t="inlineStr">
        <is>
          <t>—</t>
        </is>
      </c>
      <c r="Y151" s="349" t="inlineStr">
        <is>
          <t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2" ht="44" customHeight="1">
      <c r="A152" s="349" t="inlineStr">
        <is>
          <t>CHR-PLY-CAPSULE01-EYES-3D</t>
        </is>
      </c>
      <c r="B152" s="349" t="inlineStr">
        <is>
          <t>方形猫角色3D双眼配件</t>
        </is>
      </c>
      <c r="C152" s="349" t="inlineStr">
        <is>
          <t>角色</t>
        </is>
      </c>
      <c r="D152" s="349" t="inlineStr">
        <is>
          <t>player_accessory</t>
        </is>
      </c>
      <c r="E152" s="349" t="inlineStr">
        <is>
          <t>player_capsule01</t>
        </is>
      </c>
      <c r="F152" s="349" t="inlineStr">
        <is>
          <t>eyes_3d</t>
        </is>
      </c>
      <c r="G152" s="349" t="inlineStr">
        <is>
          <t>CHR-PLY-CAPSULE01-HEAD-3D</t>
        </is>
      </c>
      <c r="H152" s="349" t="inlineStr">
        <is>
          <t>俯视3D</t>
        </is>
      </c>
      <c r="I152" s="349" t="inlineStr">
        <is>
          <t>default</t>
        </is>
      </c>
      <c r="J152" s="349" t="inlineStr">
        <is>
          <t>3D玩家/预览场</t>
        </is>
      </c>
      <c r="K152" s="349" t="inlineStr">
        <is>
          <t>原型已接入</t>
        </is>
      </c>
      <c r="L152" s="349" t="inlineStr">
        <is>
          <t>P1</t>
        </is>
      </c>
      <c r="M152" s="349" t="inlineStr">
        <is>
          <t>v001</t>
        </is>
      </c>
      <c r="N152" s="349" t="inlineStr">
        <is>
          <t>2个矩形豆豆眼</t>
        </is>
      </c>
      <c r="O152" s="349" t="inlineStr">
        <is>
          <t>assets/art/characters/player/chr_player_capsule01_3d/chr_player_capsule01_root_top3d_v001.tscn</t>
        </is>
      </c>
      <c r="P152" s="349" t="inlineStr">
        <is>
          <t>VisualRoot/Head/Eyes</t>
        </is>
      </c>
      <c r="Q152" s="349" t="inlineStr">
        <is>
          <t>眼睛;双眼;豆豆眼;矩形眼</t>
        </is>
      </c>
      <c r="R152" s="349">
        <f>LOWER(TRIM(C152)&amp;"|"&amp;TRIM(D152)&amp;"|"&amp;TRIM(E152)&amp;"|"&amp;TRIM(F152)&amp;"|"&amp;TRIM(H152)&amp;"|"&amp;TRIM(I152))</f>
        <v/>
      </c>
      <c r="S152" s="349">
        <f>IF(COUNTIF($R$6:$R$300,R152)&gt;1,"重复","唯一")</f>
        <v/>
      </c>
      <c r="T152" s="349" t="inlineStr">
        <is>
          <t>2802d5526c3eb7a8ab01a09bb9d2115c7dc531563442527460ddfd71870cbdec</t>
        </is>
      </c>
      <c r="U152" s="349" t="inlineStr">
        <is>
          <t>Codex</t>
        </is>
      </c>
      <c r="V152" s="349" t="n">
        <v>46264</v>
      </c>
      <c r="W152" s="349" t="inlineStr">
        <is>
          <t>原创程序几何</t>
        </is>
      </c>
      <c r="X152" s="375" t="inlineStr">
        <is>
          <t>—</t>
        </is>
      </c>
      <c r="Y152" s="349" t="inlineStr">
        <is>
          <t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3" ht="44" customHeight="1">
      <c r="A153" s="349" t="inlineStr">
        <is>
          <t>CHR-PLY-CAPSULE01-EARS-3D</t>
        </is>
      </c>
      <c r="B153" s="349" t="inlineStr">
        <is>
          <t>方形猫角色3D双耳配件</t>
        </is>
      </c>
      <c r="C153" s="349" t="inlineStr">
        <is>
          <t>角色</t>
        </is>
      </c>
      <c r="D153" s="349" t="inlineStr">
        <is>
          <t>player_accessory</t>
        </is>
      </c>
      <c r="E153" s="349" t="inlineStr">
        <is>
          <t>player_capsule01</t>
        </is>
      </c>
      <c r="F153" s="349" t="inlineStr">
        <is>
          <t>ears_3d</t>
        </is>
      </c>
      <c r="G153" s="349" t="inlineStr">
        <is>
          <t>CHR-PLY-CAPSULE01-HEAD-3D</t>
        </is>
      </c>
      <c r="H153" s="349" t="inlineStr">
        <is>
          <t>俯视3D</t>
        </is>
      </c>
      <c r="I153" s="349" t="inlineStr">
        <is>
          <t>default</t>
        </is>
      </c>
      <c r="J153" s="349" t="inlineStr">
        <is>
          <t>3D玩家/预览场</t>
        </is>
      </c>
      <c r="K153" s="349" t="inlineStr">
        <is>
          <t>原型已接入</t>
        </is>
      </c>
      <c r="L153" s="349" t="inlineStr">
        <is>
          <t>P1</t>
        </is>
      </c>
      <c r="M153" s="349" t="inlineStr">
        <is>
          <t>v001</t>
        </is>
      </c>
      <c r="N153" s="349" t="inlineStr">
        <is>
          <t>2个三角耳</t>
        </is>
      </c>
      <c r="O153" s="349" t="inlineStr">
        <is>
          <t>assets/art/characters/player/chr_player_capsule01_3d/chr_player_capsule01_root_top3d_v001.tscn</t>
        </is>
      </c>
      <c r="P153" s="349" t="inlineStr">
        <is>
          <t>VisualRoot/Head/Ears</t>
        </is>
      </c>
      <c r="Q153" s="349" t="inlineStr">
        <is>
          <t>耳朵;双耳;猫耳;三角耳</t>
        </is>
      </c>
      <c r="R153" s="349">
        <f>LOWER(TRIM(C153)&amp;"|"&amp;TRIM(D153)&amp;"|"&amp;TRIM(E153)&amp;"|"&amp;TRIM(F153)&amp;"|"&amp;TRIM(H153)&amp;"|"&amp;TRIM(I153))</f>
        <v/>
      </c>
      <c r="S153" s="349">
        <f>IF(COUNTIF($R$6:$R$300,R153)&gt;1,"重复","唯一")</f>
        <v/>
      </c>
      <c r="T153" s="349" t="inlineStr">
        <is>
          <t>2802d5526c3eb7a8ab01a09bb9d2115c7dc531563442527460ddfd71870cbdec</t>
        </is>
      </c>
      <c r="U153" s="349" t="inlineStr">
        <is>
          <t>Codex</t>
        </is>
      </c>
      <c r="V153" s="349" t="n">
        <v>46264</v>
      </c>
      <c r="W153" s="349" t="inlineStr">
        <is>
          <t>原创程序几何</t>
        </is>
      </c>
      <c r="X153" s="375" t="inlineStr">
        <is>
          <t>—</t>
        </is>
      </c>
      <c r="Y153" s="349" t="inlineStr">
        <is>
          <t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4" ht="44" customHeight="1">
      <c r="A154" s="349" t="inlineStr">
        <is>
          <t>CHR-PLY-CAPSULE01-TAIL-STUB-3D</t>
        </is>
      </c>
      <c r="B154" s="349" t="inlineStr">
        <is>
          <t>方形猫角色3D圆短尾</t>
        </is>
      </c>
      <c r="C154" s="349" t="inlineStr">
        <is>
          <t>角色</t>
        </is>
      </c>
      <c r="D154" s="349" t="inlineStr">
        <is>
          <t>player_accessory</t>
        </is>
      </c>
      <c r="E154" s="349" t="inlineStr">
        <is>
          <t>player_capsule01</t>
        </is>
      </c>
      <c r="F154" s="349" t="inlineStr">
        <is>
          <t>tail_stub_3d</t>
        </is>
      </c>
      <c r="G154" s="349" t="inlineStr">
        <is>
          <t>CHR-PLY-CAPSULE01-BODY-3D</t>
        </is>
      </c>
      <c r="H154" s="349" t="inlineStr">
        <is>
          <t>俯视3D</t>
        </is>
      </c>
      <c r="I154" s="349" t="inlineStr">
        <is>
          <t>default</t>
        </is>
      </c>
      <c r="J154" s="349" t="inlineStr">
        <is>
          <t>3D玩家/预览场</t>
        </is>
      </c>
      <c r="K154" s="349" t="inlineStr">
        <is>
          <t>原型已接入</t>
        </is>
      </c>
      <c r="L154" s="349" t="inlineStr">
        <is>
          <t>P1</t>
        </is>
      </c>
      <c r="M154" s="349" t="inlineStr">
        <is>
          <t>v001</t>
        </is>
      </c>
      <c r="N154" s="349" t="inlineStr">
        <is>
          <t>单个SphereMesh圆尾团</t>
        </is>
      </c>
      <c r="O154" s="349" t="inlineStr">
        <is>
          <t>assets/art/characters/player/chr_player_capsule01_3d/chr_player_capsule01_root_top3d_v001.tscn</t>
        </is>
      </c>
      <c r="P154" s="349" t="inlineStr">
        <is>
          <t>VisualRoot/Body/TailStub</t>
        </is>
      </c>
      <c r="Q154" s="349" t="inlineStr">
        <is>
          <t>尾巴;短尾;圆尾;尾团;无长尾</t>
        </is>
      </c>
      <c r="R154" s="349">
        <f>LOWER(TRIM(C154)&amp;"|"&amp;TRIM(D154)&amp;"|"&amp;TRIM(E154)&amp;"|"&amp;TRIM(F154)&amp;"|"&amp;TRIM(H154)&amp;"|"&amp;TRIM(I154))</f>
        <v/>
      </c>
      <c r="S154" s="349">
        <f>IF(COUNTIF($R$6:$R$300,R154)&gt;1,"重复","唯一")</f>
        <v/>
      </c>
      <c r="T154" s="349" t="inlineStr">
        <is>
          <t>2802d5526c3eb7a8ab01a09bb9d2115c7dc531563442527460ddfd71870cbdec</t>
        </is>
      </c>
      <c r="U154" s="349" t="inlineStr">
        <is>
          <t>Codex</t>
        </is>
      </c>
      <c r="V154" s="349" t="n">
        <v>46264</v>
      </c>
      <c r="W154" s="349" t="inlineStr">
        <is>
          <t>原创程序几何</t>
        </is>
      </c>
      <c r="X154" s="375" t="inlineStr">
        <is>
          <t>—</t>
        </is>
      </c>
      <c r="Y154" s="349" t="inlineStr">
        <is>
          <t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5" ht="44" customHeight="1">
      <c r="A155" s="349" t="inlineStr">
        <is>
          <t>CHR-PLY-CAPSULE01-FEET-DIY-3D</t>
        </is>
      </c>
      <c r="B155" s="349" t="inlineStr">
        <is>
          <t>方形猫角色3D脚部DIY变体</t>
        </is>
      </c>
      <c r="C155" s="349" t="inlineStr">
        <is>
          <t>角色</t>
        </is>
      </c>
      <c r="D155" s="349" t="inlineStr">
        <is>
          <t>player_variant</t>
        </is>
      </c>
      <c r="E155" s="349" t="inlineStr">
        <is>
          <t>player_capsule01</t>
        </is>
      </c>
      <c r="F155" s="349" t="inlineStr">
        <is>
          <t>feet_diy_3d</t>
        </is>
      </c>
      <c r="G155" s="349" t="inlineStr">
        <is>
          <t>CHR-PLY-CAPSULE01-FOOT-3D</t>
        </is>
      </c>
      <c r="H155" s="349" t="inlineStr">
        <is>
          <t>俯视3D</t>
        </is>
      </c>
      <c r="I155" s="349" t="inlineStr">
        <is>
          <t>diy</t>
        </is>
      </c>
      <c r="J155" s="349" t="inlineStr">
        <is>
          <t>3D玩家/预览场</t>
        </is>
      </c>
      <c r="K155" s="349" t="inlineStr">
        <is>
          <t>原型已接入</t>
        </is>
      </c>
      <c r="L155" s="349" t="inlineStr">
        <is>
          <t>P1</t>
        </is>
      </c>
      <c r="M155" s="349" t="inlineStr">
        <is>
          <t>v001</t>
        </is>
      </c>
      <c r="N155" s="349" t="inlineStr">
        <is>
          <t>4种程序材质</t>
        </is>
      </c>
      <c r="O155" s="349" t="inlineStr">
        <is>
          <t>src/player3d/PlayerAvatar3D.gd</t>
        </is>
      </c>
      <c r="P155" s="349" t="inlineStr">
        <is>
          <t>VisualRoot/Feet</t>
        </is>
      </c>
      <c r="Q155" s="349" t="inlineStr">
        <is>
          <t>脚部DIY;猫脚;短靴;橙色;沙色;钴蓝;青绿</t>
        </is>
      </c>
      <c r="R155" s="349">
        <f>LOWER(TRIM(C155)&amp;"|"&amp;TRIM(D155)&amp;"|"&amp;TRIM(E155)&amp;"|"&amp;TRIM(F155)&amp;"|"&amp;TRIM(H155)&amp;"|"&amp;TRIM(I155))</f>
        <v/>
      </c>
      <c r="S155" s="349">
        <f>IF(COUNTIF($R$6:$R$300,R155)&gt;1,"重复","唯一")</f>
        <v/>
      </c>
      <c r="T155" s="349" t="inlineStr">
        <is>
          <t>2068ecdbee00fefeb546f15eecf7cf3591715338c8aad732ac972136a9377e72</t>
        </is>
      </c>
      <c r="U155" s="349" t="inlineStr">
        <is>
          <t>Codex</t>
        </is>
      </c>
      <c r="V155" s="349" t="n">
        <v>46264</v>
      </c>
      <c r="W155" s="349" t="inlineStr">
        <is>
          <t>原创程序几何</t>
        </is>
      </c>
      <c r="X155" s="375" t="inlineStr">
        <is>
          <t>—</t>
        </is>
      </c>
      <c r="Y155" s="349" t="inlineStr">
        <is>
          <t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t>
        </is>
      </c>
    </row>
    <row r="156" ht="132" customHeight="1">
      <c r="A156" s="364" t="inlineStr">
        <is>
          <t>CHR-PLY-CAPSULE01-3D-BUNNY01</t>
        </is>
      </c>
      <c r="B156" s="364" t="inlineStr">
        <is>
          <t>兔子主角3D根变体</t>
        </is>
      </c>
      <c r="C156" s="364" t="inlineStr">
        <is>
          <t>角色</t>
        </is>
      </c>
      <c r="D156" s="364" t="inlineStr">
        <is>
          <t>player_variant</t>
        </is>
      </c>
      <c r="E156" s="364" t="inlineStr">
        <is>
          <t>player_capsule01</t>
        </is>
      </c>
      <c r="F156" s="364" t="inlineStr">
        <is>
          <t>root_3d_bunny01</t>
        </is>
      </c>
      <c r="G156" s="364" t="inlineStr">
        <is>
          <t>CHR-PLY-CAPSULE01-3D</t>
        </is>
      </c>
      <c r="H156" s="364" t="inlineStr">
        <is>
          <t>俯视3D</t>
        </is>
      </c>
      <c r="I156" s="364" t="inlineStr">
        <is>
          <t>default</t>
        </is>
      </c>
      <c r="J156" s="364" t="inlineStr">
        <is>
          <t>3D玩家场景</t>
        </is>
      </c>
      <c r="K156" s="364" t="inlineStr">
        <is>
          <t>原型已接入</t>
        </is>
      </c>
      <c r="L156" s="364" t="inlineStr">
        <is>
          <t>P0</t>
        </is>
      </c>
      <c r="M156" s="364" t="inlineStr">
        <is>
          <t>v021</t>
        </is>
      </c>
      <c r="N156" s="364" t="inlineStr">
        <is>
          <t>创作高1.5m；运行可见高1.05m；碰撞由Player3D拥有，不随美术骨架修改。</t>
        </is>
      </c>
      <c r="O156" s="364" t="inlineStr">
        <is>
          <t>assets/art/characters/player/chr_player_capsule01_3d/variants/bunny01/production/v021/runtime/chr_bunny01_root_v021.tscn</t>
        </is>
      </c>
      <c r="P156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6" s="364" t="inlineStr">
        <is>
          <t>兔子;主角;兔耳;3D;Blender;bunny01</t>
        </is>
      </c>
      <c r="R156" s="364">
        <f>LOWER(TRIM(C156)&amp;"|"&amp;TRIM(D156)&amp;"|"&amp;TRIM(E156)&amp;"|"&amp;TRIM(F156)&amp;"|"&amp;TRIM(H156)&amp;"|"&amp;TRIM(I156))</f>
        <v/>
      </c>
      <c r="S156" s="364">
        <f>IF(COUNTIF($R$6:$R$300,R156)&gt;1,"重复","唯一")</f>
        <v/>
      </c>
      <c r="T156" s="364" t="inlineStr">
        <is>
          <t>c571c093bab22f38361fabb0317d30602035d8e5187b7bf7279aec5b14a370ea</t>
        </is>
      </c>
      <c r="U156" s="364" t="inlineStr">
        <is>
          <t>Codex</t>
        </is>
      </c>
      <c r="V156" s="307" t="n">
        <v>46264</v>
      </c>
      <c r="W156" s="307" t="inlineStr">
        <is>
          <t>原创 Blender/Godot 组合</t>
        </is>
      </c>
      <c r="X156" s="375" t="inlineStr">
        <is>
          <t>—</t>
        </is>
      </c>
      <c r="Y156" s="364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7" ht="118" customHeight="1">
      <c r="A157" s="364" t="inlineStr">
        <is>
          <t>CHR-PLY-CAPSULE01-3D-BUNNY01-BODY</t>
        </is>
      </c>
      <c r="B157" s="364" t="inlineStr">
        <is>
          <t>兔子主角3D身体</t>
        </is>
      </c>
      <c r="C157" s="364" t="inlineStr">
        <is>
          <t>角色</t>
        </is>
      </c>
      <c r="D157" s="364" t="inlineStr">
        <is>
          <t>player_component</t>
        </is>
      </c>
      <c r="E157" s="364" t="inlineStr">
        <is>
          <t>player_capsule01</t>
        </is>
      </c>
      <c r="F157" s="364" t="inlineStr">
        <is>
          <t>body_3d_bunny01</t>
        </is>
      </c>
      <c r="G157" s="364" t="inlineStr">
        <is>
          <t>CHR-PLY-CAPSULE01-3D-BUNNY01</t>
        </is>
      </c>
      <c r="H157" s="364" t="inlineStr">
        <is>
          <t>俯视3D</t>
        </is>
      </c>
      <c r="I157" s="364" t="inlineStr">
        <is>
          <t>default</t>
        </is>
      </c>
      <c r="J157" s="364" t="inlineStr">
        <is>
          <t>3D玩家场景</t>
        </is>
      </c>
      <c r="K157" s="364" t="inlineStr">
        <is>
          <t>原型已接入</t>
        </is>
      </c>
      <c r="L157" s="364" t="inlineStr">
        <is>
          <t>P0</t>
        </is>
      </c>
      <c r="M157" s="364" t="inlineStr">
        <is>
          <t>v021</t>
        </is>
      </c>
      <c r="N157" s="364" t="inlineStr">
        <is>
          <t>GLB / 1,958 verts / pivot-local / 1.5m总高比例</t>
        </is>
      </c>
      <c r="O157" s="364" t="inlineStr">
        <is>
          <t>assets/art/characters/player/chr_player_capsule01_3d/variants/bunny01/production/v021/exports/chr_bunny01_body_v021.glb</t>
        </is>
      </c>
      <c r="P157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7" s="364" t="inlineStr">
        <is>
          <t>兔子;身体;服装;body;bunny01</t>
        </is>
      </c>
      <c r="R157" s="364">
        <f>LOWER(TRIM(C157)&amp;"|"&amp;TRIM(D157)&amp;"|"&amp;TRIM(E157)&amp;"|"&amp;TRIM(F157)&amp;"|"&amp;TRIM(H157)&amp;"|"&amp;TRIM(I157))</f>
        <v/>
      </c>
      <c r="S157" s="364">
        <f>IF(COUNTIF($R$6:$R$300,R157)&gt;1,"重复","唯一")</f>
        <v/>
      </c>
      <c r="T157" s="364" t="inlineStr">
        <is>
          <t>861c7d454e510d7d50c0459dc9fa5b052af56c473896333a68ab6940ae981b49</t>
        </is>
      </c>
      <c r="U157" s="364" t="inlineStr">
        <is>
          <t>Codex</t>
        </is>
      </c>
      <c r="V157" s="307" t="n">
        <v>46264</v>
      </c>
      <c r="W157" s="364" t="inlineStr">
        <is>
          <t>用户提供 Blender 源文件</t>
        </is>
      </c>
      <c r="X157" s="375" t="inlineStr">
        <is>
          <t>—</t>
        </is>
      </c>
      <c r="Y157" s="364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8" ht="118" customHeight="1">
      <c r="A158" s="364" t="inlineStr">
        <is>
          <t>CHR-PLY-CAPSULE01-3D-BUNNY01-HEAD</t>
        </is>
      </c>
      <c r="B158" s="364" t="inlineStr">
        <is>
          <t>兔子主角3D头部</t>
        </is>
      </c>
      <c r="C158" s="364" t="inlineStr">
        <is>
          <t>角色</t>
        </is>
      </c>
      <c r="D158" s="364" t="inlineStr">
        <is>
          <t>player_component</t>
        </is>
      </c>
      <c r="E158" s="364" t="inlineStr">
        <is>
          <t>player_capsule01</t>
        </is>
      </c>
      <c r="F158" s="364" t="inlineStr">
        <is>
          <t>head_3d_bunny01</t>
        </is>
      </c>
      <c r="G158" s="364" t="inlineStr">
        <is>
          <t>CHR-PLY-CAPSULE01-3D-BUNNY01</t>
        </is>
      </c>
      <c r="H158" s="364" t="inlineStr">
        <is>
          <t>俯视3D</t>
        </is>
      </c>
      <c r="I158" s="364" t="inlineStr">
        <is>
          <t>default</t>
        </is>
      </c>
      <c r="J158" s="364" t="inlineStr">
        <is>
          <t>3D玩家场景</t>
        </is>
      </c>
      <c r="K158" s="364" t="inlineStr">
        <is>
          <t>原型已接入</t>
        </is>
      </c>
      <c r="L158" s="364" t="inlineStr">
        <is>
          <t>P0</t>
        </is>
      </c>
      <c r="M158" s="364" t="inlineStr">
        <is>
          <t>v021</t>
        </is>
      </c>
      <c r="N158" s="364" t="inlineStr">
        <is>
          <t>GLB / 5,936 verts / pivot-local / 头顶1.103390m</t>
        </is>
      </c>
      <c r="O158" s="364" t="inlineStr">
        <is>
          <t>assets/art/characters/player/chr_player_capsule01_3d/variants/bunny01/production/v021/exports/chr_bunny01_head_v021.glb</t>
        </is>
      </c>
      <c r="P158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8" s="364" t="inlineStr">
        <is>
          <t>兔子;头部;head;bunny01</t>
        </is>
      </c>
      <c r="R158" s="364">
        <f>LOWER(TRIM(C158)&amp;"|"&amp;TRIM(D158)&amp;"|"&amp;TRIM(E158)&amp;"|"&amp;TRIM(F158)&amp;"|"&amp;TRIM(H158)&amp;"|"&amp;TRIM(I158))</f>
        <v/>
      </c>
      <c r="S158" s="364">
        <f>IF(COUNTIF($R$6:$R$300,R158)&gt;1,"重复","唯一")</f>
        <v/>
      </c>
      <c r="T158" s="364" t="inlineStr">
        <is>
          <t>f654754b8a52cbd173597bd5f1e390a900bd0c2b0ed4ba357a8060542d51fda5</t>
        </is>
      </c>
      <c r="U158" s="364" t="inlineStr">
        <is>
          <t>Codex</t>
        </is>
      </c>
      <c r="V158" s="307" t="n">
        <v>46264</v>
      </c>
      <c r="W158" s="364" t="inlineStr">
        <is>
          <t>用户提供 Blender 源文件</t>
        </is>
      </c>
      <c r="X158" s="375" t="inlineStr">
        <is>
          <t>—</t>
        </is>
      </c>
      <c r="Y158" s="364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9" ht="118" customHeight="1">
      <c r="A159" s="364" t="inlineStr">
        <is>
          <t>CHR-PLY-CAPSULE01-3D-BUNNY01-EARS</t>
        </is>
      </c>
      <c r="B159" s="364" t="inlineStr">
        <is>
          <t>兔子主角3D双耳配件</t>
        </is>
      </c>
      <c r="C159" s="364" t="inlineStr">
        <is>
          <t>角色</t>
        </is>
      </c>
      <c r="D159" s="364" t="inlineStr">
        <is>
          <t>player_accessory</t>
        </is>
      </c>
      <c r="E159" s="364" t="inlineStr">
        <is>
          <t>player_capsule01</t>
        </is>
      </c>
      <c r="F159" s="364" t="inlineStr">
        <is>
          <t>ears_3d_bunny01</t>
        </is>
      </c>
      <c r="G159" s="364" t="inlineStr">
        <is>
          <t>CHR-PLY-CAPSULE01-3D-BUNNY01-HEAD</t>
        </is>
      </c>
      <c r="H159" s="364" t="inlineStr">
        <is>
          <t>俯视3D</t>
        </is>
      </c>
      <c r="I159" s="364" t="inlineStr">
        <is>
          <t>default</t>
        </is>
      </c>
      <c r="J159" s="364" t="inlineStr">
        <is>
          <t>3D玩家场景</t>
        </is>
      </c>
      <c r="K159" s="364" t="inlineStr">
        <is>
          <t>原型已接入</t>
        </is>
      </c>
      <c r="L159" s="364" t="inlineStr">
        <is>
          <t>P0</t>
        </is>
      </c>
      <c r="M159" s="364" t="inlineStr">
        <is>
          <t>v021</t>
        </is>
      </c>
      <c r="N159" s="364" t="inlineStr">
        <is>
          <t>左右独立 GLB / 已烘焙镜像</t>
        </is>
      </c>
      <c r="O159" s="364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59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9" s="364" t="inlineStr">
        <is>
          <t>兔耳;耳朵;耳部配件;EarSocketL;EarSocketR;bunny01</t>
        </is>
      </c>
      <c r="R159" s="364">
        <f>LOWER(TRIM(C159)&amp;"|"&amp;TRIM(D159)&amp;"|"&amp;TRIM(E159)&amp;"|"&amp;TRIM(F159)&amp;"|"&amp;TRIM(H159)&amp;"|"&amp;TRIM(I159))</f>
        <v/>
      </c>
      <c r="S159" s="364">
        <f>IF(COUNTIF($R$6:$R$300,R159)&gt;1,"重复","唯一")</f>
        <v/>
      </c>
      <c r="T159" s="364" t="inlineStr">
        <is>
          <t>0936a7e3212554eddf48af62704649b6a6c98a67b56b180ed2e802bc97a1fc7c / 7719ba73dec977951da3edf997752ba5afcf4a1c9f8b2bc8dd5ad8a78381b208</t>
        </is>
      </c>
      <c r="U159" s="364" t="inlineStr">
        <is>
          <t>Codex</t>
        </is>
      </c>
      <c r="V159" s="307" t="n">
        <v>46264</v>
      </c>
      <c r="W159" s="364" t="inlineStr">
        <is>
          <t>用户提供 Blender 源文件</t>
        </is>
      </c>
      <c r="X159" s="375" t="inlineStr">
        <is>
          <t>—</t>
        </is>
      </c>
      <c r="Y159" s="364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0" ht="118" customHeight="1">
      <c r="A160" s="364" t="inlineStr">
        <is>
          <t>CHR-PLY-CAPSULE01-3D-BUNNY01-HAND</t>
        </is>
      </c>
      <c r="B160" s="364" t="inlineStr">
        <is>
          <t>兔子主角3D双爪表现组件</t>
        </is>
      </c>
      <c r="C160" s="364" t="inlineStr">
        <is>
          <t>角色</t>
        </is>
      </c>
      <c r="D160" s="364" t="inlineStr">
        <is>
          <t>player_component</t>
        </is>
      </c>
      <c r="E160" s="364" t="inlineStr">
        <is>
          <t>player_capsule01</t>
        </is>
      </c>
      <c r="F160" s="364" t="inlineStr">
        <is>
          <t>hand_3d_bunny01</t>
        </is>
      </c>
      <c r="G160" s="364" t="inlineStr">
        <is>
          <t>CHR-PLY-CAPSULE01-3D-BUNNY01</t>
        </is>
      </c>
      <c r="H160" s="364" t="inlineStr">
        <is>
          <t>俯视3D</t>
        </is>
      </c>
      <c r="I160" s="364" t="inlineStr">
        <is>
          <t>default</t>
        </is>
      </c>
      <c r="J160" s="364" t="inlineStr">
        <is>
          <t>3D玩家场景</t>
        </is>
      </c>
      <c r="K160" s="364" t="inlineStr">
        <is>
          <t>原型已接入</t>
        </is>
      </c>
      <c r="L160" s="364" t="inlineStr">
        <is>
          <t>P0</t>
        </is>
      </c>
      <c r="M160" s="364" t="inlineStr">
        <is>
          <t>v021</t>
        </is>
      </c>
      <c r="N160" s="364" t="inlineStr">
        <is>
          <t>双 GLB / 左右各1,058 verts / pivot-local / 1.5m角色比例</t>
        </is>
      </c>
      <c r="O160" s="364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60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0" s="364" t="inlineStr">
        <is>
          <t>兔爪;手;握持;weapon_socket;bunny01</t>
        </is>
      </c>
      <c r="R160" s="364">
        <f>LOWER(TRIM(C160)&amp;"|"&amp;TRIM(D160)&amp;"|"&amp;TRIM(E160)&amp;"|"&amp;TRIM(F160)&amp;"|"&amp;TRIM(H160)&amp;"|"&amp;TRIM(I160))</f>
        <v/>
      </c>
      <c r="S160" s="364">
        <f>IF(COUNTIF($R$6:$R$300,R160)&gt;1,"重复","唯一")</f>
        <v/>
      </c>
      <c r="T160" s="364" t="inlineStr">
        <is>
          <t>eb021c9f0858a3b6bc5012551db2424cbc44baa0f769d6365fde780df4b8058c / ceaf3366cd4fa1887c3e897608052419120f2e4887003f48871b1fdea71f5cfb</t>
        </is>
      </c>
      <c r="U160" s="364" t="inlineStr">
        <is>
          <t>Codex</t>
        </is>
      </c>
      <c r="V160" s="307" t="n">
        <v>46264</v>
      </c>
      <c r="W160" s="364" t="inlineStr">
        <is>
          <t>用户提供 Blender 源文件</t>
        </is>
      </c>
      <c r="X160" s="375" t="inlineStr">
        <is>
          <t>—</t>
        </is>
      </c>
      <c r="Y160" s="364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1" ht="132" customHeight="1">
      <c r="A161" s="364" t="inlineStr">
        <is>
          <t>CHR-PLY-CAPSULE01-3D-BUNNY01-FOOT-L</t>
        </is>
      </c>
      <c r="B161" s="364" t="inlineStr">
        <is>
          <t>兔子主角3D左脚</t>
        </is>
      </c>
      <c r="C161" s="364" t="inlineStr">
        <is>
          <t>角色</t>
        </is>
      </c>
      <c r="D161" s="364" t="inlineStr">
        <is>
          <t>player_component</t>
        </is>
      </c>
      <c r="E161" s="364" t="inlineStr">
        <is>
          <t>player_capsule01</t>
        </is>
      </c>
      <c r="F161" s="364" t="inlineStr">
        <is>
          <t>foot_l_3d_bunny01</t>
        </is>
      </c>
      <c r="G161" s="364" t="inlineStr">
        <is>
          <t>CHR-PLY-CAPSULE01-3D-BUNNY01</t>
        </is>
      </c>
      <c r="H161" s="364" t="inlineStr">
        <is>
          <t>俯视3D</t>
        </is>
      </c>
      <c r="I161" s="364" t="inlineStr">
        <is>
          <t>moving</t>
        </is>
      </c>
      <c r="J161" s="364" t="inlineStr">
        <is>
          <t>3D玩家场景</t>
        </is>
      </c>
      <c r="K161" s="364" t="inlineStr">
        <is>
          <t>原型已接入</t>
        </is>
      </c>
      <c r="L161" s="364" t="inlineStr">
        <is>
          <t>P0</t>
        </is>
      </c>
      <c r="M161" s="364" t="inlineStr">
        <is>
          <t>v021</t>
        </is>
      </c>
      <c r="N161" s="364" t="inlineStr">
        <is>
          <t>GLB / 5,396 verts / pivot-local / 1.5m角色比例</t>
        </is>
      </c>
      <c r="O161" s="364" t="inlineStr">
        <is>
          <t>assets/art/characters/player/chr_player_capsule01_3d/variants/bunny01/production/v021/exports/chr_bunny01_foot_l_v021.glb</t>
        </is>
      </c>
      <c r="P161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1" s="364" t="inlineStr">
        <is>
          <t>兔脚;左脚;步态;FootL;bunny01</t>
        </is>
      </c>
      <c r="R161" s="364">
        <f>LOWER(TRIM(C161)&amp;"|"&amp;TRIM(D161)&amp;"|"&amp;TRIM(E161)&amp;"|"&amp;TRIM(F161)&amp;"|"&amp;TRIM(H161)&amp;"|"&amp;TRIM(I161))</f>
        <v/>
      </c>
      <c r="S161" s="364">
        <f>IF(COUNTIF($R$6:$R$300,R161)&gt;1,"重复","唯一")</f>
        <v/>
      </c>
      <c r="T161" s="364" t="inlineStr">
        <is>
          <t>60617a88b9659d9c4dba5884ed68314ff1e503a80df0ff5b35d63f8578b6b60a</t>
        </is>
      </c>
      <c r="U161" s="364" t="inlineStr">
        <is>
          <t>Codex</t>
        </is>
      </c>
      <c r="V161" s="307" t="n">
        <v>46264</v>
      </c>
      <c r="W161" s="364" t="inlineStr">
        <is>
          <t>用户提供 Blender 源文件</t>
        </is>
      </c>
      <c r="X161" s="375" t="inlineStr">
        <is>
          <t>—</t>
        </is>
      </c>
      <c r="Y161" s="364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2" ht="132" customHeight="1">
      <c r="A162" s="364" t="inlineStr">
        <is>
          <t>CHR-PLY-CAPSULE01-3D-BUNNY01-FOOT-R</t>
        </is>
      </c>
      <c r="B162" s="364" t="inlineStr">
        <is>
          <t>兔子主角3D右脚</t>
        </is>
      </c>
      <c r="C162" s="364" t="inlineStr">
        <is>
          <t>角色</t>
        </is>
      </c>
      <c r="D162" s="364" t="inlineStr">
        <is>
          <t>player_component</t>
        </is>
      </c>
      <c r="E162" s="364" t="inlineStr">
        <is>
          <t>player_capsule01</t>
        </is>
      </c>
      <c r="F162" s="364" t="inlineStr">
        <is>
          <t>foot_r_3d_bunny01</t>
        </is>
      </c>
      <c r="G162" s="364" t="inlineStr">
        <is>
          <t>CHR-PLY-CAPSULE01-3D-BUNNY01</t>
        </is>
      </c>
      <c r="H162" s="364" t="inlineStr">
        <is>
          <t>俯视3D</t>
        </is>
      </c>
      <c r="I162" s="364" t="inlineStr">
        <is>
          <t>moving</t>
        </is>
      </c>
      <c r="J162" s="364" t="inlineStr">
        <is>
          <t>3D玩家场景</t>
        </is>
      </c>
      <c r="K162" s="364" t="inlineStr">
        <is>
          <t>原型已接入</t>
        </is>
      </c>
      <c r="L162" s="364" t="inlineStr">
        <is>
          <t>P0</t>
        </is>
      </c>
      <c r="M162" s="364" t="inlineStr">
        <is>
          <t>v021</t>
        </is>
      </c>
      <c r="N162" s="364" t="inlineStr">
        <is>
          <t>GLB / 5,396 verts / pivot-local / 1.5m角色比例</t>
        </is>
      </c>
      <c r="O162" s="364" t="inlineStr">
        <is>
          <t>assets/art/characters/player/chr_player_capsule01_3d/variants/bunny01/production/v021/exports/chr_bunny01_foot_r_v021.glb</t>
        </is>
      </c>
      <c r="P162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2" s="364" t="inlineStr">
        <is>
          <t>兔脚;右脚;步态;FootR;bunny01</t>
        </is>
      </c>
      <c r="R162" s="364">
        <f>LOWER(TRIM(C162)&amp;"|"&amp;TRIM(D162)&amp;"|"&amp;TRIM(E162)&amp;"|"&amp;TRIM(F162)&amp;"|"&amp;TRIM(H162)&amp;"|"&amp;TRIM(I162))</f>
        <v/>
      </c>
      <c r="S162" s="364">
        <f>IF(COUNTIF($R$6:$R$300,R162)&gt;1,"重复","唯一")</f>
        <v/>
      </c>
      <c r="T162" s="364" t="inlineStr">
        <is>
          <t>8509a8e959a7d427b4ee168d8585fb2d09ca01cbbf8c83601d8d5c46fe22e7a7</t>
        </is>
      </c>
      <c r="U162" s="364" t="inlineStr">
        <is>
          <t>Codex</t>
        </is>
      </c>
      <c r="V162" s="307" t="n">
        <v>46264</v>
      </c>
      <c r="W162" s="364" t="inlineStr">
        <is>
          <t>用户提供 Blender 源文件</t>
        </is>
      </c>
      <c r="X162" s="375" t="inlineStr">
        <is>
          <t>—</t>
        </is>
      </c>
      <c r="Y162" s="364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3" ht="155" customHeight="1">
      <c r="A163" s="364" t="inlineStr">
        <is>
          <t>ENV-TOWER-DESCENT-KIT-3D</t>
        </is>
      </c>
      <c r="B163" s="364" t="inlineStr">
        <is>
          <t>向下爬楼塔楼3D五米模块化母版</t>
        </is>
      </c>
      <c r="C163" s="364" t="inlineStr">
        <is>
          <t>场景</t>
        </is>
      </c>
      <c r="D163" s="364" t="inlineStr">
        <is>
          <t>room_kit</t>
        </is>
      </c>
      <c r="E163" s="364" t="inlineStr">
        <is>
          <t>tower_descent</t>
        </is>
      </c>
      <c r="F163" s="364" t="inlineStr">
        <is>
          <t>root_3d</t>
        </is>
      </c>
      <c r="G163" s="364" t="inlineStr">
        <is>
          <t>ENV-DUNGEON-RUNTIME-3D</t>
        </is>
      </c>
      <c r="H163" s="364" t="inlineStr">
        <is>
          <t>俯视3D</t>
        </is>
      </c>
      <c r="I163" s="364" t="inlineStr">
        <is>
          <t>godot_runtime</t>
        </is>
      </c>
      <c r="J163" s="364" t="inlineStr">
        <is>
          <t>250×250m整层；99层30×30m/6×6格基地；98—95层终局路线；2.2×2.5m门</t>
        </is>
      </c>
      <c r="K163" s="364" t="inlineStr">
        <is>
          <t>原型已接入</t>
        </is>
      </c>
      <c r="L163" s="364" t="inlineStr">
        <is>
          <t>P0</t>
        </is>
      </c>
      <c r="M163" s="364" t="inlineStr">
        <is>
          <t>v007</t>
        </is>
      </c>
      <c r="N163" s="364" t="inlineStr">
        <is>
          <t>Blender 4.2源文件/1单位=1m/PH49运行时布局审阅集合</t>
        </is>
      </c>
      <c r="O163" s="364" t="inlineStr">
        <is>
          <t>assets/art/environments/tower_descent_3d/source/env_tower_descent_kit_top3d_v007.blend</t>
        </is>
      </c>
      <c r="P163" s="364" t="inlineStr">
        <is>
          <t>assets/art/environments/tower_descent_3d/source/validate_env_tower_descent_kit_top3d_v007.py; assets/art/environments/tower_descent_3d/source/render_env_tower_descent_kit_top3d_v007.py; docs/v0.1/03_关卡与场景设计.md</t>
        </is>
      </c>
      <c r="Q163" s="364" t="inlineStr">
        <is>
          <t>塔楼;向下爬楼;楼顶;基地层;战斗层;特殊楼梯;通用楼梯;五米网格;模块化地砖;模块化墙;模块化门;Blender</t>
        </is>
      </c>
      <c r="R163" s="364">
        <f>LOWER(TRIM(C163)&amp;"|"&amp;TRIM(D163)&amp;"|"&amp;TRIM(E163)&amp;"|"&amp;TRIM(F163)&amp;"|"&amp;TRIM(H163)&amp;"|"&amp;TRIM(I163))</f>
        <v/>
      </c>
      <c r="S163" s="364">
        <f>IF(COUNTIF($R$6:$R$300,R163)&gt;1,"重复","唯一")</f>
        <v/>
      </c>
      <c r="T163" s="364" t="inlineStr">
        <is>
          <t>ef19c00e61478f0b3268edd9746e7fcf6704a2865aac0b4121474ab9b98e7552</t>
        </is>
      </c>
      <c r="U163" s="364" t="inlineStr">
        <is>
          <t>Codex</t>
        </is>
      </c>
      <c r="V163" s="307" t="n">
        <v>46237</v>
      </c>
      <c r="W163" s="307" t="inlineStr">
        <is>
          <t>程序生成 Blender 源集合</t>
        </is>
      </c>
      <c r="X163" s="375" t="inlineStr">
        <is>
          <t>—</t>
        </is>
      </c>
      <c r="Y163" s="364" t="inlineStr">
        <is>
          <t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t>
        </is>
      </c>
    </row>
    <row r="164" ht="132" customHeight="1">
      <c r="A164" s="364" t="inlineStr">
        <is>
          <t>ENV-TOWER-FLOOR-TILE-5M</t>
        </is>
      </c>
      <c r="B164" s="364" t="inlineStr">
        <is>
          <t>塔楼5米地砖模块</t>
        </is>
      </c>
      <c r="C164" s="364" t="inlineStr">
        <is>
          <t>场景</t>
        </is>
      </c>
      <c r="D164" s="364" t="inlineStr">
        <is>
          <t>room_kit</t>
        </is>
      </c>
      <c r="E164" s="364" t="inlineStr">
        <is>
          <t>tower_descent</t>
        </is>
      </c>
      <c r="F164" s="364" t="inlineStr">
        <is>
          <t>floor_tile_5m</t>
        </is>
      </c>
      <c r="G164" s="364" t="inlineStr">
        <is>
          <t>ENV-TOWER-DESCENT-KIT-3D</t>
        </is>
      </c>
      <c r="H164" s="364" t="inlineStr">
        <is>
          <t>俯视3D</t>
        </is>
      </c>
      <c r="I164" s="364" t="inlineStr">
        <is>
          <t>godot_runtime</t>
        </is>
      </c>
      <c r="J164" s="364" t="inlineStr">
        <is>
          <t>100F天台与98F楼板；旧v001保留其他楼层与交通模块</t>
        </is>
      </c>
      <c r="K164" s="364" t="inlineStr">
        <is>
          <t>已完成</t>
        </is>
      </c>
      <c r="L164" s="364" t="inlineStr">
        <is>
          <t>P0</t>
        </is>
      </c>
      <c r="M164" s="364" t="inlineStr">
        <is>
          <t>v002</t>
        </is>
      </c>
      <c r="N164" s="364" t="inlineStr">
        <is>
          <t>5×5×0.3005m；716三角面；2材质；共享MultiMesh；承重面不变</t>
        </is>
      </c>
      <c r="O164" s="364" t="inlineStr">
        <is>
          <t>assets/art/environments/tower_descent_3d/runtime/floor_tile_5m/env_tower_floor_tile_5m_root_top3d_v002.tscn</t>
        </is>
      </c>
      <c r="P164" s="364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164" s="364" t="inlineStr">
        <is>
          <t>塔楼;地砖;楼板;5米;模块化;平铺;四向接口</t>
        </is>
      </c>
      <c r="R164" s="364">
        <f>LOWER(TRIM(C164)&amp;"|"&amp;TRIM(D164)&amp;"|"&amp;TRIM(E164)&amp;"|"&amp;TRIM(F164)&amp;"|"&amp;TRIM(H164)&amp;"|"&amp;TRIM(I164))</f>
        <v/>
      </c>
      <c r="S164" s="364">
        <f>IF(COUNTIF($R$6:$R$300,R164)&gt;1,"重复","唯一")</f>
        <v/>
      </c>
      <c r="T164" s="364" t="inlineStr">
        <is>
          <t>2d6dc8e109a3dbda9dab7a3eece5c06de02511001f8d2a06751b5e1860814d15</t>
        </is>
      </c>
      <c r="U164" s="364" t="inlineStr">
        <is>
          <t>Codex</t>
        </is>
      </c>
      <c r="V164" s="307" t="n">
        <v>46271</v>
      </c>
      <c r="W164" s="364" t="inlineStr">
        <is>
          <t>程序生成Blender源集合</t>
        </is>
      </c>
      <c r="X164" s="375" t="inlineStr">
        <is>
          <t>—</t>
        </is>
      </c>
      <c r="Y164" s="364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165" ht="132" customHeight="1">
      <c r="A165" s="364" t="inlineStr">
        <is>
          <t>ENV-TOWER-WALL-SOLID-5M</t>
        </is>
      </c>
      <c r="B165" s="364" t="inlineStr">
        <is>
          <t>塔楼5米满高实墙模块</t>
        </is>
      </c>
      <c r="C165" s="364" t="inlineStr">
        <is>
          <t>场景</t>
        </is>
      </c>
      <c r="D165" s="364" t="inlineStr">
        <is>
          <t>room_kit</t>
        </is>
      </c>
      <c r="E165" s="364" t="inlineStr">
        <is>
          <t>tower_descent</t>
        </is>
      </c>
      <c r="F165" s="364" t="inlineStr">
        <is>
          <t>wall_solid_5m</t>
        </is>
      </c>
      <c r="G165" s="364" t="inlineStr">
        <is>
          <t>ENV-TOWER-DESCENT-KIT-3D</t>
        </is>
      </c>
      <c r="H165" s="364" t="inlineStr">
        <is>
          <t>俯视3D</t>
        </is>
      </c>
      <c r="I165" s="364" t="inlineStr">
        <is>
          <t>godot_runtime</t>
        </is>
      </c>
      <c r="J165" s="364" t="inlineStr">
        <is>
          <t>整层外墙/65m核心/探索房内墙/5m正交走廊</t>
        </is>
      </c>
      <c r="K165" s="364" t="inlineStr">
        <is>
          <t>原型已接入</t>
        </is>
      </c>
      <c r="L165" s="364" t="inlineStr">
        <is>
          <t>P0</t>
        </is>
      </c>
      <c r="M165" s="364" t="inlineStr">
        <is>
          <t>v001</t>
        </is>
      </c>
      <c r="N165" s="364" t="inlineStr">
        <is>
          <t>GLB / 5×0.30×9m / 共享Mesh / 可旋转</t>
        </is>
      </c>
      <c r="O165" s="364" t="inlineStr">
        <is>
          <t>assets/art/environments/tower_descent_3d/components/env_tower_wall_solid_5m_top3d_v001.glb</t>
        </is>
      </c>
      <c r="P165" s="364" t="inlineStr">
        <is>
          <t>Blender集合=10B_MOD_WALL_SOLID_5M_U01; export_env_tower_5m_modules_v001.py; DungeonRoom3D.gd; TowerFloorStage3D.gd; mat_tower_wall_solid_a_v001.tres; mat_tower_wall_solid_b_v001.tres; tests/verification/verify_tower_descent_flow.tscn</t>
        </is>
      </c>
      <c r="Q165" s="364" t="inlineStr">
        <is>
          <t>塔楼;实墙;满高墙;5米;模块化;室内隔墙;核心外墙</t>
        </is>
      </c>
      <c r="R165" s="364">
        <f>LOWER(TRIM(C165)&amp;"|"&amp;TRIM(D165)&amp;"|"&amp;TRIM(E165)&amp;"|"&amp;TRIM(F165)&amp;"|"&amp;TRIM(H165)&amp;"|"&amp;TRIM(I165))</f>
        <v/>
      </c>
      <c r="S165" s="364">
        <f>IF(COUNTIF($R$6:$R$300,R165)&gt;1,"重复","唯一")</f>
        <v/>
      </c>
      <c r="T165" s="364" t="inlineStr">
        <is>
          <t>5680bf2dedc964fcbfd5e5ee7d5ba86af5ba8a2c77c64a02151aee19a7f2cc33</t>
        </is>
      </c>
      <c r="U165" s="364" t="inlineStr">
        <is>
          <t>Codex</t>
        </is>
      </c>
      <c r="V165" s="307" t="n">
        <v>46237</v>
      </c>
      <c r="W165" s="364" t="inlineStr">
        <is>
          <t>程序生成 Blender 源集合</t>
        </is>
      </c>
      <c r="X165" s="375" t="inlineStr">
        <is>
          <t>—</t>
        </is>
      </c>
      <c r="Y165" s="364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t>
        </is>
      </c>
    </row>
    <row r="166" ht="132" customHeight="1">
      <c r="A166" s="364" t="inlineStr">
        <is>
          <t>ENV-TOWER-WALL-PARAPET-5M</t>
        </is>
      </c>
      <c r="B166" s="364" t="inlineStr">
        <is>
          <t>塔楼5米楼顶女儿墙模块</t>
        </is>
      </c>
      <c r="C166" s="364" t="inlineStr">
        <is>
          <t>场景</t>
        </is>
      </c>
      <c r="D166" s="364" t="inlineStr">
        <is>
          <t>room_kit</t>
        </is>
      </c>
      <c r="E166" s="364" t="inlineStr">
        <is>
          <t>tower_descent</t>
        </is>
      </c>
      <c r="F166" s="364" t="inlineStr">
        <is>
          <t>wall_parapet_5m</t>
        </is>
      </c>
      <c r="G166" s="364" t="inlineStr">
        <is>
          <t>ENV-TOWER-DESCENT-KIT-3D</t>
        </is>
      </c>
      <c r="H166" s="364" t="inlineStr">
        <is>
          <t>俯视3D</t>
        </is>
      </c>
      <c r="I166" s="364" t="inlineStr">
        <is>
          <t>godot_runtime</t>
        </is>
      </c>
      <c r="J166" s="364" t="inlineStr">
        <is>
          <t>335m楼顶四周边界/268段MultiMesh围栏</t>
        </is>
      </c>
      <c r="K166" s="364" t="inlineStr">
        <is>
          <t>原型已接入</t>
        </is>
      </c>
      <c r="L166" s="364" t="inlineStr">
        <is>
          <t>P1</t>
        </is>
      </c>
      <c r="M166" s="364" t="inlineStr">
        <is>
          <t>v001</t>
        </is>
      </c>
      <c r="N166" s="364" t="inlineStr">
        <is>
          <t>GLB / 5×0.30×1.50m / 共享Mesh</t>
        </is>
      </c>
      <c r="O166" s="364" t="inlineStr">
        <is>
          <t>assets/art/environments/tower_descent_3d/components/env_tower_wall_parapet_5m_top3d_v001.glb</t>
        </is>
      </c>
      <c r="P166" s="364" t="inlineStr">
        <is>
          <t>Blender集合=10C_MOD_WALL_PARAPET_5M_U01; export_env_tower_5m_modules_v001.py; TowerFloorStage3D.gd; tests/verification/verify_tower_descent_visual.tscn</t>
        </is>
      </c>
      <c r="Q166" s="364" t="inlineStr">
        <is>
          <t>塔楼;女儿墙;护栏;5米;模块化;楼顶边界</t>
        </is>
      </c>
      <c r="R166" s="364">
        <f>LOWER(TRIM(C166)&amp;"|"&amp;TRIM(D166)&amp;"|"&amp;TRIM(E166)&amp;"|"&amp;TRIM(F166)&amp;"|"&amp;TRIM(H166)&amp;"|"&amp;TRIM(I166))</f>
        <v/>
      </c>
      <c r="S166" s="364">
        <f>IF(COUNTIF($R$6:$R$300,R166)&gt;1,"重复","唯一")</f>
        <v/>
      </c>
      <c r="T166" s="364" t="inlineStr">
        <is>
          <t>44fdb663487a9bf010d8fa249a2f9811843409c35d9f7ce8d09c48f7de7bf808</t>
        </is>
      </c>
      <c r="U166" s="364" t="inlineStr">
        <is>
          <t>Codex</t>
        </is>
      </c>
      <c r="V166" s="307" t="n">
        <v>46233</v>
      </c>
      <c r="W166" s="364" t="inlineStr">
        <is>
          <t>程序生成Blender源集合</t>
        </is>
      </c>
      <c r="X166" s="375" t="inlineStr">
        <is>
          <t>—</t>
        </is>
      </c>
      <c r="Y166" s="364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167" ht="155" customHeight="1">
      <c r="A167" s="364" t="inlineStr">
        <is>
          <t>ENV-TOWER-WALL-DOOR-5M</t>
        </is>
      </c>
      <c r="B167" s="364" t="inlineStr">
        <is>
          <t>塔楼5米带门墙模块</t>
        </is>
      </c>
      <c r="C167" s="364" t="inlineStr">
        <is>
          <t>场景</t>
        </is>
      </c>
      <c r="D167" s="364" t="inlineStr">
        <is>
          <t>room_kit</t>
        </is>
      </c>
      <c r="E167" s="364" t="inlineStr">
        <is>
          <t>tower_descent</t>
        </is>
      </c>
      <c r="F167" s="364" t="inlineStr">
        <is>
          <t>wall_door_5m</t>
        </is>
      </c>
      <c r="G167" s="364" t="inlineStr">
        <is>
          <t>ENV-TOWER-DESCENT-KIT-3D</t>
        </is>
      </c>
      <c r="H167" s="364" t="inlineStr">
        <is>
          <t>俯视3D</t>
        </is>
      </c>
      <c r="I167" s="364" t="inlineStr">
        <is>
          <t>godot_runtime</t>
        </is>
      </c>
      <c r="J167" s="364" t="inlineStr">
        <is>
          <t>5m墙位/2.2m净宽/2.5m净高/独立门扇</t>
        </is>
      </c>
      <c r="K167" s="364" t="inlineStr">
        <is>
          <t>原型已接入</t>
        </is>
      </c>
      <c r="L167" s="364" t="inlineStr">
        <is>
          <t>P0</t>
        </is>
      </c>
      <c r="M167" s="364" t="inlineStr">
        <is>
          <t>v002</t>
        </is>
      </c>
      <c r="N167" s="364" t="inlineStr">
        <is>
          <t>Blender 4.2 GLB/7个Mesh部件/2.2×2.5m净开口</t>
        </is>
      </c>
      <c r="O167" s="364" t="inlineStr">
        <is>
          <t>assets/art/environments/tower_descent_3d/components/env_tower_wall_door_5m_top3d_v002.glb</t>
        </is>
      </c>
      <c r="P167" s="364" t="inlineStr">
        <is>
          <t>assets/art/environments/tower_descent_3d/source/export_env_tower_door_5m_v002.py; assets/art/environments/tower_descent_3d/source/env_tower_descent_kit_top3d_v007.blend</t>
        </is>
      </c>
      <c r="Q167" s="364" t="inlineStr">
        <is>
          <t>塔楼;门;门洞;5米;模块化;肉鸽触发;独立门扇</t>
        </is>
      </c>
      <c r="R167" s="364">
        <f>LOWER(TRIM(C167)&amp;"|"&amp;TRIM(D167)&amp;"|"&amp;TRIM(E167)&amp;"|"&amp;TRIM(F167)&amp;"|"&amp;TRIM(H167)&amp;"|"&amp;TRIM(I167))</f>
        <v/>
      </c>
      <c r="S167" s="364">
        <f>IF(COUNTIF($R$6:$R$300,R167)&gt;1,"重复","唯一")</f>
        <v/>
      </c>
      <c r="T167" s="364" t="inlineStr">
        <is>
          <t>75f03e2bc785b0d957df9e27940ac9a024097ce6f2c371ae947b2c48cce69ca1</t>
        </is>
      </c>
      <c r="U167" s="364" t="inlineStr">
        <is>
          <t>Codex</t>
        </is>
      </c>
      <c r="V167" s="307" t="n">
        <v>46236</v>
      </c>
      <c r="W167" s="364" t="inlineStr">
        <is>
          <t>程序生成 Blender 源集合</t>
        </is>
      </c>
      <c r="X167" s="375" t="inlineStr">
        <is>
          <t>—</t>
        </is>
      </c>
      <c r="Y167" s="364" t="inlineStr">
        <is>
          <t>2026-08-02：南北门墙统一使用仅限相机层的门洞代理，开门不再全局绕过后墙检测；代理不阻挡玩家、怪物或子弹。</t>
        </is>
      </c>
    </row>
    <row r="168" ht="132" customHeight="1">
      <c r="A168" s="364" t="inlineStr">
        <is>
          <t>ENV-TOWER-STAIRWELL-GENERIC-9M</t>
        </is>
      </c>
      <c r="B168" s="364" t="inlineStr">
        <is>
          <t>塔楼9米通用双跑楼梯间</t>
        </is>
      </c>
      <c r="C168" s="364" t="inlineStr">
        <is>
          <t>场景</t>
        </is>
      </c>
      <c r="D168" s="364" t="inlineStr">
        <is>
          <t>room_kit</t>
        </is>
      </c>
      <c r="E168" s="364" t="inlineStr">
        <is>
          <t>tower_descent</t>
        </is>
      </c>
      <c r="F168" s="364" t="inlineStr">
        <is>
          <t>stairwell_generic_9m</t>
        </is>
      </c>
      <c r="G168" s="364" t="inlineStr">
        <is>
          <t>ENV-TOWER-DESCENT-KIT-3D</t>
        </is>
      </c>
      <c r="H168" s="364" t="inlineStr">
        <is>
          <t>俯视3D</t>
        </is>
      </c>
      <c r="I168" s="364" t="inlineStr">
        <is>
          <t>godot_runtime</t>
        </is>
      </c>
      <c r="J168" s="364" t="inlineStr">
        <is>
          <t>99层以下通用楼梯/四向旋转/上下楼交通</t>
        </is>
      </c>
      <c r="K168" s="364" t="inlineStr">
        <is>
          <t>原型已接入</t>
        </is>
      </c>
      <c r="L168" s="364" t="inlineStr">
        <is>
          <t>P0</t>
        </is>
      </c>
      <c r="M168" s="364" t="inlineStr">
        <is>
          <t>v003</t>
        </is>
      </c>
      <c r="N168" s="364" t="inlineStr">
        <is>
          <t>GLB / 15×30m占地 / 9m层差 / 四面8.9m可见围护 / 48子对象</t>
        </is>
      </c>
      <c r="O168" s="364" t="inlineStr">
        <is>
          <t>assets/art/environments/tower_descent_3d/components/env_tower_stairwell_generic_9m_top3d_v003.glb</t>
        </is>
      </c>
      <c r="P168" s="364" t="inlineStr">
        <is>
          <t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t>
        </is>
      </c>
      <c r="Q168" s="364" t="inlineStr">
        <is>
          <t>塔楼;通用楼梯;双跑楼梯;折角平台;9米层高;四向旋转;Blender直出</t>
        </is>
      </c>
      <c r="R168" s="364">
        <f>LOWER(TRIM(C168)&amp;"|"&amp;TRIM(D168)&amp;"|"&amp;TRIM(E168)&amp;"|"&amp;TRIM(F168)&amp;"|"&amp;TRIM(H168)&amp;"|"&amp;TRIM(I168))</f>
        <v/>
      </c>
      <c r="S168" s="364">
        <f>IF(COUNTIF($R$6:$R$300,R168)&gt;1,"重复","唯一")</f>
        <v/>
      </c>
      <c r="T168" s="364" t="inlineStr">
        <is>
          <t>568ce8602fb4bc0cbc3b3a9912fe871fed55705e77f3dcb0e53a88b6b2b44e47</t>
        </is>
      </c>
      <c r="U168" s="364" t="inlineStr">
        <is>
          <t>Codex</t>
        </is>
      </c>
      <c r="V168" s="307" t="n">
        <v>46264</v>
      </c>
      <c r="W168" s="364" t="inlineStr">
        <is>
          <t>用户手工Blender模型</t>
        </is>
      </c>
      <c r="X168" s="375" t="inlineStr">
        <is>
          <t>—</t>
        </is>
      </c>
      <c r="Y168" s="364" t="inlineStr">
        <is>
          <t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t>
        </is>
      </c>
    </row>
    <row r="169" ht="132" customHeight="1">
      <c r="A169" s="364" t="inlineStr">
        <is>
          <t>ENV-TOWER-STAIRWELL-ROOFTOP-9M</t>
        </is>
      </c>
      <c r="B169" s="364" t="inlineStr">
        <is>
          <t>塔楼楼顶特殊双跑楼梯间</t>
        </is>
      </c>
      <c r="C169" s="364" t="inlineStr">
        <is>
          <t>场景</t>
        </is>
      </c>
      <c r="D169" s="364" t="inlineStr">
        <is>
          <t>room_kit</t>
        </is>
      </c>
      <c r="E169" s="364" t="inlineStr">
        <is>
          <t>tower_descent</t>
        </is>
      </c>
      <c r="F169" s="364" t="inlineStr">
        <is>
          <t>stairwell_rooftop_9m</t>
        </is>
      </c>
      <c r="G169" s="364" t="inlineStr">
        <is>
          <t>ENV-TOWER-DESCENT-KIT-3D</t>
        </is>
      </c>
      <c r="H169" s="364" t="inlineStr">
        <is>
          <t>俯视3D</t>
        </is>
      </c>
      <c r="I169" s="364" t="inlineStr">
        <is>
          <t>godot_runtime</t>
        </is>
      </c>
      <c r="J169" s="364" t="inlineStr">
        <is>
          <t>楼顶至99层特殊交通/保留手调墙高</t>
        </is>
      </c>
      <c r="K169" s="364" t="inlineStr">
        <is>
          <t>原型已接入</t>
        </is>
      </c>
      <c r="L169" s="364" t="inlineStr">
        <is>
          <t>P0</t>
        </is>
      </c>
      <c r="M169" s="364" t="inlineStr">
        <is>
          <t>v003</t>
        </is>
      </c>
      <c r="N169" s="364" t="inlineStr">
        <is>
          <t>GLB / 15×30m占地 / 9m层差 / 四面8.9m可见围护 / 47子对象</t>
        </is>
      </c>
      <c r="O169" s="364" t="inlineStr">
        <is>
          <t>assets/art/environments/tower_descent_3d/components/env_tower_stairwell_rooftop_9m_top3d_v003.glb</t>
        </is>
      </c>
      <c r="P169" s="364" t="inlineStr">
        <is>
          <t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t>
        </is>
      </c>
      <c r="Q169" s="364" t="inlineStr">
        <is>
          <t>塔楼;楼顶楼梯;特殊楼梯;双跑楼梯;特殊墙高;9米层高;Blender直出</t>
        </is>
      </c>
      <c r="R169" s="364">
        <f>LOWER(TRIM(C169)&amp;"|"&amp;TRIM(D169)&amp;"|"&amp;TRIM(E169)&amp;"|"&amp;TRIM(F169)&amp;"|"&amp;TRIM(H169)&amp;"|"&amp;TRIM(I169))</f>
        <v/>
      </c>
      <c r="S169" s="364">
        <f>IF(COUNTIF($R$6:$R$300,R169)&gt;1,"重复","唯一")</f>
        <v/>
      </c>
      <c r="T169" s="364" t="inlineStr">
        <is>
          <t>47ba302134fc12a6e0f0ee8a2834bce431c143e5fe0f4ecefe372f53851dd040</t>
        </is>
      </c>
      <c r="U169" s="364" t="inlineStr">
        <is>
          <t>Codex</t>
        </is>
      </c>
      <c r="V169" s="307" t="n">
        <v>46264</v>
      </c>
      <c r="W169" s="364" t="inlineStr">
        <is>
          <t>用户手工Blender模型</t>
        </is>
      </c>
      <c r="X169" s="375" t="inlineStr">
        <is>
          <t>—</t>
        </is>
      </c>
      <c r="Y169" s="364" t="inlineStr">
        <is>
          <t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t>
        </is>
      </c>
    </row>
    <row r="170">
      <c r="A170" s="349" t="inlineStr">
        <is>
          <t>CHR-PLY-CAPSULE01-BACKPACK-SOCKET-3D</t>
        </is>
      </c>
      <c r="B170" s="349" t="inlineStr">
        <is>
          <t>玩家背包装备挂点</t>
        </is>
      </c>
      <c r="C170" s="349" t="inlineStr">
        <is>
          <t>角色</t>
        </is>
      </c>
      <c r="D170" s="349" t="inlineStr">
        <is>
          <t>player_accessory_socket</t>
        </is>
      </c>
      <c r="E170" s="349" t="inlineStr">
        <is>
          <t>player_capsule01</t>
        </is>
      </c>
      <c r="F170" s="349" t="inlineStr">
        <is>
          <t>backpack_socket_3d</t>
        </is>
      </c>
      <c r="G170" s="349" t="inlineStr">
        <is>
          <t>CHR-PLY-CAPSULE01-3D</t>
        </is>
      </c>
      <c r="H170" s="349" t="inlineStr">
        <is>
          <t>俯视3D</t>
        </is>
      </c>
      <c r="I170" s="349" t="inlineStr">
        <is>
          <t>default</t>
        </is>
      </c>
      <c r="J170" s="349" t="inlineStr">
        <is>
          <t>3D玩家场景/可装备背包</t>
        </is>
      </c>
      <c r="K170" s="349" t="inlineStr">
        <is>
          <t>原型已接入</t>
        </is>
      </c>
      <c r="L170" s="349" t="inlineStr">
        <is>
          <t>P0</t>
        </is>
      </c>
      <c r="M170" s="349" t="inlineStr">
        <is>
          <t>v001</t>
        </is>
      </c>
      <c r="N170" s="349" t="inlineStr">
        <is>
          <t>Marker3D；bunny=(0,0.74,0.30)；fallback=(0,1.25,0.48)</t>
        </is>
      </c>
      <c r="O170" s="349" t="inlineStr">
        <is>
          <t>src/player3d/PlayerAvatar3D.gd</t>
        </is>
      </c>
      <c r="P170" s="349" t="inlineStr">
        <is>
          <t>src/player3d/PlayerAvatar3D.gd; tests/verification/verify_backpack_equipment_flow.tscn</t>
        </is>
      </c>
      <c r="Q170" s="349" t="inlineStr">
        <is>
          <t>背包挂点;BackpackSocket;背部装备;wearable;capacity</t>
        </is>
      </c>
      <c r="R170" s="349">
        <f>LOWER(TRIM(C170)&amp;"|"&amp;TRIM(D170)&amp;"|"&amp;TRIM(E170)&amp;"|"&amp;TRIM(F170)&amp;"|"&amp;TRIM(H170)&amp;"|"&amp;TRIM(I170))</f>
        <v/>
      </c>
      <c r="S170" s="349">
        <f>IF(COUNTIF($R$6:$R$300,R170)&gt;1,"重复","唯一")</f>
        <v/>
      </c>
      <c r="T170" s="349" t="inlineStr">
        <is>
          <t>2068ecdbee00fefeb546f15eecf7cf3591715338c8aad732ac972136a9377e72</t>
        </is>
      </c>
      <c r="U170" s="349" t="inlineStr">
        <is>
          <t>Codex</t>
        </is>
      </c>
      <c r="V170" s="349" t="n">
        <v>46264</v>
      </c>
      <c r="W170" s="349" t="inlineStr">
        <is>
          <t>原创程序挂点</t>
        </is>
      </c>
      <c r="X170" s="375" t="inlineStr">
        <is>
          <t>—</t>
        </is>
      </c>
      <c r="Y170" s="349" t="inlineStr">
        <is>
          <t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t>
        </is>
      </c>
    </row>
    <row r="171">
      <c r="A171" s="349" t="inlineStr">
        <is>
          <t>ITM-EQUIPMENT-BACKPACK-3D</t>
        </is>
      </c>
      <c r="B171" s="349" t="inlineStr">
        <is>
          <t>可装备背包3D占位模型</t>
        </is>
      </c>
      <c r="C171" s="349" t="inlineStr">
        <is>
          <t>道具</t>
        </is>
      </c>
      <c r="D171" s="349" t="inlineStr">
        <is>
          <t>equipment</t>
        </is>
      </c>
      <c r="E171" s="349" t="inlineStr">
        <is>
          <t>equipment_backpack</t>
        </is>
      </c>
      <c r="F171" s="349" t="inlineStr">
        <is>
          <t>root_3d</t>
        </is>
      </c>
      <c r="G171" s="349" t="n"/>
      <c r="H171" s="349" t="inlineStr">
        <is>
          <t>俯视3D</t>
        </is>
      </c>
      <c r="I171" s="349" t="inlineStr">
        <is>
          <t>default</t>
        </is>
      </c>
      <c r="J171" s="349" t="inlineStr">
        <is>
          <t>地面拾取/UI图标/角色背部共用</t>
        </is>
      </c>
      <c r="K171" s="349" t="inlineStr">
        <is>
          <t>程序占位</t>
        </is>
      </c>
      <c r="L171" s="349" t="inlineStr">
        <is>
          <t>P0</t>
        </is>
      </c>
      <c r="M171" s="349" t="inlineStr">
        <is>
          <t>v001</t>
        </is>
      </c>
      <c r="N171" s="349" t="inlineStr">
        <is>
          <t>BoxMesh组件；2/4/8格三档体积、主色与1/2/3附袋</t>
        </is>
      </c>
      <c r="O171" s="349" t="n"/>
      <c r="P171" s="349" t="inlineStr">
        <is>
          <t>src/world3d/ItemModelFactory3D.gd; src/base/ItemRegistry.gd; tests/verification/verify_backpack_equipment_flow.tscn</t>
        </is>
      </c>
      <c r="Q171" s="349" t="inlineStr">
        <is>
          <t>轻型腰包;战术背包;远征背包;backpack;2格;4格;8格</t>
        </is>
      </c>
      <c r="R171" s="349">
        <f>LOWER(TRIM(C171)&amp;"|"&amp;TRIM(D171)&amp;"|"&amp;TRIM(E171)&amp;"|"&amp;TRIM(F171)&amp;"|"&amp;TRIM(H171)&amp;"|"&amp;TRIM(I171))</f>
        <v/>
      </c>
      <c r="S171" s="349">
        <f>IF(COUNTIF($R$6:$R$300,R171)&gt;1,"重复","唯一")</f>
        <v/>
      </c>
      <c r="T171" s="349" t="n"/>
      <c r="U171" s="349" t="inlineStr">
        <is>
          <t>Codex</t>
        </is>
      </c>
      <c r="V171" s="349" t="n">
        <v>46240</v>
      </c>
      <c r="W171" s="349" t="inlineStr">
        <is>
          <t>原创程序几何</t>
        </is>
      </c>
      <c r="X171" s="375" t="inlineStr">
        <is>
          <t>—</t>
        </is>
      </c>
      <c r="Y171" s="349" t="inlineStr">
        <is>
          <t>同一模型工厂服务equipment_backpack_2/4/8，避免世界物、UI图标和背部表现重复资产；无玩法碰撞，正式模型完成前保持程序占位状态。</t>
        </is>
      </c>
    </row>
    <row r="172" ht="42" customHeight="1">
      <c r="A172" s="308" t="inlineStr">
        <is>
          <t>PRP-BASE-VENDING-MACHINE-3D</t>
        </is>
      </c>
      <c r="B172" s="309" t="inlineStr">
        <is>
          <t>基地科幻自动贩卖机</t>
        </is>
      </c>
      <c r="C172" s="309" t="inlineStr">
        <is>
          <t>道具</t>
        </is>
      </c>
      <c r="D172" s="309" t="inlineStr">
        <is>
          <t>base_facility</t>
        </is>
      </c>
      <c r="E172" s="309" t="inlineStr">
        <is>
          <t>base_vending</t>
        </is>
      </c>
      <c r="F172" s="309" t="inlineStr">
        <is>
          <t>root</t>
        </is>
      </c>
      <c r="G172" s="309" t="inlineStr">
        <is>
          <t>PRP-BASE-FACILITY-3D</t>
        </is>
      </c>
      <c r="H172" s="309" t="inlineStr">
        <is>
          <t>Top3D / local -Z 正面</t>
        </is>
      </c>
      <c r="I172" s="309" t="inlineStr">
        <is>
          <t>default / 独立交互场景</t>
        </is>
      </c>
      <c r="J172" s="309" t="inlineStr">
        <is>
          <t>BaseWorld3D/TowerDescent99F</t>
        </is>
      </c>
      <c r="K172" s="309" t="inlineStr">
        <is>
          <t>已完成</t>
        </is>
      </c>
      <c r="L172" s="309" t="inlineStr">
        <is>
          <t>P0</t>
        </is>
      </c>
      <c r="M172" s="309" t="inlineStr">
        <is>
          <t>v002</t>
        </is>
      </c>
      <c r="N172" s="309" t="inlineStr">
        <is>
          <t>4材质；主体/自发光分离；独立GLB/PackedScene</t>
        </is>
      </c>
      <c r="O172" s="309" t="inlineStr">
        <is>
          <t>assets/art/props/base_world_3d/runtime/vending_machine/prp_base_vending_machine_root_top3d_v002.tscn</t>
        </is>
      </c>
      <c r="P172" s="309" t="inlineStr">
        <is>
          <t>assets/art/props/base_world_3d/source/vending_machine/prp_base_vending_machine_source_v001.blend; src/base3d/BaseFacility3D.gd; src/world3d/TowerDescent3D.gd</t>
        </is>
      </c>
      <c r="Q172" s="309" t="inlineStr">
        <is>
          <t>base_vending; 科幻自动贩卖机; 基地设施; 多巴胺配色; 自发光分离</t>
        </is>
      </c>
      <c r="R172" s="309">
        <f>LOWER(TRIM(C172)&amp;"|"&amp;TRIM(D172)&amp;"|"&amp;TRIM(E172)&amp;"|"&amp;TRIM(F172)&amp;"|"&amp;TRIM(H172)&amp;"|"&amp;TRIM(I172))</f>
        <v/>
      </c>
      <c r="S172" s="309">
        <f>IF(COUNTIF($R$6:$R$300,R172)&gt;1,"重复","唯一")</f>
        <v/>
      </c>
      <c r="T172" s="309" t="inlineStr">
        <is>
          <t>0e8574cd7a9a26a88e9040ed34e292b71ced882b4c6b8a465ef6eb1e432dbc85</t>
        </is>
      </c>
      <c r="U172" s="309" t="inlineStr">
        <is>
          <t>Codex</t>
        </is>
      </c>
      <c r="V172" s="310" t="n">
        <v>46264</v>
      </c>
      <c r="W172" s="309" t="inlineStr">
        <is>
          <t>用户自制Blender资产</t>
        </is>
      </c>
      <c r="X172" s="375" t="inlineStr">
        <is>
          <t>—</t>
        </is>
      </c>
      <c r="Y172" s="309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t>
        </is>
      </c>
    </row>
    <row r="173" ht="42" customHeight="1">
      <c r="A173" s="308" t="inlineStr">
        <is>
          <t>UI-SCREEN-BASE-VENDING</t>
        </is>
      </c>
      <c r="B173" s="309" t="inlineStr">
        <is>
          <t>基地自动贩卖机商店界面</t>
        </is>
      </c>
      <c r="C173" s="309" t="inlineStr">
        <is>
          <t>UI</t>
        </is>
      </c>
      <c r="D173" s="309" t="inlineStr">
        <is>
          <t>base_facility</t>
        </is>
      </c>
      <c r="E173" s="309" t="inlineStr">
        <is>
          <t>base_vending_shop</t>
        </is>
      </c>
      <c r="F173" s="309" t="inlineStr">
        <is>
          <t>screen</t>
        </is>
      </c>
      <c r="G173" s="309" t="inlineStr">
        <is>
          <t>UI-SCREEN-MERCHANT</t>
        </is>
      </c>
      <c r="H173" s="309" t="inlineStr">
        <is>
          <t>Screen</t>
        </is>
      </c>
      <c r="I173" s="309" t="inlineStr">
        <is>
          <t>default</t>
        </is>
      </c>
      <c r="J173" s="309" t="inlineStr">
        <is>
          <t>基地自动贩卖机</t>
        </is>
      </c>
      <c r="K173" s="309" t="inlineStr">
        <is>
          <t>原型已接入</t>
        </is>
      </c>
      <c r="L173" s="309" t="inlineStr">
        <is>
          <t>P0</t>
        </is>
      </c>
      <c r="M173" s="309" t="inlineStr">
        <is>
          <t>v002</t>
        </is>
      </c>
      <c r="N173" s="309" t="inlineStr">
        <is>
          <t>1280×720自适应</t>
        </is>
      </c>
      <c r="O173" s="309" t="inlineStr">
        <is>
          <t>scenes/BaseVendingMenu.tscn</t>
        </is>
      </c>
      <c r="P173" s="309" t="inlineStr">
        <is>
          <t>用户设计+docs/v0.1/07_技术施工_基地设施.md</t>
        </is>
      </c>
      <c r="Q173" s="309" t="inlineStr">
        <is>
          <t>基地商店; 购买; 出售; 3D物品图标</t>
        </is>
      </c>
      <c r="R173" s="309">
        <f>LOWER(TRIM(C173)&amp;"|"&amp;TRIM(D173)&amp;"|"&amp;TRIM(E173)&amp;"|"&amp;TRIM(F173)&amp;"|"&amp;TRIM(H173)&amp;"|"&amp;TRIM(I173))</f>
        <v/>
      </c>
      <c r="S173" s="309">
        <f>IF(COUNTIF($R$6:$R$300,R173)&gt;1,"重复","唯一")</f>
        <v/>
      </c>
      <c r="T173" s="309" t="inlineStr">
        <is>
          <t>064d8c1f92cfa6e1724bab0980520481cd8de44b384e498456e1d1be806a4c7d</t>
        </is>
      </c>
      <c r="U173" s="309" t="inlineStr">
        <is>
          <t>Codex</t>
        </is>
      </c>
      <c r="V173" s="309" t="n">
        <v>46264</v>
      </c>
      <c r="W173" s="309" t="inlineStr">
        <is>
          <t>程序控件/原创</t>
        </is>
      </c>
      <c r="X173" s="375" t="inlineStr">
        <is>
          <t>—</t>
        </is>
      </c>
      <c r="Y173" s="309" t="inlineStr">
        <is>
          <t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t>
        </is>
      </c>
    </row>
    <row r="174" ht="44" customHeight="1">
      <c r="A174" s="349" t="inlineStr">
        <is>
          <t>AUD-SFX-AMMO-EMPTY</t>
        </is>
      </c>
      <c r="B174" s="349" t="inlineStr">
        <is>
          <t>空仓扳机音效</t>
        </is>
      </c>
      <c r="C174" s="349" t="inlineStr">
        <is>
          <t>音频</t>
        </is>
      </c>
      <c r="D174" s="349" t="inlineStr">
        <is>
          <t>sfx</t>
        </is>
      </c>
      <c r="E174" s="349" t="inlineStr">
        <is>
          <t>ammo_empty</t>
        </is>
      </c>
      <c r="F174" s="349" t="inlineStr">
        <is>
          <t>runtime</t>
        </is>
      </c>
      <c r="G174" s="349" t="n"/>
      <c r="H174" s="349" t="inlineStr">
        <is>
          <t>全局/非空间</t>
        </is>
      </c>
      <c r="I174" s="349" t="inlineStr">
        <is>
          <t>default</t>
        </is>
      </c>
      <c r="J174" s="349" t="inlineStr">
        <is>
          <t>桌面与Android正式运行</t>
        </is>
      </c>
      <c r="K174" s="349" t="inlineStr">
        <is>
          <t>已完成</t>
        </is>
      </c>
      <c r="L174" s="349" t="inlineStr">
        <is>
          <t>P0</t>
        </is>
      </c>
      <c r="M174" s="349" t="inlineStr">
        <is>
          <t>v001</t>
        </is>
      </c>
      <c r="N174" s="349" t="inlineStr">
        <is>
          <t>44.1kHz / OGG Vorbis / stereo</t>
        </is>
      </c>
      <c r="O174" s="349" t="inlineStr">
        <is>
          <t>src/assets/audio/sfx/ammo_empty_v001.ogg</t>
        </is>
      </c>
      <c r="P174" s="349" t="inlineStr">
        <is>
          <t>src/assets/audio/sfx/ammo_empty.wav; src/音效接入说明.md</t>
        </is>
      </c>
      <c r="Q174" s="349" t="inlineStr">
        <is>
          <t>ammo_empty; 音效; OGG; Android; 移动端</t>
        </is>
      </c>
      <c r="R174" s="349">
        <f>LOWER(TRIM(C174)&amp;"|"&amp;TRIM(D174)&amp;"|"&amp;TRIM(E174)&amp;"|"&amp;TRIM(F174)&amp;"|"&amp;TRIM(H174)&amp;"|"&amp;TRIM(I174))</f>
        <v/>
      </c>
      <c r="S174" s="349">
        <f>IF(COUNTIF($R$6:$R$300,R174)&gt;1,"重复","唯一")</f>
        <v/>
      </c>
      <c r="T174" s="349" t="inlineStr">
        <is>
          <t>f5d0339c3c7fce8227970163bd773a11f15faffa57a878ec41111308657a000c</t>
        </is>
      </c>
      <c r="U174" s="349" t="inlineStr">
        <is>
          <t>Codex</t>
        </is>
      </c>
      <c r="V174" s="348" t="n">
        <v>46241</v>
      </c>
      <c r="W174" s="349" t="inlineStr">
        <is>
          <t>项目WAV母版转码</t>
        </is>
      </c>
      <c r="X174" s="375" t="inlineStr">
        <is>
          <t>—</t>
        </is>
      </c>
      <c r="Y174" s="349" t="inlineStr">
        <is>
          <t>正式运行OGG；WAV仅作母版；AudioManager事件=ammo_empty；Android/桌面统一版本化路径，禁止旧音效回退。</t>
        </is>
      </c>
    </row>
    <row r="175" ht="44" customHeight="1">
      <c r="A175" s="349" t="inlineStr">
        <is>
          <t>AUD-SFX-BOSS-DEFEAT</t>
        </is>
      </c>
      <c r="B175" s="349" t="inlineStr">
        <is>
          <t>Boss击败音效</t>
        </is>
      </c>
      <c r="C175" s="349" t="inlineStr">
        <is>
          <t>音频</t>
        </is>
      </c>
      <c r="D175" s="349" t="inlineStr">
        <is>
          <t>sfx</t>
        </is>
      </c>
      <c r="E175" s="349" t="inlineStr">
        <is>
          <t>boss_defeat</t>
        </is>
      </c>
      <c r="F175" s="349" t="inlineStr">
        <is>
          <t>runtime</t>
        </is>
      </c>
      <c r="G175" s="349" t="n"/>
      <c r="H175" s="349" t="inlineStr">
        <is>
          <t>全局/非空间</t>
        </is>
      </c>
      <c r="I175" s="349" t="inlineStr">
        <is>
          <t>default</t>
        </is>
      </c>
      <c r="J175" s="349" t="inlineStr">
        <is>
          <t>桌面与Android正式运行</t>
        </is>
      </c>
      <c r="K175" s="349" t="inlineStr">
        <is>
          <t>已完成</t>
        </is>
      </c>
      <c r="L175" s="349" t="inlineStr">
        <is>
          <t>P0</t>
        </is>
      </c>
      <c r="M175" s="349" t="inlineStr">
        <is>
          <t>v001</t>
        </is>
      </c>
      <c r="N175" s="349" t="inlineStr">
        <is>
          <t>44.1kHz / OGG Vorbis / stereo</t>
        </is>
      </c>
      <c r="O175" s="349" t="inlineStr">
        <is>
          <t>src/assets/audio/sfx/boss_defeat_v001.ogg</t>
        </is>
      </c>
      <c r="P175" s="349" t="inlineStr">
        <is>
          <t>src/assets/audio/sfx/boss_defeat.wav; src/音效接入说明.md</t>
        </is>
      </c>
      <c r="Q175" s="349" t="inlineStr">
        <is>
          <t>boss_defeat; 音效; OGG; Android; 移动端</t>
        </is>
      </c>
      <c r="R175" s="349">
        <f>LOWER(TRIM(C175)&amp;"|"&amp;TRIM(D175)&amp;"|"&amp;TRIM(E175)&amp;"|"&amp;TRIM(F175)&amp;"|"&amp;TRIM(H175)&amp;"|"&amp;TRIM(I175))</f>
        <v/>
      </c>
      <c r="S175" s="349">
        <f>IF(COUNTIF($R$6:$R$300,R175)&gt;1,"重复","唯一")</f>
        <v/>
      </c>
      <c r="T175" s="349" t="inlineStr">
        <is>
          <t>245b27a482a9166c6bc09cdabae3094f4a2bb1e67956f8a8f54b767eb15fefba</t>
        </is>
      </c>
      <c r="U175" s="349" t="inlineStr">
        <is>
          <t>Codex</t>
        </is>
      </c>
      <c r="V175" s="348" t="n">
        <v>46241</v>
      </c>
      <c r="W175" s="349" t="inlineStr">
        <is>
          <t>项目WAV母版转码</t>
        </is>
      </c>
      <c r="X175" s="375" t="inlineStr">
        <is>
          <t>—</t>
        </is>
      </c>
      <c r="Y175" s="349" t="inlineStr">
        <is>
          <t>正式运行OGG；WAV仅作母版；AudioManager事件=boss_defeat；Android/桌面统一版本化路径，禁止旧音效回退。</t>
        </is>
      </c>
    </row>
    <row r="176" ht="44" customHeight="1">
      <c r="A176" s="349" t="inlineStr">
        <is>
          <t>AUD-SFX-BOSS-INTRO</t>
        </is>
      </c>
      <c r="B176" s="349" t="inlineStr">
        <is>
          <t>Boss入场音效</t>
        </is>
      </c>
      <c r="C176" s="349" t="inlineStr">
        <is>
          <t>音频</t>
        </is>
      </c>
      <c r="D176" s="349" t="inlineStr">
        <is>
          <t>sfx</t>
        </is>
      </c>
      <c r="E176" s="349" t="inlineStr">
        <is>
          <t>boss_intro</t>
        </is>
      </c>
      <c r="F176" s="349" t="inlineStr">
        <is>
          <t>runtime</t>
        </is>
      </c>
      <c r="G176" s="349" t="n"/>
      <c r="H176" s="349" t="inlineStr">
        <is>
          <t>全局/非空间</t>
        </is>
      </c>
      <c r="I176" s="349" t="inlineStr">
        <is>
          <t>default</t>
        </is>
      </c>
      <c r="J176" s="349" t="inlineStr">
        <is>
          <t>桌面与Android正式运行</t>
        </is>
      </c>
      <c r="K176" s="349" t="inlineStr">
        <is>
          <t>已完成</t>
        </is>
      </c>
      <c r="L176" s="349" t="inlineStr">
        <is>
          <t>P0</t>
        </is>
      </c>
      <c r="M176" s="349" t="inlineStr">
        <is>
          <t>v001</t>
        </is>
      </c>
      <c r="N176" s="349" t="inlineStr">
        <is>
          <t>44.1kHz / OGG Vorbis / stereo</t>
        </is>
      </c>
      <c r="O176" s="349" t="inlineStr">
        <is>
          <t>src/assets/audio/sfx/boss_intro_v001.ogg</t>
        </is>
      </c>
      <c r="P176" s="349" t="inlineStr">
        <is>
          <t>src/assets/audio/sfx/boss_intro.wav; src/音效接入说明.md</t>
        </is>
      </c>
      <c r="Q176" s="349" t="inlineStr">
        <is>
          <t>boss_intro; 音效; OGG; Android; 移动端</t>
        </is>
      </c>
      <c r="R176" s="349">
        <f>LOWER(TRIM(C176)&amp;"|"&amp;TRIM(D176)&amp;"|"&amp;TRIM(E176)&amp;"|"&amp;TRIM(F176)&amp;"|"&amp;TRIM(H176)&amp;"|"&amp;TRIM(I176))</f>
        <v/>
      </c>
      <c r="S176" s="349">
        <f>IF(COUNTIF($R$6:$R$300,R176)&gt;1,"重复","唯一")</f>
        <v/>
      </c>
      <c r="T176" s="349" t="inlineStr">
        <is>
          <t>4e18a3afe9c7b804e6fb6905fbf05b62cba70d9b15a324c650a04d04a981d5ff</t>
        </is>
      </c>
      <c r="U176" s="349" t="inlineStr">
        <is>
          <t>Codex</t>
        </is>
      </c>
      <c r="V176" s="348" t="n">
        <v>46241</v>
      </c>
      <c r="W176" s="349" t="inlineStr">
        <is>
          <t>项目WAV母版转码</t>
        </is>
      </c>
      <c r="X176" s="375" t="inlineStr">
        <is>
          <t>—</t>
        </is>
      </c>
      <c r="Y176" s="349" t="inlineStr">
        <is>
          <t>正式运行OGG；WAV仅作母版；AudioManager事件=boss_intro；Android/桌面统一版本化路径，禁止旧音效回退。</t>
        </is>
      </c>
    </row>
    <row r="177" ht="44" customHeight="1">
      <c r="A177" s="349" t="inlineStr">
        <is>
          <t>AUD-SFX-BOSS-PHASE</t>
        </is>
      </c>
      <c r="B177" s="349" t="inlineStr">
        <is>
          <t>Boss阶段切换音效</t>
        </is>
      </c>
      <c r="C177" s="349" t="inlineStr">
        <is>
          <t>音频</t>
        </is>
      </c>
      <c r="D177" s="349" t="inlineStr">
        <is>
          <t>sfx</t>
        </is>
      </c>
      <c r="E177" s="349" t="inlineStr">
        <is>
          <t>boss_phase</t>
        </is>
      </c>
      <c r="F177" s="349" t="inlineStr">
        <is>
          <t>runtime</t>
        </is>
      </c>
      <c r="G177" s="349" t="n"/>
      <c r="H177" s="349" t="inlineStr">
        <is>
          <t>全局/非空间</t>
        </is>
      </c>
      <c r="I177" s="349" t="inlineStr">
        <is>
          <t>default</t>
        </is>
      </c>
      <c r="J177" s="349" t="inlineStr">
        <is>
          <t>桌面与Android正式运行</t>
        </is>
      </c>
      <c r="K177" s="349" t="inlineStr">
        <is>
          <t>已完成</t>
        </is>
      </c>
      <c r="L177" s="349" t="inlineStr">
        <is>
          <t>P0</t>
        </is>
      </c>
      <c r="M177" s="349" t="inlineStr">
        <is>
          <t>v001</t>
        </is>
      </c>
      <c r="N177" s="349" t="inlineStr">
        <is>
          <t>44.1kHz / OGG Vorbis / stereo</t>
        </is>
      </c>
      <c r="O177" s="349" t="inlineStr">
        <is>
          <t>src/assets/audio/sfx/boss_phase_v001.ogg</t>
        </is>
      </c>
      <c r="P177" s="349" t="inlineStr">
        <is>
          <t>src/assets/audio/sfx/boss_phase.wav; src/音效接入说明.md</t>
        </is>
      </c>
      <c r="Q177" s="349" t="inlineStr">
        <is>
          <t>boss_phase; 音效; OGG; Android; 移动端</t>
        </is>
      </c>
      <c r="R177" s="349">
        <f>LOWER(TRIM(C177)&amp;"|"&amp;TRIM(D177)&amp;"|"&amp;TRIM(E177)&amp;"|"&amp;TRIM(F177)&amp;"|"&amp;TRIM(H177)&amp;"|"&amp;TRIM(I177))</f>
        <v/>
      </c>
      <c r="S177" s="349">
        <f>IF(COUNTIF($R$6:$R$300,R177)&gt;1,"重复","唯一")</f>
        <v/>
      </c>
      <c r="T177" s="349" t="inlineStr">
        <is>
          <t>804457fc13cb83e18bdc1e7e84d1b9a27414be72128f82811e016c17fc331ad3</t>
        </is>
      </c>
      <c r="U177" s="349" t="inlineStr">
        <is>
          <t>Codex</t>
        </is>
      </c>
      <c r="V177" s="348" t="n">
        <v>46241</v>
      </c>
      <c r="W177" s="349" t="inlineStr">
        <is>
          <t>项目WAV母版转码</t>
        </is>
      </c>
      <c r="X177" s="375" t="inlineStr">
        <is>
          <t>—</t>
        </is>
      </c>
      <c r="Y177" s="349" t="inlineStr">
        <is>
          <t>正式运行OGG；WAV仅作母版；AudioManager事件=boss_phase；Android/桌面统一版本化路径，禁止旧音效回退。</t>
        </is>
      </c>
    </row>
    <row r="178" ht="44" customHeight="1">
      <c r="A178" s="349" t="inlineStr">
        <is>
          <t>AUD-SFX-CONTAINER-OPEN</t>
        </is>
      </c>
      <c r="B178" s="349" t="inlineStr">
        <is>
          <t>搜索容器开启音效</t>
        </is>
      </c>
      <c r="C178" s="349" t="inlineStr">
        <is>
          <t>音频</t>
        </is>
      </c>
      <c r="D178" s="349" t="inlineStr">
        <is>
          <t>sfx</t>
        </is>
      </c>
      <c r="E178" s="349" t="inlineStr">
        <is>
          <t>container_open</t>
        </is>
      </c>
      <c r="F178" s="349" t="inlineStr">
        <is>
          <t>runtime</t>
        </is>
      </c>
      <c r="G178" s="349" t="n"/>
      <c r="H178" s="349" t="inlineStr">
        <is>
          <t>全局/非空间</t>
        </is>
      </c>
      <c r="I178" s="349" t="inlineStr">
        <is>
          <t>default</t>
        </is>
      </c>
      <c r="J178" s="349" t="inlineStr">
        <is>
          <t>桌面与Android正式运行</t>
        </is>
      </c>
      <c r="K178" s="349" t="inlineStr">
        <is>
          <t>已完成</t>
        </is>
      </c>
      <c r="L178" s="349" t="inlineStr">
        <is>
          <t>P0</t>
        </is>
      </c>
      <c r="M178" s="349" t="inlineStr">
        <is>
          <t>v001</t>
        </is>
      </c>
      <c r="N178" s="349" t="inlineStr">
        <is>
          <t>44.1kHz / OGG Vorbis / stereo</t>
        </is>
      </c>
      <c r="O178" s="349" t="inlineStr">
        <is>
          <t>src/assets/audio/sfx/container_open_v001.ogg</t>
        </is>
      </c>
      <c r="P178" s="349" t="inlineStr">
        <is>
          <t>src/assets/audio/sfx/container_open.wav; src/音效接入说明.md</t>
        </is>
      </c>
      <c r="Q178" s="349" t="inlineStr">
        <is>
          <t>container_open; 音效; OGG; Android; 移动端</t>
        </is>
      </c>
      <c r="R178" s="349">
        <f>LOWER(TRIM(C178)&amp;"|"&amp;TRIM(D178)&amp;"|"&amp;TRIM(E178)&amp;"|"&amp;TRIM(F178)&amp;"|"&amp;TRIM(H178)&amp;"|"&amp;TRIM(I178))</f>
        <v/>
      </c>
      <c r="S178" s="349">
        <f>IF(COUNTIF($R$6:$R$300,R178)&gt;1,"重复","唯一")</f>
        <v/>
      </c>
      <c r="T178" s="349" t="inlineStr">
        <is>
          <t>8e9d9e0a773ab0daf850734913302212a2f279dc7afb0f457a193300325840d0</t>
        </is>
      </c>
      <c r="U178" s="349" t="inlineStr">
        <is>
          <t>Codex</t>
        </is>
      </c>
      <c r="V178" s="348" t="n">
        <v>46241</v>
      </c>
      <c r="W178" s="349" t="inlineStr">
        <is>
          <t>项目WAV母版转码</t>
        </is>
      </c>
      <c r="X178" s="375" t="inlineStr">
        <is>
          <t>—</t>
        </is>
      </c>
      <c r="Y178" s="349" t="inlineStr">
        <is>
          <t>正式运行OGG；WAV仅作母版；AudioManager事件=container_open；Android/桌面统一版本化路径，禁止旧音效回退。</t>
        </is>
      </c>
    </row>
    <row r="179" ht="44" customHeight="1">
      <c r="A179" s="349" t="inlineStr">
        <is>
          <t>AUD-SFX-CRIT-HIT</t>
        </is>
      </c>
      <c r="B179" s="349" t="inlineStr">
        <is>
          <t>暴击命中音效</t>
        </is>
      </c>
      <c r="C179" s="349" t="inlineStr">
        <is>
          <t>音频</t>
        </is>
      </c>
      <c r="D179" s="349" t="inlineStr">
        <is>
          <t>sfx</t>
        </is>
      </c>
      <c r="E179" s="349" t="inlineStr">
        <is>
          <t>crit_hit</t>
        </is>
      </c>
      <c r="F179" s="349" t="inlineStr">
        <is>
          <t>runtime</t>
        </is>
      </c>
      <c r="G179" s="349" t="n"/>
      <c r="H179" s="349" t="inlineStr">
        <is>
          <t>全局/非空间</t>
        </is>
      </c>
      <c r="I179" s="349" t="inlineStr">
        <is>
          <t>default</t>
        </is>
      </c>
      <c r="J179" s="349" t="inlineStr">
        <is>
          <t>桌面与Android正式运行</t>
        </is>
      </c>
      <c r="K179" s="349" t="inlineStr">
        <is>
          <t>已完成</t>
        </is>
      </c>
      <c r="L179" s="349" t="inlineStr">
        <is>
          <t>P0</t>
        </is>
      </c>
      <c r="M179" s="349" t="inlineStr">
        <is>
          <t>v001</t>
        </is>
      </c>
      <c r="N179" s="349" t="inlineStr">
        <is>
          <t>44.1kHz / OGG Vorbis / stereo</t>
        </is>
      </c>
      <c r="O179" s="349" t="inlineStr">
        <is>
          <t>src/assets/audio/sfx/crit_hit_v001.ogg</t>
        </is>
      </c>
      <c r="P179" s="349" t="inlineStr">
        <is>
          <t>src/assets/audio/sfx/crit_hit.wav; src/音效接入说明.md</t>
        </is>
      </c>
      <c r="Q179" s="349" t="inlineStr">
        <is>
          <t>crit_hit; 音效; OGG; Android; 移动端</t>
        </is>
      </c>
      <c r="R179" s="349">
        <f>LOWER(TRIM(C179)&amp;"|"&amp;TRIM(D179)&amp;"|"&amp;TRIM(E179)&amp;"|"&amp;TRIM(F179)&amp;"|"&amp;TRIM(H179)&amp;"|"&amp;TRIM(I179))</f>
        <v/>
      </c>
      <c r="S179" s="349">
        <f>IF(COUNTIF($R$6:$R$300,R179)&gt;1,"重复","唯一")</f>
        <v/>
      </c>
      <c r="T179" s="349" t="inlineStr">
        <is>
          <t>9228e4544dc5472afe0dfaa53df5be2ec8c95bd253ea7ffd9b6136c6dd19069f</t>
        </is>
      </c>
      <c r="U179" s="349" t="inlineStr">
        <is>
          <t>Codex</t>
        </is>
      </c>
      <c r="V179" s="348" t="n">
        <v>46241</v>
      </c>
      <c r="W179" s="349" t="inlineStr">
        <is>
          <t>项目WAV母版转码</t>
        </is>
      </c>
      <c r="X179" s="375" t="inlineStr">
        <is>
          <t>—</t>
        </is>
      </c>
      <c r="Y179" s="349" t="inlineStr">
        <is>
          <t>正式运行OGG；WAV仅作母版；AudioManager事件=crit_hit；Android/桌面统一版本化路径，禁止旧音效回退。</t>
        </is>
      </c>
    </row>
    <row r="180" ht="44" customHeight="1">
      <c r="A180" s="349" t="inlineStr">
        <is>
          <t>AUD-SFX-DOOR-LOCKED</t>
        </is>
      </c>
      <c r="B180" s="349" t="inlineStr">
        <is>
          <t>门锁定音效</t>
        </is>
      </c>
      <c r="C180" s="349" t="inlineStr">
        <is>
          <t>音频</t>
        </is>
      </c>
      <c r="D180" s="349" t="inlineStr">
        <is>
          <t>sfx</t>
        </is>
      </c>
      <c r="E180" s="349" t="inlineStr">
        <is>
          <t>door_locked</t>
        </is>
      </c>
      <c r="F180" s="349" t="inlineStr">
        <is>
          <t>runtime</t>
        </is>
      </c>
      <c r="G180" s="349" t="n"/>
      <c r="H180" s="349" t="inlineStr">
        <is>
          <t>全局/非空间</t>
        </is>
      </c>
      <c r="I180" s="349" t="inlineStr">
        <is>
          <t>default</t>
        </is>
      </c>
      <c r="J180" s="349" t="inlineStr">
        <is>
          <t>桌面与Android正式运行</t>
        </is>
      </c>
      <c r="K180" s="349" t="inlineStr">
        <is>
          <t>已完成</t>
        </is>
      </c>
      <c r="L180" s="349" t="inlineStr">
        <is>
          <t>P0</t>
        </is>
      </c>
      <c r="M180" s="349" t="inlineStr">
        <is>
          <t>v001</t>
        </is>
      </c>
      <c r="N180" s="349" t="inlineStr">
        <is>
          <t>44.1kHz / OGG Vorbis / stereo</t>
        </is>
      </c>
      <c r="O180" s="349" t="inlineStr">
        <is>
          <t>src/assets/audio/sfx/door_locked_v001.ogg</t>
        </is>
      </c>
      <c r="P180" s="349" t="inlineStr">
        <is>
          <t>src/assets/audio/sfx/door_locked.wav; src/音效接入说明.md</t>
        </is>
      </c>
      <c r="Q180" s="349" t="inlineStr">
        <is>
          <t>door_locked; 音效; OGG; Android; 移动端</t>
        </is>
      </c>
      <c r="R180" s="349">
        <f>LOWER(TRIM(C180)&amp;"|"&amp;TRIM(D180)&amp;"|"&amp;TRIM(E180)&amp;"|"&amp;TRIM(F180)&amp;"|"&amp;TRIM(H180)&amp;"|"&amp;TRIM(I180))</f>
        <v/>
      </c>
      <c r="S180" s="349">
        <f>IF(COUNTIF($R$6:$R$300,R180)&gt;1,"重复","唯一")</f>
        <v/>
      </c>
      <c r="T180" s="349" t="inlineStr">
        <is>
          <t>db9ece4cf6a904b8c23319b0d3bc83bce2d48ea69d7ebd246dd2bb30f2587e74</t>
        </is>
      </c>
      <c r="U180" s="349" t="inlineStr">
        <is>
          <t>Codex</t>
        </is>
      </c>
      <c r="V180" s="348" t="n">
        <v>46241</v>
      </c>
      <c r="W180" s="349" t="inlineStr">
        <is>
          <t>项目WAV母版转码</t>
        </is>
      </c>
      <c r="X180" s="375" t="inlineStr">
        <is>
          <t>—</t>
        </is>
      </c>
      <c r="Y180" s="349" t="inlineStr">
        <is>
          <t>正式运行OGG；WAV仅作母版；AudioManager事件=door_locked；Android/桌面统一版本化路径，禁止旧音效回退。</t>
        </is>
      </c>
    </row>
    <row r="181" ht="44" customHeight="1">
      <c r="A181" s="349" t="inlineStr">
        <is>
          <t>AUD-SFX-DOOR-OPEN</t>
        </is>
      </c>
      <c r="B181" s="349" t="inlineStr">
        <is>
          <t>门开启音效</t>
        </is>
      </c>
      <c r="C181" s="349" t="inlineStr">
        <is>
          <t>音频</t>
        </is>
      </c>
      <c r="D181" s="349" t="inlineStr">
        <is>
          <t>sfx</t>
        </is>
      </c>
      <c r="E181" s="349" t="inlineStr">
        <is>
          <t>door_open</t>
        </is>
      </c>
      <c r="F181" s="349" t="inlineStr">
        <is>
          <t>runtime</t>
        </is>
      </c>
      <c r="G181" s="349" t="n"/>
      <c r="H181" s="349" t="inlineStr">
        <is>
          <t>全局/非空间</t>
        </is>
      </c>
      <c r="I181" s="349" t="inlineStr">
        <is>
          <t>default</t>
        </is>
      </c>
      <c r="J181" s="349" t="inlineStr">
        <is>
          <t>桌面与Android正式运行</t>
        </is>
      </c>
      <c r="K181" s="349" t="inlineStr">
        <is>
          <t>已完成</t>
        </is>
      </c>
      <c r="L181" s="349" t="inlineStr">
        <is>
          <t>P0</t>
        </is>
      </c>
      <c r="M181" s="349" t="inlineStr">
        <is>
          <t>v001</t>
        </is>
      </c>
      <c r="N181" s="349" t="inlineStr">
        <is>
          <t>44.1kHz / OGG Vorbis / stereo</t>
        </is>
      </c>
      <c r="O181" s="349" t="inlineStr">
        <is>
          <t>src/assets/audio/sfx/door_open_v001.ogg</t>
        </is>
      </c>
      <c r="P181" s="349" t="inlineStr">
        <is>
          <t>src/assets/audio/sfx/door_open.wav; src/音效接入说明.md</t>
        </is>
      </c>
      <c r="Q181" s="349" t="inlineStr">
        <is>
          <t>door_open; 音效; OGG; Android; 移动端</t>
        </is>
      </c>
      <c r="R181" s="349">
        <f>LOWER(TRIM(C181)&amp;"|"&amp;TRIM(D181)&amp;"|"&amp;TRIM(E181)&amp;"|"&amp;TRIM(F181)&amp;"|"&amp;TRIM(H181)&amp;"|"&amp;TRIM(I181))</f>
        <v/>
      </c>
      <c r="S181" s="349">
        <f>IF(COUNTIF($R$6:$R$300,R181)&gt;1,"重复","唯一")</f>
        <v/>
      </c>
      <c r="T181" s="349" t="inlineStr">
        <is>
          <t>6b3044e0231f425a54103d7a4e44c2a1f21f895310841347ea9ceb76485a5565</t>
        </is>
      </c>
      <c r="U181" s="349" t="inlineStr">
        <is>
          <t>Codex</t>
        </is>
      </c>
      <c r="V181" s="348" t="n">
        <v>46241</v>
      </c>
      <c r="W181" s="349" t="inlineStr">
        <is>
          <t>项目WAV母版转码</t>
        </is>
      </c>
      <c r="X181" s="375" t="inlineStr">
        <is>
          <t>—</t>
        </is>
      </c>
      <c r="Y181" s="349" t="inlineStr">
        <is>
          <t>正式运行OGG；WAV仅作母版；AudioManager事件=door_open；Android/桌面统一版本化路径，禁止旧音效回退。</t>
        </is>
      </c>
    </row>
    <row r="182" ht="44" customHeight="1">
      <c r="A182" s="349" t="inlineStr">
        <is>
          <t>AUD-SFX-ENEMY-DIE</t>
        </is>
      </c>
      <c r="B182" s="349" t="inlineStr">
        <is>
          <t>敌人死亡音效</t>
        </is>
      </c>
      <c r="C182" s="349" t="inlineStr">
        <is>
          <t>音频</t>
        </is>
      </c>
      <c r="D182" s="349" t="inlineStr">
        <is>
          <t>sfx</t>
        </is>
      </c>
      <c r="E182" s="349" t="inlineStr">
        <is>
          <t>enemy_die</t>
        </is>
      </c>
      <c r="F182" s="349" t="inlineStr">
        <is>
          <t>runtime</t>
        </is>
      </c>
      <c r="G182" s="349" t="n"/>
      <c r="H182" s="349" t="inlineStr">
        <is>
          <t>全局/非空间</t>
        </is>
      </c>
      <c r="I182" s="349" t="inlineStr">
        <is>
          <t>default</t>
        </is>
      </c>
      <c r="J182" s="349" t="inlineStr">
        <is>
          <t>桌面与Android正式运行</t>
        </is>
      </c>
      <c r="K182" s="349" t="inlineStr">
        <is>
          <t>已完成</t>
        </is>
      </c>
      <c r="L182" s="349" t="inlineStr">
        <is>
          <t>P0</t>
        </is>
      </c>
      <c r="M182" s="349" t="inlineStr">
        <is>
          <t>v001</t>
        </is>
      </c>
      <c r="N182" s="349" t="inlineStr">
        <is>
          <t>44.1kHz / OGG Vorbis / stereo</t>
        </is>
      </c>
      <c r="O182" s="349" t="inlineStr">
        <is>
          <t>src/assets/audio/sfx/enemy_die_v001.ogg</t>
        </is>
      </c>
      <c r="P182" s="349" t="inlineStr">
        <is>
          <t>src/assets/audio/sfx/enemy_die.wav; src/音效接入说明.md</t>
        </is>
      </c>
      <c r="Q182" s="349" t="inlineStr">
        <is>
          <t>enemy_die; 音效; OGG; Android; 移动端</t>
        </is>
      </c>
      <c r="R182" s="349">
        <f>LOWER(TRIM(C182)&amp;"|"&amp;TRIM(D182)&amp;"|"&amp;TRIM(E182)&amp;"|"&amp;TRIM(F182)&amp;"|"&amp;TRIM(H182)&amp;"|"&amp;TRIM(I182))</f>
        <v/>
      </c>
      <c r="S182" s="349">
        <f>IF(COUNTIF($R$6:$R$300,R182)&gt;1,"重复","唯一")</f>
        <v/>
      </c>
      <c r="T182" s="349" t="inlineStr">
        <is>
          <t>eba3495cc7bf7a301a526a8131c3ee989fd8bfa162e9fafca2c5f923936e4c36</t>
        </is>
      </c>
      <c r="U182" s="349" t="inlineStr">
        <is>
          <t>Codex</t>
        </is>
      </c>
      <c r="V182" s="348" t="n">
        <v>46241</v>
      </c>
      <c r="W182" s="349" t="inlineStr">
        <is>
          <t>项目WAV母版转码</t>
        </is>
      </c>
      <c r="X182" s="375" t="inlineStr">
        <is>
          <t>—</t>
        </is>
      </c>
      <c r="Y182" s="349" t="inlineStr">
        <is>
          <t>正式运行OGG；WAV仅作母版；AudioManager事件=enemy_die；Android/桌面统一版本化路径，禁止旧音效回退。</t>
        </is>
      </c>
    </row>
    <row r="183" ht="44" customHeight="1">
      <c r="A183" s="349" t="inlineStr">
        <is>
          <t>AUD-SFX-ENEMY-HIT</t>
        </is>
      </c>
      <c r="B183" s="349" t="inlineStr">
        <is>
          <t>敌人受击音效</t>
        </is>
      </c>
      <c r="C183" s="349" t="inlineStr">
        <is>
          <t>音频</t>
        </is>
      </c>
      <c r="D183" s="349" t="inlineStr">
        <is>
          <t>sfx</t>
        </is>
      </c>
      <c r="E183" s="349" t="inlineStr">
        <is>
          <t>enemy_hit</t>
        </is>
      </c>
      <c r="F183" s="349" t="inlineStr">
        <is>
          <t>runtime</t>
        </is>
      </c>
      <c r="G183" s="349" t="n"/>
      <c r="H183" s="349" t="inlineStr">
        <is>
          <t>全局/非空间</t>
        </is>
      </c>
      <c r="I183" s="349" t="inlineStr">
        <is>
          <t>default</t>
        </is>
      </c>
      <c r="J183" s="349" t="inlineStr">
        <is>
          <t>桌面与Android正式运行</t>
        </is>
      </c>
      <c r="K183" s="349" t="inlineStr">
        <is>
          <t>已完成</t>
        </is>
      </c>
      <c r="L183" s="349" t="inlineStr">
        <is>
          <t>P0</t>
        </is>
      </c>
      <c r="M183" s="349" t="inlineStr">
        <is>
          <t>v001</t>
        </is>
      </c>
      <c r="N183" s="349" t="inlineStr">
        <is>
          <t>44.1kHz / OGG Vorbis / stereo</t>
        </is>
      </c>
      <c r="O183" s="349" t="inlineStr">
        <is>
          <t>src/assets/audio/sfx/enemy_hit_v001.ogg</t>
        </is>
      </c>
      <c r="P183" s="349" t="inlineStr">
        <is>
          <t>src/assets/audio/sfx/enemy_hit.wav; src/音效接入说明.md</t>
        </is>
      </c>
      <c r="Q183" s="349" t="inlineStr">
        <is>
          <t>enemy_hit; 音效; OGG; Android; 移动端</t>
        </is>
      </c>
      <c r="R183" s="349">
        <f>LOWER(TRIM(C183)&amp;"|"&amp;TRIM(D183)&amp;"|"&amp;TRIM(E183)&amp;"|"&amp;TRIM(F183)&amp;"|"&amp;TRIM(H183)&amp;"|"&amp;TRIM(I183))</f>
        <v/>
      </c>
      <c r="S183" s="349">
        <f>IF(COUNTIF($R$6:$R$300,R183)&gt;1,"重复","唯一")</f>
        <v/>
      </c>
      <c r="T183" s="349" t="inlineStr">
        <is>
          <t>167495a122c9f30351c44c8d4ad7a46d6324703dddf91305adf550037f429ba4</t>
        </is>
      </c>
      <c r="U183" s="349" t="inlineStr">
        <is>
          <t>Codex</t>
        </is>
      </c>
      <c r="V183" s="348" t="n">
        <v>46241</v>
      </c>
      <c r="W183" s="349" t="inlineStr">
        <is>
          <t>项目WAV母版转码</t>
        </is>
      </c>
      <c r="X183" s="375" t="inlineStr">
        <is>
          <t>—</t>
        </is>
      </c>
      <c r="Y183" s="349" t="inlineStr">
        <is>
          <t>正式运行OGG；WAV仅作母版；AudioManager事件=enemy_hit；Android/桌面统一版本化路径，禁止旧音效回退。</t>
        </is>
      </c>
    </row>
    <row r="184" ht="44" customHeight="1">
      <c r="A184" s="349" t="inlineStr">
        <is>
          <t>AUD-SFX-EXTRACTION-ABORT</t>
        </is>
      </c>
      <c r="B184" s="349" t="inlineStr">
        <is>
          <t>撤离中断音效</t>
        </is>
      </c>
      <c r="C184" s="349" t="inlineStr">
        <is>
          <t>音频</t>
        </is>
      </c>
      <c r="D184" s="349" t="inlineStr">
        <is>
          <t>sfx</t>
        </is>
      </c>
      <c r="E184" s="349" t="inlineStr">
        <is>
          <t>extraction_abort</t>
        </is>
      </c>
      <c r="F184" s="349" t="inlineStr">
        <is>
          <t>runtime</t>
        </is>
      </c>
      <c r="G184" s="349" t="n"/>
      <c r="H184" s="349" t="inlineStr">
        <is>
          <t>全局/非空间</t>
        </is>
      </c>
      <c r="I184" s="349" t="inlineStr">
        <is>
          <t>default</t>
        </is>
      </c>
      <c r="J184" s="349" t="inlineStr">
        <is>
          <t>桌面与Android正式运行</t>
        </is>
      </c>
      <c r="K184" s="349" t="inlineStr">
        <is>
          <t>已完成</t>
        </is>
      </c>
      <c r="L184" s="349" t="inlineStr">
        <is>
          <t>P0</t>
        </is>
      </c>
      <c r="M184" s="349" t="inlineStr">
        <is>
          <t>v001</t>
        </is>
      </c>
      <c r="N184" s="349" t="inlineStr">
        <is>
          <t>44.1kHz / OGG Vorbis / stereo</t>
        </is>
      </c>
      <c r="O184" s="349" t="inlineStr">
        <is>
          <t>src/assets/audio/sfx/extraction_abort_v001.ogg</t>
        </is>
      </c>
      <c r="P184" s="349" t="inlineStr">
        <is>
          <t>src/assets/audio/sfx/extraction_abort.wav; src/音效接入说明.md</t>
        </is>
      </c>
      <c r="Q184" s="349" t="inlineStr">
        <is>
          <t>extraction_abort; 音效; OGG; Android; 移动端</t>
        </is>
      </c>
      <c r="R184" s="349">
        <f>LOWER(TRIM(C184)&amp;"|"&amp;TRIM(D184)&amp;"|"&amp;TRIM(E184)&amp;"|"&amp;TRIM(F184)&amp;"|"&amp;TRIM(H184)&amp;"|"&amp;TRIM(I184))</f>
        <v/>
      </c>
      <c r="S184" s="349">
        <f>IF(COUNTIF($R$6:$R$300,R184)&gt;1,"重复","唯一")</f>
        <v/>
      </c>
      <c r="T184" s="349" t="inlineStr">
        <is>
          <t>2b29c153f38d8115cdfae413ad3c4054923c65060341d26b2509e617d7c11de0</t>
        </is>
      </c>
      <c r="U184" s="349" t="inlineStr">
        <is>
          <t>Codex</t>
        </is>
      </c>
      <c r="V184" s="348" t="n">
        <v>46241</v>
      </c>
      <c r="W184" s="349" t="inlineStr">
        <is>
          <t>项目WAV母版转码</t>
        </is>
      </c>
      <c r="X184" s="375" t="inlineStr">
        <is>
          <t>—</t>
        </is>
      </c>
      <c r="Y184" s="349" t="inlineStr">
        <is>
          <t>正式运行OGG；WAV仅作母版；AudioManager事件=extraction_abort；Android/桌面统一版本化路径，禁止旧音效回退。</t>
        </is>
      </c>
    </row>
    <row r="185" ht="44" customHeight="1">
      <c r="A185" s="349" t="inlineStr">
        <is>
          <t>AUD-SFX-EXTRACTION-DONE</t>
        </is>
      </c>
      <c r="B185" s="349" t="inlineStr">
        <is>
          <t>撤离成功音效</t>
        </is>
      </c>
      <c r="C185" s="349" t="inlineStr">
        <is>
          <t>音频</t>
        </is>
      </c>
      <c r="D185" s="349" t="inlineStr">
        <is>
          <t>sfx</t>
        </is>
      </c>
      <c r="E185" s="349" t="inlineStr">
        <is>
          <t>extraction_done</t>
        </is>
      </c>
      <c r="F185" s="349" t="inlineStr">
        <is>
          <t>runtime</t>
        </is>
      </c>
      <c r="G185" s="349" t="n"/>
      <c r="H185" s="349" t="inlineStr">
        <is>
          <t>全局/非空间</t>
        </is>
      </c>
      <c r="I185" s="349" t="inlineStr">
        <is>
          <t>default</t>
        </is>
      </c>
      <c r="J185" s="349" t="inlineStr">
        <is>
          <t>桌面与Android正式运行</t>
        </is>
      </c>
      <c r="K185" s="349" t="inlineStr">
        <is>
          <t>已完成</t>
        </is>
      </c>
      <c r="L185" s="349" t="inlineStr">
        <is>
          <t>P0</t>
        </is>
      </c>
      <c r="M185" s="349" t="inlineStr">
        <is>
          <t>v001</t>
        </is>
      </c>
      <c r="N185" s="349" t="inlineStr">
        <is>
          <t>44.1kHz / OGG Vorbis / stereo</t>
        </is>
      </c>
      <c r="O185" s="349" t="inlineStr">
        <is>
          <t>src/assets/audio/sfx/extraction_done_v001.ogg</t>
        </is>
      </c>
      <c r="P185" s="349" t="inlineStr">
        <is>
          <t>src/assets/audio/sfx/extraction_done.wav; src/音效接入说明.md</t>
        </is>
      </c>
      <c r="Q185" s="349" t="inlineStr">
        <is>
          <t>extraction_done; 音效; OGG; Android; 移动端</t>
        </is>
      </c>
      <c r="R185" s="349">
        <f>LOWER(TRIM(C185)&amp;"|"&amp;TRIM(D185)&amp;"|"&amp;TRIM(E185)&amp;"|"&amp;TRIM(F185)&amp;"|"&amp;TRIM(H185)&amp;"|"&amp;TRIM(I185))</f>
        <v/>
      </c>
      <c r="S185" s="349">
        <f>IF(COUNTIF($R$6:$R$300,R185)&gt;1,"重复","唯一")</f>
        <v/>
      </c>
      <c r="T185" s="349" t="inlineStr">
        <is>
          <t>c6eef279ec7a88822b2554799f0a49e4549576ee4c682ef5a3440ea53279df70</t>
        </is>
      </c>
      <c r="U185" s="349" t="inlineStr">
        <is>
          <t>Codex</t>
        </is>
      </c>
      <c r="V185" s="348" t="n">
        <v>46241</v>
      </c>
      <c r="W185" s="349" t="inlineStr">
        <is>
          <t>项目WAV母版转码</t>
        </is>
      </c>
      <c r="X185" s="375" t="inlineStr">
        <is>
          <t>—</t>
        </is>
      </c>
      <c r="Y185" s="349" t="inlineStr">
        <is>
          <t>正式运行OGG；WAV仅作母版；AudioManager事件=extraction_done；Android/桌面统一版本化路径，禁止旧音效回退。</t>
        </is>
      </c>
    </row>
    <row r="186" ht="44" customHeight="1">
      <c r="A186" s="349" t="inlineStr">
        <is>
          <t>AUD-SFX-EXTRACTION-START</t>
        </is>
      </c>
      <c r="B186" s="349" t="inlineStr">
        <is>
          <t>撤离开始音效</t>
        </is>
      </c>
      <c r="C186" s="349" t="inlineStr">
        <is>
          <t>音频</t>
        </is>
      </c>
      <c r="D186" s="349" t="inlineStr">
        <is>
          <t>sfx</t>
        </is>
      </c>
      <c r="E186" s="349" t="inlineStr">
        <is>
          <t>extraction_start</t>
        </is>
      </c>
      <c r="F186" s="349" t="inlineStr">
        <is>
          <t>runtime</t>
        </is>
      </c>
      <c r="G186" s="349" t="n"/>
      <c r="H186" s="349" t="inlineStr">
        <is>
          <t>全局/非空间</t>
        </is>
      </c>
      <c r="I186" s="349" t="inlineStr">
        <is>
          <t>default</t>
        </is>
      </c>
      <c r="J186" s="349" t="inlineStr">
        <is>
          <t>桌面与Android正式运行</t>
        </is>
      </c>
      <c r="K186" s="349" t="inlineStr">
        <is>
          <t>已完成</t>
        </is>
      </c>
      <c r="L186" s="349" t="inlineStr">
        <is>
          <t>P0</t>
        </is>
      </c>
      <c r="M186" s="349" t="inlineStr">
        <is>
          <t>v001</t>
        </is>
      </c>
      <c r="N186" s="349" t="inlineStr">
        <is>
          <t>44.1kHz / OGG Vorbis / stereo</t>
        </is>
      </c>
      <c r="O186" s="349" t="inlineStr">
        <is>
          <t>src/assets/audio/sfx/extraction_start_v001.ogg</t>
        </is>
      </c>
      <c r="P186" s="349" t="inlineStr">
        <is>
          <t>src/assets/audio/sfx/extraction_start.wav; src/音效接入说明.md</t>
        </is>
      </c>
      <c r="Q186" s="349" t="inlineStr">
        <is>
          <t>extraction_start; 音效; OGG; Android; 移动端</t>
        </is>
      </c>
      <c r="R186" s="349">
        <f>LOWER(TRIM(C186)&amp;"|"&amp;TRIM(D186)&amp;"|"&amp;TRIM(E186)&amp;"|"&amp;TRIM(F186)&amp;"|"&amp;TRIM(H186)&amp;"|"&amp;TRIM(I186))</f>
        <v/>
      </c>
      <c r="S186" s="349">
        <f>IF(COUNTIF($R$6:$R$300,R186)&gt;1,"重复","唯一")</f>
        <v/>
      </c>
      <c r="T186" s="349" t="inlineStr">
        <is>
          <t>e44385e009738b96dac7aa7106bd489ccf55fe700332359407e0663f826c7daa</t>
        </is>
      </c>
      <c r="U186" s="349" t="inlineStr">
        <is>
          <t>Codex</t>
        </is>
      </c>
      <c r="V186" s="348" t="n">
        <v>46241</v>
      </c>
      <c r="W186" s="349" t="inlineStr">
        <is>
          <t>项目WAV母版转码</t>
        </is>
      </c>
      <c r="X186" s="375" t="inlineStr">
        <is>
          <t>—</t>
        </is>
      </c>
      <c r="Y186" s="349" t="inlineStr">
        <is>
          <t>正式运行OGG；WAV仅作母版；AudioManager事件=extraction_start；Android/桌面统一版本化路径，禁止旧音效回退。</t>
        </is>
      </c>
    </row>
    <row r="187" ht="44" customHeight="1">
      <c r="A187" s="349" t="inlineStr">
        <is>
          <t>AUD-SFX-FATE-CARD</t>
        </is>
      </c>
      <c r="B187" s="349" t="inlineStr">
        <is>
          <t>命运卡生效音效</t>
        </is>
      </c>
      <c r="C187" s="349" t="inlineStr">
        <is>
          <t>音频</t>
        </is>
      </c>
      <c r="D187" s="349" t="inlineStr">
        <is>
          <t>sfx</t>
        </is>
      </c>
      <c r="E187" s="349" t="inlineStr">
        <is>
          <t>fate_card</t>
        </is>
      </c>
      <c r="F187" s="349" t="inlineStr">
        <is>
          <t>runtime</t>
        </is>
      </c>
      <c r="G187" s="349" t="n"/>
      <c r="H187" s="349" t="inlineStr">
        <is>
          <t>全局/非空间</t>
        </is>
      </c>
      <c r="I187" s="349" t="inlineStr">
        <is>
          <t>default</t>
        </is>
      </c>
      <c r="J187" s="349" t="inlineStr">
        <is>
          <t>桌面与Android正式运行</t>
        </is>
      </c>
      <c r="K187" s="349" t="inlineStr">
        <is>
          <t>已完成</t>
        </is>
      </c>
      <c r="L187" s="349" t="inlineStr">
        <is>
          <t>P0</t>
        </is>
      </c>
      <c r="M187" s="349" t="inlineStr">
        <is>
          <t>v001</t>
        </is>
      </c>
      <c r="N187" s="349" t="inlineStr">
        <is>
          <t>44.1kHz / OGG Vorbis / stereo</t>
        </is>
      </c>
      <c r="O187" s="349" t="inlineStr">
        <is>
          <t>src/assets/audio/sfx/fate_card_v001.ogg</t>
        </is>
      </c>
      <c r="P187" s="349" t="inlineStr">
        <is>
          <t>src/assets/audio/sfx/fate_card.wav; src/音效接入说明.md</t>
        </is>
      </c>
      <c r="Q187" s="349" t="inlineStr">
        <is>
          <t>fate_card; 音效; OGG; Android; 移动端</t>
        </is>
      </c>
      <c r="R187" s="349">
        <f>LOWER(TRIM(C187)&amp;"|"&amp;TRIM(D187)&amp;"|"&amp;TRIM(E187)&amp;"|"&amp;TRIM(F187)&amp;"|"&amp;TRIM(H187)&amp;"|"&amp;TRIM(I187))</f>
        <v/>
      </c>
      <c r="S187" s="349">
        <f>IF(COUNTIF($R$6:$R$300,R187)&gt;1,"重复","唯一")</f>
        <v/>
      </c>
      <c r="T187" s="349" t="inlineStr">
        <is>
          <t>7cdce8d37b6308c0df873f4f20e80d319e546cb24ab5d860ea0cef5bd4ae3488</t>
        </is>
      </c>
      <c r="U187" s="349" t="inlineStr">
        <is>
          <t>Codex</t>
        </is>
      </c>
      <c r="V187" s="348" t="n">
        <v>46241</v>
      </c>
      <c r="W187" s="349" t="inlineStr">
        <is>
          <t>项目WAV母版转码</t>
        </is>
      </c>
      <c r="X187" s="375" t="inlineStr">
        <is>
          <t>—</t>
        </is>
      </c>
      <c r="Y187" s="349" t="inlineStr">
        <is>
          <t>正式运行OGG；WAV仅作母版；AudioManager事件=fate_card；Android/桌面统一版本化路径，禁止旧音效回退。</t>
        </is>
      </c>
    </row>
    <row r="188" ht="44" customHeight="1">
      <c r="A188" s="349" t="inlineStr">
        <is>
          <t>AUD-SFX-ITEM-PICKUP</t>
        </is>
      </c>
      <c r="B188" s="349" t="inlineStr">
        <is>
          <t>物品拾取音效</t>
        </is>
      </c>
      <c r="C188" s="349" t="inlineStr">
        <is>
          <t>音频</t>
        </is>
      </c>
      <c r="D188" s="349" t="inlineStr">
        <is>
          <t>sfx</t>
        </is>
      </c>
      <c r="E188" s="349" t="inlineStr">
        <is>
          <t>item_pickup</t>
        </is>
      </c>
      <c r="F188" s="349" t="inlineStr">
        <is>
          <t>runtime</t>
        </is>
      </c>
      <c r="G188" s="349" t="n"/>
      <c r="H188" s="349" t="inlineStr">
        <is>
          <t>全局/非空间</t>
        </is>
      </c>
      <c r="I188" s="349" t="inlineStr">
        <is>
          <t>default</t>
        </is>
      </c>
      <c r="J188" s="349" t="inlineStr">
        <is>
          <t>桌面与Android正式运行</t>
        </is>
      </c>
      <c r="K188" s="349" t="inlineStr">
        <is>
          <t>已完成</t>
        </is>
      </c>
      <c r="L188" s="349" t="inlineStr">
        <is>
          <t>P0</t>
        </is>
      </c>
      <c r="M188" s="349" t="inlineStr">
        <is>
          <t>v001</t>
        </is>
      </c>
      <c r="N188" s="349" t="inlineStr">
        <is>
          <t>44.1kHz / OGG Vorbis / stereo</t>
        </is>
      </c>
      <c r="O188" s="349" t="inlineStr">
        <is>
          <t>src/assets/audio/sfx/item_pickup_v001.ogg</t>
        </is>
      </c>
      <c r="P188" s="349" t="inlineStr">
        <is>
          <t>src/assets/audio/sfx/item_pickup.wav; src/音效接入说明.md</t>
        </is>
      </c>
      <c r="Q188" s="349" t="inlineStr">
        <is>
          <t>item_pickup; 音效; OGG; Android; 移动端</t>
        </is>
      </c>
      <c r="R188" s="349">
        <f>LOWER(TRIM(C188)&amp;"|"&amp;TRIM(D188)&amp;"|"&amp;TRIM(E188)&amp;"|"&amp;TRIM(F188)&amp;"|"&amp;TRIM(H188)&amp;"|"&amp;TRIM(I188))</f>
        <v/>
      </c>
      <c r="S188" s="349">
        <f>IF(COUNTIF($R$6:$R$300,R188)&gt;1,"重复","唯一")</f>
        <v/>
      </c>
      <c r="T188" s="349" t="inlineStr">
        <is>
          <t>7114f2ac9b0dc6ee500f5176b315b5f8a84f9ec7e3c5168dc342febdb747c290</t>
        </is>
      </c>
      <c r="U188" s="349" t="inlineStr">
        <is>
          <t>Codex</t>
        </is>
      </c>
      <c r="V188" s="348" t="n">
        <v>46241</v>
      </c>
      <c r="W188" s="349" t="inlineStr">
        <is>
          <t>项目WAV母版转码</t>
        </is>
      </c>
      <c r="X188" s="375" t="inlineStr">
        <is>
          <t>—</t>
        </is>
      </c>
      <c r="Y188" s="349" t="inlineStr">
        <is>
          <t>正式运行OGG；WAV仅作母版；AudioManager事件=item_pickup；Android/桌面统一版本化路径，禁止旧音效回退。</t>
        </is>
      </c>
    </row>
    <row r="189" ht="44" customHeight="1">
      <c r="A189" s="349" t="inlineStr">
        <is>
          <t>AUD-SFX-LASER-FIRE</t>
        </is>
      </c>
      <c r="B189" s="349" t="inlineStr">
        <is>
          <t>能量武器射击音效</t>
        </is>
      </c>
      <c r="C189" s="349" t="inlineStr">
        <is>
          <t>音频</t>
        </is>
      </c>
      <c r="D189" s="349" t="inlineStr">
        <is>
          <t>sfx</t>
        </is>
      </c>
      <c r="E189" s="349" t="inlineStr">
        <is>
          <t>laser_fire</t>
        </is>
      </c>
      <c r="F189" s="349" t="inlineStr">
        <is>
          <t>runtime</t>
        </is>
      </c>
      <c r="G189" s="349" t="n"/>
      <c r="H189" s="349" t="inlineStr">
        <is>
          <t>全局/非空间</t>
        </is>
      </c>
      <c r="I189" s="349" t="inlineStr">
        <is>
          <t>default</t>
        </is>
      </c>
      <c r="J189" s="349" t="inlineStr">
        <is>
          <t>桌面与Android正式运行</t>
        </is>
      </c>
      <c r="K189" s="349" t="inlineStr">
        <is>
          <t>已完成</t>
        </is>
      </c>
      <c r="L189" s="349" t="inlineStr">
        <is>
          <t>P0</t>
        </is>
      </c>
      <c r="M189" s="349" t="inlineStr">
        <is>
          <t>v001</t>
        </is>
      </c>
      <c r="N189" s="349" t="inlineStr">
        <is>
          <t>44.1kHz / OGG Vorbis / stereo</t>
        </is>
      </c>
      <c r="O189" s="349" t="inlineStr">
        <is>
          <t>src/assets/audio/sfx/laser_fire_v001.ogg</t>
        </is>
      </c>
      <c r="P189" s="349" t="inlineStr">
        <is>
          <t>src/assets/audio/sfx/laser_fire.wav; src/音效接入说明.md</t>
        </is>
      </c>
      <c r="Q189" s="349" t="inlineStr">
        <is>
          <t>laser_fire; 音效; OGG; Android; 移动端</t>
        </is>
      </c>
      <c r="R189" s="349">
        <f>LOWER(TRIM(C189)&amp;"|"&amp;TRIM(D189)&amp;"|"&amp;TRIM(E189)&amp;"|"&amp;TRIM(F189)&amp;"|"&amp;TRIM(H189)&amp;"|"&amp;TRIM(I189))</f>
        <v/>
      </c>
      <c r="S189" s="349">
        <f>IF(COUNTIF($R$6:$R$300,R189)&gt;1,"重复","唯一")</f>
        <v/>
      </c>
      <c r="T189" s="349" t="inlineStr">
        <is>
          <t>b9fa5b0e0835a0e18b5a0bb29bff7fcc94944020f3eb9a8424343786ab845191</t>
        </is>
      </c>
      <c r="U189" s="349" t="inlineStr">
        <is>
          <t>Codex</t>
        </is>
      </c>
      <c r="V189" s="348" t="n">
        <v>46241</v>
      </c>
      <c r="W189" s="349" t="inlineStr">
        <is>
          <t>项目WAV母版转码</t>
        </is>
      </c>
      <c r="X189" s="375" t="inlineStr">
        <is>
          <t>—</t>
        </is>
      </c>
      <c r="Y189" s="349" t="inlineStr">
        <is>
          <t>正式运行OGG；WAV仅作母版；AudioManager事件=laser_fire；Android/桌面统一版本化路径，禁止旧音效回退。</t>
        </is>
      </c>
    </row>
    <row r="190" ht="44" customHeight="1">
      <c r="A190" s="349" t="inlineStr">
        <is>
          <t>AUD-SFX-MERCHANT-PURCHASE</t>
        </is>
      </c>
      <c r="B190" s="349" t="inlineStr">
        <is>
          <t>交易成功音效</t>
        </is>
      </c>
      <c r="C190" s="349" t="inlineStr">
        <is>
          <t>音频</t>
        </is>
      </c>
      <c r="D190" s="349" t="inlineStr">
        <is>
          <t>sfx</t>
        </is>
      </c>
      <c r="E190" s="349" t="inlineStr">
        <is>
          <t>merchant_purchase</t>
        </is>
      </c>
      <c r="F190" s="349" t="inlineStr">
        <is>
          <t>runtime</t>
        </is>
      </c>
      <c r="G190" s="349" t="n"/>
      <c r="H190" s="349" t="inlineStr">
        <is>
          <t>全局/非空间</t>
        </is>
      </c>
      <c r="I190" s="349" t="inlineStr">
        <is>
          <t>default</t>
        </is>
      </c>
      <c r="J190" s="349" t="inlineStr">
        <is>
          <t>桌面与Android正式运行</t>
        </is>
      </c>
      <c r="K190" s="349" t="inlineStr">
        <is>
          <t>已完成</t>
        </is>
      </c>
      <c r="L190" s="349" t="inlineStr">
        <is>
          <t>P0</t>
        </is>
      </c>
      <c r="M190" s="349" t="inlineStr">
        <is>
          <t>v001</t>
        </is>
      </c>
      <c r="N190" s="349" t="inlineStr">
        <is>
          <t>44.1kHz / OGG Vorbis / stereo</t>
        </is>
      </c>
      <c r="O190" s="349" t="inlineStr">
        <is>
          <t>src/assets/audio/sfx/merchant_purchase_v001.ogg</t>
        </is>
      </c>
      <c r="P190" s="349" t="inlineStr">
        <is>
          <t>src/assets/audio/sfx/merchant_purchase.wav; src/音效接入说明.md</t>
        </is>
      </c>
      <c r="Q190" s="349" t="inlineStr">
        <is>
          <t>merchant_purchase; 音效; OGG; Android; 移动端</t>
        </is>
      </c>
      <c r="R190" s="349">
        <f>LOWER(TRIM(C190)&amp;"|"&amp;TRIM(D190)&amp;"|"&amp;TRIM(E190)&amp;"|"&amp;TRIM(F190)&amp;"|"&amp;TRIM(H190)&amp;"|"&amp;TRIM(I190))</f>
        <v/>
      </c>
      <c r="S190" s="349">
        <f>IF(COUNTIF($R$6:$R$300,R190)&gt;1,"重复","唯一")</f>
        <v/>
      </c>
      <c r="T190" s="349" t="inlineStr">
        <is>
          <t>ff71a229a012ea8ed985ab286ea01672af277dd33a62549dd080f1e9026d53c2</t>
        </is>
      </c>
      <c r="U190" s="349" t="inlineStr">
        <is>
          <t>Codex</t>
        </is>
      </c>
      <c r="V190" s="348" t="n">
        <v>46241</v>
      </c>
      <c r="W190" s="349" t="inlineStr">
        <is>
          <t>项目WAV母版转码</t>
        </is>
      </c>
      <c r="X190" s="375" t="inlineStr">
        <is>
          <t>—</t>
        </is>
      </c>
      <c r="Y190" s="349" t="inlineStr">
        <is>
          <t>正式运行OGG；WAV仅作母版；AudioManager事件=merchant_purchase；Android/桌面统一版本化路径，禁止旧音效回退。</t>
        </is>
      </c>
    </row>
    <row r="191" ht="44" customHeight="1">
      <c r="A191" s="349" t="inlineStr">
        <is>
          <t>AUD-SFX-PISTOL-FIRE</t>
        </is>
      </c>
      <c r="B191" s="349" t="inlineStr">
        <is>
          <t>手枪射击音效</t>
        </is>
      </c>
      <c r="C191" s="349" t="inlineStr">
        <is>
          <t>音频</t>
        </is>
      </c>
      <c r="D191" s="349" t="inlineStr">
        <is>
          <t>sfx</t>
        </is>
      </c>
      <c r="E191" s="349" t="inlineStr">
        <is>
          <t>pistol_fire</t>
        </is>
      </c>
      <c r="F191" s="349" t="inlineStr">
        <is>
          <t>runtime</t>
        </is>
      </c>
      <c r="G191" s="349" t="n"/>
      <c r="H191" s="349" t="inlineStr">
        <is>
          <t>全局/非空间</t>
        </is>
      </c>
      <c r="I191" s="349" t="inlineStr">
        <is>
          <t>default</t>
        </is>
      </c>
      <c r="J191" s="349" t="inlineStr">
        <is>
          <t>桌面与Android正式运行</t>
        </is>
      </c>
      <c r="K191" s="349" t="inlineStr">
        <is>
          <t>已完成</t>
        </is>
      </c>
      <c r="L191" s="349" t="inlineStr">
        <is>
          <t>P0</t>
        </is>
      </c>
      <c r="M191" s="349" t="inlineStr">
        <is>
          <t>v001</t>
        </is>
      </c>
      <c r="N191" s="349" t="inlineStr">
        <is>
          <t>44.1kHz / OGG Vorbis / stereo</t>
        </is>
      </c>
      <c r="O191" s="349" t="inlineStr">
        <is>
          <t>src/assets/audio/sfx/pistol_fire_v001.ogg</t>
        </is>
      </c>
      <c r="P191" s="349" t="inlineStr">
        <is>
          <t>src/assets/audio/sfx/pistol_fire.wav; src/音效接入说明.md</t>
        </is>
      </c>
      <c r="Q191" s="349" t="inlineStr">
        <is>
          <t>pistol_fire; 音效; OGG; Android; 移动端</t>
        </is>
      </c>
      <c r="R191" s="349">
        <f>LOWER(TRIM(C191)&amp;"|"&amp;TRIM(D191)&amp;"|"&amp;TRIM(E191)&amp;"|"&amp;TRIM(F191)&amp;"|"&amp;TRIM(H191)&amp;"|"&amp;TRIM(I191))</f>
        <v/>
      </c>
      <c r="S191" s="349">
        <f>IF(COUNTIF($R$6:$R$300,R191)&gt;1,"重复","唯一")</f>
        <v/>
      </c>
      <c r="T191" s="349" t="inlineStr">
        <is>
          <t>b2c39d4579cf13e32f98e79eb57b6ea0efeb5af7a497c60dc1acf94e8dd16937</t>
        </is>
      </c>
      <c r="U191" s="349" t="inlineStr">
        <is>
          <t>Codex</t>
        </is>
      </c>
      <c r="V191" s="348" t="n">
        <v>46241</v>
      </c>
      <c r="W191" s="349" t="inlineStr">
        <is>
          <t>项目WAV母版转码</t>
        </is>
      </c>
      <c r="X191" s="375" t="inlineStr">
        <is>
          <t>—</t>
        </is>
      </c>
      <c r="Y191" s="349" t="inlineStr">
        <is>
          <t>正式运行OGG；WAV仅作母版；AudioManager事件=pistol_fire；Android/桌面统一版本化路径，禁止旧音效回退。</t>
        </is>
      </c>
    </row>
    <row r="192" ht="44" customHeight="1">
      <c r="A192" s="349" t="inlineStr">
        <is>
          <t>AUD-SFX-PLAYER-DASH</t>
        </is>
      </c>
      <c r="B192" s="349" t="inlineStr">
        <is>
          <t>玩家冲刺音效</t>
        </is>
      </c>
      <c r="C192" s="349" t="inlineStr">
        <is>
          <t>音频</t>
        </is>
      </c>
      <c r="D192" s="349" t="inlineStr">
        <is>
          <t>sfx</t>
        </is>
      </c>
      <c r="E192" s="349" t="inlineStr">
        <is>
          <t>player_dash</t>
        </is>
      </c>
      <c r="F192" s="349" t="inlineStr">
        <is>
          <t>runtime</t>
        </is>
      </c>
      <c r="G192" s="349" t="n"/>
      <c r="H192" s="349" t="inlineStr">
        <is>
          <t>全局/非空间</t>
        </is>
      </c>
      <c r="I192" s="349" t="inlineStr">
        <is>
          <t>default</t>
        </is>
      </c>
      <c r="J192" s="349" t="inlineStr">
        <is>
          <t>桌面与Android正式运行</t>
        </is>
      </c>
      <c r="K192" s="349" t="inlineStr">
        <is>
          <t>已完成</t>
        </is>
      </c>
      <c r="L192" s="349" t="inlineStr">
        <is>
          <t>P0</t>
        </is>
      </c>
      <c r="M192" s="349" t="inlineStr">
        <is>
          <t>v001</t>
        </is>
      </c>
      <c r="N192" s="349" t="inlineStr">
        <is>
          <t>44.1kHz / OGG Vorbis / stereo</t>
        </is>
      </c>
      <c r="O192" s="349" t="inlineStr">
        <is>
          <t>src/assets/audio/sfx/player_dash_v001.ogg</t>
        </is>
      </c>
      <c r="P192" s="349" t="inlineStr">
        <is>
          <t>src/assets/audio/sfx/player_dash.wav; src/音效接入说明.md</t>
        </is>
      </c>
      <c r="Q192" s="349" t="inlineStr">
        <is>
          <t>player_dash; 音效; OGG; Android; 移动端</t>
        </is>
      </c>
      <c r="R192" s="349">
        <f>LOWER(TRIM(C192)&amp;"|"&amp;TRIM(D192)&amp;"|"&amp;TRIM(E192)&amp;"|"&amp;TRIM(F192)&amp;"|"&amp;TRIM(H192)&amp;"|"&amp;TRIM(I192))</f>
        <v/>
      </c>
      <c r="S192" s="349">
        <f>IF(COUNTIF($R$6:$R$300,R192)&gt;1,"重复","唯一")</f>
        <v/>
      </c>
      <c r="T192" s="349" t="inlineStr">
        <is>
          <t>5d437b11f4b79d593ded0045cf202542b44ac0eb7344561ec96c659ad9ea6930</t>
        </is>
      </c>
      <c r="U192" s="349" t="inlineStr">
        <is>
          <t>Codex</t>
        </is>
      </c>
      <c r="V192" s="348" t="n">
        <v>46241</v>
      </c>
      <c r="W192" s="349" t="inlineStr">
        <is>
          <t>项目WAV母版转码</t>
        </is>
      </c>
      <c r="X192" s="375" t="inlineStr">
        <is>
          <t>—</t>
        </is>
      </c>
      <c r="Y192" s="349" t="inlineStr">
        <is>
          <t>正式运行OGG；WAV仅作母版；AudioManager事件=player_dash；Android/桌面统一版本化路径，禁止旧音效回退。</t>
        </is>
      </c>
    </row>
    <row r="193" ht="44" customHeight="1">
      <c r="A193" s="349" t="inlineStr">
        <is>
          <t>AUD-SFX-PLAYER-HIT</t>
        </is>
      </c>
      <c r="B193" s="349" t="inlineStr">
        <is>
          <t>玩家受击音效</t>
        </is>
      </c>
      <c r="C193" s="349" t="inlineStr">
        <is>
          <t>音频</t>
        </is>
      </c>
      <c r="D193" s="349" t="inlineStr">
        <is>
          <t>sfx</t>
        </is>
      </c>
      <c r="E193" s="349" t="inlineStr">
        <is>
          <t>player_hit</t>
        </is>
      </c>
      <c r="F193" s="349" t="inlineStr">
        <is>
          <t>runtime</t>
        </is>
      </c>
      <c r="G193" s="349" t="n"/>
      <c r="H193" s="349" t="inlineStr">
        <is>
          <t>全局/非空间</t>
        </is>
      </c>
      <c r="I193" s="349" t="inlineStr">
        <is>
          <t>default</t>
        </is>
      </c>
      <c r="J193" s="349" t="inlineStr">
        <is>
          <t>桌面与Android正式运行</t>
        </is>
      </c>
      <c r="K193" s="349" t="inlineStr">
        <is>
          <t>已完成</t>
        </is>
      </c>
      <c r="L193" s="349" t="inlineStr">
        <is>
          <t>P0</t>
        </is>
      </c>
      <c r="M193" s="349" t="inlineStr">
        <is>
          <t>v001</t>
        </is>
      </c>
      <c r="N193" s="349" t="inlineStr">
        <is>
          <t>44.1kHz / OGG Vorbis / stereo</t>
        </is>
      </c>
      <c r="O193" s="349" t="inlineStr">
        <is>
          <t>src/assets/audio/sfx/player_hit_v001.ogg</t>
        </is>
      </c>
      <c r="P193" s="349" t="inlineStr">
        <is>
          <t>src/assets/audio/sfx/player_hit.wav; src/音效接入说明.md</t>
        </is>
      </c>
      <c r="Q193" s="349" t="inlineStr">
        <is>
          <t>player_hit; 音效; OGG; Android; 移动端</t>
        </is>
      </c>
      <c r="R193" s="349">
        <f>LOWER(TRIM(C193)&amp;"|"&amp;TRIM(D193)&amp;"|"&amp;TRIM(E193)&amp;"|"&amp;TRIM(F193)&amp;"|"&amp;TRIM(H193)&amp;"|"&amp;TRIM(I193))</f>
        <v/>
      </c>
      <c r="S193" s="349">
        <f>IF(COUNTIF($R$6:$R$300,R193)&gt;1,"重复","唯一")</f>
        <v/>
      </c>
      <c r="T193" s="349" t="inlineStr">
        <is>
          <t>aa5bec92c2734e64ae75245c0fcb165c915981cf77d107c579649c228fc50eb2</t>
        </is>
      </c>
      <c r="U193" s="349" t="inlineStr">
        <is>
          <t>Codex</t>
        </is>
      </c>
      <c r="V193" s="348" t="n">
        <v>46241</v>
      </c>
      <c r="W193" s="349" t="inlineStr">
        <is>
          <t>项目WAV母版转码</t>
        </is>
      </c>
      <c r="X193" s="375" t="inlineStr">
        <is>
          <t>—</t>
        </is>
      </c>
      <c r="Y193" s="349" t="inlineStr">
        <is>
          <t>正式运行OGG；WAV仅作母版；AudioManager事件=player_hit；Android/桌面统一版本化路径，禁止旧音效回退。</t>
        </is>
      </c>
    </row>
    <row r="194" ht="44" customHeight="1">
      <c r="A194" s="349" t="inlineStr">
        <is>
          <t>AUD-SFX-RELOAD</t>
        </is>
      </c>
      <c r="B194" s="349" t="inlineStr">
        <is>
          <t>换弹音效</t>
        </is>
      </c>
      <c r="C194" s="349" t="inlineStr">
        <is>
          <t>音频</t>
        </is>
      </c>
      <c r="D194" s="349" t="inlineStr">
        <is>
          <t>sfx</t>
        </is>
      </c>
      <c r="E194" s="349" t="inlineStr">
        <is>
          <t>reload</t>
        </is>
      </c>
      <c r="F194" s="349" t="inlineStr">
        <is>
          <t>runtime</t>
        </is>
      </c>
      <c r="G194" s="349" t="n"/>
      <c r="H194" s="349" t="inlineStr">
        <is>
          <t>全局/非空间</t>
        </is>
      </c>
      <c r="I194" s="349" t="inlineStr">
        <is>
          <t>default</t>
        </is>
      </c>
      <c r="J194" s="349" t="inlineStr">
        <is>
          <t>桌面与Android正式运行</t>
        </is>
      </c>
      <c r="K194" s="349" t="inlineStr">
        <is>
          <t>已完成</t>
        </is>
      </c>
      <c r="L194" s="349" t="inlineStr">
        <is>
          <t>P0</t>
        </is>
      </c>
      <c r="M194" s="349" t="inlineStr">
        <is>
          <t>v001</t>
        </is>
      </c>
      <c r="N194" s="349" t="inlineStr">
        <is>
          <t>44.1kHz / OGG Vorbis / stereo</t>
        </is>
      </c>
      <c r="O194" s="349" t="inlineStr">
        <is>
          <t>src/assets/audio/sfx/reload_v001.ogg</t>
        </is>
      </c>
      <c r="P194" s="349" t="inlineStr">
        <is>
          <t>src/assets/audio/sfx/reload.wav; src/音效接入说明.md</t>
        </is>
      </c>
      <c r="Q194" s="349" t="inlineStr">
        <is>
          <t>reload; 音效; OGG; Android; 移动端</t>
        </is>
      </c>
      <c r="R194" s="349">
        <f>LOWER(TRIM(C194)&amp;"|"&amp;TRIM(D194)&amp;"|"&amp;TRIM(E194)&amp;"|"&amp;TRIM(F194)&amp;"|"&amp;TRIM(H194)&amp;"|"&amp;TRIM(I194))</f>
        <v/>
      </c>
      <c r="S194" s="349">
        <f>IF(COUNTIF($R$6:$R$300,R194)&gt;1,"重复","唯一")</f>
        <v/>
      </c>
      <c r="T194" s="349" t="inlineStr">
        <is>
          <t>0d60be5b4b3e9955d34c69e5719ae8d3147d6e87d3ffa58beae8d2beae42d0c7</t>
        </is>
      </c>
      <c r="U194" s="349" t="inlineStr">
        <is>
          <t>Codex</t>
        </is>
      </c>
      <c r="V194" s="348" t="n">
        <v>46241</v>
      </c>
      <c r="W194" s="349" t="inlineStr">
        <is>
          <t>项目WAV母版转码</t>
        </is>
      </c>
      <c r="X194" s="375" t="inlineStr">
        <is>
          <t>—</t>
        </is>
      </c>
      <c r="Y194" s="349" t="inlineStr">
        <is>
          <t>正式运行OGG；WAV仅作母版；AudioManager事件=reload；Android/桌面统一版本化路径，禁止旧音效回退。</t>
        </is>
      </c>
    </row>
    <row r="195" ht="44" customHeight="1">
      <c r="A195" s="349" t="inlineStr">
        <is>
          <t>AUD-SFX-RIFLE-FIRE</t>
        </is>
      </c>
      <c r="B195" s="349" t="inlineStr">
        <is>
          <t>步枪射击音效</t>
        </is>
      </c>
      <c r="C195" s="349" t="inlineStr">
        <is>
          <t>音频</t>
        </is>
      </c>
      <c r="D195" s="349" t="inlineStr">
        <is>
          <t>sfx</t>
        </is>
      </c>
      <c r="E195" s="349" t="inlineStr">
        <is>
          <t>rifle_fire</t>
        </is>
      </c>
      <c r="F195" s="349" t="inlineStr">
        <is>
          <t>runtime</t>
        </is>
      </c>
      <c r="G195" s="349" t="n"/>
      <c r="H195" s="349" t="inlineStr">
        <is>
          <t>全局/非空间</t>
        </is>
      </c>
      <c r="I195" s="349" t="inlineStr">
        <is>
          <t>default</t>
        </is>
      </c>
      <c r="J195" s="349" t="inlineStr">
        <is>
          <t>桌面与Android正式运行</t>
        </is>
      </c>
      <c r="K195" s="349" t="inlineStr">
        <is>
          <t>已完成</t>
        </is>
      </c>
      <c r="L195" s="349" t="inlineStr">
        <is>
          <t>P0</t>
        </is>
      </c>
      <c r="M195" s="349" t="inlineStr">
        <is>
          <t>v001</t>
        </is>
      </c>
      <c r="N195" s="349" t="inlineStr">
        <is>
          <t>44.1kHz / OGG Vorbis / stereo</t>
        </is>
      </c>
      <c r="O195" s="349" t="inlineStr">
        <is>
          <t>src/assets/audio/sfx/rifle_fire_v001.ogg</t>
        </is>
      </c>
      <c r="P195" s="349" t="inlineStr">
        <is>
          <t>src/assets/audio/sfx/rifle_fire.wav; src/音效接入说明.md</t>
        </is>
      </c>
      <c r="Q195" s="349" t="inlineStr">
        <is>
          <t>rifle_fire; 音效; OGG; Android; 移动端</t>
        </is>
      </c>
      <c r="R195" s="349">
        <f>LOWER(TRIM(C195)&amp;"|"&amp;TRIM(D195)&amp;"|"&amp;TRIM(E195)&amp;"|"&amp;TRIM(F195)&amp;"|"&amp;TRIM(H195)&amp;"|"&amp;TRIM(I195))</f>
        <v/>
      </c>
      <c r="S195" s="349">
        <f>IF(COUNTIF($R$6:$R$300,R195)&gt;1,"重复","唯一")</f>
        <v/>
      </c>
      <c r="T195" s="349" t="inlineStr">
        <is>
          <t>c5b6cc8c2beb44f22c72c1d201b750dd79dc877ae88f0067ef246103948e0e33</t>
        </is>
      </c>
      <c r="U195" s="349" t="inlineStr">
        <is>
          <t>Codex</t>
        </is>
      </c>
      <c r="V195" s="348" t="n">
        <v>46241</v>
      </c>
      <c r="W195" s="349" t="inlineStr">
        <is>
          <t>项目WAV母版转码</t>
        </is>
      </c>
      <c r="X195" s="375" t="inlineStr">
        <is>
          <t>—</t>
        </is>
      </c>
      <c r="Y195" s="349" t="inlineStr">
        <is>
          <t>正式运行OGG；WAV仅作母版；AudioManager事件=rifle_fire；Android/桌面统一版本化路径，禁止旧音效回退。</t>
        </is>
      </c>
    </row>
    <row r="196" ht="44" customHeight="1">
      <c r="A196" s="349" t="inlineStr">
        <is>
          <t>AUD-SFX-SHOTGUN-FIRE</t>
        </is>
      </c>
      <c r="B196" s="349" t="inlineStr">
        <is>
          <t>霰弹枪射击音效</t>
        </is>
      </c>
      <c r="C196" s="349" t="inlineStr">
        <is>
          <t>音频</t>
        </is>
      </c>
      <c r="D196" s="349" t="inlineStr">
        <is>
          <t>sfx</t>
        </is>
      </c>
      <c r="E196" s="349" t="inlineStr">
        <is>
          <t>shotgun_fire</t>
        </is>
      </c>
      <c r="F196" s="349" t="inlineStr">
        <is>
          <t>runtime</t>
        </is>
      </c>
      <c r="G196" s="349" t="n"/>
      <c r="H196" s="349" t="inlineStr">
        <is>
          <t>全局/非空间</t>
        </is>
      </c>
      <c r="I196" s="349" t="inlineStr">
        <is>
          <t>default</t>
        </is>
      </c>
      <c r="J196" s="349" t="inlineStr">
        <is>
          <t>桌面与Android正式运行</t>
        </is>
      </c>
      <c r="K196" s="349" t="inlineStr">
        <is>
          <t>已完成</t>
        </is>
      </c>
      <c r="L196" s="349" t="inlineStr">
        <is>
          <t>P0</t>
        </is>
      </c>
      <c r="M196" s="349" t="inlineStr">
        <is>
          <t>v001</t>
        </is>
      </c>
      <c r="N196" s="349" t="inlineStr">
        <is>
          <t>44.1kHz / OGG Vorbis / stereo</t>
        </is>
      </c>
      <c r="O196" s="349" t="inlineStr">
        <is>
          <t>src/assets/audio/sfx/shotgun_fire_v001.ogg</t>
        </is>
      </c>
      <c r="P196" s="349" t="inlineStr">
        <is>
          <t>src/assets/audio/sfx/shotgun_fire.wav; src/音效接入说明.md</t>
        </is>
      </c>
      <c r="Q196" s="349" t="inlineStr">
        <is>
          <t>shotgun_fire; 音效; OGG; Android; 移动端</t>
        </is>
      </c>
      <c r="R196" s="349">
        <f>LOWER(TRIM(C196)&amp;"|"&amp;TRIM(D196)&amp;"|"&amp;TRIM(E196)&amp;"|"&amp;TRIM(F196)&amp;"|"&amp;TRIM(H196)&amp;"|"&amp;TRIM(I196))</f>
        <v/>
      </c>
      <c r="S196" s="349">
        <f>IF(COUNTIF($R$6:$R$300,R196)&gt;1,"重复","唯一")</f>
        <v/>
      </c>
      <c r="T196" s="349" t="inlineStr">
        <is>
          <t>e4b8feb67d9a438892183fa3a2e4afec8e3131235be342c02b1ce72e25767466</t>
        </is>
      </c>
      <c r="U196" s="349" t="inlineStr">
        <is>
          <t>Codex</t>
        </is>
      </c>
      <c r="V196" s="348" t="n">
        <v>46241</v>
      </c>
      <c r="W196" s="349" t="inlineStr">
        <is>
          <t>项目WAV母版转码</t>
        </is>
      </c>
      <c r="X196" s="375" t="inlineStr">
        <is>
          <t>—</t>
        </is>
      </c>
      <c r="Y196" s="349" t="inlineStr">
        <is>
          <t>正式运行OGG；WAV仅作母版；AudioManager事件=shotgun_fire；Android/桌面统一版本化路径，禁止旧音效回退。</t>
        </is>
      </c>
    </row>
    <row r="197" ht="44" customHeight="1">
      <c r="A197" s="349" t="inlineStr">
        <is>
          <t>AUD-SFX-SMG-FIRE</t>
        </is>
      </c>
      <c r="B197" s="349" t="inlineStr">
        <is>
          <t>冲锋枪射击音效</t>
        </is>
      </c>
      <c r="C197" s="349" t="inlineStr">
        <is>
          <t>音频</t>
        </is>
      </c>
      <c r="D197" s="349" t="inlineStr">
        <is>
          <t>sfx</t>
        </is>
      </c>
      <c r="E197" s="349" t="inlineStr">
        <is>
          <t>smg_fire</t>
        </is>
      </c>
      <c r="F197" s="349" t="inlineStr">
        <is>
          <t>runtime</t>
        </is>
      </c>
      <c r="G197" s="349" t="n"/>
      <c r="H197" s="349" t="inlineStr">
        <is>
          <t>全局/非空间</t>
        </is>
      </c>
      <c r="I197" s="349" t="inlineStr">
        <is>
          <t>default</t>
        </is>
      </c>
      <c r="J197" s="349" t="inlineStr">
        <is>
          <t>桌面与Android正式运行</t>
        </is>
      </c>
      <c r="K197" s="349" t="inlineStr">
        <is>
          <t>已完成</t>
        </is>
      </c>
      <c r="L197" s="349" t="inlineStr">
        <is>
          <t>P0</t>
        </is>
      </c>
      <c r="M197" s="349" t="inlineStr">
        <is>
          <t>v001</t>
        </is>
      </c>
      <c r="N197" s="349" t="inlineStr">
        <is>
          <t>44.1kHz / OGG Vorbis / stereo</t>
        </is>
      </c>
      <c r="O197" s="349" t="inlineStr">
        <is>
          <t>src/assets/audio/sfx/smg_fire_v001.ogg</t>
        </is>
      </c>
      <c r="P197" s="349" t="inlineStr">
        <is>
          <t>src/assets/audio/sfx/smg_fire.wav; src/音效接入说明.md</t>
        </is>
      </c>
      <c r="Q197" s="349" t="inlineStr">
        <is>
          <t>smg_fire; 音效; OGG; Android; 移动端</t>
        </is>
      </c>
      <c r="R197" s="349">
        <f>LOWER(TRIM(C197)&amp;"|"&amp;TRIM(D197)&amp;"|"&amp;TRIM(E197)&amp;"|"&amp;TRIM(F197)&amp;"|"&amp;TRIM(H197)&amp;"|"&amp;TRIM(I197))</f>
        <v/>
      </c>
      <c r="S197" s="349">
        <f>IF(COUNTIF($R$6:$R$300,R197)&gt;1,"重复","唯一")</f>
        <v/>
      </c>
      <c r="T197" s="349" t="inlineStr">
        <is>
          <t>282379aa6850e03dd6109928a22ad7792563768414ece93374c7cff725d306fa</t>
        </is>
      </c>
      <c r="U197" s="349" t="inlineStr">
        <is>
          <t>Codex</t>
        </is>
      </c>
      <c r="V197" s="348" t="n">
        <v>46241</v>
      </c>
      <c r="W197" s="349" t="inlineStr">
        <is>
          <t>项目WAV母版转码</t>
        </is>
      </c>
      <c r="X197" s="375" t="inlineStr">
        <is>
          <t>—</t>
        </is>
      </c>
      <c r="Y197" s="349" t="inlineStr">
        <is>
          <t>正式运行OGG；WAV仅作母版；AudioManager事件=smg_fire；Android/桌面统一版本化路径，禁止旧音效回退。</t>
        </is>
      </c>
    </row>
    <row r="198" ht="44" customHeight="1">
      <c r="A198" s="349" t="inlineStr">
        <is>
          <t>AUD-SFX-SNIPER-FIRE</t>
        </is>
      </c>
      <c r="B198" s="349" t="inlineStr">
        <is>
          <t>狙击枪射击音效</t>
        </is>
      </c>
      <c r="C198" s="349" t="inlineStr">
        <is>
          <t>音频</t>
        </is>
      </c>
      <c r="D198" s="349" t="inlineStr">
        <is>
          <t>sfx</t>
        </is>
      </c>
      <c r="E198" s="349" t="inlineStr">
        <is>
          <t>sniper_fire</t>
        </is>
      </c>
      <c r="F198" s="349" t="inlineStr">
        <is>
          <t>runtime</t>
        </is>
      </c>
      <c r="G198" s="349" t="n"/>
      <c r="H198" s="349" t="inlineStr">
        <is>
          <t>全局/非空间</t>
        </is>
      </c>
      <c r="I198" s="349" t="inlineStr">
        <is>
          <t>default</t>
        </is>
      </c>
      <c r="J198" s="349" t="inlineStr">
        <is>
          <t>桌面与Android正式运行</t>
        </is>
      </c>
      <c r="K198" s="349" t="inlineStr">
        <is>
          <t>已完成</t>
        </is>
      </c>
      <c r="L198" s="349" t="inlineStr">
        <is>
          <t>P0</t>
        </is>
      </c>
      <c r="M198" s="349" t="inlineStr">
        <is>
          <t>v001</t>
        </is>
      </c>
      <c r="N198" s="349" t="inlineStr">
        <is>
          <t>44.1kHz / OGG Vorbis / stereo</t>
        </is>
      </c>
      <c r="O198" s="349" t="inlineStr">
        <is>
          <t>src/assets/audio/sfx/sniper_fire_v001.ogg</t>
        </is>
      </c>
      <c r="P198" s="349" t="inlineStr">
        <is>
          <t>src/assets/audio/sfx/sniper_fire.wav; src/音效接入说明.md</t>
        </is>
      </c>
      <c r="Q198" s="349" t="inlineStr">
        <is>
          <t>sniper_fire; 音效; OGG; Android; 移动端</t>
        </is>
      </c>
      <c r="R198" s="349">
        <f>LOWER(TRIM(C198)&amp;"|"&amp;TRIM(D198)&amp;"|"&amp;TRIM(E198)&amp;"|"&amp;TRIM(F198)&amp;"|"&amp;TRIM(H198)&amp;"|"&amp;TRIM(I198))</f>
        <v/>
      </c>
      <c r="S198" s="349">
        <f>IF(COUNTIF($R$6:$R$300,R198)&gt;1,"重复","唯一")</f>
        <v/>
      </c>
      <c r="T198" s="349" t="inlineStr">
        <is>
          <t>0d5161b3b8faece3024ad618916c203cd3d274d3b373af7bcbbd22baa0ab3968</t>
        </is>
      </c>
      <c r="U198" s="349" t="inlineStr">
        <is>
          <t>Codex</t>
        </is>
      </c>
      <c r="V198" s="348" t="n">
        <v>46241</v>
      </c>
      <c r="W198" s="349" t="inlineStr">
        <is>
          <t>项目WAV母版转码</t>
        </is>
      </c>
      <c r="X198" s="375" t="inlineStr">
        <is>
          <t>—</t>
        </is>
      </c>
      <c r="Y198" s="349" t="inlineStr">
        <is>
          <t>正式运行OGG；WAV仅作母版；AudioManager事件=sniper_fire；Android/桌面统一版本化路径，禁止旧音效回退。</t>
        </is>
      </c>
    </row>
    <row r="199" ht="44" customHeight="1">
      <c r="A199" s="349" t="inlineStr">
        <is>
          <t>AUD-SFX-SOUL-PICKUP</t>
        </is>
      </c>
      <c r="B199" s="349" t="inlineStr">
        <is>
          <t>魂球拾取音效</t>
        </is>
      </c>
      <c r="C199" s="349" t="inlineStr">
        <is>
          <t>音频</t>
        </is>
      </c>
      <c r="D199" s="349" t="inlineStr">
        <is>
          <t>sfx</t>
        </is>
      </c>
      <c r="E199" s="349" t="inlineStr">
        <is>
          <t>soul_pickup</t>
        </is>
      </c>
      <c r="F199" s="349" t="inlineStr">
        <is>
          <t>runtime</t>
        </is>
      </c>
      <c r="G199" s="349" t="n"/>
      <c r="H199" s="349" t="inlineStr">
        <is>
          <t>全局/非空间</t>
        </is>
      </c>
      <c r="I199" s="349" t="inlineStr">
        <is>
          <t>default</t>
        </is>
      </c>
      <c r="J199" s="349" t="inlineStr">
        <is>
          <t>桌面与Android正式运行</t>
        </is>
      </c>
      <c r="K199" s="349" t="inlineStr">
        <is>
          <t>已完成</t>
        </is>
      </c>
      <c r="L199" s="349" t="inlineStr">
        <is>
          <t>P0</t>
        </is>
      </c>
      <c r="M199" s="349" t="inlineStr">
        <is>
          <t>v001</t>
        </is>
      </c>
      <c r="N199" s="349" t="inlineStr">
        <is>
          <t>44.1kHz / OGG Vorbis / stereo</t>
        </is>
      </c>
      <c r="O199" s="349" t="inlineStr">
        <is>
          <t>src/assets/audio/sfx/soul_pickup_v001.ogg</t>
        </is>
      </c>
      <c r="P199" s="349" t="inlineStr">
        <is>
          <t>src/assets/audio/sfx/soul_pickup.wav; src/音效接入说明.md</t>
        </is>
      </c>
      <c r="Q199" s="349" t="inlineStr">
        <is>
          <t>soul_pickup; 音效; OGG; Android; 移动端</t>
        </is>
      </c>
      <c r="R199" s="349">
        <f>LOWER(TRIM(C199)&amp;"|"&amp;TRIM(D199)&amp;"|"&amp;TRIM(E199)&amp;"|"&amp;TRIM(F199)&amp;"|"&amp;TRIM(H199)&amp;"|"&amp;TRIM(I199))</f>
        <v/>
      </c>
      <c r="S199" s="349">
        <f>IF(COUNTIF($R$6:$R$300,R199)&gt;1,"重复","唯一")</f>
        <v/>
      </c>
      <c r="T199" s="349" t="inlineStr">
        <is>
          <t>c9f24f23f1c4e8ad28a5ee97e9b11efd00e53bf706faa0655cba4f78b68e76ff</t>
        </is>
      </c>
      <c r="U199" s="349" t="inlineStr">
        <is>
          <t>Codex</t>
        </is>
      </c>
      <c r="V199" s="348" t="n">
        <v>46241</v>
      </c>
      <c r="W199" s="349" t="inlineStr">
        <is>
          <t>项目WAV母版转码</t>
        </is>
      </c>
      <c r="X199" s="375" t="inlineStr">
        <is>
          <t>—</t>
        </is>
      </c>
      <c r="Y199" s="349" t="inlineStr">
        <is>
          <t>正式运行OGG；WAV仅作母版；AudioManager事件=soul_pickup；Android/桌面统一版本化路径，禁止旧音效回退。</t>
        </is>
      </c>
    </row>
    <row r="200" ht="44" customHeight="1">
      <c r="A200" s="349" t="inlineStr">
        <is>
          <t>AUD-SFX-UI-CLICK</t>
        </is>
      </c>
      <c r="B200" s="349" t="inlineStr">
        <is>
          <t>UI点击音效</t>
        </is>
      </c>
      <c r="C200" s="349" t="inlineStr">
        <is>
          <t>音频</t>
        </is>
      </c>
      <c r="D200" s="349" t="inlineStr">
        <is>
          <t>sfx</t>
        </is>
      </c>
      <c r="E200" s="349" t="inlineStr">
        <is>
          <t>ui_click</t>
        </is>
      </c>
      <c r="F200" s="349" t="inlineStr">
        <is>
          <t>runtime</t>
        </is>
      </c>
      <c r="G200" s="349" t="n"/>
      <c r="H200" s="349" t="inlineStr">
        <is>
          <t>全局/非空间</t>
        </is>
      </c>
      <c r="I200" s="349" t="inlineStr">
        <is>
          <t>default</t>
        </is>
      </c>
      <c r="J200" s="349" t="inlineStr">
        <is>
          <t>桌面与Android正式运行</t>
        </is>
      </c>
      <c r="K200" s="349" t="inlineStr">
        <is>
          <t>已完成</t>
        </is>
      </c>
      <c r="L200" s="349" t="inlineStr">
        <is>
          <t>P0</t>
        </is>
      </c>
      <c r="M200" s="349" t="inlineStr">
        <is>
          <t>v001</t>
        </is>
      </c>
      <c r="N200" s="349" t="inlineStr">
        <is>
          <t>44.1kHz / OGG Vorbis / stereo</t>
        </is>
      </c>
      <c r="O200" s="349" t="inlineStr">
        <is>
          <t>src/assets/audio/sfx/ui_click_v001.ogg</t>
        </is>
      </c>
      <c r="P200" s="349" t="inlineStr">
        <is>
          <t>src/assets/audio/sfx/ui_click.wav; src/音效接入说明.md</t>
        </is>
      </c>
      <c r="Q200" s="349" t="inlineStr">
        <is>
          <t>ui_click; 音效; OGG; Android; 移动端</t>
        </is>
      </c>
      <c r="R200" s="349">
        <f>LOWER(TRIM(C200)&amp;"|"&amp;TRIM(D200)&amp;"|"&amp;TRIM(E200)&amp;"|"&amp;TRIM(F200)&amp;"|"&amp;TRIM(H200)&amp;"|"&amp;TRIM(I200))</f>
        <v/>
      </c>
      <c r="S200" s="349">
        <f>IF(COUNTIF($R$6:$R$300,R200)&gt;1,"重复","唯一")</f>
        <v/>
      </c>
      <c r="T200" s="349" t="inlineStr">
        <is>
          <t>a19f1bec70959ea5fd4715ee292080f9932fc3835b060b713a00fc19822fc3a5</t>
        </is>
      </c>
      <c r="U200" s="349" t="inlineStr">
        <is>
          <t>Codex</t>
        </is>
      </c>
      <c r="V200" s="348" t="n">
        <v>46241</v>
      </c>
      <c r="W200" s="349" t="inlineStr">
        <is>
          <t>项目WAV母版转码</t>
        </is>
      </c>
      <c r="X200" s="375" t="inlineStr">
        <is>
          <t>—</t>
        </is>
      </c>
      <c r="Y200" s="349" t="inlineStr">
        <is>
          <t>正式运行OGG；WAV仅作母版；AudioManager事件=ui_click；Android/桌面统一版本化路径，禁止旧音效回退。</t>
        </is>
      </c>
    </row>
    <row r="201" ht="44" customHeight="1">
      <c r="A201" s="349" t="inlineStr">
        <is>
          <t>AUD-SFX-UI-ERROR</t>
        </is>
      </c>
      <c r="B201" s="349" t="inlineStr">
        <is>
          <t>UI错误音效</t>
        </is>
      </c>
      <c r="C201" s="349" t="inlineStr">
        <is>
          <t>音频</t>
        </is>
      </c>
      <c r="D201" s="349" t="inlineStr">
        <is>
          <t>sfx</t>
        </is>
      </c>
      <c r="E201" s="349" t="inlineStr">
        <is>
          <t>ui_error</t>
        </is>
      </c>
      <c r="F201" s="349" t="inlineStr">
        <is>
          <t>runtime</t>
        </is>
      </c>
      <c r="G201" s="349" t="n"/>
      <c r="H201" s="349" t="inlineStr">
        <is>
          <t>全局/非空间</t>
        </is>
      </c>
      <c r="I201" s="349" t="inlineStr">
        <is>
          <t>default</t>
        </is>
      </c>
      <c r="J201" s="349" t="inlineStr">
        <is>
          <t>桌面与Android正式运行</t>
        </is>
      </c>
      <c r="K201" s="349" t="inlineStr">
        <is>
          <t>已完成</t>
        </is>
      </c>
      <c r="L201" s="349" t="inlineStr">
        <is>
          <t>P0</t>
        </is>
      </c>
      <c r="M201" s="349" t="inlineStr">
        <is>
          <t>v001</t>
        </is>
      </c>
      <c r="N201" s="349" t="inlineStr">
        <is>
          <t>44.1kHz / OGG Vorbis / stereo</t>
        </is>
      </c>
      <c r="O201" s="349" t="inlineStr">
        <is>
          <t>src/assets/audio/sfx/ui_error_v001.ogg</t>
        </is>
      </c>
      <c r="P201" s="349" t="inlineStr">
        <is>
          <t>src/assets/audio/sfx/ui_error.wav; src/音效接入说明.md</t>
        </is>
      </c>
      <c r="Q201" s="349" t="inlineStr">
        <is>
          <t>ui_error; 音效; OGG; Android; 移动端</t>
        </is>
      </c>
      <c r="R201" s="349">
        <f>LOWER(TRIM(C201)&amp;"|"&amp;TRIM(D201)&amp;"|"&amp;TRIM(E201)&amp;"|"&amp;TRIM(F201)&amp;"|"&amp;TRIM(H201)&amp;"|"&amp;TRIM(I201))</f>
        <v/>
      </c>
      <c r="S201" s="349">
        <f>IF(COUNTIF($R$6:$R$300,R201)&gt;1,"重复","唯一")</f>
        <v/>
      </c>
      <c r="T201" s="349" t="inlineStr">
        <is>
          <t>eeb07b8cc575869b8d560c929431d8beb43eb533c9900403df6beb9bb83b9b5e</t>
        </is>
      </c>
      <c r="U201" s="349" t="inlineStr">
        <is>
          <t>Codex</t>
        </is>
      </c>
      <c r="V201" s="348" t="n">
        <v>46241</v>
      </c>
      <c r="W201" s="349" t="inlineStr">
        <is>
          <t>项目WAV母版转码</t>
        </is>
      </c>
      <c r="X201" s="375" t="inlineStr">
        <is>
          <t>—</t>
        </is>
      </c>
      <c r="Y201" s="349" t="inlineStr">
        <is>
          <t>正式运行OGG；WAV仅作母版；AudioManager事件=ui_error；Android/桌面统一版本化路径，禁止旧音效回退。</t>
        </is>
      </c>
    </row>
    <row r="202" ht="44" customHeight="1">
      <c r="A202" s="349" t="inlineStr">
        <is>
          <t>AUD-SFX-UI-HOVER</t>
        </is>
      </c>
      <c r="B202" s="349" t="inlineStr">
        <is>
          <t>UI悬停音效</t>
        </is>
      </c>
      <c r="C202" s="349" t="inlineStr">
        <is>
          <t>音频</t>
        </is>
      </c>
      <c r="D202" s="349" t="inlineStr">
        <is>
          <t>sfx</t>
        </is>
      </c>
      <c r="E202" s="349" t="inlineStr">
        <is>
          <t>ui_hover</t>
        </is>
      </c>
      <c r="F202" s="349" t="inlineStr">
        <is>
          <t>runtime</t>
        </is>
      </c>
      <c r="G202" s="349" t="n"/>
      <c r="H202" s="349" t="inlineStr">
        <is>
          <t>全局/非空间</t>
        </is>
      </c>
      <c r="I202" s="349" t="inlineStr">
        <is>
          <t>default</t>
        </is>
      </c>
      <c r="J202" s="349" t="inlineStr">
        <is>
          <t>桌面与Android正式运行</t>
        </is>
      </c>
      <c r="K202" s="349" t="inlineStr">
        <is>
          <t>已完成</t>
        </is>
      </c>
      <c r="L202" s="349" t="inlineStr">
        <is>
          <t>P0</t>
        </is>
      </c>
      <c r="M202" s="349" t="inlineStr">
        <is>
          <t>v001</t>
        </is>
      </c>
      <c r="N202" s="349" t="inlineStr">
        <is>
          <t>44.1kHz / OGG Vorbis / stereo</t>
        </is>
      </c>
      <c r="O202" s="349" t="inlineStr">
        <is>
          <t>src/assets/audio/sfx/ui_hover_v001.ogg</t>
        </is>
      </c>
      <c r="P202" s="349" t="inlineStr">
        <is>
          <t>src/assets/audio/sfx/ui_hover.wav; src/音效接入说明.md</t>
        </is>
      </c>
      <c r="Q202" s="349" t="inlineStr">
        <is>
          <t>ui_hover; 音效; OGG; Android; 移动端</t>
        </is>
      </c>
      <c r="R202" s="349">
        <f>LOWER(TRIM(C202)&amp;"|"&amp;TRIM(D202)&amp;"|"&amp;TRIM(E202)&amp;"|"&amp;TRIM(F202)&amp;"|"&amp;TRIM(H202)&amp;"|"&amp;TRIM(I202))</f>
        <v/>
      </c>
      <c r="S202" s="349">
        <f>IF(COUNTIF($R$6:$R$300,R202)&gt;1,"重复","唯一")</f>
        <v/>
      </c>
      <c r="T202" s="349" t="inlineStr">
        <is>
          <t>edb43f0a80a9833364555c052e01e898d39396bef925566cbadf34e009877bcb</t>
        </is>
      </c>
      <c r="U202" s="349" t="inlineStr">
        <is>
          <t>Codex</t>
        </is>
      </c>
      <c r="V202" s="348" t="n">
        <v>46241</v>
      </c>
      <c r="W202" s="349" t="inlineStr">
        <is>
          <t>项目WAV母版转码</t>
        </is>
      </c>
      <c r="X202" s="375" t="inlineStr">
        <is>
          <t>—</t>
        </is>
      </c>
      <c r="Y202" s="349" t="inlineStr">
        <is>
          <t>正式运行OGG；WAV仅作母版；AudioManager事件=ui_hover；Android/桌面统一版本化路径，禁止旧音效回退。</t>
        </is>
      </c>
    </row>
    <row r="203" ht="44" customHeight="1">
      <c r="A203" s="349" t="inlineStr">
        <is>
          <t>AUD-SFX-WAVE-CLEAR</t>
        </is>
      </c>
      <c r="B203" s="349" t="inlineStr">
        <is>
          <t>波次完成音效</t>
        </is>
      </c>
      <c r="C203" s="349" t="inlineStr">
        <is>
          <t>音频</t>
        </is>
      </c>
      <c r="D203" s="349" t="inlineStr">
        <is>
          <t>sfx</t>
        </is>
      </c>
      <c r="E203" s="349" t="inlineStr">
        <is>
          <t>wave_clear</t>
        </is>
      </c>
      <c r="F203" s="349" t="inlineStr">
        <is>
          <t>runtime</t>
        </is>
      </c>
      <c r="G203" s="349" t="n"/>
      <c r="H203" s="349" t="inlineStr">
        <is>
          <t>全局/非空间</t>
        </is>
      </c>
      <c r="I203" s="349" t="inlineStr">
        <is>
          <t>default</t>
        </is>
      </c>
      <c r="J203" s="349" t="inlineStr">
        <is>
          <t>桌面与Android正式运行</t>
        </is>
      </c>
      <c r="K203" s="349" t="inlineStr">
        <is>
          <t>已完成</t>
        </is>
      </c>
      <c r="L203" s="349" t="inlineStr">
        <is>
          <t>P0</t>
        </is>
      </c>
      <c r="M203" s="349" t="inlineStr">
        <is>
          <t>v001</t>
        </is>
      </c>
      <c r="N203" s="349" t="inlineStr">
        <is>
          <t>44.1kHz / OGG Vorbis / stereo</t>
        </is>
      </c>
      <c r="O203" s="349" t="inlineStr">
        <is>
          <t>src/assets/audio/sfx/wave_clear_v001.ogg</t>
        </is>
      </c>
      <c r="P203" s="349" t="inlineStr">
        <is>
          <t>src/assets/audio/sfx/wave_clear.wav; src/音效接入说明.md</t>
        </is>
      </c>
      <c r="Q203" s="349" t="inlineStr">
        <is>
          <t>wave_clear; 音效; OGG; Android; 移动端</t>
        </is>
      </c>
      <c r="R203" s="349">
        <f>LOWER(TRIM(C203)&amp;"|"&amp;TRIM(D203)&amp;"|"&amp;TRIM(E203)&amp;"|"&amp;TRIM(F203)&amp;"|"&amp;TRIM(H203)&amp;"|"&amp;TRIM(I203))</f>
        <v/>
      </c>
      <c r="S203" s="349">
        <f>IF(COUNTIF($R$6:$R$300,R203)&gt;1,"重复","唯一")</f>
        <v/>
      </c>
      <c r="T203" s="349" t="inlineStr">
        <is>
          <t>aa4d315fd2914681fc9a44533dc4470186f3b3349e88782a9d4a00730b5377a2</t>
        </is>
      </c>
      <c r="U203" s="349" t="inlineStr">
        <is>
          <t>Codex</t>
        </is>
      </c>
      <c r="V203" s="348" t="n">
        <v>46241</v>
      </c>
      <c r="W203" s="349" t="inlineStr">
        <is>
          <t>项目WAV母版转码</t>
        </is>
      </c>
      <c r="X203" s="375" t="inlineStr">
        <is>
          <t>—</t>
        </is>
      </c>
      <c r="Y203" s="349" t="inlineStr">
        <is>
          <t>正式运行OGG；WAV仅作母版；AudioManager事件=wave_clear；Android/桌面统一版本化路径，禁止旧音效回退。</t>
        </is>
      </c>
    </row>
    <row r="204" ht="44" customHeight="1">
      <c r="A204" s="349" t="inlineStr">
        <is>
          <t>AUD-SFX-WAVE-START</t>
        </is>
      </c>
      <c r="B204" s="349" t="inlineStr">
        <is>
          <t>波次开始音效</t>
        </is>
      </c>
      <c r="C204" s="349" t="inlineStr">
        <is>
          <t>音频</t>
        </is>
      </c>
      <c r="D204" s="349" t="inlineStr">
        <is>
          <t>sfx</t>
        </is>
      </c>
      <c r="E204" s="349" t="inlineStr">
        <is>
          <t>wave_start</t>
        </is>
      </c>
      <c r="F204" s="349" t="inlineStr">
        <is>
          <t>runtime</t>
        </is>
      </c>
      <c r="G204" s="349" t="n"/>
      <c r="H204" s="349" t="inlineStr">
        <is>
          <t>全局/非空间</t>
        </is>
      </c>
      <c r="I204" s="349" t="inlineStr">
        <is>
          <t>default</t>
        </is>
      </c>
      <c r="J204" s="349" t="inlineStr">
        <is>
          <t>桌面与Android正式运行</t>
        </is>
      </c>
      <c r="K204" s="349" t="inlineStr">
        <is>
          <t>已完成</t>
        </is>
      </c>
      <c r="L204" s="349" t="inlineStr">
        <is>
          <t>P0</t>
        </is>
      </c>
      <c r="M204" s="349" t="inlineStr">
        <is>
          <t>v001</t>
        </is>
      </c>
      <c r="N204" s="349" t="inlineStr">
        <is>
          <t>44.1kHz / OGG Vorbis / stereo</t>
        </is>
      </c>
      <c r="O204" s="349" t="inlineStr">
        <is>
          <t>src/assets/audio/sfx/wave_start_v001.ogg</t>
        </is>
      </c>
      <c r="P204" s="349" t="inlineStr">
        <is>
          <t>src/assets/audio/sfx/wave_start.wav; src/音效接入说明.md</t>
        </is>
      </c>
      <c r="Q204" s="349" t="inlineStr">
        <is>
          <t>wave_start; 音效; OGG; Android; 移动端</t>
        </is>
      </c>
      <c r="R204" s="349">
        <f>LOWER(TRIM(C204)&amp;"|"&amp;TRIM(D204)&amp;"|"&amp;TRIM(E204)&amp;"|"&amp;TRIM(F204)&amp;"|"&amp;TRIM(H204)&amp;"|"&amp;TRIM(I204))</f>
        <v/>
      </c>
      <c r="S204" s="349">
        <f>IF(COUNTIF($R$6:$R$300,R204)&gt;1,"重复","唯一")</f>
        <v/>
      </c>
      <c r="T204" s="349" t="inlineStr">
        <is>
          <t>be26cec7935eda95510b606cfc8bbebc5fe6f6d4310008a363d889f4bbef6083</t>
        </is>
      </c>
      <c r="U204" s="349" t="inlineStr">
        <is>
          <t>Codex</t>
        </is>
      </c>
      <c r="V204" s="348" t="n">
        <v>46241</v>
      </c>
      <c r="W204" s="349" t="inlineStr">
        <is>
          <t>项目WAV母版转码</t>
        </is>
      </c>
      <c r="X204" s="375" t="inlineStr">
        <is>
          <t>—</t>
        </is>
      </c>
      <c r="Y204" s="349" t="inlineStr">
        <is>
          <t>正式运行OGG；WAV仅作母版；AudioManager事件=wave_start；Android/桌面统一版本化路径，禁止旧音效回退。</t>
        </is>
      </c>
    </row>
    <row r="205">
      <c r="A205" s="349" t="inlineStr">
        <is>
          <t>CHR-PLY-CAPSULE01-3D-BUNNY01-LOWER-BODY-SOCKET</t>
        </is>
      </c>
      <c r="B205" s="349" t="inlineStr">
        <is>
          <t>兔子主角下身配件挂点</t>
        </is>
      </c>
      <c r="C205" s="349" t="inlineStr">
        <is>
          <t>角色</t>
        </is>
      </c>
      <c r="D205" s="349" t="inlineStr">
        <is>
          <t>player_accessory_socket</t>
        </is>
      </c>
      <c r="E205" s="349" t="inlineStr">
        <is>
          <t>player_capsule01</t>
        </is>
      </c>
      <c r="F205" s="349" t="inlineStr">
        <is>
          <t>lower_body_socket_3d_bunny01</t>
        </is>
      </c>
      <c r="G205" s="349" t="inlineStr">
        <is>
          <t>CHR-PLY-CAPSULE01-3D-BUNNY01-BODY</t>
        </is>
      </c>
      <c r="H205" s="349" t="inlineStr">
        <is>
          <t>俯视3D</t>
        </is>
      </c>
      <c r="I205" s="349" t="inlineStr">
        <is>
          <t>default</t>
        </is>
      </c>
      <c r="J205" s="349" t="inlineStr">
        <is>
          <t>3D玩家下身配件</t>
        </is>
      </c>
      <c r="K205" s="349" t="inlineStr">
        <is>
          <t>原型已接入</t>
        </is>
      </c>
      <c r="L205" s="349" t="inlineStr">
        <is>
          <t>P0</t>
        </is>
      </c>
      <c r="M205" s="349" t="inlineStr">
        <is>
          <t>v021</t>
        </is>
      </c>
      <c r="N205" s="349" t="inlineStr">
        <is>
          <t>Marker3D；BodyJoint local=(0,0.14,0)</t>
        </is>
      </c>
      <c r="O205" s="349" t="inlineStr">
        <is>
          <t>assets/art/characters/player/chr_player_capsule01_3d/variants/bunny01/production/v021/runtime/chr_bunny01_root_v021.tscn</t>
        </is>
      </c>
      <c r="P205" s="349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05" s="349" t="inlineStr">
        <is>
          <t>下身挂点;腰部挂点;裙子;裙摆;腰甲;LowerBodySocket;lower_body</t>
        </is>
      </c>
      <c r="R205" s="349">
        <f>LOWER(TRIM(C205)&amp;"|"&amp;TRIM(D205)&amp;"|"&amp;TRIM(E205)&amp;"|"&amp;TRIM(F205)&amp;"|"&amp;TRIM(H205)&amp;"|"&amp;TRIM(I205))</f>
        <v/>
      </c>
      <c r="S205" s="349">
        <f>IF(COUNTIF($R$6:$R$300,R205)&gt;1,"重复","唯一")</f>
        <v/>
      </c>
      <c r="T205" s="349" t="inlineStr">
        <is>
          <t>c571c093bab22f38361fabb0317d30602035d8e5187b7bf7279aec5b14a370ea</t>
        </is>
      </c>
      <c r="U205" s="349" t="inlineStr">
        <is>
          <t>Codex</t>
        </is>
      </c>
      <c r="V205" s="348" t="n">
        <v>46264</v>
      </c>
      <c r="W205" s="349" t="inlineStr">
        <is>
          <t>原创程序挂点</t>
        </is>
      </c>
      <c r="X205" s="375" t="inlineStr">
        <is>
          <t>—</t>
        </is>
      </c>
      <c r="Y205" s="349" t="inlineStr">
        <is>
          <t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6">
      <c r="A206" s="349" t="inlineStr">
        <is>
          <t>WPN-MELEE-BP-GREATBLADE</t>
        </is>
      </c>
      <c r="B206" s="349" t="inlineStr">
        <is>
          <t>巨型工业断刃程序原型</t>
        </is>
      </c>
      <c r="C206" s="349" t="inlineStr">
        <is>
          <t>武器</t>
        </is>
      </c>
      <c r="D206" s="349" t="inlineStr">
        <is>
          <t>melee</t>
        </is>
      </c>
      <c r="E206" s="349" t="inlineStr">
        <is>
          <t>bp_greatblade</t>
        </is>
      </c>
      <c r="F206" s="349" t="inlineStr">
        <is>
          <t>root</t>
        </is>
      </c>
      <c r="G206" s="349" t="n"/>
      <c r="H206" s="349" t="inlineStr">
        <is>
          <t>俯视3D</t>
        </is>
      </c>
      <c r="I206" s="349" t="inlineStr">
        <is>
          <t>default / three_step_combo</t>
        </is>
      </c>
      <c r="J206" s="349" t="inlineStr">
        <is>
          <t>手持/背负/地面/背包图标/表现页</t>
        </is>
      </c>
      <c r="K206" s="349" t="inlineStr">
        <is>
          <t>程序占位</t>
        </is>
      </c>
      <c r="L206" s="349" t="inlineStr">
        <is>
          <t>P0</t>
        </is>
      </c>
      <c r="M206" s="349" t="inlineStr">
        <is>
          <t>v001</t>
        </is>
      </c>
      <c r="N206" s="349" t="inlineStr">
        <is>
          <t>程序Mesh；0.82×0.30×2.42m；无碰撞</t>
        </is>
      </c>
      <c r="O206" s="349" t="inlineStr">
        <is>
          <t>assets/art/weapons/melee_3d/wpn_melee_greatblade_root_top3d_v001.tscn</t>
        </is>
      </c>
      <c r="P206" s="349" t="inlineStr">
        <is>
          <t>src/combat3d/MeleeWeaponVisual3D.gd; src/player3d/melee/PlayerMeleeCombat3D.gd</t>
        </is>
      </c>
      <c r="Q206" s="349" t="inlineStr">
        <is>
          <t>近战;大型武器;工业断刃;三段连击;greatblade;melee</t>
        </is>
      </c>
      <c r="R206" s="349">
        <f>LOWER(TRIM(C206)&amp;"|"&amp;TRIM(D206)&amp;"|"&amp;TRIM(E206)&amp;"|"&amp;TRIM(F206)&amp;"|"&amp;TRIM(H206)&amp;"|"&amp;TRIM(I206))</f>
        <v/>
      </c>
      <c r="S206" s="349">
        <f>IF(COUNTIF($R$6:$R$300,R206)&gt;1,"重复","唯一")</f>
        <v/>
      </c>
      <c r="T206" s="349" t="n"/>
      <c r="U206" s="349" t="inlineStr">
        <is>
          <t>Codex</t>
        </is>
      </c>
      <c r="V206" s="348" t="n">
        <v>46244</v>
      </c>
      <c r="W206" s="349" t="inlineStr">
        <is>
          <t>原创程序原型</t>
        </is>
      </c>
      <c r="X206" s="375" t="inlineStr">
        <is>
          <t>—</t>
        </is>
      </c>
      <c r="Y206" s="349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07">
      <c r="A207" s="349" t="inlineStr">
        <is>
          <t>WPN-MELEE-BP-WARAXE</t>
        </is>
      </c>
      <c r="B207" s="349" t="inlineStr">
        <is>
          <t>攻城裂甲斧程序原型</t>
        </is>
      </c>
      <c r="C207" s="349" t="inlineStr">
        <is>
          <t>武器</t>
        </is>
      </c>
      <c r="D207" s="349" t="inlineStr">
        <is>
          <t>melee</t>
        </is>
      </c>
      <c r="E207" s="349" t="inlineStr">
        <is>
          <t>bp_waraxe</t>
        </is>
      </c>
      <c r="F207" s="349" t="inlineStr">
        <is>
          <t>root</t>
        </is>
      </c>
      <c r="G207" s="349" t="n"/>
      <c r="H207" s="349" t="inlineStr">
        <is>
          <t>俯视3D</t>
        </is>
      </c>
      <c r="I207" s="349" t="inlineStr">
        <is>
          <t>default / three_step_combo</t>
        </is>
      </c>
      <c r="J207" s="349" t="inlineStr">
        <is>
          <t>手持/背负/地面/背包图标/表现页</t>
        </is>
      </c>
      <c r="K207" s="349" t="inlineStr">
        <is>
          <t>程序占位</t>
        </is>
      </c>
      <c r="L207" s="349" t="inlineStr">
        <is>
          <t>P0</t>
        </is>
      </c>
      <c r="M207" s="349" t="inlineStr">
        <is>
          <t>v001</t>
        </is>
      </c>
      <c r="N207" s="349" t="inlineStr">
        <is>
          <t>程序Mesh；1.18×0.34×2.62m；无碰撞</t>
        </is>
      </c>
      <c r="O207" s="349" t="inlineStr">
        <is>
          <t>assets/art/weapons/melee_3d/wpn_melee_waraxe_root_top3d_v001.tscn</t>
        </is>
      </c>
      <c r="P207" s="349" t="inlineStr">
        <is>
          <t>src/combat3d/MeleeWeaponVisual3D.gd; src/player3d/melee/PlayerMeleeCombat3D.gd</t>
        </is>
      </c>
      <c r="Q207" s="349" t="inlineStr">
        <is>
          <t>近战;大型武器;攻城斧;三段连击;waraxe;melee</t>
        </is>
      </c>
      <c r="R207" s="349">
        <f>LOWER(TRIM(C207)&amp;"|"&amp;TRIM(D207)&amp;"|"&amp;TRIM(E207)&amp;"|"&amp;TRIM(F207)&amp;"|"&amp;TRIM(H207)&amp;"|"&amp;TRIM(I207))</f>
        <v/>
      </c>
      <c r="S207" s="349">
        <f>IF(COUNTIF($R$6:$R$300,R207)&gt;1,"重复","唯一")</f>
        <v/>
      </c>
      <c r="T207" s="349" t="n"/>
      <c r="U207" s="349" t="inlineStr">
        <is>
          <t>Codex</t>
        </is>
      </c>
      <c r="V207" s="348" t="n">
        <v>46244</v>
      </c>
      <c r="W207" s="349" t="inlineStr">
        <is>
          <t>原创程序原型</t>
        </is>
      </c>
      <c r="X207" s="375" t="inlineStr">
        <is>
          <t>—</t>
        </is>
      </c>
      <c r="Y207" s="349" t="inlineStr">
        <is>
          <t>总长2.62m；高伤高击退；四态动作子状态机；第三段最大弧光并降低音高/提高冲击响度；最终美术替换保留握柄原点/local -Z与稳定ID。</t>
        </is>
      </c>
    </row>
    <row r="208">
      <c r="A208" s="349" t="inlineStr">
        <is>
          <t>AUD-SFX-MELEE-IMPACT</t>
        </is>
      </c>
      <c r="B208" s="349" t="inlineStr">
        <is>
          <t>近战命中主层音效</t>
        </is>
      </c>
      <c r="C208" s="349" t="inlineStr">
        <is>
          <t>音频</t>
        </is>
      </c>
      <c r="D208" s="349" t="inlineStr">
        <is>
          <t>sfx</t>
        </is>
      </c>
      <c r="E208" s="349" t="inlineStr">
        <is>
          <t>melee_impact</t>
        </is>
      </c>
      <c r="F208" s="349" t="inlineStr">
        <is>
          <t>runtime</t>
        </is>
      </c>
      <c r="G208" s="349" t="n"/>
      <c r="H208" s="349" t="inlineStr">
        <is>
          <t>全局/非空间</t>
        </is>
      </c>
      <c r="I208" s="349" t="inlineStr">
        <is>
          <t>default</t>
        </is>
      </c>
      <c r="J208" s="349" t="inlineStr">
        <is>
          <t>桌面与Android正式运行</t>
        </is>
      </c>
      <c r="K208" s="349" t="inlineStr">
        <is>
          <t>已完成</t>
        </is>
      </c>
      <c r="L208" s="349" t="inlineStr">
        <is>
          <t>P0</t>
        </is>
      </c>
      <c r="M208" s="349" t="inlineStr">
        <is>
          <t>v001</t>
        </is>
      </c>
      <c r="N208" s="349" t="inlineStr">
        <is>
          <t>44.1kHz / OGG Vorbis / stereo</t>
        </is>
      </c>
      <c r="O208" s="349" t="inlineStr">
        <is>
          <t>src/assets/audio/sfx/melee_impact_v001.ogg</t>
        </is>
      </c>
      <c r="P208" s="349" t="inlineStr">
        <is>
          <t>src/assets/audio/sfx/melee_impact.wav; src/音效接入说明.md</t>
        </is>
      </c>
      <c r="Q208" s="349" t="inlineStr">
        <is>
          <t>melee_impact; 近战命中; 打击; 冲击; OGG; Android</t>
        </is>
      </c>
      <c r="R208" s="349">
        <f>LOWER(TRIM(C208)&amp;"|"&amp;TRIM(D208)&amp;"|"&amp;TRIM(E208)&amp;"|"&amp;TRIM(F208)&amp;"|"&amp;TRIM(H208)&amp;"|"&amp;TRIM(I208))</f>
        <v/>
      </c>
      <c r="S208" s="349">
        <f>IF(COUNTIF($R$6:$R$300,R208)&gt;1,"重复","唯一")</f>
        <v/>
      </c>
      <c r="T208" s="349" t="inlineStr">
        <is>
          <t>adef9ec927d3d54967c605bfd3b779237e4f2b2b4430c30b4b656d4a204db8f8</t>
        </is>
      </c>
      <c r="U208" s="349" t="inlineStr">
        <is>
          <t>Codex</t>
        </is>
      </c>
      <c r="V208" s="349" t="n">
        <v>46244</v>
      </c>
      <c r="W208" s="349" t="inlineStr">
        <is>
          <t>原创程序合成母版</t>
        </is>
      </c>
      <c r="X208" s="375" t="inlineStr">
        <is>
          <t>—</t>
        </is>
      </c>
      <c r="Y208" s="349" t="inlineStr">
        <is>
          <t>正式运行OGG；WAV为原创程序合成母版；AudioManager事件=melee_impact；攻击级单次播放，敌人enemy_hit/crit_hit仍逐目标负责材质接触层。</t>
        </is>
      </c>
    </row>
    <row r="209">
      <c r="A209" s="349" t="inlineStr">
        <is>
          <t>AUD-SFX-MELEE-SWING</t>
        </is>
      </c>
      <c r="B209" s="349" t="inlineStr">
        <is>
          <t>近战挥砍空气层音效</t>
        </is>
      </c>
      <c r="C209" s="349" t="inlineStr">
        <is>
          <t>音频</t>
        </is>
      </c>
      <c r="D209" s="349" t="inlineStr">
        <is>
          <t>sfx</t>
        </is>
      </c>
      <c r="E209" s="349" t="inlineStr">
        <is>
          <t>melee_swing</t>
        </is>
      </c>
      <c r="F209" s="349" t="inlineStr">
        <is>
          <t>runtime</t>
        </is>
      </c>
      <c r="G209" s="349" t="n"/>
      <c r="H209" s="349" t="inlineStr">
        <is>
          <t>全局/非空间</t>
        </is>
      </c>
      <c r="I209" s="349" t="inlineStr">
        <is>
          <t>default</t>
        </is>
      </c>
      <c r="J209" s="349" t="inlineStr">
        <is>
          <t>桌面与Android正式运行</t>
        </is>
      </c>
      <c r="K209" s="349" t="inlineStr">
        <is>
          <t>已完成</t>
        </is>
      </c>
      <c r="L209" s="349" t="inlineStr">
        <is>
          <t>P0</t>
        </is>
      </c>
      <c r="M209" s="349" t="inlineStr">
        <is>
          <t>v001</t>
        </is>
      </c>
      <c r="N209" s="349" t="inlineStr">
        <is>
          <t>44.1kHz / OGG Vorbis / stereo</t>
        </is>
      </c>
      <c r="O209" s="349" t="inlineStr">
        <is>
          <t>src/assets/audio/sfx/melee_swing_v001.ogg</t>
        </is>
      </c>
      <c r="P209" s="349" t="inlineStr">
        <is>
          <t>src/assets/audio/sfx/melee_swing.wav; src/音效接入说明.md</t>
        </is>
      </c>
      <c r="Q209" s="349" t="inlineStr">
        <is>
          <t>melee_swing; 近战挥砍; 切风; 空气层; OGG; Android</t>
        </is>
      </c>
      <c r="R209" s="349">
        <f>LOWER(TRIM(C209)&amp;"|"&amp;TRIM(D209)&amp;"|"&amp;TRIM(E209)&amp;"|"&amp;TRIM(F209)&amp;"|"&amp;TRIM(H209)&amp;"|"&amp;TRIM(I209))</f>
        <v/>
      </c>
      <c r="S209" s="349">
        <f>IF(COUNTIF($R$6:$R$300,R209)&gt;1,"重复","唯一")</f>
        <v/>
      </c>
      <c r="T209" s="349" t="inlineStr">
        <is>
          <t>a3deeeeae55f1944ccf5df07167dad6c5cc4ac2869cf7b397383ce9828cfdad4</t>
        </is>
      </c>
      <c r="U209" s="349" t="inlineStr">
        <is>
          <t>Codex</t>
        </is>
      </c>
      <c r="V209" s="349" t="n">
        <v>46244</v>
      </c>
      <c r="W209" s="349" t="inlineStr">
        <is>
          <t>原创程序合成母版</t>
        </is>
      </c>
      <c r="X209" s="375" t="inlineStr">
        <is>
          <t>—</t>
        </is>
      </c>
      <c r="Y209" s="349" t="inlineStr">
        <is>
          <t>正式运行OGG；WAV为原创程序合成母版；AudioManager事件=melee_swing；每段active一次，按连段与武器类型固定调整音高/响度。</t>
        </is>
      </c>
    </row>
    <row r="210">
      <c r="A210" s="349" t="inlineStr">
        <is>
          <t>WPN-MELEE-BP-BASEBALL-BAT</t>
        </is>
      </c>
      <c r="B210" s="349" t="inlineStr">
        <is>
          <t>废土棒球棍程序原型</t>
        </is>
      </c>
      <c r="C210" s="349" t="inlineStr">
        <is>
          <t>武器</t>
        </is>
      </c>
      <c r="D210" s="349" t="inlineStr">
        <is>
          <t>melee</t>
        </is>
      </c>
      <c r="E210" s="349" t="inlineStr">
        <is>
          <t>bp_baseball_bat</t>
        </is>
      </c>
      <c r="F210" s="349" t="inlineStr">
        <is>
          <t>root</t>
        </is>
      </c>
      <c r="G210" s="349" t="n"/>
      <c r="H210" s="349" t="inlineStr">
        <is>
          <t>俯视3D</t>
        </is>
      </c>
      <c r="I210" s="349" t="inlineStr">
        <is>
          <t>default / three_step_combo</t>
        </is>
      </c>
      <c r="J210" s="349" t="inlineStr">
        <is>
          <t>手持/背负/地面/背包图标/表现页/基地贩卖机</t>
        </is>
      </c>
      <c r="K210" s="349" t="inlineStr">
        <is>
          <t>程序占位</t>
        </is>
      </c>
      <c r="L210" s="349" t="inlineStr">
        <is>
          <t>P0</t>
        </is>
      </c>
      <c r="M210" s="349" t="inlineStr">
        <is>
          <t>v001</t>
        </is>
      </c>
      <c r="N210" s="349" t="inlineStr">
        <is>
          <t>程序Mesh；0.28×0.28×1.48m；无碰撞</t>
        </is>
      </c>
      <c r="O210" s="349" t="inlineStr">
        <is>
          <t>assets/art/weapons/melee_3d/wpn_melee_baseball_bat_root_top3d_v001.tscn</t>
        </is>
      </c>
      <c r="P210" s="349" t="inlineStr">
        <is>
          <t>src/combat3d/MeleeWeaponVisual3D.gd; src/player3d/melee/PlayerMeleeCombat3D.gd; tests/verification/verify_weapon_attachment_inventory_flow.gd</t>
        </is>
      </c>
      <c r="Q210" s="349" t="inlineStr">
        <is>
          <t>近战;初级武器;棒球棍;三段连击;baseball_bat;melee;基地贩卖机</t>
        </is>
      </c>
      <c r="R210" s="349">
        <f>LOWER(TRIM(C210)&amp;"|"&amp;TRIM(D210)&amp;"|"&amp;TRIM(E210)&amp;"|"&amp;TRIM(F210)&amp;"|"&amp;TRIM(H210)&amp;"|"&amp;TRIM(I210))</f>
        <v/>
      </c>
      <c r="S210" s="349">
        <f>IF(COUNTIF($R$6:$R$300,R210)&gt;1,"重复","唯一")</f>
        <v/>
      </c>
      <c r="T210" s="349" t="inlineStr">
        <is>
          <t>700ecf26ca26d653967db40dbe48f8572387ae63b43a1428aa54721c25ca7b0a</t>
        </is>
      </c>
      <c r="U210" s="349" t="inlineStr">
        <is>
          <t>Codex</t>
        </is>
      </c>
      <c r="V210" s="349" t="n">
        <v>46244</v>
      </c>
      <c r="W210" s="349" t="inlineStr">
        <is>
          <t>原创程序原型</t>
        </is>
      </c>
      <c r="X210" s="375" t="inlineStr">
        <is>
          <t>—</t>
        </is>
      </c>
      <c r="Y210" s="349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211">
      <c r="A211" s="138" t="inlineStr">
        <is>
          <t>WPN-GUN-FUTURE-MEGAPHONE-CANNON-3D</t>
        </is>
      </c>
      <c r="B211" s="138" t="inlineStr">
        <is>
          <t>扩音器加农炮</t>
        </is>
      </c>
      <c r="C211" s="138" t="inlineStr">
        <is>
          <t>武器</t>
        </is>
      </c>
      <c r="D211" s="138" t="inlineStr">
        <is>
          <t>gunbody</t>
        </is>
      </c>
      <c r="E211" s="138" t="inlineStr">
        <is>
          <t>future_megaphone_cannon</t>
        </is>
      </c>
      <c r="F211" s="138" t="inlineStr">
        <is>
          <t>root</t>
        </is>
      </c>
      <c r="G211" s="138" t="n"/>
      <c r="H211" s="138" t="inlineStr">
        <is>
          <t>俯视3D / local -Z 枪口</t>
        </is>
      </c>
      <c r="I211" s="138" t="inlineStr">
        <is>
          <t>default / 标准握把与8类挂点</t>
        </is>
      </c>
      <c r="J211" s="138" t="inlineStr">
        <is>
          <t>未来枪械池/独立资产</t>
        </is>
      </c>
      <c r="K211" s="138" t="inlineStr">
        <is>
          <t>已完成</t>
        </is>
      </c>
      <c r="L211" s="138" t="inlineStr">
        <is>
          <t>P2</t>
        </is>
      </c>
      <c r="M211" s="138" t="inlineStr">
        <is>
          <t>v001</t>
        </is>
      </c>
      <c r="N211" s="138" t="inlineStr">
        <is>
          <t>握把原点；local -Z枪口；3材质；独立GLB/PackedScene</t>
        </is>
      </c>
      <c r="O211" s="138" t="inlineStr">
        <is>
          <t>assets/art/weapons/weapon_3d/runtime/megaphone_cannon/wpn_megaphone_cannon_root_top3d_v001.tscn</t>
        </is>
      </c>
      <c r="P211" s="138" t="inlineStr">
        <is>
          <t>assets/art/weapons/weapon_3d/source/megaphone_cannon/wpn_megaphone_cannon_source_v001.blend</t>
        </is>
      </c>
      <c r="Q211" s="138" t="inlineStr">
        <is>
          <t>megaphone_cannon; 扩音器加农炮; 未来枪械; 通用挂点; 多巴胺配色</t>
        </is>
      </c>
      <c r="R211" s="138">
        <f>LOWER(TRIM(C211)&amp;"|"&amp;TRIM(D211)&amp;"|"&amp;TRIM(E211)&amp;"|"&amp;TRIM(F211)&amp;"|"&amp;TRIM(H211)&amp;"|"&amp;TRIM(I211))</f>
        <v/>
      </c>
      <c r="S211" s="138">
        <f>IF(COUNTIF($R$6:$R$300,R211)&gt;1,"重复","唯一")</f>
        <v/>
      </c>
      <c r="T211" s="138" t="inlineStr">
        <is>
          <t>5af8a086bf2988755cc0e385bb5b6d527e9dbde0d11123c809741d306b38e45f</t>
        </is>
      </c>
      <c r="U211" s="138" t="inlineStr">
        <is>
          <t>Codex</t>
        </is>
      </c>
      <c r="V211" s="303" t="n">
        <v>46264</v>
      </c>
      <c r="W211" s="138" t="inlineStr">
        <is>
          <t>用户自制Blender资产</t>
        </is>
      </c>
      <c r="X211" s="375" t="inlineStr">
        <is>
          <t>—</t>
        </is>
      </c>
      <c r="Y21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212">
      <c r="A212" s="138" t="inlineStr">
        <is>
          <t>WPN-GUN-FUTURE-GUITAR-BLASTER-3D</t>
        </is>
      </c>
      <c r="B212" s="138" t="inlineStr">
        <is>
          <t>吉他爆能枪</t>
        </is>
      </c>
      <c r="C212" s="138" t="inlineStr">
        <is>
          <t>武器</t>
        </is>
      </c>
      <c r="D212" s="138" t="inlineStr">
        <is>
          <t>gunbody</t>
        </is>
      </c>
      <c r="E212" s="138" t="inlineStr">
        <is>
          <t>future_guitar_blaster</t>
        </is>
      </c>
      <c r="F212" s="138" t="inlineStr">
        <is>
          <t>root</t>
        </is>
      </c>
      <c r="G212" s="138" t="n"/>
      <c r="H212" s="138" t="inlineStr">
        <is>
          <t>俯视3D / local -Z 枪口</t>
        </is>
      </c>
      <c r="I212" s="138" t="inlineStr">
        <is>
          <t>default / 标准握把与8类挂点</t>
        </is>
      </c>
      <c r="J212" s="138" t="inlineStr">
        <is>
          <t>未来枪械池/独立资产</t>
        </is>
      </c>
      <c r="K212" s="138" t="inlineStr">
        <is>
          <t>已完成</t>
        </is>
      </c>
      <c r="L212" s="138" t="inlineStr">
        <is>
          <t>P2</t>
        </is>
      </c>
      <c r="M212" s="138" t="inlineStr">
        <is>
          <t>v001</t>
        </is>
      </c>
      <c r="N212" s="138" t="inlineStr">
        <is>
          <t>握把原点；local -Z枪口；3材质；独立GLB/PackedScene</t>
        </is>
      </c>
      <c r="O212" s="138" t="inlineStr">
        <is>
          <t>assets/art/weapons/weapon_3d/runtime/guitar_blaster/wpn_guitar_blaster_root_top3d_v001.tscn</t>
        </is>
      </c>
      <c r="P212" s="138" t="inlineStr">
        <is>
          <t>assets/art/weapons/weapon_3d/source/guitar_blaster/wpn_guitar_blaster_source_v001.blend</t>
        </is>
      </c>
      <c r="Q212" s="138" t="inlineStr">
        <is>
          <t>guitar_blaster; 吉他爆能枪; 未来枪械; 通用挂点; 多巴胺配色</t>
        </is>
      </c>
      <c r="R212" s="138">
        <f>LOWER(TRIM(C212)&amp;"|"&amp;TRIM(D212)&amp;"|"&amp;TRIM(E212)&amp;"|"&amp;TRIM(F212)&amp;"|"&amp;TRIM(H212)&amp;"|"&amp;TRIM(I212))</f>
        <v/>
      </c>
      <c r="S212" s="138">
        <f>IF(COUNTIF($R$6:$R$300,R212)&gt;1,"重复","唯一")</f>
        <v/>
      </c>
      <c r="T212" s="138" t="inlineStr">
        <is>
          <t>7611a99cf53a4a0fd80404be89c450351994bafd161824a0b92d05a729ec05f3</t>
        </is>
      </c>
      <c r="U212" s="138" t="inlineStr">
        <is>
          <t>Codex</t>
        </is>
      </c>
      <c r="V212" s="303" t="n">
        <v>46264</v>
      </c>
      <c r="W212" s="138" t="inlineStr">
        <is>
          <t>用户自制Blender资产</t>
        </is>
      </c>
      <c r="X212" s="375" t="inlineStr">
        <is>
          <t>—</t>
        </is>
      </c>
      <c r="Y212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213">
      <c r="A213" s="138" t="inlineStr">
        <is>
          <t>WPN-GUN-FUTURE-SPATULA-RIFLE-3D</t>
        </is>
      </c>
      <c r="B213" s="138" t="inlineStr">
        <is>
          <t>锅铲步枪</t>
        </is>
      </c>
      <c r="C213" s="138" t="inlineStr">
        <is>
          <t>武器</t>
        </is>
      </c>
      <c r="D213" s="138" t="inlineStr">
        <is>
          <t>gunbody</t>
        </is>
      </c>
      <c r="E213" s="138" t="inlineStr">
        <is>
          <t>future_spatula_rifle</t>
        </is>
      </c>
      <c r="F213" s="138" t="inlineStr">
        <is>
          <t>root</t>
        </is>
      </c>
      <c r="G213" s="138" t="n"/>
      <c r="H213" s="138" t="inlineStr">
        <is>
          <t>俯视3D / local -Z 枪口</t>
        </is>
      </c>
      <c r="I213" s="138" t="inlineStr">
        <is>
          <t>default / 标准握把与8类挂点</t>
        </is>
      </c>
      <c r="J213" s="138" t="inlineStr">
        <is>
          <t>未来枪械池/独立资产</t>
        </is>
      </c>
      <c r="K213" s="138" t="inlineStr">
        <is>
          <t>已完成</t>
        </is>
      </c>
      <c r="L213" s="138" t="inlineStr">
        <is>
          <t>P2</t>
        </is>
      </c>
      <c r="M213" s="138" t="inlineStr">
        <is>
          <t>v001</t>
        </is>
      </c>
      <c r="N213" s="138" t="inlineStr">
        <is>
          <t>握把原点；local -Z枪口；3材质；独立GLB/PackedScene</t>
        </is>
      </c>
      <c r="O213" s="138" t="inlineStr">
        <is>
          <t>assets/art/weapons/weapon_3d/runtime/spatula_rifle/wpn_spatula_rifle_root_top3d_v001.tscn</t>
        </is>
      </c>
      <c r="P213" s="138" t="inlineStr">
        <is>
          <t>assets/art/weapons/weapon_3d/source/spatula_rifle/wpn_spatula_rifle_source_v001.blend</t>
        </is>
      </c>
      <c r="Q213" s="138" t="inlineStr">
        <is>
          <t>spatula_rifle; 锅铲步枪; 未来枪械; 通用挂点; 多巴胺配色</t>
        </is>
      </c>
      <c r="R213" s="138">
        <f>LOWER(TRIM(C213)&amp;"|"&amp;TRIM(D213)&amp;"|"&amp;TRIM(E213)&amp;"|"&amp;TRIM(F213)&amp;"|"&amp;TRIM(H213)&amp;"|"&amp;TRIM(I213))</f>
        <v/>
      </c>
      <c r="S213" s="138">
        <f>IF(COUNTIF($R$6:$R$300,R213)&gt;1,"重复","唯一")</f>
        <v/>
      </c>
      <c r="T213" s="138" t="inlineStr">
        <is>
          <t>04a9659dcef16faed7af37c04dbe4f2bd7322b87992d9f269f503d87ea2f9cca</t>
        </is>
      </c>
      <c r="U213" s="138" t="inlineStr">
        <is>
          <t>Codex</t>
        </is>
      </c>
      <c r="V213" s="303" t="n">
        <v>46264</v>
      </c>
      <c r="W213" s="138" t="inlineStr">
        <is>
          <t>用户自制Blender资产</t>
        </is>
      </c>
      <c r="X213" s="375" t="inlineStr">
        <is>
          <t>—</t>
        </is>
      </c>
      <c r="Y213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214">
      <c r="A214" s="138" t="inlineStr">
        <is>
          <t>WPN-GUN-FUTURE-FRYING-PAN-CANNON-3D</t>
        </is>
      </c>
      <c r="B214" s="138" t="inlineStr">
        <is>
          <t>平底锅加农炮</t>
        </is>
      </c>
      <c r="C214" s="138" t="inlineStr">
        <is>
          <t>武器</t>
        </is>
      </c>
      <c r="D214" s="138" t="inlineStr">
        <is>
          <t>gunbody</t>
        </is>
      </c>
      <c r="E214" s="138" t="inlineStr">
        <is>
          <t>future_frying_pan_cannon</t>
        </is>
      </c>
      <c r="F214" s="138" t="inlineStr">
        <is>
          <t>root</t>
        </is>
      </c>
      <c r="G214" s="138" t="n"/>
      <c r="H214" s="138" t="inlineStr">
        <is>
          <t>俯视3D / local -Z 枪口</t>
        </is>
      </c>
      <c r="I214" s="138" t="inlineStr">
        <is>
          <t>default / 标准握把与8类挂点</t>
        </is>
      </c>
      <c r="J214" s="138" t="inlineStr">
        <is>
          <t>未来枪械池/独立资产</t>
        </is>
      </c>
      <c r="K214" s="138" t="inlineStr">
        <is>
          <t>已完成</t>
        </is>
      </c>
      <c r="L214" s="138" t="inlineStr">
        <is>
          <t>P2</t>
        </is>
      </c>
      <c r="M214" s="138" t="inlineStr">
        <is>
          <t>v001</t>
        </is>
      </c>
      <c r="N214" s="138" t="inlineStr">
        <is>
          <t>握把原点；local -Z枪口；3材质；独立GLB/PackedScene</t>
        </is>
      </c>
      <c r="O214" s="138" t="inlineStr">
        <is>
          <t>assets/art/weapons/weapon_3d/runtime/frying_pan_cannon/wpn_frying_pan_cannon_root_top3d_v001.tscn</t>
        </is>
      </c>
      <c r="P214" s="138" t="inlineStr">
        <is>
          <t>assets/art/weapons/weapon_3d/source/frying_pan_cannon/wpn_frying_pan_cannon_source_v001.blend</t>
        </is>
      </c>
      <c r="Q214" s="138" t="inlineStr">
        <is>
          <t>frying_pan_cannon; 平底锅加农炮; 未来枪械; 通用挂点; 多巴胺配色</t>
        </is>
      </c>
      <c r="R214" s="138">
        <f>LOWER(TRIM(C214)&amp;"|"&amp;TRIM(D214)&amp;"|"&amp;TRIM(E214)&amp;"|"&amp;TRIM(F214)&amp;"|"&amp;TRIM(H214)&amp;"|"&amp;TRIM(I214))</f>
        <v/>
      </c>
      <c r="S214" s="138">
        <f>IF(COUNTIF($R$6:$R$300,R214)&gt;1,"重复","唯一")</f>
        <v/>
      </c>
      <c r="T214" s="138" t="inlineStr">
        <is>
          <t>f73360d92e0188808efdd39aa652067dec9a7fd5fd1fef243879b6e28b61c465</t>
        </is>
      </c>
      <c r="U214" s="138" t="inlineStr">
        <is>
          <t>Codex</t>
        </is>
      </c>
      <c r="V214" s="303" t="n">
        <v>46264</v>
      </c>
      <c r="W214" s="138" t="inlineStr">
        <is>
          <t>用户自制Blender资产</t>
        </is>
      </c>
      <c r="X214" s="375" t="inlineStr">
        <is>
          <t>—</t>
        </is>
      </c>
      <c r="Y214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215">
      <c r="A215" s="138" t="inlineStr">
        <is>
          <t>WPN-GUN-FUTURE-SCOPE-CANNON-3D</t>
        </is>
      </c>
      <c r="B215" s="138" t="inlineStr">
        <is>
          <t>瞄准镜加农炮</t>
        </is>
      </c>
      <c r="C215" s="138" t="inlineStr">
        <is>
          <t>武器</t>
        </is>
      </c>
      <c r="D215" s="138" t="inlineStr">
        <is>
          <t>gunbody</t>
        </is>
      </c>
      <c r="E215" s="138" t="inlineStr">
        <is>
          <t>future_scope_cannon</t>
        </is>
      </c>
      <c r="F215" s="138" t="inlineStr">
        <is>
          <t>root</t>
        </is>
      </c>
      <c r="G215" s="138" t="n"/>
      <c r="H215" s="138" t="inlineStr">
        <is>
          <t>俯视3D / local -Z 枪口</t>
        </is>
      </c>
      <c r="I215" s="138" t="inlineStr">
        <is>
          <t>default / 标准握把与8类挂点</t>
        </is>
      </c>
      <c r="J215" s="138" t="inlineStr">
        <is>
          <t>未来枪械池/独立资产</t>
        </is>
      </c>
      <c r="K215" s="138" t="inlineStr">
        <is>
          <t>已完成</t>
        </is>
      </c>
      <c r="L215" s="138" t="inlineStr">
        <is>
          <t>P2</t>
        </is>
      </c>
      <c r="M215" s="138" t="inlineStr">
        <is>
          <t>v001</t>
        </is>
      </c>
      <c r="N215" s="138" t="inlineStr">
        <is>
          <t>握把原点；local -Z枪口；3材质；独立GLB/PackedScene</t>
        </is>
      </c>
      <c r="O215" s="138" t="inlineStr">
        <is>
          <t>assets/art/weapons/weapon_3d/runtime/scope_cannon/wpn_scope_cannon_root_top3d_v001.tscn</t>
        </is>
      </c>
      <c r="P215" s="138" t="inlineStr">
        <is>
          <t>assets/art/weapons/weapon_3d/source/scope_cannon/wpn_scope_cannon_source_v001.blend</t>
        </is>
      </c>
      <c r="Q215" s="138" t="inlineStr">
        <is>
          <t>scope_cannon; 瞄准镜加农炮; 未来枪械; 通用挂点; 多巴胺配色</t>
        </is>
      </c>
      <c r="R215" s="138">
        <f>LOWER(TRIM(C215)&amp;"|"&amp;TRIM(D215)&amp;"|"&amp;TRIM(E215)&amp;"|"&amp;TRIM(F215)&amp;"|"&amp;TRIM(H215)&amp;"|"&amp;TRIM(I215))</f>
        <v/>
      </c>
      <c r="S215" s="138">
        <f>IF(COUNTIF($R$6:$R$300,R215)&gt;1,"重复","唯一")</f>
        <v/>
      </c>
      <c r="T215" s="138" t="inlineStr">
        <is>
          <t>ad9e3e21a430c104cc44345297a05b7a4ea61a02bb1d605ef79c4b8d1c49de35</t>
        </is>
      </c>
      <c r="U215" s="138" t="inlineStr">
        <is>
          <t>Codex</t>
        </is>
      </c>
      <c r="V215" s="303" t="n">
        <v>46264</v>
      </c>
      <c r="W215" s="138" t="inlineStr">
        <is>
          <t>用户自制Blender资产</t>
        </is>
      </c>
      <c r="X215" s="375" t="inlineStr">
        <is>
          <t>—</t>
        </is>
      </c>
      <c r="Y215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216">
      <c r="A216" s="138" t="inlineStr">
        <is>
          <t>WPN-GUN-FUTURE-POPCORN-BLASTER-3D</t>
        </is>
      </c>
      <c r="B216" s="138" t="inlineStr">
        <is>
          <t>爆米花爆能枪</t>
        </is>
      </c>
      <c r="C216" s="138" t="inlineStr">
        <is>
          <t>武器</t>
        </is>
      </c>
      <c r="D216" s="138" t="inlineStr">
        <is>
          <t>gunbody</t>
        </is>
      </c>
      <c r="E216" s="138" t="inlineStr">
        <is>
          <t>future_popcorn_blaster</t>
        </is>
      </c>
      <c r="F216" s="138" t="inlineStr">
        <is>
          <t>root</t>
        </is>
      </c>
      <c r="G216" s="138" t="n"/>
      <c r="H216" s="138" t="inlineStr">
        <is>
          <t>俯视3D / local -Z 枪口</t>
        </is>
      </c>
      <c r="I216" s="138" t="inlineStr">
        <is>
          <t>default / 标准握把与8类挂点</t>
        </is>
      </c>
      <c r="J216" s="138" t="inlineStr">
        <is>
          <t>未来枪械池/独立资产</t>
        </is>
      </c>
      <c r="K216" s="138" t="inlineStr">
        <is>
          <t>已完成</t>
        </is>
      </c>
      <c r="L216" s="138" t="inlineStr">
        <is>
          <t>P2</t>
        </is>
      </c>
      <c r="M216" s="138" t="inlineStr">
        <is>
          <t>v001</t>
        </is>
      </c>
      <c r="N216" s="138" t="inlineStr">
        <is>
          <t>握把原点；local -Z枪口；3材质；独立GLB/PackedScene</t>
        </is>
      </c>
      <c r="O216" s="138" t="inlineStr">
        <is>
          <t>assets/art/weapons/weapon_3d/runtime/popcorn_blaster/wpn_popcorn_blaster_root_top3d_v001.tscn</t>
        </is>
      </c>
      <c r="P216" s="138" t="inlineStr">
        <is>
          <t>assets/art/weapons/weapon_3d/source/popcorn_blaster/wpn_popcorn_blaster_source_v001.blend</t>
        </is>
      </c>
      <c r="Q216" s="138" t="inlineStr">
        <is>
          <t>popcorn_blaster; 爆米花爆能枪; 未来枪械; 通用挂点; 多巴胺配色</t>
        </is>
      </c>
      <c r="R216" s="138">
        <f>LOWER(TRIM(C216)&amp;"|"&amp;TRIM(D216)&amp;"|"&amp;TRIM(E216)&amp;"|"&amp;TRIM(F216)&amp;"|"&amp;TRIM(H216)&amp;"|"&amp;TRIM(I216))</f>
        <v/>
      </c>
      <c r="S216" s="138">
        <f>IF(COUNTIF($R$6:$R$300,R216)&gt;1,"重复","唯一")</f>
        <v/>
      </c>
      <c r="T216" s="138" t="inlineStr">
        <is>
          <t>01c3204ae0d66aa0e0bf28bf2643c327a7550ff1c024f36114f45fb9010de7a8</t>
        </is>
      </c>
      <c r="U216" s="138" t="inlineStr">
        <is>
          <t>Codex</t>
        </is>
      </c>
      <c r="V216" s="303" t="n">
        <v>46264</v>
      </c>
      <c r="W216" s="138" t="inlineStr">
        <is>
          <t>用户自制Blender资产</t>
        </is>
      </c>
      <c r="X216" s="375" t="inlineStr">
        <is>
          <t>—</t>
        </is>
      </c>
      <c r="Y216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217">
      <c r="A217" s="138" t="inlineStr">
        <is>
          <t>WPN-GUN-FUTURE-SODA-STRAW-BLASTER-3D</t>
        </is>
      </c>
      <c r="B217" s="138" t="inlineStr">
        <is>
          <t>饮料管爆能枪</t>
        </is>
      </c>
      <c r="C217" s="138" t="inlineStr">
        <is>
          <t>武器</t>
        </is>
      </c>
      <c r="D217" s="138" t="inlineStr">
        <is>
          <t>gunbody</t>
        </is>
      </c>
      <c r="E217" s="138" t="inlineStr">
        <is>
          <t>future_soda_straw_blaster</t>
        </is>
      </c>
      <c r="F217" s="138" t="inlineStr">
        <is>
          <t>root</t>
        </is>
      </c>
      <c r="G217" s="138" t="n"/>
      <c r="H217" s="138" t="inlineStr">
        <is>
          <t>俯视3D / local -Z 枪口</t>
        </is>
      </c>
      <c r="I217" s="138" t="inlineStr">
        <is>
          <t>default / 标准握把与8类挂点</t>
        </is>
      </c>
      <c r="J217" s="138" t="inlineStr">
        <is>
          <t>未来枪械池/独立资产</t>
        </is>
      </c>
      <c r="K217" s="138" t="inlineStr">
        <is>
          <t>已完成</t>
        </is>
      </c>
      <c r="L217" s="138" t="inlineStr">
        <is>
          <t>P2</t>
        </is>
      </c>
      <c r="M217" s="138" t="inlineStr">
        <is>
          <t>v001</t>
        </is>
      </c>
      <c r="N217" s="138" t="inlineStr">
        <is>
          <t>握把原点；local -Z枪口；3材质；独立GLB/PackedScene</t>
        </is>
      </c>
      <c r="O217" s="138" t="inlineStr">
        <is>
          <t>assets/art/weapons/weapon_3d/runtime/soda_straw_blaster/wpn_soda_straw_blaster_root_top3d_v001.tscn</t>
        </is>
      </c>
      <c r="P217" s="138" t="inlineStr">
        <is>
          <t>assets/art/weapons/weapon_3d/source/soda_straw_blaster/wpn_soda_straw_blaster_source_v001.blend</t>
        </is>
      </c>
      <c r="Q217" s="138" t="inlineStr">
        <is>
          <t>soda_straw_blaster; 饮料管爆能枪; 未来枪械; 通用挂点; 多巴胺配色</t>
        </is>
      </c>
      <c r="R217" s="138">
        <f>LOWER(TRIM(C217)&amp;"|"&amp;TRIM(D217)&amp;"|"&amp;TRIM(E217)&amp;"|"&amp;TRIM(F217)&amp;"|"&amp;TRIM(H217)&amp;"|"&amp;TRIM(I217))</f>
        <v/>
      </c>
      <c r="S217" s="138">
        <f>IF(COUNTIF($R$6:$R$300,R217)&gt;1,"重复","唯一")</f>
        <v/>
      </c>
      <c r="T217" s="138" t="inlineStr">
        <is>
          <t>bc0fa22a6e7c32ed741079af21a73152e3404b7f4fd236cdb38e2a3ab0e477fa</t>
        </is>
      </c>
      <c r="U217" s="138" t="inlineStr">
        <is>
          <t>Codex</t>
        </is>
      </c>
      <c r="V217" s="303" t="n">
        <v>46264</v>
      </c>
      <c r="W217" s="138" t="inlineStr">
        <is>
          <t>用户自制Blender资产</t>
        </is>
      </c>
      <c r="X217" s="375" t="inlineStr">
        <is>
          <t>—</t>
        </is>
      </c>
      <c r="Y217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218">
      <c r="A218" s="138" t="inlineStr">
        <is>
          <t>WPN-GUN-FUTURE-CROCODILE-CANNON-3D</t>
        </is>
      </c>
      <c r="B218" s="138" t="inlineStr">
        <is>
          <t>鳄鱼加农炮</t>
        </is>
      </c>
      <c r="C218" s="138" t="inlineStr">
        <is>
          <t>武器</t>
        </is>
      </c>
      <c r="D218" s="138" t="inlineStr">
        <is>
          <t>gunbody</t>
        </is>
      </c>
      <c r="E218" s="138" t="inlineStr">
        <is>
          <t>future_crocodile_cannon</t>
        </is>
      </c>
      <c r="F218" s="138" t="inlineStr">
        <is>
          <t>root</t>
        </is>
      </c>
      <c r="G218" s="138" t="n"/>
      <c r="H218" s="138" t="inlineStr">
        <is>
          <t>俯视3D / local -Z 枪口</t>
        </is>
      </c>
      <c r="I218" s="138" t="inlineStr">
        <is>
          <t>default / 标准握把与8类挂点</t>
        </is>
      </c>
      <c r="J218" s="138" t="inlineStr">
        <is>
          <t>未来枪械池/独立资产</t>
        </is>
      </c>
      <c r="K218" s="138" t="inlineStr">
        <is>
          <t>已完成</t>
        </is>
      </c>
      <c r="L218" s="138" t="inlineStr">
        <is>
          <t>P2</t>
        </is>
      </c>
      <c r="M218" s="138" t="inlineStr">
        <is>
          <t>v001</t>
        </is>
      </c>
      <c r="N218" s="138" t="inlineStr">
        <is>
          <t>握把原点；local -Z枪口；3材质；独立GLB/PackedScene</t>
        </is>
      </c>
      <c r="O218" s="138" t="inlineStr">
        <is>
          <t>assets/art/weapons/weapon_3d/runtime/crocodile_cannon/wpn_crocodile_cannon_root_top3d_v001.tscn</t>
        </is>
      </c>
      <c r="P218" s="138" t="inlineStr">
        <is>
          <t>assets/art/weapons/weapon_3d/source/crocodile_cannon/wpn_crocodile_cannon_source_v001.blend</t>
        </is>
      </c>
      <c r="Q218" s="138" t="inlineStr">
        <is>
          <t>crocodile_cannon; 鳄鱼加农炮; 未来枪械; 通用挂点; 多巴胺配色</t>
        </is>
      </c>
      <c r="R218" s="138">
        <f>LOWER(TRIM(C218)&amp;"|"&amp;TRIM(D218)&amp;"|"&amp;TRIM(E218)&amp;"|"&amp;TRIM(F218)&amp;"|"&amp;TRIM(H218)&amp;"|"&amp;TRIM(I218))</f>
        <v/>
      </c>
      <c r="S218" s="138">
        <f>IF(COUNTIF($R$6:$R$300,R218)&gt;1,"重复","唯一")</f>
        <v/>
      </c>
      <c r="T218" s="138" t="inlineStr">
        <is>
          <t>01d4ecf005d76562942e584db25fa586a9bfb9fa2533ea7290fbfdd65bc1f749</t>
        </is>
      </c>
      <c r="U218" s="138" t="inlineStr">
        <is>
          <t>Codex</t>
        </is>
      </c>
      <c r="V218" s="303" t="n">
        <v>46264</v>
      </c>
      <c r="W218" s="138" t="inlineStr">
        <is>
          <t>用户自制Blender资产</t>
        </is>
      </c>
      <c r="X218" s="375" t="inlineStr">
        <is>
          <t>—</t>
        </is>
      </c>
      <c r="Y218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219">
      <c r="A219" s="138" t="inlineStr">
        <is>
          <t>WPN-GUN-FUTURE-CAMERA-BLASTER-3D</t>
        </is>
      </c>
      <c r="B219" s="138" t="inlineStr">
        <is>
          <t>相机爆能枪</t>
        </is>
      </c>
      <c r="C219" s="138" t="inlineStr">
        <is>
          <t>武器</t>
        </is>
      </c>
      <c r="D219" s="138" t="inlineStr">
        <is>
          <t>gunbody</t>
        </is>
      </c>
      <c r="E219" s="138" t="inlineStr">
        <is>
          <t>future_camera_blaster</t>
        </is>
      </c>
      <c r="F219" s="138" t="inlineStr">
        <is>
          <t>root</t>
        </is>
      </c>
      <c r="G219" s="138" t="n"/>
      <c r="H219" s="138" t="inlineStr">
        <is>
          <t>俯视3D / local -Z 枪口</t>
        </is>
      </c>
      <c r="I219" s="138" t="inlineStr">
        <is>
          <t>default / 标准握把与8类挂点</t>
        </is>
      </c>
      <c r="J219" s="138" t="inlineStr">
        <is>
          <t>未来枪械池/独立资产</t>
        </is>
      </c>
      <c r="K219" s="138" t="inlineStr">
        <is>
          <t>已完成</t>
        </is>
      </c>
      <c r="L219" s="138" t="inlineStr">
        <is>
          <t>P2</t>
        </is>
      </c>
      <c r="M219" s="138" t="inlineStr">
        <is>
          <t>v001</t>
        </is>
      </c>
      <c r="N219" s="138" t="inlineStr">
        <is>
          <t>握把原点；local -Z枪口；3材质；独立GLB/PackedScene</t>
        </is>
      </c>
      <c r="O219" s="138" t="inlineStr">
        <is>
          <t>assets/art/weapons/weapon_3d/runtime/camera_blaster/wpn_camera_blaster_root_top3d_v001.tscn</t>
        </is>
      </c>
      <c r="P219" s="138" t="inlineStr">
        <is>
          <t>assets/art/weapons/weapon_3d/source/camera_blaster/wpn_camera_blaster_source_v001.blend</t>
        </is>
      </c>
      <c r="Q219" s="138" t="inlineStr">
        <is>
          <t>camera_blaster; 相机爆能枪; 未来枪械; 通用挂点; 多巴胺配色</t>
        </is>
      </c>
      <c r="R219" s="138">
        <f>LOWER(TRIM(C219)&amp;"|"&amp;TRIM(D219)&amp;"|"&amp;TRIM(E219)&amp;"|"&amp;TRIM(F219)&amp;"|"&amp;TRIM(H219)&amp;"|"&amp;TRIM(I219))</f>
        <v/>
      </c>
      <c r="S219" s="138">
        <f>IF(COUNTIF($R$6:$R$300,R219)&gt;1,"重复","唯一")</f>
        <v/>
      </c>
      <c r="T219" s="138" t="inlineStr">
        <is>
          <t>07ec25c941bb19732944bafdaae85db88ea93b4a870606b3202669bee8313932</t>
        </is>
      </c>
      <c r="U219" s="138" t="inlineStr">
        <is>
          <t>Codex</t>
        </is>
      </c>
      <c r="V219" s="303" t="n">
        <v>46264</v>
      </c>
      <c r="W219" s="138" t="inlineStr">
        <is>
          <t>用户自制Blender资产</t>
        </is>
      </c>
      <c r="X219" s="375" t="inlineStr">
        <is>
          <t>—</t>
        </is>
      </c>
      <c r="Y219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220">
      <c r="A220" s="138" t="inlineStr">
        <is>
          <t>WPN-GUN-FUTURE-TISSUE-BOX-CANNON-3D</t>
        </is>
      </c>
      <c r="B220" s="138" t="inlineStr">
        <is>
          <t>纸巾盒加农炮</t>
        </is>
      </c>
      <c r="C220" s="138" t="inlineStr">
        <is>
          <t>武器</t>
        </is>
      </c>
      <c r="D220" s="138" t="inlineStr">
        <is>
          <t>gunbody</t>
        </is>
      </c>
      <c r="E220" s="138" t="inlineStr">
        <is>
          <t>future_tissue_box_cannon</t>
        </is>
      </c>
      <c r="F220" s="138" t="inlineStr">
        <is>
          <t>root</t>
        </is>
      </c>
      <c r="G220" s="138" t="n"/>
      <c r="H220" s="138" t="inlineStr">
        <is>
          <t>俯视3D / local -Z 枪口</t>
        </is>
      </c>
      <c r="I220" s="138" t="inlineStr">
        <is>
          <t>default / 标准握把与8类挂点</t>
        </is>
      </c>
      <c r="J220" s="138" t="inlineStr">
        <is>
          <t>未来枪械池/独立资产</t>
        </is>
      </c>
      <c r="K220" s="138" t="inlineStr">
        <is>
          <t>已完成</t>
        </is>
      </c>
      <c r="L220" s="138" t="inlineStr">
        <is>
          <t>P2</t>
        </is>
      </c>
      <c r="M220" s="138" t="inlineStr">
        <is>
          <t>v001</t>
        </is>
      </c>
      <c r="N220" s="138" t="inlineStr">
        <is>
          <t>握把原点；local -Z枪口；3材质；独立GLB/PackedScene</t>
        </is>
      </c>
      <c r="O220" s="138" t="inlineStr">
        <is>
          <t>assets/art/weapons/weapon_3d/runtime/tissue_box_cannon/wpn_tissue_box_cannon_root_top3d_v001.tscn</t>
        </is>
      </c>
      <c r="P220" s="138" t="inlineStr">
        <is>
          <t>assets/art/weapons/weapon_3d/source/tissue_box_cannon/wpn_tissue_box_cannon_source_v001.blend</t>
        </is>
      </c>
      <c r="Q220" s="138" t="inlineStr">
        <is>
          <t>tissue_box_cannon; 纸巾盒加农炮; 未来枪械; 通用挂点; 多巴胺配色</t>
        </is>
      </c>
      <c r="R220" s="138">
        <f>LOWER(TRIM(C220)&amp;"|"&amp;TRIM(D220)&amp;"|"&amp;TRIM(E220)&amp;"|"&amp;TRIM(F220)&amp;"|"&amp;TRIM(H220)&amp;"|"&amp;TRIM(I220))</f>
        <v/>
      </c>
      <c r="S220" s="138">
        <f>IF(COUNTIF($R$6:$R$300,R220)&gt;1,"重复","唯一")</f>
        <v/>
      </c>
      <c r="T220" s="138" t="inlineStr">
        <is>
          <t>6c277b10c52f4dde4790e91c760a6f981fa38af9b19bf67fdf584785659a618e</t>
        </is>
      </c>
      <c r="U220" s="138" t="inlineStr">
        <is>
          <t>Codex</t>
        </is>
      </c>
      <c r="V220" s="303" t="n">
        <v>46264</v>
      </c>
      <c r="W220" s="138" t="inlineStr">
        <is>
          <t>用户自制Blender资产</t>
        </is>
      </c>
      <c r="X220" s="375" t="inlineStr">
        <is>
          <t>—</t>
        </is>
      </c>
      <c r="Y220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221">
      <c r="A221" s="138" t="inlineStr">
        <is>
          <t>WPN-GUN-FUTURE-FAN-BLASTER-3D</t>
        </is>
      </c>
      <c r="B221" s="138" t="inlineStr">
        <is>
          <t>风扇爆能枪</t>
        </is>
      </c>
      <c r="C221" s="138" t="inlineStr">
        <is>
          <t>武器</t>
        </is>
      </c>
      <c r="D221" s="138" t="inlineStr">
        <is>
          <t>gunbody</t>
        </is>
      </c>
      <c r="E221" s="138" t="inlineStr">
        <is>
          <t>future_fan_blaster</t>
        </is>
      </c>
      <c r="F221" s="138" t="inlineStr">
        <is>
          <t>root</t>
        </is>
      </c>
      <c r="G221" s="138" t="n"/>
      <c r="H221" s="138" t="inlineStr">
        <is>
          <t>俯视3D / local -Z 枪口</t>
        </is>
      </c>
      <c r="I221" s="138" t="inlineStr">
        <is>
          <t>default / 标准握把与8类挂点</t>
        </is>
      </c>
      <c r="J221" s="138" t="inlineStr">
        <is>
          <t>未来枪械池/独立资产</t>
        </is>
      </c>
      <c r="K221" s="138" t="inlineStr">
        <is>
          <t>已完成</t>
        </is>
      </c>
      <c r="L221" s="138" t="inlineStr">
        <is>
          <t>P2</t>
        </is>
      </c>
      <c r="M221" s="138" t="inlineStr">
        <is>
          <t>v001</t>
        </is>
      </c>
      <c r="N221" s="138" t="inlineStr">
        <is>
          <t>握把原点；local -Z枪口；3材质；独立GLB/PackedScene</t>
        </is>
      </c>
      <c r="O221" s="138" t="inlineStr">
        <is>
          <t>assets/art/weapons/weapon_3d/runtime/fan_blaster/wpn_fan_blaster_root_top3d_v001.tscn</t>
        </is>
      </c>
      <c r="P221" s="138" t="inlineStr">
        <is>
          <t>assets/art/weapons/weapon_3d/source/fan_blaster/wpn_fan_blaster_source_v001.blend</t>
        </is>
      </c>
      <c r="Q221" s="138" t="inlineStr">
        <is>
          <t>fan_blaster; 风扇爆能枪; 未来枪械; 通用挂点; 多巴胺配色</t>
        </is>
      </c>
      <c r="R221" s="138">
        <f>LOWER(TRIM(C221)&amp;"|"&amp;TRIM(D221)&amp;"|"&amp;TRIM(E221)&amp;"|"&amp;TRIM(F221)&amp;"|"&amp;TRIM(H221)&amp;"|"&amp;TRIM(I221))</f>
        <v/>
      </c>
      <c r="S221" s="138">
        <f>IF(COUNTIF($R$6:$R$300,R221)&gt;1,"重复","唯一")</f>
        <v/>
      </c>
      <c r="T221" s="138" t="inlineStr">
        <is>
          <t>5b740e26cc2b5e2b4cbdd1334b371224cba40165048a6747fad4e5962e53c8c7</t>
        </is>
      </c>
      <c r="U221" s="138" t="inlineStr">
        <is>
          <t>Codex</t>
        </is>
      </c>
      <c r="V221" s="303" t="n">
        <v>46264</v>
      </c>
      <c r="W221" s="138" t="inlineStr">
        <is>
          <t>用户自制Blender资产</t>
        </is>
      </c>
      <c r="X221" s="375" t="inlineStr">
        <is>
          <t>—</t>
        </is>
      </c>
      <c r="Y22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222">
      <c r="A222" s="308" t="inlineStr">
        <is>
          <t>PRP-BASE-LOCKER-STATION-3D</t>
        </is>
      </c>
      <c r="B222" s="309" t="inlineStr">
        <is>
          <t>赛博储物站</t>
        </is>
      </c>
      <c r="C222" s="309" t="inlineStr">
        <is>
          <t>道具</t>
        </is>
      </c>
      <c r="D222" s="309" t="inlineStr">
        <is>
          <t>base_facility</t>
        </is>
      </c>
      <c r="E222" s="309" t="inlineStr">
        <is>
          <t>vault</t>
        </is>
      </c>
      <c r="F222" s="309" t="inlineStr">
        <is>
          <t>root</t>
        </is>
      </c>
      <c r="G222" s="309" t="inlineStr">
        <is>
          <t>PRP-BASE-FACILITY-3D</t>
        </is>
      </c>
      <c r="H222" s="309" t="inlineStr">
        <is>
          <t>Top3D / local -Z 正面</t>
        </is>
      </c>
      <c r="I222" s="309" t="inlineStr">
        <is>
          <t>default / 正式交互设施</t>
        </is>
      </c>
      <c r="J222" s="309" t="inlineStr">
        <is>
          <t>基地99层/保险柜设施</t>
        </is>
      </c>
      <c r="K222" s="309" t="inlineStr">
        <is>
          <t>已完成</t>
        </is>
      </c>
      <c r="L222" s="309" t="inlineStr">
        <is>
          <t>P2</t>
        </is>
      </c>
      <c r="M222" s="309" t="inlineStr">
        <is>
          <t>v004</t>
        </is>
      </c>
      <c r="N222" s="309" t="inlineStr">
        <is>
          <t>4材质；主体/自发光分离；独立GLB/PackedScene</t>
        </is>
      </c>
      <c r="O222" s="309" t="inlineStr">
        <is>
          <t>assets/art/props/base_world_3d/runtime/locker_station/prp_base_locker_station_root_top3d_v001.tscn</t>
        </is>
      </c>
      <c r="P222" s="309" t="inlineStr">
        <is>
          <t>assets/art/props/base_world_3d/source/locker_station/prp_base_locker_station_source_v004.blend</t>
        </is>
      </c>
      <c r="Q222" s="309" t="inlineStr">
        <is>
          <t>vault; 保险柜; 赛博储物站; 仓储设施</t>
        </is>
      </c>
      <c r="R222" s="309">
        <f>LOWER(TRIM(C222)&amp;"|"&amp;TRIM(D222)&amp;"|"&amp;TRIM(E222)&amp;"|"&amp;TRIM(F222)&amp;"|"&amp;TRIM(H222)&amp;"|"&amp;TRIM(I222))</f>
        <v/>
      </c>
      <c r="S222" s="309">
        <f>IF(COUNTIF($R$6:$R$300,R222)&gt;1,"重复","唯一")</f>
        <v/>
      </c>
      <c r="T222" s="309" t="inlineStr">
        <is>
          <t>90b868783b9f0bfe23656187403d8630a4caa3eced3fd60798ffbb6641672c6a</t>
        </is>
      </c>
      <c r="U222" s="309" t="inlineStr">
        <is>
          <t>Codex</t>
        </is>
      </c>
      <c r="V222" s="310" t="n">
        <v>46264</v>
      </c>
      <c r="W222" s="309" t="inlineStr">
        <is>
          <t>用户自制Blender资产</t>
        </is>
      </c>
      <c r="X222" s="375" t="inlineStr">
        <is>
          <t>—</t>
        </is>
      </c>
      <c r="Y222" s="309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t>
        </is>
      </c>
    </row>
    <row r="223">
      <c r="A223" s="308" t="inlineStr">
        <is>
          <t>PRP-BASE-RETRO-TV-STATION-3D</t>
        </is>
      </c>
      <c r="B223" s="309" t="inlineStr">
        <is>
          <t>复古游戏电视站</t>
        </is>
      </c>
      <c r="C223" s="309" t="inlineStr">
        <is>
          <t>道具</t>
        </is>
      </c>
      <c r="D223" s="309" t="inlineStr">
        <is>
          <t>base_facility</t>
        </is>
      </c>
      <c r="E223" s="309" t="inlineStr">
        <is>
          <t>fate_collection</t>
        </is>
      </c>
      <c r="F223" s="309" t="inlineStr">
        <is>
          <t>root</t>
        </is>
      </c>
      <c r="G223" s="309" t="inlineStr">
        <is>
          <t>PRP-BASE-FACILITY-3D</t>
        </is>
      </c>
      <c r="H223" s="309" t="inlineStr">
        <is>
          <t>Top3D / local -Z 正面</t>
        </is>
      </c>
      <c r="I223" s="309" t="inlineStr">
        <is>
          <t>default / 正式交互设施</t>
        </is>
      </c>
      <c r="J223" s="309" t="inlineStr">
        <is>
          <t>基地99层/命运卡收藏室</t>
        </is>
      </c>
      <c r="K223" s="309" t="inlineStr">
        <is>
          <t>已完成</t>
        </is>
      </c>
      <c r="L223" s="309" t="inlineStr">
        <is>
          <t>P2</t>
        </is>
      </c>
      <c r="M223" s="309" t="inlineStr">
        <is>
          <t>v004</t>
        </is>
      </c>
      <c r="N223" s="309" t="inlineStr">
        <is>
          <t>4材质；主体/自发光分离；独立GLB/PackedScene</t>
        </is>
      </c>
      <c r="O223" s="309" t="inlineStr">
        <is>
          <t>assets/art/props/base_world_3d/runtime/retro_tv_station/prp_base_retro_tv_station_root_top3d_v001.tscn</t>
        </is>
      </c>
      <c r="P223" s="309" t="inlineStr">
        <is>
          <t>assets/art/props/base_world_3d/source/retro_tv_station/prp_base_retro_tv_station_source_v004.blend</t>
        </is>
      </c>
      <c r="Q223" s="309" t="inlineStr">
        <is>
          <t>fate_collection; 命运卡收藏室; 复古游戏电视站; 收藏设施</t>
        </is>
      </c>
      <c r="R223" s="309">
        <f>LOWER(TRIM(C223)&amp;"|"&amp;TRIM(D223)&amp;"|"&amp;TRIM(E223)&amp;"|"&amp;TRIM(F223)&amp;"|"&amp;TRIM(H223)&amp;"|"&amp;TRIM(I223))</f>
        <v/>
      </c>
      <c r="S223" s="309">
        <f>IF(COUNTIF($R$6:$R$300,R223)&gt;1,"重复","唯一")</f>
        <v/>
      </c>
      <c r="T223" s="309" t="inlineStr">
        <is>
          <t>5664a0d62034939fc6bd86a652d6d7a293e2d2f41cac4fe0ac4edd989c7a77b3</t>
        </is>
      </c>
      <c r="U223" s="309" t="inlineStr">
        <is>
          <t>Codex</t>
        </is>
      </c>
      <c r="V223" s="310" t="n">
        <v>46264</v>
      </c>
      <c r="W223" s="309" t="inlineStr">
        <is>
          <t>用户自制Blender资产</t>
        </is>
      </c>
      <c r="X223" s="375" t="inlineStr">
        <is>
          <t>—</t>
        </is>
      </c>
      <c r="Y223" s="309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t>
        </is>
      </c>
    </row>
    <row r="224">
      <c r="A224" s="308" t="inlineStr">
        <is>
          <t>PRP-BASE-WORKSHOP-STOOL-3D</t>
        </is>
      </c>
      <c r="B224" s="309" t="inlineStr">
        <is>
          <t>赛博维修圆凳</t>
        </is>
      </c>
      <c r="C224" s="309" t="inlineStr">
        <is>
          <t>道具</t>
        </is>
      </c>
      <c r="D224" s="309" t="inlineStr">
        <is>
          <t>decor_prop</t>
        </is>
      </c>
      <c r="E224" s="309" t="inlineStr">
        <is>
          <t>workshop_stool</t>
        </is>
      </c>
      <c r="F224" s="309" t="inlineStr">
        <is>
          <t>root</t>
        </is>
      </c>
      <c r="G224" s="309" t="n"/>
      <c r="H224" s="309" t="inlineStr">
        <is>
          <t>Top3D / local -Z 正面</t>
        </is>
      </c>
      <c r="I224" s="309" t="inlineStr">
        <is>
          <t>default / 独立装饰场景</t>
        </is>
      </c>
      <c r="J224" s="309" t="inlineStr">
        <is>
          <t>基地99层美术布置层</t>
        </is>
      </c>
      <c r="K224" s="309" t="inlineStr">
        <is>
          <t>已完成</t>
        </is>
      </c>
      <c r="L224" s="309" t="inlineStr">
        <is>
          <t>P2</t>
        </is>
      </c>
      <c r="M224" s="309" t="inlineStr">
        <is>
          <t>v001</t>
        </is>
      </c>
      <c r="N224" s="309" t="inlineStr">
        <is>
          <t>最多4材质；独立GLB/PackedScene；无交互碰撞</t>
        </is>
      </c>
      <c r="O224" s="309" t="inlineStr">
        <is>
          <t>assets/art/props/base_world_3d/runtime/workshop_stool/prp_base_workshop_stool_root_top3d_v001.tscn</t>
        </is>
      </c>
      <c r="P224" s="309" t="inlineStr">
        <is>
          <t>assets/art/props/base_world_3d/source/workshop_stool/prp_base_workshop_stool_source_v001.blend</t>
        </is>
      </c>
      <c r="Q224" s="309" t="inlineStr">
        <is>
          <t>workshop_stool; 赛博维修圆凳; 独立座椅; 可移动装饰</t>
        </is>
      </c>
      <c r="R224" s="309">
        <f>LOWER(TRIM(C224)&amp;"|"&amp;TRIM(D224)&amp;"|"&amp;TRIM(E224)&amp;"|"&amp;TRIM(F224)&amp;"|"&amp;TRIM(H224)&amp;"|"&amp;TRIM(I224))</f>
        <v/>
      </c>
      <c r="S224" s="309">
        <f>IF(COUNTIF($R$6:$R$300,R224)&gt;1,"重复","唯一")</f>
        <v/>
      </c>
      <c r="T224" s="309" t="inlineStr">
        <is>
          <t>24c43b83564e57f074ff7c93bfdf623e470ac070f07d8b60bd2a27a835bcc5e6</t>
        </is>
      </c>
      <c r="U224" s="309" t="inlineStr">
        <is>
          <t>Codex</t>
        </is>
      </c>
      <c r="V224" s="310" t="n">
        <v>46264</v>
      </c>
      <c r="W224" s="309" t="inlineStr">
        <is>
          <t>用户自制Blender资产</t>
        </is>
      </c>
      <c r="X224" s="375" t="inlineStr">
        <is>
          <t>—</t>
        </is>
      </c>
      <c r="Y224" s="309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t>
        </is>
      </c>
    </row>
    <row r="225">
      <c r="A225" s="308" t="inlineStr">
        <is>
          <t>PRP-BASE-MISSION-COMMAND-CHAIR-3D</t>
        </is>
      </c>
      <c r="B225" s="309" t="inlineStr">
        <is>
          <t>战术指挥椅</t>
        </is>
      </c>
      <c r="C225" s="309" t="inlineStr">
        <is>
          <t>道具</t>
        </is>
      </c>
      <c r="D225" s="309" t="inlineStr">
        <is>
          <t>decor_prop</t>
        </is>
      </c>
      <c r="E225" s="309" t="inlineStr">
        <is>
          <t>mission_command_chair</t>
        </is>
      </c>
      <c r="F225" s="309" t="inlineStr">
        <is>
          <t>root</t>
        </is>
      </c>
      <c r="G225" s="309" t="n"/>
      <c r="H225" s="309" t="inlineStr">
        <is>
          <t>Top3D / local -Z 正面</t>
        </is>
      </c>
      <c r="I225" s="309" t="inlineStr">
        <is>
          <t>default / 独立装饰场景</t>
        </is>
      </c>
      <c r="J225" s="309" t="inlineStr">
        <is>
          <t>基地99层美术布置层</t>
        </is>
      </c>
      <c r="K225" s="309" t="inlineStr">
        <is>
          <t>已完成</t>
        </is>
      </c>
      <c r="L225" s="309" t="inlineStr">
        <is>
          <t>P2</t>
        </is>
      </c>
      <c r="M225" s="309" t="inlineStr">
        <is>
          <t>v001</t>
        </is>
      </c>
      <c r="N225" s="309" t="inlineStr">
        <is>
          <t>最多4材质；独立GLB/PackedScene；无交互碰撞</t>
        </is>
      </c>
      <c r="O225" s="309" t="inlineStr">
        <is>
          <t>assets/art/props/base_world_3d/runtime/mission_command_chair/prp_base_mission_command_chair_root_top3d_v001.tscn</t>
        </is>
      </c>
      <c r="P225" s="309" t="inlineStr">
        <is>
          <t>assets/art/props/base_world_3d/source/mission_command_chair/prp_base_mission_command_chair_source_v001.blend</t>
        </is>
      </c>
      <c r="Q225" s="309" t="inlineStr">
        <is>
          <t>mission_command_chair; 战术指挥椅; 独立座椅; 可移动装饰</t>
        </is>
      </c>
      <c r="R225" s="309">
        <f>LOWER(TRIM(C225)&amp;"|"&amp;TRIM(D225)&amp;"|"&amp;TRIM(E225)&amp;"|"&amp;TRIM(F225)&amp;"|"&amp;TRIM(H225)&amp;"|"&amp;TRIM(I225))</f>
        <v/>
      </c>
      <c r="S225" s="309">
        <f>IF(COUNTIF($R$6:$R$300,R225)&gt;1,"重复","唯一")</f>
        <v/>
      </c>
      <c r="T225" s="309" t="inlineStr">
        <is>
          <t>a8c70158f3af0eb7e4842135f7f598fc5ad7ada17d30ce7039ac861f45613135</t>
        </is>
      </c>
      <c r="U225" s="309" t="inlineStr">
        <is>
          <t>Codex</t>
        </is>
      </c>
      <c r="V225" s="310" t="n">
        <v>46264</v>
      </c>
      <c r="W225" s="309" t="inlineStr">
        <is>
          <t>用户自制Blender资产</t>
        </is>
      </c>
      <c r="X225" s="375" t="inlineStr">
        <is>
          <t>—</t>
        </is>
      </c>
      <c r="Y225" s="309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t>
        </is>
      </c>
    </row>
    <row r="226">
      <c r="A226" s="349" t="inlineStr">
        <is>
          <t>ENM-BOSS-ARCHIVIST-95</t>
        </is>
      </c>
      <c r="B226" s="349" t="inlineStr">
        <is>
          <t>深渊档案官</t>
        </is>
      </c>
      <c r="C226" s="349" t="inlineStr">
        <is>
          <t>敌人</t>
        </is>
      </c>
      <c r="D226" s="349" t="inlineStr">
        <is>
          <t>boss</t>
        </is>
      </c>
      <c r="E226" s="349" t="inlineStr">
        <is>
          <t>boss_abyss_archivist_95</t>
        </is>
      </c>
      <c r="F226" s="349" t="inlineStr">
        <is>
          <t>root</t>
        </is>
      </c>
      <c r="G226" s="349" t="n"/>
      <c r="H226" s="349" t="inlineStr">
        <is>
          <t>Top3D</t>
        </is>
      </c>
      <c r="I226" s="349" t="inlineStr">
        <is>
          <t>default / 三阶段</t>
        </is>
      </c>
      <c r="J226" s="349" t="inlineStr">
        <is>
          <t>95层Boss</t>
        </is>
      </c>
      <c r="K226" s="349" t="inlineStr">
        <is>
          <t>已完成</t>
        </is>
      </c>
      <c r="L226" s="349" t="inlineStr">
        <is>
          <t>P0</t>
        </is>
      </c>
      <c r="M226" s="349" t="inlineStr">
        <is>
          <t>v001</t>
        </is>
      </c>
      <c r="N226" s="349" t="inlineStr">
        <is>
          <t>GLB；主体/发光/附肢语义拆分</t>
        </is>
      </c>
      <c r="O226" s="349" t="inlineStr">
        <is>
          <t>assets/art/enemies/bosses_v01/enm_boss_archivist_95_top3d_v001.glb</t>
        </is>
      </c>
      <c r="P226" s="349" t="inlineStr">
        <is>
          <t>source/art/blender/bosses_v01/enm_boss_archivist_95_top3d_v001.blend; src/enemy3d/BossContentCatalog.gd</t>
        </is>
      </c>
      <c r="Q226" s="349" t="inlineStr">
        <is>
          <t>深渊档案官; archive; 95F; 三阶段</t>
        </is>
      </c>
      <c r="R226" s="349">
        <f>LOWER(TRIM(C226)&amp;"|"&amp;TRIM(D226)&amp;"|"&amp;TRIM(E226)&amp;"|"&amp;TRIM(F226)&amp;"|"&amp;TRIM(H226)&amp;"|"&amp;TRIM(I226))</f>
        <v/>
      </c>
      <c r="S226" s="349">
        <f>IF(COUNTIF($R$6:$R$300,R226)&gt;1,"重复","唯一")</f>
        <v/>
      </c>
      <c r="T226" s="349" t="inlineStr">
        <is>
          <t>d48dbdef27c500895471b8e14e4d07ae8f733b511ea67bf44cf0dffe959d781c</t>
        </is>
      </c>
      <c r="U226" s="349" t="inlineStr">
        <is>
          <t>Codex</t>
        </is>
      </c>
      <c r="V226" s="349" t="n">
        <v>46247</v>
      </c>
      <c r="W226" s="349" t="inlineStr">
        <is>
          <t>原创程序建模</t>
        </is>
      </c>
      <c r="X226" s="375" t="inlineStr">
        <is>
          <t>—</t>
        </is>
      </c>
      <c r="Y226" s="349" t="inlineStr">
        <is>
          <t>独立正式模型；阶段技能袋 archive_fan/index_beam/archive_storm；通过Boss专项验收。
2026-08-30 AST-01规范化（原制作状态：正式美术已接入）</t>
        </is>
      </c>
    </row>
    <row r="227">
      <c r="A227" s="349" t="inlineStr">
        <is>
          <t>ENM-BOSS-FURNACE-WARDEN-90</t>
        </is>
      </c>
      <c r="B227" s="349" t="inlineStr">
        <is>
          <t>熔炉狱监</t>
        </is>
      </c>
      <c r="C227" s="349" t="inlineStr">
        <is>
          <t>敌人</t>
        </is>
      </c>
      <c r="D227" s="349" t="inlineStr">
        <is>
          <t>boss</t>
        </is>
      </c>
      <c r="E227" s="349" t="inlineStr">
        <is>
          <t>boss_furnace_warden_90</t>
        </is>
      </c>
      <c r="F227" s="349" t="inlineStr">
        <is>
          <t>root</t>
        </is>
      </c>
      <c r="G227" s="349" t="n"/>
      <c r="H227" s="349" t="inlineStr">
        <is>
          <t>Top3D</t>
        </is>
      </c>
      <c r="I227" s="349" t="inlineStr">
        <is>
          <t>default / 三阶段</t>
        </is>
      </c>
      <c r="J227" s="349" t="inlineStr">
        <is>
          <t>90层Boss</t>
        </is>
      </c>
      <c r="K227" s="349" t="inlineStr">
        <is>
          <t>已完成</t>
        </is>
      </c>
      <c r="L227" s="349" t="inlineStr">
        <is>
          <t>P0</t>
        </is>
      </c>
      <c r="M227" s="349" t="inlineStr">
        <is>
          <t>v001</t>
        </is>
      </c>
      <c r="N227" s="349" t="inlineStr">
        <is>
          <t>GLB；主体/发光/附肢语义拆分</t>
        </is>
      </c>
      <c r="O227" s="349" t="inlineStr">
        <is>
          <t>assets/art/enemies/bosses_v01/enm_boss_furnace_warden_90_top3d_v001.glb</t>
        </is>
      </c>
      <c r="P227" s="349" t="inlineStr">
        <is>
          <t>source/art/blender/bosses_v01/enm_boss_furnace_warden_90_top3d_v001.blend; src/enemy3d/BossContentCatalog.gd</t>
        </is>
      </c>
      <c r="Q227" s="349" t="inlineStr">
        <is>
          <t>熔炉狱监; furnace; 90F; 三阶段</t>
        </is>
      </c>
      <c r="R227" s="349">
        <f>LOWER(TRIM(C227)&amp;"|"&amp;TRIM(D227)&amp;"|"&amp;TRIM(E227)&amp;"|"&amp;TRIM(F227)&amp;"|"&amp;TRIM(H227)&amp;"|"&amp;TRIM(I227))</f>
        <v/>
      </c>
      <c r="S227" s="349">
        <f>IF(COUNTIF($R$6:$R$300,R227)&gt;1,"重复","唯一")</f>
        <v/>
      </c>
      <c r="T227" s="349" t="inlineStr">
        <is>
          <t>77469ad543d9265ffcc32198c06e25dd3ea8b793b79da4afeb7bd5e56f09d24c</t>
        </is>
      </c>
      <c r="U227" s="349" t="inlineStr">
        <is>
          <t>Codex</t>
        </is>
      </c>
      <c r="V227" s="349" t="n">
        <v>46247</v>
      </c>
      <c r="W227" s="349" t="inlineStr">
        <is>
          <t>原创程序建模</t>
        </is>
      </c>
      <c r="X227" s="375" t="inlineStr">
        <is>
          <t>—</t>
        </is>
      </c>
      <c r="Y227" s="349" t="inlineStr">
        <is>
          <t>独立正式模型；阶段技能袋 molten_volley/hammer_drive/furnace_burst；通过Boss专项验收。
2026-08-30 AST-01规范化（原制作状态：正式美术已接入）</t>
        </is>
      </c>
    </row>
    <row r="228">
      <c r="A228" s="349" t="inlineStr">
        <is>
          <t>ENM-BOSS-HOLLOW-CHOIR-85</t>
        </is>
      </c>
      <c r="B228" s="349" t="inlineStr">
        <is>
          <t>空洞合唱团</t>
        </is>
      </c>
      <c r="C228" s="349" t="inlineStr">
        <is>
          <t>敌人</t>
        </is>
      </c>
      <c r="D228" s="349" t="inlineStr">
        <is>
          <t>boss</t>
        </is>
      </c>
      <c r="E228" s="349" t="inlineStr">
        <is>
          <t>boss_hollow_choir_85</t>
        </is>
      </c>
      <c r="F228" s="349" t="inlineStr">
        <is>
          <t>root</t>
        </is>
      </c>
      <c r="G228" s="349" t="n"/>
      <c r="H228" s="349" t="inlineStr">
        <is>
          <t>Top3D</t>
        </is>
      </c>
      <c r="I228" s="349" t="inlineStr">
        <is>
          <t>default / 三阶段</t>
        </is>
      </c>
      <c r="J228" s="349" t="inlineStr">
        <is>
          <t>85层Boss</t>
        </is>
      </c>
      <c r="K228" s="349" t="inlineStr">
        <is>
          <t>已完成</t>
        </is>
      </c>
      <c r="L228" s="349" t="inlineStr">
        <is>
          <t>P0</t>
        </is>
      </c>
      <c r="M228" s="349" t="inlineStr">
        <is>
          <t>v001</t>
        </is>
      </c>
      <c r="N228" s="349" t="inlineStr">
        <is>
          <t>GLB；主体/发光/附肢语义拆分</t>
        </is>
      </c>
      <c r="O228" s="349" t="inlineStr">
        <is>
          <t>assets/art/enemies/bosses_v01/enm_boss_hollow_choir_85_top3d_v001.glb</t>
        </is>
      </c>
      <c r="P228" s="349" t="inlineStr">
        <is>
          <t>source/art/blender/bosses_v01/enm_boss_hollow_choir_85_top3d_v001.blend; src/enemy3d/BossContentCatalog.gd</t>
        </is>
      </c>
      <c r="Q228" s="349" t="inlineStr">
        <is>
          <t>空洞合唱团; choir; 85F; 三阶段</t>
        </is>
      </c>
      <c r="R228" s="349">
        <f>LOWER(TRIM(C228)&amp;"|"&amp;TRIM(D228)&amp;"|"&amp;TRIM(E228)&amp;"|"&amp;TRIM(F228)&amp;"|"&amp;TRIM(H228)&amp;"|"&amp;TRIM(I228))</f>
        <v/>
      </c>
      <c r="S228" s="349">
        <f>IF(COUNTIF($R$6:$R$300,R228)&gt;1,"重复","唯一")</f>
        <v/>
      </c>
      <c r="T228" s="349" t="inlineStr">
        <is>
          <t>c7d1bade328047877d64770b2c534cbd930fc377ce8a00e19873fc108a73a56f</t>
        </is>
      </c>
      <c r="U228" s="349" t="inlineStr">
        <is>
          <t>Codex</t>
        </is>
      </c>
      <c r="V228" s="349" t="n">
        <v>46247</v>
      </c>
      <c r="W228" s="349" t="inlineStr">
        <is>
          <t>原创程序建模</t>
        </is>
      </c>
      <c r="X228" s="375" t="inlineStr">
        <is>
          <t>—</t>
        </is>
      </c>
      <c r="Y228" s="349" t="inlineStr">
        <is>
          <t>独立正式模型；阶段技能袋 choir_wave/silence_chord/echo_burst；通过Boss专项验收。
2026-08-30 AST-01规范化（原制作状态：正式美术已接入）</t>
        </is>
      </c>
    </row>
    <row r="229">
      <c r="A229" s="349" t="inlineStr">
        <is>
          <t>ENV-BOSS-ARENA-ARCHIVE-95</t>
        </is>
      </c>
      <c r="B229" s="349" t="inlineStr">
        <is>
          <t>档案回廊竞技场组件</t>
        </is>
      </c>
      <c r="C229" s="349" t="inlineStr">
        <is>
          <t>场景</t>
        </is>
      </c>
      <c r="D229" s="349" t="inlineStr">
        <is>
          <t>boss_arena</t>
        </is>
      </c>
      <c r="E229" s="349" t="inlineStr">
        <is>
          <t>arena_archive_95</t>
        </is>
      </c>
      <c r="F229" s="349" t="inlineStr">
        <is>
          <t>dressing</t>
        </is>
      </c>
      <c r="G229" s="349" t="n"/>
      <c r="H229" s="349" t="inlineStr">
        <is>
          <t>Top3D</t>
        </is>
      </c>
      <c r="I229" s="349" t="inlineStr">
        <is>
          <t>default / 高模流式</t>
        </is>
      </c>
      <c r="J229" s="349" t="inlineStr">
        <is>
          <t>95层Boss场地</t>
        </is>
      </c>
      <c r="K229" s="349" t="inlineStr">
        <is>
          <t>已完成</t>
        </is>
      </c>
      <c r="L229" s="349" t="inlineStr">
        <is>
          <t>P0</t>
        </is>
      </c>
      <c r="M229" s="349" t="inlineStr">
        <is>
          <t>v001</t>
        </is>
      </c>
      <c r="N229" s="349" t="inlineStr">
        <is>
          <t>GLB；8组柱体与掩体</t>
        </is>
      </c>
      <c r="O229" s="349" t="inlineStr">
        <is>
          <t>assets/art/environments/boss_arenas_v01/env_boss_arena_archive_95_top3d_v001.glb</t>
        </is>
      </c>
      <c r="P229" s="349" t="inlineStr">
        <is>
          <t>source/art/blender/bosses_v01/env_boss_arena_archive_95_top3d_v001.blend; src/world3d/DungeonRoom3D.gd</t>
        </is>
      </c>
      <c r="Q229" s="349" t="inlineStr">
        <is>
          <t>档案竞技场; 95F; arena; cover</t>
        </is>
      </c>
      <c r="R229" s="349">
        <f>LOWER(TRIM(C229)&amp;"|"&amp;TRIM(D229)&amp;"|"&amp;TRIM(E229)&amp;"|"&amp;TRIM(F229)&amp;"|"&amp;TRIM(H229)&amp;"|"&amp;TRIM(I229))</f>
        <v/>
      </c>
      <c r="S229" s="349">
        <f>IF(COUNTIF($R$6:$R$300,R229)&gt;1,"重复","唯一")</f>
        <v/>
      </c>
      <c r="T229" s="349" t="inlineStr">
        <is>
          <t>ff10424d3c6898385aad9eaf0de32b644eb282a567b36aa422c4dd9decff7d69</t>
        </is>
      </c>
      <c r="U229" s="349" t="inlineStr">
        <is>
          <t>Codex</t>
        </is>
      </c>
      <c r="V229" s="349" t="n">
        <v>46247</v>
      </c>
      <c r="W229" s="349" t="inlineStr">
        <is>
          <t>原创程序建模</t>
        </is>
      </c>
      <c r="X229" s="375" t="inlineStr">
        <is>
          <t>—</t>
        </is>
      </c>
      <c r="Y229" s="349" t="inlineStr">
        <is>
          <t>高模装饰可流式；对应8组碰撞掩体。永久楼板/关卡墙/外墙不隐藏。
2026-08-30 AST-01规范化（原制作状态：正式美术已接入）</t>
        </is>
      </c>
    </row>
    <row r="230">
      <c r="A230" s="349" t="inlineStr">
        <is>
          <t>ENV-BOSS-ARENA-FURNACE-90</t>
        </is>
      </c>
      <c r="B230" s="349" t="inlineStr">
        <is>
          <t>熔炉竞技场组件</t>
        </is>
      </c>
      <c r="C230" s="349" t="inlineStr">
        <is>
          <t>场景</t>
        </is>
      </c>
      <c r="D230" s="349" t="inlineStr">
        <is>
          <t>boss_arena</t>
        </is>
      </c>
      <c r="E230" s="349" t="inlineStr">
        <is>
          <t>arena_furnace_90</t>
        </is>
      </c>
      <c r="F230" s="349" t="inlineStr">
        <is>
          <t>dressing</t>
        </is>
      </c>
      <c r="G230" s="349" t="n"/>
      <c r="H230" s="349" t="inlineStr">
        <is>
          <t>Top3D</t>
        </is>
      </c>
      <c r="I230" s="349" t="inlineStr">
        <is>
          <t>default / 高模流式</t>
        </is>
      </c>
      <c r="J230" s="349" t="inlineStr">
        <is>
          <t>90层Boss场地</t>
        </is>
      </c>
      <c r="K230" s="349" t="inlineStr">
        <is>
          <t>已完成</t>
        </is>
      </c>
      <c r="L230" s="349" t="inlineStr">
        <is>
          <t>P0</t>
        </is>
      </c>
      <c r="M230" s="349" t="inlineStr">
        <is>
          <t>v001</t>
        </is>
      </c>
      <c r="N230" s="349" t="inlineStr">
        <is>
          <t>GLB；熔炉核心与6组掩体</t>
        </is>
      </c>
      <c r="O230" s="349" t="inlineStr">
        <is>
          <t>assets/art/environments/boss_arenas_v01/env_boss_arena_furnace_90_top3d_v001.glb</t>
        </is>
      </c>
      <c r="P230" s="349" t="inlineStr">
        <is>
          <t>source/art/blender/bosses_v01/env_boss_arena_furnace_90_top3d_v001.blend; src/world3d/DungeonRoom3D.gd</t>
        </is>
      </c>
      <c r="Q230" s="349" t="inlineStr">
        <is>
          <t>熔炉竞技场; 90F; arena; cover</t>
        </is>
      </c>
      <c r="R230" s="349">
        <f>LOWER(TRIM(C230)&amp;"|"&amp;TRIM(D230)&amp;"|"&amp;TRIM(E230)&amp;"|"&amp;TRIM(F230)&amp;"|"&amp;TRIM(H230)&amp;"|"&amp;TRIM(I230))</f>
        <v/>
      </c>
      <c r="S230" s="349">
        <f>IF(COUNTIF($R$6:$R$300,R230)&gt;1,"重复","唯一")</f>
        <v/>
      </c>
      <c r="T230" s="349" t="inlineStr">
        <is>
          <t>d376fba6190728dc8bf50664f4082b954a077fa96799d68f118ead53cb7aa63c</t>
        </is>
      </c>
      <c r="U230" s="349" t="inlineStr">
        <is>
          <t>Codex</t>
        </is>
      </c>
      <c r="V230" s="349" t="n">
        <v>46247</v>
      </c>
      <c r="W230" s="349" t="inlineStr">
        <is>
          <t>原创程序建模</t>
        </is>
      </c>
      <c r="X230" s="375" t="inlineStr">
        <is>
          <t>—</t>
        </is>
      </c>
      <c r="Y230" s="349" t="inlineStr">
        <is>
          <t>高模装饰可流式；对应6组碰撞掩体。永久楼板/关卡墙/外墙不隐藏。
2026-08-30 AST-01规范化（原制作状态：正式美术已接入）</t>
        </is>
      </c>
    </row>
    <row r="231">
      <c r="A231" s="349" t="inlineStr">
        <is>
          <t>ENV-BOSS-ARENA-CHOIR-85</t>
        </is>
      </c>
      <c r="B231" s="349" t="inlineStr">
        <is>
          <t>共鸣合唱竞技场组件</t>
        </is>
      </c>
      <c r="C231" s="349" t="inlineStr">
        <is>
          <t>场景</t>
        </is>
      </c>
      <c r="D231" s="349" t="inlineStr">
        <is>
          <t>boss_arena</t>
        </is>
      </c>
      <c r="E231" s="349" t="inlineStr">
        <is>
          <t>arena_choir_85</t>
        </is>
      </c>
      <c r="F231" s="349" t="inlineStr">
        <is>
          <t>dressing</t>
        </is>
      </c>
      <c r="G231" s="349" t="n"/>
      <c r="H231" s="349" t="inlineStr">
        <is>
          <t>Top3D</t>
        </is>
      </c>
      <c r="I231" s="349" t="inlineStr">
        <is>
          <t>default / 高模流式</t>
        </is>
      </c>
      <c r="J231" s="349" t="inlineStr">
        <is>
          <t>85层Boss场地</t>
        </is>
      </c>
      <c r="K231" s="349" t="inlineStr">
        <is>
          <t>已完成</t>
        </is>
      </c>
      <c r="L231" s="349" t="inlineStr">
        <is>
          <t>P0</t>
        </is>
      </c>
      <c r="M231" s="349" t="inlineStr">
        <is>
          <t>v001</t>
        </is>
      </c>
      <c r="N231" s="349" t="inlineStr">
        <is>
          <t>GLB；共鸣环与5组掩体</t>
        </is>
      </c>
      <c r="O231" s="349" t="inlineStr">
        <is>
          <t>assets/art/environments/boss_arenas_v01/env_boss_arena_choir_85_top3d_v001.glb</t>
        </is>
      </c>
      <c r="P231" s="349" t="inlineStr">
        <is>
          <t>source/art/blender/bosses_v01/env_boss_arena_choir_85_top3d_v001.blend; src/world3d/DungeonRoom3D.gd</t>
        </is>
      </c>
      <c r="Q231" s="349" t="inlineStr">
        <is>
          <t>合唱竞技场; 85F; arena; cover</t>
        </is>
      </c>
      <c r="R231" s="349">
        <f>LOWER(TRIM(C231)&amp;"|"&amp;TRIM(D231)&amp;"|"&amp;TRIM(E231)&amp;"|"&amp;TRIM(F231)&amp;"|"&amp;TRIM(H231)&amp;"|"&amp;TRIM(I231))</f>
        <v/>
      </c>
      <c r="S231" s="349">
        <f>IF(COUNTIF($R$6:$R$300,R231)&gt;1,"重复","唯一")</f>
        <v/>
      </c>
      <c r="T231" s="349" t="inlineStr">
        <is>
          <t>d2aae2a6fd2f091d5cb9c05d103a4512179bdc6ef0e9d77ba5834efc723eba3a</t>
        </is>
      </c>
      <c r="U231" s="349" t="inlineStr">
        <is>
          <t>Codex</t>
        </is>
      </c>
      <c r="V231" s="349" t="n">
        <v>46247</v>
      </c>
      <c r="W231" s="349" t="inlineStr">
        <is>
          <t>原创程序建模</t>
        </is>
      </c>
      <c r="X231" s="375" t="inlineStr">
        <is>
          <t>—</t>
        </is>
      </c>
      <c r="Y231" s="349" t="inlineStr">
        <is>
          <t>高模装饰可流式；对应5组碰撞掩体。永久楼板/关卡墙/外墙不隐藏。
2026-08-30 AST-01规范化（原制作状态：正式美术已接入）</t>
        </is>
      </c>
    </row>
    <row r="232">
      <c r="A232" s="349" t="inlineStr">
        <is>
          <t>AUD-SFX-FLASHLIGHT-CHARGE-UP</t>
        </is>
      </c>
      <c r="B232" s="349" t="inlineStr">
        <is>
          <t>手电筒充能音效</t>
        </is>
      </c>
      <c r="C232" s="349" t="inlineStr">
        <is>
          <t>音频</t>
        </is>
      </c>
      <c r="D232" s="349" t="inlineStr">
        <is>
          <t>sfx</t>
        </is>
      </c>
      <c r="E232" s="349" t="inlineStr">
        <is>
          <t>flashlight_charge_up</t>
        </is>
      </c>
      <c r="F232" s="349" t="inlineStr">
        <is>
          <t>runtime</t>
        </is>
      </c>
      <c r="G232" s="349" t="n"/>
      <c r="H232" s="349" t="inlineStr">
        <is>
          <t>全局/非空间</t>
        </is>
      </c>
      <c r="I232" s="349" t="inlineStr">
        <is>
          <t>default</t>
        </is>
      </c>
      <c r="J232" s="349" t="inlineStr">
        <is>
          <t>手电筒系统</t>
        </is>
      </c>
      <c r="K232" s="349" t="inlineStr">
        <is>
          <t>已完成</t>
        </is>
      </c>
      <c r="L232" s="349" t="inlineStr">
        <is>
          <t>P0</t>
        </is>
      </c>
      <c r="M232" s="349" t="inlineStr">
        <is>
          <t>v001</t>
        </is>
      </c>
      <c r="N232" s="349" t="inlineStr">
        <is>
          <t>0.950s；44.1kHz；stereo OGG</t>
        </is>
      </c>
      <c r="O232" s="349" t="inlineStr">
        <is>
          <t>src/assets/audio/sfx/flashlight_charge_up_v001.ogg</t>
        </is>
      </c>
      <c r="P232" s="349" t="inlineStr">
        <is>
          <t>src/assets/audio/sfx/flashlight_charge_up.wav; tools/asset_pipeline/create_flashlight_sfx.py</t>
        </is>
      </c>
      <c r="Q232" s="349" t="inlineStr">
        <is>
          <t>flashlight; charge; 手电筒; 充能</t>
        </is>
      </c>
      <c r="R232" s="349">
        <f>LOWER(TRIM(C232)&amp;"|"&amp;TRIM(D232)&amp;"|"&amp;TRIM(E232)&amp;"|"&amp;TRIM(F232)&amp;"|"&amp;TRIM(H232)&amp;"|"&amp;TRIM(I232))</f>
        <v/>
      </c>
      <c r="S232" s="349">
        <f>IF(COUNTIF($R$6:$R$300,R232)&gt;1,"重复","唯一")</f>
        <v/>
      </c>
      <c r="T232" s="349" t="inlineStr">
        <is>
          <t>eee07c1942c32004dd750f670630d087e3491f5007537ba742cd102032ade878</t>
        </is>
      </c>
      <c r="U232" s="349" t="inlineStr">
        <is>
          <t>Codex</t>
        </is>
      </c>
      <c r="V232" s="349" t="n">
        <v>46247</v>
      </c>
      <c r="W232" s="349" t="inlineStr">
        <is>
          <t>原创程序合成</t>
        </is>
      </c>
      <c r="X232" s="375" t="inlineStr">
        <is>
          <t>—</t>
        </is>
      </c>
      <c r="Y232" s="349" t="inlineStr">
        <is>
          <t>WAV母版；OGG运行；桌面/Android统一路径。
2026-08-30 AST-01规范化（原制作状态：正式接入）</t>
        </is>
      </c>
    </row>
    <row r="233">
      <c r="A233" s="349" t="inlineStr">
        <is>
          <t>AUD-SFX-FLASHLIGHT-DEPLETED</t>
        </is>
      </c>
      <c r="B233" s="349" t="inlineStr">
        <is>
          <t>手电筒耗尽音效</t>
        </is>
      </c>
      <c r="C233" s="349" t="inlineStr">
        <is>
          <t>音频</t>
        </is>
      </c>
      <c r="D233" s="349" t="inlineStr">
        <is>
          <t>sfx</t>
        </is>
      </c>
      <c r="E233" s="349" t="inlineStr">
        <is>
          <t>flashlight_depleted</t>
        </is>
      </c>
      <c r="F233" s="349" t="inlineStr">
        <is>
          <t>runtime</t>
        </is>
      </c>
      <c r="G233" s="349" t="n"/>
      <c r="H233" s="349" t="inlineStr">
        <is>
          <t>全局/非空间</t>
        </is>
      </c>
      <c r="I233" s="349" t="inlineStr">
        <is>
          <t>default</t>
        </is>
      </c>
      <c r="J233" s="349" t="inlineStr">
        <is>
          <t>手电筒系统</t>
        </is>
      </c>
      <c r="K233" s="349" t="inlineStr">
        <is>
          <t>已完成</t>
        </is>
      </c>
      <c r="L233" s="349" t="inlineStr">
        <is>
          <t>P0</t>
        </is>
      </c>
      <c r="M233" s="349" t="inlineStr">
        <is>
          <t>v001</t>
        </is>
      </c>
      <c r="N233" s="349" t="inlineStr">
        <is>
          <t>0.850s；44.1kHz；stereo OGG</t>
        </is>
      </c>
      <c r="O233" s="349" t="inlineStr">
        <is>
          <t>src/assets/audio/sfx/flashlight_depleted_v001.ogg</t>
        </is>
      </c>
      <c r="P233" s="349" t="inlineStr">
        <is>
          <t>src/assets/audio/sfx/flashlight_depleted.wav; tools/asset_pipeline/create_flashlight_sfx.py</t>
        </is>
      </c>
      <c r="Q233" s="349" t="inlineStr">
        <is>
          <t>flashlight; depleted; 手电筒; 耗尽</t>
        </is>
      </c>
      <c r="R233" s="349">
        <f>LOWER(TRIM(C233)&amp;"|"&amp;TRIM(D233)&amp;"|"&amp;TRIM(E233)&amp;"|"&amp;TRIM(F233)&amp;"|"&amp;TRIM(H233)&amp;"|"&amp;TRIM(I233))</f>
        <v/>
      </c>
      <c r="S233" s="349">
        <f>IF(COUNTIF($R$6:$R$300,R233)&gt;1,"重复","唯一")</f>
        <v/>
      </c>
      <c r="T233" s="349" t="inlineStr">
        <is>
          <t>c1aa6d3eb619bd1b714689118442e873af08a05e9ebc64cd56161b96a91fa095</t>
        </is>
      </c>
      <c r="U233" s="349" t="inlineStr">
        <is>
          <t>Codex</t>
        </is>
      </c>
      <c r="V233" s="349" t="n">
        <v>46247</v>
      </c>
      <c r="W233" s="349" t="inlineStr">
        <is>
          <t>原创程序合成</t>
        </is>
      </c>
      <c r="X233" s="375" t="inlineStr">
        <is>
          <t>—</t>
        </is>
      </c>
      <c r="Y233" s="349" t="inlineStr">
        <is>
          <t>WAV母版；OGG运行；桌面/Android统一路径。
2026-08-30 AST-01规范化（原制作状态：正式接入）</t>
        </is>
      </c>
    </row>
    <row r="234">
      <c r="A234" s="349" t="inlineStr">
        <is>
          <t>AUD-SFX-FLASHLIGHT-LOW-BATTERY</t>
        </is>
      </c>
      <c r="B234" s="349" t="inlineStr">
        <is>
          <t>手电筒低电量音效</t>
        </is>
      </c>
      <c r="C234" s="349" t="inlineStr">
        <is>
          <t>音频</t>
        </is>
      </c>
      <c r="D234" s="349" t="inlineStr">
        <is>
          <t>sfx</t>
        </is>
      </c>
      <c r="E234" s="349" t="inlineStr">
        <is>
          <t>flashlight_low_battery</t>
        </is>
      </c>
      <c r="F234" s="349" t="inlineStr">
        <is>
          <t>runtime</t>
        </is>
      </c>
      <c r="G234" s="349" t="n"/>
      <c r="H234" s="349" t="inlineStr">
        <is>
          <t>全局/非空间</t>
        </is>
      </c>
      <c r="I234" s="349" t="inlineStr">
        <is>
          <t>default</t>
        </is>
      </c>
      <c r="J234" s="349" t="inlineStr">
        <is>
          <t>手电筒系统</t>
        </is>
      </c>
      <c r="K234" s="349" t="inlineStr">
        <is>
          <t>已完成</t>
        </is>
      </c>
      <c r="L234" s="349" t="inlineStr">
        <is>
          <t>P0</t>
        </is>
      </c>
      <c r="M234" s="349" t="inlineStr">
        <is>
          <t>v001</t>
        </is>
      </c>
      <c r="N234" s="349" t="inlineStr">
        <is>
          <t>0.650s；44.1kHz；stereo OGG</t>
        </is>
      </c>
      <c r="O234" s="349" t="inlineStr">
        <is>
          <t>src/assets/audio/sfx/flashlight_low_battery_v001.ogg</t>
        </is>
      </c>
      <c r="P234" s="349" t="inlineStr">
        <is>
          <t>src/assets/audio/sfx/flashlight_low_battery.wav; tools/asset_pipeline/create_flashlight_sfx.py</t>
        </is>
      </c>
      <c r="Q234" s="349" t="inlineStr">
        <is>
          <t>flashlight; low battery; 手电筒; 低电量</t>
        </is>
      </c>
      <c r="R234" s="349">
        <f>LOWER(TRIM(C234)&amp;"|"&amp;TRIM(D234)&amp;"|"&amp;TRIM(E234)&amp;"|"&amp;TRIM(F234)&amp;"|"&amp;TRIM(H234)&amp;"|"&amp;TRIM(I234))</f>
        <v/>
      </c>
      <c r="S234" s="349">
        <f>IF(COUNTIF($R$6:$R$300,R234)&gt;1,"重复","唯一")</f>
        <v/>
      </c>
      <c r="T234" s="349" t="inlineStr">
        <is>
          <t>e9fb880d366d90b203569bae843c30bfc02541bd03b16e56a30cbd440b61fb4a</t>
        </is>
      </c>
      <c r="U234" s="349" t="inlineStr">
        <is>
          <t>Codex</t>
        </is>
      </c>
      <c r="V234" s="349" t="n">
        <v>46247</v>
      </c>
      <c r="W234" s="349" t="inlineStr">
        <is>
          <t>原创程序合成</t>
        </is>
      </c>
      <c r="X234" s="375" t="inlineStr">
        <is>
          <t>—</t>
        </is>
      </c>
      <c r="Y234" s="349" t="inlineStr">
        <is>
          <t>WAV母版；OGG运行；桌面/Android统一路径。
2026-08-30 AST-01规范化（原制作状态：正式接入）</t>
        </is>
      </c>
    </row>
    <row r="235">
      <c r="A235" s="349" t="inlineStr">
        <is>
          <t>ENV-BASE99-MODULAR-KIT-3D</t>
        </is>
      </c>
      <c r="B235" s="349" t="inlineStr">
        <is>
          <t>基地99层模块化房间3D套件</t>
        </is>
      </c>
      <c r="C235" s="349" t="inlineStr">
        <is>
          <t>场景</t>
        </is>
      </c>
      <c r="D235" s="349" t="inlineStr">
        <is>
          <t>environment_kit_3d</t>
        </is>
      </c>
      <c r="E235" s="349" t="inlineStr">
        <is>
          <t>base99_modular_room</t>
        </is>
      </c>
      <c r="F235" s="349" t="inlineStr">
        <is>
          <t>root_3d</t>
        </is>
      </c>
      <c r="G235" s="349" t="inlineStr">
        <is>
          <t>ENV-TOWER-DESCENT-KIT-3D</t>
        </is>
      </c>
      <c r="H235" s="349" t="inlineStr">
        <is>
          <t>Top3D / local -Z 正面</t>
        </is>
      </c>
      <c r="I235" s="349" t="inlineStr">
        <is>
          <t>default / modular</t>
        </is>
      </c>
      <c r="J235" s="349" t="inlineStr">
        <is>
          <t>99层基地专属环境模块</t>
        </is>
      </c>
      <c r="K235" s="349" t="inlineStr">
        <is>
          <t>已完成</t>
        </is>
      </c>
      <c r="L235" s="349" t="inlineStr">
        <is>
          <t>P0</t>
        </is>
      </c>
      <c r="M235" s="349" t="inlineStr">
        <is>
          <t>v001</t>
        </is>
      </c>
      <c r="N235" s="349" t="inlineStr">
        <is>
          <t>5m网格；30×30m房间；9m层高；9个稳定Prefab</t>
        </is>
      </c>
      <c r="O235" s="349" t="inlineStr">
        <is>
          <t>assets/art/environments/base_facility_3d/runtime/</t>
        </is>
      </c>
      <c r="P235" s="349" t="inlineStr">
        <is>
          <t>assets/art/environments/base_facility_3d/source/env_base99_modular_room/env_base99_modular_room_assets_clean_v001.blend; assets/art/3D模型资产目录与命名规范.md; scripts/blender/export_base99_runtime_modules.py</t>
        </is>
      </c>
      <c r="Q235" s="349" t="inlineStr">
        <is>
          <t>基地99层;模块化房间;5米网格;9个Prefab;GLB;PackedScene</t>
        </is>
      </c>
      <c r="R235" s="349">
        <f>LOWER(TRIM(C235)&amp;"|"&amp;TRIM(D235)&amp;"|"&amp;TRIM(E235)&amp;"|"&amp;TRIM(F235)&amp;"|"&amp;TRIM(H235)&amp;"|"&amp;TRIM(I235))</f>
        <v/>
      </c>
      <c r="S235" s="349">
        <f>IF(COUNTIF($R$6:$R$300,R235)&gt;1,"重复","唯一")</f>
        <v/>
      </c>
      <c r="T235" s="349" t="inlineStr">
        <is>
          <t>d5b6963f5f100d4663ebad75e7379ce5c5f8f248168f7147de6095e13d9dd46a</t>
        </is>
      </c>
      <c r="U235" s="349" t="inlineStr">
        <is>
          <t>Codex</t>
        </is>
      </c>
      <c r="V235" s="348" t="n">
        <v>46252</v>
      </c>
      <c r="W235" s="349" t="inlineStr">
        <is>
          <t>用户自制Blender资产</t>
        </is>
      </c>
      <c r="X235" s="375" t="inlineStr">
        <is>
          <t>—</t>
        </is>
      </c>
      <c r="Y235" s="34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236">
      <c r="A236" s="349" t="inlineStr">
        <is>
          <t>ENV-BASE99-WALL-PLAIN-5X9</t>
        </is>
      </c>
      <c r="B236" s="349" t="inlineStr">
        <is>
          <t>基地99层普通墙体5×9米</t>
        </is>
      </c>
      <c r="C236" s="349" t="inlineStr">
        <is>
          <t>场景</t>
        </is>
      </c>
      <c r="D236" s="349" t="inlineStr">
        <is>
          <t>environment_module_3d</t>
        </is>
      </c>
      <c r="E236" s="349" t="inlineStr">
        <is>
          <t>base99_wall_plain_5x9</t>
        </is>
      </c>
      <c r="F236" s="349" t="inlineStr">
        <is>
          <t>wall_plain</t>
        </is>
      </c>
      <c r="G236" s="349" t="inlineStr">
        <is>
          <t>ENV-BASE99-MODULAR-KIT-3D</t>
        </is>
      </c>
      <c r="H236" s="349" t="inlineStr">
        <is>
          <t>Top3D / local -Z 正面</t>
        </is>
      </c>
      <c r="I236" s="349" t="inlineStr">
        <is>
          <t>default / visual_only</t>
        </is>
      </c>
      <c r="J236" s="349" t="inlineStr">
        <is>
          <t>99层基地模块化结构</t>
        </is>
      </c>
      <c r="K236" s="349" t="inlineStr">
        <is>
          <t>已完成</t>
        </is>
      </c>
      <c r="L236" s="349" t="inlineStr">
        <is>
          <t>P0</t>
        </is>
      </c>
      <c r="M236" s="349" t="inlineStr">
        <is>
          <t>v001</t>
        </is>
      </c>
      <c r="N236" s="349" t="inlineStr">
        <is>
          <t>5×9×0.36m视觉外廓；底边中心原点；2材质表面；无内置碰撞</t>
        </is>
      </c>
      <c r="O236" s="349" t="inlineStr">
        <is>
          <t>assets/art/environments/base_facility_3d/runtime/env_base99_wall_plain_5x9/env_base99_wall_plain_5x9_root_top3d_v001.tscn</t>
        </is>
      </c>
      <c r="P236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6" s="349" t="inlineStr">
        <is>
          <t>基地99层普通墙体5×9米;base99;PaletteUV;cast_and_receive</t>
        </is>
      </c>
      <c r="R236" s="349">
        <f>LOWER(TRIM(C236)&amp;"|"&amp;TRIM(D236)&amp;"|"&amp;TRIM(E236)&amp;"|"&amp;TRIM(F236)&amp;"|"&amp;TRIM(H236)&amp;"|"&amp;TRIM(I236))</f>
        <v/>
      </c>
      <c r="S236" s="349">
        <f>IF(COUNTIF($R$6:$R$300,R236)&gt;1,"重复","唯一")</f>
        <v/>
      </c>
      <c r="T236" s="349" t="inlineStr">
        <is>
          <t>223079d316dd220cfc68d582fa6d28b48b4c454cb92804de9a475ebb422ce983</t>
        </is>
      </c>
      <c r="U236" s="349" t="inlineStr">
        <is>
          <t>Codex</t>
        </is>
      </c>
      <c r="V236" s="348" t="n">
        <v>46264</v>
      </c>
      <c r="W236" s="349" t="inlineStr">
        <is>
          <t>用户自制Blender资产</t>
        </is>
      </c>
      <c r="X236" s="375" t="inlineStr">
        <is>
          <t>—</t>
        </is>
      </c>
      <c r="Y236" s="34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237">
      <c r="A237" s="349" t="inlineStr">
        <is>
          <t>ENV-BASE99-WALL-DOOR-5X9</t>
        </is>
      </c>
      <c r="B237" s="349" t="inlineStr">
        <is>
          <t>基地99层带门墙体5×9米</t>
        </is>
      </c>
      <c r="C237" s="349" t="inlineStr">
        <is>
          <t>场景</t>
        </is>
      </c>
      <c r="D237" s="349" t="inlineStr">
        <is>
          <t>environment_module_3d</t>
        </is>
      </c>
      <c r="E237" s="349" t="inlineStr">
        <is>
          <t>base99_wall_door_5x9</t>
        </is>
      </c>
      <c r="F237" s="349" t="inlineStr">
        <is>
          <t>wall_door</t>
        </is>
      </c>
      <c r="G237" s="349" t="inlineStr">
        <is>
          <t>ENV-BASE99-MODULAR-KIT-3D</t>
        </is>
      </c>
      <c r="H237" s="349" t="inlineStr">
        <is>
          <t>Top3D / local -Z 正面</t>
        </is>
      </c>
      <c r="I237" s="349" t="inlineStr">
        <is>
          <t>default / visual_only</t>
        </is>
      </c>
      <c r="J237" s="349" t="inlineStr">
        <is>
          <t>99层基地模块化结构</t>
        </is>
      </c>
      <c r="K237" s="349" t="inlineStr">
        <is>
          <t>已完成</t>
        </is>
      </c>
      <c r="L237" s="349" t="inlineStr">
        <is>
          <t>P0</t>
        </is>
      </c>
      <c r="M237" s="349" t="inlineStr">
        <is>
          <t>v001</t>
        </is>
      </c>
      <c r="N237" s="349" t="inlineStr">
        <is>
          <t>5×9×1.1712m视觉外廓；2.2×2.5m门洞；底边中心原点</t>
        </is>
      </c>
      <c r="O237" s="349" t="inlineStr">
        <is>
          <t>assets/art/environments/base_facility_3d/runtime/env_base99_wall_door_5x9/env_base99_wall_door_5x9_root_top3d_v001.tscn</t>
        </is>
      </c>
      <c r="P237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7" s="349" t="inlineStr">
        <is>
          <t>基地99层带门墙体5×9米;base99;PaletteUV;cast_and_receive</t>
        </is>
      </c>
      <c r="R237" s="349">
        <f>LOWER(TRIM(C237)&amp;"|"&amp;TRIM(D237)&amp;"|"&amp;TRIM(E237)&amp;"|"&amp;TRIM(F237)&amp;"|"&amp;TRIM(H237)&amp;"|"&amp;TRIM(I237))</f>
        <v/>
      </c>
      <c r="S237" s="349">
        <f>IF(COUNTIF($R$6:$R$300,R237)&gt;1,"重复","唯一")</f>
        <v/>
      </c>
      <c r="T237" s="349" t="inlineStr">
        <is>
          <t>4135557211e083820a23ed514e42e615183cb2af1e8cb574447aecd264657d5a</t>
        </is>
      </c>
      <c r="U237" s="349" t="inlineStr">
        <is>
          <t>Codex</t>
        </is>
      </c>
      <c r="V237" s="348" t="n">
        <v>46264</v>
      </c>
      <c r="W237" s="349" t="inlineStr">
        <is>
          <t>用户自制Blender资产</t>
        </is>
      </c>
      <c r="X237" s="375" t="inlineStr">
        <is>
          <t>—</t>
        </is>
      </c>
      <c r="Y237" s="34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238">
      <c r="A238" s="349" t="inlineStr">
        <is>
          <t>ENV-BASE99-FLOOR-PLAIN-5M</t>
        </is>
      </c>
      <c r="B238" s="349" t="inlineStr">
        <is>
          <t>基地99层普通地板5×5米</t>
        </is>
      </c>
      <c r="C238" s="349" t="inlineStr">
        <is>
          <t>场景</t>
        </is>
      </c>
      <c r="D238" s="349" t="inlineStr">
        <is>
          <t>environment_module_3d</t>
        </is>
      </c>
      <c r="E238" s="349" t="inlineStr">
        <is>
          <t>base99_floor_plain_5m</t>
        </is>
      </c>
      <c r="F238" s="349" t="inlineStr">
        <is>
          <t>floor_plain</t>
        </is>
      </c>
      <c r="G238" s="349" t="inlineStr">
        <is>
          <t>ENV-BASE99-MODULAR-KIT-3D</t>
        </is>
      </c>
      <c r="H238" s="349" t="inlineStr">
        <is>
          <t>Top3D / local -Z 正面</t>
        </is>
      </c>
      <c r="I238" s="349" t="inlineStr">
        <is>
          <t>default / visual_only</t>
        </is>
      </c>
      <c r="J238" s="349" t="inlineStr">
        <is>
          <t>99层基地模块化结构</t>
        </is>
      </c>
      <c r="K238" s="349" t="inlineStr">
        <is>
          <t>已完成</t>
        </is>
      </c>
      <c r="L238" s="349" t="inlineStr">
        <is>
          <t>P0</t>
        </is>
      </c>
      <c r="M238" s="349" t="inlineStr">
        <is>
          <t>v001</t>
        </is>
      </c>
      <c r="N238" s="349" t="inlineStr">
        <is>
          <t>5×5×0.30m；平面中心/结构底面原点</t>
        </is>
      </c>
      <c r="O238" s="349" t="inlineStr">
        <is>
          <t>assets/art/environments/base_facility_3d/runtime/env_base99_floor_plain_5m/env_base99_floor_plain_5m_root_top3d_v001.tscn</t>
        </is>
      </c>
      <c r="P238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8" s="349" t="inlineStr">
        <is>
          <t>基地99层普通地板5×5米;base99;PaletteUV;cast_and_receive</t>
        </is>
      </c>
      <c r="R238" s="349">
        <f>LOWER(TRIM(C238)&amp;"|"&amp;TRIM(D238)&amp;"|"&amp;TRIM(E238)&amp;"|"&amp;TRIM(F238)&amp;"|"&amp;TRIM(H238)&amp;"|"&amp;TRIM(I238))</f>
        <v/>
      </c>
      <c r="S238" s="349">
        <f>IF(COUNTIF($R$6:$R$300,R238)&gt;1,"重复","唯一")</f>
        <v/>
      </c>
      <c r="T238" s="349" t="inlineStr">
        <is>
          <t>7d3c4a543b46ae698071fb3c9fbac6a5b31661f29e9d66d721dd16bce4177567</t>
        </is>
      </c>
      <c r="U238" s="349" t="inlineStr">
        <is>
          <t>Codex</t>
        </is>
      </c>
      <c r="V238" s="348" t="n">
        <v>46264</v>
      </c>
      <c r="W238" s="349" t="inlineStr">
        <is>
          <t>用户自制Blender资产</t>
        </is>
      </c>
      <c r="X238" s="375" t="inlineStr">
        <is>
          <t>—</t>
        </is>
      </c>
      <c r="Y238" s="34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239">
      <c r="A239" s="349" t="inlineStr">
        <is>
          <t>ENV-BASE99-FLOOR-RIVET-5M</t>
        </is>
      </c>
      <c r="B239" s="349" t="inlineStr">
        <is>
          <t>基地99层铆钉铁皮带地板5×5米</t>
        </is>
      </c>
      <c r="C239" s="349" t="inlineStr">
        <is>
          <t>场景</t>
        </is>
      </c>
      <c r="D239" s="349" t="inlineStr">
        <is>
          <t>environment_module_3d</t>
        </is>
      </c>
      <c r="E239" s="349" t="inlineStr">
        <is>
          <t>base99_floor_rivet_5m</t>
        </is>
      </c>
      <c r="F239" s="349" t="inlineStr">
        <is>
          <t>floor_rivet</t>
        </is>
      </c>
      <c r="G239" s="349" t="inlineStr">
        <is>
          <t>ENV-BASE99-MODULAR-KIT-3D</t>
        </is>
      </c>
      <c r="H239" s="349" t="inlineStr">
        <is>
          <t>Top3D / local -Z 正面</t>
        </is>
      </c>
      <c r="I239" s="349" t="inlineStr">
        <is>
          <t>default / visual_only</t>
        </is>
      </c>
      <c r="J239" s="349" t="inlineStr">
        <is>
          <t>99层基地模块化结构</t>
        </is>
      </c>
      <c r="K239" s="349" t="inlineStr">
        <is>
          <t>已完成</t>
        </is>
      </c>
      <c r="L239" s="349" t="inlineStr">
        <is>
          <t>P0</t>
        </is>
      </c>
      <c r="M239" s="349" t="inlineStr">
        <is>
          <t>v001</t>
        </is>
      </c>
      <c r="N239" s="349" t="inlineStr">
        <is>
          <t>5×5×0.395m视觉外廓；0.30m结构板+0.095m装饰凸起</t>
        </is>
      </c>
      <c r="O239" s="349" t="inlineStr">
        <is>
          <t>assets/art/environments/base_facility_3d/runtime/env_base99_floor_rivet_5m/env_base99_floor_rivet_5m_root_top3d_v001.tscn</t>
        </is>
      </c>
      <c r="P239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9" s="349" t="inlineStr">
        <is>
          <t>基地99层铆钉铁皮带地板5×5米;base99;PaletteUV;cast_and_receive</t>
        </is>
      </c>
      <c r="R239" s="349">
        <f>LOWER(TRIM(C239)&amp;"|"&amp;TRIM(D239)&amp;"|"&amp;TRIM(E239)&amp;"|"&amp;TRIM(F239)&amp;"|"&amp;TRIM(H239)&amp;"|"&amp;TRIM(I239))</f>
        <v/>
      </c>
      <c r="S239" s="349">
        <f>IF(COUNTIF($R$6:$R$300,R239)&gt;1,"重复","唯一")</f>
        <v/>
      </c>
      <c r="T239" s="349" t="inlineStr">
        <is>
          <t>bc849c71619fb9d257493fc4c8bb99ed9e967cead67c80722689e2003298793c</t>
        </is>
      </c>
      <c r="U239" s="349" t="inlineStr">
        <is>
          <t>Codex</t>
        </is>
      </c>
      <c r="V239" s="348" t="n">
        <v>46264</v>
      </c>
      <c r="W239" s="349" t="inlineStr">
        <is>
          <t>用户自制Blender资产</t>
        </is>
      </c>
      <c r="X239" s="375" t="inlineStr">
        <is>
          <t>—</t>
        </is>
      </c>
      <c r="Y239" s="34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240" ht="255" customHeight="1">
      <c r="A240" s="349" t="inlineStr">
        <is>
          <t>ENV-BASE99-ART-LAYOUT-3D</t>
        </is>
      </c>
      <c r="B240" s="349" t="inlineStr">
        <is>
          <t>基地99层美术布局参考</t>
        </is>
      </c>
      <c r="C240" s="349" t="inlineStr">
        <is>
          <t>场景</t>
        </is>
      </c>
      <c r="D240" s="349" t="inlineStr">
        <is>
          <t>environment_module_3d</t>
        </is>
      </c>
      <c r="E240" s="349" t="inlineStr">
        <is>
          <t>base_facility_art_layout</t>
        </is>
      </c>
      <c r="F240" s="349" t="inlineStr">
        <is>
          <t>root_3d</t>
        </is>
      </c>
      <c r="G240" s="349" t="inlineStr">
        <is>
          <t>ENV-BASE99-MODULAR-KIT-3D</t>
        </is>
      </c>
      <c r="H240" s="349" t="inlineStr">
        <is>
          <t>Top3D / local -Z 正面</t>
        </is>
      </c>
      <c r="I240" s="349" t="inlineStr">
        <is>
          <t>default / prefab</t>
        </is>
      </c>
      <c r="J240" s="349" t="inlineStr">
        <is>
          <t>场景通用组件</t>
        </is>
      </c>
      <c r="K240" s="349" t="inlineStr">
        <is>
          <t>原型已接入</t>
        </is>
      </c>
      <c r="L240" s="349" t="inlineStr">
        <is>
          <t>P1</t>
        </is>
      </c>
      <c r="M240" s="349" t="inlineStr">
        <is>
          <t>v001</t>
        </is>
      </c>
      <c r="N240" s="349" t="inlineStr">
        <is>
          <t>Godot PackedScene；根=Node3D；碰撞节点=0</t>
        </is>
      </c>
      <c r="O240" s="349" t="inlineStr">
        <is>
          <t>assets/art/environments/base_facility_3d/runtime/env_base_facility_art_layout_top3d_v001.tscn</t>
        </is>
      </c>
      <c r="P240" s="349" t="inlineStr">
        <is>
          <t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t>
        </is>
      </c>
      <c r="Q240" s="349" t="inlineStr">
        <is>
          <t>基地99层美术布局参考;3D;Prefab;场景通用组件;base_facility_art_layout</t>
        </is>
      </c>
      <c r="R240" s="349">
        <f>LOWER(TRIM(C240)&amp;"|"&amp;TRIM(D240)&amp;"|"&amp;TRIM(E240)&amp;"|"&amp;TRIM(F240)&amp;"|"&amp;TRIM(H240)&amp;"|"&amp;TRIM(I240))</f>
        <v/>
      </c>
      <c r="S240" s="349">
        <f>IF(COUNTIF($R$6:$R$300,R240)&gt;1,"重复","唯一")</f>
        <v/>
      </c>
      <c r="T240" s="349" t="inlineStr">
        <is>
          <t>ae4eed46dcea1624c5c30db80e8ba48a4270d9b75f159fefd281e3776d09dce9</t>
        </is>
      </c>
      <c r="U240" s="349" t="inlineStr">
        <is>
          <t>Codex</t>
        </is>
      </c>
      <c r="V240" s="348" t="inlineStr">
        <is>
          <t>2026-09-06</t>
        </is>
      </c>
      <c r="W240" s="349" t="inlineStr">
        <is>
          <t>项目现有Godot资产</t>
        </is>
      </c>
      <c r="X240" s="375" t="inlineStr">
        <is>
          <t>—</t>
        </is>
      </c>
      <c r="Y240" s="34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t>
        </is>
      </c>
    </row>
    <row r="241">
      <c r="A241" s="349" t="inlineStr">
        <is>
          <t>ENV-TOWER-CORNER-L-5M</t>
        </is>
      </c>
      <c r="B241" s="349" t="inlineStr">
        <is>
          <t>塔楼L型转角5米</t>
        </is>
      </c>
      <c r="C241" s="349" t="inlineStr">
        <is>
          <t>场景</t>
        </is>
      </c>
      <c r="D241" s="349" t="inlineStr">
        <is>
          <t>environment_module_3d</t>
        </is>
      </c>
      <c r="E241" s="349" t="inlineStr">
        <is>
          <t>corner_L_5m</t>
        </is>
      </c>
      <c r="F241" s="349" t="inlineStr">
        <is>
          <t>root_3d</t>
        </is>
      </c>
      <c r="G241" s="349" t="inlineStr">
        <is>
          <t>ENV-TOWER-DESCENT-KIT-3D</t>
        </is>
      </c>
      <c r="H241" s="349" t="inlineStr">
        <is>
          <t>Top3D / local -Z 正面</t>
        </is>
      </c>
      <c r="I241" s="349" t="inlineStr">
        <is>
          <t>default / prefab</t>
        </is>
      </c>
      <c r="J241" s="349" t="inlineStr">
        <is>
          <t>场景通用组件</t>
        </is>
      </c>
      <c r="K241" s="349" t="inlineStr">
        <is>
          <t>程序占位</t>
        </is>
      </c>
      <c r="L241" s="349" t="inlineStr">
        <is>
          <t>P1</t>
        </is>
      </c>
      <c r="M241" s="349" t="inlineStr">
        <is>
          <t>v001</t>
        </is>
      </c>
      <c r="N241" s="349" t="inlineStr">
        <is>
          <t>Godot PackedScene；根=Node3D；碰撞节点=2</t>
        </is>
      </c>
      <c r="O241" s="349" t="inlineStr">
        <is>
          <t>assets/art/props/dungeon_3d/prp_corner_l_5m_v001.tscn</t>
        </is>
      </c>
      <c r="P241" s="349" t="inlineStr">
        <is>
          <t>assets/art/3D模型资产目录与命名规范.md</t>
        </is>
      </c>
      <c r="Q241" s="349" t="inlineStr">
        <is>
          <t>塔楼L型转角5米;3D;Prefab;场景通用组件;corner_L_5m</t>
        </is>
      </c>
      <c r="R241" s="349">
        <f>LOWER(TRIM(C241)&amp;"|"&amp;TRIM(D241)&amp;"|"&amp;TRIM(E241)&amp;"|"&amp;TRIM(F241)&amp;"|"&amp;TRIM(H241)&amp;"|"&amp;TRIM(I241))</f>
        <v/>
      </c>
      <c r="S241" s="349">
        <f>IF(COUNTIF($R$6:$R$300,R241)&gt;1,"重复","唯一")</f>
        <v/>
      </c>
      <c r="T241" s="349" t="inlineStr">
        <is>
          <t>9285b91fc8c92098ca80558996566e04bd04df48a825656ba6704c52c7a4abe3</t>
        </is>
      </c>
      <c r="U241" s="349" t="inlineStr">
        <is>
          <t>Codex</t>
        </is>
      </c>
      <c r="V241" s="348" t="n">
        <v>46264</v>
      </c>
      <c r="W241" s="349" t="inlineStr">
        <is>
          <t>项目现有Godot资产</t>
        </is>
      </c>
      <c r="X241" s="375" t="inlineStr">
        <is>
          <t>—</t>
        </is>
      </c>
      <c r="Y241" s="34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t>
        </is>
      </c>
    </row>
    <row r="242">
      <c r="A242" s="349" t="inlineStr">
        <is>
          <t>ENV-TOWER-CORNER-L-PARAPET-5M</t>
        </is>
      </c>
      <c r="B242" s="349" t="inlineStr">
        <is>
          <t>塔楼L型女儿墙转角5米</t>
        </is>
      </c>
      <c r="C242" s="349" t="inlineStr">
        <is>
          <t>场景</t>
        </is>
      </c>
      <c r="D242" s="349" t="inlineStr">
        <is>
          <t>environment_module_3d</t>
        </is>
      </c>
      <c r="E242" s="349" t="inlineStr">
        <is>
          <t>corner_L_parapet_5m</t>
        </is>
      </c>
      <c r="F242" s="349" t="inlineStr">
        <is>
          <t>root_3d</t>
        </is>
      </c>
      <c r="G242" s="349" t="inlineStr">
        <is>
          <t>ENV-TOWER-DESCENT-KIT-3D</t>
        </is>
      </c>
      <c r="H242" s="349" t="inlineStr">
        <is>
          <t>Top3D / local -Z 正面</t>
        </is>
      </c>
      <c r="I242" s="349" t="inlineStr">
        <is>
          <t>default / prefab</t>
        </is>
      </c>
      <c r="J242" s="349" t="inlineStr">
        <is>
          <t>场景通用组件</t>
        </is>
      </c>
      <c r="K242" s="349" t="inlineStr">
        <is>
          <t>程序占位</t>
        </is>
      </c>
      <c r="L242" s="349" t="inlineStr">
        <is>
          <t>P1</t>
        </is>
      </c>
      <c r="M242" s="349" t="inlineStr">
        <is>
          <t>v001</t>
        </is>
      </c>
      <c r="N242" s="349" t="inlineStr">
        <is>
          <t>Godot PackedScene；根=Node3D；碰撞节点=2</t>
        </is>
      </c>
      <c r="O242" s="349" t="inlineStr">
        <is>
          <t>assets/art/props/dungeon_3d/prp_corner_l_parapet_5m_v001.tscn</t>
        </is>
      </c>
      <c r="P242" s="349" t="inlineStr">
        <is>
          <t>assets/art/3D模型资产目录与命名规范.md</t>
        </is>
      </c>
      <c r="Q242" s="349" t="inlineStr">
        <is>
          <t>塔楼L型女儿墙转角5米;3D;Prefab;场景通用组件;corner_L_parapet_5m</t>
        </is>
      </c>
      <c r="R242" s="349">
        <f>LOWER(TRIM(C242)&amp;"|"&amp;TRIM(D242)&amp;"|"&amp;TRIM(E242)&amp;"|"&amp;TRIM(F242)&amp;"|"&amp;TRIM(H242)&amp;"|"&amp;TRIM(I242))</f>
        <v/>
      </c>
      <c r="S242" s="349">
        <f>IF(COUNTIF($R$6:$R$300,R242)&gt;1,"重复","唯一")</f>
        <v/>
      </c>
      <c r="T242" s="349" t="inlineStr">
        <is>
          <t>e08fcac94b8fac78352e62b5566215fa0a01baa19fcd76a910d82b4d462ff884</t>
        </is>
      </c>
      <c r="U242" s="349" t="inlineStr">
        <is>
          <t>Codex</t>
        </is>
      </c>
      <c r="V242" s="348" t="n">
        <v>46264</v>
      </c>
      <c r="W242" s="349" t="inlineStr">
        <is>
          <t>项目现有Godot资产</t>
        </is>
      </c>
      <c r="X242" s="375" t="inlineStr">
        <is>
          <t>—</t>
        </is>
      </c>
      <c r="Y242" s="34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243">
      <c r="A243" s="349" t="inlineStr">
        <is>
          <t>ENV-TOWER-CORNER-T-5M</t>
        </is>
      </c>
      <c r="B243" s="349" t="inlineStr">
        <is>
          <t>塔楼T型转角5米</t>
        </is>
      </c>
      <c r="C243" s="349" t="inlineStr">
        <is>
          <t>场景</t>
        </is>
      </c>
      <c r="D243" s="349" t="inlineStr">
        <is>
          <t>environment_module_3d</t>
        </is>
      </c>
      <c r="E243" s="349" t="inlineStr">
        <is>
          <t>corner_T_5m</t>
        </is>
      </c>
      <c r="F243" s="349" t="inlineStr">
        <is>
          <t>root_3d</t>
        </is>
      </c>
      <c r="G243" s="349" t="inlineStr">
        <is>
          <t>ENV-TOWER-DESCENT-KIT-3D</t>
        </is>
      </c>
      <c r="H243" s="349" t="inlineStr">
        <is>
          <t>Top3D / local -Z 正面</t>
        </is>
      </c>
      <c r="I243" s="349" t="inlineStr">
        <is>
          <t>default / prefab</t>
        </is>
      </c>
      <c r="J243" s="349" t="inlineStr">
        <is>
          <t>场景通用组件</t>
        </is>
      </c>
      <c r="K243" s="349" t="inlineStr">
        <is>
          <t>程序占位</t>
        </is>
      </c>
      <c r="L243" s="349" t="inlineStr">
        <is>
          <t>P1</t>
        </is>
      </c>
      <c r="M243" s="349" t="inlineStr">
        <is>
          <t>v001</t>
        </is>
      </c>
      <c r="N243" s="349" t="inlineStr">
        <is>
          <t>Godot PackedScene；根=Node3D；碰撞节点=3</t>
        </is>
      </c>
      <c r="O243" s="349" t="inlineStr">
        <is>
          <t>assets/art/props/dungeon_3d/prp_corner_t_5m_v001.tscn</t>
        </is>
      </c>
      <c r="P243" s="349" t="inlineStr">
        <is>
          <t>assets/art/3D模型资产目录与命名规范.md</t>
        </is>
      </c>
      <c r="Q243" s="349" t="inlineStr">
        <is>
          <t>塔楼T型转角5米;3D;Prefab;场景通用组件;corner_T_5m</t>
        </is>
      </c>
      <c r="R243" s="349">
        <f>LOWER(TRIM(C243)&amp;"|"&amp;TRIM(D243)&amp;"|"&amp;TRIM(E243)&amp;"|"&amp;TRIM(F243)&amp;"|"&amp;TRIM(H243)&amp;"|"&amp;TRIM(I243))</f>
        <v/>
      </c>
      <c r="S243" s="349">
        <f>IF(COUNTIF($R$6:$R$300,R243)&gt;1,"重复","唯一")</f>
        <v/>
      </c>
      <c r="T243" s="349" t="inlineStr">
        <is>
          <t>38be070ae70cf35c83d3e817b62e21428f7dc97548a10b4907e30064df3276e7</t>
        </is>
      </c>
      <c r="U243" s="349" t="inlineStr">
        <is>
          <t>Codex</t>
        </is>
      </c>
      <c r="V243" s="348" t="n">
        <v>46264</v>
      </c>
      <c r="W243" s="349" t="inlineStr">
        <is>
          <t>项目现有Godot资产</t>
        </is>
      </c>
      <c r="X243" s="375" t="inlineStr">
        <is>
          <t>—</t>
        </is>
      </c>
      <c r="Y243" s="34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244">
      <c r="A244" s="349" t="inlineStr">
        <is>
          <t>ENV-TOWER-CORNER-X-5M</t>
        </is>
      </c>
      <c r="B244" s="349" t="inlineStr">
        <is>
          <t>塔楼十字转角5米</t>
        </is>
      </c>
      <c r="C244" s="349" t="inlineStr">
        <is>
          <t>场景</t>
        </is>
      </c>
      <c r="D244" s="349" t="inlineStr">
        <is>
          <t>environment_module_3d</t>
        </is>
      </c>
      <c r="E244" s="349" t="inlineStr">
        <is>
          <t>corner_X_5m</t>
        </is>
      </c>
      <c r="F244" s="349" t="inlineStr">
        <is>
          <t>root_3d</t>
        </is>
      </c>
      <c r="G244" s="349" t="inlineStr">
        <is>
          <t>ENV-TOWER-DESCENT-KIT-3D</t>
        </is>
      </c>
      <c r="H244" s="349" t="inlineStr">
        <is>
          <t>Top3D / local -Z 正面</t>
        </is>
      </c>
      <c r="I244" s="349" t="inlineStr">
        <is>
          <t>default / prefab</t>
        </is>
      </c>
      <c r="J244" s="349" t="inlineStr">
        <is>
          <t>场景通用组件</t>
        </is>
      </c>
      <c r="K244" s="349" t="inlineStr">
        <is>
          <t>程序占位</t>
        </is>
      </c>
      <c r="L244" s="349" t="inlineStr">
        <is>
          <t>P1</t>
        </is>
      </c>
      <c r="M244" s="349" t="inlineStr">
        <is>
          <t>v001</t>
        </is>
      </c>
      <c r="N244" s="349" t="inlineStr">
        <is>
          <t>Godot PackedScene；根=Node3D；碰撞节点=4</t>
        </is>
      </c>
      <c r="O244" s="349" t="inlineStr">
        <is>
          <t>assets/art/props/dungeon_3d/prp_corner_x_5m_v001.tscn</t>
        </is>
      </c>
      <c r="P244" s="349" t="inlineStr">
        <is>
          <t>assets/art/3D模型资产目录与命名规范.md</t>
        </is>
      </c>
      <c r="Q244" s="349" t="inlineStr">
        <is>
          <t>塔楼十字转角5米;3D;Prefab;场景通用组件;corner_X_5m</t>
        </is>
      </c>
      <c r="R244" s="349">
        <f>LOWER(TRIM(C244)&amp;"|"&amp;TRIM(D244)&amp;"|"&amp;TRIM(E244)&amp;"|"&amp;TRIM(F244)&amp;"|"&amp;TRIM(H244)&amp;"|"&amp;TRIM(I244))</f>
        <v/>
      </c>
      <c r="S244" s="349">
        <f>IF(COUNTIF($R$6:$R$300,R244)&gt;1,"重复","唯一")</f>
        <v/>
      </c>
      <c r="T244" s="349" t="inlineStr">
        <is>
          <t>8f83e7591e65997f404f7137b11f9b7cf02dc962af97384831061a2a3242ff9c</t>
        </is>
      </c>
      <c r="U244" s="349" t="inlineStr">
        <is>
          <t>Codex</t>
        </is>
      </c>
      <c r="V244" s="348" t="n">
        <v>46264</v>
      </c>
      <c r="W244" s="349" t="inlineStr">
        <is>
          <t>项目现有Godot资产</t>
        </is>
      </c>
      <c r="X244" s="375" t="inlineStr">
        <is>
          <t>—</t>
        </is>
      </c>
      <c r="Y244" s="34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245">
      <c r="A245" s="349" t="inlineStr">
        <is>
          <t>ENV-DUNGEON-CORRIDOR-CEILING-SEGMENT</t>
        </is>
      </c>
      <c r="B245" s="349" t="inlineStr">
        <is>
          <t>地牢走廊天花段</t>
        </is>
      </c>
      <c r="C245" s="349" t="inlineStr">
        <is>
          <t>场景</t>
        </is>
      </c>
      <c r="D245" s="349" t="inlineStr">
        <is>
          <t>environment_module_3d</t>
        </is>
      </c>
      <c r="E245" s="349" t="inlineStr">
        <is>
          <t>corridor_ceiling_segment</t>
        </is>
      </c>
      <c r="F245" s="349" t="inlineStr">
        <is>
          <t>root_3d</t>
        </is>
      </c>
      <c r="G245" s="349" t="inlineStr">
        <is>
          <t>ENV-DUNGEON-RUNTIME-3D</t>
        </is>
      </c>
      <c r="H245" s="349" t="inlineStr">
        <is>
          <t>Top3D / local -Z 正面</t>
        </is>
      </c>
      <c r="I245" s="349" t="inlineStr">
        <is>
          <t>default / prefab</t>
        </is>
      </c>
      <c r="J245" s="349" t="inlineStr">
        <is>
          <t>场景通用组件</t>
        </is>
      </c>
      <c r="K245" s="349" t="inlineStr">
        <is>
          <t>程序占位</t>
        </is>
      </c>
      <c r="L245" s="349" t="inlineStr">
        <is>
          <t>P1</t>
        </is>
      </c>
      <c r="M245" s="349" t="inlineStr">
        <is>
          <t>v001</t>
        </is>
      </c>
      <c r="N245" s="349" t="inlineStr">
        <is>
          <t>Godot PackedScene；根=Node3D；碰撞节点=1</t>
        </is>
      </c>
      <c r="O245" s="349" t="inlineStr">
        <is>
          <t>assets/art/props/dungeon_3d/prp_corridor_ceiling_segment_v001.tscn</t>
        </is>
      </c>
      <c r="P245" s="349" t="inlineStr">
        <is>
          <t>assets/art/3D模型资产目录与命名规范.md</t>
        </is>
      </c>
      <c r="Q245" s="349" t="inlineStr">
        <is>
          <t>地牢走廊天花段;3D;Prefab;场景通用组件;corridor_ceiling_segment</t>
        </is>
      </c>
      <c r="R245" s="349">
        <f>LOWER(TRIM(C245)&amp;"|"&amp;TRIM(D245)&amp;"|"&amp;TRIM(E245)&amp;"|"&amp;TRIM(F245)&amp;"|"&amp;TRIM(H245)&amp;"|"&amp;TRIM(I245))</f>
        <v/>
      </c>
      <c r="S245" s="349">
        <f>IF(COUNTIF($R$6:$R$300,R245)&gt;1,"重复","唯一")</f>
        <v/>
      </c>
      <c r="T245" s="349" t="inlineStr">
        <is>
          <t>de6c149315d394d21427445145cbac33ef5652db02b18b2d0080748dd0f82ff3</t>
        </is>
      </c>
      <c r="U245" s="349" t="inlineStr">
        <is>
          <t>Codex</t>
        </is>
      </c>
      <c r="V245" s="348" t="n">
        <v>46264</v>
      </c>
      <c r="W245" s="349" t="inlineStr">
        <is>
          <t>项目现有Godot资产</t>
        </is>
      </c>
      <c r="X245" s="375" t="inlineStr">
        <is>
          <t>—</t>
        </is>
      </c>
      <c r="Y245" s="34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246">
      <c r="A246" s="349" t="inlineStr">
        <is>
          <t>ENV-DUNGEON-CORRIDOR-FLOOR-SEGMENT</t>
        </is>
      </c>
      <c r="B246" s="349" t="inlineStr">
        <is>
          <t>地牢走廊地板段</t>
        </is>
      </c>
      <c r="C246" s="349" t="inlineStr">
        <is>
          <t>场景</t>
        </is>
      </c>
      <c r="D246" s="349" t="inlineStr">
        <is>
          <t>environment_module_3d</t>
        </is>
      </c>
      <c r="E246" s="349" t="inlineStr">
        <is>
          <t>corridor_floor_segment</t>
        </is>
      </c>
      <c r="F246" s="349" t="inlineStr">
        <is>
          <t>root_3d</t>
        </is>
      </c>
      <c r="G246" s="349" t="inlineStr">
        <is>
          <t>ENV-DUNGEON-RUNTIME-3D</t>
        </is>
      </c>
      <c r="H246" s="349" t="inlineStr">
        <is>
          <t>Top3D / local -Z 正面</t>
        </is>
      </c>
      <c r="I246" s="349" t="inlineStr">
        <is>
          <t>default / prefab</t>
        </is>
      </c>
      <c r="J246" s="349" t="inlineStr">
        <is>
          <t>场景通用组件</t>
        </is>
      </c>
      <c r="K246" s="349" t="inlineStr">
        <is>
          <t>程序占位</t>
        </is>
      </c>
      <c r="L246" s="349" t="inlineStr">
        <is>
          <t>P1</t>
        </is>
      </c>
      <c r="M246" s="349" t="inlineStr">
        <is>
          <t>v001</t>
        </is>
      </c>
      <c r="N246" s="349" t="inlineStr">
        <is>
          <t>Godot PackedScene；根=Node3D；碰撞节点=1</t>
        </is>
      </c>
      <c r="O246" s="349" t="inlineStr">
        <is>
          <t>assets/art/props/dungeon_3d/prp_corridor_floor_segment_v001.tscn</t>
        </is>
      </c>
      <c r="P246" s="349" t="inlineStr">
        <is>
          <t>assets/art/3D模型资产目录与命名规范.md</t>
        </is>
      </c>
      <c r="Q246" s="349" t="inlineStr">
        <is>
          <t>地牢走廊地板段;3D;Prefab;场景通用组件;corridor_floor_segment</t>
        </is>
      </c>
      <c r="R246" s="349">
        <f>LOWER(TRIM(C246)&amp;"|"&amp;TRIM(D246)&amp;"|"&amp;TRIM(E246)&amp;"|"&amp;TRIM(F246)&amp;"|"&amp;TRIM(H246)&amp;"|"&amp;TRIM(I246))</f>
        <v/>
      </c>
      <c r="S246" s="349">
        <f>IF(COUNTIF($R$6:$R$300,R246)&gt;1,"重复","唯一")</f>
        <v/>
      </c>
      <c r="T246" s="349" t="inlineStr">
        <is>
          <t>89457606145ca7caa6db48cdf9362a670ce296fd191d8dc67ca8a704c7a3ad31</t>
        </is>
      </c>
      <c r="U246" s="349" t="inlineStr">
        <is>
          <t>Codex</t>
        </is>
      </c>
      <c r="V246" s="348" t="n">
        <v>46264</v>
      </c>
      <c r="W246" s="349" t="inlineStr">
        <is>
          <t>项目现有Godot资产</t>
        </is>
      </c>
      <c r="X246" s="375" t="inlineStr">
        <is>
          <t>—</t>
        </is>
      </c>
      <c r="Y246" s="34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247">
      <c r="A247" s="349" t="inlineStr">
        <is>
          <t>ENV-DUNGEON-CORRIDOR-STAIR-TREAD</t>
        </is>
      </c>
      <c r="B247" s="349" t="inlineStr">
        <is>
          <t>地牢走廊楼梯踏步</t>
        </is>
      </c>
      <c r="C247" s="349" t="inlineStr">
        <is>
          <t>场景</t>
        </is>
      </c>
      <c r="D247" s="349" t="inlineStr">
        <is>
          <t>environment_module_3d</t>
        </is>
      </c>
      <c r="E247" s="349" t="inlineStr">
        <is>
          <t>corridor_stair_tread</t>
        </is>
      </c>
      <c r="F247" s="349" t="inlineStr">
        <is>
          <t>root_3d</t>
        </is>
      </c>
      <c r="G247" s="349" t="inlineStr">
        <is>
          <t>ENV-DUNGEON-RUNTIME-3D</t>
        </is>
      </c>
      <c r="H247" s="349" t="inlineStr">
        <is>
          <t>Top3D / local -Z 正面</t>
        </is>
      </c>
      <c r="I247" s="349" t="inlineStr">
        <is>
          <t>default / prefab</t>
        </is>
      </c>
      <c r="J247" s="349" t="inlineStr">
        <is>
          <t>场景通用组件</t>
        </is>
      </c>
      <c r="K247" s="349" t="inlineStr">
        <is>
          <t>程序占位</t>
        </is>
      </c>
      <c r="L247" s="349" t="inlineStr">
        <is>
          <t>P1</t>
        </is>
      </c>
      <c r="M247" s="349" t="inlineStr">
        <is>
          <t>v001</t>
        </is>
      </c>
      <c r="N247" s="349" t="inlineStr">
        <is>
          <t>Godot PackedScene；根=Node3D；碰撞节点=0</t>
        </is>
      </c>
      <c r="O247" s="349" t="inlineStr">
        <is>
          <t>assets/art/props/dungeon_3d/prp_corridor_stair_tread_v001.tscn</t>
        </is>
      </c>
      <c r="P247" s="349" t="inlineStr">
        <is>
          <t>assets/art/3D模型资产目录与命名规范.md</t>
        </is>
      </c>
      <c r="Q247" s="349" t="inlineStr">
        <is>
          <t>地牢走廊楼梯踏步;3D;Prefab;场景通用组件;corridor_stair_tread</t>
        </is>
      </c>
      <c r="R247" s="349">
        <f>LOWER(TRIM(C247)&amp;"|"&amp;TRIM(D247)&amp;"|"&amp;TRIM(E247)&amp;"|"&amp;TRIM(F247)&amp;"|"&amp;TRIM(H247)&amp;"|"&amp;TRIM(I247))</f>
        <v/>
      </c>
      <c r="S247" s="349">
        <f>IF(COUNTIF($R$6:$R$300,R247)&gt;1,"重复","唯一")</f>
        <v/>
      </c>
      <c r="T247" s="349" t="inlineStr">
        <is>
          <t>9cb096178ff640d1a46dc773d86af69873c5f92f054ead84ee6fdeaac15e608d</t>
        </is>
      </c>
      <c r="U247" s="349" t="inlineStr">
        <is>
          <t>Codex</t>
        </is>
      </c>
      <c r="V247" s="348" t="n">
        <v>46264</v>
      </c>
      <c r="W247" s="349" t="inlineStr">
        <is>
          <t>项目现有Godot资产</t>
        </is>
      </c>
      <c r="X247" s="375" t="inlineStr">
        <is>
          <t>—</t>
        </is>
      </c>
      <c r="Y247" s="34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248">
      <c r="A248" s="349" t="inlineStr">
        <is>
          <t>ENV-DUNGEON-CORRIDOR-WALL-SEGMENT</t>
        </is>
      </c>
      <c r="B248" s="349" t="inlineStr">
        <is>
          <t>地牢走廊墙段</t>
        </is>
      </c>
      <c r="C248" s="349" t="inlineStr">
        <is>
          <t>场景</t>
        </is>
      </c>
      <c r="D248" s="349" t="inlineStr">
        <is>
          <t>environment_module_3d</t>
        </is>
      </c>
      <c r="E248" s="349" t="inlineStr">
        <is>
          <t>corridor_wall_segment</t>
        </is>
      </c>
      <c r="F248" s="349" t="inlineStr">
        <is>
          <t>root_3d</t>
        </is>
      </c>
      <c r="G248" s="349" t="inlineStr">
        <is>
          <t>ENV-DUNGEON-RUNTIME-3D</t>
        </is>
      </c>
      <c r="H248" s="349" t="inlineStr">
        <is>
          <t>Top3D / local -Z 正面</t>
        </is>
      </c>
      <c r="I248" s="349" t="inlineStr">
        <is>
          <t>default / prefab</t>
        </is>
      </c>
      <c r="J248" s="349" t="inlineStr">
        <is>
          <t>场景通用组件</t>
        </is>
      </c>
      <c r="K248" s="349" t="inlineStr">
        <is>
          <t>程序占位</t>
        </is>
      </c>
      <c r="L248" s="349" t="inlineStr">
        <is>
          <t>P1</t>
        </is>
      </c>
      <c r="M248" s="349" t="inlineStr">
        <is>
          <t>v001</t>
        </is>
      </c>
      <c r="N248" s="349" t="inlineStr">
        <is>
          <t>Godot PackedScene；根=Node3D；碰撞节点=1</t>
        </is>
      </c>
      <c r="O248" s="349" t="inlineStr">
        <is>
          <t>assets/art/props/dungeon_3d/prp_corridor_wall_segment_v001.tscn</t>
        </is>
      </c>
      <c r="P248" s="349" t="inlineStr">
        <is>
          <t>assets/art/3D模型资产目录与命名规范.md</t>
        </is>
      </c>
      <c r="Q248" s="349" t="inlineStr">
        <is>
          <t>地牢走廊墙段;3D;Prefab;场景通用组件;corridor_wall_segment</t>
        </is>
      </c>
      <c r="R248" s="349">
        <f>LOWER(TRIM(C248)&amp;"|"&amp;TRIM(D248)&amp;"|"&amp;TRIM(E248)&amp;"|"&amp;TRIM(F248)&amp;"|"&amp;TRIM(H248)&amp;"|"&amp;TRIM(I248))</f>
        <v/>
      </c>
      <c r="S248" s="349">
        <f>IF(COUNTIF($R$6:$R$300,R248)&gt;1,"重复","唯一")</f>
        <v/>
      </c>
      <c r="T248" s="349" t="inlineStr">
        <is>
          <t>b46c779faadc6e47bfe4fa2ff512ffe3425f90c36bc53846e40675c673042910</t>
        </is>
      </c>
      <c r="U248" s="349" t="inlineStr">
        <is>
          <t>Codex</t>
        </is>
      </c>
      <c r="V248" s="348" t="n">
        <v>46264</v>
      </c>
      <c r="W248" s="349" t="inlineStr">
        <is>
          <t>项目现有Godot资产</t>
        </is>
      </c>
      <c r="X248" s="375" t="inlineStr">
        <is>
          <t>—</t>
        </is>
      </c>
      <c r="Y248" s="34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249">
      <c r="A249" s="349" t="inlineStr">
        <is>
          <t>ENV-DUNGEON-ROOM-ACCESS-STEP</t>
        </is>
      </c>
      <c r="B249" s="349" t="inlineStr">
        <is>
          <t>房间接入台阶</t>
        </is>
      </c>
      <c r="C249" s="349" t="inlineStr">
        <is>
          <t>场景</t>
        </is>
      </c>
      <c r="D249" s="349" t="inlineStr">
        <is>
          <t>environment_module_3d</t>
        </is>
      </c>
      <c r="E249" s="349" t="inlineStr">
        <is>
          <t>room_access_step</t>
        </is>
      </c>
      <c r="F249" s="349" t="inlineStr">
        <is>
          <t>root_3d</t>
        </is>
      </c>
      <c r="G249" s="349" t="inlineStr">
        <is>
          <t>ENV-DUNGEON-RUNTIME-3D</t>
        </is>
      </c>
      <c r="H249" s="349" t="inlineStr">
        <is>
          <t>Top3D / local -Z 正面</t>
        </is>
      </c>
      <c r="I249" s="349" t="inlineStr">
        <is>
          <t>default / prefab</t>
        </is>
      </c>
      <c r="J249" s="349" t="inlineStr">
        <is>
          <t>场景通用组件</t>
        </is>
      </c>
      <c r="K249" s="349" t="inlineStr">
        <is>
          <t>程序占位</t>
        </is>
      </c>
      <c r="L249" s="349" t="inlineStr">
        <is>
          <t>P1</t>
        </is>
      </c>
      <c r="M249" s="349" t="inlineStr">
        <is>
          <t>v001</t>
        </is>
      </c>
      <c r="N249" s="349" t="inlineStr">
        <is>
          <t>Godot PackedScene；根=Node3D；碰撞节点=0</t>
        </is>
      </c>
      <c r="O249" s="349" t="inlineStr">
        <is>
          <t>assets/art/props/dungeon_3d/prp_room_access_step_v001.tscn</t>
        </is>
      </c>
      <c r="P249" s="349" t="inlineStr">
        <is>
          <t>assets/art/3D模型资产目录与命名规范.md</t>
        </is>
      </c>
      <c r="Q249" s="349" t="inlineStr">
        <is>
          <t>房间接入台阶;3D;Prefab;场景通用组件;room_access_step</t>
        </is>
      </c>
      <c r="R249" s="349">
        <f>LOWER(TRIM(C249)&amp;"|"&amp;TRIM(D249)&amp;"|"&amp;TRIM(E249)&amp;"|"&amp;TRIM(F249)&amp;"|"&amp;TRIM(H249)&amp;"|"&amp;TRIM(I249))</f>
        <v/>
      </c>
      <c r="S249" s="349">
        <f>IF(COUNTIF($R$6:$R$300,R249)&gt;1,"重复","唯一")</f>
        <v/>
      </c>
      <c r="T249" s="349" t="inlineStr">
        <is>
          <t>ceeeed9e7163cf420bf047f1a9424990b111b63f3b3f72d5257ebbfeeb6b9c7a</t>
        </is>
      </c>
      <c r="U249" s="349" t="inlineStr">
        <is>
          <t>Codex</t>
        </is>
      </c>
      <c r="V249" s="348" t="n">
        <v>46264</v>
      </c>
      <c r="W249" s="349" t="inlineStr">
        <is>
          <t>项目现有Godot资产</t>
        </is>
      </c>
      <c r="X249" s="375" t="inlineStr">
        <is>
          <t>—</t>
        </is>
      </c>
      <c r="Y249" s="34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250">
      <c r="A250" s="349" t="inlineStr">
        <is>
          <t>ENV-DUNGEON-ROOM-CORNER-POST</t>
        </is>
      </c>
      <c r="B250" s="349" t="inlineStr">
        <is>
          <t>房间转角立柱</t>
        </is>
      </c>
      <c r="C250" s="349" t="inlineStr">
        <is>
          <t>场景</t>
        </is>
      </c>
      <c r="D250" s="349" t="inlineStr">
        <is>
          <t>environment_module_3d</t>
        </is>
      </c>
      <c r="E250" s="349" t="inlineStr">
        <is>
          <t>room_corner_post</t>
        </is>
      </c>
      <c r="F250" s="349" t="inlineStr">
        <is>
          <t>root_3d</t>
        </is>
      </c>
      <c r="G250" s="349" t="inlineStr">
        <is>
          <t>ENV-DUNGEON-RUNTIME-3D</t>
        </is>
      </c>
      <c r="H250" s="349" t="inlineStr">
        <is>
          <t>Top3D / local -Z 正面</t>
        </is>
      </c>
      <c r="I250" s="349" t="inlineStr">
        <is>
          <t>default / prefab</t>
        </is>
      </c>
      <c r="J250" s="349" t="inlineStr">
        <is>
          <t>场景通用组件</t>
        </is>
      </c>
      <c r="K250" s="349" t="inlineStr">
        <is>
          <t>程序占位</t>
        </is>
      </c>
      <c r="L250" s="349" t="inlineStr">
        <is>
          <t>P1</t>
        </is>
      </c>
      <c r="M250" s="349" t="inlineStr">
        <is>
          <t>v001</t>
        </is>
      </c>
      <c r="N250" s="349" t="inlineStr">
        <is>
          <t>Godot PackedScene；根=Node3D；碰撞节点=1</t>
        </is>
      </c>
      <c r="O250" s="349" t="inlineStr">
        <is>
          <t>assets/art/props/dungeon_3d/prp_room_corner_post_v001.tscn</t>
        </is>
      </c>
      <c r="P250" s="349" t="inlineStr">
        <is>
          <t>assets/art/3D模型资产目录与命名规范.md</t>
        </is>
      </c>
      <c r="Q250" s="349" t="inlineStr">
        <is>
          <t>房间转角立柱;3D;Prefab;场景通用组件;room_corner_post</t>
        </is>
      </c>
      <c r="R250" s="349">
        <f>LOWER(TRIM(C250)&amp;"|"&amp;TRIM(D250)&amp;"|"&amp;TRIM(E250)&amp;"|"&amp;TRIM(F250)&amp;"|"&amp;TRIM(H250)&amp;"|"&amp;TRIM(I250))</f>
        <v/>
      </c>
      <c r="S250" s="349">
        <f>IF(COUNTIF($R$6:$R$300,R250)&gt;1,"重复","唯一")</f>
        <v/>
      </c>
      <c r="T250" s="349" t="inlineStr">
        <is>
          <t>138b81f147aff76227e21ca8e73825144df3c69a8236b4eabd849eefbc977022</t>
        </is>
      </c>
      <c r="U250" s="349" t="inlineStr">
        <is>
          <t>Codex</t>
        </is>
      </c>
      <c r="V250" s="348" t="n">
        <v>46264</v>
      </c>
      <c r="W250" s="349" t="inlineStr">
        <is>
          <t>项目现有Godot资产</t>
        </is>
      </c>
      <c r="X250" s="375" t="inlineStr">
        <is>
          <t>—</t>
        </is>
      </c>
      <c r="Y250" s="34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251">
      <c r="A251" s="349" t="inlineStr">
        <is>
          <t>ENV-DUNGEON-ROOM-DOOR-LINTEL</t>
        </is>
      </c>
      <c r="B251" s="349" t="inlineStr">
        <is>
          <t>房间门楣</t>
        </is>
      </c>
      <c r="C251" s="349" t="inlineStr">
        <is>
          <t>场景</t>
        </is>
      </c>
      <c r="D251" s="349" t="inlineStr">
        <is>
          <t>environment_module_3d</t>
        </is>
      </c>
      <c r="E251" s="349" t="inlineStr">
        <is>
          <t>room_door_lintel</t>
        </is>
      </c>
      <c r="F251" s="349" t="inlineStr">
        <is>
          <t>root_3d</t>
        </is>
      </c>
      <c r="G251" s="349" t="inlineStr">
        <is>
          <t>ENV-DUNGEON-RUNTIME-3D</t>
        </is>
      </c>
      <c r="H251" s="349" t="inlineStr">
        <is>
          <t>Top3D / local -Z 正面</t>
        </is>
      </c>
      <c r="I251" s="349" t="inlineStr">
        <is>
          <t>default / prefab</t>
        </is>
      </c>
      <c r="J251" s="349" t="inlineStr">
        <is>
          <t>场景通用组件</t>
        </is>
      </c>
      <c r="K251" s="349" t="inlineStr">
        <is>
          <t>程序占位</t>
        </is>
      </c>
      <c r="L251" s="349" t="inlineStr">
        <is>
          <t>P1</t>
        </is>
      </c>
      <c r="M251" s="349" t="inlineStr">
        <is>
          <t>v001</t>
        </is>
      </c>
      <c r="N251" s="349" t="inlineStr">
        <is>
          <t>Godot PackedScene；根=Node3D；碰撞节点=0</t>
        </is>
      </c>
      <c r="O251" s="349" t="inlineStr">
        <is>
          <t>assets/art/props/dungeon_3d/prp_room_door_lintel_v001.tscn</t>
        </is>
      </c>
      <c r="P251" s="349" t="inlineStr">
        <is>
          <t>assets/art/3D模型资产目录与命名规范.md</t>
        </is>
      </c>
      <c r="Q251" s="349" t="inlineStr">
        <is>
          <t>房间门楣;3D;Prefab;场景通用组件;room_door_lintel</t>
        </is>
      </c>
      <c r="R251" s="349">
        <f>LOWER(TRIM(C251)&amp;"|"&amp;TRIM(D251)&amp;"|"&amp;TRIM(E251)&amp;"|"&amp;TRIM(F251)&amp;"|"&amp;TRIM(H251)&amp;"|"&amp;TRIM(I251))</f>
        <v/>
      </c>
      <c r="S251" s="349">
        <f>IF(COUNTIF($R$6:$R$300,R251)&gt;1,"重复","唯一")</f>
        <v/>
      </c>
      <c r="T251" s="349" t="inlineStr">
        <is>
          <t>82ce8f9afa7e5b59b4172c12c90693b5da5ee9934286658f5353fabda3c095fe</t>
        </is>
      </c>
      <c r="U251" s="349" t="inlineStr">
        <is>
          <t>Codex</t>
        </is>
      </c>
      <c r="V251" s="348" t="n">
        <v>46264</v>
      </c>
      <c r="W251" s="349" t="inlineStr">
        <is>
          <t>项目现有Godot资产</t>
        </is>
      </c>
      <c r="X251" s="375" t="inlineStr">
        <is>
          <t>—</t>
        </is>
      </c>
      <c r="Y251" s="34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252">
      <c r="A252" s="349" t="inlineStr">
        <is>
          <t>ENV-DUNGEON-FACILITY-WALL-DOOR-SIDE</t>
        </is>
      </c>
      <c r="B252" s="349" t="inlineStr">
        <is>
          <t>基地设施门墙侧柱</t>
        </is>
      </c>
      <c r="C252" s="349" t="inlineStr">
        <is>
          <t>场景</t>
        </is>
      </c>
      <c r="D252" s="349" t="inlineStr">
        <is>
          <t>environment_module_3d</t>
        </is>
      </c>
      <c r="E252" s="349" t="inlineStr">
        <is>
          <t>room_facility_base_wall_door_side</t>
        </is>
      </c>
      <c r="F252" s="349" t="inlineStr">
        <is>
          <t>root_3d</t>
        </is>
      </c>
      <c r="G252" s="349" t="inlineStr">
        <is>
          <t>ENV-DUNGEON-RUNTIME-3D</t>
        </is>
      </c>
      <c r="H252" s="349" t="inlineStr">
        <is>
          <t>Top3D / local -Z 正面</t>
        </is>
      </c>
      <c r="I252" s="349" t="inlineStr">
        <is>
          <t>default / prefab</t>
        </is>
      </c>
      <c r="J252" s="349" t="inlineStr">
        <is>
          <t>场景通用组件</t>
        </is>
      </c>
      <c r="K252" s="349" t="inlineStr">
        <is>
          <t>程序占位</t>
        </is>
      </c>
      <c r="L252" s="349" t="inlineStr">
        <is>
          <t>P1</t>
        </is>
      </c>
      <c r="M252" s="349" t="inlineStr">
        <is>
          <t>v001</t>
        </is>
      </c>
      <c r="N252" s="349" t="inlineStr">
        <is>
          <t>Godot PackedScene；根=Node3D；碰撞节点=1</t>
        </is>
      </c>
      <c r="O252" s="349" t="inlineStr">
        <is>
          <t>assets/art/props/dungeon_3d/prp_room_facility_base_wall_door_side_v001.tscn</t>
        </is>
      </c>
      <c r="P252" s="349" t="inlineStr">
        <is>
          <t>assets/art/3D模型资产目录与命名规范.md</t>
        </is>
      </c>
      <c r="Q252" s="349" t="inlineStr">
        <is>
          <t>基地设施门墙侧柱;3D;Prefab;场景通用组件;room_facility_base_wall_door_side</t>
        </is>
      </c>
      <c r="R252" s="349">
        <f>LOWER(TRIM(C252)&amp;"|"&amp;TRIM(D252)&amp;"|"&amp;TRIM(E252)&amp;"|"&amp;TRIM(F252)&amp;"|"&amp;TRIM(H252)&amp;"|"&amp;TRIM(I252))</f>
        <v/>
      </c>
      <c r="S252" s="349">
        <f>IF(COUNTIF($R$6:$R$300,R252)&gt;1,"重复","唯一")</f>
        <v/>
      </c>
      <c r="T252" s="349" t="inlineStr">
        <is>
          <t>527a288a721bb8eb3046b67439359ac9a125897543debf07ce3c1450dee01d87</t>
        </is>
      </c>
      <c r="U252" s="349" t="inlineStr">
        <is>
          <t>Codex</t>
        </is>
      </c>
      <c r="V252" s="348" t="n">
        <v>46264</v>
      </c>
      <c r="W252" s="349" t="inlineStr">
        <is>
          <t>项目现有Godot资产</t>
        </is>
      </c>
      <c r="X252" s="375" t="inlineStr">
        <is>
          <t>—</t>
        </is>
      </c>
      <c r="Y252" s="34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253">
      <c r="A253" s="349" t="inlineStr">
        <is>
          <t>ENV-DUNGEON-FACILITY-WALL-LINTEL</t>
        </is>
      </c>
      <c r="B253" s="349" t="inlineStr">
        <is>
          <t>基地设施墙门楣</t>
        </is>
      </c>
      <c r="C253" s="349" t="inlineStr">
        <is>
          <t>场景</t>
        </is>
      </c>
      <c r="D253" s="349" t="inlineStr">
        <is>
          <t>environment_module_3d</t>
        </is>
      </c>
      <c r="E253" s="349" t="inlineStr">
        <is>
          <t>room_facility_base_wall_lintel</t>
        </is>
      </c>
      <c r="F253" s="349" t="inlineStr">
        <is>
          <t>root_3d</t>
        </is>
      </c>
      <c r="G253" s="349" t="inlineStr">
        <is>
          <t>ENV-DUNGEON-RUNTIME-3D</t>
        </is>
      </c>
      <c r="H253" s="349" t="inlineStr">
        <is>
          <t>Top3D / local -Z 正面</t>
        </is>
      </c>
      <c r="I253" s="349" t="inlineStr">
        <is>
          <t>default / prefab</t>
        </is>
      </c>
      <c r="J253" s="349" t="inlineStr">
        <is>
          <t>场景通用组件</t>
        </is>
      </c>
      <c r="K253" s="349" t="inlineStr">
        <is>
          <t>程序占位</t>
        </is>
      </c>
      <c r="L253" s="349" t="inlineStr">
        <is>
          <t>P1</t>
        </is>
      </c>
      <c r="M253" s="349" t="inlineStr">
        <is>
          <t>v001</t>
        </is>
      </c>
      <c r="N253" s="349" t="inlineStr">
        <is>
          <t>Godot PackedScene；根=Node3D；碰撞节点=1</t>
        </is>
      </c>
      <c r="O253" s="349" t="inlineStr">
        <is>
          <t>assets/art/props/dungeon_3d/prp_room_facility_base_wall_lintel_v001.tscn</t>
        </is>
      </c>
      <c r="P253" s="349" t="inlineStr">
        <is>
          <t>assets/art/3D模型资产目录与命名规范.md</t>
        </is>
      </c>
      <c r="Q253" s="349" t="inlineStr">
        <is>
          <t>基地设施墙门楣;3D;Prefab;场景通用组件;room_facility_base_wall_lintel</t>
        </is>
      </c>
      <c r="R253" s="349">
        <f>LOWER(TRIM(C253)&amp;"|"&amp;TRIM(D253)&amp;"|"&amp;TRIM(E253)&amp;"|"&amp;TRIM(F253)&amp;"|"&amp;TRIM(H253)&amp;"|"&amp;TRIM(I253))</f>
        <v/>
      </c>
      <c r="S253" s="349">
        <f>IF(COUNTIF($R$6:$R$300,R253)&gt;1,"重复","唯一")</f>
        <v/>
      </c>
      <c r="T253" s="349" t="inlineStr">
        <is>
          <t>ddf4440db9d2e0e65cd6694a9dc266a26e5efba27d31345fee4be505966286c5</t>
        </is>
      </c>
      <c r="U253" s="349" t="inlineStr">
        <is>
          <t>Codex</t>
        </is>
      </c>
      <c r="V253" s="348" t="n">
        <v>46264</v>
      </c>
      <c r="W253" s="349" t="inlineStr">
        <is>
          <t>项目现有Godot资产</t>
        </is>
      </c>
      <c r="X253" s="375" t="inlineStr">
        <is>
          <t>—</t>
        </is>
      </c>
      <c r="Y253" s="34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254">
      <c r="A254" s="349" t="inlineStr">
        <is>
          <t>ENV-DUNGEON-FACILITY-WALL</t>
        </is>
      </c>
      <c r="B254" s="349" t="inlineStr">
        <is>
          <t>基地设施墙段</t>
        </is>
      </c>
      <c r="C254" s="349" t="inlineStr">
        <is>
          <t>场景</t>
        </is>
      </c>
      <c r="D254" s="349" t="inlineStr">
        <is>
          <t>environment_module_3d</t>
        </is>
      </c>
      <c r="E254" s="349" t="inlineStr">
        <is>
          <t>room_facility_base_wall</t>
        </is>
      </c>
      <c r="F254" s="349" t="inlineStr">
        <is>
          <t>root_3d</t>
        </is>
      </c>
      <c r="G254" s="349" t="inlineStr">
        <is>
          <t>ENV-DUNGEON-RUNTIME-3D</t>
        </is>
      </c>
      <c r="H254" s="349" t="inlineStr">
        <is>
          <t>Top3D / local -Z 正面</t>
        </is>
      </c>
      <c r="I254" s="349" t="inlineStr">
        <is>
          <t>default / prefab</t>
        </is>
      </c>
      <c r="J254" s="349" t="inlineStr">
        <is>
          <t>场景通用组件</t>
        </is>
      </c>
      <c r="K254" s="349" t="inlineStr">
        <is>
          <t>程序占位</t>
        </is>
      </c>
      <c r="L254" s="349" t="inlineStr">
        <is>
          <t>P1</t>
        </is>
      </c>
      <c r="M254" s="349" t="inlineStr">
        <is>
          <t>v001</t>
        </is>
      </c>
      <c r="N254" s="349" t="inlineStr">
        <is>
          <t>Godot PackedScene；根=Node3D；碰撞节点=1</t>
        </is>
      </c>
      <c r="O254" s="349" t="inlineStr">
        <is>
          <t>assets/art/props/dungeon_3d/prp_room_facility_base_wall_v001.tscn</t>
        </is>
      </c>
      <c r="P254" s="349" t="inlineStr">
        <is>
          <t>assets/art/3D模型资产目录与命名规范.md</t>
        </is>
      </c>
      <c r="Q254" s="349" t="inlineStr">
        <is>
          <t>基地设施墙段;3D;Prefab;场景通用组件;room_facility_base_wall</t>
        </is>
      </c>
      <c r="R254" s="349">
        <f>LOWER(TRIM(C254)&amp;"|"&amp;TRIM(D254)&amp;"|"&amp;TRIM(E254)&amp;"|"&amp;TRIM(F254)&amp;"|"&amp;TRIM(H254)&amp;"|"&amp;TRIM(I254))</f>
        <v/>
      </c>
      <c r="S254" s="349">
        <f>IF(COUNTIF($R$6:$R$300,R254)&gt;1,"重复","唯一")</f>
        <v/>
      </c>
      <c r="T254" s="349" t="inlineStr">
        <is>
          <t>fd366cefe9f2bb2a052c33631818dfa1c006528562befe74988a3ecd9735ad8a</t>
        </is>
      </c>
      <c r="U254" s="349" t="inlineStr">
        <is>
          <t>Codex</t>
        </is>
      </c>
      <c r="V254" s="348" t="n">
        <v>46264</v>
      </c>
      <c r="W254" s="349" t="inlineStr">
        <is>
          <t>项目现有Godot资产</t>
        </is>
      </c>
      <c r="X254" s="375" t="inlineStr">
        <is>
          <t>—</t>
        </is>
      </c>
      <c r="Y254" s="34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255">
      <c r="A255" s="349" t="inlineStr">
        <is>
          <t>ENV-DUNGEON-ROOM-FLOOR-INSET</t>
        </is>
      </c>
      <c r="B255" s="349" t="inlineStr">
        <is>
          <t>房间地板内嵌块</t>
        </is>
      </c>
      <c r="C255" s="349" t="inlineStr">
        <is>
          <t>场景</t>
        </is>
      </c>
      <c r="D255" s="349" t="inlineStr">
        <is>
          <t>environment_module_3d</t>
        </is>
      </c>
      <c r="E255" s="349" t="inlineStr">
        <is>
          <t>room_floor_inset</t>
        </is>
      </c>
      <c r="F255" s="349" t="inlineStr">
        <is>
          <t>root_3d</t>
        </is>
      </c>
      <c r="G255" s="349" t="inlineStr">
        <is>
          <t>ENV-DUNGEON-RUNTIME-3D</t>
        </is>
      </c>
      <c r="H255" s="349" t="inlineStr">
        <is>
          <t>Top3D / local -Z 正面</t>
        </is>
      </c>
      <c r="I255" s="349" t="inlineStr">
        <is>
          <t>default / prefab</t>
        </is>
      </c>
      <c r="J255" s="349" t="inlineStr">
        <is>
          <t>场景通用组件</t>
        </is>
      </c>
      <c r="K255" s="349" t="inlineStr">
        <is>
          <t>程序占位</t>
        </is>
      </c>
      <c r="L255" s="349" t="inlineStr">
        <is>
          <t>P1</t>
        </is>
      </c>
      <c r="M255" s="349" t="inlineStr">
        <is>
          <t>v001</t>
        </is>
      </c>
      <c r="N255" s="349" t="inlineStr">
        <is>
          <t>Godot PackedScene；根=Node3D；碰撞节点=0</t>
        </is>
      </c>
      <c r="O255" s="349" t="inlineStr">
        <is>
          <t>assets/art/props/dungeon_3d/prp_room_floor_inset_v001.tscn</t>
        </is>
      </c>
      <c r="P255" s="349" t="inlineStr">
        <is>
          <t>assets/art/3D模型资产目录与命名规范.md</t>
        </is>
      </c>
      <c r="Q255" s="349" t="inlineStr">
        <is>
          <t>房间地板内嵌块;3D;Prefab;场景通用组件;room_floor_inset</t>
        </is>
      </c>
      <c r="R255" s="349">
        <f>LOWER(TRIM(C255)&amp;"|"&amp;TRIM(D255)&amp;"|"&amp;TRIM(E255)&amp;"|"&amp;TRIM(F255)&amp;"|"&amp;TRIM(H255)&amp;"|"&amp;TRIM(I255))</f>
        <v/>
      </c>
      <c r="S255" s="349">
        <f>IF(COUNTIF($R$6:$R$300,R255)&gt;1,"重复","唯一")</f>
        <v/>
      </c>
      <c r="T255" s="349" t="inlineStr">
        <is>
          <t>fc300c9a29041123911466e1a28650365d2d8f30297b1b14dc3f0474df589019</t>
        </is>
      </c>
      <c r="U255" s="349" t="inlineStr">
        <is>
          <t>Codex</t>
        </is>
      </c>
      <c r="V255" s="348" t="n">
        <v>46264</v>
      </c>
      <c r="W255" s="349" t="inlineStr">
        <is>
          <t>项目现有Godot资产</t>
        </is>
      </c>
      <c r="X255" s="375" t="inlineStr">
        <is>
          <t>—</t>
        </is>
      </c>
      <c r="Y255" s="34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256">
      <c r="A256" s="349" t="inlineStr">
        <is>
          <t>ENV-DUNGEON-ROOM-FLOOR-PARTITION-H</t>
        </is>
      </c>
      <c r="B256" s="349" t="inlineStr">
        <is>
          <t>房间地板水平分隔</t>
        </is>
      </c>
      <c r="C256" s="349" t="inlineStr">
        <is>
          <t>场景</t>
        </is>
      </c>
      <c r="D256" s="349" t="inlineStr">
        <is>
          <t>environment_module_3d</t>
        </is>
      </c>
      <c r="E256" s="349" t="inlineStr">
        <is>
          <t>room_floor_partition_horizontal</t>
        </is>
      </c>
      <c r="F256" s="349" t="inlineStr">
        <is>
          <t>root_3d</t>
        </is>
      </c>
      <c r="G256" s="349" t="inlineStr">
        <is>
          <t>ENV-DUNGEON-RUNTIME-3D</t>
        </is>
      </c>
      <c r="H256" s="349" t="inlineStr">
        <is>
          <t>Top3D / local -Z 正面</t>
        </is>
      </c>
      <c r="I256" s="349" t="inlineStr">
        <is>
          <t>default / prefab</t>
        </is>
      </c>
      <c r="J256" s="349" t="inlineStr">
        <is>
          <t>场景通用组件</t>
        </is>
      </c>
      <c r="K256" s="349" t="inlineStr">
        <is>
          <t>程序占位</t>
        </is>
      </c>
      <c r="L256" s="349" t="inlineStr">
        <is>
          <t>P1</t>
        </is>
      </c>
      <c r="M256" s="349" t="inlineStr">
        <is>
          <t>v001</t>
        </is>
      </c>
      <c r="N256" s="349" t="inlineStr">
        <is>
          <t>Godot PackedScene；根=Node3D；碰撞节点=1</t>
        </is>
      </c>
      <c r="O256" s="349" t="inlineStr">
        <is>
          <t>assets/art/props/dungeon_3d/prp_room_floor_partition_horizontal_v001.tscn</t>
        </is>
      </c>
      <c r="P256" s="349" t="inlineStr">
        <is>
          <t>assets/art/3D模型资产目录与命名规范.md</t>
        </is>
      </c>
      <c r="Q256" s="349" t="inlineStr">
        <is>
          <t>房间地板水平分隔;3D;Prefab;场景通用组件;room_floor_partition_horizontal</t>
        </is>
      </c>
      <c r="R256" s="349">
        <f>LOWER(TRIM(C256)&amp;"|"&amp;TRIM(D256)&amp;"|"&amp;TRIM(E256)&amp;"|"&amp;TRIM(F256)&amp;"|"&amp;TRIM(H256)&amp;"|"&amp;TRIM(I256))</f>
        <v/>
      </c>
      <c r="S256" s="349">
        <f>IF(COUNTIF($R$6:$R$300,R256)&gt;1,"重复","唯一")</f>
        <v/>
      </c>
      <c r="T256" s="349" t="inlineStr">
        <is>
          <t>71b79d714f6bb348f1d36e891799706e5d0f87b82ec0203563477e1cac20364d</t>
        </is>
      </c>
      <c r="U256" s="349" t="inlineStr">
        <is>
          <t>Codex</t>
        </is>
      </c>
      <c r="V256" s="348" t="n">
        <v>46264</v>
      </c>
      <c r="W256" s="349" t="inlineStr">
        <is>
          <t>项目现有Godot资产</t>
        </is>
      </c>
      <c r="X256" s="375" t="inlineStr">
        <is>
          <t>—</t>
        </is>
      </c>
      <c r="Y256" s="34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257">
      <c r="A257" s="349" t="inlineStr">
        <is>
          <t>ENV-DUNGEON-ROOM-FLOOR-PARTITION-V</t>
        </is>
      </c>
      <c r="B257" s="349" t="inlineStr">
        <is>
          <t>房间地板垂直分隔</t>
        </is>
      </c>
      <c r="C257" s="349" t="inlineStr">
        <is>
          <t>场景</t>
        </is>
      </c>
      <c r="D257" s="349" t="inlineStr">
        <is>
          <t>environment_module_3d</t>
        </is>
      </c>
      <c r="E257" s="349" t="inlineStr">
        <is>
          <t>room_floor_partition_vertical</t>
        </is>
      </c>
      <c r="F257" s="349" t="inlineStr">
        <is>
          <t>root_3d</t>
        </is>
      </c>
      <c r="G257" s="349" t="inlineStr">
        <is>
          <t>ENV-DUNGEON-RUNTIME-3D</t>
        </is>
      </c>
      <c r="H257" s="349" t="inlineStr">
        <is>
          <t>Top3D / local -Z 正面</t>
        </is>
      </c>
      <c r="I257" s="349" t="inlineStr">
        <is>
          <t>default / prefab</t>
        </is>
      </c>
      <c r="J257" s="349" t="inlineStr">
        <is>
          <t>场景通用组件</t>
        </is>
      </c>
      <c r="K257" s="349" t="inlineStr">
        <is>
          <t>程序占位</t>
        </is>
      </c>
      <c r="L257" s="349" t="inlineStr">
        <is>
          <t>P1</t>
        </is>
      </c>
      <c r="M257" s="349" t="inlineStr">
        <is>
          <t>v001</t>
        </is>
      </c>
      <c r="N257" s="349" t="inlineStr">
        <is>
          <t>Godot PackedScene；根=Node3D；碰撞节点=1</t>
        </is>
      </c>
      <c r="O257" s="349" t="inlineStr">
        <is>
          <t>assets/art/props/dungeon_3d/prp_room_floor_partition_vertical_v001.tscn</t>
        </is>
      </c>
      <c r="P257" s="349" t="inlineStr">
        <is>
          <t>assets/art/3D模型资产目录与命名规范.md</t>
        </is>
      </c>
      <c r="Q257" s="349" t="inlineStr">
        <is>
          <t>房间地板垂直分隔;3D;Prefab;场景通用组件;room_floor_partition_vertical</t>
        </is>
      </c>
      <c r="R257" s="349">
        <f>LOWER(TRIM(C257)&amp;"|"&amp;TRIM(D257)&amp;"|"&amp;TRIM(E257)&amp;"|"&amp;TRIM(F257)&amp;"|"&amp;TRIM(H257)&amp;"|"&amp;TRIM(I257))</f>
        <v/>
      </c>
      <c r="S257" s="349">
        <f>IF(COUNTIF($R$6:$R$300,R257)&gt;1,"重复","唯一")</f>
        <v/>
      </c>
      <c r="T257" s="349" t="inlineStr">
        <is>
          <t>cf337709d3a6b489b6be06a15056b5cf03c2bfa50402cf63503233d67faa7caf</t>
        </is>
      </c>
      <c r="U257" s="349" t="inlineStr">
        <is>
          <t>Codex</t>
        </is>
      </c>
      <c r="V257" s="348" t="n">
        <v>46264</v>
      </c>
      <c r="W257" s="349" t="inlineStr">
        <is>
          <t>项目现有Godot资产</t>
        </is>
      </c>
      <c r="X257" s="375" t="inlineStr">
        <is>
          <t>—</t>
        </is>
      </c>
      <c r="Y257" s="34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258">
      <c r="A258" s="349" t="inlineStr">
        <is>
          <t>ENV-DUNGEON-ROOM-FLOOR-SEAM</t>
        </is>
      </c>
      <c r="B258" s="349" t="inlineStr">
        <is>
          <t>房间地板接缝条</t>
        </is>
      </c>
      <c r="C258" s="349" t="inlineStr">
        <is>
          <t>场景</t>
        </is>
      </c>
      <c r="D258" s="349" t="inlineStr">
        <is>
          <t>environment_module_3d</t>
        </is>
      </c>
      <c r="E258" s="349" t="inlineStr">
        <is>
          <t>room_floor_seam_strip</t>
        </is>
      </c>
      <c r="F258" s="349" t="inlineStr">
        <is>
          <t>root_3d</t>
        </is>
      </c>
      <c r="G258" s="349" t="inlineStr">
        <is>
          <t>ENV-DUNGEON-RUNTIME-3D</t>
        </is>
      </c>
      <c r="H258" s="349" t="inlineStr">
        <is>
          <t>Top3D / local -Z 正面</t>
        </is>
      </c>
      <c r="I258" s="349" t="inlineStr">
        <is>
          <t>default / prefab</t>
        </is>
      </c>
      <c r="J258" s="349" t="inlineStr">
        <is>
          <t>场景通用组件</t>
        </is>
      </c>
      <c r="K258" s="349" t="inlineStr">
        <is>
          <t>程序占位</t>
        </is>
      </c>
      <c r="L258" s="349" t="inlineStr">
        <is>
          <t>P1</t>
        </is>
      </c>
      <c r="M258" s="349" t="inlineStr">
        <is>
          <t>v001</t>
        </is>
      </c>
      <c r="N258" s="349" t="inlineStr">
        <is>
          <t>Godot PackedScene；根=Node3D；碰撞节点=0</t>
        </is>
      </c>
      <c r="O258" s="349" t="inlineStr">
        <is>
          <t>assets/art/props/dungeon_3d/prp_room_floor_seam_strip_v001.tscn</t>
        </is>
      </c>
      <c r="P258" s="349" t="inlineStr">
        <is>
          <t>assets/art/3D模型资产目录与命名规范.md</t>
        </is>
      </c>
      <c r="Q258" s="349" t="inlineStr">
        <is>
          <t>房间地板接缝条;3D;Prefab;场景通用组件;room_floor_seam_strip</t>
        </is>
      </c>
      <c r="R258" s="349">
        <f>LOWER(TRIM(C258)&amp;"|"&amp;TRIM(D258)&amp;"|"&amp;TRIM(E258)&amp;"|"&amp;TRIM(F258)&amp;"|"&amp;TRIM(H258)&amp;"|"&amp;TRIM(I258))</f>
        <v/>
      </c>
      <c r="S258" s="349">
        <f>IF(COUNTIF($R$6:$R$300,R258)&gt;1,"重复","唯一")</f>
        <v/>
      </c>
      <c r="T258" s="349" t="inlineStr">
        <is>
          <t>93df5222c1f8d5a50f381f4915ab10a6ab7981e29f022ce1fcdc6c6645b5c873</t>
        </is>
      </c>
      <c r="U258" s="349" t="inlineStr">
        <is>
          <t>Codex</t>
        </is>
      </c>
      <c r="V258" s="348" t="n">
        <v>46264</v>
      </c>
      <c r="W258" s="349" t="inlineStr">
        <is>
          <t>项目现有Godot资产</t>
        </is>
      </c>
      <c r="X258" s="375" t="inlineStr">
        <is>
          <t>—</t>
        </is>
      </c>
      <c r="Y258" s="34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259">
      <c r="A259" s="349" t="inlineStr">
        <is>
          <t>ENV-DUNGEON-ROOM-FLOOR</t>
        </is>
      </c>
      <c r="B259" s="349" t="inlineStr">
        <is>
          <t>地牢房间地板</t>
        </is>
      </c>
      <c r="C259" s="349" t="inlineStr">
        <is>
          <t>场景</t>
        </is>
      </c>
      <c r="D259" s="349" t="inlineStr">
        <is>
          <t>environment_module_3d</t>
        </is>
      </c>
      <c r="E259" s="349" t="inlineStr">
        <is>
          <t>room_floor</t>
        </is>
      </c>
      <c r="F259" s="349" t="inlineStr">
        <is>
          <t>root_3d</t>
        </is>
      </c>
      <c r="G259" s="349" t="inlineStr">
        <is>
          <t>ENV-DUNGEON-RUNTIME-3D</t>
        </is>
      </c>
      <c r="H259" s="349" t="inlineStr">
        <is>
          <t>Top3D / local -Z 正面</t>
        </is>
      </c>
      <c r="I259" s="349" t="inlineStr">
        <is>
          <t>default / prefab</t>
        </is>
      </c>
      <c r="J259" s="349" t="inlineStr">
        <is>
          <t>场景通用组件</t>
        </is>
      </c>
      <c r="K259" s="349" t="inlineStr">
        <is>
          <t>程序占位</t>
        </is>
      </c>
      <c r="L259" s="349" t="inlineStr">
        <is>
          <t>P1</t>
        </is>
      </c>
      <c r="M259" s="349" t="inlineStr">
        <is>
          <t>v001</t>
        </is>
      </c>
      <c r="N259" s="349" t="inlineStr">
        <is>
          <t>Godot PackedScene；根=Node3D；碰撞节点=1</t>
        </is>
      </c>
      <c r="O259" s="349" t="inlineStr">
        <is>
          <t>assets/art/props/dungeon_3d/prp_room_floor_v001.tscn</t>
        </is>
      </c>
      <c r="P259" s="349" t="inlineStr">
        <is>
          <t>assets/art/3D模型资产目录与命名规范.md</t>
        </is>
      </c>
      <c r="Q259" s="349" t="inlineStr">
        <is>
          <t>地牢房间地板;3D;Prefab;场景通用组件;room_floor</t>
        </is>
      </c>
      <c r="R259" s="349">
        <f>LOWER(TRIM(C259)&amp;"|"&amp;TRIM(D259)&amp;"|"&amp;TRIM(E259)&amp;"|"&amp;TRIM(F259)&amp;"|"&amp;TRIM(H259)&amp;"|"&amp;TRIM(I259))</f>
        <v/>
      </c>
      <c r="S259" s="349">
        <f>IF(COUNTIF($R$6:$R$300,R259)&gt;1,"重复","唯一")</f>
        <v/>
      </c>
      <c r="T259" s="349" t="inlineStr">
        <is>
          <t>98ac22cd5405149c41075f5d4da042bacfe5ec0b8af06f229d2059c85cccba4c</t>
        </is>
      </c>
      <c r="U259" s="349" t="inlineStr">
        <is>
          <t>Codex</t>
        </is>
      </c>
      <c r="V259" s="348" t="n">
        <v>46264</v>
      </c>
      <c r="W259" s="349" t="inlineStr">
        <is>
          <t>项目现有Godot资产</t>
        </is>
      </c>
      <c r="X259" s="375" t="inlineStr">
        <is>
          <t>—</t>
        </is>
      </c>
      <c r="Y259" s="34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260">
      <c r="A260" s="349" t="inlineStr">
        <is>
          <t>ENV-TOWER-ROOFTOP-DESCENT-MARKER</t>
        </is>
      </c>
      <c r="B260" s="349" t="inlineStr">
        <is>
          <t>楼顶下降入口标记</t>
        </is>
      </c>
      <c r="C260" s="349" t="inlineStr">
        <is>
          <t>场景</t>
        </is>
      </c>
      <c r="D260" s="349" t="inlineStr">
        <is>
          <t>environment_module_3d</t>
        </is>
      </c>
      <c r="E260" s="349" t="inlineStr">
        <is>
          <t>room_rooftop_descent_marker</t>
        </is>
      </c>
      <c r="F260" s="349" t="inlineStr">
        <is>
          <t>root_3d</t>
        </is>
      </c>
      <c r="G260" s="349" t="inlineStr">
        <is>
          <t>ENV-TOWER-DESCENT-KIT-3D</t>
        </is>
      </c>
      <c r="H260" s="349" t="inlineStr">
        <is>
          <t>Top3D / local -Z 正面</t>
        </is>
      </c>
      <c r="I260" s="349" t="inlineStr">
        <is>
          <t>default / prefab</t>
        </is>
      </c>
      <c r="J260" s="349" t="inlineStr">
        <is>
          <t>场景通用组件</t>
        </is>
      </c>
      <c r="K260" s="349" t="inlineStr">
        <is>
          <t>程序占位</t>
        </is>
      </c>
      <c r="L260" s="349" t="inlineStr">
        <is>
          <t>P1</t>
        </is>
      </c>
      <c r="M260" s="349" t="inlineStr">
        <is>
          <t>v001</t>
        </is>
      </c>
      <c r="N260" s="349" t="inlineStr">
        <is>
          <t>Godot PackedScene；根=Node3D；碰撞节点=0</t>
        </is>
      </c>
      <c r="O260" s="349" t="inlineStr">
        <is>
          <t>assets/art/props/dungeon_3d/prp_room_rooftop_descent_marker_v001.tscn</t>
        </is>
      </c>
      <c r="P260" s="349" t="inlineStr">
        <is>
          <t>assets/art/3D模型资产目录与命名规范.md</t>
        </is>
      </c>
      <c r="Q260" s="349" t="inlineStr">
        <is>
          <t>楼顶下降入口标记;3D;Prefab;场景通用组件;room_rooftop_descent_marker</t>
        </is>
      </c>
      <c r="R260" s="349">
        <f>LOWER(TRIM(C260)&amp;"|"&amp;TRIM(D260)&amp;"|"&amp;TRIM(E260)&amp;"|"&amp;TRIM(F260)&amp;"|"&amp;TRIM(H260)&amp;"|"&amp;TRIM(I260))</f>
        <v/>
      </c>
      <c r="S260" s="349">
        <f>IF(COUNTIF($R$6:$R$300,R260)&gt;1,"重复","唯一")</f>
        <v/>
      </c>
      <c r="T260" s="349" t="inlineStr">
        <is>
          <t>1f0136508ef40eec0684ad986839d8454a6d8a2d468b52c445fee038450379ad</t>
        </is>
      </c>
      <c r="U260" s="349" t="inlineStr">
        <is>
          <t>Codex</t>
        </is>
      </c>
      <c r="V260" s="348" t="n">
        <v>46264</v>
      </c>
      <c r="W260" s="349" t="inlineStr">
        <is>
          <t>项目现有Godot资产</t>
        </is>
      </c>
      <c r="X260" s="375" t="inlineStr">
        <is>
          <t>—</t>
        </is>
      </c>
      <c r="Y260" s="34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261">
      <c r="A261" s="349" t="inlineStr">
        <is>
          <t>ENV-TOWER-ROOFTOP-FACADE-BAND</t>
        </is>
      </c>
      <c r="B261" s="349" t="inlineStr">
        <is>
          <t>楼顶外立面饰带</t>
        </is>
      </c>
      <c r="C261" s="349" t="inlineStr">
        <is>
          <t>场景</t>
        </is>
      </c>
      <c r="D261" s="349" t="inlineStr">
        <is>
          <t>environment_module_3d</t>
        </is>
      </c>
      <c r="E261" s="349" t="inlineStr">
        <is>
          <t>room_rooftop_facade_band</t>
        </is>
      </c>
      <c r="F261" s="349" t="inlineStr">
        <is>
          <t>root_3d</t>
        </is>
      </c>
      <c r="G261" s="349" t="inlineStr">
        <is>
          <t>ENV-TOWER-DESCENT-KIT-3D</t>
        </is>
      </c>
      <c r="H261" s="349" t="inlineStr">
        <is>
          <t>Top3D / local -Z 正面</t>
        </is>
      </c>
      <c r="I261" s="349" t="inlineStr">
        <is>
          <t>default / prefab</t>
        </is>
      </c>
      <c r="J261" s="349" t="inlineStr">
        <is>
          <t>场景通用组件</t>
        </is>
      </c>
      <c r="K261" s="349" t="inlineStr">
        <is>
          <t>程序占位</t>
        </is>
      </c>
      <c r="L261" s="349" t="inlineStr">
        <is>
          <t>P1</t>
        </is>
      </c>
      <c r="M261" s="349" t="inlineStr">
        <is>
          <t>v001</t>
        </is>
      </c>
      <c r="N261" s="349" t="inlineStr">
        <is>
          <t>Godot PackedScene；根=Node3D；碰撞节点=0</t>
        </is>
      </c>
      <c r="O261" s="349" t="inlineStr">
        <is>
          <t>assets/art/props/dungeon_3d/prp_room_rooftop_facade_band_v001.tscn</t>
        </is>
      </c>
      <c r="P261" s="349" t="inlineStr">
        <is>
          <t>assets/art/3D模型资产目录与命名规范.md</t>
        </is>
      </c>
      <c r="Q261" s="349" t="inlineStr">
        <is>
          <t>楼顶外立面饰带;3D;Prefab;场景通用组件;room_rooftop_facade_band</t>
        </is>
      </c>
      <c r="R261" s="349">
        <f>LOWER(TRIM(C261)&amp;"|"&amp;TRIM(D261)&amp;"|"&amp;TRIM(E261)&amp;"|"&amp;TRIM(F261)&amp;"|"&amp;TRIM(H261)&amp;"|"&amp;TRIM(I261))</f>
        <v/>
      </c>
      <c r="S261" s="349">
        <f>IF(COUNTIF($R$6:$R$300,R261)&gt;1,"重复","唯一")</f>
        <v/>
      </c>
      <c r="T261" s="349" t="inlineStr">
        <is>
          <t>8a6870769e1e83dbf5c6afa9235e3eef5184a5ac3aa12509411a84afae9c52de</t>
        </is>
      </c>
      <c r="U261" s="349" t="inlineStr">
        <is>
          <t>Codex</t>
        </is>
      </c>
      <c r="V261" s="348" t="n">
        <v>46264</v>
      </c>
      <c r="W261" s="349" t="inlineStr">
        <is>
          <t>项目现有Godot资产</t>
        </is>
      </c>
      <c r="X261" s="375" t="inlineStr">
        <is>
          <t>—</t>
        </is>
      </c>
      <c r="Y261" s="34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262">
      <c r="A262" s="349" t="inlineStr">
        <is>
          <t>ENV-TOWER-ROOFTOP-FACADE</t>
        </is>
      </c>
      <c r="B262" s="349" t="inlineStr">
        <is>
          <t>楼顶外立面</t>
        </is>
      </c>
      <c r="C262" s="349" t="inlineStr">
        <is>
          <t>场景</t>
        </is>
      </c>
      <c r="D262" s="349" t="inlineStr">
        <is>
          <t>environment_module_3d</t>
        </is>
      </c>
      <c r="E262" s="349" t="inlineStr">
        <is>
          <t>room_rooftop_facade</t>
        </is>
      </c>
      <c r="F262" s="349" t="inlineStr">
        <is>
          <t>root_3d</t>
        </is>
      </c>
      <c r="G262" s="349" t="inlineStr">
        <is>
          <t>ENV-TOWER-DESCENT-KIT-3D</t>
        </is>
      </c>
      <c r="H262" s="349" t="inlineStr">
        <is>
          <t>Top3D / local -Z 正面</t>
        </is>
      </c>
      <c r="I262" s="349" t="inlineStr">
        <is>
          <t>default / prefab</t>
        </is>
      </c>
      <c r="J262" s="349" t="inlineStr">
        <is>
          <t>场景通用组件</t>
        </is>
      </c>
      <c r="K262" s="349" t="inlineStr">
        <is>
          <t>程序占位</t>
        </is>
      </c>
      <c r="L262" s="349" t="inlineStr">
        <is>
          <t>P1</t>
        </is>
      </c>
      <c r="M262" s="349" t="inlineStr">
        <is>
          <t>v001</t>
        </is>
      </c>
      <c r="N262" s="349" t="inlineStr">
        <is>
          <t>Godot PackedScene；根=Node3D；碰撞节点=0</t>
        </is>
      </c>
      <c r="O262" s="349" t="inlineStr">
        <is>
          <t>assets/art/props/dungeon_3d/prp_room_rooftop_facade_v001.tscn</t>
        </is>
      </c>
      <c r="P262" s="349" t="inlineStr">
        <is>
          <t>assets/art/3D模型资产目录与命名规范.md</t>
        </is>
      </c>
      <c r="Q262" s="349" t="inlineStr">
        <is>
          <t>楼顶外立面;3D;Prefab;场景通用组件;room_rooftop_facade</t>
        </is>
      </c>
      <c r="R262" s="349">
        <f>LOWER(TRIM(C262)&amp;"|"&amp;TRIM(D262)&amp;"|"&amp;TRIM(E262)&amp;"|"&amp;TRIM(F262)&amp;"|"&amp;TRIM(H262)&amp;"|"&amp;TRIM(I262))</f>
        <v/>
      </c>
      <c r="S262" s="349">
        <f>IF(COUNTIF($R$6:$R$300,R262)&gt;1,"重复","唯一")</f>
        <v/>
      </c>
      <c r="T262" s="349" t="inlineStr">
        <is>
          <t>d2f5096342b470c4659e52c616f4b987714290d7d6d6b8987ebc40b76810259e</t>
        </is>
      </c>
      <c r="U262" s="349" t="inlineStr">
        <is>
          <t>Codex</t>
        </is>
      </c>
      <c r="V262" s="348" t="n">
        <v>46264</v>
      </c>
      <c r="W262" s="349" t="inlineStr">
        <is>
          <t>项目现有Godot资产</t>
        </is>
      </c>
      <c r="X262" s="375" t="inlineStr">
        <is>
          <t>—</t>
        </is>
      </c>
      <c r="Y262" s="34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263">
      <c r="A263" s="349" t="inlineStr">
        <is>
          <t>ENV-TOWER-ROOFTOP-RAIL-POST</t>
        </is>
      </c>
      <c r="B263" s="349" t="inlineStr">
        <is>
          <t>楼顶栏杆立柱</t>
        </is>
      </c>
      <c r="C263" s="349" t="inlineStr">
        <is>
          <t>场景</t>
        </is>
      </c>
      <c r="D263" s="349" t="inlineStr">
        <is>
          <t>environment_module_3d</t>
        </is>
      </c>
      <c r="E263" s="349" t="inlineStr">
        <is>
          <t>room_rooftop_rail_post</t>
        </is>
      </c>
      <c r="F263" s="349" t="inlineStr">
        <is>
          <t>root_3d</t>
        </is>
      </c>
      <c r="G263" s="349" t="inlineStr">
        <is>
          <t>ENV-TOWER-DESCENT-KIT-3D</t>
        </is>
      </c>
      <c r="H263" s="349" t="inlineStr">
        <is>
          <t>Top3D / local -Z 正面</t>
        </is>
      </c>
      <c r="I263" s="349" t="inlineStr">
        <is>
          <t>default / prefab</t>
        </is>
      </c>
      <c r="J263" s="349" t="inlineStr">
        <is>
          <t>场景通用组件</t>
        </is>
      </c>
      <c r="K263" s="349" t="inlineStr">
        <is>
          <t>程序占位</t>
        </is>
      </c>
      <c r="L263" s="349" t="inlineStr">
        <is>
          <t>P1</t>
        </is>
      </c>
      <c r="M263" s="349" t="inlineStr">
        <is>
          <t>v001</t>
        </is>
      </c>
      <c r="N263" s="349" t="inlineStr">
        <is>
          <t>Godot PackedScene；根=Node3D；碰撞节点=0</t>
        </is>
      </c>
      <c r="O263" s="349" t="inlineStr">
        <is>
          <t>assets/art/props/dungeon_3d/prp_room_rooftop_rail_post_v001.tscn</t>
        </is>
      </c>
      <c r="P263" s="349" t="inlineStr">
        <is>
          <t>assets/art/3D模型资产目录与命名规范.md</t>
        </is>
      </c>
      <c r="Q263" s="349" t="inlineStr">
        <is>
          <t>楼顶栏杆立柱;3D;Prefab;场景通用组件;room_rooftop_rail_post</t>
        </is>
      </c>
      <c r="R263" s="349">
        <f>LOWER(TRIM(C263)&amp;"|"&amp;TRIM(D263)&amp;"|"&amp;TRIM(E263)&amp;"|"&amp;TRIM(F263)&amp;"|"&amp;TRIM(H263)&amp;"|"&amp;TRIM(I263))</f>
        <v/>
      </c>
      <c r="S263" s="349">
        <f>IF(COUNTIF($R$6:$R$300,R263)&gt;1,"重复","唯一")</f>
        <v/>
      </c>
      <c r="T263" s="349" t="inlineStr">
        <is>
          <t>35cd47a0be0e08b3827ded6a8b2709efe1df2eb27ed29a5fbd85e7713993e217</t>
        </is>
      </c>
      <c r="U263" s="349" t="inlineStr">
        <is>
          <t>Codex</t>
        </is>
      </c>
      <c r="V263" s="348" t="n">
        <v>46264</v>
      </c>
      <c r="W263" s="349" t="inlineStr">
        <is>
          <t>项目现有Godot资产</t>
        </is>
      </c>
      <c r="X263" s="375" t="inlineStr">
        <is>
          <t>—</t>
        </is>
      </c>
      <c r="Y263" s="34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264">
      <c r="A264" s="349" t="inlineStr">
        <is>
          <t>ENV-TOWER-ROOFTOP-RAILING-LOWER</t>
        </is>
      </c>
      <c r="B264" s="349" t="inlineStr">
        <is>
          <t>楼顶下层栏杆</t>
        </is>
      </c>
      <c r="C264" s="349" t="inlineStr">
        <is>
          <t>场景</t>
        </is>
      </c>
      <c r="D264" s="349" t="inlineStr">
        <is>
          <t>environment_module_3d</t>
        </is>
      </c>
      <c r="E264" s="349" t="inlineStr">
        <is>
          <t>room_rooftop_railing_lower</t>
        </is>
      </c>
      <c r="F264" s="349" t="inlineStr">
        <is>
          <t>root_3d</t>
        </is>
      </c>
      <c r="G264" s="349" t="inlineStr">
        <is>
          <t>ENV-TOWER-DESCENT-KIT-3D</t>
        </is>
      </c>
      <c r="H264" s="349" t="inlineStr">
        <is>
          <t>Top3D / local -Z 正面</t>
        </is>
      </c>
      <c r="I264" s="349" t="inlineStr">
        <is>
          <t>default / prefab</t>
        </is>
      </c>
      <c r="J264" s="349" t="inlineStr">
        <is>
          <t>场景通用组件</t>
        </is>
      </c>
      <c r="K264" s="349" t="inlineStr">
        <is>
          <t>程序占位</t>
        </is>
      </c>
      <c r="L264" s="349" t="inlineStr">
        <is>
          <t>P1</t>
        </is>
      </c>
      <c r="M264" s="349" t="inlineStr">
        <is>
          <t>v001</t>
        </is>
      </c>
      <c r="N264" s="349" t="inlineStr">
        <is>
          <t>Godot PackedScene；根=Node3D；碰撞节点=1</t>
        </is>
      </c>
      <c r="O264" s="349" t="inlineStr">
        <is>
          <t>assets/art/props/dungeon_3d/prp_room_rooftop_railing_lower_v001.tscn</t>
        </is>
      </c>
      <c r="P264" s="349" t="inlineStr">
        <is>
          <t>assets/art/3D模型资产目录与命名规范.md</t>
        </is>
      </c>
      <c r="Q264" s="349" t="inlineStr">
        <is>
          <t>楼顶下层栏杆;3D;Prefab;场景通用组件;room_rooftop_railing_lower</t>
        </is>
      </c>
      <c r="R264" s="349">
        <f>LOWER(TRIM(C264)&amp;"|"&amp;TRIM(D264)&amp;"|"&amp;TRIM(E264)&amp;"|"&amp;TRIM(F264)&amp;"|"&amp;TRIM(H264)&amp;"|"&amp;TRIM(I264))</f>
        <v/>
      </c>
      <c r="S264" s="349">
        <f>IF(COUNTIF($R$6:$R$300,R264)&gt;1,"重复","唯一")</f>
        <v/>
      </c>
      <c r="T264" s="349" t="inlineStr">
        <is>
          <t>be6f1d3e15b5a52b51feeca51ab0057d358269522578ff7c0088b6428b1184db</t>
        </is>
      </c>
      <c r="U264" s="349" t="inlineStr">
        <is>
          <t>Codex</t>
        </is>
      </c>
      <c r="V264" s="348" t="n">
        <v>46264</v>
      </c>
      <c r="W264" s="349" t="inlineStr">
        <is>
          <t>项目现有Godot资产</t>
        </is>
      </c>
      <c r="X264" s="375" t="inlineStr">
        <is>
          <t>—</t>
        </is>
      </c>
      <c r="Y264" s="34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265">
      <c r="A265" s="349" t="inlineStr">
        <is>
          <t>ENV-TOWER-ROOFTOP-RAILING-UPPER</t>
        </is>
      </c>
      <c r="B265" s="349" t="inlineStr">
        <is>
          <t>楼顶上层栏杆</t>
        </is>
      </c>
      <c r="C265" s="349" t="inlineStr">
        <is>
          <t>场景</t>
        </is>
      </c>
      <c r="D265" s="349" t="inlineStr">
        <is>
          <t>environment_module_3d</t>
        </is>
      </c>
      <c r="E265" s="349" t="inlineStr">
        <is>
          <t>room_rooftop_railing_upper</t>
        </is>
      </c>
      <c r="F265" s="349" t="inlineStr">
        <is>
          <t>root_3d</t>
        </is>
      </c>
      <c r="G265" s="349" t="inlineStr">
        <is>
          <t>ENV-TOWER-DESCENT-KIT-3D</t>
        </is>
      </c>
      <c r="H265" s="349" t="inlineStr">
        <is>
          <t>Top3D / local -Z 正面</t>
        </is>
      </c>
      <c r="I265" s="349" t="inlineStr">
        <is>
          <t>default / prefab</t>
        </is>
      </c>
      <c r="J265" s="349" t="inlineStr">
        <is>
          <t>场景通用组件</t>
        </is>
      </c>
      <c r="K265" s="349" t="inlineStr">
        <is>
          <t>程序占位</t>
        </is>
      </c>
      <c r="L265" s="349" t="inlineStr">
        <is>
          <t>P1</t>
        </is>
      </c>
      <c r="M265" s="349" t="inlineStr">
        <is>
          <t>v001</t>
        </is>
      </c>
      <c r="N265" s="349" t="inlineStr">
        <is>
          <t>Godot PackedScene；根=Node3D；碰撞节点=0</t>
        </is>
      </c>
      <c r="O265" s="349" t="inlineStr">
        <is>
          <t>assets/art/props/dungeon_3d/prp_room_rooftop_railing_upper_v001.tscn</t>
        </is>
      </c>
      <c r="P265" s="349" t="inlineStr">
        <is>
          <t>assets/art/3D模型资产目录与命名规范.md</t>
        </is>
      </c>
      <c r="Q265" s="349" t="inlineStr">
        <is>
          <t>楼顶上层栏杆;3D;Prefab;场景通用组件;room_rooftop_railing_upper</t>
        </is>
      </c>
      <c r="R265" s="349">
        <f>LOWER(TRIM(C265)&amp;"|"&amp;TRIM(D265)&amp;"|"&amp;TRIM(E265)&amp;"|"&amp;TRIM(F265)&amp;"|"&amp;TRIM(H265)&amp;"|"&amp;TRIM(I265))</f>
        <v/>
      </c>
      <c r="S265" s="349">
        <f>IF(COUNTIF($R$6:$R$300,R265)&gt;1,"重复","唯一")</f>
        <v/>
      </c>
      <c r="T265" s="349" t="inlineStr">
        <is>
          <t>f4a668e9374019455cb08c2de0addfc644da83854729d3147a6e0c093ff33b65</t>
        </is>
      </c>
      <c r="U265" s="349" t="inlineStr">
        <is>
          <t>Codex</t>
        </is>
      </c>
      <c r="V265" s="348" t="n">
        <v>46264</v>
      </c>
      <c r="W265" s="349" t="inlineStr">
        <is>
          <t>项目现有Godot资产</t>
        </is>
      </c>
      <c r="X265" s="375" t="inlineStr">
        <is>
          <t>—</t>
        </is>
      </c>
      <c r="Y265" s="34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266">
      <c r="A266" s="349" t="inlineStr">
        <is>
          <t>ENV-TOWER-ROOFTOP-STAIR-FRAME-LINTEL</t>
        </is>
      </c>
      <c r="B266" s="349" t="inlineStr">
        <is>
          <t>楼顶楼梯框架门楣</t>
        </is>
      </c>
      <c r="C266" s="349" t="inlineStr">
        <is>
          <t>场景</t>
        </is>
      </c>
      <c r="D266" s="349" t="inlineStr">
        <is>
          <t>environment_module_3d</t>
        </is>
      </c>
      <c r="E266" s="349" t="inlineStr">
        <is>
          <t>room_rooftop_stair_frame_lintel</t>
        </is>
      </c>
      <c r="F266" s="349" t="inlineStr">
        <is>
          <t>root_3d</t>
        </is>
      </c>
      <c r="G266" s="349" t="inlineStr">
        <is>
          <t>ENV-TOWER-DESCENT-KIT-3D</t>
        </is>
      </c>
      <c r="H266" s="349" t="inlineStr">
        <is>
          <t>Top3D / local -Z 正面</t>
        </is>
      </c>
      <c r="I266" s="349" t="inlineStr">
        <is>
          <t>default / prefab</t>
        </is>
      </c>
      <c r="J266" s="349" t="inlineStr">
        <is>
          <t>场景通用组件</t>
        </is>
      </c>
      <c r="K266" s="349" t="inlineStr">
        <is>
          <t>程序占位</t>
        </is>
      </c>
      <c r="L266" s="349" t="inlineStr">
        <is>
          <t>P1</t>
        </is>
      </c>
      <c r="M266" s="349" t="inlineStr">
        <is>
          <t>v001</t>
        </is>
      </c>
      <c r="N266" s="349" t="inlineStr">
        <is>
          <t>Godot PackedScene；根=Node3D；碰撞节点=1</t>
        </is>
      </c>
      <c r="O266" s="349" t="inlineStr">
        <is>
          <t>assets/art/props/dungeon_3d/prp_room_rooftop_stair_frame_lintel_v001.tscn</t>
        </is>
      </c>
      <c r="P266" s="349" t="inlineStr">
        <is>
          <t>assets/art/3D模型资产目录与命名规范.md</t>
        </is>
      </c>
      <c r="Q266" s="349" t="inlineStr">
        <is>
          <t>楼顶楼梯框架门楣;3D;Prefab;场景通用组件;room_rooftop_stair_frame_lintel</t>
        </is>
      </c>
      <c r="R266" s="349">
        <f>LOWER(TRIM(C266)&amp;"|"&amp;TRIM(D266)&amp;"|"&amp;TRIM(E266)&amp;"|"&amp;TRIM(F266)&amp;"|"&amp;TRIM(H266)&amp;"|"&amp;TRIM(I266))</f>
        <v/>
      </c>
      <c r="S266" s="349">
        <f>IF(COUNTIF($R$6:$R$300,R266)&gt;1,"重复","唯一")</f>
        <v/>
      </c>
      <c r="T266" s="349" t="inlineStr">
        <is>
          <t>efb05f11a02bf2c4c4b3e455cfaa5de8ae3c9dc50d29e0b67fd7e78b6e8a73f9</t>
        </is>
      </c>
      <c r="U266" s="349" t="inlineStr">
        <is>
          <t>Codex</t>
        </is>
      </c>
      <c r="V266" s="348" t="n">
        <v>46264</v>
      </c>
      <c r="W266" s="349" t="inlineStr">
        <is>
          <t>项目现有Godot资产</t>
        </is>
      </c>
      <c r="X266" s="375" t="inlineStr">
        <is>
          <t>—</t>
        </is>
      </c>
      <c r="Y266" s="34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267">
      <c r="A267" s="349" t="inlineStr">
        <is>
          <t>ENV-TOWER-ROOFTOP-STAIR-FRAME-POST</t>
        </is>
      </c>
      <c r="B267" s="349" t="inlineStr">
        <is>
          <t>楼顶楼梯框架立柱</t>
        </is>
      </c>
      <c r="C267" s="349" t="inlineStr">
        <is>
          <t>场景</t>
        </is>
      </c>
      <c r="D267" s="349" t="inlineStr">
        <is>
          <t>environment_module_3d</t>
        </is>
      </c>
      <c r="E267" s="349" t="inlineStr">
        <is>
          <t>room_rooftop_stair_frame_post</t>
        </is>
      </c>
      <c r="F267" s="349" t="inlineStr">
        <is>
          <t>root_3d</t>
        </is>
      </c>
      <c r="G267" s="349" t="inlineStr">
        <is>
          <t>ENV-TOWER-DESCENT-KIT-3D</t>
        </is>
      </c>
      <c r="H267" s="349" t="inlineStr">
        <is>
          <t>Top3D / local -Z 正面</t>
        </is>
      </c>
      <c r="I267" s="349" t="inlineStr">
        <is>
          <t>default / prefab</t>
        </is>
      </c>
      <c r="J267" s="349" t="inlineStr">
        <is>
          <t>场景通用组件</t>
        </is>
      </c>
      <c r="K267" s="349" t="inlineStr">
        <is>
          <t>程序占位</t>
        </is>
      </c>
      <c r="L267" s="349" t="inlineStr">
        <is>
          <t>P1</t>
        </is>
      </c>
      <c r="M267" s="349" t="inlineStr">
        <is>
          <t>v001</t>
        </is>
      </c>
      <c r="N267" s="349" t="inlineStr">
        <is>
          <t>Godot PackedScene；根=Node3D；碰撞节点=1</t>
        </is>
      </c>
      <c r="O267" s="349" t="inlineStr">
        <is>
          <t>assets/art/props/dungeon_3d/prp_room_rooftop_stair_frame_post_v001.tscn</t>
        </is>
      </c>
      <c r="P267" s="349" t="inlineStr">
        <is>
          <t>assets/art/3D模型资产目录与命名规范.md</t>
        </is>
      </c>
      <c r="Q267" s="349" t="inlineStr">
        <is>
          <t>楼顶楼梯框架立柱;3D;Prefab;场景通用组件;room_rooftop_stair_frame_post</t>
        </is>
      </c>
      <c r="R267" s="349">
        <f>LOWER(TRIM(C267)&amp;"|"&amp;TRIM(D267)&amp;"|"&amp;TRIM(E267)&amp;"|"&amp;TRIM(F267)&amp;"|"&amp;TRIM(H267)&amp;"|"&amp;TRIM(I267))</f>
        <v/>
      </c>
      <c r="S267" s="349">
        <f>IF(COUNTIF($R$6:$R$300,R267)&gt;1,"重复","唯一")</f>
        <v/>
      </c>
      <c r="T267" s="349" t="inlineStr">
        <is>
          <t>bba2d303ea0a6e2b795d0e2b31dbcf5c24db579d19203c5c5a7fe84a85b46977</t>
        </is>
      </c>
      <c r="U267" s="349" t="inlineStr">
        <is>
          <t>Codex</t>
        </is>
      </c>
      <c r="V267" s="348" t="n">
        <v>46264</v>
      </c>
      <c r="W267" s="349" t="inlineStr">
        <is>
          <t>项目现有Godot资产</t>
        </is>
      </c>
      <c r="X267" s="375" t="inlineStr">
        <is>
          <t>—</t>
        </is>
      </c>
      <c r="Y267" s="34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268">
      <c r="A268" s="349" t="inlineStr">
        <is>
          <t>ENV-DUNGEON-STAIR-LOBBY-ROUTE-GUIDE</t>
        </is>
      </c>
      <c r="B268" s="349" t="inlineStr">
        <is>
          <t>楼梯厅路线引导</t>
        </is>
      </c>
      <c r="C268" s="349" t="inlineStr">
        <is>
          <t>场景</t>
        </is>
      </c>
      <c r="D268" s="349" t="inlineStr">
        <is>
          <t>environment_module_3d</t>
        </is>
      </c>
      <c r="E268" s="349" t="inlineStr">
        <is>
          <t>room_stair_lobby_route_guide</t>
        </is>
      </c>
      <c r="F268" s="349" t="inlineStr">
        <is>
          <t>root_3d</t>
        </is>
      </c>
      <c r="G268" s="349" t="inlineStr">
        <is>
          <t>ENV-DUNGEON-RUNTIME-3D</t>
        </is>
      </c>
      <c r="H268" s="349" t="inlineStr">
        <is>
          <t>Top3D / local -Z 正面</t>
        </is>
      </c>
      <c r="I268" s="349" t="inlineStr">
        <is>
          <t>default / prefab</t>
        </is>
      </c>
      <c r="J268" s="349" t="inlineStr">
        <is>
          <t>场景通用组件</t>
        </is>
      </c>
      <c r="K268" s="349" t="inlineStr">
        <is>
          <t>程序占位</t>
        </is>
      </c>
      <c r="L268" s="349" t="inlineStr">
        <is>
          <t>P1</t>
        </is>
      </c>
      <c r="M268" s="349" t="inlineStr">
        <is>
          <t>v001</t>
        </is>
      </c>
      <c r="N268" s="349" t="inlineStr">
        <is>
          <t>Godot PackedScene；根=Node3D；碰撞节点=0</t>
        </is>
      </c>
      <c r="O268" s="349" t="inlineStr">
        <is>
          <t>assets/art/props/dungeon_3d/prp_room_stair_lobby_route_guide_v001.tscn</t>
        </is>
      </c>
      <c r="P268" s="349" t="inlineStr">
        <is>
          <t>assets/art/3D模型资产目录与命名规范.md</t>
        </is>
      </c>
      <c r="Q268" s="349" t="inlineStr">
        <is>
          <t>楼梯厅路线引导;3D;Prefab;场景通用组件;room_stair_lobby_route_guide</t>
        </is>
      </c>
      <c r="R268" s="349">
        <f>LOWER(TRIM(C268)&amp;"|"&amp;TRIM(D268)&amp;"|"&amp;TRIM(E268)&amp;"|"&amp;TRIM(F268)&amp;"|"&amp;TRIM(H268)&amp;"|"&amp;TRIM(I268))</f>
        <v/>
      </c>
      <c r="S268" s="349">
        <f>IF(COUNTIF($R$6:$R$300,R268)&gt;1,"重复","唯一")</f>
        <v/>
      </c>
      <c r="T268" s="349" t="inlineStr">
        <is>
          <t>406e49ff720685c2ff9057e51871925c8f003645dfda340294aece7c1e2642ec</t>
        </is>
      </c>
      <c r="U268" s="349" t="inlineStr">
        <is>
          <t>Codex</t>
        </is>
      </c>
      <c r="V268" s="348" t="n">
        <v>46264</v>
      </c>
      <c r="W268" s="349" t="inlineStr">
        <is>
          <t>项目现有Godot资产</t>
        </is>
      </c>
      <c r="X268" s="375" t="inlineStr">
        <is>
          <t>—</t>
        </is>
      </c>
      <c r="Y268" s="34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269">
      <c r="A269" s="349" t="inlineStr">
        <is>
          <t>ENV-DUNGEON-STAIR-LOBBY-THRESHOLD-GUIDE</t>
        </is>
      </c>
      <c r="B269" s="349" t="inlineStr">
        <is>
          <t>楼梯厅门槛引导</t>
        </is>
      </c>
      <c r="C269" s="349" t="inlineStr">
        <is>
          <t>场景</t>
        </is>
      </c>
      <c r="D269" s="349" t="inlineStr">
        <is>
          <t>environment_module_3d</t>
        </is>
      </c>
      <c r="E269" s="349" t="inlineStr">
        <is>
          <t>room_stair_lobby_threshold_guide</t>
        </is>
      </c>
      <c r="F269" s="349" t="inlineStr">
        <is>
          <t>root_3d</t>
        </is>
      </c>
      <c r="G269" s="349" t="inlineStr">
        <is>
          <t>ENV-DUNGEON-RUNTIME-3D</t>
        </is>
      </c>
      <c r="H269" s="349" t="inlineStr">
        <is>
          <t>Top3D / local -Z 正面</t>
        </is>
      </c>
      <c r="I269" s="349" t="inlineStr">
        <is>
          <t>default / prefab</t>
        </is>
      </c>
      <c r="J269" s="349" t="inlineStr">
        <is>
          <t>场景通用组件</t>
        </is>
      </c>
      <c r="K269" s="349" t="inlineStr">
        <is>
          <t>程序占位</t>
        </is>
      </c>
      <c r="L269" s="349" t="inlineStr">
        <is>
          <t>P1</t>
        </is>
      </c>
      <c r="M269" s="349" t="inlineStr">
        <is>
          <t>v001</t>
        </is>
      </c>
      <c r="N269" s="349" t="inlineStr">
        <is>
          <t>Godot PackedScene；根=Node3D；碰撞节点=0</t>
        </is>
      </c>
      <c r="O269" s="349" t="inlineStr">
        <is>
          <t>assets/art/props/dungeon_3d/prp_room_stair_lobby_threshold_guide_v001.tscn</t>
        </is>
      </c>
      <c r="P269" s="349" t="inlineStr">
        <is>
          <t>assets/art/3D模型资产目录与命名规范.md</t>
        </is>
      </c>
      <c r="Q269" s="349" t="inlineStr">
        <is>
          <t>楼梯厅门槛引导;3D;Prefab;场景通用组件;room_stair_lobby_threshold_guide</t>
        </is>
      </c>
      <c r="R269" s="349">
        <f>LOWER(TRIM(C269)&amp;"|"&amp;TRIM(D269)&amp;"|"&amp;TRIM(E269)&amp;"|"&amp;TRIM(F269)&amp;"|"&amp;TRIM(H269)&amp;"|"&amp;TRIM(I269))</f>
        <v/>
      </c>
      <c r="S269" s="349">
        <f>IF(COUNTIF($R$6:$R$300,R269)&gt;1,"重复","唯一")</f>
        <v/>
      </c>
      <c r="T269" s="349" t="inlineStr">
        <is>
          <t>434b6b0d6e3cf99062101cc2b1e9f2caa7d8270e1f642afed7397a6939734927</t>
        </is>
      </c>
      <c r="U269" s="349" t="inlineStr">
        <is>
          <t>Codex</t>
        </is>
      </c>
      <c r="V269" s="348" t="n">
        <v>46264</v>
      </c>
      <c r="W269" s="349" t="inlineStr">
        <is>
          <t>项目现有Godot资产</t>
        </is>
      </c>
      <c r="X269" s="375" t="inlineStr">
        <is>
          <t>—</t>
        </is>
      </c>
      <c r="Y269" s="34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270">
      <c r="A270" s="349" t="inlineStr">
        <is>
          <t>ENV-DUNGEON-VERTICAL-ACCESS-MARKER</t>
        </is>
      </c>
      <c r="B270" s="349" t="inlineStr">
        <is>
          <t>垂直通行标记</t>
        </is>
      </c>
      <c r="C270" s="349" t="inlineStr">
        <is>
          <t>场景</t>
        </is>
      </c>
      <c r="D270" s="349" t="inlineStr">
        <is>
          <t>environment_module_3d</t>
        </is>
      </c>
      <c r="E270" s="349" t="inlineStr">
        <is>
          <t>room_vertical_access_marker_label</t>
        </is>
      </c>
      <c r="F270" s="349" t="inlineStr">
        <is>
          <t>root_3d</t>
        </is>
      </c>
      <c r="G270" s="349" t="inlineStr">
        <is>
          <t>ENV-DUNGEON-RUNTIME-3D</t>
        </is>
      </c>
      <c r="H270" s="349" t="inlineStr">
        <is>
          <t>Top3D / local -Z 正面</t>
        </is>
      </c>
      <c r="I270" s="349" t="inlineStr">
        <is>
          <t>default / prefab</t>
        </is>
      </c>
      <c r="J270" s="349" t="inlineStr">
        <is>
          <t>场景通用组件</t>
        </is>
      </c>
      <c r="K270" s="349" t="inlineStr">
        <is>
          <t>程序占位</t>
        </is>
      </c>
      <c r="L270" s="349" t="inlineStr">
        <is>
          <t>P1</t>
        </is>
      </c>
      <c r="M270" s="349" t="inlineStr">
        <is>
          <t>v001</t>
        </is>
      </c>
      <c r="N270" s="349" t="inlineStr">
        <is>
          <t>Godot PackedScene；根=Node3D；碰撞节点=0</t>
        </is>
      </c>
      <c r="O270" s="349" t="inlineStr">
        <is>
          <t>assets/art/props/dungeon_3d/prp_room_vertical_access_marker_label_v001.tscn</t>
        </is>
      </c>
      <c r="P270" s="349" t="inlineStr">
        <is>
          <t>assets/art/3D模型资产目录与命名规范.md</t>
        </is>
      </c>
      <c r="Q270" s="349" t="inlineStr">
        <is>
          <t>垂直通行标记;3D;Prefab;场景通用组件;room_vertical_access_marker_label</t>
        </is>
      </c>
      <c r="R270" s="349">
        <f>LOWER(TRIM(C270)&amp;"|"&amp;TRIM(D270)&amp;"|"&amp;TRIM(E270)&amp;"|"&amp;TRIM(F270)&amp;"|"&amp;TRIM(H270)&amp;"|"&amp;TRIM(I270))</f>
        <v/>
      </c>
      <c r="S270" s="349">
        <f>IF(COUNTIF($R$6:$R$300,R270)&gt;1,"重复","唯一")</f>
        <v/>
      </c>
      <c r="T270" s="349" t="inlineStr">
        <is>
          <t>d16dba271384f6d34a5426fe8060e6ebf08bec99acb2c227d480f1749482eb9a</t>
        </is>
      </c>
      <c r="U270" s="349" t="inlineStr">
        <is>
          <t>Codex</t>
        </is>
      </c>
      <c r="V270" s="348" t="n">
        <v>46264</v>
      </c>
      <c r="W270" s="349" t="inlineStr">
        <is>
          <t>项目现有Godot资产</t>
        </is>
      </c>
      <c r="X270" s="375" t="inlineStr">
        <is>
          <t>—</t>
        </is>
      </c>
      <c r="Y270" s="34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271">
      <c r="A271" s="349" t="inlineStr">
        <is>
          <t>ENV-DUNGEON-ROOM-WALL-DOOR-SEGMENT</t>
        </is>
      </c>
      <c r="B271" s="349" t="inlineStr">
        <is>
          <t>房间带门墙段</t>
        </is>
      </c>
      <c r="C271" s="349" t="inlineStr">
        <is>
          <t>场景</t>
        </is>
      </c>
      <c r="D271" s="349" t="inlineStr">
        <is>
          <t>environment_module_3d</t>
        </is>
      </c>
      <c r="E271" s="349" t="inlineStr">
        <is>
          <t>room_wall_door_segment</t>
        </is>
      </c>
      <c r="F271" s="349" t="inlineStr">
        <is>
          <t>root_3d</t>
        </is>
      </c>
      <c r="G271" s="349" t="inlineStr">
        <is>
          <t>ENV-DUNGEON-RUNTIME-3D</t>
        </is>
      </c>
      <c r="H271" s="349" t="inlineStr">
        <is>
          <t>Top3D / local -Z 正面</t>
        </is>
      </c>
      <c r="I271" s="349" t="inlineStr">
        <is>
          <t>default / prefab</t>
        </is>
      </c>
      <c r="J271" s="349" t="inlineStr">
        <is>
          <t>场景通用组件</t>
        </is>
      </c>
      <c r="K271" s="349" t="inlineStr">
        <is>
          <t>程序占位</t>
        </is>
      </c>
      <c r="L271" s="349" t="inlineStr">
        <is>
          <t>P1</t>
        </is>
      </c>
      <c r="M271" s="349" t="inlineStr">
        <is>
          <t>v001</t>
        </is>
      </c>
      <c r="N271" s="349" t="inlineStr">
        <is>
          <t>Godot PackedScene；根=Node3D；碰撞节点=1</t>
        </is>
      </c>
      <c r="O271" s="349" t="inlineStr">
        <is>
          <t>assets/art/props/dungeon_3d/prp_room_wall_door_segment_v001.tscn</t>
        </is>
      </c>
      <c r="P271" s="349" t="inlineStr">
        <is>
          <t>assets/art/3D模型资产目录与命名规范.md</t>
        </is>
      </c>
      <c r="Q271" s="349" t="inlineStr">
        <is>
          <t>房间带门墙段;3D;Prefab;场景通用组件;room_wall_door_segment</t>
        </is>
      </c>
      <c r="R271" s="349">
        <f>LOWER(TRIM(C271)&amp;"|"&amp;TRIM(D271)&amp;"|"&amp;TRIM(E271)&amp;"|"&amp;TRIM(F271)&amp;"|"&amp;TRIM(H271)&amp;"|"&amp;TRIM(I271))</f>
        <v/>
      </c>
      <c r="S271" s="349">
        <f>IF(COUNTIF($R$6:$R$300,R271)&gt;1,"重复","唯一")</f>
        <v/>
      </c>
      <c r="T271" s="349" t="inlineStr">
        <is>
          <t>2b8f588e1fddcfe785d72bf14786fa3b3757733bcca2b4517f93c89c0c9cd299</t>
        </is>
      </c>
      <c r="U271" s="349" t="inlineStr">
        <is>
          <t>Codex</t>
        </is>
      </c>
      <c r="V271" s="348" t="n">
        <v>46264</v>
      </c>
      <c r="W271" s="349" t="inlineStr">
        <is>
          <t>项目现有Godot资产</t>
        </is>
      </c>
      <c r="X271" s="375" t="inlineStr">
        <is>
          <t>—</t>
        </is>
      </c>
      <c r="Y271" s="34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272">
      <c r="A272" s="349" t="inlineStr">
        <is>
          <t>ENV-DUNGEON-ROOM-WALL-SEGMENT</t>
        </is>
      </c>
      <c r="B272" s="349" t="inlineStr">
        <is>
          <t>房间普通墙段</t>
        </is>
      </c>
      <c r="C272" s="349" t="inlineStr">
        <is>
          <t>场景</t>
        </is>
      </c>
      <c r="D272" s="349" t="inlineStr">
        <is>
          <t>environment_module_3d</t>
        </is>
      </c>
      <c r="E272" s="349" t="inlineStr">
        <is>
          <t>room_wall_segment</t>
        </is>
      </c>
      <c r="F272" s="349" t="inlineStr">
        <is>
          <t>root_3d</t>
        </is>
      </c>
      <c r="G272" s="349" t="inlineStr">
        <is>
          <t>ENV-DUNGEON-RUNTIME-3D</t>
        </is>
      </c>
      <c r="H272" s="349" t="inlineStr">
        <is>
          <t>Top3D / local -Z 正面</t>
        </is>
      </c>
      <c r="I272" s="349" t="inlineStr">
        <is>
          <t>default / prefab</t>
        </is>
      </c>
      <c r="J272" s="349" t="inlineStr">
        <is>
          <t>场景通用组件</t>
        </is>
      </c>
      <c r="K272" s="349" t="inlineStr">
        <is>
          <t>程序占位</t>
        </is>
      </c>
      <c r="L272" s="349" t="inlineStr">
        <is>
          <t>P1</t>
        </is>
      </c>
      <c r="M272" s="349" t="inlineStr">
        <is>
          <t>v001</t>
        </is>
      </c>
      <c r="N272" s="349" t="inlineStr">
        <is>
          <t>Godot PackedScene；根=Node3D；碰撞节点=1</t>
        </is>
      </c>
      <c r="O272" s="349" t="inlineStr">
        <is>
          <t>assets/art/props/dungeon_3d/prp_room_wall_segment_v001.tscn</t>
        </is>
      </c>
      <c r="P272" s="349" t="inlineStr">
        <is>
          <t>assets/art/3D模型资产目录与命名规范.md</t>
        </is>
      </c>
      <c r="Q272" s="349" t="inlineStr">
        <is>
          <t>房间普通墙段;3D;Prefab;场景通用组件;room_wall_segment</t>
        </is>
      </c>
      <c r="R272" s="349">
        <f>LOWER(TRIM(C272)&amp;"|"&amp;TRIM(D272)&amp;"|"&amp;TRIM(E272)&amp;"|"&amp;TRIM(F272)&amp;"|"&amp;TRIM(H272)&amp;"|"&amp;TRIM(I272))</f>
        <v/>
      </c>
      <c r="S272" s="349">
        <f>IF(COUNTIF($R$6:$R$300,R272)&gt;1,"重复","唯一")</f>
        <v/>
      </c>
      <c r="T272" s="349" t="inlineStr">
        <is>
          <t>abaad0806ec2da25df27bec88720515e194cf409a53a507606f73494a9cd2e6a</t>
        </is>
      </c>
      <c r="U272" s="349" t="inlineStr">
        <is>
          <t>Codex</t>
        </is>
      </c>
      <c r="V272" s="348" t="n">
        <v>46264</v>
      </c>
      <c r="W272" s="349" t="inlineStr">
        <is>
          <t>项目现有Godot资产</t>
        </is>
      </c>
      <c r="X272" s="375" t="inlineStr">
        <is>
          <t>—</t>
        </is>
      </c>
      <c r="Y272" s="34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273">
      <c r="A273" s="349" t="inlineStr">
        <is>
          <t>ENV-TOWER-WALL-PARAPET-DOOR-5M</t>
        </is>
      </c>
      <c r="B273" s="349" t="inlineStr">
        <is>
          <t>塔楼带门女儿墙5米</t>
        </is>
      </c>
      <c r="C273" s="349" t="inlineStr">
        <is>
          <t>场景</t>
        </is>
      </c>
      <c r="D273" s="349" t="inlineStr">
        <is>
          <t>environment_module_3d</t>
        </is>
      </c>
      <c r="E273" s="349" t="inlineStr">
        <is>
          <t>tower_wall_parapet_door_5m</t>
        </is>
      </c>
      <c r="F273" s="349" t="inlineStr">
        <is>
          <t>root_3d</t>
        </is>
      </c>
      <c r="G273" s="349" t="inlineStr">
        <is>
          <t>ENV-TOWER-DESCENT-KIT-3D</t>
        </is>
      </c>
      <c r="H273" s="349" t="inlineStr">
        <is>
          <t>Top3D / local -Z 正面</t>
        </is>
      </c>
      <c r="I273" s="349" t="inlineStr">
        <is>
          <t>default / prefab</t>
        </is>
      </c>
      <c r="J273" s="349" t="inlineStr">
        <is>
          <t>场景通用组件</t>
        </is>
      </c>
      <c r="K273" s="349" t="inlineStr">
        <is>
          <t>程序占位</t>
        </is>
      </c>
      <c r="L273" s="349" t="inlineStr">
        <is>
          <t>P1</t>
        </is>
      </c>
      <c r="M273" s="349" t="inlineStr">
        <is>
          <t>v001</t>
        </is>
      </c>
      <c r="N273" s="349" t="inlineStr">
        <is>
          <t>Godot PackedScene；根=Node3D；碰撞节点=2</t>
        </is>
      </c>
      <c r="O273" s="349" t="inlineStr">
        <is>
          <t>assets/art/props/dungeon_3d/prp_tower_wall_parapet_door_5m_v001.tscn</t>
        </is>
      </c>
      <c r="P273" s="349" t="inlineStr">
        <is>
          <t>assets/art/3D模型资产目录与命名规范.md</t>
        </is>
      </c>
      <c r="Q273" s="349" t="inlineStr">
        <is>
          <t>塔楼带门女儿墙5米;3D;Prefab;场景通用组件;tower_wall_parapet_door_5m</t>
        </is>
      </c>
      <c r="R273" s="349">
        <f>LOWER(TRIM(C273)&amp;"|"&amp;TRIM(D273)&amp;"|"&amp;TRIM(E273)&amp;"|"&amp;TRIM(F273)&amp;"|"&amp;TRIM(H273)&amp;"|"&amp;TRIM(I273))</f>
        <v/>
      </c>
      <c r="S273" s="349">
        <f>IF(COUNTIF($R$6:$R$300,R273)&gt;1,"重复","唯一")</f>
        <v/>
      </c>
      <c r="T273" s="349" t="inlineStr">
        <is>
          <t>5112789a1c06ea2d2da1b5da68f0ca07a2f65903ace288956a3de8aa10b22aa3</t>
        </is>
      </c>
      <c r="U273" s="349" t="inlineStr">
        <is>
          <t>Codex</t>
        </is>
      </c>
      <c r="V273" s="348" t="n">
        <v>46264</v>
      </c>
      <c r="W273" s="349" t="inlineStr">
        <is>
          <t>项目现有Godot资产</t>
        </is>
      </c>
      <c r="X273" s="375" t="inlineStr">
        <is>
          <t>—</t>
        </is>
      </c>
      <c r="Y273" s="34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274">
      <c r="A274" s="349" t="inlineStr">
        <is>
          <t>PRP-BASE-FACILITY-LIGHT-GRID-3D</t>
        </is>
      </c>
      <c r="B274" s="349" t="inlineStr">
        <is>
          <t>基地设施灯光网格</t>
        </is>
      </c>
      <c r="C274" s="349" t="inlineStr">
        <is>
          <t>场景道具</t>
        </is>
      </c>
      <c r="D274" s="349" t="inlineStr">
        <is>
          <t>facility</t>
        </is>
      </c>
      <c r="E274" s="349" t="inlineStr">
        <is>
          <t>base_facility_light_grid</t>
        </is>
      </c>
      <c r="F274" s="349" t="inlineStr">
        <is>
          <t>root_3d</t>
        </is>
      </c>
      <c r="G274" s="349" t="inlineStr">
        <is>
          <t>PRP-BASE-FACILITY-3D</t>
        </is>
      </c>
      <c r="H274" s="349" t="inlineStr">
        <is>
          <t>Top3D / local -Z 正面</t>
        </is>
      </c>
      <c r="I274" s="349" t="inlineStr">
        <is>
          <t>default / prefab</t>
        </is>
      </c>
      <c r="J274" s="349" t="inlineStr">
        <is>
          <t>设施组件</t>
        </is>
      </c>
      <c r="K274" s="349" t="inlineStr">
        <is>
          <t>程序占位</t>
        </is>
      </c>
      <c r="L274" s="349" t="inlineStr">
        <is>
          <t>P1</t>
        </is>
      </c>
      <c r="M274" s="349" t="inlineStr">
        <is>
          <t>v001</t>
        </is>
      </c>
      <c r="N274" s="349" t="inlineStr">
        <is>
          <t>Godot PackedScene；根=Node3D；碰撞节点=0</t>
        </is>
      </c>
      <c r="O274" s="349" t="inlineStr">
        <is>
          <t>assets/art/props/dungeon_3d/prp_base_facility_light_grid_root_top3d_v001.tscn</t>
        </is>
      </c>
      <c r="P274" s="349" t="inlineStr">
        <is>
          <t>assets/art/props/dungeon_3d/prp_wasteland_light_root_top3d_v001.tscn; assets/art/3D模型资产目录与命名规范.md</t>
        </is>
      </c>
      <c r="Q274" s="349" t="inlineStr">
        <is>
          <t>基地设施灯光网格;3D;Prefab;设施组件;base_facility_light_grid</t>
        </is>
      </c>
      <c r="R274" s="349">
        <f>LOWER(TRIM(C274)&amp;"|"&amp;TRIM(D274)&amp;"|"&amp;TRIM(E274)&amp;"|"&amp;TRIM(F274)&amp;"|"&amp;TRIM(H274)&amp;"|"&amp;TRIM(I274))</f>
        <v/>
      </c>
      <c r="S274" s="349">
        <f>IF(COUNTIF($R$6:$R$300,R274)&gt;1,"重复","唯一")</f>
        <v/>
      </c>
      <c r="T274" s="349" t="inlineStr">
        <is>
          <t>830cd5af5cdbad6e744ebb2eaaa2508aeb70a618f790a9c4edec23d59b5c7043</t>
        </is>
      </c>
      <c r="U274" s="349" t="inlineStr">
        <is>
          <t>Codex</t>
        </is>
      </c>
      <c r="V274" s="348" t="n">
        <v>46252</v>
      </c>
      <c r="W274" s="349" t="inlineStr">
        <is>
          <t>项目现有Godot资产</t>
        </is>
      </c>
      <c r="X274" s="375" t="inlineStr">
        <is>
          <t>—</t>
        </is>
      </c>
      <c r="Y274" s="349" t="inlineStr">
        <is>
          <t>2026-08-18项目扫描补登记；按Prefab独立身份管理；根节点=BaseFacilityLightGrid(Node3D)；子Prefab=1；2026-08-18扫描补登记资产主表</t>
        </is>
      </c>
    </row>
    <row r="275">
      <c r="A275" s="349" t="inlineStr">
        <is>
          <t>ENV-BASE99-WALL-WINDOW-5X9</t>
        </is>
      </c>
      <c r="B275" s="349" t="inlineStr">
        <is>
          <t>基地99层带窗墙体5×9米</t>
        </is>
      </c>
      <c r="C275" s="349" t="inlineStr">
        <is>
          <t>场景</t>
        </is>
      </c>
      <c r="D275" s="349" t="inlineStr">
        <is>
          <t>environment_module_3d</t>
        </is>
      </c>
      <c r="E275" s="349" t="inlineStr">
        <is>
          <t>base99_wall_window_5x9</t>
        </is>
      </c>
      <c r="F275" s="349" t="inlineStr">
        <is>
          <t>wall_window</t>
        </is>
      </c>
      <c r="G275" s="349" t="inlineStr">
        <is>
          <t>ENV-BASE99-MODULAR-KIT-3D</t>
        </is>
      </c>
      <c r="H275" s="349" t="inlineStr">
        <is>
          <t>Top3D / local -Z 正面</t>
        </is>
      </c>
      <c r="I275" s="349" t="inlineStr">
        <is>
          <t>default / visual_only</t>
        </is>
      </c>
      <c r="J275" s="349" t="inlineStr">
        <is>
          <t>99层基地模块化结构</t>
        </is>
      </c>
      <c r="K275" s="349" t="inlineStr">
        <is>
          <t>已完成</t>
        </is>
      </c>
      <c r="L275" s="349" t="inlineStr">
        <is>
          <t>P0</t>
        </is>
      </c>
      <c r="M275" s="349" t="inlineStr">
        <is>
          <t>v001</t>
        </is>
      </c>
      <c r="N275" s="349" t="inlineStr">
        <is>
          <t>5×9×0.60m视觉外廓；底边中心原点</t>
        </is>
      </c>
      <c r="O275" s="349" t="inlineStr">
        <is>
          <t>assets/art/environments/base_facility_3d/runtime/env_base99_wall_window_5x9/env_base99_wall_window_5x9_root_top3d_v001.tscn</t>
        </is>
      </c>
      <c r="P275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5" s="349" t="inlineStr">
        <is>
          <t>基地99层带窗墙体5×9米;base99;PaletteUV;cast_and_receive</t>
        </is>
      </c>
      <c r="R275" s="349">
        <f>LOWER(TRIM(C275)&amp;"|"&amp;TRIM(D275)&amp;"|"&amp;TRIM(E275)&amp;"|"&amp;TRIM(F275)&amp;"|"&amp;TRIM(H275)&amp;"|"&amp;TRIM(I275))</f>
        <v/>
      </c>
      <c r="S275" s="349">
        <f>IF(COUNTIF($R$6:$R$300,R275)&gt;1,"重复","唯一")</f>
        <v/>
      </c>
      <c r="T275" s="349" t="inlineStr">
        <is>
          <t>4ea43e7f70f4acb9d3ad729b75d69f023aa135493391e42f1cc3623053ca122c</t>
        </is>
      </c>
      <c r="U275" s="349" t="inlineStr">
        <is>
          <t>Codex</t>
        </is>
      </c>
      <c r="V275" s="349" t="n">
        <v>46264</v>
      </c>
      <c r="W275" s="349" t="inlineStr">
        <is>
          <t>用户自制Blender资产</t>
        </is>
      </c>
      <c r="X275" s="375" t="inlineStr">
        <is>
          <t>—</t>
        </is>
      </c>
      <c r="Y275" s="34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276">
      <c r="A276" s="349" t="inlineStr">
        <is>
          <t>ENV-BASE99-MEZZANINE-20X10-Z7</t>
        </is>
      </c>
      <c r="B276" s="349" t="inlineStr">
        <is>
          <t>基地99层7米楼中楼楼板</t>
        </is>
      </c>
      <c r="C276" s="349" t="inlineStr">
        <is>
          <t>场景</t>
        </is>
      </c>
      <c r="D276" s="349" t="inlineStr">
        <is>
          <t>environment_module_3d</t>
        </is>
      </c>
      <c r="E276" s="349" t="inlineStr">
        <is>
          <t>base99_mezzanine_20x10_z7</t>
        </is>
      </c>
      <c r="F276" s="349" t="inlineStr">
        <is>
          <t>mezzanine</t>
        </is>
      </c>
      <c r="G276" s="349" t="inlineStr">
        <is>
          <t>ENV-BASE99-MODULAR-KIT-3D</t>
        </is>
      </c>
      <c r="H276" s="349" t="inlineStr">
        <is>
          <t>Top3D / local -Z 正面</t>
        </is>
      </c>
      <c r="I276" s="349" t="inlineStr">
        <is>
          <t>default / visual_only</t>
        </is>
      </c>
      <c r="J276" s="349" t="inlineStr">
        <is>
          <t>99层基地模块化结构</t>
        </is>
      </c>
      <c r="K276" s="349" t="inlineStr">
        <is>
          <t>已完成</t>
        </is>
      </c>
      <c r="L276" s="349" t="inlineStr">
        <is>
          <t>P0</t>
        </is>
      </c>
      <c r="M276" s="349" t="inlineStr">
        <is>
          <t>v001</t>
        </is>
      </c>
      <c r="N276" s="349" t="inlineStr">
        <is>
          <t>约20.25×10.25m外廓；完成面7m；底部中心原点</t>
        </is>
      </c>
      <c r="O276" s="349" t="inlineStr">
        <is>
          <t>assets/art/environments/base_facility_3d/runtime/env_base99_mezzanine_20x10_z7/env_base99_mezzanine_20x10_z7_root_top3d_v001.tscn</t>
        </is>
      </c>
      <c r="P276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6" s="349" t="inlineStr">
        <is>
          <t>基地99层7米楼中楼楼板;base99;PaletteUV;cast_and_receive</t>
        </is>
      </c>
      <c r="R276" s="349">
        <f>LOWER(TRIM(C276)&amp;"|"&amp;TRIM(D276)&amp;"|"&amp;TRIM(E276)&amp;"|"&amp;TRIM(F276)&amp;"|"&amp;TRIM(H276)&amp;"|"&amp;TRIM(I276))</f>
        <v/>
      </c>
      <c r="S276" s="349">
        <f>IF(COUNTIF($R$6:$R$300,R276)&gt;1,"重复","唯一")</f>
        <v/>
      </c>
      <c r="T276" s="349" t="inlineStr">
        <is>
          <t>a57b8d9db0c2fe9927bd71d9e51264b7dde30b3a6ad52a093d01a2c0fbb53a2e</t>
        </is>
      </c>
      <c r="U276" s="349" t="inlineStr">
        <is>
          <t>Codex</t>
        </is>
      </c>
      <c r="V276" s="349" t="n">
        <v>46264</v>
      </c>
      <c r="W276" s="349" t="inlineStr">
        <is>
          <t>用户自制Blender资产</t>
        </is>
      </c>
      <c r="X276" s="375" t="inlineStr">
        <is>
          <t>—</t>
        </is>
      </c>
      <c r="Y276" s="34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277">
      <c r="A277" s="349" t="inlineStr">
        <is>
          <t>ENV-BASE99-STAIR-L-Z7</t>
        </is>
      </c>
      <c r="B277" s="349" t="inlineStr">
        <is>
          <t>基地99层7米L型楼梯</t>
        </is>
      </c>
      <c r="C277" s="349" t="inlineStr">
        <is>
          <t>场景</t>
        </is>
      </c>
      <c r="D277" s="349" t="inlineStr">
        <is>
          <t>environment_module_3d</t>
        </is>
      </c>
      <c r="E277" s="349" t="inlineStr">
        <is>
          <t>base99_stair_l_z7</t>
        </is>
      </c>
      <c r="F277" s="349" t="inlineStr">
        <is>
          <t>stair_l</t>
        </is>
      </c>
      <c r="G277" s="349" t="inlineStr">
        <is>
          <t>ENV-BASE99-MODULAR-KIT-3D</t>
        </is>
      </c>
      <c r="H277" s="349" t="inlineStr">
        <is>
          <t>Top3D / local -Z 正面</t>
        </is>
      </c>
      <c r="I277" s="349" t="inlineStr">
        <is>
          <t>default / visual_only</t>
        </is>
      </c>
      <c r="J277" s="349" t="inlineStr">
        <is>
          <t>99层基地模块化结构</t>
        </is>
      </c>
      <c r="K277" s="349" t="inlineStr">
        <is>
          <t>已完成</t>
        </is>
      </c>
      <c r="L277" s="349" t="inlineStr">
        <is>
          <t>P0</t>
        </is>
      </c>
      <c r="M277" s="349" t="inlineStr">
        <is>
          <t>v001</t>
        </is>
      </c>
      <c r="N277" s="349" t="inlineStr">
        <is>
          <t>约9.22×10.54×7.94m外廓；一楼至7m楼板</t>
        </is>
      </c>
      <c r="O277" s="349" t="inlineStr">
        <is>
          <t>assets/art/environments/base_facility_3d/runtime/env_base99_stair_l_z7/env_base99_stair_l_z7_root_top3d_v001.tscn</t>
        </is>
      </c>
      <c r="P277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7" s="349" t="inlineStr">
        <is>
          <t>基地99层7米L型楼梯;base99;PaletteUV;cast_and_receive</t>
        </is>
      </c>
      <c r="R277" s="349">
        <f>LOWER(TRIM(C277)&amp;"|"&amp;TRIM(D277)&amp;"|"&amp;TRIM(E277)&amp;"|"&amp;TRIM(F277)&amp;"|"&amp;TRIM(H277)&amp;"|"&amp;TRIM(I277))</f>
        <v/>
      </c>
      <c r="S277" s="349">
        <f>IF(COUNTIF($R$6:$R$300,R277)&gt;1,"重复","唯一")</f>
        <v/>
      </c>
      <c r="T277" s="349" t="inlineStr">
        <is>
          <t>471d64b1c1aca185c0920db02578150f0b27e7345f9451f90be40ef03fdd6269</t>
        </is>
      </c>
      <c r="U277" s="349" t="inlineStr">
        <is>
          <t>Codex</t>
        </is>
      </c>
      <c r="V277" s="349" t="n">
        <v>46264</v>
      </c>
      <c r="W277" s="349" t="inlineStr">
        <is>
          <t>用户自制Blender资产</t>
        </is>
      </c>
      <c r="X277" s="375" t="inlineStr">
        <is>
          <t>—</t>
        </is>
      </c>
      <c r="Y277" s="34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278">
      <c r="A278" s="349" t="inlineStr">
        <is>
          <t>ENV-BASE99-STAIR-EXTERIOR-H2</t>
        </is>
      </c>
      <c r="B278" s="349" t="inlineStr">
        <is>
          <t>基地99层二楼外门2米小楼梯</t>
        </is>
      </c>
      <c r="C278" s="349" t="inlineStr">
        <is>
          <t>场景</t>
        </is>
      </c>
      <c r="D278" s="349" t="inlineStr">
        <is>
          <t>environment_module_3d</t>
        </is>
      </c>
      <c r="E278" s="349" t="inlineStr">
        <is>
          <t>base99_stair_exterior_h2</t>
        </is>
      </c>
      <c r="F278" s="349" t="inlineStr">
        <is>
          <t>stair_exterior</t>
        </is>
      </c>
      <c r="G278" s="349" t="inlineStr">
        <is>
          <t>ENV-BASE99-MODULAR-KIT-3D</t>
        </is>
      </c>
      <c r="H278" s="349" t="inlineStr">
        <is>
          <t>Top3D / local -Z 正面</t>
        </is>
      </c>
      <c r="I278" s="349" t="inlineStr">
        <is>
          <t>default / visual_only</t>
        </is>
      </c>
      <c r="J278" s="349" t="inlineStr">
        <is>
          <t>99层基地模块化结构</t>
        </is>
      </c>
      <c r="K278" s="349" t="inlineStr">
        <is>
          <t>已完成</t>
        </is>
      </c>
      <c r="L278" s="349" t="inlineStr">
        <is>
          <t>P0</t>
        </is>
      </c>
      <c r="M278" s="349" t="inlineStr">
        <is>
          <t>v001</t>
        </is>
      </c>
      <c r="N278" s="349" t="inlineStr">
        <is>
          <t>4.515×2.80×2.00m；7m楼板至9m外门门槛</t>
        </is>
      </c>
      <c r="O278" s="349" t="inlineStr">
        <is>
          <t>assets/art/environments/base_facility_3d/runtime/env_base99_stair_exterior_h2/env_base99_stair_exterior_h2_root_top3d_v001.tscn</t>
        </is>
      </c>
      <c r="P278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8" s="349" t="inlineStr">
        <is>
          <t>基地99层二楼外门2米小楼梯;base99;PaletteUV;cast_and_receive</t>
        </is>
      </c>
      <c r="R278" s="349">
        <f>LOWER(TRIM(C278)&amp;"|"&amp;TRIM(D278)&amp;"|"&amp;TRIM(E278)&amp;"|"&amp;TRIM(F278)&amp;"|"&amp;TRIM(H278)&amp;"|"&amp;TRIM(I278))</f>
        <v/>
      </c>
      <c r="S278" s="349">
        <f>IF(COUNTIF($R$6:$R$300,R278)&gt;1,"重复","唯一")</f>
        <v/>
      </c>
      <c r="T278" s="349" t="inlineStr">
        <is>
          <t>9b4b79ae0210ebf549b40015dfef5ef19f54c87c2622bcbdd02e5609eae77531</t>
        </is>
      </c>
      <c r="U278" s="349" t="inlineStr">
        <is>
          <t>Codex</t>
        </is>
      </c>
      <c r="V278" s="349" t="n">
        <v>46264</v>
      </c>
      <c r="W278" s="349" t="inlineStr">
        <is>
          <t>用户自制Blender资产</t>
        </is>
      </c>
      <c r="X278" s="375" t="inlineStr">
        <is>
          <t>—</t>
        </is>
      </c>
      <c r="Y278" s="34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279">
      <c r="A279" s="349" t="inlineStr">
        <is>
          <t>ENV-BASE99-DOOR-LIFT-22X25</t>
        </is>
      </c>
      <c r="B279" s="349" t="inlineStr">
        <is>
          <t>基地99层2.2×2.5米滑升门扇</t>
        </is>
      </c>
      <c r="C279" s="349" t="inlineStr">
        <is>
          <t>场景</t>
        </is>
      </c>
      <c r="D279" s="349" t="inlineStr">
        <is>
          <t>facility_visual_3d</t>
        </is>
      </c>
      <c r="E279" s="349" t="inlineStr">
        <is>
          <t>base99_door_lift_2p2x2p5</t>
        </is>
      </c>
      <c r="F279" s="349" t="inlineStr">
        <is>
          <t>door_leaf</t>
        </is>
      </c>
      <c r="G279" s="349" t="inlineStr">
        <is>
          <t>ENV-BASE99-MODULAR-KIT-3D</t>
        </is>
      </c>
      <c r="H279" s="349" t="inlineStr">
        <is>
          <t>Top3D / local -Z 正面</t>
        </is>
      </c>
      <c r="I279" s="349" t="inlineStr">
        <is>
          <t>default / visual_only</t>
        </is>
      </c>
      <c r="J279" s="349" t="inlineStr">
        <is>
          <t>99层基地东/西滑升门</t>
        </is>
      </c>
      <c r="K279" s="349" t="inlineStr">
        <is>
          <t>已完成</t>
        </is>
      </c>
      <c r="L279" s="349" t="inlineStr">
        <is>
          <t>P0</t>
        </is>
      </c>
      <c r="M279" s="349" t="inlineStr">
        <is>
          <t>v001</t>
        </is>
      </c>
      <c r="N279" s="349" t="inlineStr">
        <is>
          <t>2.2×0.325×2.5m；底边中心原点</t>
        </is>
      </c>
      <c r="O279" s="349" t="inlineStr">
        <is>
          <t>assets/art/environments/base_facility_3d/runtime/env_base99_door_lift_2p2x2p5/env_base99_door_lift_2p2x2p5_root_top3d_v001.tscn</t>
        </is>
      </c>
      <c r="P279" s="34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279" s="349" t="inlineStr">
        <is>
          <t>基地99层2.2×2.5米滑升门扇;base99;PaletteUV;cast_and_receive</t>
        </is>
      </c>
      <c r="R279" s="349">
        <f>LOWER(TRIM(C279)&amp;"|"&amp;TRIM(D279)&amp;"|"&amp;TRIM(E279)&amp;"|"&amp;TRIM(F279)&amp;"|"&amp;TRIM(H279)&amp;"|"&amp;TRIM(I279))</f>
        <v/>
      </c>
      <c r="S279" s="349">
        <f>IF(COUNTIF($R$6:$R$300,R279)&gt;1,"重复","唯一")</f>
        <v/>
      </c>
      <c r="T279" s="349" t="inlineStr">
        <is>
          <t>2e2541a5bcaa6afed9f1ecde2877d6352824bf45871e370afd647bf6fe6b1fce</t>
        </is>
      </c>
      <c r="U279" s="349" t="inlineStr">
        <is>
          <t>Codex</t>
        </is>
      </c>
      <c r="V279" s="349" t="n">
        <v>46264</v>
      </c>
      <c r="W279" s="349" t="inlineStr">
        <is>
          <t>用户自制Blender资产</t>
        </is>
      </c>
      <c r="X279" s="375" t="inlineStr">
        <is>
          <t>—</t>
        </is>
      </c>
      <c r="Y279" s="34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280">
      <c r="A280" t="inlineStr">
        <is>
          <t>ENV-BASE100-UPPER-SHELL-30X30-H9</t>
        </is>
      </c>
      <c r="B280" t="inlineStr">
        <is>
          <t>基地100层上层围护与18米封顶</t>
        </is>
      </c>
      <c r="C280" t="inlineStr">
        <is>
          <t>场景</t>
        </is>
      </c>
      <c r="D280" t="inlineStr">
        <is>
          <t>environment_kit_3d</t>
        </is>
      </c>
      <c r="E280" t="inlineStr">
        <is>
          <t>base100_upper_shell_30x30_h9</t>
        </is>
      </c>
      <c r="F280" t="inlineStr">
        <is>
          <t>root_3d</t>
        </is>
      </c>
      <c r="G280" t="inlineStr">
        <is>
          <t>ENV-BASE99-MODULAR-KIT-3D</t>
        </is>
      </c>
      <c r="H280" t="inlineStr">
        <is>
          <t>Top3D / local -Z 正面</t>
        </is>
      </c>
      <c r="I280" t="inlineStr">
        <is>
          <t>default / prefab</t>
        </is>
      </c>
      <c r="J280" t="inlineStr">
        <is>
          <t>场景通用组件</t>
        </is>
      </c>
      <c r="K280" t="inlineStr">
        <is>
          <t>已完成</t>
        </is>
      </c>
      <c r="L280" t="inlineStr">
        <is>
          <t>P0</t>
        </is>
      </c>
      <c r="M280" t="inlineStr">
        <is>
          <t>v001</t>
        </is>
      </c>
      <c r="N280" t="inlineStr">
        <is>
          <t>30×30m围护；本地9—18m墙体；18m封顶</t>
        </is>
      </c>
      <c r="O280" t="inlineStr">
        <is>
          <t>assets/art/environments/base_facility_3d/runtime/env_base100_upper_shell_30x30_h9/env_base100_upper_shell_30x30_h9_root_top3d_v001.tscn</t>
        </is>
      </c>
      <c r="P280" t="inlineStr">
        <is>
          <t>assets/art/environments/base_facility_3d/source/env_base99_modular_room/env_base99_modular_room_source_v001.blend; src/world3d/Base100UpperShell3D.gd; assets/art/3D模型资产目录与命名规范.md</t>
        </is>
      </c>
      <c r="Q280" t="inlineStr">
        <is>
          <t>基地100层;上层围护;北侧窗墙;18米封顶;可编辑Prefab;cast_and_receive</t>
        </is>
      </c>
      <c r="R280">
        <f>LOWER(TRIM(C280)&amp;"|"&amp;TRIM(D280)&amp;"|"&amp;TRIM(E280)&amp;"|"&amp;TRIM(F280)&amp;"|"&amp;TRIM(H280)&amp;"|"&amp;TRIM(I280))</f>
        <v/>
      </c>
      <c r="S280">
        <f>IF(COUNTIF($R$6:$R$300,R280)&gt;1,"重复","唯一")</f>
        <v/>
      </c>
      <c r="T280" t="inlineStr">
        <is>
          <t>38c3040b86321abb91cb8fcd56fdb959741f71eb898ccefdb192426b83c4fd68</t>
        </is>
      </c>
      <c r="U280" t="inlineStr">
        <is>
          <t>Codex</t>
        </is>
      </c>
      <c r="V280" t="n">
        <v>46264</v>
      </c>
      <c r="W280" t="inlineStr">
        <is>
          <t>用户自制Blender资产</t>
        </is>
      </c>
      <c r="X280" s="375" t="inlineStr">
        <is>
          <t>—</t>
        </is>
      </c>
      <c r="Y280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t>
        </is>
      </c>
    </row>
    <row r="281" ht="66" customHeight="1">
      <c r="A281" s="349" t="inlineStr">
        <is>
          <t>ENV-BASE99-MEZZANINE-20X10-Z5</t>
        </is>
      </c>
      <c r="B281" s="349" t="inlineStr">
        <is>
          <t>基地99层5米楼中楼楼板</t>
        </is>
      </c>
      <c r="C281" s="349" t="inlineStr">
        <is>
          <t>场景</t>
        </is>
      </c>
      <c r="D281" s="349" t="inlineStr">
        <is>
          <t>environment_module</t>
        </is>
      </c>
      <c r="E281" s="349" t="inlineStr">
        <is>
          <t>base99_mezzanine_20x10_z5</t>
        </is>
      </c>
      <c r="F281" s="349" t="inlineStr">
        <is>
          <t>platform</t>
        </is>
      </c>
      <c r="G281" s="349" t="inlineStr">
        <is>
          <t>ENV-BASE99-MODULAR-ROOM</t>
        </is>
      </c>
      <c r="H281" s="349" t="inlineStr">
        <is>
          <t>俯视3D</t>
        </is>
      </c>
      <c r="I281" s="349" t="inlineStr">
        <is>
          <t>default</t>
        </is>
      </c>
      <c r="J281" s="349" t="inlineStr">
        <is>
          <t>基地99F</t>
        </is>
      </c>
      <c r="K281" s="349" t="inlineStr">
        <is>
          <t>旧资产已从正式基地移除</t>
        </is>
      </c>
      <c r="L281" s="349" t="inlineStr">
        <is>
          <t>P0</t>
        </is>
      </c>
      <c r="M281" s="349" t="inlineStr">
        <is>
          <t>v003</t>
        </is>
      </c>
      <c r="N281" s="349" t="inlineStr">
        <is>
          <t>20.2475×10.2475×5.93m外廓；5m完成面；承重皮四边内收0.15m；边缘共面0</t>
        </is>
      </c>
      <c r="O281" s="349" t="inlineStr">
        <is>
          <t>assets/art/environments/base_facility_3d/runtime/env_base99_mezzanine_20x10_z5/env_base99_mezzanine_20x10_z5_root_top3d_v003.tscn</t>
        </is>
      </c>
      <c r="P281" s="34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281" s="349" t="inlineStr">
        <is>
          <t>5米楼板; 栏杆; 投影; Blender母版; 边缘共面0; PaletteUV</t>
        </is>
      </c>
      <c r="R281" s="349">
        <f>LOWER(TRIM(C281)&amp;"|"&amp;TRIM(D281)&amp;"|"&amp;TRIM(E281)&amp;"|"&amp;TRIM(F281)&amp;"|"&amp;TRIM(H281)&amp;"|"&amp;TRIM(I281))</f>
        <v/>
      </c>
      <c r="S281" s="349">
        <f>IF(COUNTIF($R$6:$R$300,R281)&gt;1,"重复","唯一")</f>
        <v/>
      </c>
      <c r="T281" s="349" t="inlineStr">
        <is>
          <t>a52762f1da07fbd7dcd8ec661bf591da922cc9daff043493a873b6a09034e600</t>
        </is>
      </c>
      <c r="U281" s="349" t="inlineStr">
        <is>
          <t>Codex</t>
        </is>
      </c>
      <c r="V281" s="348" t="n">
        <v>46264</v>
      </c>
      <c r="W281" s="349" t="inlineStr">
        <is>
          <t>用户自制/项目内资产</t>
        </is>
      </c>
      <c r="X281" s="375" t="inlineStr">
        <is>
          <t>—</t>
        </is>
      </c>
      <c r="Y281" s="34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282" ht="66" customHeight="1">
      <c r="A282" s="349" t="inlineStr">
        <is>
          <t>ENV-BASE99-STAIR-L-Z5</t>
        </is>
      </c>
      <c r="B282" s="349" t="inlineStr">
        <is>
          <t>基地99层5米L型楼梯</t>
        </is>
      </c>
      <c r="C282" s="349" t="inlineStr">
        <is>
          <t>场景</t>
        </is>
      </c>
      <c r="D282" s="349" t="inlineStr">
        <is>
          <t>environment_module</t>
        </is>
      </c>
      <c r="E282" s="349" t="inlineStr">
        <is>
          <t>base99_stair_l_z5</t>
        </is>
      </c>
      <c r="F282" s="349" t="inlineStr">
        <is>
          <t>stair</t>
        </is>
      </c>
      <c r="G282" s="349" t="inlineStr">
        <is>
          <t>ENV-BASE99-MODULAR-ROOM</t>
        </is>
      </c>
      <c r="H282" s="349" t="inlineStr">
        <is>
          <t>俯视3D</t>
        </is>
      </c>
      <c r="I282" s="349" t="inlineStr">
        <is>
          <t>default</t>
        </is>
      </c>
      <c r="J282" s="349" t="inlineStr">
        <is>
          <t>基地99F</t>
        </is>
      </c>
      <c r="K282" s="349" t="inlineStr">
        <is>
          <t>旧资产已从正式基地移除</t>
        </is>
      </c>
      <c r="L282" s="349" t="inlineStr">
        <is>
          <t>P0</t>
        </is>
      </c>
      <c r="M282" s="349" t="inlineStr">
        <is>
          <t>v004</t>
        </is>
      </c>
      <c r="N282" s="349" t="inlineStr">
        <is>
          <t>0→2.5→5m；单一行走体</t>
        </is>
      </c>
      <c r="O282" s="349" t="inlineStr">
        <is>
          <t>assets/art/environments/base_facility_3d/runtime/env_base99_stair_l_z5/env_base99_stair_l_z5_root_top3d_v004.tscn</t>
        </is>
      </c>
      <c r="P282" s="349" t="inlineStr">
        <is>
          <t>assets/art/environments/base_facility_3d/source/env_base99_modular_room/env_base99_modular_room_assets_clean_v004.blend</t>
        </is>
      </c>
      <c r="Q282" s="349" t="inlineStr">
        <is>
          <t>L梯; 连续坡面; 单一行走体; 转角扶手收口</t>
        </is>
      </c>
      <c r="R282" s="349">
        <f>LOWER(TRIM(C282)&amp;"|"&amp;TRIM(D282)&amp;"|"&amp;TRIM(E282)&amp;"|"&amp;TRIM(F282)&amp;"|"&amp;TRIM(H282)&amp;"|"&amp;TRIM(I282))</f>
        <v/>
      </c>
      <c r="S282" s="349">
        <f>IF(COUNTIF($R$6:$R$300,R282)&gt;1,"重复","唯一")</f>
        <v/>
      </c>
      <c r="T282" s="349" t="inlineStr">
        <is>
          <t>f0e567b01a1b65afcae1a5d8c7e2cc36206eda31ecdc9f8458e6fb83f557d734</t>
        </is>
      </c>
      <c r="U282" s="349" t="inlineStr">
        <is>
          <t>Codex</t>
        </is>
      </c>
      <c r="V282" s="348" t="n">
        <v>46264</v>
      </c>
      <c r="W282" s="349" t="inlineStr">
        <is>
          <t>用户自制/项目内资产</t>
        </is>
      </c>
      <c r="X282" s="375" t="inlineStr">
        <is>
          <t>—</t>
        </is>
      </c>
      <c r="Y282" s="34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283" ht="66" customHeight="1">
      <c r="A283" s="349" t="inlineStr">
        <is>
          <t>ENV-BASE99-STAIR-EXTERIOR-H4</t>
        </is>
      </c>
      <c r="B283" s="349" t="inlineStr">
        <is>
          <t>基地99至100层4米外梯</t>
        </is>
      </c>
      <c r="C283" s="349" t="inlineStr">
        <is>
          <t>场景</t>
        </is>
      </c>
      <c r="D283" s="349" t="inlineStr">
        <is>
          <t>environment_module</t>
        </is>
      </c>
      <c r="E283" s="349" t="inlineStr">
        <is>
          <t>base99_stair_exterior_h4</t>
        </is>
      </c>
      <c r="F283" s="349" t="inlineStr">
        <is>
          <t>stair_exterior</t>
        </is>
      </c>
      <c r="G283" s="349" t="inlineStr">
        <is>
          <t>ENV-BASE99-MODULAR-ROOM</t>
        </is>
      </c>
      <c r="H283" s="349" t="inlineStr">
        <is>
          <t>俯视3D</t>
        </is>
      </c>
      <c r="I283" s="349" t="inlineStr">
        <is>
          <t>default</t>
        </is>
      </c>
      <c r="J283" s="349" t="inlineStr">
        <is>
          <t>基地99F/100F</t>
        </is>
      </c>
      <c r="K283" s="349" t="inlineStr">
        <is>
          <t>旧资产已从正式基地移除</t>
        </is>
      </c>
      <c r="L283" s="349" t="inlineStr">
        <is>
          <t>P0</t>
        </is>
      </c>
      <c r="M283" s="349" t="inlineStr">
        <is>
          <t>v002</t>
        </is>
      </c>
      <c r="N283" s="349" t="inlineStr">
        <is>
          <t>5→9m；8.515m包络</t>
        </is>
      </c>
      <c r="O283" s="349" t="inlineStr">
        <is>
          <t>assets/art/environments/base_facility_3d/runtime/env_base99_stair_exterior_h4/env_base99_stair_exterior_h4_root_top3d_v002.tscn</t>
        </is>
      </c>
      <c r="P283" s="349" t="inlineStr">
        <is>
          <t>assets/art/environments/base_facility_3d/source/env_base99_modular_room/env_base99_modular_room_assets_clean_v002.blend</t>
        </is>
      </c>
      <c r="Q283" s="349" t="inlineStr">
        <is>
          <t>外梯; H4; 连续坡面</t>
        </is>
      </c>
      <c r="R283" s="349">
        <f>LOWER(TRIM(C283)&amp;"|"&amp;TRIM(D283)&amp;"|"&amp;TRIM(E283)&amp;"|"&amp;TRIM(F283)&amp;"|"&amp;TRIM(H283)&amp;"|"&amp;TRIM(I283))</f>
        <v/>
      </c>
      <c r="S283" s="349">
        <f>IF(COUNTIF($R$6:$R$300,R283)&gt;1,"重复","唯一")</f>
        <v/>
      </c>
      <c r="T283" s="349" t="inlineStr">
        <is>
          <t>0132e33e89f065d389bd240e48e5cd416239a37b84604f33021e192ae9807e9b</t>
        </is>
      </c>
      <c r="U283" s="349" t="inlineStr">
        <is>
          <t>Codex</t>
        </is>
      </c>
      <c r="V283" s="348" t="n">
        <v>46264</v>
      </c>
      <c r="W283" s="349" t="inlineStr">
        <is>
          <t>用户自制/项目内资产</t>
        </is>
      </c>
      <c r="X283" s="375" t="inlineStr">
        <is>
          <t>—</t>
        </is>
      </c>
      <c r="Y283" s="34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284" ht="66" customHeight="1">
      <c r="A284" s="349" t="inlineStr">
        <is>
          <t>ENV-BASE99-MEZZANINE-UNDERDECK-BLOCKER</t>
        </is>
      </c>
      <c r="B284" s="349" t="inlineStr">
        <is>
          <t>基地99层楼中楼下方工业仓库挡板</t>
        </is>
      </c>
      <c r="C284" s="349" t="inlineStr">
        <is>
          <t>场景</t>
        </is>
      </c>
      <c r="D284" s="349" t="inlineStr">
        <is>
          <t>environment_module</t>
        </is>
      </c>
      <c r="E284" s="349" t="inlineStr">
        <is>
          <t>base99_mezzanine_underdeck_blocker</t>
        </is>
      </c>
      <c r="F284" s="349" t="inlineStr">
        <is>
          <t>underdeck_blocker</t>
        </is>
      </c>
      <c r="G284" s="349" t="inlineStr">
        <is>
          <t>ENV-BASE99-MODULAR-ROOM</t>
        </is>
      </c>
      <c r="H284" s="349" t="inlineStr">
        <is>
          <t>俯视3D / local -Z 正面</t>
        </is>
      </c>
      <c r="I284" s="349" t="inlineStr">
        <is>
          <t>default / permanent solid enclosure</t>
        </is>
      </c>
      <c r="J284" s="349" t="inlineStr">
        <is>
          <t>基地99F楼中楼下方</t>
        </is>
      </c>
      <c r="K284" s="349" t="inlineStr">
        <is>
          <t>旧资产已从正式基地移除</t>
        </is>
      </c>
      <c r="L284" s="349" t="inlineStr">
        <is>
          <t>P0</t>
        </is>
      </c>
      <c r="M284" s="349" t="inlineStr">
        <is>
          <t>v003</t>
        </is>
      </c>
      <c r="N284" s="349" t="inlineStr">
        <is>
          <t>19.31×9.11×4.65m视觉；0.55m内收；三面横向冷灰门板；碰撞顶4.95m</t>
        </is>
      </c>
      <c r="O284" s="349" t="inlineStr">
        <is>
          <t>assets/art/environments/base_facility_3d/runtime/env_base99_mezzanine_underdeck_blocker/env_base99_mezzanine_underdeck_blocker_root_top3d_v003.tscn</t>
        </is>
      </c>
      <c r="P284" s="34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284" s="349" t="inlineStr">
        <is>
          <t>基地99层; 楼中楼; 横向门板; Blender母版; PaletteUV; 三面永久阻挡; 0.55米内收; 物理射线验收</t>
        </is>
      </c>
      <c r="R284" s="349">
        <f>LOWER(TRIM(C284)&amp;"|"&amp;TRIM(D284)&amp;"|"&amp;TRIM(E284)&amp;"|"&amp;TRIM(F284)&amp;"|"&amp;TRIM(H284)&amp;"|"&amp;TRIM(I284))</f>
        <v/>
      </c>
      <c r="S284" s="349">
        <f>IF(COUNTIF($R$6:$R$300,R284)&gt;1,"重复","唯一")</f>
        <v/>
      </c>
      <c r="T284" s="349" t="inlineStr">
        <is>
          <t>7e217260471544012bf175dbc1a0f0f99a53ef0118ae99248e11e3f4f1396e03</t>
        </is>
      </c>
      <c r="U284" s="349" t="inlineStr">
        <is>
          <t>Codex</t>
        </is>
      </c>
      <c r="V284" s="348" t="n">
        <v>46264</v>
      </c>
      <c r="W284" s="349" t="inlineStr">
        <is>
          <t>用户自制Blender资产</t>
        </is>
      </c>
      <c r="X284" s="375" t="inlineStr">
        <is>
          <t>—</t>
        </is>
      </c>
      <c r="Y284" s="34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285" ht="66" customHeight="1">
      <c r="A285" s="349" t="inlineStr">
        <is>
          <t>PRP-BASE-AVATAR-WARDROBE-001</t>
        </is>
      </c>
      <c r="B285" s="349" t="inlineStr">
        <is>
          <t>基地角色衣柜</t>
        </is>
      </c>
      <c r="C285" s="349" t="inlineStr">
        <is>
          <t>场景道具</t>
        </is>
      </c>
      <c r="D285" s="349" t="inlineStr">
        <is>
          <t>base_facility</t>
        </is>
      </c>
      <c r="E285" s="349" t="inlineStr">
        <is>
          <t>avatar_wardrobe</t>
        </is>
      </c>
      <c r="F285" s="349" t="inlineStr">
        <is>
          <t>root</t>
        </is>
      </c>
      <c r="G285" s="349" t="n"/>
      <c r="H285" s="349" t="inlineStr">
        <is>
          <t>俯视3D</t>
        </is>
      </c>
      <c r="I285" s="349" t="inlineStr">
        <is>
          <t>default</t>
        </is>
      </c>
      <c r="J285" s="349" t="inlineStr">
        <is>
          <t>主基地/99F</t>
        </is>
      </c>
      <c r="K285" s="349" t="inlineStr">
        <is>
          <t>原型已接入</t>
        </is>
      </c>
      <c r="L285" s="349" t="inlineStr">
        <is>
          <t>P0</t>
        </is>
      </c>
      <c r="M285" s="349" t="inlineStr">
        <is>
          <t>v001</t>
        </is>
      </c>
      <c r="N285" s="349" t="inlineStr">
        <is>
          <t>根缩放1</t>
        </is>
      </c>
      <c r="O285" s="349" t="inlineStr">
        <is>
          <t>assets/art/props/base_world_3d/runtime/avatar_wardrobe/prp_base_avatar_wardrobe_root_top3d_v001.tscn</t>
        </is>
      </c>
      <c r="P285" s="349" t="inlineStr">
        <is>
          <t>src/ui/wardrobe/WardrobeMenu3D.gd</t>
        </is>
      </c>
      <c r="Q285" s="349" t="inlineStr">
        <is>
          <t>衣柜; avatar; 换装; 6分类</t>
        </is>
      </c>
      <c r="R285" s="349">
        <f>LOWER(TRIM(C285)&amp;"|"&amp;TRIM(D285)&amp;"|"&amp;TRIM(E285)&amp;"|"&amp;TRIM(F285)&amp;"|"&amp;TRIM(H285)&amp;"|"&amp;TRIM(I285))</f>
        <v/>
      </c>
      <c r="S285" s="349">
        <f>IF(COUNTIF($R$6:$R$300,R285)&gt;1,"重复","唯一")</f>
        <v/>
      </c>
      <c r="T285" s="349" t="inlineStr">
        <is>
          <t>237ab00d041ba14be035afda81b98097737ceab7f7eab5359a6ca803aa85436a</t>
        </is>
      </c>
      <c r="U285" s="349" t="inlineStr">
        <is>
          <t>Codex</t>
        </is>
      </c>
      <c r="V285" s="348" t="n">
        <v>46264</v>
      </c>
      <c r="W285" s="349" t="inlineStr">
        <is>
          <t>用户自制/项目内资产</t>
        </is>
      </c>
      <c r="X285" s="375" t="inlineStr">
        <is>
          <t>—</t>
        </is>
      </c>
      <c r="Y285" s="34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286" ht="66" customHeight="1">
      <c r="A286" s="349" t="inlineStr">
        <is>
          <t>CHR-PLAYER-AVATAR-TEMPLATE-001</t>
        </is>
      </c>
      <c r="B286" s="349" t="inlineStr">
        <is>
          <t>玩家角色1.5米制作母版</t>
        </is>
      </c>
      <c r="C286" s="349" t="inlineStr">
        <is>
          <t>角色</t>
        </is>
      </c>
      <c r="D286" s="349" t="inlineStr">
        <is>
          <t>authoring_template</t>
        </is>
      </c>
      <c r="E286" s="349" t="inlineStr">
        <is>
          <t>player_avatar_template</t>
        </is>
      </c>
      <c r="F286" s="349" t="inlineStr">
        <is>
          <t>root</t>
        </is>
      </c>
      <c r="G286" s="349" t="inlineStr">
        <is>
          <t>CHR-PLY-CAPSULE01</t>
        </is>
      </c>
      <c r="H286" s="349" t="inlineStr">
        <is>
          <t>全向3D</t>
        </is>
      </c>
      <c r="I286" s="349" t="inlineStr">
        <is>
          <t>template</t>
        </is>
      </c>
      <c r="J286" s="349" t="inlineStr">
        <is>
          <t>角色制作</t>
        </is>
      </c>
      <c r="K286" s="349" t="inlineStr">
        <is>
          <t>已完成</t>
        </is>
      </c>
      <c r="L286" s="349" t="inlineStr">
        <is>
          <t>P0</t>
        </is>
      </c>
      <c r="M286" s="349" t="inlineStr">
        <is>
          <t>v001</t>
        </is>
      </c>
      <c r="N286" s="349" t="inlineStr">
        <is>
          <t>1.50m；根缩放1</t>
        </is>
      </c>
      <c r="O286" s="349" t="inlineStr">
        <is>
          <t>assets/art/characters/player/chr_player_avatar_template_3d/source/chr_player_avatar_template_source_v001.blend</t>
        </is>
      </c>
      <c r="P286" s="349" t="inlineStr">
        <is>
          <t>scripts/blender/validate_player_avatar_asset_template.py</t>
        </is>
      </c>
      <c r="Q286" s="349" t="inlineStr">
        <is>
          <t>角色母版; 1.5米; 挂点; 配件</t>
        </is>
      </c>
      <c r="R286" s="349">
        <f>LOWER(TRIM(C286)&amp;"|"&amp;TRIM(D286)&amp;"|"&amp;TRIM(E286)&amp;"|"&amp;TRIM(F286)&amp;"|"&amp;TRIM(H286)&amp;"|"&amp;TRIM(I286))</f>
        <v/>
      </c>
      <c r="S286" s="349">
        <f>IF(COUNTIF($R$6:$R$300,R286)&gt;1,"重复","唯一")</f>
        <v/>
      </c>
      <c r="T286" s="349" t="inlineStr">
        <is>
          <t>8bb17309f5dac5a5b8c4d3917193042213c64ff566486abdfff0aeafdc893117</t>
        </is>
      </c>
      <c r="U286" s="349" t="inlineStr">
        <is>
          <t>Codex</t>
        </is>
      </c>
      <c r="V286" s="348" t="n">
        <v>46264</v>
      </c>
      <c r="W286" s="349" t="inlineStr">
        <is>
          <t>用户自制/项目内资产</t>
        </is>
      </c>
      <c r="X286" s="375" t="inlineStr">
        <is>
          <t>—</t>
        </is>
      </c>
      <c r="Y286" s="349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87" ht="56" customHeight="1">
      <c r="A287" s="349" t="inlineStr">
        <is>
          <t>ENM-ELITE-RIFT-BOAR-ARMED-3D</t>
        </is>
      </c>
      <c r="B287" s="349" t="inlineStr">
        <is>
          <t>背枪的裂口爬虫3D精英根</t>
        </is>
      </c>
      <c r="C287" s="349" t="inlineStr">
        <is>
          <t>敌人</t>
        </is>
      </c>
      <c r="D287" s="349" t="inlineStr">
        <is>
          <t>elite</t>
        </is>
      </c>
      <c r="E287" s="349" t="inlineStr">
        <is>
          <t>elite_rift_boar_armed</t>
        </is>
      </c>
      <c r="F287" s="349" t="inlineStr">
        <is>
          <t>root_3d</t>
        </is>
      </c>
      <c r="G287" s="349" t="inlineStr">
        <is>
          <t>ENM-ECOSYSTEM-KIT-3D</t>
        </is>
      </c>
      <c r="H287" s="349" t="inlineStr">
        <is>
          <t>Top3D / local -Z 正面</t>
        </is>
      </c>
      <c r="I287" s="349" t="inlineStr">
        <is>
          <t>default / armed_rush</t>
        </is>
      </c>
      <c r="J287" s="349" t="inlineStr">
        <is>
          <t>每次行动98—96F三选一；目标层随机ELITE房</t>
        </is>
      </c>
      <c r="K287" s="349" t="inlineStr">
        <is>
          <t>已完成</t>
        </is>
      </c>
      <c r="L287" s="349" t="inlineStr">
        <is>
          <t>P0</t>
        </is>
      </c>
      <c r="M287" s="349" t="inlineStr">
        <is>
          <t>v001</t>
        </is>
      </c>
      <c r="N287" s="349" t="inlineStr">
        <is>
          <t>1.970×1.843×1.345m；18 Mesh；4材质</t>
        </is>
      </c>
      <c r="O287" s="349" t="inlineStr">
        <is>
          <t>assets/art/enemies/elite_3d/rift_boar_armed/runtime/enm_elite_rift_boar_armed_root_top3d_v001.tscn</t>
        </is>
      </c>
      <c r="P287" s="349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287" s="349" t="inlineStr">
        <is>
          <t>唯一精英;背枪;裂口爬虫;elite_rift_boar_armed;armed_rush;98F;97F;96F;命名血条</t>
        </is>
      </c>
      <c r="R287" s="349">
        <f>LOWER(TRIM(C287)&amp;"|"&amp;TRIM(D287)&amp;"|"&amp;TRIM(E287)&amp;"|"&amp;TRIM(F287)&amp;"|"&amp;TRIM(H287)&amp;"|"&amp;TRIM(I287))</f>
        <v/>
      </c>
      <c r="S287" s="349">
        <f>IF(COUNTIF($R$6:$R$300,R287)&gt;1,"重复","唯一")</f>
        <v/>
      </c>
      <c r="T287" s="349" t="inlineStr">
        <is>
          <t>b5b187474a58aebe1f5e7c2522b2e4a4db609f103365dca6e7bd8c082a08b496</t>
        </is>
      </c>
      <c r="U287" s="349" t="inlineStr">
        <is>
          <t>Codex</t>
        </is>
      </c>
      <c r="V287" s="348" t="n">
        <v>46264</v>
      </c>
      <c r="W287" s="349" t="inlineStr">
        <is>
          <t>原创 Blender/Godot 组合</t>
        </is>
      </c>
      <c r="X287" s="375" t="inlineStr">
        <is>
          <t>—</t>
        </is>
      </c>
      <c r="Y287" s="349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288">
      <c r="A288" t="inlineStr">
        <is>
          <t>AUD-BGM-BASE-PASSION-A</t>
        </is>
      </c>
      <c r="B288" t="inlineStr">
        <is>
          <t>基地热血激情 BGM A</t>
        </is>
      </c>
      <c r="C288" t="inlineStr">
        <is>
          <t>音频</t>
        </is>
      </c>
      <c r="D288" t="inlineStr">
        <is>
          <t>bgm</t>
        </is>
      </c>
      <c r="E288" t="inlineStr">
        <is>
          <t>base_passion</t>
        </is>
      </c>
      <c r="F288" t="inlineStr">
        <is>
          <t>track_a</t>
        </is>
      </c>
      <c r="H288" t="inlineStr">
        <is>
          <t>不适用</t>
        </is>
      </c>
      <c r="I288" t="inlineStr">
        <is>
          <t>loop</t>
        </is>
      </c>
      <c r="J288" t="inlineStr">
        <is>
          <t>按场景复用</t>
        </is>
      </c>
      <c r="K288" t="inlineStr">
        <is>
          <t>原型已接入</t>
        </is>
      </c>
      <c r="L288" t="inlineStr">
        <is>
          <t>P1</t>
        </is>
      </c>
      <c r="M288" t="inlineStr">
        <is>
          <t>v001</t>
        </is>
      </c>
      <c r="N288" t="inlineStr">
        <is>
          <t>OGG/Vorbis；循环；Music 总线</t>
        </is>
      </c>
      <c r="O288" t="inlineStr">
        <is>
          <t>assets/audio/music/base_passion/base_passion_a_v001.ogg</t>
        </is>
      </c>
      <c r="P288" t="inlineStr">
        <is>
          <t>src/audio/MusicCatalog.gd；docs/v0.1/14.8_音乐系统与配乐资产.md；tests/verification/verify_music_system.tscn</t>
        </is>
      </c>
      <c r="Q288" t="inlineStr">
        <is>
          <t>base_passion track_a</t>
        </is>
      </c>
      <c r="R288">
        <f>LOWER(TRIM(C288)&amp;"|"&amp;TRIM(D288)&amp;"|"&amp;TRIM(E288)&amp;"|"&amp;TRIM(F288)&amp;"|"&amp;TRIM(H288)&amp;"|"&amp;TRIM(I288))</f>
        <v/>
      </c>
      <c r="S288">
        <f>IF(COUNTIF($R$6:$R$300,R288)&gt;1,"重复","唯一")</f>
        <v/>
      </c>
      <c r="T288" t="inlineStr">
        <is>
          <t>e841cd4e93112d1be28859c2431aade46c52dff27165135e9991cdae6fac5967</t>
        </is>
      </c>
      <c r="U288" t="inlineStr">
        <is>
          <t>音频</t>
        </is>
      </c>
      <c r="V288" t="n">
        <v>46264</v>
      </c>
      <c r="W288" t="inlineStr">
        <is>
          <t>Suno.cn 任务 2092992444135116800；商业使用授权须由项目方按生成账户订阅证明复核</t>
        </is>
      </c>
      <c r="X288" s="375" t="inlineStr">
        <is>
          <t>—</t>
        </is>
      </c>
      <c r="Y288" t="inlineStr">
        <is>
          <t>2026-08-30 AST-04：原 MP3 移入 source/ 保留可恢复母版；运行时转码为规范化 OGG v001；asset_guard PASS；MusicCatalog 已迁移；验收 verify_music_system。</t>
        </is>
      </c>
    </row>
    <row r="289">
      <c r="A289" t="inlineStr">
        <is>
          <t>AUD-BGM-BASE-PASSION-B</t>
        </is>
      </c>
      <c r="B289" t="inlineStr">
        <is>
          <t>基地热血激情 BGM B</t>
        </is>
      </c>
      <c r="C289" t="inlineStr">
        <is>
          <t>音频</t>
        </is>
      </c>
      <c r="D289" t="inlineStr">
        <is>
          <t>bgm</t>
        </is>
      </c>
      <c r="E289" t="inlineStr">
        <is>
          <t>base_passion</t>
        </is>
      </c>
      <c r="F289" t="inlineStr">
        <is>
          <t>track_b</t>
        </is>
      </c>
      <c r="H289" t="inlineStr">
        <is>
          <t>不适用</t>
        </is>
      </c>
      <c r="I289" t="inlineStr">
        <is>
          <t>loop</t>
        </is>
      </c>
      <c r="J289" t="inlineStr">
        <is>
          <t>按场景复用</t>
        </is>
      </c>
      <c r="K289" t="inlineStr">
        <is>
          <t>原型已接入</t>
        </is>
      </c>
      <c r="L289" t="inlineStr">
        <is>
          <t>P1</t>
        </is>
      </c>
      <c r="M289" t="inlineStr">
        <is>
          <t>v001</t>
        </is>
      </c>
      <c r="N289" t="inlineStr">
        <is>
          <t>OGG/Vorbis；循环；Music 总线</t>
        </is>
      </c>
      <c r="O289" t="inlineStr">
        <is>
          <t>assets/audio/music/base_passion/base_passion_b_v001.ogg</t>
        </is>
      </c>
      <c r="P289" t="inlineStr">
        <is>
          <t>src/audio/MusicCatalog.gd；docs/v0.1/14.8_音乐系统与配乐资产.md；tests/verification/verify_music_system.tscn</t>
        </is>
      </c>
      <c r="Q289" t="inlineStr">
        <is>
          <t>base_passion track_b</t>
        </is>
      </c>
      <c r="R289">
        <f>LOWER(TRIM(C289)&amp;"|"&amp;TRIM(D289)&amp;"|"&amp;TRIM(E289)&amp;"|"&amp;TRIM(F289)&amp;"|"&amp;TRIM(H289)&amp;"|"&amp;TRIM(I289))</f>
        <v/>
      </c>
      <c r="S289">
        <f>IF(COUNTIF($R$6:$R$300,R289)&gt;1,"重复","唯一")</f>
        <v/>
      </c>
      <c r="T289" t="inlineStr">
        <is>
          <t>4a6c1e9aca3fee17f168fb92be212e14cdf252a155c729fc11763c140aaa230f</t>
        </is>
      </c>
      <c r="U289" t="inlineStr">
        <is>
          <t>音频</t>
        </is>
      </c>
      <c r="V289" t="n">
        <v>46264</v>
      </c>
      <c r="W289" t="inlineStr">
        <is>
          <t>Suno.cn 任务 2092992444135116801；商业使用授权须由项目方按生成账户订阅证明复核</t>
        </is>
      </c>
      <c r="X289" s="375" t="inlineStr">
        <is>
          <t>—</t>
        </is>
      </c>
      <c r="Y289" t="inlineStr">
        <is>
          <t>2026-08-30 AST-04：原 MP3 移入 source/ 保留可恢复母版；运行时转码为规范化 OGG v001；asset_guard PASS；MusicCatalog 已迁移；验收 verify_music_system。</t>
        </is>
      </c>
    </row>
    <row r="290">
      <c r="A290" t="inlineStr">
        <is>
          <t>AUD-BGM-ROOFTOP-RELAX-A</t>
        </is>
      </c>
      <c r="B290" t="inlineStr">
        <is>
          <t>天台放松 BGM A</t>
        </is>
      </c>
      <c r="C290" t="inlineStr">
        <is>
          <t>音频</t>
        </is>
      </c>
      <c r="D290" t="inlineStr">
        <is>
          <t>bgm</t>
        </is>
      </c>
      <c r="E290" t="inlineStr">
        <is>
          <t>rooftop_relax</t>
        </is>
      </c>
      <c r="F290" t="inlineStr">
        <is>
          <t>track_a</t>
        </is>
      </c>
      <c r="H290" t="inlineStr">
        <is>
          <t>不适用</t>
        </is>
      </c>
      <c r="I290" t="inlineStr">
        <is>
          <t>loop</t>
        </is>
      </c>
      <c r="J290" t="inlineStr">
        <is>
          <t>按场景复用</t>
        </is>
      </c>
      <c r="K290" t="inlineStr">
        <is>
          <t>原型已接入</t>
        </is>
      </c>
      <c r="L290" t="inlineStr">
        <is>
          <t>P1</t>
        </is>
      </c>
      <c r="M290" t="inlineStr">
        <is>
          <t>v001</t>
        </is>
      </c>
      <c r="N290" t="inlineStr">
        <is>
          <t>OGG/Vorbis；循环；Music 总线</t>
        </is>
      </c>
      <c r="O290" t="inlineStr">
        <is>
          <t>assets/audio/music/rooftop_relax/rooftop_relax_a_v001.ogg</t>
        </is>
      </c>
      <c r="P290" t="inlineStr">
        <is>
          <t>src/audio/MusicCatalog.gd；docs/v0.1/14.8_音乐系统与配乐资产.md；tests/verification/verify_music_system.tscn</t>
        </is>
      </c>
      <c r="Q290" t="inlineStr">
        <is>
          <t>rooftop_relax track_a</t>
        </is>
      </c>
      <c r="R290">
        <f>LOWER(TRIM(C290)&amp;"|"&amp;TRIM(D290)&amp;"|"&amp;TRIM(E290)&amp;"|"&amp;TRIM(F290)&amp;"|"&amp;TRIM(H290)&amp;"|"&amp;TRIM(I290))</f>
        <v/>
      </c>
      <c r="S290">
        <f>IF(COUNTIF($R$6:$R$300,R290)&gt;1,"重复","唯一")</f>
        <v/>
      </c>
      <c r="T290" t="inlineStr">
        <is>
          <t>370497df60c3ae7ea51beadd897193c4aaddc72eef829aa51ba179d0ba239605</t>
        </is>
      </c>
      <c r="U290" t="inlineStr">
        <is>
          <t>音频</t>
        </is>
      </c>
      <c r="V290" t="n">
        <v>46264</v>
      </c>
      <c r="W290" t="inlineStr">
        <is>
          <t>Suno.cn 任务 2092992535981985792；商业使用授权须由项目方按生成账户订阅证明复核</t>
        </is>
      </c>
      <c r="X290" s="375" t="inlineStr">
        <is>
          <t>—</t>
        </is>
      </c>
      <c r="Y290" t="inlineStr">
        <is>
          <t>2026-08-30 AST-04：原 MP3 移入 source/ 保留可恢复母版；运行时转码为规范化 OGG v001；asset_guard PASS；MusicCatalog 已迁移；验收 verify_music_system。</t>
        </is>
      </c>
    </row>
    <row r="291">
      <c r="A291" t="inlineStr">
        <is>
          <t>AUD-BGM-ROOFTOP-RELAX-B</t>
        </is>
      </c>
      <c r="B291" t="inlineStr">
        <is>
          <t>天台放松 BGM B</t>
        </is>
      </c>
      <c r="C291" t="inlineStr">
        <is>
          <t>音频</t>
        </is>
      </c>
      <c r="D291" t="inlineStr">
        <is>
          <t>bgm</t>
        </is>
      </c>
      <c r="E291" t="inlineStr">
        <is>
          <t>rooftop_relax</t>
        </is>
      </c>
      <c r="F291" t="inlineStr">
        <is>
          <t>track_b</t>
        </is>
      </c>
      <c r="H291" t="inlineStr">
        <is>
          <t>不适用</t>
        </is>
      </c>
      <c r="I291" t="inlineStr">
        <is>
          <t>loop</t>
        </is>
      </c>
      <c r="J291" t="inlineStr">
        <is>
          <t>按场景复用</t>
        </is>
      </c>
      <c r="K291" t="inlineStr">
        <is>
          <t>原型已接入</t>
        </is>
      </c>
      <c r="L291" t="inlineStr">
        <is>
          <t>P1</t>
        </is>
      </c>
      <c r="M291" t="inlineStr">
        <is>
          <t>v001</t>
        </is>
      </c>
      <c r="N291" t="inlineStr">
        <is>
          <t>OGG/Vorbis；循环；Music 总线</t>
        </is>
      </c>
      <c r="O291" t="inlineStr">
        <is>
          <t>assets/audio/music/rooftop_relax/rooftop_relax_b_v001.ogg</t>
        </is>
      </c>
      <c r="P291" t="inlineStr">
        <is>
          <t>src/audio/MusicCatalog.gd；docs/v0.1/14.8_音乐系统与配乐资产.md；tests/verification/verify_music_system.tscn</t>
        </is>
      </c>
      <c r="Q291" t="inlineStr">
        <is>
          <t>rooftop_relax track_b</t>
        </is>
      </c>
      <c r="R291">
        <f>LOWER(TRIM(C291)&amp;"|"&amp;TRIM(D291)&amp;"|"&amp;TRIM(E291)&amp;"|"&amp;TRIM(F291)&amp;"|"&amp;TRIM(H291)&amp;"|"&amp;TRIM(I291))</f>
        <v/>
      </c>
      <c r="S291">
        <f>IF(COUNTIF($R$6:$R$300,R291)&gt;1,"重复","唯一")</f>
        <v/>
      </c>
      <c r="T291" t="inlineStr">
        <is>
          <t>acda8101b0afc82ca9f127284816d0e54ec1e7f7aa5da7d5808a0f7b6dde7505</t>
        </is>
      </c>
      <c r="U291" t="inlineStr">
        <is>
          <t>音频</t>
        </is>
      </c>
      <c r="V291" t="n">
        <v>46264</v>
      </c>
      <c r="W291" t="inlineStr">
        <is>
          <t>Suno.cn 任务 2092992535981985793；商业使用授权须由项目方按生成账户订阅证明复核</t>
        </is>
      </c>
      <c r="X291" s="375" t="inlineStr">
        <is>
          <t>—</t>
        </is>
      </c>
      <c r="Y291" t="inlineStr">
        <is>
          <t>2026-08-30 AST-04：原 MP3 移入 source/ 保留可恢复母版；运行时转码为规范化 OGG v001；asset_guard PASS；MusicCatalog 已迁移；验收 verify_music_system。</t>
        </is>
      </c>
    </row>
    <row r="292">
      <c r="A292" t="inlineStr">
        <is>
          <t>AUD-BGM-DESCENT-SUSPENSE-A</t>
        </is>
      </c>
      <c r="B292" t="inlineStr">
        <is>
          <t>下塔悬疑 BGM A</t>
        </is>
      </c>
      <c r="C292" t="inlineStr">
        <is>
          <t>音频</t>
        </is>
      </c>
      <c r="D292" t="inlineStr">
        <is>
          <t>bgm</t>
        </is>
      </c>
      <c r="E292" t="inlineStr">
        <is>
          <t>descent_suspense</t>
        </is>
      </c>
      <c r="F292" t="inlineStr">
        <is>
          <t>track_a</t>
        </is>
      </c>
      <c r="H292" t="inlineStr">
        <is>
          <t>不适用</t>
        </is>
      </c>
      <c r="I292" t="inlineStr">
        <is>
          <t>loop</t>
        </is>
      </c>
      <c r="J292" t="inlineStr">
        <is>
          <t>按场景复用</t>
        </is>
      </c>
      <c r="K292" t="inlineStr">
        <is>
          <t>原型已接入</t>
        </is>
      </c>
      <c r="L292" t="inlineStr">
        <is>
          <t>P1</t>
        </is>
      </c>
      <c r="M292" t="inlineStr">
        <is>
          <t>v001</t>
        </is>
      </c>
      <c r="N292" t="inlineStr">
        <is>
          <t>OGG/Vorbis；循环；Music 总线</t>
        </is>
      </c>
      <c r="O292" t="inlineStr">
        <is>
          <t>assets/audio/music/descent_suspense/descent_suspense_a_v001.ogg</t>
        </is>
      </c>
      <c r="P292" t="inlineStr">
        <is>
          <t>src/audio/MusicCatalog.gd；docs/v0.1/14.8_音乐系统与配乐资产.md；tests/verification/verify_music_system.tscn</t>
        </is>
      </c>
      <c r="Q292" t="inlineStr">
        <is>
          <t>descent_suspense track_a</t>
        </is>
      </c>
      <c r="R292">
        <f>LOWER(TRIM(C292)&amp;"|"&amp;TRIM(D292)&amp;"|"&amp;TRIM(E292)&amp;"|"&amp;TRIM(F292)&amp;"|"&amp;TRIM(H292)&amp;"|"&amp;TRIM(I292))</f>
        <v/>
      </c>
      <c r="S292">
        <f>IF(COUNTIF($R$6:$R$300,R292)&gt;1,"重复","唯一")</f>
        <v/>
      </c>
      <c r="T292" t="inlineStr">
        <is>
          <t>924de9ddc3c0bc2700fee9c37771a94888c220afd5bd812e8d8b55880da2fa2a</t>
        </is>
      </c>
      <c r="U292" t="inlineStr">
        <is>
          <t>音频</t>
        </is>
      </c>
      <c r="V292" t="n">
        <v>46264</v>
      </c>
      <c r="W292" t="inlineStr">
        <is>
          <t>Suno.cn 任务 2092992639673569280；商业使用授权须由项目方按生成账户订阅证明复核</t>
        </is>
      </c>
      <c r="X292" s="375" t="inlineStr">
        <is>
          <t>—</t>
        </is>
      </c>
      <c r="Y292" t="inlineStr">
        <is>
          <t>2026-08-30 AST-04：原 MP3 移入 source/ 保留可恢复母版；运行时转码为规范化 OGG v001；asset_guard PASS；MusicCatalog 已迁移；验收 verify_music_system。</t>
        </is>
      </c>
    </row>
    <row r="293">
      <c r="A293" t="inlineStr">
        <is>
          <t>AUD-BGM-DESCENT-SUSPENSE-B</t>
        </is>
      </c>
      <c r="B293" t="inlineStr">
        <is>
          <t>下塔悬疑 BGM B</t>
        </is>
      </c>
      <c r="C293" t="inlineStr">
        <is>
          <t>音频</t>
        </is>
      </c>
      <c r="D293" t="inlineStr">
        <is>
          <t>bgm</t>
        </is>
      </c>
      <c r="E293" t="inlineStr">
        <is>
          <t>descent_suspense</t>
        </is>
      </c>
      <c r="F293" t="inlineStr">
        <is>
          <t>track_b</t>
        </is>
      </c>
      <c r="H293" t="inlineStr">
        <is>
          <t>不适用</t>
        </is>
      </c>
      <c r="I293" t="inlineStr">
        <is>
          <t>loop</t>
        </is>
      </c>
      <c r="J293" t="inlineStr">
        <is>
          <t>按场景复用</t>
        </is>
      </c>
      <c r="K293" t="inlineStr">
        <is>
          <t>原型已接入</t>
        </is>
      </c>
      <c r="L293" t="inlineStr">
        <is>
          <t>P1</t>
        </is>
      </c>
      <c r="M293" t="inlineStr">
        <is>
          <t>v001</t>
        </is>
      </c>
      <c r="N293" t="inlineStr">
        <is>
          <t>OGG/Vorbis；循环；Music 总线</t>
        </is>
      </c>
      <c r="O293" t="inlineStr">
        <is>
          <t>assets/audio/music/descent_suspense/descent_suspense_b_v001.ogg</t>
        </is>
      </c>
      <c r="P293" t="inlineStr">
        <is>
          <t>src/audio/MusicCatalog.gd；docs/v0.1/14.8_音乐系统与配乐资产.md；tests/verification/verify_music_system.tscn</t>
        </is>
      </c>
      <c r="Q293" t="inlineStr">
        <is>
          <t>descent_suspense track_b</t>
        </is>
      </c>
      <c r="R293">
        <f>LOWER(TRIM(C293)&amp;"|"&amp;TRIM(D293)&amp;"|"&amp;TRIM(E293)&amp;"|"&amp;TRIM(F293)&amp;"|"&amp;TRIM(H293)&amp;"|"&amp;TRIM(I293))</f>
        <v/>
      </c>
      <c r="S293">
        <f>IF(COUNTIF($R$6:$R$300,R293)&gt;1,"重复","唯一")</f>
        <v/>
      </c>
      <c r="T293" t="inlineStr">
        <is>
          <t>864f0c644af3a88e0e67c0b69154421c39d74081a4774232f65f1467d2b286d4</t>
        </is>
      </c>
      <c r="U293" t="inlineStr">
        <is>
          <t>音频</t>
        </is>
      </c>
      <c r="V293" t="n">
        <v>46264</v>
      </c>
      <c r="W293" t="inlineStr">
        <is>
          <t>Suno.cn 任务 2092992639673569281；商业使用授权须由项目方按生成账户订阅证明复核</t>
        </is>
      </c>
      <c r="X293" s="375" t="inlineStr">
        <is>
          <t>—</t>
        </is>
      </c>
      <c r="Y293" t="inlineStr">
        <is>
          <t>2026-08-30 AST-04：原 MP3 移入 source/ 保留可恢复母版；运行时转码为规范化 OGG v001；asset_guard PASS；MusicCatalog 已迁移；验收 verify_music_system。</t>
        </is>
      </c>
    </row>
    <row r="294">
      <c r="A294" t="inlineStr">
        <is>
          <t>AUD-BGM-BOSS-INTENSE-A</t>
        </is>
      </c>
      <c r="B294" t="inlineStr">
        <is>
          <t>Boss 激战 BGM A</t>
        </is>
      </c>
      <c r="C294" t="inlineStr">
        <is>
          <t>音频</t>
        </is>
      </c>
      <c r="D294" t="inlineStr">
        <is>
          <t>bgm</t>
        </is>
      </c>
      <c r="E294" t="inlineStr">
        <is>
          <t>boss_intense</t>
        </is>
      </c>
      <c r="F294" t="inlineStr">
        <is>
          <t>track_a</t>
        </is>
      </c>
      <c r="H294" t="inlineStr">
        <is>
          <t>不适用</t>
        </is>
      </c>
      <c r="I294" t="inlineStr">
        <is>
          <t>loop</t>
        </is>
      </c>
      <c r="J294" t="inlineStr">
        <is>
          <t>按场景复用</t>
        </is>
      </c>
      <c r="K294" t="inlineStr">
        <is>
          <t>原型已接入</t>
        </is>
      </c>
      <c r="L294" t="inlineStr">
        <is>
          <t>P1</t>
        </is>
      </c>
      <c r="M294" t="inlineStr">
        <is>
          <t>v001</t>
        </is>
      </c>
      <c r="N294" t="inlineStr">
        <is>
          <t>OGG/Vorbis；循环；Music 总线</t>
        </is>
      </c>
      <c r="O294" t="inlineStr">
        <is>
          <t>assets/audio/music/boss_intense/boss_intense_a_v001.ogg</t>
        </is>
      </c>
      <c r="P294" t="inlineStr">
        <is>
          <t>src/audio/MusicCatalog.gd；docs/v0.1/14.8_音乐系统与配乐资产.md；tests/verification/verify_music_system.tscn</t>
        </is>
      </c>
      <c r="Q294" t="inlineStr">
        <is>
          <t>boss_intense track_a</t>
        </is>
      </c>
      <c r="R294">
        <f>LOWER(TRIM(C294)&amp;"|"&amp;TRIM(D294)&amp;"|"&amp;TRIM(E294)&amp;"|"&amp;TRIM(F294)&amp;"|"&amp;TRIM(H294)&amp;"|"&amp;TRIM(I294))</f>
        <v/>
      </c>
      <c r="S294">
        <f>IF(COUNTIF($R$6:$R$300,R294)&gt;1,"重复","唯一")</f>
        <v/>
      </c>
      <c r="T294" t="inlineStr">
        <is>
          <t>55d230a2cf549d656e842650d6120e2da274c6f5903f1e036cab64c8e9a35f5a</t>
        </is>
      </c>
      <c r="U294" t="inlineStr">
        <is>
          <t>音频</t>
        </is>
      </c>
      <c r="V294" t="n">
        <v>46264</v>
      </c>
      <c r="W294" t="inlineStr">
        <is>
          <t>Suno.cn 任务 2092992454658625536；商业使用授权须由项目方按生成账户订阅证明复核</t>
        </is>
      </c>
      <c r="X294" s="375" t="inlineStr">
        <is>
          <t>—</t>
        </is>
      </c>
      <c r="Y294" t="inlineStr">
        <is>
          <t>2026-08-30 AST-04：原 MP3 移入 source/ 保留可恢复母版；运行时转码为规范化 OGG v001；asset_guard PASS；MusicCatalog 已迁移；验收 verify_music_system。</t>
        </is>
      </c>
    </row>
    <row r="295">
      <c r="A295" t="inlineStr">
        <is>
          <t>AUD-BGM-BOSS-INTENSE-B</t>
        </is>
      </c>
      <c r="B295" t="inlineStr">
        <is>
          <t>Boss 激战 BGM B</t>
        </is>
      </c>
      <c r="C295" t="inlineStr">
        <is>
          <t>音频</t>
        </is>
      </c>
      <c r="D295" t="inlineStr">
        <is>
          <t>bgm</t>
        </is>
      </c>
      <c r="E295" t="inlineStr">
        <is>
          <t>boss_intense</t>
        </is>
      </c>
      <c r="F295" t="inlineStr">
        <is>
          <t>track_b</t>
        </is>
      </c>
      <c r="H295" t="inlineStr">
        <is>
          <t>不适用</t>
        </is>
      </c>
      <c r="I295" t="inlineStr">
        <is>
          <t>loop</t>
        </is>
      </c>
      <c r="J295" t="inlineStr">
        <is>
          <t>按场景复用</t>
        </is>
      </c>
      <c r="K295" t="inlineStr">
        <is>
          <t>原型已接入</t>
        </is>
      </c>
      <c r="L295" t="inlineStr">
        <is>
          <t>P1</t>
        </is>
      </c>
      <c r="M295" t="inlineStr">
        <is>
          <t>v001</t>
        </is>
      </c>
      <c r="N295" t="inlineStr">
        <is>
          <t>OGG/Vorbis；循环；Music 总线</t>
        </is>
      </c>
      <c r="O295" t="inlineStr">
        <is>
          <t>assets/audio/music/boss_intense/boss_intense_b_v001.ogg</t>
        </is>
      </c>
      <c r="P295" t="inlineStr">
        <is>
          <t>src/audio/MusicCatalog.gd；docs/v0.1/14.8_音乐系统与配乐资产.md；tests/verification/verify_music_system.tscn</t>
        </is>
      </c>
      <c r="Q295" t="inlineStr">
        <is>
          <t>boss_intense track_b</t>
        </is>
      </c>
      <c r="R295">
        <f>LOWER(TRIM(C295)&amp;"|"&amp;TRIM(D295)&amp;"|"&amp;TRIM(E295)&amp;"|"&amp;TRIM(F295)&amp;"|"&amp;TRIM(H295)&amp;"|"&amp;TRIM(I295))</f>
        <v/>
      </c>
      <c r="S295">
        <f>IF(COUNTIF($R$6:$R$300,R295)&gt;1,"重复","唯一")</f>
        <v/>
      </c>
      <c r="T295" t="inlineStr">
        <is>
          <t>70b13c9c0c1974a4c7bbee53de4cca7b05e8d0f6396f70505b7e8a1105fd6c63</t>
        </is>
      </c>
      <c r="U295" t="inlineStr">
        <is>
          <t>音频</t>
        </is>
      </c>
      <c r="V295" t="n">
        <v>46264</v>
      </c>
      <c r="W295" t="inlineStr">
        <is>
          <t>Suno.cn 任务 2092992454658625537；商业使用授权须由项目方按生成账户订阅证明复核</t>
        </is>
      </c>
      <c r="X295" s="375" t="inlineStr">
        <is>
          <t>—</t>
        </is>
      </c>
      <c r="Y295" t="inlineStr">
        <is>
          <t>2026-08-30 AST-04：原 MP3 移入 source/ 保留可恢复母版；运行时转码为规范化 OGG v001；asset_guard PASS；MusicCatalog 已迁移；验收 verify_music_system。</t>
        </is>
      </c>
    </row>
    <row r="296">
      <c r="A296" t="inlineStr">
        <is>
          <t>ART-PALETTE-FACILITY-LOWLIGHT-DOPAMINE</t>
        </is>
      </c>
      <c r="B296" t="inlineStr">
        <is>
          <t>设施低亮多巴胺共享色盘</t>
        </is>
      </c>
      <c r="C296" t="inlineStr">
        <is>
          <t>场景</t>
        </is>
      </c>
      <c r="D296" t="inlineStr">
        <is>
          <t>shared_palette</t>
        </is>
      </c>
      <c r="E296" t="inlineStr">
        <is>
          <t>palette_facility_lowlight_dopamine</t>
        </is>
      </c>
      <c r="F296" t="inlineStr">
        <is>
          <t>root</t>
        </is>
      </c>
      <c r="H296" t="inlineStr">
        <is>
          <t>不适用</t>
        </is>
      </c>
      <c r="I296" t="inlineStr">
        <is>
          <t>default</t>
        </is>
      </c>
      <c r="J296" t="inlineStr">
        <is>
          <t>场景/设施/固定装饰共享</t>
        </is>
      </c>
      <c r="K296" t="inlineStr">
        <is>
          <t>已完成</t>
        </is>
      </c>
      <c r="L296" t="inlineStr">
        <is>
          <t>P0</t>
        </is>
      </c>
      <c r="M296" t="inlineStr">
        <is>
          <t>v001</t>
        </is>
      </c>
      <c r="N296" t="inlineStr">
        <is>
          <t>512×512 PNG；10×10 色格；VRAM 压缩</t>
        </is>
      </c>
      <c r="O296" t="inlineStr">
        <is>
          <t>assets/art/shared/palette/设施低亮多巴胺色盘_10x10_512.png</t>
        </is>
      </c>
      <c r="P296" t="inlineStr">
        <is>
          <t>assets/art/shared/palette/palette_dopamine_10x10_512_v001.psd；tools/asset_pipeline/scene_facility_shared_palette_post_import.gd；tests/verification/verify_scene_facility_shared_palette.tscn</t>
        </is>
      </c>
      <c r="Q296" t="inlineStr">
        <is>
          <t>facility palette dopamine lowlight shared</t>
        </is>
      </c>
      <c r="R296">
        <f>LOWER(TRIM(C296)&amp;"|"&amp;TRIM(D296)&amp;"|"&amp;TRIM(E296)&amp;"|"&amp;TRIM(F296)&amp;"|"&amp;TRIM(H296)&amp;"|"&amp;TRIM(I296))</f>
        <v/>
      </c>
      <c r="S296">
        <f>IF(COUNTIF($R$6:$R$300,R296)&gt;1,"重复","唯一")</f>
        <v/>
      </c>
      <c r="T296" t="inlineStr">
        <is>
          <t>a6b1838fb80ad3ce7764e998bb1dfb70edf2b9315a4282da0fb2ae35ed266ce3</t>
        </is>
      </c>
      <c r="U296" t="inlineStr">
        <is>
          <t>美术</t>
        </is>
      </c>
      <c r="V296" t="n">
        <v>46264</v>
      </c>
      <c r="W296" t="inlineStr">
        <is>
          <t>项目自制/内部使用</t>
        </is>
      </c>
      <c r="X296" s="375" t="inlineStr">
        <is>
          <t>—</t>
        </is>
      </c>
      <c r="Y296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297">
      <c r="A297" t="inlineStr">
        <is>
          <t>CHR-PLY-BUNNY01-HEAD-CHIBI-ANIME-3D</t>
        </is>
      </c>
      <c r="B297" t="inlineStr">
        <is>
          <t>Bunny 二次元女仆头部配件</t>
        </is>
      </c>
      <c r="C297" t="inlineStr">
        <is>
          <t>角色</t>
        </is>
      </c>
      <c r="D297" t="inlineStr">
        <is>
          <t>头部配件</t>
        </is>
      </c>
      <c r="E297" t="inlineStr">
        <is>
          <t>chibi_anime</t>
        </is>
      </c>
      <c r="F297" t="inlineStr">
        <is>
          <t>head</t>
        </is>
      </c>
      <c r="G297" t="inlineStr">
        <is>
          <t>CHR-PLY-CAPSULE01-3D-BUNNY01</t>
        </is>
      </c>
      <c r="H297" t="inlineStr">
        <is>
          <t>3D</t>
        </is>
      </c>
      <c r="I297" t="inlineStr">
        <is>
          <t>default</t>
        </is>
      </c>
      <c r="J297" t="inlineStr">
        <is>
          <t>玩家换装</t>
        </is>
      </c>
      <c r="K297" t="inlineStr">
        <is>
          <t>原型已接入</t>
        </is>
      </c>
      <c r="L297" t="inlineStr">
        <is>
          <t>P1</t>
        </is>
      </c>
      <c r="M297" t="inlineStr">
        <is>
          <t>v021</t>
        </is>
      </c>
      <c r="N297" t="inlineStr">
        <is>
          <t>0.777×0.771×0.723m；HeadJoint 原点；root scale 1</t>
        </is>
      </c>
      <c r="O297" t="inlineStr">
        <is>
          <t>assets/art/characters/player/chr_player_capsule01_3d/variants/bunny01/production/v021/runtime/chr_bunny01_chibi_anime_root_v021.tscn</t>
        </is>
      </c>
      <c r="P297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97" t="inlineStr">
        <is>
          <t>chibi anime maid head</t>
        </is>
      </c>
      <c r="R297">
        <f>LOWER(TRIM(C297)&amp;"|"&amp;TRIM(D297)&amp;"|"&amp;TRIM(E297)&amp;"|"&amp;TRIM(F297)&amp;"|"&amp;TRIM(H297)&amp;"|"&amp;TRIM(I297))</f>
        <v/>
      </c>
      <c r="S297">
        <f>IF(COUNTIF($R$6:$R$300,R297)&gt;1,"重复","唯一")</f>
        <v/>
      </c>
      <c r="T297" t="inlineStr">
        <is>
          <t>09dac92ea794b1c42c9c4c1e23db83d3d057216f2ac11fa53624a6951bc1e284</t>
        </is>
      </c>
      <c r="U297" t="inlineStr">
        <is>
          <t>美术</t>
        </is>
      </c>
      <c r="V297" t="n">
        <v>46264</v>
      </c>
      <c r="W297" t="inlineStr">
        <is>
          <t>项目现有；原始模型商业使用许可须由项目方复核</t>
        </is>
      </c>
      <c r="X297" s="375" t="inlineStr">
        <is>
          <t>—</t>
        </is>
      </c>
      <c r="Y297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98">
      <c r="A298" t="inlineStr">
        <is>
          <t>PRP-BASE-RECOVERY-STATION-3D</t>
        </is>
      </c>
      <c r="B298" t="inlineStr">
        <is>
          <t>基地恢复站</t>
        </is>
      </c>
      <c r="C298" t="inlineStr">
        <is>
          <t>场景道具</t>
        </is>
      </c>
      <c r="D298" t="inlineStr">
        <is>
          <t>基地设施</t>
        </is>
      </c>
      <c r="E298" t="inlineStr">
        <is>
          <t>recovery_station</t>
        </is>
      </c>
      <c r="F298" t="inlineStr">
        <is>
          <t>root</t>
        </is>
      </c>
      <c r="H298" t="inlineStr">
        <is>
          <t>3D</t>
        </is>
      </c>
      <c r="I298" t="inlineStr">
        <is>
          <t>default</t>
        </is>
      </c>
      <c r="J298" t="inlineStr">
        <is>
          <t>基地复用</t>
        </is>
      </c>
      <c r="K298" t="inlineStr">
        <is>
          <t>原型已接入</t>
        </is>
      </c>
      <c r="L298" t="inlineStr">
        <is>
          <t>P1</t>
        </is>
      </c>
      <c r="M298" t="inlineStr">
        <is>
          <t>v001</t>
        </is>
      </c>
      <c r="N298" t="inlineStr">
        <is>
          <t>PackedScene；固定设施；独立碰撞</t>
        </is>
      </c>
      <c r="O298" t="inlineStr">
        <is>
          <t>assets/art/props/base_world_3d/runtime/recovery_station/prp_base_recovery_station_root_top3d_v001.tscn</t>
        </is>
      </c>
      <c r="P298" t="inlineStr">
        <is>
          <t>scenes/BaseWorld3D.tscn；assets/art/environments/base_facility_3d/runtime/env_base_facility_art_layout_top3d_v001.tscn；3D-设施!A20</t>
        </is>
      </c>
      <c r="Q298" t="inlineStr">
        <is>
          <t>base recovery station</t>
        </is>
      </c>
      <c r="R298">
        <f>LOWER(TRIM(C298)&amp;"|"&amp;TRIM(D298)&amp;"|"&amp;TRIM(E298)&amp;"|"&amp;TRIM(F298)&amp;"|"&amp;TRIM(H298)&amp;"|"&amp;TRIM(I298))</f>
        <v/>
      </c>
      <c r="S298">
        <f>IF(COUNTIF($R$6:$R$300,R298)&gt;1,"重复","唯一")</f>
        <v/>
      </c>
      <c r="T298" t="inlineStr">
        <is>
          <t>fd313b49b12db893b48751fd3b15a2bac089f2ece80ff370af6b51b0cebf9ff0</t>
        </is>
      </c>
      <c r="U298" t="inlineStr">
        <is>
          <t>美术</t>
        </is>
      </c>
      <c r="V298" t="n">
        <v>46264</v>
      </c>
      <c r="W298" t="inlineStr">
        <is>
          <t>项目现有/内部制作</t>
        </is>
      </c>
      <c r="X298" s="375" t="inlineStr">
        <is>
          <t>—</t>
        </is>
      </c>
      <c r="Y298" t="inlineStr">
        <is>
          <t>2026-08-30 AST-04：从3D-设施分表提升为主表权威根资产；asset_guard PASS；运行时由BaseWorld3D与基地美术布局直接消费。</t>
        </is>
      </c>
    </row>
    <row r="299">
      <c r="A299" t="inlineStr">
        <is>
          <t>PRP-TOWER-ROOM-DOOR-3D</t>
        </is>
      </c>
      <c r="B299" t="inlineStr">
        <is>
          <t>塔楼房间交互门</t>
        </is>
      </c>
      <c r="C299" t="inlineStr">
        <is>
          <t>场景道具</t>
        </is>
      </c>
      <c r="D299" t="inlineStr">
        <is>
          <t>门</t>
        </is>
      </c>
      <c r="E299" t="inlineStr">
        <is>
          <t>room_door</t>
        </is>
      </c>
      <c r="F299" t="inlineStr">
        <is>
          <t>root</t>
        </is>
      </c>
      <c r="H299" t="inlineStr">
        <is>
          <t>3D</t>
        </is>
      </c>
      <c r="I299" t="inlineStr">
        <is>
          <t>closed/open/locked</t>
        </is>
      </c>
      <c r="J299" t="inlineStr">
        <is>
          <t>塔楼房间复用</t>
        </is>
      </c>
      <c r="K299" t="inlineStr">
        <is>
          <t>原型已接入</t>
        </is>
      </c>
      <c r="L299" t="inlineStr">
        <is>
          <t>P0</t>
        </is>
      </c>
      <c r="M299" t="inlineStr">
        <is>
          <t>v001</t>
        </is>
      </c>
      <c r="N299" t="inlineStr">
        <is>
          <t>StaticBody3D；脚本驱动开关与碰撞</t>
        </is>
      </c>
      <c r="O299" t="inlineStr">
        <is>
          <t>assets/art/props/dungeon_3d/prp_room_door_3d_v001.tscn</t>
        </is>
      </c>
      <c r="P299" t="inlineStr">
        <is>
          <t>src/world3d/RoomDoor3D.gd；src/world3d/DungeonRoom3D.gd；src/world3d/TowerDescent3D.gd；tests/verification/verify_door_passability.tscn</t>
        </is>
      </c>
      <c r="Q299" t="inlineStr">
        <is>
          <t>tower room interactive door</t>
        </is>
      </c>
      <c r="R299">
        <f>LOWER(TRIM(C299)&amp;"|"&amp;TRIM(D299)&amp;"|"&amp;TRIM(E299)&amp;"|"&amp;TRIM(F299)&amp;"|"&amp;TRIM(H299)&amp;"|"&amp;TRIM(I299))</f>
        <v/>
      </c>
      <c r="S299">
        <f>IF(COUNTIF($R$6:$R$300,R299)&gt;1,"重复","唯一")</f>
        <v/>
      </c>
      <c r="T299" t="inlineStr">
        <is>
          <t>b0071bee31068f2d3995005cac41a93567ddfc68f662b4c8d9428d59b8083fc3</t>
        </is>
      </c>
      <c r="U299" t="inlineStr">
        <is>
          <t>程序/美术</t>
        </is>
      </c>
      <c r="V299" t="n">
        <v>46264</v>
      </c>
      <c r="W299" t="inlineStr">
        <is>
          <t>项目现有/内部制作</t>
        </is>
      </c>
      <c r="X299" s="375" t="inlineStr">
        <is>
          <t>—</t>
        </is>
      </c>
      <c r="Y29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300">
      <c r="A300" t="inlineStr">
        <is>
          <t>ENV-ROOFTOP-SHELTER-50M-3D</t>
        </is>
      </c>
      <c r="B300" t="inlineStr">
        <is>
          <t>50米屋顶避难所场景</t>
        </is>
      </c>
      <c r="C300" t="inlineStr">
        <is>
          <t>场景</t>
        </is>
      </c>
      <c r="D300" t="inlineStr">
        <is>
          <t>屋顶环境</t>
        </is>
      </c>
      <c r="E300" t="inlineStr">
        <is>
          <t>rooftop_shelter_50m</t>
        </is>
      </c>
      <c r="F300" t="inlineStr">
        <is>
          <t>root</t>
        </is>
      </c>
      <c r="H300" t="inlineStr">
        <is>
          <t>3D</t>
        </is>
      </c>
      <c r="I300" t="inlineStr">
        <is>
          <t>default</t>
        </is>
      </c>
      <c r="J300" t="inlineStr">
        <is>
          <t>独立场景/待玩法映射</t>
        </is>
      </c>
      <c r="K300" t="inlineStr">
        <is>
          <t>已完成</t>
        </is>
      </c>
      <c r="L300" t="inlineStr">
        <is>
          <t>P1</t>
        </is>
      </c>
      <c r="M300" t="inlineStr">
        <is>
          <t>v011</t>
        </is>
      </c>
      <c r="N300" t="inlineStr">
        <is>
          <t>50m场景；4032输出网格；30219面；4共享材质</t>
        </is>
      </c>
      <c r="O300" t="inlineStr">
        <is>
          <t>assets/art/environments/rooftop_shelter_3d/runtime/env_rooftop_shelter_50m_game_v011.glb</t>
        </is>
      </c>
      <c r="P300" t="inlineStr">
        <is>
          <t>assets/art/environments/rooftop_shelter_3d/source/env_rooftop_shelter_50m_top3d_v011.blend；assets/art/environments/rooftop_shelter_3d/reports/asset_manifest_v011.json；assets/art/environments/rooftop_shelter_3d/reports/validation_v011.json</t>
        </is>
      </c>
      <c r="Q300" t="inlineStr">
        <is>
          <t>rooftop shelter 50m survival scene</t>
        </is>
      </c>
      <c r="R300">
        <f>LOWER(TRIM(C300)&amp;"|"&amp;TRIM(D300)&amp;"|"&amp;TRIM(E300)&amp;"|"&amp;TRIM(F300)&amp;"|"&amp;TRIM(H300)&amp;"|"&amp;TRIM(I300))</f>
        <v/>
      </c>
      <c r="S300">
        <f>IF(COUNTIF($R$6:$R$300,R300)&gt;1,"重复","唯一")</f>
        <v/>
      </c>
      <c r="T300" t="inlineStr">
        <is>
          <t>f8b3bc333d1bdca175a870d47a20e256a3f04f70bb2dc32c7241a67d5505e981</t>
        </is>
      </c>
      <c r="U300" t="inlineStr">
        <is>
          <t>美术</t>
        </is>
      </c>
      <c r="V300" t="n">
        <v>46264</v>
      </c>
      <c r="W300" t="inlineStr">
        <is>
          <t>项目自制/内部使用</t>
        </is>
      </c>
      <c r="X300" s="375" t="inlineStr">
        <is>
          <t>—</t>
        </is>
      </c>
      <c r="Y300" t="inlineStr">
        <is>
          <t>2026-08-30 AST-04：独立正式场景资产补登记，暂未接入游戏玩法；asset_guard PASS；Blender严格验收通过：4032/4032输出网格、30219/30219面色盘UV有效、4材质、公共色盘唯一外链、无展示地面/混合自发光。</t>
        </is>
      </c>
    </row>
    <row r="301" ht="132" customHeight="1">
      <c r="A301" t="inlineStr">
        <is>
          <t>ENV-ROOFTOP-SHELTER-90X80</t>
        </is>
      </c>
      <c r="B301" t="inlineStr">
        <is>
          <t>90×80米天台可编辑生活聚落设施</t>
        </is>
      </c>
      <c r="C301" t="inlineStr">
        <is>
          <t>场景</t>
        </is>
      </c>
      <c r="D301" t="inlineStr">
        <is>
          <t>屋顶环境</t>
        </is>
      </c>
      <c r="E301" t="inlineStr">
        <is>
          <t>rooftop_shelter_90x80</t>
        </is>
      </c>
      <c r="F301" t="inlineStr">
        <is>
          <t>root</t>
        </is>
      </c>
      <c r="G301" t="inlineStr">
        <is>
          <t>ENV-ROOFTOP-SHELTER-50M-3D</t>
        </is>
      </c>
      <c r="H301" t="inlineStr">
        <is>
          <t>3D</t>
        </is>
      </c>
      <c r="I301" t="inlineStr">
        <is>
          <t>default</t>
        </is>
      </c>
      <c r="J301" t="inlineStr">
        <is>
          <t>100F天台设施专用</t>
        </is>
      </c>
      <c r="K301" t="inlineStr">
        <is>
          <t>正式美术已接入</t>
        </is>
      </c>
      <c r="L301" t="inlineStr">
        <is>
          <t>P0</t>
        </is>
      </c>
      <c r="M301" t="inlineStr">
        <is>
          <t>v021</t>
        </is>
      </c>
      <c r="N301" s="364" t="inlineStr">
        <is>
          <t>1167源节点；29组Blender环境动画；3盏无阴影串灯；既有碰撞不变</t>
        </is>
      </c>
      <c r="O301" t="inlineStr">
        <is>
          <t>assets/art/environments/rooftop_shelter_3d/runtime/env_rooftop_shelter_90x80m_facilities_root_top3d_v021.tscn</t>
        </is>
      </c>
      <c r="P301" t="inlineStr">
        <is>
          <t>assets/art/environments/rooftop_shelter_3d/source/env_rooftop_shelter_90x80m_top3d_v021.blend；src/world3d/RooftopAmbience3D.gd；tests/verification/verify_tower_journey_polish.tscn</t>
        </is>
      </c>
      <c r="Q301" t="inlineStr">
        <is>
          <t>rooftop facilities only；native floor and parapet preserved；68 components；39 blockers；82 shapes</t>
        </is>
      </c>
      <c r="R301">
        <f>LOWER(TRIM(C301)&amp;"|"&amp;TRIM(D301)&amp;"|"&amp;TRIM(E301)&amp;"|"&amp;TRIM(F301)&amp;"|"&amp;TRIM(H301)&amp;"|"&amp;TRIM(I301))</f>
        <v/>
      </c>
      <c r="S301">
        <f>IF(COUNTIF($R$6:$R$301,R301)&gt;1,"重复","唯一")</f>
        <v/>
      </c>
      <c r="T301" t="inlineStr">
        <is>
          <t>e23e285b6340306867472161125ecb1be3cbe73b149802cfc5c632245747686b</t>
        </is>
      </c>
      <c r="U301" t="inlineStr">
        <is>
          <t>美术/程序</t>
        </is>
      </c>
      <c r="V301" t="n">
        <v>46271</v>
      </c>
      <c r="W301" t="inlineStr">
        <is>
          <t>项目自制/内部使用</t>
        </is>
      </c>
      <c r="X301" s="375" t="inlineStr">
        <is>
          <t>—</t>
        </is>
      </c>
      <c r="Y301" t="inlineStr">
        <is>
          <t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t>
        </is>
      </c>
    </row>
    <row r="302" ht="54" customHeight="1">
      <c r="A302" t="inlineStr">
        <is>
          <t>BPK-BASE99-EAST-MEZZANINE-STRUCTURE</t>
        </is>
      </c>
      <c r="B302" t="inlineStr">
        <is>
          <t>基地99层 · 东墙阁楼主体结构</t>
        </is>
      </c>
      <c r="C302" t="inlineStr">
        <is>
          <t>基地资产包</t>
        </is>
      </c>
      <c r="D302" t="inlineStr">
        <is>
          <t>建筑结构包</t>
        </is>
      </c>
      <c r="E302" t="inlineStr">
        <is>
          <t>base99_package_east_mezzanine_structure</t>
        </is>
      </c>
      <c r="F302" t="inlineStr">
        <is>
          <t>package_root</t>
        </is>
      </c>
      <c r="G302" t="inlineStr">
        <is>
          <t>ENV-BASE99-ART-LAYOUT-3D</t>
        </is>
      </c>
      <c r="H302" t="inlineStr">
        <is>
          <t>Top3D / Blender +Y北</t>
        </is>
      </c>
      <c r="I302" t="inlineStr">
        <is>
          <t>static / default</t>
        </is>
      </c>
      <c r="J302" t="inlineStr">
        <is>
          <t>3D-设施 / 基地99层独立资产包</t>
        </is>
      </c>
      <c r="K302" t="inlineStr">
        <is>
          <t>已优化并正式接入</t>
        </is>
      </c>
      <c r="L302" t="inlineStr">
        <is>
          <t>P0</t>
        </is>
      </c>
      <c r="M302" t="inlineStr">
        <is>
          <t>v021</t>
        </is>
      </c>
      <c r="N302" s="349" t="inlineStr">
        <is>
          <t>优化输出包络 20.069×9.993×7.315m；3440 三角面</t>
        </is>
      </c>
      <c r="O302" s="349" t="inlineStr">
        <is>
          <t>assets/art/environments/base_facility_3d/runtime/env_base99_structural_v021/east_mezzanine_structure/east_mezzanine_structure_root_top3d_v001.tscn</t>
        </is>
      </c>
      <c r="P302" s="349" t="inlineStr">
        <is>
          <t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t>
        </is>
      </c>
      <c r="Q302" s="349" t="inlineStr">
        <is>
          <t>基地99层;基地资产包;3D设施;建筑结构包;east_mezzanine_structure;PaletteUV</t>
        </is>
      </c>
      <c r="R302" s="349">
        <f>C302&amp;"|"&amp;D302&amp;"|"&amp;E302&amp;"|"&amp;F302&amp;"|"&amp;LOWER(H302)&amp;"|"&amp;I302</f>
        <v/>
      </c>
      <c r="S302" s="349">
        <f>IF(COUNTIF($R$6:$R$411,R302)&gt;1,"重复","唯一")</f>
        <v/>
      </c>
      <c r="T302" s="349" t="inlineStr">
        <is>
          <t>57aa2dfd5022b4d450f665c5e1262661990fc0e831f2f7ef4cc8377342c5cede</t>
        </is>
      </c>
      <c r="U302" s="349" t="inlineStr">
        <is>
          <t>Codex</t>
        </is>
      </c>
      <c r="V302" s="348" t="n">
        <v>46269</v>
      </c>
      <c r="W302" s="349" t="inlineStr">
        <is>
          <t>用户自制Blender资产</t>
        </is>
      </c>
      <c r="X302" s="375" t="inlineStr">
        <is>
          <t>12</t>
        </is>
      </c>
      <c r="Y302" s="34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303" ht="54" customHeight="1">
      <c r="A303" t="inlineStr">
        <is>
          <t>BPK-BASE99-EAST-UPPER-TRANSITION-STAIR</t>
        </is>
      </c>
      <c r="B303" t="inlineStr">
        <is>
          <t>基地99层 · 东侧紧凑上行过渡楼梯</t>
        </is>
      </c>
      <c r="C303" t="inlineStr">
        <is>
          <t>基地资产包</t>
        </is>
      </c>
      <c r="D303" t="inlineStr">
        <is>
          <t>建筑结构包</t>
        </is>
      </c>
      <c r="E303" t="inlineStr">
        <is>
          <t>base99_package_east_upper_transition_stair</t>
        </is>
      </c>
      <c r="F303" t="inlineStr">
        <is>
          <t>package_root</t>
        </is>
      </c>
      <c r="G303" t="inlineStr">
        <is>
          <t>ENV-BASE99-ART-LAYOUT-3D</t>
        </is>
      </c>
      <c r="H303" t="inlineStr">
        <is>
          <t>Top3D / Blender +Y北</t>
        </is>
      </c>
      <c r="I303" t="inlineStr">
        <is>
          <t>static / default</t>
        </is>
      </c>
      <c r="J303" t="inlineStr">
        <is>
          <t>3D-设施 / 基地99层独立资产包</t>
        </is>
      </c>
      <c r="K303" t="inlineStr">
        <is>
          <t>已优化并正式接入</t>
        </is>
      </c>
      <c r="L303" t="inlineStr">
        <is>
          <t>P0</t>
        </is>
      </c>
      <c r="M303" t="inlineStr">
        <is>
          <t>v021</t>
        </is>
      </c>
      <c r="N303" s="349" t="inlineStr">
        <is>
          <t>优化输出包络 2.118×4.907×3.333m；5070 三角面</t>
        </is>
      </c>
      <c r="O303" s="349" t="inlineStr">
        <is>
          <t>assets/art/environments/base_facility_3d/runtime/env_base99_structural_v021/east_upper_transition_stair/east_upper_transition_stair_root_top3d_v001.tscn</t>
        </is>
      </c>
      <c r="P303" s="349" t="inlineStr">
        <is>
          <t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t>
        </is>
      </c>
      <c r="Q303" s="349" t="inlineStr">
        <is>
          <t>基地99层;基地资产包;3D设施;建筑结构包;east_upper_transition_stair;PaletteUV</t>
        </is>
      </c>
      <c r="R303" s="349">
        <f>C303&amp;"|"&amp;D303&amp;"|"&amp;E303&amp;"|"&amp;F303&amp;"|"&amp;LOWER(H303)&amp;"|"&amp;I303</f>
        <v/>
      </c>
      <c r="S303" s="349">
        <f>IF(COUNTIF($R$6:$R$411,R303)&gt;1,"重复","唯一")</f>
        <v/>
      </c>
      <c r="T303" s="349" t="inlineStr">
        <is>
          <t>67e85eed23cc5feb4db499ff3892798b71f9a2726d59644da7e73b25611d71db</t>
        </is>
      </c>
      <c r="U303" s="349" t="inlineStr">
        <is>
          <t>Codex</t>
        </is>
      </c>
      <c r="V303" s="348" t="n">
        <v>46269</v>
      </c>
      <c r="W303" s="349" t="inlineStr">
        <is>
          <t>用户自制Blender资产</t>
        </is>
      </c>
      <c r="X303" s="375" t="inlineStr">
        <is>
          <t>51</t>
        </is>
      </c>
      <c r="Y303" s="349" t="inlineStr">
        <is>
          <t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304" ht="54" customHeight="1">
      <c r="A304" t="inlineStr">
        <is>
          <t>BPK-BASE99-NORTHWEST-L-STAIR</t>
        </is>
      </c>
      <c r="B304" t="inlineStr">
        <is>
          <t>基地99层 · 西北贴墙L型楼梯</t>
        </is>
      </c>
      <c r="C304" t="inlineStr">
        <is>
          <t>基地资产包</t>
        </is>
      </c>
      <c r="D304" t="inlineStr">
        <is>
          <t>建筑结构包</t>
        </is>
      </c>
      <c r="E304" t="inlineStr">
        <is>
          <t>base99_package_northwest_l_stair</t>
        </is>
      </c>
      <c r="F304" t="inlineStr">
        <is>
          <t>package_root</t>
        </is>
      </c>
      <c r="G304" t="inlineStr">
        <is>
          <t>ENV-BASE99-ART-LAYOUT-3D</t>
        </is>
      </c>
      <c r="H304" t="inlineStr">
        <is>
          <t>Top3D / Blender +Y北</t>
        </is>
      </c>
      <c r="I304" t="inlineStr">
        <is>
          <t>static / default</t>
        </is>
      </c>
      <c r="J304" t="inlineStr">
        <is>
          <t>3D-设施 / 基地99层独立资产包</t>
        </is>
      </c>
      <c r="K304" t="inlineStr">
        <is>
          <t>已优化并正式接入</t>
        </is>
      </c>
      <c r="L304" t="inlineStr">
        <is>
          <t>P0</t>
        </is>
      </c>
      <c r="M304" t="inlineStr">
        <is>
          <t>v021</t>
        </is>
      </c>
      <c r="N304" s="349" t="inlineStr">
        <is>
          <t>优化输出包络 10.082×7.908×7.124m；20310 三角面</t>
        </is>
      </c>
      <c r="O304" s="349" t="inlineStr">
        <is>
          <t>assets/art/environments/base_facility_3d/runtime/env_base99_structural_v021/northwest_l_stair/northwest_l_stair_root_top3d_v001.tscn</t>
        </is>
      </c>
      <c r="P304" s="349" t="inlineStr">
        <is>
          <t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t>
        </is>
      </c>
      <c r="Q304" s="349" t="inlineStr">
        <is>
          <t>基地99层;基地资产包;3D设施;建筑结构包;northwest_l_stair;PaletteUV</t>
        </is>
      </c>
      <c r="R304" s="349">
        <f>C304&amp;"|"&amp;D304&amp;"|"&amp;E304&amp;"|"&amp;F304&amp;"|"&amp;LOWER(H304)&amp;"|"&amp;I304</f>
        <v/>
      </c>
      <c r="S304" s="349">
        <f>IF(COUNTIF($R$6:$R$411,R304)&gt;1,"重复","唯一")</f>
        <v/>
      </c>
      <c r="T304" s="349" t="inlineStr">
        <is>
          <t>350a6a70e0d3731265a112334003eb6b8d8a269ccf56cf6396515b4dbcad24c3</t>
        </is>
      </c>
      <c r="U304" s="349" t="inlineStr">
        <is>
          <t>Codex</t>
        </is>
      </c>
      <c r="V304" s="348" t="n">
        <v>46269</v>
      </c>
      <c r="W304" s="349" t="inlineStr">
        <is>
          <t>用户自制Blender资产</t>
        </is>
      </c>
      <c r="X304" s="375" t="inlineStr">
        <is>
          <t>14</t>
        </is>
      </c>
      <c r="Y304" s="34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305" ht="54" customHeight="1">
      <c r="A305" t="inlineStr">
        <is>
          <t>BPK-BASE99-RETAINED-WALL-SYSTEM</t>
        </is>
      </c>
      <c r="B305" t="inlineStr">
        <is>
          <t>基地99层 · 四向保留墙体系统</t>
        </is>
      </c>
      <c r="C305" t="inlineStr">
        <is>
          <t>基地资产包</t>
        </is>
      </c>
      <c r="D305" t="inlineStr">
        <is>
          <t>建筑结构包</t>
        </is>
      </c>
      <c r="E305" t="inlineStr">
        <is>
          <t>base99_package_retained_wall_system</t>
        </is>
      </c>
      <c r="F305" t="inlineStr">
        <is>
          <t>package_root</t>
        </is>
      </c>
      <c r="G305" t="inlineStr">
        <is>
          <t>ENV-BASE99-ART-LAYOUT-3D</t>
        </is>
      </c>
      <c r="H305" t="inlineStr">
        <is>
          <t>Top3D / Blender +Y北</t>
        </is>
      </c>
      <c r="I305" t="inlineStr">
        <is>
          <t>static / default</t>
        </is>
      </c>
      <c r="J305" t="inlineStr">
        <is>
          <t>3D-设施 / 基地99层独立资产包</t>
        </is>
      </c>
      <c r="K305" t="inlineStr">
        <is>
          <t>Blender源已完成</t>
        </is>
      </c>
      <c r="L305" t="inlineStr">
        <is>
          <t>P0</t>
        </is>
      </c>
      <c r="M305" t="inlineStr">
        <is>
          <t>v017</t>
        </is>
      </c>
      <c r="N305" s="349" t="inlineStr">
        <is>
          <t>包络 31.171×30.360×9.000m；24 网格；0 灯</t>
        </is>
      </c>
      <c r="O305" s="349" t="inlineStr">
        <is>
          <t>source/art/blender/base_facility_layout/component_packages_v017/architecture/retained_wall_system/asset_manifest.json</t>
        </is>
      </c>
      <c r="P305" s="349" t="inlineStr">
        <is>
          <t>source/art/blender/base_facility_layout/base_facility_runtime_layout_hq_v017.blend; outputs/verification/base_facility_runtime_layout_hq_v017/base_facility_component_catalog_v017.json</t>
        </is>
      </c>
      <c r="Q305" s="349" t="inlineStr">
        <is>
          <t>基地99层;基地资产包;3D设施;建筑结构包;retained_wall_system;PaletteUV</t>
        </is>
      </c>
      <c r="R305" s="349">
        <f>C305&amp;"|"&amp;D305&amp;"|"&amp;E305&amp;"|"&amp;F305&amp;"|"&amp;LOWER(H305)&amp;"|"&amp;I305</f>
        <v/>
      </c>
      <c r="S305" s="349">
        <f>IF(COUNTIF($R$6:$R$411,R305)&gt;1,"重复","唯一")</f>
        <v/>
      </c>
      <c r="T305" s="349" t="inlineStr">
        <is>
          <t>bfdd3f8e4a4b8baa937f46280d06ec455d2cf38f8156b75f54ae8acfd4eccbd8</t>
        </is>
      </c>
      <c r="U305" s="349" t="inlineStr">
        <is>
          <t>Codex</t>
        </is>
      </c>
      <c r="V305" s="348" t="n">
        <v>46269</v>
      </c>
      <c r="W305" s="349" t="inlineStr">
        <is>
          <t>用户自制Blender资产</t>
        </is>
      </c>
      <c r="X305" s="375" t="inlineStr">
        <is>
          <t>11</t>
        </is>
      </c>
      <c r="Y305" s="34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306" ht="54" customHeight="1">
      <c r="A306" t="inlineStr">
        <is>
          <t>BPK-BASE99-UNDERDECK-SHEET-BLOCKER</t>
        </is>
      </c>
      <c r="B306" t="inlineStr">
        <is>
          <t>基地99层 · 阁楼下方铁皮封闭体</t>
        </is>
      </c>
      <c r="C306" t="inlineStr">
        <is>
          <t>基地资产包</t>
        </is>
      </c>
      <c r="D306" t="inlineStr">
        <is>
          <t>建筑结构包</t>
        </is>
      </c>
      <c r="E306" t="inlineStr">
        <is>
          <t>base99_package_underdeck_sheet_blocker</t>
        </is>
      </c>
      <c r="F306" t="inlineStr">
        <is>
          <t>package_root</t>
        </is>
      </c>
      <c r="G306" t="inlineStr">
        <is>
          <t>ENV-BASE99-ART-LAYOUT-3D</t>
        </is>
      </c>
      <c r="H306" t="inlineStr">
        <is>
          <t>Top3D / Blender +Y北</t>
        </is>
      </c>
      <c r="I306" t="inlineStr">
        <is>
          <t>static / fixture_light</t>
        </is>
      </c>
      <c r="J306" t="inlineStr">
        <is>
          <t>3D-设施 / 基地99层独立资产包</t>
        </is>
      </c>
      <c r="K306" t="inlineStr">
        <is>
          <t>已优化并正式接入</t>
        </is>
      </c>
      <c r="L306" t="inlineStr">
        <is>
          <t>P0</t>
        </is>
      </c>
      <c r="M306" t="inlineStr">
        <is>
          <t>v021</t>
        </is>
      </c>
      <c r="N306" s="349" t="inlineStr">
        <is>
          <t>优化输出包络 19.315×9.500×5.393m；2630 三角面</t>
        </is>
      </c>
      <c r="O306" s="349" t="inlineStr">
        <is>
          <t>assets/art/environments/base_facility_3d/runtime/env_base99_structural_v021/underdeck_sheet_blocker/underdeck_sheet_blocker_root_top3d_v001.tscn</t>
        </is>
      </c>
      <c r="P306" s="349" t="inlineStr">
        <is>
          <t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t>
        </is>
      </c>
      <c r="Q306" s="349" t="inlineStr">
        <is>
          <t>基地99层;基地资产包;3D设施;建筑结构包;underdeck_sheet_blocker;PaletteUV</t>
        </is>
      </c>
      <c r="R306" s="349">
        <f>C306&amp;"|"&amp;D306&amp;"|"&amp;E306&amp;"|"&amp;F306&amp;"|"&amp;LOWER(H306)&amp;"|"&amp;I306</f>
        <v/>
      </c>
      <c r="S306" s="349">
        <f>IF(COUNTIF($R$6:$R$411,R306)&gt;1,"重复","唯一")</f>
        <v/>
      </c>
      <c r="T306" s="349" t="inlineStr">
        <is>
          <t>683304a35a9cd795f687d3355964a9c970a7caed26f6da67aceaa84bab108b93</t>
        </is>
      </c>
      <c r="U306" s="349" t="inlineStr">
        <is>
          <t>Codex</t>
        </is>
      </c>
      <c r="V306" s="348" t="n">
        <v>46269</v>
      </c>
      <c r="W306" s="349" t="inlineStr">
        <is>
          <t>用户自制Blender资产</t>
        </is>
      </c>
      <c r="X306" s="375" t="inlineStr">
        <is>
          <t>13</t>
        </is>
      </c>
      <c r="Y306" s="34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307" ht="54" customHeight="1">
      <c r="A307" t="inlineStr">
        <is>
          <t>BPK-BASE99-EAST-FLAMMABLE-BIN</t>
        </is>
      </c>
      <c r="B307" t="inlineStr">
        <is>
          <t>基地99层 · FLAMMABLE可燃垃圾设施</t>
        </is>
      </c>
      <c r="C307" t="inlineStr">
        <is>
          <t>基地资产包</t>
        </is>
      </c>
      <c r="D307" t="inlineStr">
        <is>
          <t>东侧固定设施包</t>
        </is>
      </c>
      <c r="E307" t="inlineStr">
        <is>
          <t>base99_package_east_flammable_bin</t>
        </is>
      </c>
      <c r="F307" t="inlineStr">
        <is>
          <t>package_root</t>
        </is>
      </c>
      <c r="G307" t="inlineStr">
        <is>
          <t>ENV-BASE99-ART-LAYOUT-3D</t>
        </is>
      </c>
      <c r="H307" t="inlineStr">
        <is>
          <t>Top3D / Blender +Y北</t>
        </is>
      </c>
      <c r="I307" t="inlineStr">
        <is>
          <t>static / default</t>
        </is>
      </c>
      <c r="J307" t="inlineStr">
        <is>
          <t>3D-设施 / 基地99层独立资产包</t>
        </is>
      </c>
      <c r="K307" t="inlineStr">
        <is>
          <t>Blender源已完成</t>
        </is>
      </c>
      <c r="L307" t="inlineStr">
        <is>
          <t>P1</t>
        </is>
      </c>
      <c r="M307" t="inlineStr">
        <is>
          <t>v017</t>
        </is>
      </c>
      <c r="N307" s="349" t="inlineStr">
        <is>
          <t>包络 1.298×1.100×1.460m；12 网格；0 灯</t>
        </is>
      </c>
      <c r="O307" s="349" t="inlineStr">
        <is>
          <t>source/art/blender/base_facility_layout/component_packages_v017/east_facilities/east_flammable_bin/asset_manifest.json</t>
        </is>
      </c>
      <c r="P307" s="349" t="inlineStr">
        <is>
          <t>source/art/blender/base_facility_layout/base_facility_runtime_layout_hq_v017.blend; outputs/verification/base_facility_runtime_layout_hq_v017/base_facility_component_catalog_v017.json</t>
        </is>
      </c>
      <c r="Q307" s="349" t="inlineStr">
        <is>
          <t>基地99层;基地资产包;3D设施;东侧固定设施包;east_flammable_bin;PaletteUV</t>
        </is>
      </c>
      <c r="R307" s="349">
        <f>C307&amp;"|"&amp;D307&amp;"|"&amp;E307&amp;"|"&amp;F307&amp;"|"&amp;LOWER(H307)&amp;"|"&amp;I307</f>
        <v/>
      </c>
      <c r="S307" s="349">
        <f>IF(COUNTIF($R$6:$R$411,R307)&gt;1,"重复","唯一")</f>
        <v/>
      </c>
      <c r="T307" s="349" t="inlineStr">
        <is>
          <t>b761ec0a6c0fb6ef88a5b3ce229c69e447bc9d0a8ada0dabf3928b28a0136d3e</t>
        </is>
      </c>
      <c r="U307" s="349" t="inlineStr">
        <is>
          <t>Codex</t>
        </is>
      </c>
      <c r="V307" s="348" t="n">
        <v>46269</v>
      </c>
      <c r="W307" s="349" t="inlineStr">
        <is>
          <t>用户自制Blender资产</t>
        </is>
      </c>
      <c r="X307" s="375" t="inlineStr">
        <is>
          <t>76</t>
        </is>
      </c>
      <c r="Y307" s="34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308" ht="54" customHeight="1">
      <c r="A308" t="inlineStr">
        <is>
          <t>BPK-BASE99-EAST-INDUSTRIAL-PIPELINE-SYSTEM</t>
        </is>
      </c>
      <c r="B308" t="inlineStr">
        <is>
          <t>基地99层 · 东墙工业管线系统</t>
        </is>
      </c>
      <c r="C308" t="inlineStr">
        <is>
          <t>基地资产包</t>
        </is>
      </c>
      <c r="D308" t="inlineStr">
        <is>
          <t>东侧固定设施包</t>
        </is>
      </c>
      <c r="E308" t="inlineStr">
        <is>
          <t>base99_package_east_industrial_pipeline_system</t>
        </is>
      </c>
      <c r="F308" t="inlineStr">
        <is>
          <t>package_root</t>
        </is>
      </c>
      <c r="G308" t="inlineStr">
        <is>
          <t>ENV-BASE99-ART-LAYOUT-3D</t>
        </is>
      </c>
      <c r="H308" t="inlineStr">
        <is>
          <t>Top3D / Blender +Y北</t>
        </is>
      </c>
      <c r="I308" t="inlineStr">
        <is>
          <t>static / default</t>
        </is>
      </c>
      <c r="J308" t="inlineStr">
        <is>
          <t>3D-设施 / 基地99层独立资产包</t>
        </is>
      </c>
      <c r="K308" t="inlineStr">
        <is>
          <t>Blender源已完成</t>
        </is>
      </c>
      <c r="L308" t="inlineStr">
        <is>
          <t>P1</t>
        </is>
      </c>
      <c r="M308" t="inlineStr">
        <is>
          <t>v017</t>
        </is>
      </c>
      <c r="N308" s="349" t="inlineStr">
        <is>
          <t>包络 0.578×17.600×5.460m；57 网格；0 灯</t>
        </is>
      </c>
      <c r="O308" s="349" t="inlineStr">
        <is>
          <t>source/art/blender/base_facility_layout/component_packages_v017/east_facilities/east_industrial_pipeline_system/asset_manifest.json</t>
        </is>
      </c>
      <c r="P308" s="349" t="inlineStr">
        <is>
          <t>source/art/blender/base_facility_layout/base_facility_runtime_layout_hq_v017.blend; outputs/verification/base_facility_runtime_layout_hq_v017/base_facility_component_catalog_v017.json</t>
        </is>
      </c>
      <c r="Q308" s="349" t="inlineStr">
        <is>
          <t>基地99层;基地资产包;3D设施;东侧固定设施包;east_industrial_pipeline_system;PaletteUV</t>
        </is>
      </c>
      <c r="R308" s="349">
        <f>C308&amp;"|"&amp;D308&amp;"|"&amp;E308&amp;"|"&amp;F308&amp;"|"&amp;LOWER(H308)&amp;"|"&amp;I308</f>
        <v/>
      </c>
      <c r="S308" s="349">
        <f>IF(COUNTIF($R$6:$R$411,R308)&gt;1,"重复","唯一")</f>
        <v/>
      </c>
      <c r="T308" s="349" t="inlineStr">
        <is>
          <t>1e643d03cda8bd2fd5cae99841172b39fe7df2730d809458376c8ae77c3e75eb</t>
        </is>
      </c>
      <c r="U308" s="349" t="inlineStr">
        <is>
          <t>Codex</t>
        </is>
      </c>
      <c r="V308" s="348" t="n">
        <v>46269</v>
      </c>
      <c r="W308" s="349" t="inlineStr">
        <is>
          <t>用户自制Blender资产</t>
        </is>
      </c>
      <c r="X308" s="375" t="inlineStr">
        <is>
          <t>74</t>
        </is>
      </c>
      <c r="Y308" s="34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309" ht="54" customHeight="1">
      <c r="A309" t="inlineStr">
        <is>
          <t>BPK-BASE99-EAST-LOW-STORAGE-BENCH</t>
        </is>
      </c>
      <c r="B309" t="inlineStr">
        <is>
          <t>基地99层 · 低矮储物收纳区</t>
        </is>
      </c>
      <c r="C309" t="inlineStr">
        <is>
          <t>基地资产包</t>
        </is>
      </c>
      <c r="D309" t="inlineStr">
        <is>
          <t>东侧固定设施包</t>
        </is>
      </c>
      <c r="E309" t="inlineStr">
        <is>
          <t>base99_package_east_low_storage_bench</t>
        </is>
      </c>
      <c r="F309" t="inlineStr">
        <is>
          <t>package_root</t>
        </is>
      </c>
      <c r="G309" t="inlineStr">
        <is>
          <t>ENV-BASE99-ART-LAYOUT-3D</t>
        </is>
      </c>
      <c r="H309" t="inlineStr">
        <is>
          <t>Top3D / Blender +Y北</t>
        </is>
      </c>
      <c r="I309" t="inlineStr">
        <is>
          <t>static / default</t>
        </is>
      </c>
      <c r="J309" t="inlineStr">
        <is>
          <t>3D-设施 / 基地99层独立资产包</t>
        </is>
      </c>
      <c r="K309" t="inlineStr">
        <is>
          <t>Blender源已完成</t>
        </is>
      </c>
      <c r="L309" t="inlineStr">
        <is>
          <t>P1</t>
        </is>
      </c>
      <c r="M309" t="inlineStr">
        <is>
          <t>v017</t>
        </is>
      </c>
      <c r="N309" s="349" t="inlineStr">
        <is>
          <t>包络 2.900×1.225×1.690m；10 网格；0 灯</t>
        </is>
      </c>
      <c r="O309" s="349" t="inlineStr">
        <is>
          <t>source/art/blender/base_facility_layout/component_packages_v017/east_facilities/east_low_storage_bench/asset_manifest.json</t>
        </is>
      </c>
      <c r="P309" s="349" t="inlineStr">
        <is>
          <t>source/art/blender/base_facility_layout/base_facility_runtime_layout_hq_v017.blend; outputs/verification/base_facility_runtime_layout_hq_v017/base_facility_component_catalog_v017.json</t>
        </is>
      </c>
      <c r="Q309" s="349" t="inlineStr">
        <is>
          <t>基地99层;基地资产包;3D设施;东侧固定设施包;east_low_storage_bench;PaletteUV</t>
        </is>
      </c>
      <c r="R309" s="349">
        <f>C309&amp;"|"&amp;D309&amp;"|"&amp;E309&amp;"|"&amp;F309&amp;"|"&amp;LOWER(H309)&amp;"|"&amp;I309</f>
        <v/>
      </c>
      <c r="S309" s="349">
        <f>IF(COUNTIF($R$6:$R$411,R309)&gt;1,"重复","唯一")</f>
        <v/>
      </c>
      <c r="T309" s="349" t="inlineStr">
        <is>
          <t>da684e47481e7979da47f1ffd0ee9bea0a3cd930a1eedf9d5975c3cf5680a10e</t>
        </is>
      </c>
      <c r="U309" s="349" t="inlineStr">
        <is>
          <t>Codex</t>
        </is>
      </c>
      <c r="V309" s="348" t="n">
        <v>46269</v>
      </c>
      <c r="W309" s="349" t="inlineStr">
        <is>
          <t>用户自制Blender资产</t>
        </is>
      </c>
      <c r="X309" s="375" t="inlineStr">
        <is>
          <t>80</t>
        </is>
      </c>
      <c r="Y309" s="34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310" ht="54" customHeight="1">
      <c r="A310" t="inlineStr">
        <is>
          <t>BPK-BASE99-EAST-MAINTENANCE-WORKSTATION</t>
        </is>
      </c>
      <c r="B310" t="inlineStr">
        <is>
          <t>基地99层 · 维修工作台与工具墙</t>
        </is>
      </c>
      <c r="C310" t="inlineStr">
        <is>
          <t>基地资产包</t>
        </is>
      </c>
      <c r="D310" t="inlineStr">
        <is>
          <t>东侧固定设施包</t>
        </is>
      </c>
      <c r="E310" t="inlineStr">
        <is>
          <t>base99_package_east_maintenance_workstation</t>
        </is>
      </c>
      <c r="F310" t="inlineStr">
        <is>
          <t>package_root</t>
        </is>
      </c>
      <c r="G310" t="inlineStr">
        <is>
          <t>ENV-BASE99-ART-LAYOUT-3D</t>
        </is>
      </c>
      <c r="H310" t="inlineStr">
        <is>
          <t>Top3D / Blender +Y北</t>
        </is>
      </c>
      <c r="I310" t="inlineStr">
        <is>
          <t>static / default</t>
        </is>
      </c>
      <c r="J310" t="inlineStr">
        <is>
          <t>3D-设施 / 基地99层独立资产包</t>
        </is>
      </c>
      <c r="K310" t="inlineStr">
        <is>
          <t>Blender源已完成</t>
        </is>
      </c>
      <c r="L310" t="inlineStr">
        <is>
          <t>P1</t>
        </is>
      </c>
      <c r="M310" t="inlineStr">
        <is>
          <t>v017</t>
        </is>
      </c>
      <c r="N310" s="349" t="inlineStr">
        <is>
          <t>包络 5.000×2.560×4.220m；115 网格；0 灯</t>
        </is>
      </c>
      <c r="O310" s="349" t="inlineStr">
        <is>
          <t>source/art/blender/base_facility_layout/component_packages_v017/east_facilities/east_maintenance_workstation/asset_manifest.json</t>
        </is>
      </c>
      <c r="P310" s="349" t="inlineStr">
        <is>
          <t>source/art/blender/base_facility_layout/base_facility_runtime_layout_hq_v017.blend; outputs/verification/base_facility_runtime_layout_hq_v017/base_facility_component_catalog_v017.json</t>
        </is>
      </c>
      <c r="Q310" s="349" t="inlineStr">
        <is>
          <t>基地99层;基地资产包;3D设施;东侧固定设施包;east_maintenance_workstation;PaletteUV</t>
        </is>
      </c>
      <c r="R310" s="349">
        <f>C310&amp;"|"&amp;D310&amp;"|"&amp;E310&amp;"|"&amp;F310&amp;"|"&amp;LOWER(H310)&amp;"|"&amp;I310</f>
        <v/>
      </c>
      <c r="S310" s="349">
        <f>IF(COUNTIF($R$6:$R$411,R310)&gt;1,"重复","唯一")</f>
        <v/>
      </c>
      <c r="T310" s="349" t="inlineStr">
        <is>
          <t>c0c01f4c6663cf2e9fc70ed49e4f8ed1276b887abe41de3a935da3c1a35de344</t>
        </is>
      </c>
      <c r="U310" s="349" t="inlineStr">
        <is>
          <t>Codex</t>
        </is>
      </c>
      <c r="V310" s="348" t="n">
        <v>46269</v>
      </c>
      <c r="W310" s="349" t="inlineStr">
        <is>
          <t>用户自制Blender资产</t>
        </is>
      </c>
      <c r="X310" s="375" t="inlineStr">
        <is>
          <t>78</t>
        </is>
      </c>
      <c r="Y310" s="34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311" ht="72" customHeight="1">
      <c r="A311" t="inlineStr">
        <is>
          <t>BPK-BASE99-EAST-PERSONNEL-SECURITY-DOOR</t>
        </is>
      </c>
      <c r="B311" t="inlineStr">
        <is>
          <t>基地99层 · 正式人员安全门</t>
        </is>
      </c>
      <c r="C311" t="inlineStr">
        <is>
          <t>基地资产包</t>
        </is>
      </c>
      <c r="D311" t="inlineStr">
        <is>
          <t>东侧固定设施包</t>
        </is>
      </c>
      <c r="E311" t="inlineStr">
        <is>
          <t>base99_package_east_personnel_security_door</t>
        </is>
      </c>
      <c r="F311" t="inlineStr">
        <is>
          <t>package_root</t>
        </is>
      </c>
      <c r="G311" t="inlineStr">
        <is>
          <t>ENV-BASE99-ART-LAYOUT-3D</t>
        </is>
      </c>
      <c r="H311" t="inlineStr">
        <is>
          <t>Top3D / Blender +Y北</t>
        </is>
      </c>
      <c r="I311" t="inlineStr">
        <is>
          <t>static / fixture_light</t>
        </is>
      </c>
      <c r="J311" t="inlineStr">
        <is>
          <t>3D-设施 / 基地99层独立资产包</t>
        </is>
      </c>
      <c r="K311" t="inlineStr">
        <is>
          <t>Blender源已完成</t>
        </is>
      </c>
      <c r="L311" t="inlineStr">
        <is>
          <t>P1</t>
        </is>
      </c>
      <c r="M311" t="inlineStr">
        <is>
          <t>v017</t>
        </is>
      </c>
      <c r="N311" s="349" t="inlineStr">
        <is>
          <t>包络 0.898×2.040×2.340m；2 网格；1 灯</t>
        </is>
      </c>
      <c r="O311" s="349" t="inlineStr">
        <is>
          <t>source/art/blender/base_facility_layout/component_packages_v017/east_facilities/east_personnel_security_door/asset_manifest.json</t>
        </is>
      </c>
      <c r="P311" s="349" t="inlineStr">
        <is>
          <t>source/art/blender/base_facility_layout/base_facility_runtime_layout_hq_v017.blend; outputs/verification/base_facility_runtime_layout_hq_v017/base_facility_component_catalog_v017.json</t>
        </is>
      </c>
      <c r="Q311" s="349" t="inlineStr">
        <is>
          <t>基地99层;基地资产包;3D设施;东侧固定设施包;east_personnel_security_door;PaletteUV</t>
        </is>
      </c>
      <c r="R311" s="349">
        <f>C311&amp;"|"&amp;D311&amp;"|"&amp;E311&amp;"|"&amp;F311&amp;"|"&amp;LOWER(H311)&amp;"|"&amp;I311</f>
        <v/>
      </c>
      <c r="S311" s="349">
        <f>IF(COUNTIF($R$6:$R$413,R311)&gt;1,"重复","唯一")</f>
        <v/>
      </c>
      <c r="T311" s="349" t="inlineStr">
        <is>
          <t>e983c70eaacb530b1683c62b86ff64a515bf84e0d6efd55abc7a9eeb313e1304</t>
        </is>
      </c>
      <c r="U311" s="349" t="inlineStr">
        <is>
          <t>Codex</t>
        </is>
      </c>
      <c r="V311" s="348" t="n">
        <v>46269</v>
      </c>
      <c r="W311" s="349" t="inlineStr">
        <is>
          <t>用户自制Blender资产</t>
        </is>
      </c>
      <c r="X311" s="375" t="inlineStr">
        <is>
          <t>71</t>
        </is>
      </c>
      <c r="Y311" s="34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312" ht="54" customHeight="1">
      <c r="A312" t="inlineStr">
        <is>
          <t>BPK-BASE99-EAST-PLANT-GROUP</t>
        </is>
      </c>
      <c r="B312" t="inlineStr">
        <is>
          <t>基地99层 · 东面植物点缀组</t>
        </is>
      </c>
      <c r="C312" t="inlineStr">
        <is>
          <t>基地资产包</t>
        </is>
      </c>
      <c r="D312" t="inlineStr">
        <is>
          <t>东侧固定设施包</t>
        </is>
      </c>
      <c r="E312" t="inlineStr">
        <is>
          <t>base99_package_east_plant_group</t>
        </is>
      </c>
      <c r="F312" t="inlineStr">
        <is>
          <t>package_root</t>
        </is>
      </c>
      <c r="G312" t="inlineStr">
        <is>
          <t>ENV-BASE99-ART-LAYOUT-3D</t>
        </is>
      </c>
      <c r="H312" t="inlineStr">
        <is>
          <t>Top3D / Blender +Y北</t>
        </is>
      </c>
      <c r="I312" t="inlineStr">
        <is>
          <t>static / default</t>
        </is>
      </c>
      <c r="J312" t="inlineStr">
        <is>
          <t>3D-设施 / 基地99层独立资产包</t>
        </is>
      </c>
      <c r="K312" t="inlineStr">
        <is>
          <t>Blender源已完成</t>
        </is>
      </c>
      <c r="L312" t="inlineStr">
        <is>
          <t>P1</t>
        </is>
      </c>
      <c r="M312" t="inlineStr">
        <is>
          <t>v017</t>
        </is>
      </c>
      <c r="N312" s="349" t="inlineStr">
        <is>
          <t>包络 1.364×17.030×2.000m；15 网格；0 灯</t>
        </is>
      </c>
      <c r="O312" s="349" t="inlineStr">
        <is>
          <t>source/art/blender/base_facility_layout/component_packages_v017/east_facilities/east_plant_group/asset_manifest.json</t>
        </is>
      </c>
      <c r="P312" s="349" t="inlineStr">
        <is>
          <t>source/art/blender/base_facility_layout/base_facility_runtime_layout_hq_v017.blend; outputs/verification/base_facility_runtime_layout_hq_v017/base_facility_component_catalog_v017.json</t>
        </is>
      </c>
      <c r="Q312" s="349" t="inlineStr">
        <is>
          <t>基地99层;基地资产包;3D设施;东侧固定设施包;east_plant_group;PaletteUV</t>
        </is>
      </c>
      <c r="R312" s="349">
        <f>C312&amp;"|"&amp;D312&amp;"|"&amp;E312&amp;"|"&amp;F312&amp;"|"&amp;LOWER(H312)&amp;"|"&amp;I312</f>
        <v/>
      </c>
      <c r="S312" s="349">
        <f>IF(COUNTIF($R$6:$R$411,R312)&gt;1,"重复","唯一")</f>
        <v/>
      </c>
      <c r="T312" s="349" t="inlineStr">
        <is>
          <t>666e4f4de4e76543f3eea83348d3ba9f4cb2c07dce740b1b4b904b863e38a419</t>
        </is>
      </c>
      <c r="U312" s="349" t="inlineStr">
        <is>
          <t>Codex</t>
        </is>
      </c>
      <c r="V312" s="348" t="n">
        <v>46269</v>
      </c>
      <c r="W312" s="349" t="inlineStr">
        <is>
          <t>用户自制Blender资产</t>
        </is>
      </c>
      <c r="X312" s="375" t="inlineStr">
        <is>
          <t>83</t>
        </is>
      </c>
      <c r="Y312" s="34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313" ht="54" customHeight="1">
      <c r="A313" t="inlineStr">
        <is>
          <t>BPK-BASE99-EAST-POWER-DISTRIBUTION</t>
        </is>
      </c>
      <c r="B313" t="inlineStr">
        <is>
          <t>基地99层 · POWER工业配电系统</t>
        </is>
      </c>
      <c r="C313" t="inlineStr">
        <is>
          <t>基地资产包</t>
        </is>
      </c>
      <c r="D313" t="inlineStr">
        <is>
          <t>东侧固定设施包</t>
        </is>
      </c>
      <c r="E313" t="inlineStr">
        <is>
          <t>base99_package_east_power_distribution</t>
        </is>
      </c>
      <c r="F313" t="inlineStr">
        <is>
          <t>package_root</t>
        </is>
      </c>
      <c r="G313" t="inlineStr">
        <is>
          <t>ENV-BASE99-ART-LAYOUT-3D</t>
        </is>
      </c>
      <c r="H313" t="inlineStr">
        <is>
          <t>Top3D / Blender +Y北</t>
        </is>
      </c>
      <c r="I313" t="inlineStr">
        <is>
          <t>static / default</t>
        </is>
      </c>
      <c r="J313" t="inlineStr">
        <is>
          <t>3D-设施 / 基地99层独立资产包</t>
        </is>
      </c>
      <c r="K313" t="inlineStr">
        <is>
          <t>Blender源已完成</t>
        </is>
      </c>
      <c r="L313" t="inlineStr">
        <is>
          <t>P1</t>
        </is>
      </c>
      <c r="M313" t="inlineStr">
        <is>
          <t>v017</t>
        </is>
      </c>
      <c r="N313" s="349" t="inlineStr">
        <is>
          <t>包络 0.828×1.550×2.690m；25 网格；0 灯</t>
        </is>
      </c>
      <c r="O313" s="349" t="inlineStr">
        <is>
          <t>source/art/blender/base_facility_layout/component_packages_v017/east_facilities/east_power_distribution/asset_manifest.json</t>
        </is>
      </c>
      <c r="P313" s="349" t="inlineStr">
        <is>
          <t>source/art/blender/base_facility_layout/base_facility_runtime_layout_hq_v017.blend; outputs/verification/base_facility_runtime_layout_hq_v017/base_facility_component_catalog_v017.json</t>
        </is>
      </c>
      <c r="Q313" s="349" t="inlineStr">
        <is>
          <t>基地99层;基地资产包;3D设施;东侧固定设施包;east_power_distribution;PaletteUV</t>
        </is>
      </c>
      <c r="R313" s="349">
        <f>C313&amp;"|"&amp;D313&amp;"|"&amp;E313&amp;"|"&amp;F313&amp;"|"&amp;LOWER(H313)&amp;"|"&amp;I313</f>
        <v/>
      </c>
      <c r="S313" s="349">
        <f>IF(COUNTIF($R$6:$R$411,R313)&gt;1,"重复","唯一")</f>
        <v/>
      </c>
      <c r="T313" s="349" t="inlineStr">
        <is>
          <t>31413bc33007b2125dd03a05d0abd4260e736810c28225daa92e893a65c6df4c</t>
        </is>
      </c>
      <c r="U313" s="349" t="inlineStr">
        <is>
          <t>Codex</t>
        </is>
      </c>
      <c r="V313" s="348" t="n">
        <v>46269</v>
      </c>
      <c r="W313" s="349" t="inlineStr">
        <is>
          <t>用户自制Blender资产</t>
        </is>
      </c>
      <c r="X313" s="375" t="inlineStr">
        <is>
          <t>73</t>
        </is>
      </c>
      <c r="Y313" s="34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314" ht="54" customHeight="1">
      <c r="A314" t="inlineStr">
        <is>
          <t>BPK-BASE99-EAST-RECYCLE-BIN</t>
        </is>
      </c>
      <c r="B314" t="inlineStr">
        <is>
          <t>基地99层 · RECYCLE回收垃圾设施</t>
        </is>
      </c>
      <c r="C314" t="inlineStr">
        <is>
          <t>基地资产包</t>
        </is>
      </c>
      <c r="D314" t="inlineStr">
        <is>
          <t>东侧固定设施包</t>
        </is>
      </c>
      <c r="E314" t="inlineStr">
        <is>
          <t>base99_package_east_recycle_bin</t>
        </is>
      </c>
      <c r="F314" t="inlineStr">
        <is>
          <t>package_root</t>
        </is>
      </c>
      <c r="G314" t="inlineStr">
        <is>
          <t>ENV-BASE99-ART-LAYOUT-3D</t>
        </is>
      </c>
      <c r="H314" t="inlineStr">
        <is>
          <t>Top3D / Blender +Y北</t>
        </is>
      </c>
      <c r="I314" t="inlineStr">
        <is>
          <t>static / default</t>
        </is>
      </c>
      <c r="J314" t="inlineStr">
        <is>
          <t>3D-设施 / 基地99层独立资产包</t>
        </is>
      </c>
      <c r="K314" t="inlineStr">
        <is>
          <t>Blender源已完成</t>
        </is>
      </c>
      <c r="L314" t="inlineStr">
        <is>
          <t>P1</t>
        </is>
      </c>
      <c r="M314" t="inlineStr">
        <is>
          <t>v017</t>
        </is>
      </c>
      <c r="N314" s="349" t="inlineStr">
        <is>
          <t>包络 1.298×1.100×1.460m；12 网格；0 灯</t>
        </is>
      </c>
      <c r="O314" s="349" t="inlineStr">
        <is>
          <t>source/art/blender/base_facility_layout/component_packages_v017/east_facilities/east_recycle_bin/asset_manifest.json</t>
        </is>
      </c>
      <c r="P314" s="349" t="inlineStr">
        <is>
          <t>source/art/blender/base_facility_layout/base_facility_runtime_layout_hq_v017.blend; outputs/verification/base_facility_runtime_layout_hq_v017/base_facility_component_catalog_v017.json</t>
        </is>
      </c>
      <c r="Q314" s="349" t="inlineStr">
        <is>
          <t>基地99层;基地资产包;3D设施;东侧固定设施包;east_recycle_bin;PaletteUV</t>
        </is>
      </c>
      <c r="R314" s="349">
        <f>C314&amp;"|"&amp;D314&amp;"|"&amp;E314&amp;"|"&amp;F314&amp;"|"&amp;LOWER(H314)&amp;"|"&amp;I314</f>
        <v/>
      </c>
      <c r="S314" s="349">
        <f>IF(COUNTIF($R$6:$R$411,R314)&gt;1,"重复","唯一")</f>
        <v/>
      </c>
      <c r="T314" s="349" t="inlineStr">
        <is>
          <t>9f9534f65426a4df833293c470853dbfc90ff80b08b6e1a75ff234680f56d97f</t>
        </is>
      </c>
      <c r="U314" s="349" t="inlineStr">
        <is>
          <t>Codex</t>
        </is>
      </c>
      <c r="V314" s="348" t="n">
        <v>46269</v>
      </c>
      <c r="W314" s="349" t="inlineStr">
        <is>
          <t>用户自制Blender资产</t>
        </is>
      </c>
      <c r="X314" s="375" t="inlineStr">
        <is>
          <t>77</t>
        </is>
      </c>
      <c r="Y314" s="34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315" ht="54" customHeight="1">
      <c r="A315" t="inlineStr">
        <is>
          <t>BPK-BASE99-EAST-ROUND-PENDANT-LIGHT</t>
        </is>
      </c>
      <c r="B315" t="inlineStr">
        <is>
          <t>基地99层 · 东面圆形工业吊灯</t>
        </is>
      </c>
      <c r="C315" t="inlineStr">
        <is>
          <t>基地资产包</t>
        </is>
      </c>
      <c r="D315" t="inlineStr">
        <is>
          <t>东侧固定设施包</t>
        </is>
      </c>
      <c r="E315" t="inlineStr">
        <is>
          <t>base99_package_east_round_pendant_light</t>
        </is>
      </c>
      <c r="F315" t="inlineStr">
        <is>
          <t>package_root</t>
        </is>
      </c>
      <c r="G315" t="inlineStr">
        <is>
          <t>ENV-BASE99-ART-LAYOUT-3D</t>
        </is>
      </c>
      <c r="H315" t="inlineStr">
        <is>
          <t>Top3D / Blender +Y北</t>
        </is>
      </c>
      <c r="I315" t="inlineStr">
        <is>
          <t>static / fixture_light</t>
        </is>
      </c>
      <c r="J315" t="inlineStr">
        <is>
          <t>3D-设施 / 基地99层独立资产包</t>
        </is>
      </c>
      <c r="K315" t="inlineStr">
        <is>
          <t>Blender源已完成</t>
        </is>
      </c>
      <c r="L315" t="inlineStr">
        <is>
          <t>P1</t>
        </is>
      </c>
      <c r="M315" t="inlineStr">
        <is>
          <t>v017</t>
        </is>
      </c>
      <c r="N315" s="349" t="inlineStr">
        <is>
          <t>包络 1.242×1.243×1.560m；10 网格；2 灯</t>
        </is>
      </c>
      <c r="O315" s="349" t="inlineStr">
        <is>
          <t>source/art/blender/base_facility_layout/component_packages_v017/east_facilities/east_round_pendant_light/asset_manifest.json</t>
        </is>
      </c>
      <c r="P315" s="349" t="inlineStr">
        <is>
          <t>source/art/blender/base_facility_layout/base_facility_runtime_layout_hq_v017.blend; outputs/verification/base_facility_runtime_layout_hq_v017/base_facility_component_catalog_v017.json</t>
        </is>
      </c>
      <c r="Q315" s="349" t="inlineStr">
        <is>
          <t>基地99层;基地资产包;3D设施;东侧固定设施包;east_round_pendant_light;PaletteUV</t>
        </is>
      </c>
      <c r="R315" s="349">
        <f>C315&amp;"|"&amp;D315&amp;"|"&amp;E315&amp;"|"&amp;F315&amp;"|"&amp;LOWER(H315)&amp;"|"&amp;I315</f>
        <v/>
      </c>
      <c r="S315" s="349">
        <f>IF(COUNTIF($R$6:$R$411,R315)&gt;1,"重复","唯一")</f>
        <v/>
      </c>
      <c r="T315" s="349" t="inlineStr">
        <is>
          <t>722ea4d41aa66a74b7d8b74781181de16b4964be201b54c6e090397a65daf62f</t>
        </is>
      </c>
      <c r="U315" s="349" t="inlineStr">
        <is>
          <t>Codex</t>
        </is>
      </c>
      <c r="V315" s="348" t="n">
        <v>46269</v>
      </c>
      <c r="W315" s="349" t="inlineStr">
        <is>
          <t>用户自制Blender资产</t>
        </is>
      </c>
      <c r="X315" s="375" t="inlineStr">
        <is>
          <t>84</t>
        </is>
      </c>
      <c r="Y315" s="34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316" ht="54" customHeight="1">
      <c r="A316" t="inlineStr">
        <is>
          <t>BPK-BASE99-EAST-SMALL-SAFETY-DEVICES</t>
        </is>
      </c>
      <c r="B316" t="inlineStr">
        <is>
          <t>基地99层 · 东墙小型安全设备</t>
        </is>
      </c>
      <c r="C316" t="inlineStr">
        <is>
          <t>基地资产包</t>
        </is>
      </c>
      <c r="D316" t="inlineStr">
        <is>
          <t>东侧固定设施包</t>
        </is>
      </c>
      <c r="E316" t="inlineStr">
        <is>
          <t>base99_package_east_small_safety_devices</t>
        </is>
      </c>
      <c r="F316" t="inlineStr">
        <is>
          <t>package_root</t>
        </is>
      </c>
      <c r="G316" t="inlineStr">
        <is>
          <t>ENV-BASE99-ART-LAYOUT-3D</t>
        </is>
      </c>
      <c r="H316" t="inlineStr">
        <is>
          <t>Top3D / Blender +Y北</t>
        </is>
      </c>
      <c r="I316" t="inlineStr">
        <is>
          <t>static / default</t>
        </is>
      </c>
      <c r="J316" t="inlineStr">
        <is>
          <t>3D-设施 / 基地99层独立资产包</t>
        </is>
      </c>
      <c r="K316" t="inlineStr">
        <is>
          <t>Blender源已完成</t>
        </is>
      </c>
      <c r="L316" t="inlineStr">
        <is>
          <t>P1</t>
        </is>
      </c>
      <c r="M316" t="inlineStr">
        <is>
          <t>v017</t>
        </is>
      </c>
      <c r="N316" s="349" t="inlineStr">
        <is>
          <t>包络 0.430×12.470×3.790m；28 网格；0 灯</t>
        </is>
      </c>
      <c r="O316" s="349" t="inlineStr">
        <is>
          <t>source/art/blender/base_facility_layout/component_packages_v017/east_facilities/east_small_safety_devices/asset_manifest.json</t>
        </is>
      </c>
      <c r="P316" s="349" t="inlineStr">
        <is>
          <t>source/art/blender/base_facility_layout/base_facility_runtime_layout_hq_v017.blend; outputs/verification/base_facility_runtime_layout_hq_v017/base_facility_component_catalog_v017.json</t>
        </is>
      </c>
      <c r="Q316" s="349" t="inlineStr">
        <is>
          <t>基地99层;基地资产包;3D设施;东侧固定设施包;east_small_safety_devices;PaletteUV</t>
        </is>
      </c>
      <c r="R316" s="349">
        <f>C316&amp;"|"&amp;D316&amp;"|"&amp;E316&amp;"|"&amp;F316&amp;"|"&amp;LOWER(H316)&amp;"|"&amp;I316</f>
        <v/>
      </c>
      <c r="S316" s="349">
        <f>IF(COUNTIF($R$6:$R$411,R316)&gt;1,"重复","唯一")</f>
        <v/>
      </c>
      <c r="T316" s="349" t="inlineStr">
        <is>
          <t>2e6779275ae84a8102d93d47f11faf3b0194632c912d86eefbc06d48cb9aa5cf</t>
        </is>
      </c>
      <c r="U316" s="349" t="inlineStr">
        <is>
          <t>Codex</t>
        </is>
      </c>
      <c r="V316" s="348" t="n">
        <v>46269</v>
      </c>
      <c r="W316" s="349" t="inlineStr">
        <is>
          <t>用户自制Blender资产</t>
        </is>
      </c>
      <c r="X316" s="375" t="inlineStr">
        <is>
          <t>82</t>
        </is>
      </c>
      <c r="Y316" s="34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317" ht="54" customHeight="1">
      <c r="A317" t="inlineStr">
        <is>
          <t>BPK-BASE99-EAST-SUPPLY-24H-STATION</t>
        </is>
      </c>
      <c r="B317" t="inlineStr">
        <is>
          <t>基地99层 · SUPPLY24H自动补给机</t>
        </is>
      </c>
      <c r="C317" t="inlineStr">
        <is>
          <t>基地资产包</t>
        </is>
      </c>
      <c r="D317" t="inlineStr">
        <is>
          <t>东侧固定设施包</t>
        </is>
      </c>
      <c r="E317" t="inlineStr">
        <is>
          <t>base99_package_east_supply_24h_station</t>
        </is>
      </c>
      <c r="F317" t="inlineStr">
        <is>
          <t>package_root</t>
        </is>
      </c>
      <c r="G317" t="inlineStr">
        <is>
          <t>ENV-BASE99-ART-LAYOUT-3D</t>
        </is>
      </c>
      <c r="H317" t="inlineStr">
        <is>
          <t>Top3D / Blender +Y北</t>
        </is>
      </c>
      <c r="I317" t="inlineStr">
        <is>
          <t>static / default</t>
        </is>
      </c>
      <c r="J317" t="inlineStr">
        <is>
          <t>3D-设施 / 基地99层独立资产包</t>
        </is>
      </c>
      <c r="K317" t="inlineStr">
        <is>
          <t>Blender源已完成</t>
        </is>
      </c>
      <c r="L317" t="inlineStr">
        <is>
          <t>P1</t>
        </is>
      </c>
      <c r="M317" t="inlineStr">
        <is>
          <t>v017</t>
        </is>
      </c>
      <c r="N317" s="349" t="inlineStr">
        <is>
          <t>包络 2.478×2.337×4.720m；50 网格；0 灯</t>
        </is>
      </c>
      <c r="O317" s="349" t="inlineStr">
        <is>
          <t>source/art/blender/base_facility_layout/component_packages_v017/east_facilities/east_supply_24h_station/asset_manifest.json</t>
        </is>
      </c>
      <c r="P317" s="349" t="inlineStr">
        <is>
          <t>source/art/blender/base_facility_layout/base_facility_runtime_layout_hq_v017.blend; outputs/verification/base_facility_runtime_layout_hq_v017/base_facility_component_catalog_v017.json</t>
        </is>
      </c>
      <c r="Q317" s="349" t="inlineStr">
        <is>
          <t>基地99层;基地资产包;3D设施;东侧固定设施包;east_supply_24h_station;PaletteUV</t>
        </is>
      </c>
      <c r="R317" s="349">
        <f>C317&amp;"|"&amp;D317&amp;"|"&amp;E317&amp;"|"&amp;F317&amp;"|"&amp;LOWER(H317)&amp;"|"&amp;I317</f>
        <v/>
      </c>
      <c r="S317" s="349">
        <f>IF(COUNTIF($R$6:$R$413,R317)&gt;1,"重复","唯一")</f>
        <v/>
      </c>
      <c r="T317" s="349" t="inlineStr">
        <is>
          <t>4bc326d8363149f73a9826556842550888e40b54b1111f1edc7405e80e627c26</t>
        </is>
      </c>
      <c r="U317" s="349" t="inlineStr">
        <is>
          <t>Codex</t>
        </is>
      </c>
      <c r="V317" s="348" t="n">
        <v>46269</v>
      </c>
      <c r="W317" s="349" t="inlineStr">
        <is>
          <t>用户自制Blender资产</t>
        </is>
      </c>
      <c r="X317" s="375" t="inlineStr">
        <is>
          <t>72</t>
        </is>
      </c>
      <c r="Y317" s="34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t>
        </is>
      </c>
    </row>
    <row r="318" ht="54" customHeight="1">
      <c r="A318" t="inlineStr">
        <is>
          <t>BPK-BASE99-EAST-WASTE-BIN</t>
        </is>
      </c>
      <c r="B318" t="inlineStr">
        <is>
          <t>基地99层 · WASTE普通垃圾设施</t>
        </is>
      </c>
      <c r="C318" t="inlineStr">
        <is>
          <t>基地资产包</t>
        </is>
      </c>
      <c r="D318" t="inlineStr">
        <is>
          <t>东侧固定设施包</t>
        </is>
      </c>
      <c r="E318" t="inlineStr">
        <is>
          <t>base99_package_east_waste_bin</t>
        </is>
      </c>
      <c r="F318" t="inlineStr">
        <is>
          <t>package_root</t>
        </is>
      </c>
      <c r="G318" t="inlineStr">
        <is>
          <t>ENV-BASE99-ART-LAYOUT-3D</t>
        </is>
      </c>
      <c r="H318" t="inlineStr">
        <is>
          <t>Top3D / Blender +Y北</t>
        </is>
      </c>
      <c r="I318" t="inlineStr">
        <is>
          <t>static / default</t>
        </is>
      </c>
      <c r="J318" t="inlineStr">
        <is>
          <t>3D-设施 / 基地99层独立资产包</t>
        </is>
      </c>
      <c r="K318" t="inlineStr">
        <is>
          <t>Blender源已完成</t>
        </is>
      </c>
      <c r="L318" t="inlineStr">
        <is>
          <t>P1</t>
        </is>
      </c>
      <c r="M318" t="inlineStr">
        <is>
          <t>v017</t>
        </is>
      </c>
      <c r="N318" s="349" t="inlineStr">
        <is>
          <t>包络 1.298×1.100×1.460m；11 网格；0 灯</t>
        </is>
      </c>
      <c r="O318" s="349" t="inlineStr">
        <is>
          <t>source/art/blender/base_facility_layout/component_packages_v017/east_facilities/east_waste_bin/asset_manifest.json</t>
        </is>
      </c>
      <c r="P318" s="349" t="inlineStr">
        <is>
          <t>source/art/blender/base_facility_layout/base_facility_runtime_layout_hq_v017.blend; outputs/verification/base_facility_runtime_layout_hq_v017/base_facility_component_catalog_v017.json</t>
        </is>
      </c>
      <c r="Q318" s="349" t="inlineStr">
        <is>
          <t>基地99层;基地资产包;3D设施;东侧固定设施包;east_waste_bin;PaletteUV</t>
        </is>
      </c>
      <c r="R318" s="349">
        <f>C318&amp;"|"&amp;D318&amp;"|"&amp;E318&amp;"|"&amp;F318&amp;"|"&amp;LOWER(H318)&amp;"|"&amp;I318</f>
        <v/>
      </c>
      <c r="S318" s="349">
        <f>IF(COUNTIF($R$6:$R$411,R318)&gt;1,"重复","唯一")</f>
        <v/>
      </c>
      <c r="T318" s="349" t="inlineStr">
        <is>
          <t>6a78c74a3600bc5c4bb34683cf8e487982e3da1045433b3bb5abb0e251cb1408</t>
        </is>
      </c>
      <c r="U318" s="349" t="inlineStr">
        <is>
          <t>Codex</t>
        </is>
      </c>
      <c r="V318" s="348" t="n">
        <v>46269</v>
      </c>
      <c r="W318" s="349" t="inlineStr">
        <is>
          <t>用户自制Blender资产</t>
        </is>
      </c>
      <c r="X318" s="375" t="inlineStr">
        <is>
          <t>75</t>
        </is>
      </c>
      <c r="Y318" s="34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319" ht="54" customHeight="1">
      <c r="A319" t="inlineStr">
        <is>
          <t>BPK-BASE99-EAST-WORK-TOGETHER-POSTER</t>
        </is>
      </c>
      <c r="B319" t="inlineStr">
        <is>
          <t>基地99层 · WORK_TOGETHER工业海报</t>
        </is>
      </c>
      <c r="C319" t="inlineStr">
        <is>
          <t>基地资产包</t>
        </is>
      </c>
      <c r="D319" t="inlineStr">
        <is>
          <t>东侧固定设施包</t>
        </is>
      </c>
      <c r="E319" t="inlineStr">
        <is>
          <t>base99_package_east_work_together_poster</t>
        </is>
      </c>
      <c r="F319" t="inlineStr">
        <is>
          <t>package_root</t>
        </is>
      </c>
      <c r="G319" t="inlineStr">
        <is>
          <t>ENV-BASE99-ART-LAYOUT-3D</t>
        </is>
      </c>
      <c r="H319" t="inlineStr">
        <is>
          <t>Top3D / Blender +Y北</t>
        </is>
      </c>
      <c r="I319" t="inlineStr">
        <is>
          <t>static / default</t>
        </is>
      </c>
      <c r="J319" t="inlineStr">
        <is>
          <t>3D-设施 / 基地99层独立资产包</t>
        </is>
      </c>
      <c r="K319" t="inlineStr">
        <is>
          <t>Blender源已完成</t>
        </is>
      </c>
      <c r="L319" t="inlineStr">
        <is>
          <t>P1</t>
        </is>
      </c>
      <c r="M319" t="inlineStr">
        <is>
          <t>v017</t>
        </is>
      </c>
      <c r="N319" s="349" t="inlineStr">
        <is>
          <t>包络 0.544×2.360×1.620m；15 网格；0 灯</t>
        </is>
      </c>
      <c r="O319" s="349" t="inlineStr">
        <is>
          <t>source/art/blender/base_facility_layout/component_packages_v017/east_facilities/east_work_together_poster/asset_manifest.json</t>
        </is>
      </c>
      <c r="P319" s="349" t="inlineStr">
        <is>
          <t>source/art/blender/base_facility_layout/base_facility_runtime_layout_hq_v017.blend; outputs/verification/base_facility_runtime_layout_hq_v017/base_facility_component_catalog_v017.json</t>
        </is>
      </c>
      <c r="Q319" s="349" t="inlineStr">
        <is>
          <t>基地99层;基地资产包;3D设施;东侧固定设施包;east_work_together_poster;PaletteUV</t>
        </is>
      </c>
      <c r="R319" s="349">
        <f>C319&amp;"|"&amp;D319&amp;"|"&amp;E319&amp;"|"&amp;F319&amp;"|"&amp;LOWER(H319)&amp;"|"&amp;I319</f>
        <v/>
      </c>
      <c r="S319" s="349">
        <f>IF(COUNTIF($R$6:$R$411,R319)&gt;1,"重复","唯一")</f>
        <v/>
      </c>
      <c r="T319" s="349" t="inlineStr">
        <is>
          <t>a595e1cab6d94f9b621148105076ea8100dedc1d3b05d3e1fa82e5fe6a426e5d</t>
        </is>
      </c>
      <c r="U319" s="349" t="inlineStr">
        <is>
          <t>Codex</t>
        </is>
      </c>
      <c r="V319" s="348" t="n">
        <v>46269</v>
      </c>
      <c r="W319" s="349" t="inlineStr">
        <is>
          <t>用户自制Blender资产</t>
        </is>
      </c>
      <c r="X319" s="375" t="inlineStr">
        <is>
          <t>81</t>
        </is>
      </c>
      <c r="Y319" s="34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320" ht="54" customHeight="1">
      <c r="A320" t="inlineStr">
        <is>
          <t>BPK-BASE99-TILE-R01-C01</t>
        </is>
      </c>
      <c r="B320" t="inlineStr">
        <is>
          <t>基地99层 · 地砖_R01C01_原砖与深化内容</t>
        </is>
      </c>
      <c r="C320" t="inlineStr">
        <is>
          <t>基地资产包</t>
        </is>
      </c>
      <c r="D320" t="inlineStr">
        <is>
          <t>地面系统包</t>
        </is>
      </c>
      <c r="E320" t="inlineStr">
        <is>
          <t>base99_package_tile_r01_c01</t>
        </is>
      </c>
      <c r="F320" t="inlineStr">
        <is>
          <t>package_root</t>
        </is>
      </c>
      <c r="G320" t="inlineStr">
        <is>
          <t>ENV-BASE99-ART-LAYOUT-3D</t>
        </is>
      </c>
      <c r="H320" t="inlineStr">
        <is>
          <t>Top3D / Blender +Y北</t>
        </is>
      </c>
      <c r="I320" t="inlineStr">
        <is>
          <t>static / default</t>
        </is>
      </c>
      <c r="J320" t="inlineStr">
        <is>
          <t>3D-设施 / 基地99层独立资产包</t>
        </is>
      </c>
      <c r="K320" t="inlineStr">
        <is>
          <t>正式美术已接入</t>
        </is>
      </c>
      <c r="L320" t="inlineStr">
        <is>
          <t>P0</t>
        </is>
      </c>
      <c r="M320" t="inlineStr">
        <is>
          <t>v017</t>
        </is>
      </c>
      <c r="N320" s="349" t="inlineStr">
        <is>
          <t>包络 5.000×5.000×0.448m；20 网格；0 灯</t>
        </is>
      </c>
      <c r="O320" s="349" t="inlineStr">
        <is>
          <t>source/art/blender/base_facility_layout/component_packages_v017/floor/tile_r01_c01/asset_manifest.json</t>
        </is>
      </c>
      <c r="P320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0" s="349" t="inlineStr">
        <is>
          <t>基地99层;基地资产包;3D设施;地面系统包;tile_r01_c01;PaletteUV</t>
        </is>
      </c>
      <c r="R320" s="349">
        <f>C320&amp;"|"&amp;D320&amp;"|"&amp;E320&amp;"|"&amp;F320&amp;"|"&amp;LOWER(H320)&amp;"|"&amp;I320</f>
        <v/>
      </c>
      <c r="S320" s="349">
        <f>IF(COUNTIF($R$6:$R$411,R320)&gt;1,"重复","唯一")</f>
        <v/>
      </c>
      <c r="T320" s="349" t="inlineStr">
        <is>
          <t>50114ddc61a41a4203b8bf5470c1b7f0d11fdd9f54184096469632a06af30a69</t>
        </is>
      </c>
      <c r="U320" s="349" t="inlineStr">
        <is>
          <t>Codex</t>
        </is>
      </c>
      <c r="V320" s="348" t="n">
        <v>46269</v>
      </c>
      <c r="W320" s="349" t="inlineStr">
        <is>
          <t>用户自制Blender资产</t>
        </is>
      </c>
      <c r="X320" s="375" t="inlineStr">
        <is>
          <t>—</t>
        </is>
      </c>
      <c r="Y320" s="34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1" ht="54" customHeight="1">
      <c r="A321" t="inlineStr">
        <is>
          <t>BPK-BASE99-TILE-R01-C02</t>
        </is>
      </c>
      <c r="B321" t="inlineStr">
        <is>
          <t>基地99层 · 地砖_R01C02_原砖与深化内容</t>
        </is>
      </c>
      <c r="C321" t="inlineStr">
        <is>
          <t>基地资产包</t>
        </is>
      </c>
      <c r="D321" t="inlineStr">
        <is>
          <t>地面系统包</t>
        </is>
      </c>
      <c r="E321" t="inlineStr">
        <is>
          <t>base99_package_tile_r01_c02</t>
        </is>
      </c>
      <c r="F321" t="inlineStr">
        <is>
          <t>package_root</t>
        </is>
      </c>
      <c r="G321" t="inlineStr">
        <is>
          <t>ENV-BASE99-ART-LAYOUT-3D</t>
        </is>
      </c>
      <c r="H321" t="inlineStr">
        <is>
          <t>Top3D / Blender +Y北</t>
        </is>
      </c>
      <c r="I321" t="inlineStr">
        <is>
          <t>static / default</t>
        </is>
      </c>
      <c r="J321" t="inlineStr">
        <is>
          <t>3D-设施 / 基地99层独立资产包</t>
        </is>
      </c>
      <c r="K321" t="inlineStr">
        <is>
          <t>正式美术已接入</t>
        </is>
      </c>
      <c r="L321" t="inlineStr">
        <is>
          <t>P0</t>
        </is>
      </c>
      <c r="M321" t="inlineStr">
        <is>
          <t>v017</t>
        </is>
      </c>
      <c r="N321" s="349" t="inlineStr">
        <is>
          <t>包络 5.035×5.000×0.468m；33 网格；0 灯</t>
        </is>
      </c>
      <c r="O321" s="349" t="inlineStr">
        <is>
          <t>source/art/blender/base_facility_layout/component_packages_v017/floor/tile_r01_c02/asset_manifest.json</t>
        </is>
      </c>
      <c r="P321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1" s="349" t="inlineStr">
        <is>
          <t>基地99层;基地资产包;3D设施;地面系统包;tile_r01_c02;PaletteUV</t>
        </is>
      </c>
      <c r="R321" s="349">
        <f>C321&amp;"|"&amp;D321&amp;"|"&amp;E321&amp;"|"&amp;F321&amp;"|"&amp;LOWER(H321)&amp;"|"&amp;I321</f>
        <v/>
      </c>
      <c r="S321" s="349">
        <f>IF(COUNTIF($R$6:$R$411,R321)&gt;1,"重复","唯一")</f>
        <v/>
      </c>
      <c r="T321" s="349" t="inlineStr">
        <is>
          <t>1b5ac0739c758c20681bf4ac48ca20b1e6ec1da707b52afd008d15d61ed0cc92</t>
        </is>
      </c>
      <c r="U321" s="349" t="inlineStr">
        <is>
          <t>Codex</t>
        </is>
      </c>
      <c r="V321" s="348" t="n">
        <v>46269</v>
      </c>
      <c r="W321" s="349" t="inlineStr">
        <is>
          <t>用户自制Blender资产</t>
        </is>
      </c>
      <c r="X321" s="375" t="inlineStr">
        <is>
          <t>—</t>
        </is>
      </c>
      <c r="Y321" s="34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2" ht="54" customHeight="1">
      <c r="A322" t="inlineStr">
        <is>
          <t>BPK-BASE99-TILE-R01-C03</t>
        </is>
      </c>
      <c r="B322" t="inlineStr">
        <is>
          <t>基地99层 · 地砖_R01C03_原砖与深化内容</t>
        </is>
      </c>
      <c r="C322" t="inlineStr">
        <is>
          <t>基地资产包</t>
        </is>
      </c>
      <c r="D322" t="inlineStr">
        <is>
          <t>地面系统包</t>
        </is>
      </c>
      <c r="E322" t="inlineStr">
        <is>
          <t>base99_package_tile_r01_c03</t>
        </is>
      </c>
      <c r="F322" t="inlineStr">
        <is>
          <t>package_root</t>
        </is>
      </c>
      <c r="G322" t="inlineStr">
        <is>
          <t>ENV-BASE99-ART-LAYOUT-3D</t>
        </is>
      </c>
      <c r="H322" t="inlineStr">
        <is>
          <t>Top3D / Blender +Y北</t>
        </is>
      </c>
      <c r="I322" t="inlineStr">
        <is>
          <t>static / default</t>
        </is>
      </c>
      <c r="J322" t="inlineStr">
        <is>
          <t>3D-设施 / 基地99层独立资产包</t>
        </is>
      </c>
      <c r="K322" t="inlineStr">
        <is>
          <t>正式美术已接入</t>
        </is>
      </c>
      <c r="L322" t="inlineStr">
        <is>
          <t>P0</t>
        </is>
      </c>
      <c r="M322" t="inlineStr">
        <is>
          <t>v017</t>
        </is>
      </c>
      <c r="N322" s="349" t="inlineStr">
        <is>
          <t>包络 5.035×5.000×0.465m；31 网格；0 灯</t>
        </is>
      </c>
      <c r="O322" s="349" t="inlineStr">
        <is>
          <t>source/art/blender/base_facility_layout/component_packages_v017/floor/tile_r01_c03/asset_manifest.json</t>
        </is>
      </c>
      <c r="P322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2" s="349" t="inlineStr">
        <is>
          <t>基地99层;基地资产包;3D设施;地面系统包;tile_r01_c03;PaletteUV</t>
        </is>
      </c>
      <c r="R322" s="349">
        <f>C322&amp;"|"&amp;D322&amp;"|"&amp;E322&amp;"|"&amp;F322&amp;"|"&amp;LOWER(H322)&amp;"|"&amp;I322</f>
        <v/>
      </c>
      <c r="S322" s="349">
        <f>IF(COUNTIF($R$6:$R$411,R322)&gt;1,"重复","唯一")</f>
        <v/>
      </c>
      <c r="T322" s="349" t="inlineStr">
        <is>
          <t>fa8f49384390c5cf0df25001ffc592250eec86f8d178ac19b5ef70d9386a3ae0</t>
        </is>
      </c>
      <c r="U322" s="349" t="inlineStr">
        <is>
          <t>Codex</t>
        </is>
      </c>
      <c r="V322" s="348" t="n">
        <v>46269</v>
      </c>
      <c r="W322" s="349" t="inlineStr">
        <is>
          <t>用户自制Blender资产</t>
        </is>
      </c>
      <c r="X322" s="375" t="inlineStr">
        <is>
          <t>—</t>
        </is>
      </c>
      <c r="Y322" s="34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3" ht="54" customHeight="1">
      <c r="A323" t="inlineStr">
        <is>
          <t>BPK-BASE99-TILE-R01-C04</t>
        </is>
      </c>
      <c r="B323" t="inlineStr">
        <is>
          <t>基地99层 · 地砖_R01C04_原砖与深化内容</t>
        </is>
      </c>
      <c r="C323" t="inlineStr">
        <is>
          <t>基地资产包</t>
        </is>
      </c>
      <c r="D323" t="inlineStr">
        <is>
          <t>地面系统包</t>
        </is>
      </c>
      <c r="E323" t="inlineStr">
        <is>
          <t>base99_package_tile_r01_c04</t>
        </is>
      </c>
      <c r="F323" t="inlineStr">
        <is>
          <t>package_root</t>
        </is>
      </c>
      <c r="G323" t="inlineStr">
        <is>
          <t>ENV-BASE99-ART-LAYOUT-3D</t>
        </is>
      </c>
      <c r="H323" t="inlineStr">
        <is>
          <t>Top3D / Blender +Y北</t>
        </is>
      </c>
      <c r="I323" t="inlineStr">
        <is>
          <t>static / default</t>
        </is>
      </c>
      <c r="J323" t="inlineStr">
        <is>
          <t>3D-设施 / 基地99层独立资产包</t>
        </is>
      </c>
      <c r="K323" t="inlineStr">
        <is>
          <t>正式美术已接入</t>
        </is>
      </c>
      <c r="L323" t="inlineStr">
        <is>
          <t>P0</t>
        </is>
      </c>
      <c r="M323" t="inlineStr">
        <is>
          <t>v017</t>
        </is>
      </c>
      <c r="N323" s="349" t="inlineStr">
        <is>
          <t>包络 5.035×5.000×0.448m；21 网格；0 灯</t>
        </is>
      </c>
      <c r="O323" s="349" t="inlineStr">
        <is>
          <t>source/art/blender/base_facility_layout/component_packages_v017/floor/tile_r01_c04/asset_manifest.json</t>
        </is>
      </c>
      <c r="P323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3" s="349" t="inlineStr">
        <is>
          <t>基地99层;基地资产包;3D设施;地面系统包;tile_r01_c04;PaletteUV</t>
        </is>
      </c>
      <c r="R323" s="349">
        <f>C323&amp;"|"&amp;D323&amp;"|"&amp;E323&amp;"|"&amp;F323&amp;"|"&amp;LOWER(H323)&amp;"|"&amp;I323</f>
        <v/>
      </c>
      <c r="S323" s="349">
        <f>IF(COUNTIF($R$6:$R$411,R323)&gt;1,"重复","唯一")</f>
        <v/>
      </c>
      <c r="T323" s="349" t="inlineStr">
        <is>
          <t>07953f736d6441d1b292f6f093531569e7187ecdd7e74ff972c85d4ecae0bf19</t>
        </is>
      </c>
      <c r="U323" s="349" t="inlineStr">
        <is>
          <t>Codex</t>
        </is>
      </c>
      <c r="V323" s="348" t="n">
        <v>46269</v>
      </c>
      <c r="W323" s="349" t="inlineStr">
        <is>
          <t>用户自制Blender资产</t>
        </is>
      </c>
      <c r="X323" s="375" t="inlineStr">
        <is>
          <t>—</t>
        </is>
      </c>
      <c r="Y323" s="34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4" ht="54" customHeight="1">
      <c r="A324" t="inlineStr">
        <is>
          <t>BPK-BASE99-TILE-R01-C05</t>
        </is>
      </c>
      <c r="B324" t="inlineStr">
        <is>
          <t>基地99层 · 地砖_R01C05_原砖与深化内容</t>
        </is>
      </c>
      <c r="C324" t="inlineStr">
        <is>
          <t>基地资产包</t>
        </is>
      </c>
      <c r="D324" t="inlineStr">
        <is>
          <t>地面系统包</t>
        </is>
      </c>
      <c r="E324" t="inlineStr">
        <is>
          <t>base99_package_tile_r01_c05</t>
        </is>
      </c>
      <c r="F324" t="inlineStr">
        <is>
          <t>package_root</t>
        </is>
      </c>
      <c r="G324" t="inlineStr">
        <is>
          <t>ENV-BASE99-ART-LAYOUT-3D</t>
        </is>
      </c>
      <c r="H324" t="inlineStr">
        <is>
          <t>Top3D / Blender +Y北</t>
        </is>
      </c>
      <c r="I324" t="inlineStr">
        <is>
          <t>static / default</t>
        </is>
      </c>
      <c r="J324" t="inlineStr">
        <is>
          <t>3D-设施 / 基地99层独立资产包</t>
        </is>
      </c>
      <c r="K324" t="inlineStr">
        <is>
          <t>正式美术已接入</t>
        </is>
      </c>
      <c r="L324" t="inlineStr">
        <is>
          <t>P0</t>
        </is>
      </c>
      <c r="M324" t="inlineStr">
        <is>
          <t>v017</t>
        </is>
      </c>
      <c r="N324" s="349" t="inlineStr">
        <is>
          <t>包络 5.035×5.000×0.468m；33 网格；0 灯</t>
        </is>
      </c>
      <c r="O324" s="349" t="inlineStr">
        <is>
          <t>source/art/blender/base_facility_layout/component_packages_v017/floor/tile_r01_c05/asset_manifest.json</t>
        </is>
      </c>
      <c r="P324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4" s="349" t="inlineStr">
        <is>
          <t>基地99层;基地资产包;3D设施;地面系统包;tile_r01_c05;PaletteUV</t>
        </is>
      </c>
      <c r="R324" s="349">
        <f>C324&amp;"|"&amp;D324&amp;"|"&amp;E324&amp;"|"&amp;F324&amp;"|"&amp;LOWER(H324)&amp;"|"&amp;I324</f>
        <v/>
      </c>
      <c r="S324" s="349">
        <f>IF(COUNTIF($R$6:$R$411,R324)&gt;1,"重复","唯一")</f>
        <v/>
      </c>
      <c r="T324" s="349" t="inlineStr">
        <is>
          <t>8815ea27facc0a19383962cb9019b1ea199e6dcf230ac7daf0a46ae93d45061c</t>
        </is>
      </c>
      <c r="U324" s="349" t="inlineStr">
        <is>
          <t>Codex</t>
        </is>
      </c>
      <c r="V324" s="348" t="n">
        <v>46269</v>
      </c>
      <c r="W324" s="349" t="inlineStr">
        <is>
          <t>用户自制Blender资产</t>
        </is>
      </c>
      <c r="X324" s="375" t="inlineStr">
        <is>
          <t>—</t>
        </is>
      </c>
      <c r="Y324" s="34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5" ht="54" customHeight="1">
      <c r="A325" t="inlineStr">
        <is>
          <t>BPK-BASE99-TILE-R01-C06</t>
        </is>
      </c>
      <c r="B325" t="inlineStr">
        <is>
          <t>基地99层 · 地砖_R01C06_原砖与深化内容</t>
        </is>
      </c>
      <c r="C325" t="inlineStr">
        <is>
          <t>基地资产包</t>
        </is>
      </c>
      <c r="D325" t="inlineStr">
        <is>
          <t>地面系统包</t>
        </is>
      </c>
      <c r="E325" t="inlineStr">
        <is>
          <t>base99_package_tile_r01_c06</t>
        </is>
      </c>
      <c r="F325" t="inlineStr">
        <is>
          <t>package_root</t>
        </is>
      </c>
      <c r="G325" t="inlineStr">
        <is>
          <t>ENV-BASE99-ART-LAYOUT-3D</t>
        </is>
      </c>
      <c r="H325" t="inlineStr">
        <is>
          <t>Top3D / Blender +Y北</t>
        </is>
      </c>
      <c r="I325" t="inlineStr">
        <is>
          <t>static / default</t>
        </is>
      </c>
      <c r="J325" t="inlineStr">
        <is>
          <t>3D-设施 / 基地99层独立资产包</t>
        </is>
      </c>
      <c r="K325" t="inlineStr">
        <is>
          <t>正式美术已接入</t>
        </is>
      </c>
      <c r="L325" t="inlineStr">
        <is>
          <t>P0</t>
        </is>
      </c>
      <c r="M325" t="inlineStr">
        <is>
          <t>v017</t>
        </is>
      </c>
      <c r="N325" s="349" t="inlineStr">
        <is>
          <t>包络 5.035×5.000×0.448m；21 网格；0 灯</t>
        </is>
      </c>
      <c r="O325" s="349" t="inlineStr">
        <is>
          <t>source/art/blender/base_facility_layout/component_packages_v017/floor/tile_r01_c06/asset_manifest.json</t>
        </is>
      </c>
      <c r="P325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5" s="349" t="inlineStr">
        <is>
          <t>基地99层;基地资产包;3D设施;地面系统包;tile_r01_c06;PaletteUV</t>
        </is>
      </c>
      <c r="R325" s="349">
        <f>C325&amp;"|"&amp;D325&amp;"|"&amp;E325&amp;"|"&amp;F325&amp;"|"&amp;LOWER(H325)&amp;"|"&amp;I325</f>
        <v/>
      </c>
      <c r="S325" s="349">
        <f>IF(COUNTIF($R$6:$R$411,R325)&gt;1,"重复","唯一")</f>
        <v/>
      </c>
      <c r="T325" s="349" t="inlineStr">
        <is>
          <t>73fada6c331d64af5514379eb64412301b3674328cea8e34b698f2c0f5562690</t>
        </is>
      </c>
      <c r="U325" s="349" t="inlineStr">
        <is>
          <t>Codex</t>
        </is>
      </c>
      <c r="V325" s="348" t="n">
        <v>46269</v>
      </c>
      <c r="W325" s="349" t="inlineStr">
        <is>
          <t>用户自制Blender资产</t>
        </is>
      </c>
      <c r="X325" s="375" t="inlineStr">
        <is>
          <t>—</t>
        </is>
      </c>
      <c r="Y325" s="34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6" ht="54" customHeight="1">
      <c r="A326" t="inlineStr">
        <is>
          <t>BPK-BASE99-TILE-R02-C01</t>
        </is>
      </c>
      <c r="B326" t="inlineStr">
        <is>
          <t>基地99层 · 地砖_R02C01_原砖与深化内容</t>
        </is>
      </c>
      <c r="C326" t="inlineStr">
        <is>
          <t>基地资产包</t>
        </is>
      </c>
      <c r="D326" t="inlineStr">
        <is>
          <t>地面系统包</t>
        </is>
      </c>
      <c r="E326" t="inlineStr">
        <is>
          <t>base99_package_tile_r02_c01</t>
        </is>
      </c>
      <c r="F326" t="inlineStr">
        <is>
          <t>package_root</t>
        </is>
      </c>
      <c r="G326" t="inlineStr">
        <is>
          <t>ENV-BASE99-ART-LAYOUT-3D</t>
        </is>
      </c>
      <c r="H326" t="inlineStr">
        <is>
          <t>Top3D / Blender +Y北</t>
        </is>
      </c>
      <c r="I326" t="inlineStr">
        <is>
          <t>static / default</t>
        </is>
      </c>
      <c r="J326" t="inlineStr">
        <is>
          <t>3D-设施 / 基地99层独立资产包</t>
        </is>
      </c>
      <c r="K326" t="inlineStr">
        <is>
          <t>正式美术已接入</t>
        </is>
      </c>
      <c r="L326" t="inlineStr">
        <is>
          <t>P0</t>
        </is>
      </c>
      <c r="M326" t="inlineStr">
        <is>
          <t>v017</t>
        </is>
      </c>
      <c r="N326" s="349" t="inlineStr">
        <is>
          <t>包络 5.000×5.035×0.448m；22 网格；0 灯</t>
        </is>
      </c>
      <c r="O326" s="349" t="inlineStr">
        <is>
          <t>source/art/blender/base_facility_layout/component_packages_v017/floor/tile_r02_c01/asset_manifest.json</t>
        </is>
      </c>
      <c r="P326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6" s="349" t="inlineStr">
        <is>
          <t>基地99层;基地资产包;3D设施;地面系统包;tile_r02_c01;PaletteUV</t>
        </is>
      </c>
      <c r="R326" s="349">
        <f>C326&amp;"|"&amp;D326&amp;"|"&amp;E326&amp;"|"&amp;F326&amp;"|"&amp;LOWER(H326)&amp;"|"&amp;I326</f>
        <v/>
      </c>
      <c r="S326" s="349">
        <f>IF(COUNTIF($R$6:$R$411,R326)&gt;1,"重复","唯一")</f>
        <v/>
      </c>
      <c r="T326" s="349" t="inlineStr">
        <is>
          <t>6fcc0af792b1356054d6b74858d389fed4d4d46d1b140121faead5a9d6d850a3</t>
        </is>
      </c>
      <c r="U326" s="349" t="inlineStr">
        <is>
          <t>Codex</t>
        </is>
      </c>
      <c r="V326" s="348" t="n">
        <v>46269</v>
      </c>
      <c r="W326" s="349" t="inlineStr">
        <is>
          <t>用户自制Blender资产</t>
        </is>
      </c>
      <c r="X326" s="375" t="inlineStr">
        <is>
          <t>—</t>
        </is>
      </c>
      <c r="Y326" s="34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7" ht="54" customHeight="1">
      <c r="A327" t="inlineStr">
        <is>
          <t>BPK-BASE99-TILE-R02-C02</t>
        </is>
      </c>
      <c r="B327" t="inlineStr">
        <is>
          <t>基地99层 · 地砖_R02C02_原砖与深化内容</t>
        </is>
      </c>
      <c r="C327" t="inlineStr">
        <is>
          <t>基地资产包</t>
        </is>
      </c>
      <c r="D327" t="inlineStr">
        <is>
          <t>地面系统包</t>
        </is>
      </c>
      <c r="E327" t="inlineStr">
        <is>
          <t>base99_package_tile_r02_c02</t>
        </is>
      </c>
      <c r="F327" t="inlineStr">
        <is>
          <t>package_root</t>
        </is>
      </c>
      <c r="G327" t="inlineStr">
        <is>
          <t>ENV-BASE99-ART-LAYOUT-3D</t>
        </is>
      </c>
      <c r="H327" t="inlineStr">
        <is>
          <t>Top3D / Blender +Y北</t>
        </is>
      </c>
      <c r="I327" t="inlineStr">
        <is>
          <t>static / default</t>
        </is>
      </c>
      <c r="J327" t="inlineStr">
        <is>
          <t>3D-设施 / 基地99层独立资产包</t>
        </is>
      </c>
      <c r="K327" t="inlineStr">
        <is>
          <t>正式美术已接入</t>
        </is>
      </c>
      <c r="L327" t="inlineStr">
        <is>
          <t>P0</t>
        </is>
      </c>
      <c r="M327" t="inlineStr">
        <is>
          <t>v017</t>
        </is>
      </c>
      <c r="N327" s="349" t="inlineStr">
        <is>
          <t>包络 5.035×5.035×0.448m；36 网格；0 灯</t>
        </is>
      </c>
      <c r="O327" s="349" t="inlineStr">
        <is>
          <t>source/art/blender/base_facility_layout/component_packages_v017/floor/tile_r02_c02/asset_manifest.json</t>
        </is>
      </c>
      <c r="P327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7" s="349" t="inlineStr">
        <is>
          <t>基地99层;基地资产包;3D设施;地面系统包;tile_r02_c02;PaletteUV</t>
        </is>
      </c>
      <c r="R327" s="349">
        <f>C327&amp;"|"&amp;D327&amp;"|"&amp;E327&amp;"|"&amp;F327&amp;"|"&amp;LOWER(H327)&amp;"|"&amp;I327</f>
        <v/>
      </c>
      <c r="S327" s="349">
        <f>IF(COUNTIF($R$6:$R$411,R327)&gt;1,"重复","唯一")</f>
        <v/>
      </c>
      <c r="T327" s="349" t="inlineStr">
        <is>
          <t>9f6df3fa5f32a0404acf1d0029c19324f7189403a1b2169a826a6637040baf5d</t>
        </is>
      </c>
      <c r="U327" s="349" t="inlineStr">
        <is>
          <t>Codex</t>
        </is>
      </c>
      <c r="V327" s="348" t="n">
        <v>46269</v>
      </c>
      <c r="W327" s="349" t="inlineStr">
        <is>
          <t>用户自制Blender资产</t>
        </is>
      </c>
      <c r="X327" s="375" t="inlineStr">
        <is>
          <t>—</t>
        </is>
      </c>
      <c r="Y327" s="34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8" ht="54" customHeight="1">
      <c r="A328" t="inlineStr">
        <is>
          <t>BPK-BASE99-TILE-R02-C03</t>
        </is>
      </c>
      <c r="B328" t="inlineStr">
        <is>
          <t>基地99层 · 地砖_R02C03_原砖与深化内容</t>
        </is>
      </c>
      <c r="C328" t="inlineStr">
        <is>
          <t>基地资产包</t>
        </is>
      </c>
      <c r="D328" t="inlineStr">
        <is>
          <t>地面系统包</t>
        </is>
      </c>
      <c r="E328" t="inlineStr">
        <is>
          <t>base99_package_tile_r02_c03</t>
        </is>
      </c>
      <c r="F328" t="inlineStr">
        <is>
          <t>package_root</t>
        </is>
      </c>
      <c r="G328" t="inlineStr">
        <is>
          <t>ENV-BASE99-ART-LAYOUT-3D</t>
        </is>
      </c>
      <c r="H328" t="inlineStr">
        <is>
          <t>Top3D / Blender +Y北</t>
        </is>
      </c>
      <c r="I328" t="inlineStr">
        <is>
          <t>static / default</t>
        </is>
      </c>
      <c r="J328" t="inlineStr">
        <is>
          <t>3D-设施 / 基地99层独立资产包</t>
        </is>
      </c>
      <c r="K328" t="inlineStr">
        <is>
          <t>正式美术已接入</t>
        </is>
      </c>
      <c r="L328" t="inlineStr">
        <is>
          <t>P0</t>
        </is>
      </c>
      <c r="M328" t="inlineStr">
        <is>
          <t>v017</t>
        </is>
      </c>
      <c r="N328" s="349" t="inlineStr">
        <is>
          <t>包络 5.035×5.035×0.468m；42 网格；0 灯</t>
        </is>
      </c>
      <c r="O328" s="349" t="inlineStr">
        <is>
          <t>source/art/blender/base_facility_layout/component_packages_v017/floor/tile_r02_c03/asset_manifest.json</t>
        </is>
      </c>
      <c r="P328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8" s="349" t="inlineStr">
        <is>
          <t>基地99层;基地资产包;3D设施;地面系统包;tile_r02_c03;PaletteUV</t>
        </is>
      </c>
      <c r="R328" s="349">
        <f>C328&amp;"|"&amp;D328&amp;"|"&amp;E328&amp;"|"&amp;F328&amp;"|"&amp;LOWER(H328)&amp;"|"&amp;I328</f>
        <v/>
      </c>
      <c r="S328" s="349">
        <f>IF(COUNTIF($R$6:$R$411,R328)&gt;1,"重复","唯一")</f>
        <v/>
      </c>
      <c r="T328" s="349" t="inlineStr">
        <is>
          <t>5e726328226ee81ac59f23f1db00b5e8a7475c3f882d278afb43fc0a757e981b</t>
        </is>
      </c>
      <c r="U328" s="349" t="inlineStr">
        <is>
          <t>Codex</t>
        </is>
      </c>
      <c r="V328" s="348" t="n">
        <v>46269</v>
      </c>
      <c r="W328" s="349" t="inlineStr">
        <is>
          <t>用户自制Blender资产</t>
        </is>
      </c>
      <c r="X328" s="375" t="inlineStr">
        <is>
          <t>—</t>
        </is>
      </c>
      <c r="Y328" s="34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9" ht="54" customHeight="1">
      <c r="A329" t="inlineStr">
        <is>
          <t>BPK-BASE99-TILE-R02-C04</t>
        </is>
      </c>
      <c r="B329" t="inlineStr">
        <is>
          <t>基地99层 · 地砖_R02C04_原砖与深化内容</t>
        </is>
      </c>
      <c r="C329" t="inlineStr">
        <is>
          <t>基地资产包</t>
        </is>
      </c>
      <c r="D329" t="inlineStr">
        <is>
          <t>地面系统包</t>
        </is>
      </c>
      <c r="E329" t="inlineStr">
        <is>
          <t>base99_package_tile_r02_c04</t>
        </is>
      </c>
      <c r="F329" t="inlineStr">
        <is>
          <t>package_root</t>
        </is>
      </c>
      <c r="G329" t="inlineStr">
        <is>
          <t>ENV-BASE99-ART-LAYOUT-3D</t>
        </is>
      </c>
      <c r="H329" t="inlineStr">
        <is>
          <t>Top3D / Blender +Y北</t>
        </is>
      </c>
      <c r="I329" t="inlineStr">
        <is>
          <t>static / default</t>
        </is>
      </c>
      <c r="J329" t="inlineStr">
        <is>
          <t>3D-设施 / 基地99层独立资产包</t>
        </is>
      </c>
      <c r="K329" t="inlineStr">
        <is>
          <t>正式美术已接入</t>
        </is>
      </c>
      <c r="L329" t="inlineStr">
        <is>
          <t>P0</t>
        </is>
      </c>
      <c r="M329" t="inlineStr">
        <is>
          <t>v017</t>
        </is>
      </c>
      <c r="N329" s="349" t="inlineStr">
        <is>
          <t>包络 5.190×5.035×0.468m；34 网格；0 灯</t>
        </is>
      </c>
      <c r="O329" s="349" t="inlineStr">
        <is>
          <t>source/art/blender/base_facility_layout/component_packages_v017/floor/tile_r02_c04/asset_manifest.json</t>
        </is>
      </c>
      <c r="P329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29" s="349" t="inlineStr">
        <is>
          <t>基地99层;基地资产包;3D设施;地面系统包;tile_r02_c04;PaletteUV</t>
        </is>
      </c>
      <c r="R329" s="349">
        <f>C329&amp;"|"&amp;D329&amp;"|"&amp;E329&amp;"|"&amp;F329&amp;"|"&amp;LOWER(H329)&amp;"|"&amp;I329</f>
        <v/>
      </c>
      <c r="S329" s="349">
        <f>IF(COUNTIF($R$6:$R$411,R329)&gt;1,"重复","唯一")</f>
        <v/>
      </c>
      <c r="T329" s="349" t="inlineStr">
        <is>
          <t>38a8093d74018eca0afd3e485dbaee4ffb4f3b5f0b9329e8dbf96f2df2854501</t>
        </is>
      </c>
      <c r="U329" s="349" t="inlineStr">
        <is>
          <t>Codex</t>
        </is>
      </c>
      <c r="V329" s="348" t="n">
        <v>46269</v>
      </c>
      <c r="W329" s="349" t="inlineStr">
        <is>
          <t>用户自制Blender资产</t>
        </is>
      </c>
      <c r="X329" s="375" t="inlineStr">
        <is>
          <t>—</t>
        </is>
      </c>
      <c r="Y329" s="34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0" ht="54" customHeight="1">
      <c r="A330" t="inlineStr">
        <is>
          <t>BPK-BASE99-TILE-R02-C05</t>
        </is>
      </c>
      <c r="B330" t="inlineStr">
        <is>
          <t>基地99层 · 地砖_R02C05_原砖与深化内容</t>
        </is>
      </c>
      <c r="C330" t="inlineStr">
        <is>
          <t>基地资产包</t>
        </is>
      </c>
      <c r="D330" t="inlineStr">
        <is>
          <t>地面系统包</t>
        </is>
      </c>
      <c r="E330" t="inlineStr">
        <is>
          <t>base99_package_tile_r02_c05</t>
        </is>
      </c>
      <c r="F330" t="inlineStr">
        <is>
          <t>package_root</t>
        </is>
      </c>
      <c r="G330" t="inlineStr">
        <is>
          <t>ENV-BASE99-ART-LAYOUT-3D</t>
        </is>
      </c>
      <c r="H330" t="inlineStr">
        <is>
          <t>Top3D / Blender +Y北</t>
        </is>
      </c>
      <c r="I330" t="inlineStr">
        <is>
          <t>static / default</t>
        </is>
      </c>
      <c r="J330" t="inlineStr">
        <is>
          <t>3D-设施 / 基地99层独立资产包</t>
        </is>
      </c>
      <c r="K330" t="inlineStr">
        <is>
          <t>正式美术已接入</t>
        </is>
      </c>
      <c r="L330" t="inlineStr">
        <is>
          <t>P0</t>
        </is>
      </c>
      <c r="M330" t="inlineStr">
        <is>
          <t>v017</t>
        </is>
      </c>
      <c r="N330" s="349" t="inlineStr">
        <is>
          <t>包络 5.035×5.035×0.465m；44 网格；0 灯</t>
        </is>
      </c>
      <c r="O330" s="349" t="inlineStr">
        <is>
          <t>source/art/blender/base_facility_layout/component_packages_v017/floor/tile_r02_c05/asset_manifest.json</t>
        </is>
      </c>
      <c r="P330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0" s="349" t="inlineStr">
        <is>
          <t>基地99层;基地资产包;3D设施;地面系统包;tile_r02_c05;PaletteUV</t>
        </is>
      </c>
      <c r="R330" s="349">
        <f>C330&amp;"|"&amp;D330&amp;"|"&amp;E330&amp;"|"&amp;F330&amp;"|"&amp;LOWER(H330)&amp;"|"&amp;I330</f>
        <v/>
      </c>
      <c r="S330" s="349">
        <f>IF(COUNTIF($R$6:$R$411,R330)&gt;1,"重复","唯一")</f>
        <v/>
      </c>
      <c r="T330" s="349" t="inlineStr">
        <is>
          <t>5e7f52da5c3544d7fbac389a634ef65207bb512820c1e73cff6dc6f693a04c5d</t>
        </is>
      </c>
      <c r="U330" s="349" t="inlineStr">
        <is>
          <t>Codex</t>
        </is>
      </c>
      <c r="V330" s="348" t="n">
        <v>46269</v>
      </c>
      <c r="W330" s="349" t="inlineStr">
        <is>
          <t>用户自制Blender资产</t>
        </is>
      </c>
      <c r="X330" s="375" t="inlineStr">
        <is>
          <t>—</t>
        </is>
      </c>
      <c r="Y330" s="34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1" ht="54" customHeight="1">
      <c r="A331" t="inlineStr">
        <is>
          <t>BPK-BASE99-TILE-R02-C06</t>
        </is>
      </c>
      <c r="B331" t="inlineStr">
        <is>
          <t>基地99层 · 地砖_R02C06_原砖与深化内容</t>
        </is>
      </c>
      <c r="C331" t="inlineStr">
        <is>
          <t>基地资产包</t>
        </is>
      </c>
      <c r="D331" t="inlineStr">
        <is>
          <t>地面系统包</t>
        </is>
      </c>
      <c r="E331" t="inlineStr">
        <is>
          <t>base99_package_tile_r02_c06</t>
        </is>
      </c>
      <c r="F331" t="inlineStr">
        <is>
          <t>package_root</t>
        </is>
      </c>
      <c r="G331" t="inlineStr">
        <is>
          <t>ENV-BASE99-ART-LAYOUT-3D</t>
        </is>
      </c>
      <c r="H331" t="inlineStr">
        <is>
          <t>Top3D / Blender +Y北</t>
        </is>
      </c>
      <c r="I331" t="inlineStr">
        <is>
          <t>static / default</t>
        </is>
      </c>
      <c r="J331" t="inlineStr">
        <is>
          <t>3D-设施 / 基地99层独立资产包</t>
        </is>
      </c>
      <c r="K331" t="inlineStr">
        <is>
          <t>正式美术已接入</t>
        </is>
      </c>
      <c r="L331" t="inlineStr">
        <is>
          <t>P0</t>
        </is>
      </c>
      <c r="M331" t="inlineStr">
        <is>
          <t>v017</t>
        </is>
      </c>
      <c r="N331" s="349" t="inlineStr">
        <is>
          <t>包络 5.035×5.035×0.468m；35 网格；0 灯</t>
        </is>
      </c>
      <c r="O331" s="349" t="inlineStr">
        <is>
          <t>source/art/blender/base_facility_layout/component_packages_v017/floor/tile_r02_c06/asset_manifest.json</t>
        </is>
      </c>
      <c r="P331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1" s="349" t="inlineStr">
        <is>
          <t>基地99层;基地资产包;3D设施;地面系统包;tile_r02_c06;PaletteUV</t>
        </is>
      </c>
      <c r="R331" s="349">
        <f>C331&amp;"|"&amp;D331&amp;"|"&amp;E331&amp;"|"&amp;F331&amp;"|"&amp;LOWER(H331)&amp;"|"&amp;I331</f>
        <v/>
      </c>
      <c r="S331" s="349">
        <f>IF(COUNTIF($R$6:$R$411,R331)&gt;1,"重复","唯一")</f>
        <v/>
      </c>
      <c r="T331" s="349" t="inlineStr">
        <is>
          <t>ce8bffa5705fcab7f2fc7ceccd6593f376a78c793192d27877b13330a65c101b</t>
        </is>
      </c>
      <c r="U331" s="349" t="inlineStr">
        <is>
          <t>Codex</t>
        </is>
      </c>
      <c r="V331" s="348" t="n">
        <v>46269</v>
      </c>
      <c r="W331" s="349" t="inlineStr">
        <is>
          <t>用户自制Blender资产</t>
        </is>
      </c>
      <c r="X331" s="375" t="inlineStr">
        <is>
          <t>—</t>
        </is>
      </c>
      <c r="Y331" s="34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2" ht="54" customHeight="1">
      <c r="A332" t="inlineStr">
        <is>
          <t>BPK-BASE99-TILE-R03-C01</t>
        </is>
      </c>
      <c r="B332" t="inlineStr">
        <is>
          <t>基地99层 · 地砖_R03C01_原砖与深化内容</t>
        </is>
      </c>
      <c r="C332" t="inlineStr">
        <is>
          <t>基地资产包</t>
        </is>
      </c>
      <c r="D332" t="inlineStr">
        <is>
          <t>地面系统包</t>
        </is>
      </c>
      <c r="E332" t="inlineStr">
        <is>
          <t>base99_package_tile_r03_c01</t>
        </is>
      </c>
      <c r="F332" t="inlineStr">
        <is>
          <t>package_root</t>
        </is>
      </c>
      <c r="G332" t="inlineStr">
        <is>
          <t>ENV-BASE99-ART-LAYOUT-3D</t>
        </is>
      </c>
      <c r="H332" t="inlineStr">
        <is>
          <t>Top3D / Blender +Y北</t>
        </is>
      </c>
      <c r="I332" t="inlineStr">
        <is>
          <t>static / default</t>
        </is>
      </c>
      <c r="J332" t="inlineStr">
        <is>
          <t>3D-设施 / 基地99层独立资产包</t>
        </is>
      </c>
      <c r="K332" t="inlineStr">
        <is>
          <t>正式美术已接入</t>
        </is>
      </c>
      <c r="L332" t="inlineStr">
        <is>
          <t>P0</t>
        </is>
      </c>
      <c r="M332" t="inlineStr">
        <is>
          <t>v017</t>
        </is>
      </c>
      <c r="N332" s="349" t="inlineStr">
        <is>
          <t>包络 5.000×5.035×0.468m；37 网格；0 灯</t>
        </is>
      </c>
      <c r="O332" s="349" t="inlineStr">
        <is>
          <t>source/art/blender/base_facility_layout/component_packages_v017/floor/tile_r03_c01/asset_manifest.json</t>
        </is>
      </c>
      <c r="P332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2" s="349" t="inlineStr">
        <is>
          <t>基地99层;基地资产包;3D设施;地面系统包;tile_r03_c01;PaletteUV</t>
        </is>
      </c>
      <c r="R332" s="349">
        <f>C332&amp;"|"&amp;D332&amp;"|"&amp;E332&amp;"|"&amp;F332&amp;"|"&amp;LOWER(H332)&amp;"|"&amp;I332</f>
        <v/>
      </c>
      <c r="S332" s="349">
        <f>IF(COUNTIF($R$6:$R$411,R332)&gt;1,"重复","唯一")</f>
        <v/>
      </c>
      <c r="T332" s="349" t="inlineStr">
        <is>
          <t>30c2ccc77637326151a6a4a10cc3314938e24ab8825c7c226647bcc3b2bf2fd9</t>
        </is>
      </c>
      <c r="U332" s="349" t="inlineStr">
        <is>
          <t>Codex</t>
        </is>
      </c>
      <c r="V332" s="348" t="n">
        <v>46269</v>
      </c>
      <c r="W332" s="349" t="inlineStr">
        <is>
          <t>用户自制Blender资产</t>
        </is>
      </c>
      <c r="X332" s="375" t="inlineStr">
        <is>
          <t>—</t>
        </is>
      </c>
      <c r="Y332" s="34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3" ht="54" customHeight="1">
      <c r="A333" t="inlineStr">
        <is>
          <t>BPK-BASE99-TILE-R03-C02</t>
        </is>
      </c>
      <c r="B333" t="inlineStr">
        <is>
          <t>基地99层 · 地砖_R03C02_原砖与深化内容</t>
        </is>
      </c>
      <c r="C333" t="inlineStr">
        <is>
          <t>基地资产包</t>
        </is>
      </c>
      <c r="D333" t="inlineStr">
        <is>
          <t>地面系统包</t>
        </is>
      </c>
      <c r="E333" t="inlineStr">
        <is>
          <t>base99_package_tile_r03_c02</t>
        </is>
      </c>
      <c r="F333" t="inlineStr">
        <is>
          <t>package_root</t>
        </is>
      </c>
      <c r="G333" t="inlineStr">
        <is>
          <t>ENV-BASE99-ART-LAYOUT-3D</t>
        </is>
      </c>
      <c r="H333" t="inlineStr">
        <is>
          <t>Top3D / Blender +Y北</t>
        </is>
      </c>
      <c r="I333" t="inlineStr">
        <is>
          <t>static / default</t>
        </is>
      </c>
      <c r="J333" t="inlineStr">
        <is>
          <t>3D-设施 / 基地99层独立资产包</t>
        </is>
      </c>
      <c r="K333" t="inlineStr">
        <is>
          <t>正式美术已接入</t>
        </is>
      </c>
      <c r="L333" t="inlineStr">
        <is>
          <t>P0</t>
        </is>
      </c>
      <c r="M333" t="inlineStr">
        <is>
          <t>v017</t>
        </is>
      </c>
      <c r="N333" s="349" t="inlineStr">
        <is>
          <t>包络 5.035×5.035×0.465m；41 网格；0 灯</t>
        </is>
      </c>
      <c r="O333" s="349" t="inlineStr">
        <is>
          <t>source/art/blender/base_facility_layout/component_packages_v017/floor/tile_r03_c02/asset_manifest.json</t>
        </is>
      </c>
      <c r="P333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3" s="349" t="inlineStr">
        <is>
          <t>基地99层;基地资产包;3D设施;地面系统包;tile_r03_c02;PaletteUV</t>
        </is>
      </c>
      <c r="R333" s="349">
        <f>C333&amp;"|"&amp;D333&amp;"|"&amp;E333&amp;"|"&amp;F333&amp;"|"&amp;LOWER(H333)&amp;"|"&amp;I333</f>
        <v/>
      </c>
      <c r="S333" s="349">
        <f>IF(COUNTIF($R$6:$R$411,R333)&gt;1,"重复","唯一")</f>
        <v/>
      </c>
      <c r="T333" s="349" t="inlineStr">
        <is>
          <t>2aaa4cfe2ba32c4ddd89bf705c9771d576ed62bb3d75bcb2e1998409b3326247</t>
        </is>
      </c>
      <c r="U333" s="349" t="inlineStr">
        <is>
          <t>Codex</t>
        </is>
      </c>
      <c r="V333" s="348" t="n">
        <v>46269</v>
      </c>
      <c r="W333" s="349" t="inlineStr">
        <is>
          <t>用户自制Blender资产</t>
        </is>
      </c>
      <c r="X333" s="375" t="inlineStr">
        <is>
          <t>—</t>
        </is>
      </c>
      <c r="Y333" s="34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4" ht="54" customHeight="1">
      <c r="A334" t="inlineStr">
        <is>
          <t>BPK-BASE99-TILE-R03-C03</t>
        </is>
      </c>
      <c r="B334" t="inlineStr">
        <is>
          <t>基地99层 · 地砖_R03C03_原砖与深化内容</t>
        </is>
      </c>
      <c r="C334" t="inlineStr">
        <is>
          <t>基地资产包</t>
        </is>
      </c>
      <c r="D334" t="inlineStr">
        <is>
          <t>地面系统包</t>
        </is>
      </c>
      <c r="E334" t="inlineStr">
        <is>
          <t>base99_package_tile_r03_c03</t>
        </is>
      </c>
      <c r="F334" t="inlineStr">
        <is>
          <t>package_root</t>
        </is>
      </c>
      <c r="G334" t="inlineStr">
        <is>
          <t>ENV-BASE99-ART-LAYOUT-3D</t>
        </is>
      </c>
      <c r="H334" t="inlineStr">
        <is>
          <t>Top3D / Blender +Y北</t>
        </is>
      </c>
      <c r="I334" t="inlineStr">
        <is>
          <t>static / default</t>
        </is>
      </c>
      <c r="J334" t="inlineStr">
        <is>
          <t>3D-设施 / 基地99层独立资产包</t>
        </is>
      </c>
      <c r="K334" t="inlineStr">
        <is>
          <t>正式美术已接入</t>
        </is>
      </c>
      <c r="L334" t="inlineStr">
        <is>
          <t>P0</t>
        </is>
      </c>
      <c r="M334" t="inlineStr">
        <is>
          <t>v017</t>
        </is>
      </c>
      <c r="N334" s="349" t="inlineStr">
        <is>
          <t>包络 5.035×5.035×0.448m；22 网格；0 灯</t>
        </is>
      </c>
      <c r="O334" s="349" t="inlineStr">
        <is>
          <t>source/art/blender/base_facility_layout/component_packages_v017/floor/tile_r03_c03/asset_manifest.json</t>
        </is>
      </c>
      <c r="P334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4" s="349" t="inlineStr">
        <is>
          <t>基地99层;基地资产包;3D设施;地面系统包;tile_r03_c03;PaletteUV</t>
        </is>
      </c>
      <c r="R334" s="349">
        <f>C334&amp;"|"&amp;D334&amp;"|"&amp;E334&amp;"|"&amp;F334&amp;"|"&amp;LOWER(H334)&amp;"|"&amp;I334</f>
        <v/>
      </c>
      <c r="S334" s="349">
        <f>IF(COUNTIF($R$6:$R$411,R334)&gt;1,"重复","唯一")</f>
        <v/>
      </c>
      <c r="T334" s="349" t="inlineStr">
        <is>
          <t>89c023859c7aaaf8a95120fedd52cbb34da7fb0402d06dbf6432103190b935a5</t>
        </is>
      </c>
      <c r="U334" s="349" t="inlineStr">
        <is>
          <t>Codex</t>
        </is>
      </c>
      <c r="V334" s="348" t="n">
        <v>46269</v>
      </c>
      <c r="W334" s="349" t="inlineStr">
        <is>
          <t>用户自制Blender资产</t>
        </is>
      </c>
      <c r="X334" s="375" t="inlineStr">
        <is>
          <t>—</t>
        </is>
      </c>
      <c r="Y334" s="34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5" ht="54" customHeight="1">
      <c r="A335" t="inlineStr">
        <is>
          <t>BPK-BASE99-TILE-R03-C04</t>
        </is>
      </c>
      <c r="B335" t="inlineStr">
        <is>
          <t>基地99层 · 地砖_R03C04_原砖与深化内容</t>
        </is>
      </c>
      <c r="C335" t="inlineStr">
        <is>
          <t>基地资产包</t>
        </is>
      </c>
      <c r="D335" t="inlineStr">
        <is>
          <t>地面系统包</t>
        </is>
      </c>
      <c r="E335" t="inlineStr">
        <is>
          <t>base99_package_tile_r03_c04</t>
        </is>
      </c>
      <c r="F335" t="inlineStr">
        <is>
          <t>package_root</t>
        </is>
      </c>
      <c r="G335" t="inlineStr">
        <is>
          <t>ENV-BASE99-ART-LAYOUT-3D</t>
        </is>
      </c>
      <c r="H335" t="inlineStr">
        <is>
          <t>Top3D / Blender +Y北</t>
        </is>
      </c>
      <c r="I335" t="inlineStr">
        <is>
          <t>static / default</t>
        </is>
      </c>
      <c r="J335" t="inlineStr">
        <is>
          <t>3D-设施 / 基地99层独立资产包</t>
        </is>
      </c>
      <c r="K335" t="inlineStr">
        <is>
          <t>正式美术已接入</t>
        </is>
      </c>
      <c r="L335" t="inlineStr">
        <is>
          <t>P0</t>
        </is>
      </c>
      <c r="M335" t="inlineStr">
        <is>
          <t>v017</t>
        </is>
      </c>
      <c r="N335" s="349" t="inlineStr">
        <is>
          <t>包络 5.035×5.035×0.468m；40 网格；0 灯</t>
        </is>
      </c>
      <c r="O335" s="349" t="inlineStr">
        <is>
          <t>source/art/blender/base_facility_layout/component_packages_v017/floor/tile_r03_c04/asset_manifest.json</t>
        </is>
      </c>
      <c r="P335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5" s="349" t="inlineStr">
        <is>
          <t>基地99层;基地资产包;3D设施;地面系统包;tile_r03_c04;PaletteUV</t>
        </is>
      </c>
      <c r="R335" s="349">
        <f>C335&amp;"|"&amp;D335&amp;"|"&amp;E335&amp;"|"&amp;F335&amp;"|"&amp;LOWER(H335)&amp;"|"&amp;I335</f>
        <v/>
      </c>
      <c r="S335" s="349">
        <f>IF(COUNTIF($R$6:$R$411,R335)&gt;1,"重复","唯一")</f>
        <v/>
      </c>
      <c r="T335" s="349" t="inlineStr">
        <is>
          <t>aaedf919f4765fdafe08ef36de30b1fe56a6d6dd39ee82bf58f176068611f0ef</t>
        </is>
      </c>
      <c r="U335" s="349" t="inlineStr">
        <is>
          <t>Codex</t>
        </is>
      </c>
      <c r="V335" s="348" t="n">
        <v>46269</v>
      </c>
      <c r="W335" s="349" t="inlineStr">
        <is>
          <t>用户自制Blender资产</t>
        </is>
      </c>
      <c r="X335" s="375" t="inlineStr">
        <is>
          <t>—</t>
        </is>
      </c>
      <c r="Y335" s="34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6" ht="54" customHeight="1">
      <c r="A336" t="inlineStr">
        <is>
          <t>BPK-BASE99-TILE-R03-C05</t>
        </is>
      </c>
      <c r="B336" t="inlineStr">
        <is>
          <t>基地99层 · 地砖_R03C05_原砖与深化内容</t>
        </is>
      </c>
      <c r="C336" t="inlineStr">
        <is>
          <t>基地资产包</t>
        </is>
      </c>
      <c r="D336" t="inlineStr">
        <is>
          <t>地面系统包</t>
        </is>
      </c>
      <c r="E336" t="inlineStr">
        <is>
          <t>base99_package_tile_r03_c05</t>
        </is>
      </c>
      <c r="F336" t="inlineStr">
        <is>
          <t>package_root</t>
        </is>
      </c>
      <c r="G336" t="inlineStr">
        <is>
          <t>ENV-BASE99-ART-LAYOUT-3D</t>
        </is>
      </c>
      <c r="H336" t="inlineStr">
        <is>
          <t>Top3D / Blender +Y北</t>
        </is>
      </c>
      <c r="I336" t="inlineStr">
        <is>
          <t>static / default</t>
        </is>
      </c>
      <c r="J336" t="inlineStr">
        <is>
          <t>3D-设施 / 基地99层独立资产包</t>
        </is>
      </c>
      <c r="K336" t="inlineStr">
        <is>
          <t>正式美术已接入</t>
        </is>
      </c>
      <c r="L336" t="inlineStr">
        <is>
          <t>P0</t>
        </is>
      </c>
      <c r="M336" t="inlineStr">
        <is>
          <t>v017</t>
        </is>
      </c>
      <c r="N336" s="349" t="inlineStr">
        <is>
          <t>包络 5.035×5.035×0.448m；43 网格；0 灯</t>
        </is>
      </c>
      <c r="O336" s="349" t="inlineStr">
        <is>
          <t>source/art/blender/base_facility_layout/component_packages_v017/floor/tile_r03_c05/asset_manifest.json</t>
        </is>
      </c>
      <c r="P336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6" s="349" t="inlineStr">
        <is>
          <t>基地99层;基地资产包;3D设施;地面系统包;tile_r03_c05;PaletteUV</t>
        </is>
      </c>
      <c r="R336" s="349">
        <f>C336&amp;"|"&amp;D336&amp;"|"&amp;E336&amp;"|"&amp;F336&amp;"|"&amp;LOWER(H336)&amp;"|"&amp;I336</f>
        <v/>
      </c>
      <c r="S336" s="349">
        <f>IF(COUNTIF($R$6:$R$411,R336)&gt;1,"重复","唯一")</f>
        <v/>
      </c>
      <c r="T336" s="349" t="inlineStr">
        <is>
          <t>554673964f9f14e093a707a1d340631053a132eb3696485003ca73afa8d59a48</t>
        </is>
      </c>
      <c r="U336" s="349" t="inlineStr">
        <is>
          <t>Codex</t>
        </is>
      </c>
      <c r="V336" s="348" t="n">
        <v>46269</v>
      </c>
      <c r="W336" s="349" t="inlineStr">
        <is>
          <t>用户自制Blender资产</t>
        </is>
      </c>
      <c r="X336" s="375" t="inlineStr">
        <is>
          <t>—</t>
        </is>
      </c>
      <c r="Y336" s="34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7" ht="54" customHeight="1">
      <c r="A337" t="inlineStr">
        <is>
          <t>BPK-BASE99-TILE-R03-C06</t>
        </is>
      </c>
      <c r="B337" t="inlineStr">
        <is>
          <t>基地99层 · 地砖_R03C06_原砖与深化内容</t>
        </is>
      </c>
      <c r="C337" t="inlineStr">
        <is>
          <t>基地资产包</t>
        </is>
      </c>
      <c r="D337" t="inlineStr">
        <is>
          <t>地面系统包</t>
        </is>
      </c>
      <c r="E337" t="inlineStr">
        <is>
          <t>base99_package_tile_r03_c06</t>
        </is>
      </c>
      <c r="F337" t="inlineStr">
        <is>
          <t>package_root</t>
        </is>
      </c>
      <c r="G337" t="inlineStr">
        <is>
          <t>ENV-BASE99-ART-LAYOUT-3D</t>
        </is>
      </c>
      <c r="H337" t="inlineStr">
        <is>
          <t>Top3D / Blender +Y北</t>
        </is>
      </c>
      <c r="I337" t="inlineStr">
        <is>
          <t>static / default</t>
        </is>
      </c>
      <c r="J337" t="inlineStr">
        <is>
          <t>3D-设施 / 基地99层独立资产包</t>
        </is>
      </c>
      <c r="K337" t="inlineStr">
        <is>
          <t>正式美术已接入</t>
        </is>
      </c>
      <c r="L337" t="inlineStr">
        <is>
          <t>P0</t>
        </is>
      </c>
      <c r="M337" t="inlineStr">
        <is>
          <t>v017</t>
        </is>
      </c>
      <c r="N337" s="349" t="inlineStr">
        <is>
          <t>包络 5.035×5.035×0.448m；22 网格；0 灯</t>
        </is>
      </c>
      <c r="O337" s="349" t="inlineStr">
        <is>
          <t>source/art/blender/base_facility_layout/component_packages_v017/floor/tile_r03_c06/asset_manifest.json</t>
        </is>
      </c>
      <c r="P337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7" s="349" t="inlineStr">
        <is>
          <t>基地99层;基地资产包;3D设施;地面系统包;tile_r03_c06;PaletteUV</t>
        </is>
      </c>
      <c r="R337" s="349">
        <f>C337&amp;"|"&amp;D337&amp;"|"&amp;E337&amp;"|"&amp;F337&amp;"|"&amp;LOWER(H337)&amp;"|"&amp;I337</f>
        <v/>
      </c>
      <c r="S337" s="349">
        <f>IF(COUNTIF($R$6:$R$411,R337)&gt;1,"重复","唯一")</f>
        <v/>
      </c>
      <c r="T337" s="349" t="inlineStr">
        <is>
          <t>3bd98c558e72d6c8a8707d35d9f078249c38eb82aa4bb83cfac2c83b292e2ce2</t>
        </is>
      </c>
      <c r="U337" s="349" t="inlineStr">
        <is>
          <t>Codex</t>
        </is>
      </c>
      <c r="V337" s="348" t="n">
        <v>46269</v>
      </c>
      <c r="W337" s="349" t="inlineStr">
        <is>
          <t>用户自制Blender资产</t>
        </is>
      </c>
      <c r="X337" s="375" t="inlineStr">
        <is>
          <t>—</t>
        </is>
      </c>
      <c r="Y337" s="34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8" ht="54" customHeight="1">
      <c r="A338" t="inlineStr">
        <is>
          <t>BPK-BASE99-TILE-R04-C01</t>
        </is>
      </c>
      <c r="B338" t="inlineStr">
        <is>
          <t>基地99层 · 地砖_R04C01_原砖与深化内容</t>
        </is>
      </c>
      <c r="C338" t="inlineStr">
        <is>
          <t>基地资产包</t>
        </is>
      </c>
      <c r="D338" t="inlineStr">
        <is>
          <t>地面系统包</t>
        </is>
      </c>
      <c r="E338" t="inlineStr">
        <is>
          <t>base99_package_tile_r04_c01</t>
        </is>
      </c>
      <c r="F338" t="inlineStr">
        <is>
          <t>package_root</t>
        </is>
      </c>
      <c r="G338" t="inlineStr">
        <is>
          <t>ENV-BASE99-ART-LAYOUT-3D</t>
        </is>
      </c>
      <c r="H338" t="inlineStr">
        <is>
          <t>Top3D / Blender +Y北</t>
        </is>
      </c>
      <c r="I338" t="inlineStr">
        <is>
          <t>static / default</t>
        </is>
      </c>
      <c r="J338" t="inlineStr">
        <is>
          <t>3D-设施 / 基地99层独立资产包</t>
        </is>
      </c>
      <c r="K338" t="inlineStr">
        <is>
          <t>正式美术已接入</t>
        </is>
      </c>
      <c r="L338" t="inlineStr">
        <is>
          <t>P0</t>
        </is>
      </c>
      <c r="M338" t="inlineStr">
        <is>
          <t>v017</t>
        </is>
      </c>
      <c r="N338" s="349" t="inlineStr">
        <is>
          <t>包络 5.000×5.035×0.448m；21 网格；0 灯</t>
        </is>
      </c>
      <c r="O338" s="349" t="inlineStr">
        <is>
          <t>source/art/blender/base_facility_layout/component_packages_v017/floor/tile_r04_c01/asset_manifest.json</t>
        </is>
      </c>
      <c r="P338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8" s="349" t="inlineStr">
        <is>
          <t>基地99层;基地资产包;3D设施;地面系统包;tile_r04_c01;PaletteUV</t>
        </is>
      </c>
      <c r="R338" s="349">
        <f>C338&amp;"|"&amp;D338&amp;"|"&amp;E338&amp;"|"&amp;F338&amp;"|"&amp;LOWER(H338)&amp;"|"&amp;I338</f>
        <v/>
      </c>
      <c r="S338" s="349">
        <f>IF(COUNTIF($R$6:$R$411,R338)&gt;1,"重复","唯一")</f>
        <v/>
      </c>
      <c r="T338" s="349" t="inlineStr">
        <is>
          <t>338cb6b5a8069f9cf9456e6f196187931eb7bc6c96cb4b72d0e8a758a5f15ce9</t>
        </is>
      </c>
      <c r="U338" s="349" t="inlineStr">
        <is>
          <t>Codex</t>
        </is>
      </c>
      <c r="V338" s="348" t="n">
        <v>46269</v>
      </c>
      <c r="W338" s="349" t="inlineStr">
        <is>
          <t>用户自制Blender资产</t>
        </is>
      </c>
      <c r="X338" s="375" t="inlineStr">
        <is>
          <t>—</t>
        </is>
      </c>
      <c r="Y338" s="34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9" ht="54" customHeight="1">
      <c r="A339" t="inlineStr">
        <is>
          <t>BPK-BASE99-TILE-R04-C02</t>
        </is>
      </c>
      <c r="B339" t="inlineStr">
        <is>
          <t>基地99层 · 地砖_R04C02_原砖与深化内容</t>
        </is>
      </c>
      <c r="C339" t="inlineStr">
        <is>
          <t>基地资产包</t>
        </is>
      </c>
      <c r="D339" t="inlineStr">
        <is>
          <t>地面系统包</t>
        </is>
      </c>
      <c r="E339" t="inlineStr">
        <is>
          <t>base99_package_tile_r04_c02</t>
        </is>
      </c>
      <c r="F339" t="inlineStr">
        <is>
          <t>package_root</t>
        </is>
      </c>
      <c r="G339" t="inlineStr">
        <is>
          <t>ENV-BASE99-ART-LAYOUT-3D</t>
        </is>
      </c>
      <c r="H339" t="inlineStr">
        <is>
          <t>Top3D / Blender +Y北</t>
        </is>
      </c>
      <c r="I339" t="inlineStr">
        <is>
          <t>static / default</t>
        </is>
      </c>
      <c r="J339" t="inlineStr">
        <is>
          <t>3D-设施 / 基地99层独立资产包</t>
        </is>
      </c>
      <c r="K339" t="inlineStr">
        <is>
          <t>正式美术已接入</t>
        </is>
      </c>
      <c r="L339" t="inlineStr">
        <is>
          <t>P0</t>
        </is>
      </c>
      <c r="M339" t="inlineStr">
        <is>
          <t>v017</t>
        </is>
      </c>
      <c r="N339" s="349" t="inlineStr">
        <is>
          <t>包络 5.035×5.035×0.468m；40 网格；0 灯</t>
        </is>
      </c>
      <c r="O339" s="349" t="inlineStr">
        <is>
          <t>source/art/blender/base_facility_layout/component_packages_v017/floor/tile_r04_c02/asset_manifest.json</t>
        </is>
      </c>
      <c r="P339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39" s="349" t="inlineStr">
        <is>
          <t>基地99层;基地资产包;3D设施;地面系统包;tile_r04_c02;PaletteUV</t>
        </is>
      </c>
      <c r="R339" s="349">
        <f>C339&amp;"|"&amp;D339&amp;"|"&amp;E339&amp;"|"&amp;F339&amp;"|"&amp;LOWER(H339)&amp;"|"&amp;I339</f>
        <v/>
      </c>
      <c r="S339" s="349">
        <f>IF(COUNTIF($R$6:$R$411,R339)&gt;1,"重复","唯一")</f>
        <v/>
      </c>
      <c r="T339" s="349" t="inlineStr">
        <is>
          <t>5738caf788da722683bdcc4809fa1e6cba51e8537ebacde0e866d01fdac3daf9</t>
        </is>
      </c>
      <c r="U339" s="349" t="inlineStr">
        <is>
          <t>Codex</t>
        </is>
      </c>
      <c r="V339" s="348" t="n">
        <v>46269</v>
      </c>
      <c r="W339" s="349" t="inlineStr">
        <is>
          <t>用户自制Blender资产</t>
        </is>
      </c>
      <c r="X339" s="375" t="inlineStr">
        <is>
          <t>—</t>
        </is>
      </c>
      <c r="Y339" s="34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0" ht="54" customHeight="1">
      <c r="A340" t="inlineStr">
        <is>
          <t>BPK-BASE99-TILE-R04-C03</t>
        </is>
      </c>
      <c r="B340" t="inlineStr">
        <is>
          <t>基地99层 · 地砖_R04C03_原砖与深化内容</t>
        </is>
      </c>
      <c r="C340" t="inlineStr">
        <is>
          <t>基地资产包</t>
        </is>
      </c>
      <c r="D340" t="inlineStr">
        <is>
          <t>地面系统包</t>
        </is>
      </c>
      <c r="E340" t="inlineStr">
        <is>
          <t>base99_package_tile_r04_c03</t>
        </is>
      </c>
      <c r="F340" t="inlineStr">
        <is>
          <t>package_root</t>
        </is>
      </c>
      <c r="G340" t="inlineStr">
        <is>
          <t>ENV-BASE99-ART-LAYOUT-3D</t>
        </is>
      </c>
      <c r="H340" t="inlineStr">
        <is>
          <t>Top3D / Blender +Y北</t>
        </is>
      </c>
      <c r="I340" t="inlineStr">
        <is>
          <t>static / default</t>
        </is>
      </c>
      <c r="J340" t="inlineStr">
        <is>
          <t>3D-设施 / 基地99层独立资产包</t>
        </is>
      </c>
      <c r="K340" t="inlineStr">
        <is>
          <t>正式美术已接入</t>
        </is>
      </c>
      <c r="L340" t="inlineStr">
        <is>
          <t>P0</t>
        </is>
      </c>
      <c r="M340" t="inlineStr">
        <is>
          <t>v017</t>
        </is>
      </c>
      <c r="N340" s="349" t="inlineStr">
        <is>
          <t>包络 5.035×5.035×0.448m；24 网格；0 灯</t>
        </is>
      </c>
      <c r="O340" s="349" t="inlineStr">
        <is>
          <t>source/art/blender/base_facility_layout/component_packages_v017/floor/tile_r04_c03/asset_manifest.json</t>
        </is>
      </c>
      <c r="P340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0" s="349" t="inlineStr">
        <is>
          <t>基地99层;基地资产包;3D设施;地面系统包;tile_r04_c03;PaletteUV</t>
        </is>
      </c>
      <c r="R340" s="349">
        <f>C340&amp;"|"&amp;D340&amp;"|"&amp;E340&amp;"|"&amp;F340&amp;"|"&amp;LOWER(H340)&amp;"|"&amp;I340</f>
        <v/>
      </c>
      <c r="S340" s="349">
        <f>IF(COUNTIF($R$6:$R$411,R340)&gt;1,"重复","唯一")</f>
        <v/>
      </c>
      <c r="T340" s="349" t="inlineStr">
        <is>
          <t>e92eab4472a95829706ee534c3e9f320a201b9111d7b08b8306610af9346a34e</t>
        </is>
      </c>
      <c r="U340" s="349" t="inlineStr">
        <is>
          <t>Codex</t>
        </is>
      </c>
      <c r="V340" s="348" t="n">
        <v>46269</v>
      </c>
      <c r="W340" s="349" t="inlineStr">
        <is>
          <t>用户自制Blender资产</t>
        </is>
      </c>
      <c r="X340" s="375" t="inlineStr">
        <is>
          <t>—</t>
        </is>
      </c>
      <c r="Y340" s="34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1" ht="54" customHeight="1">
      <c r="A341" t="inlineStr">
        <is>
          <t>BPK-BASE99-TILE-R04-C04</t>
        </is>
      </c>
      <c r="B341" t="inlineStr">
        <is>
          <t>基地99层 · 地砖_R04C04_原砖与深化内容</t>
        </is>
      </c>
      <c r="C341" t="inlineStr">
        <is>
          <t>基地资产包</t>
        </is>
      </c>
      <c r="D341" t="inlineStr">
        <is>
          <t>地面系统包</t>
        </is>
      </c>
      <c r="E341" t="inlineStr">
        <is>
          <t>base99_package_tile_r04_c04</t>
        </is>
      </c>
      <c r="F341" t="inlineStr">
        <is>
          <t>package_root</t>
        </is>
      </c>
      <c r="G341" t="inlineStr">
        <is>
          <t>ENV-BASE99-ART-LAYOUT-3D</t>
        </is>
      </c>
      <c r="H341" t="inlineStr">
        <is>
          <t>Top3D / Blender +Y北</t>
        </is>
      </c>
      <c r="I341" t="inlineStr">
        <is>
          <t>static / default</t>
        </is>
      </c>
      <c r="J341" t="inlineStr">
        <is>
          <t>3D-设施 / 基地99层独立资产包</t>
        </is>
      </c>
      <c r="K341" t="inlineStr">
        <is>
          <t>正式美术已接入</t>
        </is>
      </c>
      <c r="L341" t="inlineStr">
        <is>
          <t>P0</t>
        </is>
      </c>
      <c r="M341" t="inlineStr">
        <is>
          <t>v017</t>
        </is>
      </c>
      <c r="N341" s="349" t="inlineStr">
        <is>
          <t>包络 5.035×5.035×0.492m；60 网格；0 灯</t>
        </is>
      </c>
      <c r="O341" s="349" t="inlineStr">
        <is>
          <t>source/art/blender/base_facility_layout/component_packages_v017/floor/tile_r04_c04/asset_manifest.json</t>
        </is>
      </c>
      <c r="P341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1" s="349" t="inlineStr">
        <is>
          <t>基地99层;基地资产包;3D设施;地面系统包;tile_r04_c04;PaletteUV</t>
        </is>
      </c>
      <c r="R341" s="349">
        <f>C341&amp;"|"&amp;D341&amp;"|"&amp;E341&amp;"|"&amp;F341&amp;"|"&amp;LOWER(H341)&amp;"|"&amp;I341</f>
        <v/>
      </c>
      <c r="S341" s="349">
        <f>IF(COUNTIF($R$6:$R$411,R341)&gt;1,"重复","唯一")</f>
        <v/>
      </c>
      <c r="T341" s="349" t="inlineStr">
        <is>
          <t>f6ab2f697f3e2aafc6b30a0dd76d3c29da4ee77f8780327de33633e770db5d87</t>
        </is>
      </c>
      <c r="U341" s="349" t="inlineStr">
        <is>
          <t>Codex</t>
        </is>
      </c>
      <c r="V341" s="348" t="n">
        <v>46269</v>
      </c>
      <c r="W341" s="349" t="inlineStr">
        <is>
          <t>用户自制Blender资产</t>
        </is>
      </c>
      <c r="X341" s="375" t="inlineStr">
        <is>
          <t>—</t>
        </is>
      </c>
      <c r="Y341" s="34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2" ht="54" customHeight="1">
      <c r="A342" t="inlineStr">
        <is>
          <t>BPK-BASE99-TILE-R04-C05</t>
        </is>
      </c>
      <c r="B342" t="inlineStr">
        <is>
          <t>基地99层 · 地砖_R04C05_原砖与深化内容</t>
        </is>
      </c>
      <c r="C342" t="inlineStr">
        <is>
          <t>基地资产包</t>
        </is>
      </c>
      <c r="D342" t="inlineStr">
        <is>
          <t>地面系统包</t>
        </is>
      </c>
      <c r="E342" t="inlineStr">
        <is>
          <t>base99_package_tile_r04_c05</t>
        </is>
      </c>
      <c r="F342" t="inlineStr">
        <is>
          <t>package_root</t>
        </is>
      </c>
      <c r="G342" t="inlineStr">
        <is>
          <t>ENV-BASE99-ART-LAYOUT-3D</t>
        </is>
      </c>
      <c r="H342" t="inlineStr">
        <is>
          <t>Top3D / Blender +Y北</t>
        </is>
      </c>
      <c r="I342" t="inlineStr">
        <is>
          <t>static / default</t>
        </is>
      </c>
      <c r="J342" t="inlineStr">
        <is>
          <t>3D-设施 / 基地99层独立资产包</t>
        </is>
      </c>
      <c r="K342" t="inlineStr">
        <is>
          <t>正式美术已接入</t>
        </is>
      </c>
      <c r="L342" t="inlineStr">
        <is>
          <t>P0</t>
        </is>
      </c>
      <c r="M342" t="inlineStr">
        <is>
          <t>v017</t>
        </is>
      </c>
      <c r="N342" s="349" t="inlineStr">
        <is>
          <t>包络 6.180×5.035×0.493m；61 网格；0 灯</t>
        </is>
      </c>
      <c r="O342" s="349" t="inlineStr">
        <is>
          <t>source/art/blender/base_facility_layout/component_packages_v017/floor/tile_r04_c05/asset_manifest.json</t>
        </is>
      </c>
      <c r="P342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2" s="349" t="inlineStr">
        <is>
          <t>基地99层;基地资产包;3D设施;地面系统包;tile_r04_c05;PaletteUV</t>
        </is>
      </c>
      <c r="R342" s="349">
        <f>C342&amp;"|"&amp;D342&amp;"|"&amp;E342&amp;"|"&amp;F342&amp;"|"&amp;LOWER(H342)&amp;"|"&amp;I342</f>
        <v/>
      </c>
      <c r="S342" s="349">
        <f>IF(COUNTIF($R$6:$R$411,R342)&gt;1,"重复","唯一")</f>
        <v/>
      </c>
      <c r="T342" s="349" t="inlineStr">
        <is>
          <t>122243e9a67680a77dbb6ac79cca9f5ad4546dc81da0dcc154dbe662de1e4391</t>
        </is>
      </c>
      <c r="U342" s="349" t="inlineStr">
        <is>
          <t>Codex</t>
        </is>
      </c>
      <c r="V342" s="348" t="n">
        <v>46269</v>
      </c>
      <c r="W342" s="349" t="inlineStr">
        <is>
          <t>用户自制Blender资产</t>
        </is>
      </c>
      <c r="X342" s="375" t="inlineStr">
        <is>
          <t>—</t>
        </is>
      </c>
      <c r="Y342" s="34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3" ht="54" customHeight="1">
      <c r="A343" t="inlineStr">
        <is>
          <t>BPK-BASE99-TILE-R04-C06</t>
        </is>
      </c>
      <c r="B343" t="inlineStr">
        <is>
          <t>基地99层 · 地砖_R04C06_原砖与深化内容</t>
        </is>
      </c>
      <c r="C343" t="inlineStr">
        <is>
          <t>基地资产包</t>
        </is>
      </c>
      <c r="D343" t="inlineStr">
        <is>
          <t>地面系统包</t>
        </is>
      </c>
      <c r="E343" t="inlineStr">
        <is>
          <t>base99_package_tile_r04_c06</t>
        </is>
      </c>
      <c r="F343" t="inlineStr">
        <is>
          <t>package_root</t>
        </is>
      </c>
      <c r="G343" t="inlineStr">
        <is>
          <t>ENV-BASE99-ART-LAYOUT-3D</t>
        </is>
      </c>
      <c r="H343" t="inlineStr">
        <is>
          <t>Top3D / Blender +Y北</t>
        </is>
      </c>
      <c r="I343" t="inlineStr">
        <is>
          <t>static / default</t>
        </is>
      </c>
      <c r="J343" t="inlineStr">
        <is>
          <t>3D-设施 / 基地99层独立资产包</t>
        </is>
      </c>
      <c r="K343" t="inlineStr">
        <is>
          <t>正式美术已接入</t>
        </is>
      </c>
      <c r="L343" t="inlineStr">
        <is>
          <t>P0</t>
        </is>
      </c>
      <c r="M343" t="inlineStr">
        <is>
          <t>v017</t>
        </is>
      </c>
      <c r="N343" s="349" t="inlineStr">
        <is>
          <t>包络 5.035×5.035×0.468m；39 网格；0 灯</t>
        </is>
      </c>
      <c r="O343" s="349" t="inlineStr">
        <is>
          <t>source/art/blender/base_facility_layout/component_packages_v017/floor/tile_r04_c06/asset_manifest.json</t>
        </is>
      </c>
      <c r="P343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3" s="349" t="inlineStr">
        <is>
          <t>基地99层;基地资产包;3D设施;地面系统包;tile_r04_c06;PaletteUV</t>
        </is>
      </c>
      <c r="R343" s="349">
        <f>C343&amp;"|"&amp;D343&amp;"|"&amp;E343&amp;"|"&amp;F343&amp;"|"&amp;LOWER(H343)&amp;"|"&amp;I343</f>
        <v/>
      </c>
      <c r="S343" s="349">
        <f>IF(COUNTIF($R$6:$R$411,R343)&gt;1,"重复","唯一")</f>
        <v/>
      </c>
      <c r="T343" s="349" t="inlineStr">
        <is>
          <t>596c60a990893cd7afeb8cc3c482c972682c3f42e955d103a4910d5493cf9137</t>
        </is>
      </c>
      <c r="U343" s="349" t="inlineStr">
        <is>
          <t>Codex</t>
        </is>
      </c>
      <c r="V343" s="348" t="n">
        <v>46269</v>
      </c>
      <c r="W343" s="349" t="inlineStr">
        <is>
          <t>用户自制Blender资产</t>
        </is>
      </c>
      <c r="X343" s="375" t="inlineStr">
        <is>
          <t>—</t>
        </is>
      </c>
      <c r="Y343" s="34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4" ht="54" customHeight="1">
      <c r="A344" t="inlineStr">
        <is>
          <t>BPK-BASE99-TILE-R05-C01</t>
        </is>
      </c>
      <c r="B344" t="inlineStr">
        <is>
          <t>基地99层 · 地砖_R05C01_原砖与深化内容</t>
        </is>
      </c>
      <c r="C344" t="inlineStr">
        <is>
          <t>基地资产包</t>
        </is>
      </c>
      <c r="D344" t="inlineStr">
        <is>
          <t>地面系统包</t>
        </is>
      </c>
      <c r="E344" t="inlineStr">
        <is>
          <t>base99_package_tile_r05_c01</t>
        </is>
      </c>
      <c r="F344" t="inlineStr">
        <is>
          <t>package_root</t>
        </is>
      </c>
      <c r="G344" t="inlineStr">
        <is>
          <t>ENV-BASE99-ART-LAYOUT-3D</t>
        </is>
      </c>
      <c r="H344" t="inlineStr">
        <is>
          <t>Top3D / Blender +Y北</t>
        </is>
      </c>
      <c r="I344" t="inlineStr">
        <is>
          <t>static / default</t>
        </is>
      </c>
      <c r="J344" t="inlineStr">
        <is>
          <t>3D-设施 / 基地99层独立资产包</t>
        </is>
      </c>
      <c r="K344" t="inlineStr">
        <is>
          <t>正式美术已接入</t>
        </is>
      </c>
      <c r="L344" t="inlineStr">
        <is>
          <t>P0</t>
        </is>
      </c>
      <c r="M344" t="inlineStr">
        <is>
          <t>v017</t>
        </is>
      </c>
      <c r="N344" s="349" t="inlineStr">
        <is>
          <t>包络 5.000×5.035×0.448m；21 网格；0 灯</t>
        </is>
      </c>
      <c r="O344" s="349" t="inlineStr">
        <is>
          <t>source/art/blender/base_facility_layout/component_packages_v017/floor/tile_r05_c01/asset_manifest.json</t>
        </is>
      </c>
      <c r="P344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4" s="349" t="inlineStr">
        <is>
          <t>基地99层;基地资产包;3D设施;地面系统包;tile_r05_c01;PaletteUV</t>
        </is>
      </c>
      <c r="R344" s="349">
        <f>C344&amp;"|"&amp;D344&amp;"|"&amp;E344&amp;"|"&amp;F344&amp;"|"&amp;LOWER(H344)&amp;"|"&amp;I344</f>
        <v/>
      </c>
      <c r="S344" s="349">
        <f>IF(COUNTIF($R$6:$R$411,R344)&gt;1,"重复","唯一")</f>
        <v/>
      </c>
      <c r="T344" s="349" t="inlineStr">
        <is>
          <t>fe30e9a5abcc4d3e41ff324066e3df45983f1d5f3a9117cb431ecc44c3037b75</t>
        </is>
      </c>
      <c r="U344" s="349" t="inlineStr">
        <is>
          <t>Codex</t>
        </is>
      </c>
      <c r="V344" s="348" t="n">
        <v>46269</v>
      </c>
      <c r="W344" s="349" t="inlineStr">
        <is>
          <t>用户自制Blender资产</t>
        </is>
      </c>
      <c r="X344" s="375" t="inlineStr">
        <is>
          <t>—</t>
        </is>
      </c>
      <c r="Y344" s="34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5" ht="54" customHeight="1">
      <c r="A345" t="inlineStr">
        <is>
          <t>BPK-BASE99-TILE-R05-C02</t>
        </is>
      </c>
      <c r="B345" t="inlineStr">
        <is>
          <t>基地99层 · 地砖_R05C02_原砖与深化内容</t>
        </is>
      </c>
      <c r="C345" t="inlineStr">
        <is>
          <t>基地资产包</t>
        </is>
      </c>
      <c r="D345" t="inlineStr">
        <is>
          <t>地面系统包</t>
        </is>
      </c>
      <c r="E345" t="inlineStr">
        <is>
          <t>base99_package_tile_r05_c02</t>
        </is>
      </c>
      <c r="F345" t="inlineStr">
        <is>
          <t>package_root</t>
        </is>
      </c>
      <c r="G345" t="inlineStr">
        <is>
          <t>ENV-BASE99-ART-LAYOUT-3D</t>
        </is>
      </c>
      <c r="H345" t="inlineStr">
        <is>
          <t>Top3D / Blender +Y北</t>
        </is>
      </c>
      <c r="I345" t="inlineStr">
        <is>
          <t>static / default</t>
        </is>
      </c>
      <c r="J345" t="inlineStr">
        <is>
          <t>3D-设施 / 基地99层独立资产包</t>
        </is>
      </c>
      <c r="K345" t="inlineStr">
        <is>
          <t>正式美术已接入</t>
        </is>
      </c>
      <c r="L345" t="inlineStr">
        <is>
          <t>P0</t>
        </is>
      </c>
      <c r="M345" t="inlineStr">
        <is>
          <t>v017</t>
        </is>
      </c>
      <c r="N345" s="349" t="inlineStr">
        <is>
          <t>包络 5.035×5.035×0.448m；22 网格；0 灯</t>
        </is>
      </c>
      <c r="O345" s="349" t="inlineStr">
        <is>
          <t>source/art/blender/base_facility_layout/component_packages_v017/floor/tile_r05_c02/asset_manifest.json</t>
        </is>
      </c>
      <c r="P345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5" s="349" t="inlineStr">
        <is>
          <t>基地99层;基地资产包;3D设施;地面系统包;tile_r05_c02;PaletteUV</t>
        </is>
      </c>
      <c r="R345" s="349">
        <f>C345&amp;"|"&amp;D345&amp;"|"&amp;E345&amp;"|"&amp;F345&amp;"|"&amp;LOWER(H345)&amp;"|"&amp;I345</f>
        <v/>
      </c>
      <c r="S345" s="349">
        <f>IF(COUNTIF($R$6:$R$411,R345)&gt;1,"重复","唯一")</f>
        <v/>
      </c>
      <c r="T345" s="349" t="inlineStr">
        <is>
          <t>a783b334746644717eb8f55b714b32053f6cb2b99870192db5ba4f30dc5df837</t>
        </is>
      </c>
      <c r="U345" s="349" t="inlineStr">
        <is>
          <t>Codex</t>
        </is>
      </c>
      <c r="V345" s="348" t="n">
        <v>46269</v>
      </c>
      <c r="W345" s="349" t="inlineStr">
        <is>
          <t>用户自制Blender资产</t>
        </is>
      </c>
      <c r="X345" s="375" t="inlineStr">
        <is>
          <t>—</t>
        </is>
      </c>
      <c r="Y345" s="34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6" ht="54" customHeight="1">
      <c r="A346" t="inlineStr">
        <is>
          <t>BPK-BASE99-TILE-R05-C03</t>
        </is>
      </c>
      <c r="B346" t="inlineStr">
        <is>
          <t>基地99层 · 地砖_R05C03_原砖与深化内容</t>
        </is>
      </c>
      <c r="C346" t="inlineStr">
        <is>
          <t>基地资产包</t>
        </is>
      </c>
      <c r="D346" t="inlineStr">
        <is>
          <t>地面系统包</t>
        </is>
      </c>
      <c r="E346" t="inlineStr">
        <is>
          <t>base99_package_tile_r05_c03</t>
        </is>
      </c>
      <c r="F346" t="inlineStr">
        <is>
          <t>package_root</t>
        </is>
      </c>
      <c r="G346" t="inlineStr">
        <is>
          <t>ENV-BASE99-ART-LAYOUT-3D</t>
        </is>
      </c>
      <c r="H346" t="inlineStr">
        <is>
          <t>Top3D / Blender +Y北</t>
        </is>
      </c>
      <c r="I346" t="inlineStr">
        <is>
          <t>static / default</t>
        </is>
      </c>
      <c r="J346" t="inlineStr">
        <is>
          <t>3D-设施 / 基地99层独立资产包</t>
        </is>
      </c>
      <c r="K346" t="inlineStr">
        <is>
          <t>正式美术已接入</t>
        </is>
      </c>
      <c r="L346" t="inlineStr">
        <is>
          <t>P0</t>
        </is>
      </c>
      <c r="M346" t="inlineStr">
        <is>
          <t>v017</t>
        </is>
      </c>
      <c r="N346" s="349" t="inlineStr">
        <is>
          <t>包络 5.035×5.035×0.448m；22 网格；0 灯</t>
        </is>
      </c>
      <c r="O346" s="349" t="inlineStr">
        <is>
          <t>source/art/blender/base_facility_layout/component_packages_v017/floor/tile_r05_c03/asset_manifest.json</t>
        </is>
      </c>
      <c r="P346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6" s="349" t="inlineStr">
        <is>
          <t>基地99层;基地资产包;3D设施;地面系统包;tile_r05_c03;PaletteUV</t>
        </is>
      </c>
      <c r="R346" s="349">
        <f>C346&amp;"|"&amp;D346&amp;"|"&amp;E346&amp;"|"&amp;F346&amp;"|"&amp;LOWER(H346)&amp;"|"&amp;I346</f>
        <v/>
      </c>
      <c r="S346" s="349">
        <f>IF(COUNTIF($R$6:$R$411,R346)&gt;1,"重复","唯一")</f>
        <v/>
      </c>
      <c r="T346" s="349" t="inlineStr">
        <is>
          <t>ee85c0ace45e59a4c21f7d77f77df84a80cc990c8961ffc955d11bc38079b2b0</t>
        </is>
      </c>
      <c r="U346" s="349" t="inlineStr">
        <is>
          <t>Codex</t>
        </is>
      </c>
      <c r="V346" s="348" t="n">
        <v>46269</v>
      </c>
      <c r="W346" s="349" t="inlineStr">
        <is>
          <t>用户自制Blender资产</t>
        </is>
      </c>
      <c r="X346" s="375" t="inlineStr">
        <is>
          <t>—</t>
        </is>
      </c>
      <c r="Y346" s="34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7" ht="54" customHeight="1">
      <c r="A347" t="inlineStr">
        <is>
          <t>BPK-BASE99-TILE-R05-C04</t>
        </is>
      </c>
      <c r="B347" t="inlineStr">
        <is>
          <t>基地99层 · 地砖_R05C04_原砖与深化内容</t>
        </is>
      </c>
      <c r="C347" t="inlineStr">
        <is>
          <t>基地资产包</t>
        </is>
      </c>
      <c r="D347" t="inlineStr">
        <is>
          <t>地面系统包</t>
        </is>
      </c>
      <c r="E347" t="inlineStr">
        <is>
          <t>base99_package_tile_r05_c04</t>
        </is>
      </c>
      <c r="F347" t="inlineStr">
        <is>
          <t>package_root</t>
        </is>
      </c>
      <c r="G347" t="inlineStr">
        <is>
          <t>ENV-BASE99-ART-LAYOUT-3D</t>
        </is>
      </c>
      <c r="H347" t="inlineStr">
        <is>
          <t>Top3D / Blender +Y北</t>
        </is>
      </c>
      <c r="I347" t="inlineStr">
        <is>
          <t>static / default</t>
        </is>
      </c>
      <c r="J347" t="inlineStr">
        <is>
          <t>3D-设施 / 基地99层独立资产包</t>
        </is>
      </c>
      <c r="K347" t="inlineStr">
        <is>
          <t>正式美术已接入</t>
        </is>
      </c>
      <c r="L347" t="inlineStr">
        <is>
          <t>P0</t>
        </is>
      </c>
      <c r="M347" t="inlineStr">
        <is>
          <t>v017</t>
        </is>
      </c>
      <c r="N347" s="349" t="inlineStr">
        <is>
          <t>包络 5.035×5.035×0.448m；22 网格；0 灯</t>
        </is>
      </c>
      <c r="O347" s="349" t="inlineStr">
        <is>
          <t>source/art/blender/base_facility_layout/component_packages_v017/floor/tile_r05_c04/asset_manifest.json</t>
        </is>
      </c>
      <c r="P347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7" s="349" t="inlineStr">
        <is>
          <t>基地99层;基地资产包;3D设施;地面系统包;tile_r05_c04;PaletteUV</t>
        </is>
      </c>
      <c r="R347" s="349">
        <f>C347&amp;"|"&amp;D347&amp;"|"&amp;E347&amp;"|"&amp;F347&amp;"|"&amp;LOWER(H347)&amp;"|"&amp;I347</f>
        <v/>
      </c>
      <c r="S347" s="349">
        <f>IF(COUNTIF($R$6:$R$411,R347)&gt;1,"重复","唯一")</f>
        <v/>
      </c>
      <c r="T347" s="349" t="inlineStr">
        <is>
          <t>5d65291670394b9a0d6d15e84770b965a7f9150253bf28a2717f52f5ab87a1ac</t>
        </is>
      </c>
      <c r="U347" s="349" t="inlineStr">
        <is>
          <t>Codex</t>
        </is>
      </c>
      <c r="V347" s="348" t="n">
        <v>46269</v>
      </c>
      <c r="W347" s="349" t="inlineStr">
        <is>
          <t>用户自制Blender资产</t>
        </is>
      </c>
      <c r="X347" s="375" t="inlineStr">
        <is>
          <t>—</t>
        </is>
      </c>
      <c r="Y347" s="34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8" ht="54" customHeight="1">
      <c r="A348" t="inlineStr">
        <is>
          <t>BPK-BASE99-TILE-R05-C05</t>
        </is>
      </c>
      <c r="B348" t="inlineStr">
        <is>
          <t>基地99层 · 地砖_R05C05_原砖与深化内容</t>
        </is>
      </c>
      <c r="C348" t="inlineStr">
        <is>
          <t>基地资产包</t>
        </is>
      </c>
      <c r="D348" t="inlineStr">
        <is>
          <t>地面系统包</t>
        </is>
      </c>
      <c r="E348" t="inlineStr">
        <is>
          <t>base99_package_tile_r05_c05</t>
        </is>
      </c>
      <c r="F348" t="inlineStr">
        <is>
          <t>package_root</t>
        </is>
      </c>
      <c r="G348" t="inlineStr">
        <is>
          <t>ENV-BASE99-ART-LAYOUT-3D</t>
        </is>
      </c>
      <c r="H348" t="inlineStr">
        <is>
          <t>Top3D / Blender +Y北</t>
        </is>
      </c>
      <c r="I348" t="inlineStr">
        <is>
          <t>static / default</t>
        </is>
      </c>
      <c r="J348" t="inlineStr">
        <is>
          <t>3D-设施 / 基地99层独立资产包</t>
        </is>
      </c>
      <c r="K348" t="inlineStr">
        <is>
          <t>正式美术已接入</t>
        </is>
      </c>
      <c r="L348" t="inlineStr">
        <is>
          <t>P0</t>
        </is>
      </c>
      <c r="M348" t="inlineStr">
        <is>
          <t>v017</t>
        </is>
      </c>
      <c r="N348" s="349" t="inlineStr">
        <is>
          <t>包络 5.035×5.035×0.448m；22 网格；0 灯</t>
        </is>
      </c>
      <c r="O348" s="349" t="inlineStr">
        <is>
          <t>source/art/blender/base_facility_layout/component_packages_v017/floor/tile_r05_c05/asset_manifest.json</t>
        </is>
      </c>
      <c r="P348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8" s="349" t="inlineStr">
        <is>
          <t>基地99层;基地资产包;3D设施;地面系统包;tile_r05_c05;PaletteUV</t>
        </is>
      </c>
      <c r="R348" s="349">
        <f>C348&amp;"|"&amp;D348&amp;"|"&amp;E348&amp;"|"&amp;F348&amp;"|"&amp;LOWER(H348)&amp;"|"&amp;I348</f>
        <v/>
      </c>
      <c r="S348" s="349">
        <f>IF(COUNTIF($R$6:$R$411,R348)&gt;1,"重复","唯一")</f>
        <v/>
      </c>
      <c r="T348" s="349" t="inlineStr">
        <is>
          <t>8bd979af8e0fc07fa25bc9c66c204ea64a50e978fb2d09d4b12a5a4a5d5604ce</t>
        </is>
      </c>
      <c r="U348" s="349" t="inlineStr">
        <is>
          <t>Codex</t>
        </is>
      </c>
      <c r="V348" s="348" t="n">
        <v>46269</v>
      </c>
      <c r="W348" s="349" t="inlineStr">
        <is>
          <t>用户自制Blender资产</t>
        </is>
      </c>
      <c r="X348" s="375" t="inlineStr">
        <is>
          <t>—</t>
        </is>
      </c>
      <c r="Y348" s="34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9" ht="54" customHeight="1">
      <c r="A349" t="inlineStr">
        <is>
          <t>BPK-BASE99-TILE-R05-C06</t>
        </is>
      </c>
      <c r="B349" t="inlineStr">
        <is>
          <t>基地99层 · 地砖_R05C06_原砖与深化内容</t>
        </is>
      </c>
      <c r="C349" t="inlineStr">
        <is>
          <t>基地资产包</t>
        </is>
      </c>
      <c r="D349" t="inlineStr">
        <is>
          <t>地面系统包</t>
        </is>
      </c>
      <c r="E349" t="inlineStr">
        <is>
          <t>base99_package_tile_r05_c06</t>
        </is>
      </c>
      <c r="F349" t="inlineStr">
        <is>
          <t>package_root</t>
        </is>
      </c>
      <c r="G349" t="inlineStr">
        <is>
          <t>ENV-BASE99-ART-LAYOUT-3D</t>
        </is>
      </c>
      <c r="H349" t="inlineStr">
        <is>
          <t>Top3D / Blender +Y北</t>
        </is>
      </c>
      <c r="I349" t="inlineStr">
        <is>
          <t>static / default</t>
        </is>
      </c>
      <c r="J349" t="inlineStr">
        <is>
          <t>3D-设施 / 基地99层独立资产包</t>
        </is>
      </c>
      <c r="K349" t="inlineStr">
        <is>
          <t>正式美术已接入</t>
        </is>
      </c>
      <c r="L349" t="inlineStr">
        <is>
          <t>P0</t>
        </is>
      </c>
      <c r="M349" t="inlineStr">
        <is>
          <t>v017</t>
        </is>
      </c>
      <c r="N349" s="349" t="inlineStr">
        <is>
          <t>包络 5.035×5.035×0.448m；22 网格；0 灯</t>
        </is>
      </c>
      <c r="O349" s="349" t="inlineStr">
        <is>
          <t>source/art/blender/base_facility_layout/component_packages_v017/floor/tile_r05_c06/asset_manifest.json</t>
        </is>
      </c>
      <c r="P349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49" s="349" t="inlineStr">
        <is>
          <t>基地99层;基地资产包;3D设施;地面系统包;tile_r05_c06;PaletteUV</t>
        </is>
      </c>
      <c r="R349" s="349">
        <f>C349&amp;"|"&amp;D349&amp;"|"&amp;E349&amp;"|"&amp;F349&amp;"|"&amp;LOWER(H349)&amp;"|"&amp;I349</f>
        <v/>
      </c>
      <c r="S349" s="349">
        <f>IF(COUNTIF($R$6:$R$411,R349)&gt;1,"重复","唯一")</f>
        <v/>
      </c>
      <c r="T349" s="349" t="inlineStr">
        <is>
          <t>db7dfa24d8238709eb3e434f2451dc1dab734e81f6b76a1c162a946a10fe6c22</t>
        </is>
      </c>
      <c r="U349" s="349" t="inlineStr">
        <is>
          <t>Codex</t>
        </is>
      </c>
      <c r="V349" s="348" t="n">
        <v>46269</v>
      </c>
      <c r="W349" s="349" t="inlineStr">
        <is>
          <t>用户自制Blender资产</t>
        </is>
      </c>
      <c r="X349" s="375" t="inlineStr">
        <is>
          <t>—</t>
        </is>
      </c>
      <c r="Y349" s="34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0" ht="54" customHeight="1">
      <c r="A350" t="inlineStr">
        <is>
          <t>BPK-BASE99-TILE-R06-C01</t>
        </is>
      </c>
      <c r="B350" t="inlineStr">
        <is>
          <t>基地99层 · 地砖_R06C01_原砖与深化内容</t>
        </is>
      </c>
      <c r="C350" t="inlineStr">
        <is>
          <t>基地资产包</t>
        </is>
      </c>
      <c r="D350" t="inlineStr">
        <is>
          <t>地面系统包</t>
        </is>
      </c>
      <c r="E350" t="inlineStr">
        <is>
          <t>base99_package_tile_r06_c01</t>
        </is>
      </c>
      <c r="F350" t="inlineStr">
        <is>
          <t>package_root</t>
        </is>
      </c>
      <c r="G350" t="inlineStr">
        <is>
          <t>ENV-BASE99-ART-LAYOUT-3D</t>
        </is>
      </c>
      <c r="H350" t="inlineStr">
        <is>
          <t>Top3D / Blender +Y北</t>
        </is>
      </c>
      <c r="I350" t="inlineStr">
        <is>
          <t>static / default</t>
        </is>
      </c>
      <c r="J350" t="inlineStr">
        <is>
          <t>3D-设施 / 基地99层独立资产包</t>
        </is>
      </c>
      <c r="K350" t="inlineStr">
        <is>
          <t>正式美术已接入</t>
        </is>
      </c>
      <c r="L350" t="inlineStr">
        <is>
          <t>P0</t>
        </is>
      </c>
      <c r="M350" t="inlineStr">
        <is>
          <t>v017</t>
        </is>
      </c>
      <c r="N350" s="349" t="inlineStr">
        <is>
          <t>包络 5.000×5.035×0.448m；21 网格；0 灯</t>
        </is>
      </c>
      <c r="O350" s="349" t="inlineStr">
        <is>
          <t>source/art/blender/base_facility_layout/component_packages_v017/floor/tile_r06_c01/asset_manifest.json</t>
        </is>
      </c>
      <c r="P350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50" s="349" t="inlineStr">
        <is>
          <t>基地99层;基地资产包;3D设施;地面系统包;tile_r06_c01;PaletteUV</t>
        </is>
      </c>
      <c r="R350" s="349">
        <f>C350&amp;"|"&amp;D350&amp;"|"&amp;E350&amp;"|"&amp;F350&amp;"|"&amp;LOWER(H350)&amp;"|"&amp;I350</f>
        <v/>
      </c>
      <c r="S350" s="349">
        <f>IF(COUNTIF($R$6:$R$411,R350)&gt;1,"重复","唯一")</f>
        <v/>
      </c>
      <c r="T350" s="349" t="inlineStr">
        <is>
          <t>12bca314b55122e9c2f6585400641c5da3ab7928943f792e0a56f60d1359f381</t>
        </is>
      </c>
      <c r="U350" s="349" t="inlineStr">
        <is>
          <t>Codex</t>
        </is>
      </c>
      <c r="V350" s="348" t="n">
        <v>46269</v>
      </c>
      <c r="W350" s="349" t="inlineStr">
        <is>
          <t>用户自制Blender资产</t>
        </is>
      </c>
      <c r="X350" s="375" t="inlineStr">
        <is>
          <t>—</t>
        </is>
      </c>
      <c r="Y350" s="34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1" ht="54" customHeight="1">
      <c r="A351" t="inlineStr">
        <is>
          <t>BPK-BASE99-TILE-R06-C02</t>
        </is>
      </c>
      <c r="B351" t="inlineStr">
        <is>
          <t>基地99层 · 地砖_R06C02_原砖与深化内容</t>
        </is>
      </c>
      <c r="C351" t="inlineStr">
        <is>
          <t>基地资产包</t>
        </is>
      </c>
      <c r="D351" t="inlineStr">
        <is>
          <t>地面系统包</t>
        </is>
      </c>
      <c r="E351" t="inlineStr">
        <is>
          <t>base99_package_tile_r06_c02</t>
        </is>
      </c>
      <c r="F351" t="inlineStr">
        <is>
          <t>package_root</t>
        </is>
      </c>
      <c r="G351" t="inlineStr">
        <is>
          <t>ENV-BASE99-ART-LAYOUT-3D</t>
        </is>
      </c>
      <c r="H351" t="inlineStr">
        <is>
          <t>Top3D / Blender +Y北</t>
        </is>
      </c>
      <c r="I351" t="inlineStr">
        <is>
          <t>static / default</t>
        </is>
      </c>
      <c r="J351" t="inlineStr">
        <is>
          <t>3D-设施 / 基地99层独立资产包</t>
        </is>
      </c>
      <c r="K351" t="inlineStr">
        <is>
          <t>正式美术已接入</t>
        </is>
      </c>
      <c r="L351" t="inlineStr">
        <is>
          <t>P0</t>
        </is>
      </c>
      <c r="M351" t="inlineStr">
        <is>
          <t>v017</t>
        </is>
      </c>
      <c r="N351" s="349" t="inlineStr">
        <is>
          <t>包络 5.035×5.035×0.448m；22 网格；0 灯</t>
        </is>
      </c>
      <c r="O351" s="349" t="inlineStr">
        <is>
          <t>source/art/blender/base_facility_layout/component_packages_v017/floor/tile_r06_c02/asset_manifest.json</t>
        </is>
      </c>
      <c r="P351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51" s="349" t="inlineStr">
        <is>
          <t>基地99层;基地资产包;3D设施;地面系统包;tile_r06_c02;PaletteUV</t>
        </is>
      </c>
      <c r="R351" s="349">
        <f>C351&amp;"|"&amp;D351&amp;"|"&amp;E351&amp;"|"&amp;F351&amp;"|"&amp;LOWER(H351)&amp;"|"&amp;I351</f>
        <v/>
      </c>
      <c r="S351" s="349">
        <f>IF(COUNTIF($R$6:$R$411,R351)&gt;1,"重复","唯一")</f>
        <v/>
      </c>
      <c r="T351" s="349" t="inlineStr">
        <is>
          <t>8b1ebc38d0240518741c35f0e9cb711684e50e794e1b1332f2f954ec1961dff9</t>
        </is>
      </c>
      <c r="U351" s="349" t="inlineStr">
        <is>
          <t>Codex</t>
        </is>
      </c>
      <c r="V351" s="348" t="n">
        <v>46269</v>
      </c>
      <c r="W351" s="349" t="inlineStr">
        <is>
          <t>用户自制Blender资产</t>
        </is>
      </c>
      <c r="X351" s="375" t="inlineStr">
        <is>
          <t>—</t>
        </is>
      </c>
      <c r="Y351" s="34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2" ht="54" customHeight="1">
      <c r="A352" t="inlineStr">
        <is>
          <t>BPK-BASE99-TILE-R06-C03</t>
        </is>
      </c>
      <c r="B352" t="inlineStr">
        <is>
          <t>基地99层 · 地砖_R06C03_原砖与深化内容</t>
        </is>
      </c>
      <c r="C352" t="inlineStr">
        <is>
          <t>基地资产包</t>
        </is>
      </c>
      <c r="D352" t="inlineStr">
        <is>
          <t>地面系统包</t>
        </is>
      </c>
      <c r="E352" t="inlineStr">
        <is>
          <t>base99_package_tile_r06_c03</t>
        </is>
      </c>
      <c r="F352" t="inlineStr">
        <is>
          <t>package_root</t>
        </is>
      </c>
      <c r="G352" t="inlineStr">
        <is>
          <t>ENV-BASE99-ART-LAYOUT-3D</t>
        </is>
      </c>
      <c r="H352" t="inlineStr">
        <is>
          <t>Top3D / Blender +Y北</t>
        </is>
      </c>
      <c r="I352" t="inlineStr">
        <is>
          <t>static / default</t>
        </is>
      </c>
      <c r="J352" t="inlineStr">
        <is>
          <t>3D-设施 / 基地99层独立资产包</t>
        </is>
      </c>
      <c r="K352" t="inlineStr">
        <is>
          <t>正式美术已接入</t>
        </is>
      </c>
      <c r="L352" t="inlineStr">
        <is>
          <t>P0</t>
        </is>
      </c>
      <c r="M352" t="inlineStr">
        <is>
          <t>v017</t>
        </is>
      </c>
      <c r="N352" s="349" t="inlineStr">
        <is>
          <t>包络 5.035×5.035×0.448m；22 网格；0 灯</t>
        </is>
      </c>
      <c r="O352" s="349" t="inlineStr">
        <is>
          <t>source/art/blender/base_facility_layout/component_packages_v017/floor/tile_r06_c03/asset_manifest.json</t>
        </is>
      </c>
      <c r="P352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52" s="349" t="inlineStr">
        <is>
          <t>基地99层;基地资产包;3D设施;地面系统包;tile_r06_c03;PaletteUV</t>
        </is>
      </c>
      <c r="R352" s="349">
        <f>C352&amp;"|"&amp;D352&amp;"|"&amp;E352&amp;"|"&amp;F352&amp;"|"&amp;LOWER(H352)&amp;"|"&amp;I352</f>
        <v/>
      </c>
      <c r="S352" s="349">
        <f>IF(COUNTIF($R$6:$R$411,R352)&gt;1,"重复","唯一")</f>
        <v/>
      </c>
      <c r="T352" s="349" t="inlineStr">
        <is>
          <t>359eb33a0a69757f863f293df00529484ababa1ffb9694fd869d4d89be9f7195</t>
        </is>
      </c>
      <c r="U352" s="349" t="inlineStr">
        <is>
          <t>Codex</t>
        </is>
      </c>
      <c r="V352" s="348" t="n">
        <v>46269</v>
      </c>
      <c r="W352" s="349" t="inlineStr">
        <is>
          <t>用户自制Blender资产</t>
        </is>
      </c>
      <c r="X352" s="375" t="inlineStr">
        <is>
          <t>—</t>
        </is>
      </c>
      <c r="Y352" s="34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3" ht="54" customHeight="1">
      <c r="A353" t="inlineStr">
        <is>
          <t>BPK-BASE99-TILE-R06-C04</t>
        </is>
      </c>
      <c r="B353" t="inlineStr">
        <is>
          <t>基地99层 · 地砖_R06C04_原砖与深化内容</t>
        </is>
      </c>
      <c r="C353" t="inlineStr">
        <is>
          <t>基地资产包</t>
        </is>
      </c>
      <c r="D353" t="inlineStr">
        <is>
          <t>地面系统包</t>
        </is>
      </c>
      <c r="E353" t="inlineStr">
        <is>
          <t>base99_package_tile_r06_c04</t>
        </is>
      </c>
      <c r="F353" t="inlineStr">
        <is>
          <t>package_root</t>
        </is>
      </c>
      <c r="G353" t="inlineStr">
        <is>
          <t>ENV-BASE99-ART-LAYOUT-3D</t>
        </is>
      </c>
      <c r="H353" t="inlineStr">
        <is>
          <t>Top3D / Blender +Y北</t>
        </is>
      </c>
      <c r="I353" t="inlineStr">
        <is>
          <t>static / default</t>
        </is>
      </c>
      <c r="J353" t="inlineStr">
        <is>
          <t>3D-设施 / 基地99层独立资产包</t>
        </is>
      </c>
      <c r="K353" t="inlineStr">
        <is>
          <t>正式美术已接入</t>
        </is>
      </c>
      <c r="L353" t="inlineStr">
        <is>
          <t>P0</t>
        </is>
      </c>
      <c r="M353" t="inlineStr">
        <is>
          <t>v017</t>
        </is>
      </c>
      <c r="N353" s="349" t="inlineStr">
        <is>
          <t>包络 5.035×5.035×0.448m；22 网格；0 灯</t>
        </is>
      </c>
      <c r="O353" s="349" t="inlineStr">
        <is>
          <t>source/art/blender/base_facility_layout/component_packages_v017/floor/tile_r06_c04/asset_manifest.json</t>
        </is>
      </c>
      <c r="P353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53" s="349" t="inlineStr">
        <is>
          <t>基地99层;基地资产包;3D设施;地面系统包;tile_r06_c04;PaletteUV</t>
        </is>
      </c>
      <c r="R353" s="349">
        <f>C353&amp;"|"&amp;D353&amp;"|"&amp;E353&amp;"|"&amp;F353&amp;"|"&amp;LOWER(H353)&amp;"|"&amp;I353</f>
        <v/>
      </c>
      <c r="S353" s="349">
        <f>IF(COUNTIF($R$6:$R$411,R353)&gt;1,"重复","唯一")</f>
        <v/>
      </c>
      <c r="T353" s="349" t="inlineStr">
        <is>
          <t>d0f90f5fbe0909fa39a9321863136f93f88807b3efeac80976fa1303172ea452</t>
        </is>
      </c>
      <c r="U353" s="349" t="inlineStr">
        <is>
          <t>Codex</t>
        </is>
      </c>
      <c r="V353" s="348" t="n">
        <v>46269</v>
      </c>
      <c r="W353" s="349" t="inlineStr">
        <is>
          <t>用户自制Blender资产</t>
        </is>
      </c>
      <c r="X353" s="375" t="inlineStr">
        <is>
          <t>—</t>
        </is>
      </c>
      <c r="Y353" s="34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4" ht="54" customHeight="1">
      <c r="A354" t="inlineStr">
        <is>
          <t>BPK-BASE99-TILE-R06-C05</t>
        </is>
      </c>
      <c r="B354" t="inlineStr">
        <is>
          <t>基地99层 · 地砖_R06C05_原砖与深化内容</t>
        </is>
      </c>
      <c r="C354" t="inlineStr">
        <is>
          <t>基地资产包</t>
        </is>
      </c>
      <c r="D354" t="inlineStr">
        <is>
          <t>地面系统包</t>
        </is>
      </c>
      <c r="E354" t="inlineStr">
        <is>
          <t>base99_package_tile_r06_c05</t>
        </is>
      </c>
      <c r="F354" t="inlineStr">
        <is>
          <t>package_root</t>
        </is>
      </c>
      <c r="G354" t="inlineStr">
        <is>
          <t>ENV-BASE99-ART-LAYOUT-3D</t>
        </is>
      </c>
      <c r="H354" t="inlineStr">
        <is>
          <t>Top3D / Blender +Y北</t>
        </is>
      </c>
      <c r="I354" t="inlineStr">
        <is>
          <t>static / default</t>
        </is>
      </c>
      <c r="J354" t="inlineStr">
        <is>
          <t>3D-设施 / 基地99层独立资产包</t>
        </is>
      </c>
      <c r="K354" t="inlineStr">
        <is>
          <t>正式美术已接入</t>
        </is>
      </c>
      <c r="L354" t="inlineStr">
        <is>
          <t>P0</t>
        </is>
      </c>
      <c r="M354" t="inlineStr">
        <is>
          <t>v017</t>
        </is>
      </c>
      <c r="N354" s="349" t="inlineStr">
        <is>
          <t>包络 5.035×5.035×0.448m；22 网格；0 灯</t>
        </is>
      </c>
      <c r="O354" s="349" t="inlineStr">
        <is>
          <t>source/art/blender/base_facility_layout/component_packages_v017/floor/tile_r06_c05/asset_manifest.json</t>
        </is>
      </c>
      <c r="P354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54" s="349" t="inlineStr">
        <is>
          <t>基地99层;基地资产包;3D设施;地面系统包;tile_r06_c05;PaletteUV</t>
        </is>
      </c>
      <c r="R354" s="349">
        <f>C354&amp;"|"&amp;D354&amp;"|"&amp;E354&amp;"|"&amp;F354&amp;"|"&amp;LOWER(H354)&amp;"|"&amp;I354</f>
        <v/>
      </c>
      <c r="S354" s="349">
        <f>IF(COUNTIF($R$6:$R$411,R354)&gt;1,"重复","唯一")</f>
        <v/>
      </c>
      <c r="T354" s="349" t="inlineStr">
        <is>
          <t>c8eb5578976bd3a9f6b731e4624430fdccbd9207ef794650216332e6d05be6d8</t>
        </is>
      </c>
      <c r="U354" s="349" t="inlineStr">
        <is>
          <t>Codex</t>
        </is>
      </c>
      <c r="V354" s="348" t="n">
        <v>46269</v>
      </c>
      <c r="W354" s="349" t="inlineStr">
        <is>
          <t>用户自制Blender资产</t>
        </is>
      </c>
      <c r="X354" s="375" t="inlineStr">
        <is>
          <t>—</t>
        </is>
      </c>
      <c r="Y354" s="34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5" ht="54" customHeight="1">
      <c r="A355" t="inlineStr">
        <is>
          <t>BPK-BASE99-TILE-R06-C06</t>
        </is>
      </c>
      <c r="B355" t="inlineStr">
        <is>
          <t>基地99层 · 地砖_R06C06_原砖与深化内容</t>
        </is>
      </c>
      <c r="C355" t="inlineStr">
        <is>
          <t>基地资产包</t>
        </is>
      </c>
      <c r="D355" t="inlineStr">
        <is>
          <t>地面系统包</t>
        </is>
      </c>
      <c r="E355" t="inlineStr">
        <is>
          <t>base99_package_tile_r06_c06</t>
        </is>
      </c>
      <c r="F355" t="inlineStr">
        <is>
          <t>package_root</t>
        </is>
      </c>
      <c r="G355" t="inlineStr">
        <is>
          <t>ENV-BASE99-ART-LAYOUT-3D</t>
        </is>
      </c>
      <c r="H355" t="inlineStr">
        <is>
          <t>Top3D / Blender +Y北</t>
        </is>
      </c>
      <c r="I355" t="inlineStr">
        <is>
          <t>static / default</t>
        </is>
      </c>
      <c r="J355" t="inlineStr">
        <is>
          <t>3D-设施 / 基地99层独立资产包</t>
        </is>
      </c>
      <c r="K355" t="inlineStr">
        <is>
          <t>正式美术已接入</t>
        </is>
      </c>
      <c r="L355" t="inlineStr">
        <is>
          <t>P0</t>
        </is>
      </c>
      <c r="M355" t="inlineStr">
        <is>
          <t>v017</t>
        </is>
      </c>
      <c r="N355" s="349" t="inlineStr">
        <is>
          <t>包络 5.035×5.035×0.448m；22 网格；0 灯</t>
        </is>
      </c>
      <c r="O355" s="349" t="inlineStr">
        <is>
          <t>source/art/blender/base_facility_layout/component_packages_v017/floor/tile_r06_c06/asset_manifest.json</t>
        </is>
      </c>
      <c r="P355" s="349" t="inlineStr">
        <is>
          <t>source/art/blender/base_facility_layout/base_facility_runtime_layout_hq_v020.blend（Blender v020）；assets/art/environments/base_facility_3d/components/env_base99_floor_full_replacement_v021/env_base99_floor_full_replacement_v021_runtime_manifest_v003.json</t>
        </is>
      </c>
      <c r="Q355" s="349" t="inlineStr">
        <is>
          <t>基地99层;基地资产包;3D设施;地面系统包;tile_r06_c06;PaletteUV</t>
        </is>
      </c>
      <c r="R355" s="349">
        <f>C355&amp;"|"&amp;D355&amp;"|"&amp;E355&amp;"|"&amp;F355&amp;"|"&amp;LOWER(H355)&amp;"|"&amp;I355</f>
        <v/>
      </c>
      <c r="S355" s="349">
        <f>IF(COUNTIF($R$6:$R$411,R355)&gt;1,"重复","唯一")</f>
        <v/>
      </c>
      <c r="T355" s="349" t="inlineStr">
        <is>
          <t>8ae804eb26047b9415efbe30c008e8e26e76d9ef0bec857677b1032028cfc780</t>
        </is>
      </c>
      <c r="U355" s="349" t="inlineStr">
        <is>
          <t>Codex</t>
        </is>
      </c>
      <c r="V355" s="348" t="n">
        <v>46269</v>
      </c>
      <c r="W355" s="349" t="inlineStr">
        <is>
          <t>用户自制Blender资产</t>
        </is>
      </c>
      <c r="X355" s="375" t="inlineStr">
        <is>
          <t>—</t>
        </is>
      </c>
      <c r="Y355" s="34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6" ht="54" customHeight="1">
      <c r="A356" t="inlineStr">
        <is>
          <t>BPK-BASE99-LOFT-BACKWALL-FUNCTION-PANEL-SYSTEM</t>
        </is>
      </c>
      <c r="B356" t="inlineStr">
        <is>
          <t>基地99层 · 二楼后墙功能面板系统</t>
        </is>
      </c>
      <c r="C356" t="inlineStr">
        <is>
          <t>基地资产包</t>
        </is>
      </c>
      <c r="D356" t="inlineStr">
        <is>
          <t>二楼/阁楼设施包</t>
        </is>
      </c>
      <c r="E356" t="inlineStr">
        <is>
          <t>base99_package_loft_backwall_function_panel_system</t>
        </is>
      </c>
      <c r="F356" t="inlineStr">
        <is>
          <t>package_root</t>
        </is>
      </c>
      <c r="G356" t="inlineStr">
        <is>
          <t>ENV-BASE99-ART-LAYOUT-3D</t>
        </is>
      </c>
      <c r="H356" t="inlineStr">
        <is>
          <t>Top3D / Blender +Y北</t>
        </is>
      </c>
      <c r="I356" t="inlineStr">
        <is>
          <t>static / default</t>
        </is>
      </c>
      <c r="J356" t="inlineStr">
        <is>
          <t>3D-设施 / 基地99层独立资产包</t>
        </is>
      </c>
      <c r="K356" t="inlineStr">
        <is>
          <t>Blender源已完成</t>
        </is>
      </c>
      <c r="L356" t="inlineStr">
        <is>
          <t>P1</t>
        </is>
      </c>
      <c r="M356" t="inlineStr">
        <is>
          <t>v017</t>
        </is>
      </c>
      <c r="N356" s="349" t="inlineStr">
        <is>
          <t>包络 28.800×0.292×2.750m；77 网格；0 灯</t>
        </is>
      </c>
      <c r="O356" s="349" t="inlineStr">
        <is>
          <t>source/art/blender/base_facility_layout/component_packages_v017/loft/loft_backwall_function_panel_system/asset_manifest.json</t>
        </is>
      </c>
      <c r="P356" s="349" t="inlineStr">
        <is>
          <t>source/art/blender/base_facility_layout/base_facility_runtime_layout_hq_v017.blend; outputs/verification/base_facility_runtime_layout_hq_v017/base_facility_component_catalog_v017.json</t>
        </is>
      </c>
      <c r="Q356" s="349" t="inlineStr">
        <is>
          <t>基地99层;基地资产包;3D设施;二楼/阁楼设施包;loft_backwall_function_panel_system;PaletteUV</t>
        </is>
      </c>
      <c r="R356" s="349">
        <f>C356&amp;"|"&amp;D356&amp;"|"&amp;E356&amp;"|"&amp;F356&amp;"|"&amp;LOWER(H356)&amp;"|"&amp;I356</f>
        <v/>
      </c>
      <c r="S356" s="349">
        <f>IF(COUNTIF($R$6:$R$411,R356)&gt;1,"重复","唯一")</f>
        <v/>
      </c>
      <c r="T356" s="349" t="inlineStr">
        <is>
          <t>e19e912899716a1946613ca8b36cad17279a125e88ba3759d49066b46b623fca</t>
        </is>
      </c>
      <c r="U356" s="349" t="inlineStr">
        <is>
          <t>Codex</t>
        </is>
      </c>
      <c r="V356" s="348" t="n">
        <v>46269</v>
      </c>
      <c r="W356" s="349" t="inlineStr">
        <is>
          <t>用户自制Blender资产</t>
        </is>
      </c>
      <c r="X356" s="375" t="inlineStr">
        <is>
          <t>51</t>
        </is>
      </c>
      <c r="Y356" s="34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357" ht="54" customHeight="1">
      <c r="A357" t="inlineStr">
        <is>
          <t>BPK-BASE99-LOFT-BACKWALL-SERVICES</t>
        </is>
      </c>
      <c r="B357" t="inlineStr">
        <is>
          <t>基地99层 · 二楼后墙服务管线与应急盒</t>
        </is>
      </c>
      <c r="C357" t="inlineStr">
        <is>
          <t>基地资产包</t>
        </is>
      </c>
      <c r="D357" t="inlineStr">
        <is>
          <t>二楼/阁楼设施包</t>
        </is>
      </c>
      <c r="E357" t="inlineStr">
        <is>
          <t>base99_package_loft_backwall_services</t>
        </is>
      </c>
      <c r="F357" t="inlineStr">
        <is>
          <t>package_root</t>
        </is>
      </c>
      <c r="G357" t="inlineStr">
        <is>
          <t>ENV-BASE99-ART-LAYOUT-3D</t>
        </is>
      </c>
      <c r="H357" t="inlineStr">
        <is>
          <t>Top3D / Blender +Y北</t>
        </is>
      </c>
      <c r="I357" t="inlineStr">
        <is>
          <t>static / fixture_light</t>
        </is>
      </c>
      <c r="J357" t="inlineStr">
        <is>
          <t>3D-设施 / 基地99层独立资产包</t>
        </is>
      </c>
      <c r="K357" t="inlineStr">
        <is>
          <t>Blender源已完成</t>
        </is>
      </c>
      <c r="L357" t="inlineStr">
        <is>
          <t>P1</t>
        </is>
      </c>
      <c r="M357" t="inlineStr">
        <is>
          <t>v017</t>
        </is>
      </c>
      <c r="N357" s="349" t="inlineStr">
        <is>
          <t>包络 25.600×0.818×2.350m；66 网格；6 灯</t>
        </is>
      </c>
      <c r="O357" s="349" t="inlineStr">
        <is>
          <t>source/art/blender/base_facility_layout/component_packages_v017/loft/loft_backwall_services/asset_manifest.json</t>
        </is>
      </c>
      <c r="P357" s="349" t="inlineStr">
        <is>
          <t>source/art/blender/base_facility_layout/base_facility_runtime_layout_hq_v017.blend; outputs/verification/base_facility_runtime_layout_hq_v017/base_facility_component_catalog_v017.json</t>
        </is>
      </c>
      <c r="Q357" s="349" t="inlineStr">
        <is>
          <t>基地99层;基地资产包;3D设施;二楼/阁楼设施包;loft_backwall_services;PaletteUV</t>
        </is>
      </c>
      <c r="R357" s="349">
        <f>C357&amp;"|"&amp;D357&amp;"|"&amp;E357&amp;"|"&amp;F357&amp;"|"&amp;LOWER(H357)&amp;"|"&amp;I357</f>
        <v/>
      </c>
      <c r="S357" s="349">
        <f>IF(COUNTIF($R$6:$R$411,R357)&gt;1,"重复","唯一")</f>
        <v/>
      </c>
      <c r="T357" s="349" t="inlineStr">
        <is>
          <t>e5757210ba00607935a810ba77136f6936a0473d16ba3ead9ec72b232f3dbb42</t>
        </is>
      </c>
      <c r="U357" s="349" t="inlineStr">
        <is>
          <t>Codex</t>
        </is>
      </c>
      <c r="V357" s="348" t="n">
        <v>46269</v>
      </c>
      <c r="W357" s="349" t="inlineStr">
        <is>
          <t>用户自制Blender资产</t>
        </is>
      </c>
      <c r="X357" s="375" t="inlineStr">
        <is>
          <t>50</t>
        </is>
      </c>
      <c r="Y357" s="34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358" ht="54" customHeight="1">
      <c r="A358" t="inlineStr">
        <is>
          <t>BPK-BASE99-LOFT-BATTERY-CABINET</t>
        </is>
      </c>
      <c r="B358" t="inlineStr">
        <is>
          <t>基地99层 · BATTERY模块收纳箱</t>
        </is>
      </c>
      <c r="C358" t="inlineStr">
        <is>
          <t>基地资产包</t>
        </is>
      </c>
      <c r="D358" t="inlineStr">
        <is>
          <t>二楼/阁楼设施包</t>
        </is>
      </c>
      <c r="E358" t="inlineStr">
        <is>
          <t>base99_package_loft_battery_cabinet</t>
        </is>
      </c>
      <c r="F358" t="inlineStr">
        <is>
          <t>package_root</t>
        </is>
      </c>
      <c r="G358" t="inlineStr">
        <is>
          <t>ENV-BASE99-ART-LAYOUT-3D</t>
        </is>
      </c>
      <c r="H358" t="inlineStr">
        <is>
          <t>Top3D / Blender +Y北</t>
        </is>
      </c>
      <c r="I358" t="inlineStr">
        <is>
          <t>static / default</t>
        </is>
      </c>
      <c r="J358" t="inlineStr">
        <is>
          <t>3D-设施 / 基地99层独立资产包</t>
        </is>
      </c>
      <c r="K358" t="inlineStr">
        <is>
          <t>Blender源已完成</t>
        </is>
      </c>
      <c r="L358" t="inlineStr">
        <is>
          <t>P1</t>
        </is>
      </c>
      <c r="M358" t="inlineStr">
        <is>
          <t>v017</t>
        </is>
      </c>
      <c r="N358" s="349" t="inlineStr">
        <is>
          <t>包络 1.200×0.993×0.850m；12 网格；0 灯</t>
        </is>
      </c>
      <c r="O358" s="349" t="inlineStr">
        <is>
          <t>source/art/blender/base_facility_layout/component_packages_v017/loft/loft_battery_cabinet/asset_manifest.json</t>
        </is>
      </c>
      <c r="P358" s="349" t="inlineStr">
        <is>
          <t>source/art/blender/base_facility_layout/base_facility_runtime_layout_hq_v017.blend; outputs/verification/base_facility_runtime_layout_hq_v017/base_facility_component_catalog_v017.json</t>
        </is>
      </c>
      <c r="Q358" s="349" t="inlineStr">
        <is>
          <t>基地99层;基地资产包;3D设施;二楼/阁楼设施包;loft_battery_cabinet;PaletteUV</t>
        </is>
      </c>
      <c r="R358" s="349">
        <f>C358&amp;"|"&amp;D358&amp;"|"&amp;E358&amp;"|"&amp;F358&amp;"|"&amp;LOWER(H358)&amp;"|"&amp;I358</f>
        <v/>
      </c>
      <c r="S358" s="349">
        <f>IF(COUNTIF($R$6:$R$411,R358)&gt;1,"重复","唯一")</f>
        <v/>
      </c>
      <c r="T358" s="349" t="inlineStr">
        <is>
          <t>e84bd2da9ba84cddb8cd892c9fd9ef57db9fc4f386a8996fb108e9ef39b6dd60</t>
        </is>
      </c>
      <c r="U358" s="349" t="inlineStr">
        <is>
          <t>Codex</t>
        </is>
      </c>
      <c r="V358" s="348" t="n">
        <v>46269</v>
      </c>
      <c r="W358" s="349" t="inlineStr">
        <is>
          <t>用户自制Blender资产</t>
        </is>
      </c>
      <c r="X358" s="375" t="inlineStr">
        <is>
          <t>46</t>
        </is>
      </c>
      <c r="Y358" s="34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59" ht="72" customHeight="1">
      <c r="A359" t="inlineStr">
        <is>
          <t>BPK-BASE99-LOFT-BED-AND-BEDDING</t>
        </is>
      </c>
      <c r="B359" t="inlineStr">
        <is>
          <t>基地99层 · 二楼床铺与床品</t>
        </is>
      </c>
      <c r="C359" t="inlineStr">
        <is>
          <t>基地资产包</t>
        </is>
      </c>
      <c r="D359" t="inlineStr">
        <is>
          <t>二楼/阁楼设施包</t>
        </is>
      </c>
      <c r="E359" t="inlineStr">
        <is>
          <t>base99_package_loft_bed_and_bedding</t>
        </is>
      </c>
      <c r="F359" t="inlineStr">
        <is>
          <t>package_root</t>
        </is>
      </c>
      <c r="G359" t="inlineStr">
        <is>
          <t>ENV-BASE99-ART-LAYOUT-3D</t>
        </is>
      </c>
      <c r="H359" t="inlineStr">
        <is>
          <t>Top3D / Blender +Y北</t>
        </is>
      </c>
      <c r="I359" t="inlineStr">
        <is>
          <t>static / default</t>
        </is>
      </c>
      <c r="J359" t="inlineStr">
        <is>
          <t>3D-设施 / 基地99层独立资产包</t>
        </is>
      </c>
      <c r="K359" t="inlineStr">
        <is>
          <t>Blender源已完成</t>
        </is>
      </c>
      <c r="L359" t="inlineStr">
        <is>
          <t>P1</t>
        </is>
      </c>
      <c r="M359" t="inlineStr">
        <is>
          <t>v017</t>
        </is>
      </c>
      <c r="N359" s="349" t="inlineStr">
        <is>
          <t>包络 4.750×2.906×1.318m；37 对象；源镜像 37 对象</t>
        </is>
      </c>
      <c r="O359" s="349" t="inlineStr">
        <is>
          <t>source/art/blender/base_facility_layout/component_packages_v017/loft/loft_bed_and_bedding/asset_manifest.json</t>
        </is>
      </c>
      <c r="P359" s="349" t="inlineStr">
        <is>
          <t>source/art/blender/base_facility_layout/base_facility_runtime_layout_hq_v017.blend; outputs/verification/base_facility_runtime_layout_hq_v017/base_facility_component_catalog_v017.json</t>
        </is>
      </c>
      <c r="Q359" s="349" t="inlineStr">
        <is>
          <t>基地99层;基地资产包;3D设施;二楼/阁楼设施包;loft_bed_and_bedding;PaletteUV</t>
        </is>
      </c>
      <c r="R359" s="349">
        <f>C359&amp;"|"&amp;D359&amp;"|"&amp;E359&amp;"|"&amp;F359&amp;"|"&amp;LOWER(H359)&amp;"|"&amp;I359</f>
        <v/>
      </c>
      <c r="S359" s="349">
        <f>IF(COUNTIF($R$6:$R$411,R359)&gt;1,"重复","唯一")</f>
        <v/>
      </c>
      <c r="T359" s="349" t="inlineStr">
        <is>
          <t>4ca6da9f44b40f7a2c49d63698599f5bca1f3732093787ed16c8a5947de58890</t>
        </is>
      </c>
      <c r="U359" s="349" t="inlineStr">
        <is>
          <t>Codex</t>
        </is>
      </c>
      <c r="V359" s="348" t="n">
        <v>46269</v>
      </c>
      <c r="W359" s="349" t="inlineStr">
        <is>
          <t>用户自制Blender资产</t>
        </is>
      </c>
      <c r="X359" s="375" t="inlineStr">
        <is>
          <t>—</t>
        </is>
      </c>
      <c r="Y359" s="34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360" ht="54" customHeight="1">
      <c r="A360" t="inlineStr">
        <is>
          <t>BPK-BASE99-LOFT-BEDSIDE-LAMP</t>
        </is>
      </c>
      <c r="B360" t="inlineStr">
        <is>
          <t>基地99层 · 暖橙床头灯</t>
        </is>
      </c>
      <c r="C360" t="inlineStr">
        <is>
          <t>基地资产包</t>
        </is>
      </c>
      <c r="D360" t="inlineStr">
        <is>
          <t>二楼/阁楼设施包</t>
        </is>
      </c>
      <c r="E360" t="inlineStr">
        <is>
          <t>base99_package_loft_bedside_lamp</t>
        </is>
      </c>
      <c r="F360" t="inlineStr">
        <is>
          <t>package_root</t>
        </is>
      </c>
      <c r="G360" t="inlineStr">
        <is>
          <t>ENV-BASE99-ART-LAYOUT-3D</t>
        </is>
      </c>
      <c r="H360" t="inlineStr">
        <is>
          <t>Top3D / Blender +Y北</t>
        </is>
      </c>
      <c r="I360" t="inlineStr">
        <is>
          <t>static / fixture_light</t>
        </is>
      </c>
      <c r="J360" t="inlineStr">
        <is>
          <t>3D-设施 / 基地99层独立资产包</t>
        </is>
      </c>
      <c r="K360" t="inlineStr">
        <is>
          <t>Blender源已完成</t>
        </is>
      </c>
      <c r="L360" t="inlineStr">
        <is>
          <t>P1</t>
        </is>
      </c>
      <c r="M360" t="inlineStr">
        <is>
          <t>v017</t>
        </is>
      </c>
      <c r="N360" s="349" t="inlineStr">
        <is>
          <t>包络 0.407×0.407×0.895m；3 网格；1 灯</t>
        </is>
      </c>
      <c r="O360" s="349" t="inlineStr">
        <is>
          <t>source/art/blender/base_facility_layout/component_packages_v017/loft/loft_bedside_lamp/asset_manifest.json</t>
        </is>
      </c>
      <c r="P360" s="349" t="inlineStr">
        <is>
          <t>source/art/blender/base_facility_layout/base_facility_runtime_layout_hq_v017.blend; outputs/verification/base_facility_runtime_layout_hq_v017/base_facility_component_catalog_v017.json</t>
        </is>
      </c>
      <c r="Q360" s="349" t="inlineStr">
        <is>
          <t>基地99层;基地资产包;3D设施;二楼/阁楼设施包;loft_bedside_lamp;PaletteUV</t>
        </is>
      </c>
      <c r="R360" s="349">
        <f>C360&amp;"|"&amp;D360&amp;"|"&amp;E360&amp;"|"&amp;F360&amp;"|"&amp;LOWER(H360)&amp;"|"&amp;I360</f>
        <v/>
      </c>
      <c r="S360" s="349">
        <f>IF(COUNTIF($R$6:$R$411,R360)&gt;1,"重复","唯一")</f>
        <v/>
      </c>
      <c r="T360" s="349" t="inlineStr">
        <is>
          <t>6fc0add42c0b3a84549e9b0a26b83168d1c66ae05d98743459ac8a8c988774ee</t>
        </is>
      </c>
      <c r="U360" s="349" t="inlineStr">
        <is>
          <t>Codex</t>
        </is>
      </c>
      <c r="V360" s="348" t="n">
        <v>46269</v>
      </c>
      <c r="W360" s="349" t="inlineStr">
        <is>
          <t>用户自制Blender资产</t>
        </is>
      </c>
      <c r="X360" s="375" t="inlineStr">
        <is>
          <t>—</t>
        </is>
      </c>
      <c r="Y360" s="34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1" ht="54" customHeight="1">
      <c r="A361" t="inlineStr">
        <is>
          <t>BPK-BASE99-LOFT-BEDSIDE-RUG</t>
        </is>
      </c>
      <c r="B361" t="inlineStr">
        <is>
          <t>基地99层 · 床边暖灰地毯</t>
        </is>
      </c>
      <c r="C361" t="inlineStr">
        <is>
          <t>基地资产包</t>
        </is>
      </c>
      <c r="D361" t="inlineStr">
        <is>
          <t>二楼/阁楼设施包</t>
        </is>
      </c>
      <c r="E361" t="inlineStr">
        <is>
          <t>base99_package_loft_bedside_rug</t>
        </is>
      </c>
      <c r="F361" t="inlineStr">
        <is>
          <t>package_root</t>
        </is>
      </c>
      <c r="G361" t="inlineStr">
        <is>
          <t>ENV-BASE99-ART-LAYOUT-3D</t>
        </is>
      </c>
      <c r="H361" t="inlineStr">
        <is>
          <t>Top3D / Blender +Y北</t>
        </is>
      </c>
      <c r="I361" t="inlineStr">
        <is>
          <t>static / default</t>
        </is>
      </c>
      <c r="J361" t="inlineStr">
        <is>
          <t>3D-设施 / 基地99层独立资产包</t>
        </is>
      </c>
      <c r="K361" t="inlineStr">
        <is>
          <t>Blender源已完成</t>
        </is>
      </c>
      <c r="L361" t="inlineStr">
        <is>
          <t>P1</t>
        </is>
      </c>
      <c r="M361" t="inlineStr">
        <is>
          <t>v017</t>
        </is>
      </c>
      <c r="N361" s="349" t="inlineStr">
        <is>
          <t>包络 4.250×0.840×0.056m；6 网格；0 灯</t>
        </is>
      </c>
      <c r="O361" s="349" t="inlineStr">
        <is>
          <t>source/art/blender/base_facility_layout/component_packages_v017/loft/loft_bedside_rug/asset_manifest.json</t>
        </is>
      </c>
      <c r="P361" s="349" t="inlineStr">
        <is>
          <t>source/art/blender/base_facility_layout/base_facility_runtime_layout_hq_v017.blend; outputs/verification/base_facility_runtime_layout_hq_v017/base_facility_component_catalog_v017.json</t>
        </is>
      </c>
      <c r="Q361" s="349" t="inlineStr">
        <is>
          <t>基地99层;基地资产包;3D设施;二楼/阁楼设施包;loft_bedside_rug;PaletteUV</t>
        </is>
      </c>
      <c r="R361" s="349">
        <f>C361&amp;"|"&amp;D361&amp;"|"&amp;E361&amp;"|"&amp;F361&amp;"|"&amp;LOWER(H361)&amp;"|"&amp;I361</f>
        <v/>
      </c>
      <c r="S361" s="349">
        <f>IF(COUNTIF($R$6:$R$411,R361)&gt;1,"重复","唯一")</f>
        <v/>
      </c>
      <c r="T361" s="349" t="inlineStr">
        <is>
          <t>155af02af099a16947c2fce7c1b089557d556979381e07edb7b49a918a21dfe4</t>
        </is>
      </c>
      <c r="U361" s="349" t="inlineStr">
        <is>
          <t>Codex</t>
        </is>
      </c>
      <c r="V361" s="348" t="n">
        <v>46269</v>
      </c>
      <c r="W361" s="349" t="inlineStr">
        <is>
          <t>用户自制Blender资产</t>
        </is>
      </c>
      <c r="X361" s="375" t="inlineStr">
        <is>
          <t>—</t>
        </is>
      </c>
      <c r="Y361" s="34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2" ht="54" customHeight="1">
      <c r="A362" t="inlineStr">
        <is>
          <t>BPK-BASE99-LOFT-COFFEE-TABLE</t>
        </is>
      </c>
      <c r="B362" t="inlineStr">
        <is>
          <t>基地99层 · 红棕茶几与生活物件</t>
        </is>
      </c>
      <c r="C362" t="inlineStr">
        <is>
          <t>基地资产包</t>
        </is>
      </c>
      <c r="D362" t="inlineStr">
        <is>
          <t>二楼/阁楼设施包</t>
        </is>
      </c>
      <c r="E362" t="inlineStr">
        <is>
          <t>base99_package_loft_coffee_table</t>
        </is>
      </c>
      <c r="F362" t="inlineStr">
        <is>
          <t>package_root</t>
        </is>
      </c>
      <c r="G362" t="inlineStr">
        <is>
          <t>ENV-BASE99-ART-LAYOUT-3D</t>
        </is>
      </c>
      <c r="H362" t="inlineStr">
        <is>
          <t>Top3D / Blender +Y北</t>
        </is>
      </c>
      <c r="I362" t="inlineStr">
        <is>
          <t>static / default</t>
        </is>
      </c>
      <c r="J362" t="inlineStr">
        <is>
          <t>3D-设施 / 基地99层独立资产包</t>
        </is>
      </c>
      <c r="K362" t="inlineStr">
        <is>
          <t>Blender源已完成</t>
        </is>
      </c>
      <c r="L362" t="inlineStr">
        <is>
          <t>P1</t>
        </is>
      </c>
      <c r="M362" t="inlineStr">
        <is>
          <t>v017</t>
        </is>
      </c>
      <c r="N362" s="349" t="inlineStr">
        <is>
          <t>包络 2.850×1.280×0.910m；15 网格；0 灯</t>
        </is>
      </c>
      <c r="O362" s="349" t="inlineStr">
        <is>
          <t>source/art/blender/base_facility_layout/component_packages_v017/loft/loft_coffee_table/asset_manifest.json</t>
        </is>
      </c>
      <c r="P362" s="349" t="inlineStr">
        <is>
          <t>source/art/blender/base_facility_layout/base_facility_runtime_layout_hq_v017.blend; outputs/verification/base_facility_runtime_layout_hq_v017/base_facility_component_catalog_v017.json</t>
        </is>
      </c>
      <c r="Q362" s="349" t="inlineStr">
        <is>
          <t>基地99层;基地资产包;3D设施;二楼/阁楼设施包;loft_coffee_table;PaletteUV</t>
        </is>
      </c>
      <c r="R362" s="349">
        <f>C362&amp;"|"&amp;D362&amp;"|"&amp;E362&amp;"|"&amp;F362&amp;"|"&amp;LOWER(H362)&amp;"|"&amp;I362</f>
        <v/>
      </c>
      <c r="S362" s="349">
        <f>IF(COUNTIF($R$6:$R$411,R362)&gt;1,"重复","唯一")</f>
        <v/>
      </c>
      <c r="T362" s="349" t="inlineStr">
        <is>
          <t>ae7976f7d5c94b30cf0c64385a49672b1c2b3bea2512d3a444b52e9e262f84e4</t>
        </is>
      </c>
      <c r="U362" s="349" t="inlineStr">
        <is>
          <t>Codex</t>
        </is>
      </c>
      <c r="V362" s="348" t="n">
        <v>46269</v>
      </c>
      <c r="W362" s="349" t="inlineStr">
        <is>
          <t>用户自制Blender资产</t>
        </is>
      </c>
      <c r="X362" s="375" t="inlineStr">
        <is>
          <t>—</t>
        </is>
      </c>
      <c r="Y362" s="34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3" ht="54" customHeight="1">
      <c r="A363" t="inlineStr">
        <is>
          <t>BPK-BASE99-LOFT-COMPUTER-WORKSTATION</t>
        </is>
      </c>
      <c r="B363" t="inlineStr">
        <is>
          <t>基地99层 · 双屏电脑完整工位</t>
        </is>
      </c>
      <c r="C363" t="inlineStr">
        <is>
          <t>基地资产包</t>
        </is>
      </c>
      <c r="D363" t="inlineStr">
        <is>
          <t>二楼/阁楼设施包</t>
        </is>
      </c>
      <c r="E363" t="inlineStr">
        <is>
          <t>base99_package_loft_computer_workstation</t>
        </is>
      </c>
      <c r="F363" t="inlineStr">
        <is>
          <t>package_root</t>
        </is>
      </c>
      <c r="G363" t="inlineStr">
        <is>
          <t>ENV-BASE99-ART-LAYOUT-3D</t>
        </is>
      </c>
      <c r="H363" t="inlineStr">
        <is>
          <t>Top3D / Blender +Y北</t>
        </is>
      </c>
      <c r="I363" t="inlineStr">
        <is>
          <t>static / default</t>
        </is>
      </c>
      <c r="J363" t="inlineStr">
        <is>
          <t>3D-设施 / 基地99层独立资产包</t>
        </is>
      </c>
      <c r="K363" t="inlineStr">
        <is>
          <t>Blender源已完成</t>
        </is>
      </c>
      <c r="L363" t="inlineStr">
        <is>
          <t>P1</t>
        </is>
      </c>
      <c r="M363" t="inlineStr">
        <is>
          <t>v017</t>
        </is>
      </c>
      <c r="N363" s="349" t="inlineStr">
        <is>
          <t>包络 6.015×1.468×3.040m；85 网格；0 灯</t>
        </is>
      </c>
      <c r="O363" s="349" t="inlineStr">
        <is>
          <t>source/art/blender/base_facility_layout/component_packages_v017/loft/loft_computer_workstation/asset_manifest.json</t>
        </is>
      </c>
      <c r="P363" s="349" t="inlineStr">
        <is>
          <t>source/art/blender/base_facility_layout/base_facility_runtime_layout_hq_v017.blend; outputs/verification/base_facility_runtime_layout_hq_v017/base_facility_component_catalog_v017.json</t>
        </is>
      </c>
      <c r="Q363" s="349" t="inlineStr">
        <is>
          <t>基地99层;基地资产包;3D设施;二楼/阁楼设施包;loft_computer_workstation;PaletteUV</t>
        </is>
      </c>
      <c r="R363" s="349">
        <f>C363&amp;"|"&amp;D363&amp;"|"&amp;E363&amp;"|"&amp;F363&amp;"|"&amp;LOWER(H363)&amp;"|"&amp;I363</f>
        <v/>
      </c>
      <c r="S363" s="349">
        <f>IF(COUNTIF($R$6:$R$411,R363)&gt;1,"重复","唯一")</f>
        <v/>
      </c>
      <c r="T363" s="349" t="inlineStr">
        <is>
          <t>4d9ffaafc5ef96c16072b1221fce45649b469d530c02977942d6e8b163fa7c70</t>
        </is>
      </c>
      <c r="U363" s="349" t="inlineStr">
        <is>
          <t>Codex</t>
        </is>
      </c>
      <c r="V363" s="348" t="n">
        <v>46269</v>
      </c>
      <c r="W363" s="349" t="inlineStr">
        <is>
          <t>用户自制Blender资产</t>
        </is>
      </c>
      <c r="X363" s="375" t="inlineStr">
        <is>
          <t>—</t>
        </is>
      </c>
      <c r="Y363" s="34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4" ht="54" customHeight="1">
      <c r="A364" t="inlineStr">
        <is>
          <t>BPK-BASE99-LOFT-EXPLORE-POSTER</t>
        </is>
      </c>
      <c r="B364" t="inlineStr">
        <is>
          <t>基地99层 · EXPLORE独立海报</t>
        </is>
      </c>
      <c r="C364" t="inlineStr">
        <is>
          <t>基地资产包</t>
        </is>
      </c>
      <c r="D364" t="inlineStr">
        <is>
          <t>二楼/阁楼设施包</t>
        </is>
      </c>
      <c r="E364" t="inlineStr">
        <is>
          <t>base99_package_loft_explore_poster</t>
        </is>
      </c>
      <c r="F364" t="inlineStr">
        <is>
          <t>package_root</t>
        </is>
      </c>
      <c r="G364" t="inlineStr">
        <is>
          <t>ENV-BASE99-ART-LAYOUT-3D</t>
        </is>
      </c>
      <c r="H364" t="inlineStr">
        <is>
          <t>Top3D / Blender +Y北</t>
        </is>
      </c>
      <c r="I364" t="inlineStr">
        <is>
          <t>static / default</t>
        </is>
      </c>
      <c r="J364" t="inlineStr">
        <is>
          <t>3D-设施 / 基地99层独立资产包</t>
        </is>
      </c>
      <c r="K364" t="inlineStr">
        <is>
          <t>Blender源已完成</t>
        </is>
      </c>
      <c r="L364" t="inlineStr">
        <is>
          <t>P1</t>
        </is>
      </c>
      <c r="M364" t="inlineStr">
        <is>
          <t>v017</t>
        </is>
      </c>
      <c r="N364" s="349" t="inlineStr">
        <is>
          <t>包络 1.460×0.536×1.755m；14 网格；0 灯</t>
        </is>
      </c>
      <c r="O364" s="349" t="inlineStr">
        <is>
          <t>source/art/blender/base_facility_layout/component_packages_v017/loft/loft_explore_poster/asset_manifest.json</t>
        </is>
      </c>
      <c r="P364" s="349" t="inlineStr">
        <is>
          <t>source/art/blender/base_facility_layout/base_facility_runtime_layout_hq_v017.blend; outputs/verification/base_facility_runtime_layout_hq_v017/base_facility_component_catalog_v017.json</t>
        </is>
      </c>
      <c r="Q364" s="349" t="inlineStr">
        <is>
          <t>基地99层;基地资产包;3D设施;二楼/阁楼设施包;loft_explore_poster;PaletteUV</t>
        </is>
      </c>
      <c r="R364" s="349">
        <f>C364&amp;"|"&amp;D364&amp;"|"&amp;E364&amp;"|"&amp;F364&amp;"|"&amp;LOWER(H364)&amp;"|"&amp;I364</f>
        <v/>
      </c>
      <c r="S364" s="349">
        <f>IF(COUNTIF($R$6:$R$411,R364)&gt;1,"重复","唯一")</f>
        <v/>
      </c>
      <c r="T364" s="349" t="inlineStr">
        <is>
          <t>03344c4b9c3a23ff4daae3368a4159bb720760d255d8afa67800bd44e260d720</t>
        </is>
      </c>
      <c r="U364" s="349" t="inlineStr">
        <is>
          <t>Codex</t>
        </is>
      </c>
      <c r="V364" s="348" t="n">
        <v>46269</v>
      </c>
      <c r="W364" s="349" t="inlineStr">
        <is>
          <t>用户自制Blender资产</t>
        </is>
      </c>
      <c r="X364" s="375" t="inlineStr">
        <is>
          <t>—</t>
        </is>
      </c>
      <c r="Y364" s="34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365" ht="54" customHeight="1">
      <c r="A365" t="inlineStr">
        <is>
          <t>BPK-BASE99-LOFT-FOOD-CABINET</t>
        </is>
      </c>
      <c r="B365" t="inlineStr">
        <is>
          <t>基地99层 · FOOD模块收纳箱</t>
        </is>
      </c>
      <c r="C365" t="inlineStr">
        <is>
          <t>基地资产包</t>
        </is>
      </c>
      <c r="D365" t="inlineStr">
        <is>
          <t>二楼/阁楼设施包</t>
        </is>
      </c>
      <c r="E365" t="inlineStr">
        <is>
          <t>base99_package_loft_food_cabinet</t>
        </is>
      </c>
      <c r="F365" t="inlineStr">
        <is>
          <t>package_root</t>
        </is>
      </c>
      <c r="G365" t="inlineStr">
        <is>
          <t>ENV-BASE99-ART-LAYOUT-3D</t>
        </is>
      </c>
      <c r="H365" t="inlineStr">
        <is>
          <t>Top3D / Blender +Y北</t>
        </is>
      </c>
      <c r="I365" t="inlineStr">
        <is>
          <t>static / default</t>
        </is>
      </c>
      <c r="J365" t="inlineStr">
        <is>
          <t>3D-设施 / 基地99层独立资产包</t>
        </is>
      </c>
      <c r="K365" t="inlineStr">
        <is>
          <t>Blender源已完成</t>
        </is>
      </c>
      <c r="L365" t="inlineStr">
        <is>
          <t>P1</t>
        </is>
      </c>
      <c r="M365" t="inlineStr">
        <is>
          <t>v017</t>
        </is>
      </c>
      <c r="N365" s="349" t="inlineStr">
        <is>
          <t>包络 1.200×0.996×0.870m；9 网格；0 灯</t>
        </is>
      </c>
      <c r="O365" s="349" t="inlineStr">
        <is>
          <t>source/art/blender/base_facility_layout/component_packages_v017/loft/loft_food_cabinet/asset_manifest.json</t>
        </is>
      </c>
      <c r="P365" s="349" t="inlineStr">
        <is>
          <t>source/art/blender/base_facility_layout/base_facility_runtime_layout_hq_v017.blend; outputs/verification/base_facility_runtime_layout_hq_v017/base_facility_component_catalog_v017.json</t>
        </is>
      </c>
      <c r="Q365" s="349" t="inlineStr">
        <is>
          <t>基地99层;基地资产包;3D设施;二楼/阁楼设施包;loft_food_cabinet;PaletteUV</t>
        </is>
      </c>
      <c r="R365" s="349">
        <f>C365&amp;"|"&amp;D365&amp;"|"&amp;E365&amp;"|"&amp;F365&amp;"|"&amp;LOWER(H365)&amp;"|"&amp;I365</f>
        <v/>
      </c>
      <c r="S365" s="349">
        <f>IF(COUNTIF($R$6:$R$411,R365)&gt;1,"重复","唯一")</f>
        <v/>
      </c>
      <c r="T365" s="349" t="inlineStr">
        <is>
          <t>3f2bac0b240d54254a5b4f6691d1e04dfedea85475b7770bee48b19e93a4e2c7</t>
        </is>
      </c>
      <c r="U365" s="349" t="inlineStr">
        <is>
          <t>Codex</t>
        </is>
      </c>
      <c r="V365" s="348" t="n">
        <v>46269</v>
      </c>
      <c r="W365" s="349" t="inlineStr">
        <is>
          <t>用户自制Blender资产</t>
        </is>
      </c>
      <c r="X365" s="375" t="inlineStr">
        <is>
          <t>47</t>
        </is>
      </c>
      <c r="Y365" s="34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6" ht="54" customHeight="1">
      <c r="A366" t="inlineStr">
        <is>
          <t>BPK-BASE99-LOFT-GOOD-VIBES-NEON</t>
        </is>
      </c>
      <c r="B366" t="inlineStr">
        <is>
          <t>基地99层 · GOOD VIBES霓虹</t>
        </is>
      </c>
      <c r="C366" t="inlineStr">
        <is>
          <t>基地资产包</t>
        </is>
      </c>
      <c r="D366" t="inlineStr">
        <is>
          <t>二楼/阁楼设施包</t>
        </is>
      </c>
      <c r="E366" t="inlineStr">
        <is>
          <t>base99_package_loft_good_vibes_neon</t>
        </is>
      </c>
      <c r="F366" t="inlineStr">
        <is>
          <t>package_root</t>
        </is>
      </c>
      <c r="G366" t="inlineStr">
        <is>
          <t>ENV-BASE99-ART-LAYOUT-3D</t>
        </is>
      </c>
      <c r="H366" t="inlineStr">
        <is>
          <t>Top3D / Blender +Y北</t>
        </is>
      </c>
      <c r="I366" t="inlineStr">
        <is>
          <t>static / fixture_light</t>
        </is>
      </c>
      <c r="J366" t="inlineStr">
        <is>
          <t>3D-设施 / 基地99层独立资产包</t>
        </is>
      </c>
      <c r="K366" t="inlineStr">
        <is>
          <t>Blender源已完成</t>
        </is>
      </c>
      <c r="L366" t="inlineStr">
        <is>
          <t>P1</t>
        </is>
      </c>
      <c r="M366" t="inlineStr">
        <is>
          <t>v017</t>
        </is>
      </c>
      <c r="N366" s="349" t="inlineStr">
        <is>
          <t>包络 1.580×0.915×0.840m；15 网格；3 灯</t>
        </is>
      </c>
      <c r="O366" s="349" t="inlineStr">
        <is>
          <t>source/art/blender/base_facility_layout/component_packages_v017/loft/loft_good_vibes_neon/asset_manifest.json</t>
        </is>
      </c>
      <c r="P366" s="349" t="inlineStr">
        <is>
          <t>source/art/blender/base_facility_layout/base_facility_runtime_layout_hq_v017.blend; outputs/verification/base_facility_runtime_layout_hq_v017/base_facility_component_catalog_v017.json</t>
        </is>
      </c>
      <c r="Q366" s="349" t="inlineStr">
        <is>
          <t>基地99层;基地资产包;3D设施;二楼/阁楼设施包;loft_good_vibes_neon;PaletteUV</t>
        </is>
      </c>
      <c r="R366" s="349">
        <f>C366&amp;"|"&amp;D366&amp;"|"&amp;E366&amp;"|"&amp;F366&amp;"|"&amp;LOWER(H366)&amp;"|"&amp;I366</f>
        <v/>
      </c>
      <c r="S366" s="349">
        <f>IF(COUNTIF($R$6:$R$411,R366)&gt;1,"重复","唯一")</f>
        <v/>
      </c>
      <c r="T366" s="349" t="inlineStr">
        <is>
          <t>b94d3724faa9216d9a5f3e7774395683d54a573a8bc1c114cbf37a914bfc7554</t>
        </is>
      </c>
      <c r="U366" s="349" t="inlineStr">
        <is>
          <t>Codex</t>
        </is>
      </c>
      <c r="V366" s="348" t="n">
        <v>46269</v>
      </c>
      <c r="W366" s="349" t="inlineStr">
        <is>
          <t>用户自制Blender资产</t>
        </is>
      </c>
      <c r="X366" s="375" t="inlineStr">
        <is>
          <t>44</t>
        </is>
      </c>
      <c r="Y366" s="34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367" ht="54" customHeight="1">
      <c r="A367" t="inlineStr">
        <is>
          <t>BPK-BASE99-LOFT-HANGING-PLANT</t>
        </is>
      </c>
      <c r="B367" t="inlineStr">
        <is>
          <t>基地99层 · 后墙吊挂植物</t>
        </is>
      </c>
      <c r="C367" t="inlineStr">
        <is>
          <t>基地资产包</t>
        </is>
      </c>
      <c r="D367" t="inlineStr">
        <is>
          <t>二楼/阁楼设施包</t>
        </is>
      </c>
      <c r="E367" t="inlineStr">
        <is>
          <t>base99_package_loft_hanging_plant</t>
        </is>
      </c>
      <c r="F367" t="inlineStr">
        <is>
          <t>package_root</t>
        </is>
      </c>
      <c r="G367" t="inlineStr">
        <is>
          <t>ENV-BASE99-ART-LAYOUT-3D</t>
        </is>
      </c>
      <c r="H367" t="inlineStr">
        <is>
          <t>Top3D / Blender +Y北</t>
        </is>
      </c>
      <c r="I367" t="inlineStr">
        <is>
          <t>static / default</t>
        </is>
      </c>
      <c r="J367" t="inlineStr">
        <is>
          <t>3D-设施 / 基地99层独立资产包</t>
        </is>
      </c>
      <c r="K367" t="inlineStr">
        <is>
          <t>Blender源已完成</t>
        </is>
      </c>
      <c r="L367" t="inlineStr">
        <is>
          <t>P1</t>
        </is>
      </c>
      <c r="M367" t="inlineStr">
        <is>
          <t>v017</t>
        </is>
      </c>
      <c r="N367" s="349" t="inlineStr">
        <is>
          <t>包络 0.606×0.503×1.649m；12 网格；0 灯</t>
        </is>
      </c>
      <c r="O367" s="349" t="inlineStr">
        <is>
          <t>source/art/blender/base_facility_layout/component_packages_v017/loft/loft_hanging_plant/asset_manifest.json</t>
        </is>
      </c>
      <c r="P367" s="349" t="inlineStr">
        <is>
          <t>source/art/blender/base_facility_layout/base_facility_runtime_layout_hq_v017.blend; outputs/verification/base_facility_runtime_layout_hq_v017/base_facility_component_catalog_v017.json</t>
        </is>
      </c>
      <c r="Q367" s="349" t="inlineStr">
        <is>
          <t>基地99层;基地资产包;3D设施;二楼/阁楼设施包;loft_hanging_plant;PaletteUV</t>
        </is>
      </c>
      <c r="R367" s="349">
        <f>C367&amp;"|"&amp;D367&amp;"|"&amp;E367&amp;"|"&amp;F367&amp;"|"&amp;LOWER(H367)&amp;"|"&amp;I367</f>
        <v/>
      </c>
      <c r="S367" s="349">
        <f>IF(COUNTIF($R$6:$R$411,R367)&gt;1,"重复","唯一")</f>
        <v/>
      </c>
      <c r="T367" s="349" t="inlineStr">
        <is>
          <t>a76f5086eeab2510781ac2356968ca855ed7a31274dcb5b90d5a4a8bff7b430f</t>
        </is>
      </c>
      <c r="U367" s="349" t="inlineStr">
        <is>
          <t>Codex</t>
        </is>
      </c>
      <c r="V367" s="348" t="n">
        <v>46269</v>
      </c>
      <c r="W367" s="349" t="inlineStr">
        <is>
          <t>用户自制Blender资产</t>
        </is>
      </c>
      <c r="X367" s="375" t="inlineStr">
        <is>
          <t>—</t>
        </is>
      </c>
      <c r="Y367" s="34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368" ht="72" customHeight="1">
      <c r="A368" t="inlineStr">
        <is>
          <t>BPK-BASE99-LOFT-LOUNGE-RUG</t>
        </is>
      </c>
      <c r="B368" t="inlineStr">
        <is>
          <t>基地99层 · 二楼休闲区多色桌毯</t>
        </is>
      </c>
      <c r="C368" t="inlineStr">
        <is>
          <t>基地资产包</t>
        </is>
      </c>
      <c r="D368" t="inlineStr">
        <is>
          <t>二楼/阁楼设施包</t>
        </is>
      </c>
      <c r="E368" t="inlineStr">
        <is>
          <t>base99_package_loft_lounge_rug</t>
        </is>
      </c>
      <c r="F368" t="inlineStr">
        <is>
          <t>package_root</t>
        </is>
      </c>
      <c r="G368" t="inlineStr">
        <is>
          <t>ENV-BASE99-ART-LAYOUT-3D</t>
        </is>
      </c>
      <c r="H368" t="inlineStr">
        <is>
          <t>Top3D / Blender +Y北</t>
        </is>
      </c>
      <c r="I368" t="inlineStr">
        <is>
          <t>static / default</t>
        </is>
      </c>
      <c r="J368" t="inlineStr">
        <is>
          <t>3D-设施 / 基地99层独立资产包</t>
        </is>
      </c>
      <c r="K368" t="inlineStr">
        <is>
          <t>Blender源已完成</t>
        </is>
      </c>
      <c r="L368" t="inlineStr">
        <is>
          <t>P1</t>
        </is>
      </c>
      <c r="M368" t="inlineStr">
        <is>
          <t>v017</t>
        </is>
      </c>
      <c r="N368" s="349" t="inlineStr">
        <is>
          <t>包络 4.900×2.450×0.070m；13 对象；源镜像 13 对象</t>
        </is>
      </c>
      <c r="O368" s="349" t="inlineStr">
        <is>
          <t>source/art/blender/base_facility_layout/component_packages_v017/loft/loft_lounge_rug/asset_manifest.json</t>
        </is>
      </c>
      <c r="P368" s="349" t="inlineStr">
        <is>
          <t>source/art/blender/base_facility_layout/base_facility_runtime_layout_hq_v017.blend; outputs/verification/base_facility_runtime_layout_hq_v017/base_facility_component_catalog_v017.json</t>
        </is>
      </c>
      <c r="Q368" s="349" t="inlineStr">
        <is>
          <t>基地99层;基地资产包;3D设施;二楼/阁楼设施包;loft_lounge_rug;PaletteUV</t>
        </is>
      </c>
      <c r="R368" s="349">
        <f>C368&amp;"|"&amp;D368&amp;"|"&amp;E368&amp;"|"&amp;F368&amp;"|"&amp;LOWER(H368)&amp;"|"&amp;I368</f>
        <v/>
      </c>
      <c r="S368" s="349">
        <f>IF(COUNTIF($R$6:$R$411,R368)&gt;1,"重复","唯一")</f>
        <v/>
      </c>
      <c r="T368" s="349" t="inlineStr">
        <is>
          <t>ec707f122b5860e4db4824f6b557f006af83025556dd2907dd19d422d9c68d9c</t>
        </is>
      </c>
      <c r="U368" s="349" t="inlineStr">
        <is>
          <t>Codex</t>
        </is>
      </c>
      <c r="V368" s="348" t="n">
        <v>46269</v>
      </c>
      <c r="W368" s="349" t="inlineStr">
        <is>
          <t>用户自制Blender资产</t>
        </is>
      </c>
      <c r="X368" s="375" t="inlineStr">
        <is>
          <t>—</t>
        </is>
      </c>
      <c r="Y368" s="34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369" ht="54" customHeight="1">
      <c r="A369" t="inlineStr">
        <is>
          <t>BPK-BASE99-LOFT-LOUNGE-SOFA</t>
        </is>
      </c>
      <c r="B369" t="inlineStr">
        <is>
          <t>基地99层 · 墨绿三人休闲沙发</t>
        </is>
      </c>
      <c r="C369" t="inlineStr">
        <is>
          <t>基地资产包</t>
        </is>
      </c>
      <c r="D369" t="inlineStr">
        <is>
          <t>二楼/阁楼设施包</t>
        </is>
      </c>
      <c r="E369" t="inlineStr">
        <is>
          <t>base99_package_loft_lounge_sofa</t>
        </is>
      </c>
      <c r="F369" t="inlineStr">
        <is>
          <t>package_root</t>
        </is>
      </c>
      <c r="G369" t="inlineStr">
        <is>
          <t>ENV-BASE99-ART-LAYOUT-3D</t>
        </is>
      </c>
      <c r="H369" t="inlineStr">
        <is>
          <t>Top3D / Blender +Y北</t>
        </is>
      </c>
      <c r="I369" t="inlineStr">
        <is>
          <t>static / default</t>
        </is>
      </c>
      <c r="J369" t="inlineStr">
        <is>
          <t>3D-设施 / 基地99层独立资产包</t>
        </is>
      </c>
      <c r="K369" t="inlineStr">
        <is>
          <t>Blender源已完成</t>
        </is>
      </c>
      <c r="L369" t="inlineStr">
        <is>
          <t>P1</t>
        </is>
      </c>
      <c r="M369" t="inlineStr">
        <is>
          <t>v017</t>
        </is>
      </c>
      <c r="N369" s="349" t="inlineStr">
        <is>
          <t>包络 4.820×1.890×1.844m；35 网格；0 灯</t>
        </is>
      </c>
      <c r="O369" s="349" t="inlineStr">
        <is>
          <t>source/art/blender/base_facility_layout/component_packages_v017/loft/loft_lounge_sofa/asset_manifest.json</t>
        </is>
      </c>
      <c r="P369" s="349" t="inlineStr">
        <is>
          <t>source/art/blender/base_facility_layout/base_facility_runtime_layout_hq_v017.blend; outputs/verification/base_facility_runtime_layout_hq_v017/base_facility_component_catalog_v017.json</t>
        </is>
      </c>
      <c r="Q369" s="349" t="inlineStr">
        <is>
          <t>基地99层;基地资产包;3D设施;二楼/阁楼设施包;loft_lounge_sofa;PaletteUV</t>
        </is>
      </c>
      <c r="R369" s="349">
        <f>C369&amp;"|"&amp;D369&amp;"|"&amp;E369&amp;"|"&amp;F369&amp;"|"&amp;LOWER(H369)&amp;"|"&amp;I369</f>
        <v/>
      </c>
      <c r="S369" s="349">
        <f>IF(COUNTIF($R$6:$R$411,R369)&gt;1,"重复","唯一")</f>
        <v/>
      </c>
      <c r="T369" s="349" t="inlineStr">
        <is>
          <t>64f2651594439cf2411aa14011398b78e868084d520d0cc28f3dd476c44130b1</t>
        </is>
      </c>
      <c r="U369" s="349" t="inlineStr">
        <is>
          <t>Codex</t>
        </is>
      </c>
      <c r="V369" s="348" t="n">
        <v>46269</v>
      </c>
      <c r="W369" s="349" t="inlineStr">
        <is>
          <t>用户自制Blender资产</t>
        </is>
      </c>
      <c r="X369" s="375" t="inlineStr">
        <is>
          <t>—</t>
        </is>
      </c>
      <c r="Y369" s="34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0" ht="54" customHeight="1">
      <c r="A370" t="inlineStr">
        <is>
          <t>BPK-BASE99-LOFT-MEDICAL-CABINET</t>
        </is>
      </c>
      <c r="B370" t="inlineStr">
        <is>
          <t>基地99层 · MEDICAL模块收纳箱</t>
        </is>
      </c>
      <c r="C370" t="inlineStr">
        <is>
          <t>基地资产包</t>
        </is>
      </c>
      <c r="D370" t="inlineStr">
        <is>
          <t>二楼/阁楼设施包</t>
        </is>
      </c>
      <c r="E370" t="inlineStr">
        <is>
          <t>base99_package_loft_medical_cabinet</t>
        </is>
      </c>
      <c r="F370" t="inlineStr">
        <is>
          <t>package_root</t>
        </is>
      </c>
      <c r="G370" t="inlineStr">
        <is>
          <t>ENV-BASE99-ART-LAYOUT-3D</t>
        </is>
      </c>
      <c r="H370" t="inlineStr">
        <is>
          <t>Top3D / Blender +Y北</t>
        </is>
      </c>
      <c r="I370" t="inlineStr">
        <is>
          <t>static / default</t>
        </is>
      </c>
      <c r="J370" t="inlineStr">
        <is>
          <t>3D-设施 / 基地99层独立资产包</t>
        </is>
      </c>
      <c r="K370" t="inlineStr">
        <is>
          <t>Blender源已完成</t>
        </is>
      </c>
      <c r="L370" t="inlineStr">
        <is>
          <t>P1</t>
        </is>
      </c>
      <c r="M370" t="inlineStr">
        <is>
          <t>v017</t>
        </is>
      </c>
      <c r="N370" s="349" t="inlineStr">
        <is>
          <t>包络 1.200×0.979×0.850m；9 网格；0 灯</t>
        </is>
      </c>
      <c r="O370" s="349" t="inlineStr">
        <is>
          <t>source/art/blender/base_facility_layout/component_packages_v017/loft/loft_medical_cabinet/asset_manifest.json</t>
        </is>
      </c>
      <c r="P370" s="349" t="inlineStr">
        <is>
          <t>source/art/blender/base_facility_layout/base_facility_runtime_layout_hq_v017.blend; outputs/verification/base_facility_runtime_layout_hq_v017/base_facility_component_catalog_v017.json</t>
        </is>
      </c>
      <c r="Q370" s="349" t="inlineStr">
        <is>
          <t>基地99层;基地资产包;3D设施;二楼/阁楼设施包;loft_medical_cabinet;PaletteUV</t>
        </is>
      </c>
      <c r="R370" s="349">
        <f>C370&amp;"|"&amp;D370&amp;"|"&amp;E370&amp;"|"&amp;F370&amp;"|"&amp;LOWER(H370)&amp;"|"&amp;I370</f>
        <v/>
      </c>
      <c r="S370" s="349">
        <f>IF(COUNTIF($R$6:$R$411,R370)&gt;1,"重复","唯一")</f>
        <v/>
      </c>
      <c r="T370" s="349" t="inlineStr">
        <is>
          <t>1311552bd04b13fe297cf652e06262f7ad83612279134b81478d2d226141b036</t>
        </is>
      </c>
      <c r="U370" s="349" t="inlineStr">
        <is>
          <t>Codex</t>
        </is>
      </c>
      <c r="V370" s="348" t="n">
        <v>46269</v>
      </c>
      <c r="W370" s="349" t="inlineStr">
        <is>
          <t>用户自制Blender资产</t>
        </is>
      </c>
      <c r="X370" s="375" t="inlineStr">
        <is>
          <t>—</t>
        </is>
      </c>
      <c r="Y370" s="34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1" ht="54" customHeight="1">
      <c r="A371" t="inlineStr">
        <is>
          <t>BPK-BASE99-LOFT-NIGHTSTAND</t>
        </is>
      </c>
      <c r="B371" t="inlineStr">
        <is>
          <t>基地99层 · 参考床头柜与生活物件</t>
        </is>
      </c>
      <c r="C371" t="inlineStr">
        <is>
          <t>基地资产包</t>
        </is>
      </c>
      <c r="D371" t="inlineStr">
        <is>
          <t>二楼/阁楼设施包</t>
        </is>
      </c>
      <c r="E371" t="inlineStr">
        <is>
          <t>base99_package_loft_nightstand</t>
        </is>
      </c>
      <c r="F371" t="inlineStr">
        <is>
          <t>package_root</t>
        </is>
      </c>
      <c r="G371" t="inlineStr">
        <is>
          <t>ENV-BASE99-ART-LAYOUT-3D</t>
        </is>
      </c>
      <c r="H371" t="inlineStr">
        <is>
          <t>Top3D / Blender +Y北</t>
        </is>
      </c>
      <c r="I371" t="inlineStr">
        <is>
          <t>static / default</t>
        </is>
      </c>
      <c r="J371" t="inlineStr">
        <is>
          <t>3D-设施 / 基地99层独立资产包</t>
        </is>
      </c>
      <c r="K371" t="inlineStr">
        <is>
          <t>Blender源已完成</t>
        </is>
      </c>
      <c r="L371" t="inlineStr">
        <is>
          <t>P1</t>
        </is>
      </c>
      <c r="M371" t="inlineStr">
        <is>
          <t>v017</t>
        </is>
      </c>
      <c r="N371" s="349" t="inlineStr">
        <is>
          <t>包络 1.100×1.060×1.465m；10 网格；0 灯</t>
        </is>
      </c>
      <c r="O371" s="349" t="inlineStr">
        <is>
          <t>source/art/blender/base_facility_layout/component_packages_v017/loft/loft_nightstand/asset_manifest.json</t>
        </is>
      </c>
      <c r="P371" s="349" t="inlineStr">
        <is>
          <t>source/art/blender/base_facility_layout/base_facility_runtime_layout_hq_v017.blend; outputs/verification/base_facility_runtime_layout_hq_v017/base_facility_component_catalog_v017.json</t>
        </is>
      </c>
      <c r="Q371" s="349" t="inlineStr">
        <is>
          <t>基地99层;基地资产包;3D设施;二楼/阁楼设施包;loft_nightstand;PaletteUV</t>
        </is>
      </c>
      <c r="R371" s="349">
        <f>C371&amp;"|"&amp;D371&amp;"|"&amp;E371&amp;"|"&amp;F371&amp;"|"&amp;LOWER(H371)&amp;"|"&amp;I371</f>
        <v/>
      </c>
      <c r="S371" s="349">
        <f>IF(COUNTIF($R$6:$R$411,R371)&gt;1,"重复","唯一")</f>
        <v/>
      </c>
      <c r="T371" s="349" t="inlineStr">
        <is>
          <t>444cf2e125c082b9f1e192c4e36638fa6ff5179ce64e391bedb2f30740dcdab9</t>
        </is>
      </c>
      <c r="U371" s="349" t="inlineStr">
        <is>
          <t>Codex</t>
        </is>
      </c>
      <c r="V371" s="348" t="n">
        <v>46269</v>
      </c>
      <c r="W371" s="349" t="inlineStr">
        <is>
          <t>用户自制Blender资产</t>
        </is>
      </c>
      <c r="X371" s="375" t="inlineStr">
        <is>
          <t>—</t>
        </is>
      </c>
      <c r="Y371" s="34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2" ht="54" customHeight="1">
      <c r="A372" t="inlineStr">
        <is>
          <t>BPK-BASE99-LOFT-OFFICE-CHAIR</t>
        </is>
      </c>
      <c r="B372" t="inlineStr">
        <is>
          <t>基地99层 · 带扶手办公椅</t>
        </is>
      </c>
      <c r="C372" t="inlineStr">
        <is>
          <t>基地资产包</t>
        </is>
      </c>
      <c r="D372" t="inlineStr">
        <is>
          <t>二楼/阁楼设施包</t>
        </is>
      </c>
      <c r="E372" t="inlineStr">
        <is>
          <t>base99_package_loft_office_chair</t>
        </is>
      </c>
      <c r="F372" t="inlineStr">
        <is>
          <t>package_root</t>
        </is>
      </c>
      <c r="G372" t="inlineStr">
        <is>
          <t>ENV-BASE99-ART-LAYOUT-3D</t>
        </is>
      </c>
      <c r="H372" t="inlineStr">
        <is>
          <t>Top3D / Blender +Y北</t>
        </is>
      </c>
      <c r="I372" t="inlineStr">
        <is>
          <t>static / default</t>
        </is>
      </c>
      <c r="J372" t="inlineStr">
        <is>
          <t>3D-设施 / 基地99层独立资产包</t>
        </is>
      </c>
      <c r="K372" t="inlineStr">
        <is>
          <t>Blender源已完成</t>
        </is>
      </c>
      <c r="L372" t="inlineStr">
        <is>
          <t>P1</t>
        </is>
      </c>
      <c r="M372" t="inlineStr">
        <is>
          <t>v017</t>
        </is>
      </c>
      <c r="N372" s="349" t="inlineStr">
        <is>
          <t>包络 1.280×1.127×2.021m；18 网格；0 灯</t>
        </is>
      </c>
      <c r="O372" s="349" t="inlineStr">
        <is>
          <t>source/art/blender/base_facility_layout/component_packages_v017/loft/loft_office_chair/asset_manifest.json</t>
        </is>
      </c>
      <c r="P372" s="349" t="inlineStr">
        <is>
          <t>source/art/blender/base_facility_layout/base_facility_runtime_layout_hq_v017.blend; outputs/verification/base_facility_runtime_layout_hq_v017/base_facility_component_catalog_v017.json</t>
        </is>
      </c>
      <c r="Q372" s="349" t="inlineStr">
        <is>
          <t>基地99层;基地资产包;3D设施;二楼/阁楼设施包;loft_office_chair;PaletteUV</t>
        </is>
      </c>
      <c r="R372" s="349">
        <f>C372&amp;"|"&amp;D372&amp;"|"&amp;E372&amp;"|"&amp;F372&amp;"|"&amp;LOWER(H372)&amp;"|"&amp;I372</f>
        <v/>
      </c>
      <c r="S372" s="349">
        <f>IF(COUNTIF($R$6:$R$411,R372)&gt;1,"重复","唯一")</f>
        <v/>
      </c>
      <c r="T372" s="349" t="inlineStr">
        <is>
          <t>bbb9a18203bbc0cf555ab09bd88734aa4f4da837a31849bc6f8d4f60be0e787e</t>
        </is>
      </c>
      <c r="U372" s="349" t="inlineStr">
        <is>
          <t>Codex</t>
        </is>
      </c>
      <c r="V372" s="348" t="n">
        <v>46269</v>
      </c>
      <c r="W372" s="349" t="inlineStr">
        <is>
          <t>用户自制Blender资产</t>
        </is>
      </c>
      <c r="X372" s="375" t="inlineStr">
        <is>
          <t>—</t>
        </is>
      </c>
      <c r="Y372" s="34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3" ht="54" customHeight="1">
      <c r="A373" t="inlineStr">
        <is>
          <t>BPK-BASE99-LOFT-POUF-01</t>
        </is>
      </c>
      <c r="B373" t="inlineStr">
        <is>
          <t>基地99层 · 青绿圆形坐墩01</t>
        </is>
      </c>
      <c r="C373" t="inlineStr">
        <is>
          <t>基地资产包</t>
        </is>
      </c>
      <c r="D373" t="inlineStr">
        <is>
          <t>二楼/阁楼设施包</t>
        </is>
      </c>
      <c r="E373" t="inlineStr">
        <is>
          <t>base99_package_loft_pouf_01</t>
        </is>
      </c>
      <c r="F373" t="inlineStr">
        <is>
          <t>package_root</t>
        </is>
      </c>
      <c r="G373" t="inlineStr">
        <is>
          <t>ENV-BASE99-ART-LAYOUT-3D</t>
        </is>
      </c>
      <c r="H373" t="inlineStr">
        <is>
          <t>Top3D / Blender +Y北</t>
        </is>
      </c>
      <c r="I373" t="inlineStr">
        <is>
          <t>static / default</t>
        </is>
      </c>
      <c r="J373" t="inlineStr">
        <is>
          <t>3D-设施 / 基地99层独立资产包</t>
        </is>
      </c>
      <c r="K373" t="inlineStr">
        <is>
          <t>Blender源已完成</t>
        </is>
      </c>
      <c r="L373" t="inlineStr">
        <is>
          <t>P1</t>
        </is>
      </c>
      <c r="M373" t="inlineStr">
        <is>
          <t>v017</t>
        </is>
      </c>
      <c r="N373" s="349" t="inlineStr">
        <is>
          <t>包络 0.880×0.880×0.570m；3 网格；0 灯</t>
        </is>
      </c>
      <c r="O373" s="349" t="inlineStr">
        <is>
          <t>source/art/blender/base_facility_layout/component_packages_v017/loft/loft_pouf_01/asset_manifest.json</t>
        </is>
      </c>
      <c r="P373" s="349" t="inlineStr">
        <is>
          <t>source/art/blender/base_facility_layout/base_facility_runtime_layout_hq_v017.blend; outputs/verification/base_facility_runtime_layout_hq_v017/base_facility_component_catalog_v017.json</t>
        </is>
      </c>
      <c r="Q373" s="349" t="inlineStr">
        <is>
          <t>基地99层;基地资产包;3D设施;二楼/阁楼设施包;loft_pouf_01;PaletteUV</t>
        </is>
      </c>
      <c r="R373" s="349">
        <f>C373&amp;"|"&amp;D373&amp;"|"&amp;E373&amp;"|"&amp;F373&amp;"|"&amp;LOWER(H373)&amp;"|"&amp;I373</f>
        <v/>
      </c>
      <c r="S373" s="349">
        <f>IF(COUNTIF($R$6:$R$411,R373)&gt;1,"重复","唯一")</f>
        <v/>
      </c>
      <c r="T373" s="349" t="inlineStr">
        <is>
          <t>410696ebbbc7cc3ad5269487a9a44a6fe5380a560c4113be6aa0ee9908aae219</t>
        </is>
      </c>
      <c r="U373" s="349" t="inlineStr">
        <is>
          <t>Codex</t>
        </is>
      </c>
      <c r="V373" s="348" t="n">
        <v>46269</v>
      </c>
      <c r="W373" s="349" t="inlineStr">
        <is>
          <t>用户自制Blender资产</t>
        </is>
      </c>
      <c r="X373" s="375" t="inlineStr">
        <is>
          <t>—</t>
        </is>
      </c>
      <c r="Y373" s="34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4" ht="54" customHeight="1">
      <c r="A374" t="inlineStr">
        <is>
          <t>BPK-BASE99-LOFT-POUF-02</t>
        </is>
      </c>
      <c r="B374" t="inlineStr">
        <is>
          <t>基地99层 · 深绿圆形坐墩02</t>
        </is>
      </c>
      <c r="C374" t="inlineStr">
        <is>
          <t>基地资产包</t>
        </is>
      </c>
      <c r="D374" t="inlineStr">
        <is>
          <t>二楼/阁楼设施包</t>
        </is>
      </c>
      <c r="E374" t="inlineStr">
        <is>
          <t>base99_package_loft_pouf_02</t>
        </is>
      </c>
      <c r="F374" t="inlineStr">
        <is>
          <t>package_root</t>
        </is>
      </c>
      <c r="G374" t="inlineStr">
        <is>
          <t>ENV-BASE99-ART-LAYOUT-3D</t>
        </is>
      </c>
      <c r="H374" t="inlineStr">
        <is>
          <t>Top3D / Blender +Y北</t>
        </is>
      </c>
      <c r="I374" t="inlineStr">
        <is>
          <t>static / default</t>
        </is>
      </c>
      <c r="J374" t="inlineStr">
        <is>
          <t>3D-设施 / 基地99层独立资产包</t>
        </is>
      </c>
      <c r="K374" t="inlineStr">
        <is>
          <t>Blender源已完成</t>
        </is>
      </c>
      <c r="L374" t="inlineStr">
        <is>
          <t>P1</t>
        </is>
      </c>
      <c r="M374" t="inlineStr">
        <is>
          <t>v017</t>
        </is>
      </c>
      <c r="N374" s="349" t="inlineStr">
        <is>
          <t>包络 0.880×0.880×0.570m；3 网格；0 灯</t>
        </is>
      </c>
      <c r="O374" s="349" t="inlineStr">
        <is>
          <t>source/art/blender/base_facility_layout/component_packages_v017/loft/loft_pouf_02/asset_manifest.json</t>
        </is>
      </c>
      <c r="P374" s="349" t="inlineStr">
        <is>
          <t>source/art/blender/base_facility_layout/base_facility_runtime_layout_hq_v017.blend; outputs/verification/base_facility_runtime_layout_hq_v017/base_facility_component_catalog_v017.json</t>
        </is>
      </c>
      <c r="Q374" s="349" t="inlineStr">
        <is>
          <t>基地99层;基地资产包;3D设施;二楼/阁楼设施包;loft_pouf_02;PaletteUV</t>
        </is>
      </c>
      <c r="R374" s="349">
        <f>C374&amp;"|"&amp;D374&amp;"|"&amp;E374&amp;"|"&amp;F374&amp;"|"&amp;LOWER(H374)&amp;"|"&amp;I374</f>
        <v/>
      </c>
      <c r="S374" s="349">
        <f>IF(COUNTIF($R$6:$R$411,R374)&gt;1,"重复","唯一")</f>
        <v/>
      </c>
      <c r="T374" s="349" t="inlineStr">
        <is>
          <t>31473d4ed82edd5b06fcdc2fd925b506a9ee6079d47d478452f560b218d0223b</t>
        </is>
      </c>
      <c r="U374" s="349" t="inlineStr">
        <is>
          <t>Codex</t>
        </is>
      </c>
      <c r="V374" s="348" t="n">
        <v>46269</v>
      </c>
      <c r="W374" s="349" t="inlineStr">
        <is>
          <t>用户自制Blender资产</t>
        </is>
      </c>
      <c r="X374" s="375" t="inlineStr">
        <is>
          <t>—</t>
        </is>
      </c>
      <c r="Y374" s="34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5" ht="54" customHeight="1">
      <c r="A375" t="inlineStr">
        <is>
          <t>BPK-BASE99-LOFT-SIDE-TABLE</t>
        </is>
      </c>
      <c r="B375" t="inlineStr">
        <is>
          <t>基地99层 · 床前辅助小桌</t>
        </is>
      </c>
      <c r="C375" t="inlineStr">
        <is>
          <t>基地资产包</t>
        </is>
      </c>
      <c r="D375" t="inlineStr">
        <is>
          <t>二楼/阁楼设施包</t>
        </is>
      </c>
      <c r="E375" t="inlineStr">
        <is>
          <t>base99_package_loft_side_table</t>
        </is>
      </c>
      <c r="F375" t="inlineStr">
        <is>
          <t>package_root</t>
        </is>
      </c>
      <c r="G375" t="inlineStr">
        <is>
          <t>ENV-BASE99-ART-LAYOUT-3D</t>
        </is>
      </c>
      <c r="H375" t="inlineStr">
        <is>
          <t>Top3D / Blender +Y北</t>
        </is>
      </c>
      <c r="I375" t="inlineStr">
        <is>
          <t>static / default</t>
        </is>
      </c>
      <c r="J375" t="inlineStr">
        <is>
          <t>3D-设施 / 基地99层独立资产包</t>
        </is>
      </c>
      <c r="K375" t="inlineStr">
        <is>
          <t>Blender源已完成</t>
        </is>
      </c>
      <c r="L375" t="inlineStr">
        <is>
          <t>P1</t>
        </is>
      </c>
      <c r="M375" t="inlineStr">
        <is>
          <t>v017</t>
        </is>
      </c>
      <c r="N375" s="349" t="inlineStr">
        <is>
          <t>包络 1.120×0.760×0.765m；7 网格；0 灯</t>
        </is>
      </c>
      <c r="O375" s="349" t="inlineStr">
        <is>
          <t>source/art/blender/base_facility_layout/component_packages_v017/loft/loft_side_table/asset_manifest.json</t>
        </is>
      </c>
      <c r="P375" s="349" t="inlineStr">
        <is>
          <t>source/art/blender/base_facility_layout/base_facility_runtime_layout_hq_v017.blend; outputs/verification/base_facility_runtime_layout_hq_v017/base_facility_component_catalog_v017.json</t>
        </is>
      </c>
      <c r="Q375" s="349" t="inlineStr">
        <is>
          <t>基地99层;基地资产包;3D设施;二楼/阁楼设施包;loft_side_table;PaletteUV</t>
        </is>
      </c>
      <c r="R375" s="349">
        <f>C375&amp;"|"&amp;D375&amp;"|"&amp;E375&amp;"|"&amp;F375&amp;"|"&amp;LOWER(H375)&amp;"|"&amp;I375</f>
        <v/>
      </c>
      <c r="S375" s="349">
        <f>IF(COUNTIF($R$6:$R$411,R375)&gt;1,"重复","唯一")</f>
        <v/>
      </c>
      <c r="T375" s="349" t="inlineStr">
        <is>
          <t>7195b627200aee96cc5ad1af2f20deacfaa4187178cf24e5c85e9ad5e382f8b4</t>
        </is>
      </c>
      <c r="U375" s="349" t="inlineStr">
        <is>
          <t>Codex</t>
        </is>
      </c>
      <c r="V375" s="348" t="n">
        <v>46269</v>
      </c>
      <c r="W375" s="349" t="inlineStr">
        <is>
          <t>用户自制Blender资产</t>
        </is>
      </c>
      <c r="X375" s="375" t="inlineStr">
        <is>
          <t>—</t>
        </is>
      </c>
      <c r="Y375" s="34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6" ht="54" customHeight="1">
      <c r="A376" t="inlineStr">
        <is>
          <t>BPK-BASE99-LOFT-STAY-CURIOUS-NEON</t>
        </is>
      </c>
      <c r="B376" t="inlineStr">
        <is>
          <t>基地99层 · STAY_CURIOUS楼梯墙标识</t>
        </is>
      </c>
      <c r="C376" t="inlineStr">
        <is>
          <t>基地资产包</t>
        </is>
      </c>
      <c r="D376" t="inlineStr">
        <is>
          <t>二楼/阁楼设施包</t>
        </is>
      </c>
      <c r="E376" t="inlineStr">
        <is>
          <t>base99_package_loft_stay_curious_neon</t>
        </is>
      </c>
      <c r="F376" t="inlineStr">
        <is>
          <t>package_root</t>
        </is>
      </c>
      <c r="G376" t="inlineStr">
        <is>
          <t>ENV-BASE99-ART-LAYOUT-3D</t>
        </is>
      </c>
      <c r="H376" t="inlineStr">
        <is>
          <t>Top3D / Blender +Y北</t>
        </is>
      </c>
      <c r="I376" t="inlineStr">
        <is>
          <t>static / fixture_light</t>
        </is>
      </c>
      <c r="J376" t="inlineStr">
        <is>
          <t>3D-设施 / 基地99层独立资产包</t>
        </is>
      </c>
      <c r="K376" t="inlineStr">
        <is>
          <t>Blender源已完成</t>
        </is>
      </c>
      <c r="L376" t="inlineStr">
        <is>
          <t>P1</t>
        </is>
      </c>
      <c r="M376" t="inlineStr">
        <is>
          <t>v017</t>
        </is>
      </c>
      <c r="N376" s="349" t="inlineStr">
        <is>
          <t>包络 0.608×1.500×0.844m；2 网格；2 灯</t>
        </is>
      </c>
      <c r="O376" s="349" t="inlineStr">
        <is>
          <t>source/art/blender/base_facility_layout/component_packages_v017/loft/loft_stay_curious_neon/asset_manifest.json</t>
        </is>
      </c>
      <c r="P376" s="349" t="inlineStr">
        <is>
          <t>source/art/blender/base_facility_layout/base_facility_runtime_layout_hq_v017.blend; outputs/verification/base_facility_runtime_layout_hq_v017/base_facility_component_catalog_v017.json</t>
        </is>
      </c>
      <c r="Q376" s="349" t="inlineStr">
        <is>
          <t>基地99层;基地资产包;3D设施;二楼/阁楼设施包;loft_stay_curious_neon;PaletteUV</t>
        </is>
      </c>
      <c r="R376" s="349">
        <f>C376&amp;"|"&amp;D376&amp;"|"&amp;E376&amp;"|"&amp;F376&amp;"|"&amp;LOWER(H376)&amp;"|"&amp;I376</f>
        <v/>
      </c>
      <c r="S376" s="349">
        <f>IF(COUNTIF($R$6:$R$411,R376)&gt;1,"重复","唯一")</f>
        <v/>
      </c>
      <c r="T376" s="349" t="inlineStr">
        <is>
          <t>7126cd846635ae528b323245747413e5b6130dd2140ab9d0ddead50aaa7aa0be</t>
        </is>
      </c>
      <c r="U376" s="349" t="inlineStr">
        <is>
          <t>Codex</t>
        </is>
      </c>
      <c r="V376" s="348" t="n">
        <v>46269</v>
      </c>
      <c r="W376" s="349" t="inlineStr">
        <is>
          <t>用户自制Blender资产</t>
        </is>
      </c>
      <c r="X376" s="375" t="inlineStr">
        <is>
          <t>52</t>
        </is>
      </c>
      <c r="Y376" s="34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377" ht="54" customHeight="1">
      <c r="A377" t="inlineStr">
        <is>
          <t>BPK-BASE99-LOFT-STRIPED-PRIVACY-CURTAIN</t>
        </is>
      </c>
      <c r="B377" t="inlineStr">
        <is>
          <t>基地99层 · 红紫条纹隔断帘</t>
        </is>
      </c>
      <c r="C377" t="inlineStr">
        <is>
          <t>基地资产包</t>
        </is>
      </c>
      <c r="D377" t="inlineStr">
        <is>
          <t>二楼/阁楼设施包</t>
        </is>
      </c>
      <c r="E377" t="inlineStr">
        <is>
          <t>base99_package_loft_striped_privacy_curtain</t>
        </is>
      </c>
      <c r="F377" t="inlineStr">
        <is>
          <t>package_root</t>
        </is>
      </c>
      <c r="G377" t="inlineStr">
        <is>
          <t>ENV-BASE99-ART-LAYOUT-3D</t>
        </is>
      </c>
      <c r="H377" t="inlineStr">
        <is>
          <t>Top3D / Blender +Y北</t>
        </is>
      </c>
      <c r="I377" t="inlineStr">
        <is>
          <t>static / default</t>
        </is>
      </c>
      <c r="J377" t="inlineStr">
        <is>
          <t>3D-设施 / 基地99层独立资产包</t>
        </is>
      </c>
      <c r="K377" t="inlineStr">
        <is>
          <t>Blender源已完成</t>
        </is>
      </c>
      <c r="L377" t="inlineStr">
        <is>
          <t>P1</t>
        </is>
      </c>
      <c r="M377" t="inlineStr">
        <is>
          <t>v017</t>
        </is>
      </c>
      <c r="N377" s="349" t="inlineStr">
        <is>
          <t>包络 0.263×2.875×2.328m；29 网格；0 灯</t>
        </is>
      </c>
      <c r="O377" s="349" t="inlineStr">
        <is>
          <t>source/art/blender/base_facility_layout/component_packages_v017/loft/loft_striped_privacy_curtain/asset_manifest.json</t>
        </is>
      </c>
      <c r="P377" s="349" t="inlineStr">
        <is>
          <t>source/art/blender/base_facility_layout/base_facility_runtime_layout_hq_v017.blend; outputs/verification/base_facility_runtime_layout_hq_v017/base_facility_component_catalog_v017.json</t>
        </is>
      </c>
      <c r="Q377" s="349" t="inlineStr">
        <is>
          <t>基地99层;基地资产包;3D设施;二楼/阁楼设施包;loft_striped_privacy_curtain;PaletteUV</t>
        </is>
      </c>
      <c r="R377" s="349">
        <f>C377&amp;"|"&amp;D377&amp;"|"&amp;E377&amp;"|"&amp;F377&amp;"|"&amp;LOWER(H377)&amp;"|"&amp;I377</f>
        <v/>
      </c>
      <c r="S377" s="349">
        <f>IF(COUNTIF($R$6:$R$411,R377)&gt;1,"重复","唯一")</f>
        <v/>
      </c>
      <c r="T377" s="349" t="inlineStr">
        <is>
          <t>d1d3ab10ad5f640d1af0be677718403ebcedf45cc7d1ead355ff20f2f9019501</t>
        </is>
      </c>
      <c r="U377" s="349" t="inlineStr">
        <is>
          <t>Codex</t>
        </is>
      </c>
      <c r="V377" s="348" t="n">
        <v>46269</v>
      </c>
      <c r="W377" s="349" t="inlineStr">
        <is>
          <t>用户自制Blender资产</t>
        </is>
      </c>
      <c r="X377" s="375" t="inlineStr">
        <is>
          <t>—</t>
        </is>
      </c>
      <c r="Y377" s="34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8" ht="54" customHeight="1">
      <c r="A378" t="inlineStr">
        <is>
          <t>BPK-BASE99-LOFT-TOOL-PEGBOARD</t>
        </is>
      </c>
      <c r="B378" t="inlineStr">
        <is>
          <t>基地99层 · 工具洞洞板与固定工具</t>
        </is>
      </c>
      <c r="C378" t="inlineStr">
        <is>
          <t>基地资产包</t>
        </is>
      </c>
      <c r="D378" t="inlineStr">
        <is>
          <t>二楼/阁楼设施包</t>
        </is>
      </c>
      <c r="E378" t="inlineStr">
        <is>
          <t>base99_package_loft_tool_pegboard</t>
        </is>
      </c>
      <c r="F378" t="inlineStr">
        <is>
          <t>package_root</t>
        </is>
      </c>
      <c r="G378" t="inlineStr">
        <is>
          <t>ENV-BASE99-ART-LAYOUT-3D</t>
        </is>
      </c>
      <c r="H378" t="inlineStr">
        <is>
          <t>Top3D / Blender +Y北</t>
        </is>
      </c>
      <c r="I378" t="inlineStr">
        <is>
          <t>static / default</t>
        </is>
      </c>
      <c r="J378" t="inlineStr">
        <is>
          <t>3D-设施 / 基地99层独立资产包</t>
        </is>
      </c>
      <c r="K378" t="inlineStr">
        <is>
          <t>Blender源已完成</t>
        </is>
      </c>
      <c r="L378" t="inlineStr">
        <is>
          <t>P1</t>
        </is>
      </c>
      <c r="M378" t="inlineStr">
        <is>
          <t>v017</t>
        </is>
      </c>
      <c r="N378" s="349" t="inlineStr">
        <is>
          <t>包络 2.550×0.177×1.340m；41 网格；0 灯</t>
        </is>
      </c>
      <c r="O378" s="349" t="inlineStr">
        <is>
          <t>source/art/blender/base_facility_layout/component_packages_v017/loft/loft_tool_pegboard/asset_manifest.json</t>
        </is>
      </c>
      <c r="P378" s="349" t="inlineStr">
        <is>
          <t>source/art/blender/base_facility_layout/base_facility_runtime_layout_hq_v017.blend; outputs/verification/base_facility_runtime_layout_hq_v017/base_facility_component_catalog_v017.json</t>
        </is>
      </c>
      <c r="Q378" s="349" t="inlineStr">
        <is>
          <t>基地99层;基地资产包;3D设施;二楼/阁楼设施包;loft_tool_pegboard;PaletteUV</t>
        </is>
      </c>
      <c r="R378" s="349">
        <f>C378&amp;"|"&amp;D378&amp;"|"&amp;E378&amp;"|"&amp;F378&amp;"|"&amp;LOWER(H378)&amp;"|"&amp;I378</f>
        <v/>
      </c>
      <c r="S378" s="349">
        <f>IF(COUNTIF($R$6:$R$411,R378)&gt;1,"重复","唯一")</f>
        <v/>
      </c>
      <c r="T378" s="349" t="inlineStr">
        <is>
          <t>c5ce8fa244331d60ca0efb66680f4ecd382aed050dabf38490f25d2f3adacfe9</t>
        </is>
      </c>
      <c r="U378" s="349" t="inlineStr">
        <is>
          <t>Codex</t>
        </is>
      </c>
      <c r="V378" s="348" t="n">
        <v>46269</v>
      </c>
      <c r="W378" s="349" t="inlineStr">
        <is>
          <t>用户自制Blender资产</t>
        </is>
      </c>
      <c r="X378" s="375" t="inlineStr">
        <is>
          <t>—</t>
        </is>
      </c>
      <c r="Y378" s="34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379" ht="54" customHeight="1">
      <c r="A379" t="inlineStr">
        <is>
          <t>BPK-BASE99-CORRIDOR-EMERGENCY-LIGHT-GROUP</t>
        </is>
      </c>
      <c r="B379" t="inlineStr">
        <is>
          <t>基地99层 · 主通道应急灯组</t>
        </is>
      </c>
      <c r="C379" t="inlineStr">
        <is>
          <t>基地资产包</t>
        </is>
      </c>
      <c r="D379" t="inlineStr">
        <is>
          <t>环境支持包</t>
        </is>
      </c>
      <c r="E379" t="inlineStr">
        <is>
          <t>base99_package_corridor_emergency_light_group</t>
        </is>
      </c>
      <c r="F379" t="inlineStr">
        <is>
          <t>package_root</t>
        </is>
      </c>
      <c r="G379" t="inlineStr">
        <is>
          <t>ENV-BASE99-ART-LAYOUT-3D</t>
        </is>
      </c>
      <c r="H379" t="inlineStr">
        <is>
          <t>Top3D / Blender +Y北</t>
        </is>
      </c>
      <c r="I379" t="inlineStr">
        <is>
          <t>static / fixture_light</t>
        </is>
      </c>
      <c r="J379" t="inlineStr">
        <is>
          <t>3D-设施 / 基地99层独立资产包</t>
        </is>
      </c>
      <c r="K379" t="inlineStr">
        <is>
          <t>Blender源已完成</t>
        </is>
      </c>
      <c r="L379" t="inlineStr">
        <is>
          <t>P1</t>
        </is>
      </c>
      <c r="M379" t="inlineStr">
        <is>
          <t>v017</t>
        </is>
      </c>
      <c r="N379" s="349" t="inlineStr">
        <is>
          <t>包络 27.820×0.750×0.320m；2 网格；2 灯</t>
        </is>
      </c>
      <c r="O379" s="349" t="inlineStr">
        <is>
          <t>source/art/blender/base_facility_layout/component_packages_v017/support/corridor_emergency_light_group/asset_manifest.json</t>
        </is>
      </c>
      <c r="P379" s="349" t="inlineStr">
        <is>
          <t>source/art/blender/base_facility_layout/base_facility_runtime_layout_hq_v017.blend; outputs/verification/base_facility_runtime_layout_hq_v017/base_facility_component_catalog_v017.json</t>
        </is>
      </c>
      <c r="Q379" s="349" t="inlineStr">
        <is>
          <t>基地99层;基地资产包;3D设施;环境支持包;corridor_emergency_light_group;PaletteUV</t>
        </is>
      </c>
      <c r="R379" s="349">
        <f>C379&amp;"|"&amp;D379&amp;"|"&amp;E379&amp;"|"&amp;F379&amp;"|"&amp;LOWER(H379)&amp;"|"&amp;I379</f>
        <v/>
      </c>
      <c r="S379" s="349">
        <f>IF(COUNTIF($R$6:$R$411,R379)&gt;1,"重复","唯一")</f>
        <v/>
      </c>
      <c r="T379" s="349" t="inlineStr">
        <is>
          <t>cecec84af463ca449d42a76e44a46602847f1d5ae3d3b0574aaae9e4533b27df</t>
        </is>
      </c>
      <c r="U379" s="349" t="inlineStr">
        <is>
          <t>Codex</t>
        </is>
      </c>
      <c r="V379" s="348" t="n">
        <v>46269</v>
      </c>
      <c r="W379" s="349" t="inlineStr">
        <is>
          <t>用户自制Blender资产</t>
        </is>
      </c>
      <c r="X379" s="375" t="inlineStr">
        <is>
          <t>62</t>
        </is>
      </c>
      <c r="Y379" s="34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380" ht="54" customHeight="1">
      <c r="A380" t="inlineStr">
        <is>
          <t>BPK-BASE99-EQUIPMENT-STEAM-FX</t>
        </is>
      </c>
      <c r="B380" t="inlineStr">
        <is>
          <t>基地99层 · 设备蒸汽动效组</t>
        </is>
      </c>
      <c r="C380" t="inlineStr">
        <is>
          <t>基地资产包</t>
        </is>
      </c>
      <c r="D380" t="inlineStr">
        <is>
          <t>环境支持包</t>
        </is>
      </c>
      <c r="E380" t="inlineStr">
        <is>
          <t>base99_package_equipment_steam_fx</t>
        </is>
      </c>
      <c r="F380" t="inlineStr">
        <is>
          <t>package_root</t>
        </is>
      </c>
      <c r="G380" t="inlineStr">
        <is>
          <t>ENV-BASE99-ART-LAYOUT-3D</t>
        </is>
      </c>
      <c r="H380" t="inlineStr">
        <is>
          <t>Top3D / Blender +Y北</t>
        </is>
      </c>
      <c r="I380" t="inlineStr">
        <is>
          <t>static / default</t>
        </is>
      </c>
      <c r="J380" t="inlineStr">
        <is>
          <t>3D-设施 / 基地99层独立资产包</t>
        </is>
      </c>
      <c r="K380" t="inlineStr">
        <is>
          <t>Blender源已完成</t>
        </is>
      </c>
      <c r="L380" t="inlineStr">
        <is>
          <t>P1</t>
        </is>
      </c>
      <c r="M380" t="inlineStr">
        <is>
          <t>v017</t>
        </is>
      </c>
      <c r="N380" s="349" t="inlineStr">
        <is>
          <t>包络 18.064×2.326×1.133m；10 网格；0 灯</t>
        </is>
      </c>
      <c r="O380" s="349" t="inlineStr">
        <is>
          <t>source/art/blender/base_facility_layout/component_packages_v017/support/equipment_steam_fx/asset_manifest.json</t>
        </is>
      </c>
      <c r="P380" s="349" t="inlineStr">
        <is>
          <t>source/art/blender/base_facility_layout/base_facility_runtime_layout_hq_v017.blend; outputs/verification/base_facility_runtime_layout_hq_v017/base_facility_component_catalog_v017.json</t>
        </is>
      </c>
      <c r="Q380" s="349" t="inlineStr">
        <is>
          <t>基地99层;基地资产包;3D设施;环境支持包;equipment_steam_fx;PaletteUV</t>
        </is>
      </c>
      <c r="R380" s="349">
        <f>C380&amp;"|"&amp;D380&amp;"|"&amp;E380&amp;"|"&amp;F380&amp;"|"&amp;LOWER(H380)&amp;"|"&amp;I380</f>
        <v/>
      </c>
      <c r="S380" s="349">
        <f>IF(COUNTIF($R$6:$R$411,R380)&gt;1,"重复","唯一")</f>
        <v/>
      </c>
      <c r="T380" s="349" t="inlineStr">
        <is>
          <t>8ebab144bcd1f2f8a3756eb4d2c384244b5e3606b52841b744c18c646c7613c5</t>
        </is>
      </c>
      <c r="U380" s="349" t="inlineStr">
        <is>
          <t>Codex</t>
        </is>
      </c>
      <c r="V380" s="348" t="n">
        <v>46269</v>
      </c>
      <c r="W380" s="349" t="inlineStr">
        <is>
          <t>用户自制Blender资产</t>
        </is>
      </c>
      <c r="X380" s="375" t="inlineStr">
        <is>
          <t>63</t>
        </is>
      </c>
      <c r="Y380" s="349" t="inlineStr">
        <is>
          <t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t>
        </is>
      </c>
    </row>
    <row r="381" ht="54" customHeight="1">
      <c r="A381" t="inlineStr">
        <is>
          <t>BPK-BASE99-LOFT-LIGHTING-SUPPORT</t>
        </is>
      </c>
      <c r="B381" t="inlineStr">
        <is>
          <t>基地99层 · 二楼分层照明支持</t>
        </is>
      </c>
      <c r="C381" t="inlineStr">
        <is>
          <t>基地资产包</t>
        </is>
      </c>
      <c r="D381" t="inlineStr">
        <is>
          <t>环境支持包</t>
        </is>
      </c>
      <c r="E381" t="inlineStr">
        <is>
          <t>base99_package_loft_lighting_support</t>
        </is>
      </c>
      <c r="F381" t="inlineStr">
        <is>
          <t>package_root</t>
        </is>
      </c>
      <c r="G381" t="inlineStr">
        <is>
          <t>ENV-BASE99-ART-LAYOUT-3D</t>
        </is>
      </c>
      <c r="H381" t="inlineStr">
        <is>
          <t>Top3D / Blender +Y北</t>
        </is>
      </c>
      <c r="I381" t="inlineStr">
        <is>
          <t>static / fixture_light</t>
        </is>
      </c>
      <c r="J381" t="inlineStr">
        <is>
          <t>3D-设施 / 基地99层独立资产包</t>
        </is>
      </c>
      <c r="K381" t="inlineStr">
        <is>
          <t>Blender源已完成</t>
        </is>
      </c>
      <c r="L381" t="inlineStr">
        <is>
          <t>P1</t>
        </is>
      </c>
      <c r="M381" t="inlineStr">
        <is>
          <t>v017</t>
        </is>
      </c>
      <c r="N381" s="349" t="inlineStr">
        <is>
          <t>包络 18.321×9.467×5.292m；8 网格；4 灯</t>
        </is>
      </c>
      <c r="O381" s="349" t="inlineStr">
        <is>
          <t>source/art/blender/base_facility_layout/component_packages_v017/support/loft_lighting_support/asset_manifest.json</t>
        </is>
      </c>
      <c r="P381" s="349" t="inlineStr">
        <is>
          <t>source/art/blender/base_facility_layout/base_facility_runtime_layout_hq_v017.blend; outputs/verification/base_facility_runtime_layout_hq_v017/base_facility_component_catalog_v017.json</t>
        </is>
      </c>
      <c r="Q381" s="349" t="inlineStr">
        <is>
          <t>基地99层;基地资产包;3D设施;环境支持包;loft_lighting_support;PaletteUV</t>
        </is>
      </c>
      <c r="R381" s="349">
        <f>C381&amp;"|"&amp;D381&amp;"|"&amp;E381&amp;"|"&amp;F381&amp;"|"&amp;LOWER(H381)&amp;"|"&amp;I381</f>
        <v/>
      </c>
      <c r="S381" s="349">
        <f>IF(COUNTIF($R$6:$R$411,R381)&gt;1,"重复","唯一")</f>
        <v/>
      </c>
      <c r="T381" s="349" t="inlineStr">
        <is>
          <t>c52f581b50aed742ff9cf9567a2188a81024eaadc4f94c98b2b3f178d527a2cf</t>
        </is>
      </c>
      <c r="U381" s="349" t="inlineStr">
        <is>
          <t>Codex</t>
        </is>
      </c>
      <c r="V381" s="348" t="n">
        <v>46269</v>
      </c>
      <c r="W381" s="349" t="inlineStr">
        <is>
          <t>用户自制Blender资产</t>
        </is>
      </c>
      <c r="X381" s="375" t="inlineStr">
        <is>
          <t>50</t>
        </is>
      </c>
      <c r="Y381" s="34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82" ht="54" customHeight="1">
      <c r="A382" t="inlineStr">
        <is>
          <t>BPK-BASE99-VOLUMETRIC-DUST-FX</t>
        </is>
      </c>
      <c r="B382" t="inlineStr">
        <is>
          <t>基地99层 · 光束尘埃动效组</t>
        </is>
      </c>
      <c r="C382" t="inlineStr">
        <is>
          <t>基地资产包</t>
        </is>
      </c>
      <c r="D382" t="inlineStr">
        <is>
          <t>环境支持包</t>
        </is>
      </c>
      <c r="E382" t="inlineStr">
        <is>
          <t>base99_package_volumetric_dust_fx</t>
        </is>
      </c>
      <c r="F382" t="inlineStr">
        <is>
          <t>package_root</t>
        </is>
      </c>
      <c r="G382" t="inlineStr">
        <is>
          <t>ENV-BASE99-ART-LAYOUT-3D</t>
        </is>
      </c>
      <c r="H382" t="inlineStr">
        <is>
          <t>Top3D / Blender +Y北</t>
        </is>
      </c>
      <c r="I382" t="inlineStr">
        <is>
          <t>static / default</t>
        </is>
      </c>
      <c r="J382" t="inlineStr">
        <is>
          <t>3D-设施 / 基地99层独立资产包</t>
        </is>
      </c>
      <c r="K382" t="inlineStr">
        <is>
          <t>Blender源已完成</t>
        </is>
      </c>
      <c r="L382" t="inlineStr">
        <is>
          <t>P1</t>
        </is>
      </c>
      <c r="M382" t="inlineStr">
        <is>
          <t>v017</t>
        </is>
      </c>
      <c r="N382" s="349" t="inlineStr">
        <is>
          <t>包络 23.750×12.014×6.494m；28 网格；0 灯</t>
        </is>
      </c>
      <c r="O382" s="349" t="inlineStr">
        <is>
          <t>source/art/blender/base_facility_layout/component_packages_v017/support/volumetric_dust_fx/asset_manifest.json</t>
        </is>
      </c>
      <c r="P382" s="349" t="inlineStr">
        <is>
          <t>source/art/blender/base_facility_layout/base_facility_runtime_layout_hq_v017.blend; outputs/verification/base_facility_runtime_layout_hq_v017/base_facility_component_catalog_v017.json</t>
        </is>
      </c>
      <c r="Q382" s="349" t="inlineStr">
        <is>
          <t>基地99层;基地资产包;3D设施;环境支持包;volumetric_dust_fx;PaletteUV</t>
        </is>
      </c>
      <c r="R382" s="349">
        <f>C382&amp;"|"&amp;D382&amp;"|"&amp;E382&amp;"|"&amp;F382&amp;"|"&amp;LOWER(H382)&amp;"|"&amp;I382</f>
        <v/>
      </c>
      <c r="S382" s="349">
        <f>IF(COUNTIF($R$6:$R$411,R382)&gt;1,"重复","唯一")</f>
        <v/>
      </c>
      <c r="T382" s="349" t="inlineStr">
        <is>
          <t>a45cf20c8f73d8fd4d9ea37e05078d6963f31cc6efc873445af2b6c87b8e51b8</t>
        </is>
      </c>
      <c r="U382" s="349" t="inlineStr">
        <is>
          <t>Codex</t>
        </is>
      </c>
      <c r="V382" s="348" t="n">
        <v>46269</v>
      </c>
      <c r="W382" s="349" t="inlineStr">
        <is>
          <t>用户自制Blender资产</t>
        </is>
      </c>
      <c r="X382" s="375" t="inlineStr">
        <is>
          <t>64</t>
        </is>
      </c>
      <c r="Y382" s="34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383" ht="54" customHeight="1">
      <c r="A383" t="inlineStr">
        <is>
          <t>BPK-BASE99-WAREHOUSE-PENDANT-LIGHT-GROUP</t>
        </is>
      </c>
      <c r="B383" t="inlineStr">
        <is>
          <t>基地99层 · 仓库防爆吊灯组</t>
        </is>
      </c>
      <c r="C383" t="inlineStr">
        <is>
          <t>基地资产包</t>
        </is>
      </c>
      <c r="D383" t="inlineStr">
        <is>
          <t>环境支持包</t>
        </is>
      </c>
      <c r="E383" t="inlineStr">
        <is>
          <t>base99_package_warehouse_pendant_light_group</t>
        </is>
      </c>
      <c r="F383" t="inlineStr">
        <is>
          <t>package_root</t>
        </is>
      </c>
      <c r="G383" t="inlineStr">
        <is>
          <t>ENV-BASE99-ART-LAYOUT-3D</t>
        </is>
      </c>
      <c r="H383" t="inlineStr">
        <is>
          <t>Top3D / Blender +Y北</t>
        </is>
      </c>
      <c r="I383" t="inlineStr">
        <is>
          <t>static / fixture_light</t>
        </is>
      </c>
      <c r="J383" t="inlineStr">
        <is>
          <t>3D-设施 / 基地99层独立资产包</t>
        </is>
      </c>
      <c r="K383" t="inlineStr">
        <is>
          <t>Blender源已完成</t>
        </is>
      </c>
      <c r="L383" t="inlineStr">
        <is>
          <t>P1</t>
        </is>
      </c>
      <c r="M383" t="inlineStr">
        <is>
          <t>v017</t>
        </is>
      </c>
      <c r="N383" s="349" t="inlineStr">
        <is>
          <t>包络 21.242×8.043×1.220m；15 网格；5 灯</t>
        </is>
      </c>
      <c r="O383" s="349" t="inlineStr">
        <is>
          <t>source/art/blender/base_facility_layout/component_packages_v017/support/warehouse_pendant_light_group/asset_manifest.json</t>
        </is>
      </c>
      <c r="P383" s="349" t="inlineStr">
        <is>
          <t>source/art/blender/base_facility_layout/base_facility_runtime_layout_hq_v017.blend; outputs/verification/base_facility_runtime_layout_hq_v017/base_facility_component_catalog_v017.json</t>
        </is>
      </c>
      <c r="Q383" s="349" t="inlineStr">
        <is>
          <t>基地99层;基地资产包;3D设施;环境支持包;warehouse_pendant_light_group;PaletteUV</t>
        </is>
      </c>
      <c r="R383" s="349">
        <f>C383&amp;"|"&amp;D383&amp;"|"&amp;E383&amp;"|"&amp;F383&amp;"|"&amp;LOWER(H383)&amp;"|"&amp;I383</f>
        <v/>
      </c>
      <c r="S383" s="349">
        <f>IF(COUNTIF($R$6:$R$411,R383)&gt;1,"重复","唯一")</f>
        <v/>
      </c>
      <c r="T383" s="349" t="inlineStr">
        <is>
          <t>de64c5243679d4acbdae7545808d2233871703cadcc529a5c3bfd62826476689</t>
        </is>
      </c>
      <c r="U383" s="349" t="inlineStr">
        <is>
          <t>Codex</t>
        </is>
      </c>
      <c r="V383" s="348" t="n">
        <v>46269</v>
      </c>
      <c r="W383" s="349" t="inlineStr">
        <is>
          <t>用户自制Blender资产</t>
        </is>
      </c>
      <c r="X383" s="375" t="inlineStr">
        <is>
          <t>61</t>
        </is>
      </c>
      <c r="Y383" s="34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384" ht="54" customHeight="1">
      <c r="A384" t="inlineStr">
        <is>
          <t>BPK-BASE99-ACCESS-TERMINAL</t>
        </is>
      </c>
      <c r="B384" t="inlineStr">
        <is>
          <t>基地99层 · ACCESS门禁终端</t>
        </is>
      </c>
      <c r="C384" t="inlineStr">
        <is>
          <t>基地资产包</t>
        </is>
      </c>
      <c r="D384" t="inlineStr">
        <is>
          <t>阁楼下方固定设施包</t>
        </is>
      </c>
      <c r="E384" t="inlineStr">
        <is>
          <t>base99_package_access_terminal</t>
        </is>
      </c>
      <c r="F384" t="inlineStr">
        <is>
          <t>package_root</t>
        </is>
      </c>
      <c r="G384" t="inlineStr">
        <is>
          <t>ENV-BASE99-ART-LAYOUT-3D</t>
        </is>
      </c>
      <c r="H384" t="inlineStr">
        <is>
          <t>Top3D / Blender +Y北</t>
        </is>
      </c>
      <c r="I384" t="inlineStr">
        <is>
          <t>static / default</t>
        </is>
      </c>
      <c r="J384" t="inlineStr">
        <is>
          <t>3D-设施 / 基地99层独立资产包</t>
        </is>
      </c>
      <c r="K384" t="inlineStr">
        <is>
          <t>Blender源已完成</t>
        </is>
      </c>
      <c r="L384" t="inlineStr">
        <is>
          <t>P1</t>
        </is>
      </c>
      <c r="M384" t="inlineStr">
        <is>
          <t>v017</t>
        </is>
      </c>
      <c r="N384" s="349" t="inlineStr">
        <is>
          <t>包络 0.560×0.383×1.030m；9 网格；0 灯</t>
        </is>
      </c>
      <c r="O384" s="349" t="inlineStr">
        <is>
          <t>source/art/blender/base_facility_layout/component_packages_v017/underloft/access_terminal/asset_manifest.json</t>
        </is>
      </c>
      <c r="P384" s="349" t="inlineStr">
        <is>
          <t>source/art/blender/base_facility_layout/base_facility_runtime_layout_hq_v017.blend; outputs/verification/base_facility_runtime_layout_hq_v017/base_facility_component_catalog_v017.json</t>
        </is>
      </c>
      <c r="Q384" s="349" t="inlineStr">
        <is>
          <t>基地99层;基地资产包;3D设施;阁楼下方固定设施包;access_terminal;PaletteUV</t>
        </is>
      </c>
      <c r="R384" s="349">
        <f>C384&amp;"|"&amp;D384&amp;"|"&amp;E384&amp;"|"&amp;F384&amp;"|"&amp;LOWER(H384)&amp;"|"&amp;I384</f>
        <v/>
      </c>
      <c r="S384" s="349">
        <f>IF(COUNTIF($R$6:$R$411,R384)&gt;1,"重复","唯一")</f>
        <v/>
      </c>
      <c r="T384" s="349" t="inlineStr">
        <is>
          <t>84c73e295098a57bf4b0c606a9bc6f94654b6fbff4db25e16f44a530e8c71a76</t>
        </is>
      </c>
      <c r="U384" s="349" t="inlineStr">
        <is>
          <t>Codex</t>
        </is>
      </c>
      <c r="V384" s="348" t="n">
        <v>46269</v>
      </c>
      <c r="W384" s="349" t="inlineStr">
        <is>
          <t>用户自制Blender资产</t>
        </is>
      </c>
      <c r="X384" s="375" t="inlineStr">
        <is>
          <t>52</t>
        </is>
      </c>
      <c r="Y384" s="34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385" ht="54" customHeight="1">
      <c r="A385" t="inlineStr">
        <is>
          <t>BPK-BASE99-BASE-CAMP-NEON-SIGN</t>
        </is>
      </c>
      <c r="B385" t="inlineStr">
        <is>
          <t>基地99层 · BASE_CAMP立体霓虹标识</t>
        </is>
      </c>
      <c r="C385" t="inlineStr">
        <is>
          <t>基地资产包</t>
        </is>
      </c>
      <c r="D385" t="inlineStr">
        <is>
          <t>阁楼下方固定设施包</t>
        </is>
      </c>
      <c r="E385" t="inlineStr">
        <is>
          <t>base99_package_base_camp_neon_sign</t>
        </is>
      </c>
      <c r="F385" t="inlineStr">
        <is>
          <t>package_root</t>
        </is>
      </c>
      <c r="G385" t="inlineStr">
        <is>
          <t>ENV-BASE99-ART-LAYOUT-3D</t>
        </is>
      </c>
      <c r="H385" t="inlineStr">
        <is>
          <t>Top3D / Blender +Y北</t>
        </is>
      </c>
      <c r="I385" t="inlineStr">
        <is>
          <t>static / fixture_light</t>
        </is>
      </c>
      <c r="J385" t="inlineStr">
        <is>
          <t>3D-设施 / 基地99层独立资产包</t>
        </is>
      </c>
      <c r="K385" t="inlineStr">
        <is>
          <t>Blender源已完成</t>
        </is>
      </c>
      <c r="L385" t="inlineStr">
        <is>
          <t>P1</t>
        </is>
      </c>
      <c r="M385" t="inlineStr">
        <is>
          <t>v017</t>
        </is>
      </c>
      <c r="N385" s="349" t="inlineStr">
        <is>
          <t>包络 7.800×0.845×0.998m；17 网格；2 灯</t>
        </is>
      </c>
      <c r="O385" s="349" t="inlineStr">
        <is>
          <t>source/art/blender/base_facility_layout/component_packages_v017/underloft/base_camp_neon_sign/asset_manifest.json</t>
        </is>
      </c>
      <c r="P385" s="349" t="inlineStr">
        <is>
          <t>source/art/blender/base_facility_layout/base_facility_runtime_layout_hq_v017.blend; outputs/verification/base_facility_runtime_layout_hq_v017/base_facility_component_catalog_v017.json</t>
        </is>
      </c>
      <c r="Q385" s="349" t="inlineStr">
        <is>
          <t>基地99层;基地资产包;3D设施;阁楼下方固定设施包;base_camp_neon_sign;PaletteUV</t>
        </is>
      </c>
      <c r="R385" s="349">
        <f>C385&amp;"|"&amp;D385&amp;"|"&amp;E385&amp;"|"&amp;F385&amp;"|"&amp;LOWER(H385)&amp;"|"&amp;I385</f>
        <v/>
      </c>
      <c r="S385" s="349">
        <f>IF(COUNTIF($R$6:$R$411,R385)&gt;1,"重复","唯一")</f>
        <v/>
      </c>
      <c r="T385" s="349" t="inlineStr">
        <is>
          <t>2ac4aa48342161d2d2bc1873e444044264dcf415363f0118c318e5892566edae</t>
        </is>
      </c>
      <c r="U385" s="349" t="inlineStr">
        <is>
          <t>Codex</t>
        </is>
      </c>
      <c r="V385" s="348" t="n">
        <v>46269</v>
      </c>
      <c r="W385" s="349" t="inlineStr">
        <is>
          <t>用户自制Blender资产</t>
        </is>
      </c>
      <c r="X385" s="375" t="inlineStr">
        <is>
          <t>44</t>
        </is>
      </c>
      <c r="Y385" s="34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386" ht="54" customHeight="1">
      <c r="A386" t="inlineStr">
        <is>
          <t>BPK-BASE99-BASE-CAMP-ROLLUP-MAIN-DOOR</t>
        </is>
      </c>
      <c r="B386" t="inlineStr">
        <is>
          <t>基地99层 · BASE_CAMP大型卷帘主门</t>
        </is>
      </c>
      <c r="C386" t="inlineStr">
        <is>
          <t>基地资产包</t>
        </is>
      </c>
      <c r="D386" t="inlineStr">
        <is>
          <t>阁楼下方固定设施包</t>
        </is>
      </c>
      <c r="E386" t="inlineStr">
        <is>
          <t>base99_package_base_camp_rollup_main_door</t>
        </is>
      </c>
      <c r="F386" t="inlineStr">
        <is>
          <t>package_root</t>
        </is>
      </c>
      <c r="G386" t="inlineStr">
        <is>
          <t>ENV-BASE99-ART-LAYOUT-3D</t>
        </is>
      </c>
      <c r="H386" t="inlineStr">
        <is>
          <t>Top3D / Blender +Y北</t>
        </is>
      </c>
      <c r="I386" t="inlineStr">
        <is>
          <t>static / fixture_light</t>
        </is>
      </c>
      <c r="J386" t="inlineStr">
        <is>
          <t>3D-设施 / 基地99层独立资产包</t>
        </is>
      </c>
      <c r="K386" t="inlineStr">
        <is>
          <t>已优化并正式接入</t>
        </is>
      </c>
      <c r="L386" t="inlineStr">
        <is>
          <t>P1</t>
        </is>
      </c>
      <c r="M386" t="inlineStr">
        <is>
          <t>v021（源v017）</t>
        </is>
      </c>
      <c r="N386" s="349" t="inlineStr">
        <is>
          <t>包络 6.440×0.910×2.920m；顶视角优化；向下朝向面已剔除；单一盒体阻挡</t>
        </is>
      </c>
      <c r="O386" s="349" t="inlineStr">
        <is>
          <t>assets/art/environments/base_facility_3d/runtime/env_base99_remaining_facilities_v021/base_camp_rollup_main_door/base_camp_rollup_main_door_root_top3d_v001.tscn</t>
        </is>
      </c>
      <c r="P386" s="349" t="inlineStr">
        <is>
          <t>source/art/blender/base_facility_layout/base_facility_runtime_layout_hq_v017.blend; source/art/blender/base_facility_layout/v021/base_facility_runtime_layout_hq_v021_remaining_facilities.blend; scripts/blender/export_base99_remaining_facilities_v021.py</t>
        </is>
      </c>
      <c r="Q386" s="349" t="inlineStr">
        <is>
          <t>基地99层;基地资产包;3D设施;阁楼下方固定设施包;base_camp_rollup_main_door;PaletteUV</t>
        </is>
      </c>
      <c r="R386" s="349">
        <f>C386&amp;"|"&amp;D386&amp;"|"&amp;E386&amp;"|"&amp;F386&amp;"|"&amp;LOWER(H386)&amp;"|"&amp;I386</f>
        <v/>
      </c>
      <c r="S386" s="349">
        <f>IF(COUNTIF($R$6:$R$411,R386)&gt;1,"重复","唯一")</f>
        <v/>
      </c>
      <c r="T386" s="349" t="inlineStr">
        <is>
          <t>c0f32239d47278c2f1977c8c79bfa4c7fbe1266223787b0b11f0fe837c595f29</t>
        </is>
      </c>
      <c r="U386" s="349" t="inlineStr">
        <is>
          <t>Codex</t>
        </is>
      </c>
      <c r="V386" s="348" t="n">
        <v>46269</v>
      </c>
      <c r="W386" s="349" t="inlineStr">
        <is>
          <t>用户自制Blender资产</t>
        </is>
      </c>
      <c r="X386" s="375" t="inlineStr">
        <is>
          <t>42</t>
        </is>
      </c>
      <c r="Y386" s="34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387" ht="54" customHeight="1">
      <c r="A387" t="inlineStr">
        <is>
          <t>BPK-BASE99-BASE-STATUS-TERMINAL</t>
        </is>
      </c>
      <c r="B387" t="inlineStr">
        <is>
          <t>基地99层 · BASE_STATUS状态终端</t>
        </is>
      </c>
      <c r="C387" t="inlineStr">
        <is>
          <t>基地资产包</t>
        </is>
      </c>
      <c r="D387" t="inlineStr">
        <is>
          <t>阁楼下方固定设施包</t>
        </is>
      </c>
      <c r="E387" t="inlineStr">
        <is>
          <t>base99_package_base_status_terminal</t>
        </is>
      </c>
      <c r="F387" t="inlineStr">
        <is>
          <t>package_root</t>
        </is>
      </c>
      <c r="G387" t="inlineStr">
        <is>
          <t>ENV-BASE99-ART-LAYOUT-3D</t>
        </is>
      </c>
      <c r="H387" t="inlineStr">
        <is>
          <t>Top3D / Blender +Y北</t>
        </is>
      </c>
      <c r="I387" t="inlineStr">
        <is>
          <t>static / default</t>
        </is>
      </c>
      <c r="J387" t="inlineStr">
        <is>
          <t>3D-设施 / 基地99层独立资产包</t>
        </is>
      </c>
      <c r="K387" t="inlineStr">
        <is>
          <t>Blender源已完成</t>
        </is>
      </c>
      <c r="L387" t="inlineStr">
        <is>
          <t>P1</t>
        </is>
      </c>
      <c r="M387" t="inlineStr">
        <is>
          <t>v017</t>
        </is>
      </c>
      <c r="N387" s="349" t="inlineStr">
        <is>
          <t>包络 0.620×0.520×0.940m；10 网格；0 灯</t>
        </is>
      </c>
      <c r="O387" s="349" t="inlineStr">
        <is>
          <t>source/art/blender/base_facility_layout/component_packages_v017/underloft/base_status_terminal/asset_manifest.json</t>
        </is>
      </c>
      <c r="P387" s="349" t="inlineStr">
        <is>
          <t>source/art/blender/base_facility_layout/base_facility_runtime_layout_hq_v017.blend; outputs/verification/base_facility_runtime_layout_hq_v017/base_facility_component_catalog_v017.json</t>
        </is>
      </c>
      <c r="Q387" s="349" t="inlineStr">
        <is>
          <t>基地99层;基地资产包;3D设施;阁楼下方固定设施包;base_status_terminal;PaletteUV</t>
        </is>
      </c>
      <c r="R387" s="349">
        <f>C387&amp;"|"&amp;D387&amp;"|"&amp;E387&amp;"|"&amp;F387&amp;"|"&amp;LOWER(H387)&amp;"|"&amp;I387</f>
        <v/>
      </c>
      <c r="S387" s="349">
        <f>IF(COUNTIF($R$6:$R$411,R387)&gt;1,"重复","唯一")</f>
        <v/>
      </c>
      <c r="T387" s="349" t="inlineStr">
        <is>
          <t>c3e5602c0e11fdfa610a67ca18968dc45026639e2e8a03ee67bc7897f2ccf643</t>
        </is>
      </c>
      <c r="U387" s="349" t="inlineStr">
        <is>
          <t>Codex</t>
        </is>
      </c>
      <c r="V387" s="348" t="n">
        <v>46269</v>
      </c>
      <c r="W387" s="349" t="inlineStr">
        <is>
          <t>用户自制Blender资产</t>
        </is>
      </c>
      <c r="X387" s="375" t="inlineStr">
        <is>
          <t>53</t>
        </is>
      </c>
      <c r="Y387" s="34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388" ht="54" customHeight="1">
      <c r="A388" t="inlineStr">
        <is>
          <t>BPK-BASE99-HOLOGRAM-TERMINAL-PLATFORM</t>
        </is>
      </c>
      <c r="B388" t="inlineStr">
        <is>
          <t>基地99层 · 圆形全息设备平台</t>
        </is>
      </c>
      <c r="C388" t="inlineStr">
        <is>
          <t>基地资产包</t>
        </is>
      </c>
      <c r="D388" t="inlineStr">
        <is>
          <t>阁楼下方固定设施包</t>
        </is>
      </c>
      <c r="E388" t="inlineStr">
        <is>
          <t>base99_package_hologram_terminal_platform</t>
        </is>
      </c>
      <c r="F388" t="inlineStr">
        <is>
          <t>package_root</t>
        </is>
      </c>
      <c r="G388" t="inlineStr">
        <is>
          <t>ENV-BASE99-ART-LAYOUT-3D</t>
        </is>
      </c>
      <c r="H388" t="inlineStr">
        <is>
          <t>Top3D / Blender +Y北</t>
        </is>
      </c>
      <c r="I388" t="inlineStr">
        <is>
          <t>static / fixture_light</t>
        </is>
      </c>
      <c r="J388" t="inlineStr">
        <is>
          <t>3D-设施 / 基地99层独立资产包</t>
        </is>
      </c>
      <c r="K388" t="inlineStr">
        <is>
          <t>Blender源已完成</t>
        </is>
      </c>
      <c r="L388" t="inlineStr">
        <is>
          <t>P1</t>
        </is>
      </c>
      <c r="M388" t="inlineStr">
        <is>
          <t>v017</t>
        </is>
      </c>
      <c r="N388" s="349" t="inlineStr">
        <is>
          <t>包络 2.409×2.409×1.825m；38 网格；1 灯</t>
        </is>
      </c>
      <c r="O388" s="349" t="inlineStr">
        <is>
          <t>source/art/blender/base_facility_layout/component_packages_v017/underloft/hologram_terminal_platform/asset_manifest.json</t>
        </is>
      </c>
      <c r="P388" s="349" t="inlineStr">
        <is>
          <t>source/art/blender/base_facility_layout/base_facility_runtime_layout_hq_v017.blend; outputs/verification/base_facility_runtime_layout_hq_v017/base_facility_component_catalog_v017.json</t>
        </is>
      </c>
      <c r="Q388" s="349" t="inlineStr">
        <is>
          <t>基地99层;基地资产包;3D设施;阁楼下方固定设施包;hologram_terminal_platform;PaletteUV</t>
        </is>
      </c>
      <c r="R388" s="349">
        <f>C388&amp;"|"&amp;D388&amp;"|"&amp;E388&amp;"|"&amp;F388&amp;"|"&amp;LOWER(H388)&amp;"|"&amp;I388</f>
        <v/>
      </c>
      <c r="S388" s="349">
        <f>IF(COUNTIF($R$6:$R$411,R388)&gt;1,"重复","唯一")</f>
        <v/>
      </c>
      <c r="T388" s="349" t="inlineStr">
        <is>
          <t>b1eb729427faf4168fc13b6a32c05ba07cecd3dcab8eed1f2c7a97a4d2f30c55</t>
        </is>
      </c>
      <c r="U388" s="349" t="inlineStr">
        <is>
          <t>Codex</t>
        </is>
      </c>
      <c r="V388" s="348" t="n">
        <v>46269</v>
      </c>
      <c r="W388" s="349" t="inlineStr">
        <is>
          <t>用户自制Blender资产</t>
        </is>
      </c>
      <c r="X388" s="375" t="inlineStr">
        <is>
          <t>51</t>
        </is>
      </c>
      <c r="Y388" s="34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389" ht="54" customHeight="1">
      <c r="A389" t="inlineStr">
        <is>
          <t>BPK-BASE99-MAIN-DOOR-LOW-STORAGE-CABINET</t>
        </is>
      </c>
      <c r="B389" t="inlineStr">
        <is>
          <t>基地99层 · 主门下方低矮设备柜</t>
        </is>
      </c>
      <c r="C389" t="inlineStr">
        <is>
          <t>基地资产包</t>
        </is>
      </c>
      <c r="D389" t="inlineStr">
        <is>
          <t>阁楼下方固定设施包</t>
        </is>
      </c>
      <c r="E389" t="inlineStr">
        <is>
          <t>base99_package_main_door_low_storage_cabinet</t>
        </is>
      </c>
      <c r="F389" t="inlineStr">
        <is>
          <t>package_root</t>
        </is>
      </c>
      <c r="G389" t="inlineStr">
        <is>
          <t>ENV-BASE99-ART-LAYOUT-3D</t>
        </is>
      </c>
      <c r="H389" t="inlineStr">
        <is>
          <t>Top3D / Blender +Y北</t>
        </is>
      </c>
      <c r="I389" t="inlineStr">
        <is>
          <t>static / default</t>
        </is>
      </c>
      <c r="J389" t="inlineStr">
        <is>
          <t>3D-设施 / 基地99层独立资产包</t>
        </is>
      </c>
      <c r="K389" t="inlineStr">
        <is>
          <t>Blender源已完成</t>
        </is>
      </c>
      <c r="L389" t="inlineStr">
        <is>
          <t>P1</t>
        </is>
      </c>
      <c r="M389" t="inlineStr">
        <is>
          <t>v017</t>
        </is>
      </c>
      <c r="N389" s="349" t="inlineStr">
        <is>
          <t>包络 6.280×1.230×2.060m；31 网格；0 灯</t>
        </is>
      </c>
      <c r="O389" s="349" t="inlineStr">
        <is>
          <t>source/art/blender/base_facility_layout/component_packages_v017/underloft/main_door_low_storage_cabinet/asset_manifest.json</t>
        </is>
      </c>
      <c r="P389" s="349" t="inlineStr">
        <is>
          <t>source/art/blender/base_facility_layout/base_facility_runtime_layout_hq_v017.blend; outputs/verification/base_facility_runtime_layout_hq_v017/base_facility_component_catalog_v017.json</t>
        </is>
      </c>
      <c r="Q389" s="349" t="inlineStr">
        <is>
          <t>基地99层;基地资产包;3D设施;阁楼下方固定设施包;main_door_low_storage_cabinet;PaletteUV</t>
        </is>
      </c>
      <c r="R389" s="349">
        <f>C389&amp;"|"&amp;D389&amp;"|"&amp;E389&amp;"|"&amp;F389&amp;"|"&amp;LOWER(H389)&amp;"|"&amp;I389</f>
        <v/>
      </c>
      <c r="S389" s="349">
        <f>IF(COUNTIF($R$6:$R$411,R389)&gt;1,"重复","唯一")</f>
        <v/>
      </c>
      <c r="T389" s="349" t="inlineStr">
        <is>
          <t>a16a84b747c4d97e0e3017ae615753d652d2df297366fbb4c25c4780e75fe45d</t>
        </is>
      </c>
      <c r="U389" s="349" t="inlineStr">
        <is>
          <t>Codex</t>
        </is>
      </c>
      <c r="V389" s="348" t="n">
        <v>46269</v>
      </c>
      <c r="W389" s="349" t="inlineStr">
        <is>
          <t>用户自制Blender资产</t>
        </is>
      </c>
      <c r="X389" s="375" t="inlineStr">
        <is>
          <t>43</t>
        </is>
      </c>
      <c r="Y389" s="34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390" ht="54" customHeight="1">
      <c r="A390" t="inlineStr">
        <is>
          <t>BPK-BASE99-MEDICAL-CABINET</t>
        </is>
      </c>
      <c r="B390" t="inlineStr">
        <is>
          <t>基地99层 · MEDICAL医疗柜</t>
        </is>
      </c>
      <c r="C390" t="inlineStr">
        <is>
          <t>基地资产包</t>
        </is>
      </c>
      <c r="D390" t="inlineStr">
        <is>
          <t>阁楼下方固定设施包</t>
        </is>
      </c>
      <c r="E390" t="inlineStr">
        <is>
          <t>base99_package_medical_cabinet</t>
        </is>
      </c>
      <c r="F390" t="inlineStr">
        <is>
          <t>package_root</t>
        </is>
      </c>
      <c r="G390" t="inlineStr">
        <is>
          <t>ENV-BASE99-ART-LAYOUT-3D</t>
        </is>
      </c>
      <c r="H390" t="inlineStr">
        <is>
          <t>Top3D / Blender +Y北</t>
        </is>
      </c>
      <c r="I390" t="inlineStr">
        <is>
          <t>static / default</t>
        </is>
      </c>
      <c r="J390" t="inlineStr">
        <is>
          <t>3D-设施 / 基地99层独立资产包</t>
        </is>
      </c>
      <c r="K390" t="inlineStr">
        <is>
          <t>Blender源已完成</t>
        </is>
      </c>
      <c r="L390" t="inlineStr">
        <is>
          <t>P1</t>
        </is>
      </c>
      <c r="M390" t="inlineStr">
        <is>
          <t>v017</t>
        </is>
      </c>
      <c r="N390" s="349" t="inlineStr">
        <is>
          <t>包络 1.580×0.973×3.330m；28 网格；0 灯</t>
        </is>
      </c>
      <c r="O390" s="349" t="inlineStr">
        <is>
          <t>source/art/blender/base_facility_layout/component_packages_v017/underloft/medical_cabinet/asset_manifest.json</t>
        </is>
      </c>
      <c r="P390" s="349" t="inlineStr">
        <is>
          <t>source/art/blender/base_facility_layout/base_facility_runtime_layout_hq_v017.blend; outputs/verification/base_facility_runtime_layout_hq_v017/base_facility_component_catalog_v017.json</t>
        </is>
      </c>
      <c r="Q390" s="349" t="inlineStr">
        <is>
          <t>基地99层;基地资产包;3D设施;阁楼下方固定设施包;medical_cabinet;PaletteUV</t>
        </is>
      </c>
      <c r="R390" s="349">
        <f>C390&amp;"|"&amp;D390&amp;"|"&amp;E390&amp;"|"&amp;F390&amp;"|"&amp;LOWER(H390)&amp;"|"&amp;I390</f>
        <v/>
      </c>
      <c r="S390" s="349">
        <f>IF(COUNTIF($R$6:$R$411,R390)&gt;1,"重复","唯一")</f>
        <v/>
      </c>
      <c r="T390" s="349" t="inlineStr">
        <is>
          <t>9c6e519f89e470c4b1f3aba1c856d869e9a9fb8feb456f0e946229d58f82f411</t>
        </is>
      </c>
      <c r="U390" s="349" t="inlineStr">
        <is>
          <t>Codex</t>
        </is>
      </c>
      <c r="V390" s="348" t="n">
        <v>46269</v>
      </c>
      <c r="W390" s="349" t="inlineStr">
        <is>
          <t>用户自制Blender资产</t>
        </is>
      </c>
      <c r="X390" s="375" t="inlineStr">
        <is>
          <t>45</t>
        </is>
      </c>
      <c r="Y390" s="34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t>
        </is>
      </c>
    </row>
    <row r="391" ht="54" customHeight="1">
      <c r="A391" t="inlineStr">
        <is>
          <t>BPK-BASE99-NARROW-BATTERY-CABINET</t>
        </is>
      </c>
      <c r="B391" t="inlineStr">
        <is>
          <t>基地99层 · 窄型电池柜</t>
        </is>
      </c>
      <c r="C391" t="inlineStr">
        <is>
          <t>基地资产包</t>
        </is>
      </c>
      <c r="D391" t="inlineStr">
        <is>
          <t>阁楼下方固定设施包</t>
        </is>
      </c>
      <c r="E391" t="inlineStr">
        <is>
          <t>base99_package_narrow_battery_cabinet</t>
        </is>
      </c>
      <c r="F391" t="inlineStr">
        <is>
          <t>package_root</t>
        </is>
      </c>
      <c r="G391" t="inlineStr">
        <is>
          <t>ENV-BASE99-ART-LAYOUT-3D</t>
        </is>
      </c>
      <c r="H391" t="inlineStr">
        <is>
          <t>Top3D / Blender +Y北</t>
        </is>
      </c>
      <c r="I391" t="inlineStr">
        <is>
          <t>static / default</t>
        </is>
      </c>
      <c r="J391" t="inlineStr">
        <is>
          <t>3D-设施 / 基地99层独立资产包</t>
        </is>
      </c>
      <c r="K391" t="inlineStr">
        <is>
          <t>Blender源已完成</t>
        </is>
      </c>
      <c r="L391" t="inlineStr">
        <is>
          <t>P1</t>
        </is>
      </c>
      <c r="M391" t="inlineStr">
        <is>
          <t>v017</t>
        </is>
      </c>
      <c r="N391" s="349" t="inlineStr">
        <is>
          <t>包络 1.580×0.983×3.220m；23 网格；0 灯</t>
        </is>
      </c>
      <c r="O391" s="349" t="inlineStr">
        <is>
          <t>source/art/blender/base_facility_layout/component_packages_v017/underloft/narrow_battery_cabinet/asset_manifest.json</t>
        </is>
      </c>
      <c r="P391" s="349" t="inlineStr">
        <is>
          <t>source/art/blender/base_facility_layout/base_facility_runtime_layout_hq_v017.blend; outputs/verification/base_facility_runtime_layout_hq_v017/base_facility_component_catalog_v017.json</t>
        </is>
      </c>
      <c r="Q391" s="349" t="inlineStr">
        <is>
          <t>基地99层;基地资产包;3D设施;阁楼下方固定设施包;narrow_battery_cabinet;PaletteUV</t>
        </is>
      </c>
      <c r="R391" s="349">
        <f>C391&amp;"|"&amp;D391&amp;"|"&amp;E391&amp;"|"&amp;F391&amp;"|"&amp;LOWER(H391)&amp;"|"&amp;I391</f>
        <v/>
      </c>
      <c r="S391" s="349">
        <f>IF(COUNTIF($R$6:$R$411,R391)&gt;1,"重复","唯一")</f>
        <v/>
      </c>
      <c r="T391" s="349" t="inlineStr">
        <is>
          <t>6d4f355ae2f78209341d5886b593337db19e898b48d5eadbd3054f48a03bee92</t>
        </is>
      </c>
      <c r="U391" s="349" t="inlineStr">
        <is>
          <t>Codex</t>
        </is>
      </c>
      <c r="V391" s="348" t="n">
        <v>46269</v>
      </c>
      <c r="W391" s="349" t="inlineStr">
        <is>
          <t>用户自制Blender资产</t>
        </is>
      </c>
      <c r="X391" s="375" t="inlineStr">
        <is>
          <t>47</t>
        </is>
      </c>
      <c r="Y391" s="34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t>
        </is>
      </c>
    </row>
    <row r="392" ht="54" customHeight="1">
      <c r="A392" t="inlineStr">
        <is>
          <t>BPK-BASE99-NARROW-EMERGENCY-CABINET</t>
        </is>
      </c>
      <c r="B392" t="inlineStr">
        <is>
          <t>基地99层 · 窄型应急柜</t>
        </is>
      </c>
      <c r="C392" t="inlineStr">
        <is>
          <t>基地资产包</t>
        </is>
      </c>
      <c r="D392" t="inlineStr">
        <is>
          <t>阁楼下方固定设施包</t>
        </is>
      </c>
      <c r="E392" t="inlineStr">
        <is>
          <t>base99_package_narrow_emergency_cabinet</t>
        </is>
      </c>
      <c r="F392" t="inlineStr">
        <is>
          <t>package_root</t>
        </is>
      </c>
      <c r="G392" t="inlineStr">
        <is>
          <t>ENV-BASE99-ART-LAYOUT-3D</t>
        </is>
      </c>
      <c r="H392" t="inlineStr">
        <is>
          <t>Top3D / Blender +Y北</t>
        </is>
      </c>
      <c r="I392" t="inlineStr">
        <is>
          <t>static / default</t>
        </is>
      </c>
      <c r="J392" t="inlineStr">
        <is>
          <t>3D-设施 / 基地99层独立资产包</t>
        </is>
      </c>
      <c r="K392" t="inlineStr">
        <is>
          <t>Blender源已完成</t>
        </is>
      </c>
      <c r="L392" t="inlineStr">
        <is>
          <t>P1</t>
        </is>
      </c>
      <c r="M392" t="inlineStr">
        <is>
          <t>v017</t>
        </is>
      </c>
      <c r="N392" s="349" t="inlineStr">
        <is>
          <t>包络 1.580×0.985×3.220m；24 网格；0 灯</t>
        </is>
      </c>
      <c r="O392" s="349" t="inlineStr">
        <is>
          <t>source/art/blender/base_facility_layout/component_packages_v017/underloft/narrow_emergency_cabinet/asset_manifest.json</t>
        </is>
      </c>
      <c r="P392" s="349" t="inlineStr">
        <is>
          <t>source/art/blender/base_facility_layout/base_facility_runtime_layout_hq_v017.blend; outputs/verification/base_facility_runtime_layout_hq_v017/base_facility_component_catalog_v017.json</t>
        </is>
      </c>
      <c r="Q392" s="349" t="inlineStr">
        <is>
          <t>基地99层;基地资产包;3D设施;阁楼下方固定设施包;narrow_emergency_cabinet;PaletteUV</t>
        </is>
      </c>
      <c r="R392" s="349">
        <f>C392&amp;"|"&amp;D392&amp;"|"&amp;E392&amp;"|"&amp;F392&amp;"|"&amp;LOWER(H392)&amp;"|"&amp;I392</f>
        <v/>
      </c>
      <c r="S392" s="349">
        <f>IF(COUNTIF($R$6:$R$411,R392)&gt;1,"重复","唯一")</f>
        <v/>
      </c>
      <c r="T392" s="349" t="inlineStr">
        <is>
          <t>9a5090522f7af48f0e7ac02ef3a52ea2225a292366d6a61cc98cafd159f5a192</t>
        </is>
      </c>
      <c r="U392" s="349" t="inlineStr">
        <is>
          <t>Codex</t>
        </is>
      </c>
      <c r="V392" s="348" t="n">
        <v>46269</v>
      </c>
      <c r="W392" s="349" t="inlineStr">
        <is>
          <t>用户自制Blender资产</t>
        </is>
      </c>
      <c r="X392" s="375" t="inlineStr">
        <is>
          <t>48</t>
        </is>
      </c>
      <c r="Y392" s="34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393" ht="54" customHeight="1">
      <c r="A393" t="inlineStr">
        <is>
          <t>BPK-BASE99-SOUTH-INDUSTRIAL-WALL-DETAILS</t>
        </is>
      </c>
      <c r="B393" t="inlineStr">
        <is>
          <t>基地99层 · 南墙工业墙板附着结构</t>
        </is>
      </c>
      <c r="C393" t="inlineStr">
        <is>
          <t>基地资产包</t>
        </is>
      </c>
      <c r="D393" t="inlineStr">
        <is>
          <t>阁楼下方固定设施包</t>
        </is>
      </c>
      <c r="E393" t="inlineStr">
        <is>
          <t>base99_package_south_industrial_wall_details</t>
        </is>
      </c>
      <c r="F393" t="inlineStr">
        <is>
          <t>package_root</t>
        </is>
      </c>
      <c r="G393" t="inlineStr">
        <is>
          <t>ENV-BASE99-ART-LAYOUT-3D</t>
        </is>
      </c>
      <c r="H393" t="inlineStr">
        <is>
          <t>Top3D / Blender +Y北</t>
        </is>
      </c>
      <c r="I393" t="inlineStr">
        <is>
          <t>static / default</t>
        </is>
      </c>
      <c r="J393" t="inlineStr">
        <is>
          <t>3D-设施 / 基地99层独立资产包</t>
        </is>
      </c>
      <c r="K393" t="inlineStr">
        <is>
          <t>Blender源已完成</t>
        </is>
      </c>
      <c r="L393" t="inlineStr">
        <is>
          <t>P1</t>
        </is>
      </c>
      <c r="M393" t="inlineStr">
        <is>
          <t>v017</t>
        </is>
      </c>
      <c r="N393" s="349" t="inlineStr">
        <is>
          <t>包络 19.500×0.530×4.785m；53 网格；0 灯</t>
        </is>
      </c>
      <c r="O393" s="349" t="inlineStr">
        <is>
          <t>source/art/blender/base_facility_layout/component_packages_v017/underloft/south_industrial_wall_details/asset_manifest.json</t>
        </is>
      </c>
      <c r="P393" s="349" t="inlineStr">
        <is>
          <t>source/art/blender/base_facility_layout/base_facility_runtime_layout_hq_v017.blend; outputs/verification/base_facility_runtime_layout_hq_v017/base_facility_component_catalog_v017.json</t>
        </is>
      </c>
      <c r="Q393" s="349" t="inlineStr">
        <is>
          <t>基地99层;基地资产包;3D设施;阁楼下方固定设施包;south_industrial_wall_details;PaletteUV</t>
        </is>
      </c>
      <c r="R393" s="349">
        <f>C393&amp;"|"&amp;D393&amp;"|"&amp;E393&amp;"|"&amp;F393&amp;"|"&amp;LOWER(H393)&amp;"|"&amp;I393</f>
        <v/>
      </c>
      <c r="S393" s="349">
        <f>IF(COUNTIF($R$6:$R$411,R393)&gt;1,"重复","唯一")</f>
        <v/>
      </c>
      <c r="T393" s="349" t="inlineStr">
        <is>
          <t>1c3a1bae26ffeab9adad29252b498b44d424d22fcc0522ec7eb6a797b9b67229</t>
        </is>
      </c>
      <c r="U393" s="349" t="inlineStr">
        <is>
          <t>Codex</t>
        </is>
      </c>
      <c r="V393" s="348" t="n">
        <v>46269</v>
      </c>
      <c r="W393" s="349" t="inlineStr">
        <is>
          <t>用户自制Blender资产</t>
        </is>
      </c>
      <c r="X393" s="375" t="inlineStr">
        <is>
          <t>41</t>
        </is>
      </c>
      <c r="Y393" s="34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394" ht="54" customHeight="1">
      <c r="A394" t="inlineStr">
        <is>
          <t>BPK-BASE99-SOUTH-UPPER-RAILING-DETAILS</t>
        </is>
      </c>
      <c r="B394" t="inlineStr">
        <is>
          <t>基地99层 · 二层栏杆附着细节</t>
        </is>
      </c>
      <c r="C394" t="inlineStr">
        <is>
          <t>基地资产包</t>
        </is>
      </c>
      <c r="D394" t="inlineStr">
        <is>
          <t>阁楼下方固定设施包</t>
        </is>
      </c>
      <c r="E394" t="inlineStr">
        <is>
          <t>base99_package_south_upper_railing_details</t>
        </is>
      </c>
      <c r="F394" t="inlineStr">
        <is>
          <t>package_root</t>
        </is>
      </c>
      <c r="G394" t="inlineStr">
        <is>
          <t>ENV-BASE99-ART-LAYOUT-3D</t>
        </is>
      </c>
      <c r="H394" t="inlineStr">
        <is>
          <t>Top3D / Blender +Y北</t>
        </is>
      </c>
      <c r="I394" t="inlineStr">
        <is>
          <t>static / default</t>
        </is>
      </c>
      <c r="J394" t="inlineStr">
        <is>
          <t>3D-设施 / 基地99层独立资产包</t>
        </is>
      </c>
      <c r="K394" t="inlineStr">
        <is>
          <t>Blender源已完成</t>
        </is>
      </c>
      <c r="L394" t="inlineStr">
        <is>
          <t>P1</t>
        </is>
      </c>
      <c r="M394" t="inlineStr">
        <is>
          <t>v017</t>
        </is>
      </c>
      <c r="N394" s="349" t="inlineStr">
        <is>
          <t>包络 18.500×0.443×0.783m；26 网格；0 灯</t>
        </is>
      </c>
      <c r="O394" s="349" t="inlineStr">
        <is>
          <t>source/art/blender/base_facility_layout/component_packages_v017/underloft/south_upper_railing_details/asset_manifest.json</t>
        </is>
      </c>
      <c r="P394" s="349" t="inlineStr">
        <is>
          <t>source/art/blender/base_facility_layout/base_facility_runtime_layout_hq_v017.blend; outputs/verification/base_facility_runtime_layout_hq_v017/base_facility_component_catalog_v017.json</t>
        </is>
      </c>
      <c r="Q394" s="349" t="inlineStr">
        <is>
          <t>基地99层;基地资产包;3D设施;阁楼下方固定设施包;south_upper_railing_details;PaletteUV</t>
        </is>
      </c>
      <c r="R394" s="349">
        <f>C394&amp;"|"&amp;D394&amp;"|"&amp;E394&amp;"|"&amp;F394&amp;"|"&amp;LOWER(H394)&amp;"|"&amp;I394</f>
        <v/>
      </c>
      <c r="S394" s="349">
        <f>IF(COUNTIF($R$6:$R$411,R394)&gt;1,"重复","唯一")</f>
        <v/>
      </c>
      <c r="T394" s="349" t="inlineStr">
        <is>
          <t>d08e3ac0f25926d4c7d405b3fb8b7503e5b6917b39c6ae1c16cd7e8d01984f09</t>
        </is>
      </c>
      <c r="U394" s="349" t="inlineStr">
        <is>
          <t>Codex</t>
        </is>
      </c>
      <c r="V394" s="348" t="n">
        <v>46269</v>
      </c>
      <c r="W394" s="349" t="inlineStr">
        <is>
          <t>用户自制Blender资产</t>
        </is>
      </c>
      <c r="X394" s="375" t="inlineStr">
        <is>
          <t>56</t>
        </is>
      </c>
      <c r="Y394" s="34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395" ht="54" customHeight="1">
      <c r="A395" t="inlineStr">
        <is>
          <t>BPK-BASE99-SOUTH-WALL-PIPELINE-SYSTEM</t>
        </is>
      </c>
      <c r="B395" t="inlineStr">
        <is>
          <t>基地99层 · 南墙工业管线系统</t>
        </is>
      </c>
      <c r="C395" t="inlineStr">
        <is>
          <t>基地资产包</t>
        </is>
      </c>
      <c r="D395" t="inlineStr">
        <is>
          <t>阁楼下方固定设施包</t>
        </is>
      </c>
      <c r="E395" t="inlineStr">
        <is>
          <t>base99_package_south_wall_pipeline_system</t>
        </is>
      </c>
      <c r="F395" t="inlineStr">
        <is>
          <t>package_root</t>
        </is>
      </c>
      <c r="G395" t="inlineStr">
        <is>
          <t>ENV-BASE99-ART-LAYOUT-3D</t>
        </is>
      </c>
      <c r="H395" t="inlineStr">
        <is>
          <t>Top3D / Blender +Y北</t>
        </is>
      </c>
      <c r="I395" t="inlineStr">
        <is>
          <t>static / default</t>
        </is>
      </c>
      <c r="J395" t="inlineStr">
        <is>
          <t>3D-设施 / 基地99层独立资产包</t>
        </is>
      </c>
      <c r="K395" t="inlineStr">
        <is>
          <t>Blender源已完成</t>
        </is>
      </c>
      <c r="L395" t="inlineStr">
        <is>
          <t>P1</t>
        </is>
      </c>
      <c r="M395" t="inlineStr">
        <is>
          <t>v017</t>
        </is>
      </c>
      <c r="N395" s="349" t="inlineStr">
        <is>
          <t>包络 18.600×0.580×4.950m；21 网格；0 灯</t>
        </is>
      </c>
      <c r="O395" s="349" t="inlineStr">
        <is>
          <t>source/art/blender/base_facility_layout/component_packages_v017/underloft/south_wall_pipeline_system/asset_manifest.json</t>
        </is>
      </c>
      <c r="P395" s="349" t="inlineStr">
        <is>
          <t>source/art/blender/base_facility_layout/base_facility_runtime_layout_hq_v017.blend; outputs/verification/base_facility_runtime_layout_hq_v017/base_facility_component_catalog_v017.json</t>
        </is>
      </c>
      <c r="Q395" s="349" t="inlineStr">
        <is>
          <t>基地99层;基地资产包;3D设施;阁楼下方固定设施包;south_wall_pipeline_system;PaletteUV</t>
        </is>
      </c>
      <c r="R395" s="349">
        <f>C395&amp;"|"&amp;D395&amp;"|"&amp;E395&amp;"|"&amp;F395&amp;"|"&amp;LOWER(H395)&amp;"|"&amp;I395</f>
        <v/>
      </c>
      <c r="S395" s="349">
        <f>IF(COUNTIF($R$6:$R$411,R395)&gt;1,"重复","唯一")</f>
        <v/>
      </c>
      <c r="T395" s="349" t="inlineStr">
        <is>
          <t>03172fdf43e8c4f7b0bc3d303ea4d0dcc4e2ad1e091d4738cfabc0a293060378</t>
        </is>
      </c>
      <c r="U395" s="349" t="inlineStr">
        <is>
          <t>Codex</t>
        </is>
      </c>
      <c r="V395" s="348" t="n">
        <v>46269</v>
      </c>
      <c r="W395" s="349" t="inlineStr">
        <is>
          <t>用户自制Blender资产</t>
        </is>
      </c>
      <c r="X395" s="375" t="inlineStr">
        <is>
          <t>55</t>
        </is>
      </c>
      <c r="Y395" s="34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396" ht="54" customHeight="1">
      <c r="A396" t="inlineStr">
        <is>
          <t>BPK-BASE99-STORAGE-TERMINAL</t>
        </is>
      </c>
      <c r="B396" t="inlineStr">
        <is>
          <t>基地99层 · STORAGE储物终端</t>
        </is>
      </c>
      <c r="C396" t="inlineStr">
        <is>
          <t>基地资产包</t>
        </is>
      </c>
      <c r="D396" t="inlineStr">
        <is>
          <t>阁楼下方固定设施包</t>
        </is>
      </c>
      <c r="E396" t="inlineStr">
        <is>
          <t>base99_package_storage_terminal</t>
        </is>
      </c>
      <c r="F396" t="inlineStr">
        <is>
          <t>package_root</t>
        </is>
      </c>
      <c r="G396" t="inlineStr">
        <is>
          <t>ENV-BASE99-ART-LAYOUT-3D</t>
        </is>
      </c>
      <c r="H396" t="inlineStr">
        <is>
          <t>Top3D / Blender +Y北</t>
        </is>
      </c>
      <c r="I396" t="inlineStr">
        <is>
          <t>static / default</t>
        </is>
      </c>
      <c r="J396" t="inlineStr">
        <is>
          <t>3D-设施 / 基地99层独立资产包</t>
        </is>
      </c>
      <c r="K396" t="inlineStr">
        <is>
          <t>Blender源已完成</t>
        </is>
      </c>
      <c r="L396" t="inlineStr">
        <is>
          <t>P1</t>
        </is>
      </c>
      <c r="M396" t="inlineStr">
        <is>
          <t>v017</t>
        </is>
      </c>
      <c r="N396" s="349" t="inlineStr">
        <is>
          <t>包络 0.560×0.383×1.030m；9 网格；0 灯</t>
        </is>
      </c>
      <c r="O396" s="349" t="inlineStr">
        <is>
          <t>source/art/blender/base_facility_layout/component_packages_v017/underloft/storage_terminal/asset_manifest.json</t>
        </is>
      </c>
      <c r="P396" s="349" t="inlineStr">
        <is>
          <t>source/art/blender/base_facility_layout/base_facility_runtime_layout_hq_v017.blend; outputs/verification/base_facility_runtime_layout_hq_v017/base_facility_component_catalog_v017.json</t>
        </is>
      </c>
      <c r="Q396" s="349" t="inlineStr">
        <is>
          <t>基地99层;基地资产包;3D设施;阁楼下方固定设施包;storage_terminal;PaletteUV</t>
        </is>
      </c>
      <c r="R396" s="349">
        <f>C396&amp;"|"&amp;D396&amp;"|"&amp;E396&amp;"|"&amp;F396&amp;"|"&amp;LOWER(H396)&amp;"|"&amp;I396</f>
        <v/>
      </c>
      <c r="S396" s="349">
        <f>IF(COUNTIF($R$6:$R$411,R396)&gt;1,"重复","唯一")</f>
        <v/>
      </c>
      <c r="T396" s="349" t="inlineStr">
        <is>
          <t>e81b9e834cb3e3cda6f81182e905051f143fe4d8a95941ffe92a303c2e9fd318</t>
        </is>
      </c>
      <c r="U396" s="349" t="inlineStr">
        <is>
          <t>Codex</t>
        </is>
      </c>
      <c r="V396" s="348" t="n">
        <v>46269</v>
      </c>
      <c r="W396" s="349" t="inlineStr">
        <is>
          <t>用户自制Blender资产</t>
        </is>
      </c>
      <c r="X396" s="375" t="inlineStr">
        <is>
          <t>54</t>
        </is>
      </c>
      <c r="Y396" s="34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397" ht="54" customHeight="1">
      <c r="A397" t="inlineStr">
        <is>
          <t>BPK-BASE99-TOOLS-CABINET</t>
        </is>
      </c>
      <c r="B397" t="inlineStr">
        <is>
          <t>基地99层 · TOOLS工具柜</t>
        </is>
      </c>
      <c r="C397" t="inlineStr">
        <is>
          <t>基地资产包</t>
        </is>
      </c>
      <c r="D397" t="inlineStr">
        <is>
          <t>阁楼下方固定设施包</t>
        </is>
      </c>
      <c r="E397" t="inlineStr">
        <is>
          <t>base99_package_tools_cabinet</t>
        </is>
      </c>
      <c r="F397" t="inlineStr">
        <is>
          <t>package_root</t>
        </is>
      </c>
      <c r="G397" t="inlineStr">
        <is>
          <t>ENV-BASE99-ART-LAYOUT-3D</t>
        </is>
      </c>
      <c r="H397" t="inlineStr">
        <is>
          <t>Top3D / Blender +Y北</t>
        </is>
      </c>
      <c r="I397" t="inlineStr">
        <is>
          <t>static / default</t>
        </is>
      </c>
      <c r="J397" t="inlineStr">
        <is>
          <t>3D-设施 / 基地99层独立资产包</t>
        </is>
      </c>
      <c r="K397" t="inlineStr">
        <is>
          <t>Blender源已完成</t>
        </is>
      </c>
      <c r="L397" t="inlineStr">
        <is>
          <t>P1</t>
        </is>
      </c>
      <c r="M397" t="inlineStr">
        <is>
          <t>v017</t>
        </is>
      </c>
      <c r="N397" s="349" t="inlineStr">
        <is>
          <t>包络 1.970×1.015×3.220m；25 网格；0 灯</t>
        </is>
      </c>
      <c r="O397" s="349" t="inlineStr">
        <is>
          <t>source/art/blender/base_facility_layout/component_packages_v017/underloft/tools_cabinet/asset_manifest.json</t>
        </is>
      </c>
      <c r="P397" s="349" t="inlineStr">
        <is>
          <t>source/art/blender/base_facility_layout/base_facility_runtime_layout_hq_v017.blend; outputs/verification/base_facility_runtime_layout_hq_v017/base_facility_component_catalog_v017.json</t>
        </is>
      </c>
      <c r="Q397" s="349" t="inlineStr">
        <is>
          <t>基地99层;基地资产包;3D设施;阁楼下方固定设施包;tools_cabinet;PaletteUV</t>
        </is>
      </c>
      <c r="R397" s="349">
        <f>C397&amp;"|"&amp;D397&amp;"|"&amp;E397&amp;"|"&amp;F397&amp;"|"&amp;LOWER(H397)&amp;"|"&amp;I397</f>
        <v/>
      </c>
      <c r="S397" s="349">
        <f>IF(COUNTIF($R$6:$R$411,R397)&gt;1,"重复","唯一")</f>
        <v/>
      </c>
      <c r="T397" s="349" t="inlineStr">
        <is>
          <t>543aa1776613f2279210bb9e1d179be48050412335b4be68c20988422d8bf50f</t>
        </is>
      </c>
      <c r="U397" s="349" t="inlineStr">
        <is>
          <t>Codex</t>
        </is>
      </c>
      <c r="V397" s="348" t="n">
        <v>46269</v>
      </c>
      <c r="W397" s="349" t="inlineStr">
        <is>
          <t>用户自制Blender资产</t>
        </is>
      </c>
      <c r="X397" s="375" t="inlineStr">
        <is>
          <t>46</t>
        </is>
      </c>
      <c r="Y397" s="34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398" ht="54" customHeight="1">
      <c r="A398" t="inlineStr">
        <is>
          <t>BPK-BASE99-UNDERSTAIR-BULLETIN-BOARD</t>
        </is>
      </c>
      <c r="B398" t="inlineStr">
        <is>
          <t>基地99层 · 梯下公告留言板</t>
        </is>
      </c>
      <c r="C398" t="inlineStr">
        <is>
          <t>基地资产包</t>
        </is>
      </c>
      <c r="D398" t="inlineStr">
        <is>
          <t>阁楼下方固定设施包</t>
        </is>
      </c>
      <c r="E398" t="inlineStr">
        <is>
          <t>base99_package_understair_bulletin_board</t>
        </is>
      </c>
      <c r="F398" t="inlineStr">
        <is>
          <t>package_root</t>
        </is>
      </c>
      <c r="G398" t="inlineStr">
        <is>
          <t>ENV-BASE99-ART-LAYOUT-3D</t>
        </is>
      </c>
      <c r="H398" t="inlineStr">
        <is>
          <t>Top3D / Blender +Y北</t>
        </is>
      </c>
      <c r="I398" t="inlineStr">
        <is>
          <t>static / default</t>
        </is>
      </c>
      <c r="J398" t="inlineStr">
        <is>
          <t>3D-设施 / 基地99层独立资产包</t>
        </is>
      </c>
      <c r="K398" t="inlineStr">
        <is>
          <t>Blender源已完成</t>
        </is>
      </c>
      <c r="L398" t="inlineStr">
        <is>
          <t>P1</t>
        </is>
      </c>
      <c r="M398" t="inlineStr">
        <is>
          <t>v017</t>
        </is>
      </c>
      <c r="N398" s="349" t="inlineStr">
        <is>
          <t>包络 1.900×0.149×1.420m；1 网格；0 灯</t>
        </is>
      </c>
      <c r="O398" s="349" t="inlineStr">
        <is>
          <t>source/art/blender/base_facility_layout/component_packages_v017/underloft/understair_bulletin_board/asset_manifest.json</t>
        </is>
      </c>
      <c r="P398" s="349" t="inlineStr">
        <is>
          <t>source/art/blender/base_facility_layout/base_facility_runtime_layout_hq_v017.blend; outputs/verification/base_facility_runtime_layout_hq_v017/base_facility_component_catalog_v017.json</t>
        </is>
      </c>
      <c r="Q398" s="349" t="inlineStr">
        <is>
          <t>基地99层;基地资产包;3D设施;阁楼下方固定设施包;understair_bulletin_board;PaletteUV</t>
        </is>
      </c>
      <c r="R398" s="349">
        <f>C398&amp;"|"&amp;D398&amp;"|"&amp;E398&amp;"|"&amp;F398&amp;"|"&amp;LOWER(H398)&amp;"|"&amp;I398</f>
        <v/>
      </c>
      <c r="S398" s="349">
        <f>IF(COUNTIF($R$6:$R$411,R398)&gt;1,"重复","唯一")</f>
        <v/>
      </c>
      <c r="T398" s="349" t="inlineStr">
        <is>
          <t>4f5cc4b2f4604c0b9bd5e2c26a08d3837a50faa6195a902fadf914e317ffa4f5</t>
        </is>
      </c>
      <c r="U398" s="349" t="inlineStr">
        <is>
          <t>Codex</t>
        </is>
      </c>
      <c r="V398" s="348" t="n">
        <v>46269</v>
      </c>
      <c r="W398" s="349" t="inlineStr">
        <is>
          <t>用户自制Blender资产</t>
        </is>
      </c>
      <c r="X398" s="375" t="inlineStr">
        <is>
          <t>58</t>
        </is>
      </c>
      <c r="Y398" s="34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399" ht="54" customHeight="1">
      <c r="A399" t="inlineStr">
        <is>
          <t>BPK-BASE99-UNDERSTAIR-EQUIPMENT-CABINET</t>
        </is>
      </c>
      <c r="B399" t="inlineStr">
        <is>
          <t>基地99层 · 梯下立式设备柜</t>
        </is>
      </c>
      <c r="C399" t="inlineStr">
        <is>
          <t>基地资产包</t>
        </is>
      </c>
      <c r="D399" t="inlineStr">
        <is>
          <t>阁楼下方固定设施包</t>
        </is>
      </c>
      <c r="E399" t="inlineStr">
        <is>
          <t>base99_package_understair_equipment_cabinet</t>
        </is>
      </c>
      <c r="F399" t="inlineStr">
        <is>
          <t>package_root</t>
        </is>
      </c>
      <c r="G399" t="inlineStr">
        <is>
          <t>ENV-BASE99-ART-LAYOUT-3D</t>
        </is>
      </c>
      <c r="H399" t="inlineStr">
        <is>
          <t>Top3D / Blender +Y北</t>
        </is>
      </c>
      <c r="I399" t="inlineStr">
        <is>
          <t>static / default</t>
        </is>
      </c>
      <c r="J399" t="inlineStr">
        <is>
          <t>3D-设施 / 基地99层独立资产包</t>
        </is>
      </c>
      <c r="K399" t="inlineStr">
        <is>
          <t>Blender源已完成</t>
        </is>
      </c>
      <c r="L399" t="inlineStr">
        <is>
          <t>P1</t>
        </is>
      </c>
      <c r="M399" t="inlineStr">
        <is>
          <t>v017</t>
        </is>
      </c>
      <c r="N399" s="349" t="inlineStr">
        <is>
          <t>包络 1.100×0.927×3.130m；3 网格；0 灯</t>
        </is>
      </c>
      <c r="O399" s="349" t="inlineStr">
        <is>
          <t>source/art/blender/base_facility_layout/component_packages_v017/underloft/understair_equipment_cabinet/asset_manifest.json</t>
        </is>
      </c>
      <c r="P399" s="349" t="inlineStr">
        <is>
          <t>source/art/blender/base_facility_layout/base_facility_runtime_layout_hq_v017.blend; outputs/verification/base_facility_runtime_layout_hq_v017/base_facility_component_catalog_v017.json</t>
        </is>
      </c>
      <c r="Q399" s="349" t="inlineStr">
        <is>
          <t>基地99层;基地资产包;3D设施;阁楼下方固定设施包;understair_equipment_cabinet;PaletteUV</t>
        </is>
      </c>
      <c r="R399" s="349">
        <f>C399&amp;"|"&amp;D399&amp;"|"&amp;E399&amp;"|"&amp;F399&amp;"|"&amp;LOWER(H399)&amp;"|"&amp;I399</f>
        <v/>
      </c>
      <c r="S399" s="349">
        <f>IF(COUNTIF($R$6:$R$411,R399)&gt;1,"重复","唯一")</f>
        <v/>
      </c>
      <c r="T399" s="349" t="inlineStr">
        <is>
          <t>40df72432d99584f49445d049d1ed7ba481f94d7d18fc764d560e633f5593720</t>
        </is>
      </c>
      <c r="U399" s="349" t="inlineStr">
        <is>
          <t>Codex</t>
        </is>
      </c>
      <c r="V399" s="348" t="n">
        <v>46269</v>
      </c>
      <c r="W399" s="349" t="inlineStr">
        <is>
          <t>用户自制Blender资产</t>
        </is>
      </c>
      <c r="X399" s="375" t="inlineStr">
        <is>
          <t>59</t>
        </is>
      </c>
      <c r="Y399" s="34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400" ht="54" customHeight="1">
      <c r="A400" t="inlineStr">
        <is>
          <t>BPK-BASE99-UNDERSTAIR-GREEN-BENCH</t>
        </is>
      </c>
      <c r="B400" t="inlineStr">
        <is>
          <t>基地99层 · 梯下绿色软垫长凳</t>
        </is>
      </c>
      <c r="C400" t="inlineStr">
        <is>
          <t>基地资产包</t>
        </is>
      </c>
      <c r="D400" t="inlineStr">
        <is>
          <t>阁楼下方固定设施包</t>
        </is>
      </c>
      <c r="E400" t="inlineStr">
        <is>
          <t>base99_package_understair_green_bench</t>
        </is>
      </c>
      <c r="F400" t="inlineStr">
        <is>
          <t>package_root</t>
        </is>
      </c>
      <c r="G400" t="inlineStr">
        <is>
          <t>ENV-BASE99-ART-LAYOUT-3D</t>
        </is>
      </c>
      <c r="H400" t="inlineStr">
        <is>
          <t>Top3D / Blender +Y北</t>
        </is>
      </c>
      <c r="I400" t="inlineStr">
        <is>
          <t>static / default</t>
        </is>
      </c>
      <c r="J400" t="inlineStr">
        <is>
          <t>3D-设施 / 基地99层独立资产包</t>
        </is>
      </c>
      <c r="K400" t="inlineStr">
        <is>
          <t>Blender源已完成</t>
        </is>
      </c>
      <c r="L400" t="inlineStr">
        <is>
          <t>P1</t>
        </is>
      </c>
      <c r="M400" t="inlineStr">
        <is>
          <t>v017</t>
        </is>
      </c>
      <c r="N400" s="349" t="inlineStr">
        <is>
          <t>包络 2.580×0.912×1.660m；2 网格；0 灯</t>
        </is>
      </c>
      <c r="O400" s="349" t="inlineStr">
        <is>
          <t>source/art/blender/base_facility_layout/component_packages_v017/underloft/understair_green_bench/asset_manifest.json</t>
        </is>
      </c>
      <c r="P400" s="349" t="inlineStr">
        <is>
          <t>source/art/blender/base_facility_layout/base_facility_runtime_layout_hq_v017.blend; outputs/verification/base_facility_runtime_layout_hq_v017/base_facility_component_catalog_v017.json</t>
        </is>
      </c>
      <c r="Q400" s="349" t="inlineStr">
        <is>
          <t>基地99层;基地资产包;3D设施;阁楼下方固定设施包;understair_green_bench;PaletteUV</t>
        </is>
      </c>
      <c r="R400" s="349">
        <f>C400&amp;"|"&amp;D400&amp;"|"&amp;E400&amp;"|"&amp;F400&amp;"|"&amp;LOWER(H400)&amp;"|"&amp;I400</f>
        <v/>
      </c>
      <c r="S400" s="349">
        <f>IF(COUNTIF($R$6:$R$411,R400)&gt;1,"重复","唯一")</f>
        <v/>
      </c>
      <c r="T400" s="349" t="inlineStr">
        <is>
          <t>8aec1c6114e2b1d6415d86371450bb3c734d217dc75c13495da2b4aba91db8f4</t>
        </is>
      </c>
      <c r="U400" s="349" t="inlineStr">
        <is>
          <t>Codex</t>
        </is>
      </c>
      <c r="V400" s="348" t="n">
        <v>46269</v>
      </c>
      <c r="W400" s="349" t="inlineStr">
        <is>
          <t>用户自制Blender资产</t>
        </is>
      </c>
      <c r="X400" s="375" t="inlineStr">
        <is>
          <t>57</t>
        </is>
      </c>
      <c r="Y400" s="34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401" ht="54" customHeight="1">
      <c r="A401" t="inlineStr">
        <is>
          <t>BPK-BASE99-UNDERSTAIR-LIGHTING-LIVING-SUPPORT</t>
        </is>
      </c>
      <c r="B401" t="inlineStr">
        <is>
          <t>基地99层 · 梯下暖光与生活点缀</t>
        </is>
      </c>
      <c r="C401" t="inlineStr">
        <is>
          <t>基地资产包</t>
        </is>
      </c>
      <c r="D401" t="inlineStr">
        <is>
          <t>阁楼下方固定设施包</t>
        </is>
      </c>
      <c r="E401" t="inlineStr">
        <is>
          <t>base99_package_understair_lighting_living_support</t>
        </is>
      </c>
      <c r="F401" t="inlineStr">
        <is>
          <t>package_root</t>
        </is>
      </c>
      <c r="G401" t="inlineStr">
        <is>
          <t>ENV-BASE99-ART-LAYOUT-3D</t>
        </is>
      </c>
      <c r="H401" t="inlineStr">
        <is>
          <t>Top3D / Blender +Y北</t>
        </is>
      </c>
      <c r="I401" t="inlineStr">
        <is>
          <t>static / fixture_light</t>
        </is>
      </c>
      <c r="J401" t="inlineStr">
        <is>
          <t>3D-设施 / 基地99层独立资产包</t>
        </is>
      </c>
      <c r="K401" t="inlineStr">
        <is>
          <t>Blender源已完成</t>
        </is>
      </c>
      <c r="L401" t="inlineStr">
        <is>
          <t>P1</t>
        </is>
      </c>
      <c r="M401" t="inlineStr">
        <is>
          <t>v017</t>
        </is>
      </c>
      <c r="N401" s="349" t="inlineStr">
        <is>
          <t>包络 3.100×1.030×3.690m；3 网格；2 灯</t>
        </is>
      </c>
      <c r="O401" s="349" t="inlineStr">
        <is>
          <t>source/art/blender/base_facility_layout/component_packages_v017/underloft/understair_lighting_living_support/asset_manifest.json</t>
        </is>
      </c>
      <c r="P401" s="349" t="inlineStr">
        <is>
          <t>source/art/blender/base_facility_layout/base_facility_runtime_layout_hq_v017.blend; outputs/verification/base_facility_runtime_layout_hq_v017/base_facility_component_catalog_v017.json</t>
        </is>
      </c>
      <c r="Q401" s="349" t="inlineStr">
        <is>
          <t>基地99层;基地资产包;3D设施;阁楼下方固定设施包;understair_lighting_living_support;PaletteUV</t>
        </is>
      </c>
      <c r="R401" s="349">
        <f>C401&amp;"|"&amp;D401&amp;"|"&amp;E401&amp;"|"&amp;F401&amp;"|"&amp;LOWER(H401)&amp;"|"&amp;I401</f>
        <v/>
      </c>
      <c r="S401" s="349">
        <f>IF(COUNTIF($R$6:$R$411,R401)&gt;1,"重复","唯一")</f>
        <v/>
      </c>
      <c r="T401" s="349" t="inlineStr">
        <is>
          <t>0bfb375054fc31ad9ceda6fb8fdbf7e1395d1f0b860121768c46afdb3a6a94d1</t>
        </is>
      </c>
      <c r="U401" s="349" t="inlineStr">
        <is>
          <t>Codex</t>
        </is>
      </c>
      <c r="V401" s="348" t="n">
        <v>46269</v>
      </c>
      <c r="W401" s="349" t="inlineStr">
        <is>
          <t>用户自制Blender资产</t>
        </is>
      </c>
      <c r="X401" s="375" t="inlineStr">
        <is>
          <t>61</t>
        </is>
      </c>
      <c r="Y401" s="34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402" ht="54" customHeight="1">
      <c r="A402" t="inlineStr">
        <is>
          <t>BPK-BASE99-UNDERSTAIR-STORAGE-SHELF</t>
        </is>
      </c>
      <c r="B402" t="inlineStr">
        <is>
          <t>基地99层 · 梯下层架与收纳</t>
        </is>
      </c>
      <c r="C402" t="inlineStr">
        <is>
          <t>基地资产包</t>
        </is>
      </c>
      <c r="D402" t="inlineStr">
        <is>
          <t>阁楼下方固定设施包</t>
        </is>
      </c>
      <c r="E402" t="inlineStr">
        <is>
          <t>base99_package_understair_storage_shelf</t>
        </is>
      </c>
      <c r="F402" t="inlineStr">
        <is>
          <t>package_root</t>
        </is>
      </c>
      <c r="G402" t="inlineStr">
        <is>
          <t>ENV-BASE99-ART-LAYOUT-3D</t>
        </is>
      </c>
      <c r="H402" t="inlineStr">
        <is>
          <t>Top3D / Blender +Y北</t>
        </is>
      </c>
      <c r="I402" t="inlineStr">
        <is>
          <t>static / default</t>
        </is>
      </c>
      <c r="J402" t="inlineStr">
        <is>
          <t>3D-设施 / 基地99层独立资产包</t>
        </is>
      </c>
      <c r="K402" t="inlineStr">
        <is>
          <t>Blender源已完成</t>
        </is>
      </c>
      <c r="L402" t="inlineStr">
        <is>
          <t>P1</t>
        </is>
      </c>
      <c r="M402" t="inlineStr">
        <is>
          <t>v017</t>
        </is>
      </c>
      <c r="N402" s="349" t="inlineStr">
        <is>
          <t>包络 1.240×0.934×2.600m；2 网格；0 灯</t>
        </is>
      </c>
      <c r="O402" s="349" t="inlineStr">
        <is>
          <t>source/art/blender/base_facility_layout/component_packages_v017/underloft/understair_storage_shelf/asset_manifest.json</t>
        </is>
      </c>
      <c r="P402" s="349" t="inlineStr">
        <is>
          <t>source/art/blender/base_facility_layout/base_facility_runtime_layout_hq_v017.blend; outputs/verification/base_facility_runtime_layout_hq_v017/base_facility_component_catalog_v017.json</t>
        </is>
      </c>
      <c r="Q402" s="349" t="inlineStr">
        <is>
          <t>基地99层;基地资产包;3D设施;阁楼下方固定设施包;understair_storage_shelf;PaletteUV</t>
        </is>
      </c>
      <c r="R402" s="349">
        <f>C402&amp;"|"&amp;D402&amp;"|"&amp;E402&amp;"|"&amp;F402&amp;"|"&amp;LOWER(H402)&amp;"|"&amp;I402</f>
        <v/>
      </c>
      <c r="S402" s="349">
        <f>IF(COUNTIF($R$6:$R$411,R402)&gt;1,"重复","唯一")</f>
        <v/>
      </c>
      <c r="T402" s="349" t="inlineStr">
        <is>
          <t>07ceb970797ac439ce0ecdd91078112c20a02b14041f12d17296e50d17a7f3c4</t>
        </is>
      </c>
      <c r="U402" s="349" t="inlineStr">
        <is>
          <t>Codex</t>
        </is>
      </c>
      <c r="V402" s="348" t="n">
        <v>46269</v>
      </c>
      <c r="W402" s="349" t="inlineStr">
        <is>
          <t>用户自制Blender资产</t>
        </is>
      </c>
      <c r="X402" s="375" t="inlineStr">
        <is>
          <t>60</t>
        </is>
      </c>
      <c r="Y402" s="34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403" ht="54" customHeight="1">
      <c r="A403" t="inlineStr">
        <is>
          <t>BPK-BASE99-WEAPON-WORKSHOP-STATION</t>
        </is>
      </c>
      <c r="B403" t="inlineStr">
        <is>
          <t>基地99层 · 武器工作台与弹药附件</t>
        </is>
      </c>
      <c r="C403" t="inlineStr">
        <is>
          <t>基地资产包</t>
        </is>
      </c>
      <c r="D403" t="inlineStr">
        <is>
          <t>阁楼下方固定设施包</t>
        </is>
      </c>
      <c r="E403" t="inlineStr">
        <is>
          <t>base99_package_weapon_workshop_station</t>
        </is>
      </c>
      <c r="F403" t="inlineStr">
        <is>
          <t>package_root</t>
        </is>
      </c>
      <c r="G403" t="inlineStr">
        <is>
          <t>ENV-BASE99-ART-LAYOUT-3D</t>
        </is>
      </c>
      <c r="H403" t="inlineStr">
        <is>
          <t>Top3D / Blender +Y北</t>
        </is>
      </c>
      <c r="I403" t="inlineStr">
        <is>
          <t>static / fixture_light</t>
        </is>
      </c>
      <c r="J403" t="inlineStr">
        <is>
          <t>3D-设施 / 基地99层独立资产包</t>
        </is>
      </c>
      <c r="K403" t="inlineStr">
        <is>
          <t>Blender源已完成</t>
        </is>
      </c>
      <c r="L403" t="inlineStr">
        <is>
          <t>P1</t>
        </is>
      </c>
      <c r="M403" t="inlineStr">
        <is>
          <t>v017</t>
        </is>
      </c>
      <c r="N403" s="349" t="inlineStr">
        <is>
          <t>包络 2.330×6.000×4.491m；12 网格；1 灯</t>
        </is>
      </c>
      <c r="O403" s="349" t="inlineStr">
        <is>
          <t>source/art/blender/base_facility_layout/component_packages_v017/underloft/weapon_workshop_station/asset_manifest.json</t>
        </is>
      </c>
      <c r="P403" s="349" t="inlineStr">
        <is>
          <t>source/art/blender/base_facility_layout/base_facility_runtime_layout_hq_v017.blend; outputs/verification/base_facility_runtime_layout_hq_v017/base_facility_component_catalog_v017.json</t>
        </is>
      </c>
      <c r="Q403" s="349" t="inlineStr">
        <is>
          <t>基地99层;基地资产包;3D设施;阁楼下方固定设施包;weapon_workshop_station;PaletteUV</t>
        </is>
      </c>
      <c r="R403" s="349">
        <f>C403&amp;"|"&amp;D403&amp;"|"&amp;E403&amp;"|"&amp;F403&amp;"|"&amp;LOWER(H403)&amp;"|"&amp;I403</f>
        <v/>
      </c>
      <c r="S403" s="349">
        <f>IF(COUNTIF($R$6:$R$411,R403)&gt;1,"重复","唯一")</f>
        <v/>
      </c>
      <c r="T403" s="349" t="inlineStr">
        <is>
          <t>54bd41c8a807e19cf9f0689441981635f012e1ccaf1f12c811d3d2e9e25804c5</t>
        </is>
      </c>
      <c r="U403" s="349" t="inlineStr">
        <is>
          <t>Codex</t>
        </is>
      </c>
      <c r="V403" s="348" t="n">
        <v>46269</v>
      </c>
      <c r="W403" s="349" t="inlineStr">
        <is>
          <t>用户自制Blender资产</t>
        </is>
      </c>
      <c r="X403" s="375" t="inlineStr">
        <is>
          <t>49</t>
        </is>
      </c>
      <c r="Y403" s="34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t>
        </is>
      </c>
    </row>
    <row r="404" ht="54" customHeight="1">
      <c r="A404" t="inlineStr">
        <is>
          <t>BPK-BASE99-AIR-COMPRESSOR</t>
        </is>
      </c>
      <c r="B404" t="inlineStr">
        <is>
          <t>基地99层 · 空气压缩机</t>
        </is>
      </c>
      <c r="C404" t="inlineStr">
        <is>
          <t>基地资产包</t>
        </is>
      </c>
      <c r="D404" t="inlineStr">
        <is>
          <t>仓库设施包</t>
        </is>
      </c>
      <c r="E404" t="inlineStr">
        <is>
          <t>base99_package_air_compressor</t>
        </is>
      </c>
      <c r="F404" t="inlineStr">
        <is>
          <t>package_root</t>
        </is>
      </c>
      <c r="G404" t="inlineStr">
        <is>
          <t>ENV-BASE99-ART-LAYOUT-3D</t>
        </is>
      </c>
      <c r="H404" t="inlineStr">
        <is>
          <t>Top3D / Blender +Y北</t>
        </is>
      </c>
      <c r="I404" t="inlineStr">
        <is>
          <t>static / default</t>
        </is>
      </c>
      <c r="J404" t="inlineStr">
        <is>
          <t>3D-设施 / 基地99层独立资产包</t>
        </is>
      </c>
      <c r="K404" t="inlineStr">
        <is>
          <t>Blender源已完成</t>
        </is>
      </c>
      <c r="L404" t="inlineStr">
        <is>
          <t>P1</t>
        </is>
      </c>
      <c r="M404" t="inlineStr">
        <is>
          <t>v017</t>
        </is>
      </c>
      <c r="N404" s="349" t="inlineStr">
        <is>
          <t>包络 2.000×1.450×1.200m；2 网格；0 灯</t>
        </is>
      </c>
      <c r="O404" s="349" t="inlineStr">
        <is>
          <t>source/art/blender/base_facility_layout/component_packages_v017/warehouse/air_compressor/asset_manifest.json</t>
        </is>
      </c>
      <c r="P404" s="349" t="inlineStr">
        <is>
          <t>source/art/blender/base_facility_layout/base_facility_runtime_layout_hq_v017.blend; outputs/verification/base_facility_runtime_layout_hq_v017/base_facility_component_catalog_v017.json</t>
        </is>
      </c>
      <c r="Q404" s="349" t="inlineStr">
        <is>
          <t>基地99层;基地资产包;3D设施;仓库设施包;air_compressor;PaletteUV</t>
        </is>
      </c>
      <c r="R404" s="349">
        <f>C404&amp;"|"&amp;D404&amp;"|"&amp;E404&amp;"|"&amp;F404&amp;"|"&amp;LOWER(H404)&amp;"|"&amp;I404</f>
        <v/>
      </c>
      <c r="S404" s="349">
        <f>IF(COUNTIF($R$6:$R$411,R404)&gt;1,"重复","唯一")</f>
        <v/>
      </c>
      <c r="T404" s="349" t="inlineStr">
        <is>
          <t>a2803d7ba558baab5d23bbf2b8453259ca6f367475660a5db1c2fb4be27323c0</t>
        </is>
      </c>
      <c r="U404" s="349" t="inlineStr">
        <is>
          <t>Codex</t>
        </is>
      </c>
      <c r="V404" s="348" t="n">
        <v>46269</v>
      </c>
      <c r="W404" s="349" t="inlineStr">
        <is>
          <t>用户自制Blender资产</t>
        </is>
      </c>
      <c r="X404" s="375" t="inlineStr">
        <is>
          <t>58</t>
        </is>
      </c>
      <c r="Y404" s="34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405" ht="54" customHeight="1">
      <c r="A405" t="inlineStr">
        <is>
          <t>BPK-BASE99-BACKUP-GENERATOR</t>
        </is>
      </c>
      <c r="B405" t="inlineStr">
        <is>
          <t>基地99层 · 备用发电机</t>
        </is>
      </c>
      <c r="C405" t="inlineStr">
        <is>
          <t>基地资产包</t>
        </is>
      </c>
      <c r="D405" t="inlineStr">
        <is>
          <t>仓库设施包</t>
        </is>
      </c>
      <c r="E405" t="inlineStr">
        <is>
          <t>base99_package_backup_generator</t>
        </is>
      </c>
      <c r="F405" t="inlineStr">
        <is>
          <t>package_root</t>
        </is>
      </c>
      <c r="G405" t="inlineStr">
        <is>
          <t>ENV-BASE99-ART-LAYOUT-3D</t>
        </is>
      </c>
      <c r="H405" t="inlineStr">
        <is>
          <t>Top3D / Blender +Y北</t>
        </is>
      </c>
      <c r="I405" t="inlineStr">
        <is>
          <t>static / default</t>
        </is>
      </c>
      <c r="J405" t="inlineStr">
        <is>
          <t>3D-设施 / 基地99层独立资产包</t>
        </is>
      </c>
      <c r="K405" t="inlineStr">
        <is>
          <t>Blender源已完成</t>
        </is>
      </c>
      <c r="L405" t="inlineStr">
        <is>
          <t>P1</t>
        </is>
      </c>
      <c r="M405" t="inlineStr">
        <is>
          <t>v017</t>
        </is>
      </c>
      <c r="N405" s="349" t="inlineStr">
        <is>
          <t>包络 2.325×3.100×1.655m；3 网格；0 灯</t>
        </is>
      </c>
      <c r="O405" s="349" t="inlineStr">
        <is>
          <t>source/art/blender/base_facility_layout/component_packages_v017/warehouse/backup_generator/asset_manifest.json</t>
        </is>
      </c>
      <c r="P405" s="349" t="inlineStr">
        <is>
          <t>source/art/blender/base_facility_layout/base_facility_runtime_layout_hq_v017.blend; outputs/verification/base_facility_runtime_layout_hq_v017/base_facility_component_catalog_v017.json</t>
        </is>
      </c>
      <c r="Q405" s="349" t="inlineStr">
        <is>
          <t>基地99层;基地资产包;3D设施;仓库设施包;backup_generator;PaletteUV</t>
        </is>
      </c>
      <c r="R405" s="349">
        <f>C405&amp;"|"&amp;D405&amp;"|"&amp;E405&amp;"|"&amp;F405&amp;"|"&amp;LOWER(H405)&amp;"|"&amp;I405</f>
        <v/>
      </c>
      <c r="S405" s="349">
        <f>IF(COUNTIF($R$6:$R$411,R405)&gt;1,"重复","唯一")</f>
        <v/>
      </c>
      <c r="T405" s="349" t="inlineStr">
        <is>
          <t>d958a816a983dec19f9a121f96cb050a3fc39fb83778dd670491969e73b9b03e</t>
        </is>
      </c>
      <c r="U405" s="349" t="inlineStr">
        <is>
          <t>Codex</t>
        </is>
      </c>
      <c r="V405" s="348" t="n">
        <v>46269</v>
      </c>
      <c r="W405" s="349" t="inlineStr">
        <is>
          <t>用户自制Blender资产</t>
        </is>
      </c>
      <c r="X405" s="375" t="inlineStr">
        <is>
          <t>53</t>
        </is>
      </c>
      <c r="Y405" s="34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406" ht="54" customHeight="1">
      <c r="A406" t="inlineStr">
        <is>
          <t>BPK-BASE99-BATTERY-BANK</t>
        </is>
      </c>
      <c r="B406" t="inlineStr">
        <is>
          <t>基地99层 · 蓄电池组</t>
        </is>
      </c>
      <c r="C406" t="inlineStr">
        <is>
          <t>基地资产包</t>
        </is>
      </c>
      <c r="D406" t="inlineStr">
        <is>
          <t>仓库设施包</t>
        </is>
      </c>
      <c r="E406" t="inlineStr">
        <is>
          <t>base99_package_battery_bank</t>
        </is>
      </c>
      <c r="F406" t="inlineStr">
        <is>
          <t>package_root</t>
        </is>
      </c>
      <c r="G406" t="inlineStr">
        <is>
          <t>ENV-BASE99-ART-LAYOUT-3D</t>
        </is>
      </c>
      <c r="H406" t="inlineStr">
        <is>
          <t>Top3D / Blender +Y北</t>
        </is>
      </c>
      <c r="I406" t="inlineStr">
        <is>
          <t>static / default</t>
        </is>
      </c>
      <c r="J406" t="inlineStr">
        <is>
          <t>3D-设施 / 基地99层独立资产包</t>
        </is>
      </c>
      <c r="K406" t="inlineStr">
        <is>
          <t>Blender源已完成</t>
        </is>
      </c>
      <c r="L406" t="inlineStr">
        <is>
          <t>P1</t>
        </is>
      </c>
      <c r="M406" t="inlineStr">
        <is>
          <t>v017</t>
        </is>
      </c>
      <c r="N406" s="349" t="inlineStr">
        <is>
          <t>包络 1.320×2.280×0.820m；6 网格；0 灯</t>
        </is>
      </c>
      <c r="O406" s="349" t="inlineStr">
        <is>
          <t>source/art/blender/base_facility_layout/component_packages_v017/warehouse/battery_bank/asset_manifest.json</t>
        </is>
      </c>
      <c r="P406" s="349" t="inlineStr">
        <is>
          <t>source/art/blender/base_facility_layout/base_facility_runtime_layout_hq_v017.blend; outputs/verification/base_facility_runtime_layout_hq_v017/base_facility_component_catalog_v017.json</t>
        </is>
      </c>
      <c r="Q406" s="349" t="inlineStr">
        <is>
          <t>基地99层;基地资产包;3D设施;仓库设施包;battery_bank;PaletteUV</t>
        </is>
      </c>
      <c r="R406" s="349">
        <f>C406&amp;"|"&amp;D406&amp;"|"&amp;E406&amp;"|"&amp;F406&amp;"|"&amp;LOWER(H406)&amp;"|"&amp;I406</f>
        <v/>
      </c>
      <c r="S406" s="349">
        <f>IF(COUNTIF($R$6:$R$411,R406)&gt;1,"重复","唯一")</f>
        <v/>
      </c>
      <c r="T406" s="349" t="inlineStr">
        <is>
          <t>2472c6e24341f034f65fb178a1dc03ad9b99e134a1af4e8c44a851e1d0c9ec48</t>
        </is>
      </c>
      <c r="U406" s="349" t="inlineStr">
        <is>
          <t>Codex</t>
        </is>
      </c>
      <c r="V406" s="348" t="n">
        <v>46269</v>
      </c>
      <c r="W406" s="349" t="inlineStr">
        <is>
          <t>用户自制Blender资产</t>
        </is>
      </c>
      <c r="X406" s="375" t="inlineStr">
        <is>
          <t>54</t>
        </is>
      </c>
      <c r="Y406" s="34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407" ht="54" customHeight="1">
      <c r="A407" t="inlineStr">
        <is>
          <t>BPK-BASE99-HEAVY-SUPPLY-SHELF</t>
        </is>
      </c>
      <c r="B407" t="inlineStr">
        <is>
          <t>基地99层 · 重型货架与补给箱</t>
        </is>
      </c>
      <c r="C407" t="inlineStr">
        <is>
          <t>基地资产包</t>
        </is>
      </c>
      <c r="D407" t="inlineStr">
        <is>
          <t>仓库设施包</t>
        </is>
      </c>
      <c r="E407" t="inlineStr">
        <is>
          <t>base99_package_heavy_supply_shelf</t>
        </is>
      </c>
      <c r="F407" t="inlineStr">
        <is>
          <t>package_root</t>
        </is>
      </c>
      <c r="G407" t="inlineStr">
        <is>
          <t>ENV-BASE99-ART-LAYOUT-3D</t>
        </is>
      </c>
      <c r="H407" t="inlineStr">
        <is>
          <t>Top3D / Blender +Y北</t>
        </is>
      </c>
      <c r="I407" t="inlineStr">
        <is>
          <t>static / default</t>
        </is>
      </c>
      <c r="J407" t="inlineStr">
        <is>
          <t>3D-设施 / 基地99层独立资产包</t>
        </is>
      </c>
      <c r="K407" t="inlineStr">
        <is>
          <t>Blender源已完成</t>
        </is>
      </c>
      <c r="L407" t="inlineStr">
        <is>
          <t>P1</t>
        </is>
      </c>
      <c r="M407" t="inlineStr">
        <is>
          <t>v017</t>
        </is>
      </c>
      <c r="N407" s="349" t="inlineStr">
        <is>
          <t>包络 5.340×0.820×3.640m；22 网格；0 灯</t>
        </is>
      </c>
      <c r="O407" s="349" t="inlineStr">
        <is>
          <t>source/art/blender/base_facility_layout/component_packages_v017/warehouse/heavy_supply_shelf/asset_manifest.json</t>
        </is>
      </c>
      <c r="P407" s="349" t="inlineStr">
        <is>
          <t>source/art/blender/base_facility_layout/base_facility_runtime_layout_hq_v017.blend; outputs/verification/base_facility_runtime_layout_hq_v017/base_facility_component_catalog_v017.json</t>
        </is>
      </c>
      <c r="Q407" s="349" t="inlineStr">
        <is>
          <t>基地99层;基地资产包;3D设施;仓库设施包;heavy_supply_shelf;PaletteUV</t>
        </is>
      </c>
      <c r="R407" s="349">
        <f>C407&amp;"|"&amp;D407&amp;"|"&amp;E407&amp;"|"&amp;F407&amp;"|"&amp;LOWER(H407)&amp;"|"&amp;I407</f>
        <v/>
      </c>
      <c r="S407" s="349">
        <f>IF(COUNTIF($R$6:$R$411,R407)&gt;1,"重复","唯一")</f>
        <v/>
      </c>
      <c r="T407" s="349" t="inlineStr">
        <is>
          <t>185fcbce3e743c73d82ee94ff345f58879aac5b767a29e06e43d2d7ec8d7332c</t>
        </is>
      </c>
      <c r="U407" s="349" t="inlineStr">
        <is>
          <t>Codex</t>
        </is>
      </c>
      <c r="V407" s="348" t="n">
        <v>46269</v>
      </c>
      <c r="W407" s="349" t="inlineStr">
        <is>
          <t>用户自制Blender资产</t>
        </is>
      </c>
      <c r="X407" s="375" t="inlineStr">
        <is>
          <t>51</t>
        </is>
      </c>
      <c r="Y407" s="34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408" ht="54" customHeight="1">
      <c r="A408" t="inlineStr">
        <is>
          <t>BPK-BASE99-HOSE-REEL</t>
        </is>
      </c>
      <c r="B408" t="inlineStr">
        <is>
          <t>基地99层 · 水管卷盘</t>
        </is>
      </c>
      <c r="C408" t="inlineStr">
        <is>
          <t>基地资产包</t>
        </is>
      </c>
      <c r="D408" t="inlineStr">
        <is>
          <t>仓库设施包</t>
        </is>
      </c>
      <c r="E408" t="inlineStr">
        <is>
          <t>base99_package_hose_reel</t>
        </is>
      </c>
      <c r="F408" t="inlineStr">
        <is>
          <t>package_root</t>
        </is>
      </c>
      <c r="G408" t="inlineStr">
        <is>
          <t>ENV-BASE99-ART-LAYOUT-3D</t>
        </is>
      </c>
      <c r="H408" t="inlineStr">
        <is>
          <t>Top3D / Blender +Y北</t>
        </is>
      </c>
      <c r="I408" t="inlineStr">
        <is>
          <t>static / default</t>
        </is>
      </c>
      <c r="J408" t="inlineStr">
        <is>
          <t>3D-设施 / 基地99层独立资产包</t>
        </is>
      </c>
      <c r="K408" t="inlineStr">
        <is>
          <t>Blender源已完成</t>
        </is>
      </c>
      <c r="L408" t="inlineStr">
        <is>
          <t>P1</t>
        </is>
      </c>
      <c r="M408" t="inlineStr">
        <is>
          <t>v017</t>
        </is>
      </c>
      <c r="N408" s="349" t="inlineStr">
        <is>
          <t>包络 1.240×0.250×1.240m；1 网格；0 灯</t>
        </is>
      </c>
      <c r="O408" s="349" t="inlineStr">
        <is>
          <t>source/art/blender/base_facility_layout/component_packages_v017/warehouse/hose_reel/asset_manifest.json</t>
        </is>
      </c>
      <c r="P408" s="349" t="inlineStr">
        <is>
          <t>source/art/blender/base_facility_layout/base_facility_runtime_layout_hq_v017.blend; outputs/verification/base_facility_runtime_layout_hq_v017/base_facility_component_catalog_v017.json</t>
        </is>
      </c>
      <c r="Q408" s="349" t="inlineStr">
        <is>
          <t>基地99层;基地资产包;3D设施;仓库设施包;hose_reel;PaletteUV</t>
        </is>
      </c>
      <c r="R408" s="349">
        <f>C408&amp;"|"&amp;D408&amp;"|"&amp;E408&amp;"|"&amp;F408&amp;"|"&amp;LOWER(H408)&amp;"|"&amp;I408</f>
        <v/>
      </c>
      <c r="S408" s="349">
        <f>IF(COUNTIF($R$6:$R$411,R408)&gt;1,"重复","唯一")</f>
        <v/>
      </c>
      <c r="T408" s="349" t="inlineStr">
        <is>
          <t>4a7f78ea56b56e29bcce1dde3bb2d0c65a841e81c143cb74b55f999d5057c8c8</t>
        </is>
      </c>
      <c r="U408" s="349" t="inlineStr">
        <is>
          <t>Codex</t>
        </is>
      </c>
      <c r="V408" s="348" t="n">
        <v>46269</v>
      </c>
      <c r="W408" s="349" t="inlineStr">
        <is>
          <t>用户自制Blender资产</t>
        </is>
      </c>
      <c r="X408" s="375" t="inlineStr">
        <is>
          <t>59</t>
        </is>
      </c>
      <c r="Y408" s="34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409" ht="54" customHeight="1">
      <c r="A409" t="inlineStr">
        <is>
          <t>BPK-BASE99-INDUSTRIAL-WATER-TANK</t>
        </is>
      </c>
      <c r="B409" t="inlineStr">
        <is>
          <t>基地99层 · 工业水箱</t>
        </is>
      </c>
      <c r="C409" t="inlineStr">
        <is>
          <t>基地资产包</t>
        </is>
      </c>
      <c r="D409" t="inlineStr">
        <is>
          <t>仓库设施包</t>
        </is>
      </c>
      <c r="E409" t="inlineStr">
        <is>
          <t>base99_package_industrial_water_tank</t>
        </is>
      </c>
      <c r="F409" t="inlineStr">
        <is>
          <t>package_root</t>
        </is>
      </c>
      <c r="G409" t="inlineStr">
        <is>
          <t>ENV-BASE99-ART-LAYOUT-3D</t>
        </is>
      </c>
      <c r="H409" t="inlineStr">
        <is>
          <t>Top3D / Blender +Y北</t>
        </is>
      </c>
      <c r="I409" t="inlineStr">
        <is>
          <t>static / default</t>
        </is>
      </c>
      <c r="J409" t="inlineStr">
        <is>
          <t>3D-设施 / 基地99层独立资产包</t>
        </is>
      </c>
      <c r="K409" t="inlineStr">
        <is>
          <t>Blender源已完成</t>
        </is>
      </c>
      <c r="L409" t="inlineStr">
        <is>
          <t>P1</t>
        </is>
      </c>
      <c r="M409" t="inlineStr">
        <is>
          <t>v017</t>
        </is>
      </c>
      <c r="N409" s="349" t="inlineStr">
        <is>
          <t>包络 2.000×2.000×2.550m；1 网格；0 灯</t>
        </is>
      </c>
      <c r="O409" s="349" t="inlineStr">
        <is>
          <t>source/art/blender/base_facility_layout/component_packages_v017/warehouse/industrial_water_tank/asset_manifest.json</t>
        </is>
      </c>
      <c r="P409" s="349" t="inlineStr">
        <is>
          <t>source/art/blender/base_facility_layout/base_facility_runtime_layout_hq_v017.blend; outputs/verification/base_facility_runtime_layout_hq_v017/base_facility_component_catalog_v017.json</t>
        </is>
      </c>
      <c r="Q409" s="349" t="inlineStr">
        <is>
          <t>基地99层;基地资产包;3D设施;仓库设施包;industrial_water_tank;PaletteUV</t>
        </is>
      </c>
      <c r="R409" s="349">
        <f>C409&amp;"|"&amp;D409&amp;"|"&amp;E409&amp;"|"&amp;F409&amp;"|"&amp;LOWER(H409)&amp;"|"&amp;I409</f>
        <v/>
      </c>
      <c r="S409" s="349">
        <f>IF(COUNTIF($R$6:$R$411,R409)&gt;1,"重复","唯一")</f>
        <v/>
      </c>
      <c r="T409" s="349" t="inlineStr">
        <is>
          <t>c133e666268b455d5132220eb5857310f3dea4ef114c4496fa7a08e56e284738</t>
        </is>
      </c>
      <c r="U409" s="349" t="inlineStr">
        <is>
          <t>Codex</t>
        </is>
      </c>
      <c r="V409" s="348" t="n">
        <v>46269</v>
      </c>
      <c r="W409" s="349" t="inlineStr">
        <is>
          <t>用户自制Blender资产</t>
        </is>
      </c>
      <c r="X409" s="375" t="inlineStr">
        <is>
          <t>56</t>
        </is>
      </c>
      <c r="Y409" s="34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410" ht="54" customHeight="1">
      <c r="A410" t="inlineStr">
        <is>
          <t>BPK-BASE99-SOUTH-WALL-INFORMATION-BOARDS</t>
        </is>
      </c>
      <c r="B410" t="inlineStr">
        <is>
          <t>基地99层 · 南墙资料板组</t>
        </is>
      </c>
      <c r="C410" t="inlineStr">
        <is>
          <t>基地资产包</t>
        </is>
      </c>
      <c r="D410" t="inlineStr">
        <is>
          <t>仓库设施包</t>
        </is>
      </c>
      <c r="E410" t="inlineStr">
        <is>
          <t>base99_package_south_wall_information_boards</t>
        </is>
      </c>
      <c r="F410" t="inlineStr">
        <is>
          <t>package_root</t>
        </is>
      </c>
      <c r="G410" t="inlineStr">
        <is>
          <t>ENV-BASE99-ART-LAYOUT-3D</t>
        </is>
      </c>
      <c r="H410" t="inlineStr">
        <is>
          <t>Top3D / Blender +Y北</t>
        </is>
      </c>
      <c r="I410" t="inlineStr">
        <is>
          <t>static / default</t>
        </is>
      </c>
      <c r="J410" t="inlineStr">
        <is>
          <t>3D-设施 / 基地99层独立资产包</t>
        </is>
      </c>
      <c r="K410" t="inlineStr">
        <is>
          <t>Blender源已完成</t>
        </is>
      </c>
      <c r="L410" t="inlineStr">
        <is>
          <t>P1</t>
        </is>
      </c>
      <c r="M410" t="inlineStr">
        <is>
          <t>v017</t>
        </is>
      </c>
      <c r="N410" s="349" t="inlineStr">
        <is>
          <t>包络 16.200×0.200×1.300m；6 网格；0 灯</t>
        </is>
      </c>
      <c r="O410" s="349" t="inlineStr">
        <is>
          <t>source/art/blender/base_facility_layout/component_packages_v017/warehouse/south_wall_information_boards/asset_manifest.json</t>
        </is>
      </c>
      <c r="P410" s="349" t="inlineStr">
        <is>
          <t>source/art/blender/base_facility_layout/base_facility_runtime_layout_hq_v017.blend; outputs/verification/base_facility_runtime_layout_hq_v017/base_facility_component_catalog_v017.json</t>
        </is>
      </c>
      <c r="Q410" s="349" t="inlineStr">
        <is>
          <t>基地99层;基地资产包;3D设施;仓库设施包;south_wall_information_boards;PaletteUV</t>
        </is>
      </c>
      <c r="R410" s="349">
        <f>C410&amp;"|"&amp;D410&amp;"|"&amp;E410&amp;"|"&amp;F410&amp;"|"&amp;LOWER(H410)&amp;"|"&amp;I410</f>
        <v/>
      </c>
      <c r="S410" s="349">
        <f>IF(COUNTIF($R$6:$R$411,R410)&gt;1,"重复","唯一")</f>
        <v/>
      </c>
      <c r="T410" s="349" t="inlineStr">
        <is>
          <t>d0f70e0eb43fe077fdf49b7d262b825bfbd064defcd8121df94d0b86dab5da0b</t>
        </is>
      </c>
      <c r="U410" s="349" t="inlineStr">
        <is>
          <t>Codex</t>
        </is>
      </c>
      <c r="V410" s="348" t="n">
        <v>46269</v>
      </c>
      <c r="W410" s="349" t="inlineStr">
        <is>
          <t>用户自制Blender资产</t>
        </is>
      </c>
      <c r="X410" s="375" t="inlineStr">
        <is>
          <t>61</t>
        </is>
      </c>
      <c r="Y410" s="34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411" ht="54" customHeight="1">
      <c r="A411" t="inlineStr">
        <is>
          <t>BPK-BASE99-WATER-PURIFIER</t>
        </is>
      </c>
      <c r="B411" t="inlineStr">
        <is>
          <t>基地99层 · 净水器</t>
        </is>
      </c>
      <c r="C411" t="inlineStr">
        <is>
          <t>基地资产包</t>
        </is>
      </c>
      <c r="D411" t="inlineStr">
        <is>
          <t>仓库设施包</t>
        </is>
      </c>
      <c r="E411" t="inlineStr">
        <is>
          <t>base99_package_water_purifier</t>
        </is>
      </c>
      <c r="F411" t="inlineStr">
        <is>
          <t>package_root</t>
        </is>
      </c>
      <c r="G411" t="inlineStr">
        <is>
          <t>ENV-BASE99-ART-LAYOUT-3D</t>
        </is>
      </c>
      <c r="H411" t="inlineStr">
        <is>
          <t>Top3D / Blender +Y北</t>
        </is>
      </c>
      <c r="I411" t="inlineStr">
        <is>
          <t>static / default</t>
        </is>
      </c>
      <c r="J411" t="inlineStr">
        <is>
          <t>3D-设施 / 基地99层独立资产包</t>
        </is>
      </c>
      <c r="K411" t="inlineStr">
        <is>
          <t>Blender源已完成</t>
        </is>
      </c>
      <c r="L411" t="inlineStr">
        <is>
          <t>P1</t>
        </is>
      </c>
      <c r="M411" t="inlineStr">
        <is>
          <t>v017</t>
        </is>
      </c>
      <c r="N411" s="349" t="inlineStr">
        <is>
          <t>包络 1.992×1.500×2.450m；3 网格；0 灯</t>
        </is>
      </c>
      <c r="O411" s="349" t="inlineStr">
        <is>
          <t>source/art/blender/base_facility_layout/component_packages_v017/warehouse/water_purifier/asset_manifest.json</t>
        </is>
      </c>
      <c r="P411" s="349" t="inlineStr">
        <is>
          <t>source/art/blender/base_facility_layout/base_facility_runtime_layout_hq_v017.blend; outputs/verification/base_facility_runtime_layout_hq_v017/base_facility_component_catalog_v017.json</t>
        </is>
      </c>
      <c r="Q411" s="349" t="inlineStr">
        <is>
          <t>基地99层;基地资产包;3D设施;仓库设施包;water_purifier;PaletteUV</t>
        </is>
      </c>
      <c r="R411" s="349">
        <f>C411&amp;"|"&amp;D411&amp;"|"&amp;E411&amp;"|"&amp;F411&amp;"|"&amp;LOWER(H411)&amp;"|"&amp;I411</f>
        <v/>
      </c>
      <c r="S411" s="349">
        <f>IF(COUNTIF($R$6:$R$411,R411)&gt;1,"重复","唯一")</f>
        <v/>
      </c>
      <c r="T411" s="349" t="inlineStr">
        <is>
          <t>ebf0d4ae0c14ccc2a6c23a55cc62e8c9a1c1879bfb18dfdffcd4bbca2a33381a</t>
        </is>
      </c>
      <c r="U411" s="349" t="inlineStr">
        <is>
          <t>Codex</t>
        </is>
      </c>
      <c r="V411" s="348" t="n">
        <v>46269</v>
      </c>
      <c r="W411" s="349" t="inlineStr">
        <is>
          <t>用户自制Blender资产</t>
        </is>
      </c>
      <c r="X411" s="375" t="inlineStr">
        <is>
          <t>57</t>
        </is>
      </c>
      <c r="Y411" s="34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412" ht="54" customHeight="1">
      <c r="A412" t="inlineStr">
        <is>
          <t>BPK-BASE99-EAST-DOOR-ACCESS-CONTROL</t>
        </is>
      </c>
      <c r="B412" t="inlineStr">
        <is>
          <t>基地99层 · 东墙门禁外围控制</t>
        </is>
      </c>
      <c r="C412" t="inlineStr">
        <is>
          <t>基地资产包</t>
        </is>
      </c>
      <c r="D412" t="inlineStr">
        <is>
          <t>东侧固定设施包</t>
        </is>
      </c>
      <c r="E412" t="inlineStr">
        <is>
          <t>base99_package_east_door_access_control</t>
        </is>
      </c>
      <c r="F412" t="inlineStr">
        <is>
          <t>package_root</t>
        </is>
      </c>
      <c r="G412" t="inlineStr">
        <is>
          <t>ENV-BASE99-ART-LAYOUT-3D</t>
        </is>
      </c>
      <c r="H412" t="inlineStr">
        <is>
          <t>Top3D / Blender +Y北</t>
        </is>
      </c>
      <c r="I412" t="inlineStr">
        <is>
          <t>static / default</t>
        </is>
      </c>
      <c r="J412" t="inlineStr">
        <is>
          <t>3D-设施 / 基地99层独立资产包</t>
        </is>
      </c>
      <c r="K412" t="inlineStr">
        <is>
          <t>Blender源已完成</t>
        </is>
      </c>
      <c r="L412" t="inlineStr">
        <is>
          <t>P1</t>
        </is>
      </c>
      <c r="M412" t="inlineStr">
        <is>
          <t>v017</t>
        </is>
      </c>
      <c r="N412" s="349" t="inlineStr">
        <is>
          <t>包络 0.410×1.835×2.731m；17 网格；0 灯</t>
        </is>
      </c>
      <c r="O412" s="349" t="inlineStr">
        <is>
          <t>source/art/blender/base_facility_layout/component_packages_v017/east_facilities/east_door_access_control/asset_manifest.json</t>
        </is>
      </c>
      <c r="P412" s="349" t="inlineStr">
        <is>
          <t>source/art/blender/base_facility_layout/base_facility_runtime_layout_hq_v017.blend; outputs/verification/base_facility_runtime_layout_hq_v017/base_facility_component_catalog_v017.json</t>
        </is>
      </c>
      <c r="Q412" s="349" t="inlineStr">
        <is>
          <t>基地99层;基地资产包;3D设施;东侧固定设施包;east_door_access_control;PaletteUV</t>
        </is>
      </c>
      <c r="R412" s="349">
        <f>C412&amp;"|"&amp;D412&amp;"|"&amp;E412&amp;"|"&amp;F412&amp;"|"&amp;LOWER(H412)&amp;"|"&amp;I412</f>
        <v/>
      </c>
      <c r="S412" s="349">
        <f>IF(COUNTIF($R$6:$R$413,R412)&gt;1,"重复","唯一")</f>
        <v/>
      </c>
      <c r="T412" s="349" t="inlineStr">
        <is>
          <t>681f349e6e957fbf0863f1b07095d8c082aceb4043cfe6de8aa5c48a3e9c2453</t>
        </is>
      </c>
      <c r="U412" s="349" t="inlineStr">
        <is>
          <t>Codex</t>
        </is>
      </c>
      <c r="V412" s="348" t="n">
        <v>46269</v>
      </c>
      <c r="W412" s="349" t="inlineStr">
        <is>
          <t>用户自制Blender资产</t>
        </is>
      </c>
      <c r="X412" s="375" t="inlineStr">
        <is>
          <t>73</t>
        </is>
      </c>
      <c r="Y412" s="34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413" ht="76" customHeight="1">
      <c r="A413" t="inlineStr">
        <is>
          <t>BPK-BASE99-EAST-DOOR-WALL-MODULE</t>
        </is>
      </c>
      <c r="B413" t="inlineStr">
        <is>
          <t>基地99层 · 北段带门墙模块</t>
        </is>
      </c>
      <c r="C413" t="inlineStr">
        <is>
          <t>基地资产包</t>
        </is>
      </c>
      <c r="D413" t="inlineStr">
        <is>
          <t>建筑结构包</t>
        </is>
      </c>
      <c r="E413" t="inlineStr">
        <is>
          <t>base99_package_east_door_wall_module</t>
        </is>
      </c>
      <c r="F413" t="inlineStr">
        <is>
          <t>package_root</t>
        </is>
      </c>
      <c r="G413" t="inlineStr">
        <is>
          <t>ENV-BASE99-ART-LAYOUT-3D</t>
        </is>
      </c>
      <c r="H413" t="inlineStr">
        <is>
          <t>Top3D / Blender +Y北</t>
        </is>
      </c>
      <c r="I413" t="inlineStr">
        <is>
          <t>static / wall_owned_frame</t>
        </is>
      </c>
      <c r="J413" t="inlineStr">
        <is>
          <t>3D-设施 / 基地99层独立资产包</t>
        </is>
      </c>
      <c r="K413" t="inlineStr">
        <is>
          <t>Blender源已完成</t>
        </is>
      </c>
      <c r="L413" t="inlineStr">
        <is>
          <t>P1</t>
        </is>
      </c>
      <c r="M413" t="inlineStr">
        <is>
          <t>v017</t>
        </is>
      </c>
      <c r="N413" s="349" t="inlineStr">
        <is>
          <t>包络 1.051×5.000×9.000m；1 网格；0 灯</t>
        </is>
      </c>
      <c r="O413" s="349" t="inlineStr">
        <is>
          <t>source/art/blender/base_facility_layout/component_packages_v017/architecture/east_door_wall_module/asset_manifest.json</t>
        </is>
      </c>
      <c r="P413" s="349" t="inlineStr">
        <is>
          <t>source/art/blender/base_facility_layout/base_facility_runtime_layout_hq_v017.blend; outputs/verification/base_facility_runtime_layout_hq_v017/base_facility_component_catalog_v017.json</t>
        </is>
      </c>
      <c r="Q413" s="349" t="inlineStr">
        <is>
          <t>基地99层;基地资产包;3D设施;建筑结构包;east_door_wall_module;PaletteUV</t>
        </is>
      </c>
      <c r="R413" s="349">
        <f>C413&amp;"|"&amp;D413&amp;"|"&amp;E413&amp;"|"&amp;F413&amp;"|"&amp;LOWER(H413)&amp;"|"&amp;I413</f>
        <v/>
      </c>
      <c r="S413" s="349">
        <f>IF(COUNTIF($R$6:$R$413,R413)&gt;1,"重复","唯一")</f>
        <v/>
      </c>
      <c r="T413" s="349" t="inlineStr">
        <is>
          <t>07817b0d140cb5634813c7cd0dc246b859489872ca15b454ab84396b08c5c682</t>
        </is>
      </c>
      <c r="U413" s="349" t="inlineStr">
        <is>
          <t>Codex</t>
        </is>
      </c>
      <c r="V413" s="348" t="n">
        <v>46269</v>
      </c>
      <c r="W413" s="349" t="inlineStr">
        <is>
          <t>用户自制Blender资产</t>
        </is>
      </c>
      <c r="X413" s="375" t="inlineStr">
        <is>
          <t>12</t>
        </is>
      </c>
      <c r="Y413" s="34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414" ht="72" customHeight="1">
      <c r="A414" t="inlineStr">
        <is>
          <t>BPK-BASE99-WEST-DOOR-WALL-MODULE</t>
        </is>
      </c>
      <c r="B414" t="inlineStr">
        <is>
          <t>基地99层 · 西侧第三段带门墙模块</t>
        </is>
      </c>
      <c r="C414" t="inlineStr">
        <is>
          <t>基地资产包</t>
        </is>
      </c>
      <c r="D414" t="inlineStr">
        <is>
          <t>建筑结构包</t>
        </is>
      </c>
      <c r="E414" t="inlineStr">
        <is>
          <t>base99_package_west_door_wall_module</t>
        </is>
      </c>
      <c r="F414" t="inlineStr">
        <is>
          <t>package_root</t>
        </is>
      </c>
      <c r="G414" t="inlineStr">
        <is>
          <t>ENV-BASE99-WALL-DOOR-5X9</t>
        </is>
      </c>
      <c r="H414" t="inlineStr">
        <is>
          <t>Top3D / Blender +Y北</t>
        </is>
      </c>
      <c r="I414" t="inlineStr">
        <is>
          <t>static / wall_owned_frame</t>
        </is>
      </c>
      <c r="J414" t="inlineStr">
        <is>
          <t>3D-设施 / 基地99层独立资产包</t>
        </is>
      </c>
      <c r="K414" t="inlineStr">
        <is>
          <t>Blender源已完成</t>
        </is>
      </c>
      <c r="L414" t="inlineStr">
        <is>
          <t>P1</t>
        </is>
      </c>
      <c r="M414" t="inlineStr">
        <is>
          <t>v017</t>
        </is>
      </c>
      <c r="N414" s="349" t="inlineStr">
        <is>
          <t>包络 1.051×5.000×9.000m；1 网格；0 灯</t>
        </is>
      </c>
      <c r="O414" s="349" t="inlineStr">
        <is>
          <t>source/art/blender/base_facility_layout/component_packages_v017/architecture/west_door_wall_module/asset_manifest.json</t>
        </is>
      </c>
      <c r="P414" s="349" t="inlineStr">
        <is>
          <t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t>
        </is>
      </c>
      <c r="Q414" s="349" t="inlineStr">
        <is>
          <t>基地99层;基地资产包;3D设施;建筑结构包;west_door_wall_module;ENV-BASE99-WALL-DOOR-5X9;PaletteUV</t>
        </is>
      </c>
      <c r="R414" s="349">
        <f>C414&amp;"|"&amp;D414&amp;"|"&amp;E414&amp;"|"&amp;F414&amp;"|"&amp;LOWER(H414)&amp;"|"&amp;I414</f>
        <v/>
      </c>
      <c r="S414" s="349">
        <f>IF(COUNTIF($R$6:$R$415,R414)&gt;1,"重复","唯一")</f>
        <v/>
      </c>
      <c r="T414" s="349" t="inlineStr">
        <is>
          <t>245e0924385ade489200c0c2c9ee1f2941da655f93723b5db3de23f9d8b34028</t>
        </is>
      </c>
      <c r="U414" s="349" t="inlineStr">
        <is>
          <t>Codex</t>
        </is>
      </c>
      <c r="V414" s="348" t="n">
        <v>46269</v>
      </c>
      <c r="W414" s="349" t="inlineStr">
        <is>
          <t>用户自制Blender资产</t>
        </is>
      </c>
      <c r="X414" s="375" t="inlineStr">
        <is>
          <t>114</t>
        </is>
      </c>
      <c r="Y414" s="34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415" ht="72" customHeight="1">
      <c r="A415" t="inlineStr">
        <is>
          <t>BPK-BASE99-WEST-DOOR-LIFT-INSTANCE</t>
        </is>
      </c>
      <c r="B415" t="inlineStr">
        <is>
          <t>基地99层 · 西侧第三段通用滑升门实例</t>
        </is>
      </c>
      <c r="C415" t="inlineStr">
        <is>
          <t>基地资产包</t>
        </is>
      </c>
      <c r="D415" t="inlineStr">
        <is>
          <t>西侧固定设施实例</t>
        </is>
      </c>
      <c r="E415" t="inlineStr">
        <is>
          <t>base99_placement_west_door_lift_instance</t>
        </is>
      </c>
      <c r="F415" t="inlineStr">
        <is>
          <t>package_root</t>
        </is>
      </c>
      <c r="G415" t="inlineStr">
        <is>
          <t>ENV-BASE99-DOOR-LIFT-22X25</t>
        </is>
      </c>
      <c r="H415" t="inlineStr">
        <is>
          <t>Top3D / Blender +Y北</t>
        </is>
      </c>
      <c r="I415" t="inlineStr">
        <is>
          <t>static / fixture_light / shared_runtime_asset</t>
        </is>
      </c>
      <c r="J415" t="inlineStr">
        <is>
          <t>3D-设施 / 基地99层独立资产包</t>
        </is>
      </c>
      <c r="K415" t="inlineStr">
        <is>
          <t>Blender源已完成</t>
        </is>
      </c>
      <c r="L415" t="inlineStr">
        <is>
          <t>P1</t>
        </is>
      </c>
      <c r="M415" t="inlineStr">
        <is>
          <t>v017</t>
        </is>
      </c>
      <c r="N415" s="349" t="inlineStr">
        <is>
          <t>包络 0.898×2.040×2.340m；2 网格；1 灯</t>
        </is>
      </c>
      <c r="O415" s="349" t="inlineStr">
        <is>
          <t>source/art/blender/base_facility_layout/component_packages_v017/west_facilities/west_door_lift_instance/asset_manifest.json</t>
        </is>
      </c>
      <c r="P415" s="349" t="inlineStr">
        <is>
          <t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t>
        </is>
      </c>
      <c r="Q415" s="349" t="inlineStr">
        <is>
          <t>基地99层;基地资产包;3D设施;西侧固定设施实例;west_door_lift_instance;ENV-BASE99-DOOR-LIFT-22X25;PaletteUV</t>
        </is>
      </c>
      <c r="R415" s="349">
        <f>C415&amp;"|"&amp;D415&amp;"|"&amp;E415&amp;"|"&amp;F415&amp;"|"&amp;LOWER(H415)&amp;"|"&amp;I415</f>
        <v/>
      </c>
      <c r="S415" s="349">
        <f>IF(COUNTIF($R$6:$R$415,R415)&gt;1,"重复","唯一")</f>
        <v/>
      </c>
      <c r="T415" s="349" t="inlineStr">
        <is>
          <t>7866d64dc38165e095f54b393e5d711d45626d0e1a4145729d2dbb66f213842d</t>
        </is>
      </c>
      <c r="U415" s="349" t="inlineStr">
        <is>
          <t>Codex</t>
        </is>
      </c>
      <c r="V415" s="348" t="n">
        <v>46269</v>
      </c>
      <c r="W415" s="349" t="inlineStr">
        <is>
          <t>用户自制Blender资产</t>
        </is>
      </c>
      <c r="X415" s="375" t="inlineStr">
        <is>
          <t>115</t>
        </is>
      </c>
      <c r="Y415" s="34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416" ht="72" customHeight="1">
      <c r="A416" t="inlineStr">
        <is>
          <t>BPK-BASE99-LOFT-FLOOR-FINISH</t>
        </is>
      </c>
      <c r="B416" t="inlineStr">
        <is>
          <t>基地99层 · 二楼地板色彩深化</t>
        </is>
      </c>
      <c r="C416" t="inlineStr">
        <is>
          <t>基地资产包</t>
        </is>
      </c>
      <c r="D416" t="inlineStr">
        <is>
          <t>地面系统包</t>
        </is>
      </c>
      <c r="E416" t="inlineStr">
        <is>
          <t>base99_package_loft_floor_finish</t>
        </is>
      </c>
      <c r="F416" t="inlineStr">
        <is>
          <t>package_root</t>
        </is>
      </c>
      <c r="G416" t="inlineStr">
        <is>
          <t>ENV-BASE99-ART-LAYOUT-3D</t>
        </is>
      </c>
      <c r="H416" t="inlineStr">
        <is>
          <t>Top3D / Blender +Y北</t>
        </is>
      </c>
      <c r="I416" t="inlineStr">
        <is>
          <t>static / default</t>
        </is>
      </c>
      <c r="J416" t="inlineStr">
        <is>
          <t>3D-设施 / 基地99层独立资产包</t>
        </is>
      </c>
      <c r="K416" t="inlineStr">
        <is>
          <t>正式美术已接入</t>
        </is>
      </c>
      <c r="L416" t="inlineStr">
        <is>
          <t>P0</t>
        </is>
      </c>
      <c r="M416" t="inlineStr">
        <is>
          <t>v017</t>
        </is>
      </c>
      <c r="N416" s="349" t="inlineStr">
        <is>
          <t>包络 19.600×9.600×0.108m；11 对象；源镜像 11 对象</t>
        </is>
      </c>
      <c r="O416" s="349" t="inlineStr">
        <is>
          <t>source/art/blender/base_facility_layout/component_packages_v017/floor/loft_floor_finish/asset_manifest.json</t>
        </is>
      </c>
      <c r="P416" s="349" t="inlineStr">
        <is>
          <t>source/art/blender/base_facility_layout/base_facility_runtime_layout_hq_v017.blend; outputs/verification/base_facility_runtime_layout_hq_v017/base_facility_component_catalog_v017.json</t>
        </is>
      </c>
      <c r="Q416" s="349" t="inlineStr">
        <is>
          <t>基地99层;基地资产包;3D设施;地面系统包;loft_floor_finish;PaletteUV</t>
        </is>
      </c>
      <c r="R416" s="349">
        <f>C416&amp;"|"&amp;D416&amp;"|"&amp;E416&amp;"|"&amp;F416&amp;"|"&amp;LOWER(H416)&amp;"|"&amp;I416</f>
        <v/>
      </c>
      <c r="S416" s="349">
        <f>IF(COUNTIF($R$6:$R$416,R416)&gt;1,"重复","唯一")</f>
        <v/>
      </c>
      <c r="T416" s="349" t="inlineStr">
        <is>
          <t>6ce5eed8db6dcb29f09ffd20644573e353fcfef1e0f56690db403c1e825602ae</t>
        </is>
      </c>
      <c r="U416" s="349" t="inlineStr">
        <is>
          <t>Codex</t>
        </is>
      </c>
      <c r="V416" s="348" t="n">
        <v>46269</v>
      </c>
      <c r="W416" s="349" t="inlineStr">
        <is>
          <t>用户自制Blender资产</t>
        </is>
      </c>
      <c r="X416" s="375" t="inlineStr">
        <is>
          <t>—</t>
        </is>
      </c>
      <c r="Y416" s="34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417">
      <c r="A417" t="inlineStr">
        <is>
          <t>ENV-BASE99-WALL-CONTENTS-V021</t>
        </is>
      </c>
      <c r="B417" t="inlineStr">
        <is>
          <t>基地99层非门墙面内容资产包</t>
        </is>
      </c>
      <c r="C417" t="inlineStr">
        <is>
          <t>场景</t>
        </is>
      </c>
      <c r="D417" t="inlineStr">
        <is>
          <t>environment_module_3d</t>
        </is>
      </c>
      <c r="E417" t="inlineStr">
        <is>
          <t>base99_wall_contents_v021</t>
        </is>
      </c>
      <c r="F417" t="inlineStr">
        <is>
          <t>wall_content_visual_bundle</t>
        </is>
      </c>
      <c r="G417" t="inlineStr">
        <is>
          <t>ENV-BASE99-ART-LAYOUT-3D</t>
        </is>
      </c>
      <c r="H417" t="inlineStr">
        <is>
          <t>Top3D / Blender烘焙布局</t>
        </is>
      </c>
      <c r="I417" t="inlineStr">
        <is>
          <t>default / visual_only</t>
        </is>
      </c>
      <c r="J417" t="inlineStr">
        <is>
          <t>99层基地墙面内容</t>
        </is>
      </c>
      <c r="K417" t="inlineStr">
        <is>
          <t>已导入；优化完成</t>
        </is>
      </c>
      <c r="L417" t="inlineStr">
        <is>
          <t>P0</t>
        </is>
      </c>
      <c r="M417" t="inlineStr">
        <is>
          <t>v021</t>
        </is>
      </c>
      <c r="N417" t="inlineStr">
        <is>
          <t>18包；18网格；86,538三角面；无内置碰撞</t>
        </is>
      </c>
      <c r="O417" t="inlineStr">
        <is>
          <t>assets/art/environments/base_facility_3d/runtime/env_base99_wall_contents_v021/env_base99_wall_contents_root_top3d_v001.tscn</t>
        </is>
      </c>
      <c r="P417" t="inlineStr">
        <is>
          <t>source/art/blender/base_facility_layout/v021/base_facility_runtime_layout_hq_v021_wall_contents.blend（v021；derived from base_facility_runtime_layout_hq_v017.blend v017）</t>
        </is>
      </c>
      <c r="Q417" t="inlineStr">
        <is>
          <t>基地99层;墙面内容;V021;非门;visual_only;无新增碰撞;Blender坐标复用</t>
        </is>
      </c>
      <c r="R417">
        <f>LOWER(TRIM(C417)&amp;"|"&amp;TRIM(D417)&amp;"|"&amp;TRIM(E417)&amp;"|"&amp;TRIM(F417)&amp;"|"&amp;TRIM(H417)&amp;"|"&amp;TRIM(I417))</f>
        <v/>
      </c>
      <c r="S417" t="inlineStr">
        <is>
          <t>唯一</t>
        </is>
      </c>
      <c r="U417" t="inlineStr">
        <is>
          <t>Codex</t>
        </is>
      </c>
      <c r="V417" s="350" t="n">
        <v>46270</v>
      </c>
      <c r="W417" t="inlineStr">
        <is>
          <t>用户自制Blender资产</t>
        </is>
      </c>
      <c r="X417" s="375" t="inlineStr">
        <is>
          <t>—</t>
        </is>
      </c>
      <c r="Y417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418">
      <c r="A418" t="inlineStr">
        <is>
          <t>ENV-BASE99-REMAINING-FACILITIES-V021</t>
        </is>
      </c>
      <c r="B418" t="inlineStr">
        <is>
          <t>基地99层剩余非门非墙独立设施资产包</t>
        </is>
      </c>
      <c r="C418" t="inlineStr">
        <is>
          <t>场景</t>
        </is>
      </c>
      <c r="D418" t="inlineStr">
        <is>
          <t>environment_facility_bundle</t>
        </is>
      </c>
      <c r="E418" t="inlineStr">
        <is>
          <t>base99_remaining_facilities_v021</t>
        </is>
      </c>
      <c r="F418" t="inlineStr">
        <is>
          <t>facility_bundle</t>
        </is>
      </c>
      <c r="G418" t="inlineStr">
        <is>
          <t>ENV-BASE99-ART-LAYOUT-3D</t>
        </is>
      </c>
      <c r="H418" t="inlineStr">
        <is>
          <t>Top3D / Blender烘焙布局</t>
        </is>
      </c>
      <c r="I418" t="inlineStr">
        <is>
          <t>default / static + visual_only</t>
        </is>
      </c>
      <c r="J418" t="inlineStr">
        <is>
          <t>99层基地</t>
        </is>
      </c>
      <c r="K418" t="inlineStr">
        <is>
          <t>已导入；优化完成</t>
        </is>
      </c>
      <c r="L418" t="inlineStr">
        <is>
          <t>P0</t>
        </is>
      </c>
      <c r="M418" t="inlineStr">
        <is>
          <t>v021</t>
        </is>
      </c>
      <c r="N418" t="inlineStr">
        <is>
          <t>45独立包；45运行时网格；84,274三角面；34包逐物件简化阻挡，11包仅视觉</t>
        </is>
      </c>
      <c r="O418" t="inlineStr">
        <is>
          <t>assets/art/environments/base_facility_3d/runtime/env_base99_remaining_facilities_v021/env_base99_remaining_facilities_root_top3d_v001.tscn</t>
        </is>
      </c>
      <c r="P418" t="inlineStr">
        <is>
          <t>source/art/blender/base_facility_layout/v021/base_facility_runtime_layout_hq_v021_remaining_facilities.blend（v021；derived from base_facility_runtime_layout_hq_v017.blend v017）</t>
        </is>
      </c>
      <c r="Q418" t="inlineStr">
        <is>
          <t>基地99层；仓储；阁楼家具；环境支持；排除门/墙/地板</t>
        </is>
      </c>
      <c r="S418" t="inlineStr">
        <is>
          <t>独立包；不含门墙；公共色盘</t>
        </is>
      </c>
      <c r="U418" t="inlineStr">
        <is>
          <t>Codex</t>
        </is>
      </c>
      <c r="V418" t="inlineStr">
        <is>
          <t>2026-09-05</t>
        </is>
      </c>
      <c r="W418" t="inlineStr">
        <is>
          <t>base_facility_runtime_layout_hq_v017.blend</t>
        </is>
      </c>
      <c r="X418" s="375" t="inlineStr">
        <is>
          <t>—</t>
        </is>
      </c>
      <c r="Y418" t="inlineStr">
        <is>
          <t>Godot正式导入完成；45个GLB均公共色盘、无嵌入贴图；基地美术布局已实例化</t>
        </is>
      </c>
    </row>
  </sheetData>
  <mergeCells count="2">
    <mergeCell ref="A1:X2"/>
    <mergeCell ref="A3:X3"/>
  </mergeCells>
  <conditionalFormatting sqref="S6:S112">
    <cfRule type="containsText" priority="1" operator="containsText" dxfId="0" text="重复"/>
  </conditionalFormatting>
  <conditionalFormatting sqref="K6:K112">
    <cfRule type="containsText" priority="2" operator="containsText" dxfId="1" text="已完成"/>
    <cfRule type="containsText" priority="3" operator="containsText" dxfId="2" text="待制作"/>
  </conditionalFormatting>
  <dataValidations count="21">
    <dataValidation sqref="C6:C112" showDropDown="0" showInputMessage="0" showErrorMessage="0" allowBlank="0" type="list">
      <formula1>"角色,敌人,枪械,道具,场景,场景道具,UI,特效,音频"</formula1>
    </dataValidation>
    <dataValidation sqref="K6:K132" showDropDown="0" showInputMessage="0" showErrorMessage="0" allowBlank="0" type="list">
      <formula1>"已完成,原型已接入,程序占位,待制作,待核对,弃用"</formula1>
    </dataValidation>
    <dataValidation sqref="L6:L132" showDropDown="0" showInputMessage="0" showErrorMessage="0" allowBlank="0" type="list">
      <formula1>"P0,P1,P2,P3"</formula1>
    </dataValidation>
    <dataValidation sqref="C6:C287" showDropDown="0" showInputMessage="0" showErrorMessage="0" allowBlank="0" type="list">
      <formula1>"角色,敌人,武器,道具,场景,场景道具,UI,特效,音频"</formula1>
    </dataValidation>
    <dataValidation sqref="K6:K287" showDropDown="0" showInputMessage="0" showErrorMessage="0" allowBlank="0" type="list">
      <formula1>"待制作,程序占位,已完成,原型已接入,弃用"</formula1>
    </dataValidation>
    <dataValidation sqref="L6:L287" showDropDown="0" showInputMessage="0" showErrorMessage="0" allowBlank="0" type="list">
      <formula1>"P0,P1,P2"</formula1>
    </dataValidation>
    <dataValidation sqref="C6:C295" showDropDown="0" showInputMessage="0" showErrorMessage="0" allowBlank="0" type="list">
      <formula1>"角色,敌人,武器,道具,场景,场景道具,UI,特效,音频"</formula1>
    </dataValidation>
    <dataValidation sqref="K6:K295" showDropDown="0" showInputMessage="0" showErrorMessage="0" allowBlank="0" type="list">
      <formula1>"待制作,程序占位,已完成,原型已接入,弃用"</formula1>
    </dataValidation>
    <dataValidation sqref="L6:L295" showDropDown="0" showInputMessage="0" showErrorMessage="0" allowBlank="0" type="list">
      <formula1>"P0,P1,P2"</formula1>
    </dataValidation>
    <dataValidation sqref="C6:C296" showDropDown="0" showInputMessage="0" showErrorMessage="0" allowBlank="0" type="list">
      <formula1>"角色,敌人,武器,道具,场景,场景道具,UI,特效,音频"</formula1>
    </dataValidation>
    <dataValidation sqref="K6:K296" showDropDown="0" showInputMessage="0" showErrorMessage="0" allowBlank="0" type="list">
      <formula1>"待制作,程序占位,已完成,原型已接入,弃用"</formula1>
    </dataValidation>
    <dataValidation sqref="L6:L296" showDropDown="0" showInputMessage="0" showErrorMessage="0" allowBlank="0" type="list">
      <formula1>"P0,P1,P2"</formula1>
    </dataValidation>
    <dataValidation sqref="C6:C298" showDropDown="0" showInputMessage="0" showErrorMessage="0" allowBlank="0" type="list">
      <formula1>"角色,敌人,武器,道具,场景,场景道具,UI,特效,音频"</formula1>
    </dataValidation>
    <dataValidation sqref="K6:K298" showDropDown="0" showInputMessage="0" showErrorMessage="0" allowBlank="0" type="list">
      <formula1>"待制作,程序占位,已完成,原型已接入,弃用"</formula1>
    </dataValidation>
    <dataValidation sqref="L6:L298" showDropDown="0" showInputMessage="0" showErrorMessage="0" allowBlank="0" type="list">
      <formula1>"P0,P1,P2"</formula1>
    </dataValidation>
    <dataValidation sqref="C6:C299" showDropDown="0" showInputMessage="0" showErrorMessage="0" allowBlank="0" type="list">
      <formula1>"角色,敌人,武器,道具,场景,场景道具,UI,特效,音频"</formula1>
    </dataValidation>
    <dataValidation sqref="K6:K299" showDropDown="0" showInputMessage="0" showErrorMessage="0" allowBlank="0" type="list">
      <formula1>"待制作,程序占位,已完成,原型已接入,弃用"</formula1>
    </dataValidation>
    <dataValidation sqref="L6:L299" showDropDown="0" showInputMessage="0" showErrorMessage="0" allowBlank="0" type="list">
      <formula1>"P0,P1,P2"</formula1>
    </dataValidation>
    <dataValidation sqref="C6:C300" showDropDown="0" showInputMessage="0" showErrorMessage="0" allowBlank="0" type="list">
      <formula1>"角色,敌人,武器,道具,场景,场景道具,UI,特效,音频"</formula1>
    </dataValidation>
    <dataValidation sqref="K6:K300" showDropDown="0" showInputMessage="0" showErrorMessage="0" allowBlank="0" type="list">
      <formula1>"待制作,程序占位,已完成,原型已接入,弃用"</formula1>
    </dataValidation>
    <dataValidation sqref="L6:L300" showDropDown="0" showInputMessage="0" showErrorMessage="0" allowBlank="0" type="list">
      <formula1>"P0,P1,P2"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2" customWidth="1" min="3" max="3"/>
    <col width="15" customWidth="1" min="4" max="4"/>
    <col width="44" customWidth="1" min="5" max="5"/>
    <col width="14" customWidth="1" min="6" max="6"/>
    <col width="34" customWidth="1" min="7" max="7"/>
    <col width="19" customWidth="1" min="8" max="8"/>
    <col width="6" customWidth="1" min="9" max="9"/>
    <col width="26" customWidth="1" min="10" max="10"/>
    <col width="20" customWidth="1" min="11" max="11"/>
    <col width="8" customWidth="1" min="12" max="12"/>
    <col width="42" customWidth="1" min="13" max="13"/>
  </cols>
  <sheetData>
    <row r="1" ht="25" customHeight="1">
      <c r="A1" s="3" t="inlineStr">
        <is>
          <t>角色组件与挂点契约</t>
        </is>
      </c>
    </row>
    <row r="2" ht="12" customHeight="1"/>
    <row r="3" ht="23" customHeight="1">
      <c r="A3" s="6" t="inlineStr">
        <is>
          <t>每个角色优先复用这些槽；允许缺少某槽，但禁止把手臂烘焙回 body，武器永远挂 weapon_socket</t>
        </is>
      </c>
    </row>
    <row r="5" ht="32" customHeight="1">
      <c r="A5" s="298" t="inlineStr">
        <is>
          <t>角色ID</t>
        </is>
      </c>
      <c r="B5" s="299" t="inlineStr">
        <is>
          <t>组件槽</t>
        </is>
      </c>
      <c r="C5" s="299" t="inlineStr">
        <is>
          <t>节点路径</t>
        </is>
      </c>
      <c r="D5" s="299" t="inlineStr">
        <is>
          <t>父槽</t>
        </is>
      </c>
      <c r="E5" s="299" t="inlineStr">
        <is>
          <t>纹理路径</t>
        </is>
      </c>
      <c r="F5" s="299" t="inlineStr">
        <is>
          <t>运行时尺寸</t>
        </is>
      </c>
      <c r="G5" s="299" t="inlineStr">
        <is>
          <t>局部位置</t>
        </is>
      </c>
      <c r="H5" s="299" t="inlineStr">
        <is>
          <t>旋转/翻转</t>
        </is>
      </c>
      <c r="I5" s="299" t="inlineStr">
        <is>
          <t>Z</t>
        </is>
      </c>
      <c r="J5" s="299" t="inlineStr">
        <is>
          <t>动画职责</t>
        </is>
      </c>
      <c r="K5" s="299" t="inlineStr">
        <is>
          <t>换装边界</t>
        </is>
      </c>
      <c r="L5" s="299" t="inlineStr">
        <is>
          <t>必需</t>
        </is>
      </c>
      <c r="M5" s="300" t="inlineStr">
        <is>
          <t>备注</t>
        </is>
      </c>
    </row>
    <row r="6">
      <c r="A6" s="301" t="inlineStr">
        <is>
          <t>player_capsule01</t>
        </is>
      </c>
      <c r="B6" s="301" t="inlineStr">
        <is>
          <t>body</t>
        </is>
      </c>
      <c r="C6" s="301" t="inlineStr">
        <is>
          <t>PixelComponents/Body</t>
        </is>
      </c>
      <c r="D6" s="301" t="inlineStr">
        <is>
          <t>root</t>
        </is>
      </c>
      <c r="E6" s="301" t="inlineStr">
        <is>
          <t>assets/art/characters/player/chr_player_capsule01/components/chr_player_capsule01_body_side_v001.png</t>
        </is>
      </c>
      <c r="F6" s="301" t="inlineStr">
        <is>
          <t>32×35</t>
        </is>
      </c>
      <c r="G6" s="301" t="inlineStr">
        <is>
          <t>(0, 7)</t>
        </is>
      </c>
      <c r="H6" s="301" t="inlineStr">
        <is>
          <t>随朝向 flip_h</t>
        </is>
      </c>
      <c r="I6" s="301" t="n">
        <v>1</v>
      </c>
      <c r="J6" s="301" t="inlineStr">
        <is>
          <t>呼吸/移动压缩/死亡倾倒</t>
        </is>
      </c>
      <c r="K6" s="301" t="inlineStr">
        <is>
          <t>防护服主体</t>
        </is>
      </c>
      <c r="L6" s="301" t="inlineStr">
        <is>
          <t>是</t>
        </is>
      </c>
      <c r="M6" s="301" t="inlineStr">
        <is>
          <t>已退役（2026-08-09）：旧2D节点/纹理/Marker2D已删除；仅作历史组件记录，禁止运行时引用。</t>
        </is>
      </c>
    </row>
    <row r="7">
      <c r="A7" s="138" t="inlineStr">
        <is>
          <t>player_capsule01</t>
        </is>
      </c>
      <c r="B7" s="138" t="inlineStr">
        <is>
          <t>scarf</t>
        </is>
      </c>
      <c r="C7" s="138" t="inlineStr">
        <is>
          <t>PixelComponents/Scarf</t>
        </is>
      </c>
      <c r="D7" s="138" t="inlineStr">
        <is>
          <t>root</t>
        </is>
      </c>
      <c r="E7" s="138" t="inlineStr">
        <is>
          <t>assets/art/characters/player/chr_player_capsule01/components/chr_player_capsule01_scarf_side_v001.png</t>
        </is>
      </c>
      <c r="F7" s="138" t="inlineStr">
        <is>
          <t>26×14</t>
        </is>
      </c>
      <c r="G7" s="138" t="inlineStr">
        <is>
          <t>(0, -8)</t>
        </is>
      </c>
      <c r="H7" s="138" t="inlineStr">
        <is>
          <t>flip_h + 轻摆</t>
        </is>
      </c>
      <c r="I7" s="138" t="n">
        <v>2</v>
      </c>
      <c r="J7" s="138" t="inlineStr">
        <is>
          <t>移动滞后/冲刺飘动</t>
        </is>
      </c>
      <c r="K7" s="138" t="inlineStr">
        <is>
          <t>身份配件</t>
        </is>
      </c>
      <c r="L7" s="138" t="inlineStr">
        <is>
          <t>否</t>
        </is>
      </c>
      <c r="M7" s="138" t="inlineStr">
        <is>
          <t>已退役（2026-08-09）：旧2D节点/纹理/Marker2D已删除；仅作历史组件记录，禁止运行时引用。</t>
        </is>
      </c>
    </row>
    <row r="8">
      <c r="A8" s="138" t="inlineStr">
        <is>
          <t>player_capsule01</t>
        </is>
      </c>
      <c r="B8" s="138" t="inlineStr">
        <is>
          <t>head</t>
        </is>
      </c>
      <c r="C8" s="138" t="inlineStr">
        <is>
          <t>PixelComponents/Head</t>
        </is>
      </c>
      <c r="D8" s="138" t="inlineStr">
        <is>
          <t>root</t>
        </is>
      </c>
      <c r="E8" s="138" t="inlineStr">
        <is>
          <t>assets/art/characters/player/chr_player_capsule01/components/chr_player_capsule01_head_side_v001.png</t>
        </is>
      </c>
      <c r="F8" s="138" t="inlineStr">
        <is>
          <t>28×24</t>
        </is>
      </c>
      <c r="G8" s="138" t="inlineStr">
        <is>
          <t>(0, -19)</t>
        </is>
      </c>
      <c r="H8" s="138" t="inlineStr">
        <is>
          <t>随朝向 flip_h</t>
        </is>
      </c>
      <c r="I8" s="138" t="n">
        <v>3</v>
      </c>
      <c r="J8" s="138" t="inlineStr">
        <is>
          <t>朝向/受击/死亡</t>
        </is>
      </c>
      <c r="K8" s="138" t="inlineStr">
        <is>
          <t>头壳/传感器</t>
        </is>
      </c>
      <c r="L8" s="138" t="inlineStr">
        <is>
          <t>是</t>
        </is>
      </c>
      <c r="M8" s="138" t="inlineStr">
        <is>
          <t>已退役（2026-08-09）：旧2D节点/纹理/Marker2D已删除；仅作历史组件记录，禁止运行时引用。</t>
        </is>
      </c>
    </row>
    <row r="9">
      <c r="A9" s="138" t="inlineStr">
        <is>
          <t>player_capsule01</t>
        </is>
      </c>
      <c r="B9" s="138" t="inlineStr">
        <is>
          <t>hand_l_source</t>
        </is>
      </c>
      <c r="C9" s="138" t="inlineStr">
        <is>
          <t>不实例化</t>
        </is>
      </c>
      <c r="D9" s="138" t="inlineStr">
        <is>
          <t>root</t>
        </is>
      </c>
      <c r="E9" s="138" t="inlineStr">
        <is>
          <t>assets/art/characters/player/chr_player_capsule01/components/chr_player_capsule01_hand_l_side_v001.png</t>
        </is>
      </c>
      <c r="F9" s="138" t="inlineStr">
        <is>
          <t>22×21</t>
        </is>
      </c>
      <c r="G9" s="138" t="inlineStr">
        <is>
          <t>不适用</t>
        </is>
      </c>
      <c r="H9" s="138" t="inlineStr">
        <is>
          <t>不适用</t>
        </is>
      </c>
      <c r="I9" s="138" t="n">
        <v>4</v>
      </c>
      <c r="J9" s="138" t="inlineStr">
        <is>
          <t>停用；仅保留源文件</t>
        </is>
      </c>
      <c r="K9" s="138" t="inlineStr">
        <is>
          <t>历史副手源</t>
        </is>
      </c>
      <c r="L9" s="138" t="inlineStr">
        <is>
          <t>否</t>
        </is>
      </c>
      <c r="M9" s="138" t="inlineStr">
        <is>
          <t>已退役（2026-08-09）：旧2D节点/纹理/Marker2D已删除；仅作历史组件记录，禁止运行时引用。</t>
        </is>
      </c>
    </row>
    <row r="10">
      <c r="A10" s="138" t="inlineStr">
        <is>
          <t>player_capsule01</t>
        </is>
      </c>
      <c r="B10" s="138" t="inlineStr">
        <is>
          <t>hand</t>
        </is>
      </c>
      <c r="C10" s="138" t="inlineStr">
        <is>
          <t>PixelComponents/Hand</t>
        </is>
      </c>
      <c r="D10" s="138" t="inlineStr">
        <is>
          <t>root</t>
        </is>
      </c>
      <c r="E10" s="138" t="inlineStr">
        <is>
          <t>assets/art/characters/player/chr_player_capsule01/components/chr_player_capsule01_hand_r_side_v001.png</t>
        </is>
      </c>
      <c r="F10" s="138" t="inlineStr">
        <is>
          <t>22×17</t>
        </is>
      </c>
      <c r="G10" s="138" t="inlineStr">
        <is>
          <t>(-19, 0)/(19, 0)</t>
        </is>
      </c>
      <c r="H10" s="138" t="inlineStr">
        <is>
          <t>随身体 flip_h；不连续旋转</t>
        </is>
      </c>
      <c r="I10" s="138" t="n">
        <v>5</v>
      </c>
      <c r="J10" s="138" t="inlineStr">
        <is>
          <t>随身体左右换边；局部距离固定</t>
        </is>
      </c>
      <c r="K10" s="138" t="inlineStr">
        <is>
          <t>唯一握持手</t>
        </is>
      </c>
      <c r="L10" s="138" t="inlineStr">
        <is>
          <t>是</t>
        </is>
      </c>
      <c r="M10" s="138" t="inlineStr">
        <is>
          <t>已退役（2026-08-09）：旧2D节点/纹理/Marker2D已删除；仅作历史组件记录，禁止运行时引用。</t>
        </is>
      </c>
    </row>
    <row r="11">
      <c r="A11" s="138" t="inlineStr">
        <is>
          <t>player_capsule01</t>
        </is>
      </c>
      <c r="B11" s="138" t="inlineStr">
        <is>
          <t>weapon_socket</t>
        </is>
      </c>
      <c r="C11" s="138" t="inlineStr">
        <is>
          <t>Player/WeaponAnchor</t>
        </is>
      </c>
      <c r="D11" s="138" t="inlineStr">
        <is>
          <t>player_root</t>
        </is>
      </c>
      <c r="E11" s="138" t="inlineStr">
        <is>
          <t>无纹理</t>
        </is>
      </c>
      <c r="F11" s="138" t="inlineStr">
        <is>
          <t>Marker2D</t>
        </is>
      </c>
      <c r="G11" s="138" t="inlineStr">
        <is>
          <t>(-24, 0)/(24, 0)</t>
        </is>
      </c>
      <c r="H11" s="138" t="inlineStr">
        <is>
          <t>挂点随身体换边；枪械跟随 aim_direction</t>
        </is>
      </c>
      <c r="I11" s="138" t="n">
        <v>6</v>
      </c>
      <c r="J11" s="138" t="inlineStr">
        <is>
          <t>枪械挂载/枪口特效</t>
        </is>
      </c>
      <c r="K11" s="138" t="inlineStr">
        <is>
          <t>武器系统</t>
        </is>
      </c>
      <c r="L11" s="138" t="inlineStr">
        <is>
          <t>是</t>
        </is>
      </c>
      <c r="M11" s="138" t="inlineStr">
        <is>
          <t>已退役（2026-08-09）：旧2D节点/纹理/Marker2D已删除；仅作历史组件记录，禁止运行时引用。</t>
        </is>
      </c>
    </row>
    <row r="12">
      <c r="A12" s="138" t="inlineStr">
        <is>
          <t>template</t>
        </is>
      </c>
      <c r="B12" s="138" t="inlineStr">
        <is>
          <t>accessory_back</t>
        </is>
      </c>
      <c r="C12" s="138" t="inlineStr">
        <is>
          <t>PixelComponents/AccessoryBack</t>
        </is>
      </c>
      <c r="D12" s="138" t="inlineStr">
        <is>
          <t>root</t>
        </is>
      </c>
      <c r="E12" s="138" t="inlineStr">
        <is>
          <t>按需</t>
        </is>
      </c>
      <c r="F12" s="138" t="inlineStr">
        <is>
          <t>按需</t>
        </is>
      </c>
      <c r="G12" s="138" t="inlineStr">
        <is>
          <t>按需</t>
        </is>
      </c>
      <c r="H12" s="138" t="inlineStr">
        <is>
          <t>随朝向</t>
        </is>
      </c>
      <c r="I12" s="138" t="n">
        <v>0</v>
      </c>
      <c r="J12" s="138" t="inlineStr">
        <is>
          <t>披风/背包/长围巾尾</t>
        </is>
      </c>
      <c r="K12" s="138" t="inlineStr">
        <is>
          <t>背部配件</t>
        </is>
      </c>
      <c r="L12" s="138" t="inlineStr">
        <is>
          <t>否</t>
        </is>
      </c>
      <c r="M12" s="138" t="inlineStr">
        <is>
          <t>避免与 body 合图</t>
        </is>
      </c>
    </row>
    <row r="13">
      <c r="A13" s="138" t="inlineStr">
        <is>
          <t>template</t>
        </is>
      </c>
      <c r="B13" s="138" t="inlineStr">
        <is>
          <t>accessory_front</t>
        </is>
      </c>
      <c r="C13" s="138" t="inlineStr">
        <is>
          <t>PixelComponents/AccessoryFront</t>
        </is>
      </c>
      <c r="D13" s="138" t="inlineStr">
        <is>
          <t>root</t>
        </is>
      </c>
      <c r="E13" s="138" t="inlineStr">
        <is>
          <t>按需</t>
        </is>
      </c>
      <c r="F13" s="138" t="inlineStr">
        <is>
          <t>按需</t>
        </is>
      </c>
      <c r="G13" s="138" t="inlineStr">
        <is>
          <t>按需</t>
        </is>
      </c>
      <c r="H13" s="138" t="inlineStr">
        <is>
          <t>随朝向</t>
        </is>
      </c>
      <c r="I13" s="138" t="n">
        <v>6</v>
      </c>
      <c r="J13" s="138" t="inlineStr">
        <is>
          <t>徽章/护盾/前景饰物</t>
        </is>
      </c>
      <c r="K13" s="138" t="inlineStr">
        <is>
          <t>前景配件</t>
        </is>
      </c>
      <c r="L13" s="138" t="inlineStr">
        <is>
          <t>否</t>
        </is>
      </c>
      <c r="M13" s="138" t="inlineStr">
        <is>
          <t>必要时高于双手</t>
        </is>
      </c>
    </row>
    <row r="14" ht="38" customHeight="1">
      <c r="A14" s="349" t="inlineStr">
        <is>
          <t>player_capsule01_3d</t>
        </is>
      </c>
      <c r="B14" s="349" t="inlineStr">
        <is>
          <t>root</t>
        </is>
      </c>
      <c r="C14" s="349" t="inlineStr">
        <is>
          <t>Avatar3D/CapsuleAvatar3D/VisualRoot</t>
        </is>
      </c>
      <c r="D14" s="349" t="inlineStr">
        <is>
          <t>player_root</t>
        </is>
      </c>
      <c r="E14" s="349" t="inlineStr">
        <is>
          <t>assets/art/characters/player/chr_player_capsule01_3d/chr_player_capsule01_root_top3d_v001.tscn</t>
        </is>
      </c>
      <c r="F14" s="349" t="inlineStr">
        <is>
          <t>Node3D</t>
        </is>
      </c>
      <c r="G14" s="349" t="inlineStr">
        <is>
          <t>(0,0,0)</t>
        </is>
      </c>
      <c r="H14" s="349" t="inlineStr">
        <is>
          <t>整体随准星绕Y轴</t>
        </is>
      </c>
      <c r="I14" s="349" t="n">
        <v>0</v>
      </c>
      <c r="J14" s="349" t="inlineStr">
        <is>
          <t>六态整体 + reloading/firing/charging/knockback覆盖</t>
        </is>
      </c>
      <c r="K14" s="349" t="inlineStr">
        <is>
          <t>3D表现根</t>
        </is>
      </c>
      <c r="L14" s="349" t="inlineStr">
        <is>
          <t>是</t>
        </is>
      </c>
      <c r="M14" s="349" t="inlineStr">
        <is>
          <t>正式3D表现根；旧2D胶囊已完成退役，不再属于兼容范围。</t>
        </is>
      </c>
    </row>
    <row r="15" ht="38" customHeight="1">
      <c r="A15" s="349" t="inlineStr">
        <is>
          <t>player_capsule01_3d</t>
        </is>
      </c>
      <c r="B15" s="349" t="inlineStr">
        <is>
          <t>body</t>
        </is>
      </c>
      <c r="C15" s="349" t="inlineStr">
        <is>
          <t>VisualRoot/Body</t>
        </is>
      </c>
      <c r="D15" s="349" t="inlineStr">
        <is>
          <t>root</t>
        </is>
      </c>
      <c r="E15" s="349" t="inlineStr">
        <is>
          <t>assets/art/characters/player/chr_player_capsule01_3d/chr_player_capsule01_root_top3d_v001.tscn</t>
        </is>
      </c>
      <c r="F15" s="349" t="inlineStr">
        <is>
          <t>BoxMesh + 子件</t>
        </is>
      </c>
      <c r="G15" s="349" t="inlineStr">
        <is>
          <t>(0,0.76,0.02)</t>
        </is>
      </c>
      <c r="H15" s="349" t="inlineStr">
        <is>
          <t>随root</t>
        </is>
      </c>
      <c r="I15" s="349" t="n">
        <v>1</v>
      </c>
      <c r="J15" s="349" t="inlineStr">
        <is>
          <t>呼吸/移动压缩/射击前探/死亡倾倒</t>
        </is>
      </c>
      <c r="K15" s="349" t="inlineStr">
        <is>
          <t>方形猫身</t>
        </is>
      </c>
      <c r="L15" s="349" t="inlineStr">
        <is>
          <t>是</t>
        </is>
      </c>
      <c r="M15" s="349" t="inlineStr">
        <is>
          <t>BodyShell + BellyPatch；方形主轮廓</t>
        </is>
      </c>
    </row>
    <row r="16" ht="38" customHeight="1">
      <c r="A16" s="349" t="inlineStr">
        <is>
          <t>player_capsule01_3d</t>
        </is>
      </c>
      <c r="B16" s="349" t="inlineStr">
        <is>
          <t>head</t>
        </is>
      </c>
      <c r="C16" s="349" t="inlineStr">
        <is>
          <t>VisualRoot/Head</t>
        </is>
      </c>
      <c r="D16" s="349" t="inlineStr">
        <is>
          <t>root</t>
        </is>
      </c>
      <c r="E16" s="349" t="inlineStr">
        <is>
          <t>assets/art/characters/player/chr_player_capsule01_3d/chr_player_capsule01_root_top3d_v001.tscn</t>
        </is>
      </c>
      <c r="F16" s="349" t="inlineStr">
        <is>
          <t>BoxMesh + 子件</t>
        </is>
      </c>
      <c r="G16" s="349" t="inlineStr">
        <is>
          <t>(0,1.72,-0.08)</t>
        </is>
      </c>
      <c r="H16" s="349" t="inlineStr">
        <is>
          <t>随root</t>
        </is>
      </c>
      <c r="I16" s="349" t="n">
        <v>3</v>
      </c>
      <c r="J16" s="349" t="inlineStr">
        <is>
          <t>移动反相滞后/后坐/受击/死亡</t>
        </is>
      </c>
      <c r="K16" s="349" t="inlineStr">
        <is>
          <t>方形猫头</t>
        </is>
      </c>
      <c r="L16" s="349" t="inlineStr">
        <is>
          <t>是</t>
        </is>
      </c>
      <c r="M16" s="349" t="inlineStr">
        <is>
          <t>无嘴无鼻；Eyes与Ears固定归Head</t>
        </is>
      </c>
    </row>
    <row r="17" ht="38" customHeight="1">
      <c r="A17" s="349" t="inlineStr">
        <is>
          <t>player_capsule01_3d</t>
        </is>
      </c>
      <c r="B17" s="349" t="inlineStr">
        <is>
          <t>hand</t>
        </is>
      </c>
      <c r="C17" s="349" t="inlineStr">
        <is>
          <t>VisualRoot/Hand</t>
        </is>
      </c>
      <c r="D17" s="349" t="inlineStr">
        <is>
          <t>root</t>
        </is>
      </c>
      <c r="E17" s="349" t="inlineStr">
        <is>
          <t>assets/art/characters/player/chr_player_capsule01_3d/chr_player_capsule01_root_top3d_v001.tscn</t>
        </is>
      </c>
      <c r="F17" s="349" t="inlineStr">
        <is>
          <t>BoxMesh</t>
        </is>
      </c>
      <c r="G17" s="349" t="inlineStr">
        <is>
          <t>(0.60,1.10,-0.30)</t>
        </is>
      </c>
      <c r="H17" s="349" t="inlineStr">
        <is>
          <t>随root；动作同相</t>
        </is>
      </c>
      <c r="I17" s="349" t="n">
        <v>4</v>
      </c>
      <c r="J17" s="349" t="inlineStr">
        <is>
          <t>移动/换弹/射击/蓄力/击飞保持握持</t>
        </is>
      </c>
      <c r="K17" s="349" t="inlineStr">
        <is>
          <t>唯一悬浮手</t>
        </is>
      </c>
      <c r="L17" s="349" t="inlineStr">
        <is>
          <t>是</t>
        </is>
      </c>
      <c r="M17" s="349" t="inlineStr">
        <is>
          <t>无手臂、无第二手；与WeaponSocket固定相对向量</t>
        </is>
      </c>
    </row>
    <row r="18" ht="38" customHeight="1">
      <c r="A18" s="349" t="inlineStr">
        <is>
          <t>player_capsule01_3d</t>
        </is>
      </c>
      <c r="B18" s="349" t="inlineStr">
        <is>
          <t>feet</t>
        </is>
      </c>
      <c r="C18" s="349" t="inlineStr">
        <is>
          <t>VisualRoot/Feet</t>
        </is>
      </c>
      <c r="D18" s="349" t="inlineStr">
        <is>
          <t>root</t>
        </is>
      </c>
      <c r="E18" s="349" t="inlineStr">
        <is>
          <t>assets/art/characters/player/chr_player_capsule01_3d/chr_player_capsule01_root_top3d_v001.tscn</t>
        </is>
      </c>
      <c r="F18" s="349" t="inlineStr">
        <is>
          <t>BoxMesh×2</t>
        </is>
      </c>
      <c r="G18" s="349" t="inlineStr">
        <is>
          <t>(0,0.22,-0.02)</t>
        </is>
      </c>
      <c r="H18" s="349" t="inlineStr">
        <is>
          <t>随root；FootL/R交替</t>
        </is>
      </c>
      <c r="I18" s="349" t="n">
        <v>1</v>
      </c>
      <c r="J18" s="349" t="inlineStr">
        <is>
          <t>moving交替抬脚；冲刺/受击/死亡随整体</t>
        </is>
      </c>
      <c r="K18" s="349" t="inlineStr">
        <is>
          <t>双脚主模块</t>
        </is>
      </c>
      <c r="L18" s="349" t="inlineStr">
        <is>
          <t>是</t>
        </is>
      </c>
      <c r="M18" s="349" t="inlineStr">
        <is>
          <t>FootL/FootR属于同一可替换Feet模块</t>
        </is>
      </c>
    </row>
    <row r="19" ht="38" customHeight="1">
      <c r="A19" s="349" t="inlineStr">
        <is>
          <t>player_capsule01_3d</t>
        </is>
      </c>
      <c r="B19" s="349" t="inlineStr">
        <is>
          <t>eyes</t>
        </is>
      </c>
      <c r="C19" s="349" t="inlineStr">
        <is>
          <t>VisualRoot/Head/Eyes</t>
        </is>
      </c>
      <c r="D19" s="349" t="inlineStr">
        <is>
          <t>head</t>
        </is>
      </c>
      <c r="E19" s="349" t="inlineStr">
        <is>
          <t>assets/art/characters/player/chr_player_capsule01_3d/chr_player_capsule01_root_top3d_v001.tscn</t>
        </is>
      </c>
      <c r="F19" s="349" t="inlineStr">
        <is>
          <t>BoxMesh×2</t>
        </is>
      </c>
      <c r="G19" s="349" t="inlineStr">
        <is>
          <t>(0,-0.03,-0.56)</t>
        </is>
      </c>
      <c r="H19" s="349" t="inlineStr">
        <is>
          <t>继承Head</t>
        </is>
      </c>
      <c r="I19" s="349" t="n">
        <v>4</v>
      </c>
      <c r="J19" s="349" t="inlineStr">
        <is>
          <t>随头部滞后/后坐/受击</t>
        </is>
      </c>
      <c r="K19" s="349" t="inlineStr">
        <is>
          <t>面部配件</t>
        </is>
      </c>
      <c r="L19" s="349" t="inlineStr">
        <is>
          <t>是</t>
        </is>
      </c>
      <c r="M19" s="349" t="inlineStr">
        <is>
          <t>EyeL/EyeR；深色窄矩形豆豆眼；无嘴</t>
        </is>
      </c>
    </row>
    <row r="20" ht="38" customHeight="1">
      <c r="A20" s="349" t="inlineStr">
        <is>
          <t>player_capsule01_3d</t>
        </is>
      </c>
      <c r="B20" s="349" t="inlineStr">
        <is>
          <t>ears</t>
        </is>
      </c>
      <c r="C20" s="349" t="inlineStr">
        <is>
          <t>VisualRoot/Head/Ears</t>
        </is>
      </c>
      <c r="D20" s="349" t="inlineStr">
        <is>
          <t>head</t>
        </is>
      </c>
      <c r="E20" s="349" t="inlineStr">
        <is>
          <t>assets/art/characters/player/chr_player_capsule01_3d/chr_player_capsule01_root_top3d_v001.tscn</t>
        </is>
      </c>
      <c r="F20" s="349" t="inlineStr">
        <is>
          <t>三边CylinderMesh×4</t>
        </is>
      </c>
      <c r="G20" s="349" t="inlineStr">
        <is>
          <t>沿Head顶部</t>
        </is>
      </c>
      <c r="H20" s="349" t="inlineStr">
        <is>
          <t>继承Head</t>
        </is>
      </c>
      <c r="I20" s="349" t="n">
        <v>4</v>
      </c>
      <c r="J20" s="349" t="inlineStr">
        <is>
          <t>随头部滞后/后坐/受击</t>
        </is>
      </c>
      <c r="K20" s="349" t="inlineStr">
        <is>
          <t>头部配件</t>
        </is>
      </c>
      <c r="L20" s="349" t="inlineStr">
        <is>
          <t>是</t>
        </is>
      </c>
      <c r="M20" s="349" t="inlineStr">
        <is>
          <t>EarL/EarR各含Inner；三角形语言</t>
        </is>
      </c>
    </row>
    <row r="21" ht="38" customHeight="1">
      <c r="A21" s="349" t="inlineStr">
        <is>
          <t>player_capsule01_3d</t>
        </is>
      </c>
      <c r="B21" s="349" t="inlineStr">
        <is>
          <t>tail_stub</t>
        </is>
      </c>
      <c r="C21" s="349" t="inlineStr">
        <is>
          <t>VisualRoot/Body/TailStub</t>
        </is>
      </c>
      <c r="D21" s="349" t="inlineStr">
        <is>
          <t>body</t>
        </is>
      </c>
      <c r="E21" s="349" t="inlineStr">
        <is>
          <t>assets/art/characters/player/chr_player_capsule01_3d/chr_player_capsule01_root_top3d_v001.tscn</t>
        </is>
      </c>
      <c r="F21" s="349" t="inlineStr">
        <is>
          <t>SphereMesh</t>
        </is>
      </c>
      <c r="G21" s="349" t="inlineStr">
        <is>
          <t>(-0.51,-0.02,0.24)</t>
        </is>
      </c>
      <c r="H21" s="349" t="inlineStr">
        <is>
          <t>继承Body + 轻摆</t>
        </is>
      </c>
      <c r="I21" s="349" t="n">
        <v>2</v>
      </c>
      <c r="J21" s="349" t="inlineStr">
        <is>
          <t>moving轻摆/弹性缩放</t>
        </is>
      </c>
      <c r="K21" s="349" t="inlineStr">
        <is>
          <t>身体配件</t>
        </is>
      </c>
      <c r="L21" s="349" t="inlineStr">
        <is>
          <t>是</t>
        </is>
      </c>
      <c r="M21" s="349" t="inlineStr">
        <is>
          <t>唯一圆形例外；短圆尾团，禁止长尾</t>
        </is>
      </c>
    </row>
    <row r="22" ht="38" customHeight="1">
      <c r="A22" s="349" t="inlineStr">
        <is>
          <t>player_capsule01_3d</t>
        </is>
      </c>
      <c r="B22" s="349" t="inlineStr">
        <is>
          <t>weapon_socket</t>
        </is>
      </c>
      <c r="C22" s="349" t="inlineStr">
        <is>
          <t>VisualRoot/WeaponSocket</t>
        </is>
      </c>
      <c r="D22" s="349" t="inlineStr">
        <is>
          <t>root</t>
        </is>
      </c>
      <c r="E22" s="349" t="inlineStr">
        <is>
          <t>无纹理</t>
        </is>
      </c>
      <c r="F22" s="349" t="inlineStr">
        <is>
          <t>Marker3D</t>
        </is>
      </c>
      <c r="G22" s="349" t="inlineStr">
        <is>
          <t>(0.60,1.15,-0.42)</t>
        </is>
      </c>
      <c r="H22" s="349" t="inlineStr">
        <is>
          <t>随root；动作同相</t>
        </is>
      </c>
      <c r="I22" s="349" t="n">
        <v>5</v>
      </c>
      <c r="J22" s="349" t="inlineStr">
        <is>
          <t>枪械挂载/枪口特效</t>
        </is>
      </c>
      <c r="K22" s="349" t="inlineStr">
        <is>
          <t>武器系统</t>
        </is>
      </c>
      <c r="L22" s="349" t="inlineStr">
        <is>
          <t>是</t>
        </is>
      </c>
      <c r="M22" s="349" t="inlineStr">
        <is>
          <t>与唯一手全动作固定局部关系；枪模layer 2</t>
        </is>
      </c>
    </row>
    <row r="23" ht="38" customHeight="1">
      <c r="A23" s="349" t="inlineStr">
        <is>
          <t>player_capsule01_3d</t>
        </is>
      </c>
      <c r="B23" s="349" t="inlineStr">
        <is>
          <t>reload_progress</t>
        </is>
      </c>
      <c r="C23" s="349" t="inlineStr">
        <is>
          <t>ReloadProgress3D</t>
        </is>
      </c>
      <c r="D23" s="349" t="inlineStr">
        <is>
          <t>player_root</t>
        </is>
      </c>
      <c r="E23" s="349" t="inlineStr">
        <is>
          <t>assets/art/characters/player/chr_player_capsule01_3d/chr_player_capsule01_root_top3d_v001.tscn</t>
        </is>
      </c>
      <c r="F23" s="349" t="inlineStr">
        <is>
          <t>QuadMesh×2</t>
        </is>
      </c>
      <c r="G23" s="349" t="inlineStr">
        <is>
          <t>(0,2.92,0.06)</t>
        </is>
      </c>
      <c r="H23" s="349" t="inlineStr">
        <is>
          <t>朝向相机；不随VisualRoot旋转</t>
        </is>
      </c>
      <c r="I23" s="349" t="n">
        <v>6</v>
      </c>
      <c r="J23" s="349" t="inlineStr">
        <is>
          <t>读取真实换弹进度</t>
        </is>
      </c>
      <c r="K23" s="349" t="inlineStr">
        <is>
          <t>状态UI子组件</t>
        </is>
      </c>
      <c r="L23" s="349" t="inlineStr">
        <is>
          <t>是</t>
        </is>
      </c>
      <c r="M23" s="349" t="inlineStr">
        <is>
          <t>高于猫耳；无独立计时器/SubViewport</t>
        </is>
      </c>
    </row>
    <row r="24" ht="38" customHeight="1">
      <c r="A24" s="349" t="inlineStr">
        <is>
          <t>player_capsule01_3d</t>
        </is>
      </c>
      <c r="B24" s="349" t="inlineStr">
        <is>
          <t>body_diy</t>
        </is>
      </c>
      <c r="C24" s="349" t="inlineStr">
        <is>
          <t>VisualRoot/Body</t>
        </is>
      </c>
      <c r="D24" s="349" t="inlineStr">
        <is>
          <t>root</t>
        </is>
      </c>
      <c r="E24" s="349" t="inlineStr">
        <is>
          <t>无独立纹理/程序材质</t>
        </is>
      </c>
      <c r="F24" s="349" t="inlineStr">
        <is>
          <t>4种配色</t>
        </is>
      </c>
      <c r="G24" s="349" t="inlineStr">
        <is>
          <t>沿Body</t>
        </is>
      </c>
      <c r="H24" s="349" t="inlineStr">
        <is>
          <t>随root</t>
        </is>
      </c>
      <c r="I24" s="349" t="n">
        <v>1</v>
      </c>
      <c r="J24" s="349" t="inlineStr">
        <is>
          <t>继承身体动态</t>
        </is>
      </c>
      <c r="K24" s="349" t="inlineStr">
        <is>
          <t>身体外观</t>
        </is>
      </c>
      <c r="L24" s="349" t="inlineStr">
        <is>
          <t>是</t>
        </is>
      </c>
      <c r="M24" s="349" t="inlineStr">
        <is>
          <t>cat_orange + 旧三色兼容</t>
        </is>
      </c>
    </row>
    <row r="25" ht="38" customHeight="1">
      <c r="A25" s="349" t="inlineStr">
        <is>
          <t>player_capsule01_3d</t>
        </is>
      </c>
      <c r="B25" s="349" t="inlineStr">
        <is>
          <t>head_diy</t>
        </is>
      </c>
      <c r="C25" s="349" t="inlineStr">
        <is>
          <t>VisualRoot/Head</t>
        </is>
      </c>
      <c r="D25" s="349" t="inlineStr">
        <is>
          <t>root</t>
        </is>
      </c>
      <c r="E25" s="349" t="inlineStr">
        <is>
          <t>无独立纹理/程序材质</t>
        </is>
      </c>
      <c r="F25" s="349" t="inlineStr">
        <is>
          <t>4种配色</t>
        </is>
      </c>
      <c r="G25" s="349" t="inlineStr">
        <is>
          <t>沿Head</t>
        </is>
      </c>
      <c r="H25" s="349" t="inlineStr">
        <is>
          <t>随root</t>
        </is>
      </c>
      <c r="I25" s="349" t="n">
        <v>3</v>
      </c>
      <c r="J25" s="349" t="inlineStr">
        <is>
          <t>继承头部动态</t>
        </is>
      </c>
      <c r="K25" s="349" t="inlineStr">
        <is>
          <t>头部外观</t>
        </is>
      </c>
      <c r="L25" s="349" t="inlineStr">
        <is>
          <t>是</t>
        </is>
      </c>
      <c r="M25" s="349" t="inlineStr">
        <is>
          <t>cat_orange + 旧三色兼容；双眼/双耳节点不变</t>
        </is>
      </c>
    </row>
    <row r="26" ht="38" customHeight="1">
      <c r="A26" s="349" t="inlineStr">
        <is>
          <t>player_capsule01_3d</t>
        </is>
      </c>
      <c r="B26" s="349" t="inlineStr">
        <is>
          <t>hand_diy</t>
        </is>
      </c>
      <c r="C26" s="349" t="inlineStr">
        <is>
          <t>VisualRoot/Hand</t>
        </is>
      </c>
      <c r="D26" s="349" t="inlineStr">
        <is>
          <t>root</t>
        </is>
      </c>
      <c r="E26" s="349" t="inlineStr">
        <is>
          <t>无独立纹理/程序材质</t>
        </is>
      </c>
      <c r="F26" s="349" t="inlineStr">
        <is>
          <t>4种配色</t>
        </is>
      </c>
      <c r="G26" s="349" t="inlineStr">
        <is>
          <t>(0.60,1.10,-0.30)</t>
        </is>
      </c>
      <c r="H26" s="349" t="inlineStr">
        <is>
          <t>随root+同相动作</t>
        </is>
      </c>
      <c r="I26" s="349" t="n">
        <v>4</v>
      </c>
      <c r="J26" s="349" t="inlineStr">
        <is>
          <t>抓握压缩；与socket同相</t>
        </is>
      </c>
      <c r="K26" s="349" t="inlineStr">
        <is>
          <t>唯一手外观</t>
        </is>
      </c>
      <c r="L26" s="349" t="inlineStr">
        <is>
          <t>是</t>
        </is>
      </c>
      <c r="M26" s="349" t="inlineStr">
        <is>
          <t>cat_orange + 旧三色兼容</t>
        </is>
      </c>
    </row>
    <row r="27" ht="38" customHeight="1">
      <c r="A27" s="349" t="inlineStr">
        <is>
          <t>player_capsule01_3d</t>
        </is>
      </c>
      <c r="B27" s="349" t="inlineStr">
        <is>
          <t>feet_diy</t>
        </is>
      </c>
      <c r="C27" s="349" t="inlineStr">
        <is>
          <t>VisualRoot/Feet</t>
        </is>
      </c>
      <c r="D27" s="349" t="inlineStr">
        <is>
          <t>root</t>
        </is>
      </c>
      <c r="E27" s="349" t="inlineStr">
        <is>
          <t>无独立纹理/程序材质</t>
        </is>
      </c>
      <c r="F27" s="349" t="inlineStr">
        <is>
          <t>4种配色</t>
        </is>
      </c>
      <c r="G27" s="349" t="inlineStr">
        <is>
          <t>沿Feet</t>
        </is>
      </c>
      <c r="H27" s="349" t="inlineStr">
        <is>
          <t>随root+交替步态</t>
        </is>
      </c>
      <c r="I27" s="349" t="n">
        <v>1</v>
      </c>
      <c r="J27" s="349" t="inlineStr">
        <is>
          <t>FootL/R交替抬起</t>
        </is>
      </c>
      <c r="K27" s="349" t="inlineStr">
        <is>
          <t>脚部外观</t>
        </is>
      </c>
      <c r="L27" s="349" t="inlineStr">
        <is>
          <t>是</t>
        </is>
      </c>
      <c r="M27" s="349" t="inlineStr">
        <is>
          <t>cat_orange / boot_sand / boot_cobalt / boot_teal</t>
        </is>
      </c>
    </row>
    <row r="28" ht="38" customHeight="1">
      <c r="A28" s="349" t="inlineStr">
        <is>
          <t>player_capsule01_3d</t>
        </is>
      </c>
      <c r="B28" s="349" t="inlineStr">
        <is>
          <t>hat</t>
        </is>
      </c>
      <c r="C28" s="349" t="inlineStr">
        <is>
          <t>VisualRoot/Head/Wearables/Hat*</t>
        </is>
      </c>
      <c r="D28" s="349" t="inlineStr">
        <is>
          <t>head</t>
        </is>
      </c>
      <c r="E28" s="349" t="inlineStr">
        <is>
          <t>无独立纹理/程序网格</t>
        </is>
      </c>
      <c r="F28" s="349" t="inlineStr">
        <is>
          <t>3种帽型</t>
        </is>
      </c>
      <c r="G28" s="349" t="inlineStr">
        <is>
          <t>沿Head</t>
        </is>
      </c>
      <c r="H28" s="349" t="inlineStr">
        <is>
          <t>继承Head</t>
        </is>
      </c>
      <c r="I28" s="349" t="n">
        <v>5</v>
      </c>
      <c r="J28" s="349" t="inlineStr">
        <is>
          <t>头部滞后/受击/死亡</t>
        </is>
      </c>
      <c r="K28" s="349" t="inlineStr">
        <is>
          <t>头部外戴件</t>
        </is>
      </c>
      <c r="L28" s="349" t="inlineStr">
        <is>
          <t>否</t>
        </is>
      </c>
      <c r="M28" s="349" t="inlineStr">
        <is>
          <t>可选；layer2，禁投影/GI；不得替代猫耳节点</t>
        </is>
      </c>
    </row>
    <row r="29" ht="38" customHeight="1">
      <c r="A29" s="349" t="inlineStr">
        <is>
          <t>player_capsule01_3d</t>
        </is>
      </c>
      <c r="B29" s="349" t="inlineStr">
        <is>
          <t>glasses</t>
        </is>
      </c>
      <c r="C29" s="349" t="inlineStr">
        <is>
          <t>VisualRoot/Head/Wearables/Glasses*</t>
        </is>
      </c>
      <c r="D29" s="349" t="inlineStr">
        <is>
          <t>head</t>
        </is>
      </c>
      <c r="E29" s="349" t="inlineStr">
        <is>
          <t>无独立纹理/程序网格</t>
        </is>
      </c>
      <c r="F29" s="349" t="inlineStr">
        <is>
          <t>3种护目件</t>
        </is>
      </c>
      <c r="G29" s="349" t="inlineStr">
        <is>
          <t>沿Head前侧</t>
        </is>
      </c>
      <c r="H29" s="349" t="inlineStr">
        <is>
          <t>继承Head</t>
        </is>
      </c>
      <c r="I29" s="349" t="n">
        <v>5</v>
      </c>
      <c r="J29" s="349" t="inlineStr">
        <is>
          <t>头部滞后/受击/死亡</t>
        </is>
      </c>
      <c r="K29" s="349" t="inlineStr">
        <is>
          <t>护目件</t>
        </is>
      </c>
      <c r="L29" s="349" t="inlineStr">
        <is>
          <t>否</t>
        </is>
      </c>
      <c r="M29" s="349" t="inlineStr">
        <is>
          <t>可选；layer2；允许太阳/室内灯外部投影；玩家三灯不产生自身投影；GI禁用。</t>
        </is>
      </c>
    </row>
    <row r="30" ht="38" customHeight="1">
      <c r="A30" s="349" t="inlineStr">
        <is>
          <t>player_capsule01_3d</t>
        </is>
      </c>
      <c r="B30" s="349" t="inlineStr">
        <is>
          <t>scarf_legacy</t>
        </is>
      </c>
      <c r="C30" s="349" t="inlineStr">
        <is>
          <t>VisualRoot/Scarf</t>
        </is>
      </c>
      <c r="D30" s="349" t="inlineStr">
        <is>
          <t>root</t>
        </is>
      </c>
      <c r="E30" s="349" t="inlineStr">
        <is>
          <t>assets/art/characters/player/chr_player_capsule01_3d/chr_player_capsule01_root_top3d_v001.tscn</t>
        </is>
      </c>
      <c r="F30" s="349" t="inlineStr">
        <is>
          <t>隐藏兼容节点</t>
        </is>
      </c>
      <c r="G30" s="349" t="inlineStr">
        <is>
          <t>(0,1.32,0)</t>
        </is>
      </c>
      <c r="H30" s="349" t="inlineStr">
        <is>
          <t>随root</t>
        </is>
      </c>
      <c r="I30" s="349" t="n">
        <v>2</v>
      </c>
      <c r="J30" s="349" t="inlineStr">
        <is>
          <t>不参与当前轮廓</t>
        </is>
      </c>
      <c r="K30" s="349" t="inlineStr">
        <is>
          <t>旧场景兼容</t>
        </is>
      </c>
      <c r="L30" s="349" t="inlineStr">
        <is>
          <t>否</t>
        </is>
      </c>
      <c r="M30" s="349" t="inlineStr">
        <is>
          <t>可选；layer2；允许太阳/室内灯外部投影；玩家三灯不产生自身投影；GI禁用。</t>
        </is>
      </c>
    </row>
    <row r="31" ht="104" customHeight="1">
      <c r="A31" s="364" t="inlineStr">
        <is>
          <t>player_capsule01_bunny01_3d</t>
        </is>
      </c>
      <c r="B31" s="364" t="inlineStr">
        <is>
          <t>root</t>
        </is>
      </c>
      <c r="C31" s="364" t="inlineStr">
        <is>
          <t>Avatar3D/VisualRoot/BunnyRig</t>
        </is>
      </c>
      <c r="D31" s="364" t="inlineStr">
        <is>
          <t>player_root</t>
        </is>
      </c>
      <c r="E31" s="364" t="inlineStr">
        <is>
          <t>assets/art/characters/player/chr_player_capsule01_3d/variants/bunny01/production/v021/runtime/chr_bunny01_root_v021.tscn</t>
        </is>
      </c>
      <c r="F31" s="364" t="inlineStr">
        <is>
          <t>刚性分件骨动作适配；创作高1.5m，运行可见高1.05m；玩法碰撞独立。</t>
        </is>
      </c>
      <c r="G31" s="364" t="inlineStr">
        <is>
          <t>(0,0,0)</t>
        </is>
      </c>
      <c r="H31" s="364" t="inlineStr">
        <is>
          <t>整体随准星绕Y轴</t>
        </is>
      </c>
      <c r="I31" s="364" t="n">
        <v>0</v>
      </c>
      <c r="J31" s="364" t="inlineStr">
        <is>
          <t>八态整体 + falling收束/landing压缩回弹 + 动作覆盖</t>
        </is>
      </c>
      <c r="K31" s="364" t="inlineStr">
        <is>
          <t>Godot骨架根</t>
        </is>
      </c>
      <c r="L31" s="364" t="inlineStr">
        <is>
          <t>是</t>
        </is>
      </c>
      <c r="M31" s="364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4" customHeight="1">
      <c r="A32" s="364" t="inlineStr">
        <is>
          <t>player_capsule01_bunny01_3d</t>
        </is>
      </c>
      <c r="B32" s="364" t="inlineStr">
        <is>
          <t>body</t>
        </is>
      </c>
      <c r="C32" s="364" t="inlineStr">
        <is>
          <t>VisualRoot/BunnyRig/BodyJoint/Model</t>
        </is>
      </c>
      <c r="D32" s="364" t="inlineStr">
        <is>
          <t>BunnyRig</t>
        </is>
      </c>
      <c r="E32" s="364" t="inlineStr">
        <is>
          <t>assets/art/characters/player/chr_player_capsule01_3d/variants/bunny01/production/v021/exports/chr_bunny01_body_v021.glb</t>
        </is>
      </c>
      <c r="F32" s="364" t="inlineStr">
        <is>
          <t>pivot-local GLB / 1.5m比例</t>
        </is>
      </c>
      <c r="G32" s="364" t="inlineStr">
        <is>
          <t>(-0.000030,0.155022,-0.000635)</t>
        </is>
      </c>
      <c r="H32" s="364" t="inlineStr">
        <is>
          <t>BodyJoint</t>
        </is>
      </c>
      <c r="I32" s="364" t="n">
        <v>1</v>
      </c>
      <c r="J32" s="364" t="inlineStr">
        <is>
          <t>呼吸/移动挤压/突进翻滚/受击</t>
        </is>
      </c>
      <c r="K32" s="364" t="inlineStr">
        <is>
          <t>身体组件</t>
        </is>
      </c>
      <c r="L32" s="364" t="inlineStr">
        <is>
          <t>是</t>
        </is>
      </c>
      <c r="M32" s="364" t="inlineStr">
        <is>
          <t>v021：body 兼容部件原点导出；共享模型/动作骨架；状态 active。</t>
        </is>
      </c>
    </row>
    <row r="33" ht="104" customHeight="1">
      <c r="A33" s="364" t="inlineStr">
        <is>
          <t>player_capsule01_bunny01_3d</t>
        </is>
      </c>
      <c r="B33" s="364" t="inlineStr">
        <is>
          <t>head</t>
        </is>
      </c>
      <c r="C33" s="364" t="inlineStr">
        <is>
          <t>VisualRoot/BunnyRig/HeadJoint/Model</t>
        </is>
      </c>
      <c r="D33" s="364" t="inlineStr">
        <is>
          <t>BunnyRig</t>
        </is>
      </c>
      <c r="E33" s="364" t="inlineStr">
        <is>
          <t>assets/art/characters/player/chr_player_capsule01_3d/variants/bunny01/production/v021/exports/chr_bunny01_head_v021.glb</t>
        </is>
      </c>
      <c r="F33" s="364" t="inlineStr">
        <is>
          <t>pivot-local GLB / 1.5m比例</t>
        </is>
      </c>
      <c r="G33" s="364" t="inlineStr">
        <is>
          <t>(-0.000028,0.477110,0.026431)</t>
        </is>
      </c>
      <c r="H33" s="364" t="inlineStr">
        <is>
          <t>HeadJoint</t>
        </is>
      </c>
      <c r="I33" s="364" t="n">
        <v>3</v>
      </c>
      <c r="J33" s="364" t="inlineStr">
        <is>
          <t>移动反相滞后/后坐/受击甩头</t>
        </is>
      </c>
      <c r="K33" s="364" t="inlineStr">
        <is>
          <t>头部组件</t>
        </is>
      </c>
      <c r="L33" s="364" t="inlineStr">
        <is>
          <t>是</t>
        </is>
      </c>
      <c r="M33" s="364" t="inlineStr">
        <is>
          <t>v021：head 兼容部件原点导出；共享模型/动作骨架；状态 active。</t>
        </is>
      </c>
    </row>
    <row r="34" ht="104" customHeight="1">
      <c r="A34" s="364" t="inlineStr">
        <is>
          <t>player_capsule01_bunny01_3d</t>
        </is>
      </c>
      <c r="B34" s="364" t="inlineStr">
        <is>
          <t>ear_l</t>
        </is>
      </c>
      <c r="C34" s="364" t="inlineStr">
        <is>
          <t>VisualRoot/BunnyRig/HeadJoint/Ears/EarSocketL/EarAccessory</t>
        </is>
      </c>
      <c r="D34" s="364" t="inlineStr">
        <is>
          <t>head</t>
        </is>
      </c>
      <c r="E34" s="364" t="inlineStr">
        <is>
          <t>assets/art/characters/player/chr_player_capsule01_3d/variants/bunny01/production/v021/exports/chr_bunny01_ear_l_v021.glb</t>
        </is>
      </c>
      <c r="F34" s="364" t="inlineStr">
        <is>
          <t>骨局部 GLB / 左耳独立网格</t>
        </is>
      </c>
      <c r="G34" s="364" t="inlineStr">
        <is>
          <t>Head local (-0.245056,0.499653,-0.001671)</t>
        </is>
      </c>
      <c r="H34" s="364" t="inlineStr">
        <is>
          <t>继承HeadJoint</t>
        </is>
      </c>
      <c r="I34" s="364" t="n">
        <v>4</v>
      </c>
      <c r="J34" s="364" t="inlineStr">
        <is>
          <t>移动跟随/冲刺后压/受击收耳</t>
        </is>
      </c>
      <c r="K34" s="364" t="inlineStr">
        <is>
          <t>头部配件</t>
        </is>
      </c>
      <c r="L34" s="364" t="inlineStr">
        <is>
          <t>是</t>
        </is>
      </c>
      <c r="M34" s="364" t="inlineStr">
        <is>
          <t>v021：ear_l 兼容部件原点导出；共享模型/动作骨架；状态 active。</t>
        </is>
      </c>
    </row>
    <row r="35" ht="104" customHeight="1">
      <c r="A35" s="364" t="inlineStr">
        <is>
          <t>player_capsule01_bunny01_3d</t>
        </is>
      </c>
      <c r="B35" s="364" t="inlineStr">
        <is>
          <t>ear_r</t>
        </is>
      </c>
      <c r="C35" s="364" t="inlineStr">
        <is>
          <t>VisualRoot/BunnyRig/HeadJoint/Ears/EarSocketR/EarAccessory</t>
        </is>
      </c>
      <c r="D35" s="364" t="inlineStr">
        <is>
          <t>head</t>
        </is>
      </c>
      <c r="E35" s="364" t="inlineStr">
        <is>
          <t>assets/art/characters/player/chr_player_capsule01_3d/variants/bunny01/production/v021/exports/chr_bunny01_ear_r_v021.glb</t>
        </is>
      </c>
      <c r="F35" s="364" t="inlineStr">
        <is>
          <t>骨局部 GLB / 右耳独立网格</t>
        </is>
      </c>
      <c r="G35" s="364" t="inlineStr">
        <is>
          <t>Head local (0.245112,0.499653,-0.001671)</t>
        </is>
      </c>
      <c r="H35" s="364" t="inlineStr">
        <is>
          <t>继承HeadJoint</t>
        </is>
      </c>
      <c r="I35" s="364" t="n">
        <v>4</v>
      </c>
      <c r="J35" s="364" t="inlineStr">
        <is>
          <t>移动跟随/冲刺后压/受击收耳</t>
        </is>
      </c>
      <c r="K35" s="364" t="inlineStr">
        <is>
          <t>头部配件</t>
        </is>
      </c>
      <c r="L35" s="364" t="inlineStr">
        <is>
          <t>是</t>
        </is>
      </c>
      <c r="M35" s="364" t="inlineStr">
        <is>
          <t>v021：ear_r 兼容部件原点导出；共享模型/动作骨架；状态 active。</t>
        </is>
      </c>
    </row>
    <row r="36" ht="104" customHeight="1">
      <c r="A36" s="364" t="inlineStr">
        <is>
          <t>player_capsule01_bunny01_3d</t>
        </is>
      </c>
      <c r="B36" s="364" t="inlineStr">
        <is>
          <t>hand_l</t>
        </is>
      </c>
      <c r="C36" s="364" t="inlineStr">
        <is>
          <t>VisualRoot/BunnyRig/HandRoot/HandJointL/Model</t>
        </is>
      </c>
      <c r="D36" s="364" t="inlineStr">
        <is>
          <t>BunnyRig</t>
        </is>
      </c>
      <c r="E36" s="364" t="inlineStr">
        <is>
          <t>assets/art/characters/player/chr_player_capsule01_3d/variants/bunny01/production/v021/exports/chr_bunny01_hand_l_v021.glb</t>
        </is>
      </c>
      <c r="F36" s="364" t="inlineStr">
        <is>
          <t>pivot-local GLB / 1.5m比例</t>
        </is>
      </c>
      <c r="G36" s="364" t="inlineStr">
        <is>
          <t>Authored (-0.285833,0.321773,-0.014435); sidearm ready (-0.145455,0.333333,-0.351515); longgun support (0.121212,0.315152,-0.387879)</t>
        </is>
      </c>
      <c r="H36" s="364" t="inlineStr">
        <is>
          <t>HandRoot 独立左腕</t>
        </is>
      </c>
      <c r="I36" s="364" t="n">
        <v>4</v>
      </c>
      <c r="J36" s="364" t="inlineStr">
        <is>
          <t>手枪待机前伸警戒/移动自由摆臂；长枪托举；换弹服务；双手枪后坐</t>
        </is>
      </c>
      <c r="K36" s="364" t="inlineStr">
        <is>
          <t>左手组件</t>
        </is>
      </c>
      <c r="L36" s="364" t="inlineStr">
        <is>
          <t>是</t>
        </is>
      </c>
      <c r="M36" s="364" t="inlineStr">
        <is>
          <t>v021：hand_l 兼容部件原点导出；共享模型/动作骨架；状态 active。</t>
        </is>
      </c>
    </row>
    <row r="37" ht="104" customHeight="1">
      <c r="A37" s="364" t="inlineStr">
        <is>
          <t>player_capsule01_bunny01_3d</t>
        </is>
      </c>
      <c r="B37" s="364" t="inlineStr">
        <is>
          <t>hand_r</t>
        </is>
      </c>
      <c r="C37" s="364" t="inlineStr">
        <is>
          <t>VisualRoot/BunnyRig/HandRoot/HandJointR/Model</t>
        </is>
      </c>
      <c r="D37" s="364" t="inlineStr">
        <is>
          <t>BunnyRig</t>
        </is>
      </c>
      <c r="E37" s="364" t="inlineStr">
        <is>
          <t>assets/art/characters/player/chr_player_capsule01_3d/variants/bunny01/production/v021/exports/chr_bunny01_hand_r_v021.glb</t>
        </is>
      </c>
      <c r="F37" s="364" t="inlineStr">
        <is>
          <t>pivot-local GLB / 1.5m比例</t>
        </is>
      </c>
      <c r="G37" s="364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364" t="inlineStr">
        <is>
          <t>HandRoot 独立右腕 / WeaponSocket 跟随</t>
        </is>
      </c>
      <c r="I37" s="364" t="n">
        <v>4</v>
      </c>
      <c r="J37" s="364" t="inlineStr">
        <is>
          <t>手枪/长枪主握把；掌球中心锁定握把；待机低位警戒；独立跑步；武器差异射击后坐</t>
        </is>
      </c>
      <c r="K37" s="364" t="inlineStr">
        <is>
          <t>右手组件</t>
        </is>
      </c>
      <c r="L37" s="364" t="inlineStr">
        <is>
          <t>是</t>
        </is>
      </c>
      <c r="M37" s="364" t="inlineStr">
        <is>
          <t>v021：hand_r 兼容部件原点导出；共享模型/动作骨架；状态 active。</t>
        </is>
      </c>
    </row>
    <row r="38" ht="104" customHeight="1">
      <c r="A38" s="364" t="inlineStr">
        <is>
          <t>player_capsule01_bunny01_3d</t>
        </is>
      </c>
      <c r="B38" s="364" t="inlineStr">
        <is>
          <t>foot_l</t>
        </is>
      </c>
      <c r="C38" s="364" t="inlineStr">
        <is>
          <t>VisualRoot/BunnyRig/FeetRoot/FootJointL/Model</t>
        </is>
      </c>
      <c r="D38" s="364" t="inlineStr">
        <is>
          <t>FeetRoot</t>
        </is>
      </c>
      <c r="E38" s="364" t="inlineStr">
        <is>
          <t>assets/art/characters/player/chr_player_capsule01_3d/variants/bunny01/production/v021/exports/chr_bunny01_foot_l_v021.glb</t>
        </is>
      </c>
      <c r="F38" s="364" t="inlineStr">
        <is>
          <t>pivot-local GLB / 1.5m比例</t>
        </is>
      </c>
      <c r="G38" s="364" t="inlineStr">
        <is>
          <t>(-0.129002,0,-0.010887)</t>
        </is>
      </c>
      <c r="H38" s="364" t="inlineStr">
        <is>
          <t>独立FootJointL</t>
        </is>
      </c>
      <c r="I38" s="364" t="n">
        <v>1</v>
      </c>
      <c r="J38" s="364" t="inlineStr">
        <is>
          <t>moving左脚/翻滚收腿/受击甩脚/falling收腿/landing压缩</t>
        </is>
      </c>
      <c r="K38" s="364" t="inlineStr">
        <is>
          <t>左脚组件</t>
        </is>
      </c>
      <c r="L38" s="364" t="inlineStr">
        <is>
          <t>是</t>
        </is>
      </c>
      <c r="M38" s="364" t="inlineStr">
        <is>
          <t>v021：foot_l 兼容部件原点导出；共享模型/动作骨架；状态 active。</t>
        </is>
      </c>
    </row>
    <row r="39" ht="104" customHeight="1">
      <c r="A39" s="364" t="inlineStr">
        <is>
          <t>player_capsule01_bunny01_3d</t>
        </is>
      </c>
      <c r="B39" s="364" t="inlineStr">
        <is>
          <t>foot_r</t>
        </is>
      </c>
      <c r="C39" s="364" t="inlineStr">
        <is>
          <t>VisualRoot/BunnyRig/FeetRoot/FootJointR/Model</t>
        </is>
      </c>
      <c r="D39" s="364" t="inlineStr">
        <is>
          <t>FeetRoot</t>
        </is>
      </c>
      <c r="E39" s="364" t="inlineStr">
        <is>
          <t>assets/art/characters/player/chr_player_capsule01_3d/variants/bunny01/production/v021/exports/chr_bunny01_foot_r_v021.glb</t>
        </is>
      </c>
      <c r="F39" s="364" t="inlineStr">
        <is>
          <t>pivot-local GLB / 1.5m比例</t>
        </is>
      </c>
      <c r="G39" s="364" t="inlineStr">
        <is>
          <t>(0.129002,0,-0.010887)</t>
        </is>
      </c>
      <c r="H39" s="364" t="inlineStr">
        <is>
          <t>独立FootJointR</t>
        </is>
      </c>
      <c r="I39" s="364" t="n">
        <v>1</v>
      </c>
      <c r="J39" s="364" t="inlineStr">
        <is>
          <t>moving右脚/翻滚收腿/受击甩脚/falling收腿/landing压缩</t>
        </is>
      </c>
      <c r="K39" s="364" t="inlineStr">
        <is>
          <t>右脚组件</t>
        </is>
      </c>
      <c r="L39" s="364" t="inlineStr">
        <is>
          <t>是</t>
        </is>
      </c>
      <c r="M39" s="364" t="inlineStr">
        <is>
          <t>v021：foot_r 兼容部件原点导出；共享模型/动作骨架；状态 active。</t>
        </is>
      </c>
    </row>
    <row r="40">
      <c r="A40" t="inlineStr">
        <is>
          <t>player_capsule01_3d</t>
        </is>
      </c>
      <c r="B40" t="inlineStr">
        <is>
          <t>weapon_stow_primary</t>
        </is>
      </c>
      <c r="C40" t="inlineStr">
        <is>
          <t>VisualRoot/BunnyRig/StowedWeaponSocketPrimary</t>
        </is>
      </c>
      <c r="D40" t="inlineStr">
        <is>
          <t>root</t>
        </is>
      </c>
      <c r="E40" t="inlineStr">
        <is>
          <t>无纹理</t>
        </is>
      </c>
      <c r="F40" t="inlineStr">
        <is>
          <t>Marker3D</t>
        </is>
      </c>
      <c r="G40" t="inlineStr">
        <is>
          <t>(-0.42,1.12,0.25)</t>
        </is>
      </c>
      <c r="H40" t="inlineStr">
        <is>
          <t>随root；local -Z枪口轴转向世界下方</t>
        </is>
      </c>
      <c r="I40" t="inlineStr">
        <is>
          <t>5</t>
        </is>
      </c>
      <c r="J40" t="inlineStr">
        <is>
          <t>主武器未激活时背部左侧收纳</t>
        </is>
      </c>
      <c r="K40" t="inlineStr">
        <is>
          <t>武器系统</t>
        </is>
      </c>
      <c r="L40" t="inlineStr">
        <is>
          <t>是</t>
        </is>
      </c>
      <c r="M40" t="inlineStr">
        <is>
          <t>主武器槽0专属；枪口朝下；回退节点VisualRoot/StowedWeaponSocketPrimary</t>
        </is>
      </c>
    </row>
    <row r="41">
      <c r="A41" t="inlineStr">
        <is>
          <t>player_capsule01_3d</t>
        </is>
      </c>
      <c r="B41" t="inlineStr">
        <is>
          <t>weapon_stow_secondary</t>
        </is>
      </c>
      <c r="C41" t="inlineStr">
        <is>
          <t>VisualRoot/BunnyRig/StowedWeaponSocketSecondary</t>
        </is>
      </c>
      <c r="D41" t="inlineStr">
        <is>
          <t>root</t>
        </is>
      </c>
      <c r="E41" t="inlineStr">
        <is>
          <t>无纹理</t>
        </is>
      </c>
      <c r="F41" t="inlineStr">
        <is>
          <t>Marker3D</t>
        </is>
      </c>
      <c r="G41" t="inlineStr">
        <is>
          <t>(0.42,1.12,0.25)</t>
        </is>
      </c>
      <c r="H41" t="inlineStr">
        <is>
          <t>随root；local -Z枪口轴转向世界下方</t>
        </is>
      </c>
      <c r="I41" t="inlineStr">
        <is>
          <t>5</t>
        </is>
      </c>
      <c r="J41" t="inlineStr">
        <is>
          <t>副武器未激活时背部右侧收纳</t>
        </is>
      </c>
      <c r="K41" t="inlineStr">
        <is>
          <t>武器系统</t>
        </is>
      </c>
      <c r="L41" t="inlineStr">
        <is>
          <t>是</t>
        </is>
      </c>
      <c r="M41" t="inlineStr">
        <is>
          <t>副武器槽1专属；枪口朝下；回退节点VisualRoot/StowedWeaponSocketSecondary</t>
        </is>
      </c>
    </row>
    <row r="42">
      <c r="A42" t="inlineStr">
        <is>
          <t>player_capsule01_3d</t>
        </is>
      </c>
      <c r="B42" t="inlineStr">
        <is>
          <t>backpack_socket</t>
        </is>
      </c>
      <c r="C42" t="inlineStr">
        <is>
          <t>VisualRoot/BunnyRig/BackpackSocket（fallback: VisualRoot/BackpackSocket）</t>
        </is>
      </c>
      <c r="D42" t="inlineStr">
        <is>
          <t>root</t>
        </is>
      </c>
      <c r="E42" t="inlineStr">
        <is>
          <t>无纹理；子模型来自ItemModelFactory3D</t>
        </is>
      </c>
      <c r="F42" t="inlineStr">
        <is>
          <t>Marker3D + 程序Mesh</t>
        </is>
      </c>
      <c r="G42" t="inlineStr">
        <is>
          <t>bunny (0,0.74,0.30)；fallback (0,1.25,0.48)</t>
        </is>
      </c>
      <c r="H42" t="inlineStr">
        <is>
          <t>继承VisualRoot朝向</t>
        </is>
      </c>
      <c r="I42" t="n">
        <v>3</v>
      </c>
      <c r="J42" t="inlineStr">
        <is>
          <t>装备时生成背包占位Mesh；卸下时移除</t>
        </is>
      </c>
      <c r="K42" t="inlineStr">
        <is>
          <t>背包装备系统</t>
        </is>
      </c>
      <c r="L42" t="inlineStr">
        <is>
          <t>是</t>
        </is>
      </c>
      <c r="M42" t="inlineStr">
        <is>
          <t>与StowedWeaponSocketPrimary/Secondary分离；2/4/8格共用模型工厂；无碰撞；verify_backpack_equipment_flow与Metal/OpenGL实机渲染通过。</t>
        </is>
      </c>
    </row>
    <row r="43">
      <c r="A43" t="inlineStr">
        <is>
          <t>player_capsule01_bunny01_3d</t>
        </is>
      </c>
      <c r="B43" t="inlineStr">
        <is>
          <t>lower_body_socket</t>
        </is>
      </c>
      <c r="C43" t="inlineStr">
        <is>
          <t>VisualRoot/BunnyRig/BodyJoint/LowerBodySocket（fallback: VisualRoot/Body/LowerBodySocket）</t>
        </is>
      </c>
      <c r="D43" t="inlineStr">
        <is>
          <t>body</t>
        </is>
      </c>
      <c r="E43" t="inlineStr">
        <is>
          <t>无纹理</t>
        </is>
      </c>
      <c r="F43" t="inlineStr">
        <is>
          <t>Marker3D</t>
        </is>
      </c>
      <c r="G43" t="inlineStr">
        <is>
          <t>bunny Body local (0,0.14,0)；fallback Body local (0,-0.36,0)</t>
        </is>
      </c>
      <c r="H43" t="inlineStr">
        <is>
          <t>继承BodyJoint位置/旋转/缩放</t>
        </is>
      </c>
      <c r="I43" t="n">
        <v>2</v>
      </c>
      <c r="J43" t="inlineStr">
        <is>
          <t>裙摆/腰甲/下摆继承全部身体状态与动作覆盖</t>
        </is>
      </c>
      <c r="K43" t="inlineStr">
        <is>
          <t>下身配件挂点</t>
        </is>
      </c>
      <c r="L43" t="inlineStr">
        <is>
          <t>是</t>
        </is>
      </c>
      <c r="M43" t="inlineStr">
        <is>
          <t>presentation_only；无碰撞；不改变玩法；专项验证 verify_player3d_lower_body_socket_flow.tscn。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24" customWidth="1" min="4" max="4"/>
    <col width="30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42" customWidth="1" min="12" max="12"/>
  </cols>
  <sheetData>
    <row r="1" ht="25" customHeight="1">
      <c r="A1" s="3" t="inlineStr">
        <is>
          <t>玩家状态机 × 美术组件映射</t>
        </is>
      </c>
    </row>
    <row r="2" ht="12" customHeight="1"/>
    <row r="3" ht="74" customHeight="1">
      <c r="A3" s="297" t="inlineStr">
        <is>
          <t>Player3D 八态状态机 × 组件表现（falling/landing为真实垂直物理顶层状态）</t>
        </is>
      </c>
    </row>
    <row r="4">
      <c r="A4" s="364" t="n"/>
      <c r="B4" s="364" t="n"/>
      <c r="C4" s="364" t="n"/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</row>
    <row r="5" ht="32" customHeight="1">
      <c r="A5" s="298" t="inlineStr">
        <is>
          <t>层级</t>
        </is>
      </c>
      <c r="B5" s="299" t="inlineStr">
        <is>
          <t>状态ID</t>
        </is>
      </c>
      <c r="C5" s="299" t="inlineStr">
        <is>
          <t>中文名</t>
        </is>
      </c>
      <c r="D5" s="299" t="inlineStr">
        <is>
          <t>允许来源</t>
        </is>
      </c>
      <c r="E5" s="299" t="inlineStr">
        <is>
          <t>允许去向</t>
        </is>
      </c>
      <c r="F5" s="299" t="inlineStr">
        <is>
          <t>Body</t>
        </is>
      </c>
      <c r="G5" s="299" t="inlineStr">
        <is>
          <t>Head</t>
        </is>
      </c>
      <c r="H5" s="299" t="inlineStr">
        <is>
          <t>Hand L</t>
        </is>
      </c>
      <c r="I5" s="299" t="inlineStr">
        <is>
          <t>Hand R / WeaponSocket</t>
        </is>
      </c>
      <c r="J5" s="299" t="inlineStr">
        <is>
          <t>Scarf</t>
        </is>
      </c>
      <c r="K5" s="299" t="inlineStr">
        <is>
          <t>VFX/UI</t>
        </is>
      </c>
      <c r="L5" s="300" t="inlineStr">
        <is>
          <t>首版实现</t>
        </is>
      </c>
    </row>
    <row r="6" ht="58" customHeight="1">
      <c r="A6" s="347" t="inlineStr">
        <is>
          <t>顶层</t>
        </is>
      </c>
      <c r="B6" s="347" t="inlineStr">
        <is>
          <t>idle</t>
        </is>
      </c>
      <c r="C6" s="347" t="inlineStr">
        <is>
          <t>待命</t>
        </is>
      </c>
      <c r="D6" s="347" t="inlineStr">
        <is>
          <t>start/moving/hurt/locked/landing</t>
        </is>
      </c>
      <c r="E6" s="347" t="inlineStr">
        <is>
          <t>moving,dashing,hurt,locked,falling,dead</t>
        </is>
      </c>
      <c r="F6" s="347" t="inlineStr">
        <is>
          <t>v021：纯Blender 3.2秒循环待机；持枪使用armed_idle，禁用玩家程序姿势。</t>
        </is>
      </c>
      <c r="G6" s="347" t="inlineStr">
        <is>
          <t>刚性头部，不缩放；低幅反向滞后保持重量感。</t>
        </is>
      </c>
      <c r="H6" s="347" t="inlineStr">
        <is>
          <t>手枪自由左手前伸胸前警戒；长枪左手保持托举</t>
        </is>
      </c>
      <c r="I6" s="347" t="inlineStr">
        <is>
          <t>手枪/长枪右手掌球中心、HandJointR与GripSocket三点重合；手枪WeaponSocket待机右前下移，枪管local -Z保持瞄准同向</t>
        </is>
      </c>
      <c r="J6" s="347" t="inlineStr">
        <is>
          <t>低频错相轻摆</t>
        </is>
      </c>
      <c r="K6" s="347" t="inlineStr">
        <is>
          <t>HUD 待命；无新增VFX</t>
        </is>
      </c>
      <c r="L6" s="34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>
      <c r="A7" s="304" t="inlineStr">
        <is>
          <t>顶层</t>
        </is>
      </c>
      <c r="B7" s="304" t="inlineStr">
        <is>
          <t>moving</t>
        </is>
      </c>
      <c r="C7" s="304" t="inlineStr">
        <is>
          <t>机动</t>
        </is>
      </c>
      <c r="D7" s="304" t="inlineStr">
        <is>
          <t>idle/dashing/hurt/locked/landing</t>
        </is>
      </c>
      <c r="E7" s="304" t="inlineStr">
        <is>
          <t>idle,dashing,hurt,locked,falling,dead</t>
        </is>
      </c>
      <c r="F7" s="304" t="inlineStr">
        <is>
          <t>v021：正常速度0.8秒小跑，慢速1秒慢走；按速度选择moving/walking及对应armed变体。</t>
        </is>
      </c>
      <c r="G7" s="304" t="inlineStr">
        <is>
          <t>较小反相滞后</t>
        </is>
      </c>
      <c r="H7" s="304" t="inlineStr">
        <is>
          <t>手枪自由左手大幅反摆；长枪左手锁定托举</t>
        </is>
      </c>
      <c r="I7" s="304" t="inlineStr">
        <is>
          <t>手枪右手与右侧挂点紧凑起伏；长枪双手/挂点收胸跑</t>
        </is>
      </c>
      <c r="J7" s="304" t="inlineStr">
        <is>
          <t>周期滞后</t>
        </is>
      </c>
      <c r="K7" s="304" t="inlineStr">
        <is>
          <t>地面划痕</t>
        </is>
      </c>
      <c r="L7" s="304" t="inlineStr">
        <is>
          <t>位移驱动独立循环；WeaponPoseFSM 进入 sidearm_run 或 longgun_run；双脚交替，单手/双手剪影分离</t>
        </is>
      </c>
    </row>
    <row r="8" ht="56" customHeight="1">
      <c r="A8" s="304" t="inlineStr">
        <is>
          <t>顶层</t>
        </is>
      </c>
      <c r="B8" s="304" t="inlineStr">
        <is>
          <t>dashing</t>
        </is>
      </c>
      <c r="C8" s="304" t="inlineStr">
        <is>
          <t>突进</t>
        </is>
      </c>
      <c r="D8" s="304" t="inlineStr">
        <is>
          <t>idle/moving</t>
        </is>
      </c>
      <c r="E8" s="304" t="inlineStr">
        <is>
          <t>idle,moving,hurt,locked,falling,dead</t>
        </is>
      </c>
      <c r="F8" s="304" t="inlineStr">
        <is>
          <t>v021：0.4秒收身前翻一周后展开；root不驱动玩法位移。</t>
        </is>
      </c>
      <c r="G8" s="304" t="inlineStr">
        <is>
          <t>随翻滚形成清晰弧线，耳朵延迟跟随。</t>
        </is>
      </c>
      <c r="H8" s="304" t="inlineStr">
        <is>
          <t>按当前武器握持数收束；自由左手随整体抱团</t>
        </is>
      </c>
      <c r="I8" s="304" t="inlineStr">
        <is>
          <t>右手握把与 WeaponSocket 同轴完整翻滚</t>
        </is>
      </c>
      <c r="J8" s="304" t="inlineStr">
        <is>
          <t>随整体收束</t>
        </is>
      </c>
      <c r="K8" s="304" t="inlineStr">
        <is>
          <t>青色尾迹</t>
        </is>
      </c>
      <c r="L8" s="304" t="inlineStr">
        <is>
          <t>0.17s 内完成 360° 本地X前滚；用半高轴心补偿避免钻地；夸张压缩与抛物线位移</t>
        </is>
      </c>
    </row>
    <row r="9" ht="56" customHeight="1">
      <c r="A9" s="304" t="inlineStr">
        <is>
          <t>顶层</t>
        </is>
      </c>
      <c r="B9" s="304" t="inlineStr">
        <is>
          <t>hurt</t>
        </is>
      </c>
      <c r="C9" s="304" t="inlineStr">
        <is>
          <t>受创</t>
        </is>
      </c>
      <c r="D9" s="304" t="inlineStr">
        <is>
          <t>任意存活态</t>
        </is>
      </c>
      <c r="E9" s="304" t="inlineStr">
        <is>
          <t>idle,moving,locked,falling,dead</t>
        </is>
      </c>
      <c r="F9" s="304" t="inlineStr">
        <is>
          <t>v021：0.55秒后仰失衡、反向回弹并收稳。</t>
        </is>
      </c>
      <c r="G9" s="304" t="inlineStr">
        <is>
          <t>头部甩动与耳朵拖曳形成受击重点。</t>
        </is>
      </c>
      <c r="H9" s="304" t="inlineStr">
        <is>
          <t>手枪左手自由外甩；长枪左手回护木</t>
        </is>
      </c>
      <c r="I9" s="304" t="inlineStr">
        <is>
          <t>右手/WeaponSocket 同相后退，握把不脱离</t>
        </is>
      </c>
      <c r="J9" s="304" t="inlineStr">
        <is>
          <t>冲击滞后</t>
        </is>
      </c>
      <c r="K9" s="304" t="inlineStr">
        <is>
          <t>红闪/击退轨迹</t>
        </is>
      </c>
      <c r="L9" s="304" t="inlineStr">
        <is>
          <t>真实命中方向 + 受击进度关键姿势；头、双脚、双耳使用独立夸张回弹</t>
        </is>
      </c>
    </row>
    <row r="10">
      <c r="A10" s="304" t="inlineStr">
        <is>
          <t>顶层</t>
        </is>
      </c>
      <c r="B10" s="304" t="inlineStr">
        <is>
          <t>locked</t>
        </is>
      </c>
      <c r="C10" s="304" t="inlineStr">
        <is>
          <t>交互锁定</t>
        </is>
      </c>
      <c r="D10" s="304" t="inlineStr">
        <is>
          <t>任意存活态/landing</t>
        </is>
      </c>
      <c r="E10" s="304" t="inlineStr">
        <is>
          <t>idle,moving,hurt,falling,dead</t>
        </is>
      </c>
      <c r="F10" s="304" t="inlineStr">
        <is>
          <t>v021：1.8秒循环警觉重心交换。</t>
        </is>
      </c>
      <c r="G10" s="304" t="inlineStr">
        <is>
          <t>小幅警觉转头，保持瞄准可读性。</t>
        </is>
      </c>
      <c r="H10" s="304" t="inlineStr">
        <is>
          <t>稳定</t>
        </is>
      </c>
      <c r="I10" s="304" t="inlineStr">
        <is>
          <t>保持握持</t>
        </is>
      </c>
      <c r="J10" s="304" t="inlineStr">
        <is>
          <t>低摆</t>
        </is>
      </c>
      <c r="K10" s="304" t="inlineStr">
        <is>
          <t>琥珀锁定环</t>
        </is>
      </c>
      <c r="L10" s="304" t="inlineStr">
        <is>
          <t>降亮 + 锁定环；保持刚性层级</t>
        </is>
      </c>
    </row>
    <row r="11" ht="92" customHeight="1">
      <c r="A11" s="304" t="inlineStr">
        <is>
          <t>顶层</t>
        </is>
      </c>
      <c r="B11" s="304" t="inlineStr">
        <is>
          <t>falling</t>
        </is>
      </c>
      <c r="C11" s="304" t="inlineStr">
        <is>
          <t>下落</t>
        </is>
      </c>
      <c r="D11" s="304" t="inlineStr">
        <is>
          <t>idle/moving/dashing/hurt/locked</t>
        </is>
      </c>
      <c r="E11" s="304" t="inlineStr">
        <is>
          <t>landing,hurt,dead</t>
        </is>
      </c>
      <c r="F11" s="304" t="inlineStr">
        <is>
          <t>v021：0.65秒张臂失衡，下落末帧保持。</t>
        </is>
      </c>
      <c r="G11" s="304" t="inlineStr">
        <is>
          <t>头部及耳朵表现向上拖曳。</t>
        </is>
      </c>
      <c r="H11" s="304" t="inlineStr">
        <is>
          <t>手枪自由手收束；长枪托举手不脱离</t>
        </is>
      </c>
      <c r="I11" s="304" t="inlineStr">
        <is>
          <t>握持手与WeaponSocket保持同相</t>
        </is>
      </c>
      <c r="J11" s="304" t="inlineStr">
        <is>
          <t>向上滞后</t>
        </is>
      </c>
      <c r="K11" s="304" t="inlineStr">
        <is>
          <t>无新增VFX</t>
        </is>
      </c>
      <c r="L11" s="304" t="inlineStr">
        <is>
          <t>真实重力+0.10s离地容错；双脚收起、双耳后压；楼梯接缝不误触发</t>
        </is>
      </c>
    </row>
    <row r="12" ht="92" customHeight="1">
      <c r="A12" s="304" t="inlineStr">
        <is>
          <t>顶层</t>
        </is>
      </c>
      <c r="B12" s="304" t="inlineStr">
        <is>
          <t>landing</t>
        </is>
      </c>
      <c r="C12" s="304" t="inlineStr">
        <is>
          <t>落地</t>
        </is>
      </c>
      <c r="D12" s="304" t="inlineStr">
        <is>
          <t>falling</t>
        </is>
      </c>
      <c r="E12" s="304" t="inlineStr">
        <is>
          <t>idle,moving,locked,falling,hurt,dead</t>
        </is>
      </c>
      <c r="F12" s="304" t="inlineStr">
        <is>
          <t>v021：0.45秒下沉缓冲、回弹并稳定。</t>
        </is>
      </c>
      <c r="G12" s="304" t="inlineStr">
        <is>
          <t>承接下落末姿后抬头恢复。</t>
        </is>
      </c>
      <c r="H12" s="304" t="inlineStr">
        <is>
          <t>随整体吸收冲击</t>
        </is>
      </c>
      <c r="I12" s="304" t="inlineStr">
        <is>
          <t>握持手与WeaponSocket同相稳定</t>
        </is>
      </c>
      <c r="J12" s="304" t="inlineStr">
        <is>
          <t>短促回摆</t>
        </is>
      </c>
      <c r="K12" s="304" t="inlineStr">
        <is>
          <t>落地停顿</t>
        </is>
      </c>
      <c r="L12" s="304" t="inlineStr">
        <is>
          <t>冲击速度映射0.12—0.30s硬直；状态计时结束后恢复地面移动</t>
        </is>
      </c>
    </row>
    <row r="13">
      <c r="A13" s="304" t="inlineStr">
        <is>
          <t>顶层</t>
        </is>
      </c>
      <c r="B13" s="304" t="inlineStr">
        <is>
          <t>dead</t>
        </is>
      </c>
      <c r="C13" s="304" t="inlineStr">
        <is>
          <t>生命终止</t>
        </is>
      </c>
      <c r="D13" s="304" t="inlineStr">
        <is>
          <t>任意存活态</t>
        </is>
      </c>
      <c r="E13" s="304" t="inlineStr">
        <is>
          <t>无（终态）</t>
        </is>
      </c>
      <c r="F13" s="304" t="inlineStr">
        <is>
          <t>v021：1.6秒空中前翻一周，正面朝下趴地，弹一次后保持。</t>
        </is>
      </c>
      <c r="G13" s="304" t="inlineStr">
        <is>
          <t>头部随整身落地；双臂向头顶两侧伸出。</t>
        </is>
      </c>
      <c r="H13" s="304" t="inlineStr">
        <is>
          <t>随击飞惯性展开，回弹时收束</t>
        </is>
      </c>
      <c r="I13" s="304" t="inlineStr">
        <is>
          <t>武器握持层随整体击飞/回弹/侧倒</t>
        </is>
      </c>
      <c r="J13" s="304" t="inlineStr">
        <is>
          <t>惯性拖尾后停止</t>
        </is>
      </c>
      <c r="K13" s="304" t="inlineStr">
        <is>
          <t>1.35秒后显示点击返99F确认框</t>
        </is>
      </c>
      <c r="L13" s="304" t="inlineStr">
        <is>
          <t>真实CharacterBody3D速度+重力；death_animation_finished仅通知表现完成，点击后结算</t>
        </is>
      </c>
    </row>
    <row r="14">
      <c r="A14" s="304" t="inlineStr">
        <is>
          <t>叠加</t>
        </is>
      </c>
      <c r="B14" s="304" t="inlineStr">
        <is>
          <t>low_health</t>
        </is>
      </c>
      <c r="C14" s="304" t="inlineStr">
        <is>
          <t>低血</t>
        </is>
      </c>
      <c r="D14" s="304" t="inlineStr">
        <is>
          <t>任意存活态</t>
        </is>
      </c>
      <c r="E14" s="304" t="inlineStr">
        <is>
          <t>不改变顶层</t>
        </is>
      </c>
      <c r="F14" s="304" t="inlineStr">
        <is>
          <t>不变</t>
        </is>
      </c>
      <c r="G14" s="304" t="inlineStr">
        <is>
          <t>不变</t>
        </is>
      </c>
      <c r="H14" s="304" t="inlineStr">
        <is>
          <t>保持当前动作</t>
        </is>
      </c>
      <c r="I14" s="304" t="inlineStr">
        <is>
          <t>保持当前动作</t>
        </is>
      </c>
      <c r="J14" s="304" t="inlineStr">
        <is>
          <t>不变</t>
        </is>
      </c>
      <c r="K14" s="304" t="inlineStr">
        <is>
          <t>红色呼吸环</t>
        </is>
      </c>
      <c r="L14" s="304" t="inlineStr">
        <is>
          <t>HP≤30%</t>
        </is>
      </c>
    </row>
    <row r="15" ht="56" customHeight="1">
      <c r="A15" s="364" t="inlineStr">
        <is>
          <t>叠加</t>
        </is>
      </c>
      <c r="B15" s="364" t="inlineStr">
        <is>
          <t>silenced</t>
        </is>
      </c>
      <c r="C15" s="364" t="inlineStr">
        <is>
          <t>沉默</t>
        </is>
      </c>
      <c r="D15" s="364" t="inlineStr">
        <is>
          <t>任意存活态</t>
        </is>
      </c>
      <c r="E15" s="364" t="inlineStr">
        <is>
          <t>不改变顶层</t>
        </is>
      </c>
      <c r="F15" s="364" t="inlineStr">
        <is>
          <t>降饱和可选</t>
        </is>
      </c>
      <c r="G15" s="364" t="inlineStr">
        <is>
          <t>传感器干扰</t>
        </is>
      </c>
      <c r="H15" s="364" t="inlineStr">
        <is>
          <t>保持当前动作</t>
        </is>
      </c>
      <c r="I15" s="364" t="inlineStr">
        <is>
          <t>保持当前动作</t>
        </is>
      </c>
      <c r="J15" s="364" t="inlineStr">
        <is>
          <t>不变</t>
        </is>
      </c>
      <c r="K15" s="364" t="inlineStr">
        <is>
          <t>紫色干扰环</t>
        </is>
      </c>
      <c r="L15" s="364" t="inlineStr">
        <is>
          <t>计时标志</t>
        </is>
      </c>
    </row>
    <row r="16" ht="28" customHeight="1">
      <c r="A16" s="97" t="inlineStr">
        <is>
          <t>叠加</t>
        </is>
      </c>
      <c r="B16" s="97" t="inlineStr">
        <is>
          <t>invincible</t>
        </is>
      </c>
      <c r="C16" s="97" t="inlineStr">
        <is>
          <t>无敌</t>
        </is>
      </c>
      <c r="D16" s="97" t="inlineStr">
        <is>
          <t>dash/hurt</t>
        </is>
      </c>
      <c r="E16" s="97" t="inlineStr">
        <is>
          <t>不改变顶层</t>
        </is>
      </c>
      <c r="F16" s="97" t="inlineStr">
        <is>
          <t>闪烁</t>
        </is>
      </c>
      <c r="G16" s="97" t="inlineStr">
        <is>
          <t>闪烁</t>
        </is>
      </c>
      <c r="H16" s="97" t="inlineStr">
        <is>
          <t>保持当前动作</t>
        </is>
      </c>
      <c r="I16" s="97" t="inlineStr">
        <is>
          <t>保持当前动作</t>
        </is>
      </c>
      <c r="J16" s="97" t="inlineStr">
        <is>
          <t>闪烁</t>
        </is>
      </c>
      <c r="K16" s="97" t="inlineStr">
        <is>
          <t>透明闪烁</t>
        </is>
      </c>
      <c r="L16" s="97" t="inlineStr">
        <is>
          <t>InvincibleTimer 唯一解除</t>
        </is>
      </c>
    </row>
    <row r="17" ht="92" customHeight="1">
      <c r="A17" s="364" t="inlineStr">
        <is>
          <t>叠加</t>
        </is>
      </c>
      <c r="B17" s="364" t="inlineStr">
        <is>
          <t>reloading</t>
        </is>
      </c>
      <c r="C17" s="364" t="inlineStr">
        <is>
          <t>换弹</t>
        </is>
      </c>
      <c r="D17" s="364" t="inlineStr">
        <is>
          <t>任意持枪存活态</t>
        </is>
      </c>
      <c r="E17" s="364" t="inlineStr">
        <is>
          <t>不改变顶层；完成/取消退出</t>
        </is>
      </c>
      <c r="F17" s="364" t="inlineStr">
        <is>
          <t>单手持枪以手枪动作为母版，手枪/长枪可共用。待制作：single_hand fire、reload、charge；长枪双手idle/walking/moving。</t>
        </is>
      </c>
      <c r="G17" s="364" t="inlineStr">
        <is>
          <t>待制作：heavy_melee windup/active/recovery。完成前长枪复用手枪单手armed动作；怪物程序动画暂留，后续分批替换。</t>
        </is>
      </c>
      <c r="H17" s="364" t="inlineStr">
        <is>
          <t>手枪左手近身取弹但不计握持；长枪左手离开护木服务</t>
        </is>
      </c>
      <c r="I17" s="364" t="inlineStr">
        <is>
          <t>右手持续握把并跟随 WeaponSocket 下压/回位</t>
        </is>
      </c>
      <c r="J17" s="364" t="inlineStr">
        <is>
          <t>保持当前顶层</t>
        </is>
      </c>
      <c r="K17" s="364" t="inlineStr">
        <is>
          <t>3D头顶billboard进度条；HUD弹药栏</t>
        </is>
      </c>
      <c r="L17" s="364" t="inlineStr">
        <is>
          <t>WeaponModel3D 唯一计时源；WeaponPoseFSM 进入 sidearm_reload/longgun_reload；右手保持握把，左手按武器类型服务</t>
        </is>
      </c>
    </row>
    <row r="18" ht="72" customHeight="1">
      <c r="A18" s="368" t="n"/>
    </row>
    <row r="19" ht="42" customHeight="1">
      <c r="A19" s="364" t="inlineStr">
        <is>
          <t>层级</t>
        </is>
      </c>
      <c r="B19" s="364" t="inlineStr">
        <is>
          <t>状态ID</t>
        </is>
      </c>
      <c r="C19" s="364" t="inlineStr">
        <is>
          <t>中文名</t>
        </is>
      </c>
      <c r="D19" s="364" t="inlineStr">
        <is>
          <t>允许来源</t>
        </is>
      </c>
      <c r="E19" s="364" t="inlineStr">
        <is>
          <t>允许去向</t>
        </is>
      </c>
      <c r="F19" s="364" t="inlineStr">
        <is>
          <t>Core</t>
        </is>
      </c>
      <c r="G19" s="364" t="inlineStr">
        <is>
          <t>Shell</t>
        </is>
      </c>
      <c r="H19" s="364" t="inlineStr">
        <is>
          <t>Appendages</t>
        </is>
      </c>
      <c r="I19" s="364" t="inlineStr">
        <is>
          <t>StateVFX</t>
        </is>
      </c>
      <c r="J19" s="364" t="inlineStr">
        <is>
          <t>行为职责</t>
        </is>
      </c>
      <c r="K19" s="364" t="inlineStr">
        <is>
          <t>验收</t>
        </is>
      </c>
      <c r="L19" s="364" t="inlineStr">
        <is>
          <t>首版实现</t>
        </is>
      </c>
    </row>
    <row r="20" ht="42" customHeight="1">
      <c r="A20" s="364" t="inlineStr">
        <is>
          <t>顶层</t>
        </is>
      </c>
      <c r="B20" s="364" t="inlineStr">
        <is>
          <t>idle</t>
        </is>
      </c>
      <c r="C20" s="364" t="inlineStr">
        <is>
          <t>待机</t>
        </is>
      </c>
      <c r="D20" s="364" t="inlineStr">
        <is>
          <t>start/patrol/stagger</t>
        </is>
      </c>
      <c r="E20" s="364" t="inlineStr">
        <is>
          <t>patrol/alert/dead</t>
        </is>
      </c>
      <c r="F20" s="364" t="inlineStr">
        <is>
          <t>低频脉冲</t>
        </is>
      </c>
      <c r="G20" s="364" t="inlineStr">
        <is>
          <t>轻浮动</t>
        </is>
      </c>
      <c r="H20" s="364" t="inlineStr">
        <is>
          <t>低速</t>
        </is>
      </c>
      <c r="I20" s="364" t="inlineStr">
        <is>
          <t>关闭</t>
        </is>
      </c>
      <c r="J20" s="364" t="inlineStr">
        <is>
          <t>等待目标</t>
        </is>
      </c>
      <c r="K20" s="364" t="inlineStr">
        <is>
          <t>静态轮廓可读</t>
        </is>
      </c>
      <c r="L20" s="364" t="inlineStr">
        <is>
          <t>模块变换</t>
        </is>
      </c>
    </row>
    <row r="21" ht="42" customHeight="1">
      <c r="A21" s="364" t="inlineStr">
        <is>
          <t>顶层</t>
        </is>
      </c>
      <c r="B21" s="364" t="inlineStr">
        <is>
          <t>patrol</t>
        </is>
      </c>
      <c r="C21" s="364" t="inlineStr">
        <is>
          <t>巡逻</t>
        </is>
      </c>
      <c r="D21" s="364" t="inlineStr">
        <is>
          <t>idle/search</t>
        </is>
      </c>
      <c r="E21" s="364" t="inlineStr">
        <is>
          <t>idle/alert/stagger/dead</t>
        </is>
      </c>
      <c r="F21" s="364" t="inlineStr">
        <is>
          <t>低频脉冲</t>
        </is>
      </c>
      <c r="G21" s="364" t="inlineStr">
        <is>
          <t>朝巡逻点</t>
        </is>
      </c>
      <c r="H21" s="364" t="inlineStr">
        <is>
          <t>慢速步态</t>
        </is>
      </c>
      <c r="I21" s="364" t="inlineStr">
        <is>
          <t>关闭</t>
        </is>
      </c>
      <c r="J21" s="364" t="inlineStr">
        <is>
          <t>出生点附近巡逻</t>
        </is>
      </c>
      <c r="K21" s="364" t="inlineStr">
        <is>
          <t>无目标不原地僵住</t>
        </is>
      </c>
      <c r="L21" s="364" t="inlineStr">
        <is>
          <t>CharacterBody3D</t>
        </is>
      </c>
    </row>
    <row r="22" ht="42" customHeight="1">
      <c r="A22" s="364" t="inlineStr">
        <is>
          <t>顶层</t>
        </is>
      </c>
      <c r="B22" s="364" t="inlineStr">
        <is>
          <t>alert</t>
        </is>
      </c>
      <c r="C22" s="364" t="inlineStr">
        <is>
          <t>警觉</t>
        </is>
      </c>
      <c r="D22" s="364" t="inlineStr">
        <is>
          <t>idle/patrol/search</t>
        </is>
      </c>
      <c r="E22" s="364" t="inlineStr">
        <is>
          <t>chase/stagger/dead</t>
        </is>
      </c>
      <c r="F22" s="364" t="inlineStr">
        <is>
          <t>加速</t>
        </is>
      </c>
      <c r="G22" s="364" t="inlineStr">
        <is>
          <t>抬升</t>
        </is>
      </c>
      <c r="H22" s="364" t="inlineStr">
        <is>
          <t>展开</t>
        </is>
      </c>
      <c r="I22" s="364" t="inlineStr">
        <is>
          <t>关闭</t>
        </is>
      </c>
      <c r="J22" s="364" t="inlineStr">
        <is>
          <t>发现玩家</t>
        </is>
      </c>
      <c r="K22" s="364" t="inlineStr">
        <is>
          <t>0.28s响应</t>
        </is>
      </c>
      <c r="L22" s="364" t="inlineStr">
        <is>
          <t>模块变换</t>
        </is>
      </c>
    </row>
    <row r="23" ht="42" customHeight="1">
      <c r="A23" s="364" t="inlineStr">
        <is>
          <t>顶层</t>
        </is>
      </c>
      <c r="B23" s="364" t="inlineStr">
        <is>
          <t>chase</t>
        </is>
      </c>
      <c r="C23" s="364" t="inlineStr">
        <is>
          <t>追击</t>
        </is>
      </c>
      <c r="D23" s="364" t="inlineStr">
        <is>
          <t>alert/attack/stagger</t>
        </is>
      </c>
      <c r="E23" s="364" t="inlineStr">
        <is>
          <t>search/telegraph/stagger/dead</t>
        </is>
      </c>
      <c r="F23" s="364" t="inlineStr">
        <is>
          <t>稳定</t>
        </is>
      </c>
      <c r="G23" s="364" t="inlineStr">
        <is>
          <t>朝目标</t>
        </is>
      </c>
      <c r="H23" s="364" t="inlineStr">
        <is>
          <t>步态</t>
        </is>
      </c>
      <c r="I23" s="364" t="inlineStr">
        <is>
          <t>关闭</t>
        </is>
      </c>
      <c r="J23" s="364" t="inlineStr">
        <is>
          <t>距离控制</t>
        </is>
      </c>
      <c r="K23" s="364" t="inlineStr">
        <is>
          <t>七类速度差</t>
        </is>
      </c>
      <c r="L23" s="364" t="inlineStr">
        <is>
          <t>CharacterBody3D</t>
        </is>
      </c>
    </row>
    <row r="24" ht="42" customHeight="1">
      <c r="A24" s="364" t="inlineStr">
        <is>
          <t>顶层</t>
        </is>
      </c>
      <c r="B24" s="364" t="inlineStr">
        <is>
          <t>search</t>
        </is>
      </c>
      <c r="C24" s="364" t="inlineStr">
        <is>
          <t>搜索</t>
        </is>
      </c>
      <c r="D24" s="364" t="inlineStr">
        <is>
          <t>chase</t>
        </is>
      </c>
      <c r="E24" s="364" t="inlineStr">
        <is>
          <t>patrol/alert/stagger/dead</t>
        </is>
      </c>
      <c r="F24" s="364" t="inlineStr">
        <is>
          <t>渐缓</t>
        </is>
      </c>
      <c r="G24" s="364" t="inlineStr">
        <is>
          <t>朝最后位置</t>
        </is>
      </c>
      <c r="H24" s="364" t="inlineStr">
        <is>
          <t>搜索步态</t>
        </is>
      </c>
      <c r="I24" s="364" t="inlineStr">
        <is>
          <t>搜索提示</t>
        </is>
      </c>
      <c r="J24" s="364" t="inlineStr">
        <is>
          <t>失去视线后搜索</t>
        </is>
      </c>
      <c r="K24" s="364" t="inlineStr">
        <is>
          <t>2.4s后回巡逻</t>
        </is>
      </c>
      <c r="L24" s="364" t="inlineStr">
        <is>
          <t>射线+最后位置</t>
        </is>
      </c>
    </row>
    <row r="25">
      <c r="A25" s="364" t="inlineStr">
        <is>
          <t>顶层</t>
        </is>
      </c>
      <c r="B25" s="364" t="inlineStr">
        <is>
          <t>telegraph</t>
        </is>
      </c>
      <c r="C25" s="364" t="inlineStr">
        <is>
          <t>预警</t>
        </is>
      </c>
      <c r="D25" s="364" t="inlineStr">
        <is>
          <t>chase</t>
        </is>
      </c>
      <c r="E25" s="364" t="inlineStr">
        <is>
          <t>attack/stagger/dead</t>
        </is>
      </c>
      <c r="F25" s="364" t="inlineStr">
        <is>
          <t>高频脉冲</t>
        </is>
      </c>
      <c r="G25" s="364" t="inlineStr">
        <is>
          <t>稳定</t>
        </is>
      </c>
      <c r="H25" s="364" t="inlineStr">
        <is>
          <t>蓄势</t>
        </is>
      </c>
      <c r="I25" s="364" t="inlineStr">
        <is>
          <t>红色预警环</t>
        </is>
      </c>
      <c r="J25" s="364" t="inlineStr">
        <is>
          <t>攻击前摇</t>
        </is>
      </c>
      <c r="K25" s="364" t="inlineStr">
        <is>
          <t>不可省略</t>
        </is>
      </c>
      <c r="L25" s="364" t="inlineStr">
        <is>
          <t>计时状态</t>
        </is>
      </c>
    </row>
    <row r="26">
      <c r="A26" s="364" t="inlineStr">
        <is>
          <t>顶层</t>
        </is>
      </c>
      <c r="B26" s="364" t="inlineStr">
        <is>
          <t>attack</t>
        </is>
      </c>
      <c r="C26" s="364" t="inlineStr">
        <is>
          <t>攻击</t>
        </is>
      </c>
      <c r="D26" s="364" t="inlineStr">
        <is>
          <t>telegraph</t>
        </is>
      </c>
      <c r="E26" s="364" t="inlineStr">
        <is>
          <t>chase/stagger/dead</t>
        </is>
      </c>
      <c r="F26" s="364" t="inlineStr">
        <is>
          <t>峰值</t>
        </is>
      </c>
      <c r="G26" s="364" t="inlineStr">
        <is>
          <t>反冲</t>
        </is>
      </c>
      <c r="H26" s="364" t="inlineStr">
        <is>
          <t>执行</t>
        </is>
      </c>
      <c r="I26" s="364" t="inlineStr">
        <is>
          <t>按攻击类型</t>
        </is>
      </c>
      <c r="J26" s="364" t="inlineStr">
        <is>
          <t>近战/远程/召唤/爆炸</t>
        </is>
      </c>
      <c r="K26" s="364" t="inlineStr">
        <is>
          <t>七类差异</t>
        </is>
      </c>
      <c r="L26" s="364" t="inlineStr">
        <is>
          <t>profile策略</t>
        </is>
      </c>
    </row>
    <row r="27">
      <c r="A27" s="364" t="inlineStr">
        <is>
          <t>顶层</t>
        </is>
      </c>
      <c r="B27" s="364" t="inlineStr">
        <is>
          <t>stagger</t>
        </is>
      </c>
      <c r="C27" s="364" t="inlineStr">
        <is>
          <t>硬直</t>
        </is>
      </c>
      <c r="D27" s="364" t="inlineStr">
        <is>
          <t>任意存活态</t>
        </is>
      </c>
      <c r="E27" s="364" t="inlineStr">
        <is>
          <t>chase/dead</t>
        </is>
      </c>
      <c r="F27" s="364" t="inlineStr">
        <is>
          <t>闪色</t>
        </is>
      </c>
      <c r="G27" s="364" t="inlineStr">
        <is>
          <t>冲击</t>
        </is>
      </c>
      <c r="H27" s="364" t="inlineStr">
        <is>
          <t>暂停</t>
        </is>
      </c>
      <c r="I27" s="364" t="inlineStr">
        <is>
          <t>伤害反馈</t>
        </is>
      </c>
      <c r="J27" s="364" t="inlineStr">
        <is>
          <t>受击窗口</t>
        </is>
      </c>
      <c r="K27" s="364" t="inlineStr">
        <is>
          <t>方向可读</t>
        </is>
      </c>
      <c r="L27" s="364" t="inlineStr">
        <is>
          <t>统一伤害入口</t>
        </is>
      </c>
    </row>
    <row r="28" ht="38" customHeight="1">
      <c r="A28" s="102" t="inlineStr">
        <is>
          <t>顶层</t>
        </is>
      </c>
      <c r="B28" s="102" t="inlineStr">
        <is>
          <t>dead</t>
        </is>
      </c>
      <c r="C28" s="102" t="inlineStr">
        <is>
          <t>死亡</t>
        </is>
      </c>
      <c r="D28" s="102" t="inlineStr">
        <is>
          <t>任意存活态</t>
        </is>
      </c>
      <c r="E28" s="102" t="inlineStr">
        <is>
          <t>无（终态）</t>
        </is>
      </c>
      <c r="F28" s="102" t="inlineStr">
        <is>
          <t>熄灭</t>
        </is>
      </c>
      <c r="G28" s="102" t="inlineStr">
        <is>
          <t>压扁</t>
        </is>
      </c>
      <c r="H28" s="102" t="inlineStr">
        <is>
          <t>停止</t>
        </is>
      </c>
      <c r="I28" s="102" t="inlineStr">
        <is>
          <t>爆散/淡出</t>
        </is>
      </c>
      <c r="J28" s="102" t="inlineStr">
        <is>
          <t>掉落与计数</t>
        </is>
      </c>
      <c r="K28" s="102" t="inlineStr">
        <is>
          <t>不可回存活态</t>
        </is>
      </c>
      <c r="L28" s="102" t="inlineStr">
        <is>
          <t>终态 + Tween</t>
        </is>
      </c>
    </row>
    <row r="29" ht="38" customHeight="1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</row>
    <row r="30" ht="56" customHeight="1">
      <c r="A30" s="364" t="inlineStr">
        <is>
          <t>Player3D 动作覆盖层 × 组件表现（不新增顶层状态）</t>
        </is>
      </c>
    </row>
    <row r="31" ht="56" customHeight="1">
      <c r="A31" s="364" t="inlineStr">
        <is>
          <t>层级｜状态ID｜中文名｜唯一来源｜退出｜Body｜Head｜Hand L（停用）｜Hand（握持）｜Scarf｜VFX/UI｜首版实现</t>
        </is>
      </c>
    </row>
    <row r="32" ht="56" customHeight="1">
      <c r="A32" s="364" t="inlineStr">
        <is>
          <t>叠加</t>
        </is>
      </c>
      <c r="B32" s="364" t="inlineStr">
        <is>
          <t>firing</t>
        </is>
      </c>
      <c r="C32" s="364" t="inlineStr">
        <is>
          <t>射击</t>
        </is>
      </c>
      <c r="D32" s="364" t="inlineStr">
        <is>
          <t>WeaponModel3D.shot_fired</t>
        </is>
      </c>
      <c r="E32" s="364" t="inlineStr">
        <is>
          <t>短时回弹后退出</t>
        </is>
      </c>
      <c r="F32" s="364" t="inlineStr">
        <is>
          <t>前探/压缩/弹性回弹</t>
        </is>
      </c>
      <c r="G32" s="364" t="inlineStr">
        <is>
          <t>小幅前探</t>
        </is>
      </c>
      <c r="H32" s="364" t="inlineStr">
        <is>
          <t>手枪左手不继承后坐；长枪左手托举并小幅刚性回弹</t>
        </is>
      </c>
      <c r="I32" s="364" t="inlineStr">
        <is>
          <t>右手握把跟随WeaponSocket；枪身只沿枪轴平移后坐，local -Z不离开真实弹道；腕部/躯干继续承担枪型差异回弹</t>
        </is>
      </c>
      <c r="J32" s="364" t="inlineStr">
        <is>
          <t>受冲量轻摆</t>
        </is>
      </c>
      <c r="K32" s="364" t="inlineStr">
        <is>
          <t>枪口闪光/后坐</t>
        </is>
      </c>
      <c r="L32" s="364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>
      <c r="A33" s="364" t="inlineStr">
        <is>
          <t>叠加</t>
        </is>
      </c>
      <c r="B33" s="364" t="inlineStr">
        <is>
          <t>charging</t>
        </is>
      </c>
      <c r="C33" s="364" t="inlineStr">
        <is>
          <t>蓄力</t>
        </is>
      </c>
      <c r="D33" s="364" t="inlineStr">
        <is>
          <t>WeaponModel3D.charge_active / charge_ratio</t>
        </is>
      </c>
      <c r="E33" s="364" t="inlineStr">
        <is>
          <t>释放/取消/换枪/死亡</t>
        </is>
      </c>
      <c r="F33" s="364" t="inlineStr">
        <is>
          <t>下压蓄势</t>
        </is>
      </c>
      <c r="G33" s="364" t="inlineStr">
        <is>
          <t>轻微压低</t>
        </is>
      </c>
      <c r="H33" s="364" t="inlineStr">
        <is>
          <t>长枪左手向内压入形成张力；手枪保持自由手</t>
        </is>
      </c>
      <c r="I33" s="364" t="inlineStr">
        <is>
          <t>右手握把与 WeaponSocket 同相蓄势</t>
        </is>
      </c>
      <c r="J33" s="364" t="inlineStr">
        <is>
          <t>低频张力摆动</t>
        </is>
      </c>
      <c r="K33" s="364" t="inlineStr">
        <is>
          <t>紫色能量提示（可选）</t>
        </is>
      </c>
      <c r="L33" s="364" t="inlineStr">
        <is>
          <t>读取真实蓄力进度；WeaponPoseFSM 进入对应 charge 状态；释放后按枪体 profile 回弹</t>
        </is>
      </c>
    </row>
    <row r="34" ht="34" customHeight="1">
      <c r="A34" s="102" t="inlineStr">
        <is>
          <t>叠加</t>
        </is>
      </c>
      <c r="B34" s="102" t="inlineStr">
        <is>
          <t>knockback</t>
        </is>
      </c>
      <c r="C34" s="102" t="inlineStr">
        <is>
          <t>受击击飞</t>
        </is>
      </c>
      <c r="D34" s="102" t="inlineStr">
        <is>
          <t>Player3D 命中方向/强度/时长</t>
        </is>
      </c>
      <c r="E34" s="102" t="inlineStr">
        <is>
          <t>冲量归零或死亡</t>
        </is>
      </c>
      <c r="F34" s="102" t="inlineStr">
        <is>
          <t>反向位移/压缩/弹回</t>
        </is>
      </c>
      <c r="G34" s="102" t="inlineStr">
        <is>
          <t>夸张后仰甩头/回正</t>
        </is>
      </c>
      <c r="H34" s="102" t="inlineStr">
        <is>
          <t>手枪自由左手外甩；长枪左手回护木</t>
        </is>
      </c>
      <c r="I34" s="102" t="inlineStr">
        <is>
          <t>右手与 WeaponSocket 同相后退/回正</t>
        </is>
      </c>
      <c r="J34" s="102" t="inlineStr">
        <is>
          <t>滞后甩动</t>
        </is>
      </c>
      <c r="K34" s="102" t="inlineStr">
        <is>
          <t>红闪/短轨迹</t>
        </is>
      </c>
      <c r="L34" s="102" t="inlineStr">
        <is>
          <t>hurt 消费递减XZ冲量；双耳/双脚/双手分层过冲，不新增顶层状态</t>
        </is>
      </c>
    </row>
    <row r="35" ht="34" customHeight="1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</row>
    <row r="36" ht="34" customHeight="1">
      <c r="A36" s="364" t="inlineStr">
        <is>
          <t>Player3D DIY 外观槽 × 动态继承（不影响八态/玩法）</t>
        </is>
      </c>
    </row>
    <row r="37">
      <c r="A37" s="364" t="inlineStr">
        <is>
          <t>槽位｜候选变体｜父组件｜移动｜射击/蓄力｜受击/击飞｜换弹｜死亡｜挂点契约｜验收｜复用范围｜首版实现</t>
        </is>
      </c>
    </row>
    <row r="38" ht="38" customHeight="1">
      <c r="A38" s="364" t="inlineStr">
        <is>
          <t>body/head/hand/feet/hat/glasses</t>
        </is>
      </c>
      <c r="B38" s="364" t="inlineStr">
        <is>
          <t>5+5+5+5+4+4</t>
        </is>
      </c>
      <c r="C38" s="364" t="inlineStr">
        <is>
          <t>BunnyRig Body/Head/Hands/Feet/Wearables</t>
        </is>
      </c>
      <c r="D38" s="364" t="inlineStr">
        <is>
          <t>身体弹性+双脚交替+双耳摆动</t>
        </is>
      </c>
      <c r="E38" s="364" t="inlineStr">
        <is>
          <t>按武器类型单/双手后坐；头前探</t>
        </is>
      </c>
      <c r="F38" s="364" t="inlineStr">
        <is>
          <t>整体后仰/脚随根回正</t>
        </is>
      </c>
      <c r="G38" s="364" t="inlineStr">
        <is>
          <t>主握手+WeaponSocket同相；长枪左手托举</t>
        </is>
      </c>
      <c r="H38" s="364" t="inlineStr">
        <is>
          <t>全部模块随根倾倒</t>
        </is>
      </c>
      <c r="I38" s="364" t="inlineStr">
        <is>
          <t>LowerBodySocket随BodyJoint；武器握持按枪型</t>
        </is>
      </c>
      <c r="J38" s="364" t="inlineStr">
        <is>
          <t>可见GLB材质+双耳+双手+双脚+八态覆盖</t>
        </is>
      </c>
      <c r="K38" s="364" t="inlineStr">
        <is>
          <t>3D玩家/预览场</t>
        </is>
      </c>
      <c r="L38" s="364" t="inlineStr">
        <is>
          <t>Bunny GLB材质/程序挂点；Player3D.set_avatar_customization</t>
        </is>
      </c>
    </row>
    <row r="39" ht="38" customHeight="1">
      <c r="A39" s="364" t="n"/>
      <c r="B39" s="364" t="n"/>
      <c r="C39" s="364" t="n"/>
      <c r="D39" s="364" t="n"/>
      <c r="E39" s="364" t="n"/>
      <c r="F39" s="364" t="n"/>
      <c r="G39" s="364" t="n"/>
      <c r="H39" s="364" t="n"/>
      <c r="I39" s="364" t="n"/>
      <c r="J39" s="364" t="n"/>
      <c r="K39" s="364" t="n"/>
      <c r="L39" s="364" t="n"/>
    </row>
    <row r="40" ht="38" customHeight="1">
      <c r="A40" s="364" t="inlineStr">
        <is>
          <t>v0.1 兔子组件与动作归属（不新增状态）</t>
        </is>
      </c>
    </row>
    <row r="41">
      <c r="A41" s="364" t="inlineStr">
        <is>
          <t>父模块｜子组件｜节点数量｜Idle｜Moving｜Dashing｜Hurt/Knockback｜Reload/Fire｜Dead｜图形语言｜禁止事项｜验收</t>
        </is>
      </c>
    </row>
    <row r="42">
      <c r="A42" s="364" t="inlineStr">
        <is>
          <t>Head / Body / Hands / Feet</t>
        </is>
      </c>
      <c r="B42" s="364" t="inlineStr">
        <is>
          <t>Ears / LowerBodySocket / HandL / HandR / FootL / FootR</t>
        </is>
      </c>
      <c r="C42" s="364" t="inlineStr">
        <is>
          <t>2 / 1 / 1 / 1 / 1 / 1</t>
        </is>
      </c>
      <c r="D42" s="364" t="inlineStr">
        <is>
          <t>双耳错相呼吸；下身挂点随Body</t>
        </is>
      </c>
      <c r="E42" s="364" t="inlineStr">
        <is>
          <t>双脚交替；双手按武器类型；挂点随Body</t>
        </is>
      </c>
      <c r="F42" s="364" t="inlineStr">
        <is>
          <t>随VisualRoot压缩翻滚</t>
        </is>
      </c>
      <c r="G42" s="364" t="inlineStr">
        <is>
          <t>手/耳/脚分别回弹；挂点继承Body</t>
        </is>
      </c>
      <c r="H42" s="364" t="inlineStr">
        <is>
          <t>手枪右手/长枪双手；下身挂件不参与枪姿</t>
        </is>
      </c>
      <c r="I42" s="364" t="inlineStr">
        <is>
          <t>全部随VisualRoot倾倒</t>
        </is>
      </c>
      <c r="J42" s="364" t="inlineStr">
        <is>
          <t>兔子刚性节点骨架；GLB分件</t>
        </is>
      </c>
      <c r="K42" s="364" t="inlineStr">
        <is>
          <t>禁止把下身附件烘焙进Body或加入玩法碰撞</t>
        </is>
      </c>
      <c r="L42" s="364" t="inlineStr">
        <is>
          <t>节点路径+材质换色+步态+持枪+LowerBodySocket专项验证</t>
        </is>
      </c>
    </row>
    <row r="44">
      <c r="A44" t="inlineStr">
        <is>
          <t>Player3D 近战动作子状态机 × 三段上下文（不新增顶层状态）</t>
        </is>
      </c>
    </row>
    <row r="45">
      <c r="A45" t="inlineStr">
        <is>
          <t>层级｜状态ID｜中文名｜唯一来源｜退出｜Body｜Head｜Hand L｜Hand R / WeaponSocket｜Scarf｜VFX/UI｜首版实现</t>
        </is>
      </c>
    </row>
    <row r="46">
      <c r="A46" t="inlineStr">
        <is>
          <t>动作子状态</t>
        </is>
      </c>
      <c r="B46" t="inlineStr">
        <is>
          <t>ready</t>
        </is>
      </c>
      <c r="C46" t="inlineStr">
        <is>
          <t>近战就绪</t>
        </is>
      </c>
      <c r="D46" t="inlineStr">
        <is>
          <t>PlayerMeleeCombat3D</t>
        </is>
      </c>
      <c r="E46" t="inlineStr">
        <is>
          <t>主攻击→windup</t>
        </is>
      </c>
      <c r="F46" t="inlineStr">
        <is>
          <t>保持当前idle/moving</t>
        </is>
      </c>
      <c r="G46" t="inlineStr">
        <is>
          <t>保持瞄准</t>
        </is>
      </c>
      <c r="H46" t="inlineStr">
        <is>
          <t>双手重型握持</t>
        </is>
      </c>
      <c r="I46" t="inlineStr">
        <is>
          <t>WeaponSocket稳定持械</t>
        </is>
      </c>
      <c r="J46" t="inlineStr">
        <is>
          <t>低频随动</t>
        </is>
      </c>
      <c r="K46" t="inlineStr">
        <is>
          <t>HUD显示近战·三段</t>
        </is>
      </c>
      <c r="L46" t="inlineStr">
        <is>
          <t>近战动作机初态/复位态；连段=-1；无命中许可</t>
        </is>
      </c>
    </row>
    <row r="47">
      <c r="A47" t="inlineStr">
        <is>
          <t>动作子状态</t>
        </is>
      </c>
      <c r="B47" t="inlineStr">
        <is>
          <t>windup</t>
        </is>
      </c>
      <c r="C47" t="inlineStr">
        <is>
          <t>挥砍前摇</t>
        </is>
      </c>
      <c r="D47" t="inlineStr">
        <is>
          <t>ready或连段recovery</t>
        </is>
      </c>
      <c r="E47" t="inlineStr">
        <is>
          <t>计时结束→active；非法顶层→ready</t>
        </is>
      </c>
      <c r="F47" t="inlineStr">
        <is>
          <t>侧拧/下压蓄势</t>
        </is>
      </c>
      <c r="G47" t="inlineStr">
        <is>
          <t>随躯干反向预备</t>
        </is>
      </c>
      <c r="H47" t="inlineStr">
        <is>
          <t>前手锁住长柄</t>
        </is>
      </c>
      <c r="I47" t="inlineStr">
        <is>
          <t>后手带WeaponSocket蓄势</t>
        </is>
      </c>
      <c r="J47" t="inlineStr">
        <is>
          <t>滞后拉伸</t>
        </is>
      </c>
      <c r="K47" t="inlineStr">
        <is>
          <t>动作阶段/连段编号</t>
        </is>
      </c>
      <c r="L47" t="inlineStr">
        <is>
          <t>三段分别为左横斩、右回斩、过顶重劈前摇；输入可缓存下一段</t>
        </is>
      </c>
    </row>
    <row r="48">
      <c r="A48" t="inlineStr">
        <is>
          <t>动作子状态</t>
        </is>
      </c>
      <c r="B48" t="inlineStr">
        <is>
          <t>active</t>
        </is>
      </c>
      <c r="C48" t="inlineStr">
        <is>
          <t>命中窗口</t>
        </is>
      </c>
      <c r="D48" t="inlineStr">
        <is>
          <t>windup计时完成</t>
        </is>
      </c>
      <c r="E48" t="inlineStr">
        <is>
          <t>计时结束→recovery；非法顶层→ready</t>
        </is>
      </c>
      <c r="F48" t="inlineStr">
        <is>
          <t>跨侧扭转/第三段前压</t>
        </is>
      </c>
      <c r="G48" t="inlineStr">
        <is>
          <t>跟随挥砍方向</t>
        </is>
      </c>
      <c r="H48" t="inlineStr">
        <is>
          <t>双手沿长柄同步扫过</t>
        </is>
      </c>
      <c r="I48" t="inlineStr">
        <is>
          <t>WeaponSocket执行横扫或过顶弧</t>
        </is>
      </c>
      <c r="J48" t="inlineStr">
        <is>
          <t>受冲量甩动</t>
        </is>
      </c>
      <c r="K48" t="inlineStr">
        <is>
          <t>池化slash弧光/逐目标melee_impact/伤害飘字/挥砍与冲击音频</t>
        </is>
      </c>
      <c r="L48" t="inlineStr">
        <is>
          <t>进入时唯一一次扇区查询；每段一弧光一挥砍音；逐目标爆点，多目标冲击主音去重；距离+夹角+墙体+目标去重</t>
        </is>
      </c>
    </row>
    <row r="49">
      <c r="A49" t="inlineStr">
        <is>
          <t>动作子状态</t>
        </is>
      </c>
      <c r="B49" t="inlineStr">
        <is>
          <t>recovery</t>
        </is>
      </c>
      <c r="C49" t="inlineStr">
        <is>
          <t>挥砍后摇</t>
        </is>
      </c>
      <c r="D49" t="inlineStr">
        <is>
          <t>active计时完成</t>
        </is>
      </c>
      <c r="E49" t="inlineStr">
        <is>
          <t>有缓存→下一段windup；否则→ready</t>
        </is>
      </c>
      <c r="F49" t="inlineStr">
        <is>
          <t>重心回收</t>
        </is>
      </c>
      <c r="G49" t="inlineStr">
        <is>
          <t>回正</t>
        </is>
      </c>
      <c r="H49" t="inlineStr">
        <is>
          <t>双手恢复握持间距</t>
        </is>
      </c>
      <c r="I49" t="inlineStr">
        <is>
          <t>WeaponSocket回到持械位</t>
        </is>
      </c>
      <c r="J49" t="inlineStr">
        <is>
          <t>余振衰减</t>
        </is>
      </c>
      <c r="K49" t="inlineStr">
        <is>
          <t>连段缓存提示</t>
        </is>
      </c>
      <c r="L49" t="inlineStr">
        <is>
          <t>第三段结束强制复位；受伤/冲刺/坠落/锁定/死亡/换武器全部取消</t>
        </is>
      </c>
    </row>
  </sheetData>
  <mergeCells count="11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18:L18"/>
    <mergeCell ref="A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36" customWidth="1" min="4" max="4"/>
    <col width="52" customWidth="1" min="5" max="5"/>
    <col width="34" customWidth="1" min="6" max="6"/>
    <col width="18" customWidth="1" min="8" max="8"/>
    <col width="52" customWidth="1" min="9" max="9"/>
    <col width="20" customWidth="1" min="10" max="10"/>
  </cols>
  <sheetData>
    <row r="1" ht="25" customHeight="1">
      <c r="A1" s="3" t="inlineStr">
        <is>
          <t>分类、前缀与目录</t>
        </is>
      </c>
    </row>
    <row r="2" ht="12" customHeight="1"/>
    <row r="3" ht="23" customHeight="1">
      <c r="A3" s="6" t="inlineStr">
        <is>
          <t>新增资产必须从本表选择分类；如果找不到子类，先扩展本表再建文件，禁止临时随意命名</t>
        </is>
      </c>
    </row>
    <row r="4">
      <c r="H4" s="292" t="inlineStr">
        <is>
          <t>3D Prefab分类与分页</t>
        </is>
      </c>
    </row>
    <row r="5" ht="32" customHeight="1">
      <c r="A5" s="298" t="inlineStr">
        <is>
          <t>前缀</t>
        </is>
      </c>
      <c r="B5" s="299" t="inlineStr">
        <is>
          <t>大类</t>
        </is>
      </c>
      <c r="C5" s="299" t="inlineStr">
        <is>
          <t>推荐子类</t>
        </is>
      </c>
      <c r="D5" s="299" t="inlineStr">
        <is>
          <t>标准目录</t>
        </is>
      </c>
      <c r="E5" s="299" t="inlineStr">
        <is>
          <t>文件名模式</t>
        </is>
      </c>
      <c r="F5" s="300" t="inlineStr">
        <is>
          <t>AssetID 示例</t>
        </is>
      </c>
      <c r="H5" s="273" t="inlineStr">
        <is>
          <t>Prefab分类</t>
        </is>
      </c>
      <c r="I5" s="273" t="inlineStr">
        <is>
          <t>归类标准</t>
        </is>
      </c>
      <c r="J5" s="273" t="inlineStr">
        <is>
          <t>分页</t>
        </is>
      </c>
    </row>
    <row r="6" ht="34" customHeight="1">
      <c r="A6" s="301" t="inlineStr">
        <is>
          <t>CHR</t>
        </is>
      </c>
      <c r="B6" s="301" t="inlineStr">
        <is>
          <t>角色</t>
        </is>
      </c>
      <c r="C6" s="301" t="inlineStr">
        <is>
          <t>player / npc / companion</t>
        </is>
      </c>
      <c r="D6" s="301" t="inlineStr">
        <is>
          <t>assets/art/characters/</t>
        </is>
      </c>
      <c r="E6" s="301" t="inlineStr">
        <is>
          <t>chr_{role}_{name}{nn}_{component}_{view}_v{nnn}.{png|glb|tscn}</t>
        </is>
      </c>
      <c r="F6" s="301" t="inlineStr">
        <is>
          <t>CHR-PLY-CAPSULE01-HEAD-SIDE</t>
        </is>
      </c>
      <c r="H6" s="276" t="inlineStr">
        <is>
          <t>场景通用组件</t>
        </is>
      </c>
      <c r="I6" s="277" t="inlineStr">
        <is>
          <t>关卡结构、地板、墙体、走廊、楼梯、楼板与环境套件</t>
        </is>
      </c>
      <c r="J6" s="278" t="inlineStr">
        <is>
          <t>3D-场景通用</t>
        </is>
      </c>
    </row>
    <row r="7" ht="34" customHeight="1">
      <c r="A7" s="138" t="inlineStr">
        <is>
          <t>ENM</t>
        </is>
      </c>
      <c r="B7" s="138" t="inlineStr">
        <is>
          <t>敌人</t>
        </is>
      </c>
      <c r="C7" s="138" t="inlineStr">
        <is>
          <t>normal / elite / boss</t>
        </is>
      </c>
      <c r="D7" s="138" t="inlineStr">
        <is>
          <t>assets/art/enemies/</t>
        </is>
      </c>
      <c r="E7" s="138" t="inlineStr">
        <is>
          <t>enm_{archetype}_{name}{nn}_{part}_{view}_v{nnn}.{png|glb|tscn}</t>
        </is>
      </c>
      <c r="F7" s="138" t="inlineStr">
        <is>
          <t>ENM-MELEE-FUNGBOAR01-BODY</t>
        </is>
      </c>
      <c r="H7" s="279" t="inlineStr">
        <is>
          <t>设施组件</t>
        </is>
      </c>
      <c r="I7" s="280" t="inlineStr">
        <is>
          <t>门扇、灯具、开关、终端、工作台、储物与服务设施</t>
        </is>
      </c>
      <c r="J7" s="281" t="inlineStr">
        <is>
          <t>3D-设施</t>
        </is>
      </c>
    </row>
    <row r="8" ht="34" customHeight="1">
      <c r="A8" s="138" t="inlineStr">
        <is>
          <t>WPN</t>
        </is>
      </c>
      <c r="B8" s="138" t="inlineStr">
        <is>
          <t>武器</t>
        </is>
      </c>
      <c r="C8" s="138" t="inlineStr">
        <is>
          <t>gunbody / melee / bullet / attachment</t>
        </is>
      </c>
      <c r="D8" s="138" t="inlineStr">
        <is>
          <t>assets/art/weapons/</t>
        </is>
      </c>
      <c r="E8" s="138" t="inlineStr">
        <is>
          <t>wpn_{family}_{logic_id}_{view}_v{nnn}.{png|glb|tscn}</t>
        </is>
      </c>
      <c r="F8" s="138" t="inlineStr">
        <is>
          <t>WPN-MELEE-BP-GREATBLADE</t>
        </is>
      </c>
      <c r="H8" s="279" t="inlineStr">
        <is>
          <t>道具</t>
        </is>
      </c>
      <c r="I8" s="280" t="inlineStr">
        <is>
          <t>桌椅、家具、容器和摆放装饰物</t>
        </is>
      </c>
      <c r="J8" s="281" t="inlineStr">
        <is>
          <t>3D-道具</t>
        </is>
      </c>
    </row>
    <row r="9" ht="34" customHeight="1">
      <c r="A9" s="138" t="inlineStr">
        <is>
          <t>ITM</t>
        </is>
      </c>
      <c r="B9" s="138" t="inlineStr">
        <is>
          <t>道具</t>
        </is>
      </c>
      <c r="C9" s="138" t="inlineStr">
        <is>
          <t>pickup / consumable / key / loot</t>
        </is>
      </c>
      <c r="D9" s="138" t="inlineStr">
        <is>
          <t>assets/art/items/</t>
        </is>
      </c>
      <c r="E9" s="138" t="inlineStr">
        <is>
          <t>itm_{type}_{logic_id}_{state}_v{nnn}.png</t>
        </is>
      </c>
      <c r="F9" s="138" t="inlineStr">
        <is>
          <t>ITM-KEY-ROOM-DEFAULT</t>
        </is>
      </c>
      <c r="H9" s="279" t="inlineStr">
        <is>
          <t>角色</t>
        </is>
      </c>
      <c r="I9" s="280" t="inlineStr">
        <is>
          <t>玩家、NPC与角色表现/玩法根</t>
        </is>
      </c>
      <c r="J9" s="281" t="inlineStr">
        <is>
          <t>3D-角色</t>
        </is>
      </c>
    </row>
    <row r="10" ht="34" customHeight="1">
      <c r="A10" s="138" t="inlineStr">
        <is>
          <t>ENV</t>
        </is>
      </c>
      <c r="B10" s="138" t="inlineStr">
        <is>
          <t>场景</t>
        </is>
      </c>
      <c r="C10" s="138" t="inlineStr">
        <is>
          <t>biome / room / environment_kit_3d / environment_module_3d / floor / wall / door / stair</t>
        </is>
      </c>
      <c r="D10" s="138" t="inlineStr">
        <is>
          <t>assets/art/environments/&lt;kit&gt;/{source,components,runtime}/</t>
        </is>
      </c>
      <c r="E10" s="138" t="inlineStr">
        <is>
          <t>env_{set}_{piece}_{source|visual_top3d|root_top3d}_v{nnn}.{blend|glb|tres|tscn}</t>
        </is>
      </c>
      <c r="F10" s="138" t="inlineStr">
        <is>
          <t>ENV-BASE99-WALL-PLAIN-5X9</t>
        </is>
      </c>
      <c r="H10" s="279" t="inlineStr">
        <is>
          <t>敌人</t>
        </is>
      </c>
      <c r="I10" s="280" t="inlineStr">
        <is>
          <t>普通敌人、精英、Boss与敌人共用根</t>
        </is>
      </c>
      <c r="J10" s="281" t="inlineStr">
        <is>
          <t>3D-敌人</t>
        </is>
      </c>
    </row>
    <row r="11" ht="34" customHeight="1">
      <c r="A11" s="138" t="inlineStr">
        <is>
          <t>PRP</t>
        </is>
      </c>
      <c r="B11" s="138" t="inlineStr">
        <is>
          <t>场景道具</t>
        </is>
      </c>
      <c r="C11" s="138" t="inlineStr">
        <is>
          <t>facility / container / door / debris / light / switch</t>
        </is>
      </c>
      <c r="D11" s="138" t="inlineStr">
        <is>
          <t>assets/art/props/</t>
        </is>
      </c>
      <c r="E11" s="138" t="inlineStr">
        <is>
          <t>prp_{set}_{logic_id}_{state}_v{nnn}.{png|glb|tscn}</t>
        </is>
      </c>
      <c r="F11" s="138" t="inlineStr">
        <is>
          <t>PRP-BASE-WORKBENCH-IDLE</t>
        </is>
      </c>
      <c r="H11" s="279" t="inlineStr">
        <is>
          <t>武器</t>
        </is>
      </c>
      <c r="I11" s="280" t="inlineStr">
        <is>
          <t>枪械、近战武器与武器装配根</t>
        </is>
      </c>
      <c r="J11" s="281" t="inlineStr">
        <is>
          <t>3D-武器</t>
        </is>
      </c>
    </row>
    <row r="12" ht="34" customHeight="1">
      <c r="A12" s="138" t="inlineStr">
        <is>
          <t>UI</t>
        </is>
      </c>
      <c r="B12" s="138" t="inlineStr">
        <is>
          <t>UI</t>
        </is>
      </c>
      <c r="C12" s="138" t="inlineStr">
        <is>
          <t>screen / panel / icon / cursor</t>
        </is>
      </c>
      <c r="D12" s="138" t="inlineStr">
        <is>
          <t>assets/art/ui/</t>
        </is>
      </c>
      <c r="E12" s="138" t="inlineStr">
        <is>
          <t>ui_{screen}_{element}_{state}_v{nnn}.png</t>
        </is>
      </c>
      <c r="F12" s="138" t="inlineStr">
        <is>
          <t>UI-HUD-HP-CRITICAL</t>
        </is>
      </c>
      <c r="H12" s="279" t="inlineStr">
        <is>
          <t>物品</t>
        </is>
      </c>
      <c r="I12" s="280" t="inlineStr">
        <is>
          <t>拥有独立PackedScene的拾取物、消耗品、钥匙和掉落物</t>
        </is>
      </c>
      <c r="J12" s="281" t="inlineStr">
        <is>
          <t>3D-物品</t>
        </is>
      </c>
    </row>
    <row r="13" ht="34" customHeight="1">
      <c r="A13" s="138" t="inlineStr">
        <is>
          <t>VFX</t>
        </is>
      </c>
      <c r="B13" s="138" t="inlineStr">
        <is>
          <t>特效</t>
        </is>
      </c>
      <c r="C13" s="138" t="inlineStr">
        <is>
          <t>combat / status / environment</t>
        </is>
      </c>
      <c r="D13" s="138" t="inlineStr">
        <is>
          <t>assets/art/vfx/</t>
        </is>
      </c>
      <c r="E13" s="138" t="inlineStr">
        <is>
          <t>vfx_{system}_{effect}_{variant}_v{nnn}.{png|glb|tscn}</t>
        </is>
      </c>
      <c r="F13" s="138" t="inlineStr">
        <is>
          <t>VFX-PLAYER-DASH-TRAIL-A</t>
        </is>
      </c>
      <c r="H13" s="279" t="inlineStr">
        <is>
          <t>特效</t>
        </is>
      </c>
      <c r="I13" s="280" t="inlineStr">
        <is>
          <t>可独立实例化的3D战斗、环境和可见性特效</t>
        </is>
      </c>
      <c r="J13" s="281" t="inlineStr">
        <is>
          <t>3D-特效</t>
        </is>
      </c>
    </row>
    <row r="14" ht="34" customHeight="1">
      <c r="A14" s="138" t="inlineStr">
        <is>
          <t>AUD</t>
        </is>
      </c>
      <c r="B14" s="138" t="inlineStr">
        <is>
          <t>音频</t>
        </is>
      </c>
      <c r="C14" s="138" t="inlineStr">
        <is>
          <t>bgm / sfx / ambience / ui</t>
        </is>
      </c>
      <c r="D14" s="138" t="inlineStr">
        <is>
          <t>src/assets/audio/sfx/</t>
        </is>
      </c>
      <c r="E14" s="138" t="inlineStr">
        <is>
          <t>{event}_v{nnn}.{ogg|wav}</t>
        </is>
      </c>
      <c r="F14" s="138" t="inlineStr">
        <is>
          <t>AUD-SFX-PLAYER-DASH</t>
        </is>
      </c>
      <c r="H14" s="293" t="inlineStr">
        <is>
          <t>其他</t>
        </is>
      </c>
      <c r="I14" s="294" t="inlineStr">
        <is>
          <t>无法归入以上分类的独立3D Prefab</t>
        </is>
      </c>
      <c r="J14" s="295" t="inlineStr">
        <is>
          <t>3D-其他</t>
        </is>
      </c>
    </row>
    <row r="15" ht="48" customHeight="1">
      <c r="A15" s="349" t="inlineStr">
        <is>
          <t>BPK</t>
        </is>
      </c>
      <c r="B15" s="349" t="inlineStr">
        <is>
          <t>基地资产包</t>
        </is>
      </c>
      <c r="C15" s="349" t="inlineStr">
        <is>
          <t>建筑结构包 / 地面系统包 / 东侧固定设施包 / 二楼阁楼设施包 / 阁楼下方固定设施包 / 仓库设施包 / 环境支持包</t>
        </is>
      </c>
      <c r="D15" s="349" t="inlineStr">
        <is>
          <t>source/art/blender/base_facility_layout/component_packages_v017/&lt;category&gt;/&lt;asset_slug&gt;/</t>
        </is>
      </c>
      <c r="E15" s="349" t="inlineStr">
        <is>
          <t>bpk_base99_{asset_slug}_visual_top3d_v001.{blend|glb|json}</t>
        </is>
      </c>
      <c r="F15" s="349" t="inlineStr">
        <is>
          <t>BPK-BASE99-ROLLUP-MAIN-DOOR</t>
        </is>
      </c>
      <c r="G15" s="349" t="n"/>
      <c r="H15" s="349" t="inlineStr">
        <is>
          <t>基地资产包</t>
        </is>
      </c>
      <c r="I15" s="349" t="inlineStr">
        <is>
          <t>基地99层可独立导入、替换、导出或维护的 Blender 设施包；实体灯随所属设施包</t>
        </is>
      </c>
      <c r="J15" s="349" t="inlineStr">
        <is>
          <t>3D-设施</t>
        </is>
      </c>
    </row>
  </sheetData>
  <mergeCells count="3">
    <mergeCell ref="A3:F3"/>
    <mergeCell ref="A1:F2"/>
    <mergeCell ref="H4:J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34" customWidth="1" min="4" max="4"/>
    <col width="32" customWidth="1" min="5" max="5"/>
    <col width="28" customWidth="1" min="6" max="6"/>
    <col width="44" customWidth="1" min="7" max="7"/>
    <col width="12" customWidth="1" min="8" max="8"/>
  </cols>
  <sheetData>
    <row r="1" ht="25" customHeight="1">
      <c r="A1" s="3" t="inlineStr">
        <is>
          <t>新增、变体与弃用流程</t>
        </is>
      </c>
    </row>
    <row r="2" ht="12" customHeight="1"/>
    <row r="3" ht="23" customHeight="1">
      <c r="A3" s="6" t="inlineStr">
        <is>
          <t>目标：同一个逻辑对象只有一个稳定 AssetID；组件、状态和版本通过字段表达，不靠复制文件夹</t>
        </is>
      </c>
    </row>
    <row r="5" ht="32" customHeight="1">
      <c r="A5" s="298" t="inlineStr">
        <is>
          <t>步骤</t>
        </is>
      </c>
      <c r="B5" s="299" t="inlineStr">
        <is>
          <t>动作</t>
        </is>
      </c>
      <c r="C5" s="299" t="inlineStr">
        <is>
          <t>必须查询</t>
        </is>
      </c>
      <c r="D5" s="299" t="inlineStr">
        <is>
          <t>通过标准</t>
        </is>
      </c>
      <c r="E5" s="299" t="inlineStr">
        <is>
          <t>禁止事项</t>
        </is>
      </c>
      <c r="F5" s="299" t="inlineStr">
        <is>
          <t>示例输入</t>
        </is>
      </c>
      <c r="G5" s="299" t="inlineStr">
        <is>
          <t>示例输出</t>
        </is>
      </c>
      <c r="H5" s="300" t="inlineStr">
        <is>
          <t>责任字段</t>
        </is>
      </c>
    </row>
    <row r="6">
      <c r="A6" s="301" t="n">
        <v>1</v>
      </c>
      <c r="B6" s="301" t="inlineStr">
        <is>
          <t>需求归一化</t>
        </is>
      </c>
      <c r="C6" s="301" t="inlineStr">
        <is>
          <t>逻辑ID、中文名、别名</t>
        </is>
      </c>
      <c r="D6" s="301" t="inlineStr">
        <is>
          <t>能写出唯一用途与复用范围</t>
        </is>
      </c>
      <c r="E6" s="301" t="inlineStr">
        <is>
          <t>只凭外观起名</t>
        </is>
      </c>
      <c r="F6" s="301" t="inlineStr">
        <is>
          <t>新的玩家右手</t>
        </is>
      </c>
      <c r="G6" s="301" t="inlineStr">
        <is>
          <t>logic=player_capsule01; slot=hand_r</t>
        </is>
      </c>
      <c r="H6" s="301" t="inlineStr">
        <is>
          <t>E/F/Q</t>
        </is>
      </c>
    </row>
    <row r="7">
      <c r="A7" s="138" t="n">
        <v>2</v>
      </c>
      <c r="B7" s="138" t="inlineStr">
        <is>
          <t>四重查重</t>
        </is>
      </c>
      <c r="C7" s="138" t="inlineStr">
        <is>
          <t>AssetID、查重键、文件名、SHA-256</t>
        </is>
      </c>
      <c r="D7" s="138" t="inlineStr">
        <is>
          <t>S列=唯一；无同哈希</t>
        </is>
      </c>
      <c r="E7" s="138" t="inlineStr">
        <is>
          <t>看到不同文件名就重做</t>
        </is>
      </c>
      <c r="F7" s="138" t="inlineStr">
        <is>
          <t>hand_r / 主手 / 枪手</t>
        </is>
      </c>
      <c r="G7" s="138" t="inlineStr">
        <is>
          <t>复用 CHR-PLY-CAPSULE01-HAND-R-SIDE</t>
        </is>
      </c>
      <c r="H7" s="138" t="inlineStr">
        <is>
          <t>A/R/S/T</t>
        </is>
      </c>
    </row>
    <row r="8">
      <c r="A8" s="138" t="n">
        <v>3</v>
      </c>
      <c r="B8" s="138" t="inlineStr">
        <is>
          <t>分类与父子关系</t>
        </is>
      </c>
      <c r="C8" s="138" t="inlineStr">
        <is>
          <t>分类码表、变体父ID</t>
        </is>
      </c>
      <c r="D8" s="138" t="inlineStr">
        <is>
          <t>只有一个大类；变体指向父ID</t>
        </is>
      </c>
      <c r="E8" s="138" t="inlineStr">
        <is>
          <t>跨目录复制同图</t>
        </is>
      </c>
      <c r="F8" s="138" t="inlineStr">
        <is>
          <t>受伤版头壳</t>
        </is>
      </c>
      <c r="G8" s="138" t="inlineStr">
        <is>
          <t>同 AssetID + state=hurt 或父子变体</t>
        </is>
      </c>
      <c r="H8" s="138" t="inlineStr">
        <is>
          <t>C/D/G/I</t>
        </is>
      </c>
    </row>
    <row r="9">
      <c r="A9" s="138" t="n">
        <v>4</v>
      </c>
      <c r="B9" s="138" t="inlineStr">
        <is>
          <t>命名</t>
        </is>
      </c>
      <c r="C9" s="138" t="inlineStr">
        <is>
          <t>前缀、逻辑ID、组件、视角、版本</t>
        </is>
      </c>
      <c r="D9" s="138" t="inlineStr">
        <is>
          <t>小写 snake_case 文件名；ID稳定</t>
        </is>
      </c>
      <c r="E9" s="138" t="inlineStr">
        <is>
          <t>空格/中文文件名/final_final</t>
        </is>
      </c>
      <c r="F9" s="138" t="inlineStr">
        <is>
          <t>玩家头壳 v2</t>
        </is>
      </c>
      <c r="G9" s="138" t="inlineStr">
        <is>
          <t>chr_player_capsule01_head_side_v002.png</t>
        </is>
      </c>
      <c r="H9" s="138" t="inlineStr">
        <is>
          <t>A/M/O</t>
        </is>
      </c>
    </row>
    <row r="10">
      <c r="A10" s="138" t="n">
        <v>5</v>
      </c>
      <c r="B10" s="138" t="inlineStr">
        <is>
          <t>组件制作</t>
        </is>
      </c>
      <c r="C10" s="138" t="inlineStr">
        <is>
          <t>角色/房间/家具尺寸/枪械/怪物/灯具共用根</t>
        </is>
      </c>
      <c r="D10" s="138" t="inlineStr">
        <is>
          <t>组件独立；3D用配置与父子变体</t>
        </is>
      </c>
      <c r="E10" s="138" t="inlineStr">
        <is>
          <t>关卡内复制枪表/房间/怪物根</t>
        </is>
      </c>
      <c r="F10" s="138" t="inlineStr">
        <is>
          <t>large可搜索柜</t>
        </is>
      </c>
      <c r="G10" s="138" t="inlineStr">
        <is>
          <t>seed/暗室开关/遮挡视野/七怪/59组合/撤离 PASS</t>
        </is>
      </c>
      <c r="H10" s="138" t="inlineStr">
        <is>
          <t>F/N/O/X</t>
        </is>
      </c>
    </row>
    <row r="11">
      <c r="A11" s="138" t="n">
        <v>6</v>
      </c>
      <c r="B11" s="138" t="inlineStr">
        <is>
          <t>验收</t>
        </is>
      </c>
      <c r="C11" s="138" t="inlineStr">
        <is>
          <t>透明边缘或3D灯光/雾/碰撞/状态/玩法逻辑/节点预算</t>
        </is>
      </c>
      <c r="D11" s="138" t="inlineStr">
        <is>
          <t>真实游戏镜头 + 玩法专项 + 性能专项通过</t>
        </is>
      </c>
      <c r="E11" s="138" t="inlineStr">
        <is>
          <t>只看母版或编辑器预览</t>
        </is>
      </c>
      <c r="F11" s="138" t="inlineStr">
        <is>
          <t>3D主题关卡</t>
        </is>
      </c>
      <c r="G11" s="138" t="inlineStr">
        <is>
          <t>seed/暗室开关/遮挡视野/七怪/56组合/撤离 PASS</t>
        </is>
      </c>
      <c r="H11" s="138" t="inlineStr">
        <is>
          <t>K/P/X</t>
        </is>
      </c>
    </row>
    <row r="12">
      <c r="A12" s="138" t="n">
        <v>7</v>
      </c>
      <c r="B12" s="138" t="inlineStr">
        <is>
          <t>登记与发布</t>
        </is>
      </c>
      <c r="C12" s="138" t="inlineStr">
        <is>
          <t>路径、尺寸、版本、哈希、许可</t>
        </is>
      </c>
      <c r="D12" s="138" t="inlineStr">
        <is>
          <t>字段齐全；更新时间为当天</t>
        </is>
      </c>
      <c r="E12" s="138" t="inlineStr">
        <is>
          <t>覆盖旧版本；删除历史来源</t>
        </is>
      </c>
      <c r="F12" s="138" t="inlineStr">
        <is>
          <t>通过的 PNG</t>
        </is>
      </c>
      <c r="G12" s="138" t="inlineStr">
        <is>
          <t>K=已完成，登记 SHA-256</t>
        </is>
      </c>
      <c r="H12" s="138" t="inlineStr">
        <is>
          <t>K–W</t>
        </is>
      </c>
    </row>
    <row r="13">
      <c r="A13" s="138" t="n">
        <v>8</v>
      </c>
      <c r="B13" s="138" t="inlineStr">
        <is>
          <t>弃用</t>
        </is>
      </c>
      <c r="C13" s="138" t="inlineStr">
        <is>
          <t>引用搜索、替代 AssetID</t>
        </is>
      </c>
      <c r="D13" s="138" t="inlineStr">
        <is>
          <t>K=弃用；备注写替代项</t>
        </is>
      </c>
      <c r="E13" s="138" t="inlineStr">
        <is>
          <t>直接删除仍被引用文件</t>
        </is>
      </c>
      <c r="F13" s="138" t="inlineStr">
        <is>
          <t>旧人类草案</t>
        </is>
      </c>
      <c r="G13" s="138" t="inlineStr">
        <is>
          <t>不入库或标弃用；不得误用</t>
        </is>
      </c>
      <c r="H13" s="138" t="inlineStr">
        <is>
          <t>K/X</t>
        </is>
      </c>
    </row>
    <row r="17">
      <c r="A17" s="5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24" customWidth="1" min="4" max="4"/>
    <col width="58" customWidth="1" min="5" max="5"/>
    <col width="18" customWidth="1" min="6" max="6"/>
    <col width="24" customWidth="1" min="7" max="7"/>
    <col width="12" customWidth="1" min="8" max="8"/>
  </cols>
  <sheetData>
    <row r="1" ht="25" customHeight="1">
      <c r="A1" s="3" t="inlineStr">
        <is>
          <t>当前角色原型 · 兔子组件角色</t>
        </is>
      </c>
    </row>
    <row r="2" ht="12" customHeight="1"/>
    <row r="3" ht="23" customHeight="1">
      <c r="A3" s="6" t="inlineStr">
        <is>
          <t>1.5m 俯视3D角色；逻辑根、虚拟碰撞胶囊、视觉组件和 WeaponSocket 相互独立</t>
        </is>
      </c>
    </row>
    <row r="5" ht="32" customHeight="1">
      <c r="A5" s="298" t="inlineStr">
        <is>
          <t>组件</t>
        </is>
      </c>
      <c r="B5" s="299" t="inlineStr">
        <is>
          <t>AssetID</t>
        </is>
      </c>
      <c r="C5" s="299" t="inlineStr">
        <is>
          <t>尺寸</t>
        </is>
      </c>
      <c r="D5" s="299" t="inlineStr">
        <is>
          <t>用途</t>
        </is>
      </c>
      <c r="E5" s="299" t="inlineStr">
        <is>
          <t>文件</t>
        </is>
      </c>
      <c r="F5" s="299" t="inlineStr">
        <is>
          <t>哈希前12位</t>
        </is>
      </c>
      <c r="G5" s="299" t="inlineStr">
        <is>
          <t>动作方式</t>
        </is>
      </c>
      <c r="H5" s="300" t="inlineStr">
        <is>
          <t>验收</t>
        </is>
      </c>
    </row>
    <row r="6" ht="42" customHeight="1">
      <c r="A6" s="301" t="inlineStr">
        <is>
          <t>root</t>
        </is>
      </c>
      <c r="B6" s="301" t="inlineStr">
        <is>
          <t>CHR-PLY-CAPSULE01-3D-BUNNY01</t>
        </is>
      </c>
      <c r="C6" s="301" t="inlineStr">
        <is>
          <t>1.034×1.500×0.645m</t>
        </is>
      </c>
      <c r="D6" s="301" t="inlineStr">
        <is>
          <t>视觉组件根</t>
        </is>
      </c>
      <c r="E6" s="301" t="inlineStr">
        <is>
          <t>assets/art/characters/player/chr_player_capsule01_3d/variants/bunny01/chr_player_capsule01_bunny01_root_top3d_v006.tscn</t>
        </is>
      </c>
      <c r="F6" s="301" t="inlineStr">
        <is>
          <t>b894e9fe05f8</t>
        </is>
      </c>
      <c r="G6" s="301" t="inlineStr">
        <is>
          <t>八态 + 动作覆盖层</t>
        </is>
      </c>
      <c r="H6" s="301" t="inlineStr">
        <is>
          <t>通过</t>
        </is>
      </c>
    </row>
    <row r="7" ht="42" customHeight="1">
      <c r="A7" s="138" t="inlineStr">
        <is>
          <t>body</t>
        </is>
      </c>
      <c r="B7" s="138" t="inlineStr">
        <is>
          <t>CHR-PLY-CAPSULE01-3D-BUNNY01-BODY</t>
        </is>
      </c>
      <c r="C7" s="138" t="inlineStr">
        <is>
          <t>1.5m角色比例</t>
        </is>
      </c>
      <c r="D7" s="138" t="inlineStr">
        <is>
          <t>身体组件</t>
        </is>
      </c>
      <c r="E7" s="138" t="inlineStr">
        <is>
          <t>assets/art/characters/player/chr_player_capsule01_3d/variants/bunny01/components/chr_player_capsule01_bunny01_body_top3d_v006.glb</t>
        </is>
      </c>
      <c r="F7" s="138" t="inlineStr">
        <is>
          <t>c574d76e0f19</t>
        </is>
      </c>
      <c r="G7" s="138" t="inlineStr">
        <is>
          <t>呼吸/移动/受击</t>
        </is>
      </c>
      <c r="H7" s="138" t="inlineStr">
        <is>
          <t>通过</t>
        </is>
      </c>
    </row>
    <row r="8" ht="42" customHeight="1">
      <c r="A8" s="138" t="inlineStr">
        <is>
          <t>head</t>
        </is>
      </c>
      <c r="B8" s="138" t="inlineStr">
        <is>
          <t>CHR-PLY-CAPSULE01-3D-BUNNY01-HEAD</t>
        </is>
      </c>
      <c r="C8" s="138" t="inlineStr">
        <is>
          <t>头顶1.103390m</t>
        </is>
      </c>
      <c r="D8" s="138" t="inlineStr">
        <is>
          <t>头部组件</t>
        </is>
      </c>
      <c r="E8" s="138" t="inlineStr">
        <is>
          <t>assets/art/characters/player/chr_player_capsule01_3d/variants/bunny01/components/chr_player_capsule01_bunny01_head_top3d_v006.glb</t>
        </is>
      </c>
      <c r="F8" s="138" t="inlineStr">
        <is>
          <t>b8db86c722bb</t>
        </is>
      </c>
      <c r="G8" s="138" t="inlineStr">
        <is>
          <t>延迟跟随/受击</t>
        </is>
      </c>
      <c r="H8" s="138" t="inlineStr">
        <is>
          <t>通过</t>
        </is>
      </c>
    </row>
    <row r="9" ht="42" customHeight="1">
      <c r="A9" s="138" t="inlineStr">
        <is>
          <t>ears</t>
        </is>
      </c>
      <c r="B9" s="138" t="inlineStr">
        <is>
          <t>CHR-PLY-CAPSULE01-3D-BUNNY01-EARS</t>
        </is>
      </c>
      <c r="C9" s="138" t="inlineStr">
        <is>
          <t>单GLB双实例</t>
        </is>
      </c>
      <c r="D9" s="138" t="inlineStr">
        <is>
          <t>双耳配件</t>
        </is>
      </c>
      <c r="E9" s="138" t="inlineStr">
        <is>
          <t>assets/art/characters/player/chr_player_capsule01_3d/variants/bunny01/components/chr_player_capsule01_bunny01_ear_top3d_v006.glb</t>
        </is>
      </c>
      <c r="F9" s="138" t="inlineStr">
        <is>
          <t>ed3c7abe2831</t>
        </is>
      </c>
      <c r="G9" s="138" t="inlineStr">
        <is>
          <t>跟随/摆动</t>
        </is>
      </c>
      <c r="H9" s="138" t="inlineStr">
        <is>
          <t>通过</t>
        </is>
      </c>
    </row>
    <row r="10" ht="42" customHeight="1">
      <c r="A10" s="138" t="inlineStr">
        <is>
          <t>hands</t>
        </is>
      </c>
      <c r="B10" s="138" t="inlineStr">
        <is>
          <t>CHR-PLY-CAPSULE01-3D-BUNNY01-HAND</t>
        </is>
      </c>
      <c r="C10" s="138" t="inlineStr">
        <is>
          <t>左右独立GLB</t>
        </is>
      </c>
      <c r="D10" s="138" t="inlineStr">
        <is>
          <t>握持与支撑手</t>
        </is>
      </c>
      <c r="E10" s="138" t="inlineStr">
        <is>
          <t>assets/art/characters/player/chr_player_capsule01_3d/variants/bunny01/components/chr_player_capsule01_bunny01_hand_l_top3d_v006.glb; ...hand_r...v006.glb</t>
        </is>
      </c>
      <c r="F10" s="138" t="inlineStr">
        <is>
          <t>2c6647c0e4f2</t>
        </is>
      </c>
      <c r="G10" s="138" t="inlineStr">
        <is>
          <t>单手/双手握持</t>
        </is>
      </c>
      <c r="H10" s="138" t="inlineStr">
        <is>
          <t>通过</t>
        </is>
      </c>
    </row>
    <row r="11" ht="42" customHeight="1">
      <c r="A11" t="inlineStr">
        <is>
          <t>foot_l</t>
        </is>
      </c>
      <c r="B11" s="349" t="inlineStr">
        <is>
          <t>CHR-PLY-CAPSULE01-3D-BUNNY01-FOOT-L</t>
        </is>
      </c>
      <c r="C11" t="inlineStr">
        <is>
          <t>1.5m角色比例</t>
        </is>
      </c>
      <c r="D11" t="inlineStr">
        <is>
          <t>左脚组件</t>
        </is>
      </c>
      <c r="E11" s="349" t="inlineStr">
        <is>
          <t>assets/art/characters/player/chr_player_capsule01_3d/variants/bunny01/components/chr_player_capsule01_bunny01_foot_l_top3d_v006.glb</t>
        </is>
      </c>
      <c r="F11" t="inlineStr">
        <is>
          <t>52051cba0db7</t>
        </is>
      </c>
      <c r="G11" t="inlineStr">
        <is>
          <t>步态/下落/落地</t>
        </is>
      </c>
      <c r="H11" t="inlineStr">
        <is>
          <t>通过</t>
        </is>
      </c>
    </row>
    <row r="12" ht="42" customHeight="1">
      <c r="A12" t="inlineStr">
        <is>
          <t>foot_r</t>
        </is>
      </c>
      <c r="B12" s="349" t="inlineStr">
        <is>
          <t>CHR-PLY-CAPSULE01-3D-BUNNY01-FOOT-R</t>
        </is>
      </c>
      <c r="C12" t="inlineStr">
        <is>
          <t>1.5m角色比例</t>
        </is>
      </c>
      <c r="D12" t="inlineStr">
        <is>
          <t>右脚组件</t>
        </is>
      </c>
      <c r="E12" s="349" t="inlineStr">
        <is>
          <t>assets/art/characters/player/chr_player_capsule01_3d/variants/bunny01/components/chr_player_capsule01_bunny01_foot_r_top3d_v006.glb</t>
        </is>
      </c>
      <c r="F12" t="inlineStr">
        <is>
          <t>d81e840f5c08</t>
        </is>
      </c>
      <c r="G12" t="inlineStr">
        <is>
          <t>步态/下落/落地</t>
        </is>
      </c>
      <c r="H12" t="inlineStr">
        <is>
          <t>通过</t>
        </is>
      </c>
    </row>
    <row r="13">
      <c r="A13" s="57" t="inlineStr">
        <is>
          <t>八态游戏内验收（Idle / Moving / Dashing / Hurt / Locked / Falling / Landing / Dead）</t>
        </is>
      </c>
    </row>
    <row r="15" ht="32" customHeight="1">
      <c r="A15" s="298" t="inlineStr">
        <is>
          <t>IDLE</t>
        </is>
      </c>
      <c r="B15" s="299" t="inlineStr">
        <is>
          <t>MOVING</t>
        </is>
      </c>
      <c r="C15" s="299" t="inlineStr">
        <is>
          <t>DASHING</t>
        </is>
      </c>
      <c r="D15" s="299" t="inlineStr">
        <is>
          <t>HURT</t>
        </is>
      </c>
      <c r="E15" s="299" t="inlineStr">
        <is>
          <t>LOCKED</t>
        </is>
      </c>
      <c r="F15" s="300" t="inlineStr">
        <is>
          <t>FALLING</t>
        </is>
      </c>
      <c r="G15" s="108" t="inlineStr">
        <is>
          <t>LANDING</t>
        </is>
      </c>
      <c r="H15" s="108" t="inlineStr">
        <is>
          <t>DEAD</t>
        </is>
      </c>
    </row>
    <row r="16">
      <c r="A16" s="301" t="inlineStr">
        <is>
          <t>待命</t>
        </is>
      </c>
      <c r="B16" s="301" t="inlineStr">
        <is>
          <t>移动</t>
        </is>
      </c>
      <c r="C16" s="301" t="inlineStr">
        <is>
          <t>突进</t>
        </is>
      </c>
      <c r="D16" s="301" t="inlineStr">
        <is>
          <t>受创</t>
        </is>
      </c>
      <c r="E16" s="301" t="inlineStr">
        <is>
          <t>交互锁定</t>
        </is>
      </c>
      <c r="F16" s="301" t="inlineStr">
        <is>
          <t>下落</t>
        </is>
      </c>
      <c r="G16" t="inlineStr">
        <is>
          <t>落地</t>
        </is>
      </c>
      <c r="H16" t="inlineStr">
        <is>
          <t>生命终止</t>
        </is>
      </c>
    </row>
    <row r="17">
      <c r="A17" s="138" t="inlineStr">
        <is>
          <t>呼吸/重心</t>
        </is>
      </c>
      <c r="B17" s="138" t="inlineStr">
        <is>
          <t>双脚交替</t>
        </is>
      </c>
      <c r="C17" s="138" t="inlineStr">
        <is>
          <t>翻滚收束</t>
        </is>
      </c>
      <c r="D17" s="138" t="inlineStr">
        <is>
          <t>反向冲击</t>
        </is>
      </c>
      <c r="E17" s="138" t="inlineStr">
        <is>
          <t>姿态稳定</t>
        </is>
      </c>
      <c r="F17" s="138" t="inlineStr">
        <is>
          <t>收腿下落</t>
        </is>
      </c>
      <c r="G17" t="inlineStr">
        <is>
          <t>压缩回弹</t>
        </is>
      </c>
      <c r="H17" t="inlineStr">
        <is>
          <t>整体倒伏</t>
        </is>
      </c>
    </row>
    <row r="18">
      <c r="A18" s="138" t="inlineStr">
        <is>
          <t>可进移动/突进</t>
        </is>
      </c>
      <c r="B18" s="138" t="inlineStr">
        <is>
          <t>可进待命/突进</t>
        </is>
      </c>
      <c r="C18" s="138" t="inlineStr">
        <is>
          <t>回到待命或移动</t>
        </is>
      </c>
      <c r="D18" s="138" t="inlineStr">
        <is>
          <t>恢复原状态</t>
        </is>
      </c>
      <c r="E18" s="138" t="inlineStr">
        <is>
          <t>由交互释放</t>
        </is>
      </c>
      <c r="F18" s="138" t="inlineStr">
        <is>
          <t>只进落地或死亡</t>
        </is>
      </c>
      <c r="G18" t="inlineStr">
        <is>
          <t>回到可控态</t>
        </is>
      </c>
      <c r="H18" t="inlineStr">
        <is>
          <t>终态</t>
        </is>
      </c>
    </row>
    <row r="19">
      <c r="A19" s="138" t="inlineStr">
        <is>
          <t>允许射击覆盖</t>
        </is>
      </c>
      <c r="B19" s="138" t="inlineStr">
        <is>
          <t>允许射击覆盖</t>
        </is>
      </c>
      <c r="C19" s="138" t="inlineStr">
        <is>
          <t>无敌窗</t>
        </is>
      </c>
      <c r="D19" s="138" t="inlineStr">
        <is>
          <t>受击反馈</t>
        </is>
      </c>
      <c r="E19" s="138" t="inlineStr">
        <is>
          <t>输入锁定</t>
        </is>
      </c>
      <c r="F19" s="138" t="inlineStr">
        <is>
          <t>关闭地面步态</t>
        </is>
      </c>
      <c r="G19" t="inlineStr">
        <is>
          <t>短时落地冲击</t>
        </is>
      </c>
      <c r="H19" t="inlineStr">
        <is>
          <t>停止动作</t>
        </is>
      </c>
    </row>
    <row r="21">
      <c r="A21" s="58" t="inlineStr">
        <is>
          <t>视觉输出：outputs/verification/player3d_state_gallery.png</t>
        </is>
      </c>
    </row>
    <row r="23">
      <c r="A23" s="61" t="inlineStr">
        <is>
          <t>验证命令：./scripts/run_verification_suite.sh scene verify_player3d_state_gallery_flow</t>
        </is>
      </c>
    </row>
    <row r="24" ht="24" customHeight="1">
      <c r="A24" s="73" t="inlineStr">
        <is>
          <t>换弹覆盖层：唯一手 + WeaponSocket 同相动作；测试 tests/verification/verify_3d_reload_state_flow.tscn</t>
        </is>
      </c>
    </row>
    <row r="25" ht="30" customHeight="1">
      <c r="A25" s="349" t="inlineStr">
        <is>
          <t>独立3D验收：scenes/Player3DStateGallery.tscn；验证位于 tests/verification/</t>
        </is>
      </c>
    </row>
    <row r="26" ht="32" customHeight="1">
      <c r="A26" s="83" t="inlineStr">
        <is>
          <t>动作覆盖层：firing / charging / knockback 不新增顶层状态；测试 tests/verification/verify_player3d_state_gallery_flow.tscn</t>
        </is>
      </c>
    </row>
    <row r="28" ht="34" customHeight="1">
      <c r="A28" s="95" t="inlineStr">
        <is>
          <t>DIY：body / head / hand / feet / hat / glasses 只改表现；测试 tests/verification/verify_player3d_diy_flow.tscn</t>
        </is>
      </c>
    </row>
    <row r="29" ht="38" customHeight="1">
      <c r="A29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60" customWidth="1" min="5" max="5"/>
    <col width="48" customWidth="1" min="6" max="6"/>
    <col width="12" customWidth="1" min="7" max="7"/>
    <col width="24" customWidth="1" min="8" max="8"/>
  </cols>
  <sheetData>
    <row r="1" ht="25" customHeight="1">
      <c r="A1" s="296" t="inlineStr">
        <is>
          <t>资产台账版本记录 · 游戏设计文档 v0.1</t>
        </is>
      </c>
    </row>
    <row r="2" ht="12" customHeight="1"/>
    <row r="3" ht="23" customHeight="1">
      <c r="A3" s="297" t="inlineStr">
        <is>
          <t>只记录当前有效基线；历史变更通过版本控制追溯</t>
        </is>
      </c>
    </row>
    <row r="4">
      <c r="A4" s="349" t="n"/>
      <c r="B4" s="349" t="n"/>
      <c r="C4" s="349" t="n"/>
      <c r="D4" s="349" t="n"/>
      <c r="E4" s="349" t="n"/>
      <c r="F4" s="349" t="n"/>
      <c r="G4" s="349" t="n"/>
    </row>
    <row r="5" ht="32" customHeight="1">
      <c r="A5" s="298" t="inlineStr">
        <is>
          <t>台账版本</t>
        </is>
      </c>
      <c r="B5" s="299" t="inlineStr">
        <is>
          <t>日期</t>
        </is>
      </c>
      <c r="C5" s="299" t="inlineStr">
        <is>
          <t>变更类型</t>
        </is>
      </c>
      <c r="D5" s="299" t="inlineStr">
        <is>
          <t>范围</t>
        </is>
      </c>
      <c r="E5" s="299" t="inlineStr">
        <is>
          <t>说明</t>
        </is>
      </c>
      <c r="F5" s="299" t="inlineStr">
        <is>
          <t>兼容性</t>
        </is>
      </c>
      <c r="G5" s="300" t="inlineStr">
        <is>
          <t>负责人</t>
        </is>
      </c>
    </row>
    <row r="6" ht="46" customHeight="1">
      <c r="A6" s="301" t="inlineStr">
        <is>
          <t>v0.1.0</t>
        </is>
      </c>
      <c r="B6" s="302" t="n">
        <v>46236</v>
      </c>
      <c r="C6" s="301" t="inlineStr">
        <is>
          <t>游戏设计文档 v0.1</t>
        </is>
      </c>
      <c r="D6" s="301" t="inlineStr">
        <is>
          <t>全项目</t>
        </is>
      </c>
      <c r="E6" s="301" t="inlineStr">
        <is>
          <t>统一3D塔楼主线、测试目录、当前资产路径、状态口径和投影契约；清理历史制作版本。</t>
        </is>
      </c>
      <c r="F6" s="301" t="inlineStr">
        <is>
          <t>只保留当前运行资产；历史追溯使用版本控制。</t>
        </is>
      </c>
      <c r="G6" s="301" t="inlineStr">
        <is>
          <t>Codex</t>
        </is>
      </c>
    </row>
    <row r="7" ht="46" customHeight="1">
      <c r="A7" s="349" t="inlineStr">
        <is>
          <t>v0.1.1</t>
        </is>
      </c>
      <c r="B7" s="348" t="n">
        <v>46240</v>
      </c>
      <c r="C7" s="349" t="inlineStr">
        <is>
          <t>角色武器表现调整</t>
        </is>
      </c>
      <c r="D7" s="349" t="inlineStr">
        <is>
          <t>player_capsule01_3d</t>
        </is>
      </c>
      <c r="E7" s="349" t="inlineStr">
        <is>
          <t>新增主左/副右背部收纳挂点，枪口统一朝下；复用既有武器模型与AssetID。</t>
        </is>
      </c>
      <c r="F7" s="349" t="inlineStr">
        <is>
          <t>不改武器实例、碰撞、伤害或切枪规则。</t>
        </is>
      </c>
      <c r="G7" s="349" t="inlineStr">
        <is>
          <t>Codex</t>
        </is>
      </c>
    </row>
    <row r="8" ht="46" customHeight="1">
      <c r="A8" s="349" t="inlineStr">
        <is>
          <t>v0.1.2</t>
        </is>
      </c>
      <c r="B8" s="348" t="n">
        <v>46241</v>
      </c>
      <c r="C8" s="349" t="inlineStr">
        <is>
          <t>音频与体验一致性</t>
        </is>
      </c>
      <c r="D8" s="349" t="inlineStr">
        <is>
          <t>31项音效/UI/玩家死亡</t>
        </is>
      </c>
      <c r="E8" s="349" t="inlineStr">
        <is>
          <t>登记OGG运行资产与哈希；更新包裹/贩卖机UI版本和死亡击飞回弹状态。</t>
        </is>
      </c>
      <c r="F8" s="349" t="inlineStr">
        <is>
          <t>WAV母版保留；运行时改用版本化OGG；不改变稳定事件键和AssetID。</t>
        </is>
      </c>
      <c r="G8" s="349" t="inlineStr">
        <is>
          <t>Codex</t>
        </is>
      </c>
    </row>
    <row r="9" ht="48" customHeight="1">
      <c r="A9" s="349" t="inlineStr">
        <is>
          <t>v0.1.6</t>
        </is>
      </c>
      <c r="B9" s="348" t="n">
        <v>46244</v>
      </c>
      <c r="C9" s="349" t="inlineStr">
        <is>
          <t>大型近战与动作状态机</t>
        </is>
      </c>
      <c r="D9" s="349" t="inlineStr">
        <is>
          <t>2武器/4动作态/三段连击</t>
        </is>
      </c>
      <c r="E9" s="349" t="inlineStr">
        <is>
          <t>登记巨型工业断刃、攻城裂甲斧程序原型；新增近战ready/windup/active/recovery动作契约与专项验收。</t>
        </is>
      </c>
      <c r="F9" s="349" t="inlineStr">
        <is>
          <t>不改变玩家八态移动机、碰撞体或WeaponInstance稳定身份；近战根无子弹槽。</t>
        </is>
      </c>
      <c r="G9" s="349" t="inlineStr">
        <is>
          <t>Codex</t>
        </is>
      </c>
    </row>
    <row r="10" ht="58" customHeight="1">
      <c r="A10" s="349" t="inlineStr">
        <is>
          <t>v0.1.7</t>
        </is>
      </c>
      <c r="B10" s="348" t="n">
        <v>46244</v>
      </c>
      <c r="C10" s="349" t="inlineStr">
        <is>
          <t>近战打击VFX与音频反馈</t>
        </is>
      </c>
      <c r="D10" s="349" t="inlineStr">
        <is>
          <t>战斗VFX/2音频/2近战</t>
        </is>
      </c>
      <c r="E10" s="349" t="inlineStr">
        <is>
          <t>复用VFX-COMBAT-KIT-3D扩展slash/melee_impact；登记melee_swing/melee_impact OGG与母版哈希；同步动作状态、武器反馈和专项验收。</t>
        </is>
      </c>
      <c r="F10" s="349" t="inlineStr">
        <is>
          <t>不改命中判定、伤害或稳定武器ID；VFX无碰撞；多目标冲击主音去重。</t>
        </is>
      </c>
      <c r="G10" s="349" t="inlineStr">
        <is>
          <t>Codex</t>
        </is>
      </c>
    </row>
    <row r="11" ht="58" customHeight="1">
      <c r="A11" s="349" t="inlineStr">
        <is>
          <t>v0.1.8</t>
        </is>
      </c>
      <c r="B11" s="348" t="n">
        <v>46244</v>
      </c>
      <c r="C11" s="349" t="inlineStr">
        <is>
          <t>初级近战与统一枪械配件槽</t>
        </is>
      </c>
      <c r="D11" s="349" t="inlineStr">
        <is>
          <t>1武器/6公共槽/7枪兼容矩阵</t>
        </is>
      </c>
      <c r="E11" s="349" t="inlineStr">
        <is>
          <t>登记基地初级棒球棍；所有枪显示瞄具/枪口/弹匣/枪托/战术/特性统一位置，不支持槽禁用；配件可单拆，整枪移动保留装配树。</t>
        </is>
      </c>
      <c r="F11" s="349" t="inlineStr">
        <is>
          <t>WeaponInstance schema v2兼容v1 MOUNT旧快照；不改命运永久槽或内部递归挂载。</t>
        </is>
      </c>
      <c r="G11" s="349" t="inlineStr">
        <is>
          <t>Codex</t>
        </is>
      </c>
    </row>
    <row r="12">
      <c r="A12" s="349" t="inlineStr">
        <is>
          <t>v0.1.9</t>
        </is>
      </c>
      <c r="B12" s="332" t="n">
        <v>46244</v>
      </c>
      <c r="C12" s="349" t="inlineStr">
        <is>
          <t>正式基地设施与独立枪械美术接入</t>
        </is>
      </c>
      <c r="D12" s="349" t="inlineStr">
        <is>
          <t>5设施/18枪/统一挂点</t>
        </is>
      </c>
      <c r="E12" s="349" t="inlineStr">
        <is>
          <t>基地接入贩卖机、情报台、工作台；18把枪拆为独立资产，7把映射现有蓝图，其余入未来资产池。</t>
        </is>
      </c>
      <c r="F12" s="349" t="inlineStr">
        <is>
          <t>不改玩法稳定ID；枪械统一Grip原点/local -Z枪口与8类挂点；旧程序模型保留为回退。</t>
        </is>
      </c>
      <c r="G12" s="349" t="inlineStr">
        <is>
          <t>Codex</t>
        </is>
      </c>
    </row>
    <row r="13" ht="60" customHeight="1">
      <c r="A13" s="349" t="inlineStr">
        <is>
          <t>v0.1.8</t>
        </is>
      </c>
      <c r="B13" s="332" t="n">
        <v>46245</v>
      </c>
      <c r="C13" s="349" t="inlineStr">
        <is>
          <t>??????????</t>
        </is>
      </c>
      <c r="D13" s="349" t="inlineStr">
        <is>
          <t>vault / fate_collection</t>
        </is>
      </c>
      <c r="E13" s="349" t="inlineStr">
        <is>
          <t>????????????????????????????????????????????????</t>
        </is>
      </c>
      <c r="F13" s="349" t="inlineStr">
        <is>
          <t>??facility_id???????????????????????</t>
        </is>
      </c>
      <c r="G13" s="349" t="inlineStr">
        <is>
          <t>Codex</t>
        </is>
      </c>
    </row>
    <row r="14" ht="54" customHeight="1">
      <c r="A14" s="349" t="inlineStr">
        <is>
          <t>v0.1.10</t>
        </is>
      </c>
      <c r="B14" s="349" t="n">
        <v>46247</v>
      </c>
      <c r="C14" s="349" t="inlineStr">
        <is>
          <t>Boss/场地/手电筒资产收口</t>
        </is>
      </c>
      <c r="D14" s="349" t="inlineStr">
        <is>
          <t>3 Boss / 3场地 / 3音频</t>
        </is>
      </c>
      <c r="E14" s="349" t="inlineStr">
        <is>
          <t>登记95/90/85层独立Boss和竞技场GLB、三条手电筒OGG及母版；记录永久结构代理与高模流式边界。</t>
        </is>
      </c>
      <c r="F14" s="349" t="inlineStr">
        <is>
          <t>稳定玩法ID不变；楼板、关卡墙和塔楼外墙永久可见；仅正式高模视野外流式。</t>
        </is>
      </c>
      <c r="G14" s="349" t="inlineStr">
        <is>
          <t>Codex</t>
        </is>
      </c>
    </row>
    <row r="15" ht="72" customHeight="1">
      <c r="A15" s="349" t="inlineStr">
        <is>
          <t>v0.1.11</t>
        </is>
      </c>
      <c r="B15" s="348" t="n">
        <v>46252</v>
      </c>
      <c r="C15" s="349" t="inlineStr">
        <is>
          <t>基地99层3D模块资产管理</t>
        </is>
      </c>
      <c r="D15" s="349" t="inlineStr">
        <is>
          <t>模块目录/5项资产/普通墙表现替换</t>
        </is>
      </c>
      <c r="E15" s="349" t="inlineStr">
        <is>
          <t>建立3D source/components/runtime目录与命名契约；登记基地套件、普通墙、带门墙和两种基地地板；普通墙切换为正式GLB。</t>
        </is>
      </c>
      <c r="F15" s="349" t="inlineStr">
        <is>
          <t>只替换99F普通墙表现；14段槽位、0.30m碰撞、两个带门墙、门状态机、寻路和摄像机逻辑不变。</t>
        </is>
      </c>
      <c r="G15" s="349" t="inlineStr">
        <is>
          <t>Codex</t>
        </is>
      </c>
    </row>
    <row r="16" ht="72" customHeight="1">
      <c r="A16" s="349" t="inlineStr">
        <is>
          <t>v0.1.12</t>
        </is>
      </c>
      <c r="B16" s="348" t="n">
        <v>46252</v>
      </c>
      <c r="C16" s="349" t="inlineStr">
        <is>
          <t>3D Prefab总控与原生组合规则</t>
        </is>
      </c>
      <c r="D16" s="349" t="inlineStr">
        <is>
          <t>3D资产管理/基地99层4项Prefab映射</t>
        </is>
      </c>
      <c r="E16" s="349" t="inlineStr">
        <is>
          <t>新增简化3D Prefab总控，记录Prefab、GLB、功能脚本与碰撞归属；现有3D规范补充Godot原生组合和按需建模规则。</t>
        </is>
      </c>
      <c r="F16" s="349" t="inlineStr">
        <is>
          <t>不改变Godot运行结构；不新增未来空壳模块；当前基地普通墙、门墙和地板引用保持不变。</t>
        </is>
      </c>
      <c r="G16" s="349" t="inlineStr">
        <is>
          <t>Codex</t>
        </is>
      </c>
    </row>
    <row r="17" ht="52" customHeight="1">
      <c r="A17" s="349" t="inlineStr">
        <is>
          <t>v0.1.13</t>
        </is>
      </c>
      <c r="B17" s="348" t="n">
        <v>46252</v>
      </c>
      <c r="C17" s="349" t="inlineStr">
        <is>
          <t>3D Prefab资产分类</t>
        </is>
      </c>
      <c r="D17" s="349" t="inlineStr">
        <is>
          <t>Prefab总控/分类与编码/基地99层4项</t>
        </is>
      </c>
      <c r="E17" s="349" t="inlineStr">
        <is>
          <t>Prefab总控新增独立分类列和下拉规则；分类与编码页登记场景通用组件、设施组件、道具等固定分类；现有基地模块归入场景通用组件。</t>
        </is>
      </c>
      <c r="F17" s="349" t="inlineStr">
        <is>
          <t>只更新资产管理分类，不改变AssetID、Prefab路径、模型、脚本、碰撞或Godot运行逻辑。</t>
        </is>
      </c>
      <c r="G17" s="349" t="inlineStr">
        <is>
          <t>Codex</t>
        </is>
      </c>
    </row>
    <row r="18" ht="50" customHeight="1">
      <c r="A18" s="349" t="inlineStr">
        <is>
          <t>v0.1.14</t>
        </is>
      </c>
      <c r="B18" s="348" t="n">
        <v>46252</v>
      </c>
      <c r="C18" s="349" t="inlineStr">
        <is>
          <t>全项目3D Prefab扫描与分类分页</t>
        </is>
      </c>
      <c r="D18" s="349" t="inlineStr">
        <is>
          <t>90个Prefab/9分类分页/补登记35项</t>
        </is>
      </c>
      <c r="E18" s="349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349" t="inlineStr">
        <is>
          <t>只更新资产账本与管理规则；不修改Prefab、GLB、脚本、碰撞或Godot运行逻辑。</t>
        </is>
      </c>
      <c r="G18" s="349" t="inlineStr">
        <is>
          <t>Codex</t>
        </is>
      </c>
    </row>
    <row r="19" ht="52" customHeight="1">
      <c r="A19" s="349" t="inlineStr">
        <is>
          <t>v0.1.15</t>
        </is>
      </c>
      <c r="B19" s="349" t="n">
        <v>46252</v>
      </c>
      <c r="C19" s="349" t="inlineStr">
        <is>
          <t>基地99层九件模块正式接入</t>
        </is>
      </c>
      <c r="D19" s="349" t="inlineStr">
        <is>
          <t>9 Prefab / 9 GLB / 98个3D Prefab</t>
        </is>
      </c>
      <c r="E19" s="349" t="inlineStr">
        <is>
          <t>接入两种地板、三种墙、滑升门、7米楼板、L型楼梯和外门小楼梯；记录外部碰撞、门逻辑、不投影及底部摄像机净空规则。</t>
        </is>
      </c>
      <c r="F19" s="349" t="inlineStr">
        <is>
          <t>只替换表现并复用Godot原生组合；门、房间、碰撞和99→98层摄像机规则保持稳定。</t>
        </is>
      </c>
      <c r="G19" s="349" t="inlineStr">
        <is>
          <t>Codex</t>
        </is>
      </c>
    </row>
    <row r="20" ht="90" customHeight="1">
      <c r="A20" s="349" t="inlineStr">
        <is>
          <t>v0.1.16</t>
        </is>
      </c>
      <c r="B20" s="349" t="n">
        <v>46252</v>
      </c>
      <c r="C20" s="349" t="inlineStr">
        <is>
          <t>基地99/100层布局与楼梯碰撞校正</t>
        </is>
      </c>
      <c r="D20" s="349" t="inlineStr">
        <is>
          <t>99层14普通墙/100层开洞36块/3个可编辑结构Prefab</t>
        </is>
      </c>
      <c r="E20" s="349" t="inlineStr">
        <is>
          <t>按Blender母版校正楼板、L梯和外门小梯坐标；99层移除窗墙；100层楼板与承重碰撞开6×6中庭；楼梯改为可行走简化坡面。</t>
        </is>
      </c>
      <c r="F20" s="349" t="inlineStr">
        <is>
          <t>表现与碰撞保留Prefab分工；门、设施、房间与99→98层逻辑不改；结构组件可在主场景tscn直接摆放。</t>
        </is>
      </c>
      <c r="G20" s="349" t="inlineStr">
        <is>
          <t>Codex</t>
        </is>
      </c>
    </row>
    <row r="21" ht="86" customHeight="1">
      <c r="A21" s="349" t="inlineStr">
        <is>
          <t>v0.1.17</t>
        </is>
      </c>
      <c r="B21" s="349" t="n">
        <v>46252</v>
      </c>
      <c r="C21" s="349" t="inlineStr">
        <is>
          <t>基地100层上层围护与18米封顶</t>
        </is>
      </c>
      <c r="D21" s="349" t="inlineStr">
        <is>
          <t>1个组合Prefab/24块墙/36块封顶/9片结构碰撞</t>
        </is>
      </c>
      <c r="E21" s="349" t="inlineStr">
        <is>
          <t>按Blender母版加入9—18米上层围护：北侧中间4窗、其余19普通墙、东侧1门墙；18米复用5米地板模块封顶。</t>
        </is>
      </c>
      <c r="F21" s="349" t="inlineStr">
        <is>
          <t>新增组合仅负责表现与结构碰撞；99层14普通墙、2功能门、设施、中庭开洞和摄像机规则不变；全部不投影。</t>
        </is>
      </c>
      <c r="G21" s="349" t="inlineStr">
        <is>
          <t>Codex</t>
        </is>
      </c>
    </row>
    <row r="22" ht="72" customHeight="1">
      <c r="A22" s="349" t="inlineStr">
        <is>
          <t>v0.1.18</t>
        </is>
      </c>
      <c r="B22" s="349" t="n">
        <v>46252</v>
      </c>
      <c r="C22" s="349" t="inlineStr">
        <is>
          <t>场景组件真实投影规则</t>
        </is>
      </c>
      <c r="D22" s="349" t="inlineStr">
        <is>
          <t>基地墙/地板/门/楼板/楼梯/封顶/设施模型</t>
        </is>
      </c>
      <c r="E22" s="349" t="inlineStr">
        <is>
          <t>统一cast_shadow=ON；封顶阻挡室外光；中央灯开关形成真实明暗切换。</t>
        </is>
      </c>
      <c r="F22" s="349" t="inlineStr">
        <is>
          <t>只改渲染投影，不改碰撞、门、设施、楼层功能；纯VFX/光池/玩家/UI不纳入场景模型规则。</t>
        </is>
      </c>
      <c r="G22" s="349" t="inlineStr">
        <is>
          <t>Codex</t>
        </is>
      </c>
    </row>
    <row r="23" ht="78" customHeight="1">
      <c r="A23" s="349" t="inlineStr">
        <is>
          <t>v0.1.19</t>
        </is>
      </c>
      <c r="B23" s="348" t="n">
        <v>46254</v>
      </c>
      <c r="C23" s="349" t="inlineStr">
        <is>
          <t>基地系统/时间/Avatar/3D流程收口</t>
        </is>
      </c>
      <c r="D23" s="349" t="inlineStr">
        <is>
          <t>6项资产/3项Skill/5米结构/11设施</t>
        </is>
      </c>
      <c r="E23" s="349" t="inlineStr">
        <is>
          <t>平台改为5米并联动两类楼梯与栏杆碰撞；新增物理楼层权威、时间日夜、基地能源恢复舱、主页面、衣柜、脱困和1.5米角色母版。</t>
        </is>
      </c>
      <c r="F23" s="349" t="inlineStr">
        <is>
          <t>视觉替换不改变原门、设施、玩家碰撞和战斗脚本；旧Z7/H2资产保留回滚；新Skill草稿未安装。</t>
        </is>
      </c>
      <c r="G23" s="349" t="inlineStr">
        <is>
          <t>Codex</t>
        </is>
      </c>
    </row>
    <row r="24" ht="100" customHeight="1">
      <c r="A24" s="349" t="inlineStr">
        <is>
          <t>v0.1.20</t>
        </is>
      </c>
      <c r="B24" s="348" t="n">
        <v>46261</v>
      </c>
      <c r="C24" s="349" t="inlineStr">
        <is>
          <t>首只唯一精英正式资产</t>
        </is>
      </c>
      <c r="D24" s="349" t="inlineStr">
        <is>
          <t>1 Blend / 1 GLB / 1 Prefab / 98—96F投放</t>
        </is>
      </c>
      <c r="E24" s="349" t="inlineStr">
        <is>
          <t>登记背枪的裂口爬虫独立模型、四材质、五类语义组件、命名血条和表现/碰撞解耦。</t>
        </is>
      </c>
      <c r="F24" s="349" t="inlineStr">
        <is>
          <t>稳定elite_id、AI、生命、伤害、掉落、跨局档案与基础碰撞不变；其余11只不投放。</t>
        </is>
      </c>
      <c r="G24" s="349" t="inlineStr">
        <is>
          <t>Codex</t>
        </is>
      </c>
    </row>
    <row r="25" ht="115" customHeight="1">
      <c r="A25" s="349" t="inlineStr">
        <is>
          <t>v0.1.21</t>
        </is>
      </c>
      <c r="B25" s="348" t="n">
        <v>46262</v>
      </c>
      <c r="C25" s="349" t="inlineStr">
        <is>
          <t>99F阁楼平台闪面与横向门板阻挡源资产修复</t>
        </is>
      </c>
      <c r="D25" s="349" t="inlineStr">
        <is>
          <t>2 Blend / 2 GLB / 2 Prefab / 2资产登记</t>
        </is>
      </c>
      <c r="E25" s="349" t="inlineStr">
        <is>
          <t>平台承重皮内收0.15米消除四边共面；横向门板显式保存三面永久碰撞并通过六条物理射线。</t>
        </is>
      </c>
      <c r="F25" s="349" t="inlineStr">
        <is>
          <t>保留5米行走面、既有楼板/栏杆碰撞、位置与旋转；v002全套保留回滚。</t>
        </is>
      </c>
      <c r="G25" s="349" t="inlineStr">
        <is>
          <t>Codex</t>
        </is>
      </c>
    </row>
    <row r="26" ht="118" customHeight="1">
      <c r="A26" s="349" t="inlineStr">
        <is>
          <t>v0.1.22</t>
        </is>
      </c>
      <c r="B26" s="349" t="n">
        <v>46262</v>
      </c>
      <c r="C26" s="349" t="inlineStr">
        <is>
          <t>场景与设施公共色盘合并</t>
        </is>
      </c>
      <c r="D26" s="349" t="inlineStr">
        <is>
          <t>35个Blend / 44个GLB / 51份重复贴图 / 2项Skill</t>
        </is>
      </c>
      <c r="E26" s="349" t="inlineStr">
        <is>
          <t>Blender母版统一外链固定色盘；GLB移除嵌图；Godot后导入脚本统一绑定；删除组件目录重复PNG。</t>
        </is>
      </c>
      <c r="F26" s="349" t="inlineStr">
        <is>
          <t>不改网格、UV、碰撞、Prefab、AssetID与玩法逻辑；旧版本GLB同样采用统一运行时贴图。</t>
        </is>
      </c>
      <c r="G26" s="349" t="inlineStr">
        <is>
          <t>Codex</t>
        </is>
      </c>
    </row>
    <row r="27" ht="118" customHeight="1">
      <c r="A27" s="349" t="inlineStr">
        <is>
          <t>v0.1.23</t>
        </is>
      </c>
      <c r="B27" s="349" t="n">
        <v>46265</v>
      </c>
      <c r="C27" s="349" t="inlineStr">
        <is>
          <t>基地设施交互与天台90×80资产对齐</t>
        </is>
      </c>
      <c r="D27" s="349" t="inlineStr">
        <is>
          <t>2项交互修复 / 2项设施移除 / 1个Blend / 1个GLB / 1个Prefab</t>
        </is>
      </c>
      <c r="E27" s="349" t="inlineStr">
        <is>
          <t>交互区域改向房间中央；移除命运占卜屋和基地管理终端；按100F真实18×16网格重制天台并为基地与楼梯间留空。</t>
        </is>
      </c>
      <c r="F27" s="349" t="inlineStr">
        <is>
          <t>不改变远征情报室与枪械工坊的位置、旋转和缩放；天台玩法碰撞继续由TowerFloorStage3D持有；v011保留回滚。</t>
        </is>
      </c>
      <c r="G27" s="349" t="inlineStr">
        <is>
          <t>Codex</t>
        </is>
      </c>
    </row>
    <row r="28" ht="118" customHeight="1">
      <c r="A28" s="349" t="inlineStr">
        <is>
          <t>v0.1.24</t>
        </is>
      </c>
      <c r="B28" s="349" t="n">
        <v>46265</v>
      </c>
      <c r="C28" s="349" t="inlineStr">
        <is>
          <t>天台东侧生活聚落集中布局</t>
        </is>
      </c>
      <c r="D28" s="349" t="inlineStr">
        <is>
          <t>1个Blend / 1个GLB / 1个Prefab / 1项聚落范围门禁</t>
        </is>
      </c>
      <c r="E28" s="349" t="inlineStr">
        <is>
          <t>将生活、种植、能源、供水、通信和杂物集中到东侧24×67米区域；增加餐食、洗衣、晾晒、串灯、盆栽和木板生活动线。</t>
        </is>
      </c>
      <c r="F28" s="349" t="inlineStr">
        <is>
          <t>不改90×80米地表、234格、基地中庭、西侧楼梯间、根缩放及碰撞归属；v012保留回滚。</t>
        </is>
      </c>
      <c r="G28" s="349" t="inlineStr">
        <is>
          <t>Codex</t>
        </is>
      </c>
    </row>
    <row r="29" ht="84" customHeight="1">
      <c r="A29" s="349" t="inlineStr">
        <is>
          <t>v0.1.25</t>
        </is>
      </c>
      <c r="B29" s="349" t="n">
        <v>46265</v>
      </c>
      <c r="C29" s="349" t="inlineStr">
        <is>
          <t>天台部件细分与独立阻挡</t>
        </is>
      </c>
      <c r="D29" s="349" t="inlineStr">
        <is>
          <t>1个Blend / 1个GLB / 1个Prefab / 64个组件目录 / 34个独立阻挡</t>
        </is>
      </c>
      <c r="E29" s="349" t="inlineStr">
        <is>
          <t>将沙发、桌子、桌面收音机及能源/种植/通信设施拆分到独立语义目录；增加Blender阻挡代理与Godot独立StaticBody3D。</t>
        </is>
      </c>
      <c r="F29" s="349" t="inlineStr">
        <is>
          <t>不改东侧聚落布局、90×80米地表、234格、基地中庭、西侧楼梯间及根缩放；v013保留回滚。</t>
        </is>
      </c>
      <c r="G29" s="349" t="inlineStr">
        <is>
          <t>Codex</t>
        </is>
      </c>
    </row>
    <row r="30" ht="118" customHeight="1">
      <c r="A30" s="349" t="inlineStr">
        <is>
          <t>v0.1.26</t>
        </is>
      </c>
      <c r="B30" s="349" t="n">
        <v>46265</v>
      </c>
      <c r="C30" s="349" t="inlineStr">
        <is>
          <t>天台贴边棚屋与标注分区</t>
        </is>
      </c>
      <c r="D30" s="349" t="inlineStr">
        <is>
          <t>1个Blend / 1个GLB / 1个Prefab / 68个组件目录 / 36个独立阻挡</t>
        </is>
      </c>
      <c r="E30" s="349" t="inlineStr">
        <is>
          <t>将0.5米抬高生活棚整体北移至天台边缘，补充小木梯、小风车与风铃；种植区、通信区按标注重新布置，黄色门前动线保持零阻挡。</t>
        </is>
      </c>
      <c r="F30" s="349" t="inlineStr">
        <is>
          <t>不改90×80米地表、234格、基地中庭、西侧楼梯间及根缩放；v014保留回滚。</t>
        </is>
      </c>
      <c r="G30" s="349" t="inlineStr">
        <is>
          <t>Codex</t>
        </is>
      </c>
    </row>
    <row r="31" ht="118" customHeight="1">
      <c r="A31" s="349" t="inlineStr">
        <is>
          <t>v0.1.27</t>
        </is>
      </c>
      <c r="B31" s="349" t="n">
        <v>46265</v>
      </c>
      <c r="C31" s="349" t="inlineStr">
        <is>
          <t>天台TSCN可编辑布局与组合碰撞</t>
        </is>
      </c>
      <c r="D31" s="349" t="inlineStr">
        <is>
          <t>1个Blend / 70个GLB / 1个Prefab / 68个可编辑组件 / 39组82形状阻挡</t>
        </is>
      </c>
      <c r="E31" s="349" t="inlineStr">
        <is>
          <t>将通信高台移至东北角、棚屋置于其西侧并保留2米净距；组件拆分到TSCN五组层级，阻挡随组件移动并按结构细分。</t>
        </is>
      </c>
      <c r="F31" s="349" t="inlineStr">
        <is>
          <t>不改90×80米地表、234格、基地中庭、西楼梯、黄色门前动线及根缩放；v015保留回滚。</t>
        </is>
      </c>
      <c r="G31" s="349" t="inlineStr">
        <is>
          <t>Codex</t>
        </is>
      </c>
    </row>
    <row r="32" ht="118" customHeight="1">
      <c r="A32" s="349" t="inlineStr">
        <is>
          <t>v0.1.28</t>
        </is>
      </c>
      <c r="B32" s="349" t="n">
        <v>46265</v>
      </c>
      <c r="C32" s="349" t="inlineStr">
        <is>
          <t>天台v017仅设施导入与原生地板恢复</t>
        </is>
      </c>
      <c r="D32" s="349" t="inlineStr">
        <is>
          <t>1个Blend / 69个GLB / 1个设施Prefab / 68个可编辑组件 / 39组82形状阻挡</t>
        </is>
      </c>
      <c r="E32" s="349" t="inlineStr">
        <is>
          <t>正式包装改为facilities_only，排除Blender地板与围护；恢复100F原生地砖、围栏和门洞；设施布局下移0.34米对齐原生地面。</t>
        </is>
      </c>
      <c r="F32" s="349" t="inlineStr">
        <is>
          <t>不改100F原生90×80米地表、234格、基地中庭、西楼梯、承重面、外围边界碰撞和设施平面布局；v016保留回滚。</t>
        </is>
      </c>
      <c r="G32" s="349" t="inlineStr">
        <is>
          <t>Codex</t>
        </is>
      </c>
    </row>
    <row r="33" ht="128" customHeight="1">
      <c r="A33" s="349" t="inlineStr">
        <is>
          <t>v0.1.29</t>
        </is>
      </c>
      <c r="B33" s="348" t="n">
        <v>46267</v>
      </c>
      <c r="C33" s="349" t="inlineStr">
        <is>
          <t>基地99F高品质微缩布局Blender母版</t>
        </is>
      </c>
      <c r="D33" s="349" t="inlineStr">
        <is>
          <t>1个Blend / 3张预览 / 4共享材质 / 240帧循环动效</t>
        </is>
      </c>
      <c r="E33" s="349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349" t="inlineStr">
        <is>
          <t>仅完成Blender源与视觉验收；未替换Godot TSCN/GLB、碰撞、交互和玩法；既有运行时与v002保留回滚。</t>
        </is>
      </c>
      <c r="G33" s="349" t="inlineStr">
        <is>
          <t>Codex</t>
        </is>
      </c>
    </row>
    <row r="34" ht="86" customHeight="1">
      <c r="A34" s="349" t="inlineStr">
        <is>
          <t>v0.1.30</t>
        </is>
      </c>
      <c r="B34" s="348" t="n">
        <v>46268</v>
      </c>
      <c r="C34" s="349" t="inlineStr">
        <is>
          <t>ENV-BASE99-ART-LAYOUT-3D</t>
        </is>
      </c>
      <c r="D34" s="349" t="inlineStr">
        <is>
          <t>基地99层Blender高品质布局v004</t>
        </is>
      </c>
      <c r="E34" s="349" t="inlineStr">
        <is>
          <t>阁楼贴东墙；铁皮封闭体内部清空；重做西侧L梯；设施从南区分散到东西墙与阁楼；移除通道箭头覆层。</t>
        </is>
      </c>
      <c r="F34" s="349" t="inlineStr">
        <is>
          <t>Blender 4.2严格验证通过：4材质，928网格，200052/200052有效PaletteUV面；三张预览人工复核通过。</t>
        </is>
      </c>
      <c r="G34" s="349" t="inlineStr">
        <is>
          <t>Codex</t>
        </is>
      </c>
      <c r="H34" s="349" t="inlineStr">
        <is>
          <t>仅更新Blender源场景与资产台账，未修改Godot运行时。</t>
        </is>
      </c>
    </row>
    <row r="35" ht="96" customHeight="1">
      <c r="A35" s="349" t="inlineStr">
        <is>
          <t>v0.1.31</t>
        </is>
      </c>
      <c r="B35" s="348" t="n">
        <v>46268</v>
      </c>
      <c r="C35" s="349" t="inlineStr">
        <is>
          <t>ENV-BASE99-ART-LAYOUT-3D</t>
        </is>
      </c>
      <c r="D35" s="349" t="inlineStr">
        <is>
          <t>基地99层西北贴墙L梯布局v005</t>
        </is>
      </c>
      <c r="E35" s="349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349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349" t="inlineStr">
        <is>
          <t>Codex</t>
        </is>
      </c>
      <c r="H35" s="349" t="inlineStr">
        <is>
          <t>Blender源场景版本增量；未修改Godot运行时、碰撞或玩法。</t>
        </is>
      </c>
    </row>
    <row r="36" ht="116" customHeight="1">
      <c r="A36" s="349" t="inlineStr">
        <is>
          <t>v0.1.32</t>
        </is>
      </c>
      <c r="B36" s="348" t="n">
        <v>46268</v>
      </c>
      <c r="C36" s="349" t="inlineStr">
        <is>
          <t>ENV-BASE99-ART-LAYOUT-3D</t>
        </is>
      </c>
      <c r="D36" s="349" t="inlineStr">
        <is>
          <t>基地99层参考图地板系统深化v006</t>
        </is>
      </c>
      <c r="E36" s="349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349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349" t="inlineStr">
        <is>
          <t>Codex</t>
        </is>
      </c>
      <c r="H36" s="349" t="inlineStr">
        <is>
          <t>Blender源场景版本增量；南/东墙设施未重做，楼梯、墙体、设备位置与Godot运行时/碰撞/玩法均未修改。</t>
        </is>
      </c>
    </row>
    <row r="37" ht="132" customHeight="1">
      <c r="A37" s="349" t="inlineStr">
        <is>
          <t>v0.1.33</t>
        </is>
      </c>
      <c r="B37" s="348" t="n">
        <v>46268</v>
      </c>
      <c r="C37" s="349" t="inlineStr">
        <is>
          <t>ENV-BASE99-ART-LAYOUT-3D</t>
        </is>
      </c>
      <c r="D37" s="349" t="inlineStr">
        <is>
          <t>基地99层资产包文件夹归类v007</t>
        </is>
      </c>
      <c r="E37" s="349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349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349" t="inlineStr">
        <is>
          <t>Codex</t>
        </is>
      </c>
      <c r="H37" s="349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>
      <c r="A38" s="349" t="inlineStr">
        <is>
          <t>v0.1.34</t>
        </is>
      </c>
      <c r="B38" s="348" t="n">
        <v>46268</v>
      </c>
      <c r="C38" s="349" t="inlineStr">
        <is>
          <t>ENV-BASE99-ART-LAYOUT-3D</t>
        </is>
      </c>
      <c r="D38" s="349" t="inlineStr">
        <is>
          <t>基地99层南面设施高还原深化v008</t>
        </is>
      </c>
      <c r="E38" s="349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349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349" t="inlineStr">
        <is>
          <t>Codex</t>
        </is>
      </c>
      <c r="H38" s="349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>
      <c r="A39" s="349" t="inlineStr">
        <is>
          <t>v0.1.35</t>
        </is>
      </c>
      <c r="B39" s="348" t="n">
        <v>46268</v>
      </c>
      <c r="C39" s="349" t="inlineStr">
        <is>
          <t>ENV-BASE99-ART-LAYOUT-3D</t>
        </is>
      </c>
      <c r="D39" s="349" t="inlineStr">
        <is>
          <t>基地99层东面设施高还原深化v009</t>
        </is>
      </c>
      <c r="E39" s="349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349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349" t="inlineStr">
        <is>
          <t>Codex</t>
        </is>
      </c>
      <c r="H39" s="349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5" customHeight="1">
      <c r="A40" s="349" t="inlineStr">
        <is>
          <t>v0.1.36</t>
        </is>
      </c>
      <c r="B40" s="348" t="n">
        <v>46268</v>
      </c>
      <c r="C40" s="349" t="inlineStr">
        <is>
          <t>ENV-BASE99-ART-LAYOUT-3D</t>
        </is>
      </c>
      <c r="D40" s="349" t="inlineStr">
        <is>
          <t>基地99层二楼设施与楼梯高还原深化v010</t>
        </is>
      </c>
      <c r="E40" s="349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349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349" t="inlineStr">
        <is>
          <t>Codex</t>
        </is>
      </c>
      <c r="H40" s="349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5" customHeight="1">
      <c r="A41" s="349" t="inlineStr">
        <is>
          <t>v0.1.37</t>
        </is>
      </c>
      <c r="B41" s="348" t="n">
        <v>46268</v>
      </c>
      <c r="C41" s="349" t="inlineStr">
        <is>
          <t>ENV-BASE99-ART-LAYOUT-3D</t>
        </is>
      </c>
      <c r="D41" s="349" t="inlineStr">
        <is>
          <t>基地99层二楼与楼梯参考图高还原迭代v011</t>
        </is>
      </c>
      <c r="E41" s="349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349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349" t="inlineStr">
        <is>
          <t>Codex</t>
        </is>
      </c>
      <c r="H41" s="349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>
      <c r="A42" t="inlineStr">
        <is>
          <t>v0.1.38</t>
        </is>
      </c>
      <c r="B42" s="350" t="n">
        <v>46269</v>
      </c>
      <c r="C42" t="inlineStr">
        <is>
          <t>ENV-BASE99-ART-LAYOUT-3D</t>
        </is>
      </c>
      <c r="D42" t="inlineStr">
        <is>
          <t>Blender 基地设施布局 v016</t>
        </is>
      </c>
      <c r="E42" s="349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349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349" t="inlineStr">
        <is>
          <t>Codex</t>
        </is>
      </c>
      <c r="H42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>
      <c r="A43" t="inlineStr">
        <is>
          <t>v0.1.39</t>
        </is>
      </c>
      <c r="B43" s="350" t="n">
        <v>46269</v>
      </c>
      <c r="C43" t="inlineStr">
        <is>
          <t>ENV-BASE99-ART-LAYOUT-3D</t>
        </is>
      </c>
      <c r="D43" t="inlineStr">
        <is>
          <t>Blender 基地设施归类与灯光归属 v017</t>
        </is>
      </c>
      <c r="E43" s="349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349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349" t="inlineStr">
        <is>
          <t>Codex</t>
        </is>
      </c>
      <c r="H43" s="349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>
      <c r="A44" t="inlineStr">
        <is>
          <t>v0.1.40</t>
        </is>
      </c>
      <c r="B44" s="350" t="n">
        <v>46269</v>
      </c>
      <c r="C44" t="inlineStr">
        <is>
          <t>ENV-BASE99-ART-LAYOUT-3D</t>
        </is>
      </c>
      <c r="D44" t="inlineStr">
        <is>
          <t>基地99层独立资产包逐项登记</t>
        </is>
      </c>
      <c r="E44" s="349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349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349" t="inlineStr">
        <is>
          <t>Codex</t>
        </is>
      </c>
      <c r="H44" s="349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>
      <c r="A45" t="inlineStr">
        <is>
          <t>v0.1.41</t>
        </is>
      </c>
      <c r="B45" s="350" t="n">
        <v>46269</v>
      </c>
      <c r="C45" t="inlineStr">
        <is>
          <t>ENV-BASE99-ART-LAYOUT-3D</t>
        </is>
      </c>
      <c r="D45" t="inlineStr">
        <is>
          <t>v017 东墙门体规格与 SUPPLY 24H 位置纠正</t>
        </is>
      </c>
      <c r="E45" s="349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349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349" t="inlineStr">
        <is>
          <t>Codex</t>
        </is>
      </c>
      <c r="H45" s="349" t="inlineStr">
        <is>
          <t>Blender 源场景和目录/manifest/资产账本已更新；未新增独立 GLB、碰撞、LOD 或 PackedScene，运行时门碰撞仍归 RoomDoor3D。</t>
        </is>
      </c>
    </row>
    <row r="46" ht="72" customHeight="1">
      <c r="A46" t="inlineStr">
        <is>
          <t>v0.1.42</t>
        </is>
      </c>
      <c r="B46" s="350" t="n">
        <v>46269</v>
      </c>
      <c r="C46" t="inlineStr">
        <is>
          <t>ENV-BASE99-ART-LAYOUT-3D</t>
        </is>
      </c>
      <c r="D46" t="inlineStr">
        <is>
          <t>v017 东墙带门组件组纠正</t>
        </is>
      </c>
      <c r="E46" s="349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349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349" t="inlineStr">
        <is>
          <t>Codex</t>
        </is>
      </c>
      <c r="H46" s="349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>
      <c r="A47" t="inlineStr">
        <is>
          <t>v0.1.43</t>
        </is>
      </c>
      <c r="B47" s="350" t="n">
        <v>46269</v>
      </c>
      <c r="C47" t="inlineStr">
        <is>
          <t>ENV-BASE99-ART-LAYOUT-3D</t>
        </is>
      </c>
      <c r="D47" t="inlineStr">
        <is>
          <t>v017 东墙北南墙格与 SUPPLY 24H 位置交换</t>
        </is>
      </c>
      <c r="E47" s="349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349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349" t="inlineStr">
        <is>
          <t>Codex</t>
        </is>
      </c>
      <c r="H47" s="349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6" customHeight="1">
      <c r="A48" t="inlineStr">
        <is>
          <t>v0.1.44</t>
        </is>
      </c>
      <c r="B48" s="350" t="n">
        <v>46269</v>
      </c>
      <c r="C48" t="inlineStr">
        <is>
          <t>ENV-BASE99-ART-LAYOUT-3D</t>
        </is>
      </c>
      <c r="D48" t="inlineStr">
        <is>
          <t>v017 北段人员门参考图高还原深化</t>
        </is>
      </c>
      <c r="E48" s="349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349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349" t="inlineStr">
        <is>
          <t>Codex</t>
        </is>
      </c>
      <c r="H48" s="349" t="inlineStr">
        <is>
          <t>仅更新 Blender 源场景、门资产包清单、catalog 与资产账本；未新增独立 GLB、碰撞、LOD 或 PackedScene。运行时门碰撞仍归 RoomDoor3D。</t>
        </is>
      </c>
    </row>
    <row r="49" ht="76" customHeight="1">
      <c r="A49" t="inlineStr">
        <is>
          <t>v0.1.45</t>
        </is>
      </c>
      <c r="B49" s="350" t="n">
        <v>46269</v>
      </c>
      <c r="C49" t="inlineStr">
        <is>
          <t>ENV-BASE99-ART-LAYOUT-3D</t>
        </is>
      </c>
      <c r="D49" t="inlineStr">
        <is>
          <t>v017 北段带门墙模块门框深化</t>
        </is>
      </c>
      <c r="E49" s="349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349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349" t="inlineStr">
        <is>
          <t>Codex</t>
        </is>
      </c>
      <c r="H49" s="349" t="inlineStr">
        <is>
          <t>仅更新 Blender 源场景、墙模块资产包清单、catalog 与资产账本；未新增独立 GLB、碰撞、LOD 或 PackedScene。运行时门碰撞仍归 RoomDoor3D。</t>
        </is>
      </c>
    </row>
    <row r="50" ht="76" customHeight="1">
      <c r="A50" t="inlineStr">
        <is>
          <t>v0.1.46</t>
        </is>
      </c>
      <c r="B50" s="350" t="n">
        <v>46269</v>
      </c>
      <c r="C50" t="inlineStr">
        <is>
          <t>ENV-BASE99-WALL-DOOR-5X9 / ENV-BASE99-DOOR-LIFT-22X25</t>
        </is>
      </c>
      <c r="D50" t="inlineStr">
        <is>
          <t>v017 西侧第三段带门组件对齐</t>
        </is>
      </c>
      <c r="E50" s="349" t="inlineStr">
        <is>
          <t>西侧带门墙由北向南第四段修正至第三段：Blender (-15,+2.5,0) 对应游戏 (-15,-9,+2.5)。墙模块复用已验收东侧门框，门扇复用既有通用滑升门。</t>
        </is>
      </c>
      <c r="F50" s="349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349" t="inlineStr">
        <is>
          <t>Codex</t>
        </is>
      </c>
      <c r="H50" s="349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80" customHeight="1">
      <c r="A51" t="inlineStr">
        <is>
          <t>v0.1.47</t>
        </is>
      </c>
      <c r="B51" s="350" t="n">
        <v>46269</v>
      </c>
      <c r="C51" t="inlineStr">
        <is>
          <t>ENV-BASE99-WALL-DOOR-5X9 / ENV-BASE99-DOOR-LIFT-22X25</t>
        </is>
      </c>
      <c r="D51" t="inlineStr">
        <is>
          <t>v017 西侧带门墙双面对齐模型迭代</t>
        </is>
      </c>
      <c r="E51" s="349" t="inlineStr">
        <is>
          <t>修复西侧门墙中心偏移与门框脱离：5×9m墙芯回归相邻西墙共用中心线；门框改为归属墙模块的双面闭合结构，门扇改为双面加厚滑升门。</t>
        </is>
      </c>
      <c r="F51" s="349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349" t="inlineStr">
        <is>
          <t>Codex</t>
        </is>
      </c>
      <c r="H51" s="349" t="inlineStr">
        <is>
          <t>仅更新 v017 Blender 源场景、两套资产包清单、组件组清单、catalog 与台账；未覆盖正式 GLB 或 PackedScene。</t>
        </is>
      </c>
    </row>
    <row r="52" ht="80" customHeight="1">
      <c r="A52" t="inlineStr">
        <is>
          <t>v0.1.48</t>
        </is>
      </c>
      <c r="B52" s="350" t="n">
        <v>46269</v>
      </c>
      <c r="C52" t="inlineStr">
        <is>
          <t>ENV-BASE99-WALL-DOOR-5X9 / ENV-BASE99-DOOR-LIFT-22X25</t>
        </is>
      </c>
      <c r="D52" t="inlineStr">
        <is>
          <t>v017 东侧复用西侧双面带门墙</t>
        </is>
      </c>
      <c r="E52" s="349" t="inlineStr">
        <is>
          <t>东侧带门墙模块与滑升门改为西侧已验收双面模型的独立网格副本；保持东侧反向墙朝向、中心线和运行时组件映射。</t>
        </is>
      </c>
      <c r="F52" s="349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349" t="inlineStr">
        <is>
          <t>Codex</t>
        </is>
      </c>
      <c r="H52" s="349" t="inlineStr">
        <is>
          <t>仅更新 v017 Blender 源场景、两个既有资产包清单、东侧组件组清单、catalog 与台账；未覆盖正式 GLB 或 PackedScene。</t>
        </is>
      </c>
    </row>
    <row r="53" ht="80" customHeight="1">
      <c r="A53" t="inlineStr">
        <is>
          <t>v0.1.49</t>
        </is>
      </c>
      <c r="B53" s="350" t="n">
        <v>46269</v>
      </c>
      <c r="C53" t="inlineStr">
        <is>
          <t>ENV-BASE99-WALL-DOOR-5X9</t>
        </is>
      </c>
      <c r="D53" t="inlineStr">
        <is>
          <t>v017 东侧带门墙 PaletteUV 对齐</t>
        </is>
      </c>
      <c r="E53" s="349" t="inlineStr">
        <is>
          <t>仅将 east_door_wall_module 的50个主体哑光墙面从 PaletteUV (9,5) 对齐到相邻东墙使用的 (9,9)，消除偏白色差。</t>
        </is>
      </c>
      <c r="F53" s="349" t="inlineStr">
        <is>
          <t>门框、门扇、灯光、结构、坐标、朝向、独立资产包与其他设施不变；输出和源镜像同步，范围外 6,008 个对象的变换及 PaletteUV 不变。</t>
        </is>
      </c>
      <c r="G53" s="349" t="inlineStr">
        <is>
          <t>Codex</t>
        </is>
      </c>
      <c r="H53" s="349" t="inlineStr">
        <is>
          <t>仅更新 v017 Blender 源场景、东侧门墙资产清单、catalog 与台账；未覆盖正式 GLB 或 PackedScene。</t>
        </is>
      </c>
    </row>
    <row r="54" ht="84" customHeight="1">
      <c r="A54" t="inlineStr">
        <is>
          <t>v0.1.50</t>
        </is>
      </c>
      <c r="B54" s="350" t="n">
        <v>46269</v>
      </c>
      <c r="C54" t="inlineStr">
        <is>
          <t>BPK-BASE99-LOFT-BED-AND-BEDDING / BPK-BASE99-LOFT-LOUNGE-RUG / BPK-BASE99-LOFT-FLOOR-FINISH</t>
        </is>
      </c>
      <c r="D54" t="inlineStr">
        <is>
          <t>v017 二楼床铺、桌毯与可见地板局部深化</t>
        </is>
      </c>
      <c r="E54" s="349" t="inlineStr">
        <is>
          <t>床铺加宽至床架5.45m、床垫5.20m；桌毯改为暖红、青绿、紫灰、暖橙多色层次；二楼可见地板从阁楼主体拆为独立地面系统包。</t>
        </is>
      </c>
      <c r="F54" s="349" t="inlineStr">
        <is>
          <t>仅3个资产包及其源镜像；床37、桌毯13、地板11对象，源输出数量一致；PaletteUV、独占归属和范围锁均验收通过。</t>
        </is>
      </c>
      <c r="G54" s="349" t="inlineStr">
        <is>
          <t>Codex</t>
        </is>
      </c>
      <c r="H54" s="349" t="inlineStr">
        <is>
          <t>未改楼梯、栏杆、沙发、工位、咖啡桌本体或一楼资产；未导出GLB/PackedScene。</t>
        </is>
      </c>
    </row>
    <row r="55" ht="84" customHeight="1">
      <c r="A55" t="inlineStr">
        <is>
          <t>v0.1.51</t>
        </is>
      </c>
      <c r="B55" s="350" t="n">
        <v>46269</v>
      </c>
      <c r="C55" t="inlineStr">
        <is>
          <t>BPK-BASE99-LOFT-BED-AND-BEDDING / BPK-BASE99-LOFT-LOUNGE-RUG / BPK-BASE99-LOFT-FLOOR-FINISH</t>
        </is>
      </c>
      <c r="D55" t="inlineStr">
        <is>
          <t>v017 二楼床铺、桌毯与地板参考图纠正</t>
        </is>
      </c>
      <c r="E55" s="349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349" t="inlineStr">
        <is>
          <t>仅重做3个资产包及其源镜像。床37、桌毯13、地板11对象，源输出数量一致；桌毯未再被地面分区覆盖；PaletteUV、独占归属和范围锁通过。</t>
        </is>
      </c>
      <c r="G55" s="349" t="inlineStr">
        <is>
          <t>Codex</t>
        </is>
      </c>
      <c r="H55" s="349" t="inlineStr">
        <is>
          <t>未改楼梯、栏杆、沙发、工位、咖啡桌本体或一楼资产。未导出GLB/PackedScene。</t>
        </is>
      </c>
    </row>
  </sheetData>
  <mergeCells count="2">
    <mergeCell ref="A3:G3"/>
    <mergeCell ref="A1: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5" customWidth="1" min="4" max="4"/>
    <col width="15" customWidth="1" min="5" max="5"/>
    <col width="13" customWidth="1" min="6" max="6"/>
    <col width="58" customWidth="1" min="7" max="7"/>
    <col width="34" customWidth="1" min="8" max="8"/>
    <col width="10" customWidth="1" min="9" max="9"/>
    <col width="12" customWidth="1" min="10" max="10"/>
    <col width="15" customWidth="1" min="11" max="11"/>
    <col width="25" customWidth="1" min="12" max="12"/>
    <col width="26" customWidth="1" min="13" max="13"/>
    <col width="28" customWidth="1" min="14" max="14"/>
    <col width="22" customWidth="1" min="15" max="15"/>
    <col width="10" customWidth="1" min="16" max="16"/>
    <col width="42" customWidth="1" min="17" max="17"/>
  </cols>
  <sheetData>
    <row r="1" ht="30" customHeight="1">
      <c r="A1" s="311" t="inlineStr">
        <is>
          <t>ShellStorm2 · 3D Prefab 分类索引</t>
        </is>
      </c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</row>
    <row r="2" ht="34" customHeight="1">
      <c r="A2" s="312" t="inlineStr">
        <is>
          <t>详细Prefab按分类进入独立分页；场景与固定设施统一使用项目公共色盘，不在模型目录复制贴图。</t>
        </is>
      </c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</row>
    <row r="3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  <c r="Q3" s="349" t="n"/>
    </row>
    <row r="4" ht="28" customHeight="1">
      <c r="A4" s="313" t="inlineStr">
        <is>
          <t>分类</t>
        </is>
      </c>
      <c r="B4" s="313" t="inlineStr">
        <is>
          <t>分页</t>
        </is>
      </c>
      <c r="C4" s="313" t="inlineStr">
        <is>
          <t>Prefab数量</t>
        </is>
      </c>
      <c r="D4" s="313" t="inlineStr">
        <is>
          <t>直接引用GLB</t>
        </is>
      </c>
      <c r="E4" s="313" t="inlineStr">
        <is>
          <t>有功能脚本</t>
        </is>
      </c>
      <c r="F4" s="313" t="inlineStr">
        <is>
          <t>碰撞开启</t>
        </is>
      </c>
      <c r="G4" s="313" t="inlineStr">
        <is>
          <t>说明</t>
        </is>
      </c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</row>
    <row r="5" ht="32" customHeight="1">
      <c r="A5" s="276" t="inlineStr">
        <is>
          <t>场景通用组件</t>
        </is>
      </c>
      <c r="B5" s="277" t="inlineStr">
        <is>
          <t>3D-场景通用</t>
        </is>
      </c>
      <c r="C5" s="277" t="n">
        <v>55</v>
      </c>
      <c r="D5" s="277" t="n">
        <v>13</v>
      </c>
      <c r="E5" s="277" t="n">
        <v>55</v>
      </c>
      <c r="F5" s="277" t="n">
        <v>39</v>
      </c>
      <c r="G5" s="278" t="inlineStr">
        <is>
          <t>关卡结构、地板、墙体、走廊、楼梯、楼板与环境套件</t>
        </is>
      </c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</row>
    <row r="6" ht="32" customHeight="1">
      <c r="A6" s="279" t="inlineStr">
        <is>
          <t>设施组件</t>
        </is>
      </c>
      <c r="B6" s="280" t="inlineStr">
        <is>
          <t>3D-设施</t>
        </is>
      </c>
      <c r="C6" s="280" t="n">
        <v>17</v>
      </c>
      <c r="D6" s="280" t="n">
        <v>7</v>
      </c>
      <c r="E6" s="280" t="n">
        <v>16</v>
      </c>
      <c r="F6" s="280" t="n">
        <v>15</v>
      </c>
      <c r="G6" s="281" t="inlineStr">
        <is>
          <t>门扇、灯具、开关、终端、工作台、储物与服务设施</t>
        </is>
      </c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</row>
    <row r="7" ht="32" customHeight="1">
      <c r="A7" s="279" t="inlineStr">
        <is>
          <t>道具</t>
        </is>
      </c>
      <c r="B7" s="280" t="inlineStr">
        <is>
          <t>3D-道具</t>
        </is>
      </c>
      <c r="C7" s="280">
        <f>COUNTA('3D-道具'!$A$5:$A$204)</f>
        <v/>
      </c>
      <c r="D7" s="280">
        <f>COUNTIF('3D-道具'!$D$5:$D$204,"&lt;&gt;")</f>
        <v/>
      </c>
      <c r="E7" s="280">
        <f>COUNTIF('3D-道具'!$G$5:$G$204,"&lt;&gt;")</f>
        <v/>
      </c>
      <c r="F7" s="280">
        <f>COUNTIF('3D-道具'!$H$5:$H$204,"开")</f>
        <v/>
      </c>
      <c r="G7" s="281" t="inlineStr">
        <is>
          <t>桌椅、家具、容器和摆放装饰物</t>
        </is>
      </c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</row>
    <row r="8" ht="32" customHeight="1">
      <c r="A8" s="279" t="inlineStr">
        <is>
          <t>角色</t>
        </is>
      </c>
      <c r="B8" s="280" t="inlineStr">
        <is>
          <t>3D-角色</t>
        </is>
      </c>
      <c r="C8" s="280" t="n">
        <v>4</v>
      </c>
      <c r="D8" s="280" t="n">
        <v>1</v>
      </c>
      <c r="E8" s="280" t="n">
        <v>3</v>
      </c>
      <c r="F8" s="280" t="n">
        <v>1</v>
      </c>
      <c r="G8" s="281" t="inlineStr">
        <is>
          <t>玩家、NPC与角色表现/玩法根</t>
        </is>
      </c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</row>
    <row r="9" ht="32" customHeight="1">
      <c r="A9" s="279" t="inlineStr">
        <is>
          <t>敌人</t>
        </is>
      </c>
      <c r="B9" s="280" t="inlineStr">
        <is>
          <t>3D-敌人</t>
        </is>
      </c>
      <c r="C9" s="280">
        <f>COUNTA('3D-敌人'!$A$5:$A$204)</f>
        <v/>
      </c>
      <c r="D9" s="280">
        <f>COUNTIF('3D-敌人'!$D$5:$D$204,"&lt;&gt;")</f>
        <v/>
      </c>
      <c r="E9" s="280">
        <f>COUNTIF('3D-敌人'!$G$5:$G$204,"&lt;&gt;")</f>
        <v/>
      </c>
      <c r="F9" s="280">
        <f>COUNTIF('3D-敌人'!$H$5:$H$204,"开")</f>
        <v/>
      </c>
      <c r="G9" s="281" t="inlineStr">
        <is>
          <t>普通敌人、精英、Boss与敌人共用根</t>
        </is>
      </c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</row>
    <row r="10" ht="32" customHeight="1">
      <c r="A10" s="279" t="inlineStr">
        <is>
          <t>武器</t>
        </is>
      </c>
      <c r="B10" s="280" t="inlineStr">
        <is>
          <t>3D-武器</t>
        </is>
      </c>
      <c r="C10" s="280">
        <f>COUNTA('3D-武器'!$A$5:$A$204)</f>
        <v/>
      </c>
      <c r="D10" s="280">
        <f>COUNTIF('3D-武器'!$D$5:$D$204,"&lt;&gt;")</f>
        <v/>
      </c>
      <c r="E10" s="280">
        <f>COUNTIF('3D-武器'!$G$5:$G$204,"&lt;&gt;")</f>
        <v/>
      </c>
      <c r="F10" s="280">
        <f>COUNTIF('3D-武器'!$H$5:$H$204,"开")</f>
        <v/>
      </c>
      <c r="G10" s="281" t="inlineStr">
        <is>
          <t>枪械、近战武器与武器装配根</t>
        </is>
      </c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</row>
    <row r="11" ht="32" customHeight="1">
      <c r="A11" s="279" t="inlineStr">
        <is>
          <t>物品</t>
        </is>
      </c>
      <c r="B11" s="280" t="inlineStr">
        <is>
          <t>3D-物品</t>
        </is>
      </c>
      <c r="C11" s="280">
        <f>COUNTA('3D-物品'!$A$5:$A$204)</f>
        <v/>
      </c>
      <c r="D11" s="280">
        <f>COUNTIF('3D-物品'!$D$5:$D$204,"&lt;&gt;")</f>
        <v/>
      </c>
      <c r="E11" s="280">
        <f>COUNTIF('3D-物品'!$G$5:$G$204,"&lt;&gt;")</f>
        <v/>
      </c>
      <c r="F11" s="280">
        <f>COUNTIF('3D-物品'!$H$5:$H$204,"开")</f>
        <v/>
      </c>
      <c r="G11" s="281" t="inlineStr">
        <is>
          <t>拥有独立PackedScene的拾取物、消耗品、钥匙和掉落物</t>
        </is>
      </c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</row>
    <row r="12" ht="32" customHeight="1">
      <c r="A12" s="279" t="inlineStr">
        <is>
          <t>特效</t>
        </is>
      </c>
      <c r="B12" s="280" t="inlineStr">
        <is>
          <t>3D-特效</t>
        </is>
      </c>
      <c r="C12" s="280">
        <f>COUNTA('3D-特效'!$A$5:$A$204)</f>
        <v/>
      </c>
      <c r="D12" s="280">
        <f>COUNTIF('3D-特效'!$D$5:$D$204,"&lt;&gt;")</f>
        <v/>
      </c>
      <c r="E12" s="280">
        <f>COUNTIF('3D-特效'!$G$5:$G$204,"&lt;&gt;")</f>
        <v/>
      </c>
      <c r="F12" s="280">
        <f>COUNTIF('3D-特效'!$H$5:$H$204,"开")</f>
        <v/>
      </c>
      <c r="G12" s="281" t="inlineStr">
        <is>
          <t>可独立实例化的3D战斗、环境和可见性特效</t>
        </is>
      </c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</row>
    <row r="13" ht="32" customHeight="1">
      <c r="A13" s="279" t="inlineStr">
        <is>
          <t>其他</t>
        </is>
      </c>
      <c r="B13" s="280" t="inlineStr">
        <is>
          <t>3D-其他</t>
        </is>
      </c>
      <c r="C13" s="280">
        <f>COUNTA('3D-其他'!$A$5:$A$204)</f>
        <v/>
      </c>
      <c r="D13" s="280">
        <f>COUNTIF('3D-其他'!$D$5:$D$204,"&lt;&gt;")</f>
        <v/>
      </c>
      <c r="E13" s="280">
        <f>COUNTIF('3D-其他'!$G$5:$G$204,"&lt;&gt;")</f>
        <v/>
      </c>
      <c r="F13" s="280">
        <f>COUNTIF('3D-其他'!$H$5:$H$204,"开")</f>
        <v/>
      </c>
      <c r="G13" s="281" t="inlineStr">
        <is>
          <t>无法归入以上分类的独立3D Prefab</t>
        </is>
      </c>
      <c r="H13" s="349" t="n"/>
      <c r="I13" s="349" t="n"/>
      <c r="J13" s="349" t="n"/>
      <c r="K13" s="349" t="n"/>
      <c r="L13" s="349" t="n"/>
      <c r="M13" s="349" t="n"/>
      <c r="N13" s="349" t="n"/>
      <c r="O13" s="349" t="n"/>
      <c r="P13" s="349" t="n"/>
      <c r="Q13" s="349" t="n"/>
    </row>
    <row r="14" ht="32" customHeight="1">
      <c r="A14" s="314" t="inlineStr">
        <is>
          <t>合计</t>
        </is>
      </c>
      <c r="B14" s="315" t="inlineStr">
        <is>
          <t>9个分类分页</t>
        </is>
      </c>
      <c r="C14" s="315" t="n">
        <v>113</v>
      </c>
      <c r="D14" s="315" t="n">
        <v>41</v>
      </c>
      <c r="E14" s="315" t="n">
        <v>101</v>
      </c>
      <c r="F14" s="315" t="n">
        <v>58</v>
      </c>
      <c r="G14" s="316" t="inlineStr">
        <is>
          <t>更新日期：2026-09-11；3D-特效 sheet 共 10 条（3 条完成 + 7 条待落地）；合计 113</t>
        </is>
      </c>
      <c r="H14" s="349" t="n"/>
      <c r="I14" s="349" t="n"/>
      <c r="J14" s="349" t="n"/>
      <c r="K14" s="349" t="n"/>
      <c r="L14" s="349" t="n"/>
      <c r="M14" s="349" t="n"/>
      <c r="N14" s="349" t="n"/>
      <c r="O14" s="349" t="n"/>
      <c r="P14" s="349" t="n"/>
      <c r="Q14" s="349" t="n"/>
    </row>
  </sheetData>
  <mergeCells count="2">
    <mergeCell ref="A2:G2"/>
    <mergeCell ref="A1:G1"/>
  </mergeCells>
  <dataValidations count="6">
    <dataValidation sqref="H5:H200" showDropDown="0" showInputMessage="0" showErrorMessage="0" allowBlank="0" type="list">
      <formula1>"开,关,无"</formula1>
    </dataValidation>
    <dataValidation sqref="I5:I200" showDropDown="0" showInputMessage="0" showErrorMessage="0" allowBlank="0" type="list">
      <formula1>"开,关,无"</formula1>
    </dataValidation>
    <dataValidation sqref="N5:N200" showDropDown="0" showInputMessage="0" showErrorMessage="0" allowBlank="0" type="list">
      <formula1>"待制作,程序占位,正式美术已入库/待接入,原型已接入,正式美术已接入,已完成,弃用"</formula1>
    </dataValidation>
    <dataValidation sqref="C5:C200" showDropDown="0" showInputMessage="0" showErrorMessage="0" allowBlank="0" type="list">
      <formula1>"场景通用组件,设施组件,道具,角色,敌人,武器,物品,特效,其他"</formula1>
    </dataValidation>
    <dataValidation sqref="J5:J200" showDropDown="0" showInputMessage="0" showErrorMessage="0" allowBlank="0" type="list">
      <formula1>"Prefab自身,外部脚本,混合,无"</formula1>
    </dataValidation>
    <dataValidation sqref="O5:O20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场景通用组件 3D Prefab</t>
        </is>
      </c>
    </row>
    <row r="2" ht="34" customHeight="1">
      <c r="A2" s="145" t="inlineStr">
        <is>
          <t>关卡结构、地板、墙体、走廊、楼梯与楼板；场景模型统一引用 assets/art/shared/palette/设施低亮多巴胺色盘_10x10_512.png。</t>
        </is>
      </c>
    </row>
    <row r="3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ENV-BASE99-ART-LAYOUT-3D</t>
        </is>
      </c>
      <c r="B5" s="189" t="inlineStr">
        <is>
          <t>基地99层美术布局参考</t>
        </is>
      </c>
      <c r="C5" s="189" t="inlineStr">
        <is>
          <t>assets/art/environments/base_facility_3d/runtime/env_base_facility_art_layout_top3d_v001.tscn</t>
        </is>
      </c>
      <c r="D5" s="189" t="str"/>
      <c r="E5" s="189" t="str"/>
      <c r="F5" s="189" t="inlineStr">
        <is>
          <t>Godot原生场景结构Prefab；由关卡脚本按模块实例化</t>
        </is>
      </c>
      <c r="G5" s="189" t="inlineStr">
        <is>
          <t>src/world3d/DungeonRoom3D.gd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未声明</t>
        </is>
      </c>
      <c r="L5" s="189" t="inlineStr">
        <is>
          <t>未声明</t>
        </is>
      </c>
      <c r="M5" s="189" t="inlineStr">
        <is>
          <t>场景通用组件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t>
        </is>
      </c>
    </row>
    <row r="6" ht="66" customHeight="1">
      <c r="A6" s="191" t="inlineStr">
        <is>
          <t>ENV-BASE99-WALL-PLAIN-5X9</t>
        </is>
      </c>
      <c r="B6" s="192" t="inlineStr">
        <is>
          <t>基地99层普通墙体5×9米</t>
        </is>
      </c>
      <c r="C6" s="192" t="inlineStr">
        <is>
          <t>assets/art/environments/base_facility_3d/runtime/env_base99_wall_plain_5x9/env_base99_wall_plain_5x9_root_top3d_v001.tscn</t>
        </is>
      </c>
      <c r="D6" s="192" t="inlineStr">
        <is>
          <t>assets/art/environments/base_facility_3d/components/env_base99_wall_plain_5x9/env_base99_wall_plain_5x9_visual_top3d_v001.glb</t>
        </is>
      </c>
      <c r="E6" s="192" t="inlineStr">
        <is>
          <t>assets/art/environments/base_facility_3d/source/env_base99_modular_room/env_base99_modular_room_assets_clean_v001.blend</t>
        </is>
      </c>
      <c r="F6" s="192" t="inlineStr">
        <is>
          <t>Godot原生场景结构Prefab；由关卡脚本按模块实例化</t>
        </is>
      </c>
      <c r="G6" s="192" t="inlineStr">
        <is>
          <t>src/world3d/DungeonRoom3D.gd</t>
        </is>
      </c>
      <c r="H6" s="192" t="inlineStr">
        <is>
          <t>开</t>
        </is>
      </c>
      <c r="I6" s="192" t="inlineStr">
        <is>
          <t>外部脚本</t>
        </is>
      </c>
      <c r="J6" s="192" t="inlineStr">
        <is>
          <t>BoxShape3D</t>
        </is>
      </c>
      <c r="K6" s="192" t="inlineStr">
        <is>
          <t>GLB；5×9×0.36m视觉外廓；底边中心原点；2材质表面；无碰撞</t>
        </is>
      </c>
      <c r="L6" s="192" t="inlineStr">
        <is>
          <t>bottom_center；-Z</t>
        </is>
      </c>
      <c r="M6" s="192" t="inlineStr">
        <is>
          <t>99层基地普通直墙</t>
        </is>
      </c>
      <c r="N6" s="192" t="inlineStr">
        <is>
          <t>正式美术已接入</t>
        </is>
      </c>
      <c r="O6" s="192" t="inlineStr">
        <is>
          <t>v001</t>
        </is>
      </c>
      <c r="P6" s="193" t="inlineStr">
        <is>
          <t>根节点=基地99层普通墙体5x9米(Node3D)</t>
        </is>
      </c>
    </row>
    <row r="7" ht="66" customHeight="1">
      <c r="A7" s="191" t="inlineStr">
        <is>
          <t>ENV-BASE-WORLD-KIT-3D</t>
        </is>
      </c>
      <c r="B7" s="192" t="inlineStr">
        <is>
          <t>入口基地3D环境套件</t>
        </is>
      </c>
      <c r="C7" s="192" t="inlineStr">
        <is>
          <t>assets/art/environments/base_world_3d/env_base_world_kit_top3d_v001.tscn</t>
        </is>
      </c>
      <c r="D7" s="192" t="str"/>
      <c r="E7" s="192" t="str"/>
      <c r="F7" s="192" t="inlineStr">
        <is>
          <t>Godot原生场景结构Prefab；由关卡脚本按模块实例化</t>
        </is>
      </c>
      <c r="G7" s="192" t="inlineStr">
        <is>
          <t>src/base3d/BaseWorld3DEnvironment.gd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脚本生成</t>
        </is>
      </c>
      <c r="K7" s="192" t="inlineStr">
        <is>
          <t>约1:100迁移/程序几何</t>
        </is>
      </c>
      <c r="L7" s="192" t="inlineStr">
        <is>
          <t>未声明</t>
        </is>
      </c>
      <c r="M7" s="192" t="inlineStr">
        <is>
          <t>入口基地地图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根节点=BaseWorld3DEnvironment(Node3D)</t>
        </is>
      </c>
    </row>
    <row r="8" ht="66" customHeight="1">
      <c r="A8" s="191" t="inlineStr">
        <is>
          <t>ENV-DUNGEON-RUNTIME-3D</t>
        </is>
      </c>
      <c r="B8" s="192" t="inlineStr">
        <is>
          <t>3D随机关卡通用房间套件</t>
        </is>
      </c>
      <c r="C8" s="192" t="inlineStr">
        <is>
          <t>assets/art/environments/dungeon_3d/env_dungeon_runtime_kit_top3d_v001.tscn</t>
        </is>
      </c>
      <c r="D8" s="192" t="str"/>
      <c r="E8" s="192" t="str"/>
      <c r="F8" s="192" t="inlineStr">
        <is>
          <t>Godot原生场景结构Prefab；由关卡脚本按模块实例化</t>
        </is>
      </c>
      <c r="G8" s="192" t="inlineStr">
        <is>
          <t>src/world3d/DungeonRoom3D.gd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脚本生成</t>
        </is>
      </c>
      <c r="K8" s="192" t="inlineStr">
        <is>
          <t>PackedScene/三档程序几何</t>
        </is>
      </c>
      <c r="L8" s="192" t="inlineStr">
        <is>
          <t>未声明</t>
        </is>
      </c>
      <c r="M8" s="192" t="inlineStr">
        <is>
          <t>四主题副本/随机房间</t>
        </is>
      </c>
      <c r="N8" s="192" t="inlineStr">
        <is>
          <t>原型已接入</t>
        </is>
      </c>
      <c r="O8" s="192" t="inlineStr">
        <is>
          <t>v001</t>
        </is>
      </c>
      <c r="P8" s="193" t="inlineStr">
        <is>
          <t>根节点=DungeonRoom3D(Node3D)</t>
        </is>
      </c>
    </row>
    <row r="9" ht="66" customHeight="1">
      <c r="A9" s="191" t="inlineStr">
        <is>
          <t>ENV-TRAINING-RANGE-KIT-3D</t>
        </is>
      </c>
      <c r="B9" s="192" t="inlineStr">
        <is>
          <t>独立3D训练靶场套件</t>
        </is>
      </c>
      <c r="C9" s="192" t="inlineStr">
        <is>
          <t>assets/art/environments/training_range_3d/env_training_range_kit_top3d_v001.tscn</t>
        </is>
      </c>
      <c r="D9" s="192" t="str"/>
      <c r="E9" s="192" t="str"/>
      <c r="F9" s="192" t="inlineStr">
        <is>
          <t>Godot原生场景结构Prefab；由关卡脚本按模块实例化</t>
        </is>
      </c>
      <c r="G9" s="192" t="inlineStr">
        <is>
          <t>src/training3d/TrainingRangeEnvironment3D.gd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脚本生成</t>
        </is>
      </c>
      <c r="K9" s="192" t="inlineStr">
        <is>
          <t>PackedScene/程序环境</t>
        </is>
      </c>
      <c r="L9" s="192" t="inlineStr">
        <is>
          <t>未声明</t>
        </is>
      </c>
      <c r="M9" s="192" t="inlineStr">
        <is>
          <t>独立训练地图</t>
        </is>
      </c>
      <c r="N9" s="192" t="inlineStr">
        <is>
          <t>原型已接入</t>
        </is>
      </c>
      <c r="O9" s="192" t="inlineStr">
        <is>
          <t>v001</t>
        </is>
      </c>
      <c r="P9" s="193" t="inlineStr">
        <is>
          <t>根节点=TrainingRangeEnvironment3D(Node3D)</t>
        </is>
      </c>
    </row>
    <row r="10" ht="66" customHeight="1">
      <c r="A10" s="191" t="inlineStr">
        <is>
          <t>ENV-TOWER-CORNER-L-5M</t>
        </is>
      </c>
      <c r="B10" s="192" t="inlineStr">
        <is>
          <t>塔楼L型转角5米</t>
        </is>
      </c>
      <c r="C10" s="192" t="inlineStr">
        <is>
          <t>assets/art/props/dungeon_3d/prp_corner_L_5m.tscn</t>
        </is>
      </c>
      <c r="D10" s="192" t="str"/>
      <c r="E10" s="192" t="str"/>
      <c r="F10" s="192" t="inlineStr">
        <is>
          <t>Godot原生场景结构Prefab；由关卡脚本按模块实例化</t>
        </is>
      </c>
      <c r="G10" s="192" t="inlineStr">
        <is>
          <t>src/world3d/DungeonRoom3D.gd</t>
        </is>
      </c>
      <c r="H10" s="192" t="inlineStr">
        <is>
          <t>开</t>
        </is>
      </c>
      <c r="I10" s="192" t="inlineStr">
        <is>
          <t>Prefab自身</t>
        </is>
      </c>
      <c r="J10" s="192" t="inlineStr">
        <is>
          <t>BoxShape3D</t>
        </is>
      </c>
      <c r="K10" s="192" t="inlineStr">
        <is>
          <t>未声明</t>
        </is>
      </c>
      <c r="L10" s="192" t="inlineStr">
        <is>
          <t>未声明</t>
        </is>
      </c>
      <c r="M10" s="192" t="inlineStr">
        <is>
          <t>场景通用组件</t>
        </is>
      </c>
      <c r="N10" s="192" t="inlineStr">
        <is>
          <t>程序占位</t>
        </is>
      </c>
      <c r="O10" s="192" t="inlineStr">
        <is>
          <t>v001</t>
        </is>
      </c>
      <c r="P10" s="193" t="inlineStr">
        <is>
          <t>根节点=PrpCornerL5m(Node3D)；2026-08-18扫描补登记资产主表</t>
        </is>
      </c>
    </row>
    <row r="11" ht="66" customHeight="1">
      <c r="A11" s="191" t="inlineStr">
        <is>
          <t>ENV-TOWER-CORNER-L-PARAPET-5M</t>
        </is>
      </c>
      <c r="B11" s="192" t="inlineStr">
        <is>
          <t>塔楼L型女儿墙转角5米</t>
        </is>
      </c>
      <c r="C11" s="192" t="inlineStr">
        <is>
          <t>assets/art/props/dungeon_3d/prp_corner_L_parapet_5m.tscn</t>
        </is>
      </c>
      <c r="D11" s="192" t="str"/>
      <c r="E11" s="192" t="str"/>
      <c r="F11" s="192" t="inlineStr">
        <is>
          <t>Godot原生场景结构Prefab；由关卡脚本按模块实例化</t>
        </is>
      </c>
      <c r="G11" s="192" t="inlineStr">
        <is>
          <t>src/world3d/TowerFloorStage3D.gd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未声明</t>
        </is>
      </c>
      <c r="L11" s="192" t="inlineStr">
        <is>
          <t>未声明</t>
        </is>
      </c>
      <c r="M11" s="192" t="inlineStr">
        <is>
          <t>场景通用组件</t>
        </is>
      </c>
      <c r="N11" s="192" t="inlineStr">
        <is>
          <t>程序占位</t>
        </is>
      </c>
      <c r="O11" s="192" t="inlineStr">
        <is>
          <t>v001</t>
        </is>
      </c>
      <c r="P11" s="193" t="inlineStr">
        <is>
          <t>根节点=PrpCornerLParapet5m(Node3D)；2026-08-18扫描补登记资产主表</t>
        </is>
      </c>
    </row>
    <row r="12" ht="66" customHeight="1">
      <c r="A12" s="191" t="inlineStr">
        <is>
          <t>ENV-TOWER-CORNER-T-5M</t>
        </is>
      </c>
      <c r="B12" s="192" t="inlineStr">
        <is>
          <t>塔楼T型转角5米</t>
        </is>
      </c>
      <c r="C12" s="192" t="inlineStr">
        <is>
          <t>assets/art/props/dungeon_3d/prp_corner_T_5m.tscn</t>
        </is>
      </c>
      <c r="D12" s="192" t="str"/>
      <c r="E12" s="192" t="str"/>
      <c r="F12" s="192" t="inlineStr">
        <is>
          <t>Godot原生场景结构Prefab；由关卡脚本按模块实例化</t>
        </is>
      </c>
      <c r="G12" s="192" t="inlineStr">
        <is>
          <t>src/world3d/DungeonRoom3D.gd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未声明</t>
        </is>
      </c>
      <c r="L12" s="192" t="inlineStr">
        <is>
          <t>未声明</t>
        </is>
      </c>
      <c r="M12" s="192" t="inlineStr">
        <is>
          <t>场景通用组件</t>
        </is>
      </c>
      <c r="N12" s="192" t="inlineStr">
        <is>
          <t>程序占位</t>
        </is>
      </c>
      <c r="O12" s="192" t="inlineStr">
        <is>
          <t>v001</t>
        </is>
      </c>
      <c r="P12" s="193" t="inlineStr">
        <is>
          <t>根节点=PrpCornerT5m(Node3D)；2026-08-18扫描补登记资产主表</t>
        </is>
      </c>
    </row>
    <row r="13" ht="66" customHeight="1">
      <c r="A13" s="191" t="inlineStr">
        <is>
          <t>ENV-TOWER-CORNER-X-5M</t>
        </is>
      </c>
      <c r="B13" s="192" t="inlineStr">
        <is>
          <t>塔楼十字转角5米</t>
        </is>
      </c>
      <c r="C13" s="192" t="inlineStr">
        <is>
          <t>assets/art/props/dungeon_3d/prp_corner_X_5m.tscn</t>
        </is>
      </c>
      <c r="D13" s="192" t="str"/>
      <c r="E13" s="192" t="str"/>
      <c r="F13" s="192" t="inlineStr">
        <is>
          <t>Godot原生场景结构Prefab；由关卡脚本按模块实例化</t>
        </is>
      </c>
      <c r="G13" s="192" t="inlineStr">
        <is>
          <t>src/world3d/DungeonRoom3D.gd</t>
        </is>
      </c>
      <c r="H13" s="192" t="inlineStr">
        <is>
          <t>开</t>
        </is>
      </c>
      <c r="I13" s="192" t="inlineStr">
        <is>
          <t>Prefab自身</t>
        </is>
      </c>
      <c r="J13" s="192" t="inlineStr">
        <is>
          <t>BoxShape3D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场景通用组件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根节点=PrpCornerX5m(Node3D)；2026-08-18扫描补登记资产主表</t>
        </is>
      </c>
    </row>
    <row r="14" ht="66" customHeight="1">
      <c r="A14" s="191" t="inlineStr">
        <is>
          <t>ENV-DUNGEON-CORRIDOR-CEILING-SEGMENT</t>
        </is>
      </c>
      <c r="B14" s="192" t="inlineStr">
        <is>
          <t>地牢走廊天花段</t>
        </is>
      </c>
      <c r="C14" s="192" t="inlineStr">
        <is>
          <t>assets/art/props/dungeon_3d/prp_corridor_ceiling_segment.tscn</t>
        </is>
      </c>
      <c r="D14" s="192" t="str"/>
      <c r="E14" s="192" t="str"/>
      <c r="F14" s="192" t="inlineStr">
        <is>
          <t>Godot原生场景结构Prefab；由关卡脚本按模块实例化</t>
        </is>
      </c>
      <c r="G14" s="192" t="inlineStr">
        <is>
          <t>src/world3d/DungeonRoom3D.gd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BoxShape3D</t>
        </is>
      </c>
      <c r="K14" s="192" t="inlineStr">
        <is>
          <t>未声明</t>
        </is>
      </c>
      <c r="L14" s="192" t="inlineStr">
        <is>
          <t>未声明</t>
        </is>
      </c>
      <c r="M14" s="192" t="inlineStr">
        <is>
          <t>场景通用组件</t>
        </is>
      </c>
      <c r="N14" s="192" t="inlineStr">
        <is>
          <t>程序占位</t>
        </is>
      </c>
      <c r="O14" s="192" t="inlineStr">
        <is>
          <t>v001</t>
        </is>
      </c>
      <c r="P14" s="193" t="inlineStr">
        <is>
          <t>根节点=PrpCorridorCeilingSegment(Node3D)；2026-08-18扫描补登记资产主表</t>
        </is>
      </c>
    </row>
    <row r="15" ht="66" customHeight="1">
      <c r="A15" s="191" t="inlineStr">
        <is>
          <t>ENV-DUNGEON-CORRIDOR-FLOOR-SEGMENT</t>
        </is>
      </c>
      <c r="B15" s="192" t="inlineStr">
        <is>
          <t>地牢走廊地板段</t>
        </is>
      </c>
      <c r="C15" s="192" t="inlineStr">
        <is>
          <t>assets/art/props/dungeon_3d/prp_corridor_floor_segment.tscn</t>
        </is>
      </c>
      <c r="D15" s="192" t="str"/>
      <c r="E15" s="192" t="str"/>
      <c r="F15" s="192" t="inlineStr">
        <is>
          <t>Godot原生场景结构Prefab；由关卡脚本按模块实例化</t>
        </is>
      </c>
      <c r="G15" s="192" t="inlineStr">
        <is>
          <t>src/world3d/DungeonRoom3D.gd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BoxShape3D</t>
        </is>
      </c>
      <c r="K15" s="192" t="inlineStr">
        <is>
          <t>未声明</t>
        </is>
      </c>
      <c r="L15" s="192" t="inlineStr">
        <is>
          <t>未声明</t>
        </is>
      </c>
      <c r="M15" s="192" t="inlineStr">
        <is>
          <t>场景通用组件</t>
        </is>
      </c>
      <c r="N15" s="192" t="inlineStr">
        <is>
          <t>程序占位</t>
        </is>
      </c>
      <c r="O15" s="192" t="inlineStr">
        <is>
          <t>v001</t>
        </is>
      </c>
      <c r="P15" s="193" t="inlineStr">
        <is>
          <t>根节点=PrpCorridorFloorSegment(Node3D)；2026-08-18扫描补登记资产主表</t>
        </is>
      </c>
    </row>
    <row r="16" ht="66" customHeight="1">
      <c r="A16" s="191" t="inlineStr">
        <is>
          <t>ENV-DUNGEON-CORRIDOR-STAIR-TREAD</t>
        </is>
      </c>
      <c r="B16" s="192" t="inlineStr">
        <is>
          <t>地牢走廊楼梯踏步</t>
        </is>
      </c>
      <c r="C16" s="192" t="inlineStr">
        <is>
          <t>assets/art/props/dungeon_3d/prp_corridor_stair_tread.tscn</t>
        </is>
      </c>
      <c r="D16" s="192" t="str"/>
      <c r="E16" s="192" t="str"/>
      <c r="F16" s="192" t="inlineStr">
        <is>
          <t>Godot原生场景结构Prefab；由关卡脚本按模块实例化</t>
        </is>
      </c>
      <c r="G16" s="192" t="inlineStr">
        <is>
          <t>src/world3d/DungeonRoom3D.gd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未声明</t>
        </is>
      </c>
      <c r="L16" s="192" t="inlineStr">
        <is>
          <t>未声明</t>
        </is>
      </c>
      <c r="M16" s="192" t="inlineStr">
        <is>
          <t>场景通用组件</t>
        </is>
      </c>
      <c r="N16" s="192" t="inlineStr">
        <is>
          <t>程序占位</t>
        </is>
      </c>
      <c r="O16" s="192" t="inlineStr">
        <is>
          <t>v001</t>
        </is>
      </c>
      <c r="P16" s="193" t="inlineStr">
        <is>
          <t>根节点=PrpCorridorStairTread(Node3D)；2026-08-18扫描补登记资产主表</t>
        </is>
      </c>
    </row>
    <row r="17" ht="66" customHeight="1">
      <c r="A17" s="191" t="inlineStr">
        <is>
          <t>ENV-DUNGEON-CORRIDOR-WALL-SEGMENT</t>
        </is>
      </c>
      <c r="B17" s="192" t="inlineStr">
        <is>
          <t>地牢走廊墙段</t>
        </is>
      </c>
      <c r="C17" s="192" t="inlineStr">
        <is>
          <t>assets/art/props/dungeon_3d/prp_corridor_wall_segment.tscn</t>
        </is>
      </c>
      <c r="D17" s="192" t="str"/>
      <c r="E17" s="192" t="str"/>
      <c r="F17" s="192" t="inlineStr">
        <is>
          <t>Godot原生场景结构Prefab；由关卡脚本按模块实例化</t>
        </is>
      </c>
      <c r="G17" s="192" t="inlineStr">
        <is>
          <t>src/world3d/DungeonRoom3D.gd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BoxShape3D</t>
        </is>
      </c>
      <c r="K17" s="192" t="inlineStr">
        <is>
          <t>未声明</t>
        </is>
      </c>
      <c r="L17" s="192" t="inlineStr">
        <is>
          <t>未声明</t>
        </is>
      </c>
      <c r="M17" s="192" t="inlineStr">
        <is>
          <t>场景通用组件</t>
        </is>
      </c>
      <c r="N17" s="192" t="inlineStr">
        <is>
          <t>程序占位</t>
        </is>
      </c>
      <c r="O17" s="192" t="inlineStr">
        <is>
          <t>v001</t>
        </is>
      </c>
      <c r="P17" s="193" t="inlineStr">
        <is>
          <t>根节点=PrpCorridorWallSegment(Node3D)；2026-08-18扫描补登记资产主表</t>
        </is>
      </c>
    </row>
    <row r="18" ht="66" customHeight="1">
      <c r="A18" s="191" t="inlineStr">
        <is>
          <t>ENV-DUNGEON-ROOM-ACCESS-STEP</t>
        </is>
      </c>
      <c r="B18" s="192" t="inlineStr">
        <is>
          <t>房间接入台阶</t>
        </is>
      </c>
      <c r="C18" s="192" t="inlineStr">
        <is>
          <t>assets/art/props/dungeon_3d/prp_room_access_step.tscn</t>
        </is>
      </c>
      <c r="D18" s="192" t="str"/>
      <c r="E18" s="192" t="str"/>
      <c r="F18" s="192" t="inlineStr">
        <is>
          <t>Godot原生场景结构Prefab；由关卡脚本按模块实例化</t>
        </is>
      </c>
      <c r="G18" s="192" t="inlineStr">
        <is>
          <t>src/world3d/DungeonRoom3D.gd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未声明</t>
        </is>
      </c>
      <c r="L18" s="192" t="inlineStr">
        <is>
          <t>未声明</t>
        </is>
      </c>
      <c r="M18" s="192" t="inlineStr">
        <is>
          <t>场景通用组件</t>
        </is>
      </c>
      <c r="N18" s="192" t="inlineStr">
        <is>
          <t>程序占位</t>
        </is>
      </c>
      <c r="O18" s="192" t="inlineStr">
        <is>
          <t>v001</t>
        </is>
      </c>
      <c r="P18" s="193" t="inlineStr">
        <is>
          <t>根节点=PrpRoomAccessStep(Node3D)；2026-08-18扫描补登记资产主表</t>
        </is>
      </c>
    </row>
    <row r="19" ht="66" customHeight="1">
      <c r="A19" s="191" t="inlineStr">
        <is>
          <t>ENV-DUNGEON-ROOM-CORNER-POST</t>
        </is>
      </c>
      <c r="B19" s="192" t="inlineStr">
        <is>
          <t>房间转角立柱</t>
        </is>
      </c>
      <c r="C19" s="192" t="inlineStr">
        <is>
          <t>assets/art/props/dungeon_3d/prp_room_corner_post.tscn</t>
        </is>
      </c>
      <c r="D19" s="192" t="str"/>
      <c r="E19" s="192" t="str"/>
      <c r="F19" s="192" t="inlineStr">
        <is>
          <t>Godot原生场景结构Prefab；由关卡脚本按模块实例化</t>
        </is>
      </c>
      <c r="G19" s="192" t="inlineStr">
        <is>
          <t>src/world3d/DungeonRoom3D.gd</t>
        </is>
      </c>
      <c r="H19" s="192" t="inlineStr">
        <is>
          <t>开</t>
        </is>
      </c>
      <c r="I19" s="192" t="inlineStr">
        <is>
          <t>Prefab自身</t>
        </is>
      </c>
      <c r="J19" s="192" t="inlineStr">
        <is>
          <t>BoxShape3D</t>
        </is>
      </c>
      <c r="K19" s="192" t="inlineStr">
        <is>
          <t>未声明</t>
        </is>
      </c>
      <c r="L19" s="192" t="inlineStr">
        <is>
          <t>未声明</t>
        </is>
      </c>
      <c r="M19" s="192" t="inlineStr">
        <is>
          <t>场景通用组件</t>
        </is>
      </c>
      <c r="N19" s="192" t="inlineStr">
        <is>
          <t>程序占位</t>
        </is>
      </c>
      <c r="O19" s="192" t="inlineStr">
        <is>
          <t>v001</t>
        </is>
      </c>
      <c r="P19" s="193" t="inlineStr">
        <is>
          <t>根节点=PrpRoomCornerPost(Node3D)；2026-08-18扫描补登记资产主表</t>
        </is>
      </c>
    </row>
    <row r="20" ht="66" customHeight="1">
      <c r="A20" s="191" t="inlineStr">
        <is>
          <t>ENV-DUNGEON-ROOM-DOOR-LINTEL</t>
        </is>
      </c>
      <c r="B20" s="192" t="inlineStr">
        <is>
          <t>房间门楣</t>
        </is>
      </c>
      <c r="C20" s="192" t="inlineStr">
        <is>
          <t>assets/art/props/dungeon_3d/prp_room_door_lintel.tscn</t>
        </is>
      </c>
      <c r="D20" s="192" t="str"/>
      <c r="E20" s="192" t="str"/>
      <c r="F20" s="192" t="inlineStr">
        <is>
          <t>Godot原生场景结构Prefab；由关卡脚本按模块实例化</t>
        </is>
      </c>
      <c r="G20" s="192" t="inlineStr">
        <is>
          <t>src/world3d/DungeonRoom3D.gd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未声明</t>
        </is>
      </c>
      <c r="L20" s="192" t="inlineStr">
        <is>
          <t>未声明</t>
        </is>
      </c>
      <c r="M20" s="192" t="inlineStr">
        <is>
          <t>场景通用组件</t>
        </is>
      </c>
      <c r="N20" s="192" t="inlineStr">
        <is>
          <t>程序占位</t>
        </is>
      </c>
      <c r="O20" s="192" t="inlineStr">
        <is>
          <t>v001</t>
        </is>
      </c>
      <c r="P20" s="193" t="inlineStr">
        <is>
          <t>根节点=PrpRoomDoorLintel(Node3D)；2026-08-18扫描补登记资产主表</t>
        </is>
      </c>
    </row>
    <row r="21" ht="66" customHeight="1">
      <c r="A21" s="191" t="inlineStr">
        <is>
          <t>ENV-DUNGEON-FACILITY-WALL-DOOR-SIDE</t>
        </is>
      </c>
      <c r="B21" s="192" t="inlineStr">
        <is>
          <t>基地设施门墙侧柱</t>
        </is>
      </c>
      <c r="C21" s="192" t="inlineStr">
        <is>
          <t>assets/art/props/dungeon_3d/prp_room_facility_base_wall_door_side.tscn</t>
        </is>
      </c>
      <c r="D21" s="192" t="str"/>
      <c r="E21" s="192" t="str"/>
      <c r="F21" s="192" t="inlineStr">
        <is>
          <t>Godot原生场景结构Prefab；由关卡脚本按模块实例化</t>
        </is>
      </c>
      <c r="G21" s="192" t="inlineStr">
        <is>
          <t>src/world3d/DungeonRoom3D.gd</t>
        </is>
      </c>
      <c r="H21" s="192" t="inlineStr">
        <is>
          <t>开</t>
        </is>
      </c>
      <c r="I21" s="192" t="inlineStr">
        <is>
          <t>Prefab自身</t>
        </is>
      </c>
      <c r="J21" s="192" t="inlineStr">
        <is>
          <t>BoxShape3D</t>
        </is>
      </c>
      <c r="K21" s="192" t="inlineStr">
        <is>
          <t>未声明</t>
        </is>
      </c>
      <c r="L21" s="192" t="inlineStr">
        <is>
          <t>未声明</t>
        </is>
      </c>
      <c r="M21" s="192" t="inlineStr">
        <is>
          <t>场景通用组件</t>
        </is>
      </c>
      <c r="N21" s="192" t="inlineStr">
        <is>
          <t>程序占位</t>
        </is>
      </c>
      <c r="O21" s="192" t="inlineStr">
        <is>
          <t>v001</t>
        </is>
      </c>
      <c r="P21" s="193" t="inlineStr">
        <is>
          <t>根节点=PrpRoomFacilityBaseWallDoorSide(Node3D)；2026-08-18扫描补登记资产主表</t>
        </is>
      </c>
    </row>
    <row r="22" ht="66" customHeight="1">
      <c r="A22" s="191" t="inlineStr">
        <is>
          <t>ENV-DUNGEON-FACILITY-WALL-LINTEL</t>
        </is>
      </c>
      <c r="B22" s="192" t="inlineStr">
        <is>
          <t>基地设施墙门楣</t>
        </is>
      </c>
      <c r="C22" s="192" t="inlineStr">
        <is>
          <t>assets/art/props/dungeon_3d/prp_room_facility_base_wall_lintel.tscn</t>
        </is>
      </c>
      <c r="D22" s="192" t="str"/>
      <c r="E22" s="192" t="str"/>
      <c r="F22" s="192" t="inlineStr">
        <is>
          <t>Godot原生场景结构Prefab；由关卡脚本按模块实例化</t>
        </is>
      </c>
      <c r="G22" s="192" t="inlineStr">
        <is>
          <t>src/world3d/DungeonRoom3D.gd</t>
        </is>
      </c>
      <c r="H22" s="192" t="inlineStr">
        <is>
          <t>开</t>
        </is>
      </c>
      <c r="I22" s="192" t="inlineStr">
        <is>
          <t>Prefab自身</t>
        </is>
      </c>
      <c r="J22" s="192" t="inlineStr">
        <is>
          <t>BoxShape3D</t>
        </is>
      </c>
      <c r="K22" s="192" t="inlineStr">
        <is>
          <t>未声明</t>
        </is>
      </c>
      <c r="L22" s="192" t="inlineStr">
        <is>
          <t>未声明</t>
        </is>
      </c>
      <c r="M22" s="192" t="inlineStr">
        <is>
          <t>场景通用组件</t>
        </is>
      </c>
      <c r="N22" s="192" t="inlineStr">
        <is>
          <t>程序占位</t>
        </is>
      </c>
      <c r="O22" s="192" t="inlineStr">
        <is>
          <t>v001</t>
        </is>
      </c>
      <c r="P22" s="193" t="inlineStr">
        <is>
          <t>根节点=PrpRoomFacilityBaseWallLintel(Node3D)；2026-08-18扫描补登记资产主表</t>
        </is>
      </c>
    </row>
    <row r="23" ht="66" customHeight="1">
      <c r="A23" s="191" t="inlineStr">
        <is>
          <t>ENV-DUNGEON-FACILITY-WALL</t>
        </is>
      </c>
      <c r="B23" s="192" t="inlineStr">
        <is>
          <t>基地设施墙段</t>
        </is>
      </c>
      <c r="C23" s="192" t="inlineStr">
        <is>
          <t>assets/art/props/dungeon_3d/prp_room_facility_base_wall.tscn</t>
        </is>
      </c>
      <c r="D23" s="192" t="str"/>
      <c r="E23" s="192" t="str"/>
      <c r="F23" s="192" t="inlineStr">
        <is>
          <t>Godot原生场景结构Prefab；由关卡脚本按模块实例化</t>
        </is>
      </c>
      <c r="G23" s="192" t="inlineStr">
        <is>
          <t>src/world3d/DungeonRoom3D.gd</t>
        </is>
      </c>
      <c r="H23" s="192" t="inlineStr">
        <is>
          <t>开</t>
        </is>
      </c>
      <c r="I23" s="192" t="inlineStr">
        <is>
          <t>Prefab自身</t>
        </is>
      </c>
      <c r="J23" s="192" t="inlineStr">
        <is>
          <t>BoxShape3D</t>
        </is>
      </c>
      <c r="K23" s="192" t="inlineStr">
        <is>
          <t>未声明</t>
        </is>
      </c>
      <c r="L23" s="192" t="inlineStr">
        <is>
          <t>未声明</t>
        </is>
      </c>
      <c r="M23" s="192" t="inlineStr">
        <is>
          <t>场景通用组件</t>
        </is>
      </c>
      <c r="N23" s="192" t="inlineStr">
        <is>
          <t>程序占位</t>
        </is>
      </c>
      <c r="O23" s="192" t="inlineStr">
        <is>
          <t>v001</t>
        </is>
      </c>
      <c r="P23" s="193" t="inlineStr">
        <is>
          <t>根节点=PrpRoomFacilityBaseWall(Node3D)；2026-08-18扫描补登记资产主表</t>
        </is>
      </c>
    </row>
    <row r="24" ht="66" customHeight="1">
      <c r="A24" s="191" t="inlineStr">
        <is>
          <t>ENV-DUNGEON-ROOM-FLOOR-INSET</t>
        </is>
      </c>
      <c r="B24" s="192" t="inlineStr">
        <is>
          <t>房间地板内嵌块</t>
        </is>
      </c>
      <c r="C24" s="192" t="inlineStr">
        <is>
          <t>assets/art/props/dungeon_3d/prp_room_floor_inset.tscn</t>
        </is>
      </c>
      <c r="D24" s="192" t="str"/>
      <c r="E24" s="192" t="str"/>
      <c r="F24" s="192" t="inlineStr">
        <is>
          <t>Godot原生场景结构Prefab；由关卡脚本按模块实例化</t>
        </is>
      </c>
      <c r="G24" s="192" t="inlineStr">
        <is>
          <t>src/world3d/DungeonRoom3D.gd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未声明</t>
        </is>
      </c>
      <c r="L24" s="192" t="inlineStr">
        <is>
          <t>未声明</t>
        </is>
      </c>
      <c r="M24" s="192" t="inlineStr">
        <is>
          <t>场景通用组件</t>
        </is>
      </c>
      <c r="N24" s="192" t="inlineStr">
        <is>
          <t>程序占位</t>
        </is>
      </c>
      <c r="O24" s="192" t="inlineStr">
        <is>
          <t>v001</t>
        </is>
      </c>
      <c r="P24" s="193" t="inlineStr">
        <is>
          <t>根节点=PrpRoomFloorInset(Node3D)；2026-08-18扫描补登记资产主表</t>
        </is>
      </c>
    </row>
    <row r="25" ht="66" customHeight="1">
      <c r="A25" s="191" t="inlineStr">
        <is>
          <t>ENV-DUNGEON-ROOM-FLOOR-PARTITION-H</t>
        </is>
      </c>
      <c r="B25" s="192" t="inlineStr">
        <is>
          <t>房间地板水平分隔</t>
        </is>
      </c>
      <c r="C25" s="192" t="inlineStr">
        <is>
          <t>assets/art/props/dungeon_3d/prp_room_floor_partition_horizontal.tscn</t>
        </is>
      </c>
      <c r="D25" s="192" t="str"/>
      <c r="E25" s="192" t="str"/>
      <c r="F25" s="192" t="inlineStr">
        <is>
          <t>Godot原生场景结构Prefab；由关卡脚本按模块实例化</t>
        </is>
      </c>
      <c r="G25" s="192" t="inlineStr">
        <is>
          <t>src/world3d/DungeonRoom3D.gd</t>
        </is>
      </c>
      <c r="H25" s="192" t="inlineStr">
        <is>
          <t>开</t>
        </is>
      </c>
      <c r="I25" s="192" t="inlineStr">
        <is>
          <t>Prefab自身</t>
        </is>
      </c>
      <c r="J25" s="192" t="inlineStr">
        <is>
          <t>BoxShape3D</t>
        </is>
      </c>
      <c r="K25" s="192" t="inlineStr">
        <is>
          <t>未声明</t>
        </is>
      </c>
      <c r="L25" s="192" t="inlineStr">
        <is>
          <t>未声明</t>
        </is>
      </c>
      <c r="M25" s="192" t="inlineStr">
        <is>
          <t>场景通用组件</t>
        </is>
      </c>
      <c r="N25" s="192" t="inlineStr">
        <is>
          <t>程序占位</t>
        </is>
      </c>
      <c r="O25" s="192" t="inlineStr">
        <is>
          <t>v001</t>
        </is>
      </c>
      <c r="P25" s="193" t="inlineStr">
        <is>
          <t>根节点=PrpRoomFloorPartitionHorizontal(Node3D)；2026-08-18扫描补登记资产主表</t>
        </is>
      </c>
    </row>
    <row r="26" ht="66" customHeight="1">
      <c r="A26" s="191" t="inlineStr">
        <is>
          <t>ENV-DUNGEON-ROOM-FLOOR-PARTITION-V</t>
        </is>
      </c>
      <c r="B26" s="192" t="inlineStr">
        <is>
          <t>房间地板垂直分隔</t>
        </is>
      </c>
      <c r="C26" s="192" t="inlineStr">
        <is>
          <t>assets/art/props/dungeon_3d/prp_room_floor_partition_vertical.tscn</t>
        </is>
      </c>
      <c r="D26" s="192" t="str"/>
      <c r="E26" s="192" t="str"/>
      <c r="F26" s="192" t="inlineStr">
        <is>
          <t>Godot原生场景结构Prefab；由关卡脚本按模块实例化</t>
        </is>
      </c>
      <c r="G26" s="192" t="inlineStr">
        <is>
          <t>src/world3d/DungeonRoom3D.gd</t>
        </is>
      </c>
      <c r="H26" s="192" t="inlineStr">
        <is>
          <t>开</t>
        </is>
      </c>
      <c r="I26" s="192" t="inlineStr">
        <is>
          <t>Prefab自身</t>
        </is>
      </c>
      <c r="J26" s="192" t="inlineStr">
        <is>
          <t>BoxShape3D</t>
        </is>
      </c>
      <c r="K26" s="192" t="inlineStr">
        <is>
          <t>未声明</t>
        </is>
      </c>
      <c r="L26" s="192" t="inlineStr">
        <is>
          <t>未声明</t>
        </is>
      </c>
      <c r="M26" s="192" t="inlineStr">
        <is>
          <t>场景通用组件</t>
        </is>
      </c>
      <c r="N26" s="192" t="inlineStr">
        <is>
          <t>程序占位</t>
        </is>
      </c>
      <c r="O26" s="192" t="inlineStr">
        <is>
          <t>v001</t>
        </is>
      </c>
      <c r="P26" s="193" t="inlineStr">
        <is>
          <t>根节点=PrpRoomFloorPartitionVertical(Node3D)；2026-08-18扫描补登记资产主表</t>
        </is>
      </c>
    </row>
    <row r="27" ht="66" customHeight="1">
      <c r="A27" s="191" t="inlineStr">
        <is>
          <t>ENV-DUNGEON-ROOM-FLOOR-SEAM</t>
        </is>
      </c>
      <c r="B27" s="192" t="inlineStr">
        <is>
          <t>房间地板接缝条</t>
        </is>
      </c>
      <c r="C27" s="192" t="inlineStr">
        <is>
          <t>assets/art/props/dungeon_3d/prp_room_floor_seam_strip.tscn</t>
        </is>
      </c>
      <c r="D27" s="192" t="str"/>
      <c r="E27" s="192" t="str"/>
      <c r="F27" s="192" t="inlineStr">
        <is>
          <t>Godot原生场景结构Prefab；由关卡脚本按模块实例化</t>
        </is>
      </c>
      <c r="G27" s="192" t="inlineStr">
        <is>
          <t>src/world3d/DungeonRoom3D.gd</t>
        </is>
      </c>
      <c r="H27" s="192" t="inlineStr">
        <is>
          <t>无</t>
        </is>
      </c>
      <c r="I27" s="192" t="inlineStr">
        <is>
          <t>无</t>
        </is>
      </c>
      <c r="J27" s="192" t="inlineStr">
        <is>
          <t>无</t>
        </is>
      </c>
      <c r="K27" s="192" t="inlineStr">
        <is>
          <t>未声明</t>
        </is>
      </c>
      <c r="L27" s="192" t="inlineStr">
        <is>
          <t>未声明</t>
        </is>
      </c>
      <c r="M27" s="192" t="inlineStr">
        <is>
          <t>场景通用组件</t>
        </is>
      </c>
      <c r="N27" s="192" t="inlineStr">
        <is>
          <t>程序占位</t>
        </is>
      </c>
      <c r="O27" s="192" t="inlineStr">
        <is>
          <t>v001</t>
        </is>
      </c>
      <c r="P27" s="193" t="inlineStr">
        <is>
          <t>根节点=PrpRoomFloorSeamStrip(Node3D)；2026-08-18扫描补登记资产主表</t>
        </is>
      </c>
    </row>
    <row r="28" ht="66" customHeight="1">
      <c r="A28" s="191" t="inlineStr">
        <is>
          <t>ENV-DUNGEON-ROOM-FLOOR</t>
        </is>
      </c>
      <c r="B28" s="192" t="inlineStr">
        <is>
          <t>地牢房间地板</t>
        </is>
      </c>
      <c r="C28" s="192" t="inlineStr">
        <is>
          <t>assets/art/props/dungeon_3d/prp_room_floor.tscn</t>
        </is>
      </c>
      <c r="D28" s="192" t="str"/>
      <c r="E28" s="192" t="str"/>
      <c r="F28" s="192" t="inlineStr">
        <is>
          <t>Godot原生场景结构Prefab；由关卡脚本按模块实例化</t>
        </is>
      </c>
      <c r="G28" s="192" t="inlineStr">
        <is>
          <t>src/world3d/DungeonRoom3D.gd</t>
        </is>
      </c>
      <c r="H28" s="192" t="inlineStr">
        <is>
          <t>开</t>
        </is>
      </c>
      <c r="I28" s="192" t="inlineStr">
        <is>
          <t>Prefab自身</t>
        </is>
      </c>
      <c r="J28" s="192" t="inlineStr">
        <is>
          <t>BoxShape3D</t>
        </is>
      </c>
      <c r="K28" s="192" t="inlineStr">
        <is>
          <t>未声明</t>
        </is>
      </c>
      <c r="L28" s="192" t="inlineStr">
        <is>
          <t>未声明</t>
        </is>
      </c>
      <c r="M28" s="192" t="inlineStr">
        <is>
          <t>场景通用组件</t>
        </is>
      </c>
      <c r="N28" s="192" t="inlineStr">
        <is>
          <t>程序占位</t>
        </is>
      </c>
      <c r="O28" s="192" t="inlineStr">
        <is>
          <t>v001</t>
        </is>
      </c>
      <c r="P28" s="193" t="inlineStr">
        <is>
          <t>根节点=PrpRoomFloor(Node3D)；2026-08-18扫描补登记资产主表</t>
        </is>
      </c>
    </row>
    <row r="29" ht="66" customHeight="1">
      <c r="A29" s="191" t="inlineStr">
        <is>
          <t>ENV-TOWER-ROOFTOP-DESCENT-MARKER</t>
        </is>
      </c>
      <c r="B29" s="192" t="inlineStr">
        <is>
          <t>楼顶下降入口标记</t>
        </is>
      </c>
      <c r="C29" s="192" t="inlineStr">
        <is>
          <t>assets/art/props/dungeon_3d/prp_room_rooftop_descent_marker.tscn</t>
        </is>
      </c>
      <c r="D29" s="192" t="str"/>
      <c r="E29" s="192" t="str"/>
      <c r="F29" s="192" t="inlineStr">
        <is>
          <t>Godot原生场景结构Prefab；由关卡脚本按模块实例化</t>
        </is>
      </c>
      <c r="G29" s="192" t="inlineStr">
        <is>
          <t>src/world3d/TowerFloorStage3D.gd</t>
        </is>
      </c>
      <c r="H29" s="192" t="inlineStr">
        <is>
          <t>无</t>
        </is>
      </c>
      <c r="I29" s="192" t="inlineStr">
        <is>
          <t>无</t>
        </is>
      </c>
      <c r="J29" s="192" t="inlineStr">
        <is>
          <t>无</t>
        </is>
      </c>
      <c r="K29" s="192" t="inlineStr">
        <is>
          <t>未声明</t>
        </is>
      </c>
      <c r="L29" s="192" t="inlineStr">
        <is>
          <t>未声明</t>
        </is>
      </c>
      <c r="M29" s="192" t="inlineStr">
        <is>
          <t>场景通用组件</t>
        </is>
      </c>
      <c r="N29" s="192" t="inlineStr">
        <is>
          <t>程序占位</t>
        </is>
      </c>
      <c r="O29" s="192" t="inlineStr">
        <is>
          <t>v001</t>
        </is>
      </c>
      <c r="P29" s="193" t="inlineStr">
        <is>
          <t>根节点=PrpRoomRooftopDescentMarker(Node3D)；2026-08-18扫描补登记资产主表</t>
        </is>
      </c>
    </row>
    <row r="30" ht="66" customHeight="1">
      <c r="A30" s="191" t="inlineStr">
        <is>
          <t>ENV-TOWER-ROOFTOP-FACADE-BAND</t>
        </is>
      </c>
      <c r="B30" s="192" t="inlineStr">
        <is>
          <t>楼顶外立面饰带</t>
        </is>
      </c>
      <c r="C30" s="192" t="inlineStr">
        <is>
          <t>assets/art/props/dungeon_3d/prp_room_rooftop_facade_band.tscn</t>
        </is>
      </c>
      <c r="D30" s="192" t="str"/>
      <c r="E30" s="192" t="str"/>
      <c r="F30" s="192" t="inlineStr">
        <is>
          <t>Godot原生场景结构Prefab；由关卡脚本按模块实例化</t>
        </is>
      </c>
      <c r="G30" s="192" t="inlineStr">
        <is>
          <t>src/world3d/TowerFloorStage3D.gd</t>
        </is>
      </c>
      <c r="H30" s="192" t="inlineStr">
        <is>
          <t>无</t>
        </is>
      </c>
      <c r="I30" s="192" t="inlineStr">
        <is>
          <t>无</t>
        </is>
      </c>
      <c r="J30" s="192" t="inlineStr">
        <is>
          <t>无</t>
        </is>
      </c>
      <c r="K30" s="192" t="inlineStr">
        <is>
          <t>未声明</t>
        </is>
      </c>
      <c r="L30" s="192" t="inlineStr">
        <is>
          <t>未声明</t>
        </is>
      </c>
      <c r="M30" s="192" t="inlineStr">
        <is>
          <t>场景通用组件</t>
        </is>
      </c>
      <c r="N30" s="192" t="inlineStr">
        <is>
          <t>程序占位</t>
        </is>
      </c>
      <c r="O30" s="192" t="inlineStr">
        <is>
          <t>v001</t>
        </is>
      </c>
      <c r="P30" s="193" t="inlineStr">
        <is>
          <t>根节点=PrpRoomRooftopFacadeBand(Node3D)；2026-08-18扫描补登记资产主表</t>
        </is>
      </c>
    </row>
    <row r="31" ht="66" customHeight="1">
      <c r="A31" s="191" t="inlineStr">
        <is>
          <t>ENV-TOWER-ROOFTOP-FACADE</t>
        </is>
      </c>
      <c r="B31" s="192" t="inlineStr">
        <is>
          <t>楼顶外立面</t>
        </is>
      </c>
      <c r="C31" s="192" t="inlineStr">
        <is>
          <t>assets/art/props/dungeon_3d/prp_room_rooftop_facade.tscn</t>
        </is>
      </c>
      <c r="D31" s="192" t="str"/>
      <c r="E31" s="192" t="str"/>
      <c r="F31" s="192" t="inlineStr">
        <is>
          <t>Godot原生场景结构Prefab；由关卡脚本按模块实例化</t>
        </is>
      </c>
      <c r="G31" s="192" t="inlineStr">
        <is>
          <t>src/world3d/TowerFloorStage3D.gd</t>
        </is>
      </c>
      <c r="H31" s="192" t="inlineStr">
        <is>
          <t>无</t>
        </is>
      </c>
      <c r="I31" s="192" t="inlineStr">
        <is>
          <t>无</t>
        </is>
      </c>
      <c r="J31" s="192" t="inlineStr">
        <is>
          <t>无</t>
        </is>
      </c>
      <c r="K31" s="192" t="inlineStr">
        <is>
          <t>未声明</t>
        </is>
      </c>
      <c r="L31" s="192" t="inlineStr">
        <is>
          <t>未声明</t>
        </is>
      </c>
      <c r="M31" s="192" t="inlineStr">
        <is>
          <t>场景通用组件</t>
        </is>
      </c>
      <c r="N31" s="192" t="inlineStr">
        <is>
          <t>程序占位</t>
        </is>
      </c>
      <c r="O31" s="192" t="inlineStr">
        <is>
          <t>v001</t>
        </is>
      </c>
      <c r="P31" s="193" t="inlineStr">
        <is>
          <t>根节点=PrpRoomRooftopFacade(Node3D)；2026-08-18扫描补登记资产主表</t>
        </is>
      </c>
    </row>
    <row r="32" ht="66" customHeight="1">
      <c r="A32" s="191" t="inlineStr">
        <is>
          <t>ENV-TOWER-ROOFTOP-RAIL-POST</t>
        </is>
      </c>
      <c r="B32" s="192" t="inlineStr">
        <is>
          <t>楼顶栏杆立柱</t>
        </is>
      </c>
      <c r="C32" s="192" t="inlineStr">
        <is>
          <t>assets/art/props/dungeon_3d/prp_room_rooftop_rail_post.tscn</t>
        </is>
      </c>
      <c r="D32" s="192" t="str"/>
      <c r="E32" s="192" t="str"/>
      <c r="F32" s="192" t="inlineStr">
        <is>
          <t>Godot原生场景结构Prefab；由关卡脚本按模块实例化</t>
        </is>
      </c>
      <c r="G32" s="192" t="inlineStr">
        <is>
          <t>src/world3d/TowerFloorStage3D.gd</t>
        </is>
      </c>
      <c r="H32" s="192" t="inlineStr">
        <is>
          <t>无</t>
        </is>
      </c>
      <c r="I32" s="192" t="inlineStr">
        <is>
          <t>无</t>
        </is>
      </c>
      <c r="J32" s="192" t="inlineStr">
        <is>
          <t>无</t>
        </is>
      </c>
      <c r="K32" s="192" t="inlineStr">
        <is>
          <t>未声明</t>
        </is>
      </c>
      <c r="L32" s="192" t="inlineStr">
        <is>
          <t>未声明</t>
        </is>
      </c>
      <c r="M32" s="192" t="inlineStr">
        <is>
          <t>场景通用组件</t>
        </is>
      </c>
      <c r="N32" s="192" t="inlineStr">
        <is>
          <t>程序占位</t>
        </is>
      </c>
      <c r="O32" s="192" t="inlineStr">
        <is>
          <t>v001</t>
        </is>
      </c>
      <c r="P32" s="193" t="inlineStr">
        <is>
          <t>根节点=PrpRoomRooftopRailPost(Node3D)；2026-08-18扫描补登记资产主表</t>
        </is>
      </c>
    </row>
    <row r="33" ht="66" customHeight="1">
      <c r="A33" s="191" t="inlineStr">
        <is>
          <t>ENV-TOWER-ROOFTOP-RAILING-LOWER</t>
        </is>
      </c>
      <c r="B33" s="192" t="inlineStr">
        <is>
          <t>楼顶下层栏杆</t>
        </is>
      </c>
      <c r="C33" s="192" t="inlineStr">
        <is>
          <t>assets/art/props/dungeon_3d/prp_room_rooftop_railing_lower.tscn</t>
        </is>
      </c>
      <c r="D33" s="192" t="str"/>
      <c r="E33" s="192" t="str"/>
      <c r="F33" s="192" t="inlineStr">
        <is>
          <t>Godot原生场景结构Prefab；由关卡脚本按模块实例化</t>
        </is>
      </c>
      <c r="G33" s="192" t="inlineStr">
        <is>
          <t>src/world3d/TowerFloorStage3D.gd</t>
        </is>
      </c>
      <c r="H33" s="192" t="inlineStr">
        <is>
          <t>开</t>
        </is>
      </c>
      <c r="I33" s="192" t="inlineStr">
        <is>
          <t>Prefab自身</t>
        </is>
      </c>
      <c r="J33" s="192" t="inlineStr">
        <is>
          <t>BoxShape3D</t>
        </is>
      </c>
      <c r="K33" s="192" t="inlineStr">
        <is>
          <t>未声明</t>
        </is>
      </c>
      <c r="L33" s="192" t="inlineStr">
        <is>
          <t>未声明</t>
        </is>
      </c>
      <c r="M33" s="192" t="inlineStr">
        <is>
          <t>场景通用组件</t>
        </is>
      </c>
      <c r="N33" s="192" t="inlineStr">
        <is>
          <t>程序占位</t>
        </is>
      </c>
      <c r="O33" s="192" t="inlineStr">
        <is>
          <t>v001</t>
        </is>
      </c>
      <c r="P33" s="193" t="inlineStr">
        <is>
          <t>根节点=PrpRoomRooftopRailingLower(Node3D)；2026-08-18扫描补登记资产主表</t>
        </is>
      </c>
    </row>
    <row r="34" ht="66" customHeight="1">
      <c r="A34" s="191" t="inlineStr">
        <is>
          <t>ENV-TOWER-ROOFTOP-RAILING-UPPER</t>
        </is>
      </c>
      <c r="B34" s="192" t="inlineStr">
        <is>
          <t>楼顶上层栏杆</t>
        </is>
      </c>
      <c r="C34" s="192" t="inlineStr">
        <is>
          <t>assets/art/props/dungeon_3d/prp_room_rooftop_railing_upper.tscn</t>
        </is>
      </c>
      <c r="D34" s="192" t="str"/>
      <c r="E34" s="192" t="str"/>
      <c r="F34" s="192" t="inlineStr">
        <is>
          <t>Godot原生场景结构Prefab；由关卡脚本按模块实例化</t>
        </is>
      </c>
      <c r="G34" s="192" t="inlineStr">
        <is>
          <t>src/world3d/TowerFloorStage3D.gd</t>
        </is>
      </c>
      <c r="H34" s="192" t="inlineStr">
        <is>
          <t>无</t>
        </is>
      </c>
      <c r="I34" s="192" t="inlineStr">
        <is>
          <t>无</t>
        </is>
      </c>
      <c r="J34" s="192" t="inlineStr">
        <is>
          <t>无</t>
        </is>
      </c>
      <c r="K34" s="192" t="inlineStr">
        <is>
          <t>未声明</t>
        </is>
      </c>
      <c r="L34" s="192" t="inlineStr">
        <is>
          <t>未声明</t>
        </is>
      </c>
      <c r="M34" s="192" t="inlineStr">
        <is>
          <t>场景通用组件</t>
        </is>
      </c>
      <c r="N34" s="192" t="inlineStr">
        <is>
          <t>程序占位</t>
        </is>
      </c>
      <c r="O34" s="192" t="inlineStr">
        <is>
          <t>v001</t>
        </is>
      </c>
      <c r="P34" s="193" t="inlineStr">
        <is>
          <t>根节点=PrpRoomRooftopRailingUpper(Node3D)；2026-08-18扫描补登记资产主表</t>
        </is>
      </c>
    </row>
    <row r="35" ht="66" customHeight="1">
      <c r="A35" s="191" t="inlineStr">
        <is>
          <t>ENV-TOWER-ROOFTOP-STAIR-FRAME-LINTEL</t>
        </is>
      </c>
      <c r="B35" s="192" t="inlineStr">
        <is>
          <t>楼顶楼梯框架门楣</t>
        </is>
      </c>
      <c r="C35" s="192" t="inlineStr">
        <is>
          <t>assets/art/props/dungeon_3d/prp_room_rooftop_stair_frame_lintel.tscn</t>
        </is>
      </c>
      <c r="D35" s="192" t="str"/>
      <c r="E35" s="192" t="str"/>
      <c r="F35" s="192" t="inlineStr">
        <is>
          <t>Godot原生场景结构Prefab；由关卡脚本按模块实例化</t>
        </is>
      </c>
      <c r="G35" s="192" t="inlineStr">
        <is>
          <t>src/world3d/TowerFloorStage3D.gd</t>
        </is>
      </c>
      <c r="H35" s="192" t="inlineStr">
        <is>
          <t>开</t>
        </is>
      </c>
      <c r="I35" s="192" t="inlineStr">
        <is>
          <t>Prefab自身</t>
        </is>
      </c>
      <c r="J35" s="192" t="inlineStr">
        <is>
          <t>BoxShape3D</t>
        </is>
      </c>
      <c r="K35" s="192" t="inlineStr">
        <is>
          <t>未声明</t>
        </is>
      </c>
      <c r="L35" s="192" t="inlineStr">
        <is>
          <t>未声明</t>
        </is>
      </c>
      <c r="M35" s="192" t="inlineStr">
        <is>
          <t>场景通用组件</t>
        </is>
      </c>
      <c r="N35" s="192" t="inlineStr">
        <is>
          <t>程序占位</t>
        </is>
      </c>
      <c r="O35" s="192" t="inlineStr">
        <is>
          <t>v001</t>
        </is>
      </c>
      <c r="P35" s="193" t="inlineStr">
        <is>
          <t>根节点=PrpRoomRooftopStairFrameLintel(Node3D)；2026-08-18扫描补登记资产主表</t>
        </is>
      </c>
    </row>
    <row r="36" ht="66" customHeight="1">
      <c r="A36" s="191" t="inlineStr">
        <is>
          <t>ENV-TOWER-ROOFTOP-STAIR-FRAME-POST</t>
        </is>
      </c>
      <c r="B36" s="192" t="inlineStr">
        <is>
          <t>楼顶楼梯框架立柱</t>
        </is>
      </c>
      <c r="C36" s="192" t="inlineStr">
        <is>
          <t>assets/art/props/dungeon_3d/prp_room_rooftop_stair_frame_post.tscn</t>
        </is>
      </c>
      <c r="D36" s="192" t="str"/>
      <c r="E36" s="192" t="str"/>
      <c r="F36" s="192" t="inlineStr">
        <is>
          <t>Godot原生场景结构Prefab；由关卡脚本按模块实例化</t>
        </is>
      </c>
      <c r="G36" s="192" t="inlineStr">
        <is>
          <t>src/world3d/TowerFloorStage3D.gd</t>
        </is>
      </c>
      <c r="H36" s="192" t="inlineStr">
        <is>
          <t>开</t>
        </is>
      </c>
      <c r="I36" s="192" t="inlineStr">
        <is>
          <t>Prefab自身</t>
        </is>
      </c>
      <c r="J36" s="192" t="inlineStr">
        <is>
          <t>BoxShape3D</t>
        </is>
      </c>
      <c r="K36" s="192" t="inlineStr">
        <is>
          <t>未声明</t>
        </is>
      </c>
      <c r="L36" s="192" t="inlineStr">
        <is>
          <t>未声明</t>
        </is>
      </c>
      <c r="M36" s="192" t="inlineStr">
        <is>
          <t>场景通用组件</t>
        </is>
      </c>
      <c r="N36" s="192" t="inlineStr">
        <is>
          <t>程序占位</t>
        </is>
      </c>
      <c r="O36" s="192" t="inlineStr">
        <is>
          <t>v001</t>
        </is>
      </c>
      <c r="P36" s="193" t="inlineStr">
        <is>
          <t>根节点=PrpRoomRooftopStairFramePost(Node3D)；2026-08-18扫描补登记资产主表</t>
        </is>
      </c>
    </row>
    <row r="37" ht="66" customHeight="1">
      <c r="A37" s="191" t="inlineStr">
        <is>
          <t>ENV-DUNGEON-STAIR-LOBBY-ROUTE-GUIDE</t>
        </is>
      </c>
      <c r="B37" s="192" t="inlineStr">
        <is>
          <t>楼梯厅路线引导</t>
        </is>
      </c>
      <c r="C37" s="192" t="inlineStr">
        <is>
          <t>assets/art/props/dungeon_3d/prp_room_stair_lobby_route_guide.tscn</t>
        </is>
      </c>
      <c r="D37" s="192" t="str"/>
      <c r="E37" s="192" t="str"/>
      <c r="F37" s="192" t="inlineStr">
        <is>
          <t>Godot原生场景结构Prefab；由关卡脚本按模块实例化</t>
        </is>
      </c>
      <c r="G37" s="192" t="inlineStr">
        <is>
          <t>src/world3d/DungeonRoom3D.gd</t>
        </is>
      </c>
      <c r="H37" s="192" t="inlineStr">
        <is>
          <t>无</t>
        </is>
      </c>
      <c r="I37" s="192" t="inlineStr">
        <is>
          <t>无</t>
        </is>
      </c>
      <c r="J37" s="192" t="inlineStr">
        <is>
          <t>无</t>
        </is>
      </c>
      <c r="K37" s="192" t="inlineStr">
        <is>
          <t>未声明</t>
        </is>
      </c>
      <c r="L37" s="192" t="inlineStr">
        <is>
          <t>未声明</t>
        </is>
      </c>
      <c r="M37" s="192" t="inlineStr">
        <is>
          <t>场景通用组件</t>
        </is>
      </c>
      <c r="N37" s="192" t="inlineStr">
        <is>
          <t>程序占位</t>
        </is>
      </c>
      <c r="O37" s="192" t="inlineStr">
        <is>
          <t>v001</t>
        </is>
      </c>
      <c r="P37" s="193" t="inlineStr">
        <is>
          <t>根节点=PrpRoomStairLobbyRouteGuide(Node3D)；2026-08-18扫描补登记资产主表</t>
        </is>
      </c>
    </row>
    <row r="38" ht="66" customHeight="1">
      <c r="A38" s="191" t="inlineStr">
        <is>
          <t>ENV-DUNGEON-STAIR-LOBBY-THRESHOLD-GUIDE</t>
        </is>
      </c>
      <c r="B38" s="192" t="inlineStr">
        <is>
          <t>楼梯厅门槛引导</t>
        </is>
      </c>
      <c r="C38" s="192" t="inlineStr">
        <is>
          <t>assets/art/props/dungeon_3d/prp_room_stair_lobby_threshold_guide.tscn</t>
        </is>
      </c>
      <c r="D38" s="192" t="str"/>
      <c r="E38" s="192" t="str"/>
      <c r="F38" s="192" t="inlineStr">
        <is>
          <t>Godot原生场景结构Prefab；由关卡脚本按模块实例化</t>
        </is>
      </c>
      <c r="G38" s="192" t="inlineStr">
        <is>
          <t>src/world3d/DungeonRoom3D.gd</t>
        </is>
      </c>
      <c r="H38" s="192" t="inlineStr">
        <is>
          <t>无</t>
        </is>
      </c>
      <c r="I38" s="192" t="inlineStr">
        <is>
          <t>无</t>
        </is>
      </c>
      <c r="J38" s="192" t="inlineStr">
        <is>
          <t>无</t>
        </is>
      </c>
      <c r="K38" s="192" t="inlineStr">
        <is>
          <t>未声明</t>
        </is>
      </c>
      <c r="L38" s="192" t="inlineStr">
        <is>
          <t>未声明</t>
        </is>
      </c>
      <c r="M38" s="192" t="inlineStr">
        <is>
          <t>场景通用组件</t>
        </is>
      </c>
      <c r="N38" s="192" t="inlineStr">
        <is>
          <t>程序占位</t>
        </is>
      </c>
      <c r="O38" s="192" t="inlineStr">
        <is>
          <t>v001</t>
        </is>
      </c>
      <c r="P38" s="193" t="inlineStr">
        <is>
          <t>根节点=PrpRoomStairLobbyThresholdGuide(Node3D)；2026-08-18扫描补登记资产主表</t>
        </is>
      </c>
    </row>
    <row r="39" ht="66" customHeight="1">
      <c r="A39" s="191" t="inlineStr">
        <is>
          <t>ENV-DUNGEON-VERTICAL-ACCESS-MARKER</t>
        </is>
      </c>
      <c r="B39" s="192" t="inlineStr">
        <is>
          <t>垂直通行标记</t>
        </is>
      </c>
      <c r="C39" s="192" t="inlineStr">
        <is>
          <t>assets/art/props/dungeon_3d/prp_room_vertical_access_marker_label.tscn</t>
        </is>
      </c>
      <c r="D39" s="192" t="str"/>
      <c r="E39" s="192" t="str"/>
      <c r="F39" s="192" t="inlineStr">
        <is>
          <t>Godot原生场景结构Prefab；由关卡脚本按模块实例化</t>
        </is>
      </c>
      <c r="G39" s="192" t="inlineStr">
        <is>
          <t>src/world3d/DungeonRoom3D.gd</t>
        </is>
      </c>
      <c r="H39" s="192" t="inlineStr">
        <is>
          <t>无</t>
        </is>
      </c>
      <c r="I39" s="192" t="inlineStr">
        <is>
          <t>无</t>
        </is>
      </c>
      <c r="J39" s="192" t="inlineStr">
        <is>
          <t>无</t>
        </is>
      </c>
      <c r="K39" s="192" t="inlineStr">
        <is>
          <t>未声明</t>
        </is>
      </c>
      <c r="L39" s="192" t="inlineStr">
        <is>
          <t>未声明</t>
        </is>
      </c>
      <c r="M39" s="192" t="inlineStr">
        <is>
          <t>场景通用组件</t>
        </is>
      </c>
      <c r="N39" s="192" t="inlineStr">
        <is>
          <t>程序占位</t>
        </is>
      </c>
      <c r="O39" s="192" t="inlineStr">
        <is>
          <t>v001</t>
        </is>
      </c>
      <c r="P39" s="193" t="inlineStr">
        <is>
          <t>根节点=PrpRoomVerticalAccessMarkerLabel(Node3D)；2026-08-18扫描补登记资产主表</t>
        </is>
      </c>
    </row>
    <row r="40" ht="66" customHeight="1">
      <c r="A40" s="191" t="inlineStr">
        <is>
          <t>ENV-DUNGEON-ROOM-WALL-DOOR-SEGMENT</t>
        </is>
      </c>
      <c r="B40" s="192" t="inlineStr">
        <is>
          <t>房间带门墙段</t>
        </is>
      </c>
      <c r="C40" s="192" t="inlineStr">
        <is>
          <t>assets/art/props/dungeon_3d/prp_room_wall_door_segment.tscn</t>
        </is>
      </c>
      <c r="D40" s="192" t="str"/>
      <c r="E40" s="192" t="str"/>
      <c r="F40" s="192" t="inlineStr">
        <is>
          <t>Godot原生场景结构Prefab；由关卡脚本按模块实例化</t>
        </is>
      </c>
      <c r="G40" s="192" t="inlineStr">
        <is>
          <t>src/world3d/DungeonRoom3D.gd</t>
        </is>
      </c>
      <c r="H40" s="192" t="inlineStr">
        <is>
          <t>开</t>
        </is>
      </c>
      <c r="I40" s="192" t="inlineStr">
        <is>
          <t>Prefab自身</t>
        </is>
      </c>
      <c r="J40" s="192" t="inlineStr">
        <is>
          <t>BoxShape3D</t>
        </is>
      </c>
      <c r="K40" s="192" t="inlineStr">
        <is>
          <t>未声明</t>
        </is>
      </c>
      <c r="L40" s="192" t="inlineStr">
        <is>
          <t>未声明</t>
        </is>
      </c>
      <c r="M40" s="192" t="inlineStr">
        <is>
          <t>场景通用组件</t>
        </is>
      </c>
      <c r="N40" s="192" t="inlineStr">
        <is>
          <t>程序占位</t>
        </is>
      </c>
      <c r="O40" s="192" t="inlineStr">
        <is>
          <t>v001</t>
        </is>
      </c>
      <c r="P40" s="193" t="inlineStr">
        <is>
          <t>根节点=PrpRoomWallDoorSegment(Node3D)；2026-08-18扫描补登记资产主表</t>
        </is>
      </c>
    </row>
    <row r="41" ht="66" customHeight="1">
      <c r="A41" s="191" t="inlineStr">
        <is>
          <t>ENV-DUNGEON-ROOM-WALL-SEGMENT</t>
        </is>
      </c>
      <c r="B41" s="192" t="inlineStr">
        <is>
          <t>房间普通墙段</t>
        </is>
      </c>
      <c r="C41" s="192" t="inlineStr">
        <is>
          <t>assets/art/props/dungeon_3d/prp_room_wall_segment.tscn</t>
        </is>
      </c>
      <c r="D41" s="192" t="str"/>
      <c r="E41" s="192" t="str"/>
      <c r="F41" s="192" t="inlineStr">
        <is>
          <t>Godot原生场景结构Prefab；由关卡脚本按模块实例化</t>
        </is>
      </c>
      <c r="G41" s="192" t="inlineStr">
        <is>
          <t>src/world3d/DungeonRoom3D.gd</t>
        </is>
      </c>
      <c r="H41" s="192" t="inlineStr">
        <is>
          <t>开</t>
        </is>
      </c>
      <c r="I41" s="192" t="inlineStr">
        <is>
          <t>Prefab自身</t>
        </is>
      </c>
      <c r="J41" s="192" t="inlineStr">
        <is>
          <t>BoxShape3D</t>
        </is>
      </c>
      <c r="K41" s="192" t="inlineStr">
        <is>
          <t>未声明</t>
        </is>
      </c>
      <c r="L41" s="192" t="inlineStr">
        <is>
          <t>未声明</t>
        </is>
      </c>
      <c r="M41" s="192" t="inlineStr">
        <is>
          <t>场景通用组件</t>
        </is>
      </c>
      <c r="N41" s="192" t="inlineStr">
        <is>
          <t>程序占位</t>
        </is>
      </c>
      <c r="O41" s="192" t="inlineStr">
        <is>
          <t>v001</t>
        </is>
      </c>
      <c r="P41" s="193" t="inlineStr">
        <is>
          <t>根节点=PrpRoomWallSegment(Node3D)；2026-08-18扫描补登记资产主表</t>
        </is>
      </c>
    </row>
    <row r="42" ht="66" customHeight="1">
      <c r="A42" s="191" t="inlineStr">
        <is>
          <t>ENV-TOWER-FLOOR-TILE-5M</t>
        </is>
      </c>
      <c r="B42" s="192" t="inlineStr">
        <is>
          <t>塔楼5米地砖模块</t>
        </is>
      </c>
      <c r="C42" s="192" t="inlineStr">
        <is>
          <t>assets/art/props/dungeon_3d/prp_tower_floor_tile_5m.tscn</t>
        </is>
      </c>
      <c r="D42" s="192" t="str"/>
      <c r="E42" s="192" t="str"/>
      <c r="F42" s="192" t="inlineStr">
        <is>
          <t>Godot原生场景结构Prefab；由关卡脚本按模块实例化</t>
        </is>
      </c>
      <c r="G42" s="192" t="inlineStr">
        <is>
          <t>src/world3d/TowerFloorStage3D.gd</t>
        </is>
      </c>
      <c r="H42" s="192" t="inlineStr">
        <is>
          <t>开</t>
        </is>
      </c>
      <c r="I42" s="192" t="inlineStr">
        <is>
          <t>Prefab自身</t>
        </is>
      </c>
      <c r="J42" s="192" t="inlineStr">
        <is>
          <t>BoxShape3D</t>
        </is>
      </c>
      <c r="K42" s="192" t="inlineStr">
        <is>
          <t>GLB / 5×5×0.30m / 共享Mesh / MultiMesh平铺</t>
        </is>
      </c>
      <c r="L42" s="192" t="inlineStr">
        <is>
          <t>未声明</t>
        </is>
      </c>
      <c r="M42" s="192" t="inlineStr">
        <is>
          <t>塔楼六个物理层楼板/335m MultiMesh网格/动态水平通道</t>
        </is>
      </c>
      <c r="N42" s="192" t="inlineStr">
        <is>
          <t>原型已接入</t>
        </is>
      </c>
      <c r="O42" s="192" t="inlineStr">
        <is>
          <t>v001</t>
        </is>
      </c>
      <c r="P42" s="193" t="inlineStr">
        <is>
          <t>根节点=PrpTowerFloorTile5m(Node3D)；资产主表模型=assets/art/environments/tower_descent_3d/components/env_tower_floor_tile_5m_top3d_v001.glb；当前Prefab尚未直接引用</t>
        </is>
      </c>
    </row>
    <row r="43" ht="66" customHeight="1">
      <c r="A43" s="191" t="inlineStr">
        <is>
          <t>ENV-TOWER-STAIRWELL-GENERIC-9M</t>
        </is>
      </c>
      <c r="B43" s="192" t="inlineStr">
        <is>
          <t>塔楼9米通用双跑楼梯间</t>
        </is>
      </c>
      <c r="C43" s="192" t="inlineStr">
        <is>
          <t>assets/art/props/dungeon_3d/prp_tower_stairwell_generic_9m_v001.tscn</t>
        </is>
      </c>
      <c r="D43" s="192" t="inlineStr">
        <is>
          <t>assets/art/environments/tower_descent_3d/components/env_tower_stairwell_generic_9m_top3d_v003.glb</t>
        </is>
      </c>
      <c r="E43" s="192" t="inlineStr">
        <is>
          <t>assets/art/environments/tower_descent_3d/source/env_tower_descent_kit_top3d_v010.blend</t>
        </is>
      </c>
      <c r="F43" s="192" t="inlineStr">
        <is>
          <t>版本化PackedScene包装；运行时实例化GLB并从Walkable与四面可见围护生成同形碰撞</t>
        </is>
      </c>
      <c r="G43" s="192" t="inlineStr">
        <is>
          <t>src/world3d/TowerDescent3D.gd</t>
        </is>
      </c>
      <c r="H43" s="192" t="inlineStr">
        <is>
          <t>开</t>
        </is>
      </c>
      <c r="I43" s="192" t="inlineStr">
        <is>
          <t>TowerDescent3D运行时包装</t>
        </is>
      </c>
      <c r="J43" s="192" t="inlineStr">
        <is>
          <t>ConcavePolygonShape3D（同形围护/Walkable）</t>
        </is>
      </c>
      <c r="K43" s="192" t="inlineStr">
        <is>
          <t>GLB / 15×30m占地 / 9m层差 / 四面8.9m围护 / 48子对象</t>
        </is>
      </c>
      <c r="L43" s="192" t="inlineStr">
        <is>
          <t>v003</t>
        </is>
      </c>
      <c r="M43" s="192" t="inlineStr">
        <is>
          <t>99层以下通用楼梯/四向旋转/上下楼交通</t>
        </is>
      </c>
      <c r="N43" s="192" t="inlineStr">
        <is>
          <t>原型已接入</t>
        </is>
      </c>
      <c r="O43" s="192" t="inlineStr">
        <is>
          <t>v001</t>
        </is>
      </c>
      <c r="P43" s="193" t="inlineStr">
        <is>
          <t>根节点=PrpTowerStairwellGeneric9m(Node3D)</t>
        </is>
      </c>
    </row>
    <row r="44" ht="66" customHeight="1">
      <c r="A44" s="191" t="inlineStr">
        <is>
          <t>ENV-TOWER-STAIRWELL-ROOFTOP-9M</t>
        </is>
      </c>
      <c r="B44" s="192" t="inlineStr">
        <is>
          <t>塔楼楼顶特殊双跑楼梯间</t>
        </is>
      </c>
      <c r="C44" s="192" t="inlineStr">
        <is>
          <t>assets/art/props/dungeon_3d/prp_tower_stairwell_rooftop_9m_v001.tscn</t>
        </is>
      </c>
      <c r="D44" s="192" t="inlineStr">
        <is>
          <t>assets/art/environments/tower_descent_3d/components/env_tower_stairwell_rooftop_9m_top3d_v003.glb</t>
        </is>
      </c>
      <c r="E44" s="192" t="inlineStr">
        <is>
          <t>assets/art/environments/tower_descent_3d/source/env_tower_descent_kit_top3d_v010.blend</t>
        </is>
      </c>
      <c r="F44" s="192" t="inlineStr">
        <is>
          <t>版本化PackedScene包装；运行时实例化GLB并从Walkable与四面可见围护生成同形碰撞</t>
        </is>
      </c>
      <c r="G44" s="192" t="inlineStr">
        <is>
          <t>src/world3d/TowerDescent3D.gd</t>
        </is>
      </c>
      <c r="H44" s="192" t="inlineStr">
        <is>
          <t>开</t>
        </is>
      </c>
      <c r="I44" s="192" t="inlineStr">
        <is>
          <t>TowerDescent3D运行时包装</t>
        </is>
      </c>
      <c r="J44" s="192" t="inlineStr">
        <is>
          <t>ConcavePolygonShape3D（同形围护/Walkable）</t>
        </is>
      </c>
      <c r="K44" s="192" t="inlineStr">
        <is>
          <t>GLB / 15×30m占地 / 9m层差 / 四面8.9m围护 / 47子对象</t>
        </is>
      </c>
      <c r="L44" s="192" t="inlineStr">
        <is>
          <t>v003</t>
        </is>
      </c>
      <c r="M44" s="192" t="inlineStr">
        <is>
          <t>楼顶至99层特殊交通/保留手调墙高</t>
        </is>
      </c>
      <c r="N44" s="192" t="inlineStr">
        <is>
          <t>原型已接入</t>
        </is>
      </c>
      <c r="O44" s="192" t="inlineStr">
        <is>
          <t>v001</t>
        </is>
      </c>
      <c r="P44" s="193" t="inlineStr">
        <is>
          <t>根节点=PrpTowerStairwellRooftop9m(Node3D)</t>
        </is>
      </c>
    </row>
    <row r="45" ht="66" customHeight="1">
      <c r="A45" s="191" t="inlineStr">
        <is>
          <t>ENV-TOWER-WALL-DOOR-5M</t>
        </is>
      </c>
      <c r="B45" s="192" t="inlineStr">
        <is>
          <t>塔楼5米带门墙模块</t>
        </is>
      </c>
      <c r="C45" s="192" t="inlineStr">
        <is>
          <t>assets/art/props/dungeon_3d/prp_tower_wall_door_5m.tscn</t>
        </is>
      </c>
      <c r="D45" s="192" t="str"/>
      <c r="E45" s="192" t="inlineStr">
        <is>
          <t>assets/art/environments/tower_descent_3d/source/env_tower_descent_kit_top3d_v007.blend</t>
        </is>
      </c>
      <c r="F45" s="192" t="inlineStr">
        <is>
          <t>Godot原生场景结构Prefab；由关卡脚本按模块实例化</t>
        </is>
      </c>
      <c r="G45" s="192" t="inlineStr">
        <is>
          <t>src/world3d/DungeonRoom3D.gd</t>
        </is>
      </c>
      <c r="H45" s="192" t="inlineStr">
        <is>
          <t>开</t>
        </is>
      </c>
      <c r="I45" s="192" t="inlineStr">
        <is>
          <t>Prefab自身</t>
        </is>
      </c>
      <c r="J45" s="192" t="inlineStr">
        <is>
          <t>BoxShape3D</t>
        </is>
      </c>
      <c r="K45" s="192" t="inlineStr">
        <is>
          <t>Blender 4.2 GLB/7个Mesh部件/2.2×2.5m净开口</t>
        </is>
      </c>
      <c r="L45" s="192" t="inlineStr">
        <is>
          <t>未声明</t>
        </is>
      </c>
      <c r="M45" s="192" t="inlineStr">
        <is>
          <t>5m墙位/2.2m净宽/2.5m净高/独立门扇</t>
        </is>
      </c>
      <c r="N45" s="192" t="inlineStr">
        <is>
          <t>原型已接入</t>
        </is>
      </c>
      <c r="O45" s="192" t="inlineStr">
        <is>
          <t>v002</t>
        </is>
      </c>
      <c r="P45" s="193" t="inlineStr">
        <is>
          <t>根节点=PrpTowerWallDoor5m(Node3D)；资产主表模型=assets/art/environments/tower_descent_3d/components/env_tower_wall_door_5m_top3d_v002.glb；当前Prefab尚未直接引用</t>
        </is>
      </c>
    </row>
    <row r="46" ht="66" customHeight="1">
      <c r="A46" s="191" t="inlineStr">
        <is>
          <t>ENV-TOWER-WALL-PARAPET-5M</t>
        </is>
      </c>
      <c r="B46" s="192" t="inlineStr">
        <is>
          <t>塔楼5米楼顶女儿墙模块</t>
        </is>
      </c>
      <c r="C46" s="192" t="inlineStr">
        <is>
          <t>assets/art/props/dungeon_3d/prp_tower_wall_parapet_5m.tscn</t>
        </is>
      </c>
      <c r="D46" s="192" t="str"/>
      <c r="E46" s="192" t="str"/>
      <c r="F46" s="192" t="inlineStr">
        <is>
          <t>Godot原生场景结构Prefab；由关卡脚本按模块实例化</t>
        </is>
      </c>
      <c r="G46" s="192" t="inlineStr">
        <is>
          <t>src/world3d/TowerFloorStage3D.gd</t>
        </is>
      </c>
      <c r="H46" s="192" t="inlineStr">
        <is>
          <t>开</t>
        </is>
      </c>
      <c r="I46" s="192" t="inlineStr">
        <is>
          <t>Prefab自身</t>
        </is>
      </c>
      <c r="J46" s="192" t="inlineStr">
        <is>
          <t>BoxShape3D</t>
        </is>
      </c>
      <c r="K46" s="192" t="inlineStr">
        <is>
          <t>GLB / 5×0.30×1.50m / 共享Mesh</t>
        </is>
      </c>
      <c r="L46" s="192" t="inlineStr">
        <is>
          <t>未声明</t>
        </is>
      </c>
      <c r="M46" s="192" t="inlineStr">
        <is>
          <t>335m楼顶四周边界/268段MultiMesh围栏</t>
        </is>
      </c>
      <c r="N46" s="192" t="inlineStr">
        <is>
          <t>原型已接入</t>
        </is>
      </c>
      <c r="O46" s="192" t="inlineStr">
        <is>
          <t>v001</t>
        </is>
      </c>
      <c r="P46" s="193" t="inlineStr">
        <is>
          <t>根节点=PrpTowerWallParapet5m(Node3D)；资产主表模型=assets/art/environments/tower_descent_3d/components/env_tower_wall_parapet_5m_top3d_v001.glb；当前Prefab尚未直接引用</t>
        </is>
      </c>
    </row>
    <row r="47" ht="66" customHeight="1">
      <c r="A47" s="191" t="inlineStr">
        <is>
          <t>ENV-TOWER-WALL-PARAPET-DOOR-5M</t>
        </is>
      </c>
      <c r="B47" s="192" t="inlineStr">
        <is>
          <t>塔楼带门女儿墙5米</t>
        </is>
      </c>
      <c r="C47" s="192" t="inlineStr">
        <is>
          <t>assets/art/props/dungeon_3d/prp_tower_wall_parapet_door_5m.tscn</t>
        </is>
      </c>
      <c r="D47" s="192" t="str"/>
      <c r="E47" s="192" t="str"/>
      <c r="F47" s="192" t="inlineStr">
        <is>
          <t>Godot原生场景结构Prefab；由关卡脚本按模块实例化</t>
        </is>
      </c>
      <c r="G47" s="192" t="inlineStr">
        <is>
          <t>src/world3d/TowerFloorStage3D.gd</t>
        </is>
      </c>
      <c r="H47" s="192" t="inlineStr">
        <is>
          <t>开</t>
        </is>
      </c>
      <c r="I47" s="192" t="inlineStr">
        <is>
          <t>Prefab自身</t>
        </is>
      </c>
      <c r="J47" s="192" t="inlineStr">
        <is>
          <t>BoxShape3D</t>
        </is>
      </c>
      <c r="K47" s="192" t="inlineStr">
        <is>
          <t>未声明</t>
        </is>
      </c>
      <c r="L47" s="192" t="inlineStr">
        <is>
          <t>未声明</t>
        </is>
      </c>
      <c r="M47" s="192" t="inlineStr">
        <is>
          <t>场景通用组件</t>
        </is>
      </c>
      <c r="N47" s="192" t="inlineStr">
        <is>
          <t>程序占位</t>
        </is>
      </c>
      <c r="O47" s="192" t="inlineStr">
        <is>
          <t>v001</t>
        </is>
      </c>
      <c r="P47" s="193" t="inlineStr">
        <is>
          <t>根节点=PrpTowerWallParapetDoor5m(Node3D)；2026-08-18扫描补登记资产主表</t>
        </is>
      </c>
    </row>
    <row r="48" ht="66" customHeight="1">
      <c r="A48" s="194" t="inlineStr">
        <is>
          <t>ENV-TOWER-WALL-SOLID-5M</t>
        </is>
      </c>
      <c r="B48" s="195" t="inlineStr">
        <is>
          <t>塔楼5米满高实墙模块</t>
        </is>
      </c>
      <c r="C48" s="195" t="inlineStr">
        <is>
          <t>assets/art/props/dungeon_3d/prp_tower_wall_solid_5m.tscn</t>
        </is>
      </c>
      <c r="D48" s="195" t="str"/>
      <c r="E48" s="195" t="str"/>
      <c r="F48" s="195" t="inlineStr">
        <is>
          <t>Godot原生场景结构Prefab；由关卡脚本按模块实例化</t>
        </is>
      </c>
      <c r="G48" s="195" t="inlineStr">
        <is>
          <t>src/world3d/DungeonRoom3D.gd</t>
        </is>
      </c>
      <c r="H48" s="195" t="inlineStr">
        <is>
          <t>开</t>
        </is>
      </c>
      <c r="I48" s="195" t="inlineStr">
        <is>
          <t>Prefab自身</t>
        </is>
      </c>
      <c r="J48" s="195" t="inlineStr">
        <is>
          <t>BoxShape3D</t>
        </is>
      </c>
      <c r="K48" s="195" t="inlineStr">
        <is>
          <t>GLB / 5×0.30×9m / 共享Mesh / 可旋转</t>
        </is>
      </c>
      <c r="L48" s="195" t="inlineStr">
        <is>
          <t>未声明</t>
        </is>
      </c>
      <c r="M48" s="195" t="inlineStr">
        <is>
          <t>整层外墙/65m核心/探索房内墙/5m正交走廊</t>
        </is>
      </c>
      <c r="N48" s="195" t="inlineStr">
        <is>
          <t>原型已接入</t>
        </is>
      </c>
      <c r="O48" s="195" t="inlineStr">
        <is>
          <t>v001</t>
        </is>
      </c>
      <c r="P48" s="196" t="inlineStr">
        <is>
          <t>根节点=PrpTowerWallSolid5m(Node3D)；资产主表模型=assets/art/environments/tower_descent_3d/components/env_tower_wall_solid_5m_top3d_v001.glb；当前Prefab尚未直接引用</t>
        </is>
      </c>
    </row>
    <row r="49">
      <c r="A49" s="349" t="inlineStr">
        <is>
          <t>ENV-BASE99-WALL-DOOR-5X9</t>
        </is>
      </c>
      <c r="B49" s="349" t="inlineStr">
        <is>
          <t>基地99层带门墙体5×9米</t>
        </is>
      </c>
      <c r="C49" s="349" t="inlineStr">
        <is>
          <t>assets/art/environments/base_facility_3d/runtime/env_base99_wall_door_5x9/env_base99_wall_door_5x9_root_top3d_v001.tscn</t>
        </is>
      </c>
      <c r="D49" s="349" t="inlineStr">
        <is>
          <t>assets/art/environments/base_facility_3d/components/env_base99_wall_door_5x9/env_base99_wall_door_5x9_visual_top3d_v001.glb</t>
        </is>
      </c>
      <c r="E49" s="349" t="inlineStr">
        <is>
          <t>assets/art/environments/base_facility_3d/source/env_base99_modular_room/env_base99_modular_room_assets_clean_v001.blend</t>
        </is>
      </c>
      <c r="F49" s="349" t="inlineStr">
        <is>
          <t>仅表现；墙体由DungeonRoom3D按5米槽位组合</t>
        </is>
      </c>
      <c r="G49" s="349" t="inlineStr">
        <is>
          <t>src/world3d/DungeonRoom3D.gd</t>
        </is>
      </c>
      <c r="H49" s="349" t="inlineStr">
        <is>
          <t>开</t>
        </is>
      </c>
      <c r="I49" s="349" t="inlineStr">
        <is>
          <t>外部脚本</t>
        </is>
      </c>
      <c r="J49" s="349" t="inlineStr">
        <is>
          <t>DungeonRoom3D BoxShape3D</t>
        </is>
      </c>
      <c r="K49" s="349" t="inlineStr">
        <is>
          <t>5×9×1.1712m视觉外廓；2.2×2.5m门洞；底边中心原点</t>
        </is>
      </c>
      <c r="L49" s="349" t="inlineStr">
        <is>
          <t>bottom_center；-Z</t>
        </is>
      </c>
      <c r="M49" s="349" t="inlineStr">
        <is>
          <t>99层基地</t>
        </is>
      </c>
      <c r="N49" s="349" t="inlineStr">
        <is>
          <t>正式美术已接入</t>
        </is>
      </c>
      <c r="O49" s="349" t="inlineStr">
        <is>
          <t>v001</t>
        </is>
      </c>
      <c r="P49" s="349" t="inlineStr">
        <is>
          <t>GLB无玩法碰撞；cast_and_receive；替换同路径GLB不改变功能。</t>
        </is>
      </c>
    </row>
    <row r="50">
      <c r="A50" s="349" t="inlineStr">
        <is>
          <t>ENV-BASE99-FLOOR-PLAIN-5M</t>
        </is>
      </c>
      <c r="B50" s="349" t="inlineStr">
        <is>
          <t>基地99层普通地板5×5米</t>
        </is>
      </c>
      <c r="C50" s="349" t="inlineStr">
        <is>
          <t>assets/art/environments/base_facility_3d/runtime/env_base99_floor_plain_5m/env_base99_floor_plain_5m_root_top3d_v001.tscn</t>
        </is>
      </c>
      <c r="D50" s="349" t="inlineStr">
        <is>
          <t>assets/art/environments/base_facility_3d/components/env_base99_floor_plain_5m/env_base99_floor_plain_5m_visual_top3d_v001.glb</t>
        </is>
      </c>
      <c r="E50" s="349" t="inlineStr">
        <is>
          <t>assets/art/environments/base_facility_3d/source/env_base99_modular_room/env_base99_modular_room_assets_clean_v001.blend</t>
        </is>
      </c>
      <c r="F50" s="349" t="inlineStr">
        <is>
          <t>仅表现；5米网格由DungeonRoom3D组合</t>
        </is>
      </c>
      <c r="G50" s="349" t="inlineStr">
        <is>
          <t>src/world3d/DungeonRoom3D.gd</t>
        </is>
      </c>
      <c r="H50" s="349" t="inlineStr">
        <is>
          <t>开</t>
        </is>
      </c>
      <c r="I50" s="349" t="inlineStr">
        <is>
          <t>外部脚本</t>
        </is>
      </c>
      <c r="J50" s="349" t="inlineStr">
        <is>
          <t>TowerFloorStage BoxShape3D</t>
        </is>
      </c>
      <c r="K50" s="349" t="inlineStr">
        <is>
          <t>5×5×0.30m；平面中心/结构底面原点</t>
        </is>
      </c>
      <c r="L50" s="349" t="inlineStr">
        <is>
          <t>bottom_center；-Z</t>
        </is>
      </c>
      <c r="M50" s="349" t="inlineStr">
        <is>
          <t>99层基地</t>
        </is>
      </c>
      <c r="N50" s="349" t="inlineStr">
        <is>
          <t>正式美术已接入</t>
        </is>
      </c>
      <c r="O50" s="349" t="inlineStr">
        <is>
          <t>v001</t>
        </is>
      </c>
      <c r="P50" s="349" t="inlineStr">
        <is>
          <t>GLB无玩法碰撞；cast_and_receive；替换同路径GLB不改变功能。</t>
        </is>
      </c>
    </row>
    <row r="51">
      <c r="A51" s="349" t="inlineStr">
        <is>
          <t>ENV-BASE99-FLOOR-RIVET-5M</t>
        </is>
      </c>
      <c r="B51" s="349" t="inlineStr">
        <is>
          <t>基地99层铆钉铁皮带地板5×5米</t>
        </is>
      </c>
      <c r="C51" s="349" t="inlineStr">
        <is>
          <t>assets/art/environments/base_facility_3d/runtime/env_base99_floor_rivet_5m/env_base99_floor_rivet_5m_root_top3d_v001.tscn</t>
        </is>
      </c>
      <c r="D51" s="349" t="inlineStr">
        <is>
          <t>assets/art/environments/base_facility_3d/components/env_base99_floor_rivet_5m/env_base99_floor_rivet_5m_visual_top3d_v001.glb</t>
        </is>
      </c>
      <c r="E51" s="349" t="inlineStr">
        <is>
          <t>assets/art/environments/base_facility_3d/source/env_base99_modular_room/env_base99_modular_room_assets_clean_v001.blend</t>
        </is>
      </c>
      <c r="F51" s="349" t="inlineStr">
        <is>
          <t>仅表现；5米网格由DungeonRoom3D组合</t>
        </is>
      </c>
      <c r="G51" s="349" t="inlineStr">
        <is>
          <t>src/world3d/DungeonRoom3D.gd</t>
        </is>
      </c>
      <c r="H51" s="349" t="inlineStr">
        <is>
          <t>开</t>
        </is>
      </c>
      <c r="I51" s="349" t="inlineStr">
        <is>
          <t>外部脚本</t>
        </is>
      </c>
      <c r="J51" s="349" t="inlineStr">
        <is>
          <t>TowerFloorStage BoxShape3D</t>
        </is>
      </c>
      <c r="K51" s="349" t="inlineStr">
        <is>
          <t>5×5×0.395m视觉外廓；0.30m结构板+0.095m装饰凸起</t>
        </is>
      </c>
      <c r="L51" s="349" t="inlineStr">
        <is>
          <t>bottom_center；-Z</t>
        </is>
      </c>
      <c r="M51" s="349" t="inlineStr">
        <is>
          <t>99层基地</t>
        </is>
      </c>
      <c r="N51" s="349" t="inlineStr">
        <is>
          <t>正式美术已接入</t>
        </is>
      </c>
      <c r="O51" s="349" t="inlineStr">
        <is>
          <t>v001</t>
        </is>
      </c>
      <c r="P51" s="349" t="inlineStr">
        <is>
          <t>GLB无玩法碰撞；cast_and_receive；替换同路径GLB不改变功能。</t>
        </is>
      </c>
    </row>
    <row r="52">
      <c r="A52" s="349" t="inlineStr">
        <is>
          <t>ENV-BASE99-WALL-WINDOW-5X9</t>
        </is>
      </c>
      <c r="B52" s="349" t="inlineStr">
        <is>
          <t>基地99层带窗墙体5×9米</t>
        </is>
      </c>
      <c r="C52" s="349" t="inlineStr">
        <is>
          <t>assets/art/environments/base_facility_3d/runtime/env_base99_wall_window_5x9/env_base99_wall_window_5x9_root_top3d_v001.tscn</t>
        </is>
      </c>
      <c r="D52" s="349" t="inlineStr">
        <is>
          <t>assets/art/environments/base_facility_3d/components/env_base99_wall_window_5x9/env_base99_wall_window_5x9_visual_top3d_v001.glb</t>
        </is>
      </c>
      <c r="E52" s="349" t="inlineStr">
        <is>
          <t>assets/art/environments/base_facility_3d/source/env_base99_modular_room/env_base99_modular_room_assets_clean_v001.blend</t>
        </is>
      </c>
      <c r="F52" s="349" t="inlineStr">
        <is>
          <t>100层上层围护表现；99层禁止实例化</t>
        </is>
      </c>
      <c r="G52" s="349" t="str"/>
      <c r="H52" s="349" t="inlineStr">
        <is>
          <t>开</t>
        </is>
      </c>
      <c r="I52" s="349" t="inlineStr">
        <is>
          <t>外部脚本</t>
        </is>
      </c>
      <c r="J52" s="349" t="inlineStr">
        <is>
          <t>上层围护独立结构碰撞</t>
        </is>
      </c>
      <c r="K52" s="349" t="inlineStr">
        <is>
          <t>5×9×0.60m视觉外廓；底边中心原点</t>
        </is>
      </c>
      <c r="L52" s="349" t="inlineStr">
        <is>
          <t>bottom_center；-Z</t>
        </is>
      </c>
      <c r="M52" s="349" t="inlineStr">
        <is>
          <t>100层基地</t>
        </is>
      </c>
      <c r="N52" s="349" t="inlineStr">
        <is>
          <t>正式美术已接入</t>
        </is>
      </c>
      <c r="O52" s="349" t="inlineStr">
        <is>
          <t>v001</t>
        </is>
      </c>
      <c r="P52" s="349" t="inlineStr">
        <is>
          <t>GLB仅表现；cast_and_receive；99层使用数量必须为0。</t>
        </is>
      </c>
    </row>
    <row r="53">
      <c r="A53" s="349" t="inlineStr">
        <is>
          <t>ENV-BASE99-MEZZANINE-20X10-Z7</t>
        </is>
      </c>
      <c r="B53" s="349" t="inlineStr">
        <is>
          <t>基地99层7米楼中楼楼板</t>
        </is>
      </c>
      <c r="C53" s="349" t="inlineStr">
        <is>
          <t>assets/art/environments/base_facility_3d/runtime/env_base99_mezzanine_20x10_z7/env_base99_mezzanine_20x10_z7_root_top3d_v001.tscn</t>
        </is>
      </c>
      <c r="D53" s="349" t="inlineStr">
        <is>
          <t>assets/art/environments/base_facility_3d/components/env_base99_mezzanine_20x10_z7/env_base99_mezzanine_20x10_z7_visual_top3d_v001.glb</t>
        </is>
      </c>
      <c r="E53" s="349" t="inlineStr">
        <is>
          <t>assets/art/environments/base_facility_3d/source/env_base99_modular_room/env_base99_modular_room_assets_clean_v001.blend</t>
        </is>
      </c>
      <c r="F53" s="349" t="inlineStr">
        <is>
          <t>可编辑可行走结构；含底部摄像机净空语义</t>
        </is>
      </c>
      <c r="G53" s="349" t="inlineStr">
        <is>
          <t>src/world3d/Base99WalkableModule3D.gd</t>
        </is>
      </c>
      <c r="H53" s="349" t="inlineStr">
        <is>
          <t>开</t>
        </is>
      </c>
      <c r="I53" s="349" t="inlineStr">
        <is>
          <t>Prefab脚本</t>
        </is>
      </c>
      <c r="J53" s="349" t="inlineStr">
        <is>
          <t>简化Box楼板面 + camera_stair_slab</t>
        </is>
      </c>
      <c r="K53" s="349" t="inlineStr">
        <is>
          <t>约20.25×10.25m外廓；完成面7m；底部中心原点</t>
        </is>
      </c>
      <c r="L53" s="349" t="inlineStr">
        <is>
          <t>bottom_center；-Z</t>
        </is>
      </c>
      <c r="M53" s="349" t="inlineStr">
        <is>
          <t>99层基地</t>
        </is>
      </c>
      <c r="N53" s="349" t="inlineStr">
        <is>
          <t>正式美术已接入</t>
        </is>
      </c>
      <c r="O53" s="349" t="inlineStr">
        <is>
          <t>v001</t>
        </is>
      </c>
      <c r="P53" s="349" t="inlineStr">
        <is>
          <t>在基地布局tscn直接移动；模型、碰撞和摄像机语义随实例同步。</t>
        </is>
      </c>
    </row>
    <row r="54">
      <c r="A54" s="349" t="inlineStr">
        <is>
          <t>ENV-BASE99-STAIR-L-Z7</t>
        </is>
      </c>
      <c r="B54" s="349" t="inlineStr">
        <is>
          <t>基地99层7米L型楼梯</t>
        </is>
      </c>
      <c r="C54" s="349" t="inlineStr">
        <is>
          <t>assets/art/environments/base_facility_3d/runtime/env_base99_stair_l_z7/env_base99_stair_l_z7_root_top3d_v001.tscn</t>
        </is>
      </c>
      <c r="D54" s="349" t="inlineStr">
        <is>
          <t>assets/art/environments/base_facility_3d/components/env_base99_stair_l_z7/env_base99_stair_l_z7_visual_top3d_v001.glb</t>
        </is>
      </c>
      <c r="E54" s="349" t="inlineStr">
        <is>
          <t>assets/art/environments/base_facility_3d/source/env_base99_modular_room/env_base99_modular_room_assets_clean_v001.blend</t>
        </is>
      </c>
      <c r="F54" s="349" t="inlineStr">
        <is>
          <t>可编辑可行走结构；含底部摄像机净空语义</t>
        </is>
      </c>
      <c r="G54" s="349" t="inlineStr">
        <is>
          <t>src/world3d/Base99WalkableModule3D.gd</t>
        </is>
      </c>
      <c r="H54" s="349" t="inlineStr">
        <is>
          <t>开</t>
        </is>
      </c>
      <c r="I54" s="349" t="inlineStr">
        <is>
          <t>Prefab脚本</t>
        </is>
      </c>
      <c r="J54" s="349" t="inlineStr">
        <is>
          <t>两段Box斜坡+转角平台 + camera_stair_slab</t>
        </is>
      </c>
      <c r="K54" s="349" t="inlineStr">
        <is>
          <t>约9.22×10.54×7.94m外廓；一楼至7m楼板</t>
        </is>
      </c>
      <c r="L54" s="349" t="inlineStr">
        <is>
          <t>bottom_center；-Z</t>
        </is>
      </c>
      <c r="M54" s="349" t="inlineStr">
        <is>
          <t>99层基地</t>
        </is>
      </c>
      <c r="N54" s="349" t="inlineStr">
        <is>
          <t>正式美术已接入</t>
        </is>
      </c>
      <c r="O54" s="349" t="inlineStr">
        <is>
          <t>v001</t>
        </is>
      </c>
      <c r="P54" s="349" t="inlineStr">
        <is>
          <t>不使用踏步Trimesh；坡面低于角色44度上限；位置由布局tscn管理。</t>
        </is>
      </c>
    </row>
    <row r="55">
      <c r="A55" s="349" t="inlineStr">
        <is>
          <t>ENV-BASE99-STAIR-EXTERIOR-H2</t>
        </is>
      </c>
      <c r="B55" s="349" t="inlineStr">
        <is>
          <t>基地99层二楼外门2米小楼梯</t>
        </is>
      </c>
      <c r="C55" s="349" t="inlineStr">
        <is>
          <t>assets/art/environments/base_facility_3d/runtime/env_base99_stair_exterior_h2/env_base99_stair_exterior_h2_root_top3d_v001.tscn</t>
        </is>
      </c>
      <c r="D55" s="349" t="inlineStr">
        <is>
          <t>assets/art/environments/base_facility_3d/components/env_base99_stair_exterior_h2/env_base99_stair_exterior_h2_visual_top3d_v001.glb</t>
        </is>
      </c>
      <c r="E55" s="349" t="inlineStr">
        <is>
          <t>assets/art/environments/base_facility_3d/source/env_base99_modular_room/env_base99_modular_room_assets_clean_v001.blend</t>
        </is>
      </c>
      <c r="F55" s="349" t="inlineStr">
        <is>
          <t>可编辑可行走结构；含底部摄像机净空语义</t>
        </is>
      </c>
      <c r="G55" s="349" t="inlineStr">
        <is>
          <t>src/world3d/Base99WalkableModule3D.gd</t>
        </is>
      </c>
      <c r="H55" s="349" t="inlineStr">
        <is>
          <t>开</t>
        </is>
      </c>
      <c r="I55" s="349" t="inlineStr">
        <is>
          <t>Prefab脚本</t>
        </is>
      </c>
      <c r="J55" s="349" t="inlineStr">
        <is>
          <t>简化Box斜坡 + camera_stair_slab</t>
        </is>
      </c>
      <c r="K55" s="349" t="inlineStr">
        <is>
          <t>4.515×2.80×2.00m；7m楼板至9m外门门槛</t>
        </is>
      </c>
      <c r="L55" s="349" t="inlineStr">
        <is>
          <t>bottom_center；-Z</t>
        </is>
      </c>
      <c r="M55" s="349" t="inlineStr">
        <is>
          <t>99层基地</t>
        </is>
      </c>
      <c r="N55" s="349" t="inlineStr">
        <is>
          <t>正式美术已接入</t>
        </is>
      </c>
      <c r="O55" s="349" t="inlineStr">
        <is>
          <t>v001</t>
        </is>
      </c>
      <c r="P55" s="349" t="inlineStr">
        <is>
          <t>不使用踏步Trimesh；位置和旋转由布局tscn管理。</t>
        </is>
      </c>
    </row>
    <row r="56">
      <c r="A56" t="inlineStr">
        <is>
          <t>ENV-BASE100-UPPER-SHELL-30X30-H9</t>
        </is>
      </c>
      <c r="B56" t="inlineStr">
        <is>
          <t>基地100层上层围护与18米封顶</t>
        </is>
      </c>
      <c r="C56" t="inlineStr">
        <is>
          <t>assets/art/environments/base_facility_3d/runtime/env_base100_upper_shell_30x30_h9/env_base100_upper_shell_30x30_h9_root_top3d_v001.tscn</t>
        </is>
      </c>
      <c r="E56" t="inlineStr">
        <is>
          <t>assets/art/environments/base_facility_3d/source/env_base99_modular_room/env_base99_modular_room_source_v001.blend</t>
        </is>
      </c>
      <c r="F56" t="inlineStr">
        <is>
          <t>可编辑组合Prefab；24块围护墙与36块封顶模块；统一挡光并投影</t>
        </is>
      </c>
      <c r="G56" t="inlineStr">
        <is>
          <t>src/world3d/Base100UpperShell3D.gd</t>
        </is>
      </c>
      <c r="H56" t="inlineStr">
        <is>
          <t>开</t>
        </is>
      </c>
      <c r="I56" t="inlineStr">
        <is>
          <t>Prefab脚本</t>
        </is>
      </c>
      <c r="J56" t="inlineStr">
        <is>
          <t>9个BoxShape3D（连续墙/东侧门洞框/屋顶）</t>
        </is>
      </c>
      <c r="K56" t="inlineStr">
        <is>
          <t>30×30×9m上层围护；墙底9m；屋顶底18m；东门洞2.2×2.5m</t>
        </is>
      </c>
      <c r="L56" t="inlineStr">
        <is>
          <t>room_center；local -Z为北；根缩放1</t>
        </is>
      </c>
      <c r="M56" t="inlineStr">
        <is>
          <t>基地100层及18米屋顶</t>
        </is>
      </c>
      <c r="N56" t="inlineStr">
        <is>
          <t>正式美术已接入</t>
        </is>
      </c>
      <c r="O56" t="inlineStr">
        <is>
          <t>v001</t>
        </is>
      </c>
      <c r="P56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>
      <c r="A57" s="349" t="inlineStr">
        <is>
          <t>ENV-BASE99-MEZZANINE-20X10-Z5</t>
        </is>
      </c>
      <c r="B57" s="349" t="inlineStr">
        <is>
          <t>基地99层5米楼中楼结构与护栏（复用V020二层地板）</t>
        </is>
      </c>
      <c r="C57" s="349" t="inlineStr">
        <is>
          <t>assets/art/environments/base_facility_3d/runtime/env_base99_mezzanine_20x10_z5/env_base99_mezzanine_20x10_z5_root_top3d_v004.tscn</t>
        </is>
      </c>
      <c r="D57" s="349" t="inlineStr">
        <is>
          <t>assets/art/environments/base_facility_3d/components/env_base99_mezzanine_20x10_z5/env_base99_mezzanine_20x10_z5_visual_top3d_v004.glb</t>
        </is>
      </c>
      <c r="E57" s="349" t="inlineStr">
        <is>
          <t>assets/art/environments/base_facility_3d/source/env_base99_modular_room/env_base99_modular_room_assets_clean_v006.blend（v006；资产v004）</t>
        </is>
      </c>
      <c r="F57" s="349" t="inlineStr">
        <is>
          <t>5米承重平台与连续栏杆；移除9个旧地砖/甲板网格，二层表现复用V020地板；真实投影</t>
        </is>
      </c>
      <c r="G57" s="349" t="inlineStr">
        <is>
          <t>src/world3d/Base99WalkableModule3D.gd</t>
        </is>
      </c>
      <c r="H57" s="349" t="inlineStr">
        <is>
          <t>开</t>
        </is>
      </c>
      <c r="I57" s="349" t="inlineStr">
        <is>
          <t>Prefab自身</t>
        </is>
      </c>
      <c r="J57" s="349" t="inlineStr">
        <is>
          <t>连续Box楼板+独立栏杆Box；西侧入口为L梯留空</t>
        </is>
      </c>
      <c r="K57" s="349" t="inlineStr">
        <is>
          <t>20.2475×10.2475×5.93m；台面5m；552三角面</t>
        </is>
      </c>
      <c r="L57" s="349" t="inlineStr">
        <is>
          <t>底面中心；Blender -Y / Godot -Z</t>
        </is>
      </c>
      <c r="M57" s="349" t="inlineStr">
        <is>
          <t>99层基地楼中楼</t>
        </is>
      </c>
      <c r="N57" s="349" t="inlineStr">
        <is>
          <t>正式美术已接入；优化完成</t>
        </is>
      </c>
      <c r="O57" s="349" t="inlineStr">
        <is>
          <t>已完成，未接入</t>
        </is>
      </c>
      <c r="P57" s="34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>
      <c r="A58" s="349" t="inlineStr">
        <is>
          <t>ENV-BASE99-STAIR-L-Z5</t>
        </is>
      </c>
      <c r="B58" s="349" t="inlineStr">
        <is>
          <t>基地99层5米L型楼梯</t>
        </is>
      </c>
      <c r="C58" s="349" t="inlineStr">
        <is>
          <t>assets/art/environments/base_facility_3d/runtime/env_base99_stair_l_z5/env_base99_stair_l_z5_root_top3d_v004.tscn</t>
        </is>
      </c>
      <c r="D58" s="349" t="inlineStr">
        <is>
          <t>assets/art/environments/base_facility_3d/components/env_base99_stair_l_z5/env_base99_stair_l_z5_visual_top3d_v004.glb</t>
        </is>
      </c>
      <c r="E58" s="349" t="inlineStr">
        <is>
          <t>assets/art/environments/base_facility_3d/source/env_base99_modular_room/env_base99_modular_room_assets_clean_v004.blend</t>
        </is>
      </c>
      <c r="F58" s="349" t="inlineStr">
        <is>
          <t>0→2.5→5米完整双跑L梯；转角扶手收口；真实投影与阻挡</t>
        </is>
      </c>
      <c r="G58" s="349" t="inlineStr">
        <is>
          <t>src/world3d/Base99WalkableModule3D.gd</t>
        </is>
      </c>
      <c r="H58" s="349" t="inlineStr">
        <is>
          <t>开</t>
        </is>
      </c>
      <c r="I58" s="349" t="inlineStr">
        <is>
          <t>Prefab自身</t>
        </is>
      </c>
      <c r="J58" s="349" t="inlineStr">
        <is>
          <t>单一StaticBody：斜坡+平台+斜坡；独立连续扶手Box</t>
        </is>
      </c>
      <c r="K58" s="349" t="inlineStr">
        <is>
          <t>9.2176×10.538×5.91015m；终点5m</t>
        </is>
      </c>
      <c r="L58" s="349" t="inlineStr">
        <is>
          <t>底面中心；Blender -Y / Godot -Z</t>
        </is>
      </c>
      <c r="M58" s="349" t="inlineStr">
        <is>
          <t>99层基地一楼至楼中楼</t>
        </is>
      </c>
      <c r="N58" s="349" t="inlineStr">
        <is>
          <t>正式美术已接入；沿用已验收V004</t>
        </is>
      </c>
      <c r="O58" s="349" t="inlineStr">
        <is>
          <t>已完成，未接入</t>
        </is>
      </c>
      <c r="P58" s="34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>
      <c r="A59" s="349" t="inlineStr">
        <is>
          <t>ENV-BASE99-STAIR-EXTERIOR-H4</t>
        </is>
      </c>
      <c r="B59" s="349" t="inlineStr">
        <is>
          <t>基地99至100层4米外门楼梯</t>
        </is>
      </c>
      <c r="C59" s="349" t="inlineStr">
        <is>
          <t>assets/art/environments/base_facility_3d/runtime/env_base99_stair_exterior_h4/env_base99_stair_exterior_h4_root_top3d_v002.tscn</t>
        </is>
      </c>
      <c r="D59" s="349" t="inlineStr">
        <is>
          <t>assets/art/environments/base_facility_3d/components/env_base99_stair_exterior_h4/env_base99_stair_exterior_h4_visual_top3d_v002.glb</t>
        </is>
      </c>
      <c r="E59" s="349" t="inlineStr">
        <is>
          <t>assets/art/environments/base_facility_3d/source/env_base99_modular_room/env_base99_modular_room_assets_clean_v002.blend</t>
        </is>
      </c>
      <c r="F59" s="349" t="inlineStr">
        <is>
          <t>平台5米至100层9米；两段原生楼梯组合；真实投影</t>
        </is>
      </c>
      <c r="G59" s="349" t="inlineStr">
        <is>
          <t>src/world3d/Base99WalkableModule3D.gd</t>
        </is>
      </c>
      <c r="H59" s="349" t="inlineStr">
        <is>
          <t>开</t>
        </is>
      </c>
      <c r="I59" s="349" t="inlineStr">
        <is>
          <t>Prefab自身</t>
        </is>
      </c>
      <c r="J59" s="349" t="inlineStr">
        <is>
          <t>覆盖8.515米包络的连续斜坡+双侧护栏</t>
        </is>
      </c>
      <c r="K59" s="349" t="inlineStr">
        <is>
          <t>8.515×2.8×4m；高差4m</t>
        </is>
      </c>
      <c r="L59" s="349" t="inlineStr">
        <is>
          <t>底面中心；Blender -Y / Godot -Z</t>
        </is>
      </c>
      <c r="M59" s="349" t="inlineStr">
        <is>
          <t>基地楼中楼至100层出口</t>
        </is>
      </c>
      <c r="N59" s="349" t="inlineStr">
        <is>
          <t>正式美术已接入</t>
        </is>
      </c>
      <c r="O59" s="349" t="inlineStr">
        <is>
          <t>v002</t>
        </is>
      </c>
      <c r="P59" s="349" t="inlineStr">
        <is>
          <t>不做纵向拉伸；替代H2版本</t>
        </is>
      </c>
    </row>
    <row r="60">
      <c r="A60" t="inlineStr">
        <is>
          <t>ENV-BASE99-MEZZANINE-UNDERDECK-BLOCKER</t>
        </is>
      </c>
      <c r="B60" t="inlineStr">
        <is>
          <t>基地99层楼中楼下方工业仓库横向门板</t>
        </is>
      </c>
      <c r="C60" t="inlineStr">
        <is>
          <t>assets/art/environments/base_facility_3d/runtime/env_base99_mezzanine_underdeck_blocker/env_base99_mezzanine_underdeck_blocker_root_top3d_v003.tscn</t>
        </is>
      </c>
      <c r="D60" t="inlineStr">
        <is>
          <t>assets/art/environments/base_facility_3d/components/env_base99_mezzanine_underdeck_blocker/env_base99_mezzanine_underdeck_blocker_visual_top3d_v003.glb</t>
        </is>
      </c>
      <c r="E60" t="inlineStr">
        <is>
          <t>assets/art/environments/base_facility_3d/source/env_base99_mezzanine_underdeck_blocker/env_base99_mezzanine_underdeck_blocker_source_v003.blend</t>
        </is>
      </c>
      <c r="F60" t="inlineStr">
        <is>
          <t>三面冷灰横向门板；0.55米内收；显式永久阻挡；真实投影</t>
        </is>
      </c>
      <c r="G60" t="inlineStr">
        <is>
          <t>src/world3d/Base99MezzanineUnderdeckBlocker3D.gd</t>
        </is>
      </c>
      <c r="H60" t="inlineStr">
        <is>
          <t>开</t>
        </is>
      </c>
      <c r="I60" t="inlineStr">
        <is>
          <t>Prefab自身</t>
        </is>
      </c>
      <c r="J60" t="inlineStr">
        <is>
          <t>南/西/东三块与模型对齐的BoxShape3D；process always</t>
        </is>
      </c>
      <c r="K60" t="inlineStr">
        <is>
          <t>19.31×9.11×4.65m视觉；碰撞顶4.95m</t>
        </is>
      </c>
      <c r="L60" t="inlineStr">
        <is>
          <t>底面中心；Blender -Y / Godot -Z</t>
        </is>
      </c>
      <c r="M60" t="inlineStr">
        <is>
          <t>99层基地楼中楼下方</t>
        </is>
      </c>
      <c r="N60" t="inlineStr">
        <is>
          <t>未在正式基地布局实例化（保留回滚）</t>
        </is>
      </c>
      <c r="O60" t="inlineStr">
        <is>
          <t>已完成，未接入</t>
        </is>
      </c>
      <c r="P60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>
      <c r="A61" t="inlineStr">
        <is>
          <t>ENV-ROOFTOP-SHELTER-90X80</t>
        </is>
      </c>
      <c r="B61" t="inlineStr">
        <is>
          <t>90×80米天台可编辑生活聚落设施</t>
        </is>
      </c>
      <c r="C61" t="inlineStr">
        <is>
          <t>assets/art/environments/rooftop_shelter_3d/runtime/env_rooftop_shelter_90x80m_facilities_root_top3d_v017.tscn</t>
        </is>
      </c>
      <c r="D61" t="inlineStr">
        <is>
          <t>assets/art/environments/rooftop_shelter_3d/runtime/layout_v017/components/*.glb（68个）</t>
        </is>
      </c>
      <c r="E61" t="inlineStr">
        <is>
          <t>assets/art/environments/rooftop_shelter_3d/source/env_rooftop_shelter_90x80m_top3d_v017.blend</t>
        </is>
      </c>
      <c r="F61" t="inlineStr">
        <is>
          <t>facilities_only；不导入Blender地板、围护、灯光、植被、VFX与远景；公共色盘；真实投影</t>
        </is>
      </c>
      <c r="G61" t="inlineStr">
        <is>
          <t>src/world3d/TowerFloorStage3D.gd</t>
        </is>
      </c>
      <c r="H61" t="inlineStr">
        <is>
          <t>开</t>
        </is>
      </c>
      <c r="I61" t="inlineStr">
        <is>
          <t>Prefab自身 + TowerFloorStage3D</t>
        </is>
      </c>
      <c r="J61" t="inlineStr">
        <is>
          <t>39个组件级StaticBody3D / 82个Box或Cylinder细分形状；视觉与碰撞随组件共同移动</t>
        </is>
      </c>
      <c r="K61" t="inlineStr">
        <is>
          <t>68个设施组件；布局根Y=-0.34；黄色门前通道零阻挡；Godot原生地砖/围栏/门洞保持</t>
        </is>
      </c>
      <c r="L61" t="inlineStr">
        <is>
          <t>世界矩形参照(-50,-35,90,80)；Godot根缩放1；原生地面Y=0</t>
        </is>
      </c>
      <c r="M61" t="inlineStr">
        <is>
          <t>100F天台</t>
        </is>
      </c>
      <c r="N61" t="inlineStr">
        <is>
          <t>正式美术已接入</t>
        </is>
      </c>
      <c r="O61" t="inlineStr">
        <is>
          <t>v016</t>
        </is>
      </c>
      <c r="P61" t="inlineStr">
        <is>
          <t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t>
        </is>
      </c>
    </row>
    <row r="62">
      <c r="A62" t="inlineStr">
        <is>
          <t>ENV-BASE99-FLOOR-DETAILS-V017</t>
        </is>
      </c>
      <c r="B62" t="inlineStr">
        <is>
          <t>基地99层完整地板替换 V021</t>
        </is>
      </c>
      <c r="C62" t="inlineStr">
        <is>
          <t>assets/art/environments/base_facility_3d/runtime/env_base99_floor_full_replacement_v021/env_base99_floor_full_replacement_v021_root_top3d_v003.tscn</t>
        </is>
      </c>
      <c r="D62" t="inlineStr">
        <is>
          <t>assets/art/environments/base_facility_3d/components/env_base99_floor_full_replacement_v021/env_base99_floor_full_replacement_v021_visual_top3d_v003.glb</t>
        </is>
      </c>
      <c r="E62" t="inlineStr">
        <is>
          <t>source/art/blender/base_facility_layout/base_facility_runtime_layout_hq_v020.blend（v020）</t>
        </is>
      </c>
      <c r="F62" t="inlineStr">
        <is>
          <t>完整36块新地板表现替换旧普通/铆钉MultiMesh；FloorSupport承重规格不变。</t>
        </is>
      </c>
      <c r="G62" t="inlineStr">
        <is>
          <t>src/world3d/DungeonRoom3D.gd</t>
        </is>
      </c>
      <c r="H62" t="inlineStr">
        <is>
          <t>无</t>
        </is>
      </c>
      <c r="I62" t="inlineStr">
        <is>
          <t>TowerFloorStage3D</t>
        </is>
      </c>
      <c r="J62" t="inlineStr">
        <is>
          <t>无；仅视觉</t>
        </is>
      </c>
      <c r="K62" t="inlineStr">
        <is>
          <t>30×30m；6×6×5m；2网格；4材质表面；498,920三角面；无内置碰撞</t>
        </is>
      </c>
      <c r="L62" t="inlineStr">
        <is>
          <t>layout_origin；Blender +Y北 / Godot -Z北；根Y=0</t>
        </is>
      </c>
      <c r="M62" t="inlineStr">
        <is>
          <t>99层基地一层</t>
        </is>
      </c>
      <c r="N62" t="inlineStr">
        <is>
          <t>正式美术已接入</t>
        </is>
      </c>
      <c r="O62" t="inlineStr">
        <is>
          <t>v003</t>
        </is>
      </c>
      <c r="P6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3">
      <c r="A63" t="inlineStr">
        <is>
          <t>ENV-BASE99-LOFT-FLOOR-FINISH-V017</t>
        </is>
      </c>
      <c r="B63" t="inlineStr">
        <is>
          <t>基地99层二层地板面层 V020</t>
        </is>
      </c>
      <c r="C63" t="inlineStr">
        <is>
          <t>assets/art/environments/base_facility_3d/runtime/env_base99_loft_floor_finish_v020/env_base99_loft_floor_finish_v020_root_top3d_v002.tscn</t>
        </is>
      </c>
      <c r="D63" t="inlineStr">
        <is>
          <t>assets/art/environments/base_facility_3d/components/env_base99_loft_floor_finish_v020/env_base99_loft_floor_finish_v020_visual_top3d_v002.glb</t>
        </is>
      </c>
      <c r="E63" t="inlineStr">
        <is>
          <t>source/art/blender/base_facility_layout/base_facility_runtime_layout_hq_v020.blend（v020）</t>
        </is>
      </c>
      <c r="F63" t="inlineStr">
        <is>
          <t>仅表现；Blender V020新增二楼地板面层保持不动，并作为V004阁楼结构唯一甲板表现。</t>
        </is>
      </c>
      <c r="G63" t="inlineStr">
        <is>
          <t>src/world3d/DungeonRoom3D.gd</t>
        </is>
      </c>
      <c r="H63" t="inlineStr">
        <is>
          <t>无</t>
        </is>
      </c>
      <c r="I63" t="inlineStr">
        <is>
          <t>无；仅视觉</t>
        </is>
      </c>
      <c r="J63" t="inlineStr">
        <is>
          <t>无；仅视觉</t>
        </is>
      </c>
      <c r="K63" t="inlineStr">
        <is>
          <t>19.6×9.6×0.108m；1网格；2材质表面；206三角面；无内置碰撞</t>
        </is>
      </c>
      <c r="L63" t="inlineStr">
        <is>
          <t>layout_origin；装配层Y=-1m，将Blender Z=6对齐Godot Y=5</t>
        </is>
      </c>
      <c r="M63" t="inlineStr">
        <is>
          <t>99层基地北侧20×10米楼中楼</t>
        </is>
      </c>
      <c r="N63" t="inlineStr">
        <is>
          <t>正式美术已接入</t>
        </is>
      </c>
      <c r="O63" t="inlineStr">
        <is>
          <t>v002</t>
        </is>
      </c>
      <c r="P6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4">
      <c r="A64" t="inlineStr">
        <is>
          <t>ENV-BASE99-FLOOR-VISUAL-LAYOUT-V017</t>
        </is>
      </c>
      <c r="B64" t="inlineStr">
        <is>
          <t>基地99层完整地板表现装配 V021</t>
        </is>
      </c>
      <c r="C64" t="inlineStr">
        <is>
          <t>assets/art/environments/base_facility_3d/runtime/env_base99_floor_visuals_v021/env_base99_floor_visuals_root_top3d_v003.tscn</t>
        </is>
      </c>
      <c r="E64" t="inlineStr">
        <is>
          <t>source/art/blender/base_facility_layout/base_facility_runtime_layout_hq_v020.blend（v020）</t>
        </is>
      </c>
      <c r="F64" t="inlineStr">
        <is>
          <t>完整一层新地板、V020二层面层、V004阁楼/楼梯与V021非门墙面内容的运行时装配；由基地美术布局直接实例化。</t>
        </is>
      </c>
      <c r="G64" t="inlineStr">
        <is>
          <t>src/world3d/DungeonRoom3D.gd</t>
        </is>
      </c>
      <c r="H64" t="inlineStr">
        <is>
          <t>无</t>
        </is>
      </c>
      <c r="I64" t="inlineStr">
        <is>
          <t>既有TowerFloorStage3D与楼中楼Prefab</t>
        </is>
      </c>
      <c r="J64" t="inlineStr">
        <is>
          <t>无；仅视觉布局装配</t>
        </is>
      </c>
      <c r="K64" t="inlineStr">
        <is>
          <t>一层30×30m；二层20×10m；无内置碰撞</t>
        </is>
      </c>
      <c r="L64" t="inlineStr">
        <is>
          <t>layout_origin；二层面层Y=-1m；V021墙面内容保持Blender烘焙坐标</t>
        </is>
      </c>
      <c r="M64" t="inlineStr">
        <is>
          <t>99层基地美术布局</t>
        </is>
      </c>
      <c r="N64" t="inlineStr">
        <is>
          <t>正式美术已接入</t>
        </is>
      </c>
      <c r="O64" t="inlineStr">
        <is>
          <t>v003</t>
        </is>
      </c>
      <c r="P64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5">
      <c r="A65" t="inlineStr">
        <is>
          <t>ENV-BASE99-WALL-CONTENTS-V021</t>
        </is>
      </c>
      <c r="B65" t="inlineStr">
        <is>
          <t>基地99层非门墙面内容资产包</t>
        </is>
      </c>
      <c r="C65" t="inlineStr">
        <is>
          <t>assets/art/environments/base_facility_3d/runtime/env_base99_wall_contents_v021/env_base99_wall_contents_root_top3d_v001.tscn</t>
        </is>
      </c>
      <c r="D65" t="inlineStr">
        <is>
          <t>assets/art/environments/base_facility_3d/components/env_base99_wall_contents_v021（18个GLB）</t>
        </is>
      </c>
      <c r="E65" t="inlineStr">
        <is>
          <t>source/art/blender/base_facility_layout/v021/base_facility_runtime_layout_hq_v021_wall_contents.blend（v021；derived from base_facility_runtime_layout_hq_v017.blend v017）</t>
        </is>
      </c>
      <c r="F65" t="inlineStr">
        <is>
          <t>仅表现；18个非门墙面内容包，根节点保持原点并复用Blender烘焙摆放；排除门、门框、结构墙、墙板和挡板。</t>
        </is>
      </c>
      <c r="G65" t="inlineStr">
        <is>
          <t>无</t>
        </is>
      </c>
      <c r="H65" t="inlineStr">
        <is>
          <t>无</t>
        </is>
      </c>
      <c r="I65" t="inlineStr">
        <is>
          <t>无；visual_only_no_collision</t>
        </is>
      </c>
      <c r="J65" t="inlineStr">
        <is>
          <t>无；visual_only_no_collision</t>
        </is>
      </c>
      <c r="K65" t="inlineStr">
        <is>
          <t>18运行时网格；86,538三角面；向下表面已删除并抽稀</t>
        </is>
      </c>
      <c r="L65" t="inlineStr">
        <is>
          <t>layout_origin；Blender +Y北 / Godot -Z北</t>
        </is>
      </c>
      <c r="M65" t="inlineStr">
        <is>
          <t>99层基地墙面内容</t>
        </is>
      </c>
      <c r="N65" t="inlineStr">
        <is>
          <t>正式美术已接入；优化完成</t>
        </is>
      </c>
    </row>
    <row r="66">
      <c r="A66" t="inlineStr">
        <is>
          <t>ENV-BASE99-REMAINING-FACILITIES-V021</t>
        </is>
      </c>
      <c r="B66" t="inlineStr">
        <is>
          <t>基地99层剩余非门非墙独立设施资产包</t>
        </is>
      </c>
      <c r="C66" t="inlineStr">
        <is>
          <t>assets/art/environments/base_facility_3d/runtime/env_base99_remaining_facilities_v021/env_base99_remaining_facilities_root_top3d_v001.tscn</t>
        </is>
      </c>
      <c r="D66" t="inlineStr">
        <is>
          <t>assets/art/environments/base_facility_3d/components/env_base99_remaining_facilities_v021（45个GLB）</t>
        </is>
      </c>
      <c r="E66" t="inlineStr">
        <is>
          <t>source/art/blender/base_facility_layout/v021/base_facility_runtime_layout_hq_v021_remaining_facilities.blend（v021；derived from base_facility_runtime_layout_hq_v017.blend v017）</t>
        </is>
      </c>
      <c r="F66" t="inlineStr">
        <is>
          <t>仓储、阁楼家具、独立设备与环境支持；排除门、门禁随属件、结构墙、墙面内容、地板、阁楼和楼梯。Blender烘焙摆放保持不变。</t>
        </is>
      </c>
      <c r="G66" t="inlineStr">
        <is>
          <t>无</t>
        </is>
      </c>
      <c r="H66" t="inlineStr">
        <is>
          <t>开</t>
        </is>
      </c>
      <c r="I66" t="inlineStr">
        <is>
          <t>每包独立Prefab</t>
        </is>
      </c>
      <c r="J66" t="inlineStr">
        <is>
          <t>34包逐源物件BoxShape3D；11包仅视觉</t>
        </is>
      </c>
      <c r="K66" t="inlineStr">
        <is>
          <t>45运行时网格；84,274三角面；向下表面删除21,604；45/45公共色盘导入契约</t>
        </is>
      </c>
      <c r="L66" t="inlineStr">
        <is>
          <t>layout_origin；Blender +Y北 / Godot -Z北</t>
        </is>
      </c>
      <c r="M66" t="inlineStr">
        <is>
          <t>99层基地剩余设施</t>
        </is>
      </c>
      <c r="N66" t="inlineStr">
        <is>
          <t>正式美术已接入；优化完成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设施组件 3D Prefab</t>
        </is>
      </c>
    </row>
    <row r="2" ht="34" customHeight="1">
      <c r="A2" s="145" t="inlineStr">
        <is>
          <t>门扇、终端、工作台、储物与服务设施；设施模型统一引用 assets/art/shared/palette/设施低亮多巴胺色盘_10x10_512.png。</t>
        </is>
      </c>
    </row>
    <row r="3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PRP-BASE-FACILITY-3D</t>
        </is>
      </c>
      <c r="B5" s="189" t="inlineStr">
        <is>
          <t>基地设施3D通用模块</t>
        </is>
      </c>
      <c r="C5" s="189" t="inlineStr">
        <is>
          <t>assets/art/props/base_world_3d/prp_base_facility_root_top3d_v001.tscn</t>
        </is>
      </c>
      <c r="D5" s="189" t="str"/>
      <c r="E5" s="189" t="str"/>
      <c r="F5" s="189" t="inlineStr">
        <is>
          <t>设施或交互Prefab；保留自身脚本、碰撞和状态接口</t>
        </is>
      </c>
      <c r="G5" s="189" t="inlineStr">
        <is>
          <t>src/base3d/BaseFacility3D.gd</t>
        </is>
      </c>
      <c r="H5" s="189" t="inlineStr">
        <is>
          <t>开</t>
        </is>
      </c>
      <c r="I5" s="189" t="inlineStr">
        <is>
          <t>Prefab自身</t>
        </is>
      </c>
      <c r="J5" s="189" t="inlineStr">
        <is>
          <t>BoxShape3D</t>
        </is>
      </c>
      <c r="K5" s="189" t="inlineStr">
        <is>
          <t>PackedScene/材质变体/名称与实时摘要共用Label3D</t>
        </is>
      </c>
      <c r="L5" s="189" t="inlineStr">
        <is>
          <t>未声明</t>
        </is>
      </c>
      <c r="M5" s="189" t="inlineStr">
        <is>
          <t>8类基地设施/统一状态牌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根节点=BaseFacility3D(Area3D)</t>
        </is>
      </c>
    </row>
    <row r="6" ht="66" customHeight="1">
      <c r="A6" s="191" t="inlineStr">
        <is>
          <t>PRP-BASE-VENDING-MACHINE-3D</t>
        </is>
      </c>
      <c r="B6" s="192" t="inlineStr">
        <is>
          <t>基地科幻自动贩卖机</t>
        </is>
      </c>
      <c r="C6" s="192" t="inlineStr">
        <is>
          <t>assets/art/props/base_world_3d/prp_base_vending_machine_root_top3d_v001.tscn</t>
        </is>
      </c>
      <c r="D6" s="192" t="str"/>
      <c r="E6" s="192" t="inlineStr">
        <is>
          <t>assets/art/props/base_world_3d/source/vending_machine/prp_base_vending_machine_source_v001.blend</t>
        </is>
      </c>
      <c r="F6" s="192" t="inlineStr">
        <is>
          <t>设施或交互Prefab；保留自身脚本、碰撞和状态接口</t>
        </is>
      </c>
      <c r="G6" s="192" t="inlineStr">
        <is>
          <t>src/base3d/BaseFacility3D.gd</t>
        </is>
      </c>
      <c r="H6" s="192" t="inlineStr">
        <is>
          <t>开</t>
        </is>
      </c>
      <c r="I6" s="192" t="inlineStr">
        <is>
          <t>Prefab自身</t>
        </is>
      </c>
      <c r="J6" s="192" t="inlineStr">
        <is>
          <t>BoxShape3D</t>
        </is>
      </c>
      <c r="K6" s="192" t="inlineStr">
        <is>
          <t>4材质；主体/自发光分离；独立GLB/PackedScene</t>
        </is>
      </c>
      <c r="L6" s="192" t="inlineStr">
        <is>
          <t>未声明</t>
        </is>
      </c>
      <c r="M6" s="192" t="inlineStr">
        <is>
          <t>BaseWorld3D/TowerDescent99F</t>
        </is>
      </c>
      <c r="N6" s="192" t="inlineStr">
        <is>
          <t>正式美术已接入</t>
        </is>
      </c>
      <c r="O6" s="192" t="inlineStr">
        <is>
          <t>v002</t>
        </is>
      </c>
      <c r="P6" s="193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>
      <c r="A7" s="191" t="inlineStr">
        <is>
          <t>PRP-DUNGEON-GATE-3D</t>
        </is>
      </c>
      <c r="B7" s="192" t="inlineStr">
        <is>
          <t>地下城入口3D模块</t>
        </is>
      </c>
      <c r="C7" s="192" t="inlineStr">
        <is>
          <t>assets/art/props/base_world_3d/prp_dungeon_gate_root_top3d_v001.tscn</t>
        </is>
      </c>
      <c r="D7" s="192" t="str"/>
      <c r="E7" s="192" t="str"/>
      <c r="F7" s="192" t="inlineStr">
        <is>
          <t>设施或交互Prefab；保留自身脚本、碰撞和状态接口</t>
        </is>
      </c>
      <c r="G7" s="192" t="inlineStr">
        <is>
          <t>src/base3d/DungeonEntrance3D.gd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BoxShape3D</t>
        </is>
      </c>
      <c r="K7" s="192" t="inlineStr">
        <is>
          <t>PackedScene/材质变体</t>
        </is>
      </c>
      <c r="L7" s="192" t="inlineStr">
        <is>
          <t>未声明</t>
        </is>
      </c>
      <c r="M7" s="192" t="inlineStr">
        <is>
          <t>4个地下城入口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根节点=DungeonEntrance3D(Area3D)</t>
        </is>
      </c>
    </row>
    <row r="8" ht="66" customHeight="1">
      <c r="A8" s="191" t="inlineStr">
        <is>
          <t>PRP-BASE-LOCKER-STATION-3D</t>
        </is>
      </c>
      <c r="B8" s="192" t="inlineStr">
        <is>
          <t>赛博储物站</t>
        </is>
      </c>
      <c r="C8" s="192" t="inlineStr">
        <is>
          <t>assets/art/props/base_world_3d/runtime/locker_station/prp_base_locker_station_root_top3d_v001.tscn</t>
        </is>
      </c>
      <c r="D8" s="192" t="inlineStr">
        <is>
          <t>assets/art/props/base_world_3d/components/locker_station/prp_base_locker_station_visual_top3d_v004.glb</t>
        </is>
      </c>
      <c r="E8" s="192" t="inlineStr">
        <is>
          <t>assets/art/props/base_world_3d/source/locker_station/prp_base_locker_station_source_v004.blend</t>
        </is>
      </c>
      <c r="F8" s="192" t="inlineStr">
        <is>
          <t>设施或交互Prefab；保留自身脚本、碰撞和状态接口</t>
        </is>
      </c>
      <c r="G8" s="192" t="inlineStr">
        <is>
          <t>src/base3d/BaseFacility3D.gd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BoxShape3D</t>
        </is>
      </c>
      <c r="K8" s="192" t="inlineStr">
        <is>
          <t>4材质；主体/自发光分离；独立GLB/PackedScene</t>
        </is>
      </c>
      <c r="L8" s="192" t="inlineStr">
        <is>
          <t>-Z</t>
        </is>
      </c>
      <c r="M8" s="192" t="inlineStr">
        <is>
          <t>基地99层/保险柜设施</t>
        </is>
      </c>
      <c r="N8" s="192" t="inlineStr">
        <is>
          <t>正式美术已接入</t>
        </is>
      </c>
      <c r="O8" s="192" t="inlineStr">
        <is>
          <t>v004</t>
        </is>
      </c>
      <c r="P8" s="193" t="inlineStr">
        <is>
          <t>根节点=赛博储物站(Area3D)</t>
        </is>
      </c>
    </row>
    <row r="9" ht="66" customHeight="1">
      <c r="A9" s="191" t="inlineStr">
        <is>
          <t>PRP-BASE-BRIEFING</t>
        </is>
      </c>
      <c r="B9" s="192" t="inlineStr">
        <is>
          <t>远征情报终端 / 战术情报指挥桌</t>
        </is>
      </c>
      <c r="C9" s="192" t="inlineStr">
        <is>
          <t>assets/art/props/base_world_3d/runtime/mission_operations/prp_base_mission_operations_root_top3d_v001.tscn</t>
        </is>
      </c>
      <c r="D9" s="192" t="inlineStr">
        <is>
          <t>assets/art/props/base_world_3d/components/mission_operations/prp_base_mission_operations_visual_top3d_v005.glb</t>
        </is>
      </c>
      <c r="E9" s="192" t="inlineStr">
        <is>
          <t>assets/art/props/base_world_3d/source/mission_operations/prp_base_mission_operations_source_v003.blend</t>
        </is>
      </c>
      <c r="F9" s="192" t="inlineStr">
        <is>
          <t>设施或交互Prefab；保留自身脚本、碰撞和状态接口</t>
        </is>
      </c>
      <c r="G9" s="192" t="inlineStr">
        <is>
          <t>src/base3d/BaseFacility3D.gd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BoxShape3D</t>
        </is>
      </c>
      <c r="K9" s="192" t="inlineStr">
        <is>
          <t>4材质；主体/自发光分离；独立GLB/PackedScene</t>
        </is>
      </c>
      <c r="L9" s="192" t="inlineStr">
        <is>
          <t>-Z</t>
        </is>
      </c>
      <c r="M9" s="192" t="inlineStr">
        <is>
          <t>BaseWorld3D/TowerDescent99F</t>
        </is>
      </c>
      <c r="N9" s="192" t="inlineStr">
        <is>
          <t>正式美术已接入</t>
        </is>
      </c>
      <c r="O9" s="192" t="inlineStr">
        <is>
          <t>v003</t>
        </is>
      </c>
      <c r="P9" s="193" t="inlineStr">
        <is>
          <t>根节点=远征情报终端(Area3D)</t>
        </is>
      </c>
    </row>
    <row r="10" ht="66" customHeight="1">
      <c r="A10" s="191" t="inlineStr">
        <is>
          <t>PRP-BASE-RETRO-TV-STATION-3D</t>
        </is>
      </c>
      <c r="B10" s="192" t="inlineStr">
        <is>
          <t>复古游戏电视站</t>
        </is>
      </c>
      <c r="C10" s="192" t="inlineStr">
        <is>
          <t>assets/art/props/base_world_3d/runtime/retro_tv_station/prp_base_retro_tv_station_root_top3d_v001.tscn</t>
        </is>
      </c>
      <c r="D10" s="192" t="inlineStr">
        <is>
          <t>assets/art/props/base_world_3d/components/retro_tv_station/prp_base_retro_tv_station_visual_top3d_v004.glb</t>
        </is>
      </c>
      <c r="E10" s="192" t="inlineStr">
        <is>
          <t>assets/art/props/base_world_3d/source/retro_tv_station/prp_base_retro_tv_station_source_v004.blend</t>
        </is>
      </c>
      <c r="F10" s="192" t="inlineStr">
        <is>
          <t>设施或交互Prefab；保留自身脚本、碰撞和状态接口</t>
        </is>
      </c>
      <c r="G10" s="192" t="inlineStr">
        <is>
          <t>src/base3d/BaseFacility3D.gd</t>
        </is>
      </c>
      <c r="H10" s="192" t="inlineStr">
        <is>
          <t>开</t>
        </is>
      </c>
      <c r="I10" s="192" t="inlineStr">
        <is>
          <t>Prefab自身</t>
        </is>
      </c>
      <c r="J10" s="192" t="inlineStr">
        <is>
          <t>BoxShape3D</t>
        </is>
      </c>
      <c r="K10" s="192" t="inlineStr">
        <is>
          <t>4材质；主体/自发光分离；独立GLB/PackedScene</t>
        </is>
      </c>
      <c r="L10" s="192" t="inlineStr">
        <is>
          <t>-Z</t>
        </is>
      </c>
      <c r="M10" s="192" t="inlineStr">
        <is>
          <t>基地99层/命运卡收藏室</t>
        </is>
      </c>
      <c r="N10" s="192" t="inlineStr">
        <is>
          <t>正式美术已接入</t>
        </is>
      </c>
      <c r="O10" s="192" t="inlineStr">
        <is>
          <t>v004</t>
        </is>
      </c>
      <c r="P10" s="193" t="inlineStr">
        <is>
          <t>根节点=复古游戏电视站(Area3D)</t>
        </is>
      </c>
    </row>
    <row r="11" ht="66" customHeight="1">
      <c r="A11" s="191" t="inlineStr">
        <is>
          <t>PRP-BASE-VENDING-MACHINE-3D</t>
        </is>
      </c>
      <c r="B11" s="192" t="inlineStr">
        <is>
          <t>基地科幻自动贩卖机</t>
        </is>
      </c>
      <c r="C11" s="192" t="inlineStr">
        <is>
          <t>assets/art/props/base_world_3d/runtime/vending_machine/prp_base_vending_machine_root_top3d_v002.tscn</t>
        </is>
      </c>
      <c r="D11" s="192" t="inlineStr">
        <is>
          <t>assets/art/props/base_world_3d/components/vending_machine/prp_base_vending_machine_visual_top3d_v003.glb</t>
        </is>
      </c>
      <c r="E11" s="192" t="inlineStr">
        <is>
          <t>assets/art/props/base_world_3d/source/vending_machine/prp_base_vending_machine_source_v001.blend</t>
        </is>
      </c>
      <c r="F11" s="192" t="inlineStr">
        <is>
          <t>设施或交互Prefab；保留自身脚本、碰撞和状态接口</t>
        </is>
      </c>
      <c r="G11" s="192" t="inlineStr">
        <is>
          <t>src/base3d/BaseFacility3D.gd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4材质；主体/自发光分离；独立GLB/PackedScene</t>
        </is>
      </c>
      <c r="L11" s="192" t="inlineStr">
        <is>
          <t>-Z</t>
        </is>
      </c>
      <c r="M11" s="192" t="inlineStr">
        <is>
          <t>BaseWorld3D/TowerDescent99F</t>
        </is>
      </c>
      <c r="N11" s="192" t="inlineStr">
        <is>
          <t>正式美术已接入</t>
        </is>
      </c>
      <c r="O11" s="192" t="inlineStr">
        <is>
          <t>v002</t>
        </is>
      </c>
      <c r="P11" s="193" t="inlineStr">
        <is>
          <t>根节点=自动贩卖机(Area3D)</t>
        </is>
      </c>
    </row>
    <row r="12" ht="66" customHeight="1">
      <c r="A12" s="191" t="inlineStr">
        <is>
          <t>PRP-BASE-WORKSHOP</t>
        </is>
      </c>
      <c r="B12" s="192" t="inlineStr">
        <is>
          <t>枪械工坊 / 赛博维修工作台</t>
        </is>
      </c>
      <c r="C12" s="192" t="inlineStr">
        <is>
          <t>assets/art/props/base_world_3d/runtime/weapon_workshop/prp_base_weapon_workshop_root_top3d_v001.tscn</t>
        </is>
      </c>
      <c r="D12" s="192" t="inlineStr">
        <is>
          <t>assets/art/props/base_world_3d/components/weapon_workshop/prp_base_weapon_workshop_visual_top3d_v005.glb</t>
        </is>
      </c>
      <c r="E12" s="192" t="inlineStr">
        <is>
          <t>assets/art/props/base_world_3d/source/weapon_workshop/prp_base_weapon_workshop_source_v003.blend</t>
        </is>
      </c>
      <c r="F12" s="192" t="inlineStr">
        <is>
          <t>设施或交互Prefab；保留自身脚本、碰撞和状态接口</t>
        </is>
      </c>
      <c r="G12" s="192" t="inlineStr">
        <is>
          <t>src/base3d/BaseFacility3D.gd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4材质；主体/自发光分离；独立GLB/PackedScene</t>
        </is>
      </c>
      <c r="L12" s="192" t="inlineStr">
        <is>
          <t>-Z</t>
        </is>
      </c>
      <c r="M12" s="192" t="inlineStr">
        <is>
          <t>BaseWorld3D/TowerDescent99F</t>
        </is>
      </c>
      <c r="N12" s="192" t="inlineStr">
        <is>
          <t>正式美术已接入</t>
        </is>
      </c>
      <c r="O12" s="192" t="inlineStr">
        <is>
          <t>v003</t>
        </is>
      </c>
      <c r="P12" s="193" t="inlineStr">
        <is>
          <t>根节点=枪械工坊(Area3D)</t>
        </is>
      </c>
    </row>
    <row r="13" ht="66" customHeight="1">
      <c r="A13" s="191" t="inlineStr">
        <is>
          <t>PRP-BASE-FACILITY-LIGHT-GRID-3D</t>
        </is>
      </c>
      <c r="B13" s="192" t="inlineStr">
        <is>
          <t>基地设施灯光网格</t>
        </is>
      </c>
      <c r="C13" s="192" t="inlineStr">
        <is>
          <t>assets/art/props/dungeon_3d/prp_base_facility_light_grid_root_top3d_v001.tscn</t>
        </is>
      </c>
      <c r="D13" s="192" t="str"/>
      <c r="E13" s="192" t="str"/>
      <c r="F13" s="192" t="inlineStr">
        <is>
          <t>设施或交互Prefab；保留自身脚本、碰撞和状态接口</t>
        </is>
      </c>
      <c r="G13" s="192" t="str"/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设施组件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根节点=BaseFacilityLightGrid(Node3D)；子Prefab=1；2026-08-18扫描补登记资产主表</t>
        </is>
      </c>
    </row>
    <row r="14" ht="66" customHeight="1">
      <c r="A14" s="191" t="inlineStr">
        <is>
          <t>PRP-EXTRACTION-BEACON-3D</t>
        </is>
      </c>
      <c r="B14" s="192" t="inlineStr">
        <is>
          <t>撤离信标3D模块</t>
        </is>
      </c>
      <c r="C14" s="192" t="inlineStr">
        <is>
          <t>assets/art/props/dungeon_3d/prp_extraction_beacon_root_top3d_v001.tscn</t>
        </is>
      </c>
      <c r="D14" s="192" t="str"/>
      <c r="E14" s="192" t="str"/>
      <c r="F14" s="192" t="inlineStr">
        <is>
          <t>设施或交互Prefab；保留自身脚本、碰撞和状态接口</t>
        </is>
      </c>
      <c r="G14" s="192" t="inlineStr">
        <is>
          <t>src/world3d/ExtractionBeacon3D.gd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脚本生成</t>
        </is>
      </c>
      <c r="K14" s="192" t="inlineStr">
        <is>
          <t>PackedScene/程序组件</t>
        </is>
      </c>
      <c r="L14" s="192" t="inlineStr">
        <is>
          <t>未声明</t>
        </is>
      </c>
      <c r="M14" s="192" t="inlineStr">
        <is>
          <t>四主题撤离房</t>
        </is>
      </c>
      <c r="N14" s="192" t="inlineStr">
        <is>
          <t>原型已接入</t>
        </is>
      </c>
      <c r="O14" s="192" t="inlineStr">
        <is>
          <t>v001</t>
        </is>
      </c>
      <c r="P14" s="193" t="inlineStr">
        <is>
          <t>根节点=ExtractionBeacon3D(Area3D)</t>
        </is>
      </c>
    </row>
    <row r="15" ht="66" customHeight="1">
      <c r="A15" s="191" t="inlineStr">
        <is>
          <t>PRP-ROOM-LIGHT-SWITCH-3D</t>
        </is>
      </c>
      <c r="B15" s="192" t="inlineStr">
        <is>
          <t>房间中央灯墙面开关3D</t>
        </is>
      </c>
      <c r="C15" s="192" t="inlineStr">
        <is>
          <t>assets/art/props/dungeon_3d/prp_room_light_switch_root_top3d_v001.tscn</t>
        </is>
      </c>
      <c r="D15" s="192" t="str"/>
      <c r="E15" s="192" t="str"/>
      <c r="F15" s="192" t="inlineStr">
        <is>
          <t>设施或交互Prefab；保留自身脚本、碰撞和状态接口</t>
        </is>
      </c>
      <c r="G15" s="192" t="inlineStr">
        <is>
          <t>src/world3d/RoomLightSwitch3D.gd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脚本生成</t>
        </is>
      </c>
      <c r="K15" s="192" t="inlineStr">
        <is>
          <t>PackedScene/Area3D</t>
        </is>
      </c>
      <c r="L15" s="192" t="inlineStr">
        <is>
          <t>未声明</t>
        </is>
      </c>
      <c r="M15" s="192" t="inlineStr">
        <is>
          <t>随机关卡房间/四主题复用</t>
        </is>
      </c>
      <c r="N15" s="192" t="inlineStr">
        <is>
          <t>原型已接入</t>
        </is>
      </c>
      <c r="O15" s="192" t="inlineStr">
        <is>
          <t>v001</t>
        </is>
      </c>
      <c r="P15" s="193" t="inlineStr">
        <is>
          <t>根节点=RoomLightSwitch3D(Area3D)</t>
        </is>
      </c>
    </row>
    <row r="16" ht="66" customHeight="1">
      <c r="A16" s="191" t="inlineStr">
        <is>
          <t>PRP-SEARCH-CONTAINER-3D</t>
        </is>
      </c>
      <c r="B16" s="192" t="inlineStr">
        <is>
          <t>可搜索容器3D通用模块</t>
        </is>
      </c>
      <c r="C16" s="192" t="inlineStr">
        <is>
          <t>assets/art/props/dungeon_3d/prp_search_container_root_top3d_v001.tscn</t>
        </is>
      </c>
      <c r="D16" s="192" t="str"/>
      <c r="E16" s="192" t="str"/>
      <c r="F16" s="192" t="inlineStr">
        <is>
          <t>设施或交互Prefab；保留自身脚本、碰撞和状态接口</t>
        </is>
      </c>
      <c r="G16" s="192" t="inlineStr">
        <is>
          <t>src/world3d/RoomFurniture3D.gd</t>
        </is>
      </c>
      <c r="H16" s="192" t="inlineStr">
        <is>
          <t>开</t>
        </is>
      </c>
      <c r="I16" s="192" t="inlineStr">
        <is>
          <t>Prefab自身</t>
        </is>
      </c>
      <c r="J16" s="192" t="inlineStr">
        <is>
          <t>脚本生成</t>
        </is>
      </c>
      <c r="K16" s="192" t="inlineStr">
        <is>
          <t>PackedScene/搜索状态</t>
        </is>
      </c>
      <c r="L16" s="192" t="inlineStr">
        <is>
          <t>未声明</t>
        </is>
      </c>
      <c r="M16" s="192" t="inlineStr">
        <is>
          <t>搜索房/仓储/事件</t>
        </is>
      </c>
      <c r="N16" s="192" t="inlineStr">
        <is>
          <t>原型已接入</t>
        </is>
      </c>
      <c r="O16" s="192" t="inlineStr">
        <is>
          <t>v001</t>
        </is>
      </c>
      <c r="P16" s="193" t="inlineStr">
        <is>
          <t>根节点=SearchContainer3D(Area3D)</t>
        </is>
      </c>
    </row>
    <row r="17" ht="66" customHeight="1">
      <c r="A17" s="191" t="inlineStr">
        <is>
          <t>PRP-SERVICE-STATION-3D</t>
        </is>
      </c>
      <c r="B17" s="192" t="inlineStr">
        <is>
          <t>废土服务终端3D模块</t>
        </is>
      </c>
      <c r="C17" s="192" t="inlineStr">
        <is>
          <t>assets/art/props/dungeon_3d/prp_service_station_root_top3d_v001.tscn</t>
        </is>
      </c>
      <c r="D17" s="192" t="str"/>
      <c r="E17" s="192" t="str"/>
      <c r="F17" s="192" t="inlineStr">
        <is>
          <t>设施或交互Prefab；保留自身脚本、碰撞和状态接口</t>
        </is>
      </c>
      <c r="G17" s="192" t="inlineStr">
        <is>
          <t>src/world3d/ServiceStation3D.gd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脚本生成</t>
        </is>
      </c>
      <c r="K17" s="192" t="inlineStr">
        <is>
          <t>PackedScene/程序组件</t>
        </is>
      </c>
      <c r="L17" s="192" t="inlineStr">
        <is>
          <t>未声明</t>
        </is>
      </c>
      <c r="M17" s="192" t="inlineStr">
        <is>
          <t>商店/升级/事件/重置</t>
        </is>
      </c>
      <c r="N17" s="192" t="inlineStr">
        <is>
          <t>原型已接入</t>
        </is>
      </c>
      <c r="O17" s="192" t="inlineStr">
        <is>
          <t>v001</t>
        </is>
      </c>
      <c r="P17" s="193" t="inlineStr">
        <is>
          <t>根节点=ServiceStation3D(Area3D)</t>
        </is>
      </c>
    </row>
    <row r="18" ht="66" customHeight="1">
      <c r="A18" s="194" t="inlineStr">
        <is>
          <t>PRP-WASTELAND-LIGHT-3D</t>
        </is>
      </c>
      <c r="B18" s="195" t="inlineStr">
        <is>
          <t>废土灯具3D通用模块（街灯/顶灯）</t>
        </is>
      </c>
      <c r="C18" s="195" t="inlineStr">
        <is>
          <t>assets/art/props/dungeon_3d/prp_wasteland_light_root_top3d_v001.tscn</t>
        </is>
      </c>
      <c r="D18" s="195" t="str"/>
      <c r="E18" s="195" t="str"/>
      <c r="F18" s="195" t="inlineStr">
        <is>
          <t>设施或交互Prefab；保留自身脚本、碰撞和状态接口</t>
        </is>
      </c>
      <c r="G18" s="195" t="inlineStr">
        <is>
          <t>src/world3d/WastelandLight3D.gd</t>
        </is>
      </c>
      <c r="H18" s="195" t="inlineStr">
        <is>
          <t>无</t>
        </is>
      </c>
      <c r="I18" s="195" t="inlineStr">
        <is>
          <t>无</t>
        </is>
      </c>
      <c r="J18" s="195" t="inlineStr">
        <is>
          <t>无</t>
        </is>
      </c>
      <c r="K18" s="195" t="inlineStr">
        <is>
          <t>PackedScene/OmniLight3D</t>
        </is>
      </c>
      <c r="L18" s="195" t="inlineStr">
        <is>
          <t>未声明</t>
        </is>
      </c>
      <c r="M18" s="195" t="inlineStr">
        <is>
          <t>关卡/靶场/房间中央照明</t>
        </is>
      </c>
      <c r="N18" s="195" t="inlineStr">
        <is>
          <t>原型已接入</t>
        </is>
      </c>
      <c r="O18" s="195" t="inlineStr">
        <is>
          <t>v001</t>
        </is>
      </c>
      <c r="P18" s="196" t="inlineStr">
        <is>
          <t>根节点=WastelandLight3D(Node3D)</t>
        </is>
      </c>
    </row>
    <row r="19">
      <c r="A19" s="349" t="inlineStr">
        <is>
          <t>ENV-BASE99-DOOR-LIFT-22X25</t>
        </is>
      </c>
      <c r="B19" s="349" t="inlineStr">
        <is>
          <t>基地99层2.2×2.5米滑升门扇</t>
        </is>
      </c>
      <c r="C19" s="349" t="inlineStr">
        <is>
          <t>assets/art/environments/base_facility_3d/runtime/env_base99_door_lift_2p2x2p5/env_base99_door_lift_2p2x2p5_root_top3d_v001.tscn</t>
        </is>
      </c>
      <c r="D19" s="349" t="inlineStr">
        <is>
          <t>assets/art/environments/base_facility_3d/components/env_base99_door_lift_2p2x2p5/env_base99_door_lift_2p2x2p5_visual_top3d_v001.glb</t>
        </is>
      </c>
      <c r="E19" s="349" t="inlineStr">
        <is>
          <t>assets/art/environments/base_facility_3d/source/env_base99_modular_room/env_base99_modular_room_assets_clean_v001.blend</t>
        </is>
      </c>
      <c r="F19" s="349" t="inlineStr">
        <is>
          <t>滑升门视觉；门功能沿用RoomDoor3D</t>
        </is>
      </c>
      <c r="G19" s="349" t="inlineStr">
        <is>
          <t>src/world3d/RoomDoor3D.gd</t>
        </is>
      </c>
      <c r="H19" s="349" t="inlineStr">
        <is>
          <t>开</t>
        </is>
      </c>
      <c r="I19" s="349" t="inlineStr">
        <is>
          <t>外部脚本</t>
        </is>
      </c>
      <c r="J19" s="349" t="inlineStr">
        <is>
          <t>RoomDoor3D BoxShape3D</t>
        </is>
      </c>
      <c r="K19" s="349" t="inlineStr">
        <is>
          <t>2.2×0.325×2.5m；底边中心原点</t>
        </is>
      </c>
      <c r="L19" s="349" t="inlineStr">
        <is>
          <t>bottom_center；-Z</t>
        </is>
      </c>
      <c r="M19" s="349" t="inlineStr">
        <is>
          <t>99层基地东/西门</t>
        </is>
      </c>
      <c r="N19" s="349" t="inlineStr">
        <is>
          <t>正式美术已接入</t>
        </is>
      </c>
      <c r="O19" s="349" t="inlineStr">
        <is>
          <t>v001</t>
        </is>
      </c>
      <c r="P19" s="349" t="inlineStr">
        <is>
          <t>GLB无玩法碰撞；cast_and_receive；替换同路径GLB不改变门功能。</t>
        </is>
      </c>
    </row>
    <row r="20" ht="78" customHeight="1">
      <c r="A20" s="349" t="inlineStr">
        <is>
          <t>PRP-BASE-RECOVERY-STATION-3D</t>
        </is>
      </c>
      <c r="B20" s="349" t="inlineStr">
        <is>
          <t>基地状态恢复舱</t>
        </is>
      </c>
      <c r="C20" s="349" t="inlineStr">
        <is>
          <t>assets/art/props/base_world_3d/runtime/recovery_station/prp_base_recovery_station_root_top3d_v001.tscn</t>
        </is>
      </c>
      <c r="D20" s="349" t="n"/>
      <c r="E20" s="349" t="n"/>
      <c r="F20" s="349" t="inlineStr">
        <is>
          <t>消耗基地电量恢复HP与手电电量</t>
        </is>
      </c>
      <c r="G20" s="349" t="inlineStr">
        <is>
          <t>src/base3d/BaseFacility3D.gd; src/ui/BaseRecoveryMenu.gd; src/base/BaseEnergyService.gd</t>
        </is>
      </c>
      <c r="H20" s="349" t="inlineStr">
        <is>
          <t>开</t>
        </is>
      </c>
      <c r="I20" s="349" t="inlineStr">
        <is>
          <t>Prefab自身</t>
        </is>
      </c>
      <c r="J20" s="349" t="inlineStr">
        <is>
          <t>Area3D交互+BoxShape3D实体</t>
        </is>
      </c>
      <c r="K20" s="349" t="inlineStr">
        <is>
          <t>设施根缩放1；程序占位视觉</t>
        </is>
      </c>
      <c r="L20" s="349" t="inlineStr">
        <is>
          <t>底面中心；-Z</t>
        </is>
      </c>
      <c r="M20" s="349" t="inlineStr">
        <is>
          <t>BaseWorld3D/TowerDescent99F</t>
        </is>
      </c>
      <c r="N20" s="349" t="inlineStr">
        <is>
          <t>功能已接入/正式模型待补</t>
        </is>
      </c>
      <c r="O20" s="349" t="inlineStr">
        <is>
          <t>v001</t>
        </is>
      </c>
      <c r="P20" s="349" t="inlineStr">
        <is>
          <t>手电在基地只暂停耗电；补电仅走恢复舱或电池</t>
        </is>
      </c>
    </row>
    <row r="21" ht="78" customHeight="1">
      <c r="A21" s="349" t="inlineStr">
        <is>
          <t>PRP-BASE-AVATAR-WARDROBE-001</t>
        </is>
      </c>
      <c r="B21" s="349" t="inlineStr">
        <is>
          <t>基地角色衣柜</t>
        </is>
      </c>
      <c r="C21" s="349" t="inlineStr">
        <is>
          <t>assets/art/props/base_world_3d/runtime/avatar_wardrobe/prp_base_avatar_wardrobe_root_top3d_v001.tscn</t>
        </is>
      </c>
      <c r="D21" s="349" t="inlineStr">
        <is>
          <t>assets/art/props/base_world_3d/components/locker_station/prp_base_locker_station_visual_top3d_v004.glb</t>
        </is>
      </c>
      <c r="E21" s="349" t="inlineStr">
        <is>
          <t>assets/art/props/base_world_3d/source/locker_station/prp_base_locker_station_source_v004.blend</t>
        </is>
      </c>
      <c r="F21" s="349" t="inlineStr">
        <is>
          <t>激活衣柜UI并预览/保存角色外观</t>
        </is>
      </c>
      <c r="G21" s="349" t="inlineStr">
        <is>
          <t>src/base3d/wardrobe/WardrobeFacility3D.gd; src/ui/wardrobe/WardrobeMenu3D.gd</t>
        </is>
      </c>
      <c r="H21" s="349" t="inlineStr">
        <is>
          <t>开</t>
        </is>
      </c>
      <c r="I21" s="349" t="inlineStr">
        <is>
          <t>Prefab自身</t>
        </is>
      </c>
      <c r="J21" s="349" t="inlineStr">
        <is>
          <t>Area3D交互+BoxShape3D实体；复用储物站视觉</t>
        </is>
      </c>
      <c r="K21" s="349" t="inlineStr">
        <is>
          <t>5×3.9×1.63m碰撞；根缩放1</t>
        </is>
      </c>
      <c r="L21" s="349" t="inlineStr">
        <is>
          <t>底面中心；-Z</t>
        </is>
      </c>
      <c r="M21" s="349" t="inlineStr">
        <is>
          <t>BaseWorld3D/TowerDescent99F</t>
        </is>
      </c>
      <c r="N21" s="349" t="inlineStr">
        <is>
          <t>功能已接入/复用模型</t>
        </is>
      </c>
      <c r="O21" s="349" t="inlineStr">
        <is>
          <t>v001</t>
        </is>
      </c>
      <c r="P21" s="349" t="inlineStr">
        <is>
          <t>6类方形物品格；每类≥3款；只改表现，不改碰撞与功能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道具 3D Prefab</t>
        </is>
      </c>
    </row>
    <row r="2" ht="34" customHeight="1">
      <c r="A2" s="250" t="inlineStr">
        <is>
          <t>桌椅、家具、容器和摆放装饰物；本次扫描 3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PRP-BASE-MISSION-COMMAND-CHAIR-3D</t>
        </is>
      </c>
      <c r="B5" s="189" t="inlineStr">
        <is>
          <t>战术指挥椅</t>
        </is>
      </c>
      <c r="C5" s="189" t="inlineStr">
        <is>
          <t>assets/art/props/base_world_3d/runtime/mission_command_chair/prp_base_mission_command_chair_root_top3d_v001.tscn</t>
        </is>
      </c>
      <c r="D5" s="189" t="inlineStr">
        <is>
          <t>assets/art/props/base_world_3d/components/mission_command_chair/prp_base_mission_command_chair_visual_top3d_v003.glb</t>
        </is>
      </c>
      <c r="E5" s="189" t="inlineStr">
        <is>
          <t>assets/art/props/base_world_3d/source/mission_command_chair/prp_base_mission_command_chair_source_v001.blend</t>
        </is>
      </c>
      <c r="F5" s="189" t="inlineStr">
        <is>
          <t>可复用摆放道具Prefab</t>
        </is>
      </c>
      <c r="G5" s="189" t="str"/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最多4材质；独立GLB/PackedScene；无交互碰撞</t>
        </is>
      </c>
      <c r="L5" s="189" t="inlineStr">
        <is>
          <t>-Z</t>
        </is>
      </c>
      <c r="M5" s="189" t="inlineStr">
        <is>
          <t>基地99层美术布置层</t>
        </is>
      </c>
      <c r="N5" s="189" t="inlineStr">
        <is>
          <t>正式美术已接入</t>
        </is>
      </c>
      <c r="O5" s="189" t="inlineStr">
        <is>
          <t>v001</t>
        </is>
      </c>
      <c r="P5" s="190" t="inlineStr">
        <is>
          <t>根节点=战术指挥椅(Node3D)</t>
        </is>
      </c>
    </row>
    <row r="6" ht="66" customHeight="1">
      <c r="A6" s="191" t="inlineStr">
        <is>
          <t>PRP-BASE-WORKSHOP-STOOL-3D</t>
        </is>
      </c>
      <c r="B6" s="192" t="inlineStr">
        <is>
          <t>赛博维修圆凳</t>
        </is>
      </c>
      <c r="C6" s="192" t="inlineStr">
        <is>
          <t>assets/art/props/base_world_3d/runtime/workshop_stool/prp_base_workshop_stool_root_top3d_v001.tscn</t>
        </is>
      </c>
      <c r="D6" s="192" t="inlineStr">
        <is>
          <t>assets/art/props/base_world_3d/components/workshop_stool/prp_base_workshop_stool_visual_top3d_v003.glb</t>
        </is>
      </c>
      <c r="E6" s="192" t="inlineStr">
        <is>
          <t>assets/art/props/base_world_3d/source/workshop_stool/prp_base_workshop_stool_source_v001.blend</t>
        </is>
      </c>
      <c r="F6" s="192" t="inlineStr">
        <is>
          <t>可复用摆放道具Prefab</t>
        </is>
      </c>
      <c r="G6" s="192" t="str"/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最多4材质；独立GLB/PackedScene；无交互碰撞</t>
        </is>
      </c>
      <c r="L6" s="192" t="inlineStr">
        <is>
          <t>-Z</t>
        </is>
      </c>
      <c r="M6" s="192" t="inlineStr">
        <is>
          <t>基地99层美术布置层</t>
        </is>
      </c>
      <c r="N6" s="192" t="inlineStr">
        <is>
          <t>正式美术已接入</t>
        </is>
      </c>
      <c r="O6" s="192" t="inlineStr">
        <is>
          <t>v001</t>
        </is>
      </c>
      <c r="P6" s="193" t="inlineStr">
        <is>
          <t>根节点=赛博维修圆凳(Node3D)</t>
        </is>
      </c>
    </row>
    <row r="7" ht="66" customHeight="1">
      <c r="A7" s="194" t="inlineStr">
        <is>
          <t>PRP-ROOM-FURNITURE-3D</t>
        </is>
      </c>
      <c r="B7" s="195" t="inlineStr">
        <is>
          <t>房间家具3D通用模块</t>
        </is>
      </c>
      <c r="C7" s="195" t="inlineStr">
        <is>
          <t>assets/art/props/dungeon_3d/prp_room_furniture_root_top3d_v001.tscn</t>
        </is>
      </c>
      <c r="D7" s="195" t="str"/>
      <c r="E7" s="195" t="str"/>
      <c r="F7" s="195" t="inlineStr">
        <is>
          <t>可复用摆放道具Prefab</t>
        </is>
      </c>
      <c r="G7" s="195" t="inlineStr">
        <is>
          <t>src/world3d/RoomFurniture3D.gd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脚本生成</t>
        </is>
      </c>
      <c r="K7" s="195" t="inlineStr">
        <is>
          <t>PackedScene/类型与尺寸配置</t>
        </is>
      </c>
      <c r="L7" s="195" t="inlineStr">
        <is>
          <t>未声明</t>
        </is>
      </c>
      <c r="M7" s="195" t="inlineStr">
        <is>
          <t>全部3D房间</t>
        </is>
      </c>
      <c r="N7" s="195" t="inlineStr">
        <is>
          <t>原型已接入</t>
        </is>
      </c>
      <c r="O7" s="195" t="inlineStr">
        <is>
          <t>v001</t>
        </is>
      </c>
      <c r="P7" s="196" t="inlineStr">
        <is>
          <t>根节点=RoomFurniture3D(Area3D)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角色 3D Prefab</t>
        </is>
      </c>
    </row>
    <row r="2" ht="34" customHeight="1">
      <c r="A2" s="250" t="inlineStr">
        <is>
          <t>玩家、NPC与角色表现/玩法根及制作母版；当前 4 个登记项。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CHR-PLY-CAPSULE01-3D</t>
        </is>
      </c>
      <c r="B5" s="189" t="inlineStr">
        <is>
          <t>方形猫角色3D根组件</t>
        </is>
      </c>
      <c r="C5" s="189" t="inlineStr">
        <is>
          <t>assets/art/characters/player/chr_player_capsule01_3d/chr_player_capsule01_root_top3d_v001.tscn</t>
        </is>
      </c>
      <c r="D5" s="189" t="str"/>
      <c r="E5" s="189" t="str"/>
      <c r="F5" s="189" t="inlineStr">
        <is>
          <t>角色3D表现Prefab</t>
        </is>
      </c>
      <c r="G5" s="189" t="inlineStr">
        <is>
          <t>src/player3d/PlayerAvatar3D.gd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PackedScene/程序材质</t>
        </is>
      </c>
      <c r="L5" s="189" t="inlineStr">
        <is>
          <t>未声明</t>
        </is>
      </c>
      <c r="M5" s="189" t="inlineStr">
        <is>
          <t>3D玩家场景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根节点=CapsuleAvatar3D(Node3D)</t>
        </is>
      </c>
    </row>
    <row r="6" ht="66" customHeight="1">
      <c r="A6" s="191" t="inlineStr">
        <is>
          <t>CHR-PLY-CAPSULE01</t>
        </is>
      </c>
      <c r="B6" s="192" t="inlineStr">
        <is>
          <t>胶囊防护体玩家</t>
        </is>
      </c>
      <c r="C6" s="192" t="inlineStr">
        <is>
          <t>assets/art/characters/player/chr_player_capsule01_3d/variants/bunny01/production/v021/runtime/chr_bunny01_root_v021.tscn</t>
        </is>
      </c>
      <c r="D6" s="192" t="inlineStr">
        <is>
          <t>assets/art/characters/player/chr_player_capsule01_3d/variants/bunny01/production/v021/exports/chr_bunny01_model_v021.glb；运行时分件见角色中转记录</t>
        </is>
      </c>
      <c r="E6" s="192" t="inlineStr">
        <is>
          <t>模型、动作双母版：完整路径见「角色中转记录」</t>
        </is>
      </c>
      <c r="F6" s="192" t="inlineStr">
        <is>
          <t>角色3D表现Prefab</t>
        </is>
      </c>
      <c r="G6" s="192" t="inlineStr">
        <is>
          <t>src/player3d/PlayerAvatar3D.gd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可见边界 0.724×1.050×0.452m（含耳）；玩法碰撞由 Player3D 的 1.5m CapsuleShape3D 独占</t>
        </is>
      </c>
      <c r="L6" s="192" t="inlineStr">
        <is>
          <t>未声明</t>
        </is>
      </c>
      <c r="M6" s="192" t="inlineStr">
        <is>
          <t>正式3D玩家</t>
        </is>
      </c>
      <c r="N6" s="192" t="inlineStr">
        <is>
          <t>原型已接入</t>
        </is>
      </c>
      <c r="O6" s="192" t="inlineStr">
        <is>
          <t>v021</t>
        </is>
      </c>
      <c r="P6" s="193" t="inlineStr">
        <is>
          <t>双文件共享骨架；状态 active；中转 assets/art/characters/player/chr_player_capsule01_3d/variants/bunny01/production/v021/character_transfer_ledger_v021.json</t>
        </is>
      </c>
    </row>
    <row r="7" ht="66" customHeight="1">
      <c r="A7" s="194" t="inlineStr">
        <is>
          <t>CHR-PLY-CAPSULE01</t>
        </is>
      </c>
      <c r="B7" s="195" t="inlineStr">
        <is>
          <t>胶囊防护体玩家</t>
        </is>
      </c>
      <c r="C7" s="195" t="inlineStr">
        <is>
          <t>scenes/Player3D.tscn</t>
        </is>
      </c>
      <c r="D7" s="195" t="str"/>
      <c r="E7" s="195" t="str"/>
      <c r="F7" s="195" t="inlineStr">
        <is>
          <t>玩家3D玩法根</t>
        </is>
      </c>
      <c r="G7" s="195" t="inlineStr">
        <is>
          <t>src/player3d/Player3D.gd; src/player3d/PlayerVision3D.gd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CapsuleShape3D</t>
        </is>
      </c>
      <c r="K7" s="195" t="inlineStr">
        <is>
          <t>可见边界 0.724×1.050×0.452m（含耳）；CapsuleShape3D 高 1.5m、半径 0.34m</t>
        </is>
      </c>
      <c r="L7" s="195" t="inlineStr">
        <is>
          <t>未声明</t>
        </is>
      </c>
      <c r="M7" s="195" t="inlineStr">
        <is>
          <t>正式3D玩家</t>
        </is>
      </c>
      <c r="N7" s="195" t="inlineStr">
        <is>
          <t>原型已接入</t>
        </is>
      </c>
      <c r="O7" s="195" t="inlineStr">
        <is>
          <t>v021</t>
        </is>
      </c>
      <c r="P7" s="196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>
      <c r="A8" s="349" t="inlineStr">
        <is>
          <t>CHR-PLAYER-AVATAR-TEMPLATE-001</t>
        </is>
      </c>
      <c r="B8" s="349" t="inlineStr">
        <is>
          <t>玩家角色1.5米Blender制作母版</t>
        </is>
      </c>
      <c r="C8" s="349" t="n"/>
      <c r="D8" s="349" t="n"/>
      <c r="E8" s="349" t="inlineStr">
        <is>
          <t>assets/art/characters/player/chr_player_avatar_template_3d/source/chr_player_avatar_template_source_v001.blend</t>
        </is>
      </c>
      <c r="F8" s="349" t="inlineStr">
        <is>
          <t>角色与配件制作尺寸/方向/挂点模板；非运行时Prefab</t>
        </is>
      </c>
      <c r="G8" s="349" t="inlineStr">
        <is>
          <t>scripts/blender/validate_player_avatar_asset_template.py</t>
        </is>
      </c>
      <c r="H8" s="349" t="inlineStr">
        <is>
          <t>无</t>
        </is>
      </c>
      <c r="I8" s="349" t="inlineStr">
        <is>
          <t>Player3D玩法根</t>
        </is>
      </c>
      <c r="J8" s="349" t="inlineStr">
        <is>
          <t>母版只提供表现包络与挂点；CapsuleShape3D不变</t>
        </is>
      </c>
      <c r="K8" s="349" t="inlineStr">
        <is>
          <t>总高1.50m；根缩放1</t>
        </is>
      </c>
      <c r="L8" s="349" t="inlineStr">
        <is>
          <t>脚底中心Z0；Blender -Y / Godot -Z</t>
        </is>
      </c>
      <c r="M8" s="349" t="inlineStr">
        <is>
          <t>玩家角色与换装资产制作</t>
        </is>
      </c>
      <c r="N8" s="349" t="inlineStr">
        <is>
          <t>正式制作母版</t>
        </is>
      </c>
      <c r="O8" s="349" t="inlineStr">
        <is>
          <t>v001</t>
        </is>
      </c>
      <c r="P8" s="349" t="inlineStr">
        <is>
          <t>7槽位/9挂点；角色玩法碰撞仍由scenes/Player3D.tscn拥有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敌人 3D Prefab</t>
        </is>
      </c>
    </row>
    <row r="2" ht="34" customHeight="1">
      <c r="A2" s="250" t="inlineStr">
        <is>
          <t>普通敌人、精英、Boss与敌人共用根；当前2个独立Prefab，其中首只正式精英资产1/12。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267" t="inlineStr">
        <is>
          <t>ENM-ECOSYSTEM-KIT-3D</t>
        </is>
      </c>
      <c r="B5" s="268" t="inlineStr">
        <is>
          <t>七类怪物3D生态套件</t>
        </is>
      </c>
      <c r="C5" s="268" t="inlineStr">
        <is>
          <t>assets/art/enemies/enemy_3d/enm_ecosystem_kit_root_top3d_v001.tscn</t>
        </is>
      </c>
      <c r="D5" s="268" t="str"/>
      <c r="E5" s="268" t="str"/>
      <c r="F5" s="268" t="inlineStr">
        <is>
          <t>敌人3D共用根与表现系统</t>
        </is>
      </c>
      <c r="G5" s="268" t="inlineStr">
        <is>
          <t>src/enemy3d/Enemy3D.gd; src/enemy3d/EnemyAvatar3D.gd</t>
        </is>
      </c>
      <c r="H5" s="268" t="inlineStr">
        <is>
          <t>开</t>
        </is>
      </c>
      <c r="I5" s="268" t="inlineStr">
        <is>
          <t>Prefab自身</t>
        </is>
      </c>
      <c r="J5" s="268" t="inlineStr">
        <is>
          <t>CapsuleShape3D</t>
        </is>
      </c>
      <c r="K5" s="268" t="inlineStr">
        <is>
          <t>PackedScene/模块敌人</t>
        </is>
      </c>
      <c r="L5" s="268" t="inlineStr">
        <is>
          <t>未声明</t>
        </is>
      </c>
      <c r="M5" s="268" t="inlineStr">
        <is>
          <t>四主题战斗房</t>
        </is>
      </c>
      <c r="N5" s="268" t="inlineStr">
        <is>
          <t>原型已接入</t>
        </is>
      </c>
      <c r="O5" s="268" t="inlineStr">
        <is>
          <t>v001</t>
        </is>
      </c>
      <c r="P5" s="269" t="inlineStr">
        <is>
          <t>根节点=Enemy3D(CharacterBody3D)</t>
        </is>
      </c>
    </row>
    <row r="6" ht="54" customHeight="1">
      <c r="A6" s="349" t="inlineStr">
        <is>
          <t>ENM-ELITE-RIFT-BOAR-ARMED-3D</t>
        </is>
      </c>
      <c r="B6" s="349" t="inlineStr">
        <is>
          <t>背枪的裂口爬虫</t>
        </is>
      </c>
      <c r="C6" s="349" t="inlineStr">
        <is>
          <t>assets/art/enemies/elite_3d/rift_boar_armed/runtime/enm_elite_rift_boar_armed_root_top3d_v001.tscn</t>
        </is>
      </c>
      <c r="D6" s="349" t="inlineStr">
        <is>
          <t>assets/art/enemies/elite_3d/rift_boar_armed/components/enm_elite_rift_boar_armed_visual_top3d_v001.glb</t>
        </is>
      </c>
      <c r="E6" s="349" t="inlineStr">
        <is>
          <t>assets/art/enemies/elite_3d/rift_boar_armed/source/enm_elite_rift_boar_armed_source_v001.blend</t>
        </is>
      </c>
      <c r="F6" s="349" t="inlineStr">
        <is>
          <t>首只唯一精英独立表现、背负副枪与命名专属血条</t>
        </is>
      </c>
      <c r="G6" s="349" t="inlineStr">
        <is>
          <t>src/enemy3d/EliteContentCatalog.gd; src/enemy3d/EliteRosterService.gd; src/enemy3d/EnemyAvatar3D.gd; src/enemy3d/Enemy3D.gd</t>
        </is>
      </c>
      <c r="H6" s="349" t="inlineStr">
        <is>
          <t>关（表现资产）</t>
        </is>
      </c>
      <c r="I6" s="349" t="inlineStr">
        <is>
          <t>Enemy3D</t>
        </is>
      </c>
      <c r="J6" s="349" t="inlineStr">
        <is>
          <t>复用melee_chaser CylinderShape3D</t>
        </is>
      </c>
      <c r="K6" s="349" t="inlineStr">
        <is>
          <t>1.970×1.843×1.345m；18 Mesh；4材质</t>
        </is>
      </c>
      <c r="L6" s="349" t="inlineStr">
        <is>
          <t>底部可预测；Blender -Y / Godot -Z 正面；根Scale=1</t>
        </is>
      </c>
      <c r="M6" s="349" t="inlineStr">
        <is>
          <t>每次行动按run_seed在98F/97F/96F三选一；目标层随机ELITE房</t>
        </is>
      </c>
      <c r="N6" s="349" t="inlineStr">
        <is>
          <t>正式美术已接入</t>
        </is>
      </c>
      <c r="O6" s="349" t="inlineStr">
        <is>
          <t>v001</t>
        </is>
      </c>
      <c r="P6" s="349" t="inlineStr">
        <is>
          <t>AssetID与elite_id稳定；其余11只仍为design_only，完成专项前不投放。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武器 3D Prefab</t>
        </is>
      </c>
    </row>
    <row r="2" ht="34" customHeight="1">
      <c r="A2" s="250" t="inlineStr">
        <is>
          <t>枪械、近战武器与武器装配根；本次扫描 22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WPN-MELEE-BP-BASEBALL-BAT</t>
        </is>
      </c>
      <c r="B5" s="189" t="inlineStr">
        <is>
          <t>废土棒球棍程序原型</t>
        </is>
      </c>
      <c r="C5" s="189" t="inlineStr">
        <is>
          <t>assets/art/weapons/melee_3d/wpn_melee_baseball_bat_root_top3d_v001.tscn</t>
        </is>
      </c>
      <c r="D5" s="189" t="str"/>
      <c r="E5" s="189" t="str"/>
      <c r="F5" s="189" t="inlineStr">
        <is>
          <t>武器3D表现Prefab；由武器系统装配</t>
        </is>
      </c>
      <c r="G5" s="189" t="inlineStr">
        <is>
          <t>src/combat3d/MeleeWeaponVisual3D.gd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程序Mesh；0.28×0.28×1.48m；无碰撞</t>
        </is>
      </c>
      <c r="L5" s="189" t="inlineStr">
        <is>
          <t>未声明</t>
        </is>
      </c>
      <c r="M5" s="189" t="inlineStr">
        <is>
          <t>手持/背负/地面/背包图标/表现页/基地贩卖机</t>
        </is>
      </c>
      <c r="N5" s="189" t="inlineStr">
        <is>
          <t>程序占位</t>
        </is>
      </c>
      <c r="O5" s="189" t="inlineStr">
        <is>
          <t>v001</t>
        </is>
      </c>
      <c r="P5" s="190" t="inlineStr">
        <is>
          <t>根节点=BaseballBatRootTop3D(Node3D)</t>
        </is>
      </c>
    </row>
    <row r="6" ht="66" customHeight="1">
      <c r="A6" s="191" t="inlineStr">
        <is>
          <t>WPN-MELEE-BP-GREATBLADE</t>
        </is>
      </c>
      <c r="B6" s="192" t="inlineStr">
        <is>
          <t>巨型工业断刃程序原型</t>
        </is>
      </c>
      <c r="C6" s="192" t="inlineStr">
        <is>
          <t>assets/art/weapons/melee_3d/wpn_melee_greatblade_root_top3d_v001.tscn</t>
        </is>
      </c>
      <c r="D6" s="192" t="str"/>
      <c r="E6" s="192" t="str"/>
      <c r="F6" s="192" t="inlineStr">
        <is>
          <t>武器3D表现Prefab；由武器系统装配</t>
        </is>
      </c>
      <c r="G6" s="192" t="inlineStr">
        <is>
          <t>src/combat3d/MeleeWeaponVisual3D.gd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程序Mesh；0.82×0.30×2.42m；无碰撞</t>
        </is>
      </c>
      <c r="L6" s="192" t="inlineStr">
        <is>
          <t>未声明</t>
        </is>
      </c>
      <c r="M6" s="192" t="inlineStr">
        <is>
          <t>手持/背负/地面/背包图标/表现页</t>
        </is>
      </c>
      <c r="N6" s="192" t="inlineStr">
        <is>
          <t>程序占位</t>
        </is>
      </c>
      <c r="O6" s="192" t="inlineStr">
        <is>
          <t>v001</t>
        </is>
      </c>
      <c r="P6" s="193" t="inlineStr">
        <is>
          <t>根节点=GreatbladeVisual3D(Node3D)</t>
        </is>
      </c>
    </row>
    <row r="7" ht="66" customHeight="1">
      <c r="A7" s="191" t="inlineStr">
        <is>
          <t>WPN-MELEE-BP-WARAXE</t>
        </is>
      </c>
      <c r="B7" s="192" t="inlineStr">
        <is>
          <t>攻城裂甲斧程序原型</t>
        </is>
      </c>
      <c r="C7" s="192" t="inlineStr">
        <is>
          <t>assets/art/weapons/melee_3d/wpn_melee_waraxe_root_top3d_v001.tscn</t>
        </is>
      </c>
      <c r="D7" s="192" t="str"/>
      <c r="E7" s="192" t="str"/>
      <c r="F7" s="192" t="inlineStr">
        <is>
          <t>武器3D表现Prefab；由武器系统装配</t>
        </is>
      </c>
      <c r="G7" s="192" t="inlineStr">
        <is>
          <t>src/combat3d/MeleeWeaponVisual3D.gd</t>
        </is>
      </c>
      <c r="H7" s="192" t="inlineStr">
        <is>
          <t>无</t>
        </is>
      </c>
      <c r="I7" s="192" t="inlineStr">
        <is>
          <t>无</t>
        </is>
      </c>
      <c r="J7" s="192" t="inlineStr">
        <is>
          <t>无</t>
        </is>
      </c>
      <c r="K7" s="192" t="inlineStr">
        <is>
          <t>程序Mesh；1.18×0.34×2.62m；无碰撞</t>
        </is>
      </c>
      <c r="L7" s="192" t="inlineStr">
        <is>
          <t>未声明</t>
        </is>
      </c>
      <c r="M7" s="192" t="inlineStr">
        <is>
          <t>手持/背负/地面/背包图标/表现页</t>
        </is>
      </c>
      <c r="N7" s="192" t="inlineStr">
        <is>
          <t>程序占位</t>
        </is>
      </c>
      <c r="O7" s="192" t="inlineStr">
        <is>
          <t>v001</t>
        </is>
      </c>
      <c r="P7" s="193" t="inlineStr">
        <is>
          <t>根节点=WaraxeVisual3D(Node3D)</t>
        </is>
      </c>
    </row>
    <row r="8" ht="66" customHeight="1">
      <c r="A8" s="191" t="inlineStr">
        <is>
          <t>WPN-GUN-BP-RIFLE</t>
        </is>
      </c>
      <c r="B8" s="192" t="inlineStr">
        <is>
          <t>步枪 / 扫帚步枪造型</t>
        </is>
      </c>
      <c r="C8" s="192" t="inlineStr">
        <is>
          <t>assets/art/weapons/weapon_3d/runtime/broom_rifle/wpn_broom_rifle_root_top3d_v001.tscn</t>
        </is>
      </c>
      <c r="D8" s="192" t="inlineStr">
        <is>
          <t>assets/art/weapons/weapon_3d/components/broom_rifle/wpn_broom_rifle_visual_top3d_v003.glb</t>
        </is>
      </c>
      <c r="E8" s="192" t="inlineStr">
        <is>
          <t>assets/art/weapons/weapon_3d/source/broom_rifle/wpn_broom_rifle_source_v003.blend</t>
        </is>
      </c>
      <c r="F8" s="192" t="inlineStr">
        <is>
          <t>武器3D表现Prefab；由武器系统装配</t>
        </is>
      </c>
      <c r="G8" s="192" t="inlineStr">
        <is>
          <t>src/player3d/WeaponModel3D.gd</t>
        </is>
      </c>
      <c r="H8" s="192" t="inlineStr">
        <is>
          <t>无</t>
        </is>
      </c>
      <c r="I8" s="192" t="inlineStr">
        <is>
          <t>无</t>
        </is>
      </c>
      <c r="J8" s="192" t="inlineStr">
        <is>
          <t>无</t>
        </is>
      </c>
      <c r="K8" s="192" t="inlineStr">
        <is>
          <t>握把原点；local -Z枪口；3材质；独立GLB/PackedScene</t>
        </is>
      </c>
      <c r="L8" s="192" t="inlineStr">
        <is>
          <t>-Z</t>
        </is>
      </c>
      <c r="M8" s="192" t="inlineStr">
        <is>
          <t>手持/背负/地面/UI 共用独立PackedScene</t>
        </is>
      </c>
      <c r="N8" s="192" t="inlineStr">
        <is>
          <t>正式美术已接入</t>
        </is>
      </c>
      <c r="O8" s="192" t="inlineStr">
        <is>
          <t>v001</t>
        </is>
      </c>
      <c r="P8" s="193" t="inlineStr">
        <is>
          <t>根节点=扫帚步枪(Node3D)</t>
        </is>
      </c>
    </row>
    <row r="9" ht="66" customHeight="1">
      <c r="A9" s="191" t="inlineStr">
        <is>
          <t>WPN-GUN-FUTURE-CAMERA-BLASTER-3D</t>
        </is>
      </c>
      <c r="B9" s="192" t="inlineStr">
        <is>
          <t>相机爆能枪</t>
        </is>
      </c>
      <c r="C9" s="192" t="inlineStr">
        <is>
          <t>assets/art/weapons/weapon_3d/runtime/camera_blaster/wpn_camera_blaster_root_top3d_v001.tscn</t>
        </is>
      </c>
      <c r="D9" s="192" t="inlineStr">
        <is>
          <t>assets/art/weapons/weapon_3d/components/camera_blaster/wpn_camera_blaster_visual_top3d_v003.glb</t>
        </is>
      </c>
      <c r="E9" s="192" t="inlineStr">
        <is>
          <t>assets/art/weapons/weapon_3d/source/camera_blaster/wpn_camera_blaster_source_v003.blend</t>
        </is>
      </c>
      <c r="F9" s="192" t="inlineStr">
        <is>
          <t>武器3D表现Prefab；由武器系统装配</t>
        </is>
      </c>
      <c r="G9" s="192" t="inlineStr">
        <is>
          <t>src/player3d/WeaponModel3D.gd</t>
        </is>
      </c>
      <c r="H9" s="192" t="inlineStr">
        <is>
          <t>无</t>
        </is>
      </c>
      <c r="I9" s="192" t="inlineStr">
        <is>
          <t>无</t>
        </is>
      </c>
      <c r="J9" s="192" t="inlineStr">
        <is>
          <t>无</t>
        </is>
      </c>
      <c r="K9" s="192" t="inlineStr">
        <is>
          <t>握把原点；local -Z枪口；3材质；独立GLB/PackedScene</t>
        </is>
      </c>
      <c r="L9" s="192" t="inlineStr">
        <is>
          <t>-Z</t>
        </is>
      </c>
      <c r="M9" s="192" t="inlineStr">
        <is>
          <t>未来枪械池/独立资产</t>
        </is>
      </c>
      <c r="N9" s="192" t="inlineStr">
        <is>
          <t>正式美术已入库/待玩法映射</t>
        </is>
      </c>
      <c r="O9" s="192" t="inlineStr">
        <is>
          <t>v001</t>
        </is>
      </c>
      <c r="P9" s="193" t="inlineStr">
        <is>
          <t>根节点=相机爆能枪(Node3D)</t>
        </is>
      </c>
    </row>
    <row r="10" ht="66" customHeight="1">
      <c r="A10" s="191" t="inlineStr">
        <is>
          <t>WPN-GUN-BP-SNIPER</t>
        </is>
      </c>
      <c r="B10" s="192" t="inlineStr">
        <is>
          <t>弹弓狙击 / 糖果狙击枪造型</t>
        </is>
      </c>
      <c r="C10" s="192" t="inlineStr">
        <is>
          <t>assets/art/weapons/weapon_3d/runtime/candy_sniper/wpn_candy_sniper_root_top3d_v001.tscn</t>
        </is>
      </c>
      <c r="D10" s="192" t="inlineStr">
        <is>
          <t>assets/art/weapons/weapon_3d/components/candy_sniper/wpn_candy_sniper_visual_top3d_v003.glb</t>
        </is>
      </c>
      <c r="E10" s="192" t="inlineStr">
        <is>
          <t>assets/art/weapons/weapon_3d/source/candy_sniper/wpn_candy_sniper_source_v003.blend</t>
        </is>
      </c>
      <c r="F10" s="192" t="inlineStr">
        <is>
          <t>武器3D表现Prefab；由武器系统装配</t>
        </is>
      </c>
      <c r="G10" s="192" t="inlineStr">
        <is>
          <t>src/player3d/WeaponModel3D.gd</t>
        </is>
      </c>
      <c r="H10" s="192" t="inlineStr">
        <is>
          <t>无</t>
        </is>
      </c>
      <c r="I10" s="192" t="inlineStr">
        <is>
          <t>无</t>
        </is>
      </c>
      <c r="J10" s="192" t="inlineStr">
        <is>
          <t>无</t>
        </is>
      </c>
      <c r="K10" s="192" t="inlineStr">
        <is>
          <t>握把原点；local -Z枪口；3材质；独立GLB/PackedScene</t>
        </is>
      </c>
      <c r="L10" s="192" t="inlineStr">
        <is>
          <t>-Z</t>
        </is>
      </c>
      <c r="M10" s="192" t="inlineStr">
        <is>
          <t>手持/背负/地面/UI 共用独立PackedScene</t>
        </is>
      </c>
      <c r="N10" s="192" t="inlineStr">
        <is>
          <t>正式美术已接入</t>
        </is>
      </c>
      <c r="O10" s="192" t="inlineStr">
        <is>
          <t>v001</t>
        </is>
      </c>
      <c r="P10" s="193" t="inlineStr">
        <is>
          <t>根节点=糖果狙击枪(Node3D)</t>
        </is>
      </c>
    </row>
    <row r="11" ht="66" customHeight="1">
      <c r="A11" s="191" t="inlineStr">
        <is>
          <t>WPN-GUN-FUTURE-CROCODILE-CANNON-3D</t>
        </is>
      </c>
      <c r="B11" s="192" t="inlineStr">
        <is>
          <t>鳄鱼加农炮</t>
        </is>
      </c>
      <c r="C11" s="192" t="inlineStr">
        <is>
          <t>assets/art/weapons/weapon_3d/runtime/crocodile_cannon/wpn_crocodile_cannon_root_top3d_v001.tscn</t>
        </is>
      </c>
      <c r="D11" s="192" t="inlineStr">
        <is>
          <t>assets/art/weapons/weapon_3d/components/crocodile_cannon/wpn_crocodile_cannon_visual_top3d_v003.glb</t>
        </is>
      </c>
      <c r="E11" s="192" t="inlineStr">
        <is>
          <t>assets/art/weapons/weapon_3d/source/crocodile_cannon/wpn_crocodile_cannon_source_v003.blend</t>
        </is>
      </c>
      <c r="F11" s="192" t="inlineStr">
        <is>
          <t>武器3D表现Prefab；由武器系统装配</t>
        </is>
      </c>
      <c r="G11" s="192" t="inlineStr">
        <is>
          <t>src/player3d/WeaponModel3D.gd</t>
        </is>
      </c>
      <c r="H11" s="192" t="inlineStr">
        <is>
          <t>无</t>
        </is>
      </c>
      <c r="I11" s="192" t="inlineStr">
        <is>
          <t>无</t>
        </is>
      </c>
      <c r="J11" s="192" t="inlineStr">
        <is>
          <t>无</t>
        </is>
      </c>
      <c r="K11" s="192" t="inlineStr">
        <is>
          <t>握把原点；local -Z枪口；3材质；独立GLB/PackedScene</t>
        </is>
      </c>
      <c r="L11" s="192" t="inlineStr">
        <is>
          <t>-Z</t>
        </is>
      </c>
      <c r="M11" s="192" t="inlineStr">
        <is>
          <t>未来枪械池/独立资产</t>
        </is>
      </c>
      <c r="N11" s="192" t="inlineStr">
        <is>
          <t>正式美术已入库/待玩法映射</t>
        </is>
      </c>
      <c r="O11" s="192" t="inlineStr">
        <is>
          <t>v001</t>
        </is>
      </c>
      <c r="P11" s="193" t="inlineStr">
        <is>
          <t>根节点=鳄鱼加农炮(Node3D)</t>
        </is>
      </c>
    </row>
    <row r="12" ht="66" customHeight="1">
      <c r="A12" s="191" t="inlineStr">
        <is>
          <t>WPN-GUN-BP-SHOTGUN</t>
        </is>
      </c>
      <c r="B12" s="192" t="inlineStr">
        <is>
          <t>散射喷壶 / 双管炮造型</t>
        </is>
      </c>
      <c r="C12" s="192" t="inlineStr">
        <is>
          <t>assets/art/weapons/weapon_3d/runtime/double_barrel_cannon/wpn_double_barrel_cannon_root_top3d_v001.tscn</t>
        </is>
      </c>
      <c r="D12" s="192" t="inlineStr">
        <is>
          <t>assets/art/weapons/weapon_3d/components/double_barrel_cannon/wpn_double_barrel_cannon_visual_top3d_v003.glb</t>
        </is>
      </c>
      <c r="E12" s="192" t="inlineStr">
        <is>
          <t>assets/art/weapons/weapon_3d/source/double_barrel_cannon/wpn_double_barrel_cannon_source_v003.blend</t>
        </is>
      </c>
      <c r="F12" s="192" t="inlineStr">
        <is>
          <t>武器3D表现Prefab；由武器系统装配</t>
        </is>
      </c>
      <c r="G12" s="192" t="inlineStr">
        <is>
          <t>src/player3d/WeaponModel3D.gd</t>
        </is>
      </c>
      <c r="H12" s="192" t="inlineStr">
        <is>
          <t>无</t>
        </is>
      </c>
      <c r="I12" s="192" t="inlineStr">
        <is>
          <t>无</t>
        </is>
      </c>
      <c r="J12" s="192" t="inlineStr">
        <is>
          <t>无</t>
        </is>
      </c>
      <c r="K12" s="192" t="inlineStr">
        <is>
          <t>握把原点；local -Z枪口；3材质；独立GLB/PackedScene</t>
        </is>
      </c>
      <c r="L12" s="192" t="inlineStr">
        <is>
          <t>-Z</t>
        </is>
      </c>
      <c r="M12" s="192" t="inlineStr">
        <is>
          <t>手持/背负/地面/UI 共用独立PackedScene</t>
        </is>
      </c>
      <c r="N12" s="192" t="inlineStr">
        <is>
          <t>正式美术已接入</t>
        </is>
      </c>
      <c r="O12" s="192" t="inlineStr">
        <is>
          <t>v001</t>
        </is>
      </c>
      <c r="P12" s="193" t="inlineStr">
        <is>
          <t>根节点=双管炮(Node3D)</t>
        </is>
      </c>
    </row>
    <row r="13" ht="66" customHeight="1">
      <c r="A13" s="191" t="inlineStr">
        <is>
          <t>WPN-GUN-FUTURE-FAN-BLASTER-3D</t>
        </is>
      </c>
      <c r="B13" s="192" t="inlineStr">
        <is>
          <t>风扇爆能枪</t>
        </is>
      </c>
      <c r="C13" s="192" t="inlineStr">
        <is>
          <t>assets/art/weapons/weapon_3d/runtime/fan_blaster/wpn_fan_blaster_root_top3d_v001.tscn</t>
        </is>
      </c>
      <c r="D13" s="192" t="inlineStr">
        <is>
          <t>assets/art/weapons/weapon_3d/components/fan_blaster/wpn_fan_blaster_visual_top3d_v003.glb</t>
        </is>
      </c>
      <c r="E13" s="192" t="inlineStr">
        <is>
          <t>assets/art/weapons/weapon_3d/source/fan_blaster/wpn_fan_blaster_source_v003.blend</t>
        </is>
      </c>
      <c r="F13" s="192" t="inlineStr">
        <is>
          <t>武器3D表现Prefab；由武器系统装配</t>
        </is>
      </c>
      <c r="G13" s="192" t="inlineStr">
        <is>
          <t>src/player3d/WeaponModel3D.gd</t>
        </is>
      </c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握把原点；local -Z枪口；3材质；独立GLB/PackedScene</t>
        </is>
      </c>
      <c r="L13" s="192" t="inlineStr">
        <is>
          <t>-Z</t>
        </is>
      </c>
      <c r="M13" s="192" t="inlineStr">
        <is>
          <t>未来枪械池/独立资产</t>
        </is>
      </c>
      <c r="N13" s="192" t="inlineStr">
        <is>
          <t>正式美术已入库/待玩法映射</t>
        </is>
      </c>
      <c r="O13" s="192" t="inlineStr">
        <is>
          <t>v001</t>
        </is>
      </c>
      <c r="P13" s="193" t="inlineStr">
        <is>
          <t>根节点=风扇爆能枪(Node3D)</t>
        </is>
      </c>
    </row>
    <row r="14" ht="66" customHeight="1">
      <c r="A14" s="191" t="inlineStr">
        <is>
          <t>WPN-GUN-FUTURE-FRYING-PAN-CANNON-3D</t>
        </is>
      </c>
      <c r="B14" s="192" t="inlineStr">
        <is>
          <t>平底锅加农炮</t>
        </is>
      </c>
      <c r="C14" s="192" t="inlineStr">
        <is>
          <t>assets/art/weapons/weapon_3d/runtime/frying_pan_cannon/wpn_frying_pan_cannon_root_top3d_v001.tscn</t>
        </is>
      </c>
      <c r="D14" s="192" t="inlineStr">
        <is>
          <t>assets/art/weapons/weapon_3d/components/frying_pan_cannon/wpn_frying_pan_cannon_visual_top3d_v003.glb</t>
        </is>
      </c>
      <c r="E14" s="192" t="inlineStr">
        <is>
          <t>assets/art/weapons/weapon_3d/source/frying_pan_cannon/wpn_frying_pan_cannon_source_v003.blend</t>
        </is>
      </c>
      <c r="F14" s="192" t="inlineStr">
        <is>
          <t>武器3D表现Prefab；由武器系统装配</t>
        </is>
      </c>
      <c r="G14" s="192" t="inlineStr">
        <is>
          <t>src/player3d/WeaponModel3D.gd</t>
        </is>
      </c>
      <c r="H14" s="192" t="inlineStr">
        <is>
          <t>无</t>
        </is>
      </c>
      <c r="I14" s="192" t="inlineStr">
        <is>
          <t>无</t>
        </is>
      </c>
      <c r="J14" s="192" t="inlineStr">
        <is>
          <t>无</t>
        </is>
      </c>
      <c r="K14" s="192" t="inlineStr">
        <is>
          <t>握把原点；local -Z枪口；3材质；独立GLB/PackedScene</t>
        </is>
      </c>
      <c r="L14" s="192" t="inlineStr">
        <is>
          <t>-Z</t>
        </is>
      </c>
      <c r="M14" s="192" t="inlineStr">
        <is>
          <t>未来枪械池/独立资产</t>
        </is>
      </c>
      <c r="N14" s="192" t="inlineStr">
        <is>
          <t>正式美术已入库/待玩法映射</t>
        </is>
      </c>
      <c r="O14" s="192" t="inlineStr">
        <is>
          <t>v001</t>
        </is>
      </c>
      <c r="P14" s="193" t="inlineStr">
        <is>
          <t>根节点=平底锅加农炮(Node3D)</t>
        </is>
      </c>
    </row>
    <row r="15" ht="66" customHeight="1">
      <c r="A15" s="191" t="inlineStr">
        <is>
          <t>WPN-GUN-FUTURE-GUITAR-BLASTER-3D</t>
        </is>
      </c>
      <c r="B15" s="192" t="inlineStr">
        <is>
          <t>吉他爆能枪</t>
        </is>
      </c>
      <c r="C15" s="192" t="inlineStr">
        <is>
          <t>assets/art/weapons/weapon_3d/runtime/guitar_blaster/wpn_guitar_blaster_root_top3d_v001.tscn</t>
        </is>
      </c>
      <c r="D15" s="192" t="inlineStr">
        <is>
          <t>assets/art/weapons/weapon_3d/components/guitar_blaster/wpn_guitar_blaster_visual_top3d_v003.glb</t>
        </is>
      </c>
      <c r="E15" s="192" t="inlineStr">
        <is>
          <t>assets/art/weapons/weapon_3d/source/guitar_blaster/wpn_guitar_blaster_source_v003.blend</t>
        </is>
      </c>
      <c r="F15" s="192" t="inlineStr">
        <is>
          <t>武器3D表现Prefab；由武器系统装配</t>
        </is>
      </c>
      <c r="G15" s="192" t="inlineStr">
        <is>
          <t>src/player3d/WeaponModel3D.gd</t>
        </is>
      </c>
      <c r="H15" s="192" t="inlineStr">
        <is>
          <t>无</t>
        </is>
      </c>
      <c r="I15" s="192" t="inlineStr">
        <is>
          <t>无</t>
        </is>
      </c>
      <c r="J15" s="192" t="inlineStr">
        <is>
          <t>无</t>
        </is>
      </c>
      <c r="K15" s="192" t="inlineStr">
        <is>
          <t>握把原点；local -Z枪口；3材质；独立GLB/PackedScene</t>
        </is>
      </c>
      <c r="L15" s="192" t="inlineStr">
        <is>
          <t>-Z</t>
        </is>
      </c>
      <c r="M15" s="192" t="inlineStr">
        <is>
          <t>未来枪械池/独立资产</t>
        </is>
      </c>
      <c r="N15" s="192" t="inlineStr">
        <is>
          <t>正式美术已入库/待玩法映射</t>
        </is>
      </c>
      <c r="O15" s="192" t="inlineStr">
        <is>
          <t>v001</t>
        </is>
      </c>
      <c r="P15" s="193" t="inlineStr">
        <is>
          <t>根节点=吉他爆能枪(Node3D)</t>
        </is>
      </c>
    </row>
    <row r="16" ht="66" customHeight="1">
      <c r="A16" s="191" t="inlineStr">
        <is>
          <t>WPN-GUN-BP-CHARGE</t>
        </is>
      </c>
      <c r="B16" s="192" t="inlineStr">
        <is>
          <t>蓄力萝卜炮 / 口香糖机造型</t>
        </is>
      </c>
      <c r="C16" s="192" t="inlineStr">
        <is>
          <t>assets/art/weapons/weapon_3d/runtime/gumball_cannon/wpn_gumball_cannon_root_top3d_v001.tscn</t>
        </is>
      </c>
      <c r="D16" s="192" t="inlineStr">
        <is>
          <t>assets/art/weapons/weapon_3d/components/gumball_cannon/wpn_gumball_cannon_visual_top3d_v003.glb</t>
        </is>
      </c>
      <c r="E16" s="192" t="inlineStr">
        <is>
          <t>assets/art/weapons/weapon_3d/source/gumball_cannon/wpn_gumball_cannon_source_v003.blend</t>
        </is>
      </c>
      <c r="F16" s="192" t="inlineStr">
        <is>
          <t>武器3D表现Prefab；由武器系统装配</t>
        </is>
      </c>
      <c r="G16" s="192" t="inlineStr">
        <is>
          <t>src/player3d/WeaponModel3D.gd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握把原点；local -Z枪口；3材质；独立GLB/PackedScene</t>
        </is>
      </c>
      <c r="L16" s="192" t="inlineStr">
        <is>
          <t>-Z</t>
        </is>
      </c>
      <c r="M16" s="192" t="inlineStr">
        <is>
          <t>手持/背负/地面/UI 共用独立PackedScene</t>
        </is>
      </c>
      <c r="N16" s="192" t="inlineStr">
        <is>
          <t>正式美术已接入</t>
        </is>
      </c>
      <c r="O16" s="192" t="inlineStr">
        <is>
          <t>v001</t>
        </is>
      </c>
      <c r="P16" s="193" t="inlineStr">
        <is>
          <t>根节点=口香糖机加农炮(Node3D)</t>
        </is>
      </c>
    </row>
    <row r="17" ht="66" customHeight="1">
      <c r="A17" s="191" t="inlineStr">
        <is>
          <t>WPN-GUN-BP-PISTOL</t>
        </is>
      </c>
      <c r="B17" s="192" t="inlineStr">
        <is>
          <t>豌豆手枪 / 吹风机造型</t>
        </is>
      </c>
      <c r="C17" s="192" t="inlineStr">
        <is>
          <t>assets/art/weapons/weapon_3d/runtime/hair_dryer/wpn_hair_dryer_root_top3d_v001.tscn</t>
        </is>
      </c>
      <c r="D17" s="192" t="inlineStr">
        <is>
          <t>assets/art/weapons/weapon_3d/components/hair_dryer/wpn_hair_dryer_visual_top3d_v003.glb</t>
        </is>
      </c>
      <c r="E17" s="192" t="inlineStr">
        <is>
          <t>assets/art/weapons/weapon_3d/source/hair_dryer/wpn_hair_dryer_source_v003.blend</t>
        </is>
      </c>
      <c r="F17" s="192" t="inlineStr">
        <is>
          <t>武器3D表现Prefab；由武器系统装配</t>
        </is>
      </c>
      <c r="G17" s="192" t="inlineStr">
        <is>
          <t>src/combat3d/WeaponModel3D.gd</t>
        </is>
      </c>
      <c r="H17" s="192" t="inlineStr">
        <is>
          <t>无</t>
        </is>
      </c>
      <c r="I17" s="192" t="inlineStr">
        <is>
          <t>无</t>
        </is>
      </c>
      <c r="J17" s="192" t="inlineStr">
        <is>
          <t>无</t>
        </is>
      </c>
      <c r="K17" s="192" t="inlineStr">
        <is>
          <t>GripSocket根原点；可见握把中心校正到根；local -Z枪口；3材质；独立GLB/PackedScene</t>
        </is>
      </c>
      <c r="L17" s="192" t="inlineStr">
        <is>
          <t>-Z</t>
        </is>
      </c>
      <c r="M17" s="192" t="inlineStr">
        <is>
          <t>手持/背负/地面/UI 共用独立PackedScene</t>
        </is>
      </c>
      <c r="N17" s="192" t="inlineStr">
        <is>
          <t>正式美术已接入</t>
        </is>
      </c>
      <c r="O17" s="192" t="inlineStr">
        <is>
          <t>v001</t>
        </is>
      </c>
      <c r="P17" s="193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>
      <c r="A18" s="191" t="inlineStr">
        <is>
          <t>WPN-GUN-FUTURE-MEGAPHONE-CANNON-3D</t>
        </is>
      </c>
      <c r="B18" s="192" t="inlineStr">
        <is>
          <t>扩音器加农炮</t>
        </is>
      </c>
      <c r="C18" s="192" t="inlineStr">
        <is>
          <t>assets/art/weapons/weapon_3d/runtime/megaphone_cannon/wpn_megaphone_cannon_root_top3d_v001.tscn</t>
        </is>
      </c>
      <c r="D18" s="192" t="inlineStr">
        <is>
          <t>assets/art/weapons/weapon_3d/components/megaphone_cannon/wpn_megaphone_cannon_visual_top3d_v003.glb</t>
        </is>
      </c>
      <c r="E18" s="192" t="inlineStr">
        <is>
          <t>assets/art/weapons/weapon_3d/source/megaphone_cannon/wpn_megaphone_cannon_source_v003.blend</t>
        </is>
      </c>
      <c r="F18" s="192" t="inlineStr">
        <is>
          <t>武器3D表现Prefab；由武器系统装配</t>
        </is>
      </c>
      <c r="G18" s="192" t="inlineStr">
        <is>
          <t>src/player3d/WeaponModel3D.gd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握把原点；local -Z枪口；3材质；独立GLB/PackedScene</t>
        </is>
      </c>
      <c r="L18" s="192" t="inlineStr">
        <is>
          <t>-Z</t>
        </is>
      </c>
      <c r="M18" s="192" t="inlineStr">
        <is>
          <t>未来枪械池/独立资产</t>
        </is>
      </c>
      <c r="N18" s="192" t="inlineStr">
        <is>
          <t>正式美术已入库/待玩法映射</t>
        </is>
      </c>
      <c r="O18" s="192" t="inlineStr">
        <is>
          <t>v001</t>
        </is>
      </c>
      <c r="P18" s="193" t="inlineStr">
        <is>
          <t>根节点=扩音器加农炮(Node3D)</t>
        </is>
      </c>
    </row>
    <row r="19" ht="66" customHeight="1">
      <c r="A19" s="191" t="inlineStr">
        <is>
          <t>WPN-GUN-FUTURE-POPCORN-BLASTER-3D</t>
        </is>
      </c>
      <c r="B19" s="192" t="inlineStr">
        <is>
          <t>爆米花爆能枪</t>
        </is>
      </c>
      <c r="C19" s="192" t="inlineStr">
        <is>
          <t>assets/art/weapons/weapon_3d/runtime/popcorn_blaster/wpn_popcorn_blaster_root_top3d_v001.tscn</t>
        </is>
      </c>
      <c r="D19" s="192" t="inlineStr">
        <is>
          <t>assets/art/weapons/weapon_3d/components/popcorn_blaster/wpn_popcorn_blaster_visual_top3d_v003.glb</t>
        </is>
      </c>
      <c r="E19" s="192" t="inlineStr">
        <is>
          <t>assets/art/weapons/weapon_3d/source/popcorn_blaster/wpn_popcorn_blaster_source_v003.blend</t>
        </is>
      </c>
      <c r="F19" s="192" t="inlineStr">
        <is>
          <t>武器3D表现Prefab；由武器系统装配</t>
        </is>
      </c>
      <c r="G19" s="192" t="inlineStr">
        <is>
          <t>src/player3d/WeaponModel3D.gd</t>
        </is>
      </c>
      <c r="H19" s="192" t="inlineStr">
        <is>
          <t>无</t>
        </is>
      </c>
      <c r="I19" s="192" t="inlineStr">
        <is>
          <t>无</t>
        </is>
      </c>
      <c r="J19" s="192" t="inlineStr">
        <is>
          <t>无</t>
        </is>
      </c>
      <c r="K19" s="192" t="inlineStr">
        <is>
          <t>握把原点；local -Z枪口；3材质；独立GLB/PackedScene</t>
        </is>
      </c>
      <c r="L19" s="192" t="inlineStr">
        <is>
          <t>-Z</t>
        </is>
      </c>
      <c r="M19" s="192" t="inlineStr">
        <is>
          <t>未来枪械池/独立资产</t>
        </is>
      </c>
      <c r="N19" s="192" t="inlineStr">
        <is>
          <t>正式美术已入库/待玩法映射</t>
        </is>
      </c>
      <c r="O19" s="192" t="inlineStr">
        <is>
          <t>v001</t>
        </is>
      </c>
      <c r="P19" s="193" t="inlineStr">
        <is>
          <t>根节点=爆米花爆能枪(Node3D)</t>
        </is>
      </c>
    </row>
    <row r="20" ht="66" customHeight="1">
      <c r="A20" s="191" t="inlineStr">
        <is>
          <t>WPN-GUN-FUTURE-SCOPE-CANNON-3D</t>
        </is>
      </c>
      <c r="B20" s="192" t="inlineStr">
        <is>
          <t>瞄准镜加农炮</t>
        </is>
      </c>
      <c r="C20" s="192" t="inlineStr">
        <is>
          <t>assets/art/weapons/weapon_3d/runtime/scope_cannon/wpn_scope_cannon_root_top3d_v001.tscn</t>
        </is>
      </c>
      <c r="D20" s="192" t="inlineStr">
        <is>
          <t>assets/art/weapons/weapon_3d/components/scope_cannon/wpn_scope_cannon_visual_top3d_v003.glb</t>
        </is>
      </c>
      <c r="E20" s="192" t="inlineStr">
        <is>
          <t>assets/art/weapons/weapon_3d/source/scope_cannon/wpn_scope_cannon_source_v003.blend</t>
        </is>
      </c>
      <c r="F20" s="192" t="inlineStr">
        <is>
          <t>武器3D表现Prefab；由武器系统装配</t>
        </is>
      </c>
      <c r="G20" s="192" t="inlineStr">
        <is>
          <t>src/player3d/WeaponModel3D.gd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握把原点；local -Z枪口；3材质；独立GLB/PackedScene</t>
        </is>
      </c>
      <c r="L20" s="192" t="inlineStr">
        <is>
          <t>-Z</t>
        </is>
      </c>
      <c r="M20" s="192" t="inlineStr">
        <is>
          <t>未来枪械池/独立资产</t>
        </is>
      </c>
      <c r="N20" s="192" t="inlineStr">
        <is>
          <t>正式美术已入库/待玩法映射</t>
        </is>
      </c>
      <c r="O20" s="192" t="inlineStr">
        <is>
          <t>v001</t>
        </is>
      </c>
      <c r="P20" s="193" t="inlineStr">
        <is>
          <t>根节点=瞄准镜加农炮(Node3D)</t>
        </is>
      </c>
    </row>
    <row r="21" ht="66" customHeight="1">
      <c r="A21" s="191" t="inlineStr">
        <is>
          <t>WPN-GUN-FUTURE-SODA-STRAW-BLASTER-3D</t>
        </is>
      </c>
      <c r="B21" s="192" t="inlineStr">
        <is>
          <t>饮料管爆能枪</t>
        </is>
      </c>
      <c r="C21" s="192" t="inlineStr">
        <is>
          <t>assets/art/weapons/weapon_3d/runtime/soda_straw_blaster/wpn_soda_straw_blaster_root_top3d_v001.tscn</t>
        </is>
      </c>
      <c r="D21" s="192" t="inlineStr">
        <is>
          <t>assets/art/weapons/weapon_3d/components/soda_straw_blaster/wpn_soda_straw_blaster_visual_top3d_v003.glb</t>
        </is>
      </c>
      <c r="E21" s="192" t="inlineStr">
        <is>
          <t>assets/art/weapons/weapon_3d/source/soda_straw_blaster/wpn_soda_straw_blaster_source_v003.blend</t>
        </is>
      </c>
      <c r="F21" s="192" t="inlineStr">
        <is>
          <t>武器3D表现Prefab；由武器系统装配</t>
        </is>
      </c>
      <c r="G21" s="192" t="inlineStr">
        <is>
          <t>src/player3d/WeaponModel3D.gd</t>
        </is>
      </c>
      <c r="H21" s="192" t="inlineStr">
        <is>
          <t>无</t>
        </is>
      </c>
      <c r="I21" s="192" t="inlineStr">
        <is>
          <t>无</t>
        </is>
      </c>
      <c r="J21" s="192" t="inlineStr">
        <is>
          <t>无</t>
        </is>
      </c>
      <c r="K21" s="192" t="inlineStr">
        <is>
          <t>握把原点；local -Z枪口；3材质；独立GLB/PackedScene</t>
        </is>
      </c>
      <c r="L21" s="192" t="inlineStr">
        <is>
          <t>-Z</t>
        </is>
      </c>
      <c r="M21" s="192" t="inlineStr">
        <is>
          <t>未来枪械池/独立资产</t>
        </is>
      </c>
      <c r="N21" s="192" t="inlineStr">
        <is>
          <t>正式美术已入库/待玩法映射</t>
        </is>
      </c>
      <c r="O21" s="192" t="inlineStr">
        <is>
          <t>v001</t>
        </is>
      </c>
      <c r="P21" s="193" t="inlineStr">
        <is>
          <t>根节点=饮料管爆能枪(Node3D)</t>
        </is>
      </c>
    </row>
    <row r="22" ht="66" customHeight="1">
      <c r="A22" s="191" t="inlineStr">
        <is>
          <t>WPN-GUN-FUTURE-SPATULA-RIFLE-3D</t>
        </is>
      </c>
      <c r="B22" s="192" t="inlineStr">
        <is>
          <t>锅铲步枪</t>
        </is>
      </c>
      <c r="C22" s="192" t="inlineStr">
        <is>
          <t>assets/art/weapons/weapon_3d/runtime/spatula_rifle/wpn_spatula_rifle_root_top3d_v001.tscn</t>
        </is>
      </c>
      <c r="D22" s="192" t="inlineStr">
        <is>
          <t>assets/art/weapons/weapon_3d/components/spatula_rifle/wpn_spatula_rifle_visual_top3d_v003.glb</t>
        </is>
      </c>
      <c r="E22" s="192" t="inlineStr">
        <is>
          <t>assets/art/weapons/weapon_3d/source/spatula_rifle/wpn_spatula_rifle_source_v003.blend</t>
        </is>
      </c>
      <c r="F22" s="192" t="inlineStr">
        <is>
          <t>武器3D表现Prefab；由武器系统装配</t>
        </is>
      </c>
      <c r="G22" s="192" t="inlineStr">
        <is>
          <t>src/player3d/WeaponModel3D.gd</t>
        </is>
      </c>
      <c r="H22" s="192" t="inlineStr">
        <is>
          <t>无</t>
        </is>
      </c>
      <c r="I22" s="192" t="inlineStr">
        <is>
          <t>无</t>
        </is>
      </c>
      <c r="J22" s="192" t="inlineStr">
        <is>
          <t>无</t>
        </is>
      </c>
      <c r="K22" s="192" t="inlineStr">
        <is>
          <t>握把原点；local -Z枪口；3材质；独立GLB/PackedScene</t>
        </is>
      </c>
      <c r="L22" s="192" t="inlineStr">
        <is>
          <t>-Z</t>
        </is>
      </c>
      <c r="M22" s="192" t="inlineStr">
        <is>
          <t>未来枪械池/独立资产</t>
        </is>
      </c>
      <c r="N22" s="192" t="inlineStr">
        <is>
          <t>正式美术已入库/待玩法映射</t>
        </is>
      </c>
      <c r="O22" s="192" t="inlineStr">
        <is>
          <t>v001</t>
        </is>
      </c>
      <c r="P22" s="193" t="inlineStr">
        <is>
          <t>根节点=锅铲步枪(Node3D)</t>
        </is>
      </c>
    </row>
    <row r="23" ht="66" customHeight="1">
      <c r="A23" s="191" t="inlineStr">
        <is>
          <t>WPN-GUN-FUTURE-TISSUE-BOX-CANNON-3D</t>
        </is>
      </c>
      <c r="B23" s="192" t="inlineStr">
        <is>
          <t>纸巾盒加农炮</t>
        </is>
      </c>
      <c r="C23" s="192" t="inlineStr">
        <is>
          <t>assets/art/weapons/weapon_3d/runtime/tissue_box_cannon/wpn_tissue_box_cannon_root_top3d_v001.tscn</t>
        </is>
      </c>
      <c r="D23" s="192" t="inlineStr">
        <is>
          <t>assets/art/weapons/weapon_3d/components/tissue_box_cannon/wpn_tissue_box_cannon_visual_top3d_v003.glb</t>
        </is>
      </c>
      <c r="E23" s="192" t="inlineStr">
        <is>
          <t>assets/art/weapons/weapon_3d/source/tissue_box_cannon/wpn_tissue_box_cannon_source_v003.blend</t>
        </is>
      </c>
      <c r="F23" s="192" t="inlineStr">
        <is>
          <t>武器3D表现Prefab；由武器系统装配</t>
        </is>
      </c>
      <c r="G23" s="192" t="inlineStr">
        <is>
          <t>src/player3d/WeaponModel3D.gd</t>
        </is>
      </c>
      <c r="H23" s="192" t="inlineStr">
        <is>
          <t>无</t>
        </is>
      </c>
      <c r="I23" s="192" t="inlineStr">
        <is>
          <t>无</t>
        </is>
      </c>
      <c r="J23" s="192" t="inlineStr">
        <is>
          <t>无</t>
        </is>
      </c>
      <c r="K23" s="192" t="inlineStr">
        <is>
          <t>握把原点；local -Z枪口；3材质；独立GLB/PackedScene</t>
        </is>
      </c>
      <c r="L23" s="192" t="inlineStr">
        <is>
          <t>-Z</t>
        </is>
      </c>
      <c r="M23" s="192" t="inlineStr">
        <is>
          <t>未来枪械池/独立资产</t>
        </is>
      </c>
      <c r="N23" s="192" t="inlineStr">
        <is>
          <t>正式美术已入库/待玩法映射</t>
        </is>
      </c>
      <c r="O23" s="192" t="inlineStr">
        <is>
          <t>v001</t>
        </is>
      </c>
      <c r="P23" s="193" t="inlineStr">
        <is>
          <t>根节点=纸巾盒加农炮(Node3D)</t>
        </is>
      </c>
    </row>
    <row r="24" ht="66" customHeight="1">
      <c r="A24" s="191" t="inlineStr">
        <is>
          <t>WPN-GUN-BP-LAUNCHER</t>
        </is>
      </c>
      <c r="B24" s="192" t="inlineStr">
        <is>
          <t>反胃榴弹筒 / 烤面包机造型</t>
        </is>
      </c>
      <c r="C24" s="192" t="inlineStr">
        <is>
          <t>assets/art/weapons/weapon_3d/runtime/toaster_launcher/wpn_toaster_launcher_root_top3d_v001.tscn</t>
        </is>
      </c>
      <c r="D24" s="192" t="inlineStr">
        <is>
          <t>assets/art/weapons/weapon_3d/components/toaster_launcher/wpn_toaster_launcher_visual_top3d_v003.glb</t>
        </is>
      </c>
      <c r="E24" s="192" t="inlineStr">
        <is>
          <t>assets/art/weapons/weapon_3d/source/toaster_launcher/wpn_toaster_launcher_source_v003.blend</t>
        </is>
      </c>
      <c r="F24" s="192" t="inlineStr">
        <is>
          <t>武器3D表现Prefab；由武器系统装配</t>
        </is>
      </c>
      <c r="G24" s="192" t="inlineStr">
        <is>
          <t>src/player3d/WeaponModel3D.gd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握把原点；local -Z枪口；3材质；独立GLB/PackedScene</t>
        </is>
      </c>
      <c r="L24" s="192" t="inlineStr">
        <is>
          <t>-Z</t>
        </is>
      </c>
      <c r="M24" s="192" t="inlineStr">
        <is>
          <t>手持/背负/地面/UI 共用独立PackedScene</t>
        </is>
      </c>
      <c r="N24" s="192" t="inlineStr">
        <is>
          <t>正式美术已接入</t>
        </is>
      </c>
      <c r="O24" s="192" t="inlineStr">
        <is>
          <t>v001</t>
        </is>
      </c>
      <c r="P24" s="193" t="inlineStr">
        <is>
          <t>根节点=烤面包机发射器(Node3D)</t>
        </is>
      </c>
    </row>
    <row r="25" ht="66" customHeight="1">
      <c r="A25" s="191" t="inlineStr">
        <is>
          <t>WPN-GUN-BP-MACHINEGUN</t>
        </is>
      </c>
      <c r="B25" s="192" t="inlineStr">
        <is>
          <t>蜂窝机枪 / 水箱爆能枪造型</t>
        </is>
      </c>
      <c r="C25" s="192" t="inlineStr">
        <is>
          <t>assets/art/weapons/weapon_3d/runtime/water_tank_blaster/wpn_water_tank_blaster_root_top3d_v001.tscn</t>
        </is>
      </c>
      <c r="D25" s="192" t="inlineStr">
        <is>
          <t>assets/art/weapons/weapon_3d/components/water_tank_blaster/wpn_water_tank_blaster_visual_top3d_v003.glb</t>
        </is>
      </c>
      <c r="E25" s="192" t="inlineStr">
        <is>
          <t>assets/art/weapons/weapon_3d/source/water_tank_blaster/wpn_water_tank_blaster_source_v003.blend</t>
        </is>
      </c>
      <c r="F25" s="192" t="inlineStr">
        <is>
          <t>武器3D表现Prefab；由武器系统装配</t>
        </is>
      </c>
      <c r="G25" s="192" t="inlineStr">
        <is>
          <t>src/player3d/WeaponModel3D.gd</t>
        </is>
      </c>
      <c r="H25" s="192" t="inlineStr">
        <is>
          <t>无</t>
        </is>
      </c>
      <c r="I25" s="192" t="inlineStr">
        <is>
          <t>无</t>
        </is>
      </c>
      <c r="J25" s="192" t="inlineStr">
        <is>
          <t>无</t>
        </is>
      </c>
      <c r="K25" s="192" t="inlineStr">
        <is>
          <t>握把原点；local -Z枪口；3材质；独立GLB/PackedScene</t>
        </is>
      </c>
      <c r="L25" s="192" t="inlineStr">
        <is>
          <t>-Z</t>
        </is>
      </c>
      <c r="M25" s="192" t="inlineStr">
        <is>
          <t>手持/背负/地面/UI 共用独立PackedScene</t>
        </is>
      </c>
      <c r="N25" s="192" t="inlineStr">
        <is>
          <t>正式美术已接入</t>
        </is>
      </c>
      <c r="O25" s="192" t="inlineStr">
        <is>
          <t>v001</t>
        </is>
      </c>
      <c r="P25" s="193" t="inlineStr">
        <is>
          <t>根节点=水箱爆能枪(Node3D)</t>
        </is>
      </c>
    </row>
    <row r="26" ht="66" customHeight="1">
      <c r="A26" s="194" t="inlineStr">
        <is>
          <t>WPN-GUN-KIT-3D</t>
        </is>
      </c>
      <c r="B26" s="195" t="inlineStr">
        <is>
          <t>枪械3D通用模型套件</t>
        </is>
      </c>
      <c r="C26" s="195" t="inlineStr">
        <is>
          <t>assets/art/weapons/weapon_3d/wpn_gun_kit_root_top3d_v001.tscn</t>
        </is>
      </c>
      <c r="D26" s="195" t="str"/>
      <c r="E26" s="195" t="str"/>
      <c r="F26" s="195" t="inlineStr">
        <is>
          <t>武器3D表现Prefab；由武器系统装配</t>
        </is>
      </c>
      <c r="G26" s="195" t="inlineStr">
        <is>
          <t>src/combat3d/WeaponModel3D.gd</t>
        </is>
      </c>
      <c r="H26" s="195" t="inlineStr">
        <is>
          <t>无</t>
        </is>
      </c>
      <c r="I26" s="195" t="inlineStr">
        <is>
          <t>无</t>
        </is>
      </c>
      <c r="J26" s="195" t="inlineStr">
        <is>
          <t>无</t>
        </is>
      </c>
      <c r="K26" s="195" t="inlineStr">
        <is>
          <t>PackedScene/7枪配置模型</t>
        </is>
      </c>
      <c r="L26" s="195" t="inlineStr">
        <is>
          <t>未声明</t>
        </is>
      </c>
      <c r="M26" s="195" t="inlineStr">
        <is>
          <t>玩家/靶场/全部副本</t>
        </is>
      </c>
      <c r="N26" s="195" t="inlineStr">
        <is>
          <t>原型已接入</t>
        </is>
      </c>
      <c r="O26" s="195" t="inlineStr">
        <is>
          <t>v001</t>
        </is>
      </c>
      <c r="P26" s="196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物品 3D Prefab</t>
        </is>
      </c>
    </row>
    <row r="2" ht="34" customHeight="1">
      <c r="A2" s="250" t="inlineStr">
        <is>
          <t>拥有独立PackedScene的拾取物、消耗品、钥匙和掉落物；本次扫描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76" t="inlineStr">
        <is>
          <t>ShellStorm2 · 特效 3D Prefab</t>
        </is>
      </c>
    </row>
    <row r="2" ht="34" customHeight="1">
      <c r="A2" s="377" t="inlineStr">
        <is>
          <t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t>
        </is>
      </c>
    </row>
    <row r="4" ht="30" customHeight="1">
      <c r="A4" s="378" t="inlineStr">
        <is>
          <t>编号</t>
        </is>
      </c>
      <c r="B4" s="379" t="inlineStr">
        <is>
          <t>AssetID</t>
        </is>
      </c>
      <c r="C4" s="379" t="inlineStr">
        <is>
          <t>中文名</t>
        </is>
      </c>
      <c r="D4" s="379" t="inlineStr">
        <is>
          <t>Prefab路径</t>
        </is>
      </c>
      <c r="E4" s="379" t="inlineStr">
        <is>
          <t>GLB模型路径</t>
        </is>
      </c>
      <c r="F4" s="379" t="inlineStr">
        <is>
          <t>Blender源文件</t>
        </is>
      </c>
      <c r="G4" s="379" t="inlineStr">
        <is>
          <t>功能说明</t>
        </is>
      </c>
      <c r="H4" s="379" t="inlineStr">
        <is>
          <t>功能脚本路径</t>
        </is>
      </c>
      <c r="I4" s="379" t="inlineStr">
        <is>
          <t>碰撞开关</t>
        </is>
      </c>
      <c r="J4" s="379" t="inlineStr">
        <is>
          <t>碰撞归属</t>
        </is>
      </c>
      <c r="K4" s="379" t="inlineStr">
        <is>
          <t>碰撞方式</t>
        </is>
      </c>
      <c r="L4" s="379" t="inlineStr">
        <is>
          <t>标准尺寸</t>
        </is>
      </c>
      <c r="M4" s="379" t="inlineStr">
        <is>
          <t>原点与朝向</t>
        </is>
      </c>
      <c r="N4" s="379" t="inlineStr">
        <is>
          <t>使用位置</t>
        </is>
      </c>
      <c r="O4" s="379" t="inlineStr">
        <is>
          <t>制作状态</t>
        </is>
      </c>
      <c r="P4" s="380" t="inlineStr">
        <is>
          <t>版本</t>
        </is>
      </c>
      <c r="Q4" s="389" t="inlineStr">
        <is>
          <t>备注</t>
        </is>
      </c>
    </row>
    <row r="5" ht="66" customHeight="1">
      <c r="A5" s="381" t="inlineStr">
        <is>
          <t>▼ 00 特效套件（老形态）</t>
        </is>
      </c>
      <c r="B5" s="382" t="n"/>
      <c r="C5" s="382" t="n"/>
      <c r="D5" s="382" t="n"/>
      <c r="E5" s="382" t="n"/>
      <c r="F5" s="382" t="n"/>
      <c r="G5" s="382" t="n"/>
      <c r="H5" s="382" t="n"/>
      <c r="I5" s="382" t="n"/>
      <c r="J5" s="382" t="n"/>
      <c r="K5" s="382" t="n"/>
      <c r="L5" s="382" t="n"/>
      <c r="M5" s="382" t="n"/>
      <c r="N5" s="382" t="n"/>
      <c r="O5" s="382" t="n"/>
      <c r="P5" s="383" t="n"/>
      <c r="Q5" s="388" t="n"/>
    </row>
    <row r="6" ht="66" customHeight="1">
      <c r="A6" s="390" t="inlineStr">
        <is>
          <t>FX00-01</t>
        </is>
      </c>
      <c r="B6" s="192" t="inlineStr">
        <is>
          <t>VFX-COMBAT-KIT-3D</t>
        </is>
      </c>
      <c r="C6" s="192" t="inlineStr">
        <is>
          <t>战斗反馈3D通用特效套件</t>
        </is>
      </c>
      <c r="D6" s="192" t="inlineStr">
        <is>
          <t>assets/art/vfx/combat_3d/vfx_combat_kit_root_top3d_v001.tscn</t>
        </is>
      </c>
      <c r="E6" s="192" t="n"/>
      <c r="F6" s="192" t="n"/>
      <c r="G6" s="192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192" t="inlineStr">
        <is>
          <t>src/combat3d/CombatEffect3D.gd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无</t>
        </is>
      </c>
      <c r="L6" s="192" t="inlineStr">
        <is>
          <t>PackedScene/参数化特效</t>
        </is>
      </c>
      <c r="M6" s="192" t="inlineStr">
        <is>
          <t>未声明</t>
        </is>
      </c>
      <c r="N6" s="192" t="inlineStr">
        <is>
          <t>枪械/近战/敌人/关卡</t>
        </is>
      </c>
      <c r="O6" s="192" t="inlineStr">
        <is>
          <t>老 · 待拆分</t>
        </is>
      </c>
      <c r="P6" s="193" t="inlineStr">
        <is>
          <t>v001</t>
        </is>
      </c>
      <c r="Q6" t="inlineStr">
        <is>
          <t>老形态·保留为过渡；待 14.6 §6 迁移完成后删除</t>
        </is>
      </c>
    </row>
    <row r="7" ht="66" customHeight="1">
      <c r="A7" s="384" t="inlineStr">
        <is>
          <t>▼ 01 战斗反馈</t>
        </is>
      </c>
      <c r="B7" s="385" t="n"/>
      <c r="C7" s="385" t="n"/>
      <c r="D7" s="385" t="n"/>
      <c r="E7" s="385" t="n"/>
      <c r="F7" s="385" t="n"/>
      <c r="G7" s="385" t="n"/>
      <c r="H7" s="385" t="n"/>
      <c r="I7" s="385" t="n"/>
      <c r="J7" s="385" t="n"/>
      <c r="K7" s="385" t="n"/>
      <c r="L7" s="385" t="n"/>
      <c r="M7" s="385" t="n"/>
      <c r="N7" s="385" t="n"/>
      <c r="O7" s="385" t="n"/>
      <c r="P7" s="386" t="n"/>
      <c r="Q7" s="388" t="n"/>
    </row>
    <row r="8">
      <c r="A8" s="391" t="inlineStr">
        <is>
          <t>FX01-01</t>
        </is>
      </c>
      <c r="B8" t="inlineStr">
        <is>
          <t>VFX-MUZZLE-FLASH-3D</t>
        </is>
      </c>
      <c r="C8" t="inlineStr">
        <is>
          <t>枪口火光特效</t>
        </is>
      </c>
      <c r="D8" t="inlineStr">
        <is>
          <t>assets/art/vfx/combat_3d/vfx_muzzle_flash_root_top3d_v001.tscn</t>
        </is>
      </c>
      <c r="G8" t="inlineStr">
        <is>
          <t>枪械/投射物开火时的瞬时火光；SphereMesh 闪核 + TorusMesh 环；参数 effect_color（火焰色）/ effect_size（火光强度）。</t>
        </is>
      </c>
      <c r="H8" t="inlineStr">
        <is>
          <t>src/vfx/VfxMuzzleFlash3D.gd</t>
        </is>
      </c>
      <c r="I8" t="inlineStr">
        <is>
          <t>无</t>
        </is>
      </c>
      <c r="J8" t="inlineStr">
        <is>
          <t>无</t>
        </is>
      </c>
      <c r="K8" t="inlineStr">
        <is>
          <t>无</t>
        </is>
      </c>
      <c r="L8" t="inlineStr">
        <is>
          <t>约 0.18m 半径；lifetime 0.12s</t>
        </is>
      </c>
      <c r="M8" t="inlineStr">
        <is>
          <t>原点=根节点中心；朝向=local -Z 正面</t>
        </is>
      </c>
      <c r="N8" t="inlineStr">
        <is>
          <t>枪械开火（远程 7 枪）</t>
        </is>
      </c>
      <c r="O8" t="inlineStr">
        <is>
          <t>完成</t>
        </is>
      </c>
      <c r="P8" t="inlineStr">
        <is>
          <t>v001</t>
        </is>
      </c>
      <c r="Q8" t="inlineStr">
        <is>
          <t>已实装；Prefab=assets/art/vfx/combat_3d/vfx_muzzle_flash_root_top3d_v001.tscn + 脚本=src/vfx/VfxMuzzleFlash3D.gd；根节点=VfxMuzzleFlash3D(Node3D)；FX编号 FX01-01；调用方：PlayerMeleeCombat3D/Enemy3D 经 VfxPool3D 路由</t>
        </is>
      </c>
    </row>
    <row r="9">
      <c r="A9" s="391" t="inlineStr">
        <is>
          <t>FX01-02</t>
        </is>
      </c>
      <c r="B9" s="388" t="inlineStr">
        <is>
          <t>VFX-IMPACT-3D</t>
        </is>
      </c>
      <c r="C9" s="388" t="inlineStr">
        <is>
          <t>通用命中特效</t>
        </is>
      </c>
      <c r="D9" s="388" t="inlineStr">
        <is>
          <t>assets/art/vfx/combat_3d/vfx_impact_root_top3d_v001.tscn</t>
        </is>
      </c>
      <c r="E9" s="388" t="n"/>
      <c r="F9" s="388" t="n"/>
      <c r="G9" s="388" t="inlineStr">
        <is>
          <t>子弹/投射物命中目标时的爆点；SphereMesh 核心 + TorusMesh 环；参数 effect_color（命中火花色）/ effect_size（爆点半径）。</t>
        </is>
      </c>
      <c r="H9" s="388" t="inlineStr">
        <is>
          <t>src/vfx/VfxImpact3D.gd</t>
        </is>
      </c>
      <c r="I9" s="388" t="inlineStr">
        <is>
          <t>无</t>
        </is>
      </c>
      <c r="J9" s="388" t="inlineStr">
        <is>
          <t>无</t>
        </is>
      </c>
      <c r="K9" s="388" t="inlineStr">
        <is>
          <t>无</t>
        </is>
      </c>
      <c r="L9" s="388" t="inlineStr">
        <is>
          <t>约 0.16m 核心；lifetime 0.24s</t>
        </is>
      </c>
      <c r="M9" s="388" t="inlineStr">
        <is>
          <t>原点=根节点中心；朝向=local -Z 正面</t>
        </is>
      </c>
      <c r="N9" s="388" t="inlineStr">
        <is>
          <t>子弹/投射物命中通用</t>
        </is>
      </c>
      <c r="O9" s="388" t="inlineStr">
        <is>
          <t>完成</t>
        </is>
      </c>
      <c r="P9" s="388" t="inlineStr">
        <is>
          <t>v001</t>
        </is>
      </c>
      <c r="Q9" t="inlineStr">
        <is>
          <t>已实装；Prefab=assets/art/vfx/combat_3d/vfx_impact_root_top3d_v001.tscn + 脚本=src/vfx/VfxImpact3D.gd；根节点=VfxImpact3D(Node3D)；FX编号 FX01-02；调用方：PlayerMeleeCombat3D/Enemy3D 经 VfxPool3D 路由</t>
        </is>
      </c>
    </row>
    <row r="10">
      <c r="A10" s="391" t="inlineStr">
        <is>
          <t>FX01-03</t>
        </is>
      </c>
      <c r="B10" t="inlineStr">
        <is>
          <t>VFX-EXPLOSION-3D</t>
        </is>
      </c>
      <c r="C10" t="inlineStr">
        <is>
          <t>爆炸特效</t>
        </is>
      </c>
      <c r="D10" t="inlineStr">
        <is>
          <t>assets/art/vfx/combat_3d/vfx_explosion_root_top3d_v001.tscn</t>
        </is>
      </c>
      <c r="G10" t="inlineStr">
        <is>
          <t>范围爆炸；1 SphereMesh 核心 + 2 TorusMesh 冲击波环（径向波 + 二次环）；参数 effect_color / effect_size。</t>
        </is>
      </c>
      <c r="H10" t="inlineStr">
        <is>
          <t>src/vfx/VfxExplosion3D.gd</t>
        </is>
      </c>
      <c r="I10" t="inlineStr">
        <is>
          <t>无</t>
        </is>
      </c>
      <c r="J10" t="inlineStr">
        <is>
          <t>无</t>
        </is>
      </c>
      <c r="K10" t="inlineStr">
        <is>
          <t>无</t>
        </is>
      </c>
      <c r="L10" t="inlineStr">
        <is>
          <t>约 0.42m 核心 → 0.82m 外环；lifetime 0.46s</t>
        </is>
      </c>
      <c r="M10" t="inlineStr">
        <is>
          <t>原点=根节点中心；朝向=local -Z 正面</t>
        </is>
      </c>
      <c r="N10" t="inlineStr">
        <is>
          <t>爆炸弹/范围武器</t>
        </is>
      </c>
      <c r="O10" t="inlineStr">
        <is>
          <t>完成</t>
        </is>
      </c>
      <c r="P10" t="inlineStr">
        <is>
          <t>v001</t>
        </is>
      </c>
      <c r="Q10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>
      <c r="A11" s="391" t="inlineStr">
        <is>
          <t>FX01-04</t>
        </is>
      </c>
      <c r="B11" t="inlineStr">
        <is>
          <t>VFX-MELEE-SLASH-3D</t>
        </is>
      </c>
      <c r="C11" t="inlineStr">
        <is>
          <t>近战挥砍弧特效</t>
        </is>
      </c>
      <c r="D11" t="inlineStr">
        <is>
          <t>assets/art/vfx/combat_3d/vfx_melee_slash_root_top3d_v001.tscn</t>
        </is>
      </c>
      <c r="G11" t="inlineStr">
        <is>
          <t>近战挥砍时的弧光；SurfaceTool 自定义三角扇形 + 顶点 alpha 渐隐；连段 1/2/3 通过 effect_size 和方向区分。</t>
        </is>
      </c>
      <c r="H11" t="inlineStr">
        <is>
          <t>src/vfx/VfxMeleeSlash3D.gd</t>
        </is>
      </c>
      <c r="I11" t="inlineStr">
        <is>
          <t>无</t>
        </is>
      </c>
      <c r="J11" t="inlineStr">
        <is>
          <t>无</t>
        </is>
      </c>
      <c r="K11" t="inlineStr">
        <is>
          <t>无</t>
        </is>
      </c>
      <c r="L11" t="inlineStr">
        <is>
          <t>内径 0.78m / 外径 1.42m；lifetime 0.28s</t>
        </is>
      </c>
      <c r="M11" t="inlineStr">
        <is>
          <t>原点=根节点中心；朝向=local -Z 正面</t>
        </is>
      </c>
      <c r="N11" t="inlineStr">
        <is>
          <t>棒球棍/巨刃/战斧挥砍（近战 3 武器）</t>
        </is>
      </c>
      <c r="O11" t="inlineStr">
        <is>
          <t>完成</t>
        </is>
      </c>
      <c r="P11" t="inlineStr">
        <is>
          <t>v001</t>
        </is>
      </c>
      <c r="Q1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>
      <c r="A12" s="391" t="inlineStr">
        <is>
          <t>FX01-05</t>
        </is>
      </c>
      <c r="B12" t="inlineStr">
        <is>
          <t>VFX-MELEE-IMPACT-3D</t>
        </is>
      </c>
      <c r="C12" t="inlineStr">
        <is>
          <t>近战命中爆点特效</t>
        </is>
      </c>
      <c r="D12" t="inlineStr">
        <is>
          <t>assets/art/vfx/combat_3d/vfx_melee_impact_root_top3d_v001.tscn</t>
        </is>
      </c>
      <c r="G12" t="inlineStr">
        <is>
          <t>近战命中目标时的爆点；1 SphereMesh 核心 + 2 TorusMesh 环 + 6 BoxMesh 飞散碎片；逐目标独立爆点。</t>
        </is>
      </c>
      <c r="H12" t="inlineStr">
        <is>
          <t>src/vfx/VfxMeleeImpact3D.gd</t>
        </is>
      </c>
      <c r="I12" t="inlineStr">
        <is>
          <t>无</t>
        </is>
      </c>
      <c r="J12" t="inlineStr">
        <is>
          <t>无</t>
        </is>
      </c>
      <c r="K12" t="inlineStr">
        <is>
          <t>无</t>
        </is>
      </c>
      <c r="L12" t="inlineStr">
        <is>
          <t>约 0.19m 核心；lifetime 0.32s</t>
        </is>
      </c>
      <c r="M12" t="inlineStr">
        <is>
          <t>原点=根节点中心；朝向=local -Z 正面</t>
        </is>
      </c>
      <c r="N12" t="inlineStr">
        <is>
          <t>近战命中爆点（连段 1/2/3 各 1 次）</t>
        </is>
      </c>
      <c r="O12" t="inlineStr">
        <is>
          <t>完成</t>
        </is>
      </c>
      <c r="P12" t="inlineStr">
        <is>
          <t>v001</t>
        </is>
      </c>
      <c r="Q12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>
      <c r="A13" s="387" t="inlineStr">
        <is>
          <t>▼ 02 受击飘字</t>
        </is>
      </c>
      <c r="B13" s="388" t="n"/>
      <c r="C13" s="388" t="n"/>
      <c r="D13" s="388" t="n"/>
      <c r="E13" s="388" t="n"/>
      <c r="F13" s="388" t="n"/>
      <c r="G13" s="388" t="n"/>
      <c r="H13" s="388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</row>
    <row r="14">
      <c r="A14" s="391" t="inlineStr">
        <is>
          <t>FX02-01</t>
        </is>
      </c>
      <c r="B14" t="inlineStr">
        <is>
          <t>VFX-DAMAGE-NUMBER-3D</t>
        </is>
      </c>
      <c r="C14" t="inlineStr">
        <is>
          <t>伤害数字飘字特效</t>
        </is>
      </c>
      <c r="D14" t="inlineStr">
        <is>
          <t>assets/art/vfx/combat_3d/vfx_damage_number_root_top3d_v001.tscn</t>
        </is>
      </c>
      <c r="G14" t="inlineStr">
        <is>
          <t>受击伤害数字上升飘字；Label3D + 黑边 + 颜色编码（红/橙/暴击金）；参数 effect_color + context.text_value。</t>
        </is>
      </c>
      <c r="H14" t="inlineStr">
        <is>
          <t>src/vfx/VfxDamageNumber3D.gd</t>
        </is>
      </c>
      <c r="I14" t="inlineStr">
        <is>
          <t>无</t>
        </is>
      </c>
      <c r="J14" t="inlineStr">
        <is>
          <t>无</t>
        </is>
      </c>
      <c r="K14" t="inlineStr">
        <is>
          <t>无</t>
        </is>
      </c>
      <c r="L14" t="inlineStr">
        <is>
          <t>Label3D pixel_size=0.010；lifetime 0.72s</t>
        </is>
      </c>
      <c r="M14" t="inlineStr">
        <is>
          <t>原点=根节点中心；朝向=local -Z 正面</t>
        </is>
      </c>
      <c r="N14" t="inlineStr">
        <is>
          <t>玩家/敌人受击伤害显示</t>
        </is>
      </c>
      <c r="O14" t="inlineStr">
        <is>
          <t>完成</t>
        </is>
      </c>
      <c r="P14" t="inlineStr">
        <is>
          <t>v001</t>
        </is>
      </c>
      <c r="Q14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5">
      <c r="A15" s="391" t="inlineStr">
        <is>
          <t>FX02-02</t>
        </is>
      </c>
      <c r="B15" t="inlineStr">
        <is>
          <t>VFX-HEAL-NUMBER-3D</t>
        </is>
      </c>
      <c r="C15" t="inlineStr">
        <is>
          <t>治疗数字飘字特效</t>
        </is>
      </c>
      <c r="D15" t="inlineStr">
        <is>
          <t>assets/art/vfx/combat_3d/vfx_heal_number_root_top3d_v001.tscn</t>
        </is>
      </c>
      <c r="G15" t="inlineStr">
        <is>
          <t>治疗/恢复数字上升飘字；Label3D + 绿色调（+ 白色描边）；参数 context.text_value。</t>
        </is>
      </c>
      <c r="H15" t="inlineStr">
        <is>
          <t>src/vfx/VfxHealNumber3D.gd</t>
        </is>
      </c>
      <c r="I15" t="inlineStr">
        <is>
          <t>无</t>
        </is>
      </c>
      <c r="J15" t="inlineStr">
        <is>
          <t>无</t>
        </is>
      </c>
      <c r="K15" t="inlineStr">
        <is>
          <t>无</t>
        </is>
      </c>
      <c r="L15" t="inlineStr">
        <is>
          <t>Label3D pixel_size=0.010；lifetime 0.72s</t>
        </is>
      </c>
      <c r="M15" t="inlineStr">
        <is>
          <t>原点=根节点中心；朝向=local -Z 正面</t>
        </is>
      </c>
      <c r="N15" t="inlineStr">
        <is>
          <t>玩家/队友治疗显示</t>
        </is>
      </c>
      <c r="O15" t="inlineStr">
        <is>
          <t>完成</t>
        </is>
      </c>
      <c r="P15" t="inlineStr">
        <is>
          <t>v001</t>
        </is>
      </c>
      <c r="Q15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6">
      <c r="A16" s="387" t="inlineStr">
        <is>
          <t>▼ 03 环境场</t>
        </is>
      </c>
      <c r="B16" s="388" t="n"/>
      <c r="C16" s="388" t="n"/>
      <c r="D16" s="388" t="n"/>
      <c r="E16" s="388" t="n"/>
      <c r="F16" s="388" t="n"/>
      <c r="G16" s="388" t="n"/>
      <c r="H16" s="388" t="n"/>
      <c r="I16" s="388" t="n"/>
      <c r="J16" s="388" t="n"/>
      <c r="K16" s="388" t="n"/>
      <c r="L16" s="388" t="n"/>
      <c r="M16" s="388" t="n"/>
      <c r="N16" s="388" t="n"/>
      <c r="O16" s="388" t="n"/>
      <c r="P16" s="388" t="n"/>
      <c r="Q16" s="388" t="n"/>
    </row>
    <row r="17">
      <c r="A17" s="391" t="inlineStr">
        <is>
          <t>FX03-01</t>
        </is>
      </c>
      <c r="B17" t="inlineStr">
        <is>
          <t>VFX-HAZARD-FIELD-3D</t>
        </is>
      </c>
      <c r="C17" t="inlineStr">
        <is>
          <t>房间危险场3D特效</t>
        </is>
      </c>
      <c r="D17" t="inlineStr">
        <is>
          <t>assets/art/vfx/environment_3d/vfx_hazard_field_root_top3d_v001.tscn</t>
        </is>
      </c>
      <c r="G17" t="inlineStr">
        <is>
          <t>房间危险场 Area3D 特效；脚本生成的环形危险区域；触发时产生伤害 + 视觉脉冲。</t>
        </is>
      </c>
      <c r="H17" t="inlineStr">
        <is>
          <t>src/world3d/HazardField3D.gd</t>
        </is>
      </c>
      <c r="I17" t="inlineStr">
        <is>
          <t>开</t>
        </is>
      </c>
      <c r="J17" t="inlineStr">
        <is>
          <t>Prefab自身</t>
        </is>
      </c>
      <c r="K17" t="inlineStr">
        <is>
          <t>脚本生成</t>
        </is>
      </c>
      <c r="L17" t="inlineStr">
        <is>
          <t>PackedScene/程序环形特效</t>
        </is>
      </c>
      <c r="M17" t="inlineStr">
        <is>
          <t>未声明</t>
        </is>
      </c>
      <c r="N17" t="inlineStr">
        <is>
          <t>陷阱房</t>
        </is>
      </c>
      <c r="O17" t="inlineStr">
        <is>
          <t>完成</t>
        </is>
      </c>
      <c r="P17" t="inlineStr">
        <is>
          <t>v001</t>
        </is>
      </c>
      <c r="Q17" t="inlineStr">
        <is>
          <t>已实装；命名待 14.6 §6 迁移时对齐（改名 VfxHazardField3D + 移至 src/vfx/）</t>
        </is>
      </c>
    </row>
    <row r="18">
      <c r="A18" s="387" t="inlineStr">
        <is>
          <t>▼ 04 可见性</t>
        </is>
      </c>
      <c r="B18" s="388" t="n"/>
      <c r="C18" s="388" t="n"/>
      <c r="D18" s="388" t="n"/>
      <c r="E18" s="388" t="n"/>
      <c r="F18" s="388" t="n"/>
      <c r="G18" s="388" t="n"/>
      <c r="H18" s="388" t="n"/>
      <c r="I18" s="388" t="n"/>
      <c r="J18" s="388" t="n"/>
      <c r="K18" s="388" t="n"/>
      <c r="L18" s="388" t="n"/>
      <c r="M18" s="388" t="n"/>
      <c r="N18" s="388" t="n"/>
      <c r="O18" s="388" t="n"/>
      <c r="P18" s="388" t="n"/>
      <c r="Q18" s="388" t="n"/>
    </row>
    <row r="19">
      <c r="A19" s="391" t="inlineStr">
        <is>
          <t>FX04-01</t>
        </is>
      </c>
      <c r="B19" t="inlineStr">
        <is>
          <t>VFX-PLAYER-FLASHLIGHT-3D</t>
        </is>
      </c>
      <c r="C19" t="inlineStr">
        <is>
          <t>玩家真实探照灯组件3D</t>
        </is>
      </c>
      <c r="D19" t="inlineStr">
        <is>
          <t>assets/art/vfx/visibility_3d/vfx_player_flashlight_root_top3d_v001.tscn</t>
        </is>
      </c>
      <c r="G19" t="inlineStr">
        <is>
          <t>玩家真实探照灯 Node3D 组件；2 SpotLight3D + 1 OmniLight3D 组合；3D 行动区/靶场/基地覆盖。</t>
        </is>
      </c>
      <c r="H19" t="inlineStr">
        <is>
          <t>src/player3d/PlayerFlashlight3D.gd</t>
        </is>
      </c>
      <c r="I19" t="inlineStr">
        <is>
          <t>无</t>
        </is>
      </c>
      <c r="J19" t="inlineStr">
        <is>
          <t>无</t>
        </is>
      </c>
      <c r="K19" t="inlineStr">
        <is>
          <t>无</t>
        </is>
      </c>
      <c r="L19" t="inlineStr">
        <is>
          <t>PackedScene/2 SpotLight3D+1 OmniLight3D</t>
        </is>
      </c>
      <c r="M19" t="inlineStr">
        <is>
          <t>未声明</t>
        </is>
      </c>
      <c r="N19" t="inlineStr">
        <is>
          <t>3D行动区/靶场/基地</t>
        </is>
      </c>
      <c r="O19" t="inlineStr">
        <is>
          <t>完成</t>
        </is>
      </c>
      <c r="P19" t="inlineStr">
        <is>
          <t>v001</t>
        </is>
      </c>
      <c r="Q19" t="inlineStr">
        <is>
          <t>已实装；命名待 14.6 §6 迁移时对齐（改名 VfxPlayerFlashlight3D + 移至 src/vfx/）</t>
        </is>
      </c>
    </row>
  </sheetData>
  <mergeCells count="2">
    <mergeCell ref="A2:Q2"/>
    <mergeCell ref="A1:Q1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其他 3D Prefab</t>
        </is>
      </c>
    </row>
    <row r="2" ht="34" customHeight="1">
      <c r="A2" s="250" t="inlineStr">
        <is>
          <t>无法归入以上分类的独立3D Prefab；本次扫描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4" customWidth="1" min="2" max="2"/>
    <col width="36" customWidth="1" min="3" max="3"/>
    <col width="58" customWidth="1" min="4" max="4"/>
    <col width="22" customWidth="1" min="5" max="5"/>
    <col width="34" customWidth="1" min="6" max="6"/>
    <col width="12" customWidth="1" min="7" max="7"/>
    <col width="16" customWidth="1" min="8" max="8"/>
    <col width="14" customWidth="1" min="9" max="9"/>
    <col width="38" customWidth="1" min="10" max="10"/>
  </cols>
  <sheetData>
    <row r="1" ht="28" customHeight="1">
      <c r="A1" s="335" t="inlineStr">
        <is>
          <t>ShellStorm2 · 资产制作与带入 Skill 清单</t>
        </is>
      </c>
    </row>
    <row r="2" ht="24" customHeight="1">
      <c r="A2" s="338" t="inlineStr">
        <is>
          <t>只登记实际使用或项目预备的Skill；项目草稿不等于已安装。</t>
        </is>
      </c>
    </row>
    <row r="4" ht="34" customHeight="1">
      <c r="A4" s="344" t="inlineStr">
        <is>
          <t>SkillID</t>
        </is>
      </c>
      <c r="B4" s="344" t="inlineStr">
        <is>
          <t>名称</t>
        </is>
      </c>
      <c r="C4" s="344" t="inlineStr">
        <is>
          <t>用途</t>
        </is>
      </c>
      <c r="D4" s="344" t="inlineStr">
        <is>
          <t>路径</t>
        </is>
      </c>
      <c r="E4" s="344" t="inlineStr">
        <is>
          <t>安装状态</t>
        </is>
      </c>
      <c r="F4" s="344" t="inlineStr">
        <is>
          <t>触发范围</t>
        </is>
      </c>
      <c r="G4" s="344" t="inlineStr">
        <is>
          <t>版本</t>
        </is>
      </c>
      <c r="H4" s="344" t="inlineStr">
        <is>
          <t>状态</t>
        </is>
      </c>
      <c r="I4" s="344" t="inlineStr">
        <is>
          <t>更新时间</t>
        </is>
      </c>
      <c r="J4" s="344" t="inlineStr">
        <is>
          <t>备注</t>
        </is>
      </c>
    </row>
    <row r="5" ht="56" customHeight="1">
      <c r="A5" s="345" t="inlineStr">
        <is>
          <t>SKILL-SHELLSTORM-ART-ASSETS</t>
        </is>
      </c>
      <c r="B5" s="345" t="inlineStr">
        <is>
          <t>ShellStorm2美术资产管理</t>
        </is>
      </c>
      <c r="C5" s="345" t="inlineStr">
        <is>
          <t>资产分类、命名、查重、登记与QA</t>
        </is>
      </c>
      <c r="D5" s="345" t="inlineStr">
        <is>
          <t>/Users/summercards/.codex/skills/shellstorm-art-assets/SKILL.md</t>
        </is>
      </c>
      <c r="E5" s="345" t="inlineStr">
        <is>
          <t>已安装</t>
        </is>
      </c>
      <c r="F5" s="345" t="inlineStr">
        <is>
          <t>ShellStorm2全类别美术资产</t>
        </is>
      </c>
      <c r="G5" s="345" t="inlineStr">
        <is>
          <t>current</t>
        </is>
      </c>
      <c r="H5" s="345" t="inlineStr">
        <is>
          <t>使用中</t>
        </is>
      </c>
      <c r="I5" s="346" t="n">
        <v>46254</v>
      </c>
      <c r="J5" s="345" t="inlineStr">
        <is>
          <t>项目资产总流程</t>
        </is>
      </c>
    </row>
    <row r="6" ht="56" customHeight="1">
      <c r="A6" s="345" t="inlineStr">
        <is>
          <t>SKILL-BLENDER-GAME-PROP</t>
        </is>
      </c>
      <c r="B6" s="345" t="inlineStr">
        <is>
          <t>Blender游戏资产制作规范</t>
        </is>
      </c>
      <c r="C6" s="345" t="inlineStr">
        <is>
          <t>单物件与模块化建筑制作/验收</t>
        </is>
      </c>
      <c r="D6" s="345" t="inlineStr">
        <is>
          <t>.codex/skills/blender-game-prop-standard/SKILL.md</t>
        </is>
      </c>
      <c r="E6" s="345" t="inlineStr">
        <is>
          <t>项目内已安装</t>
        </is>
      </c>
      <c r="F6" s="345" t="inlineStr">
        <is>
          <t>设施、道具、墙、楼板、楼梯、栏杆</t>
        </is>
      </c>
      <c r="G6" s="345" t="inlineStr">
        <is>
          <t>current</t>
        </is>
      </c>
      <c r="H6" s="345" t="inlineStr">
        <is>
          <t>本轮已迭代</t>
        </is>
      </c>
      <c r="I6" s="346" t="n">
        <v>46262</v>
      </c>
      <c r="J6" s="345" t="inlineStr">
        <is>
          <t>强制场景/设施Blender母版仅外链项目公共色盘；GLB禁止嵌图并启用共享色盘验收。</t>
        </is>
      </c>
    </row>
    <row r="7" ht="56" customHeight="1">
      <c r="A7" s="345" t="inlineStr">
        <is>
          <t>SKILL-GODOT-MODEL-IMPORT</t>
        </is>
      </c>
      <c r="B7" s="345" t="inlineStr">
        <is>
          <t>Godot模型资产导入规范</t>
        </is>
      </c>
      <c r="C7" s="345" t="inlineStr">
        <is>
          <t>GLB、PackedScene、引用替换、台账和验收</t>
        </is>
      </c>
      <c r="D7" s="345" t="inlineStr">
        <is>
          <t>.codex/skills/godot-model-asset-import-standard/SKILL.md</t>
        </is>
      </c>
      <c r="E7" s="345" t="inlineStr">
        <is>
          <t>项目内已安装</t>
        </is>
      </c>
      <c r="F7" s="345" t="inlineStr">
        <is>
          <t>所有3D模型导入与替换</t>
        </is>
      </c>
      <c r="G7" s="345" t="inlineStr">
        <is>
          <t>current</t>
        </is>
      </c>
      <c r="H7" s="345" t="inlineStr">
        <is>
          <t>本轮已迭代</t>
        </is>
      </c>
      <c r="I7" s="346" t="n">
        <v>46262</v>
      </c>
      <c r="J7" s="345" t="inlineStr">
        <is>
          <t>强制场景/设施GLB丢弃嵌入贴图，并由统一后导入脚本绑定公共色盘。</t>
        </is>
      </c>
    </row>
    <row r="8" ht="56" customHeight="1">
      <c r="A8" s="345" t="inlineStr">
        <is>
          <t>SKILL-PLAYER-AVATAR-DRAFT</t>
        </is>
      </c>
      <c r="B8" s="345" t="inlineStr">
        <is>
          <t>玩家角色资产制作与带入规范</t>
        </is>
      </c>
      <c r="C8" s="345" t="inlineStr">
        <is>
          <t>1.5米角色母版、槽位、挂点、换装与导入</t>
        </is>
      </c>
      <c r="D8" s="345" t="inlineStr">
        <is>
          <t>skills_drafts/player-avatar-asset-standard/SKILL.md</t>
        </is>
      </c>
      <c r="E8" s="345" t="inlineStr">
        <is>
          <t>未安装（项目草稿）</t>
        </is>
      </c>
      <c r="F8" s="345" t="inlineStr">
        <is>
          <t>玩家角色与配件</t>
        </is>
      </c>
      <c r="G8" s="345" t="inlineStr">
        <is>
          <t>v001</t>
        </is>
      </c>
      <c r="H8" s="345" t="inlineStr">
        <is>
          <t>预备完成</t>
        </is>
      </c>
      <c r="I8" s="346" t="n">
        <v>46254</v>
      </c>
      <c r="J8" s="345" t="inlineStr">
        <is>
          <t>等待用户未来明确授权后再安装</t>
        </is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16" customWidth="1" min="1" max="1"/>
    <col width="75" customWidth="1" min="2" max="2"/>
    <col width="70" customWidth="1" min="3" max="3"/>
    <col width="12" customWidth="1" min="4" max="4"/>
  </cols>
  <sheetData>
    <row r="1">
      <c r="A1" s="351" t="inlineStr">
        <is>
          <t>角色 v021 模型与动作中转记录</t>
        </is>
      </c>
    </row>
    <row r="2">
      <c r="A2" s="351" t="inlineStr">
        <is>
          <t>状态</t>
        </is>
      </c>
      <c r="B2" s="351" t="inlineStr">
        <is>
          <t>active</t>
        </is>
      </c>
      <c r="C2" s="351" t="inlineStr">
        <is>
          <t>骨架：SKEL-BUNNY01-004</t>
        </is>
      </c>
    </row>
    <row r="3">
      <c r="A3" s="373" t="inlineStr">
        <is>
          <t>文件类型</t>
        </is>
      </c>
      <c r="B3" s="373" t="inlineStr">
        <is>
          <t>相对路径</t>
        </is>
      </c>
      <c r="C3" s="373" t="inlineStr">
        <is>
          <t>SHA-256</t>
        </is>
      </c>
      <c r="D3" s="373" t="inlineStr">
        <is>
          <t>字节数</t>
        </is>
      </c>
    </row>
    <row r="4" ht="65" customHeight="1">
      <c r="A4" s="354" t="inlineStr">
        <is>
          <t>模型母版</t>
        </is>
      </c>
      <c r="B4" s="354" t="inlineStr">
        <is>
          <t>assets/art/characters/player/chr_player_capsule01_3d/variants/bunny01/production/v021/source/model/chr_bunny01_model_v021.blend</t>
        </is>
      </c>
      <c r="C4" s="354" t="inlineStr">
        <is>
          <t>0164fa024715d7b7020094b8e1d2719fd6fde717deba5280f4e5ad4fb9f7f711</t>
        </is>
      </c>
      <c r="D4" s="354" t="n">
        <v>10282728</v>
      </c>
    </row>
    <row r="5" ht="65" customHeight="1">
      <c r="A5" s="354" t="inlineStr">
        <is>
          <t>动作母版</t>
        </is>
      </c>
      <c r="B5" s="354" t="inlineStr">
        <is>
          <t>assets/art/characters/player/chr_player_capsule01_3d/variants/bunny01/production/v021/source/animation/chr_bunny01_animation_v021.blend</t>
        </is>
      </c>
      <c r="C5" s="354" t="inlineStr">
        <is>
          <t>ca60df8d5345ea8a995edd7c65949e08df11ff8b086f645eb7c09097e1f66147</t>
        </is>
      </c>
      <c r="D5" s="354" t="n">
        <v>37574256</v>
      </c>
    </row>
    <row r="6" ht="65" customHeight="1">
      <c r="A6" s="354" t="inlineStr">
        <is>
          <t>导出文件</t>
        </is>
      </c>
      <c r="B6" s="354" t="inlineStr">
        <is>
          <t>assets/art/characters/player/chr_player_capsule01_3d/variants/bunny01/production/v021/exports/chr_bunny01_model_v021.glb</t>
        </is>
      </c>
      <c r="C6" s="354" t="inlineStr">
        <is>
          <t>ded83dc49be4790aec4f6164f9de8b82dde125700a5eea5f323512f0f181bd0f</t>
        </is>
      </c>
      <c r="D6" s="354" t="n">
        <v>8177976</v>
      </c>
    </row>
    <row r="7" ht="65" customHeight="1">
      <c r="A7" s="354" t="inlineStr">
        <is>
          <t>导出文件</t>
        </is>
      </c>
      <c r="B7" s="354" t="inlineStr">
        <is>
          <t>assets/art/characters/player/chr_player_capsule01_3d/variants/bunny01/production/v021/exports/anim_bunny01_library_v021.json</t>
        </is>
      </c>
      <c r="C7" s="354" t="inlineStr">
        <is>
          <t>5d71afb9666e7cef7ca8139ecd7cdd6e5fb0c1c7405b3c90acfb7d6787004d28</t>
        </is>
      </c>
      <c r="D7" s="354" t="n">
        <v>1668137</v>
      </c>
    </row>
    <row r="8" ht="65" customHeight="1">
      <c r="A8" s="354" t="inlineStr">
        <is>
          <t>导出文件</t>
        </is>
      </c>
      <c r="B8" s="354" t="inlineStr">
        <is>
          <t>assets/art/characters/player/chr_player_capsule01_3d/variants/bunny01/production/v021/exports/anim_bunny01_library_v021.glb</t>
        </is>
      </c>
      <c r="C8" s="354" t="inlineStr">
        <is>
          <t>02f4c83218ef563103ea4a8f4b6370fefc041bf3ff9680741546f6dee8af2c72</t>
        </is>
      </c>
      <c r="D8" s="354" t="n">
        <v>580880</v>
      </c>
    </row>
    <row r="9" ht="65" customHeight="1">
      <c r="A9" s="354" t="inlineStr">
        <is>
          <t>导出文件</t>
        </is>
      </c>
      <c r="B9" s="354" t="inlineStr">
        <is>
          <t>assets/art/characters/player/chr_player_capsule01_3d/variants/bunny01/production/v021/exports/chr_bunny01_body_v021.glb</t>
        </is>
      </c>
      <c r="C9" s="354" t="inlineStr">
        <is>
          <t>861c7d454e510d7d50c0459dc9fa5b052af56c473896333a68ab6940ae981b49</t>
        </is>
      </c>
      <c r="D9" s="354" t="n">
        <v>2437308</v>
      </c>
    </row>
    <row r="10" ht="65" customHeight="1">
      <c r="A10" s="354" t="inlineStr">
        <is>
          <t>导出文件</t>
        </is>
      </c>
      <c r="B10" s="354" t="inlineStr">
        <is>
          <t>assets/art/characters/player/chr_player_capsule01_3d/variants/bunny01/production/v021/exports/chr_bunny01_head_v021.glb</t>
        </is>
      </c>
      <c r="C10" s="354" t="inlineStr">
        <is>
          <t>f654754b8a52cbd173597bd5f1e390a900bd0c2b0ed4ba357a8060542d51fda5</t>
        </is>
      </c>
      <c r="D10" s="354" t="n">
        <v>1356048</v>
      </c>
    </row>
    <row r="11" ht="65" customHeight="1">
      <c r="A11" s="354" t="inlineStr">
        <is>
          <t>导出文件</t>
        </is>
      </c>
      <c r="B11" s="354" t="inlineStr">
        <is>
          <t>assets/art/characters/player/chr_player_capsule01_3d/variants/bunny01/production/v021/exports/chr_bunny01_chibi_anime_v021.glb</t>
        </is>
      </c>
      <c r="C11" s="354" t="inlineStr">
        <is>
          <t>d83d016304df67eeff0f1222e3f4be19baef05437e7cbdca6f60a4842b26f5ec</t>
        </is>
      </c>
      <c r="D11" s="354" t="n">
        <v>2524432</v>
      </c>
    </row>
    <row r="12" ht="65" customHeight="1">
      <c r="A12" s="354" t="inlineStr">
        <is>
          <t>导出文件</t>
        </is>
      </c>
      <c r="B12" s="354" t="inlineStr">
        <is>
          <t>assets/art/characters/player/chr_player_capsule01_3d/variants/bunny01/production/v021/exports/chr_bunny01_hand_l_v021.glb</t>
        </is>
      </c>
      <c r="C12" s="354" t="inlineStr">
        <is>
          <t>eb021c9f0858a3b6bc5012551db2424cbc44baa0f769d6365fde780df4b8058c</t>
        </is>
      </c>
      <c r="D12" s="354" t="n">
        <v>186356</v>
      </c>
    </row>
    <row r="13" ht="65" customHeight="1">
      <c r="A13" s="354" t="inlineStr">
        <is>
          <t>导出文件</t>
        </is>
      </c>
      <c r="B13" s="354" t="inlineStr">
        <is>
          <t>assets/art/characters/player/chr_player_capsule01_3d/variants/bunny01/production/v021/exports/chr_bunny01_hand_r_v021.glb</t>
        </is>
      </c>
      <c r="C13" s="354" t="inlineStr">
        <is>
          <t>ceaf3366cd4fa1887c3e897608052419120f2e4887003f48871b1fdea71f5cfb</t>
        </is>
      </c>
      <c r="D13" s="354" t="n">
        <v>186356</v>
      </c>
    </row>
    <row r="14" ht="65" customHeight="1">
      <c r="A14" s="354" t="inlineStr">
        <is>
          <t>导出文件</t>
        </is>
      </c>
      <c r="B14" s="354" t="inlineStr">
        <is>
          <t>assets/art/characters/player/chr_player_capsule01_3d/variants/bunny01/production/v021/exports/chr_bunny01_foot_l_v021.glb</t>
        </is>
      </c>
      <c r="C14" s="354" t="inlineStr">
        <is>
          <t>60617a88b9659d9c4dba5884ed68314ff1e503a80df0ff5b35d63f8578b6b60a</t>
        </is>
      </c>
      <c r="D14" s="354" t="n">
        <v>1833688</v>
      </c>
    </row>
    <row r="15" ht="65" customHeight="1">
      <c r="A15" s="354" t="inlineStr">
        <is>
          <t>导出文件</t>
        </is>
      </c>
      <c r="B15" s="354" t="inlineStr">
        <is>
          <t>assets/art/characters/player/chr_player_capsule01_3d/variants/bunny01/production/v021/exports/chr_bunny01_foot_r_v021.glb</t>
        </is>
      </c>
      <c r="C15" s="354" t="inlineStr">
        <is>
          <t>8509a8e959a7d427b4ee168d8585fb2d09ca01cbbf8c83601d8d5c46fe22e7a7</t>
        </is>
      </c>
      <c r="D15" s="354" t="n">
        <v>1833692</v>
      </c>
    </row>
    <row r="16" ht="65" customHeight="1">
      <c r="A16" s="354" t="inlineStr">
        <is>
          <t>导出文件</t>
        </is>
      </c>
      <c r="B16" s="354" t="inlineStr">
        <is>
          <t>assets/art/characters/player/chr_player_capsule01_3d/variants/bunny01/production/v021/exports/chr_bunny01_ear_l_v021.glb</t>
        </is>
      </c>
      <c r="C16" s="354" t="inlineStr">
        <is>
          <t>0936a7e3212554eddf48af62704649b6a6c98a67b56b180ed2e802bc97a1fc7c</t>
        </is>
      </c>
      <c r="D16" s="354" t="n">
        <v>979276</v>
      </c>
    </row>
    <row r="17" ht="65" customHeight="1">
      <c r="A17" s="354" t="inlineStr">
        <is>
          <t>导出文件</t>
        </is>
      </c>
      <c r="B17" s="354" t="inlineStr">
        <is>
          <t>assets/art/characters/player/chr_player_capsule01_3d/variants/bunny01/production/v021/exports/chr_bunny01_ear_r_v021.glb</t>
        </is>
      </c>
      <c r="C17" s="354" t="inlineStr">
        <is>
          <t>7719ba73dec977951da3edf997752ba5afcf4a1c9f8b2bc8dd5ad8a78381b208</t>
        </is>
      </c>
      <c r="D17" s="354" t="n">
        <v>979268</v>
      </c>
    </row>
    <row r="18" ht="65" customHeight="1">
      <c r="A18" s="354" t="n"/>
      <c r="B18" s="354" t="n"/>
      <c r="C18" s="354" t="n"/>
      <c r="D18" s="354" t="n"/>
    </row>
    <row r="19" ht="65" customHeight="1">
      <c r="A19" s="354" t="n"/>
      <c r="B19" s="354" t="n"/>
      <c r="C19" s="354" t="n"/>
      <c r="D19" s="354" t="n"/>
    </row>
    <row r="20" ht="65" customHeight="1">
      <c r="A20" s="354" t="n"/>
      <c r="B20" s="354" t="n"/>
      <c r="C20" s="354" t="n"/>
      <c r="D20" s="354" t="n"/>
    </row>
    <row r="21" ht="65" customHeight="1">
      <c r="A21" s="354" t="n"/>
      <c r="B21" s="354" t="n"/>
      <c r="C21" s="354" t="n"/>
      <c r="D21" s="354" t="n"/>
    </row>
    <row r="22" ht="65" customHeight="1">
      <c r="A22" s="354" t="n"/>
      <c r="B22" s="354" t="n"/>
      <c r="C22" s="354" t="n"/>
      <c r="D22" s="354" t="n"/>
    </row>
    <row r="23" ht="65" customHeight="1">
      <c r="A23" s="354" t="n"/>
      <c r="B23" s="354" t="n"/>
      <c r="C23" s="354" t="n"/>
      <c r="D23" s="354" t="n"/>
    </row>
    <row r="24" ht="65" customHeight="1">
      <c r="A24" s="354" t="n"/>
      <c r="B24" s="354" t="n"/>
      <c r="C24" s="354" t="n"/>
      <c r="D24" s="354" t="n"/>
    </row>
    <row r="25" ht="65" customHeight="1">
      <c r="A25" s="354" t="n"/>
      <c r="B25" s="354" t="n"/>
      <c r="C25" s="354" t="n"/>
      <c r="D25" s="354" t="n"/>
    </row>
    <row r="26" ht="65" customHeight="1">
      <c r="A26" s="354" t="n"/>
      <c r="B26" s="354" t="n"/>
      <c r="C26" s="354" t="n"/>
      <c r="D26" s="354" t="n"/>
    </row>
    <row r="27" ht="65" customHeight="1">
      <c r="A27" s="354" t="n"/>
      <c r="B27" s="354" t="n"/>
      <c r="C27" s="354" t="n"/>
      <c r="D27" s="354" t="n"/>
    </row>
    <row r="28" ht="65" customHeight="1">
      <c r="A28" s="354" t="n"/>
      <c r="B28" s="354" t="n"/>
      <c r="C28" s="354" t="n"/>
      <c r="D28" s="354" t="n"/>
    </row>
    <row r="29" ht="65" customHeight="1">
      <c r="A29" s="354" t="n"/>
      <c r="B29" s="354" t="n"/>
      <c r="C29" s="354" t="n"/>
      <c r="D29" s="354" t="n"/>
    </row>
    <row r="30" ht="65" customHeight="1">
      <c r="A30" s="354" t="n"/>
      <c r="B30" s="354" t="n"/>
      <c r="C30" s="354" t="n"/>
      <c r="D30" s="354" t="n"/>
    </row>
  </sheetData>
  <mergeCells count="2">
    <mergeCell ref="A1:D1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2026-09-10T11:24:10Z</dcterms:created>
  <dcterms:modified xsi:type="dcterms:W3CDTF">2026-09-11T09:32:39Z</dcterms:modified>
</cp:coreProperties>
</file>