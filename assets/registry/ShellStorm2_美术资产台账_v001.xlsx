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97c463b2be4b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6479236688e4a35"/>
    <x:sheet xmlns:r="http://schemas.openxmlformats.org/officeDocument/2006/relationships" name="资产主表" sheetId="2" r:id="Rce3b18a56dc94948"/>
    <x:sheet xmlns:r="http://schemas.openxmlformats.org/officeDocument/2006/relationships" name="角色组件" sheetId="3" r:id="Rf338650557d94cb0"/>
    <x:sheet xmlns:r="http://schemas.openxmlformats.org/officeDocument/2006/relationships" name="动画与状态" sheetId="4" r:id="Rbc845000e62e489a"/>
    <x:sheet xmlns:r="http://schemas.openxmlformats.org/officeDocument/2006/relationships" name="分类与编码" sheetId="5" r:id="R3dce54b2fe5c47a4"/>
    <x:sheet xmlns:r="http://schemas.openxmlformats.org/officeDocument/2006/relationships" name="命名与查重" sheetId="6" r:id="Rc831b419f7ea4426"/>
    <x:sheet xmlns:r="http://schemas.openxmlformats.org/officeDocument/2006/relationships" name="原型角色" sheetId="7" r:id="Rf2b614d2fec84cd8"/>
    <x:sheet xmlns:r="http://schemas.openxmlformats.org/officeDocument/2006/relationships" name="版本记录" sheetId="8" r:id="R20deda5459a444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</x:fills>
  <x:borders count="8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23" fillId="24" borderId="0" xfId="0" applyNumberFormat="1" applyFont="1" applyFill="1" applyBorder="1"/>
    <x:xf numFmtId="0" fontId="23" fillId="24" borderId="6" xfId="0" applyNumberFormat="1" applyFont="1" applyFill="1" applyBorder="1"/>
    <x:xf numFmtId="0" fontId="23" fillId="24" borderId="6" xfId="0" applyNumberFormat="1" applyFont="1" applyFill="1" applyBorder="1" applyAlignment="1">
      <x:alignment wrapText="1"/>
    </x:xf>
    <x:xf numFmtId="0" fontId="23" fillId="24" borderId="6" xfId="0" applyNumberFormat="1" applyFont="1" applyFill="1" applyBorder="1" applyAlignment="1">
      <x:alignment vertical="center" wrapText="1"/>
    </x:xf>
    <x:xf numFmtId="0" fontId="23" fillId="25" borderId="6" xfId="0" applyNumberFormat="1" applyFont="1" applyFill="1" applyBorder="1" applyAlignment="1">
      <x:alignment vertical="center" wrapText="1"/>
    </x:xf>
    <x:xf numFmtId="0" fontId="24" fillId="25" borderId="6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4" fillId="26" borderId="7" xfId="0" applyNumberFormat="1" applyFont="1" applyFill="1" applyBorder="1" applyAlignment="1">
      <x:alignment vertical="center" wrapText="1"/>
    </x:xf>
    <x:xf numFmtId="0" fontId="23" fillId="26" borderId="6" xfId="0" applyNumberFormat="1" applyFont="1" applyFill="1" applyBorder="1" applyAlignment="1">
      <x:alignment vertical="center" wrapText="1"/>
    </x:xf>
    <x:xf numFmtId="0" fontId="25" fillId="26" borderId="7" xfId="0" applyNumberFormat="1" applyFont="1" applyFill="1" applyBorder="1" applyAlignment="1">
      <x:alignment vertical="center" wrapText="1"/>
    </x:xf>
    <x:xf numFmtId="0" fontId="25" fillId="26" borderId="6" xfId="0" applyNumberFormat="1" applyFont="1" applyFill="1" applyBorder="1" applyAlignment="1">
      <x:alignment vertical="center" wrapText="1"/>
    </x:xf>
    <x:xf numFmtId="0" fontId="25" fillId="27" borderId="6" xfId="0" applyNumberFormat="1" applyFont="1" applyFill="1" applyBorder="1" applyAlignment="1">
      <x:alignment vertical="center" wrapText="1"/>
    </x:xf>
    <x:xf numFmtId="0" fontId="24" fillId="27" borderId="6" xfId="0" applyNumberFormat="1" applyFont="1" applyFill="1" applyBorder="1" applyAlignment="1">
      <x:alignment vertical="center" wrapText="1"/>
    </x:xf>
    <x:xf numFmtId="0" fontId="24" fillId="27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ce4c0f53064937" /><Relationship Type="http://schemas.openxmlformats.org/officeDocument/2006/relationships/theme" Target="/xl/theme/theme1.xml" Id="R0f912cc0e0b648fb" /><Relationship Type="http://schemas.openxmlformats.org/officeDocument/2006/relationships/sharedStrings" Target="/xl/sharedStrings.xml" Id="R372d3478e9194073" /><Relationship Type="http://schemas.openxmlformats.org/officeDocument/2006/relationships/worksheet" Target="/xl/worksheets/sheet1.xml" Id="R76479236688e4a35" /><Relationship Type="http://schemas.openxmlformats.org/officeDocument/2006/relationships/worksheet" Target="/xl/worksheets/sheet2.xml" Id="Rce3b18a56dc94948" /><Relationship Type="http://schemas.openxmlformats.org/officeDocument/2006/relationships/worksheet" Target="/xl/worksheets/sheet3.xml" Id="Rf338650557d94cb0" /><Relationship Type="http://schemas.openxmlformats.org/officeDocument/2006/relationships/worksheet" Target="/xl/worksheets/sheet4.xml" Id="Rbc845000e62e489a" /><Relationship Type="http://schemas.openxmlformats.org/officeDocument/2006/relationships/worksheet" Target="/xl/worksheets/sheet5.xml" Id="R3dce54b2fe5c47a4" /><Relationship Type="http://schemas.openxmlformats.org/officeDocument/2006/relationships/worksheet" Target="/xl/worksheets/sheet6.xml" Id="Rc831b419f7ea4426" /><Relationship Type="http://schemas.openxmlformats.org/officeDocument/2006/relationships/worksheet" Target="/xl/worksheets/sheet7.xml" Id="Rf2b614d2fec84cd8" /><Relationship Type="http://schemas.openxmlformats.org/officeDocument/2006/relationships/worksheet" Target="/xl/worksheets/sheet8.xml" Id="R20deda5459a44404" /><Relationship Type="http://schemas.microsoft.com/office/2017/10/relationships/person" Target="/xl/persons/person.xml" Id="R0d857781cdb54660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05cc8c5bb994aa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200</x:v>
      </x:c>
      <x:c r="B6" s="43"/>
      <x:c r="C6" s="45" t="n">
        <x:f>COUNTIF('资产主表'!$K$6:$K$205,"已完成")+COUNTIF('资产主表'!$K$6:$K$205,"原型已接入")</x:f>
        <x:v>99</x:v>
      </x:c>
      <x:c r="D6" s="43"/>
      <x:c r="E6" s="45" t="n">
        <x:f>COUNTIF('资产主表'!$K$6:$K$205,"待制作")+COUNTIF('资产主表'!$K$6:$K$205,"程序占位")</x:f>
        <x:v>91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32</x:v>
      </x:c>
      <x:c r="C10" s="50" t="n">
        <x:f>COUNTIFS('资产主表'!$C$6:$C$205,A10,'资产主表'!$K$6:$K$205,"已完成")+COUNTIFS('资产主表'!$C$6:$C$205,A10,'资产主表'!$K$6:$K$205,"原型已接入")</x:f>
        <x:v>26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7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17</x:v>
      </x:c>
      <x:c r="C16" s="52" t="n">
        <x:f>COUNTIFS('资产主表'!$C$6:$C$205,A16,'资产主表'!$K$6:$K$205,"已完成")+COUNTIFS('资产主表'!$C$6:$C$205,A16,'资产主表'!$K$6:$K$205,"原型已接入")</x:f>
        <x:v>6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44</x:v>
      </x:c>
      <x:c r="C18" s="52" t="n">
        <x:f>COUNTIFS('资产主表'!$C$6:$C$205,A18,'资产主表'!$K$6:$K$205,"已完成")+COUNTIFS('资产主表'!$C$6:$C$205,A18,'资产主表'!$K$6:$K$205,"原型已接入")</x:f>
        <x:v>32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俯视3D</x:v>
      </x:c>
      <x:c r="I6" s="36" t="str">
        <x:v>default</x:v>
      </x:c>
      <x:c r="J6" s="36" t="str">
        <x:v>正式3D玩家</x:v>
      </x:c>
      <x:c r="K6" s="36" t="str">
        <x:v>原型已接入</x:v>
      </x:c>
      <x:c r="L6" s="36" t="str">
        <x:v>P0</x:v>
      </x:c>
      <x:c r="M6" s="36" t="str">
        <x:v>v006</x:v>
      </x:c>
      <x:c r="N6" s="36" t="str">
        <x:v>稳定逻辑身份；当前表现约1.5m高</x:v>
      </x:c>
      <x:c r="O6" s="36" t="str">
        <x:v>assets/art/characters/player/chr_player_capsule01_3d/variants/bunny01/chr_player_capsule01_bunny01_root_top3d_v006.tscn</x:v>
      </x:c>
      <x:c r="P6" s="36" t="str">
        <x:v>src/player3d/Player3D.gd; src/player3d/PlayerAvatar3D.gd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角色|player|player_capsule01|root|俯视3d|default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46243</x:v>
      </x:c>
      <x:c r="W6" s="36" t="str">
        <x:v>稳定玩法根 AssetID</x:v>
      </x:c>
      <x:c r="X6" s="36" t="str">
        <x:v>2026-08-09：旧2D胶囊表现已退役并删除；正式表现只使用 CHR-PLY-CAPSULE01-3D-BUNNY01 v006。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deprecated</x:v>
      </x:c>
      <x:c r="J7" s="37" t="str">
        <x:v>单资产</x:v>
      </x:c>
      <x:c r="K7" s="37" t="str">
        <x:v>弃用</x:v>
      </x:c>
      <x:c r="L7" s="37" t="str">
        <x:v>P0</x:v>
      </x:c>
      <x:c r="M7" s="37" t="str">
        <x:v>v001</x:v>
      </x:c>
      <x:c r="N7" s="37" t="str">
        <x:v>28×24 px</x:v>
      </x:c>
      <x:c r="O7" s="37"/>
      <x:c r="P7" s="37"/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46243</x:v>
      </x:c>
      <x:c r="W7" s="37" t="str">
        <x:v>原创/待确认</x:v>
      </x:c>
      <x:c r="X7" s="37" t="str">
        <x:v>2026-08-09：旧2D玩家像素表现文件已从仓库删除；仅保留AssetID/哈希作为历史记录，替代项为 CHR-PLY-CAPSULE01-3D-BUNNY01。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deprecated</x:v>
      </x:c>
      <x:c r="J8" s="37" t="str">
        <x:v>单资产</x:v>
      </x:c>
      <x:c r="K8" s="37" t="str">
        <x:v>弃用</x:v>
      </x:c>
      <x:c r="L8" s="37" t="str">
        <x:v>P0</x:v>
      </x:c>
      <x:c r="M8" s="37" t="str">
        <x:v>v001</x:v>
      </x:c>
      <x:c r="N8" s="37" t="str">
        <x:v>32×35 px</x:v>
      </x:c>
      <x:c r="O8" s="37"/>
      <x:c r="P8" s="37"/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46243</x:v>
      </x:c>
      <x:c r="W8" s="37" t="str">
        <x:v>原创/待确认</x:v>
      </x:c>
      <x:c r="X8" s="37" t="str">
        <x:v>2026-08-09：旧2D玩家像素表现文件已从仓库删除；仅保留AssetID/哈希作为历史记录，替代项为 CHR-PLY-CAPSULE01-3D-BUNNY01。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/>
      <x:c r="P9" s="37"/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46243</x:v>
      </x:c>
      <x:c r="W9" s="37" t="str">
        <x:v>原创/待确认</x:v>
      </x:c>
      <x:c r="X9" s="37" t="str">
        <x:v>2026-08-09：旧2D玩家像素表现文件已从仓库删除；仅保留AssetID/哈希作为历史记录，替代项为 CHR-PLY-CAPSULE01-3D-BUNNY01。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deprecated</x:v>
      </x:c>
      <x:c r="J10" s="37" t="str">
        <x:v>单资产</x:v>
      </x:c>
      <x:c r="K10" s="37" t="str">
        <x:v>弃用</x:v>
      </x:c>
      <x:c r="L10" s="37" t="str">
        <x:v>P0</x:v>
      </x:c>
      <x:c r="M10" s="37" t="str">
        <x:v>v001</x:v>
      </x:c>
      <x:c r="N10" s="37" t="str">
        <x:v>22×17 px</x:v>
      </x:c>
      <x:c r="O10" s="37"/>
      <x:c r="P10" s="37"/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46243</x:v>
      </x:c>
      <x:c r="W10" s="37" t="str">
        <x:v>原创/待确认</x:v>
      </x:c>
      <x:c r="X10" s="37" t="str">
        <x:v>2026-08-09：旧2D玩家像素表现文件已从仓库删除；仅保留AssetID/哈希作为历史记录，替代项为 CHR-PLY-CAPSULE01-3D-BUNNY01。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deprecated</x:v>
      </x:c>
      <x:c r="J11" s="37" t="str">
        <x:v>单资产</x:v>
      </x:c>
      <x:c r="K11" s="37" t="str">
        <x:v>弃用</x:v>
      </x:c>
      <x:c r="L11" s="37" t="str">
        <x:v>P0</x:v>
      </x:c>
      <x:c r="M11" s="37" t="str">
        <x:v>v001</x:v>
      </x:c>
      <x:c r="N11" s="37" t="str">
        <x:v>26×14 px</x:v>
      </x:c>
      <x:c r="O11" s="37"/>
      <x:c r="P11" s="37"/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46243</x:v>
      </x:c>
      <x:c r="W11" s="37" t="str">
        <x:v>原创/待确认</x:v>
      </x:c>
      <x:c r="X11" s="37" t="str">
        <x:v>2026-08-09：旧2D玩家像素表现文件已从仓库删除；仅保留AssetID/哈希作为历史记录，替代项为 CHR-PLY-CAPSULE01-3D-BUNNY01。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deprecated</x:v>
      </x:c>
      <x:c r="J12" s="37" t="str">
        <x:v>评审/回归</x:v>
      </x:c>
      <x:c r="K12" s="37" t="str">
        <x:v>弃用</x:v>
      </x:c>
      <x:c r="L12" s="37" t="str">
        <x:v>P0</x:v>
      </x:c>
      <x:c r="M12" s="37" t="str">
        <x:v>v001</x:v>
      </x:c>
      <x:c r="N12" s="37" t="str">
        <x:v>1280×720 px</x:v>
      </x:c>
      <x:c r="O12" s="37"/>
      <x:c r="P12" s="37"/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46243</x:v>
      </x:c>
      <x:c r="W12" s="37" t="str">
        <x:v>原创/待确认</x:v>
      </x:c>
      <x:c r="X12" s="37" t="str">
        <x:v>2026-08-09：旧2D玩家像素表现文件已从仓库删除；仅保留AssetID/哈希作为历史记录，替代项为 CHR-PLY-CAPSULE01-3D-BUNNY01。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弃用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/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46243</x:v>
      </x:c>
      <x:c r="W13" s="37" t="str">
        <x:v>原创/待确认</x:v>
      </x:c>
      <x:c r="X13" s="37" t="str">
        <x:v>2026-08-09：旧2D PlayerAvatarRenderer专用表现已删除；当前3D状态表现由 PlayerAvatar3D / WeaponModel3D 持有。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弃用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/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46243</x:v>
      </x:c>
      <x:c r="W14" s="37" t="str">
        <x:v>原创/待确认</x:v>
      </x:c>
      <x:c r="X14" s="37" t="str">
        <x:v>2026-08-09：旧2D PlayerAvatarRenderer专用表现已删除；当前3D状态表现由 PlayerAvatar3D / WeaponModel3D 持有。</x:v>
      </x:c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弃用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/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46243</x:v>
      </x:c>
      <x:c r="W15" s="37" t="str">
        <x:v>原创/待确认</x:v>
      </x:c>
      <x:c r="X15" s="37" t="str">
        <x:v>2026-08-09：旧2D PlayerAvatarRenderer专用表现已删除；当前3D状态表现由 PlayerAvatar3D / WeaponModel3D 持有。</x:v>
      </x:c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弃用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/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46243</x:v>
      </x:c>
      <x:c r="W16" s="37" t="str">
        <x:v>原创/待确认</x:v>
      </x:c>
      <x:c r="X16" s="37" t="str">
        <x:v>2026-08-09：旧2D PlayerAvatarRenderer专用表现已删除；当前3D状态表现由 PlayerAvatar3D / WeaponModel3D 持有。</x:v>
      </x:c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cf0b3b648d56590f1e024553d224df35007358452ea16ad1651ae9af4a7dde49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cf0b3b648d56590f1e024553d224df35007358452ea16ad1651ae9af4a7dde49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cf0b3b648d56590f1e024553d224df35007358452ea16ad1651ae9af4a7dde49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cf0b3b648d56590f1e024553d224df35007358452ea16ad1651ae9af4a7dde49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cf0b3b648d56590f1e024553d224df35007358452ea16ad1651ae9af4a7dde49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cf0b3b648d56590f1e024553d224df35007358452ea16ad1651ae9af4a7dde49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8类基地设施/统一状态牌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PackedScene/材质变体/名称与实时摘要共用Label3D</x:v>
      </x:c>
      <x:c r="O120" s="70" t="str">
        <x:v>assets/art/props/base_world_3d/prp_base_facility_root_top3d_v001.tscn</x:v>
      </x:c>
      <x:c r="P120" s="70" t="str">
        <x:v>src/base3d/BaseFacility3D.gd; src/base/BaseFacilityCatalog.gd; src/base/BaseFacilityService.gd; src/world3d/TowerDescent3D.gd; tests/verification/verify_base_facility_framework.tscn; tests/verification/verify_base_world_3d_visual.tscn</x:v>
      </x:c>
      <x:c r="Q120" s="70" t="str">
        <x:v>设施;交互;信标;3D;facility_id;实时摘要;状态牌;共享目录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46240</x:v>
      </x:c>
      <x:c r="W120" s="70" t="str">
        <x:v>原创程序几何</x:v>
      </x:c>
      <x:c r="X120" s="70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muzzle_impact_damage_explosion_slash_melee_impact</x:v>
      </x:c>
      <x:c r="J136" s="63" t="str">
        <x:v>枪械/近战/敌人/关卡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src/combat3d/CombatEffect3D.gd; src/combat3d/CombatEffectPool3D.gd; src/player3d/melee/PlayerMeleeCombat3D.gd</x:v>
      </x:c>
      <x:c r="Q136" s="63" t="str">
        <x:v>枪口;命中;伤害;爆炸;挥砍;近战冲击;slash;melee_impact;3D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靶场;射击道;货架;59组合;三类靶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18货架（7远程+3近战+8子弹）、三射击道、三靶标、重置与返回；BaseData隔离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v002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cf0b3b648d56590f1e024553d224df35007358452ea16ad1651ae9af4a7dde49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cf0b3b648d56590f1e024553d224df35007358452ea16ad1651ae9af4a7dde49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cf0b3b648d56590f1e024553d224df35007358452ea16ad1651ae9af4a7dde49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cf0b3b648d56590f1e024553d224df35007358452ea16ad1651ae9af4a7dde49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b894e9fe05f8898bf035b7b383c27407cf027208ccf8fec65a2ba22c1f390624</x:v>
      </x:c>
      <x:c r="U156" s="70" t="str">
        <x:v>Codex</x:v>
      </x:c>
      <x:c r="V156" s="71" t="n">
        <x:v>46243</x:v>
      </x:c>
      <x:c r="W156" s="71" t="str">
        <x:v>原创 Blender/Godot 组合</x:v>
      </x:c>
      <x:c r="X156" s="70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46243</x:v>
      </x:c>
      <x:c r="W157" s="70" t="str">
        <x:v>用户提供 Blender 源文件</x:v>
      </x:c>
      <x:c r="X157" s="70" t="str">
        <x:v>v0.1 v006：身体网格与底部中心原点保持不变；BodyJoint新增LowerBodySocket local=(0,0.14,0)，用于裙摆/腰甲/下摆并继承全部身体程序动画。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MultiMesh网格/动态水平通道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46237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46237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  <x:row r="170">
      <x:c r="A170" t="str">
        <x:v>CHR-PLY-CAPSULE01-BACKPACK-SOCKET-3D</x:v>
      </x:c>
      <x:c r="B170" t="str">
        <x:v>玩家背包装备挂点</x:v>
      </x:c>
      <x:c r="C170" t="str">
        <x:v>角色</x:v>
      </x:c>
      <x:c r="D170" t="str">
        <x:v>player_accessory_socket</x:v>
      </x:c>
      <x:c r="E170" t="str">
        <x:v>player_capsule01</x:v>
      </x:c>
      <x:c r="F170" t="str">
        <x:v>backpack_socket_3d</x:v>
      </x:c>
      <x:c r="G170" t="str">
        <x:v>CHR-PLY-CAPSULE01-3D</x:v>
      </x:c>
      <x:c r="H170" t="str">
        <x:v>俯视3D</x:v>
      </x:c>
      <x:c r="I170" t="str">
        <x:v>default</x:v>
      </x:c>
      <x:c r="J170" t="str">
        <x:v>3D玩家场景/可装备背包</x:v>
      </x:c>
      <x:c r="K170" t="str">
        <x:v>原型已接入</x:v>
      </x:c>
      <x:c r="L170" t="str">
        <x:v>P0</x:v>
      </x:c>
      <x:c r="M170" t="str">
        <x:v>v001</x:v>
      </x:c>
      <x:c r="N170" t="str">
        <x:v>Marker3D；bunny=(0,0.74,0.30)；fallback=(0,1.25,0.48)</x:v>
      </x:c>
      <x:c r="O170" t="str">
        <x:v>assets/art/characters/player/chr_player_capsule01_3d/chr_player_capsule01_root_top3d_v001.tscn; assets/art/characters/player/chr_player_capsule01_3d/variants/bunny01/chr_player_capsule01_bunny01_root_top3d_v006.tscn</x:v>
      </x:c>
      <x:c r="P170" t="str">
        <x:v>src/player3d/PlayerAvatar3D.gd; tests/verification/verify_backpack_equipment_flow.tscn</x:v>
      </x:c>
      <x:c r="Q170" t="str">
        <x:v>背包挂点;BackpackSocket;背部装备;wearable;capacity</x:v>
      </x:c>
      <x:c r="R170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t="str">
        <x:f>IF(COUNTIF($R:$R,R170)&gt;1,"重复","唯一")</x:f>
        <x:v>唯一</x:v>
      </x:c>
      <x:c r="T170"/>
      <x:c r="U170" t="str">
        <x:v>Codex</x:v>
      </x:c>
      <x:c r="V170" t="n">
        <x:v>46240</x:v>
      </x:c>
      <x:c r="W170" t="str">
        <x:v>原创程序挂点</x:v>
      </x:c>
      <x:c r="X170" t="str">
        <x:v>独立于左右武器收纳挂点；只承载表现，不改变角色碰撞。装备/卸下由backpack_equipment_changed同步；专项与Metal/OpenGL战术背包画面通过。</x:v>
      </x:c>
    </x:row>
    <x:row r="171">
      <x:c r="A171" t="str">
        <x:v>ITM-EQUIPMENT-BACKPACK-3D</x:v>
      </x:c>
      <x:c r="B171" t="str">
        <x:v>可装备背包3D占位模型</x:v>
      </x:c>
      <x:c r="C171" t="str">
        <x:v>道具</x:v>
      </x:c>
      <x:c r="D171" t="str">
        <x:v>equipment</x:v>
      </x:c>
      <x:c r="E171" t="str">
        <x:v>equipment_backpack</x:v>
      </x:c>
      <x:c r="F171" t="str">
        <x:v>root_3d</x:v>
      </x:c>
      <x:c r="G171"/>
      <x:c r="H171" t="str">
        <x:v>俯视3D</x:v>
      </x:c>
      <x:c r="I171" t="str">
        <x:v>default</x:v>
      </x:c>
      <x:c r="J171" t="str">
        <x:v>地面拾取/UI图标/角色背部共用</x:v>
      </x:c>
      <x:c r="K171" t="str">
        <x:v>程序占位</x:v>
      </x:c>
      <x:c r="L171" t="str">
        <x:v>P0</x:v>
      </x:c>
      <x:c r="M171" t="str">
        <x:v>v001</x:v>
      </x:c>
      <x:c r="N171" t="str">
        <x:v>BoxMesh组件；2/4/8格三档体积、主色与1/2/3附袋</x:v>
      </x:c>
      <x:c r="O171"/>
      <x:c r="P171" t="str">
        <x:v>src/world3d/ItemModelFactory3D.gd; src/base/ItemRegistry.gd; tests/verification/verify_backpack_equipment_flow.tscn</x:v>
      </x:c>
      <x:c r="Q171" t="str">
        <x:v>轻型腰包;战术背包;远征背包;backpack;2格;4格;8格</x:v>
      </x:c>
      <x:c r="R171" t="str">
        <x:f>LOWER(TRIM(C171)&amp;"|"&amp;TRIM(D171)&amp;"|"&amp;TRIM(E171)&amp;"|"&amp;TRIM(F171)&amp;"|"&amp;TRIM(H171)&amp;"|"&amp;TRIM(I171))</x:f>
        <x:v>道具|equipment|equipment_backpack|root_3d|俯视3d|default</x:v>
      </x:c>
      <x:c r="S171" t="str">
        <x:f>IF(COUNTIF($R:$R,R171)&gt;1,"重复","唯一")</x:f>
        <x:v>唯一</x:v>
      </x:c>
      <x:c r="T171"/>
      <x:c r="U171" t="str">
        <x:v>Codex</x:v>
      </x:c>
      <x:c r="V171" t="n">
        <x:v>46240</x:v>
      </x:c>
      <x:c r="W171" t="str">
        <x:v>原创程序几何</x:v>
      </x:c>
      <x:c r="X171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123" t="str">
        <x:v>PRP-BASE-VENDING-MACHINE-3D</x:v>
      </x:c>
      <x:c r="B172" s="118" t="str">
        <x:v>基地自动贩卖机长方体模型</x:v>
      </x:c>
      <x:c r="C172" s="118" t="str">
        <x:v>3D道具</x:v>
      </x:c>
      <x:c r="D172" s="118" t="str">
        <x:v>base_facility</x:v>
      </x:c>
      <x:c r="E172" s="118" t="str">
        <x:v>base_vending</x:v>
      </x:c>
      <x:c r="F172" s="118" t="str">
        <x:v>root</x:v>
      </x:c>
      <x:c r="G172" s="118" t="str">
        <x:v>PRP-BASE-FACILITY-3D</x:v>
      </x:c>
      <x:c r="H172" s="118" t="str">
        <x:v>Top3D</x:v>
      </x:c>
      <x:c r="I172" s="118" t="str">
        <x:v>default</x:v>
      </x:c>
      <x:c r="J172" s="118" t="str">
        <x:v>BaseWorld3D/TowerDescent99F</x:v>
      </x:c>
      <x:c r="K172" s="118" t="str">
        <x:v>原型已接入</x:v>
      </x:c>
      <x:c r="L172" s="118" t="str">
        <x:v>P0</x:v>
      </x:c>
      <x:c r="M172" s="118" t="str">
        <x:v>v001</x:v>
      </x:c>
      <x:c r="N172" s="118" t="str">
        <x:v>2.5×3.35×1.35m</x:v>
      </x:c>
      <x:c r="O172" s="118" t="str">
        <x:v>assets/art/props/base_world_3d/prp_base_vending_machine_root_top3d_v001.tscn</x:v>
      </x:c>
      <x:c r="P172" s="118" t="str">
        <x:v>用户设计+docs/v0.1/07_技术施工_基地设施.md</x:v>
      </x:c>
      <x:c r="Q172" s="118" t="str">
        <x:v>自动贩卖机; 长方体; 基地; 出口墙边</x:v>
      </x:c>
      <x:c r="R172" s="118" t="str">
        <x:f>TEXTJOIN("|",TRUE,C172,D172,E172,F172,H172,I172)</x:f>
        <x:v>3D道具|base_facility|base_vending|root|Top3D|default</x:v>
      </x:c>
      <x:c r="S172" s="118" t="str">
        <x:f>IF(COUNTIF($R$6:$R$200,R172)&gt;1,"重复","唯一")</x:f>
        <x:v>唯一</x:v>
      </x:c>
      <x:c r="T172" s="118"/>
      <x:c r="U172" s="118" t="str">
        <x:v>Codex</x:v>
      </x:c>
      <x:c r="V172" s="118" t="str">
        <x:v>2026-08-06</x:v>
      </x:c>
      <x:c r="W172" s="118" t="str">
        <x:v>程序基础网格/原创</x:v>
      </x:c>
      <x:c r="X172" s="118" t="str">
        <x:v>代码网格与材质，无图片；独立碰撞、正面货窗、屏幕、灯带和交互区</x:v>
      </x:c>
    </x:row>
    <x:row r="173" ht="42" customHeight="1">
      <x:c r="A173" s="123" t="str">
        <x:v>UI-SCREEN-BASE-VENDING</x:v>
      </x:c>
      <x:c r="B173" s="118" t="str">
        <x:v>基地自动贩卖机商店界面</x:v>
      </x:c>
      <x:c r="C173" s="118" t="str">
        <x:v>UI</x:v>
      </x:c>
      <x:c r="D173" s="118" t="str">
        <x:v>base_facility</x:v>
      </x:c>
      <x:c r="E173" s="118" t="str">
        <x:v>base_vending_shop</x:v>
      </x:c>
      <x:c r="F173" s="118" t="str">
        <x:v>screen</x:v>
      </x:c>
      <x:c r="G173" s="118" t="str">
        <x:v>UI-SCREEN-MERCHANT</x:v>
      </x:c>
      <x:c r="H173" s="118" t="str">
        <x:v>Screen</x:v>
      </x:c>
      <x:c r="I173" s="118" t="str">
        <x:v>default</x:v>
      </x:c>
      <x:c r="J173" s="118" t="str">
        <x:v>基地自动贩卖机</x:v>
      </x:c>
      <x:c r="K173" s="118" t="str">
        <x:v>原型已接入</x:v>
      </x:c>
      <x:c r="L173" s="118" t="str">
        <x:v>P0</x:v>
      </x:c>
      <x:c r="M173" s="118" t="str">
        <x:v>v002</x:v>
      </x:c>
      <x:c r="N173" s="118" t="str">
        <x:v>1280×720自适应</x:v>
      </x:c>
      <x:c r="O173" s="118" t="str">
        <x:v>scenes/BaseVendingMenu.tscn; src/ui/BaseVendingMenu.gd</x:v>
      </x:c>
      <x:c r="P173" s="118" t="str">
        <x:v>用户设计+docs/v0.1/07_技术施工_基地设施.md</x:v>
      </x:c>
      <x:c r="Q173" s="118" t="str">
        <x:v>基地商店; 购买; 出售; 3D物品图标</x:v>
      </x:c>
      <x:c r="R173" s="118" t="str">
        <x:f>TEXTJOIN("|",TRUE,C173,D173,E173,F173,H173,I173)</x:f>
        <x:v>UI|base_facility|base_vending_shop|screen|Screen|default</x:v>
      </x:c>
      <x:c r="S173" s="118" t="str">
        <x:f>IF(COUNTIF($R$6:$R$200,R173)&gt;1,"重复","唯一")</x:f>
        <x:v>唯一</x:v>
      </x:c>
      <x:c r="T173" s="118"/>
      <x:c r="U173" s="118" t="str">
        <x:v>Codex</x:v>
      </x:c>
      <x:c r="V173" s="118" t="str">
        <x:v>2026-08-06</x:v>
      </x:c>
      <x:c r="W173" s="118" t="str">
        <x:v>程序控件/原创</x:v>
      </x:c>
      <x:c r="X173" s="118" t="str">
        <x:v>左右买卖双栏；复用ItemModelIcon3D；资源与容量常驻；Esc退出 ｜ 2026-08-07：购买/出售改为3列商品卡网格，正方形ItemModelIcon3D，与I键背包同源；统一主HUD配色和按钮状态。</x:v>
      </x:c>
    </x:row>
    <x:row r="174" ht="44" customHeight="1">
      <x:c r="A174" s="63" t="str">
        <x:v>AUD-SFX-AMMO-EMPTY</x:v>
      </x:c>
      <x:c r="B174" s="63" t="str">
        <x:v>空仓扳机音效</x:v>
      </x:c>
      <x:c r="C174" s="63" t="str">
        <x:v>音频</x:v>
      </x:c>
      <x:c r="D174" s="63" t="str">
        <x:v>sfx</x:v>
      </x:c>
      <x:c r="E174" s="63" t="str">
        <x:v>ammo_empty</x:v>
      </x:c>
      <x:c r="F174" s="63" t="str">
        <x:v>runtime</x:v>
      </x:c>
      <x:c r="G174" s="63"/>
      <x:c r="H174" s="63" t="str">
        <x:v>全局/非空间</x:v>
      </x:c>
      <x:c r="I174" s="63" t="str">
        <x:v>default</x:v>
      </x:c>
      <x:c r="J174" s="63" t="str">
        <x:v>桌面与Android正式运行</x:v>
      </x:c>
      <x:c r="K174" s="63" t="str">
        <x:v>已完成</x:v>
      </x:c>
      <x:c r="L174" s="63" t="str">
        <x:v>P0</x:v>
      </x:c>
      <x:c r="M174" s="63" t="str">
        <x:v>v001</x:v>
      </x:c>
      <x:c r="N174" s="63" t="str">
        <x:v>44.1kHz / OGG Vorbis / stereo</x:v>
      </x:c>
      <x:c r="O174" s="63" t="str">
        <x:v>src/assets/audio/sfx/ammo_empty_v001.ogg</x:v>
      </x:c>
      <x:c r="P174" s="63" t="str">
        <x:v>src/assets/audio/sfx/ammo_empty.wav; src/音效接入说明.md</x:v>
      </x:c>
      <x:c r="Q174" s="63" t="str">
        <x:v>ammo_empty; 音效; OGG; Android; 移动端</x:v>
      </x:c>
      <x:c r="R174" s="63" t="str">
        <x:f>TEXTJOIN("|",TRUE,C174,D174,E174,F174,H174,I174)</x:f>
        <x:v>音频|sfx|ammo_empty|runtime|全局/非空间|default</x:v>
      </x:c>
      <x:c r="S174" s="63" t="str">
        <x:f>IF(COUNTIF($R$6:$R$204,R174)&gt;1,"重复","唯一")</x:f>
        <x:v>唯一</x:v>
      </x:c>
      <x:c r="T174" s="63" t="str">
        <x:v>f5d0339c3c7fce8227970163bd773a11f15faffa57a878ec41111308657a000c</x:v>
      </x:c>
      <x:c r="U174" s="63" t="str">
        <x:v>Codex</x:v>
      </x:c>
      <x:c r="V174" s="64" t="n">
        <x:v>46241</x:v>
      </x:c>
      <x:c r="W174" s="63" t="str">
        <x:v>项目WAV母版转码</x:v>
      </x:c>
      <x:c r="X174" s="63" t="str">
        <x:v>正式运行OGG；WAV仅作母版；AudioManager事件=ammo_empty；Android/桌面统一版本化路径，禁止旧音效回退。</x:v>
      </x:c>
    </x:row>
    <x:row r="175" ht="44" customHeight="1">
      <x:c r="A175" s="63" t="str">
        <x:v>AUD-SFX-BOSS-DEFEAT</x:v>
      </x:c>
      <x:c r="B175" s="63" t="str">
        <x:v>Boss击败音效</x:v>
      </x:c>
      <x:c r="C175" s="63" t="str">
        <x:v>音频</x:v>
      </x:c>
      <x:c r="D175" s="63" t="str">
        <x:v>sfx</x:v>
      </x:c>
      <x:c r="E175" s="63" t="str">
        <x:v>boss_defeat</x:v>
      </x:c>
      <x:c r="F175" s="63" t="str">
        <x:v>runtime</x:v>
      </x:c>
      <x:c r="G175" s="63"/>
      <x:c r="H175" s="63" t="str">
        <x:v>全局/非空间</x:v>
      </x:c>
      <x:c r="I175" s="63" t="str">
        <x:v>default</x:v>
      </x:c>
      <x:c r="J175" s="63" t="str">
        <x:v>桌面与Android正式运行</x:v>
      </x:c>
      <x:c r="K175" s="63" t="str">
        <x:v>已完成</x:v>
      </x:c>
      <x:c r="L175" s="63" t="str">
        <x:v>P0</x:v>
      </x:c>
      <x:c r="M175" s="63" t="str">
        <x:v>v001</x:v>
      </x:c>
      <x:c r="N175" s="63" t="str">
        <x:v>44.1kHz / OGG Vorbis / stereo</x:v>
      </x:c>
      <x:c r="O175" s="63" t="str">
        <x:v>src/assets/audio/sfx/boss_defeat_v001.ogg</x:v>
      </x:c>
      <x:c r="P175" s="63" t="str">
        <x:v>src/assets/audio/sfx/boss_defeat.wav; src/音效接入说明.md</x:v>
      </x:c>
      <x:c r="Q175" s="63" t="str">
        <x:v>boss_defeat; 音效; OGG; Android; 移动端</x:v>
      </x:c>
      <x:c r="R175" s="63" t="str">
        <x:f>TEXTJOIN("|",TRUE,C175,D175,E175,F175,H175,I175)</x:f>
        <x:v>音频|sfx|boss_defeat|runtime|全局/非空间|default</x:v>
      </x:c>
      <x:c r="S175" s="63" t="str">
        <x:f>IF(COUNTIF($R$6:$R$204,R175)&gt;1,"重复","唯一")</x:f>
        <x:v>唯一</x:v>
      </x:c>
      <x:c r="T175" s="63" t="str">
        <x:v>245b27a482a9166c6bc09cdabae3094f4a2bb1e67956f8a8f54b767eb15fefba</x:v>
      </x:c>
      <x:c r="U175" s="63" t="str">
        <x:v>Codex</x:v>
      </x:c>
      <x:c r="V175" s="64" t="n">
        <x:v>46241</x:v>
      </x:c>
      <x:c r="W175" s="63" t="str">
        <x:v>项目WAV母版转码</x:v>
      </x:c>
      <x:c r="X175" s="63" t="str">
        <x:v>正式运行OGG；WAV仅作母版；AudioManager事件=boss_defeat；Android/桌面统一版本化路径，禁止旧音效回退。</x:v>
      </x:c>
    </x:row>
    <x:row r="176" ht="44" customHeight="1">
      <x:c r="A176" s="63" t="str">
        <x:v>AUD-SFX-BOSS-INTRO</x:v>
      </x:c>
      <x:c r="B176" s="63" t="str">
        <x:v>Boss入场音效</x:v>
      </x:c>
      <x:c r="C176" s="63" t="str">
        <x:v>音频</x:v>
      </x:c>
      <x:c r="D176" s="63" t="str">
        <x:v>sfx</x:v>
      </x:c>
      <x:c r="E176" s="63" t="str">
        <x:v>boss_intro</x:v>
      </x:c>
      <x:c r="F176" s="63" t="str">
        <x:v>runtime</x:v>
      </x:c>
      <x:c r="G176" s="63"/>
      <x:c r="H176" s="63" t="str">
        <x:v>全局/非空间</x:v>
      </x:c>
      <x:c r="I176" s="63" t="str">
        <x:v>default</x:v>
      </x:c>
      <x:c r="J176" s="63" t="str">
        <x:v>桌面与Android正式运行</x:v>
      </x:c>
      <x:c r="K176" s="63" t="str">
        <x:v>已完成</x:v>
      </x:c>
      <x:c r="L176" s="63" t="str">
        <x:v>P0</x:v>
      </x:c>
      <x:c r="M176" s="63" t="str">
        <x:v>v001</x:v>
      </x:c>
      <x:c r="N176" s="63" t="str">
        <x:v>44.1kHz / OGG Vorbis / stereo</x:v>
      </x:c>
      <x:c r="O176" s="63" t="str">
        <x:v>src/assets/audio/sfx/boss_intro_v001.ogg</x:v>
      </x:c>
      <x:c r="P176" s="63" t="str">
        <x:v>src/assets/audio/sfx/boss_intro.wav; src/音效接入说明.md</x:v>
      </x:c>
      <x:c r="Q176" s="63" t="str">
        <x:v>boss_intro; 音效; OGG; Android; 移动端</x:v>
      </x:c>
      <x:c r="R176" s="63" t="str">
        <x:f>TEXTJOIN("|",TRUE,C176,D176,E176,F176,H176,I176)</x:f>
        <x:v>音频|sfx|boss_intro|runtime|全局/非空间|default</x:v>
      </x:c>
      <x:c r="S176" s="63" t="str">
        <x:f>IF(COUNTIF($R$6:$R$204,R176)&gt;1,"重复","唯一")</x:f>
        <x:v>唯一</x:v>
      </x:c>
      <x:c r="T176" s="63" t="str">
        <x:v>4e18a3afe9c7b804e6fb6905fbf05b62cba70d9b15a324c650a04d04a981d5ff</x:v>
      </x:c>
      <x:c r="U176" s="63" t="str">
        <x:v>Codex</x:v>
      </x:c>
      <x:c r="V176" s="64" t="n">
        <x:v>46241</x:v>
      </x:c>
      <x:c r="W176" s="63" t="str">
        <x:v>项目WAV母版转码</x:v>
      </x:c>
      <x:c r="X176" s="63" t="str">
        <x:v>正式运行OGG；WAV仅作母版；AudioManager事件=boss_intro；Android/桌面统一版本化路径，禁止旧音效回退。</x:v>
      </x:c>
    </x:row>
    <x:row r="177" ht="44" customHeight="1">
      <x:c r="A177" s="63" t="str">
        <x:v>AUD-SFX-BOSS-PHASE</x:v>
      </x:c>
      <x:c r="B177" s="63" t="str">
        <x:v>Boss阶段切换音效</x:v>
      </x:c>
      <x:c r="C177" s="63" t="str">
        <x:v>音频</x:v>
      </x:c>
      <x:c r="D177" s="63" t="str">
        <x:v>sfx</x:v>
      </x:c>
      <x:c r="E177" s="63" t="str">
        <x:v>boss_phase</x:v>
      </x:c>
      <x:c r="F177" s="63" t="str">
        <x:v>runtime</x:v>
      </x:c>
      <x:c r="G177" s="63"/>
      <x:c r="H177" s="63" t="str">
        <x:v>全局/非空间</x:v>
      </x:c>
      <x:c r="I177" s="63" t="str">
        <x:v>default</x:v>
      </x:c>
      <x:c r="J177" s="63" t="str">
        <x:v>桌面与Android正式运行</x:v>
      </x:c>
      <x:c r="K177" s="63" t="str">
        <x:v>已完成</x:v>
      </x:c>
      <x:c r="L177" s="63" t="str">
        <x:v>P0</x:v>
      </x:c>
      <x:c r="M177" s="63" t="str">
        <x:v>v001</x:v>
      </x:c>
      <x:c r="N177" s="63" t="str">
        <x:v>44.1kHz / OGG Vorbis / stereo</x:v>
      </x:c>
      <x:c r="O177" s="63" t="str">
        <x:v>src/assets/audio/sfx/boss_phase_v001.ogg</x:v>
      </x:c>
      <x:c r="P177" s="63" t="str">
        <x:v>src/assets/audio/sfx/boss_phase.wav; src/音效接入说明.md</x:v>
      </x:c>
      <x:c r="Q177" s="63" t="str">
        <x:v>boss_phase; 音效; OGG; Android; 移动端</x:v>
      </x:c>
      <x:c r="R177" s="63" t="str">
        <x:f>TEXTJOIN("|",TRUE,C177,D177,E177,F177,H177,I177)</x:f>
        <x:v>音频|sfx|boss_phase|runtime|全局/非空间|default</x:v>
      </x:c>
      <x:c r="S177" s="63" t="str">
        <x:f>IF(COUNTIF($R$6:$R$204,R177)&gt;1,"重复","唯一")</x:f>
        <x:v>唯一</x:v>
      </x:c>
      <x:c r="T177" s="63" t="str">
        <x:v>804457fc13cb83e18bdc1e7e84d1b9a27414be72128f82811e016c17fc331ad3</x:v>
      </x:c>
      <x:c r="U177" s="63" t="str">
        <x:v>Codex</x:v>
      </x:c>
      <x:c r="V177" s="64" t="n">
        <x:v>46241</x:v>
      </x:c>
      <x:c r="W177" s="63" t="str">
        <x:v>项目WAV母版转码</x:v>
      </x:c>
      <x:c r="X177" s="63" t="str">
        <x:v>正式运行OGG；WAV仅作母版；AudioManager事件=boss_phase；Android/桌面统一版本化路径，禁止旧音效回退。</x:v>
      </x:c>
    </x:row>
    <x:row r="178" ht="44" customHeight="1">
      <x:c r="A178" s="63" t="str">
        <x:v>AUD-SFX-CONTAINER-OPEN</x:v>
      </x:c>
      <x:c r="B178" s="63" t="str">
        <x:v>搜索容器开启音效</x:v>
      </x:c>
      <x:c r="C178" s="63" t="str">
        <x:v>音频</x:v>
      </x:c>
      <x:c r="D178" s="63" t="str">
        <x:v>sfx</x:v>
      </x:c>
      <x:c r="E178" s="63" t="str">
        <x:v>container_open</x:v>
      </x:c>
      <x:c r="F178" s="63" t="str">
        <x:v>runtime</x:v>
      </x:c>
      <x:c r="G178" s="63"/>
      <x:c r="H178" s="63" t="str">
        <x:v>全局/非空间</x:v>
      </x:c>
      <x:c r="I178" s="63" t="str">
        <x:v>default</x:v>
      </x:c>
      <x:c r="J178" s="63" t="str">
        <x:v>桌面与Android正式运行</x:v>
      </x:c>
      <x:c r="K178" s="63" t="str">
        <x:v>已完成</x:v>
      </x:c>
      <x:c r="L178" s="63" t="str">
        <x:v>P0</x:v>
      </x:c>
      <x:c r="M178" s="63" t="str">
        <x:v>v001</x:v>
      </x:c>
      <x:c r="N178" s="63" t="str">
        <x:v>44.1kHz / OGG Vorbis / stereo</x:v>
      </x:c>
      <x:c r="O178" s="63" t="str">
        <x:v>src/assets/audio/sfx/container_open_v001.ogg</x:v>
      </x:c>
      <x:c r="P178" s="63" t="str">
        <x:v>src/assets/audio/sfx/container_open.wav; src/音效接入说明.md</x:v>
      </x:c>
      <x:c r="Q178" s="63" t="str">
        <x:v>container_open; 音效; OGG; Android; 移动端</x:v>
      </x:c>
      <x:c r="R178" s="63" t="str">
        <x:f>TEXTJOIN("|",TRUE,C178,D178,E178,F178,H178,I178)</x:f>
        <x:v>音频|sfx|container_open|runtime|全局/非空间|default</x:v>
      </x:c>
      <x:c r="S178" s="63" t="str">
        <x:f>IF(COUNTIF($R$6:$R$204,R178)&gt;1,"重复","唯一")</x:f>
        <x:v>唯一</x:v>
      </x:c>
      <x:c r="T178" s="63" t="str">
        <x:v>8e9d9e0a773ab0daf850734913302212a2f279dc7afb0f457a193300325840d0</x:v>
      </x:c>
      <x:c r="U178" s="63" t="str">
        <x:v>Codex</x:v>
      </x:c>
      <x:c r="V178" s="64" t="n">
        <x:v>46241</x:v>
      </x:c>
      <x:c r="W178" s="63" t="str">
        <x:v>项目WAV母版转码</x:v>
      </x:c>
      <x:c r="X178" s="63" t="str">
        <x:v>正式运行OGG；WAV仅作母版；AudioManager事件=container_open；Android/桌面统一版本化路径，禁止旧音效回退。</x:v>
      </x:c>
    </x:row>
    <x:row r="179" ht="44" customHeight="1">
      <x:c r="A179" s="63" t="str">
        <x:v>AUD-SFX-CRIT-HIT</x:v>
      </x:c>
      <x:c r="B179" s="63" t="str">
        <x:v>暴击命中音效</x:v>
      </x:c>
      <x:c r="C179" s="63" t="str">
        <x:v>音频</x:v>
      </x:c>
      <x:c r="D179" s="63" t="str">
        <x:v>sfx</x:v>
      </x:c>
      <x:c r="E179" s="63" t="str">
        <x:v>crit_hit</x:v>
      </x:c>
      <x:c r="F179" s="63" t="str">
        <x:v>runtime</x:v>
      </x:c>
      <x:c r="G179" s="63"/>
      <x:c r="H179" s="63" t="str">
        <x:v>全局/非空间</x:v>
      </x:c>
      <x:c r="I179" s="63" t="str">
        <x:v>default</x:v>
      </x:c>
      <x:c r="J179" s="63" t="str">
        <x:v>桌面与Android正式运行</x:v>
      </x:c>
      <x:c r="K179" s="63" t="str">
        <x:v>已完成</x:v>
      </x:c>
      <x:c r="L179" s="63" t="str">
        <x:v>P0</x:v>
      </x:c>
      <x:c r="M179" s="63" t="str">
        <x:v>v001</x:v>
      </x:c>
      <x:c r="N179" s="63" t="str">
        <x:v>44.1kHz / OGG Vorbis / stereo</x:v>
      </x:c>
      <x:c r="O179" s="63" t="str">
        <x:v>src/assets/audio/sfx/crit_hit_v001.ogg</x:v>
      </x:c>
      <x:c r="P179" s="63" t="str">
        <x:v>src/assets/audio/sfx/crit_hit.wav; src/音效接入说明.md</x:v>
      </x:c>
      <x:c r="Q179" s="63" t="str">
        <x:v>crit_hit; 音效; OGG; Android; 移动端</x:v>
      </x:c>
      <x:c r="R179" s="63" t="str">
        <x:f>TEXTJOIN("|",TRUE,C179,D179,E179,F179,H179,I179)</x:f>
        <x:v>音频|sfx|crit_hit|runtime|全局/非空间|default</x:v>
      </x:c>
      <x:c r="S179" s="63" t="str">
        <x:f>IF(COUNTIF($R$6:$R$204,R179)&gt;1,"重复","唯一")</x:f>
        <x:v>唯一</x:v>
      </x:c>
      <x:c r="T179" s="63" t="str">
        <x:v>9228e4544dc5472afe0dfaa53df5be2ec8c95bd253ea7ffd9b6136c6dd19069f</x:v>
      </x:c>
      <x:c r="U179" s="63" t="str">
        <x:v>Codex</x:v>
      </x:c>
      <x:c r="V179" s="64" t="n">
        <x:v>46241</x:v>
      </x:c>
      <x:c r="W179" s="63" t="str">
        <x:v>项目WAV母版转码</x:v>
      </x:c>
      <x:c r="X179" s="63" t="str">
        <x:v>正式运行OGG；WAV仅作母版；AudioManager事件=crit_hit；Android/桌面统一版本化路径，禁止旧音效回退。</x:v>
      </x:c>
    </x:row>
    <x:row r="180" ht="44" customHeight="1">
      <x:c r="A180" s="63" t="str">
        <x:v>AUD-SFX-DOOR-LOCKED</x:v>
      </x:c>
      <x:c r="B180" s="63" t="str">
        <x:v>门锁定音效</x:v>
      </x:c>
      <x:c r="C180" s="63" t="str">
        <x:v>音频</x:v>
      </x:c>
      <x:c r="D180" s="63" t="str">
        <x:v>sfx</x:v>
      </x:c>
      <x:c r="E180" s="63" t="str">
        <x:v>door_locked</x:v>
      </x:c>
      <x:c r="F180" s="63" t="str">
        <x:v>runtime</x:v>
      </x:c>
      <x:c r="G180" s="63"/>
      <x:c r="H180" s="63" t="str">
        <x:v>全局/非空间</x:v>
      </x:c>
      <x:c r="I180" s="63" t="str">
        <x:v>default</x:v>
      </x:c>
      <x:c r="J180" s="63" t="str">
        <x:v>桌面与Android正式运行</x:v>
      </x:c>
      <x:c r="K180" s="63" t="str">
        <x:v>已完成</x:v>
      </x:c>
      <x:c r="L180" s="63" t="str">
        <x:v>P0</x:v>
      </x:c>
      <x:c r="M180" s="63" t="str">
        <x:v>v001</x:v>
      </x:c>
      <x:c r="N180" s="63" t="str">
        <x:v>44.1kHz / OGG Vorbis / stereo</x:v>
      </x:c>
      <x:c r="O180" s="63" t="str">
        <x:v>src/assets/audio/sfx/door_locked_v001.ogg</x:v>
      </x:c>
      <x:c r="P180" s="63" t="str">
        <x:v>src/assets/audio/sfx/door_locked.wav; src/音效接入说明.md</x:v>
      </x:c>
      <x:c r="Q180" s="63" t="str">
        <x:v>door_locked; 音效; OGG; Android; 移动端</x:v>
      </x:c>
      <x:c r="R180" s="63" t="str">
        <x:f>TEXTJOIN("|",TRUE,C180,D180,E180,F180,H180,I180)</x:f>
        <x:v>音频|sfx|door_locked|runtime|全局/非空间|default</x:v>
      </x:c>
      <x:c r="S180" s="63" t="str">
        <x:f>IF(COUNTIF($R$6:$R$204,R180)&gt;1,"重复","唯一")</x:f>
        <x:v>唯一</x:v>
      </x:c>
      <x:c r="T180" s="63" t="str">
        <x:v>db9ece4cf6a904b8c23319b0d3bc83bce2d48ea69d7ebd246dd2bb30f2587e74</x:v>
      </x:c>
      <x:c r="U180" s="63" t="str">
        <x:v>Codex</x:v>
      </x:c>
      <x:c r="V180" s="64" t="n">
        <x:v>46241</x:v>
      </x:c>
      <x:c r="W180" s="63" t="str">
        <x:v>项目WAV母版转码</x:v>
      </x:c>
      <x:c r="X180" s="63" t="str">
        <x:v>正式运行OGG；WAV仅作母版；AudioManager事件=door_locked；Android/桌面统一版本化路径，禁止旧音效回退。</x:v>
      </x:c>
    </x:row>
    <x:row r="181" ht="44" customHeight="1">
      <x:c r="A181" s="63" t="str">
        <x:v>AUD-SFX-DOOR-OPEN</x:v>
      </x:c>
      <x:c r="B181" s="63" t="str">
        <x:v>门开启音效</x:v>
      </x:c>
      <x:c r="C181" s="63" t="str">
        <x:v>音频</x:v>
      </x:c>
      <x:c r="D181" s="63" t="str">
        <x:v>sfx</x:v>
      </x:c>
      <x:c r="E181" s="63" t="str">
        <x:v>door_open</x:v>
      </x:c>
      <x:c r="F181" s="63" t="str">
        <x:v>runtime</x:v>
      </x:c>
      <x:c r="G181" s="63"/>
      <x:c r="H181" s="63" t="str">
        <x:v>全局/非空间</x:v>
      </x:c>
      <x:c r="I181" s="63" t="str">
        <x:v>default</x:v>
      </x:c>
      <x:c r="J181" s="63" t="str">
        <x:v>桌面与Android正式运行</x:v>
      </x:c>
      <x:c r="K181" s="63" t="str">
        <x:v>已完成</x:v>
      </x:c>
      <x:c r="L181" s="63" t="str">
        <x:v>P0</x:v>
      </x:c>
      <x:c r="M181" s="63" t="str">
        <x:v>v001</x:v>
      </x:c>
      <x:c r="N181" s="63" t="str">
        <x:v>44.1kHz / OGG Vorbis / stereo</x:v>
      </x:c>
      <x:c r="O181" s="63" t="str">
        <x:v>src/assets/audio/sfx/door_open_v001.ogg</x:v>
      </x:c>
      <x:c r="P181" s="63" t="str">
        <x:v>src/assets/audio/sfx/door_open.wav; src/音效接入说明.md</x:v>
      </x:c>
      <x:c r="Q181" s="63" t="str">
        <x:v>door_open; 音效; OGG; Android; 移动端</x:v>
      </x:c>
      <x:c r="R181" s="63" t="str">
        <x:f>TEXTJOIN("|",TRUE,C181,D181,E181,F181,H181,I181)</x:f>
        <x:v>音频|sfx|door_open|runtime|全局/非空间|default</x:v>
      </x:c>
      <x:c r="S181" s="63" t="str">
        <x:f>IF(COUNTIF($R$6:$R$204,R181)&gt;1,"重复","唯一")</x:f>
        <x:v>唯一</x:v>
      </x:c>
      <x:c r="T181" s="63" t="str">
        <x:v>6b3044e0231f425a54103d7a4e44c2a1f21f895310841347ea9ceb76485a5565</x:v>
      </x:c>
      <x:c r="U181" s="63" t="str">
        <x:v>Codex</x:v>
      </x:c>
      <x:c r="V181" s="64" t="n">
        <x:v>46241</x:v>
      </x:c>
      <x:c r="W181" s="63" t="str">
        <x:v>项目WAV母版转码</x:v>
      </x:c>
      <x:c r="X181" s="63" t="str">
        <x:v>正式运行OGG；WAV仅作母版；AudioManager事件=door_open；Android/桌面统一版本化路径，禁止旧音效回退。</x:v>
      </x:c>
    </x:row>
    <x:row r="182" ht="44" customHeight="1">
      <x:c r="A182" s="63" t="str">
        <x:v>AUD-SFX-ENEMY-DIE</x:v>
      </x:c>
      <x:c r="B182" s="63" t="str">
        <x:v>敌人死亡音效</x:v>
      </x:c>
      <x:c r="C182" s="63" t="str">
        <x:v>音频</x:v>
      </x:c>
      <x:c r="D182" s="63" t="str">
        <x:v>sfx</x:v>
      </x:c>
      <x:c r="E182" s="63" t="str">
        <x:v>enemy_die</x:v>
      </x:c>
      <x:c r="F182" s="63" t="str">
        <x:v>runtime</x:v>
      </x:c>
      <x:c r="G182" s="63"/>
      <x:c r="H182" s="63" t="str">
        <x:v>全局/非空间</x:v>
      </x:c>
      <x:c r="I182" s="63" t="str">
        <x:v>default</x:v>
      </x:c>
      <x:c r="J182" s="63" t="str">
        <x:v>桌面与Android正式运行</x:v>
      </x:c>
      <x:c r="K182" s="63" t="str">
        <x:v>已完成</x:v>
      </x:c>
      <x:c r="L182" s="63" t="str">
        <x:v>P0</x:v>
      </x:c>
      <x:c r="M182" s="63" t="str">
        <x:v>v001</x:v>
      </x:c>
      <x:c r="N182" s="63" t="str">
        <x:v>44.1kHz / OGG Vorbis / stereo</x:v>
      </x:c>
      <x:c r="O182" s="63" t="str">
        <x:v>src/assets/audio/sfx/enemy_die_v001.ogg</x:v>
      </x:c>
      <x:c r="P182" s="63" t="str">
        <x:v>src/assets/audio/sfx/enemy_die.wav; src/音效接入说明.md</x:v>
      </x:c>
      <x:c r="Q182" s="63" t="str">
        <x:v>enemy_die; 音效; OGG; Android; 移动端</x:v>
      </x:c>
      <x:c r="R182" s="63" t="str">
        <x:f>TEXTJOIN("|",TRUE,C182,D182,E182,F182,H182,I182)</x:f>
        <x:v>音频|sfx|enemy_die|runtime|全局/非空间|default</x:v>
      </x:c>
      <x:c r="S182" s="63" t="str">
        <x:f>IF(COUNTIF($R$6:$R$204,R182)&gt;1,"重复","唯一")</x:f>
        <x:v>唯一</x:v>
      </x:c>
      <x:c r="T182" s="63" t="str">
        <x:v>eba3495cc7bf7a301a526a8131c3ee989fd8bfa162e9fafca2c5f923936e4c36</x:v>
      </x:c>
      <x:c r="U182" s="63" t="str">
        <x:v>Codex</x:v>
      </x:c>
      <x:c r="V182" s="64" t="n">
        <x:v>46241</x:v>
      </x:c>
      <x:c r="W182" s="63" t="str">
        <x:v>项目WAV母版转码</x:v>
      </x:c>
      <x:c r="X182" s="63" t="str">
        <x:v>正式运行OGG；WAV仅作母版；AudioManager事件=enemy_die；Android/桌面统一版本化路径，禁止旧音效回退。</x:v>
      </x:c>
    </x:row>
    <x:row r="183" ht="44" customHeight="1">
      <x:c r="A183" s="63" t="str">
        <x:v>AUD-SFX-ENEMY-HIT</x:v>
      </x:c>
      <x:c r="B183" s="63" t="str">
        <x:v>敌人受击音效</x:v>
      </x:c>
      <x:c r="C183" s="63" t="str">
        <x:v>音频</x:v>
      </x:c>
      <x:c r="D183" s="63" t="str">
        <x:v>sfx</x:v>
      </x:c>
      <x:c r="E183" s="63" t="str">
        <x:v>enemy_hit</x:v>
      </x:c>
      <x:c r="F183" s="63" t="str">
        <x:v>runtime</x:v>
      </x:c>
      <x:c r="G183" s="63"/>
      <x:c r="H183" s="63" t="str">
        <x:v>全局/非空间</x:v>
      </x:c>
      <x:c r="I183" s="63" t="str">
        <x:v>default</x:v>
      </x:c>
      <x:c r="J183" s="63" t="str">
        <x:v>桌面与Android正式运行</x:v>
      </x:c>
      <x:c r="K183" s="63" t="str">
        <x:v>已完成</x:v>
      </x:c>
      <x:c r="L183" s="63" t="str">
        <x:v>P0</x:v>
      </x:c>
      <x:c r="M183" s="63" t="str">
        <x:v>v001</x:v>
      </x:c>
      <x:c r="N183" s="63" t="str">
        <x:v>44.1kHz / OGG Vorbis / stereo</x:v>
      </x:c>
      <x:c r="O183" s="63" t="str">
        <x:v>src/assets/audio/sfx/enemy_hit_v001.ogg</x:v>
      </x:c>
      <x:c r="P183" s="63" t="str">
        <x:v>src/assets/audio/sfx/enemy_hit.wav; src/音效接入说明.md</x:v>
      </x:c>
      <x:c r="Q183" s="63" t="str">
        <x:v>enemy_hit; 音效; OGG; Android; 移动端</x:v>
      </x:c>
      <x:c r="R183" s="63" t="str">
        <x:f>TEXTJOIN("|",TRUE,C183,D183,E183,F183,H183,I183)</x:f>
        <x:v>音频|sfx|enemy_hit|runtime|全局/非空间|default</x:v>
      </x:c>
      <x:c r="S183" s="63" t="str">
        <x:f>IF(COUNTIF($R$6:$R$204,R183)&gt;1,"重复","唯一")</x:f>
        <x:v>唯一</x:v>
      </x:c>
      <x:c r="T183" s="63" t="str">
        <x:v>167495a122c9f30351c44c8d4ad7a46d6324703dddf91305adf550037f429ba4</x:v>
      </x:c>
      <x:c r="U183" s="63" t="str">
        <x:v>Codex</x:v>
      </x:c>
      <x:c r="V183" s="64" t="n">
        <x:v>46241</x:v>
      </x:c>
      <x:c r="W183" s="63" t="str">
        <x:v>项目WAV母版转码</x:v>
      </x:c>
      <x:c r="X183" s="63" t="str">
        <x:v>正式运行OGG；WAV仅作母版；AudioManager事件=enemy_hit；Android/桌面统一版本化路径，禁止旧音效回退。</x:v>
      </x:c>
    </x:row>
    <x:row r="184" ht="44" customHeight="1">
      <x:c r="A184" s="63" t="str">
        <x:v>AUD-SFX-EXTRACTION-ABORT</x:v>
      </x:c>
      <x:c r="B184" s="63" t="str">
        <x:v>撤离中断音效</x:v>
      </x:c>
      <x:c r="C184" s="63" t="str">
        <x:v>音频</x:v>
      </x:c>
      <x:c r="D184" s="63" t="str">
        <x:v>sfx</x:v>
      </x:c>
      <x:c r="E184" s="63" t="str">
        <x:v>extraction_abort</x:v>
      </x:c>
      <x:c r="F184" s="63" t="str">
        <x:v>runtime</x:v>
      </x:c>
      <x:c r="G184" s="63"/>
      <x:c r="H184" s="63" t="str">
        <x:v>全局/非空间</x:v>
      </x:c>
      <x:c r="I184" s="63" t="str">
        <x:v>default</x:v>
      </x:c>
      <x:c r="J184" s="63" t="str">
        <x:v>桌面与Android正式运行</x:v>
      </x:c>
      <x:c r="K184" s="63" t="str">
        <x:v>已完成</x:v>
      </x:c>
      <x:c r="L184" s="63" t="str">
        <x:v>P0</x:v>
      </x:c>
      <x:c r="M184" s="63" t="str">
        <x:v>v001</x:v>
      </x:c>
      <x:c r="N184" s="63" t="str">
        <x:v>44.1kHz / OGG Vorbis / stereo</x:v>
      </x:c>
      <x:c r="O184" s="63" t="str">
        <x:v>src/assets/audio/sfx/extraction_abort_v001.ogg</x:v>
      </x:c>
      <x:c r="P184" s="63" t="str">
        <x:v>src/assets/audio/sfx/extraction_abort.wav; src/音效接入说明.md</x:v>
      </x:c>
      <x:c r="Q184" s="63" t="str">
        <x:v>extraction_abort; 音效; OGG; Android; 移动端</x:v>
      </x:c>
      <x:c r="R184" s="63" t="str">
        <x:f>TEXTJOIN("|",TRUE,C184,D184,E184,F184,H184,I184)</x:f>
        <x:v>音频|sfx|extraction_abort|runtime|全局/非空间|default</x:v>
      </x:c>
      <x:c r="S184" s="63" t="str">
        <x:f>IF(COUNTIF($R$6:$R$204,R184)&gt;1,"重复","唯一")</x:f>
        <x:v>唯一</x:v>
      </x:c>
      <x:c r="T184" s="63" t="str">
        <x:v>2b29c153f38d8115cdfae413ad3c4054923c65060341d26b2509e617d7c11de0</x:v>
      </x:c>
      <x:c r="U184" s="63" t="str">
        <x:v>Codex</x:v>
      </x:c>
      <x:c r="V184" s="64" t="n">
        <x:v>46241</x:v>
      </x:c>
      <x:c r="W184" s="63" t="str">
        <x:v>项目WAV母版转码</x:v>
      </x:c>
      <x:c r="X184" s="63" t="str">
        <x:v>正式运行OGG；WAV仅作母版；AudioManager事件=extraction_abort；Android/桌面统一版本化路径，禁止旧音效回退。</x:v>
      </x:c>
    </x:row>
    <x:row r="185" ht="44" customHeight="1">
      <x:c r="A185" s="63" t="str">
        <x:v>AUD-SFX-EXTRACTION-DONE</x:v>
      </x:c>
      <x:c r="B185" s="63" t="str">
        <x:v>撤离成功音效</x:v>
      </x:c>
      <x:c r="C185" s="63" t="str">
        <x:v>音频</x:v>
      </x:c>
      <x:c r="D185" s="63" t="str">
        <x:v>sfx</x:v>
      </x:c>
      <x:c r="E185" s="63" t="str">
        <x:v>extraction_done</x:v>
      </x:c>
      <x:c r="F185" s="63" t="str">
        <x:v>runtime</x:v>
      </x:c>
      <x:c r="G185" s="63"/>
      <x:c r="H185" s="63" t="str">
        <x:v>全局/非空间</x:v>
      </x:c>
      <x:c r="I185" s="63" t="str">
        <x:v>default</x:v>
      </x:c>
      <x:c r="J185" s="63" t="str">
        <x:v>桌面与Android正式运行</x:v>
      </x:c>
      <x:c r="K185" s="63" t="str">
        <x:v>已完成</x:v>
      </x:c>
      <x:c r="L185" s="63" t="str">
        <x:v>P0</x:v>
      </x:c>
      <x:c r="M185" s="63" t="str">
        <x:v>v001</x:v>
      </x:c>
      <x:c r="N185" s="63" t="str">
        <x:v>44.1kHz / OGG Vorbis / stereo</x:v>
      </x:c>
      <x:c r="O185" s="63" t="str">
        <x:v>src/assets/audio/sfx/extraction_done_v001.ogg</x:v>
      </x:c>
      <x:c r="P185" s="63" t="str">
        <x:v>src/assets/audio/sfx/extraction_done.wav; src/音效接入说明.md</x:v>
      </x:c>
      <x:c r="Q185" s="63" t="str">
        <x:v>extraction_done; 音效; OGG; Android; 移动端</x:v>
      </x:c>
      <x:c r="R185" s="63" t="str">
        <x:f>TEXTJOIN("|",TRUE,C185,D185,E185,F185,H185,I185)</x:f>
        <x:v>音频|sfx|extraction_done|runtime|全局/非空间|default</x:v>
      </x:c>
      <x:c r="S185" s="63" t="str">
        <x:f>IF(COUNTIF($R$6:$R$204,R185)&gt;1,"重复","唯一")</x:f>
        <x:v>唯一</x:v>
      </x:c>
      <x:c r="T185" s="63" t="str">
        <x:v>c6eef279ec7a88822b2554799f0a49e4549576ee4c682ef5a3440ea53279df70</x:v>
      </x:c>
      <x:c r="U185" s="63" t="str">
        <x:v>Codex</x:v>
      </x:c>
      <x:c r="V185" s="64" t="n">
        <x:v>46241</x:v>
      </x:c>
      <x:c r="W185" s="63" t="str">
        <x:v>项目WAV母版转码</x:v>
      </x:c>
      <x:c r="X185" s="63" t="str">
        <x:v>正式运行OGG；WAV仅作母版；AudioManager事件=extraction_done；Android/桌面统一版本化路径，禁止旧音效回退。</x:v>
      </x:c>
    </x:row>
    <x:row r="186" ht="44" customHeight="1">
      <x:c r="A186" s="63" t="str">
        <x:v>AUD-SFX-EXTRACTION-START</x:v>
      </x:c>
      <x:c r="B186" s="63" t="str">
        <x:v>撤离开始音效</x:v>
      </x:c>
      <x:c r="C186" s="63" t="str">
        <x:v>音频</x:v>
      </x:c>
      <x:c r="D186" s="63" t="str">
        <x:v>sfx</x:v>
      </x:c>
      <x:c r="E186" s="63" t="str">
        <x:v>extraction_start</x:v>
      </x:c>
      <x:c r="F186" s="63" t="str">
        <x:v>runtime</x:v>
      </x:c>
      <x:c r="G186" s="63"/>
      <x:c r="H186" s="63" t="str">
        <x:v>全局/非空间</x:v>
      </x:c>
      <x:c r="I186" s="63" t="str">
        <x:v>default</x:v>
      </x:c>
      <x:c r="J186" s="63" t="str">
        <x:v>桌面与Android正式运行</x:v>
      </x:c>
      <x:c r="K186" s="63" t="str">
        <x:v>已完成</x:v>
      </x:c>
      <x:c r="L186" s="63" t="str">
        <x:v>P0</x:v>
      </x:c>
      <x:c r="M186" s="63" t="str">
        <x:v>v001</x:v>
      </x:c>
      <x:c r="N186" s="63" t="str">
        <x:v>44.1kHz / OGG Vorbis / stereo</x:v>
      </x:c>
      <x:c r="O186" s="63" t="str">
        <x:v>src/assets/audio/sfx/extraction_start_v001.ogg</x:v>
      </x:c>
      <x:c r="P186" s="63" t="str">
        <x:v>src/assets/audio/sfx/extraction_start.wav; src/音效接入说明.md</x:v>
      </x:c>
      <x:c r="Q186" s="63" t="str">
        <x:v>extraction_start; 音效; OGG; Android; 移动端</x:v>
      </x:c>
      <x:c r="R186" s="63" t="str">
        <x:f>TEXTJOIN("|",TRUE,C186,D186,E186,F186,H186,I186)</x:f>
        <x:v>音频|sfx|extraction_start|runtime|全局/非空间|default</x:v>
      </x:c>
      <x:c r="S186" s="63" t="str">
        <x:f>IF(COUNTIF($R$6:$R$204,R186)&gt;1,"重复","唯一")</x:f>
        <x:v>唯一</x:v>
      </x:c>
      <x:c r="T186" s="63" t="str">
        <x:v>e44385e009738b96dac7aa7106bd489ccf55fe700332359407e0663f826c7daa</x:v>
      </x:c>
      <x:c r="U186" s="63" t="str">
        <x:v>Codex</x:v>
      </x:c>
      <x:c r="V186" s="64" t="n">
        <x:v>46241</x:v>
      </x:c>
      <x:c r="W186" s="63" t="str">
        <x:v>项目WAV母版转码</x:v>
      </x:c>
      <x:c r="X186" s="63" t="str">
        <x:v>正式运行OGG；WAV仅作母版；AudioManager事件=extraction_start；Android/桌面统一版本化路径，禁止旧音效回退。</x:v>
      </x:c>
    </x:row>
    <x:row r="187" ht="44" customHeight="1">
      <x:c r="A187" s="63" t="str">
        <x:v>AUD-SFX-FATE-CARD</x:v>
      </x:c>
      <x:c r="B187" s="63" t="str">
        <x:v>命运卡生效音效</x:v>
      </x:c>
      <x:c r="C187" s="63" t="str">
        <x:v>音频</x:v>
      </x:c>
      <x:c r="D187" s="63" t="str">
        <x:v>sfx</x:v>
      </x:c>
      <x:c r="E187" s="63" t="str">
        <x:v>fate_card</x:v>
      </x:c>
      <x:c r="F187" s="63" t="str">
        <x:v>runtime</x:v>
      </x:c>
      <x:c r="G187" s="63"/>
      <x:c r="H187" s="63" t="str">
        <x:v>全局/非空间</x:v>
      </x:c>
      <x:c r="I187" s="63" t="str">
        <x:v>default</x:v>
      </x:c>
      <x:c r="J187" s="63" t="str">
        <x:v>桌面与Android正式运行</x:v>
      </x:c>
      <x:c r="K187" s="63" t="str">
        <x:v>已完成</x:v>
      </x:c>
      <x:c r="L187" s="63" t="str">
        <x:v>P0</x:v>
      </x:c>
      <x:c r="M187" s="63" t="str">
        <x:v>v001</x:v>
      </x:c>
      <x:c r="N187" s="63" t="str">
        <x:v>44.1kHz / OGG Vorbis / stereo</x:v>
      </x:c>
      <x:c r="O187" s="63" t="str">
        <x:v>src/assets/audio/sfx/fate_card_v001.ogg</x:v>
      </x:c>
      <x:c r="P187" s="63" t="str">
        <x:v>src/assets/audio/sfx/fate_card.wav; src/音效接入说明.md</x:v>
      </x:c>
      <x:c r="Q187" s="63" t="str">
        <x:v>fate_card; 音效; OGG; Android; 移动端</x:v>
      </x:c>
      <x:c r="R187" s="63" t="str">
        <x:f>TEXTJOIN("|",TRUE,C187,D187,E187,F187,H187,I187)</x:f>
        <x:v>音频|sfx|fate_card|runtime|全局/非空间|default</x:v>
      </x:c>
      <x:c r="S187" s="63" t="str">
        <x:f>IF(COUNTIF($R$6:$R$204,R187)&gt;1,"重复","唯一")</x:f>
        <x:v>唯一</x:v>
      </x:c>
      <x:c r="T187" s="63" t="str">
        <x:v>7cdce8d37b6308c0df873f4f20e80d319e546cb24ab5d860ea0cef5bd4ae3488</x:v>
      </x:c>
      <x:c r="U187" s="63" t="str">
        <x:v>Codex</x:v>
      </x:c>
      <x:c r="V187" s="64" t="n">
        <x:v>46241</x:v>
      </x:c>
      <x:c r="W187" s="63" t="str">
        <x:v>项目WAV母版转码</x:v>
      </x:c>
      <x:c r="X187" s="63" t="str">
        <x:v>正式运行OGG；WAV仅作母版；AudioManager事件=fate_card；Android/桌面统一版本化路径，禁止旧音效回退。</x:v>
      </x:c>
    </x:row>
    <x:row r="188" ht="44" customHeight="1">
      <x:c r="A188" s="63" t="str">
        <x:v>AUD-SFX-ITEM-PICKUP</x:v>
      </x:c>
      <x:c r="B188" s="63" t="str">
        <x:v>物品拾取音效</x:v>
      </x:c>
      <x:c r="C188" s="63" t="str">
        <x:v>音频</x:v>
      </x:c>
      <x:c r="D188" s="63" t="str">
        <x:v>sfx</x:v>
      </x:c>
      <x:c r="E188" s="63" t="str">
        <x:v>item_pickup</x:v>
      </x:c>
      <x:c r="F188" s="63" t="str">
        <x:v>runtime</x:v>
      </x:c>
      <x:c r="G188" s="63"/>
      <x:c r="H188" s="63" t="str">
        <x:v>全局/非空间</x:v>
      </x:c>
      <x:c r="I188" s="63" t="str">
        <x:v>default</x:v>
      </x:c>
      <x:c r="J188" s="63" t="str">
        <x:v>桌面与Android正式运行</x:v>
      </x:c>
      <x:c r="K188" s="63" t="str">
        <x:v>已完成</x:v>
      </x:c>
      <x:c r="L188" s="63" t="str">
        <x:v>P0</x:v>
      </x:c>
      <x:c r="M188" s="63" t="str">
        <x:v>v001</x:v>
      </x:c>
      <x:c r="N188" s="63" t="str">
        <x:v>44.1kHz / OGG Vorbis / stereo</x:v>
      </x:c>
      <x:c r="O188" s="63" t="str">
        <x:v>src/assets/audio/sfx/item_pickup_v001.ogg</x:v>
      </x:c>
      <x:c r="P188" s="63" t="str">
        <x:v>src/assets/audio/sfx/item_pickup.wav; src/音效接入说明.md</x:v>
      </x:c>
      <x:c r="Q188" s="63" t="str">
        <x:v>item_pickup; 音效; OGG; Android; 移动端</x:v>
      </x:c>
      <x:c r="R188" s="63" t="str">
        <x:f>TEXTJOIN("|",TRUE,C188,D188,E188,F188,H188,I188)</x:f>
        <x:v>音频|sfx|item_pickup|runtime|全局/非空间|default</x:v>
      </x:c>
      <x:c r="S188" s="63" t="str">
        <x:f>IF(COUNTIF($R$6:$R$204,R188)&gt;1,"重复","唯一")</x:f>
        <x:v>唯一</x:v>
      </x:c>
      <x:c r="T188" s="63" t="str">
        <x:v>7114f2ac9b0dc6ee500f5176b315b5f8a84f9ec7e3c5168dc342febdb747c290</x:v>
      </x:c>
      <x:c r="U188" s="63" t="str">
        <x:v>Codex</x:v>
      </x:c>
      <x:c r="V188" s="64" t="n">
        <x:v>46241</x:v>
      </x:c>
      <x:c r="W188" s="63" t="str">
        <x:v>项目WAV母版转码</x:v>
      </x:c>
      <x:c r="X188" s="63" t="str">
        <x:v>正式运行OGG；WAV仅作母版；AudioManager事件=item_pickup；Android/桌面统一版本化路径，禁止旧音效回退。</x:v>
      </x:c>
    </x:row>
    <x:row r="189" ht="44" customHeight="1">
      <x:c r="A189" s="63" t="str">
        <x:v>AUD-SFX-LASER-FIRE</x:v>
      </x:c>
      <x:c r="B189" s="63" t="str">
        <x:v>能量武器射击音效</x:v>
      </x:c>
      <x:c r="C189" s="63" t="str">
        <x:v>音频</x:v>
      </x:c>
      <x:c r="D189" s="63" t="str">
        <x:v>sfx</x:v>
      </x:c>
      <x:c r="E189" s="63" t="str">
        <x:v>laser_fire</x:v>
      </x:c>
      <x:c r="F189" s="63" t="str">
        <x:v>runtime</x:v>
      </x:c>
      <x:c r="G189" s="63"/>
      <x:c r="H189" s="63" t="str">
        <x:v>全局/非空间</x:v>
      </x:c>
      <x:c r="I189" s="63" t="str">
        <x:v>default</x:v>
      </x:c>
      <x:c r="J189" s="63" t="str">
        <x:v>桌面与Android正式运行</x:v>
      </x:c>
      <x:c r="K189" s="63" t="str">
        <x:v>已完成</x:v>
      </x:c>
      <x:c r="L189" s="63" t="str">
        <x:v>P0</x:v>
      </x:c>
      <x:c r="M189" s="63" t="str">
        <x:v>v001</x:v>
      </x:c>
      <x:c r="N189" s="63" t="str">
        <x:v>44.1kHz / OGG Vorbis / stereo</x:v>
      </x:c>
      <x:c r="O189" s="63" t="str">
        <x:v>src/assets/audio/sfx/laser_fire_v001.ogg</x:v>
      </x:c>
      <x:c r="P189" s="63" t="str">
        <x:v>src/assets/audio/sfx/laser_fire.wav; src/音效接入说明.md</x:v>
      </x:c>
      <x:c r="Q189" s="63" t="str">
        <x:v>laser_fire; 音效; OGG; Android; 移动端</x:v>
      </x:c>
      <x:c r="R189" s="63" t="str">
        <x:f>TEXTJOIN("|",TRUE,C189,D189,E189,F189,H189,I189)</x:f>
        <x:v>音频|sfx|laser_fire|runtime|全局/非空间|default</x:v>
      </x:c>
      <x:c r="S189" s="63" t="str">
        <x:f>IF(COUNTIF($R$6:$R$204,R189)&gt;1,"重复","唯一")</x:f>
        <x:v>唯一</x:v>
      </x:c>
      <x:c r="T189" s="63" t="str">
        <x:v>b9fa5b0e0835a0e18b5a0bb29bff7fcc94944020f3eb9a8424343786ab845191</x:v>
      </x:c>
      <x:c r="U189" s="63" t="str">
        <x:v>Codex</x:v>
      </x:c>
      <x:c r="V189" s="64" t="n">
        <x:v>46241</x:v>
      </x:c>
      <x:c r="W189" s="63" t="str">
        <x:v>项目WAV母版转码</x:v>
      </x:c>
      <x:c r="X189" s="63" t="str">
        <x:v>正式运行OGG；WAV仅作母版；AudioManager事件=laser_fire；Android/桌面统一版本化路径，禁止旧音效回退。</x:v>
      </x:c>
    </x:row>
    <x:row r="190" ht="44" customHeight="1">
      <x:c r="A190" s="63" t="str">
        <x:v>AUD-SFX-MERCHANT-PURCHASE</x:v>
      </x:c>
      <x:c r="B190" s="63" t="str">
        <x:v>交易成功音效</x:v>
      </x:c>
      <x:c r="C190" s="63" t="str">
        <x:v>音频</x:v>
      </x:c>
      <x:c r="D190" s="63" t="str">
        <x:v>sfx</x:v>
      </x:c>
      <x:c r="E190" s="63" t="str">
        <x:v>merchant_purchase</x:v>
      </x:c>
      <x:c r="F190" s="63" t="str">
        <x:v>runtime</x:v>
      </x:c>
      <x:c r="G190" s="63"/>
      <x:c r="H190" s="63" t="str">
        <x:v>全局/非空间</x:v>
      </x:c>
      <x:c r="I190" s="63" t="str">
        <x:v>default</x:v>
      </x:c>
      <x:c r="J190" s="63" t="str">
        <x:v>桌面与Android正式运行</x:v>
      </x:c>
      <x:c r="K190" s="63" t="str">
        <x:v>已完成</x:v>
      </x:c>
      <x:c r="L190" s="63" t="str">
        <x:v>P0</x:v>
      </x:c>
      <x:c r="M190" s="63" t="str">
        <x:v>v001</x:v>
      </x:c>
      <x:c r="N190" s="63" t="str">
        <x:v>44.1kHz / OGG Vorbis / stereo</x:v>
      </x:c>
      <x:c r="O190" s="63" t="str">
        <x:v>src/assets/audio/sfx/merchant_purchase_v001.ogg</x:v>
      </x:c>
      <x:c r="P190" s="63" t="str">
        <x:v>src/assets/audio/sfx/merchant_purchase.wav; src/音效接入说明.md</x:v>
      </x:c>
      <x:c r="Q190" s="63" t="str">
        <x:v>merchant_purchase; 音效; OGG; Android; 移动端</x:v>
      </x:c>
      <x:c r="R190" s="63" t="str">
        <x:f>TEXTJOIN("|",TRUE,C190,D190,E190,F190,H190,I190)</x:f>
        <x:v>音频|sfx|merchant_purchase|runtime|全局/非空间|default</x:v>
      </x:c>
      <x:c r="S190" s="63" t="str">
        <x:f>IF(COUNTIF($R$6:$R$204,R190)&gt;1,"重复","唯一")</x:f>
        <x:v>唯一</x:v>
      </x:c>
      <x:c r="T190" s="63" t="str">
        <x:v>ff71a229a012ea8ed985ab286ea01672af277dd33a62549dd080f1e9026d53c2</x:v>
      </x:c>
      <x:c r="U190" s="63" t="str">
        <x:v>Codex</x:v>
      </x:c>
      <x:c r="V190" s="64" t="n">
        <x:v>46241</x:v>
      </x:c>
      <x:c r="W190" s="63" t="str">
        <x:v>项目WAV母版转码</x:v>
      </x:c>
      <x:c r="X190" s="63" t="str">
        <x:v>正式运行OGG；WAV仅作母版；AudioManager事件=merchant_purchase；Android/桌面统一版本化路径，禁止旧音效回退。</x:v>
      </x:c>
    </x:row>
    <x:row r="191" ht="44" customHeight="1">
      <x:c r="A191" s="63" t="str">
        <x:v>AUD-SFX-PISTOL-FIRE</x:v>
      </x:c>
      <x:c r="B191" s="63" t="str">
        <x:v>手枪射击音效</x:v>
      </x:c>
      <x:c r="C191" s="63" t="str">
        <x:v>音频</x:v>
      </x:c>
      <x:c r="D191" s="63" t="str">
        <x:v>sfx</x:v>
      </x:c>
      <x:c r="E191" s="63" t="str">
        <x:v>pistol_fire</x:v>
      </x:c>
      <x:c r="F191" s="63" t="str">
        <x:v>runtime</x:v>
      </x:c>
      <x:c r="G191" s="63"/>
      <x:c r="H191" s="63" t="str">
        <x:v>全局/非空间</x:v>
      </x:c>
      <x:c r="I191" s="63" t="str">
        <x:v>default</x:v>
      </x:c>
      <x:c r="J191" s="63" t="str">
        <x:v>桌面与Android正式运行</x:v>
      </x:c>
      <x:c r="K191" s="63" t="str">
        <x:v>已完成</x:v>
      </x:c>
      <x:c r="L191" s="63" t="str">
        <x:v>P0</x:v>
      </x:c>
      <x:c r="M191" s="63" t="str">
        <x:v>v001</x:v>
      </x:c>
      <x:c r="N191" s="63" t="str">
        <x:v>44.1kHz / OGG Vorbis / stereo</x:v>
      </x:c>
      <x:c r="O191" s="63" t="str">
        <x:v>src/assets/audio/sfx/pistol_fire_v001.ogg</x:v>
      </x:c>
      <x:c r="P191" s="63" t="str">
        <x:v>src/assets/audio/sfx/pistol_fire.wav; src/音效接入说明.md</x:v>
      </x:c>
      <x:c r="Q191" s="63" t="str">
        <x:v>pistol_fire; 音效; OGG; Android; 移动端</x:v>
      </x:c>
      <x:c r="R191" s="63" t="str">
        <x:f>TEXTJOIN("|",TRUE,C191,D191,E191,F191,H191,I191)</x:f>
        <x:v>音频|sfx|pistol_fire|runtime|全局/非空间|default</x:v>
      </x:c>
      <x:c r="S191" s="63" t="str">
        <x:f>IF(COUNTIF($R$6:$R$204,R191)&gt;1,"重复","唯一")</x:f>
        <x:v>唯一</x:v>
      </x:c>
      <x:c r="T191" s="63" t="str">
        <x:v>b2c39d4579cf13e32f98e79eb57b6ea0efeb5af7a497c60dc1acf94e8dd16937</x:v>
      </x:c>
      <x:c r="U191" s="63" t="str">
        <x:v>Codex</x:v>
      </x:c>
      <x:c r="V191" s="64" t="n">
        <x:v>46241</x:v>
      </x:c>
      <x:c r="W191" s="63" t="str">
        <x:v>项目WAV母版转码</x:v>
      </x:c>
      <x:c r="X191" s="63" t="str">
        <x:v>正式运行OGG；WAV仅作母版；AudioManager事件=pistol_fire；Android/桌面统一版本化路径，禁止旧音效回退。</x:v>
      </x:c>
    </x:row>
    <x:row r="192" ht="44" customHeight="1">
      <x:c r="A192" s="63" t="str">
        <x:v>AUD-SFX-PLAYER-DASH</x:v>
      </x:c>
      <x:c r="B192" s="63" t="str">
        <x:v>玩家冲刺音效</x:v>
      </x:c>
      <x:c r="C192" s="63" t="str">
        <x:v>音频</x:v>
      </x:c>
      <x:c r="D192" s="63" t="str">
        <x:v>sfx</x:v>
      </x:c>
      <x:c r="E192" s="63" t="str">
        <x:v>player_dash</x:v>
      </x:c>
      <x:c r="F192" s="63" t="str">
        <x:v>runtime</x:v>
      </x:c>
      <x:c r="G192" s="63"/>
      <x:c r="H192" s="63" t="str">
        <x:v>全局/非空间</x:v>
      </x:c>
      <x:c r="I192" s="63" t="str">
        <x:v>default</x:v>
      </x:c>
      <x:c r="J192" s="63" t="str">
        <x:v>桌面与Android正式运行</x:v>
      </x:c>
      <x:c r="K192" s="63" t="str">
        <x:v>已完成</x:v>
      </x:c>
      <x:c r="L192" s="63" t="str">
        <x:v>P0</x:v>
      </x:c>
      <x:c r="M192" s="63" t="str">
        <x:v>v001</x:v>
      </x:c>
      <x:c r="N192" s="63" t="str">
        <x:v>44.1kHz / OGG Vorbis / stereo</x:v>
      </x:c>
      <x:c r="O192" s="63" t="str">
        <x:v>src/assets/audio/sfx/player_dash_v001.ogg</x:v>
      </x:c>
      <x:c r="P192" s="63" t="str">
        <x:v>src/assets/audio/sfx/player_dash.wav; src/音效接入说明.md</x:v>
      </x:c>
      <x:c r="Q192" s="63" t="str">
        <x:v>player_dash; 音效; OGG; Android; 移动端</x:v>
      </x:c>
      <x:c r="R192" s="63" t="str">
        <x:f>TEXTJOIN("|",TRUE,C192,D192,E192,F192,H192,I192)</x:f>
        <x:v>音频|sfx|player_dash|runtime|全局/非空间|default</x:v>
      </x:c>
      <x:c r="S192" s="63" t="str">
        <x:f>IF(COUNTIF($R$6:$R$204,R192)&gt;1,"重复","唯一")</x:f>
        <x:v>唯一</x:v>
      </x:c>
      <x:c r="T192" s="63" t="str">
        <x:v>5d437b11f4b79d593ded0045cf202542b44ac0eb7344561ec96c659ad9ea6930</x:v>
      </x:c>
      <x:c r="U192" s="63" t="str">
        <x:v>Codex</x:v>
      </x:c>
      <x:c r="V192" s="64" t="n">
        <x:v>46241</x:v>
      </x:c>
      <x:c r="W192" s="63" t="str">
        <x:v>项目WAV母版转码</x:v>
      </x:c>
      <x:c r="X192" s="63" t="str">
        <x:v>正式运行OGG；WAV仅作母版；AudioManager事件=player_dash；Android/桌面统一版本化路径，禁止旧音效回退。</x:v>
      </x:c>
    </x:row>
    <x:row r="193" ht="44" customHeight="1">
      <x:c r="A193" s="63" t="str">
        <x:v>AUD-SFX-PLAYER-HIT</x:v>
      </x:c>
      <x:c r="B193" s="63" t="str">
        <x:v>玩家受击音效</x:v>
      </x:c>
      <x:c r="C193" s="63" t="str">
        <x:v>音频</x:v>
      </x:c>
      <x:c r="D193" s="63" t="str">
        <x:v>sfx</x:v>
      </x:c>
      <x:c r="E193" s="63" t="str">
        <x:v>player_hit</x:v>
      </x:c>
      <x:c r="F193" s="63" t="str">
        <x:v>runtime</x:v>
      </x:c>
      <x:c r="G193" s="63"/>
      <x:c r="H193" s="63" t="str">
        <x:v>全局/非空间</x:v>
      </x:c>
      <x:c r="I193" s="63" t="str">
        <x:v>default</x:v>
      </x:c>
      <x:c r="J193" s="63" t="str">
        <x:v>桌面与Android正式运行</x:v>
      </x:c>
      <x:c r="K193" s="63" t="str">
        <x:v>已完成</x:v>
      </x:c>
      <x:c r="L193" s="63" t="str">
        <x:v>P0</x:v>
      </x:c>
      <x:c r="M193" s="63" t="str">
        <x:v>v001</x:v>
      </x:c>
      <x:c r="N193" s="63" t="str">
        <x:v>44.1kHz / OGG Vorbis / stereo</x:v>
      </x:c>
      <x:c r="O193" s="63" t="str">
        <x:v>src/assets/audio/sfx/player_hit_v001.ogg</x:v>
      </x:c>
      <x:c r="P193" s="63" t="str">
        <x:v>src/assets/audio/sfx/player_hit.wav; src/音效接入说明.md</x:v>
      </x:c>
      <x:c r="Q193" s="63" t="str">
        <x:v>player_hit; 音效; OGG; Android; 移动端</x:v>
      </x:c>
      <x:c r="R193" s="63" t="str">
        <x:f>TEXTJOIN("|",TRUE,C193,D193,E193,F193,H193,I193)</x:f>
        <x:v>音频|sfx|player_hit|runtime|全局/非空间|default</x:v>
      </x:c>
      <x:c r="S193" s="63" t="str">
        <x:f>IF(COUNTIF($R$6:$R$204,R193)&gt;1,"重复","唯一")</x:f>
        <x:v>唯一</x:v>
      </x:c>
      <x:c r="T193" s="63" t="str">
        <x:v>aa5bec92c2734e64ae75245c0fcb165c915981cf77d107c579649c228fc50eb2</x:v>
      </x:c>
      <x:c r="U193" s="63" t="str">
        <x:v>Codex</x:v>
      </x:c>
      <x:c r="V193" s="64" t="n">
        <x:v>46241</x:v>
      </x:c>
      <x:c r="W193" s="63" t="str">
        <x:v>项目WAV母版转码</x:v>
      </x:c>
      <x:c r="X193" s="63" t="str">
        <x:v>正式运行OGG；WAV仅作母版；AudioManager事件=player_hit；Android/桌面统一版本化路径，禁止旧音效回退。</x:v>
      </x:c>
    </x:row>
    <x:row r="194" ht="44" customHeight="1">
      <x:c r="A194" s="63" t="str">
        <x:v>AUD-SFX-RELOAD</x:v>
      </x:c>
      <x:c r="B194" s="63" t="str">
        <x:v>换弹音效</x:v>
      </x:c>
      <x:c r="C194" s="63" t="str">
        <x:v>音频</x:v>
      </x:c>
      <x:c r="D194" s="63" t="str">
        <x:v>sfx</x:v>
      </x:c>
      <x:c r="E194" s="63" t="str">
        <x:v>reload</x:v>
      </x:c>
      <x:c r="F194" s="63" t="str">
        <x:v>runtime</x:v>
      </x:c>
      <x:c r="G194" s="63"/>
      <x:c r="H194" s="63" t="str">
        <x:v>全局/非空间</x:v>
      </x:c>
      <x:c r="I194" s="63" t="str">
        <x:v>default</x:v>
      </x:c>
      <x:c r="J194" s="63" t="str">
        <x:v>桌面与Android正式运行</x:v>
      </x:c>
      <x:c r="K194" s="63" t="str">
        <x:v>已完成</x:v>
      </x:c>
      <x:c r="L194" s="63" t="str">
        <x:v>P0</x:v>
      </x:c>
      <x:c r="M194" s="63" t="str">
        <x:v>v001</x:v>
      </x:c>
      <x:c r="N194" s="63" t="str">
        <x:v>44.1kHz / OGG Vorbis / stereo</x:v>
      </x:c>
      <x:c r="O194" s="63" t="str">
        <x:v>src/assets/audio/sfx/reload_v001.ogg</x:v>
      </x:c>
      <x:c r="P194" s="63" t="str">
        <x:v>src/assets/audio/sfx/reload.wav; src/音效接入说明.md</x:v>
      </x:c>
      <x:c r="Q194" s="63" t="str">
        <x:v>reload; 音效; OGG; Android; 移动端</x:v>
      </x:c>
      <x:c r="R194" s="63" t="str">
        <x:f>TEXTJOIN("|",TRUE,C194,D194,E194,F194,H194,I194)</x:f>
        <x:v>音频|sfx|reload|runtime|全局/非空间|default</x:v>
      </x:c>
      <x:c r="S194" s="63" t="str">
        <x:f>IF(COUNTIF($R$6:$R$204,R194)&gt;1,"重复","唯一")</x:f>
        <x:v>唯一</x:v>
      </x:c>
      <x:c r="T194" s="63" t="str">
        <x:v>0d60be5b4b3e9955d34c69e5719ae8d3147d6e87d3ffa58beae8d2beae42d0c7</x:v>
      </x:c>
      <x:c r="U194" s="63" t="str">
        <x:v>Codex</x:v>
      </x:c>
      <x:c r="V194" s="64" t="n">
        <x:v>46241</x:v>
      </x:c>
      <x:c r="W194" s="63" t="str">
        <x:v>项目WAV母版转码</x:v>
      </x:c>
      <x:c r="X194" s="63" t="str">
        <x:v>正式运行OGG；WAV仅作母版；AudioManager事件=reload；Android/桌面统一版本化路径，禁止旧音效回退。</x:v>
      </x:c>
    </x:row>
    <x:row r="195" ht="44" customHeight="1">
      <x:c r="A195" s="63" t="str">
        <x:v>AUD-SFX-RIFLE-FIRE</x:v>
      </x:c>
      <x:c r="B195" s="63" t="str">
        <x:v>步枪射击音效</x:v>
      </x:c>
      <x:c r="C195" s="63" t="str">
        <x:v>音频</x:v>
      </x:c>
      <x:c r="D195" s="63" t="str">
        <x:v>sfx</x:v>
      </x:c>
      <x:c r="E195" s="63" t="str">
        <x:v>rifle_fire</x:v>
      </x:c>
      <x:c r="F195" s="63" t="str">
        <x:v>runtime</x:v>
      </x:c>
      <x:c r="G195" s="63"/>
      <x:c r="H195" s="63" t="str">
        <x:v>全局/非空间</x:v>
      </x:c>
      <x:c r="I195" s="63" t="str">
        <x:v>default</x:v>
      </x:c>
      <x:c r="J195" s="63" t="str">
        <x:v>桌面与Android正式运行</x:v>
      </x:c>
      <x:c r="K195" s="63" t="str">
        <x:v>已完成</x:v>
      </x:c>
      <x:c r="L195" s="63" t="str">
        <x:v>P0</x:v>
      </x:c>
      <x:c r="M195" s="63" t="str">
        <x:v>v001</x:v>
      </x:c>
      <x:c r="N195" s="63" t="str">
        <x:v>44.1kHz / OGG Vorbis / stereo</x:v>
      </x:c>
      <x:c r="O195" s="63" t="str">
        <x:v>src/assets/audio/sfx/rifle_fire_v001.ogg</x:v>
      </x:c>
      <x:c r="P195" s="63" t="str">
        <x:v>src/assets/audio/sfx/rifle_fire.wav; src/音效接入说明.md</x:v>
      </x:c>
      <x:c r="Q195" s="63" t="str">
        <x:v>rifle_fire; 音效; OGG; Android; 移动端</x:v>
      </x:c>
      <x:c r="R195" s="63" t="str">
        <x:f>TEXTJOIN("|",TRUE,C195,D195,E195,F195,H195,I195)</x:f>
        <x:v>音频|sfx|rifle_fire|runtime|全局/非空间|default</x:v>
      </x:c>
      <x:c r="S195" s="63" t="str">
        <x:f>IF(COUNTIF($R$6:$R$204,R195)&gt;1,"重复","唯一")</x:f>
        <x:v>唯一</x:v>
      </x:c>
      <x:c r="T195" s="63" t="str">
        <x:v>c5b6cc8c2beb44f22c72c1d201b750dd79dc877ae88f0067ef246103948e0e33</x:v>
      </x:c>
      <x:c r="U195" s="63" t="str">
        <x:v>Codex</x:v>
      </x:c>
      <x:c r="V195" s="64" t="n">
        <x:v>46241</x:v>
      </x:c>
      <x:c r="W195" s="63" t="str">
        <x:v>项目WAV母版转码</x:v>
      </x:c>
      <x:c r="X195" s="63" t="str">
        <x:v>正式运行OGG；WAV仅作母版；AudioManager事件=rifle_fire；Android/桌面统一版本化路径，禁止旧音效回退。</x:v>
      </x:c>
    </x:row>
    <x:row r="196" ht="44" customHeight="1">
      <x:c r="A196" s="63" t="str">
        <x:v>AUD-SFX-SHOTGUN-FIRE</x:v>
      </x:c>
      <x:c r="B196" s="63" t="str">
        <x:v>霰弹枪射击音效</x:v>
      </x:c>
      <x:c r="C196" s="63" t="str">
        <x:v>音频</x:v>
      </x:c>
      <x:c r="D196" s="63" t="str">
        <x:v>sfx</x:v>
      </x:c>
      <x:c r="E196" s="63" t="str">
        <x:v>shotgun_fire</x:v>
      </x:c>
      <x:c r="F196" s="63" t="str">
        <x:v>runtime</x:v>
      </x:c>
      <x:c r="G196" s="63"/>
      <x:c r="H196" s="63" t="str">
        <x:v>全局/非空间</x:v>
      </x:c>
      <x:c r="I196" s="63" t="str">
        <x:v>default</x:v>
      </x:c>
      <x:c r="J196" s="63" t="str">
        <x:v>桌面与Android正式运行</x:v>
      </x:c>
      <x:c r="K196" s="63" t="str">
        <x:v>已完成</x:v>
      </x:c>
      <x:c r="L196" s="63" t="str">
        <x:v>P0</x:v>
      </x:c>
      <x:c r="M196" s="63" t="str">
        <x:v>v001</x:v>
      </x:c>
      <x:c r="N196" s="63" t="str">
        <x:v>44.1kHz / OGG Vorbis / stereo</x:v>
      </x:c>
      <x:c r="O196" s="63" t="str">
        <x:v>src/assets/audio/sfx/shotgun_fire_v001.ogg</x:v>
      </x:c>
      <x:c r="P196" s="63" t="str">
        <x:v>src/assets/audio/sfx/shotgun_fire.wav; src/音效接入说明.md</x:v>
      </x:c>
      <x:c r="Q196" s="63" t="str">
        <x:v>shotgun_fire; 音效; OGG; Android; 移动端</x:v>
      </x:c>
      <x:c r="R196" s="63" t="str">
        <x:f>TEXTJOIN("|",TRUE,C196,D196,E196,F196,H196,I196)</x:f>
        <x:v>音频|sfx|shotgun_fire|runtime|全局/非空间|default</x:v>
      </x:c>
      <x:c r="S196" s="63" t="str">
        <x:f>IF(COUNTIF($R$6:$R$204,R196)&gt;1,"重复","唯一")</x:f>
        <x:v>唯一</x:v>
      </x:c>
      <x:c r="T196" s="63" t="str">
        <x:v>e4b8feb67d9a438892183fa3a2e4afec8e3131235be342c02b1ce72e25767466</x:v>
      </x:c>
      <x:c r="U196" s="63" t="str">
        <x:v>Codex</x:v>
      </x:c>
      <x:c r="V196" s="64" t="n">
        <x:v>46241</x:v>
      </x:c>
      <x:c r="W196" s="63" t="str">
        <x:v>项目WAV母版转码</x:v>
      </x:c>
      <x:c r="X196" s="63" t="str">
        <x:v>正式运行OGG；WAV仅作母版；AudioManager事件=shotgun_fire；Android/桌面统一版本化路径，禁止旧音效回退。</x:v>
      </x:c>
    </x:row>
    <x:row r="197" ht="44" customHeight="1">
      <x:c r="A197" s="63" t="str">
        <x:v>AUD-SFX-SMG-FIRE</x:v>
      </x:c>
      <x:c r="B197" s="63" t="str">
        <x:v>冲锋枪射击音效</x:v>
      </x:c>
      <x:c r="C197" s="63" t="str">
        <x:v>音频</x:v>
      </x:c>
      <x:c r="D197" s="63" t="str">
        <x:v>sfx</x:v>
      </x:c>
      <x:c r="E197" s="63" t="str">
        <x:v>smg_fire</x:v>
      </x:c>
      <x:c r="F197" s="63" t="str">
        <x:v>runtime</x:v>
      </x:c>
      <x:c r="G197" s="63"/>
      <x:c r="H197" s="63" t="str">
        <x:v>全局/非空间</x:v>
      </x:c>
      <x:c r="I197" s="63" t="str">
        <x:v>default</x:v>
      </x:c>
      <x:c r="J197" s="63" t="str">
        <x:v>桌面与Android正式运行</x:v>
      </x:c>
      <x:c r="K197" s="63" t="str">
        <x:v>已完成</x:v>
      </x:c>
      <x:c r="L197" s="63" t="str">
        <x:v>P0</x:v>
      </x:c>
      <x:c r="M197" s="63" t="str">
        <x:v>v001</x:v>
      </x:c>
      <x:c r="N197" s="63" t="str">
        <x:v>44.1kHz / OGG Vorbis / stereo</x:v>
      </x:c>
      <x:c r="O197" s="63" t="str">
        <x:v>src/assets/audio/sfx/smg_fire_v001.ogg</x:v>
      </x:c>
      <x:c r="P197" s="63" t="str">
        <x:v>src/assets/audio/sfx/smg_fire.wav; src/音效接入说明.md</x:v>
      </x:c>
      <x:c r="Q197" s="63" t="str">
        <x:v>smg_fire; 音效; OGG; Android; 移动端</x:v>
      </x:c>
      <x:c r="R197" s="63" t="str">
        <x:f>TEXTJOIN("|",TRUE,C197,D197,E197,F197,H197,I197)</x:f>
        <x:v>音频|sfx|smg_fire|runtime|全局/非空间|default</x:v>
      </x:c>
      <x:c r="S197" s="63" t="str">
        <x:f>IF(COUNTIF($R$6:$R$204,R197)&gt;1,"重复","唯一")</x:f>
        <x:v>唯一</x:v>
      </x:c>
      <x:c r="T197" s="63" t="str">
        <x:v>282379aa6850e03dd6109928a22ad7792563768414ece93374c7cff725d306fa</x:v>
      </x:c>
      <x:c r="U197" s="63" t="str">
        <x:v>Codex</x:v>
      </x:c>
      <x:c r="V197" s="64" t="n">
        <x:v>46241</x:v>
      </x:c>
      <x:c r="W197" s="63" t="str">
        <x:v>项目WAV母版转码</x:v>
      </x:c>
      <x:c r="X197" s="63" t="str">
        <x:v>正式运行OGG；WAV仅作母版；AudioManager事件=smg_fire；Android/桌面统一版本化路径，禁止旧音效回退。</x:v>
      </x:c>
    </x:row>
    <x:row r="198" ht="44" customHeight="1">
      <x:c r="A198" s="63" t="str">
        <x:v>AUD-SFX-SNIPER-FIRE</x:v>
      </x:c>
      <x:c r="B198" s="63" t="str">
        <x:v>狙击枪射击音效</x:v>
      </x:c>
      <x:c r="C198" s="63" t="str">
        <x:v>音频</x:v>
      </x:c>
      <x:c r="D198" s="63" t="str">
        <x:v>sfx</x:v>
      </x:c>
      <x:c r="E198" s="63" t="str">
        <x:v>sniper_fire</x:v>
      </x:c>
      <x:c r="F198" s="63" t="str">
        <x:v>runtime</x:v>
      </x:c>
      <x:c r="G198" s="63"/>
      <x:c r="H198" s="63" t="str">
        <x:v>全局/非空间</x:v>
      </x:c>
      <x:c r="I198" s="63" t="str">
        <x:v>default</x:v>
      </x:c>
      <x:c r="J198" s="63" t="str">
        <x:v>桌面与Android正式运行</x:v>
      </x:c>
      <x:c r="K198" s="63" t="str">
        <x:v>已完成</x:v>
      </x:c>
      <x:c r="L198" s="63" t="str">
        <x:v>P0</x:v>
      </x:c>
      <x:c r="M198" s="63" t="str">
        <x:v>v001</x:v>
      </x:c>
      <x:c r="N198" s="63" t="str">
        <x:v>44.1kHz / OGG Vorbis / stereo</x:v>
      </x:c>
      <x:c r="O198" s="63" t="str">
        <x:v>src/assets/audio/sfx/sniper_fire_v001.ogg</x:v>
      </x:c>
      <x:c r="P198" s="63" t="str">
        <x:v>src/assets/audio/sfx/sniper_fire.wav; src/音效接入说明.md</x:v>
      </x:c>
      <x:c r="Q198" s="63" t="str">
        <x:v>sniper_fire; 音效; OGG; Android; 移动端</x:v>
      </x:c>
      <x:c r="R198" s="63" t="str">
        <x:f>TEXTJOIN("|",TRUE,C198,D198,E198,F198,H198,I198)</x:f>
        <x:v>音频|sfx|sniper_fire|runtime|全局/非空间|default</x:v>
      </x:c>
      <x:c r="S198" s="63" t="str">
        <x:f>IF(COUNTIF($R$6:$R$204,R198)&gt;1,"重复","唯一")</x:f>
        <x:v>唯一</x:v>
      </x:c>
      <x:c r="T198" s="63" t="str">
        <x:v>0d5161b3b8faece3024ad618916c203cd3d274d3b373af7bcbbd22baa0ab3968</x:v>
      </x:c>
      <x:c r="U198" s="63" t="str">
        <x:v>Codex</x:v>
      </x:c>
      <x:c r="V198" s="64" t="n">
        <x:v>46241</x:v>
      </x:c>
      <x:c r="W198" s="63" t="str">
        <x:v>项目WAV母版转码</x:v>
      </x:c>
      <x:c r="X198" s="63" t="str">
        <x:v>正式运行OGG；WAV仅作母版；AudioManager事件=sniper_fire；Android/桌面统一版本化路径，禁止旧音效回退。</x:v>
      </x:c>
    </x:row>
    <x:row r="199" ht="44" customHeight="1">
      <x:c r="A199" s="63" t="str">
        <x:v>AUD-SFX-SOUL-PICKUP</x:v>
      </x:c>
      <x:c r="B199" s="63" t="str">
        <x:v>魂球拾取音效</x:v>
      </x:c>
      <x:c r="C199" s="63" t="str">
        <x:v>音频</x:v>
      </x:c>
      <x:c r="D199" s="63" t="str">
        <x:v>sfx</x:v>
      </x:c>
      <x:c r="E199" s="63" t="str">
        <x:v>soul_pickup</x:v>
      </x:c>
      <x:c r="F199" s="63" t="str">
        <x:v>runtime</x:v>
      </x:c>
      <x:c r="G199" s="63"/>
      <x:c r="H199" s="63" t="str">
        <x:v>全局/非空间</x:v>
      </x:c>
      <x:c r="I199" s="63" t="str">
        <x:v>default</x:v>
      </x:c>
      <x:c r="J199" s="63" t="str">
        <x:v>桌面与Android正式运行</x:v>
      </x:c>
      <x:c r="K199" s="63" t="str">
        <x:v>已完成</x:v>
      </x:c>
      <x:c r="L199" s="63" t="str">
        <x:v>P0</x:v>
      </x:c>
      <x:c r="M199" s="63" t="str">
        <x:v>v001</x:v>
      </x:c>
      <x:c r="N199" s="63" t="str">
        <x:v>44.1kHz / OGG Vorbis / stereo</x:v>
      </x:c>
      <x:c r="O199" s="63" t="str">
        <x:v>src/assets/audio/sfx/soul_pickup_v001.ogg</x:v>
      </x:c>
      <x:c r="P199" s="63" t="str">
        <x:v>src/assets/audio/sfx/soul_pickup.wav; src/音效接入说明.md</x:v>
      </x:c>
      <x:c r="Q199" s="63" t="str">
        <x:v>soul_pickup; 音效; OGG; Android; 移动端</x:v>
      </x:c>
      <x:c r="R199" s="63" t="str">
        <x:f>TEXTJOIN("|",TRUE,C199,D199,E199,F199,H199,I199)</x:f>
        <x:v>音频|sfx|soul_pickup|runtime|全局/非空间|default</x:v>
      </x:c>
      <x:c r="S199" s="63" t="str">
        <x:f>IF(COUNTIF($R$6:$R$204,R199)&gt;1,"重复","唯一")</x:f>
        <x:v>唯一</x:v>
      </x:c>
      <x:c r="T199" s="63" t="str">
        <x:v>c9f24f23f1c4e8ad28a5ee97e9b11efd00e53bf706faa0655cba4f78b68e76ff</x:v>
      </x:c>
      <x:c r="U199" s="63" t="str">
        <x:v>Codex</x:v>
      </x:c>
      <x:c r="V199" s="64" t="n">
        <x:v>46241</x:v>
      </x:c>
      <x:c r="W199" s="63" t="str">
        <x:v>项目WAV母版转码</x:v>
      </x:c>
      <x:c r="X199" s="63" t="str">
        <x:v>正式运行OGG；WAV仅作母版；AudioManager事件=soul_pickup；Android/桌面统一版本化路径，禁止旧音效回退。</x:v>
      </x:c>
    </x:row>
    <x:row r="200" ht="44" customHeight="1">
      <x:c r="A200" s="63" t="str">
        <x:v>AUD-SFX-UI-CLICK</x:v>
      </x:c>
      <x:c r="B200" s="63" t="str">
        <x:v>UI点击音效</x:v>
      </x:c>
      <x:c r="C200" s="63" t="str">
        <x:v>音频</x:v>
      </x:c>
      <x:c r="D200" s="63" t="str">
        <x:v>sfx</x:v>
      </x:c>
      <x:c r="E200" s="63" t="str">
        <x:v>ui_click</x:v>
      </x:c>
      <x:c r="F200" s="63" t="str">
        <x:v>runtime</x:v>
      </x:c>
      <x:c r="G200" s="63"/>
      <x:c r="H200" s="63" t="str">
        <x:v>全局/非空间</x:v>
      </x:c>
      <x:c r="I200" s="63" t="str">
        <x:v>default</x:v>
      </x:c>
      <x:c r="J200" s="63" t="str">
        <x:v>桌面与Android正式运行</x:v>
      </x:c>
      <x:c r="K200" s="63" t="str">
        <x:v>已完成</x:v>
      </x:c>
      <x:c r="L200" s="63" t="str">
        <x:v>P0</x:v>
      </x:c>
      <x:c r="M200" s="63" t="str">
        <x:v>v001</x:v>
      </x:c>
      <x:c r="N200" s="63" t="str">
        <x:v>44.1kHz / OGG Vorbis / stereo</x:v>
      </x:c>
      <x:c r="O200" s="63" t="str">
        <x:v>src/assets/audio/sfx/ui_click_v001.ogg</x:v>
      </x:c>
      <x:c r="P200" s="63" t="str">
        <x:v>src/assets/audio/sfx/ui_click.wav; src/音效接入说明.md</x:v>
      </x:c>
      <x:c r="Q200" s="63" t="str">
        <x:v>ui_click; 音效; OGG; Android; 移动端</x:v>
      </x:c>
      <x:c r="R200" s="63" t="str">
        <x:f>TEXTJOIN("|",TRUE,C200,D200,E200,F200,H200,I200)</x:f>
        <x:v>音频|sfx|ui_click|runtime|全局/非空间|default</x:v>
      </x:c>
      <x:c r="S200" s="63" t="str">
        <x:f>IF(COUNTIF($R$6:$R$204,R200)&gt;1,"重复","唯一")</x:f>
        <x:v>唯一</x:v>
      </x:c>
      <x:c r="T200" s="63" t="str">
        <x:v>a19f1bec70959ea5fd4715ee292080f9932fc3835b060b713a00fc19822fc3a5</x:v>
      </x:c>
      <x:c r="U200" s="63" t="str">
        <x:v>Codex</x:v>
      </x:c>
      <x:c r="V200" s="64" t="n">
        <x:v>46241</x:v>
      </x:c>
      <x:c r="W200" s="63" t="str">
        <x:v>项目WAV母版转码</x:v>
      </x:c>
      <x:c r="X200" s="63" t="str">
        <x:v>正式运行OGG；WAV仅作母版；AudioManager事件=ui_click；Android/桌面统一版本化路径，禁止旧音效回退。</x:v>
      </x:c>
    </x:row>
    <x:row r="201" ht="44" customHeight="1">
      <x:c r="A201" s="63" t="str">
        <x:v>AUD-SFX-UI-ERROR</x:v>
      </x:c>
      <x:c r="B201" s="63" t="str">
        <x:v>UI错误音效</x:v>
      </x:c>
      <x:c r="C201" s="63" t="str">
        <x:v>音频</x:v>
      </x:c>
      <x:c r="D201" s="63" t="str">
        <x:v>sfx</x:v>
      </x:c>
      <x:c r="E201" s="63" t="str">
        <x:v>ui_error</x:v>
      </x:c>
      <x:c r="F201" s="63" t="str">
        <x:v>runtime</x:v>
      </x:c>
      <x:c r="G201" s="63"/>
      <x:c r="H201" s="63" t="str">
        <x:v>全局/非空间</x:v>
      </x:c>
      <x:c r="I201" s="63" t="str">
        <x:v>default</x:v>
      </x:c>
      <x:c r="J201" s="63" t="str">
        <x:v>桌面与Android正式运行</x:v>
      </x:c>
      <x:c r="K201" s="63" t="str">
        <x:v>已完成</x:v>
      </x:c>
      <x:c r="L201" s="63" t="str">
        <x:v>P0</x:v>
      </x:c>
      <x:c r="M201" s="63" t="str">
        <x:v>v001</x:v>
      </x:c>
      <x:c r="N201" s="63" t="str">
        <x:v>44.1kHz / OGG Vorbis / stereo</x:v>
      </x:c>
      <x:c r="O201" s="63" t="str">
        <x:v>src/assets/audio/sfx/ui_error_v001.ogg</x:v>
      </x:c>
      <x:c r="P201" s="63" t="str">
        <x:v>src/assets/audio/sfx/ui_error.wav; src/音效接入说明.md</x:v>
      </x:c>
      <x:c r="Q201" s="63" t="str">
        <x:v>ui_error; 音效; OGG; Android; 移动端</x:v>
      </x:c>
      <x:c r="R201" s="63" t="str">
        <x:f>TEXTJOIN("|",TRUE,C201,D201,E201,F201,H201,I201)</x:f>
        <x:v>音频|sfx|ui_error|runtime|全局/非空间|default</x:v>
      </x:c>
      <x:c r="S201" s="63" t="str">
        <x:f>IF(COUNTIF($R$6:$R$204,R201)&gt;1,"重复","唯一")</x:f>
        <x:v>唯一</x:v>
      </x:c>
      <x:c r="T201" s="63" t="str">
        <x:v>eeb07b8cc575869b8d560c929431d8beb43eb533c9900403df6beb9bb83b9b5e</x:v>
      </x:c>
      <x:c r="U201" s="63" t="str">
        <x:v>Codex</x:v>
      </x:c>
      <x:c r="V201" s="64" t="n">
        <x:v>46241</x:v>
      </x:c>
      <x:c r="W201" s="63" t="str">
        <x:v>项目WAV母版转码</x:v>
      </x:c>
      <x:c r="X201" s="63" t="str">
        <x:v>正式运行OGG；WAV仅作母版；AudioManager事件=ui_error；Android/桌面统一版本化路径，禁止旧音效回退。</x:v>
      </x:c>
    </x:row>
    <x:row r="202" ht="44" customHeight="1">
      <x:c r="A202" s="63" t="str">
        <x:v>AUD-SFX-UI-HOVER</x:v>
      </x:c>
      <x:c r="B202" s="63" t="str">
        <x:v>UI悬停音效</x:v>
      </x:c>
      <x:c r="C202" s="63" t="str">
        <x:v>音频</x:v>
      </x:c>
      <x:c r="D202" s="63" t="str">
        <x:v>sfx</x:v>
      </x:c>
      <x:c r="E202" s="63" t="str">
        <x:v>ui_hover</x:v>
      </x:c>
      <x:c r="F202" s="63" t="str">
        <x:v>runtime</x:v>
      </x:c>
      <x:c r="G202" s="63"/>
      <x:c r="H202" s="63" t="str">
        <x:v>全局/非空间</x:v>
      </x:c>
      <x:c r="I202" s="63" t="str">
        <x:v>default</x:v>
      </x:c>
      <x:c r="J202" s="63" t="str">
        <x:v>桌面与Android正式运行</x:v>
      </x:c>
      <x:c r="K202" s="63" t="str">
        <x:v>已完成</x:v>
      </x:c>
      <x:c r="L202" s="63" t="str">
        <x:v>P0</x:v>
      </x:c>
      <x:c r="M202" s="63" t="str">
        <x:v>v001</x:v>
      </x:c>
      <x:c r="N202" s="63" t="str">
        <x:v>44.1kHz / OGG Vorbis / stereo</x:v>
      </x:c>
      <x:c r="O202" s="63" t="str">
        <x:v>src/assets/audio/sfx/ui_hover_v001.ogg</x:v>
      </x:c>
      <x:c r="P202" s="63" t="str">
        <x:v>src/assets/audio/sfx/ui_hover.wav; src/音效接入说明.md</x:v>
      </x:c>
      <x:c r="Q202" s="63" t="str">
        <x:v>ui_hover; 音效; OGG; Android; 移动端</x:v>
      </x:c>
      <x:c r="R202" s="63" t="str">
        <x:f>TEXTJOIN("|",TRUE,C202,D202,E202,F202,H202,I202)</x:f>
        <x:v>音频|sfx|ui_hover|runtime|全局/非空间|default</x:v>
      </x:c>
      <x:c r="S202" s="63" t="str">
        <x:f>IF(COUNTIF($R$6:$R$204,R202)&gt;1,"重复","唯一")</x:f>
        <x:v>唯一</x:v>
      </x:c>
      <x:c r="T202" s="63" t="str">
        <x:v>edb43f0a80a9833364555c052e01e898d39396bef925566cbadf34e009877bcb</x:v>
      </x:c>
      <x:c r="U202" s="63" t="str">
        <x:v>Codex</x:v>
      </x:c>
      <x:c r="V202" s="64" t="n">
        <x:v>46241</x:v>
      </x:c>
      <x:c r="W202" s="63" t="str">
        <x:v>项目WAV母版转码</x:v>
      </x:c>
      <x:c r="X202" s="63" t="str">
        <x:v>正式运行OGG；WAV仅作母版；AudioManager事件=ui_hover；Android/桌面统一版本化路径，禁止旧音效回退。</x:v>
      </x:c>
    </x:row>
    <x:row r="203" ht="44" customHeight="1">
      <x:c r="A203" s="63" t="str">
        <x:v>AUD-SFX-WAVE-CLEAR</x:v>
      </x:c>
      <x:c r="B203" s="63" t="str">
        <x:v>波次完成音效</x:v>
      </x:c>
      <x:c r="C203" s="63" t="str">
        <x:v>音频</x:v>
      </x:c>
      <x:c r="D203" s="63" t="str">
        <x:v>sfx</x:v>
      </x:c>
      <x:c r="E203" s="63" t="str">
        <x:v>wave_clear</x:v>
      </x:c>
      <x:c r="F203" s="63" t="str">
        <x:v>runtime</x:v>
      </x:c>
      <x:c r="G203" s="63"/>
      <x:c r="H203" s="63" t="str">
        <x:v>全局/非空间</x:v>
      </x:c>
      <x:c r="I203" s="63" t="str">
        <x:v>default</x:v>
      </x:c>
      <x:c r="J203" s="63" t="str">
        <x:v>桌面与Android正式运行</x:v>
      </x:c>
      <x:c r="K203" s="63" t="str">
        <x:v>已完成</x:v>
      </x:c>
      <x:c r="L203" s="63" t="str">
        <x:v>P0</x:v>
      </x:c>
      <x:c r="M203" s="63" t="str">
        <x:v>v001</x:v>
      </x:c>
      <x:c r="N203" s="63" t="str">
        <x:v>44.1kHz / OGG Vorbis / stereo</x:v>
      </x:c>
      <x:c r="O203" s="63" t="str">
        <x:v>src/assets/audio/sfx/wave_clear_v001.ogg</x:v>
      </x:c>
      <x:c r="P203" s="63" t="str">
        <x:v>src/assets/audio/sfx/wave_clear.wav; src/音效接入说明.md</x:v>
      </x:c>
      <x:c r="Q203" s="63" t="str">
        <x:v>wave_clear; 音效; OGG; Android; 移动端</x:v>
      </x:c>
      <x:c r="R203" s="63" t="str">
        <x:f>TEXTJOIN("|",TRUE,C203,D203,E203,F203,H203,I203)</x:f>
        <x:v>音频|sfx|wave_clear|runtime|全局/非空间|default</x:v>
      </x:c>
      <x:c r="S203" s="63" t="str">
        <x:f>IF(COUNTIF($R$6:$R$204,R203)&gt;1,"重复","唯一")</x:f>
        <x:v>唯一</x:v>
      </x:c>
      <x:c r="T203" s="63" t="str">
        <x:v>aa4d315fd2914681fc9a44533dc4470186f3b3349e88782a9d4a00730b5377a2</x:v>
      </x:c>
      <x:c r="U203" s="63" t="str">
        <x:v>Codex</x:v>
      </x:c>
      <x:c r="V203" s="64" t="n">
        <x:v>46241</x:v>
      </x:c>
      <x:c r="W203" s="63" t="str">
        <x:v>项目WAV母版转码</x:v>
      </x:c>
      <x:c r="X203" s="63" t="str">
        <x:v>正式运行OGG；WAV仅作母版；AudioManager事件=wave_clear；Android/桌面统一版本化路径，禁止旧音效回退。</x:v>
      </x:c>
    </x:row>
    <x:row r="204" ht="44" customHeight="1">
      <x:c r="A204" s="63" t="str">
        <x:v>AUD-SFX-WAVE-START</x:v>
      </x:c>
      <x:c r="B204" s="63" t="str">
        <x:v>波次开始音效</x:v>
      </x:c>
      <x:c r="C204" s="63" t="str">
        <x:v>音频</x:v>
      </x:c>
      <x:c r="D204" s="63" t="str">
        <x:v>sfx</x:v>
      </x:c>
      <x:c r="E204" s="63" t="str">
        <x:v>wave_start</x:v>
      </x:c>
      <x:c r="F204" s="63" t="str">
        <x:v>runtime</x:v>
      </x:c>
      <x:c r="G204" s="63"/>
      <x:c r="H204" s="63" t="str">
        <x:v>全局/非空间</x:v>
      </x:c>
      <x:c r="I204" s="63" t="str">
        <x:v>default</x:v>
      </x:c>
      <x:c r="J204" s="63" t="str">
        <x:v>桌面与Android正式运行</x:v>
      </x:c>
      <x:c r="K204" s="63" t="str">
        <x:v>已完成</x:v>
      </x:c>
      <x:c r="L204" s="63" t="str">
        <x:v>P0</x:v>
      </x:c>
      <x:c r="M204" s="63" t="str">
        <x:v>v001</x:v>
      </x:c>
      <x:c r="N204" s="63" t="str">
        <x:v>44.1kHz / OGG Vorbis / stereo</x:v>
      </x:c>
      <x:c r="O204" s="63" t="str">
        <x:v>src/assets/audio/sfx/wave_start_v001.ogg</x:v>
      </x:c>
      <x:c r="P204" s="63" t="str">
        <x:v>src/assets/audio/sfx/wave_start.wav; src/音效接入说明.md</x:v>
      </x:c>
      <x:c r="Q204" s="63" t="str">
        <x:v>wave_start; 音效; OGG; Android; 移动端</x:v>
      </x:c>
      <x:c r="R204" s="63" t="str">
        <x:f>TEXTJOIN("|",TRUE,C204,D204,E204,F204,H204,I204)</x:f>
        <x:v>音频|sfx|wave_start|runtime|全局/非空间|default</x:v>
      </x:c>
      <x:c r="S204" s="63" t="str">
        <x:f>IF(COUNTIF($R$6:$R$204,R204)&gt;1,"重复","唯一")</x:f>
        <x:v>唯一</x:v>
      </x:c>
      <x:c r="T204" s="63" t="str">
        <x:v>be26cec7935eda95510b606cfc8bbebc5fe6f6d4310008a363d889f4bbef6083</x:v>
      </x:c>
      <x:c r="U204" s="63" t="str">
        <x:v>Codex</x:v>
      </x:c>
      <x:c r="V204" s="64" t="n">
        <x:v>46241</x:v>
      </x:c>
      <x:c r="W204" s="63" t="str">
        <x:v>项目WAV母版转码</x:v>
      </x:c>
      <x:c r="X204" s="63" t="str">
        <x:v>正式运行OGG；WAV仅作母版；AudioManager事件=wave_start；Android/桌面统一版本化路径，禁止旧音效回退。</x:v>
      </x:c>
    </x:row>
    <x:row r="205">
      <x:c r="A205" t="str">
        <x:v>CHR-PLY-CAPSULE01-3D-BUNNY01-LOWER-BODY-SOCKET</x:v>
      </x:c>
      <x:c r="B205" t="str">
        <x:v>兔子主角下身配件挂点</x:v>
      </x:c>
      <x:c r="C205" t="str">
        <x:v>角色</x:v>
      </x:c>
      <x:c r="D205" t="str">
        <x:v>player_accessory_socket</x:v>
      </x:c>
      <x:c r="E205" t="str">
        <x:v>player_capsule01</x:v>
      </x:c>
      <x:c r="F205" t="str">
        <x:v>lower_body_socket_3d_bunny01</x:v>
      </x:c>
      <x:c r="G205" t="str">
        <x:v>CHR-PLY-CAPSULE01-3D-BUNNY01-BODY</x:v>
      </x:c>
      <x:c r="H205" t="str">
        <x:v>俯视3D</x:v>
      </x:c>
      <x:c r="I205" t="str">
        <x:v>default</x:v>
      </x:c>
      <x:c r="J205" t="str">
        <x:v>3D玩家下身配件</x:v>
      </x:c>
      <x:c r="K205" t="str">
        <x:v>原型已接入</x:v>
      </x:c>
      <x:c r="L205" t="str">
        <x:v>P0</x:v>
      </x:c>
      <x:c r="M205" t="str">
        <x:v>v006</x:v>
      </x:c>
      <x:c r="N205" t="str">
        <x:v>Marker3D；BodyJoint local=(0,0.14,0)</x:v>
      </x:c>
      <x:c r="O205" t="str">
        <x:v>assets/art/characters/player/chr_player_capsule01_3d/variants/bunny01/chr_player_capsule01_bunny01_root_top3d_v006.tscn</x:v>
      </x:c>
      <x:c r="P205" t="str">
        <x:v>src/player3d/PlayerAvatar3D.gd; tests/verification/verify_player3d_lower_body_socket_flow.tscn</x:v>
      </x:c>
      <x:c r="Q205" t="str">
        <x:v>下身挂点;腰部挂点;裙子;裙摆;腰甲;LowerBodySocket;lower_body</x:v>
      </x:c>
      <x:c r="R205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t="str">
        <x:f>IF(A205="","",IF(COUNTIF($R:$R,R205)&gt;1,"重复","唯一"))</x:f>
        <x:v>唯一</x:v>
      </x:c>
      <x:c r="T205"/>
      <x:c r="U205" t="str">
        <x:v>Codex</x:v>
      </x:c>
      <x:c r="V205" s="62" t="n">
        <x:v>46243</x:v>
      </x:c>
      <x:c r="W205" t="str">
        <x:v>原创程序挂点</x:v>
      </x:c>
      <x:c r="X205" t="str">
        <x:v>BodyJoint子节点；只承载裙摆、腰甲和下摆等表现附件；继承身体位置/旋转/缩放，不改变碰撞、移动、伤害或状态机。</x:v>
      </x:c>
    </x:row>
    <x:row r="206">
      <x:c r="A206" t="str">
        <x:v>WPN-MELEE-BP-GREATBLADE</x:v>
      </x:c>
      <x:c r="B206" t="str">
        <x:v>巨型工业断刃程序原型</x:v>
      </x:c>
      <x:c r="C206" t="str">
        <x:v>武器</x:v>
      </x:c>
      <x:c r="D206" t="str">
        <x:v>melee</x:v>
      </x:c>
      <x:c r="E206" t="str">
        <x:v>bp_greatblade</x:v>
      </x:c>
      <x:c r="F206" t="str">
        <x:v>root</x:v>
      </x:c>
      <x:c r="G206"/>
      <x:c r="H206" t="str">
        <x:v>俯视3D</x:v>
      </x:c>
      <x:c r="I206" t="str">
        <x:v>default / three_step_combo</x:v>
      </x:c>
      <x:c r="J206" t="str">
        <x:v>手持/背负/地面/背包图标/表现页</x:v>
      </x:c>
      <x:c r="K206" t="str">
        <x:v>程序占位</x:v>
      </x:c>
      <x:c r="L206" t="str">
        <x:v>P0</x:v>
      </x:c>
      <x:c r="M206" t="str">
        <x:v>v001</x:v>
      </x:c>
      <x:c r="N206" t="str">
        <x:v>程序Mesh；0.82×0.30×2.42m；无碰撞</x:v>
      </x:c>
      <x:c r="O206" t="str">
        <x:v>assets/art/weapons/melee_3d/wpn_melee_greatblade_root_top3d_v001.tscn</x:v>
      </x:c>
      <x:c r="P206" t="str">
        <x:v>src/combat3d/MeleeWeaponVisual3D.gd; src/player3d/melee/PlayerMeleeCombat3D.gd</x:v>
      </x:c>
      <x:c r="Q206" t="str">
        <x:v>近战;大型武器;工业断刃;三段连击;greatblade;melee</x:v>
      </x:c>
      <x:c r="R206" t="str">
        <x:v>武器|melee|bp_greatblade|root|俯视3d|default / three_step_combo</x:v>
      </x:c>
      <x:c r="S206" t="str">
        <x:v>唯一</x:v>
      </x:c>
      <x:c r="T206"/>
      <x:c r="U206" t="str">
        <x:v>Codex</x:v>
      </x:c>
      <x:c r="V206" s="62" t="n">
        <x:v>46244</x:v>
      </x:c>
      <x:c r="W206" t="str">
        <x:v>原创程序原型</x:v>
      </x:c>
      <x:c r="X20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t="str">
        <x:v>WPN-MELEE-BP-WARAXE</x:v>
      </x:c>
      <x:c r="B207" t="str">
        <x:v>攻城裂甲斧程序原型</x:v>
      </x:c>
      <x:c r="C207" t="str">
        <x:v>武器</x:v>
      </x:c>
      <x:c r="D207" t="str">
        <x:v>melee</x:v>
      </x:c>
      <x:c r="E207" t="str">
        <x:v>bp_waraxe</x:v>
      </x:c>
      <x:c r="F207" t="str">
        <x:v>root</x:v>
      </x:c>
      <x:c r="G207"/>
      <x:c r="H207" t="str">
        <x:v>俯视3D</x:v>
      </x:c>
      <x:c r="I207" t="str">
        <x:v>default / three_step_combo</x:v>
      </x:c>
      <x:c r="J207" t="str">
        <x:v>手持/背负/地面/背包图标/表现页</x:v>
      </x:c>
      <x:c r="K207" t="str">
        <x:v>程序占位</x:v>
      </x:c>
      <x:c r="L207" t="str">
        <x:v>P0</x:v>
      </x:c>
      <x:c r="M207" t="str">
        <x:v>v001</x:v>
      </x:c>
      <x:c r="N207" t="str">
        <x:v>程序Mesh；1.18×0.34×2.62m；无碰撞</x:v>
      </x:c>
      <x:c r="O207" t="str">
        <x:v>assets/art/weapons/melee_3d/wpn_melee_waraxe_root_top3d_v001.tscn</x:v>
      </x:c>
      <x:c r="P207" t="str">
        <x:v>src/combat3d/MeleeWeaponVisual3D.gd; src/player3d/melee/PlayerMeleeCombat3D.gd</x:v>
      </x:c>
      <x:c r="Q207" t="str">
        <x:v>近战;大型武器;攻城斧;三段连击;waraxe;melee</x:v>
      </x:c>
      <x:c r="R207" t="str">
        <x:v>武器|melee|bp_waraxe|root|俯视3d|default / three_step_combo</x:v>
      </x:c>
      <x:c r="S207" t="str">
        <x:v>唯一</x:v>
      </x:c>
      <x:c r="T207"/>
      <x:c r="U207" t="str">
        <x:v>Codex</x:v>
      </x:c>
      <x:c r="V207" s="62" t="n">
        <x:v>46244</x:v>
      </x:c>
      <x:c r="W207" t="str">
        <x:v>原创程序原型</x:v>
      </x:c>
      <x:c r="X207" t="str">
        <x:v>总长2.62m；高伤高击退；四态动作子状态机；第三段最大弧光并降低音高/提高冲击响度；最终美术替换保留握柄原点/local -Z与稳定ID。</x:v>
      </x:c>
    </x:row>
    <x:row r="208">
      <x:c r="A208" t="str">
        <x:v>AUD-SFX-MELEE-IMPACT</x:v>
      </x:c>
      <x:c r="B208" t="str">
        <x:v>近战命中主层音效</x:v>
      </x:c>
      <x:c r="C208" t="str">
        <x:v>音频</x:v>
      </x:c>
      <x:c r="D208" t="str">
        <x:v>sfx</x:v>
      </x:c>
      <x:c r="E208" t="str">
        <x:v>melee_impact</x:v>
      </x:c>
      <x:c r="F208" t="str">
        <x:v>runtime</x:v>
      </x:c>
      <x:c r="G208"/>
      <x:c r="H208" t="str">
        <x:v>全局/非空间</x:v>
      </x:c>
      <x:c r="I208" t="str">
        <x:v>default</x:v>
      </x:c>
      <x:c r="J208" t="str">
        <x:v>桌面与Android正式运行</x:v>
      </x:c>
      <x:c r="K208" t="str">
        <x:v>已完成</x:v>
      </x:c>
      <x:c r="L208" t="str">
        <x:v>P0</x:v>
      </x:c>
      <x:c r="M208" t="str">
        <x:v>v001</x:v>
      </x:c>
      <x:c r="N208" t="str">
        <x:v>44.1kHz / OGG Vorbis / stereo</x:v>
      </x:c>
      <x:c r="O208" t="str">
        <x:v>src/assets/audio/sfx/melee_impact_v001.ogg</x:v>
      </x:c>
      <x:c r="P208" t="str">
        <x:v>src/assets/audio/sfx/melee_impact.wav; src/音效接入说明.md</x:v>
      </x:c>
      <x:c r="Q208" t="str">
        <x:v>melee_impact; 近战命中; 打击; 冲击; OGG; Android</x:v>
      </x:c>
      <x:c r="R208" t="str">
        <x:f>TEXTJOIN("|",TRUE,C208,D208,E208,F208,H208,I208)</x:f>
        <x:v>音频|sfx|melee_impact|runtime|全局/非空间|default</x:v>
      </x:c>
      <x:c r="S208" t="str">
        <x:v>唯一</x:v>
      </x:c>
      <x:c r="T208" t="str">
        <x:v>adef9ec927d3d54967c605bfd3b779237e4f2b2b4430c30b4b656d4a204db8f8</x:v>
      </x:c>
      <x:c r="U208" t="str">
        <x:v>Codex</x:v>
      </x:c>
      <x:c r="V208" t="n">
        <x:v>46244</x:v>
      </x:c>
      <x:c r="W208" t="str">
        <x:v>原创程序合成母版</x:v>
      </x:c>
      <x:c r="X208" t="str">
        <x:v>正式运行OGG；WAV为原创程序合成母版；AudioManager事件=melee_impact；攻击级单次播放，敌人enemy_hit/crit_hit仍逐目标负责材质接触层。</x:v>
      </x:c>
    </x:row>
    <x:row r="209">
      <x:c r="A209" t="str">
        <x:v>AUD-SFX-MELEE-SWING</x:v>
      </x:c>
      <x:c r="B209" t="str">
        <x:v>近战挥砍空气层音效</x:v>
      </x:c>
      <x:c r="C209" t="str">
        <x:v>音频</x:v>
      </x:c>
      <x:c r="D209" t="str">
        <x:v>sfx</x:v>
      </x:c>
      <x:c r="E209" t="str">
        <x:v>melee_swing</x:v>
      </x:c>
      <x:c r="F209" t="str">
        <x:v>runtime</x:v>
      </x:c>
      <x:c r="G209"/>
      <x:c r="H209" t="str">
        <x:v>全局/非空间</x:v>
      </x:c>
      <x:c r="I209" t="str">
        <x:v>default</x:v>
      </x:c>
      <x:c r="J209" t="str">
        <x:v>桌面与Android正式运行</x:v>
      </x:c>
      <x:c r="K209" t="str">
        <x:v>已完成</x:v>
      </x:c>
      <x:c r="L209" t="str">
        <x:v>P0</x:v>
      </x:c>
      <x:c r="M209" t="str">
        <x:v>v001</x:v>
      </x:c>
      <x:c r="N209" t="str">
        <x:v>44.1kHz / OGG Vorbis / stereo</x:v>
      </x:c>
      <x:c r="O209" t="str">
        <x:v>src/assets/audio/sfx/melee_swing_v001.ogg</x:v>
      </x:c>
      <x:c r="P209" t="str">
        <x:v>src/assets/audio/sfx/melee_swing.wav; src/音效接入说明.md</x:v>
      </x:c>
      <x:c r="Q209" t="str">
        <x:v>melee_swing; 近战挥砍; 切风; 空气层; OGG; Android</x:v>
      </x:c>
      <x:c r="R209" t="str">
        <x:f>TEXTJOIN("|",TRUE,C209,D209,E209,F209,H209,I209)</x:f>
        <x:v>音频|sfx|melee_swing|runtime|全局/非空间|default</x:v>
      </x:c>
      <x:c r="S209" t="str">
        <x:v>唯一</x:v>
      </x:c>
      <x:c r="T209" t="str">
        <x:v>a3deeeeae55f1944ccf5df07167dad6c5cc4ac2869cf7b397383ce9828cfdad4</x:v>
      </x:c>
      <x:c r="U209" t="str">
        <x:v>Codex</x:v>
      </x:c>
      <x:c r="V209" t="n">
        <x:v>46244</x:v>
      </x:c>
      <x:c r="W209" t="str">
        <x:v>原创程序合成母版</x:v>
      </x:c>
      <x:c r="X209" t="str">
        <x:v>正式运行OGG；WAV为原创程序合成母版；AudioManager事件=melee_swing；每段active一次，按连段与武器类型固定调整音高/响度。</x:v>
      </x:c>
    </x:row>
    <x:row r="210">
      <x:c r="A210" t="str">
        <x:v>WPN-MELEE-BP-BASEBALL-BAT</x:v>
      </x:c>
      <x:c r="B210" t="str">
        <x:v>废土棒球棍程序原型</x:v>
      </x:c>
      <x:c r="C210" t="str">
        <x:v>武器</x:v>
      </x:c>
      <x:c r="D210" t="str">
        <x:v>melee</x:v>
      </x:c>
      <x:c r="E210" t="str">
        <x:v>bp_baseball_bat</x:v>
      </x:c>
      <x:c r="F210" t="str">
        <x:v>root</x:v>
      </x:c>
      <x:c r="G210"/>
      <x:c r="H210" t="str">
        <x:v>俯视3D</x:v>
      </x:c>
      <x:c r="I210" t="str">
        <x:v>default / three_step_combo</x:v>
      </x:c>
      <x:c r="J210" t="str">
        <x:v>手持/背负/地面/背包图标/表现页/基地贩卖机</x:v>
      </x:c>
      <x:c r="K210" t="str">
        <x:v>程序占位</x:v>
      </x:c>
      <x:c r="L210" t="str">
        <x:v>P0</x:v>
      </x:c>
      <x:c r="M210" t="str">
        <x:v>v001</x:v>
      </x:c>
      <x:c r="N210" t="str">
        <x:v>程序Mesh；0.28×0.28×1.48m；无碰撞</x:v>
      </x:c>
      <x:c r="O210" t="str">
        <x:v>assets/art/weapons/melee_3d/wpn_melee_baseball_bat_root_top3d_v001.tscn</x:v>
      </x:c>
      <x:c r="P210" t="str">
        <x:v>src/combat3d/MeleeWeaponVisual3D.gd; src/player3d/melee/PlayerMeleeCombat3D.gd; tests/verification/verify_weapon_attachment_inventory_flow.gd</x:v>
      </x:c>
      <x:c r="Q210" t="str">
        <x:v>近战;初级武器;棒球棍;三段连击;baseball_bat;melee;基地贩卖机</x:v>
      </x:c>
      <x:c r="R210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t="str">
        <x:v>唯一</x:v>
      </x:c>
      <x:c r="T210" t="str">
        <x:v>700ecf26ca26d653967db40dbe48f8572387ae63b43a1428aa54721c25ca7b0a</x:v>
      </x:c>
      <x:c r="U210" t="str">
        <x:v>Codex</x:v>
      </x:c>
      <x:c r="V210" t="n">
        <x:v>46244</x:v>
      </x:c>
      <x:c r="W210" t="str">
        <x:v>原创程序原型</x:v>
      </x:c>
      <x:c r="X210" t="str">
        <x:v>基地45魂初级近战；三段快速挥击、第三段强化击退；复用近战四态、弧光/命中VFX和版本化音频。最终美术替换须保留握柄原点/local -Z与稳定ID。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5cc8c5bb994a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已退役（2026-08-09）：旧2D节点/纹理/Marker2D已删除；仅作历史组件记录，禁止运行时引用。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已退役（2026-08-09）：旧2D节点/纹理/Marker2D已删除；仅作历史组件记录，禁止运行时引用。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已退役（2026-08-09）：旧2D节点/纹理/Marker2D已删除；仅作历史组件记录，禁止运行时引用。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已退役（2026-08-09）：旧2D节点/纹理/Marker2D已删除；仅作历史组件记录，禁止运行时引用。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已退役（2026-08-09）：旧2D节点/纹理/Marker2D已删除；仅作历史组件记录，禁止运行时引用。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已退役（2026-08-09）：旧2D节点/纹理/Marker2D已删除；仅作历史组件记录，禁止运行时引用。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正式3D表现根；旧2D胶囊已完成退役，不再属于兼容范围。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  <x:row r="40">
      <x:c r="A40" t="str">
        <x:v>player_capsule01_3d</x:v>
      </x:c>
      <x:c r="B40" t="str">
        <x:v>weapon_stow_primary</x:v>
      </x:c>
      <x:c r="C40" t="str">
        <x:v>VisualRoot/BunnyRig/StowedWeaponSocketPrimary</x:v>
      </x:c>
      <x:c r="D40" t="str">
        <x:v>root</x:v>
      </x:c>
      <x:c r="E40" t="str">
        <x:v>无纹理</x:v>
      </x:c>
      <x:c r="F40" t="str">
        <x:v>Marker3D</x:v>
      </x:c>
      <x:c r="G40" t="str">
        <x:v>(-0.42,1.12,0.25)</x:v>
      </x:c>
      <x:c r="H40" t="str">
        <x:v>随root；local -Z枪口轴转向世界下方</x:v>
      </x:c>
      <x:c r="I40" t="str">
        <x:v>5</x:v>
      </x:c>
      <x:c r="J40" t="str">
        <x:v>主武器未激活时背部左侧收纳</x:v>
      </x:c>
      <x:c r="K40" t="str">
        <x:v>武器系统</x:v>
      </x:c>
      <x:c r="L40" t="str">
        <x:v>是</x:v>
      </x:c>
      <x:c r="M40" t="str">
        <x:v>主武器槽0专属；枪口朝下；回退节点VisualRoot/StowedWeaponSocketPrimary</x:v>
      </x:c>
    </x:row>
    <x:row r="41">
      <x:c r="A41" t="str">
        <x:v>player_capsule01_3d</x:v>
      </x:c>
      <x:c r="B41" t="str">
        <x:v>weapon_stow_secondary</x:v>
      </x:c>
      <x:c r="C41" t="str">
        <x:v>VisualRoot/BunnyRig/StowedWeaponSocketSecondary</x:v>
      </x:c>
      <x:c r="D41" t="str">
        <x:v>root</x:v>
      </x:c>
      <x:c r="E41" t="str">
        <x:v>无纹理</x:v>
      </x:c>
      <x:c r="F41" t="str">
        <x:v>Marker3D</x:v>
      </x:c>
      <x:c r="G41" t="str">
        <x:v>(0.42,1.12,0.25)</x:v>
      </x:c>
      <x:c r="H41" t="str">
        <x:v>随root；local -Z枪口轴转向世界下方</x:v>
      </x:c>
      <x:c r="I41" t="str">
        <x:v>5</x:v>
      </x:c>
      <x:c r="J41" t="str">
        <x:v>副武器未激活时背部右侧收纳</x:v>
      </x:c>
      <x:c r="K41" t="str">
        <x:v>武器系统</x:v>
      </x:c>
      <x:c r="L41" t="str">
        <x:v>是</x:v>
      </x:c>
      <x:c r="M41" t="str">
        <x:v>副武器槽1专属；枪口朝下；回退节点VisualRoot/StowedWeaponSocketSecondary</x:v>
      </x:c>
    </x:row>
    <x:row r="42">
      <x:c r="A42" t="str">
        <x:v>player_capsule01_3d</x:v>
      </x:c>
      <x:c r="B42" t="str">
        <x:v>backpack_socket</x:v>
      </x:c>
      <x:c r="C42" t="str">
        <x:v>VisualRoot/BunnyRig/BackpackSocket（fallback: VisualRoot/BackpackSocket）</x:v>
      </x:c>
      <x:c r="D42" t="str">
        <x:v>root</x:v>
      </x:c>
      <x:c r="E42" t="str">
        <x:v>无纹理；子模型来自ItemModelFactory3D</x:v>
      </x:c>
      <x:c r="F42" t="str">
        <x:v>Marker3D + 程序Mesh</x:v>
      </x:c>
      <x:c r="G42" t="str">
        <x:v>bunny (0,0.74,0.30)；fallback (0,1.25,0.48)</x:v>
      </x:c>
      <x:c r="H42" t="str">
        <x:v>继承VisualRoot朝向</x:v>
      </x:c>
      <x:c r="I42" t="n">
        <x:v>3</x:v>
      </x:c>
      <x:c r="J42" t="str">
        <x:v>装备时生成背包占位Mesh；卸下时移除</x:v>
      </x:c>
      <x:c r="K42" t="str">
        <x:v>背包装备系统</x:v>
      </x:c>
      <x:c r="L42" t="str">
        <x:v>是</x:v>
      </x:c>
      <x:c r="M42" t="str">
        <x:v>与StowedWeaponSocketPrimary/Secondary分离；2/4/8格共用模型工厂；无碰撞；verify_backpack_equipment_flow与Metal/OpenGL实机渲染通过。</x:v>
      </x:c>
    </x:row>
    <x:row r="43">
      <x:c r="A43" t="str">
        <x:v>player_capsule01_bunny01_3d</x:v>
      </x:c>
      <x:c r="B43" t="str">
        <x:v>lower_body_socket</x:v>
      </x:c>
      <x:c r="C43" t="str">
        <x:v>VisualRoot/BunnyRig/BodyJoint/LowerBodySocket（fallback: VisualRoot/Body/LowerBodySocket）</x:v>
      </x:c>
      <x:c r="D43" t="str">
        <x:v>body</x:v>
      </x:c>
      <x:c r="E43" t="str">
        <x:v>无纹理</x:v>
      </x:c>
      <x:c r="F43" t="str">
        <x:v>Marker3D</x:v>
      </x:c>
      <x:c r="G43" t="str">
        <x:v>bunny Body local (0,0.14,0)；fallback Body local (0,-0.36,0)</x:v>
      </x:c>
      <x:c r="H43" t="str">
        <x:v>继承BodyJoint位置/旋转/缩放</x:v>
      </x:c>
      <x:c r="I43" t="n">
        <x:v>2</x:v>
      </x:c>
      <x:c r="J43" t="str">
        <x:v>裙摆/腰甲/下摆继承全部身体状态与动作覆盖</x:v>
      </x:c>
      <x:c r="K43" t="str">
        <x:v>下身配件挂点</x:v>
      </x:c>
      <x:c r="L43" t="str">
        <x:v>是</x:v>
      </x:c>
      <x:c r="M43" t="str">
        <x:v>presentation_only；无碰撞；不改变玩法；专项验证 verify_player3d_lower_body_socket_flow.tscn。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按最后受击方向水平击飞并上抛；落地弹起一次后侧倒</x:v>
      </x:c>
      <x:c r="G13" s="101" t="str">
        <x:v>随身体滞后后仰，回弹后贴地</x:v>
      </x:c>
      <x:c r="H13" s="101" t="str">
        <x:v>随击飞惯性展开，回弹时收束</x:v>
      </x:c>
      <x:c r="I13" s="101" t="str">
        <x:v>武器握持层随整体击飞/回弹/侧倒</x:v>
      </x:c>
      <x:c r="J13" s="101" t="str">
        <x:v>惯性拖尾后停止</x:v>
      </x:c>
      <x:c r="K13" s="101" t="str">
        <x:v>1.35秒后显示点击返99F确认框</x:v>
      </x:c>
      <x:c r="L13" s="101" t="str">
        <x:v>真实CharacterBody3D速度+重力；death_animation_finished仅通知表现完成，点击后结算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3D头顶billboard进度条；HUD弹药栏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5+5+5+5+4+4</x:v>
      </x:c>
      <x:c r="C38" s="70" t="str">
        <x:v>BunnyRig Body/Head/Hands/Feet/Wearables</x:v>
      </x:c>
      <x:c r="D38" s="70" t="str">
        <x:v>身体弹性+双脚交替+双耳摆动</x:v>
      </x:c>
      <x:c r="E38" s="70" t="str">
        <x:v>按武器类型单/双手后坐；头前探</x:v>
      </x:c>
      <x:c r="F38" s="70" t="str">
        <x:v>整体后仰/脚随根回正</x:v>
      </x:c>
      <x:c r="G38" s="70" t="str">
        <x:v>主握手+WeaponSocket同相；长枪左手托举</x:v>
      </x:c>
      <x:c r="H38" s="70" t="str">
        <x:v>全部模块随根倾倒</x:v>
      </x:c>
      <x:c r="I38" s="70" t="str">
        <x:v>LowerBodySocket随BodyJoint；武器握持按枪型</x:v>
      </x:c>
      <x:c r="J38" s="70" t="str">
        <x:v>可见GLB材质+双耳+双手+双脚+八态覆盖</x:v>
      </x:c>
      <x:c r="K38" s="70" t="str">
        <x:v>3D玩家/预览场</x:v>
      </x:c>
      <x:c r="L38" s="70" t="str">
        <x:v>Bunny GLB材质/程序挂点；Player3D.set_avatar_customization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Hands / Feet</x:v>
      </x:c>
      <x:c r="B42" s="70" t="str">
        <x:v>Ears / LowerBodySocket / HandL / HandR / FootL / FootR</x:v>
      </x:c>
      <x:c r="C42" s="70" t="str">
        <x:v>2 / 1 / 1 / 1 / 1 / 1</x:v>
      </x:c>
      <x:c r="D42" s="70" t="str">
        <x:v>双耳错相呼吸；下身挂点随Body</x:v>
      </x:c>
      <x:c r="E42" s="70" t="str">
        <x:v>双脚交替；双手按武器类型；挂点随Body</x:v>
      </x:c>
      <x:c r="F42" s="70" t="str">
        <x:v>随VisualRoot压缩翻滚</x:v>
      </x:c>
      <x:c r="G42" s="70" t="str">
        <x:v>手/耳/脚分别回弹；挂点继承Body</x:v>
      </x:c>
      <x:c r="H42" s="70" t="str">
        <x:v>手枪右手/长枪双手；下身挂件不参与枪姿</x:v>
      </x:c>
      <x:c r="I42" s="70" t="str">
        <x:v>全部随VisualRoot倾倒</x:v>
      </x:c>
      <x:c r="J42" s="70" t="str">
        <x:v>兔子刚性节点骨架；GLB分件</x:v>
      </x:c>
      <x:c r="K42" s="70" t="str">
        <x:v>禁止把下身附件烘焙进Body或加入玩法碰撞</x:v>
      </x:c>
      <x:c r="L42" s="70" t="str">
        <x:v>节点路径+材质换色+步态+持枪+LowerBodySocket专项验证</x:v>
      </x:c>
    </x:row>
    <x:row r="44">
      <x:c r="A44" t="str">
        <x:v>Player3D 近战动作子状态机 × 三段上下文（不新增顶层状态）</x:v>
      </x:c>
      <x:c r="B44"/>
      <x:c r="C44"/>
      <x:c r="D44"/>
      <x:c r="E44"/>
      <x:c r="F44"/>
      <x:c r="G44"/>
      <x:c r="H44"/>
      <x:c r="I44"/>
      <x:c r="J44"/>
      <x:c r="K44"/>
      <x:c r="L44"/>
    </x:row>
    <x:row r="45">
      <x:c r="A45" t="str">
        <x:v>层级｜状态ID｜中文名｜唯一来源｜退出｜Body｜Head｜Hand L｜Hand R / WeaponSocket｜Scarf｜VFX/UI｜首版实现</x:v>
      </x:c>
      <x:c r="B45"/>
      <x:c r="C45"/>
      <x:c r="D45"/>
      <x:c r="E45"/>
      <x:c r="F45"/>
      <x:c r="G45"/>
      <x:c r="H45"/>
      <x:c r="I45"/>
      <x:c r="J45"/>
      <x:c r="K45"/>
      <x:c r="L45"/>
    </x:row>
    <x:row r="46">
      <x:c r="A46" t="str">
        <x:v>动作子状态</x:v>
      </x:c>
      <x:c r="B46" t="str">
        <x:v>ready</x:v>
      </x:c>
      <x:c r="C46" t="str">
        <x:v>近战就绪</x:v>
      </x:c>
      <x:c r="D46" t="str">
        <x:v>PlayerMeleeCombat3D</x:v>
      </x:c>
      <x:c r="E46" t="str">
        <x:v>主攻击→windup</x:v>
      </x:c>
      <x:c r="F46" t="str">
        <x:v>保持当前idle/moving</x:v>
      </x:c>
      <x:c r="G46" t="str">
        <x:v>保持瞄准</x:v>
      </x:c>
      <x:c r="H46" t="str">
        <x:v>双手重型握持</x:v>
      </x:c>
      <x:c r="I46" t="str">
        <x:v>WeaponSocket稳定持械</x:v>
      </x:c>
      <x:c r="J46" t="str">
        <x:v>低频随动</x:v>
      </x:c>
      <x:c r="K46" t="str">
        <x:v>HUD显示近战·三段</x:v>
      </x:c>
      <x:c r="L46" t="str">
        <x:v>近战动作机初态/复位态；连段=-1；无命中许可</x:v>
      </x:c>
    </x:row>
    <x:row r="47">
      <x:c r="A47" t="str">
        <x:v>动作子状态</x:v>
      </x:c>
      <x:c r="B47" t="str">
        <x:v>windup</x:v>
      </x:c>
      <x:c r="C47" t="str">
        <x:v>挥砍前摇</x:v>
      </x:c>
      <x:c r="D47" t="str">
        <x:v>ready或连段recovery</x:v>
      </x:c>
      <x:c r="E47" t="str">
        <x:v>计时结束→active；非法顶层→ready</x:v>
      </x:c>
      <x:c r="F47" t="str">
        <x:v>侧拧/下压蓄势</x:v>
      </x:c>
      <x:c r="G47" t="str">
        <x:v>随躯干反向预备</x:v>
      </x:c>
      <x:c r="H47" t="str">
        <x:v>前手锁住长柄</x:v>
      </x:c>
      <x:c r="I47" t="str">
        <x:v>后手带WeaponSocket蓄势</x:v>
      </x:c>
      <x:c r="J47" t="str">
        <x:v>滞后拉伸</x:v>
      </x:c>
      <x:c r="K47" t="str">
        <x:v>动作阶段/连段编号</x:v>
      </x:c>
      <x:c r="L47" t="str">
        <x:v>三段分别为左横斩、右回斩、过顶重劈前摇；输入可缓存下一段</x:v>
      </x:c>
    </x:row>
    <x:row r="48">
      <x:c r="A48" t="str">
        <x:v>动作子状态</x:v>
      </x:c>
      <x:c r="B48" t="str">
        <x:v>active</x:v>
      </x:c>
      <x:c r="C48" t="str">
        <x:v>命中窗口</x:v>
      </x:c>
      <x:c r="D48" t="str">
        <x:v>windup计时完成</x:v>
      </x:c>
      <x:c r="E48" t="str">
        <x:v>计时结束→recovery；非法顶层→ready</x:v>
      </x:c>
      <x:c r="F48" t="str">
        <x:v>跨侧扭转/第三段前压</x:v>
      </x:c>
      <x:c r="G48" t="str">
        <x:v>跟随挥砍方向</x:v>
      </x:c>
      <x:c r="H48" t="str">
        <x:v>双手沿长柄同步扫过</x:v>
      </x:c>
      <x:c r="I48" t="str">
        <x:v>WeaponSocket执行横扫或过顶弧</x:v>
      </x:c>
      <x:c r="J48" t="str">
        <x:v>受冲量甩动</x:v>
      </x:c>
      <x:c r="K48" t="str">
        <x:v>池化slash弧光/逐目标melee_impact/伤害飘字/挥砍与冲击音频</x:v>
      </x:c>
      <x:c r="L48" t="str">
        <x:v>进入时唯一一次扇区查询；每段一弧光一挥砍音；逐目标爆点，多目标冲击主音去重；距离+夹角+墙体+目标去重</x:v>
      </x:c>
    </x:row>
    <x:row r="49">
      <x:c r="A49" t="str">
        <x:v>动作子状态</x:v>
      </x:c>
      <x:c r="B49" t="str">
        <x:v>recovery</x:v>
      </x:c>
      <x:c r="C49" t="str">
        <x:v>挥砍后摇</x:v>
      </x:c>
      <x:c r="D49" t="str">
        <x:v>active计时完成</x:v>
      </x:c>
      <x:c r="E49" t="str">
        <x:v>有缓存→下一段windup；否则→ready</x:v>
      </x:c>
      <x:c r="F49" t="str">
        <x:v>重心回收</x:v>
      </x:c>
      <x:c r="G49" t="str">
        <x:v>回正</x:v>
      </x:c>
      <x:c r="H49" t="str">
        <x:v>双手恢复握持间距</x:v>
      </x:c>
      <x:c r="I49" t="str">
        <x:v>WeaponSocket回到持械位</x:v>
      </x:c>
      <x:c r="J49" t="str">
        <x:v>余振衰减</x:v>
      </x:c>
      <x:c r="K49" t="str">
        <x:v>连段缓存提示</x:v>
      </x:c>
      <x:c r="L49" t="str">
        <x:v>第三段结束强制复位；受伤/冲刺/坠落/锁定/死亡/换武器全部取消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  <x:mergeCell ref="A44:L44"/>
    <x:mergeCell ref="A45:L4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武器</x:v>
      </x:c>
      <x:c r="C8" s="37" t="str">
        <x:v>gunbody / melee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WPN-MELEE-BP-GREATBLADE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src/assets/audio/sfx/</x:v>
      </x:c>
      <x:c r="E14" s="37" t="str">
        <x:v>{event}_v{nnn}.{ogg|wav}</x:v>
      </x:c>
      <x:c r="F14" s="37" t="str">
        <x:v>AUD-SFX-PLAYER-DASH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seed/暗室开关/遮挡视野/七怪/59组合/撤离 PASS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b894e9fe05f8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24" hidden="0" customWidth="1"/>
    <x:col min="4" max="4" width="28" hidden="0" customWidth="1"/>
    <x:col min="5" max="5" width="60" hidden="0" customWidth="1"/>
    <x:col min="6" max="6" width="48" hidden="0" customWidth="1"/>
    <x:col min="7" max="7" width="12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 ht="46" customHeight="1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 ht="46" customHeight="1">
      <x:c r="A7" s="63" t="str">
        <x:v>v0.1.1</x:v>
      </x:c>
      <x:c r="B7" s="64" t="n">
        <x:v>46240</x:v>
      </x:c>
      <x:c r="C7" s="63" t="str">
        <x:v>角色武器表现调整</x:v>
      </x:c>
      <x:c r="D7" s="63" t="str">
        <x:v>player_capsule01_3d</x:v>
      </x:c>
      <x:c r="E7" s="63" t="str">
        <x:v>新增主左/副右背部收纳挂点，枪口统一朝下；复用既有武器模型与AssetID。</x:v>
      </x:c>
      <x:c r="F7" s="63" t="str">
        <x:v>不改武器实例、碰撞、伤害或切枪规则。</x:v>
      </x:c>
      <x:c r="G7" s="63" t="str">
        <x:v>Codex</x:v>
      </x:c>
    </x:row>
    <x:row r="8" ht="46" customHeight="1">
      <x:c r="A8" s="63" t="str">
        <x:v>v0.1.2</x:v>
      </x:c>
      <x:c r="B8" s="64" t="n">
        <x:v>46241</x:v>
      </x:c>
      <x:c r="C8" s="63" t="str">
        <x:v>音频与体验一致性</x:v>
      </x:c>
      <x:c r="D8" s="63" t="str">
        <x:v>31项音效/UI/玩家死亡</x:v>
      </x:c>
      <x:c r="E8" s="63" t="str">
        <x:v>登记OGG运行资产与哈希；更新包裹/贩卖机UI版本和死亡击飞回弹状态。</x:v>
      </x:c>
      <x:c r="F8" s="63" t="str">
        <x:v>WAV母版保留；运行时改用版本化OGG；不改变稳定事件键和AssetID。</x:v>
      </x:c>
      <x:c r="G8" s="63" t="str">
        <x:v>Codex</x:v>
      </x:c>
    </x:row>
    <x:row r="9" ht="48" customHeight="1">
      <x:c r="A9" t="str">
        <x:v>v0.1.6</x:v>
      </x:c>
      <x:c r="B9" s="62" t="n">
        <x:v>46244</x:v>
      </x:c>
      <x:c r="C9" t="str">
        <x:v>大型近战与动作状态机</x:v>
      </x:c>
      <x:c r="D9" t="str">
        <x:v>2武器/4动作态/三段连击</x:v>
      </x:c>
      <x:c r="E9" t="str">
        <x:v>登记巨型工业断刃、攻城裂甲斧程序原型；新增近战ready/windup/active/recovery动作契约与专项验收。</x:v>
      </x:c>
      <x:c r="F9" t="str">
        <x:v>不改变玩家八态移动机、碰撞体或WeaponInstance稳定身份；近战根无子弹槽。</x:v>
      </x:c>
      <x:c r="G9" t="str">
        <x:v>Codex</x:v>
      </x:c>
    </x:row>
    <x:row r="10" ht="58" customHeight="1">
      <x:c r="A10" t="str">
        <x:v>v0.1.7</x:v>
      </x:c>
      <x:c r="B10" s="62" t="n">
        <x:v>46244</x:v>
      </x:c>
      <x:c r="C10" t="str">
        <x:v>近战打击VFX与音频反馈</x:v>
      </x:c>
      <x:c r="D10" t="str">
        <x:v>战斗VFX/2音频/2近战</x:v>
      </x:c>
      <x:c r="E10" t="str">
        <x:v>复用VFX-COMBAT-KIT-3D扩展slash/melee_impact；登记melee_swing/melee_impact OGG与母版哈希；同步动作状态、武器反馈和专项验收。</x:v>
      </x:c>
      <x:c r="F10" t="str">
        <x:v>不改命中判定、伤害或稳定武器ID；VFX无碰撞；多目标冲击主音去重。</x:v>
      </x:c>
      <x:c r="G10" t="str">
        <x:v>Codex</x:v>
      </x:c>
    </x:row>
    <x:row r="11" ht="58" customHeight="1">
      <x:c r="A11" t="str">
        <x:v>v0.1.8</x:v>
      </x:c>
      <x:c r="B11" s="62" t="n">
        <x:v>46244</x:v>
      </x:c>
      <x:c r="C11" t="str">
        <x:v>初级近战与统一枪械配件槽</x:v>
      </x:c>
      <x:c r="D11" t="str">
        <x:v>1武器/6公共槽/7枪兼容矩阵</x:v>
      </x:c>
      <x:c r="E11" t="str">
        <x:v>登记基地初级棒球棍；所有枪显示瞄具/枪口/弹匣/枪托/战术/特性统一位置，不支持槽禁用；配件可单拆，整枪移动保留装配树。</x:v>
      </x:c>
      <x:c r="F11" t="str">
        <x:v>WeaponInstance schema v2兼容v1 MOUNT旧快照；不改命运永久槽或内部递归挂载。</x:v>
      </x:c>
      <x:c r="G11" t="str">
        <x:v>Codex</x:v>
      </x:c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  <x:row r="37">
      <x:c r="A37"/>
      <x:c r="B37" s="62"/>
      <x:c r="C37"/>
      <x:c r="D37"/>
      <x:c r="E37"/>
      <x:c r="F37"/>
      <x:c r="G37"/>
    </x:row>
  </x:sheetData>
  <x:mergeCells>
    <x:mergeCell ref="A1:G2"/>
    <x:mergeCell ref="A3:G3"/>
  </x:mergeCells>
  <x:pageMargins left="0.7" right="0.7" top="0.75" bottom="0.75" header="0.3" footer="0.3"/>
</x:worksheet>
</file>