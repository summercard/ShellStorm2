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c0aaed44447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64f1312d80946d3"/>
    <x:sheet xmlns:r="http://schemas.openxmlformats.org/officeDocument/2006/relationships" name="资产主表" sheetId="2" r:id="Rd986e361c39d4b34"/>
    <x:sheet xmlns:r="http://schemas.openxmlformats.org/officeDocument/2006/relationships" name="角色组件" sheetId="3" r:id="Rbb4561200bcd4f4b"/>
    <x:sheet xmlns:r="http://schemas.openxmlformats.org/officeDocument/2006/relationships" name="动画与状态" sheetId="4" r:id="Rf0b0c6022c314180"/>
    <x:sheet xmlns:r="http://schemas.openxmlformats.org/officeDocument/2006/relationships" name="分类与编码" sheetId="5" r:id="R1e250af707284e99"/>
    <x:sheet xmlns:r="http://schemas.openxmlformats.org/officeDocument/2006/relationships" name="命名与查重" sheetId="6" r:id="Rac42cf6b203a4968"/>
    <x:sheet xmlns:r="http://schemas.openxmlformats.org/officeDocument/2006/relationships" name="原型角色" sheetId="7" r:id="R5dfbe29cb13a4b58"/>
    <x:sheet xmlns:r="http://schemas.openxmlformats.org/officeDocument/2006/relationships" name="版本记录" sheetId="8" r:id="R71dcffa382ea42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993274da6c4c64" /><Relationship Type="http://schemas.openxmlformats.org/officeDocument/2006/relationships/theme" Target="/xl/theme/theme1.xml" Id="R2d1e6a62186e4b77" /><Relationship Type="http://schemas.openxmlformats.org/officeDocument/2006/relationships/sharedStrings" Target="/xl/sharedStrings.xml" Id="R308f068df39547b0" /><Relationship Type="http://schemas.openxmlformats.org/officeDocument/2006/relationships/worksheet" Target="/xl/worksheets/sheet1.xml" Id="Rf64f1312d80946d3" /><Relationship Type="http://schemas.openxmlformats.org/officeDocument/2006/relationships/worksheet" Target="/xl/worksheets/sheet2.xml" Id="Rd986e361c39d4b34" /><Relationship Type="http://schemas.openxmlformats.org/officeDocument/2006/relationships/worksheet" Target="/xl/worksheets/sheet3.xml" Id="Rbb4561200bcd4f4b" /><Relationship Type="http://schemas.openxmlformats.org/officeDocument/2006/relationships/worksheet" Target="/xl/worksheets/sheet4.xml" Id="Rf0b0c6022c314180" /><Relationship Type="http://schemas.openxmlformats.org/officeDocument/2006/relationships/worksheet" Target="/xl/worksheets/sheet5.xml" Id="R1e250af707284e99" /><Relationship Type="http://schemas.openxmlformats.org/officeDocument/2006/relationships/worksheet" Target="/xl/worksheets/sheet6.xml" Id="Rac42cf6b203a4968" /><Relationship Type="http://schemas.openxmlformats.org/officeDocument/2006/relationships/worksheet" Target="/xl/worksheets/sheet7.xml" Id="R5dfbe29cb13a4b58" /><Relationship Type="http://schemas.openxmlformats.org/officeDocument/2006/relationships/worksheet" Target="/xl/worksheets/sheet8.xml" Id="R71dcffa382ea424f" /><Relationship Type="http://schemas.microsoft.com/office/2017/10/relationships/person" Target="/xl/persons/person.xml" Id="R0c6f760fe54647e0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4e4f8a28d64a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COUNTA('资产主表'!$A$6:$A$200)</x:f>
        <x:v>140</x:v>
      </x:c>
      <x:c r="B6" s="43"/>
      <x:c r="C6" s="45" t="n">
        <x:f>COUNTIF('资产主表'!$K$6:$K$200,"已完成")+COUNTIF('资产主表'!$K$6:$K$200,"原型已接入")</x:f>
        <x:v>44</x:v>
      </x:c>
      <x:c r="D6" s="43"/>
      <x:c r="E6" s="45" t="n">
        <x:f>COUNTIF('资产主表'!$K$6:$K$200,"待制作")+COUNTIF('资产主表'!$K$6:$K$200,"程序占位")</x:f>
        <x:v>95</x:v>
      </x:c>
      <x:c r="F6" s="43"/>
      <x:c r="G6" s="45" t="n">
        <x:f>COUNTIF('资产主表'!$S$6:$S$200,"重复")</x:f>
        <x:v>0</x:v>
      </x:c>
      <x:c r="H6" s="43"/>
      <x:c r="I6" s="46" t="str">
        <x:v>全3D闭环 / PH29 换弹覆盖态 / 真实头顶进度 / 单手枪同相</x:v>
      </x:c>
      <x:c r="J6" s="46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COUNTIF('资产主表'!$C$6:$C$200,A10)</x:f>
        <x:v>13</x:v>
      </x:c>
      <x:c r="C10" s="50" t="n">
        <x:f>COUNTIFS('资产主表'!$C$6:$C$200,A10,'资产主表'!$K$6:$K$200,"已完成")+COUNTIFS('资产主表'!$C$6:$C$200,A10,'资产主表'!$K$6:$K$200,"原型已接入")</x:f>
        <x:v>12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28</x:v>
      </x:c>
      <x:c r="C14" s="52" t="n">
        <x:f>COUNTIFS('资产主表'!$C$6:$C$200,A14,'资产主表'!$K$6:$K$200,"已完成")+COUNTIFS('资产主表'!$C$6:$C$200,A14,'资产主表'!$K$6:$K$200,"原型已接入")</x:f>
        <x:v>10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48" hidden="0" customWidth="1"/>
    <x:col min="16" max="16" width="38" hidden="0" customWidth="1"/>
    <x:col min="17" max="17" width="26" hidden="0" customWidth="1"/>
    <x:col min="18" max="18" width="42" hidden="0" customWidth="1"/>
    <x:col min="19" max="19" width="12" hidden="0" customWidth="1"/>
    <x:col min="20" max="20" width="34" hidden="0" customWidth="1"/>
    <x:col min="21" max="21" width="12" hidden="0" customWidth="1"/>
    <x:col min="22" max="22" width="13" hidden="0" customWidth="1"/>
    <x:col min="23" max="23" width="16" hidden="0" customWidth="1"/>
    <x:col min="24" max="24" width="44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IF(A6="","",IF(COUNTIF($R$6:$R$145,R6)&gt;1,"重复","唯一"))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IF(A7="","",IF(COUNTIF($R$6:$R$145,R7)&gt;1,"重复","唯一"))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IF(A8="","",IF(COUNTIF($R$6:$R$145,R8)&gt;1,"重复","唯一"))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IF(A9="","",IF(COUNTIF($R$6:$R$145,R9)&gt;1,"重复","唯一"))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IF(A10="","",IF(COUNTIF($R$6:$R$145,R10)&gt;1,"重复","唯一"))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IF(A11="","",IF(COUNTIF($R$6:$R$145,R11)&gt;1,"重复","唯一"))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IF(A12="","",IF(COUNTIF($R$6:$R$145,R12)&gt;1,"重复","唯一"))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IF(A13="","",IF(COUNTIF($R$6:$R$145,R13)&gt;1,"重复","唯一"))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IF(A14="","",IF(COUNTIF($R$6:$R$145,R14)&gt;1,"重复","唯一"))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IF(A15="","",IF(COUNTIF($R$6:$R$145,R15)&gt;1,"重复","唯一"))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IF(A16="","",IF(COUNTIF($R$6:$R$145,R16)&gt;1,"重复","唯一"))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IF(A17="","",IF(COUNTIF($R$6:$R$145,R17)&gt;1,"重复","唯一"))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IF(A18="","",IF(COUNTIF($R$6:$R$145,R18)&gt;1,"重复","唯一"))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IF(A19="","",IF(COUNTIF($R$6:$R$145,R19)&gt;1,"重复","唯一"))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IF(A20="","",IF(COUNTIF($R$6:$R$145,R20)&gt;1,"重复","唯一"))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IF(A21="","",IF(COUNTIF($R$6:$R$145,R21)&gt;1,"重复","唯一"))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IF(A22="","",IF(COUNTIF($R$6:$R$145,R22)&gt;1,"重复","唯一"))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IF(A23="","",IF(COUNTIF($R$6:$R$145,R23)&gt;1,"重复","唯一"))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IF(A24="","",IF(COUNTIF($R$6:$R$145,R24)&gt;1,"重复","唯一"))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IF(A25="","",IF(COUNTIF($R$6:$R$145,R25)&gt;1,"重复","唯一"))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IF(A26="","",IF(COUNTIF($R$6:$R$145,R26)&gt;1,"重复","唯一"))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IF(A27="","",IF(COUNTIF($R$6:$R$145,R27)&gt;1,"重复","唯一"))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IF(A28="","",IF(COUNTIF($R$6:$R$145,R28)&gt;1,"重复","唯一"))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IF(A29="","",IF(COUNTIF($R$6:$R$145,R29)&gt;1,"重复","唯一"))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IF(A30="","",IF(COUNTIF($R$6:$R$145,R30)&gt;1,"重复","唯一"))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IF(A31="","",IF(COUNTIF($R$6:$R$145,R31)&gt;1,"重复","唯一"))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IF(A32="","",IF(COUNTIF($R$6:$R$145,R32)&gt;1,"重复","唯一"))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IF(A33="","",IF(COUNTIF($R$6:$R$145,R33)&gt;1,"重复","唯一"))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IF(A34="","",IF(COUNTIF($R$6:$R$145,R34)&gt;1,"重复","唯一"))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IF(A35="","",IF(COUNTIF($R$6:$R$145,R35)&gt;1,"重复","唯一"))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IF(A36="","",IF(COUNTIF($R$6:$R$145,R36)&gt;1,"重复","唯一"))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IF(A37="","",IF(COUNTIF($R$6:$R$145,R37)&gt;1,"重复","唯一"))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IF(A38="","",IF(COUNTIF($R$6:$R$145,R38)&gt;1,"重复","唯一"))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IF(A39="","",IF(COUNTIF($R$6:$R$145,R39)&gt;1,"重复","唯一"))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IF(A40="","",IF(COUNTIF($R$6:$R$145,R40)&gt;1,"重复","唯一"))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IF(A41="","",IF(COUNTIF($R$6:$R$145,R41)&gt;1,"重复","唯一"))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IF(A42="","",IF(COUNTIF($R$6:$R$145,R42)&gt;1,"重复","唯一"))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IF(A43="","",IF(COUNTIF($R$6:$R$145,R43)&gt;1,"重复","唯一"))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IF(A44="","",IF(COUNTIF($R$6:$R$145,R44)&gt;1,"重复","唯一"))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IF(A45="","",IF(COUNTIF($R$6:$R$145,R45)&gt;1,"重复","唯一"))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IF(A46="","",IF(COUNTIF($R$6:$R$145,R46)&gt;1,"重复","唯一"))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IF(A47="","",IF(COUNTIF($R$6:$R$145,R47)&gt;1,"重复","唯一"))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IF(A48="","",IF(COUNTIF($R$6:$R$145,R48)&gt;1,"重复","唯一"))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IF(A49="","",IF(COUNTIF($R$6:$R$145,R49)&gt;1,"重复","唯一"))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IF(A50="","",IF(COUNTIF($R$6:$R$145,R50)&gt;1,"重复","唯一"))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IF(A51="","",IF(COUNTIF($R$6:$R$145,R51)&gt;1,"重复","唯一"))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IF(A52="","",IF(COUNTIF($R$6:$R$145,R52)&gt;1,"重复","唯一"))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IF(A53="","",IF(COUNTIF($R$6:$R$145,R53)&gt;1,"重复","唯一"))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IF(A54="","",IF(COUNTIF($R$6:$R$145,R54)&gt;1,"重复","唯一"))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IF(A55="","",IF(COUNTIF($R$6:$R$145,R55)&gt;1,"重复","唯一"))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IF(A56="","",IF(COUNTIF($R$6:$R$145,R56)&gt;1,"重复","唯一"))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IF(A57="","",IF(COUNTIF($R$6:$R$145,R57)&gt;1,"重复","唯一"))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IF(A58="","",IF(COUNTIF($R$6:$R$145,R58)&gt;1,"重复","唯一"))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IF(A59="","",IF(COUNTIF($R$6:$R$145,R59)&gt;1,"重复","唯一"))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IF(A60="","",IF(COUNTIF($R$6:$R$145,R60)&gt;1,"重复","唯一"))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IF(A61="","",IF(COUNTIF($R$6:$R$145,R61)&gt;1,"重复","唯一"))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IF(A62="","",IF(COUNTIF($R$6:$R$145,R62)&gt;1,"重复","唯一"))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IF(A63="","",IF(COUNTIF($R$6:$R$145,R63)&gt;1,"重复","唯一"))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IF(A64="","",IF(COUNTIF($R$6:$R$145,R64)&gt;1,"重复","唯一"))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IF(A65="","",IF(COUNTIF($R$6:$R$145,R65)&gt;1,"重复","唯一"))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IF(A66="","",IF(COUNTIF($R$6:$R$145,R66)&gt;1,"重复","唯一"))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IF(A67="","",IF(COUNTIF($R$6:$R$145,R67)&gt;1,"重复","唯一"))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IF(A68="","",IF(COUNTIF($R$6:$R$145,R68)&gt;1,"重复","唯一"))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IF(A69="","",IF(COUNTIF($R$6:$R$145,R69)&gt;1,"重复","唯一"))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IF(A70="","",IF(COUNTIF($R$6:$R$145,R70)&gt;1,"重复","唯一"))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IF(A71="","",IF(COUNTIF($R$6:$R$145,R71)&gt;1,"重复","唯一"))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IF(A72="","",IF(COUNTIF($R$6:$R$145,R72)&gt;1,"重复","唯一"))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IF(A73="","",IF(COUNTIF($R$6:$R$145,R73)&gt;1,"重复","唯一"))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IF(A74="","",IF(COUNTIF($R$6:$R$145,R74)&gt;1,"重复","唯一"))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IF(A75="","",IF(COUNTIF($R$6:$R$145,R75)&gt;1,"重复","唯一"))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IF(A76="","",IF(COUNTIF($R$6:$R$145,R76)&gt;1,"重复","唯一"))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IF(A77="","",IF(COUNTIF($R$6:$R$145,R77)&gt;1,"重复","唯一"))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IF(A78="","",IF(COUNTIF($R$6:$R$145,R78)&gt;1,"重复","唯一"))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IF(A79="","",IF(COUNTIF($R$6:$R$145,R79)&gt;1,"重复","唯一"))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IF(A80="","",IF(COUNTIF($R$6:$R$145,R80)&gt;1,"重复","唯一"))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IF(A81="","",IF(COUNTIF($R$6:$R$145,R81)&gt;1,"重复","唯一"))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IF(A82="","",IF(COUNTIF($R$6:$R$145,R82)&gt;1,"重复","唯一"))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IF(A83="","",IF(COUNTIF($R$6:$R$145,R83)&gt;1,"重复","唯一"))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IF(A84="","",IF(COUNTIF($R$6:$R$145,R84)&gt;1,"重复","唯一"))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IF(A85="","",IF(COUNTIF($R$6:$R$145,R85)&gt;1,"重复","唯一"))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IF(A86="","",IF(COUNTIF($R$6:$R$145,R86)&gt;1,"重复","唯一"))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IF(A87="","",IF(COUNTIF($R$6:$R$145,R87)&gt;1,"重复","唯一"))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IF(A88="","",IF(COUNTIF($R$6:$R$145,R88)&gt;1,"重复","唯一"))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IF(A89="","",IF(COUNTIF($R$6:$R$145,R89)&gt;1,"重复","唯一"))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IF(A90="","",IF(COUNTIF($R$6:$R$145,R90)&gt;1,"重复","唯一"))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IF(A91="","",IF(COUNTIF($R$6:$R$145,R91)&gt;1,"重复","唯一"))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IF(A92="","",IF(COUNTIF($R$6:$R$145,R92)&gt;1,"重复","唯一"))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IF(A93="","",IF(COUNTIF($R$6:$R$145,R93)&gt;1,"重复","唯一"))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IF(A94="","",IF(COUNTIF($R$6:$R$145,R94)&gt;1,"重复","唯一"))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IF(A95="","",IF(COUNTIF($R$6:$R$145,R95)&gt;1,"重复","唯一"))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IF(A96="","",IF(COUNTIF($R$6:$R$145,R96)&gt;1,"重复","唯一"))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IF(A97="","",IF(COUNTIF($R$6:$R$145,R97)&gt;1,"重复","唯一"))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IF(A98="","",IF(COUNTIF($R$6:$R$145,R98)&gt;1,"重复","唯一"))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IF(A99="","",IF(COUNTIF($R$6:$R$145,R99)&gt;1,"重复","唯一"))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IF(A100="","",IF(COUNTIF($R$6:$R$145,R100)&gt;1,"重复","唯一"))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IF(A101="","",IF(COUNTIF($R$6:$R$145,R101)&gt;1,"重复","唯一"))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IF(A102="","",IF(COUNTIF($R$6:$R$145,R102)&gt;1,"重复","唯一"))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IF(A103="","",IF(COUNTIF($R$6:$R$145,R103)&gt;1,"重复","唯一"))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IF(A104="","",IF(COUNTIF($R$6:$R$145,R104)&gt;1,"重复","唯一"))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IF(A105="","",IF(COUNTIF($R$6:$R$145,R105)&gt;1,"重复","唯一"))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IF(A106="","",IF(COUNTIF($R$6:$R$145,R106)&gt;1,"重复","唯一"))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IF(A107="","",IF(COUNTIF($R$6:$R$145,R107)&gt;1,"重复","唯一"))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IF(A108="","",IF(COUNTIF($R$6:$R$145,R108)&gt;1,"重复","唯一"))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IF(A109="","",IF(COUNTIF($R$6:$R$145,R109)&gt;1,"重复","唯一"))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IF(A110="","",IF(COUNTIF($R$6:$R$145,R110)&gt;1,"重复","唯一"))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IF(A111="","",IF(COUNTIF($R$6:$R$145,R111)&gt;1,"重复","唯一"))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IF(A112="","",IF(COUNTIF($R$6:$R$145,R112)&gt;1,"重复","唯一"))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胶囊防护体3D根组件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IF(A113="","",IF(COUNTIF($R$6:$R$145,R113)&gt;1,"重复","唯一"))</x:f>
        <x:v>唯一</x:v>
      </x:c>
      <x:c r="T113" t="str">
        <x:v>1bf2c9b88ecdcb9f8763c0d37b3b4c280e29a8a046e1c6bc22353f4a4fa102a1</x:v>
      </x:c>
      <x:c r="U113" t="str">
        <x:v>Codex</x:v>
      </x:c>
      <x:c r="V113" s="62" t="n">
        <x:v>46225</x:v>
      </x:c>
      <x:c r="W113" t="str">
        <x:v>原创程序几何</x:v>
      </x:c>
      <x:c r="X113" t="str">
        <x:v>2D逻辑资产的3D表现变体；六态白名单正常；moving使用位移驱动独立组件循环；角色网格使用render layer 2；reloading覆盖层读取武器真实计时；唯一手与weapon_socket同相；头顶billboard进度条；完成/补弹/换枪/死亡无残留；verify_3d_reload_state_flow PASS</x:v>
      </x:c>
    </x:row>
    <x:row r="114">
      <x:c r="A114" t="str">
        <x:v>CHR-PLY-CAPSULE01-BODY-3D</x:v>
      </x:c>
      <x:c r="B114" t="str">
        <x:v>胶囊防护体3D身躯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IF(A114="","",IF(COUNTIF($R$6:$R$145,R114)&gt;1,"重复","唯一"))</x:f>
        <x:v>唯一</x:v>
      </x:c>
      <x:c r="T114" t="str">
        <x:v>1bf2c9b88ecdcb9f8763c0d37b3b4c280e29a8a046e1c6bc22353f4a4fa102a1</x:v>
      </x:c>
      <x:c r="U114" t="str">
        <x:v>Codex</x:v>
      </x:c>
      <x:c r="V114" s="62" t="n">
        <x:v>46225</x:v>
      </x:c>
      <x:c r="W114" t="str">
        <x:v>原创程序几何</x:v>
      </x:c>
      <x:c r="X114" t="str">
        <x:v>PackedScene内独立Body节点；moving执行0.10m弹跳与压缩回弹；后续可替换GLB；reloading覆盖层读取武器真实计时；唯一手与weapon_socket同相；头顶billboard进度条；完成/补弹/换枪/死亡无残留；verify_3d_reload_state_flow PASS</x:v>
      </x:c>
    </x:row>
    <x:row r="115">
      <x:c r="A115" t="str">
        <x:v>CHR-PLY-CAPSULE01-HEAD-3D</x:v>
      </x:c>
      <x:c r="B115" t="str">
        <x:v>胶囊防护体3D头壳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IF(A115="","",IF(COUNTIF($R$6:$R$145,R115)&gt;1,"重复","唯一"))</x:f>
        <x:v>唯一</x:v>
      </x:c>
      <x:c r="T115" t="str">
        <x:v>1bf2c9b88ecdcb9f8763c0d37b3b4c280e29a8a046e1c6bc22353f4a4fa102a1</x:v>
      </x:c>
      <x:c r="U115" t="str">
        <x:v>Codex</x:v>
      </x:c>
      <x:c r="V115" s="62" t="n">
        <x:v>46225</x:v>
      </x:c>
      <x:c r="W115" t="str">
        <x:v>原创程序几何</x:v>
      </x:c>
      <x:c r="X115" t="str">
        <x:v>PackedScene内独立Head节点；无人脸；移动时采用小幅反相滞后，避免与身体刚性粘连；reloading覆盖层读取武器真实计时；唯一手与weapon_socket同相；头顶billboard进度条；完成/补弹/换枪/死亡无残留；verify_3d_reload_state_flow PASS</x:v>
      </x:c>
    </x:row>
    <x:row r="116">
      <x:c r="A116" t="str">
        <x:v>CHR-PLY-CAPSULE01-HAND-3D</x:v>
      </x:c>
      <x:c r="B116" t="str">
        <x:v>胶囊防护体3D唯一手部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IF(A116="","",IF(COUNTIF($R$6:$R$145,R116)&gt;1,"重复","唯一"))</x:f>
        <x:v>唯一</x:v>
      </x:c>
      <x:c r="T116" t="str">
        <x:v>1bf2c9b88ecdcb9f8763c0d37b3b4c280e29a8a046e1c6bc22353f4a4fa102a1</x:v>
      </x:c>
      <x:c r="U116" t="str">
        <x:v>Codex</x:v>
      </x:c>
      <x:c r="V116" s="62" t="n">
        <x:v>46225</x:v>
      </x:c>
      <x:c r="W116" t="str">
        <x:v>原创程序几何</x:v>
      </x:c>
      <x:c r="X116" t="str">
        <x:v>唯一可见手；随VisualRoot转向；与weapon_socket使用完全相同的移动偏移，局部关系不变；reloading覆盖层读取武器真实计时；唯一手与weapon_socket同相；头顶billboard进度条；完成/补弹/换枪/死亡无残留；verify_3d_reload_state_flow PASS</x:v>
      </x:c>
    </x:row>
    <x:row r="117">
      <x:c r="A117" t="str">
        <x:v>CHR-PLY-CAPSULE01-SCARF-3D</x:v>
      </x:c>
      <x:c r="B117" t="str">
        <x:v>胶囊防护体3D红围巾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IF(A117="","",IF(COUNTIF($R$6:$R$145,R117)&gt;1,"重复","唯一"))</x:f>
        <x:v>唯一</x:v>
      </x:c>
      <x:c r="T117" t="str">
        <x:v>1bf2c9b88ecdcb9f8763c0d37b3b4c280e29a8a046e1c6bc22353f4a4fa102a1</x:v>
      </x:c>
      <x:c r="U117" t="str">
        <x:v>Codex</x:v>
      </x:c>
      <x:c r="V117" s="62" t="n">
        <x:v>46225</x:v>
      </x:c>
      <x:c r="W117" t="str">
        <x:v>原创程序几何</x:v>
      </x:c>
      <x:c r="X117" t="str">
        <x:v>独立Scarf节点；moving读取同一周期并使用较慢跟随形成滞后，冲刺保留飘动；reloading覆盖层读取武器真实计时；唯一手与weapon_socket同相；头顶billboard进度条；完成/补弹/换枪/死亡无残留；verify_3d_reload_state_flow PASS</x:v>
      </x:c>
    </x:row>
    <x:row r="118">
      <x:c r="A118" t="str">
        <x:v>CHR-PLY-CAPSULE01-WEAPON-SOCKET-3D</x:v>
      </x:c>
      <x:c r="B118" t="str">
        <x:v>胶囊防护体3D武器挂点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IF(A118="","",IF(COUNTIF($R$6:$R$145,R118)&gt;1,"重复","唯一"))</x:f>
        <x:v>唯一</x:v>
      </x:c>
      <x:c r="T118" t="str">
        <x:v>1bf2c9b88ecdcb9f8763c0d37b3b4c280e29a8a046e1c6bc22353f4a4fa102a1</x:v>
      </x:c>
      <x:c r="U118" t="str">
        <x:v>Codex</x:v>
      </x:c>
      <x:c r="V118" s="62" t="n">
        <x:v>46225</x:v>
      </x:c>
      <x:c r="W118" t="str">
        <x:v>原创逻辑挂点</x:v>
      </x:c>
      <x:c r="X118" t="str">
        <x:v>手和挂点保持固定局部关系；随moving同相偏移；手持枪模型使用render layer 2；reloading覆盖层读取武器真实计时；唯一手与weapon_socket同相；头顶billboard进度条；完成/补弹/换枪/死亡无残留；verify_3d_reload_state_flow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IF(A119="","",IF(COUNTIF($R$6:$R$145,R119)&gt;1,"重复","唯一"))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IF(A120="","",IF(COUNTIF($R$6:$R$145,R120)&gt;1,"重复","唯一"))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IF(A121="","",IF(COUNTIF($R$6:$R$145,R121)&gt;1,"重复","唯一"))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IF(A122="","",IF(COUNTIF($R$6:$R$145,R122)&gt;1,"重复","唯一"))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IF(A123="","",IF(COUNTIF($R$6:$R$145,R123)&gt;1,"重复","唯一"))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46224</x:v>
      </x:c>
      <x:c r="W123" s="63" t="str">
        <x:v>原创程序几何</x:v>
      </x:c>
      <x:c r="X123" s="63" t="str">
        <x:v>small/medium/large；四向门；家具、搜索、服务、危险区共用根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IF(A124="","",IF(COUNTIF($R$6:$R$145,R124)&gt;1,"重复","唯一"))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IF(A125="","",IF(COUNTIF($R$6:$R$145,R125)&gt;1,"重复","唯一"))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IF(A126="","",IF(COUNTIF($R$6:$R$145,R126)&gt;1,"重复","唯一"))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IF(A127="","",IF(COUNTIF($R$6:$R$145,R127)&gt;1,"重复","唯一"))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废土灯具3D通用模块（街灯/顶灯）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关卡/靶场/房间中央照明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灯具;街灯;中央顶灯;故障灯;废土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IF(A128="","",IF(COUNTIF($R$6:$R$145,R128)&gt;1,"重复","唯一"))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46225</x:v>
      </x:c>
      <x:c r="W128" s="63" t="str">
        <x:v>原创程序几何</x:v>
      </x:c>
      <x:c r="X128" s="63" t="str">
        <x:v>同根支持street/ceiling；房间只实例化唯一中央顶灯，默认关闭并由墙面开关控制；PH28开启能量较旧基线提高约22%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IF(A129="","",IF(COUNTIF($R$6:$R$145,R129)&gt;1,"重复","唯一"))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IF(A130="","",IF(COUNTIF($R$6:$R$145,R130)&gt;1,"重复","唯一"))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IF(A131="","",IF(COUNTIF($R$6:$R$145,R131)&gt;1,"重复","唯一"))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IF(A132="","",IF(COUNTIF($R$6:$R$145,R132)&gt;1,"重复","唯一"))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IF(A133="","",IF(COUNTIF($R$6:$R$145,R133)&gt;1,"重复","唯一"))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IF(A134="","",IF(COUNTIF($R$6:$R$145,R134)&gt;1,"重复","唯一"))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IF(A135="","",IF(COUNTIF($R$6:$R$145,R135)&gt;1,"重复","唯一"))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IF(A136="","",IF(COUNTIF($R$6:$R$145,R136)&gt;1,"重复","唯一"))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IF(A137="","",IF(COUNTIF($R$6:$R$145,R137)&gt;1,"重复","唯一"))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IF(A138="","",IF(COUNTIF($R$6:$R$145,R138)&gt;1,"重复","唯一"))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IF(A139="","",IF(COUNTIF($R$6:$R$145,R139)&gt;1,"重复","唯一"))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IF(A140="","",IF(COUNTIF($R$6:$R$145,R140)&gt;1,"重复","唯一"))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IF(A141="","",IF(COUNTIF($R$6:$R$145,R141)&gt;1,"重复","唯一"))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IF(A142="","",IF(COUNTIF($R$6:$R$145,R142)&gt;1,"重复","唯一"))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>
      <x:c r="A143" t="str">
        <x:v>PRP-ROOM-LIGHT-SWITCH-3D</x:v>
      </x:c>
      <x:c r="B143" t="str">
        <x:v>房间中央灯墙面开关3D</x:v>
      </x:c>
      <x:c r="C143" t="str">
        <x:v>场景道具</x:v>
      </x:c>
      <x:c r="D143" t="str">
        <x:v>facility</x:v>
      </x:c>
      <x:c r="E143" t="str">
        <x:v>room_light_switch</x:v>
      </x:c>
      <x:c r="F143" t="str">
        <x:v>root_3d</x:v>
      </x:c>
      <x:c r="G143" t="str">
        <x:v>ENV-DUNGEON-RUNTIME-3D</x:v>
      </x:c>
      <x:c r="H143" t="str">
        <x:v>俯视3D</x:v>
      </x:c>
      <x:c r="I143" t="str">
        <x:v>default</x:v>
      </x:c>
      <x:c r="J143" t="str">
        <x:v>随机关卡房间/四主题复用</x:v>
      </x:c>
      <x:c r="K143" t="str">
        <x:v>原型已接入</x:v>
      </x:c>
      <x:c r="L143" t="str">
        <x:v>P0</x:v>
      </x:c>
      <x:c r="M143" t="str">
        <x:v>v001</x:v>
      </x:c>
      <x:c r="N143" t="str">
        <x:v>PackedScene/Area3D</x:v>
      </x:c>
      <x:c r="O143" t="str">
        <x:v>assets/art/props/dungeon_3d/prp_room_light_switch_root_top3d_v001.tscn</x:v>
      </x:c>
      <x:c r="P143" t="str">
        <x:v>src/world3d/RoomLightSwitch3D.gd</x:v>
      </x:c>
      <x:c r="Q143" t="str">
        <x:v>房灯开关;墙面交互;中央顶灯;E键</x:v>
      </x:c>
      <x:c r="R143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t="str">
        <x:f>IF(A143="","",IF(COUNTIF($R$6:$R$145,R143)&gt;1,"重复","唯一"))</x:f>
        <x:v>唯一</x:v>
      </x:c>
      <x:c r="T143" t="str">
        <x:v>7802bc3a71d892072e43962875e26b60443d19de35bcc77fe0cbedcfa6dd5d94</x:v>
      </x:c>
      <x:c r="U143" t="str">
        <x:v>Codex</x:v>
      </x:c>
      <x:c r="V143" s="62" t="n">
        <x:v>46225</x:v>
      </x:c>
      <x:c r="W143" t="str">
        <x:v>原创程序几何</x:v>
      </x:c>
      <x:c r="X143" t="str">
        <x:v>每个房间共用一件；E键切换唯一中央顶灯；禁止复制到各主题局部目录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IF(A144="","",IF(COUNTIF($R$6:$R$145,R144)&gt;1,"重复","唯一"))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独立于玩法视野；环境layer1=投影主聚光+无阴影近身溢光，角色/手持枪layer2=微弱无阴影正面柔光；头顶环境灯不影响角色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IF(A145="","",IF(COUNTIF($R$6:$R$145,R145)&gt;1,"重复","唯一"))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4e4f8a28d64a3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15" hidden="0" customWidth="1"/>
    <x:col min="5" max="5" width="52" hidden="0" customWidth="1"/>
    <x:col min="6" max="6" width="14" hidden="0" customWidth="1"/>
    <x:col min="7" max="7" width="14" hidden="0" customWidth="1"/>
    <x:col min="8" max="8" width="19" hidden="0" customWidth="1"/>
    <x:col min="9" max="9" width="6" hidden="0" customWidth="1"/>
    <x:col min="10" max="10" width="30" hidden="0" customWidth="1"/>
    <x:col min="11" max="11" width="20" hidden="0" customWidth="1"/>
    <x:col min="12" max="12" width="8" hidden="0" customWidth="1"/>
    <x:col min="13" max="13" width="36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4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六态整体变换 + reloading覆盖</x:v>
      </x:c>
      <x:c r="K14" s="63" t="str">
        <x:v>3D表现根</x:v>
      </x:c>
      <x:c r="L14" s="63" t="str">
        <x:v>是</x:v>
      </x:c>
      <x:c r="M14" s="63" t="str">
        <x:v>与2D共用六态ID；reloading不替换顶层；摄像机和头顶条不跟随VisualRoot旋转</x:v>
      </x:c>
    </x:row>
    <x:row r="15" ht="34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CapsuleMesh</x:v>
      </x:c>
      <x:c r="G15" s="63" t="str">
        <x:v>(0,0.88,0)</x:v>
      </x:c>
      <x:c r="H15" s="63" t="str">
        <x:v>随root</x:v>
      </x:c>
      <x:c r="I15" s="63" t="n">
        <x:v>1</x:v>
      </x:c>
      <x:c r="J15" s="63" t="str">
        <x:v>独立移动弹性/呼吸/死亡倾倒</x:v>
      </x:c>
      <x:c r="K15" s="63" t="str">
        <x:v>防护服主体</x:v>
      </x:c>
      <x:c r="L15" s="63" t="str">
        <x:v>是</x:v>
      </x:c>
      <x:c r="M15" s="63" t="str">
        <x:v>无腿、无脚、无手臂；render layer 2；移动振幅沿用2D弹性</x:v>
      </x:c>
    </x:row>
    <x:row r="16" ht="34" customHeight="1">
      <x:c r="A16" s="63" t="str">
        <x:v>player_capsule01_3d</x:v>
      </x:c>
      <x:c r="B16" s="63" t="str">
        <x:v>scarf</x:v>
      </x:c>
      <x:c r="C16" s="63" t="str">
        <x:v>VisualRoot/Scarf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Cylinder+Box</x:v>
      </x:c>
      <x:c r="G16" s="63" t="str">
        <x:v>(0,1.43,0)</x:v>
      </x:c>
      <x:c r="H16" s="63" t="str">
        <x:v>随root + 轻摆</x:v>
      </x:c>
      <x:c r="I16" s="63" t="n">
        <x:v>2</x:v>
      </x:c>
      <x:c r="J16" s="63" t="str">
        <x:v>移动周期滞后/冲刺飘动</x:v>
      </x:c>
      <x:c r="K16" s="63" t="str">
        <x:v>身份配件</x:v>
      </x:c>
      <x:c r="L16" s="63" t="str">
        <x:v>否</x:v>
      </x:c>
      <x:c r="M16" s="63" t="str">
        <x:v>独立红围巾组件；moving以较慢跟随形成可读滞后</x:v>
      </x:c>
    </x:row>
    <x:row r="17" ht="34" customHeight="1">
      <x:c r="A17" s="63" t="str">
        <x:v>player_capsule01_3d</x:v>
      </x:c>
      <x:c r="B17" s="63" t="str">
        <x:v>head</x:v>
      </x:c>
      <x:c r="C17" s="63" t="str">
        <x:v>VisualRoot/Head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SphereMesh</x:v>
      </x:c>
      <x:c r="G17" s="63" t="str">
        <x:v>(0,1.84,-0.01)</x:v>
      </x:c>
      <x:c r="H17" s="63" t="str">
        <x:v>随root</x:v>
      </x:c>
      <x:c r="I17" s="63" t="n">
        <x:v>3</x:v>
      </x:c>
      <x:c r="J17" s="63" t="str">
        <x:v>移动反相滞后/呼吸/受击/死亡</x:v>
      </x:c>
      <x:c r="K17" s="63" t="str">
        <x:v>头壳/传感器</x:v>
      </x:c>
      <x:c r="L17" s="63" t="str">
        <x:v>是</x:v>
      </x:c>
      <x:c r="M17" s="63" t="str">
        <x:v>单传感器；无嘴无人脸；只受角色正面柔光与房间公共灯</x:v>
      </x:c>
    </x:row>
    <x:row r="18" ht="34" customHeight="1">
      <x:c r="A18" s="63" t="str">
        <x:v>player_capsule01_3d</x:v>
      </x:c>
      <x:c r="B18" s="63" t="str">
        <x:v>hand</x:v>
      </x:c>
      <x:c r="C18" s="63" t="str">
        <x:v>VisualRoot/Hand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SphereMesh</x:v>
      </x:c>
      <x:c r="G18" s="63" t="str">
        <x:v>(0.72,1.22,-0.18)</x:v>
      </x:c>
      <x:c r="H18" s="63" t="str">
        <x:v>随root；换弹时同相位移/旋转</x:v>
      </x:c>
      <x:c r="I18" s="63" t="n">
        <x:v>4</x:v>
      </x:c>
      <x:c r="J18" s="63" t="str">
        <x:v>moving同相；换弹下压/操作/回位；保持握持位</x:v>
      </x:c>
      <x:c r="K18" s="63" t="str">
        <x:v>唯一握持手</x:v>
      </x:c>
      <x:c r="L18" s="63" t="str">
        <x:v>是</x:v>
      </x:c>
      <x:c r="M18" s="63" t="str">
        <x:v>只有一只手；与weapon_socket在moving/reloading全周期保持固定相对向量</x:v>
      </x:c>
    </x:row>
    <x:row r="19" ht="34" customHeight="1">
      <x:c r="A19" s="63" t="str">
        <x:v>player_capsule01_3d</x:v>
      </x:c>
      <x:c r="B19" s="63" t="str">
        <x:v>weapon_socket</x:v>
      </x:c>
      <x:c r="C19" s="63" t="str">
        <x:v>VisualRoot/WeaponSocket</x:v>
      </x:c>
      <x:c r="D19" s="63" t="str">
        <x:v>root</x:v>
      </x:c>
      <x:c r="E19" s="63" t="str">
        <x:v>无纹理</x:v>
      </x:c>
      <x:c r="F19" s="63" t="str">
        <x:v>Marker3D</x:v>
      </x:c>
      <x:c r="G19" s="63" t="str">
        <x:v>(0.72,1.24,-0.34)</x:v>
      </x:c>
      <x:c r="H19" s="63" t="str">
        <x:v>随root；换弹时同相位移/旋转</x:v>
      </x:c>
      <x:c r="I19" s="63" t="n">
        <x:v>5</x:v>
      </x:c>
      <x:c r="J19" s="63" t="str">
        <x:v>与唯一手同相；换弹下压/操作/回位；枪械挂载/枪口特效</x:v>
      </x:c>
      <x:c r="K19" s="63" t="str">
        <x:v>武器系统</x:v>
      </x:c>
      <x:c r="L19" s="63" t="str">
        <x:v>是</x:v>
      </x:c>
      <x:c r="M19" s="63" t="str">
        <x:v>挂点与手在moving/reloading保持固定局部关系；手持枪网格统一render layer 2</x:v>
      </x:c>
    </x:row>
    <x:row r="20" ht="34" customHeight="1">
      <x:c r="A20" s="63" t="str">
        <x:v>player_capsule01_3d</x:v>
      </x:c>
      <x:c r="B20" s="63" t="str">
        <x:v>reload_progress</x:v>
      </x:c>
      <x:c r="C20" s="63" t="str">
        <x:v>ReloadProgress3D</x:v>
      </x:c>
      <x:c r="D20" s="63" t="str">
        <x:v>player_root</x:v>
      </x:c>
      <x:c r="E20" s="63" t="str">
        <x:v>assets/art/characters/player/chr_player_capsule01_3d/chr_player_capsule01_root_top3d_v001.tscn</x:v>
      </x:c>
      <x:c r="F20" s="63" t="str">
        <x:v>QuadMesh×2</x:v>
      </x:c>
      <x:c r="G20" s="63" t="str">
        <x:v>(0,2.72,0.06)</x:v>
      </x:c>
      <x:c r="H20" s="63" t="str">
        <x:v>朝向相机；不随VisualRoot旋转</x:v>
      </x:c>
      <x:c r="I20" s="63" t="n">
        <x:v>6</x:v>
      </x:c>
      <x:c r="J20" s="63" t="str">
        <x:v>读取真实换弹进度；左端固定；完成/取消隐藏</x:v>
      </x:c>
      <x:c r="K20" s="63" t="str">
        <x:v>状态UI子组件</x:v>
      </x:c>
      <x:c r="L20" s="63" t="str">
        <x:v>是</x:v>
      </x:c>
      <x:c r="M20" s="63" t="str">
        <x:v>无独立计时器/SubViewport；不参与碰撞、视野、灯光或输入；56组合共用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34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2D/3D 共用六态 ID 与转换白名单；Low HP / Silenced / Invincible / Reloading 为叠加层。Reloading 读取武器唯一计时，新增动画前先查本表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L（停用）</x:v>
      </x:c>
      <x:c r="I5" s="29" t="str">
        <x:v>Hand（握持）</x:v>
      </x:c>
      <x:c r="J5" s="29" t="str">
        <x:v>Scarf</x:v>
      </x:c>
      <x:c r="K5" s="29" t="str">
        <x:v>VFX/UI</x:v>
      </x:c>
      <x:c r="L5" s="30" t="str">
        <x:v>首版实现</x:v>
      </x:c>
    </x:row>
    <x:row r="6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低频呼吸</x:v>
      </x:c>
      <x:c r="G6" s="36" t="str">
        <x:v>轻微滞后</x:v>
      </x:c>
      <x:c r="H6" s="36" t="str">
        <x:v>不显示</x:v>
      </x:c>
      <x:c r="I6" s="36" t="str">
        <x:v>随身体左右镜像</x:v>
      </x:c>
      <x:c r="J6" s="36" t="str">
        <x:v>轻摆</x:v>
      </x:c>
      <x:c r="K6" s="36" t="str">
        <x:v>HUD 待命</x:v>
      </x:c>
      <x:c r="L6" s="36" t="str">
        <x:v>2D/3D组件变换；单手保持局部挂点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位移驱动弹跳/压缩回弹</x:v>
      </x:c>
      <x:c r="G7" s="37" t="str">
        <x:v>较小反相滞后</x:v>
      </x:c>
      <x:c r="H7" s="37" t="str">
        <x:v>不显示</x:v>
      </x:c>
      <x:c r="I7" s="37" t="str">
        <x:v>与挂点同相移动</x:v>
      </x:c>
      <x:c r="J7" s="37" t="str">
        <x:v>周期滞后</x:v>
      </x:c>
      <x:c r="K7" s="37" t="str">
        <x:v>地面划痕</x:v>
      </x:c>
      <x:c r="L7" s="37" t="str">
        <x:v>2D/3D组件变换；独立moving循环；整体根随准星；手与挂点局部关系固定</x:v>
      </x:c>
    </x:row>
    <x:row r="8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横向压缩</x:v>
      </x:c>
      <x:c r="G8" s="37" t="str">
        <x:v>随整体压缩</x:v>
      </x:c>
      <x:c r="H8" s="37" t="str">
        <x:v>不显示</x:v>
      </x:c>
      <x:c r="I8" s="37" t="str">
        <x:v>随身体左右镜像</x:v>
      </x:c>
      <x:c r="J8" s="37" t="str">
        <x:v>顺风</x:v>
      </x:c>
      <x:c r="K8" s="37" t="str">
        <x:v>青色尾迹</x:v>
      </x:c>
      <x:c r="L8" s="37" t="str">
        <x:v>2D/3D组件变换 + 程序尾迹；握持关系不变</x:v>
      </x:c>
    </x:row>
    <x:row r="9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冲击压缩</x:v>
      </x:c>
      <x:c r="G9" s="37" t="str">
        <x:v>后仰</x:v>
      </x:c>
      <x:c r="H9" s="37" t="str">
        <x:v>不显示</x:v>
      </x:c>
      <x:c r="I9" s="37" t="str">
        <x:v>随身体左右镜像</x:v>
      </x:c>
      <x:c r="J9" s="37" t="str">
        <x:v>抖动</x:v>
      </x:c>
      <x:c r="K9" s="37" t="str">
        <x:v>红闪/屏闪</x:v>
      </x:c>
      <x:c r="L9" s="37" t="str">
        <x:v>2D/3D受击压缩/闪色；握持关系不变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不显示</x:v>
      </x:c>
      <x:c r="I10" s="37" t="str">
        <x:v>随身体左右镜像</x:v>
      </x:c>
      <x:c r="J10" s="37" t="str">
        <x:v>低摆</x:v>
      </x:c>
      <x:c r="K10" s="37" t="str">
        <x:v>琥珀锁定环</x:v>
      </x:c>
      <x:c r="L10" s="37" t="str">
        <x:v>2D/3D降亮 + 锁定环；输入锁转换一致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不显示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2D/3D终态守卫 + 整体倾倒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不显示</x:v>
      </x:c>
      <x:c r="I12" s="37" t="str">
        <x:v>保持当前朝向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不显示</x:v>
      </x:c>
      <x:c r="I13" s="37" t="str">
        <x:v>保持当前朝向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不显示</x:v>
      </x:c>
      <x:c r="I14" s="37" t="str">
        <x:v>保持当前朝向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  <x:row r="15" ht="34" customHeight="1">
      <x:c r="A15" s="63" t="str">
        <x:v>叠加</x:v>
      </x:c>
      <x:c r="B15" s="63" t="str">
        <x:v>reloading</x:v>
      </x:c>
      <x:c r="C15" s="63" t="str">
        <x:v>换弹</x:v>
      </x:c>
      <x:c r="D15" s="63" t="str">
        <x:v>任意持枪存活态</x:v>
      </x:c>
      <x:c r="E15" s="63" t="str">
        <x:v>不改变顶层；完成/取消退出</x:v>
      </x:c>
      <x:c r="F15" s="63" t="str">
        <x:v>保持当前顶层</x:v>
      </x:c>
      <x:c r="G15" s="63" t="str">
        <x:v>保持当前顶层</x:v>
      </x:c>
      <x:c r="H15" s="63" t="str">
        <x:v>不显示</x:v>
      </x:c>
      <x:c r="I15" s="63" t="str">
        <x:v>与weapon_socket同相下压/操作/回位</x:v>
      </x:c>
      <x:c r="J15" s="63" t="str">
        <x:v>保持当前顶层</x:v>
      </x:c>
      <x:c r="K15" s="63" t="str">
        <x:v>3D头顶billboard进度条；2D弹药栏</x:v>
      </x:c>
      <x:c r="L15" s="63" t="str">
        <x:v>WeaponModel3D唯一计时源；0→1；换枪/补弹/清空/死亡取消</x:v>
      </x:c>
    </x:row>
    <x:row r="16" ht="28" customHeight="1">
      <x:c r="A16" s="69" t="str">
        <x:v>Enemy3D 九态状态机 × 模块表现 × 模型轮廓碰撞</x:v>
      </x:c>
      <x:c r="B16" s="69"/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</x:row>
    <x:row r="17" ht="36" customHeight="1">
      <x:c r="A17" s="63" t="str">
        <x:v>层级</x:v>
      </x:c>
      <x:c r="B17" s="63" t="str">
        <x:v>状态ID</x:v>
      </x:c>
      <x:c r="C17" s="63" t="str">
        <x:v>中文名</x:v>
      </x:c>
      <x:c r="D17" s="63" t="str">
        <x:v>允许来源</x:v>
      </x:c>
      <x:c r="E17" s="63" t="str">
        <x:v>允许去向</x:v>
      </x:c>
      <x:c r="F17" s="63" t="str">
        <x:v>Core</x:v>
      </x:c>
      <x:c r="G17" s="63" t="str">
        <x:v>Shell</x:v>
      </x:c>
      <x:c r="H17" s="63" t="str">
        <x:v>Appendages</x:v>
      </x:c>
      <x:c r="I17" s="63" t="str">
        <x:v>StateVFX</x:v>
      </x:c>
      <x:c r="J17" s="63" t="str">
        <x:v>行为职责</x:v>
      </x:c>
      <x:c r="K17" s="63" t="str">
        <x:v>验收</x:v>
      </x:c>
      <x:c r="L17" s="63" t="str">
        <x:v>首版实现</x:v>
      </x:c>
    </x:row>
    <x:row r="18" ht="42" customHeight="1">
      <x:c r="A18" s="63" t="str">
        <x:v>顶层</x:v>
      </x:c>
      <x:c r="B18" s="63" t="str">
        <x:v>idle</x:v>
      </x:c>
      <x:c r="C18" s="63" t="str">
        <x:v>待机</x:v>
      </x:c>
      <x:c r="D18" s="63" t="str">
        <x:v>start/patrol/stagger</x:v>
      </x:c>
      <x:c r="E18" s="63" t="str">
        <x:v>patrol/alert/dead</x:v>
      </x:c>
      <x:c r="F18" s="63" t="str">
        <x:v>低频脉冲</x:v>
      </x:c>
      <x:c r="G18" s="63" t="str">
        <x:v>轻浮动</x:v>
      </x:c>
      <x:c r="H18" s="63" t="str">
        <x:v>低速</x:v>
      </x:c>
      <x:c r="I18" s="63" t="str">
        <x:v>关闭</x:v>
      </x:c>
      <x:c r="J18" s="63" t="str">
        <x:v>等待目标</x:v>
      </x:c>
      <x:c r="K18" s="63" t="str">
        <x:v>静态轮廓可读</x:v>
      </x:c>
      <x:c r="L18" s="63" t="str">
        <x:v>模块变换</x:v>
      </x:c>
    </x:row>
    <x:row r="19" ht="42" customHeight="1">
      <x:c r="A19" s="63" t="str">
        <x:v>顶层</x:v>
      </x:c>
      <x:c r="B19" s="63" t="str">
        <x:v>patrol</x:v>
      </x:c>
      <x:c r="C19" s="63" t="str">
        <x:v>巡逻</x:v>
      </x:c>
      <x:c r="D19" s="63" t="str">
        <x:v>idle/search</x:v>
      </x:c>
      <x:c r="E19" s="63" t="str">
        <x:v>idle/alert/stagger/dead</x:v>
      </x:c>
      <x:c r="F19" s="63" t="str">
        <x:v>低频脉冲</x:v>
      </x:c>
      <x:c r="G19" s="63" t="str">
        <x:v>朝巡逻点</x:v>
      </x:c>
      <x:c r="H19" s="63" t="str">
        <x:v>慢速步态</x:v>
      </x:c>
      <x:c r="I19" s="63" t="str">
        <x:v>关闭</x:v>
      </x:c>
      <x:c r="J19" s="63" t="str">
        <x:v>出生点附近巡逻</x:v>
      </x:c>
      <x:c r="K19" s="63" t="str">
        <x:v>无目标不原地僵住</x:v>
      </x:c>
      <x:c r="L19" s="63" t="str">
        <x:v>CharacterBody3D</x:v>
      </x:c>
    </x:row>
    <x:row r="20" ht="42" customHeight="1">
      <x:c r="A20" s="63" t="str">
        <x:v>顶层</x:v>
      </x:c>
      <x:c r="B20" s="63" t="str">
        <x:v>alert</x:v>
      </x:c>
      <x:c r="C20" s="63" t="str">
        <x:v>警觉</x:v>
      </x:c>
      <x:c r="D20" s="63" t="str">
        <x:v>idle/patrol/search</x:v>
      </x:c>
      <x:c r="E20" s="63" t="str">
        <x:v>chase/stagger/dead</x:v>
      </x:c>
      <x:c r="F20" s="63" t="str">
        <x:v>加速</x:v>
      </x:c>
      <x:c r="G20" s="63" t="str">
        <x:v>抬升</x:v>
      </x:c>
      <x:c r="H20" s="63" t="str">
        <x:v>展开</x:v>
      </x:c>
      <x:c r="I20" s="63" t="str">
        <x:v>关闭</x:v>
      </x:c>
      <x:c r="J20" s="63" t="str">
        <x:v>发现玩家</x:v>
      </x:c>
      <x:c r="K20" s="63" t="str">
        <x:v>0.28s响应</x:v>
      </x:c>
      <x:c r="L20" s="63" t="str">
        <x:v>模块变换</x:v>
      </x:c>
    </x:row>
    <x:row r="21" ht="42" customHeight="1">
      <x:c r="A21" s="63" t="str">
        <x:v>顶层</x:v>
      </x:c>
      <x:c r="B21" s="63" t="str">
        <x:v>chase</x:v>
      </x:c>
      <x:c r="C21" s="63" t="str">
        <x:v>追击</x:v>
      </x:c>
      <x:c r="D21" s="63" t="str">
        <x:v>alert/attack/stagger</x:v>
      </x:c>
      <x:c r="E21" s="63" t="str">
        <x:v>search/telegraph/stagger/dead</x:v>
      </x:c>
      <x:c r="F21" s="63" t="str">
        <x:v>稳定</x:v>
      </x:c>
      <x:c r="G21" s="63" t="str">
        <x:v>朝目标</x:v>
      </x:c>
      <x:c r="H21" s="63" t="str">
        <x:v>步态</x:v>
      </x:c>
      <x:c r="I21" s="63" t="str">
        <x:v>关闭</x:v>
      </x:c>
      <x:c r="J21" s="63" t="str">
        <x:v>距离控制</x:v>
      </x:c>
      <x:c r="K21" s="63" t="str">
        <x:v>七类速度差</x:v>
      </x:c>
      <x:c r="L21" s="63" t="str">
        <x:v>CharacterBody3D</x:v>
      </x:c>
    </x:row>
    <x:row r="22" ht="42" customHeight="1">
      <x:c r="A22" s="63" t="str">
        <x:v>顶层</x:v>
      </x:c>
      <x:c r="B22" s="63" t="str">
        <x:v>search</x:v>
      </x:c>
      <x:c r="C22" s="63" t="str">
        <x:v>搜索</x:v>
      </x:c>
      <x:c r="D22" s="63" t="str">
        <x:v>chase</x:v>
      </x:c>
      <x:c r="E22" s="63" t="str">
        <x:v>patrol/alert/stagger/dead</x:v>
      </x:c>
      <x:c r="F22" s="63" t="str">
        <x:v>渐缓</x:v>
      </x:c>
      <x:c r="G22" s="63" t="str">
        <x:v>朝最后位置</x:v>
      </x:c>
      <x:c r="H22" s="63" t="str">
        <x:v>搜索步态</x:v>
      </x:c>
      <x:c r="I22" s="63" t="str">
        <x:v>搜索提示</x:v>
      </x:c>
      <x:c r="J22" s="63" t="str">
        <x:v>失去视线后搜索</x:v>
      </x:c>
      <x:c r="K22" s="63" t="str">
        <x:v>2.4s后回巡逻</x:v>
      </x:c>
      <x:c r="L22" s="63" t="str">
        <x:v>射线+最后位置</x:v>
      </x:c>
    </x:row>
    <x:row r="23" ht="42" customHeight="1">
      <x:c r="A23" s="63" t="str">
        <x:v>顶层</x:v>
      </x:c>
      <x:c r="B23" s="63" t="str">
        <x:v>telegraph</x:v>
      </x:c>
      <x:c r="C23" s="63" t="str">
        <x:v>预警</x:v>
      </x:c>
      <x:c r="D23" s="63" t="str">
        <x:v>chase</x:v>
      </x:c>
      <x:c r="E23" s="63" t="str">
        <x:v>attack/stagger/dead</x:v>
      </x:c>
      <x:c r="F23" s="63" t="str">
        <x:v>高频脉冲</x:v>
      </x:c>
      <x:c r="G23" s="63" t="str">
        <x:v>稳定</x:v>
      </x:c>
      <x:c r="H23" s="63" t="str">
        <x:v>蓄势</x:v>
      </x:c>
      <x:c r="I23" s="63" t="str">
        <x:v>红色预警环</x:v>
      </x:c>
      <x:c r="J23" s="63" t="str">
        <x:v>攻击前摇</x:v>
      </x:c>
      <x:c r="K23" s="63" t="str">
        <x:v>不可省略</x:v>
      </x:c>
      <x:c r="L23" s="63" t="str">
        <x:v>计时状态</x:v>
      </x:c>
    </x:row>
    <x:row r="24" ht="42" customHeight="1">
      <x:c r="A24" s="63" t="str">
        <x:v>顶层</x:v>
      </x:c>
      <x:c r="B24" s="63" t="str">
        <x:v>attack</x:v>
      </x:c>
      <x:c r="C24" s="63" t="str">
        <x:v>攻击</x:v>
      </x:c>
      <x:c r="D24" s="63" t="str">
        <x:v>telegraph</x:v>
      </x:c>
      <x:c r="E24" s="63" t="str">
        <x:v>chase/stagger/dead</x:v>
      </x:c>
      <x:c r="F24" s="63" t="str">
        <x:v>峰值</x:v>
      </x:c>
      <x:c r="G24" s="63" t="str">
        <x:v>反冲</x:v>
      </x:c>
      <x:c r="H24" s="63" t="str">
        <x:v>执行</x:v>
      </x:c>
      <x:c r="I24" s="63" t="str">
        <x:v>按攻击类型</x:v>
      </x:c>
      <x:c r="J24" s="63" t="str">
        <x:v>近战/远程/召唤/爆炸</x:v>
      </x:c>
      <x:c r="K24" s="63" t="str">
        <x:v>七类差异</x:v>
      </x:c>
      <x:c r="L24" s="63" t="str">
        <x:v>profile策略</x:v>
      </x:c>
    </x:row>
    <x:row r="25">
      <x:c r="A25" t="str">
        <x:v>顶层</x:v>
      </x:c>
      <x:c r="B25" t="str">
        <x:v>stagger</x:v>
      </x:c>
      <x:c r="C25" t="str">
        <x:v>硬直</x:v>
      </x:c>
      <x:c r="D25" t="str">
        <x:v>任意存活态</x:v>
      </x:c>
      <x:c r="E25" t="str">
        <x:v>chase/dead</x:v>
      </x:c>
      <x:c r="F25" t="str">
        <x:v>闪色</x:v>
      </x:c>
      <x:c r="G25" t="str">
        <x:v>冲击</x:v>
      </x:c>
      <x:c r="H25" t="str">
        <x:v>暂停</x:v>
      </x:c>
      <x:c r="I25" t="str">
        <x:v>伤害反馈</x:v>
      </x:c>
      <x:c r="J25" t="str">
        <x:v>受击窗口</x:v>
      </x:c>
      <x:c r="K25" t="str">
        <x:v>方向可读</x:v>
      </x:c>
      <x:c r="L25" t="str">
        <x:v>统一伤害入口</x:v>
      </x:c>
    </x:row>
    <x:row r="26">
      <x:c r="A26" t="str">
        <x:v>顶层</x:v>
      </x:c>
      <x:c r="B26" t="str">
        <x:v>dead</x:v>
      </x:c>
      <x:c r="C26" t="str">
        <x:v>死亡</x:v>
      </x:c>
      <x:c r="D26" t="str">
        <x:v>任意存活态</x:v>
      </x:c>
      <x:c r="E26" t="str">
        <x:v>无（终态）</x:v>
      </x:c>
      <x:c r="F26" t="str">
        <x:v>熄灭</x:v>
      </x:c>
      <x:c r="G26" t="str">
        <x:v>压扁</x:v>
      </x:c>
      <x:c r="H26" t="str">
        <x:v>停止</x:v>
      </x:c>
      <x:c r="I26" t="str">
        <x:v>爆散/淡出</x:v>
      </x:c>
      <x:c r="J26" t="str">
        <x:v>掉落与计数</x:v>
      </x:c>
      <x:c r="K26" t="str">
        <x:v>不可回存活态</x:v>
      </x:c>
      <x:c r="L26" t="str">
        <x:v>终态 + Tween</x:v>
      </x:c>
    </x:row>
  </x:sheetData>
  <x:mergeCells>
    <x:mergeCell ref="A1:L2"/>
    <x:mergeCell ref="A3:L3"/>
    <x:mergeCell ref="A16:L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</x:sheetData>
  <x:mergeCells>
    <x:mergeCell ref="A1:N2"/>
    <x:mergeCell ref="A3:N3"/>
    <x:mergeCell ref="A13:H13"/>
    <x:mergeCell ref="A21:H21"/>
    <x:mergeCell ref="A23:H23"/>
    <x:mergeCell ref="A24:N2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