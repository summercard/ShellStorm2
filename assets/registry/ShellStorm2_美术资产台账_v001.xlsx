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7a7ab362e24c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903f49eae684872"/>
    <x:sheet xmlns:r="http://schemas.openxmlformats.org/officeDocument/2006/relationships" name="资产主表" sheetId="2" r:id="R189a5e59c0cd4f57"/>
    <x:sheet xmlns:r="http://schemas.openxmlformats.org/officeDocument/2006/relationships" name="角色组件" sheetId="3" r:id="Rce3b2737aa7b4110"/>
    <x:sheet xmlns:r="http://schemas.openxmlformats.org/officeDocument/2006/relationships" name="动画与状态" sheetId="4" r:id="R3903b8a6eedd45f2"/>
    <x:sheet xmlns:r="http://schemas.openxmlformats.org/officeDocument/2006/relationships" name="分类与编码" sheetId="5" r:id="R742c45ab38904062"/>
    <x:sheet xmlns:r="http://schemas.openxmlformats.org/officeDocument/2006/relationships" name="命名与查重" sheetId="6" r:id="R6fedb916435a41b7"/>
    <x:sheet xmlns:r="http://schemas.openxmlformats.org/officeDocument/2006/relationships" name="原型角色" sheetId="7" r:id="R8b6b8c4ff131414a"/>
    <x:sheet xmlns:r="http://schemas.openxmlformats.org/officeDocument/2006/relationships" name="版本记录" sheetId="8" r:id="R45f35b754aad4b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</x:fills>
  <x:borders count="6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9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9" fillId="10" borderId="0" xfId="0" applyNumberFormat="1" applyFont="1" applyFill="1" applyBorder="1"/>
    <x:xf numFmtId="0" fontId="0" fillId="11" borderId="0" xfId="0" applyNumberFormat="1" applyFont="1" applyFill="1" applyBorder="1"/>
    <x:xf numFmtId="0" fontId="20" fillId="11" borderId="0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0" fillId="13" borderId="0" xfId="0" applyNumberFormat="1" applyFont="1" applyFill="1" applyBorder="1"/>
    <x:xf numFmtId="0" fontId="21" fillId="13" borderId="0" xfId="0" applyNumberFormat="1" applyFont="1" applyFill="1" applyBorder="1"/>
    <x:xf numFmtId="0" fontId="21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5" fillId="15" borderId="0" xfId="0" applyNumberFormat="1" applyFont="1" applyFill="1" applyBorder="1"/>
    <x:xf numFmtId="0" fontId="21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0" fillId="17" borderId="0" xfId="0" applyNumberFormat="1" applyFont="1" applyFill="1" applyBorder="1"/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20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wrapText="1"/>
    </x:xf>
    <x:xf numFmtId="0" fontId="20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5" fillId="23" borderId="0" xfId="0" applyNumberFormat="1" applyFont="1" applyFill="1" applyBorder="1"/>
    <x:xf numFmtId="0" fontId="5" fillId="23" borderId="0" xfId="0" applyNumberFormat="1" applyFont="1" applyFill="1" applyBorder="1" applyAlignment="1">
      <x:alignment horizontal="center"/>
    </x:xf>
    <x:xf numFmtId="0" fontId="5" fillId="23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4b83fae76149c1" /><Relationship Type="http://schemas.openxmlformats.org/officeDocument/2006/relationships/theme" Target="/xl/theme/theme1.xml" Id="R2112d95fd310431d" /><Relationship Type="http://schemas.openxmlformats.org/officeDocument/2006/relationships/sharedStrings" Target="/xl/sharedStrings.xml" Id="Rbf0411a4149c4f5d" /><Relationship Type="http://schemas.openxmlformats.org/officeDocument/2006/relationships/worksheet" Target="/xl/worksheets/sheet1.xml" Id="Rb903f49eae684872" /><Relationship Type="http://schemas.openxmlformats.org/officeDocument/2006/relationships/worksheet" Target="/xl/worksheets/sheet2.xml" Id="R189a5e59c0cd4f57" /><Relationship Type="http://schemas.openxmlformats.org/officeDocument/2006/relationships/worksheet" Target="/xl/worksheets/sheet3.xml" Id="Rce3b2737aa7b4110" /><Relationship Type="http://schemas.openxmlformats.org/officeDocument/2006/relationships/worksheet" Target="/xl/worksheets/sheet4.xml" Id="R3903b8a6eedd45f2" /><Relationship Type="http://schemas.openxmlformats.org/officeDocument/2006/relationships/worksheet" Target="/xl/worksheets/sheet5.xml" Id="R742c45ab38904062" /><Relationship Type="http://schemas.openxmlformats.org/officeDocument/2006/relationships/worksheet" Target="/xl/worksheets/sheet6.xml" Id="R6fedb916435a41b7" /><Relationship Type="http://schemas.openxmlformats.org/officeDocument/2006/relationships/worksheet" Target="/xl/worksheets/sheet7.xml" Id="R8b6b8c4ff131414a" /><Relationship Type="http://schemas.openxmlformats.org/officeDocument/2006/relationships/worksheet" Target="/xl/worksheets/sheet8.xml" Id="R45f35b754aad4bd2" /><Relationship Type="http://schemas.microsoft.com/office/2017/10/relationships/person" Target="/xl/persons/person.xml" Id="Rc2225d9bffd64ddc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7a69cc18bf84bd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 v0.1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查重 → 归类 → 领取 AssetID → 组件制作 → 游戏内验收 → 回填哈希；本表是唯一资产登记源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f>COUNTA('资产主表'!$A$6:$A$205)</x:f>
        <x:v>164</x:v>
      </x:c>
      <x:c r="B6" s="43"/>
      <x:c r="C6" s="45" t="n">
        <x:f>COUNTIF('资产主表'!$K$6:$K$205,"已完成")+COUNTIF('资产主表'!$K$6:$K$205,"原型已接入")</x:f>
        <x:v>69</x:v>
      </x:c>
      <x:c r="D6" s="43"/>
      <x:c r="E6" s="45" t="n">
        <x:f>COUNTIF('资产主表'!$K$6:$K$205,"待制作")+COUNTIF('资产主表'!$K$6:$K$205,"程序占位")</x:f>
        <x:v>94</x:v>
      </x:c>
      <x:c r="F6" s="43"/>
      <x:c r="G6" s="45" t="n">
        <x:f>COUNTIF('资产主表'!$S$6:$S$205,"重复")</x:f>
        <x:v>0</x:v>
      </x:c>
      <x:c r="H6" s="43"/>
      <x:c r="I6" s="46" t="str">
        <x:v>v0.1 3D塔楼：5m组件网格 / 30×25m战斗房 / 9m层高</x:v>
      </x:c>
      <x:c r="J6" s="46" t="str">
        <x:v>楼顶 → 99层基地 → 98—95层战斗与撤离</x:v>
      </x:c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f>COUNTIF('资产主表'!$C$6:$C$205,A10)</x:f>
        <x:v>30</x:v>
      </x:c>
      <x:c r="C10" s="50" t="n">
        <x:f>COUNTIFS('资产主表'!$C$6:$C$205,A10,'资产主表'!$K$6:$K$205,"已完成")+COUNTIFS('资产主表'!$C$6:$C$205,A10,'资产主表'!$K$6:$K$205,"原型已接入")</x:f>
        <x:v>29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COUNTIF('资产主表'!$C$6:$C$205,A11)</x:f>
        <x:v>8</x:v>
      </x:c>
      <x:c r="C11" s="52" t="n">
        <x:f>COUNTIFS('资产主表'!$C$6:$C$205,A11,'资产主表'!$K$6:$K$205,"已完成")+COUNTIFS('资产主表'!$C$6:$C$205,A11,'资产主表'!$K$6:$K$205,"原型已接入")</x:f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COUNTIF('资产主表'!$C$6:$C$205,A12)</x:f>
        <x:v>22</x:v>
      </x:c>
      <x:c r="C12" s="52" t="n">
        <x:f>COUNTIFS('资产主表'!$C$6:$C$205,A12,'资产主表'!$K$6:$K$205,"已完成")+COUNTIFS('资产主表'!$C$6:$C$205,A12,'资产主表'!$K$6:$K$205,"原型已接入")</x:f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COUNTIF('资产主表'!$C$6:$C$205,A13)</x:f>
        <x:v>6</x:v>
      </x:c>
      <x:c r="C13" s="52" t="n">
        <x:f>COUNTIFS('资产主表'!$C$6:$C$205,A13,'资产主表'!$K$6:$K$205,"已完成")+COUNTIFS('资产主表'!$C$6:$C$205,A13,'资产主表'!$K$6:$K$205,"原型已接入")</x:f>
        <x:v>2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COUNTIF('资产主表'!$C$6:$C$205,A14)</x:f>
        <x:v>35</x:v>
      </x:c>
      <x:c r="C14" s="52" t="n">
        <x:f>COUNTIFS('资产主表'!$C$6:$C$205,A14,'资产主表'!$K$6:$K$205,"已完成")+COUNTIFS('资产主表'!$C$6:$C$205,A14,'资产主表'!$K$6:$K$205,"原型已接入")</x:f>
        <x:v>17</x:v>
      </x:c>
      <x:c r="D14" s="43"/>
      <x:c r="E14" s="51" t="str">
        <x:v>5</x:v>
      </x:c>
      <x:c r="F14" s="52" t="str">
        <x:v>游戏内表现、状态机、玩法逻辑、性能四项验收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COUNTIF('资产主表'!$C$6:$C$205,A15)</x:f>
        <x:v>18</x:v>
      </x:c>
      <x:c r="C15" s="52" t="n">
        <x:f>COUNTIFS('资产主表'!$C$6:$C$205,A15,'资产主表'!$K$6:$K$205,"已完成")+COUNTIFS('资产主表'!$C$6:$C$205,A15,'资产主表'!$K$6:$K$205,"原型已接入")</x:f>
        <x:v>8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COUNTIF('资产主表'!$C$6:$C$205,A16)</x:f>
        <x:v>16</x:v>
      </x:c>
      <x:c r="C16" s="52" t="n">
        <x:f>COUNTIFS('资产主表'!$C$6:$C$205,A16,'资产主表'!$K$6:$K$205,"已完成")+COUNTIFS('资产主表'!$C$6:$C$205,A16,'资产主表'!$K$6:$K$205,"原型已接入")</x:f>
        <x:v>5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COUNTIF('资产主表'!$C$6:$C$205,A17)</x:f>
        <x:v>16</x:v>
      </x:c>
      <x:c r="C17" s="52" t="n">
        <x:f>COUNTIFS('资产主表'!$C$6:$C$205,A17,'资产主表'!$K$6:$K$205,"已完成")+COUNTIFS('资产主表'!$C$6:$C$205,A17,'资产主表'!$K$6:$K$205,"原型已接入")</x:f>
        <x:v>5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COUNTIF('资产主表'!$C$6:$C$205,A18)</x:f>
        <x:v>13</x:v>
      </x:c>
      <x:c r="C18" s="52" t="n">
        <x:f>COUNTIFS('资产主表'!$C$6:$C$205,A18,'资产主表'!$K$6:$K$205,"已完成")+COUNTIFS('资产主表'!$C$6:$C$205,A18,'资产主表'!$K$6:$K$205,"原型已接入")</x:f>
        <x:v>1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36" hidden="0" customWidth="1"/>
    <x:col min="16" max="16" width="34" hidden="0" customWidth="1"/>
    <x:col min="17" max="17" width="26" hidden="0" customWidth="1"/>
    <x:col min="18" max="18" width="42" hidden="0" customWidth="1"/>
    <x:col min="19" max="19" width="12" hidden="0" customWidth="1"/>
    <x:col min="20" max="20" width="30" hidden="0" customWidth="1"/>
    <x:col min="21" max="21" width="12" hidden="0" customWidth="1"/>
    <x:col min="22" max="22" width="13" hidden="0" customWidth="1"/>
    <x:col min="23" max="23" width="16" hidden="0" customWidth="1"/>
    <x:col min="24" max="24" width="52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侧面朝右（可水平翻转）</x:v>
      </x:c>
      <x:c r="I6" s="36" t="str">
        <x:v>default</x:v>
      </x:c>
      <x:c r="J6" s="36" t="str">
        <x:v>全模式玩家</x:v>
      </x:c>
      <x:c r="K6" s="36" t="str">
        <x:v>原型已接入</x:v>
      </x:c>
      <x:c r="L6" s="36" t="str">
        <x:v>P0</x:v>
      </x:c>
      <x:c r="M6" s="36" t="str">
        <x:v>v001</x:v>
      </x:c>
      <x:c r="N6" s="36" t="str">
        <x:v>组装后约 56×64 px</x:v>
      </x:c>
      <x:c r="O6" s="36" t="str">
        <x:v>assets/art/characters/player/chr_player_capsule01/</x:v>
      </x:c>
      <x:c r="P6" s="36" t="str">
        <x:v>src/player/PlayerAvatarRenderer.gd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角色|player|player_capsule01|root|侧面朝右（可水平翻转）|default</x:v>
      </x:c>
      <x:c r="S6" s="36" t="str">
        <x:f>IF(A6="","",IF(COUNTIF($R$6:$R$162,R6)&gt;1,"重复","唯一"))</x:f>
        <x:v>唯一</x:v>
      </x:c>
      <x:c r="T6" s="36" t="str"/>
      <x:c r="U6" s="36" t="str">
        <x:v>待分配</x:v>
      </x:c>
      <x:c r="V6" s="53" t="n">
        <x:v>46224</x:v>
      </x:c>
      <x:c r="W6" s="36" t="str">
        <x:v>原创/待确认</x:v>
      </x:c>
      <x:c r="X6" s="36" t="str">
        <x:v>非人类抽象体；无腿；单手随身体朝向左右镜像；红围巾识别色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default</x:v>
      </x:c>
      <x:c r="J7" s="37" t="str">
        <x:v>单资产</x:v>
      </x:c>
      <x:c r="K7" s="37" t="str">
        <x:v>已完成</x:v>
      </x:c>
      <x:c r="L7" s="37" t="str">
        <x:v>P0</x:v>
      </x:c>
      <x:c r="M7" s="37" t="str">
        <x:v>v001</x:v>
      </x:c>
      <x:c r="N7" s="37" t="str">
        <x:v>28×24 px</x:v>
      </x:c>
      <x:c r="O7" s="37" t="str">
        <x:v>assets/art/characters/player/chr_player_capsule01/components/chr_player_capsule01_head_side_v001.png</x:v>
      </x:c>
      <x:c r="P7" s="37" t="str">
        <x:v>AI 母版 + 色键裁切</x:v>
      </x:c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角色|player_component|player_capsule01|head|侧面朝右（可水平翻转）|default</x:v>
      </x:c>
      <x:c r="S7" s="37" t="str">
        <x:f>IF(A7="","",IF(COUNTIF($R$6:$R$162,R7)&gt;1,"重复","唯一"))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46224</x:v>
      </x:c>
      <x:c r="W7" s="37" t="str">
        <x:v>原创/待确认</x:v>
      </x:c>
      <x:c r="X7" s="37" t="str">
        <x:v>侧面单传感器；无脸；禁止补嘴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default</x:v>
      </x:c>
      <x:c r="J8" s="37" t="str">
        <x:v>单资产</x:v>
      </x:c>
      <x:c r="K8" s="37" t="str">
        <x:v>已完成</x:v>
      </x:c>
      <x:c r="L8" s="37" t="str">
        <x:v>P0</x:v>
      </x:c>
      <x:c r="M8" s="37" t="str">
        <x:v>v001</x:v>
      </x:c>
      <x:c r="N8" s="37" t="str">
        <x:v>32×35 px</x:v>
      </x:c>
      <x:c r="O8" s="37" t="str">
        <x:v>assets/art/characters/player/chr_player_capsule01/components/chr_player_capsule01_body_side_v001.png</x:v>
      </x:c>
      <x:c r="P8" s="37" t="str">
        <x:v>AI 母版 + 色键裁切</x:v>
      </x:c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角色|player_component|player_capsule01|body|侧面朝右（可水平翻转）|default</x:v>
      </x:c>
      <x:c r="S8" s="37" t="str">
        <x:f>IF(A8="","",IF(COUNTIF($R$6:$R$162,R8)&gt;1,"重复","唯一"))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46224</x:v>
      </x:c>
      <x:c r="W8" s="37" t="str">
        <x:v>原创/待确认</x:v>
      </x:c>
      <x:c r="X8" s="37" t="str">
        <x:v>身体不含腿、脚、手臂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 t="str">
        <x:v>assets/art/characters/player/chr_player_capsule01/components/chr_player_capsule01_hand_l_side_v001.png</x:v>
      </x:c>
      <x:c r="P9" s="37" t="str">
        <x:v>AI 母版 + 色键裁切</x:v>
      </x:c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IF(A9="","",IF(COUNTIF($R$6:$R$162,R9)&gt;1,"重复","唯一"))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46224</x:v>
      </x:c>
      <x:c r="W9" s="37" t="str">
        <x:v>原创/待确认</x:v>
      </x:c>
      <x:c r="X9" s="37" t="str">
        <x:v>单手持枪方案不再实例化；保留源文件与历史 AssetID，运行时改用 CHR-PLY-CAPSULE01-HAND-R-SIDE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default</x:v>
      </x:c>
      <x:c r="J10" s="37" t="str">
        <x:v>单资产</x:v>
      </x:c>
      <x:c r="K10" s="37" t="str">
        <x:v>已完成</x:v>
      </x:c>
      <x:c r="L10" s="37" t="str">
        <x:v>P0</x:v>
      </x:c>
      <x:c r="M10" s="37" t="str">
        <x:v>v001</x:v>
      </x:c>
      <x:c r="N10" s="37" t="str">
        <x:v>22×17 px</x:v>
      </x:c>
      <x:c r="O10" s="37" t="str">
        <x:v>assets/art/characters/player/chr_player_capsule01/components/chr_player_capsule01_hand_r_side_v001.png</x:v>
      </x:c>
      <x:c r="P10" s="37" t="str">
        <x:v>AI 母版 + 色键裁切</x:v>
      </x:c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角色|player_component|player_capsule01|hand|侧面朝右（可水平翻转）|default</x:v>
      </x:c>
      <x:c r="S10" s="37" t="str">
        <x:f>IF(A10="","",IF(COUNTIF($R$6:$R$162,R10)&gt;1,"重复","唯一"))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46224</x:v>
      </x:c>
      <x:c r="W10" s="37" t="str">
        <x:v>原创/待确认</x:v>
      </x:c>
      <x:c r="X10" s="37" t="str">
        <x:v>运行时唯一可见手；随身体朝向在 (-19,0)/(19,0) 两个插槽镜像，不随准星连续旋转；枪械挂点同步在 x=±24 换边，枪械视觉独立读取 aim_direction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default</x:v>
      </x:c>
      <x:c r="J11" s="37" t="str">
        <x:v>单资产</x:v>
      </x:c>
      <x:c r="K11" s="37" t="str">
        <x:v>已完成</x:v>
      </x:c>
      <x:c r="L11" s="37" t="str">
        <x:v>P0</x:v>
      </x:c>
      <x:c r="M11" s="37" t="str">
        <x:v>v001</x:v>
      </x:c>
      <x:c r="N11" s="37" t="str">
        <x:v>26×14 px</x:v>
      </x:c>
      <x:c r="O11" s="37" t="str">
        <x:v>assets/art/characters/player/chr_player_capsule01/components/chr_player_capsule01_scarf_side_v001.png</x:v>
      </x:c>
      <x:c r="P11" s="37" t="str">
        <x:v>AI 母版 + 色键裁切</x:v>
      </x:c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角色|player_accessory|player_capsule01|scarf|侧面朝右（可水平翻转）|default</x:v>
      </x:c>
      <x:c r="S11" s="37" t="str">
        <x:f>IF(A11="","",IF(COUNTIF($R$6:$R$162,R11)&gt;1,"重复","唯一"))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46224</x:v>
      </x:c>
      <x:c r="W11" s="37" t="str">
        <x:v>原创/待确认</x:v>
      </x:c>
      <x:c r="X11" s="37" t="str">
        <x:v>独立配件；位于头壳与躯干之间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default</x:v>
      </x:c>
      <x:c r="J12" s="37" t="str">
        <x:v>评审/回归</x:v>
      </x:c>
      <x:c r="K12" s="37" t="str">
        <x:v>已完成</x:v>
      </x:c>
      <x:c r="L12" s="37" t="str">
        <x:v>P0</x:v>
      </x:c>
      <x:c r="M12" s="37" t="str">
        <x:v>v001</x:v>
      </x:c>
      <x:c r="N12" s="37" t="str">
        <x:v>1280×720 px</x:v>
      </x:c>
      <x:c r="O12" s="37" t="str">
        <x:v>assets/art/characters/player/chr_player_capsule01/chr_player_capsule01_states_preview_v001.png</x:v>
      </x:c>
      <x:c r="P12" s="37" t="str">
        <x:v>tests/verification/verify_player_pixel_art_flow.tscn</x:v>
      </x:c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角色|review_board|player_capsule01|preview|侧面朝右（可水平翻转）|default</x:v>
      </x:c>
      <x:c r="S12" s="37" t="str">
        <x:f>IF(A12="","",IF(COUNTIF($R$6:$R$162,R12)&gt;1,"重复","唯一"))</x:f>
        <x:v>唯一</x:v>
      </x:c>
      <x:c r="T12" s="37" t="str"/>
      <x:c r="U12" s="37" t="str">
        <x:v>待分配</x:v>
      </x:c>
      <x:c r="V12" s="54" t="n">
        <x:v>46224</x:v>
      </x:c>
      <x:c r="W12" s="37" t="str">
        <x:v>原创/待确认</x:v>
      </x:c>
      <x:c r="X12" s="37" t="str">
        <x:v>非运行时纹理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程序占位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 t="str">
        <x:v>src/player/PlayerAvatarRenderer.gd</x:v>
      </x:c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IF(A13="","",IF(COUNTIF($R$6:$R$162,R13)&gt;1,"重复","唯一"))</x:f>
        <x:v>唯一</x:v>
      </x:c>
      <x:c r="T13" s="37" t="str"/>
      <x:c r="U13" s="37" t="str">
        <x:v>待分配</x:v>
      </x:c>
      <x:c r="V13" s="54" t="n">
        <x:v>46224</x:v>
      </x:c>
      <x:c r="W13" s="37" t="str">
        <x:v>原创/待确认</x:v>
      </x:c>
      <x:c r="X13" s="37" t="str">
        <x:v>正式像素特效可替换绘制线段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程序占位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 t="str">
        <x:v>src/player/PlayerAvatarRenderer.gd</x:v>
      </x:c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IF(A14="","",IF(COUNTIF($R$6:$R$162,R14)&gt;1,"重复","唯一"))</x:f>
        <x:v>唯一</x:v>
      </x:c>
      <x:c r="T14" s="37" t="str"/>
      <x:c r="U14" s="37" t="str">
        <x:v>待分配</x:v>
      </x:c>
      <x:c r="V14" s="54" t="n">
        <x:v>46224</x:v>
      </x:c>
      <x:c r="W14" s="37" t="str">
        <x:v>原创/待确认</x:v>
      </x:c>
      <x:c r="X14" s="37" t="str"/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程序占位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 t="str">
        <x:v>src/player/PlayerAvatarRenderer.gd</x:v>
      </x:c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IF(A15="","",IF(COUNTIF($R$6:$R$162,R15)&gt;1,"重复","唯一"))</x:f>
        <x:v>唯一</x:v>
      </x:c>
      <x:c r="T15" s="37" t="str"/>
      <x:c r="U15" s="37" t="str">
        <x:v>待分配</x:v>
      </x:c>
      <x:c r="V15" s="54" t="n">
        <x:v>46224</x:v>
      </x:c>
      <x:c r="W15" s="37" t="str">
        <x:v>原创/待确认</x:v>
      </x:c>
      <x:c r="X15" s="37" t="str"/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程序占位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 t="str">
        <x:v>src/player/PlayerAvatarRenderer.gd</x:v>
      </x:c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IF(A16="","",IF(COUNTIF($R$6:$R$162,R16)&gt;1,"重复","唯一"))</x:f>
        <x:v>唯一</x:v>
      </x:c>
      <x:c r="T16" s="37" t="str"/>
      <x:c r="U16" s="37" t="str">
        <x:v>待分配</x:v>
      </x:c>
      <x:c r="V16" s="54" t="n">
        <x:v>46224</x:v>
      </x:c>
      <x:c r="W16" s="37" t="str">
        <x:v>原创/待确认</x:v>
      </x:c>
      <x:c r="X16" s="37" t="str"/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IF(A17="","",IF(COUNTIF($R$6:$R$162,R17)&gt;1,"重复","唯一"))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IF(A18="","",IF(COUNTIF($R$6:$R$162,R18)&gt;1,"重复","唯一"))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IF(A19="","",IF(COUNTIF($R$6:$R$162,R19)&gt;1,"重复","唯一"))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IF(A20="","",IF(COUNTIF($R$6:$R$162,R20)&gt;1,"重复","唯一"))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IF(A21="","",IF(COUNTIF($R$6:$R$162,R21)&gt;1,"重复","唯一"))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IF(A22="","",IF(COUNTIF($R$6:$R$162,R22)&gt;1,"重复","唯一"))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IF(A23="","",IF(COUNTIF($R$6:$R$162,R23)&gt;1,"重复","唯一"))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IF(A24="","",IF(COUNTIF($R$6:$R$162,R24)&gt;1,"重复","唯一"))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IF(A25="","",IF(COUNTIF($R$6:$R$162,R25)&gt;1,"重复","唯一"))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IF(A26="","",IF(COUNTIF($R$6:$R$162,R26)&gt;1,"重复","唯一"))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IF(A27="","",IF(COUNTIF($R$6:$R$162,R27)&gt;1,"重复","唯一"))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IF(A28="","",IF(COUNTIF($R$6:$R$162,R28)&gt;1,"重复","唯一"))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IF(A29="","",IF(COUNTIF($R$6:$R$162,R29)&gt;1,"重复","唯一"))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IF(A30="","",IF(COUNTIF($R$6:$R$162,R30)&gt;1,"重复","唯一"))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IF(A31="","",IF(COUNTIF($R$6:$R$162,R31)&gt;1,"重复","唯一"))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IF(A32="","",IF(COUNTIF($R$6:$R$162,R32)&gt;1,"重复","唯一"))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IF(A33="","",IF(COUNTIF($R$6:$R$162,R33)&gt;1,"重复","唯一"))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IF(A34="","",IF(COUNTIF($R$6:$R$162,R34)&gt;1,"重复","唯一"))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IF(A35="","",IF(COUNTIF($R$6:$R$162,R35)&gt;1,"重复","唯一"))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IF(A36="","",IF(COUNTIF($R$6:$R$162,R36)&gt;1,"重复","唯一"))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IF(A37="","",IF(COUNTIF($R$6:$R$162,R37)&gt;1,"重复","唯一"))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IF(A38="","",IF(COUNTIF($R$6:$R$162,R38)&gt;1,"重复","唯一"))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IF(A39="","",IF(COUNTIF($R$6:$R$162,R39)&gt;1,"重复","唯一"))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IF(A40="","",IF(COUNTIF($R$6:$R$162,R40)&gt;1,"重复","唯一"))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IF(A41="","",IF(COUNTIF($R$6:$R$162,R41)&gt;1,"重复","唯一"))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IF(A42="","",IF(COUNTIF($R$6:$R$162,R42)&gt;1,"重复","唯一"))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IF(A43="","",IF(COUNTIF($R$6:$R$162,R43)&gt;1,"重复","唯一"))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IF(A44="","",IF(COUNTIF($R$6:$R$162,R44)&gt;1,"重复","唯一"))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IF(A45="","",IF(COUNTIF($R$6:$R$162,R45)&gt;1,"重复","唯一"))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IF(A46="","",IF(COUNTIF($R$6:$R$162,R46)&gt;1,"重复","唯一"))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IF(A47="","",IF(COUNTIF($R$6:$R$162,R47)&gt;1,"重复","唯一"))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IF(A48="","",IF(COUNTIF($R$6:$R$162,R48)&gt;1,"重复","唯一"))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全部3D房间/清房奖励</x:v>
      </x:c>
      <x:c r="K49" s="37" t="str">
        <x:v>原型已接入</x:v>
      </x:c>
      <x:c r="L49" s="37" t="str">
        <x:v>P1</x:v>
      </x:c>
      <x:c r="M49" s="37" t="str">
        <x:v>v001</x:v>
      </x:c>
      <x:c r="N49" s="37" t="str">
        <x:v>程序模型/0.32s Tween</x:v>
      </x:c>
      <x:c r="O49" s="37"/>
      <x:c r="P49" s="37" t="str">
        <x:v>src/world3d/RoomKeyPickup3D.gd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IF(A49="","",IF(COUNTIF($R$6:$R$162,R49)&gt;1,"重复","唯一"))</x:f>
        <x:v>唯一</x:v>
      </x:c>
      <x:c r="T49" s="37" t="str"/>
      <x:c r="U49" s="37" t="str">
        <x:v>Codex</x:v>
      </x:c>
      <x:c r="V49" s="54" t="n">
        <x:v>46225</x:v>
      </x:c>
      <x:c r="W49" s="37" t="str">
        <x:v>原创程序几何</x:v>
      </x:c>
      <x:c r="X49" s="37" t="str">
        <x:v>清房后在玩家附近安全边界生成；同房唯一且返回时可补发；成功拾取先关闭碰撞，再上弹旋转缩小后回收</x:v>
      </x:c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地面掉落/背包投影</x:v>
      </x:c>
      <x:c r="K50" s="37" t="str">
        <x:v>原型已接入</x:v>
      </x:c>
      <x:c r="L50" s="37" t="str">
        <x:v>P2</x:v>
      </x:c>
      <x:c r="M50" s="37" t="str">
        <x:v>v001</x:v>
      </x:c>
      <x:c r="N50" s="37" t="str">
        <x:v>程序模型/0.32s Tween</x:v>
      </x:c>
      <x:c r="O50" s="37"/>
      <x:c r="P50" s="37" t="str">
        <x:v>src/world3d/GroundLootPickup3D.gd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IF(A50="","",IF(COUNTIF($R$6:$R$162,R50)&gt;1,"重复","唯一"))</x:f>
        <x:v>唯一</x:v>
      </x:c>
      <x:c r="T50" s="37" t="str"/>
      <x:c r="U50" s="37" t="str">
        <x:v>Codex</x:v>
      </x:c>
      <x:c r="V50" s="54" t="n">
        <x:v>46225</x:v>
      </x:c>
      <x:c r="W50" s="37" t="str">
        <x:v>原创程序几何</x:v>
      </x:c>
      <x:c r="X50" s="37" t="str">
        <x:v>与背包投影共用 ItemModelFactory3D；满包时保留，成功接收后播放0.32秒上弹旋转缩小动画</x:v>
      </x:c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IF(A51="","",IF(COUNTIF($R$6:$R$162,R51)&gt;1,"重复","唯一"))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IF(A52="","",IF(COUNTIF($R$6:$R$162,R52)&gt;1,"重复","唯一"))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IF(A53="","",IF(COUNTIF($R$6:$R$162,R53)&gt;1,"重复","唯一"))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IF(A54="","",IF(COUNTIF($R$6:$R$162,R54)&gt;1,"重复","唯一"))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IF(A55="","",IF(COUNTIF($R$6:$R$162,R55)&gt;1,"重复","唯一"))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IF(A56="","",IF(COUNTIF($R$6:$R$162,R56)&gt;1,"重复","唯一"))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IF(A57="","",IF(COUNTIF($R$6:$R$162,R57)&gt;1,"重复","唯一"))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IF(A58="","",IF(COUNTIF($R$6:$R$162,R58)&gt;1,"重复","唯一"))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IF(A59="","",IF(COUNTIF($R$6:$R$162,R59)&gt;1,"重复","唯一"))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IF(A60="","",IF(COUNTIF($R$6:$R$162,R60)&gt;1,"重复","唯一"))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IF(A61="","",IF(COUNTIF($R$6:$R$162,R61)&gt;1,"重复","唯一"))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IF(A62="","",IF(COUNTIF($R$6:$R$162,R62)&gt;1,"重复","唯一"))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IF(A63="","",IF(COUNTIF($R$6:$R$162,R63)&gt;1,"重复","唯一"))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IF(A64="","",IF(COUNTIF($R$6:$R$162,R64)&gt;1,"重复","唯一"))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IF(A65="","",IF(COUNTIF($R$6:$R$162,R65)&gt;1,"重复","唯一"))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IF(A66="","",IF(COUNTIF($R$6:$R$162,R66)&gt;1,"重复","唯一"))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IF(A67="","",IF(COUNTIF($R$6:$R$162,R67)&gt;1,"重复","唯一"))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IF(A68="","",IF(COUNTIF($R$6:$R$162,R68)&gt;1,"重复","唯一"))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IF(A69="","",IF(COUNTIF($R$6:$R$162,R69)&gt;1,"重复","唯一"))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IF(A70="","",IF(COUNTIF($R$6:$R$162,R70)&gt;1,"重复","唯一"))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IF(A71="","",IF(COUNTIF($R$6:$R$162,R71)&gt;1,"重复","唯一"))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IF(A72="","",IF(COUNTIF($R$6:$R$162,R72)&gt;1,"重复","唯一"))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IF(A73="","",IF(COUNTIF($R$6:$R$162,R73)&gt;1,"重复","唯一"))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IF(A74="","",IF(COUNTIF($R$6:$R$162,R74)&gt;1,"重复","唯一"))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IF(A75="","",IF(COUNTIF($R$6:$R$162,R75)&gt;1,"重复","唯一"))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IF(A76="","",IF(COUNTIF($R$6:$R$162,R76)&gt;1,"重复","唯一"))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IF(A77="","",IF(COUNTIF($R$6:$R$162,R77)&gt;1,"重复","唯一"))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IF(A78="","",IF(COUNTIF($R$6:$R$162,R78)&gt;1,"重复","唯一"))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 ht="155" customHeight="1">
      <x:c r="A79" s="101" t="str">
        <x:v>UI-SCREEN-HUD</x:v>
      </x:c>
      <x:c r="B79" s="101" t="str">
        <x:v>战斗 HUD</x:v>
      </x:c>
      <x:c r="C79" s="101" t="str">
        <x:v>UI</x:v>
      </x:c>
      <x:c r="D79" s="101" t="str">
        <x:v>screen</x:v>
      </x:c>
      <x:c r="E79" s="101" t="str">
        <x:v>hud</x:v>
      </x:c>
      <x:c r="F79" s="101" t="str">
        <x:v>root</x:v>
      </x:c>
      <x:c r="G79" s="101" t="str"/>
      <x:c r="H79" s="101" t="str">
        <x:v>屏幕空间</x:v>
      </x:c>
      <x:c r="I79" s="101" t="str">
        <x:v>default</x:v>
      </x:c>
      <x:c r="J79" s="101" t="str">
        <x:v>跨分辨率</x:v>
      </x:c>
      <x:c r="K79" s="101" t="str">
        <x:v>原型已接入</x:v>
      </x:c>
      <x:c r="L79" s="101" t="str">
        <x:v>P0</x:v>
      </x:c>
      <x:c r="M79" s="101" t="str">
        <x:v>v002</x:v>
      </x:c>
      <x:c r="N79" s="101" t="str">
        <x:v>1280×720 基准；九宫格/矢量优先</x:v>
      </x:c>
      <x:c r="O79" s="101" t="str"/>
      <x:c r="P79" s="101" t="str">
        <x:v>src/ui/GameUIManager.gd</x:v>
      </x:c>
      <x:c r="Q79" s="101" t="str"/>
      <x:c r="R79" s="101" t="str">
        <x:f>LOWER(TRIM(C79)&amp;"|"&amp;TRIM(D79)&amp;"|"&amp;TRIM(E79)&amp;"|"&amp;TRIM(F79)&amp;"|"&amp;TRIM(H79)&amp;"|"&amp;TRIM(I79))</x:f>
        <x:v>ui|screen|hud|root|屏幕空间|default</x:v>
      </x:c>
      <x:c r="S79" s="101" t="str">
        <x:f>IF(A79="","",IF(COUNTIF($R$6:$R$162,R79)&gt;1,"重复","唯一"))</x:f>
        <x:v>唯一</x:v>
      </x:c>
      <x:c r="T79" s="101" t="str"/>
      <x:c r="U79" s="101" t="str">
        <x:v>待分配</x:v>
      </x:c>
      <x:c r="V79" s="104" t="n">
        <x:v>46233</x:v>
      </x:c>
      <x:c r="W79" s="101" t="str">
        <x:v>原创/待确认</x:v>
      </x:c>
      <x:c r="X79" s="101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原型已接入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IF(A80="","",IF(COUNTIF($R$6:$R$162,R80)&gt;1,"重复","唯一"))</x:f>
        <x:v>唯一</x:v>
      </x:c>
      <x:c r="T80" s="37" t="str"/>
      <x:c r="U80" s="37" t="str">
        <x:v>待分配</x:v>
      </x:c>
      <x:c r="V80" s="54" t="n">
        <x:v>46225</x:v>
      </x:c>
      <x:c r="W80" s="37" t="str">
        <x:v>原创/待确认</x:v>
      </x:c>
      <x:c r="X80" s="37" t="str">
        <x:v>背包共享逻辑根；3D表现登记为 UI-SCREEN-INVENTORY-3D；12+2槽与保险契约不变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IF(A81="","",IF(COUNTIF($R$6:$R$162,R81)&gt;1,"重复","唯一"))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IF(A82="","",IF(COUNTIF($R$6:$R$162,R82)&gt;1,"重复","唯一"))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IF(A83="","",IF(COUNTIF($R$6:$R$162,R83)&gt;1,"重复","唯一"))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IF(A84="","",IF(COUNTIF($R$6:$R$162,R84)&gt;1,"重复","唯一"))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IF(A85="","",IF(COUNTIF($R$6:$R$162,R85)&gt;1,"重复","唯一"))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IF(A86="","",IF(COUNTIF($R$6:$R$162,R86)&gt;1,"重复","唯一"))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IF(A87="","",IF(COUNTIF($R$6:$R$162,R87)&gt;1,"重复","唯一"))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IF(A88="","",IF(COUNTIF($R$6:$R$162,R88)&gt;1,"重复","唯一"))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IF(A89="","",IF(COUNTIF($R$6:$R$162,R89)&gt;1,"重复","唯一"))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IF(A90="","",IF(COUNTIF($R$6:$R$162,R90)&gt;1,"重复","唯一"))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IF(A91="","",IF(COUNTIF($R$6:$R$162,R91)&gt;1,"重复","唯一"))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IF(A92="","",IF(COUNTIF($R$6:$R$162,R92)&gt;1,"重复","唯一"))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IF(A93="","",IF(COUNTIF($R$6:$R$162,R93)&gt;1,"重复","唯一"))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IF(A94="","",IF(COUNTIF($R$6:$R$162,R94)&gt;1,"重复","唯一"))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IF(A95="","",IF(COUNTIF($R$6:$R$162,R95)&gt;1,"重复","唯一"))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IF(A96="","",IF(COUNTIF($R$6:$R$162,R96)&gt;1,"重复","唯一"))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原型已接入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>
        <x:v>scenes/Dungeon3D.tscn</x:v>
      </x:c>
      <x:c r="P97" s="37" t="str">
        <x:v>src/world3d/Dungeon3D.gd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IF(A97="","",IF(COUNTIF($R$6:$R$162,R97)&gt;1,"重复","唯一"))</x:f>
        <x:v>唯一</x:v>
      </x:c>
      <x:c r="T97" s="37" t="str"/>
      <x:c r="U97" s="37" t="str">
        <x:v>待分配</x:v>
      </x:c>
      <x:c r="V97" s="54" t="n">
        <x:v>46225</x:v>
      </x:c>
      <x:c r="W97" s="37" t="str">
        <x:v>原创/待确认</x:v>
      </x:c>
      <x:c r="X97" s="37" t="str">
        <x:v>复用低血暗角身份；3D HUD低血时提高边缘强度，不复制第二套逻辑ID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IF(A98="","",IF(COUNTIF($R$6:$R$162,R98)&gt;1,"重复","唯一"))</x:f>
        <x:v>唯一</x:v>
      </x:c>
      <x:c r="T98" s="37" t="str"/>
      <x:c r="U98" s="37" t="str">
        <x:v>待分配</x:v>
      </x:c>
      <x:c r="V98" s="54" t="n">
        <x:v>46225</x:v>
      </x:c>
      <x:c r="W98" s="37" t="str">
        <x:v>原创/待确认</x:v>
      </x:c>
      <x:c r="X98" s="37" t="str">
        <x:v>2D视野表现根；3D真实判定与地面网格登记为 VFX-VISIBILITY-FIELD-3D，禁止用灯光替代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IF(A99="","",IF(COUNTIF($R$6:$R$162,R99)&gt;1,"重复","唯一"))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IF(A100="","",IF(COUNTIF($R$6:$R$162,R100)&gt;1,"重复","唯一"))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IF(A101="","",IF(COUNTIF($R$6:$R$162,R101)&gt;1,"重复","唯一"))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IF(A102="","",IF(COUNTIF($R$6:$R$162,R102)&gt;1,"重复","唯一"))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IF(A103="","",IF(COUNTIF($R$6:$R$162,R103)&gt;1,"重复","唯一"))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IF(A104="","",IF(COUNTIF($R$6:$R$162,R104)&gt;1,"重复","唯一"))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IF(A105="","",IF(COUNTIF($R$6:$R$162,R105)&gt;1,"重复","唯一"))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IF(A106="","",IF(COUNTIF($R$6:$R$162,R106)&gt;1,"重复","唯一"))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IF(A107="","",IF(COUNTIF($R$6:$R$162,R107)&gt;1,"重复","唯一"))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IF(A108="","",IF(COUNTIF($R$6:$R$162,R108)&gt;1,"重复","唯一"))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IF(A109="","",IF(COUNTIF($R$6:$R$162,R109)&gt;1,"重复","唯一"))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IF(A110="","",IF(COUNTIF($R$6:$R$162,R110)&gt;1,"重复","唯一"))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IF(A111="","",IF(COUNTIF($R$6:$R$162,R111)&gt;1,"重复","唯一"))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IF(A112="","",IF(COUNTIF($R$6:$R$162,R112)&gt;1,"重复","唯一"))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 ht="155" customHeight="1">
      <x:c r="A113" s="70" t="str">
        <x:v>CHR-PLY-CAPSULE01-3D</x:v>
      </x:c>
      <x:c r="B113" s="70" t="str">
        <x:v>方形猫角色3D根组件</x:v>
      </x:c>
      <x:c r="C113" s="70" t="str">
        <x:v>角色</x:v>
      </x:c>
      <x:c r="D113" s="70" t="str">
        <x:v>player</x:v>
      </x:c>
      <x:c r="E113" s="70" t="str">
        <x:v>player_capsule01</x:v>
      </x:c>
      <x:c r="F113" s="70" t="str">
        <x:v>root_3d</x:v>
      </x:c>
      <x:c r="G113" s="70" t="str">
        <x:v>CHR-PLY-CAPSULE01</x:v>
      </x:c>
      <x:c r="H113" s="70" t="str">
        <x:v>俯视3D</x:v>
      </x:c>
      <x:c r="I113" s="70" t="str">
        <x:v>default</x:v>
      </x:c>
      <x:c r="J113" s="70" t="str">
        <x:v>3D玩家场景</x:v>
      </x:c>
      <x:c r="K113" s="70" t="str">
        <x:v>原型已接入</x:v>
      </x:c>
      <x:c r="L113" s="70" t="str">
        <x:v>P0</x:v>
      </x:c>
      <x:c r="M113" s="70" t="str">
        <x:v>v001</x:v>
      </x:c>
      <x:c r="N113" s="70" t="str">
        <x:v>PackedScene/程序材质</x:v>
      </x:c>
      <x:c r="O113" s="70" t="str">
        <x:v>assets/art/characters/player/chr_player_capsule01_3d/chr_player_capsule01_root_top3d_v001.tscn</x:v>
      </x:c>
      <x:c r="P113" s="70" t="str">
        <x:v>scenes/Player3D.tscn</x:v>
      </x:c>
      <x:c r="Q113" s="70" t="str">
        <x:v>胶囊;防护服;3D;模块角色</x:v>
      </x:c>
      <x:c r="R113" s="70" t="str">
        <x:f>LOWER(TRIM(C113)&amp;"|"&amp;TRIM(D113)&amp;"|"&amp;TRIM(E113)&amp;"|"&amp;TRIM(F113)&amp;"|"&amp;TRIM(H113)&amp;"|"&amp;TRIM(I113))</x:f>
        <x:v>角色|player|player_capsule01|root_3d|俯视3d|default</x:v>
      </x:c>
      <x:c r="S113" s="70" t="str">
        <x:f>IF(A113="","",IF(COUNTIF($R$6:$R$162,R113)&gt;1,"重复","唯一"))</x:f>
        <x:v>唯一</x:v>
      </x:c>
      <x:c r="T113" s="70" t="str">
        <x:v>cf0b3b648d56590f1e024553d224df35007358452ea16ad1651ae9af4a7dde49</x:v>
      </x:c>
      <x:c r="U113" s="70" t="str">
        <x:v>Codex</x:v>
      </x:c>
      <x:c r="V113" s="71" t="n">
        <x:v>46236</x:v>
      </x:c>
      <x:c r="W113" s="70" t="str">
        <x:v>原创程序几何</x:v>
      </x:c>
      <x:c r="X113" s="70" t="str">
        <x:v>玩家随身三灯通过 layer 1/2 隔离避免自身投影；角色网格恢复外部太阳光/室内灯投影，GI保持关闭；tests/verification/verify_tower_lighting_wall_combat_regressions.tscn</x:v>
      </x:c>
    </x:row>
    <x:row r="114">
      <x:c r="A114" t="str">
        <x:v>CHR-PLY-CAPSULE01-BODY-3D</x:v>
      </x:c>
      <x:c r="B114" t="str">
        <x:v>方形猫角色3D身躯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IF(A114="","",IF(COUNTIF($R$6:$R$162,R114)&gt;1,"重复","唯一"))</x:f>
        <x:v>唯一</x:v>
      </x:c>
      <x:c r="T114" t="str">
        <x:v>cf0b3b648d56590f1e024553d224df35007358452ea16ad1651ae9af4a7dde49</x:v>
      </x:c>
      <x:c r="U114" t="str">
        <x:v>Codex</x:v>
      </x:c>
      <x:c r="V114" s="62" t="str">
        <x:v>2026-07-25</x:v>
      </x:c>
      <x:c r="W114" t="str">
        <x:v>原创程序几何</x:v>
      </x:c>
      <x:c r="X114" t="str">
        <x:v>VisualRoot/Body：BoxMesh身躯、BellyPatch、圆形TailStub；v0.1方形猫原型；tests/verification/verify_player3d_diy_flow / gallery flow / visual PASS</x:v>
      </x:c>
    </x:row>
    <x:row r="115">
      <x:c r="A115" t="str">
        <x:v>CHR-PLY-CAPSULE01-HEAD-3D</x:v>
      </x:c>
      <x:c r="B115" t="str">
        <x:v>方形猫角色3D头部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IF(A115="","",IF(COUNTIF($R$6:$R$162,R115)&gt;1,"重复","唯一"))</x:f>
        <x:v>唯一</x:v>
      </x:c>
      <x:c r="T115" t="str">
        <x:v>cf0b3b648d56590f1e024553d224df35007358452ea16ad1651ae9af4a7dde49</x:v>
      </x:c>
      <x:c r="U115" t="str">
        <x:v>Codex</x:v>
      </x:c>
      <x:c r="V115" s="62" t="str">
        <x:v>2026-07-25</x:v>
      </x:c>
      <x:c r="W115" t="str">
        <x:v>原创程序几何</x:v>
      </x:c>
      <x:c r="X115" t="str">
        <x:v>VisualRoot/Head：BoxMesh方头；Eyes双矩形眼；Ears双三角耳；v0.1方形猫原型；tests/verification/verify_player3d_diy_flow / gallery flow / visual PASS</x:v>
      </x:c>
    </x:row>
    <x:row r="116">
      <x:c r="A116" t="str">
        <x:v>CHR-PLY-CAPSULE01-HAND-3D</x:v>
      </x:c>
      <x:c r="B116" t="str">
        <x:v>方形猫角色3D唯一手部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IF(A116="","",IF(COUNTIF($R$6:$R$162,R116)&gt;1,"重复","唯一"))</x:f>
        <x:v>唯一</x:v>
      </x:c>
      <x:c r="T116" t="str">
        <x:v>cf0b3b648d56590f1e024553d224df35007358452ea16ad1651ae9af4a7dde49</x:v>
      </x:c>
      <x:c r="U116" t="str">
        <x:v>Codex</x:v>
      </x:c>
      <x:c r="V116" s="62" t="str">
        <x:v>2026-07-25</x:v>
      </x:c>
      <x:c r="W116" t="str">
        <x:v>原创程序几何</x:v>
      </x:c>
      <x:c r="X116" t="str">
        <x:v>VisualRoot/Hand：单个BoxMesh悬浮握持手；全动作与weapon_socket同相；v0.1方形猫原型；tests/verification/verify_player3d_diy_flow / gallery flow / visual PASS</x:v>
      </x:c>
    </x:row>
    <x:row r="117">
      <x:c r="A117" t="str">
        <x:v>CHR-PLY-CAPSULE01-SCARF-3D</x:v>
      </x:c>
      <x:c r="B117" t="str">
        <x:v>旧3D红围巾兼容节点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IF(A117="","",IF(COUNTIF($R$6:$R$162,R117)&gt;1,"重复","唯一"))</x:f>
        <x:v>唯一</x:v>
      </x:c>
      <x:c r="T117" t="str">
        <x:v>cf0b3b648d56590f1e024553d224df35007358452ea16ad1651ae9af4a7dde49</x:v>
      </x:c>
      <x:c r="U117" t="str">
        <x:v>Codex</x:v>
      </x:c>
      <x:c r="V117" s="62" t="str">
        <x:v>2026-07-25</x:v>
      </x:c>
      <x:c r="W117" t="str">
        <x:v>原创程序几何</x:v>
      </x:c>
      <x:c r="X117" t="str">
        <x:v>VisualRoot/Scarf默认隐藏，仅为旧场景兼容；当前四主模块不计入scarf；v0.1方形猫原型；tests/verification/verify_player3d_diy_flow / gallery flow / visual PASS</x:v>
      </x:c>
    </x:row>
    <x:row r="118">
      <x:c r="A118" t="str">
        <x:v>CHR-PLY-CAPSULE01-WEAPON-SOCKET-3D</x:v>
      </x:c>
      <x:c r="B118" t="str">
        <x:v>方形猫角色3D武器挂点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IF(A118="","",IF(COUNTIF($R$6:$R$162,R118)&gt;1,"重复","唯一"))</x:f>
        <x:v>唯一</x:v>
      </x:c>
      <x:c r="T118" t="str">
        <x:v>cf0b3b648d56590f1e024553d224df35007358452ea16ad1651ae9af4a7dde49</x:v>
      </x:c>
      <x:c r="U118" t="str">
        <x:v>Codex</x:v>
      </x:c>
      <x:c r="V118" s="62" t="str">
        <x:v>2026-07-25</x:v>
      </x:c>
      <x:c r="W118" t="str">
        <x:v>原创逻辑挂点</x:v>
      </x:c>
      <x:c r="X118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IF(A119="","",IF(COUNTIF($R$6:$R$162,R119)&gt;1,"重复","唯一"))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 ht="155" customHeight="1">
      <x:c r="A120" s="70" t="str">
        <x:v>PRP-BASE-FACILITY-3D</x:v>
      </x:c>
      <x:c r="B120" s="70" t="str">
        <x:v>基地设施3D通用模块</x:v>
      </x:c>
      <x:c r="C120" s="70" t="str">
        <x:v>场景道具</x:v>
      </x:c>
      <x:c r="D120" s="70" t="str">
        <x:v>facility</x:v>
      </x:c>
      <x:c r="E120" s="70" t="str">
        <x:v>base_facility_module</x:v>
      </x:c>
      <x:c r="F120" s="70" t="str">
        <x:v>root_3d</x:v>
      </x:c>
      <x:c r="G120" s="70" t="str">
        <x:v>ENV-BASE-WORLD-KIT-3D</x:v>
      </x:c>
      <x:c r="H120" s="70" t="str">
        <x:v>俯视3D</x:v>
      </x:c>
      <x:c r="I120" s="70" t="str">
        <x:v>default</x:v>
      </x:c>
      <x:c r="J120" s="70" t="str">
        <x:v>8类基地设施</x:v>
      </x:c>
      <x:c r="K120" s="70" t="str">
        <x:v>原型已接入</x:v>
      </x:c>
      <x:c r="L120" s="70" t="str">
        <x:v>P0</x:v>
      </x:c>
      <x:c r="M120" s="70" t="str">
        <x:v>v001</x:v>
      </x:c>
      <x:c r="N120" s="70" t="str">
        <x:v>PackedScene/材质变体</x:v>
      </x:c>
      <x:c r="O120" s="70" t="str">
        <x:v>assets/art/props/base_world_3d/prp_base_facility_root_top3d_v001.tscn</x:v>
      </x:c>
      <x:c r="P120" s="70" t="str">
        <x:v>src/base3d/BaseFacility3D.gd</x:v>
      </x:c>
      <x:c r="Q120" s="70" t="str">
        <x:v>设施;交互;信标;3D</x:v>
      </x:c>
      <x:c r="R120" s="7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70" t="str">
        <x:f>IF(A120="","",IF(COUNTIF($R$6:$R$162,R120)&gt;1,"重复","唯一"))</x:f>
        <x:v>唯一</x:v>
      </x:c>
      <x:c r="T120" s="70" t="str">
        <x:v>18921dbda4e5997f5c49c6efa66b7af030310d5d086b60fe476e8f0e664e104e</x:v>
      </x:c>
      <x:c r="U120" s="70" t="str">
        <x:v>Codex</x:v>
      </x:c>
      <x:c r="V120" s="71" t="n">
        <x:v>46233</x:v>
      </x:c>
      <x:c r="W120" s="70" t="str">
        <x:v>原创程序几何</x:v>
      </x:c>
      <x:c r="X120" s="70" t="str">
        <x:v>v0.1：BaseFacility3D复用于五个独立电梯设施（99—95层各一处），设施挂在走廊设施层级而非房间内部，放置在基地房间墙边或楼层走廊边。电梯解锁、目标楼层和到达点从邻接的elevator_access房间读取。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IF(A121="","",IF(COUNTIF($R$6:$R$162,R121)&gt;1,"重复","唯一"))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tests/verification/verify_base_world_3d_visual.tscn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IF(A122="","",IF(COUNTIF($R$6:$R$162,R122)&gt;1,"重复","唯一"))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155" customHeight="1">
      <x:c r="A123" s="70" t="str">
        <x:v>ENV-DUNGEON-RUNTIME-3D</x:v>
      </x:c>
      <x:c r="B123" s="70" t="str">
        <x:v>3D随机关卡通用房间套件</x:v>
      </x:c>
      <x:c r="C123" s="70" t="str">
        <x:v>场景</x:v>
      </x:c>
      <x:c r="D123" s="70" t="str">
        <x:v>room</x:v>
      </x:c>
      <x:c r="E123" s="70" t="str">
        <x:v>dungeon_runtime</x:v>
      </x:c>
      <x:c r="F123" s="70" t="str">
        <x:v>root_3d</x:v>
      </x:c>
      <x:c r="G123" s="70"/>
      <x:c r="H123" s="70" t="str">
        <x:v>俯视3D</x:v>
      </x:c>
      <x:c r="I123" s="70" t="str">
        <x:v>default</x:v>
      </x:c>
      <x:c r="J123" s="70" t="str">
        <x:v>四主题副本/随机房间</x:v>
      </x:c>
      <x:c r="K123" s="70" t="str">
        <x:v>原型已接入</x:v>
      </x:c>
      <x:c r="L123" s="70" t="str">
        <x:v>P0</x:v>
      </x:c>
      <x:c r="M123" s="70" t="str">
        <x:v>v001</x:v>
      </x:c>
      <x:c r="N123" s="70" t="str">
        <x:v>PackedScene/三档程序几何</x:v>
      </x:c>
      <x:c r="O123" s="70" t="str">
        <x:v>assets/art/environments/dungeon_3d/env_dungeon_runtime_kit_top3d_v001.tscn</x:v>
      </x:c>
      <x:c r="P123" s="70" t="str">
        <x:v>src/world3d/DungeonRoom3D.gd</x:v>
      </x:c>
      <x:c r="Q123" s="70" t="str">
        <x:v>房间;门洞;走廊;随机地图;3D</x:v>
      </x:c>
      <x:c r="R123" s="70" t="str">
        <x:f>LOWER(TRIM(C123)&amp;"|"&amp;TRIM(D123)&amp;"|"&amp;TRIM(E123)&amp;"|"&amp;TRIM(F123)&amp;"|"&amp;TRIM(H123)&amp;"|"&amp;TRIM(I123))</x:f>
        <x:v>场景|room|dungeon_runtime|root_3d|俯视3d|default</x:v>
      </x:c>
      <x:c r="S123" s="70" t="str">
        <x:f>IF(A123="","",IF(COUNTIF($R$6:$R$162,R123)&gt;1,"重复","唯一"))</x:f>
        <x:v>唯一</x:v>
      </x:c>
      <x:c r="T123" s="70" t="str">
        <x:v>fc33ac084150c3e3cbba89505b3e04f35712abbceaa5cec297c94fe4d7dcc2f3</x:v>
      </x:c>
      <x:c r="U123" s="70" t="str">
        <x:v>Codex</x:v>
      </x:c>
      <x:c r="V123" s="71" t="n">
        <x:v>46233</x:v>
      </x:c>
      <x:c r="W123" s="70" t="str">
        <x:v>原创程序几何</x:v>
      </x:c>
      <x:c r="X123" s="70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IF(A124="","",IF(COUNTIF($R$6:$R$162,R124)&gt;1,"重复","唯一"))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IF(A125="","",IF(COUNTIF($R$6:$R$162,R125)&gt;1,"重复","唯一"))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IF(A126="","",IF(COUNTIF($R$6:$R$162,R126)&gt;1,"重复","唯一"))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IF(A127="","",IF(COUNTIF($R$6:$R$162,R127)&gt;1,"重复","唯一"))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155" customHeight="1">
      <x:c r="A128" s="70" t="str">
        <x:v>PRP-WASTELAND-LIGHT-3D</x:v>
      </x:c>
      <x:c r="B128" s="70" t="str">
        <x:v>废土灯具3D通用模块（街灯/顶灯）</x:v>
      </x:c>
      <x:c r="C128" s="70" t="str">
        <x:v>场景道具</x:v>
      </x:c>
      <x:c r="D128" s="70" t="str">
        <x:v>light</x:v>
      </x:c>
      <x:c r="E128" s="70" t="str">
        <x:v>wasteland_light</x:v>
      </x:c>
      <x:c r="F128" s="70" t="str">
        <x:v>root_3d</x:v>
      </x:c>
      <x:c r="G128" s="70" t="str">
        <x:v>ENV-DUNGEON-RUNTIME-3D</x:v>
      </x:c>
      <x:c r="H128" s="70" t="str">
        <x:v>俯视3D</x:v>
      </x:c>
      <x:c r="I128" s="70" t="str">
        <x:v>default</x:v>
      </x:c>
      <x:c r="J128" s="70" t="str">
        <x:v>关卡/靶场/房间中央照明</x:v>
      </x:c>
      <x:c r="K128" s="70" t="str">
        <x:v>原型已接入</x:v>
      </x:c>
      <x:c r="L128" s="70" t="str">
        <x:v>P0</x:v>
      </x:c>
      <x:c r="M128" s="70" t="str">
        <x:v>v001</x:v>
      </x:c>
      <x:c r="N128" s="70" t="str">
        <x:v>PackedScene/OmniLight3D</x:v>
      </x:c>
      <x:c r="O128" s="70" t="str">
        <x:v>assets/art/props/dungeon_3d/prp_wasteland_light_root_top3d_v001.tscn</x:v>
      </x:c>
      <x:c r="P128" s="70" t="str">
        <x:v>src/world3d/WastelandLight3D.gd</x:v>
      </x:c>
      <x:c r="Q128" s="70" t="str">
        <x:v>灯具;街灯;中央顶灯;故障灯;废土</x:v>
      </x:c>
      <x:c r="R128" s="70" t="str">
        <x:f>LOWER(TRIM(C128)&amp;"|"&amp;TRIM(D128)&amp;"|"&amp;TRIM(E128)&amp;"|"&amp;TRIM(F128)&amp;"|"&amp;TRIM(H128)&amp;"|"&amp;TRIM(I128))</x:f>
        <x:v>场景道具|light|wasteland_light|root_3d|俯视3d|default</x:v>
      </x:c>
      <x:c r="S128" s="70" t="str">
        <x:f>IF(A128="","",IF(COUNTIF($R$6:$R$162,R128)&gt;1,"重复","唯一"))</x:f>
        <x:v>唯一</x:v>
      </x:c>
      <x:c r="T128" s="70" t="str">
        <x:v>0a6ec0add8b6e01b83f4dbaae421ff0dc69ed08648d304bac061f540af27d99b</x:v>
      </x:c>
      <x:c r="U128" s="70" t="str">
        <x:v>Codex</x:v>
      </x:c>
      <x:c r="V128" s="71" t="n">
        <x:v>46237</x:v>
      </x:c>
      <x:c r="W128" s="70" t="str">
        <x:v>原创程序几何</x:v>
      </x:c>
      <x:c r="X128" s="70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IF(A129="","",IF(COUNTIF($R$6:$R$162,R129)&gt;1,"重复","唯一"))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IF(A130="","",IF(COUNTIF($R$6:$R$162,R130)&gt;1,"重复","唯一"))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IF(A131="","",IF(COUNTIF($R$6:$R$162,R131)&gt;1,"重复","唯一"))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IF(A132="","",IF(COUNTIF($R$6:$R$162,R132)&gt;1,"重复","唯一"))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46237</x:v>
      </x:c>
      <x:c r="W132" s="63" t="str">
        <x:v>原创程序几何</x:v>
      </x:c>
      <x:c r="X132" s="63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IF(A133="","",IF(COUNTIF($R$6:$R$162,R133)&gt;1,"重复","唯一"))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IF(A134="","",IF(COUNTIF($R$6:$R$162,R134)&gt;1,"重复","唯一"))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46225</x:v>
      </x:c>
      <x:c r="W134" s="63" t="str">
        <x:v>原创程序几何</x:v>
      </x:c>
      <x:c r="X134" s="63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IF(A135="","",IF(COUNTIF($R$6:$R$162,R135)&gt;1,"重复","唯一"))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46225</x:v>
      </x:c>
      <x:c r="W135" s="63" t="str">
        <x:v>原创程序几何</x:v>
      </x:c>
      <x:c r="X135" s="63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</x:v>
      </x:c>
      <x:c r="J136" s="63" t="str">
        <x:v>枪械/敌人/关卡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</x:v>
      </x:c>
      <x:c r="Q136" s="63" t="str">
        <x:v>枪口;命中;伤害;爆炸;3D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</x:v>
      </x:c>
      <x:c r="S136" s="63" t="str">
        <x:f>IF(A136="","",IF(COUNTIF($R$6:$R$162,R136)&gt;1,"重复","唯一"))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kind、颜色与尺寸参数化，避免每把枪复制特效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靶场;射击道;货架;56组合;三类靶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IF(A137="","",IF(COUNTIF($R$6:$R$162,R137)&gt;1,"重复","唯一"))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15货架、三射击道、三靶标、重置与返回；BaseData隔离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tests/verification/verify_full_3d_visual.tscn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IF(A138="","",IF(COUNTIF($R$6:$R$162,R138)&gt;1,"重复","唯一"))</x:f>
        <x:v>唯一</x:v>
      </x:c>
      <x:c r="T138" s="63" t="str">
        <x:v>3b2c2212f1283ed366a31dc3a101b3555c78768c3906600eb0b18c74423fb247</x:v>
      </x:c>
      <x:c r="U138" s="63" t="str">
        <x:v>Codex</x:v>
      </x:c>
      <x:c r="V138" s="64" t="n">
        <x:v>46225</x:v>
      </x:c>
      <x:c r="W138" s="63" t="str">
        <x:v>项目运行截图</x:v>
      </x:c>
      <x:c r="X138" s="63" t="str">
        <x:v>实际GPU窗口确认360°遮挡逻辑与96°定向表现；v0.1三层玩家灯去除头顶溢光，角色正面柔光、增强中央灯与战斗轮廓通过验收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tests/verification/verify_training_range_3d_visual.tscn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IF(A139="","",IF(COUNTIF($R$6:$R$162,R139)&gt;1,"重复","唯一"))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  <x:row r="140">
      <x:c r="A140" t="str">
        <x:v>VFX-VISIBILITY-FIELD-3D</x:v>
      </x:c>
      <x:c r="B140" t="str">
        <x:v>柔边真实单位视野场3D</x:v>
      </x:c>
      <x:c r="C140" t="str">
        <x:v>特效</x:v>
      </x:c>
      <x:c r="D140" t="str">
        <x:v>gameplay_vfx</x:v>
      </x:c>
      <x:c r="E140" t="str">
        <x:v>visibility_field</x:v>
      </x:c>
      <x:c r="F140" t="str">
        <x:v>field_mesh_3d</x:v>
      </x:c>
      <x:c r="G140" t="str">
        <x:v>VFX-VISIBILITY-LIGHT</x:v>
      </x:c>
      <x:c r="H140" t="str">
        <x:v>俯视3D</x:v>
      </x:c>
      <x:c r="I140" t="str">
        <x:v>default</x:v>
      </x:c>
      <x:c r="J140" t="str">
        <x:v>3D行动区/靶场/基地</x:v>
      </x:c>
      <x:c r="K140" t="str">
        <x:v>原型已接入</x:v>
      </x:c>
      <x:c r="L140" t="str">
        <x:v>P0</x:v>
      </x:c>
      <x:c r="M140" t="str">
        <x:v>v001</x:v>
      </x:c>
      <x:c r="N140" t="str">
        <x:v>360°逻辑射线 + ImmediateMesh 49+28表现射线</x:v>
      </x:c>
      <x:c r="O140" t="str">
        <x:v>src/player3d/PlayerVision3D.gd</x:v>
      </x:c>
      <x:c r="P140" t="str">
        <x:v>scenes/Player3D.tscn</x:v>
      </x:c>
      <x:c r="Q140" t="str">
        <x:v>360度逻辑视野;96度目光表现;柔边;墙体遮挡;无描边;非灯光判定</x:v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IF(A140="","",IF(COUNTIF($R$6:$R$162,R140)&gt;1,"重复","唯一"))</x:f>
        <x:v>唯一</x:v>
      </x:c>
      <x:c r="T140" t="str">
        <x:v>f2b2eaf61798845c9068d45db0fdad2b32930df5b14a259e36bb8be67eefda07</x:v>
      </x:c>
      <x:c r="U140" t="str">
        <x:v>Codex</x:v>
      </x:c>
      <x:c r="V140" t="n">
        <x:v>46225</x:v>
      </x:c>
      <x:c r="W140" t="str">
        <x:v>原创程序几何</x:v>
      </x:c>
      <x:c r="X140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v>
      </x:c>
    </x:row>
    <x:row r="141">
      <x:c r="A141" t="str">
        <x:v>UI-SCREEN-INVENTORY-3D</x:v>
      </x:c>
      <x:c r="B141" t="str">
        <x:v>3D背包与保险界面</x:v>
      </x:c>
      <x:c r="C141" t="str">
        <x:v>UI</x:v>
      </x:c>
      <x:c r="D141" t="str">
        <x:v>screen</x:v>
      </x:c>
      <x:c r="E141" t="str">
        <x:v>inventory</x:v>
      </x:c>
      <x:c r="F141" t="str">
        <x:v>root_3d</x:v>
      </x:c>
      <x:c r="G141" t="str">
        <x:v>UI-SCREEN-INVENTORY</x:v>
      </x:c>
      <x:c r="H141" t="str">
        <x:v>屏幕空间</x:v>
      </x:c>
      <x:c r="I141" t="str">
        <x:v>default</x:v>
      </x:c>
      <x:c r="J141" t="str">
        <x:v>3D行动区</x:v>
      </x:c>
      <x:c r="K141" t="str">
        <x:v>原型已接入</x:v>
      </x:c>
      <x:c r="L141" t="str">
        <x:v>P0</x:v>
      </x:c>
      <x:c r="M141" t="str">
        <x:v>v001</x:v>
      </x:c>
      <x:c r="N141" t="str">
        <x:v>全屏Control/12+2槽/96×96投影</x:v>
      </x:c>
      <x:c r="O141" t="str">
        <x:v>src/ui/InventoryUI.gd</x:v>
      </x:c>
      <x:c r="P141" t="str">
        <x:v>scenes/Dungeon3D.tscn</x:v>
      </x:c>
      <x:c r="Q141" t="str">
        <x:v>背包;保险;I键;Tab;模态输入锁;3D道具投影;实际点击装备</x:v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IF(A141="","",IF(COUNTIF($R$6:$R$162,R141)&gt;1,"重复","唯一"))</x:f>
        <x:v>唯一</x:v>
      </x:c>
      <x:c r="T141" t="str">
        <x:v>ccd8f7d7f3c99454d157f0dfd2f34631a4d404931f2e1997b5c381db9ac90c99</x:v>
      </x:c>
      <x:c r="U141" t="str">
        <x:v>Codex</x:v>
      </x:c>
      <x:c r="V141" t="n">
        <x:v>46225</x:v>
      </x:c>
      <x:c r="W141" t="str">
        <x:v>原创程序UI</x:v>
      </x:c>
      <x:c r="X141" t="str">
        <x:v>复用背包根身份的3D子变体；I/Tab；打开时锁输入；道具共用 ItemModelFactory3D；实际 ItemSlot 信号完成换枪</x:v>
      </x:c>
    </x:row>
    <x:row r="142">
      <x:c r="A142" t="str">
        <x:v>UI-SCREEN-PAUSE-3D</x:v>
      </x:c>
      <x:c r="B142" t="str">
        <x:v>3D共用暂停界面</x:v>
      </x:c>
      <x:c r="C142" t="str">
        <x:v>UI</x:v>
      </x:c>
      <x:c r="D142" t="str">
        <x:v>screen</x:v>
      </x:c>
      <x:c r="E142" t="str">
        <x:v>pause</x:v>
      </x:c>
      <x:c r="F142" t="str">
        <x:v>root_3d</x:v>
      </x:c>
      <x:c r="G142"/>
      <x:c r="H142" t="str">
        <x:v>屏幕空间</x:v>
      </x:c>
      <x:c r="I142" t="str">
        <x:v>default</x:v>
      </x:c>
      <x:c r="J142" t="str">
        <x:v>地下城/基地/靶场</x:v>
      </x:c>
      <x:c r="K142" t="str">
        <x:v>已完成</x:v>
      </x:c>
      <x:c r="L142" t="str">
        <x:v>P0</x:v>
      </x:c>
      <x:c r="M142" t="str">
        <x:v>v001</x:v>
      </x:c>
      <x:c r="N142" t="str">
        <x:v>PackedScene/全屏Control</x:v>
      </x:c>
      <x:c r="O142" t="str">
        <x:v>assets/art/ui/pause_3d/ui_pause_overlay_screen_v001.tscn</x:v>
      </x:c>
      <x:c r="P142" t="str">
        <x:v>src/ui/PauseMenu3D.gd</x:v>
      </x:c>
      <x:c r="Q142" t="str">
        <x:v>暂停;Esc;继续;全局模态;3D HUD</x:v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IF(A142="","",IF(COUNTIF($R$6:$R$162,R142)&gt;1,"重复","唯一"))</x:f>
        <x:v>唯一</x:v>
      </x:c>
      <x:c r="T142" t="str">
        <x:v>8fed542ebf6b89002c6922a287e666394472252ad9673d8183dd9db604c19a88</x:v>
      </x:c>
      <x:c r="U142" t="str">
        <x:v>Codex</x:v>
      </x:c>
      <x:c r="V142" t="n">
        <x:v>46225</x:v>
      </x:c>
      <x:c r="W142" t="str">
        <x:v>原创程序UI</x:v>
      </x:c>
      <x:c r="X142" t="str">
        <x:v>三张3D地图共用；Esc先关闭最上层模态，再进入真实暂停</x:v>
      </x:c>
    </x:row>
    <x:row r="143" ht="155" customHeight="1">
      <x:c r="A143" s="70" t="str">
        <x:v>PRP-ROOM-LIGHT-SWITCH-3D</x:v>
      </x:c>
      <x:c r="B143" s="70" t="str">
        <x:v>房间中央灯墙面开关3D</x:v>
      </x:c>
      <x:c r="C143" s="70" t="str">
        <x:v>场景道具</x:v>
      </x:c>
      <x:c r="D143" s="70" t="str">
        <x:v>facility</x:v>
      </x:c>
      <x:c r="E143" s="70" t="str">
        <x:v>room_light_switch</x:v>
      </x:c>
      <x:c r="F143" s="70" t="str">
        <x:v>root_3d</x:v>
      </x:c>
      <x:c r="G143" s="70" t="str">
        <x:v>ENV-DUNGEON-RUNTIME-3D</x:v>
      </x:c>
      <x:c r="H143" s="70" t="str">
        <x:v>俯视3D</x:v>
      </x:c>
      <x:c r="I143" s="70" t="str">
        <x:v>default</x:v>
      </x:c>
      <x:c r="J143" s="70" t="str">
        <x:v>随机关卡房间/四主题复用</x:v>
      </x:c>
      <x:c r="K143" s="70" t="str">
        <x:v>原型已接入</x:v>
      </x:c>
      <x:c r="L143" s="70" t="str">
        <x:v>P0</x:v>
      </x:c>
      <x:c r="M143" s="70" t="str">
        <x:v>v001</x:v>
      </x:c>
      <x:c r="N143" s="70" t="str">
        <x:v>PackedScene/Area3D</x:v>
      </x:c>
      <x:c r="O143" s="70" t="str">
        <x:v>assets/art/props/dungeon_3d/prp_room_light_switch_root_top3d_v001.tscn</x:v>
      </x:c>
      <x:c r="P143" s="70" t="str">
        <x:v>src/world3d/RoomLightSwitch3D.gd</x:v>
      </x:c>
      <x:c r="Q143" s="70" t="str">
        <x:v>房灯开关;墙面交互;中央顶灯;E键</x:v>
      </x:c>
      <x:c r="R143" s="70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70" t="str">
        <x:f>IF(A143="","",IF(COUNTIF($R$6:$R$162,R143)&gt;1,"重复","唯一"))</x:f>
        <x:v>唯一</x:v>
      </x:c>
      <x:c r="T143" s="70" t="str">
        <x:v>7802bc3a71d892072e43962875e26b60443d19de35bcc77fe0cbedcfa6dd5d94</x:v>
      </x:c>
      <x:c r="U143" s="70" t="str">
        <x:v>Codex</x:v>
      </x:c>
      <x:c r="V143" s="71" t="n">
        <x:v>46237</x:v>
      </x:c>
      <x:c r="W143" s="70" t="str">
        <x:v>原创程序几何</x:v>
      </x:c>
      <x:c r="X143" s="70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t="str">
        <x:v>VFX-PLAYER-FLASHLIGHT-3D</x:v>
      </x:c>
      <x:c r="B144" t="str">
        <x:v>玩家真实探照灯组件3D</x:v>
      </x:c>
      <x:c r="C144" t="str">
        <x:v>特效</x:v>
      </x:c>
      <x:c r="D144" t="str">
        <x:v>gameplay_vfx</x:v>
      </x:c>
      <x:c r="E144" t="str">
        <x:v>player_flashlight</x:v>
      </x:c>
      <x:c r="F144" t="str">
        <x:v>light_rig_3d</x:v>
      </x:c>
      <x:c r="G144" t="str">
        <x:v>VFX-VISIBILITY-FIELD-3D</x:v>
      </x:c>
      <x:c r="H144" t="str">
        <x:v>俯视3D</x:v>
      </x:c>
      <x:c r="I144" t="str">
        <x:v>default</x:v>
      </x:c>
      <x:c r="J144" t="str">
        <x:v>3D行动区/靶场/基地</x:v>
      </x:c>
      <x:c r="K144" t="str">
        <x:v>原型已接入</x:v>
      </x:c>
      <x:c r="L144" t="str">
        <x:v>P0</x:v>
      </x:c>
      <x:c r="M144" t="str">
        <x:v>v001</x:v>
      </x:c>
      <x:c r="N144" t="str">
        <x:v>PackedScene/2 SpotLight3D+1 OmniLight3D</x:v>
      </x:c>
      <x:c r="O144" t="str">
        <x:v>assets/art/vfx/visibility_3d/vfx_player_flashlight_root_top3d_v001.tscn</x:v>
      </x:c>
      <x:c r="P144" t="str">
        <x:v>src/player3d/PlayerFlashlight3D.gd</x:v>
      </x:c>
      <x:c r="Q144" t="str">
        <x:v>真实探照灯;玩家灯光;前向聚光;角色补光;可调灯光</x:v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IF(A144="","",IF(COUNTIF($R$6:$R$162,R144)&gt;1,"重复","唯一"))</x:f>
        <x:v>唯一</x:v>
      </x:c>
      <x:c r="T144" t="str">
        <x:v>b389efe1d1fcfd30087a6d3f3f2784effee95cf6c54769fde27ecb6806011a05</x:v>
      </x:c>
      <x:c r="U144" t="str">
        <x:v>Codex</x:v>
      </x:c>
      <x:c r="V144" s="62" t="n">
        <x:v>46225</x:v>
      </x:c>
      <x:c r="W144" s="62" t="str">
        <x:v>原创程序几何</x:v>
      </x:c>
      <x:c r="X144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t="str">
        <x:v>UI-ICON-ITEM-MODEL-3D</x:v>
      </x:c>
      <x:c r="B145" t="str">
        <x:v>背包道具3D模型投影组件</x:v>
      </x:c>
      <x:c r="C145" t="str">
        <x:v>UI</x:v>
      </x:c>
      <x:c r="D145" t="str">
        <x:v>icon</x:v>
      </x:c>
      <x:c r="E145" t="str">
        <x:v>item_model_icon</x:v>
      </x:c>
      <x:c r="F145" t="str">
        <x:v>root_3d</x:v>
      </x:c>
      <x:c r="G145" t="str">
        <x:v>UI-SCREEN-INVENTORY-3D</x:v>
      </x:c>
      <x:c r="H145" t="str">
        <x:v>屏幕空间/3D投影</x:v>
      </x:c>
      <x:c r="I145" t="str">
        <x:v>default</x:v>
      </x:c>
      <x:c r="J145" t="str">
        <x:v>背包/保险格/道具预览</x:v>
      </x:c>
      <x:c r="K145" t="str">
        <x:v>原型已接入</x:v>
      </x:c>
      <x:c r="L145" t="str">
        <x:v>P0</x:v>
      </x:c>
      <x:c r="M145" t="str">
        <x:v>v001</x:v>
      </x:c>
      <x:c r="N145" t="str">
        <x:v>96×96 SubViewport/UPDATE_ONCE</x:v>
      </x:c>
      <x:c r="O145" t="str">
        <x:v>assets/art/ui/inventory_3d/ui_item_model_icon_root_v001.tscn</x:v>
      </x:c>
      <x:c r="P145" t="str">
        <x:v>src/ui/ItemModelIcon3D.gd</x:v>
      </x:c>
      <x:c r="Q145" t="str">
        <x:v>3D道具图标;模型投影;背包图标;共享世界模型;单次渲染</x:v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IF(A145="","",IF(COUNTIF($R$6:$R$162,R145)&gt;1,"重复","唯一"))</x:f>
        <x:v>唯一</x:v>
      </x:c>
      <x:c r="T145" t="str">
        <x:v>97c10f3884107c1263f3de1f8bc1ce84bb568ecd80418b62bdb023c55cdab9fe</x:v>
      </x:c>
      <x:c r="U145" t="str">
        <x:v>Codex</x:v>
      </x:c>
      <x:c r="V145" s="62" t="n">
        <x:v>46225</x:v>
      </x:c>
      <x:c r="W145" t="str">
        <x:v>原创程序UI</x:v>
      </x:c>
      <x:c r="X145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63" t="str">
        <x:v>CHR-PLY-CAPSULE01-BODY-DIY-3D</x:v>
      </x:c>
      <x:c r="B146" s="63" t="str">
        <x:v>胶囊防护体3D身体DIY变体</x:v>
      </x:c>
      <x:c r="C146" s="63" t="str">
        <x:v>角色</x:v>
      </x:c>
      <x:c r="D146" s="63" t="str">
        <x:v>player_variant</x:v>
      </x:c>
      <x:c r="E146" s="63" t="str">
        <x:v>player_capsule01</x:v>
      </x:c>
      <x:c r="F146" s="63" t="str">
        <x:v>body_diy_3d</x:v>
      </x:c>
      <x:c r="G146" s="63" t="str">
        <x:v>CHR-PLY-CAPSULE01-BODY-3D</x:v>
      </x:c>
      <x:c r="H146" s="63" t="str">
        <x:v>俯视3D</x:v>
      </x:c>
      <x:c r="I146" s="63" t="str">
        <x:v>diy</x:v>
      </x:c>
      <x:c r="J146" s="63" t="str">
        <x:v>3D玩家/预览场</x:v>
      </x:c>
      <x:c r="K146" s="63" t="str">
        <x:v>原型已接入</x:v>
      </x:c>
      <x:c r="L146" s="63" t="str">
        <x:v>P1</x:v>
      </x:c>
      <x:c r="M146" s="63" t="str">
        <x:v>v001</x:v>
      </x:c>
      <x:c r="N146" s="63" t="str">
        <x:v>3种程序材质</x:v>
      </x:c>
      <x:c r="O146" s="63" t="str">
        <x:v>src/player3d/PlayerAvatar3D.gd</x:v>
      </x:c>
      <x:c r="P146" s="63" t="str">
        <x:v>VisualRoot/Body</x:v>
      </x:c>
      <x:c r="Q146" s="63" t="str">
        <x:v>身体;防护服;DIY;橄榄;沙色;钴蓝</x:v>
      </x:c>
      <x:c r="R146" s="63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63" t="str">
        <x:f>IF(A146="","",IF(COUNTIF($R$6:$R$162,R146)&gt;1,"重复","唯一"))</x:f>
        <x:v>唯一</x:v>
      </x:c>
      <x:c r="T146" s="63" t="str">
        <x:v>43c7fa3fa002c9e5a2ec27f04fedeefacee2f32f3a91cb232e98f080513e2f7b</x:v>
      </x:c>
      <x:c r="U146" s="63" t="str">
        <x:v>Codex</x:v>
      </x:c>
      <x:c r="V146" s="63" t="str">
        <x:v>2026-07-25</x:v>
      </x:c>
      <x:c r="W146" s="63" t="str">
        <x:v>原创程序几何</x:v>
      </x:c>
      <x:c r="X146" s="63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7" ht="44" customHeight="1">
      <x:c r="A147" s="63" t="str">
        <x:v>CHR-PLY-CAPSULE01-HEAD-DIY-3D</x:v>
      </x:c>
      <x:c r="B147" s="63" t="str">
        <x:v>胶囊防护体3D头部DIY变体</x:v>
      </x:c>
      <x:c r="C147" s="63" t="str">
        <x:v>角色</x:v>
      </x:c>
      <x:c r="D147" s="63" t="str">
        <x:v>player_variant</x:v>
      </x:c>
      <x:c r="E147" s="63" t="str">
        <x:v>player_capsule01</x:v>
      </x:c>
      <x:c r="F147" s="63" t="str">
        <x:v>head_diy_3d</x:v>
      </x:c>
      <x:c r="G147" s="63" t="str">
        <x:v>CHR-PLY-CAPSULE01-HEAD-3D</x:v>
      </x:c>
      <x:c r="H147" s="63" t="str">
        <x:v>俯视3D</x:v>
      </x:c>
      <x:c r="I147" s="63" t="str">
        <x:v>diy</x:v>
      </x:c>
      <x:c r="J147" s="63" t="str">
        <x:v>3D玩家/预览场</x:v>
      </x:c>
      <x:c r="K147" s="63" t="str">
        <x:v>原型已接入</x:v>
      </x:c>
      <x:c r="L147" s="63" t="str">
        <x:v>P1</x:v>
      </x:c>
      <x:c r="M147" s="63" t="str">
        <x:v>v001</x:v>
      </x:c>
      <x:c r="N147" s="63" t="str">
        <x:v>3种程序材质</x:v>
      </x:c>
      <x:c r="O147" s="63" t="str">
        <x:v>src/player3d/PlayerAvatar3D.gd</x:v>
      </x:c>
      <x:c r="P147" s="63" t="str">
        <x:v>VisualRoot/Head</x:v>
      </x:c>
      <x:c r="Q147" s="63" t="str">
        <x:v>头壳;传感器;DIY;青色面板;琥珀装甲</x:v>
      </x:c>
      <x:c r="R147" s="63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63" t="str">
        <x:f>IF(A147="","",IF(COUNTIF($R$6:$R$162,R147)&gt;1,"重复","唯一"))</x:f>
        <x:v>唯一</x:v>
      </x:c>
      <x:c r="T147" s="63" t="str">
        <x:v>43c7fa3fa002c9e5a2ec27f04fedeefacee2f32f3a91cb232e98f080513e2f7b</x:v>
      </x:c>
      <x:c r="U147" s="63" t="str">
        <x:v>Codex</x:v>
      </x:c>
      <x:c r="V147" s="63" t="str">
        <x:v>2026-07-25</x:v>
      </x:c>
      <x:c r="W147" s="63" t="str">
        <x:v>原创程序几何</x:v>
      </x:c>
      <x:c r="X147" s="63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8" ht="44" customHeight="1">
      <x:c r="A148" s="63" t="str">
        <x:v>CHR-PLY-CAPSULE01-HAND-DIY-3D</x:v>
      </x:c>
      <x:c r="B148" s="63" t="str">
        <x:v>胶囊防护体3D手部DIY变体</x:v>
      </x:c>
      <x:c r="C148" s="63" t="str">
        <x:v>角色</x:v>
      </x:c>
      <x:c r="D148" s="63" t="str">
        <x:v>player_variant</x:v>
      </x:c>
      <x:c r="E148" s="63" t="str">
        <x:v>player_capsule01</x:v>
      </x:c>
      <x:c r="F148" s="63" t="str">
        <x:v>hand_diy_3d</x:v>
      </x:c>
      <x:c r="G148" s="63" t="str">
        <x:v>CHR-PLY-CAPSULE01-HAND-3D</x:v>
      </x:c>
      <x:c r="H148" s="63" t="str">
        <x:v>俯视3D</x:v>
      </x:c>
      <x:c r="I148" s="63" t="str">
        <x:v>diy</x:v>
      </x:c>
      <x:c r="J148" s="63" t="str">
        <x:v>3D玩家/预览场</x:v>
      </x:c>
      <x:c r="K148" s="63" t="str">
        <x:v>原型已接入</x:v>
      </x:c>
      <x:c r="L148" s="63" t="str">
        <x:v>P1</x:v>
      </x:c>
      <x:c r="M148" s="63" t="str">
        <x:v>v001</x:v>
      </x:c>
      <x:c r="N148" s="63" t="str">
        <x:v>3种程序材质/抓握压缩</x:v>
      </x:c>
      <x:c r="O148" s="63" t="str">
        <x:v>src/player3d/PlayerAvatar3D.gd</x:v>
      </x:c>
      <x:c r="P148" s="63" t="str">
        <x:v>VisualRoot/Hand</x:v>
      </x:c>
      <x:c r="Q148" s="63" t="str">
        <x:v>唯一手;握持;DIY;橙色;青绿</x:v>
      </x:c>
      <x:c r="R148" s="63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63" t="str">
        <x:f>IF(A148="","",IF(COUNTIF($R$6:$R$162,R148)&gt;1,"重复","唯一"))</x:f>
        <x:v>唯一</x:v>
      </x:c>
      <x:c r="T148" s="63" t="str">
        <x:v>43c7fa3fa002c9e5a2ec27f04fedeefacee2f32f3a91cb232e98f080513e2f7b</x:v>
      </x:c>
      <x:c r="U148" s="63" t="str">
        <x:v>Codex</x:v>
      </x:c>
      <x:c r="V148" s="63" t="str">
        <x:v>2026-07-25</x:v>
      </x:c>
      <x:c r="W148" s="63" t="str">
        <x:v>原创程序几何</x:v>
      </x:c>
      <x:c r="X148" s="63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9" ht="44" customHeight="1">
      <x:c r="A149" s="63" t="str">
        <x:v>CHR-PLY-CAPSULE01-HAT-DIY-3D</x:v>
      </x:c>
      <x:c r="B149" s="63" t="str">
        <x:v>胶囊防护体3D帽子DIY组件</x:v>
      </x:c>
      <x:c r="C149" s="63" t="str">
        <x:v>角色</x:v>
      </x:c>
      <x:c r="D149" s="63" t="str">
        <x:v>player_accessory</x:v>
      </x:c>
      <x:c r="E149" s="63" t="str">
        <x:v>player_capsule01</x:v>
      </x:c>
      <x:c r="F149" s="63" t="str">
        <x:v>hat_diy_3d</x:v>
      </x:c>
      <x:c r="G149" s="63" t="str">
        <x:v>CHR-PLY-CAPSULE01-HEAD-3D</x:v>
      </x:c>
      <x:c r="H149" s="63" t="str">
        <x:v>俯视3D</x:v>
      </x:c>
      <x:c r="I149" s="63" t="str">
        <x:v>diy</x:v>
      </x:c>
      <x:c r="J149" s="63" t="str">
        <x:v>3D玩家/预览场</x:v>
      </x:c>
      <x:c r="K149" s="63" t="str">
        <x:v>原型已接入</x:v>
      </x:c>
      <x:c r="L149" s="63" t="str">
        <x:v>P1</x:v>
      </x:c>
      <x:c r="M149" s="63" t="str">
        <x:v>v001</x:v>
      </x:c>
      <x:c r="N149" s="63" t="str">
        <x:v>软帽/安全帽/密封兜帽</x:v>
      </x:c>
      <x:c r="O149" s="63" t="str">
        <x:v>src/player3d/PlayerAvatar3D.gd</x:v>
      </x:c>
      <x:c r="P149" s="63" t="str">
        <x:v>VisualRoot/Head/Wearables</x:v>
      </x:c>
      <x:c r="Q149" s="63" t="str">
        <x:v>帽子;软帽;安全帽;兜帽;DIY</x:v>
      </x:c>
      <x:c r="R149" s="63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63" t="str">
        <x:f>IF(A149="","",IF(COUNTIF($R$6:$R$162,R149)&gt;1,"重复","唯一"))</x:f>
        <x:v>唯一</x:v>
      </x:c>
      <x:c r="T149" s="63" t="str">
        <x:v>43c7fa3fa002c9e5a2ec27f04fedeefacee2f32f3a91cb232e98f080513e2f7b</x:v>
      </x:c>
      <x:c r="U149" s="63" t="str">
        <x:v>Codex</x:v>
      </x:c>
      <x:c r="V149" s="63" t="str">
        <x:v>2026-07-25</x:v>
      </x:c>
      <x:c r="W149" s="63" t="str">
        <x:v>原创程序几何</x:v>
      </x:c>
      <x:c r="X149" s="63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0" ht="44" customHeight="1">
      <x:c r="A150" s="63" t="str">
        <x:v>CHR-PLY-CAPSULE01-GLASSES-DIY-3D</x:v>
      </x:c>
      <x:c r="B150" s="63" t="str">
        <x:v>胶囊防护体3D眼镜DIY组件</x:v>
      </x:c>
      <x:c r="C150" s="63" t="str">
        <x:v>角色</x:v>
      </x:c>
      <x:c r="D150" s="63" t="str">
        <x:v>player_accessory</x:v>
      </x:c>
      <x:c r="E150" s="63" t="str">
        <x:v>player_capsule01</x:v>
      </x:c>
      <x:c r="F150" s="63" t="str">
        <x:v>glasses_diy_3d</x:v>
      </x:c>
      <x:c r="G150" s="63" t="str">
        <x:v>CHR-PLY-CAPSULE01-HEAD-3D</x:v>
      </x:c>
      <x:c r="H150" s="63" t="str">
        <x:v>俯视3D</x:v>
      </x:c>
      <x:c r="I150" s="63" t="str">
        <x:v>diy</x:v>
      </x:c>
      <x:c r="J150" s="63" t="str">
        <x:v>3D玩家/预览场</x:v>
      </x:c>
      <x:c r="K150" s="63" t="str">
        <x:v>原型已接入</x:v>
      </x:c>
      <x:c r="L150" s="63" t="str">
        <x:v>P1</x:v>
      </x:c>
      <x:c r="M150" s="63" t="str">
        <x:v>v001</x:v>
      </x:c>
      <x:c r="N150" s="63" t="str">
        <x:v>单目镜/双目护镜/宽面护目镜</x:v>
      </x:c>
      <x:c r="O150" s="63" t="str">
        <x:v>src/player3d/PlayerAvatar3D.gd</x:v>
      </x:c>
      <x:c r="P150" s="63" t="str">
        <x:v>VisualRoot/Head/Wearables</x:v>
      </x:c>
      <x:c r="Q150" s="63" t="str">
        <x:v>眼镜;单目镜;护目镜;宽面护目镜;DIY</x:v>
      </x:c>
      <x:c r="R150" s="63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63" t="str">
        <x:f>IF(A150="","",IF(COUNTIF($R$6:$R$162,R150)&gt;1,"重复","唯一"))</x:f>
        <x:v>唯一</x:v>
      </x:c>
      <x:c r="T150" s="63" t="str">
        <x:v>43c7fa3fa002c9e5a2ec27f04fedeefacee2f32f3a91cb232e98f080513e2f7b</x:v>
      </x:c>
      <x:c r="U150" s="63" t="str">
        <x:v>Codex</x:v>
      </x:c>
      <x:c r="V150" s="63" t="str">
        <x:v>2026-07-25</x:v>
      </x:c>
      <x:c r="W150" s="63" t="str">
        <x:v>原创程序几何</x:v>
      </x:c>
      <x:c r="X150" s="63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1" ht="44" customHeight="1">
      <x:c r="A151" s="63" t="str">
        <x:v>CHR-PLY-CAPSULE01-FOOT-3D</x:v>
      </x:c>
      <x:c r="B151" s="63" t="str">
        <x:v>方形猫角色3D脚部模块</x:v>
      </x:c>
      <x:c r="C151" s="63" t="str">
        <x:v>角色</x:v>
      </x:c>
      <x:c r="D151" s="63" t="str">
        <x:v>player</x:v>
      </x:c>
      <x:c r="E151" s="63" t="str">
        <x:v>player_capsule01</x:v>
      </x:c>
      <x:c r="F151" s="63" t="str">
        <x:v>feet_3d</x:v>
      </x:c>
      <x:c r="G151" s="63" t="str">
        <x:v>CHR-PLY-CAPSULE01-3D</x:v>
      </x:c>
      <x:c r="H151" s="63" t="str">
        <x:v>俯视3D</x:v>
      </x:c>
      <x:c r="I151" s="63" t="str">
        <x:v>default</x:v>
      </x:c>
      <x:c r="J151" s="63" t="str">
        <x:v>3D玩家/预览场</x:v>
      </x:c>
      <x:c r="K151" s="63" t="str">
        <x:v>原型已接入</x:v>
      </x:c>
      <x:c r="L151" s="63" t="str">
        <x:v>P1</x:v>
      </x:c>
      <x:c r="M151" s="63" t="str">
        <x:v>v001</x:v>
      </x:c>
      <x:c r="N151" s="63" t="str">
        <x:v>双BoxMesh短脚</x:v>
      </x:c>
      <x:c r="O151" s="63" t="str">
        <x:v>assets/art/characters/player/chr_player_capsule01_3d/chr_player_capsule01_root_top3d_v001.tscn</x:v>
      </x:c>
      <x:c r="P151" s="63" t="str">
        <x:v>VisualRoot/Feet</x:v>
      </x:c>
      <x:c r="Q151" s="63" t="str">
        <x:v>脚;脚部;双脚;方脚;猫脚</x:v>
      </x:c>
      <x:c r="R151" s="63" t="str">
        <x:f>LOWER(TRIM(C151)&amp;"|"&amp;TRIM(D151)&amp;"|"&amp;TRIM(E151)&amp;"|"&amp;TRIM(F151)&amp;"|"&amp;TRIM(H151)&amp;"|"&amp;TRIM(I151))</x:f>
        <x:v>角色|player|player_capsule01|feet_3d|俯视3d|default</x:v>
      </x:c>
      <x:c r="S151" s="63" t="str">
        <x:f>IF(A151="","",IF(COUNTIF($R$6:$R$162,R151)&gt;1,"重复","唯一"))</x:f>
        <x:v>唯一</x:v>
      </x:c>
      <x:c r="T151" s="63" t="str">
        <x:v>cf0b3b648d56590f1e024553d224df35007358452ea16ad1651ae9af4a7dde49</x:v>
      </x:c>
      <x:c r="U151" s="63" t="str">
        <x:v>Codex</x:v>
      </x:c>
      <x:c r="V151" s="63" t="str">
        <x:v>2026-07-25</x:v>
      </x:c>
      <x:c r="W151" s="63" t="str">
        <x:v>原创程序几何</x:v>
      </x:c>
      <x:c r="X151" s="63" t="str">
        <x:v>方形猫角色3D脚部模块；复用CHR-PLY-CAPSULE01-3D玩家根；方形主语言，TailStub为用户指定圆尾例外；自动与视觉验收PASS</x:v>
      </x:c>
    </x:row>
    <x:row r="152" ht="44" customHeight="1">
      <x:c r="A152" s="63" t="str">
        <x:v>CHR-PLY-CAPSULE01-EYES-3D</x:v>
      </x:c>
      <x:c r="B152" s="63" t="str">
        <x:v>方形猫角色3D双眼配件</x:v>
      </x:c>
      <x:c r="C152" s="63" t="str">
        <x:v>角色</x:v>
      </x:c>
      <x:c r="D152" s="63" t="str">
        <x:v>player_accessory</x:v>
      </x:c>
      <x:c r="E152" s="63" t="str">
        <x:v>player_capsule01</x:v>
      </x:c>
      <x:c r="F152" s="63" t="str">
        <x:v>eyes_3d</x:v>
      </x:c>
      <x:c r="G152" s="63" t="str">
        <x:v>CHR-PLY-CAPSULE01-HEAD-3D</x:v>
      </x:c>
      <x:c r="H152" s="63" t="str">
        <x:v>俯视3D</x:v>
      </x:c>
      <x:c r="I152" s="63" t="str">
        <x:v>default</x:v>
      </x:c>
      <x:c r="J152" s="63" t="str">
        <x:v>3D玩家/预览场</x:v>
      </x:c>
      <x:c r="K152" s="63" t="str">
        <x:v>原型已接入</x:v>
      </x:c>
      <x:c r="L152" s="63" t="str">
        <x:v>P1</x:v>
      </x:c>
      <x:c r="M152" s="63" t="str">
        <x:v>v001</x:v>
      </x:c>
      <x:c r="N152" s="63" t="str">
        <x:v>2个矩形豆豆眼</x:v>
      </x:c>
      <x:c r="O152" s="63" t="str">
        <x:v>assets/art/characters/player/chr_player_capsule01_3d/chr_player_capsule01_root_top3d_v001.tscn</x:v>
      </x:c>
      <x:c r="P152" s="63" t="str">
        <x:v>VisualRoot/Head/Eyes</x:v>
      </x:c>
      <x:c r="Q152" s="63" t="str">
        <x:v>眼睛;双眼;豆豆眼;矩形眼</x:v>
      </x:c>
      <x:c r="R152" s="63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63" t="str">
        <x:f>IF(A152="","",IF(COUNTIF($R$6:$R$162,R152)&gt;1,"重复","唯一"))</x:f>
        <x:v>唯一</x:v>
      </x:c>
      <x:c r="T152" s="63" t="str">
        <x:v>cf0b3b648d56590f1e024553d224df35007358452ea16ad1651ae9af4a7dde49</x:v>
      </x:c>
      <x:c r="U152" s="63" t="str">
        <x:v>Codex</x:v>
      </x:c>
      <x:c r="V152" s="63" t="str">
        <x:v>2026-07-25</x:v>
      </x:c>
      <x:c r="W152" s="63" t="str">
        <x:v>原创程序几何</x:v>
      </x:c>
      <x:c r="X152" s="63" t="str">
        <x:v>方形猫角色3D双眼配件；复用CHR-PLY-CAPSULE01-3D玩家根；方形主语言，TailStub为用户指定圆尾例外；自动与视觉验收PASS</x:v>
      </x:c>
    </x:row>
    <x:row r="153" ht="44" customHeight="1">
      <x:c r="A153" s="63" t="str">
        <x:v>CHR-PLY-CAPSULE01-EARS-3D</x:v>
      </x:c>
      <x:c r="B153" s="63" t="str">
        <x:v>方形猫角色3D双耳配件</x:v>
      </x:c>
      <x:c r="C153" s="63" t="str">
        <x:v>角色</x:v>
      </x:c>
      <x:c r="D153" s="63" t="str">
        <x:v>player_accessory</x:v>
      </x:c>
      <x:c r="E153" s="63" t="str">
        <x:v>player_capsule01</x:v>
      </x:c>
      <x:c r="F153" s="63" t="str">
        <x:v>ears_3d</x:v>
      </x:c>
      <x:c r="G153" s="63" t="str">
        <x:v>CHR-PLY-CAPSULE01-HEAD-3D</x:v>
      </x:c>
      <x:c r="H153" s="63" t="str">
        <x:v>俯视3D</x:v>
      </x:c>
      <x:c r="I153" s="63" t="str">
        <x:v>default</x:v>
      </x:c>
      <x:c r="J153" s="63" t="str">
        <x:v>3D玩家/预览场</x:v>
      </x:c>
      <x:c r="K153" s="63" t="str">
        <x:v>原型已接入</x:v>
      </x:c>
      <x:c r="L153" s="63" t="str">
        <x:v>P1</x:v>
      </x:c>
      <x:c r="M153" s="63" t="str">
        <x:v>v001</x:v>
      </x:c>
      <x:c r="N153" s="63" t="str">
        <x:v>2个三角耳</x:v>
      </x:c>
      <x:c r="O153" s="63" t="str">
        <x:v>assets/art/characters/player/chr_player_capsule01_3d/chr_player_capsule01_root_top3d_v001.tscn</x:v>
      </x:c>
      <x:c r="P153" s="63" t="str">
        <x:v>VisualRoot/Head/Ears</x:v>
      </x:c>
      <x:c r="Q153" s="63" t="str">
        <x:v>耳朵;双耳;猫耳;三角耳</x:v>
      </x:c>
      <x:c r="R153" s="63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63" t="str">
        <x:f>IF(A153="","",IF(COUNTIF($R$6:$R$162,R153)&gt;1,"重复","唯一"))</x:f>
        <x:v>唯一</x:v>
      </x:c>
      <x:c r="T153" s="63" t="str">
        <x:v>cf0b3b648d56590f1e024553d224df35007358452ea16ad1651ae9af4a7dde49</x:v>
      </x:c>
      <x:c r="U153" s="63" t="str">
        <x:v>Codex</x:v>
      </x:c>
      <x:c r="V153" s="63" t="str">
        <x:v>2026-07-25</x:v>
      </x:c>
      <x:c r="W153" s="63" t="str">
        <x:v>原创程序几何</x:v>
      </x:c>
      <x:c r="X153" s="63" t="str">
        <x:v>方形猫角色3D双耳配件；复用CHR-PLY-CAPSULE01-3D玩家根；方形主语言，TailStub为用户指定圆尾例外；自动与视觉验收PASS</x:v>
      </x:c>
    </x:row>
    <x:row r="154" ht="44" customHeight="1">
      <x:c r="A154" s="63" t="str">
        <x:v>CHR-PLY-CAPSULE01-TAIL-STUB-3D</x:v>
      </x:c>
      <x:c r="B154" s="63" t="str">
        <x:v>方形猫角色3D圆短尾</x:v>
      </x:c>
      <x:c r="C154" s="63" t="str">
        <x:v>角色</x:v>
      </x:c>
      <x:c r="D154" s="63" t="str">
        <x:v>player_accessory</x:v>
      </x:c>
      <x:c r="E154" s="63" t="str">
        <x:v>player_capsule01</x:v>
      </x:c>
      <x:c r="F154" s="63" t="str">
        <x:v>tail_stub_3d</x:v>
      </x:c>
      <x:c r="G154" s="63" t="str">
        <x:v>CHR-PLY-CAPSULE01-BODY-3D</x:v>
      </x:c>
      <x:c r="H154" s="63" t="str">
        <x:v>俯视3D</x:v>
      </x:c>
      <x:c r="I154" s="63" t="str">
        <x:v>default</x:v>
      </x:c>
      <x:c r="J154" s="63" t="str">
        <x:v>3D玩家/预览场</x:v>
      </x:c>
      <x:c r="K154" s="63" t="str">
        <x:v>原型已接入</x:v>
      </x:c>
      <x:c r="L154" s="63" t="str">
        <x:v>P1</x:v>
      </x:c>
      <x:c r="M154" s="63" t="str">
        <x:v>v001</x:v>
      </x:c>
      <x:c r="N154" s="63" t="str">
        <x:v>单个SphereMesh圆尾团</x:v>
      </x:c>
      <x:c r="O154" s="63" t="str">
        <x:v>assets/art/characters/player/chr_player_capsule01_3d/chr_player_capsule01_root_top3d_v001.tscn</x:v>
      </x:c>
      <x:c r="P154" s="63" t="str">
        <x:v>VisualRoot/Body/TailStub</x:v>
      </x:c>
      <x:c r="Q154" s="63" t="str">
        <x:v>尾巴;短尾;圆尾;尾团;无长尾</x:v>
      </x:c>
      <x:c r="R154" s="63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63" t="str">
        <x:f>IF(A154="","",IF(COUNTIF($R$6:$R$162,R154)&gt;1,"重复","唯一"))</x:f>
        <x:v>唯一</x:v>
      </x:c>
      <x:c r="T154" s="63" t="str">
        <x:v>cf0b3b648d56590f1e024553d224df35007358452ea16ad1651ae9af4a7dde49</x:v>
      </x:c>
      <x:c r="U154" s="63" t="str">
        <x:v>Codex</x:v>
      </x:c>
      <x:c r="V154" s="63" t="str">
        <x:v>2026-07-25</x:v>
      </x:c>
      <x:c r="W154" s="63" t="str">
        <x:v>原创程序几何</x:v>
      </x:c>
      <x:c r="X154" s="63" t="str">
        <x:v>方形猫角色3D圆短尾；复用CHR-PLY-CAPSULE01-3D玩家根；方形主语言，TailStub为用户指定圆尾例外；自动与视觉验收PASS</x:v>
      </x:c>
    </x:row>
    <x:row r="155" ht="44" customHeight="1">
      <x:c r="A155" s="63" t="str">
        <x:v>CHR-PLY-CAPSULE01-FEET-DIY-3D</x:v>
      </x:c>
      <x:c r="B155" s="63" t="str">
        <x:v>方形猫角色3D脚部DIY变体</x:v>
      </x:c>
      <x:c r="C155" s="63" t="str">
        <x:v>角色</x:v>
      </x:c>
      <x:c r="D155" s="63" t="str">
        <x:v>player_variant</x:v>
      </x:c>
      <x:c r="E155" s="63" t="str">
        <x:v>player_capsule01</x:v>
      </x:c>
      <x:c r="F155" s="63" t="str">
        <x:v>feet_diy_3d</x:v>
      </x:c>
      <x:c r="G155" s="63" t="str">
        <x:v>CHR-PLY-CAPSULE01-FOOT-3D</x:v>
      </x:c>
      <x:c r="H155" s="63" t="str">
        <x:v>俯视3D</x:v>
      </x:c>
      <x:c r="I155" s="63" t="str">
        <x:v>diy</x:v>
      </x:c>
      <x:c r="J155" s="63" t="str">
        <x:v>3D玩家/预览场</x:v>
      </x:c>
      <x:c r="K155" s="63" t="str">
        <x:v>原型已接入</x:v>
      </x:c>
      <x:c r="L155" s="63" t="str">
        <x:v>P1</x:v>
      </x:c>
      <x:c r="M155" s="63" t="str">
        <x:v>v001</x:v>
      </x:c>
      <x:c r="N155" s="63" t="str">
        <x:v>4种程序材质</x:v>
      </x:c>
      <x:c r="O155" s="63" t="str">
        <x:v>src/player3d/PlayerAvatar3D.gd</x:v>
      </x:c>
      <x:c r="P155" s="63" t="str">
        <x:v>VisualRoot/Feet</x:v>
      </x:c>
      <x:c r="Q155" s="63" t="str">
        <x:v>脚部DIY;猫脚;短靴;橙色;沙色;钴蓝;青绿</x:v>
      </x:c>
      <x:c r="R155" s="63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63" t="str">
        <x:f>IF(A155="","",IF(COUNTIF($R$6:$R$162,R155)&gt;1,"重复","唯一"))</x:f>
        <x:v>唯一</x:v>
      </x:c>
      <x:c r="T155" s="63" t="str">
        <x:v>43c7fa3fa002c9e5a2ec27f04fedeefacee2f32f3a91cb232e98f080513e2f7b</x:v>
      </x:c>
      <x:c r="U155" s="63" t="str">
        <x:v>Codex</x:v>
      </x:c>
      <x:c r="V155" s="63" t="str">
        <x:v>2026-07-25</x:v>
      </x:c>
      <x:c r="W155" s="63" t="str">
        <x:v>原创程序几何</x:v>
      </x:c>
      <x:c r="X155" s="63" t="str">
        <x:v>方形猫角色3D脚部DIY变体；复用CHR-PLY-CAPSULE01-3D玩家根；方形主语言，TailStub为用户指定圆尾例外；自动与视觉验收PASS</x:v>
      </x:c>
    </x:row>
    <x:row r="156" ht="132" customHeight="1">
      <x:c r="A156" s="70" t="str">
        <x:v>CHR-PLY-CAPSULE01-3D-BUNNY01</x:v>
      </x:c>
      <x:c r="B156" s="70" t="str">
        <x:v>兔子主角3D根变体</x:v>
      </x:c>
      <x:c r="C156" s="70" t="str">
        <x:v>角色</x:v>
      </x:c>
      <x:c r="D156" s="70" t="str">
        <x:v>player_variant</x:v>
      </x:c>
      <x:c r="E156" s="70" t="str">
        <x:v>player_capsule01</x:v>
      </x:c>
      <x:c r="F156" s="70" t="str">
        <x:v>root_3d_bunny01</x:v>
      </x:c>
      <x:c r="G156" s="70" t="str">
        <x:v>CHR-PLY-CAPSULE01-3D</x:v>
      </x:c>
      <x:c r="H156" s="70" t="str">
        <x:v>俯视3D</x:v>
      </x:c>
      <x:c r="I156" s="70" t="str">
        <x:v>default</x:v>
      </x:c>
      <x:c r="J156" s="70" t="str">
        <x:v>3D玩家场景</x:v>
      </x:c>
      <x:c r="K156" s="70" t="str">
        <x:v>原型已接入</x:v>
      </x:c>
      <x:c r="L156" s="70" t="str">
        <x:v>P0</x:v>
      </x:c>
      <x:c r="M156" s="70" t="str">
        <x:v>v006</x:v>
      </x:c>
      <x:c r="N156" s="70" t="str">
        <x:v>1.034×1.500×0.645 m / 完整视觉含耳</x:v>
      </x:c>
      <x:c r="O156" s="70" t="str">
        <x:v>assets/art/characters/player/chr_player_capsule01_3d/variants/bunny01/chr_player_capsule01_bunny01_root_top3d_v006.tscn</x:v>
      </x:c>
      <x:c r="P156" s="70" t="str">
        <x:v>assets/art/characters/player/chr_player_capsule01_3d/variants/bunny01/source/chr_player_capsule01_bunny01_top3d_v006.blend</x:v>
      </x:c>
      <x:c r="Q156" s="70" t="str">
        <x:v>兔子;主角;兔耳;3D;Blender;bunny01</x:v>
      </x:c>
      <x:c r="R156" s="70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70" t="str">
        <x:f>IF(A156="","",IF(COUNTIF($R$6:$R$162,R156)&gt;1,"重复","唯一"))</x:f>
        <x:v>唯一</x:v>
      </x:c>
      <x:c r="T156" s="70" t="str">
        <x:v>3aeed15ba17514e5e92ddda3b7303f9f29f576abe826d3039a7b8fc080c320bb</x:v>
      </x:c>
      <x:c r="U156" s="70" t="str">
        <x:v>Codex</x:v>
      </x:c>
      <x:c r="V156" s="71" t="n">
        <x:v>46233</x:v>
      </x:c>
      <x:c r="W156" s="71" t="str">
        <x:v>原创 Blender/Godot 组合</x:v>
      </x:c>
      <x:c r="X156" s="70" t="str">
        <x:v>v0.1：玩家网格位于layer2并保持cast_shadow=ON；太阳与室内灯的shadow_caster_mask包含layer1|layer2，可产生正常外部投影。玩家随身三盏灯的阴影图排除layer2，不对角色自身投影；GI关闭。</x:v>
      </x:c>
    </x:row>
    <x:row r="157" ht="118" customHeight="1">
      <x:c r="A157" s="70" t="str">
        <x:v>CHR-PLY-CAPSULE01-3D-BUNNY01-BODY</x:v>
      </x:c>
      <x:c r="B157" s="70" t="str">
        <x:v>兔子主角3D身体</x:v>
      </x:c>
      <x:c r="C157" s="70" t="str">
        <x:v>角色</x:v>
      </x:c>
      <x:c r="D157" s="70" t="str">
        <x:v>player_component</x:v>
      </x:c>
      <x:c r="E157" s="70" t="str">
        <x:v>player_capsule01</x:v>
      </x:c>
      <x:c r="F157" s="70" t="str">
        <x:v>body_3d_bunny01</x:v>
      </x:c>
      <x:c r="G157" s="70" t="str">
        <x:v>CHR-PLY-CAPSULE01-3D-BUNNY01</x:v>
      </x:c>
      <x:c r="H157" s="70" t="str">
        <x:v>俯视3D</x:v>
      </x:c>
      <x:c r="I157" s="70" t="str">
        <x:v>default</x:v>
      </x:c>
      <x:c r="J157" s="70" t="str">
        <x:v>3D玩家场景</x:v>
      </x:c>
      <x:c r="K157" s="70" t="str">
        <x:v>原型已接入</x:v>
      </x:c>
      <x:c r="L157" s="70" t="str">
        <x:v>P0</x:v>
      </x:c>
      <x:c r="M157" s="70" t="str">
        <x:v>v006</x:v>
      </x:c>
      <x:c r="N157" s="70" t="str">
        <x:v>GLB / 1,958 verts / pivot-local / 1.5m总高比例</x:v>
      </x:c>
      <x:c r="O157" s="70" t="str">
        <x:v>assets/art/characters/player/chr_player_capsule01_3d/variants/bunny01/components/chr_player_capsule01_bunny01_body_top3d_v006.glb</x:v>
      </x:c>
      <x:c r="P157" s="70" t="str">
        <x:v>assets/art/characters/player/chr_player_capsule01_3d/variants/bunny01/source/chr_player_capsule01_bunny01_top3d_v006.blend</x:v>
      </x:c>
      <x:c r="Q157" s="70" t="str">
        <x:v>兔子;身体;服装;body;bunny01</x:v>
      </x:c>
      <x:c r="R157" s="70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70" t="str">
        <x:f>IF(A157="","",IF(COUNTIF($R$6:$R$162,R157)&gt;1,"重复","唯一"))</x:f>
        <x:v>唯一</x:v>
      </x:c>
      <x:c r="T157" s="70" t="str">
        <x:v>c574d76e0f19c1aaa4bee5f427a81028d7b3f0f50299f67b4dbf02a60fc5668d</x:v>
      </x:c>
      <x:c r="U157" s="70" t="str">
        <x:v>Codex</x:v>
      </x:c>
      <x:c r="V157" s="71" t="n">
        <x:v>46233</x:v>
      </x:c>
      <x:c r="W157" s="70" t="str">
        <x:v>用户提供 Blender 源文件</x:v>
      </x:c>
      <x:c r="X157" s="70" t="str">
        <x:v>v0.1 v006：身体网格与底部中心原点从v005等比放大1.5倍；Godot BodyJoint=(-0.000030,0.155022,-0.000635)。</x:v>
      </x:c>
    </x:row>
    <x:row r="158" ht="118" customHeight="1">
      <x:c r="A158" s="70" t="str">
        <x:v>CHR-PLY-CAPSULE01-3D-BUNNY01-HEAD</x:v>
      </x:c>
      <x:c r="B158" s="70" t="str">
        <x:v>兔子主角3D头部</x:v>
      </x:c>
      <x:c r="C158" s="70" t="str">
        <x:v>角色</x:v>
      </x:c>
      <x:c r="D158" s="70" t="str">
        <x:v>player_component</x:v>
      </x:c>
      <x:c r="E158" s="70" t="str">
        <x:v>player_capsule01</x:v>
      </x:c>
      <x:c r="F158" s="70" t="str">
        <x:v>head_3d_bunny01</x:v>
      </x:c>
      <x:c r="G158" s="70" t="str">
        <x:v>CHR-PLY-CAPSULE01-3D-BUNNY01</x:v>
      </x:c>
      <x:c r="H158" s="70" t="str">
        <x:v>俯视3D</x:v>
      </x:c>
      <x:c r="I158" s="70" t="str">
        <x:v>default</x:v>
      </x:c>
      <x:c r="J158" s="70" t="str">
        <x:v>3D玩家场景</x:v>
      </x:c>
      <x:c r="K158" s="70" t="str">
        <x:v>原型已接入</x:v>
      </x:c>
      <x:c r="L158" s="70" t="str">
        <x:v>P0</x:v>
      </x:c>
      <x:c r="M158" s="70" t="str">
        <x:v>v006</x:v>
      </x:c>
      <x:c r="N158" s="70" t="str">
        <x:v>GLB / 5,936 verts / pivot-local / 头顶1.103390m</x:v>
      </x:c>
      <x:c r="O158" s="70" t="str">
        <x:v>assets/art/characters/player/chr_player_capsule01_3d/variants/bunny01/components/chr_player_capsule01_bunny01_head_top3d_v006.glb</x:v>
      </x:c>
      <x:c r="P158" s="70" t="str">
        <x:v>assets/art/characters/player/chr_player_capsule01_3d/variants/bunny01/source/chr_player_capsule01_bunny01_top3d_v006.blend</x:v>
      </x:c>
      <x:c r="Q158" s="70" t="str">
        <x:v>兔子;头部;head;bunny01</x:v>
      </x:c>
      <x:c r="R158" s="70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70" t="str">
        <x:f>IF(A158="","",IF(COUNTIF($R$6:$R$162,R158)&gt;1,"重复","唯一"))</x:f>
        <x:v>唯一</x:v>
      </x:c>
      <x:c r="T158" s="70" t="str">
        <x:v>b8db86c722bb2ae4d760b8219051f492251f6b9fa29882c8e32453b020973c24</x:v>
      </x:c>
      <x:c r="U158" s="70" t="str">
        <x:v>Codex</x:v>
      </x:c>
      <x:c r="V158" s="71" t="n">
        <x:v>46233</x:v>
      </x:c>
      <x:c r="W158" s="70" t="str">
        <x:v>用户提供 Blender 源文件</x:v>
      </x:c>
      <x:c r="X158" s="70" t="str">
        <x:v>v0.1 v006：头部与下沿中心原点真实1.5倍；不含耳头顶1.103390m，完整双耳顶部1.500m。</x:v>
      </x:c>
    </x:row>
    <x:row r="159" ht="118" customHeight="1">
      <x:c r="A159" s="70" t="str">
        <x:v>CHR-PLY-CAPSULE01-3D-BUNNY01-EARS</x:v>
      </x:c>
      <x:c r="B159" s="70" t="str">
        <x:v>兔子主角3D双耳配件</x:v>
      </x:c>
      <x:c r="C159" s="70" t="str">
        <x:v>角色</x:v>
      </x:c>
      <x:c r="D159" s="70" t="str">
        <x:v>player_accessory</x:v>
      </x:c>
      <x:c r="E159" s="70" t="str">
        <x:v>player_capsule01</x:v>
      </x:c>
      <x:c r="F159" s="70" t="str">
        <x:v>ears_3d_bunny01</x:v>
      </x:c>
      <x:c r="G159" s="70" t="str">
        <x:v>CHR-PLY-CAPSULE01-3D-BUNNY01-HEAD</x:v>
      </x:c>
      <x:c r="H159" s="70" t="str">
        <x:v>俯视3D</x:v>
      </x:c>
      <x:c r="I159" s="70" t="str">
        <x:v>default</x:v>
      </x:c>
      <x:c r="J159" s="70" t="str">
        <x:v>3D玩家场景</x:v>
      </x:c>
      <x:c r="K159" s="70" t="str">
        <x:v>原型已接入</x:v>
      </x:c>
      <x:c r="L159" s="70" t="str">
        <x:v>P0</x:v>
      </x:c>
      <x:c r="M159" s="70" t="str">
        <x:v>v006</x:v>
      </x:c>
      <x:c r="N159" s="70" t="str">
        <x:v>单 GLB / 1,536 verts / pivot-local / 双实例</x:v>
      </x:c>
      <x:c r="O159" s="70" t="str">
        <x:v>assets/art/characters/player/chr_player_capsule01_3d/variants/bunny01/components/chr_player_capsule01_bunny01_ear_top3d_v006.glb</x:v>
      </x:c>
      <x:c r="P159" s="70" t="str">
        <x:v>assets/art/characters/player/chr_player_capsule01_3d/variants/bunny01/source/chr_player_capsule01_bunny01_top3d_v006.blend</x:v>
      </x:c>
      <x:c r="Q159" s="70" t="str">
        <x:v>兔耳;耳朵;耳部配件;EarSocketL;EarSocketR;bunny01</x:v>
      </x:c>
      <x:c r="R159" s="70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70" t="str">
        <x:f>IF(A159="","",IF(COUNTIF($R$6:$R$162,R159)&gt;1,"重复","唯一"))</x:f>
        <x:v>唯一</x:v>
      </x:c>
      <x:c r="T159" s="70" t="str">
        <x:v>ed3c7abe283166648fafb43373c1dc2222bf9134f3d7bb8e0ebd8d3a05242ebf</x:v>
      </x:c>
      <x:c r="U159" s="70" t="str">
        <x:v>Codex</x:v>
      </x:c>
      <x:c r="V159" s="71" t="n">
        <x:v>46233</x:v>
      </x:c>
      <x:c r="W159" s="70" t="str">
        <x:v>用户提供 Blender 源文件</x:v>
      </x:c>
      <x:c r="X159" s="70" t="str">
        <x:v>v0.1 v006：耳朵网格与耳根原点真实1.5倍；左右挂点复用单资产，装配后最高点严格1.500m。</x:v>
      </x:c>
    </x:row>
    <x:row r="160" ht="118" customHeight="1">
      <x:c r="A160" s="70" t="str">
        <x:v>CHR-PLY-CAPSULE01-3D-BUNNY01-HAND</x:v>
      </x:c>
      <x:c r="B160" s="70" t="str">
        <x:v>兔子主角3D双爪表现组件</x:v>
      </x:c>
      <x:c r="C160" s="70" t="str">
        <x:v>角色</x:v>
      </x:c>
      <x:c r="D160" s="70" t="str">
        <x:v>player_component</x:v>
      </x:c>
      <x:c r="E160" s="70" t="str">
        <x:v>player_capsule01</x:v>
      </x:c>
      <x:c r="F160" s="70" t="str">
        <x:v>hand_3d_bunny01</x:v>
      </x:c>
      <x:c r="G160" s="70" t="str">
        <x:v>CHR-PLY-CAPSULE01-3D-BUNNY01</x:v>
      </x:c>
      <x:c r="H160" s="70" t="str">
        <x:v>俯视3D</x:v>
      </x:c>
      <x:c r="I160" s="70" t="str">
        <x:v>default</x:v>
      </x:c>
      <x:c r="J160" s="70" t="str">
        <x:v>3D玩家场景</x:v>
      </x:c>
      <x:c r="K160" s="70" t="str">
        <x:v>原型已接入</x:v>
      </x:c>
      <x:c r="L160" s="70" t="str">
        <x:v>P0</x:v>
      </x:c>
      <x:c r="M160" s="70" t="str">
        <x:v>v006</x:v>
      </x:c>
      <x:c r="N160" s="70" t="str">
        <x:v>双 GLB / 左右各1,058 verts / pivot-local / 1.5m角色比例</x:v>
      </x:c>
      <x:c r="O160" s="70" t="str">
        <x:v>assets/art/characters/player/chr_player_capsule01_3d/variants/bunny01/components/chr_player_capsule01_bunny01_hand_l_top3d_v006.glb; assets/art/characters/player/chr_player_capsule01_3d/variants/bunny01/components/chr_player_capsule01_bunny01_hand_r_top3d_v006.glb</x:v>
      </x:c>
      <x:c r="P160" s="70" t="str">
        <x:v>assets/art/characters/player/chr_player_capsule01_3d/variants/bunny01/source/chr_player_capsule01_bunny01_top3d_v006.blend</x:v>
      </x:c>
      <x:c r="Q160" s="70" t="str">
        <x:v>兔爪;手;握持;weapon_socket;bunny01</x:v>
      </x:c>
      <x:c r="R160" s="70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70" t="str">
        <x:f>IF(A160="","",IF(COUNTIF($R$6:$R$162,R160)&gt;1,"重复","唯一"))</x:f>
        <x:v>唯一</x:v>
      </x:c>
      <x:c r="T160" s="70" t="str">
        <x:v>2c6647c0e4f234e9312ba65e7c73f55c02627be9b7a2c35d1591d86a20cb5f16 / b3ada7b67d0224156d1c39af0bdc0e53af02cb5d26ba68d4746b7859a84a1d10</x:v>
      </x:c>
      <x:c r="U160" s="70" t="str">
        <x:v>Codex</x:v>
      </x:c>
      <x:c r="V160" s="71" t="n">
        <x:v>46233</x:v>
      </x:c>
      <x:c r="W160" s="70" t="str">
        <x:v>用户提供 Blender 源文件</x:v>
      </x:c>
      <x:c r="X160" s="70" t="str">
        <x:v>v0.1 v006：左右手、手腕原点、单/双手握持目标和动作平移统一改用0.606060606米制比例；持枪外观与确认预览一致。</x:v>
      </x:c>
    </x:row>
    <x:row r="161" ht="132" customHeight="1">
      <x:c r="A161" s="70" t="str">
        <x:v>CHR-PLY-CAPSULE01-3D-BUNNY01-FOOT-L</x:v>
      </x:c>
      <x:c r="B161" s="70" t="str">
        <x:v>兔子主角3D左脚</x:v>
      </x:c>
      <x:c r="C161" s="70" t="str">
        <x:v>角色</x:v>
      </x:c>
      <x:c r="D161" s="70" t="str">
        <x:v>player_component</x:v>
      </x:c>
      <x:c r="E161" s="70" t="str">
        <x:v>player_capsule01</x:v>
      </x:c>
      <x:c r="F161" s="70" t="str">
        <x:v>foot_l_3d_bunny01</x:v>
      </x:c>
      <x:c r="G161" s="70" t="str">
        <x:v>CHR-PLY-CAPSULE01-3D-BUNNY01</x:v>
      </x:c>
      <x:c r="H161" s="70" t="str">
        <x:v>俯视3D</x:v>
      </x:c>
      <x:c r="I161" s="70" t="str">
        <x:v>moving</x:v>
      </x:c>
      <x:c r="J161" s="70" t="str">
        <x:v>3D玩家场景</x:v>
      </x:c>
      <x:c r="K161" s="70" t="str">
        <x:v>原型已接入</x:v>
      </x:c>
      <x:c r="L161" s="70" t="str">
        <x:v>P0</x:v>
      </x:c>
      <x:c r="M161" s="70" t="str">
        <x:v>v006</x:v>
      </x:c>
      <x:c r="N161" s="70" t="str">
        <x:v>GLB / 5,396 verts / pivot-local / 1.5m角色比例</x:v>
      </x:c>
      <x:c r="O161" s="70" t="str">
        <x:v>assets/art/characters/player/chr_player_capsule01_3d/variants/bunny01/components/chr_player_capsule01_bunny01_foot_l_top3d_v006.glb</x:v>
      </x:c>
      <x:c r="P161" s="70" t="str">
        <x:v>assets/art/characters/player/chr_player_capsule01_3d/variants/bunny01/source/chr_player_capsule01_bunny01_top3d_v006.blend</x:v>
      </x:c>
      <x:c r="Q161" s="70" t="str">
        <x:v>兔脚;左脚;步态;FootL;bunny01</x:v>
      </x:c>
      <x:c r="R161" s="70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70" t="str">
        <x:f>IF(A161="","",IF(COUNTIF($R$6:$R$162,R161)&gt;1,"重复","唯一"))</x:f>
        <x:v>唯一</x:v>
      </x:c>
      <x:c r="T161" s="70" t="str">
        <x:v>52051cba0db701d977c8baa8d7ed9899825b10406803ac63e6a3f66efbd80b64</x:v>
      </x:c>
      <x:c r="U161" s="70" t="str">
        <x:v>Codex</x:v>
      </x:c>
      <x:c r="V161" s="71" t="n">
        <x:v>46233</x:v>
      </x:c>
      <x:c r="W161" s="70" t="str">
        <x:v>用户提供 Blender 源文件</x:v>
      </x:c>
      <x:c r="X161" s="70" t="str">
        <x:v>v0.1：v006网格与AssetID不变；FootJointL除moving步态外新增falling收腿与landing压缩恢复职责，动作由PlayerAvatar3D程序变换驱动。</x:v>
      </x:c>
    </x:row>
    <x:row r="162" ht="132" customHeight="1">
      <x:c r="A162" s="70" t="str">
        <x:v>CHR-PLY-CAPSULE01-3D-BUNNY01-FOOT-R</x:v>
      </x:c>
      <x:c r="B162" s="70" t="str">
        <x:v>兔子主角3D右脚</x:v>
      </x:c>
      <x:c r="C162" s="70" t="str">
        <x:v>角色</x:v>
      </x:c>
      <x:c r="D162" s="70" t="str">
        <x:v>player_component</x:v>
      </x:c>
      <x:c r="E162" s="70" t="str">
        <x:v>player_capsule01</x:v>
      </x:c>
      <x:c r="F162" s="70" t="str">
        <x:v>foot_r_3d_bunny01</x:v>
      </x:c>
      <x:c r="G162" s="70" t="str">
        <x:v>CHR-PLY-CAPSULE01-3D-BUNNY01</x:v>
      </x:c>
      <x:c r="H162" s="70" t="str">
        <x:v>俯视3D</x:v>
      </x:c>
      <x:c r="I162" s="70" t="str">
        <x:v>moving</x:v>
      </x:c>
      <x:c r="J162" s="70" t="str">
        <x:v>3D玩家场景</x:v>
      </x:c>
      <x:c r="K162" s="70" t="str">
        <x:v>原型已接入</x:v>
      </x:c>
      <x:c r="L162" s="70" t="str">
        <x:v>P0</x:v>
      </x:c>
      <x:c r="M162" s="70" t="str">
        <x:v>v006</x:v>
      </x:c>
      <x:c r="N162" s="70" t="str">
        <x:v>GLB / 5,396 verts / pivot-local / 1.5m角色比例</x:v>
      </x:c>
      <x:c r="O162" s="70" t="str">
        <x:v>assets/art/characters/player/chr_player_capsule01_3d/variants/bunny01/components/chr_player_capsule01_bunny01_foot_r_top3d_v006.glb</x:v>
      </x:c>
      <x:c r="P162" s="70" t="str">
        <x:v>assets/art/characters/player/chr_player_capsule01_3d/variants/bunny01/source/chr_player_capsule01_bunny01_top3d_v006.blend</x:v>
      </x:c>
      <x:c r="Q162" s="70" t="str">
        <x:v>兔脚;右脚;步态;FootR;bunny01</x:v>
      </x:c>
      <x:c r="R162" s="70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70" t="str">
        <x:f>IF(A162="","",IF(COUNTIF($R$6:$R$162,R162)&gt;1,"重复","唯一"))</x:f>
        <x:v>唯一</x:v>
      </x:c>
      <x:c r="T162" s="70" t="str">
        <x:v>d81e840f5c087b349fd6e19b4cb7e65eb79294edb937fdc75192b66967c29e2e</x:v>
      </x:c>
      <x:c r="U162" s="70" t="str">
        <x:v>Codex</x:v>
      </x:c>
      <x:c r="V162" s="71" t="n">
        <x:v>46233</x:v>
      </x:c>
      <x:c r="W162" s="70" t="str">
        <x:v>用户提供 Blender 源文件</x:v>
      </x:c>
      <x:c r="X162" s="70" t="str">
        <x:v>v0.1：v006网格与AssetID不变；FootJointR除moving步态外新增falling收腿与landing压缩恢复职责，动作由PlayerAvatar3D程序变换驱动。</x:v>
      </x:c>
    </x:row>
    <x:row r="163" ht="155" customHeight="1">
      <x:c r="A163" s="70" t="str">
        <x:v>ENV-TOWER-DESCENT-KIT-3D</x:v>
      </x:c>
      <x:c r="B163" s="70" t="str">
        <x:v>向下爬楼塔楼3D五米模块化母版</x:v>
      </x:c>
      <x:c r="C163" s="70" t="str">
        <x:v>场景</x:v>
      </x:c>
      <x:c r="D163" s="70" t="str">
        <x:v>room_kit</x:v>
      </x:c>
      <x:c r="E163" s="70" t="str">
        <x:v>tower_descent</x:v>
      </x:c>
      <x:c r="F163" s="70" t="str">
        <x:v>root_3d</x:v>
      </x:c>
      <x:c r="G163" s="70" t="str">
        <x:v>ENV-DUNGEON-RUNTIME-3D</x:v>
      </x:c>
      <x:c r="H163" s="70" t="str">
        <x:v>俯视3D</x:v>
      </x:c>
      <x:c r="I163" s="70" t="str">
        <x:v>godot_runtime</x:v>
      </x:c>
      <x:c r="J163" s="70" t="str">
        <x:v>250×250m整层；99层30×30m/6×6格基地；98—95层终局路线；2.2×2.5m门</x:v>
      </x:c>
      <x:c r="K163" s="70" t="str">
        <x:v>原型已接入</x:v>
      </x:c>
      <x:c r="L163" s="70" t="str">
        <x:v>P0</x:v>
      </x:c>
      <x:c r="M163" s="70" t="str">
        <x:v>v007</x:v>
      </x:c>
      <x:c r="N163" s="70" t="str">
        <x:v>Blender 4.2源文件/1单位=1m/PH49运行时布局审阅集合</x:v>
      </x:c>
      <x:c r="O163" s="70" t="str">
        <x:v>assets/art/environments/tower_descent_3d/source/env_tower_descent_kit_top3d_v007.blend</x:v>
      </x:c>
      <x:c r="P163" s="70" t="str">
        <x:v>assets/art/environments/tower_descent_3d/source/validate_env_tower_descent_kit_top3d_v007.py; assets/art/environments/tower_descent_3d/source/render_env_tower_descent_kit_top3d_v007.py; docs/v0.1/03_关卡与场景设计.md</x:v>
      </x:c>
      <x:c r="Q163" s="70" t="str">
        <x:v>塔楼;向下爬楼;楼顶;基地层;战斗层;特殊楼梯;通用楼梯;五米网格;模块化地砖;模块化墙;模块化门;Blender</x:v>
      </x:c>
      <x:c r="R163" s="70" t="str">
        <x:v>场景|room_kit|tower_descent|root_3d|俯视3d|blender_review</x:v>
      </x:c>
      <x:c r="S163" s="70" t="str">
        <x:v>唯一</x:v>
      </x:c>
      <x:c r="T163" s="70" t="str">
        <x:v>ef19c00e61478f0b3268edd9746e7fcf6704a2865aac0b4121474ab9b98e7552</x:v>
      </x:c>
      <x:c r="U163" s="70" t="str">
        <x:v>Codex</x:v>
      </x:c>
      <x:c r="V163" s="71" t="n">
        <x:v>46237</x:v>
      </x:c>
      <x:c r="W163" s="71" t="str">
        <x:v>程序生成 Blender 源集合</x:v>
      </x:c>
      <x:c r="X163" s="70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70" t="str">
        <x:v>ENV-TOWER-FLOOR-TILE-5M</x:v>
      </x:c>
      <x:c r="B164" s="70" t="str">
        <x:v>塔楼5米地砖模块</x:v>
      </x:c>
      <x:c r="C164" s="70" t="str">
        <x:v>场景</x:v>
      </x:c>
      <x:c r="D164" s="70" t="str">
        <x:v>room_kit</x:v>
      </x:c>
      <x:c r="E164" s="70" t="str">
        <x:v>tower_descent</x:v>
      </x:c>
      <x:c r="F164" s="70" t="str">
        <x:v>floor_tile_5m</x:v>
      </x:c>
      <x:c r="G164" s="70" t="str">
        <x:v>ENV-TOWER-DESCENT-KIT-3D</x:v>
      </x:c>
      <x:c r="H164" s="70" t="str">
        <x:v>俯视3D</x:v>
      </x:c>
      <x:c r="I164" s="70" t="str">
        <x:v>godot_runtime</x:v>
      </x:c>
      <x:c r="J164" s="70" t="str">
        <x:v>塔楼六个物理层楼板/335m MultiMesh网格/动态水平通道</x:v>
      </x:c>
      <x:c r="K164" s="70" t="str">
        <x:v>原型已接入</x:v>
      </x:c>
      <x:c r="L164" s="70" t="str">
        <x:v>P0</x:v>
      </x:c>
      <x:c r="M164" s="70" t="str">
        <x:v>v001</x:v>
      </x:c>
      <x:c r="N164" s="70" t="str">
        <x:v>GLB / 5×5×0.30m / 共享Mesh / MultiMesh平铺</x:v>
      </x:c>
      <x:c r="O164" s="70" t="str">
        <x:v>assets/art/environments/tower_descent_3d/components/env_tower_floor_tile_5m_top3d_v001.glb</x:v>
      </x:c>
      <x:c r="P164" s="70" t="str">
        <x:v>Blender集合=10A_MOD_FLOOR_TILE_5M_U01; export_env_tower_5m_modules_v001.py; TowerFloorStage3D.gd; tests/verification/verify_tower_descent_flow.tscn</x:v>
      </x:c>
      <x:c r="Q164" s="70" t="str">
        <x:v>塔楼;地砖;楼板;5米;模块化;平铺;四向接口</x:v>
      </x:c>
      <x:c r="R164" s="70" t="str">
        <x:v>场景|room_kit|tower_descent|floor_tile_5m|俯视3d|blender_review</x:v>
      </x:c>
      <x:c r="S164" s="70" t="str">
        <x:v>母版子集合</x:v>
      </x:c>
      <x:c r="T164" s="70" t="str">
        <x:v>987b220bef57c4176590caf7568c909d90768450c00f7e4e27c4c61986e6ef2d</x:v>
      </x:c>
      <x:c r="U164" s="70" t="str">
        <x:v>Codex</x:v>
      </x:c>
      <x:c r="V164" s="71" t="n">
        <x:v>46237</x:v>
      </x:c>
      <x:c r="W164" s="70" t="str">
        <x:v>程序生成Blender源集合</x:v>
      </x:c>
      <x:c r="X164" s="70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</x:v>
      </x:c>
    </x:row>
    <x:row r="165" ht="132" customHeight="1">
      <x:c r="A165" s="70" t="str">
        <x:v>ENV-TOWER-WALL-SOLID-5M</x:v>
      </x:c>
      <x:c r="B165" s="70" t="str">
        <x:v>塔楼5米满高实墙模块</x:v>
      </x:c>
      <x:c r="C165" s="70" t="str">
        <x:v>场景</x:v>
      </x:c>
      <x:c r="D165" s="70" t="str">
        <x:v>room_kit</x:v>
      </x:c>
      <x:c r="E165" s="70" t="str">
        <x:v>tower_descent</x:v>
      </x:c>
      <x:c r="F165" s="70" t="str">
        <x:v>wall_solid_5m</x:v>
      </x:c>
      <x:c r="G165" s="70" t="str">
        <x:v>ENV-TOWER-DESCENT-KIT-3D</x:v>
      </x:c>
      <x:c r="H165" s="70" t="str">
        <x:v>俯视3D</x:v>
      </x:c>
      <x:c r="I165" s="70" t="str">
        <x:v>godot_runtime</x:v>
      </x:c>
      <x:c r="J165" s="70" t="str">
        <x:v>整层外墙/65m核心/探索房内墙/5m正交走廊</x:v>
      </x:c>
      <x:c r="K165" s="70" t="str">
        <x:v>原型已接入</x:v>
      </x:c>
      <x:c r="L165" s="70" t="str">
        <x:v>P0</x:v>
      </x:c>
      <x:c r="M165" s="70" t="str">
        <x:v>v001</x:v>
      </x:c>
      <x:c r="N165" s="70" t="str">
        <x:v>GLB / 5×0.30×9m / 共享Mesh / 可旋转</x:v>
      </x:c>
      <x:c r="O165" s="70" t="str">
        <x:v>assets/art/environments/tower_descent_3d/components/env_tower_wall_solid_5m_top3d_v001.glb</x:v>
      </x:c>
      <x:c r="P165" s="70" t="str">
        <x:v>Blender集合=10B_MOD_WALL_SOLID_5M_U01; export_env_tower_5m_modules_v001.py; DungeonRoom3D.gd; TowerFloorStage3D.gd; mat_tower_wall_solid_a_v001.tres; mat_tower_wall_solid_b_v001.tres; tests/verification/verify_tower_descent_flow.tscn</x:v>
      </x:c>
      <x:c r="Q165" s="70" t="str">
        <x:v>塔楼;实墙;满高墙;5米;模块化;室内隔墙;核心外墙</x:v>
      </x:c>
      <x:c r="R165" s="70" t="str">
        <x:v>场景|room_kit|tower_descent|wall_solid_5m|俯视3d|blender_review</x:v>
      </x:c>
      <x:c r="S165" s="70" t="str">
        <x:v>母版子集合</x:v>
      </x:c>
      <x:c r="T165" s="70" t="str">
        <x:v>5680bf2dedc964fcbfd5e5ee7d5ba86af5ba8a2c77c64a02151aee19a7f2cc33</x:v>
      </x:c>
      <x:c r="U165" s="70" t="str">
        <x:v>Codex</x:v>
      </x:c>
      <x:c r="V165" s="71" t="n">
        <x:v>46237</x:v>
      </x:c>
      <x:c r="W165" s="70" t="str">
        <x:v>程序生成 Blender 源集合</x:v>
      </x:c>
      <x:c r="X165" s="70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70" t="str">
        <x:v>ENV-TOWER-WALL-PARAPET-5M</x:v>
      </x:c>
      <x:c r="B166" s="70" t="str">
        <x:v>塔楼5米楼顶女儿墙模块</x:v>
      </x:c>
      <x:c r="C166" s="70" t="str">
        <x:v>场景</x:v>
      </x:c>
      <x:c r="D166" s="70" t="str">
        <x:v>room_kit</x:v>
      </x:c>
      <x:c r="E166" s="70" t="str">
        <x:v>tower_descent</x:v>
      </x:c>
      <x:c r="F166" s="70" t="str">
        <x:v>wall_parapet_5m</x:v>
      </x:c>
      <x:c r="G166" s="70" t="str">
        <x:v>ENV-TOWER-DESCENT-KIT-3D</x:v>
      </x:c>
      <x:c r="H166" s="70" t="str">
        <x:v>俯视3D</x:v>
      </x:c>
      <x:c r="I166" s="70" t="str">
        <x:v>godot_runtime</x:v>
      </x:c>
      <x:c r="J166" s="70" t="str">
        <x:v>335m楼顶四周边界/268段MultiMesh围栏</x:v>
      </x:c>
      <x:c r="K166" s="70" t="str">
        <x:v>原型已接入</x:v>
      </x:c>
      <x:c r="L166" s="70" t="str">
        <x:v>P1</x:v>
      </x:c>
      <x:c r="M166" s="70" t="str">
        <x:v>v001</x:v>
      </x:c>
      <x:c r="N166" s="70" t="str">
        <x:v>GLB / 5×0.30×1.50m / 共享Mesh</x:v>
      </x:c>
      <x:c r="O166" s="70" t="str">
        <x:v>assets/art/environments/tower_descent_3d/components/env_tower_wall_parapet_5m_top3d_v001.glb</x:v>
      </x:c>
      <x:c r="P166" s="70" t="str">
        <x:v>Blender集合=10C_MOD_WALL_PARAPET_5M_U01; export_env_tower_5m_modules_v001.py; TowerFloorStage3D.gd; tests/verification/verify_tower_descent_visual.tscn</x:v>
      </x:c>
      <x:c r="Q166" s="70" t="str">
        <x:v>塔楼;女儿墙;护栏;5米;模块化;楼顶边界</x:v>
      </x:c>
      <x:c r="R166" s="70" t="str">
        <x:v>场景|room_kit|tower_descent|wall_parapet_5m|俯视3d|blender_review</x:v>
      </x:c>
      <x:c r="S166" s="70" t="str">
        <x:v>母版子集合</x:v>
      </x:c>
      <x:c r="T166" s="70" t="str">
        <x:v>44fdb663487a9bf010d8fa249a2f9811843409c35d9f7ce8d09c48f7de7bf808</x:v>
      </x:c>
      <x:c r="U166" s="70" t="str">
        <x:v>Codex</x:v>
      </x:c>
      <x:c r="V166" s="71" t="n">
        <x:v>46233</x:v>
      </x:c>
      <x:c r="W166" s="70" t="str">
        <x:v>程序生成Blender源集合</x:v>
      </x:c>
      <x:c r="X166" s="70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70" t="str">
        <x:v>ENV-TOWER-WALL-DOOR-5M</x:v>
      </x:c>
      <x:c r="B167" s="70" t="str">
        <x:v>塔楼5米带门墙模块</x:v>
      </x:c>
      <x:c r="C167" s="70" t="str">
        <x:v>场景</x:v>
      </x:c>
      <x:c r="D167" s="70" t="str">
        <x:v>room_kit</x:v>
      </x:c>
      <x:c r="E167" s="70" t="str">
        <x:v>tower_descent</x:v>
      </x:c>
      <x:c r="F167" s="70" t="str">
        <x:v>wall_door_5m</x:v>
      </x:c>
      <x:c r="G167" s="70" t="str">
        <x:v>ENV-TOWER-DESCENT-KIT-3D</x:v>
      </x:c>
      <x:c r="H167" s="70" t="str">
        <x:v>俯视3D</x:v>
      </x:c>
      <x:c r="I167" s="70" t="str">
        <x:v>godot_runtime</x:v>
      </x:c>
      <x:c r="J167" s="70" t="str">
        <x:v>5m墙位/2.2m净宽/2.5m净高/独立门扇</x:v>
      </x:c>
      <x:c r="K167" s="70" t="str">
        <x:v>原型已接入</x:v>
      </x:c>
      <x:c r="L167" s="70" t="str">
        <x:v>P0</x:v>
      </x:c>
      <x:c r="M167" s="70" t="str">
        <x:v>v002</x:v>
      </x:c>
      <x:c r="N167" s="70" t="str">
        <x:v>Blender 4.2 GLB/7个Mesh部件/2.2×2.5m净开口</x:v>
      </x:c>
      <x:c r="O167" s="70" t="str">
        <x:v>assets/art/environments/tower_descent_3d/components/env_tower_wall_door_5m_top3d_v002.glb</x:v>
      </x:c>
      <x:c r="P167" s="70" t="str">
        <x:v>assets/art/environments/tower_descent_3d/source/export_env_tower_door_5m_v002.py; assets/art/environments/tower_descent_3d/source/env_tower_descent_kit_top3d_v007.blend</x:v>
      </x:c>
      <x:c r="Q167" s="70" t="str">
        <x:v>塔楼;门;门洞;5米;模块化;肉鸽触发;独立门扇</x:v>
      </x:c>
      <x:c r="R167" s="70" t="str">
        <x:v>场景|room_kit|tower_descent|wall_door_5m|俯视3d|blender_review</x:v>
      </x:c>
      <x:c r="S167" s="70" t="str">
        <x:v>母版子集合</x:v>
      </x:c>
      <x:c r="T167" s="70" t="str">
        <x:v>75f03e2bc785b0d957df9e27940ac9a024097ce6f2c371ae947b2c48cce69ca1</x:v>
      </x:c>
      <x:c r="U167" s="70" t="str">
        <x:v>Codex</x:v>
      </x:c>
      <x:c r="V167" s="71" t="n">
        <x:v>46236</x:v>
      </x:c>
      <x:c r="W167" s="70" t="str">
        <x:v>程序生成 Blender 源集合</x:v>
      </x:c>
      <x:c r="X167" s="70" t="str">
        <x:v>2026-08-02：南北门墙统一使用仅限相机层的门洞代理，开门不再全局绕过后墙检测；代理不阻挡玩家、怪物或子弹。</x:v>
      </x:c>
    </x:row>
    <x:row r="168" ht="132" customHeight="1">
      <x:c r="A168" s="70" t="str">
        <x:v>ENV-TOWER-STAIRWELL-GENERIC-9M</x:v>
      </x:c>
      <x:c r="B168" s="70" t="str">
        <x:v>塔楼9米通用双跑楼梯间</x:v>
      </x:c>
      <x:c r="C168" s="70" t="str">
        <x:v>场景</x:v>
      </x:c>
      <x:c r="D168" s="70" t="str">
        <x:v>room_kit</x:v>
      </x:c>
      <x:c r="E168" s="70" t="str">
        <x:v>tower_descent</x:v>
      </x:c>
      <x:c r="F168" s="70" t="str">
        <x:v>stairwell_generic_9m</x:v>
      </x:c>
      <x:c r="G168" s="70" t="str">
        <x:v>ENV-TOWER-DESCENT-KIT-3D</x:v>
      </x:c>
      <x:c r="H168" s="70" t="str">
        <x:v>俯视3D</x:v>
      </x:c>
      <x:c r="I168" s="70" t="str">
        <x:v>godot_runtime</x:v>
      </x:c>
      <x:c r="J168" s="70" t="str">
        <x:v>99层以下通用楼梯/四向旋转/上下楼交通</x:v>
      </x:c>
      <x:c r="K168" s="70" t="str">
        <x:v>原型已接入</x:v>
      </x:c>
      <x:c r="L168" s="70" t="str">
        <x:v>P0</x:v>
      </x:c>
      <x:c r="M168" s="70" t="str">
        <x:v>v001</x:v>
      </x:c>
      <x:c r="N168" s="70" t="str">
        <x:v>GLB / 14.751×27.617×约18.41m包围 / 9m层差 / 48子对象</x:v>
      </x:c>
      <x:c r="O168" s="70" t="str">
        <x:v>assets/art/environments/tower_descent_3d/components/env_tower_stairwell_generic_9m_top3d_v001.glb</x:v>
      </x:c>
      <x:c r="P168" s="70" t="str">
        <x:v>Blender根=Stair_Generic_Rotatable_ROOT; env_tower_descent_kit_top3d_v007.blend; export_env_tower_stairwells_v001.py; TowerDescent3D.gd; tests/verification/verify_tower_descent_flow.tscn</x:v>
      </x:c>
      <x:c r="Q168" s="70" t="str">
        <x:v>塔楼;通用楼梯;双跑楼梯;折角平台;9米层高;四向旋转;Blender直出</x:v>
      </x:c>
      <x:c r="R168" s="70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70" t="str">
        <x:f>IF(COUNTIF($R:$R,R168)&gt;1,"重复","唯一")</x:f>
        <x:v>唯一</x:v>
      </x:c>
      <x:c r="T168" s="70" t="str">
        <x:v>b0416e02b70673bb4cc38a58436210ff04343f6d68b4f5b80f8e1a0c5daaf844</x:v>
      </x:c>
      <x:c r="U168" s="70" t="str">
        <x:v>Codex</x:v>
      </x:c>
      <x:c r="V168" s="71" t="n">
        <x:v>46237</x:v>
      </x:c>
      <x:c r="W168" s="70" t="str">
        <x:v>用户手工Blender模型</x:v>
      </x:c>
      <x:c r="X168" s="70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x:v>
      </x:c>
    </x:row>
    <x:row r="169" ht="132" customHeight="1">
      <x:c r="A169" s="70" t="str">
        <x:v>ENV-TOWER-STAIRWELL-ROOFTOP-9M</x:v>
      </x:c>
      <x:c r="B169" s="70" t="str">
        <x:v>塔楼楼顶特殊双跑楼梯间</x:v>
      </x:c>
      <x:c r="C169" s="70" t="str">
        <x:v>场景</x:v>
      </x:c>
      <x:c r="D169" s="70" t="str">
        <x:v>room_kit</x:v>
      </x:c>
      <x:c r="E169" s="70" t="str">
        <x:v>tower_descent</x:v>
      </x:c>
      <x:c r="F169" s="70" t="str">
        <x:v>stairwell_rooftop_9m</x:v>
      </x:c>
      <x:c r="G169" s="70" t="str">
        <x:v>ENV-TOWER-DESCENT-KIT-3D</x:v>
      </x:c>
      <x:c r="H169" s="70" t="str">
        <x:v>俯视3D</x:v>
      </x:c>
      <x:c r="I169" s="70" t="str">
        <x:v>godot_runtime</x:v>
      </x:c>
      <x:c r="J169" s="70" t="str">
        <x:v>楼顶至99层特殊交通/保留手调墙高</x:v>
      </x:c>
      <x:c r="K169" s="70" t="str">
        <x:v>原型已接入</x:v>
      </x:c>
      <x:c r="L169" s="70" t="str">
        <x:v>P0</x:v>
      </x:c>
      <x:c r="M169" s="70" t="str">
        <x:v>v001</x:v>
      </x:c>
      <x:c r="N169" s="70" t="str">
        <x:v>GLB / 14.751×27.617×约15.36m包围 / 9m层差 / 47子对象</x:v>
      </x:c>
      <x:c r="O169" s="70" t="str">
        <x:v>assets/art/environments/tower_descent_3d/components/env_tower_stairwell_rooftop_9m_top3d_v001.glb</x:v>
      </x:c>
      <x:c r="P169" s="70" t="str">
        <x:v>Blender根=Stair_Special_Rooftop_ROOT; env_tower_descent_kit_top3d_v007.blend; export_env_tower_stairwells_v001.py; TowerDescent3D.gd; tests/verification/verify_tower_descent_flow.tscn</x:v>
      </x:c>
      <x:c r="Q169" s="70" t="str">
        <x:v>塔楼;楼顶楼梯;特殊楼梯;双跑楼梯;特殊墙高;9米层高;Blender直出</x:v>
      </x:c>
      <x:c r="R169" s="70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70" t="str">
        <x:f>IF(COUNTIF($R:$R,R169)&gt;1,"重复","唯一")</x:f>
        <x:v>唯一</x:v>
      </x:c>
      <x:c r="T169" s="70" t="str">
        <x:v>88198a579cc846974f17f5203b46b568b7ab2421fd7bb63c0b7868ddd05684a2</x:v>
      </x:c>
      <x:c r="U169" s="70" t="str">
        <x:v>Codex</x:v>
      </x:c>
      <x:c r="V169" s="71" t="n">
        <x:v>46237</x:v>
      </x:c>
      <x:c r="W169" s="70" t="str">
        <x:v>用户手工Blender模型</x:v>
      </x:c>
      <x:c r="X169" s="70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a69cc18bf84bd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42" hidden="0" customWidth="1"/>
    <x:col min="4" max="4" width="15" hidden="0" customWidth="1"/>
    <x:col min="5" max="5" width="44" hidden="0" customWidth="1"/>
    <x:col min="6" max="6" width="14" hidden="0" customWidth="1"/>
    <x:col min="7" max="7" width="34" hidden="0" customWidth="1"/>
    <x:col min="8" max="8" width="19" hidden="0" customWidth="1"/>
    <x:col min="9" max="9" width="6" hidden="0" customWidth="1"/>
    <x:col min="10" max="10" width="26" hidden="0" customWidth="1"/>
    <x:col min="11" max="11" width="20" hidden="0" customWidth="1"/>
    <x:col min="12" max="12" width="8" hidden="0" customWidth="1"/>
    <x:col min="13" max="13" width="42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无腿、无脚、无手臂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红色识别色；可换其他颈部配件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单传感器，无人脸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单手方案不进入运行时；替代项为 hand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手读取身体左右朝向，不读取准星连续角度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逻辑挂点无 PNG；垂直瞄准沿用上次左右朝向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8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 + reloading/firing/charging/knockback覆盖</x:v>
      </x:c>
      <x:c r="K14" s="63" t="str">
        <x:v>3D表现根</x:v>
      </x:c>
      <x:c r="L14" s="63" t="str">
        <x:v>是</x:v>
      </x:c>
      <x:c r="M14" s="63" t="str">
        <x:v>四主模块：Body/Head/Hand/Feet；2D旧胶囊不在本次迁移范围</x:v>
      </x:c>
    </x:row>
    <x:row r="15" ht="38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BoxMesh + 子件</x:v>
      </x:c>
      <x:c r="G15" s="63" t="str">
        <x:v>(0,0.76,0.02)</x:v>
      </x:c>
      <x:c r="H15" s="63" t="str">
        <x:v>随root</x:v>
      </x:c>
      <x:c r="I15" s="63" t="n">
        <x:v>1</x:v>
      </x:c>
      <x:c r="J15" s="63" t="str">
        <x:v>呼吸/移动压缩/射击前探/死亡倾倒</x:v>
      </x:c>
      <x:c r="K15" s="63" t="str">
        <x:v>方形猫身</x:v>
      </x:c>
      <x:c r="L15" s="63" t="str">
        <x:v>是</x:v>
      </x:c>
      <x:c r="M15" s="63" t="str">
        <x:v>BodyShell + BellyPatch；方形主轮廓</x:v>
      </x:c>
    </x:row>
    <x:row r="16" ht="38" customHeight="1">
      <x:c r="A16" s="63" t="str">
        <x:v>player_capsule01_3d</x:v>
      </x:c>
      <x:c r="B16" s="63" t="str">
        <x:v>head</x:v>
      </x:c>
      <x:c r="C16" s="63" t="str">
        <x:v>VisualRoot/Head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BoxMesh + 子件</x:v>
      </x:c>
      <x:c r="G16" s="63" t="str">
        <x:v>(0,1.72,-0.08)</x:v>
      </x:c>
      <x:c r="H16" s="63" t="str">
        <x:v>随root</x:v>
      </x:c>
      <x:c r="I16" s="63" t="n">
        <x:v>3</x:v>
      </x:c>
      <x:c r="J16" s="63" t="str">
        <x:v>移动反相滞后/后坐/受击/死亡</x:v>
      </x:c>
      <x:c r="K16" s="63" t="str">
        <x:v>方形猫头</x:v>
      </x:c>
      <x:c r="L16" s="63" t="str">
        <x:v>是</x:v>
      </x:c>
      <x:c r="M16" s="63" t="str">
        <x:v>无嘴无鼻；Eyes与Ears固定归Head</x:v>
      </x:c>
    </x:row>
    <x:row r="17" ht="38" customHeight="1">
      <x:c r="A17" s="63" t="str">
        <x:v>player_capsule01_3d</x:v>
      </x:c>
      <x:c r="B17" s="63" t="str">
        <x:v>hand</x:v>
      </x:c>
      <x:c r="C17" s="63" t="str">
        <x:v>VisualRoot/Hand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BoxMesh</x:v>
      </x:c>
      <x:c r="G17" s="63" t="str">
        <x:v>(0.60,1.10,-0.30)</x:v>
      </x:c>
      <x:c r="H17" s="63" t="str">
        <x:v>随root；动作同相</x:v>
      </x:c>
      <x:c r="I17" s="63" t="n">
        <x:v>4</x:v>
      </x:c>
      <x:c r="J17" s="63" t="str">
        <x:v>移动/换弹/射击/蓄力/击飞保持握持</x:v>
      </x:c>
      <x:c r="K17" s="63" t="str">
        <x:v>唯一悬浮手</x:v>
      </x:c>
      <x:c r="L17" s="63" t="str">
        <x:v>是</x:v>
      </x:c>
      <x:c r="M17" s="63" t="str">
        <x:v>无手臂、无第二手；与WeaponSocket固定相对向量</x:v>
      </x:c>
    </x:row>
    <x:row r="18" ht="38" customHeight="1">
      <x:c r="A18" s="63" t="str">
        <x:v>player_capsule01_3d</x:v>
      </x:c>
      <x:c r="B18" s="63" t="str">
        <x:v>feet</x:v>
      </x:c>
      <x:c r="C18" s="63" t="str">
        <x:v>VisualRoot/Feet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BoxMesh×2</x:v>
      </x:c>
      <x:c r="G18" s="63" t="str">
        <x:v>(0,0.22,-0.02)</x:v>
      </x:c>
      <x:c r="H18" s="63" t="str">
        <x:v>随root；FootL/R交替</x:v>
      </x:c>
      <x:c r="I18" s="63" t="n">
        <x:v>1</x:v>
      </x:c>
      <x:c r="J18" s="63" t="str">
        <x:v>moving交替抬脚；冲刺/受击/死亡随整体</x:v>
      </x:c>
      <x:c r="K18" s="63" t="str">
        <x:v>双脚主模块</x:v>
      </x:c>
      <x:c r="L18" s="63" t="str">
        <x:v>是</x:v>
      </x:c>
      <x:c r="M18" s="63" t="str">
        <x:v>FootL/FootR属于同一可替换Feet模块</x:v>
      </x:c>
    </x:row>
    <x:row r="19" ht="38" customHeight="1">
      <x:c r="A19" s="63" t="str">
        <x:v>player_capsule01_3d</x:v>
      </x:c>
      <x:c r="B19" s="63" t="str">
        <x:v>eyes</x:v>
      </x:c>
      <x:c r="C19" s="63" t="str">
        <x:v>VisualRoot/Head/Eyes</x:v>
      </x:c>
      <x:c r="D19" s="63" t="str">
        <x:v>head</x:v>
      </x:c>
      <x:c r="E19" s="63" t="str">
        <x:v>assets/art/characters/player/chr_player_capsule01_3d/chr_player_capsule01_root_top3d_v001.tscn</x:v>
      </x:c>
      <x:c r="F19" s="63" t="str">
        <x:v>BoxMesh×2</x:v>
      </x:c>
      <x:c r="G19" s="63" t="str">
        <x:v>(0,-0.03,-0.56)</x:v>
      </x:c>
      <x:c r="H19" s="63" t="str">
        <x:v>继承Head</x:v>
      </x:c>
      <x:c r="I19" s="63" t="n">
        <x:v>4</x:v>
      </x:c>
      <x:c r="J19" s="63" t="str">
        <x:v>随头部滞后/后坐/受击</x:v>
      </x:c>
      <x:c r="K19" s="63" t="str">
        <x:v>面部配件</x:v>
      </x:c>
      <x:c r="L19" s="63" t="str">
        <x:v>是</x:v>
      </x:c>
      <x:c r="M19" s="63" t="str">
        <x:v>EyeL/EyeR；深色窄矩形豆豆眼；无嘴</x:v>
      </x:c>
    </x:row>
    <x:row r="20" ht="38" customHeight="1">
      <x:c r="A20" s="63" t="str">
        <x:v>player_capsule01_3d</x:v>
      </x:c>
      <x:c r="B20" s="63" t="str">
        <x:v>ears</x:v>
      </x:c>
      <x:c r="C20" s="63" t="str">
        <x:v>VisualRoot/Head/Ears</x:v>
      </x:c>
      <x:c r="D20" s="63" t="str">
        <x:v>head</x:v>
      </x:c>
      <x:c r="E20" s="63" t="str">
        <x:v>assets/art/characters/player/chr_player_capsule01_3d/chr_player_capsule01_root_top3d_v001.tscn</x:v>
      </x:c>
      <x:c r="F20" s="63" t="str">
        <x:v>三边CylinderMesh×4</x:v>
      </x:c>
      <x:c r="G20" s="63" t="str">
        <x:v>沿Head顶部</x:v>
      </x:c>
      <x:c r="H20" s="63" t="str">
        <x:v>继承Head</x:v>
      </x:c>
      <x:c r="I20" s="63" t="n">
        <x:v>4</x:v>
      </x:c>
      <x:c r="J20" s="63" t="str">
        <x:v>随头部滞后/后坐/受击</x:v>
      </x:c>
      <x:c r="K20" s="63" t="str">
        <x:v>头部配件</x:v>
      </x:c>
      <x:c r="L20" s="63" t="str">
        <x:v>是</x:v>
      </x:c>
      <x:c r="M20" s="63" t="str">
        <x:v>EarL/EarR各含Inner；三角形语言</x:v>
      </x:c>
    </x:row>
    <x:row r="21" ht="38" customHeight="1">
      <x:c r="A21" s="63" t="str">
        <x:v>player_capsule01_3d</x:v>
      </x:c>
      <x:c r="B21" s="63" t="str">
        <x:v>tail_stub</x:v>
      </x:c>
      <x:c r="C21" s="63" t="str">
        <x:v>VisualRoot/Body/TailStub</x:v>
      </x:c>
      <x:c r="D21" s="63" t="str">
        <x:v>body</x:v>
      </x:c>
      <x:c r="E21" s="63" t="str">
        <x:v>assets/art/characters/player/chr_player_capsule01_3d/chr_player_capsule01_root_top3d_v001.tscn</x:v>
      </x:c>
      <x:c r="F21" s="63" t="str">
        <x:v>SphereMesh</x:v>
      </x:c>
      <x:c r="G21" s="63" t="str">
        <x:v>(-0.51,-0.02,0.24)</x:v>
      </x:c>
      <x:c r="H21" s="63" t="str">
        <x:v>继承Body + 轻摆</x:v>
      </x:c>
      <x:c r="I21" s="63" t="n">
        <x:v>2</x:v>
      </x:c>
      <x:c r="J21" s="63" t="str">
        <x:v>moving轻摆/弹性缩放</x:v>
      </x:c>
      <x:c r="K21" s="63" t="str">
        <x:v>身体配件</x:v>
      </x:c>
      <x:c r="L21" s="63" t="str">
        <x:v>是</x:v>
      </x:c>
      <x:c r="M21" s="63" t="str">
        <x:v>唯一圆形例外；短圆尾团，禁止长尾</x:v>
      </x:c>
    </x:row>
    <x:row r="22" ht="38" customHeight="1">
      <x:c r="A22" s="63" t="str">
        <x:v>player_capsule01_3d</x:v>
      </x:c>
      <x:c r="B22" s="63" t="str">
        <x:v>weapon_socket</x:v>
      </x:c>
      <x:c r="C22" s="63" t="str">
        <x:v>VisualRoot/WeaponSocket</x:v>
      </x:c>
      <x:c r="D22" s="63" t="str">
        <x:v>root</x:v>
      </x:c>
      <x:c r="E22" s="63" t="str">
        <x:v>无纹理</x:v>
      </x:c>
      <x:c r="F22" s="63" t="str">
        <x:v>Marker3D</x:v>
      </x:c>
      <x:c r="G22" s="63" t="str">
        <x:v>(0.60,1.15,-0.42)</x:v>
      </x:c>
      <x:c r="H22" s="63" t="str">
        <x:v>随root；动作同相</x:v>
      </x:c>
      <x:c r="I22" s="63" t="n">
        <x:v>5</x:v>
      </x:c>
      <x:c r="J22" s="63" t="str">
        <x:v>枪械挂载/枪口特效</x:v>
      </x:c>
      <x:c r="K22" s="63" t="str">
        <x:v>武器系统</x:v>
      </x:c>
      <x:c r="L22" s="63" t="str">
        <x:v>是</x:v>
      </x:c>
      <x:c r="M22" s="63" t="str">
        <x:v>与唯一手全动作固定局部关系；枪模layer 2</x:v>
      </x:c>
    </x:row>
    <x:row r="23" ht="38" customHeight="1">
      <x:c r="A23" s="63" t="str">
        <x:v>player_capsule01_3d</x:v>
      </x:c>
      <x:c r="B23" s="63" t="str">
        <x:v>reload_progress</x:v>
      </x:c>
      <x:c r="C23" s="63" t="str">
        <x:v>ReloadProgress3D</x:v>
      </x:c>
      <x:c r="D23" s="63" t="str">
        <x:v>player_root</x:v>
      </x:c>
      <x:c r="E23" s="63" t="str">
        <x:v>assets/art/characters/player/chr_player_capsule01_3d/chr_player_capsule01_root_top3d_v001.tscn</x:v>
      </x:c>
      <x:c r="F23" s="63" t="str">
        <x:v>QuadMesh×2</x:v>
      </x:c>
      <x:c r="G23" s="63" t="str">
        <x:v>(0,2.92,0.06)</x:v>
      </x:c>
      <x:c r="H23" s="63" t="str">
        <x:v>朝向相机；不随VisualRoot旋转</x:v>
      </x:c>
      <x:c r="I23" s="63" t="n">
        <x:v>6</x:v>
      </x:c>
      <x:c r="J23" s="63" t="str">
        <x:v>读取真实换弹进度</x:v>
      </x:c>
      <x:c r="K23" s="63" t="str">
        <x:v>状态UI子组件</x:v>
      </x:c>
      <x:c r="L23" s="63" t="str">
        <x:v>是</x:v>
      </x:c>
      <x:c r="M23" s="63" t="str">
        <x:v>高于猫耳；无独立计时器/SubViewport</x:v>
      </x:c>
    </x:row>
    <x:row r="24" ht="38" customHeight="1">
      <x:c r="A24" s="63" t="str">
        <x:v>player_capsule01_3d</x:v>
      </x:c>
      <x:c r="B24" s="63" t="str">
        <x:v>body_diy</x:v>
      </x:c>
      <x:c r="C24" s="63" t="str">
        <x:v>VisualRoot/Body</x:v>
      </x:c>
      <x:c r="D24" s="63" t="str">
        <x:v>root</x:v>
      </x:c>
      <x:c r="E24" s="63" t="str">
        <x:v>无独立纹理/程序材质</x:v>
      </x:c>
      <x:c r="F24" s="63" t="str">
        <x:v>4种配色</x:v>
      </x:c>
      <x:c r="G24" s="63" t="str">
        <x:v>沿Body</x:v>
      </x:c>
      <x:c r="H24" s="63" t="str">
        <x:v>随root</x:v>
      </x:c>
      <x:c r="I24" s="63" t="n">
        <x:v>1</x:v>
      </x:c>
      <x:c r="J24" s="63" t="str">
        <x:v>继承身体动态</x:v>
      </x:c>
      <x:c r="K24" s="63" t="str">
        <x:v>身体外观</x:v>
      </x:c>
      <x:c r="L24" s="63" t="str">
        <x:v>是</x:v>
      </x:c>
      <x:c r="M24" s="63" t="str">
        <x:v>cat_orange + 旧三色兼容</x:v>
      </x:c>
    </x:row>
    <x:row r="25" ht="38" customHeight="1">
      <x:c r="A25" s="63" t="str">
        <x:v>player_capsule01_3d</x:v>
      </x:c>
      <x:c r="B25" s="63" t="str">
        <x:v>head_diy</x:v>
      </x:c>
      <x:c r="C25" s="63" t="str">
        <x:v>VisualRoot/Head</x:v>
      </x:c>
      <x:c r="D25" s="63" t="str">
        <x:v>root</x:v>
      </x:c>
      <x:c r="E25" s="63" t="str">
        <x:v>无独立纹理/程序材质</x:v>
      </x:c>
      <x:c r="F25" s="63" t="str">
        <x:v>4种配色</x:v>
      </x:c>
      <x:c r="G25" s="63" t="str">
        <x:v>沿Head</x:v>
      </x:c>
      <x:c r="H25" s="63" t="str">
        <x:v>随root</x:v>
      </x:c>
      <x:c r="I25" s="63" t="n">
        <x:v>3</x:v>
      </x:c>
      <x:c r="J25" s="63" t="str">
        <x:v>继承头部动态</x:v>
      </x:c>
      <x:c r="K25" s="63" t="str">
        <x:v>头部外观</x:v>
      </x:c>
      <x:c r="L25" s="63" t="str">
        <x:v>是</x:v>
      </x:c>
      <x:c r="M25" s="63" t="str">
        <x:v>cat_orange + 旧三色兼容；双眼/双耳节点不变</x:v>
      </x:c>
    </x:row>
    <x:row r="26" ht="38" customHeight="1">
      <x:c r="A26" s="63" t="str">
        <x:v>player_capsule01_3d</x:v>
      </x:c>
      <x:c r="B26" s="63" t="str">
        <x:v>hand_diy</x:v>
      </x:c>
      <x:c r="C26" s="63" t="str">
        <x:v>VisualRoot/Hand</x:v>
      </x:c>
      <x:c r="D26" s="63" t="str">
        <x:v>root</x:v>
      </x:c>
      <x:c r="E26" s="63" t="str">
        <x:v>无独立纹理/程序材质</x:v>
      </x:c>
      <x:c r="F26" s="63" t="str">
        <x:v>4种配色</x:v>
      </x:c>
      <x:c r="G26" s="63" t="str">
        <x:v>(0.60,1.10,-0.30)</x:v>
      </x:c>
      <x:c r="H26" s="63" t="str">
        <x:v>随root+同相动作</x:v>
      </x:c>
      <x:c r="I26" s="63" t="n">
        <x:v>4</x:v>
      </x:c>
      <x:c r="J26" s="63" t="str">
        <x:v>抓握压缩；与socket同相</x:v>
      </x:c>
      <x:c r="K26" s="63" t="str">
        <x:v>唯一手外观</x:v>
      </x:c>
      <x:c r="L26" s="63" t="str">
        <x:v>是</x:v>
      </x:c>
      <x:c r="M26" s="63" t="str">
        <x:v>cat_orange + 旧三色兼容</x:v>
      </x:c>
    </x:row>
    <x:row r="27" ht="38" customHeight="1">
      <x:c r="A27" s="63" t="str">
        <x:v>player_capsule01_3d</x:v>
      </x:c>
      <x:c r="B27" s="63" t="str">
        <x:v>feet_diy</x:v>
      </x:c>
      <x:c r="C27" s="63" t="str">
        <x:v>VisualRoot/Feet</x:v>
      </x:c>
      <x:c r="D27" s="63" t="str">
        <x:v>root</x:v>
      </x:c>
      <x:c r="E27" s="63" t="str">
        <x:v>无独立纹理/程序材质</x:v>
      </x:c>
      <x:c r="F27" s="63" t="str">
        <x:v>4种配色</x:v>
      </x:c>
      <x:c r="G27" s="63" t="str">
        <x:v>沿Feet</x:v>
      </x:c>
      <x:c r="H27" s="63" t="str">
        <x:v>随root+交替步态</x:v>
      </x:c>
      <x:c r="I27" s="63" t="n">
        <x:v>1</x:v>
      </x:c>
      <x:c r="J27" s="63" t="str">
        <x:v>FootL/R交替抬起</x:v>
      </x:c>
      <x:c r="K27" s="63" t="str">
        <x:v>脚部外观</x:v>
      </x:c>
      <x:c r="L27" s="63" t="str">
        <x:v>是</x:v>
      </x:c>
      <x:c r="M27" s="63" t="str">
        <x:v>cat_orange / boot_sand / boot_cobalt / boot_teal</x:v>
      </x:c>
    </x:row>
    <x:row r="28" ht="38" customHeight="1">
      <x:c r="A28" s="63" t="str">
        <x:v>player_capsule01_3d</x:v>
      </x:c>
      <x:c r="B28" s="63" t="str">
        <x:v>hat</x:v>
      </x:c>
      <x:c r="C28" s="63" t="str">
        <x:v>VisualRoot/Head/Wearables/Hat*</x:v>
      </x:c>
      <x:c r="D28" s="63" t="str">
        <x:v>head</x:v>
      </x:c>
      <x:c r="E28" s="63" t="str">
        <x:v>无独立纹理/程序网格</x:v>
      </x:c>
      <x:c r="F28" s="63" t="str">
        <x:v>3种帽型</x:v>
      </x:c>
      <x:c r="G28" s="63" t="str">
        <x:v>沿Head</x:v>
      </x:c>
      <x:c r="H28" s="63" t="str">
        <x:v>继承Head</x:v>
      </x:c>
      <x:c r="I28" s="63" t="n">
        <x:v>5</x:v>
      </x:c>
      <x:c r="J28" s="63" t="str">
        <x:v>头部滞后/受击/死亡</x:v>
      </x:c>
      <x:c r="K28" s="63" t="str">
        <x:v>头部外戴件</x:v>
      </x:c>
      <x:c r="L28" s="63" t="str">
        <x:v>否</x:v>
      </x:c>
      <x:c r="M28" s="63" t="str">
        <x:v>可选；layer2，禁投影/GI；不得替代猫耳节点</x:v>
      </x:c>
    </x:row>
    <x:row r="29" ht="38" customHeight="1">
      <x:c r="A29" s="63" t="str">
        <x:v>player_capsule01_3d</x:v>
      </x:c>
      <x:c r="B29" s="63" t="str">
        <x:v>glasses</x:v>
      </x:c>
      <x:c r="C29" s="63" t="str">
        <x:v>VisualRoot/Head/Wearables/Glasses*</x:v>
      </x:c>
      <x:c r="D29" s="63" t="str">
        <x:v>head</x:v>
      </x:c>
      <x:c r="E29" s="63" t="str">
        <x:v>无独立纹理/程序网格</x:v>
      </x:c>
      <x:c r="F29" s="63" t="str">
        <x:v>3种护目件</x:v>
      </x:c>
      <x:c r="G29" s="63" t="str">
        <x:v>沿Head前侧</x:v>
      </x:c>
      <x:c r="H29" s="63" t="str">
        <x:v>继承Head</x:v>
      </x:c>
      <x:c r="I29" s="63" t="n">
        <x:v>5</x:v>
      </x:c>
      <x:c r="J29" s="63" t="str">
        <x:v>头部滞后/受击/死亡</x:v>
      </x:c>
      <x:c r="K29" s="63" t="str">
        <x:v>护目件</x:v>
      </x:c>
      <x:c r="L29" s="63" t="str">
        <x:v>否</x:v>
      </x:c>
      <x:c r="M29" s="63" t="str">
        <x:v>可选；layer2；允许太阳/室内灯外部投影；玩家三灯不产生自身投影；GI禁用。</x:v>
      </x:c>
    </x:row>
    <x:row r="30" ht="38" customHeight="1">
      <x:c r="A30" s="63" t="str">
        <x:v>player_capsule01_3d</x:v>
      </x:c>
      <x:c r="B30" s="63" t="str">
        <x:v>scarf_legacy</x:v>
      </x:c>
      <x:c r="C30" s="63" t="str">
        <x:v>VisualRoot/Scarf</x:v>
      </x:c>
      <x:c r="D30" s="63" t="str">
        <x:v>root</x:v>
      </x:c>
      <x:c r="E30" s="63" t="str">
        <x:v>assets/art/characters/player/chr_player_capsule01_3d/chr_player_capsule01_root_top3d_v001.tscn</x:v>
      </x:c>
      <x:c r="F30" s="63" t="str">
        <x:v>隐藏兼容节点</x:v>
      </x:c>
      <x:c r="G30" s="63" t="str">
        <x:v>(0,1.32,0)</x:v>
      </x:c>
      <x:c r="H30" s="63" t="str">
        <x:v>随root</x:v>
      </x:c>
      <x:c r="I30" s="63" t="n">
        <x:v>2</x:v>
      </x:c>
      <x:c r="J30" s="63" t="str">
        <x:v>不参与当前轮廓</x:v>
      </x:c>
      <x:c r="K30" s="63" t="str">
        <x:v>旧场景兼容</x:v>
      </x:c>
      <x:c r="L30" s="63" t="str">
        <x:v>否</x:v>
      </x:c>
      <x:c r="M30" s="63" t="str">
        <x:v>可选；layer2；允许太阳/室内灯外部投影；玩家三灯不产生自身投影；GI禁用。</x:v>
      </x:c>
    </x:row>
    <x:row r="31" ht="104" customHeight="1">
      <x:c r="A31" s="70" t="str">
        <x:v>player_capsule01_bunny01_3d</x:v>
      </x:c>
      <x:c r="B31" s="70" t="str">
        <x:v>root</x:v>
      </x:c>
      <x:c r="C31" s="70" t="str">
        <x:v>Avatar3D/VisualRoot/BunnyRig</x:v>
      </x:c>
      <x:c r="D31" s="70" t="str">
        <x:v>player_root</x:v>
      </x:c>
      <x:c r="E31" s="70" t="str">
        <x:v>assets/art/characters/player/chr_player_capsule01_3d/variants/bunny01/chr_player_capsule01_bunny01_root_top3d_v006.tscn</x:v>
      </x:c>
      <x:c r="F31" s="70" t="str">
        <x:v>Node3D刚性骨架 / 完整视觉1.500m</x:v>
      </x:c>
      <x:c r="G31" s="70" t="str">
        <x:v>(0,0,0)</x:v>
      </x:c>
      <x:c r="H31" s="70" t="str">
        <x:v>整体随准星绕Y轴</x:v>
      </x:c>
      <x:c r="I31" s="70" t="n">
        <x:v>0</x:v>
      </x:c>
      <x:c r="J31" s="70" t="str">
        <x:v>八态整体 + falling收束/landing压缩回弹 + 动作覆盖</x:v>
      </x:c>
      <x:c r="K31" s="70" t="str">
        <x:v>Godot骨架根</x:v>
      </x:c>
      <x:c r="L31" s="70" t="str">
        <x:v>是</x:v>
      </x:c>
      <x:c r="M31" s="70" t="str">
        <x:v>v0.1：v006真实1.5m分体网格与AssetID不变；玩法碰撞位于Player3D/VirtualCollisionCapsule（height=1.5m、radius=0.34m）。falling/landing复用既有Body/Head/Hands/Feet/EarSocket关节。</x:v>
      </x:c>
    </x:row>
    <x:row r="32" ht="104" customHeight="1">
      <x:c r="A32" s="70" t="str">
        <x:v>player_capsule01_bunny01_3d</x:v>
      </x:c>
      <x:c r="B32" s="70" t="str">
        <x:v>body</x:v>
      </x:c>
      <x:c r="C32" s="70" t="str">
        <x:v>VisualRoot/BunnyRig/BodyJoint/Model</x:v>
      </x:c>
      <x:c r="D32" s="70" t="str">
        <x:v>BunnyRig</x:v>
      </x:c>
      <x:c r="E32" s="70" t="str">
        <x:v>assets/art/characters/player/chr_player_capsule01_3d/variants/bunny01/components/chr_player_capsule01_bunny01_body_top3d_v006.glb</x:v>
      </x:c>
      <x:c r="F32" s="70" t="str">
        <x:v>pivot-local GLB / 1.5m比例</x:v>
      </x:c>
      <x:c r="G32" s="70" t="str">
        <x:v>(-0.000030,0.155022,-0.000635)</x:v>
      </x:c>
      <x:c r="H32" s="70" t="str">
        <x:v>BodyJoint</x:v>
      </x:c>
      <x:c r="I32" s="70" t="n">
        <x:v>1</x:v>
      </x:c>
      <x:c r="J32" s="70" t="str">
        <x:v>呼吸/移动挤压/突进翻滚/受击</x:v>
      </x:c>
      <x:c r="K32" s="70" t="str">
        <x:v>身体组件</x:v>
      </x:c>
      <x:c r="L32" s="70" t="str">
        <x:v>是</x:v>
      </x:c>
      <x:c r="M32" s="70" t="str">
        <x:v>Blender原点：身体底部中心；v006真实1.5m几何。</x:v>
      </x:c>
    </x:row>
    <x:row r="33" ht="104" customHeight="1">
      <x:c r="A33" s="70" t="str">
        <x:v>player_capsule01_bunny01_3d</x:v>
      </x:c>
      <x:c r="B33" s="70" t="str">
        <x:v>head</x:v>
      </x:c>
      <x:c r="C33" s="70" t="str">
        <x:v>VisualRoot/BunnyRig/HeadJoint/Model</x:v>
      </x:c>
      <x:c r="D33" s="70" t="str">
        <x:v>BunnyRig</x:v>
      </x:c>
      <x:c r="E33" s="70" t="str">
        <x:v>assets/art/characters/player/chr_player_capsule01_3d/variants/bunny01/components/chr_player_capsule01_bunny01_head_top3d_v006.glb</x:v>
      </x:c>
      <x:c r="F33" s="70" t="str">
        <x:v>pivot-local GLB / 1.5m比例</x:v>
      </x:c>
      <x:c r="G33" s="70" t="str">
        <x:v>(-0.000028,0.477110,0.026431)</x:v>
      </x:c>
      <x:c r="H33" s="70" t="str">
        <x:v>HeadJoint</x:v>
      </x:c>
      <x:c r="I33" s="70" t="n">
        <x:v>3</x:v>
      </x:c>
      <x:c r="J33" s="70" t="str">
        <x:v>移动反相滞后/后坐/受击甩头</x:v>
      </x:c>
      <x:c r="K33" s="70" t="str">
        <x:v>头部组件</x:v>
      </x:c>
      <x:c r="L33" s="70" t="str">
        <x:v>是</x:v>
      </x:c>
      <x:c r="M33" s="70" t="str">
        <x:v>Blender原点：头部下沿中心；不含耳头顶1.103390m。</x:v>
      </x:c>
    </x:row>
    <x:row r="34" ht="104" customHeight="1">
      <x:c r="A34" s="70" t="str">
        <x:v>player_capsule01_bunny01_3d</x:v>
      </x:c>
      <x:c r="B34" s="70" t="str">
        <x:v>ear_l</x:v>
      </x:c>
      <x:c r="C34" s="70" t="str">
        <x:v>VisualRoot/BunnyRig/HeadJoint/Ears/EarSocketL/EarAccessory</x:v>
      </x:c>
      <x:c r="D34" s="70" t="str">
        <x:v>head</x:v>
      </x:c>
      <x:c r="E34" s="70" t="str">
        <x:v>assets/art/characters/player/chr_player_capsule01_3d/variants/bunny01/components/chr_player_capsule01_bunny01_ear_top3d_v006.glb</x:v>
      </x:c>
      <x:c r="F34" s="70" t="str">
        <x:v>pivot-local GLB × -X / 1.5m比例</x:v>
      </x:c>
      <x:c r="G34" s="70" t="str">
        <x:v>Head local (-0.245056,0.499653,-0.001671)</x:v>
      </x:c>
      <x:c r="H34" s="70" t="str">
        <x:v>继承HeadJoint</x:v>
      </x:c>
      <x:c r="I34" s="70" t="n">
        <x:v>4</x:v>
      </x:c>
      <x:c r="J34" s="70" t="str">
        <x:v>移动跟随/冲刺后压/受击收耳</x:v>
      </x:c>
      <x:c r="K34" s="70" t="str">
        <x:v>头部配件</x:v>
      </x:c>
      <x:c r="L34" s="70" t="str">
        <x:v>是</x:v>
      </x:c>
      <x:c r="M34" s="70" t="str">
        <x:v>复用语义右耳并在左挂点镜像；完整视觉顶部1.500m。</x:v>
      </x:c>
    </x:row>
    <x:row r="35" ht="104" customHeight="1">
      <x:c r="A35" s="70" t="str">
        <x:v>player_capsule01_bunny01_3d</x:v>
      </x:c>
      <x:c r="B35" s="70" t="str">
        <x:v>ear_r</x:v>
      </x:c>
      <x:c r="C35" s="70" t="str">
        <x:v>VisualRoot/BunnyRig/HeadJoint/Ears/EarSocketR/EarAccessory</x:v>
      </x:c>
      <x:c r="D35" s="70" t="str">
        <x:v>head</x:v>
      </x:c>
      <x:c r="E35" s="70" t="str">
        <x:v>assets/art/characters/player/chr_player_capsule01_3d/variants/bunny01/components/chr_player_capsule01_bunny01_ear_top3d_v006.glb</x:v>
      </x:c>
      <x:c r="F35" s="70" t="str">
        <x:v>pivot-local GLB / 1.5m比例</x:v>
      </x:c>
      <x:c r="G35" s="70" t="str">
        <x:v>Head local (0.245112,0.499653,-0.001671)</x:v>
      </x:c>
      <x:c r="H35" s="70" t="str">
        <x:v>继承HeadJoint</x:v>
      </x:c>
      <x:c r="I35" s="70" t="n">
        <x:v>4</x:v>
      </x:c>
      <x:c r="J35" s="70" t="str">
        <x:v>移动跟随/冲刺后压/受击收耳</x:v>
      </x:c>
      <x:c r="K35" s="70" t="str">
        <x:v>头部配件</x:v>
      </x:c>
      <x:c r="L35" s="70" t="str">
        <x:v>是</x:v>
      </x:c>
      <x:c r="M35" s="70" t="str">
        <x:v>语义右耳标准实例；完整视觉顶部1.500m。</x:v>
      </x:c>
    </x:row>
    <x:row r="36" ht="104" customHeight="1">
      <x:c r="A36" s="70" t="str">
        <x:v>player_capsule01_bunny01_3d</x:v>
      </x:c>
      <x:c r="B36" s="70" t="str">
        <x:v>hand_l</x:v>
      </x:c>
      <x:c r="C36" s="70" t="str">
        <x:v>VisualRoot/BunnyRig/HandRoot/HandJointL/Model</x:v>
      </x:c>
      <x:c r="D36" s="70" t="str">
        <x:v>BunnyRig</x:v>
      </x:c>
      <x:c r="E36" s="70" t="str">
        <x:v>assets/art/characters/player/chr_player_capsule01_3d/variants/bunny01/components/chr_player_capsule01_bunny01_hand_l_top3d_v006.glb</x:v>
      </x:c>
      <x:c r="F36" s="70" t="str">
        <x:v>pivot-local GLB / 1.5m比例</x:v>
      </x:c>
      <x:c r="G36" s="70" t="str">
        <x:v>Authored (-0.285833,0.321773,-0.014435); longgun support (0.121212,0.315152,-0.387879)</x:v>
      </x:c>
      <x:c r="H36" s="70" t="str">
        <x:v>HandRoot 独立左腕</x:v>
      </x:c>
      <x:c r="I36" s="70" t="n">
        <x:v>4</x:v>
      </x:c>
      <x:c r="J36" s="70" t="str">
        <x:v>手枪自由摆臂；长枪托举；换弹服务；双手枪后坐</x:v>
      </x:c>
      <x:c r="K36" s="70" t="str">
        <x:v>左手组件</x:v>
      </x:c>
      <x:c r="L36" s="70" t="str">
        <x:v>是</x:v>
      </x:c>
      <x:c r="M36" s="70" t="str">
        <x:v>手腕圆环近端轴心；网格、挂点与动作米制平移使用0.606060606比例。</x:v>
      </x:c>
    </x:row>
    <x:row r="37" ht="104" customHeight="1">
      <x:c r="A37" s="70" t="str">
        <x:v>player_capsule01_bunny01_3d</x:v>
      </x:c>
      <x:c r="B37" s="70" t="str">
        <x:v>hand_r</x:v>
      </x:c>
      <x:c r="C37" s="70" t="str">
        <x:v>VisualRoot/BunnyRig/HandRoot/HandJointR/Model</x:v>
      </x:c>
      <x:c r="D37" s="70" t="str">
        <x:v>BunnyRig</x:v>
      </x:c>
      <x:c r="E37" s="70" t="str">
        <x:v>assets/art/characters/player/chr_player_capsule01_3d/variants/bunny01/components/chr_player_capsule01_bunny01_hand_r_top3d_v006.glb</x:v>
      </x:c>
      <x:c r="F37" s="70" t="str">
        <x:v>pivot-local GLB / 1.5m比例</x:v>
      </x:c>
      <x:c r="G37" s="70" t="str">
        <x:v>Authored (0.285833,0.321773,-0.014435); sidearm (0.048485,0.339394,-0.296970)+socket X0.145455; longgun (0.078788,0.339394,-0.296970)</x:v>
      </x:c>
      <x:c r="H37" s="70" t="str">
        <x:v>HandRoot 独立右腕 / WeaponSocket 跟随</x:v>
      </x:c>
      <x:c r="I37" s="70" t="n">
        <x:v>4</x:v>
      </x:c>
      <x:c r="J37" s="70" t="str">
        <x:v>手枪/长枪主握把；独立跑步；武器差异射击后坐</x:v>
      </x:c>
      <x:c r="K37" s="70" t="str">
        <x:v>右手组件</x:v>
      </x:c>
      <x:c r="L37" s="70" t="str">
        <x:v>是</x:v>
      </x:c>
      <x:c r="M37" s="70" t="str">
        <x:v>右手主握把；持枪视觉与手/挂点使用同一0.606060606比例。</x:v>
      </x:c>
    </x:row>
    <x:row r="38" ht="104" customHeight="1">
      <x:c r="A38" s="70" t="str">
        <x:v>player_capsule01_bunny01_3d</x:v>
      </x:c>
      <x:c r="B38" s="70" t="str">
        <x:v>foot_l</x:v>
      </x:c>
      <x:c r="C38" s="70" t="str">
        <x:v>VisualRoot/BunnyRig/FeetRoot/FootJointL/Model</x:v>
      </x:c>
      <x:c r="D38" s="70" t="str">
        <x:v>FeetRoot</x:v>
      </x:c>
      <x:c r="E38" s="70" t="str">
        <x:v>assets/art/characters/player/chr_player_capsule01_3d/variants/bunny01/components/chr_player_capsule01_bunny01_foot_l_top3d_v006.glb</x:v>
      </x:c>
      <x:c r="F38" s="70" t="str">
        <x:v>pivot-local GLB / 1.5m比例</x:v>
      </x:c>
      <x:c r="G38" s="70" t="str">
        <x:v>(-0.129002,0,-0.010887)</x:v>
      </x:c>
      <x:c r="H38" s="70" t="str">
        <x:v>独立FootJointL</x:v>
      </x:c>
      <x:c r="I38" s="70" t="n">
        <x:v>1</x:v>
      </x:c>
      <x:c r="J38" s="70" t="str">
        <x:v>moving左脚/翻滚收腿/受击甩脚/falling收腿/landing压缩</x:v>
      </x:c>
      <x:c r="K38" s="70" t="str">
        <x:v>左脚组件</x:v>
      </x:c>
      <x:c r="L38" s="70" t="str">
        <x:v>是</x:v>
      </x:c>
      <x:c r="M38" s="70" t="str">
        <x:v>Blender原点：脚底中心；静态最低点Y=0；v0.1复用同一v006网格增加下落与落地程序动作。</x:v>
      </x:c>
    </x:row>
    <x:row r="39" ht="104" customHeight="1">
      <x:c r="A39" s="70" t="str">
        <x:v>player_capsule01_bunny01_3d</x:v>
      </x:c>
      <x:c r="B39" s="70" t="str">
        <x:v>foot_r</x:v>
      </x:c>
      <x:c r="C39" s="70" t="str">
        <x:v>VisualRoot/BunnyRig/FeetRoot/FootJointR/Model</x:v>
      </x:c>
      <x:c r="D39" s="70" t="str">
        <x:v>FeetRoot</x:v>
      </x:c>
      <x:c r="E39" s="70" t="str">
        <x:v>assets/art/characters/player/chr_player_capsule01_3d/variants/bunny01/components/chr_player_capsule01_bunny01_foot_r_top3d_v006.glb</x:v>
      </x:c>
      <x:c r="F39" s="70" t="str">
        <x:v>pivot-local GLB / 1.5m比例</x:v>
      </x:c>
      <x:c r="G39" s="70" t="str">
        <x:v>(0.129002,0,-0.010887)</x:v>
      </x:c>
      <x:c r="H39" s="70" t="str">
        <x:v>独立FootJointR</x:v>
      </x:c>
      <x:c r="I39" s="70" t="n">
        <x:v>1</x:v>
      </x:c>
      <x:c r="J39" s="70" t="str">
        <x:v>moving右脚/翻滚收腿/受击甩脚/falling收腿/landing压缩</x:v>
      </x:c>
      <x:c r="K39" s="70" t="str">
        <x:v>右脚组件</x:v>
      </x:c>
      <x:c r="L39" s="70" t="str">
        <x:v>是</x:v>
      </x:c>
      <x:c r="M39" s="70" t="str">
        <x:v>Blender原点：脚底中心；静态最低点Y=0；v0.1复用同一v006网格增加下落与落地程序动作。</x:v>
      </x:c>
    </x:row>
    <x:row r="40">
      <x:c r="A40" t="str">
        <x:v>player_capsule01_3d</x:v>
      </x:c>
      <x:c r="B40" t="str">
        <x:v>weapon_stow_primary</x:v>
      </x:c>
      <x:c r="C40" t="str">
        <x:v>VisualRoot/BunnyRig/StowedWeaponSocketPrimary</x:v>
      </x:c>
      <x:c r="D40" t="str">
        <x:v>root</x:v>
      </x:c>
      <x:c r="E40" t="str">
        <x:v>无纹理</x:v>
      </x:c>
      <x:c r="F40" t="str">
        <x:v>Marker3D</x:v>
      </x:c>
      <x:c r="G40" t="str">
        <x:v>(-0.42,1.12,0.25)</x:v>
      </x:c>
      <x:c r="H40" t="str">
        <x:v>随root；local -Z枪口轴转向世界下方</x:v>
      </x:c>
      <x:c r="I40" t="str">
        <x:v>5</x:v>
      </x:c>
      <x:c r="J40" t="str">
        <x:v>主武器未激活时背部左侧收纳</x:v>
      </x:c>
      <x:c r="K40" t="str">
        <x:v>武器系统</x:v>
      </x:c>
      <x:c r="L40" t="str">
        <x:v>是</x:v>
      </x:c>
      <x:c r="M40" t="str">
        <x:v>主武器槽0专属；枪口朝下；回退节点VisualRoot/StowedWeaponSocketPrimary</x:v>
      </x:c>
    </x:row>
    <x:row r="41">
      <x:c r="A41" t="str">
        <x:v>player_capsule01_3d</x:v>
      </x:c>
      <x:c r="B41" t="str">
        <x:v>weapon_stow_secondary</x:v>
      </x:c>
      <x:c r="C41" t="str">
        <x:v>VisualRoot/BunnyRig/StowedWeaponSocketSecondary</x:v>
      </x:c>
      <x:c r="D41" t="str">
        <x:v>root</x:v>
      </x:c>
      <x:c r="E41" t="str">
        <x:v>无纹理</x:v>
      </x:c>
      <x:c r="F41" t="str">
        <x:v>Marker3D</x:v>
      </x:c>
      <x:c r="G41" t="str">
        <x:v>(0.42,1.12,0.25)</x:v>
      </x:c>
      <x:c r="H41" t="str">
        <x:v>随root；local -Z枪口轴转向世界下方</x:v>
      </x:c>
      <x:c r="I41" t="str">
        <x:v>5</x:v>
      </x:c>
      <x:c r="J41" t="str">
        <x:v>副武器未激活时背部右侧收纳</x:v>
      </x:c>
      <x:c r="K41" t="str">
        <x:v>武器系统</x:v>
      </x:c>
      <x:c r="L41" t="str">
        <x:v>是</x:v>
      </x:c>
      <x:c r="M41" t="str">
        <x:v>副武器槽1专属；枪口朝下；回退节点VisualRoot/StowedWeaponSocketSecondary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42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74" customHeight="1">
      <x:c r="A3" s="96" t="str">
        <x:v>Player3D 八态状态机 × 组件表现（falling/landing为真实垂直物理顶层状态）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0"/>
      <x:c r="L4" s="70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</x:v>
      </x:c>
      <x:c r="I5" s="29" t="str">
        <x:v>Hand R / WeaponSocket</x:v>
      </x:c>
      <x:c r="J5" s="29" t="str">
        <x:v>Scarf</x:v>
      </x:c>
      <x:c r="K5" s="29" t="str">
        <x:v>VFX/UI</x:v>
      </x:c>
      <x:c r="L5" s="30" t="str">
        <x:v>首版实现</x:v>
      </x:c>
    </x:row>
    <x:row r="6" ht="58" customHeight="1">
      <x:c r="A6" s="100" t="str">
        <x:v>顶层</x:v>
      </x:c>
      <x:c r="B6" s="100" t="str">
        <x:v>idle</x:v>
      </x:c>
      <x:c r="C6" s="100" t="str">
        <x:v>待命</x:v>
      </x:c>
      <x:c r="D6" s="100" t="str">
        <x:v>start/moving/hurt/locked/landing</x:v>
      </x:c>
      <x:c r="E6" s="100" t="str">
        <x:v>moving,dashing,hurt,locked,falling,dead</x:v>
      </x:c>
      <x:c r="F6" s="100" t="str">
        <x:v>约2.38s呼吸挤压；半速重心换脚；躯干轻微侧移</x:v>
      </x:c>
      <x:c r="G6" s="100" t="str">
        <x:v>与身体反相缩放；反向滞后保持头重感</x:v>
      </x:c>
      <x:c r="H6" s="100" t="str">
        <x:v>手枪自由左手轻摆；长枪左手保持托举</x:v>
      </x:c>
      <x:c r="I6" s="100" t="str">
        <x:v>握持手与 WeaponSocket 同步稳定呼吸，不脱离握把</x:v>
      </x:c>
      <x:c r="J6" s="100" t="str">
        <x:v>低频错相轻摆</x:v>
      </x:c>
      <x:c r="K6" s="100" t="str">
        <x:v>HUD 待命；无新增VFX</x:v>
      </x:c>
      <x:c r="L6" s="100" t="str">
        <x:v>八态 StateMachine 的 idle 唯一驱动；idle_cycle 推进呼吸/换脚；双耳错相并偶发单耳轻弹；moving 本帧归零，停下后恢复</x:v>
      </x:c>
    </x:row>
    <x:row r="7">
      <x:c r="A7" s="101" t="str">
        <x:v>顶层</x:v>
      </x:c>
      <x:c r="B7" s="101" t="str">
        <x:v>moving</x:v>
      </x:c>
      <x:c r="C7" s="101" t="str">
        <x:v>机动</x:v>
      </x:c>
      <x:c r="D7" s="101" t="str">
        <x:v>idle/dashing/hurt/locked/landing</x:v>
      </x:c>
      <x:c r="E7" s="101" t="str">
        <x:v>idle,dashing,hurt,locked,falling,dead</x:v>
      </x:c>
      <x:c r="F7" s="101" t="str">
        <x:v>位移驱动弹跳/压缩回弹</x:v>
      </x:c>
      <x:c r="G7" s="101" t="str">
        <x:v>较小反相滞后</x:v>
      </x:c>
      <x:c r="H7" s="101" t="str">
        <x:v>手枪自由左手大幅反摆；长枪左手锁定托举</x:v>
      </x:c>
      <x:c r="I7" s="101" t="str">
        <x:v>手枪右手与右侧挂点紧凑起伏；长枪双手/挂点收胸跑</x:v>
      </x:c>
      <x:c r="J7" s="101" t="str">
        <x:v>周期滞后</x:v>
      </x:c>
      <x:c r="K7" s="101" t="str">
        <x:v>地面划痕</x:v>
      </x:c>
      <x:c r="L7" s="101" t="str">
        <x:v>位移驱动独立循环；WeaponPoseFSM 进入 sidearm_run 或 longgun_run；双脚交替，单手/双手剪影分离</x:v>
      </x:c>
    </x:row>
    <x:row r="8" ht="56" customHeight="1">
      <x:c r="A8" s="101" t="str">
        <x:v>顶层</x:v>
      </x:c>
      <x:c r="B8" s="101" t="str">
        <x:v>dashing</x:v>
      </x:c>
      <x:c r="C8" s="101" t="str">
        <x:v>突进</x:v>
      </x:c>
      <x:c r="D8" s="101" t="str">
        <x:v>idle/moving</x:v>
      </x:c>
      <x:c r="E8" s="101" t="str">
        <x:v>idle,moving,hurt,locked,falling,dead</x:v>
      </x:c>
      <x:c r="F8" s="101" t="str">
        <x:v>压缩成团并绕半高轴完整前滚</x:v>
      </x:c>
      <x:c r="G8" s="101" t="str">
        <x:v>随整体轴心翻滚，耳朵大幅后压</x:v>
      </x:c>
      <x:c r="H8" s="101" t="str">
        <x:v>按当前武器握持数收束；自由左手随整体抱团</x:v>
      </x:c>
      <x:c r="I8" s="101" t="str">
        <x:v>右手握把与 WeaponSocket 同轴完整翻滚</x:v>
      </x:c>
      <x:c r="J8" s="101" t="str">
        <x:v>随整体收束</x:v>
      </x:c>
      <x:c r="K8" s="101" t="str">
        <x:v>青色尾迹</x:v>
      </x:c>
      <x:c r="L8" s="101" t="str">
        <x:v>0.17s 内完成 360° 本地X前滚；用半高轴心补偿避免钻地；夸张压缩与抛物线位移</x:v>
      </x:c>
    </x:row>
    <x:row r="9" ht="56" customHeight="1">
      <x:c r="A9" s="101" t="str">
        <x:v>顶层</x:v>
      </x:c>
      <x:c r="B9" s="101" t="str">
        <x:v>hurt</x:v>
      </x:c>
      <x:c r="C9" s="101" t="str">
        <x:v>受创</x:v>
      </x:c>
      <x:c r="D9" s="101" t="str">
        <x:v>任意存活态</x:v>
      </x:c>
      <x:c r="E9" s="101" t="str">
        <x:v>idle,moving,locked,falling,dead</x:v>
      </x:c>
      <x:c r="F9" s="101" t="str">
        <x:v>三段压扁/抬起/过冲回正</x:v>
      </x:c>
      <x:c r="G9" s="101" t="str">
        <x:v>大幅后仰甩头 + 反向过冲</x:v>
      </x:c>
      <x:c r="H9" s="101" t="str">
        <x:v>手枪左手自由外甩；长枪左手回护木</x:v>
      </x:c>
      <x:c r="I9" s="101" t="str">
        <x:v>右手/WeaponSocket 同相后退，握把不脱离</x:v>
      </x:c>
      <x:c r="J9" s="101" t="str">
        <x:v>冲击滞后</x:v>
      </x:c>
      <x:c r="K9" s="101" t="str">
        <x:v>红闪/击退轨迹</x:v>
      </x:c>
      <x:c r="L9" s="101" t="str">
        <x:v>真实命中方向 + 受击进度关键姿势；头、双脚、双耳使用独立夸张回弹</x:v>
      </x:c>
    </x:row>
    <x:row r="10">
      <x:c r="A10" s="101" t="str">
        <x:v>顶层</x:v>
      </x:c>
      <x:c r="B10" s="101" t="str">
        <x:v>locked</x:v>
      </x:c>
      <x:c r="C10" s="101" t="str">
        <x:v>交互锁定</x:v>
      </x:c>
      <x:c r="D10" s="101" t="str">
        <x:v>任意存活态/landing</x:v>
      </x:c>
      <x:c r="E10" s="101" t="str">
        <x:v>idle,moving,hurt,falling,dead</x:v>
      </x:c>
      <x:c r="F10" s="101" t="str">
        <x:v>降亮稳定</x:v>
      </x:c>
      <x:c r="G10" s="101" t="str">
        <x:v>稳定</x:v>
      </x:c>
      <x:c r="H10" s="101" t="str">
        <x:v>稳定</x:v>
      </x:c>
      <x:c r="I10" s="101" t="str">
        <x:v>保持握持</x:v>
      </x:c>
      <x:c r="J10" s="101" t="str">
        <x:v>低摆</x:v>
      </x:c>
      <x:c r="K10" s="101" t="str">
        <x:v>琥珀锁定环</x:v>
      </x:c>
      <x:c r="L10" s="101" t="str">
        <x:v>降亮 + 锁定环；保持刚性层级</x:v>
      </x:c>
    </x:row>
    <x:row r="11" ht="92" customHeight="1">
      <x:c r="A11" s="101" t="str">
        <x:v>顶层</x:v>
      </x:c>
      <x:c r="B11" s="101" t="str">
        <x:v>falling</x:v>
      </x:c>
      <x:c r="C11" s="101" t="str">
        <x:v>下落</x:v>
      </x:c>
      <x:c r="D11" s="101" t="str">
        <x:v>idle/moving/dashing/hurt/locked</x:v>
      </x:c>
      <x:c r="E11" s="101" t="str">
        <x:v>landing,hurt,dead</x:v>
      </x:c>
      <x:c r="F11" s="101" t="str">
        <x:v>随下落速度轻微纵向拉长</x:v>
      </x:c>
      <x:c r="G11" s="101" t="str">
        <x:v>滞后上扬，保持头重感</x:v>
      </x:c>
      <x:c r="H11" s="101" t="str">
        <x:v>手枪自由手收束；长枪托举手不脱离</x:v>
      </x:c>
      <x:c r="I11" s="101" t="str">
        <x:v>握持手与WeaponSocket保持同相</x:v>
      </x:c>
      <x:c r="J11" s="101" t="str">
        <x:v>向上滞后</x:v>
      </x:c>
      <x:c r="K11" s="101" t="str">
        <x:v>无新增VFX</x:v>
      </x:c>
      <x:c r="L11" s="101" t="str">
        <x:v>真实重力+0.10s离地容错；双脚收起、双耳后压；楼梯接缝不误触发</x:v>
      </x:c>
    </x:row>
    <x:row r="12" ht="92" customHeight="1">
      <x:c r="A12" s="101" t="str">
        <x:v>顶层</x:v>
      </x:c>
      <x:c r="B12" s="101" t="str">
        <x:v>landing</x:v>
      </x:c>
      <x:c r="C12" s="101" t="str">
        <x:v>落地</x:v>
      </x:c>
      <x:c r="D12" s="101" t="str">
        <x:v>falling</x:v>
      </x:c>
      <x:c r="E12" s="101" t="str">
        <x:v>idle,moving,locked,falling,hurt,dead</x:v>
      </x:c>
      <x:c r="F12" s="101" t="str">
        <x:v>按冲击速度压缩并回弹</x:v>
      </x:c>
      <x:c r="G12" s="101" t="str">
        <x:v>轻微下压后恢复</x:v>
      </x:c>
      <x:c r="H12" s="101" t="str">
        <x:v>随整体吸收冲击</x:v>
      </x:c>
      <x:c r="I12" s="101" t="str">
        <x:v>握持手与WeaponSocket同相稳定</x:v>
      </x:c>
      <x:c r="J12" s="101" t="str">
        <x:v>短促回摆</x:v>
      </x:c>
      <x:c r="K12" s="101" t="str">
        <x:v>落地停顿</x:v>
      </x:c>
      <x:c r="L12" s="101" t="str">
        <x:v>冲击速度映射0.12—0.30s硬直；状态计时结束后恢复地面移动</x:v>
      </x:c>
    </x:row>
    <x:row r="13">
      <x:c r="A13" s="101" t="str">
        <x:v>顶层</x:v>
      </x:c>
      <x:c r="B13" s="101" t="str">
        <x:v>dead</x:v>
      </x:c>
      <x:c r="C13" s="101" t="str">
        <x:v>生命终止</x:v>
      </x:c>
      <x:c r="D13" s="101" t="str">
        <x:v>任意存活态</x:v>
      </x:c>
      <x:c r="E13" s="101" t="str">
        <x:v>无（终态）</x:v>
      </x:c>
      <x:c r="F13" s="101" t="str">
        <x:v>倾倒熄灭</x:v>
      </x:c>
      <x:c r="G13" s="101" t="str">
        <x:v>随整体倾倒</x:v>
      </x:c>
      <x:c r="H13" s="101" t="str">
        <x:v>随整体倾倒</x:v>
      </x:c>
      <x:c r="I13" s="101" t="str">
        <x:v>随整体倾倒</x:v>
      </x:c>
      <x:c r="J13" s="101" t="str">
        <x:v>停止</x:v>
      </x:c>
      <x:c r="K13" s="101" t="str">
        <x:v>HUD 终止</x:v>
      </x:c>
      <x:c r="L13" s="101" t="str">
        <x:v>整体倾倒；耳朵与肢体跟随关节</x:v>
      </x:c>
    </x:row>
    <x:row r="14">
      <x:c r="A14" s="101" t="str">
        <x:v>叠加</x:v>
      </x:c>
      <x:c r="B14" s="101" t="str">
        <x:v>low_health</x:v>
      </x:c>
      <x:c r="C14" s="101" t="str">
        <x:v>低血</x:v>
      </x:c>
      <x:c r="D14" s="101" t="str">
        <x:v>任意存活态</x:v>
      </x:c>
      <x:c r="E14" s="101" t="str">
        <x:v>不改变顶层</x:v>
      </x:c>
      <x:c r="F14" s="101" t="str">
        <x:v>不变</x:v>
      </x:c>
      <x:c r="G14" s="101" t="str">
        <x:v>不变</x:v>
      </x:c>
      <x:c r="H14" s="101" t="str">
        <x:v>保持当前动作</x:v>
      </x:c>
      <x:c r="I14" s="101" t="str">
        <x:v>保持当前动作</x:v>
      </x:c>
      <x:c r="J14" s="101" t="str">
        <x:v>不变</x:v>
      </x:c>
      <x:c r="K14" s="101" t="str">
        <x:v>红色呼吸环</x:v>
      </x:c>
      <x:c r="L14" s="101" t="str">
        <x:v>HP≤30%</x:v>
      </x:c>
    </x:row>
    <x:row r="15" ht="56" customHeight="1">
      <x:c r="A15" s="70" t="str">
        <x:v>叠加</x:v>
      </x:c>
      <x:c r="B15" s="70" t="str">
        <x:v>silenced</x:v>
      </x:c>
      <x:c r="C15" s="70" t="str">
        <x:v>沉默</x:v>
      </x:c>
      <x:c r="D15" s="70" t="str">
        <x:v>任意存活态</x:v>
      </x:c>
      <x:c r="E15" s="70" t="str">
        <x:v>不改变顶层</x:v>
      </x:c>
      <x:c r="F15" s="70" t="str">
        <x:v>降饱和可选</x:v>
      </x:c>
      <x:c r="G15" s="70" t="str">
        <x:v>传感器干扰</x:v>
      </x:c>
      <x:c r="H15" s="70" t="str">
        <x:v>保持当前动作</x:v>
      </x:c>
      <x:c r="I15" s="70" t="str">
        <x:v>保持当前动作</x:v>
      </x:c>
      <x:c r="J15" s="70" t="str">
        <x:v>不变</x:v>
      </x:c>
      <x:c r="K15" s="70" t="str">
        <x:v>紫色干扰环</x:v>
      </x:c>
      <x:c r="L15" s="70" t="str">
        <x:v>计时标志</x:v>
      </x:c>
    </x:row>
    <x:row r="16" ht="28" customHeight="1">
      <x:c r="A16" s="97" t="str">
        <x:v>叠加</x:v>
      </x:c>
      <x:c r="B16" s="97" t="str">
        <x:v>invincible</x:v>
      </x:c>
      <x:c r="C16" s="97" t="str">
        <x:v>无敌</x:v>
      </x:c>
      <x:c r="D16" s="97" t="str">
        <x:v>dash/hurt</x:v>
      </x:c>
      <x:c r="E16" s="97" t="str">
        <x:v>不改变顶层</x:v>
      </x:c>
      <x:c r="F16" s="97" t="str">
        <x:v>闪烁</x:v>
      </x:c>
      <x:c r="G16" s="97" t="str">
        <x:v>闪烁</x:v>
      </x:c>
      <x:c r="H16" s="97" t="str">
        <x:v>保持当前动作</x:v>
      </x:c>
      <x:c r="I16" s="97" t="str">
        <x:v>保持当前动作</x:v>
      </x:c>
      <x:c r="J16" s="97" t="str">
        <x:v>闪烁</x:v>
      </x:c>
      <x:c r="K16" s="97" t="str">
        <x:v>透明闪烁</x:v>
      </x:c>
      <x:c r="L16" s="97" t="str">
        <x:v>InvincibleTimer 唯一解除</x:v>
      </x:c>
    </x:row>
    <x:row r="17" ht="36" customHeight="1">
      <x:c r="A17" s="70" t="str">
        <x:v>叠加</x:v>
      </x:c>
      <x:c r="B17" s="70" t="str">
        <x:v>reloading</x:v>
      </x:c>
      <x:c r="C17" s="70" t="str">
        <x:v>换弹</x:v>
      </x:c>
      <x:c r="D17" s="70" t="str">
        <x:v>任意持枪存活态</x:v>
      </x:c>
      <x:c r="E17" s="70" t="str">
        <x:v>不改变顶层；完成/取消退出</x:v>
      </x:c>
      <x:c r="F17" s="70" t="str">
        <x:v>保持当前顶层</x:v>
      </x:c>
      <x:c r="G17" s="70" t="str">
        <x:v>保持当前顶层</x:v>
      </x:c>
      <x:c r="H17" s="70" t="str">
        <x:v>手枪左手近身取弹但不计握持；长枪左手离开护木服务</x:v>
      </x:c>
      <x:c r="I17" s="70" t="str">
        <x:v>右手持续握把并跟随 WeaponSocket 下压/回位</x:v>
      </x:c>
      <x:c r="J17" s="70" t="str">
        <x:v>保持当前顶层</x:v>
      </x:c>
      <x:c r="K17" s="70" t="str">
        <x:v>3D头顶billboard进度条；2D弹药栏</x:v>
      </x:c>
      <x:c r="L17" s="70" t="str">
        <x:v>WeaponModel3D 唯一计时源；WeaponPoseFSM 进入 sidearm_reload/longgun_reload；右手保持握把，左手按武器类型服务</x:v>
      </x:c>
    </x:row>
    <x:row r="18" ht="42" customHeight="1">
      <x:c r="A18" s="70" t="str">
        <x:v>Enemy3D 九态状态机 × 模块表现 × 模型轮廓碰撞</x:v>
      </x:c>
      <x:c r="B18" s="70"/>
      <x:c r="C18" s="70"/>
      <x:c r="D18" s="70"/>
      <x:c r="E18" s="70"/>
      <x:c r="F18" s="70"/>
      <x:c r="G18" s="70"/>
      <x:c r="H18" s="70"/>
      <x:c r="I18" s="70"/>
      <x:c r="J18" s="70"/>
      <x:c r="K18" s="70"/>
      <x:c r="L18" s="70"/>
    </x:row>
    <x:row r="19" ht="42" customHeight="1">
      <x:c r="A19" s="70" t="str">
        <x:v>层级</x:v>
      </x:c>
      <x:c r="B19" s="70" t="str">
        <x:v>状态ID</x:v>
      </x:c>
      <x:c r="C19" s="70" t="str">
        <x:v>中文名</x:v>
      </x:c>
      <x:c r="D19" s="70" t="str">
        <x:v>允许来源</x:v>
      </x:c>
      <x:c r="E19" s="70" t="str">
        <x:v>允许去向</x:v>
      </x:c>
      <x:c r="F19" s="70" t="str">
        <x:v>Core</x:v>
      </x:c>
      <x:c r="G19" s="70" t="str">
        <x:v>Shell</x:v>
      </x:c>
      <x:c r="H19" s="70" t="str">
        <x:v>Appendages</x:v>
      </x:c>
      <x:c r="I19" s="70" t="str">
        <x:v>StateVFX</x:v>
      </x:c>
      <x:c r="J19" s="70" t="str">
        <x:v>行为职责</x:v>
      </x:c>
      <x:c r="K19" s="70" t="str">
        <x:v>验收</x:v>
      </x:c>
      <x:c r="L19" s="70" t="str">
        <x:v>首版实现</x:v>
      </x:c>
    </x:row>
    <x:row r="20" ht="42" customHeight="1">
      <x:c r="A20" s="70" t="str">
        <x:v>顶层</x:v>
      </x:c>
      <x:c r="B20" s="70" t="str">
        <x:v>idle</x:v>
      </x:c>
      <x:c r="C20" s="70" t="str">
        <x:v>待机</x:v>
      </x:c>
      <x:c r="D20" s="70" t="str">
        <x:v>start/patrol/stagger</x:v>
      </x:c>
      <x:c r="E20" s="70" t="str">
        <x:v>patrol/alert/dead</x:v>
      </x:c>
      <x:c r="F20" s="70" t="str">
        <x:v>低频脉冲</x:v>
      </x:c>
      <x:c r="G20" s="70" t="str">
        <x:v>轻浮动</x:v>
      </x:c>
      <x:c r="H20" s="70" t="str">
        <x:v>低速</x:v>
      </x:c>
      <x:c r="I20" s="70" t="str">
        <x:v>关闭</x:v>
      </x:c>
      <x:c r="J20" s="70" t="str">
        <x:v>等待目标</x:v>
      </x:c>
      <x:c r="K20" s="70" t="str">
        <x:v>静态轮廓可读</x:v>
      </x:c>
      <x:c r="L20" s="70" t="str">
        <x:v>模块变换</x:v>
      </x:c>
    </x:row>
    <x:row r="21" ht="42" customHeight="1">
      <x:c r="A21" s="70" t="str">
        <x:v>顶层</x:v>
      </x:c>
      <x:c r="B21" s="70" t="str">
        <x:v>patrol</x:v>
      </x:c>
      <x:c r="C21" s="70" t="str">
        <x:v>巡逻</x:v>
      </x:c>
      <x:c r="D21" s="70" t="str">
        <x:v>idle/search</x:v>
      </x:c>
      <x:c r="E21" s="70" t="str">
        <x:v>idle/alert/stagger/dead</x:v>
      </x:c>
      <x:c r="F21" s="70" t="str">
        <x:v>低频脉冲</x:v>
      </x:c>
      <x:c r="G21" s="70" t="str">
        <x:v>朝巡逻点</x:v>
      </x:c>
      <x:c r="H21" s="70" t="str">
        <x:v>慢速步态</x:v>
      </x:c>
      <x:c r="I21" s="70" t="str">
        <x:v>关闭</x:v>
      </x:c>
      <x:c r="J21" s="70" t="str">
        <x:v>出生点附近巡逻</x:v>
      </x:c>
      <x:c r="K21" s="70" t="str">
        <x:v>无目标不原地僵住</x:v>
      </x:c>
      <x:c r="L21" s="70" t="str">
        <x:v>CharacterBody3D</x:v>
      </x:c>
    </x:row>
    <x:row r="22" ht="42" customHeight="1">
      <x:c r="A22" s="70" t="str">
        <x:v>顶层</x:v>
      </x:c>
      <x:c r="B22" s="70" t="str">
        <x:v>alert</x:v>
      </x:c>
      <x:c r="C22" s="70" t="str">
        <x:v>警觉</x:v>
      </x:c>
      <x:c r="D22" s="70" t="str">
        <x:v>idle/patrol/search</x:v>
      </x:c>
      <x:c r="E22" s="70" t="str">
        <x:v>chase/stagger/dead</x:v>
      </x:c>
      <x:c r="F22" s="70" t="str">
        <x:v>加速</x:v>
      </x:c>
      <x:c r="G22" s="70" t="str">
        <x:v>抬升</x:v>
      </x:c>
      <x:c r="H22" s="70" t="str">
        <x:v>展开</x:v>
      </x:c>
      <x:c r="I22" s="70" t="str">
        <x:v>关闭</x:v>
      </x:c>
      <x:c r="J22" s="70" t="str">
        <x:v>发现玩家</x:v>
      </x:c>
      <x:c r="K22" s="70" t="str">
        <x:v>0.28s响应</x:v>
      </x:c>
      <x:c r="L22" s="70" t="str">
        <x:v>模块变换</x:v>
      </x:c>
    </x:row>
    <x:row r="23" ht="42" customHeight="1">
      <x:c r="A23" s="70" t="str">
        <x:v>顶层</x:v>
      </x:c>
      <x:c r="B23" s="70" t="str">
        <x:v>chase</x:v>
      </x:c>
      <x:c r="C23" s="70" t="str">
        <x:v>追击</x:v>
      </x:c>
      <x:c r="D23" s="70" t="str">
        <x:v>alert/attack/stagger</x:v>
      </x:c>
      <x:c r="E23" s="70" t="str">
        <x:v>search/telegraph/stagger/dead</x:v>
      </x:c>
      <x:c r="F23" s="70" t="str">
        <x:v>稳定</x:v>
      </x:c>
      <x:c r="G23" s="70" t="str">
        <x:v>朝目标</x:v>
      </x:c>
      <x:c r="H23" s="70" t="str">
        <x:v>步态</x:v>
      </x:c>
      <x:c r="I23" s="70" t="str">
        <x:v>关闭</x:v>
      </x:c>
      <x:c r="J23" s="70" t="str">
        <x:v>距离控制</x:v>
      </x:c>
      <x:c r="K23" s="70" t="str">
        <x:v>七类速度差</x:v>
      </x:c>
      <x:c r="L23" s="70" t="str">
        <x:v>CharacterBody3D</x:v>
      </x:c>
    </x:row>
    <x:row r="24" ht="42" customHeight="1">
      <x:c r="A24" s="70" t="str">
        <x:v>顶层</x:v>
      </x:c>
      <x:c r="B24" s="70" t="str">
        <x:v>search</x:v>
      </x:c>
      <x:c r="C24" s="70" t="str">
        <x:v>搜索</x:v>
      </x:c>
      <x:c r="D24" s="70" t="str">
        <x:v>chase</x:v>
      </x:c>
      <x:c r="E24" s="70" t="str">
        <x:v>patrol/alert/stagger/dead</x:v>
      </x:c>
      <x:c r="F24" s="70" t="str">
        <x:v>渐缓</x:v>
      </x:c>
      <x:c r="G24" s="70" t="str">
        <x:v>朝最后位置</x:v>
      </x:c>
      <x:c r="H24" s="70" t="str">
        <x:v>搜索步态</x:v>
      </x:c>
      <x:c r="I24" s="70" t="str">
        <x:v>搜索提示</x:v>
      </x:c>
      <x:c r="J24" s="70" t="str">
        <x:v>失去视线后搜索</x:v>
      </x:c>
      <x:c r="K24" s="70" t="str">
        <x:v>2.4s后回巡逻</x:v>
      </x:c>
      <x:c r="L24" s="70" t="str">
        <x:v>射线+最后位置</x:v>
      </x:c>
    </x:row>
    <x:row r="25">
      <x:c r="A25" s="70" t="str">
        <x:v>顶层</x:v>
      </x:c>
      <x:c r="B25" s="70" t="str">
        <x:v>telegraph</x:v>
      </x:c>
      <x:c r="C25" s="70" t="str">
        <x:v>预警</x:v>
      </x:c>
      <x:c r="D25" s="70" t="str">
        <x:v>chase</x:v>
      </x:c>
      <x:c r="E25" s="70" t="str">
        <x:v>attack/stagger/dead</x:v>
      </x:c>
      <x:c r="F25" s="70" t="str">
        <x:v>高频脉冲</x:v>
      </x:c>
      <x:c r="G25" s="70" t="str">
        <x:v>稳定</x:v>
      </x:c>
      <x:c r="H25" s="70" t="str">
        <x:v>蓄势</x:v>
      </x:c>
      <x:c r="I25" s="70" t="str">
        <x:v>红色预警环</x:v>
      </x:c>
      <x:c r="J25" s="70" t="str">
        <x:v>攻击前摇</x:v>
      </x:c>
      <x:c r="K25" s="70" t="str">
        <x:v>不可省略</x:v>
      </x:c>
      <x:c r="L25" s="70" t="str">
        <x:v>计时状态</x:v>
      </x:c>
    </x:row>
    <x:row r="26">
      <x:c r="A26" s="70" t="str">
        <x:v>顶层</x:v>
      </x:c>
      <x:c r="B26" s="70" t="str">
        <x:v>attack</x:v>
      </x:c>
      <x:c r="C26" s="70" t="str">
        <x:v>攻击</x:v>
      </x:c>
      <x:c r="D26" s="70" t="str">
        <x:v>telegraph</x:v>
      </x:c>
      <x:c r="E26" s="70" t="str">
        <x:v>chase/stagger/dead</x:v>
      </x:c>
      <x:c r="F26" s="70" t="str">
        <x:v>峰值</x:v>
      </x:c>
      <x:c r="G26" s="70" t="str">
        <x:v>反冲</x:v>
      </x:c>
      <x:c r="H26" s="70" t="str">
        <x:v>执行</x:v>
      </x:c>
      <x:c r="I26" s="70" t="str">
        <x:v>按攻击类型</x:v>
      </x:c>
      <x:c r="J26" s="70" t="str">
        <x:v>近战/远程/召唤/爆炸</x:v>
      </x:c>
      <x:c r="K26" s="70" t="str">
        <x:v>七类差异</x:v>
      </x:c>
      <x:c r="L26" s="70" t="str">
        <x:v>profile策略</x:v>
      </x:c>
    </x:row>
    <x:row r="27">
      <x:c r="A27" s="70" t="str">
        <x:v>顶层</x:v>
      </x:c>
      <x:c r="B27" s="70" t="str">
        <x:v>stagger</x:v>
      </x:c>
      <x:c r="C27" s="70" t="str">
        <x:v>硬直</x:v>
      </x:c>
      <x:c r="D27" s="70" t="str">
        <x:v>任意存活态</x:v>
      </x:c>
      <x:c r="E27" s="70" t="str">
        <x:v>chase/dead</x:v>
      </x:c>
      <x:c r="F27" s="70" t="str">
        <x:v>闪色</x:v>
      </x:c>
      <x:c r="G27" s="70" t="str">
        <x:v>冲击</x:v>
      </x:c>
      <x:c r="H27" s="70" t="str">
        <x:v>暂停</x:v>
      </x:c>
      <x:c r="I27" s="70" t="str">
        <x:v>伤害反馈</x:v>
      </x:c>
      <x:c r="J27" s="70" t="str">
        <x:v>受击窗口</x:v>
      </x:c>
      <x:c r="K27" s="70" t="str">
        <x:v>方向可读</x:v>
      </x:c>
      <x:c r="L27" s="70" t="str">
        <x:v>统一伤害入口</x:v>
      </x:c>
    </x:row>
    <x:row r="28" ht="38" customHeight="1">
      <x:c r="A28" s="102" t="str">
        <x:v>顶层</x:v>
      </x:c>
      <x:c r="B28" s="102" t="str">
        <x:v>dead</x:v>
      </x:c>
      <x:c r="C28" s="102" t="str">
        <x:v>死亡</x:v>
      </x:c>
      <x:c r="D28" s="102" t="str">
        <x:v>任意存活态</x:v>
      </x:c>
      <x:c r="E28" s="102" t="str">
        <x:v>无（终态）</x:v>
      </x:c>
      <x:c r="F28" s="102" t="str">
        <x:v>熄灭</x:v>
      </x:c>
      <x:c r="G28" s="102" t="str">
        <x:v>压扁</x:v>
      </x:c>
      <x:c r="H28" s="102" t="str">
        <x:v>停止</x:v>
      </x:c>
      <x:c r="I28" s="102" t="str">
        <x:v>爆散/淡出</x:v>
      </x:c>
      <x:c r="J28" s="102" t="str">
        <x:v>掉落与计数</x:v>
      </x:c>
      <x:c r="K28" s="102" t="str">
        <x:v>不可回存活态</x:v>
      </x:c>
      <x:c r="L28" s="102" t="str">
        <x:v>终态 + Tween</x:v>
      </x:c>
    </x:row>
    <x:row r="29" ht="38" customHeight="1">
      <x:c r="A29" s="103"/>
      <x:c r="B29" s="103"/>
      <x:c r="C29" s="103"/>
      <x:c r="D29" s="103"/>
      <x:c r="E29" s="103"/>
      <x:c r="F29" s="103"/>
      <x:c r="G29" s="103"/>
      <x:c r="H29" s="103"/>
      <x:c r="I29" s="103"/>
      <x:c r="J29" s="103"/>
      <x:c r="K29" s="103"/>
      <x:c r="L29" s="103"/>
    </x:row>
    <x:row r="30" ht="56" customHeight="1">
      <x:c r="A30" s="70" t="str">
        <x:v>Player3D 动作覆盖层 × 组件表现（不新增顶层状态）</x:v>
      </x:c>
      <x:c r="B30" s="70"/>
      <x:c r="C30" s="70"/>
      <x:c r="D30" s="70"/>
      <x:c r="E30" s="70"/>
      <x:c r="F30" s="70"/>
      <x:c r="G30" s="70"/>
      <x:c r="H30" s="70"/>
      <x:c r="I30" s="70"/>
      <x:c r="J30" s="70"/>
      <x:c r="K30" s="70"/>
      <x:c r="L30" s="70"/>
    </x:row>
    <x:row r="31" ht="56" customHeight="1">
      <x:c r="A31" s="70" t="str">
        <x:v>层级｜状态ID｜中文名｜唯一来源｜退出｜Body｜Head｜Hand L（停用）｜Hand（握持）｜Scarf｜VFX/UI｜首版实现</x:v>
      </x:c>
      <x:c r="B31" s="70"/>
      <x:c r="C31" s="70"/>
      <x:c r="D31" s="70"/>
      <x:c r="E31" s="70"/>
      <x:c r="F31" s="70"/>
      <x:c r="G31" s="70"/>
      <x:c r="H31" s="70"/>
      <x:c r="I31" s="70"/>
      <x:c r="J31" s="70"/>
      <x:c r="K31" s="70"/>
      <x:c r="L31" s="70"/>
    </x:row>
    <x:row r="32" ht="56" customHeight="1">
      <x:c r="A32" s="70" t="str">
        <x:v>叠加</x:v>
      </x:c>
      <x:c r="B32" s="70" t="str">
        <x:v>firing</x:v>
      </x:c>
      <x:c r="C32" s="70" t="str">
        <x:v>射击</x:v>
      </x:c>
      <x:c r="D32" s="70" t="str">
        <x:v>WeaponModel3D.shot_fired</x:v>
      </x:c>
      <x:c r="E32" s="70" t="str">
        <x:v>短时回弹后退出</x:v>
      </x:c>
      <x:c r="F32" s="70" t="str">
        <x:v>前探/压缩/弹性回弹</x:v>
      </x:c>
      <x:c r="G32" s="70" t="str">
        <x:v>小幅前探</x:v>
      </x:c>
      <x:c r="H32" s="70" t="str">
        <x:v>手枪左手不继承后坐；长枪左手托举并小幅刚性回弹</x:v>
      </x:c>
      <x:c r="I32" s="70" t="str">
        <x:v>右手握把跟随 WeaponSocket；手枪单腕上挑，长枪双手与躯干共同吃后坐</x:v>
      </x:c>
      <x:c r="J32" s="70" t="str">
        <x:v>受冲量轻摆</x:v>
      </x:c>
      <x:c r="K32" s="70" t="str">
        <x:v>枪口闪光/后坐</x:v>
      </x:c>
      <x:c r="L32" s="70" t="str">
        <x:v>真实 shot_fired 信号；WeaponPoseFSM 进入 sidearm_fire/longgun_fire；七种枪体读取独立 fire_style、kick、pitch、roll、lift 参数</x:v>
      </x:c>
    </x:row>
    <x:row r="33">
      <x:c r="A33" s="70" t="str">
        <x:v>叠加</x:v>
      </x:c>
      <x:c r="B33" s="70" t="str">
        <x:v>charging</x:v>
      </x:c>
      <x:c r="C33" s="70" t="str">
        <x:v>蓄力</x:v>
      </x:c>
      <x:c r="D33" s="70" t="str">
        <x:v>WeaponModel3D.charge_active / charge_ratio</x:v>
      </x:c>
      <x:c r="E33" s="70" t="str">
        <x:v>释放/取消/换枪/死亡</x:v>
      </x:c>
      <x:c r="F33" s="70" t="str">
        <x:v>下压蓄势</x:v>
      </x:c>
      <x:c r="G33" s="70" t="str">
        <x:v>轻微压低</x:v>
      </x:c>
      <x:c r="H33" s="70" t="str">
        <x:v>长枪左手向内压入形成张力；手枪保持自由手</x:v>
      </x:c>
      <x:c r="I33" s="70" t="str">
        <x:v>右手握把与 WeaponSocket 同相蓄势</x:v>
      </x:c>
      <x:c r="J33" s="70" t="str">
        <x:v>低频张力摆动</x:v>
      </x:c>
      <x:c r="K33" s="70" t="str">
        <x:v>紫色能量提示（可选）</x:v>
      </x:c>
      <x:c r="L33" s="70" t="str">
        <x:v>读取真实蓄力进度；WeaponPoseFSM 进入对应 charge 状态；释放后按枪体 profile 回弹</x:v>
      </x:c>
    </x:row>
    <x:row r="34" ht="34" customHeight="1">
      <x:c r="A34" s="102" t="str">
        <x:v>叠加</x:v>
      </x:c>
      <x:c r="B34" s="102" t="str">
        <x:v>knockback</x:v>
      </x:c>
      <x:c r="C34" s="102" t="str">
        <x:v>受击击飞</x:v>
      </x:c>
      <x:c r="D34" s="102" t="str">
        <x:v>Player3D 命中方向/强度/时长</x:v>
      </x:c>
      <x:c r="E34" s="102" t="str">
        <x:v>冲量归零或死亡</x:v>
      </x:c>
      <x:c r="F34" s="102" t="str">
        <x:v>反向位移/压缩/弹回</x:v>
      </x:c>
      <x:c r="G34" s="102" t="str">
        <x:v>夸张后仰甩头/回正</x:v>
      </x:c>
      <x:c r="H34" s="102" t="str">
        <x:v>手枪自由左手外甩；长枪左手回护木</x:v>
      </x:c>
      <x:c r="I34" s="102" t="str">
        <x:v>右手与 WeaponSocket 同相后退/回正</x:v>
      </x:c>
      <x:c r="J34" s="102" t="str">
        <x:v>滞后甩动</x:v>
      </x:c>
      <x:c r="K34" s="102" t="str">
        <x:v>红闪/短轨迹</x:v>
      </x:c>
      <x:c r="L34" s="102" t="str">
        <x:v>hurt 消费递减XZ冲量；双耳/双脚/双手分层过冲，不新增顶层状态</x:v>
      </x:c>
    </x:row>
    <x:row r="35" ht="34" customHeight="1">
      <x:c r="A35" s="103"/>
      <x:c r="B35" s="103"/>
      <x:c r="C35" s="103"/>
      <x:c r="D35" s="103"/>
      <x:c r="E35" s="103"/>
      <x:c r="F35" s="103"/>
      <x:c r="G35" s="103"/>
      <x:c r="H35" s="103"/>
      <x:c r="I35" s="103"/>
      <x:c r="J35" s="103"/>
      <x:c r="K35" s="103"/>
      <x:c r="L35" s="103"/>
    </x:row>
    <x:row r="36" ht="34" customHeight="1">
      <x:c r="A36" s="70" t="str">
        <x:v>Player3D DIY 外观槽 × 动态继承（不影响八态/玩法）</x:v>
      </x:c>
      <x:c r="B36" s="70"/>
      <x:c r="C36" s="70"/>
      <x:c r="D36" s="70"/>
      <x:c r="E36" s="70"/>
      <x:c r="F36" s="70"/>
      <x:c r="G36" s="70"/>
      <x:c r="H36" s="70"/>
      <x:c r="I36" s="70"/>
      <x:c r="J36" s="70"/>
      <x:c r="K36" s="70"/>
      <x:c r="L36" s="70"/>
    </x:row>
    <x:row r="37">
      <x:c r="A37" s="70" t="str">
        <x:v>槽位｜候选变体｜父组件｜移动｜射击/蓄力｜受击/击飞｜换弹｜死亡｜挂点契约｜验收｜复用范围｜首版实现</x:v>
      </x:c>
      <x:c r="B37" s="70"/>
      <x:c r="C37" s="70"/>
      <x:c r="D37" s="70"/>
      <x:c r="E37" s="70"/>
      <x:c r="F37" s="70"/>
      <x:c r="G37" s="70"/>
      <x:c r="H37" s="70"/>
      <x:c r="I37" s="70"/>
      <x:c r="J37" s="70"/>
      <x:c r="K37" s="70"/>
      <x:c r="L37" s="70"/>
    </x:row>
    <x:row r="38" ht="38" customHeight="1">
      <x:c r="A38" s="70" t="str">
        <x:v>body/head/hand/feet/hat/glasses</x:v>
      </x:c>
      <x:c r="B38" s="70" t="str">
        <x:v>4+4+4+4+3+3</x:v>
      </x:c>
      <x:c r="C38" s="70" t="str">
        <x:v>Body/Head/Hand/Feet/Wearables</x:v>
      </x:c>
      <x:c r="D38" s="70" t="str">
        <x:v>身体弹性+双脚交替+圆短尾轻摆</x:v>
      </x:c>
      <x:c r="E38" s="70" t="str">
        <x:v>手/枪同相后坐；头前探</x:v>
      </x:c>
      <x:c r="F38" s="70" t="str">
        <x:v>整体后仰/脚随根回正</x:v>
      </x:c>
      <x:c r="G38" s="70" t="str">
        <x:v>Hand+Socket同相</x:v>
      </x:c>
      <x:c r="H38" s="70" t="str">
        <x:v>四主模块随根倾倒</x:v>
      </x:c>
      <x:c r="I38" s="70" t="str">
        <x:v>唯一手/挂点相对向量固定</x:v>
      </x:c>
      <x:c r="J38" s="70" t="str">
        <x:v>四主模块+双眼双耳短尾+八态覆盖</x:v>
      </x:c>
      <x:c r="K38" s="70" t="str">
        <x:v>3D玩家/预览场</x:v>
      </x:c>
      <x:c r="L38" s="70" t="str">
        <x:v>Godot原生方体/三角耳/圆尾；Player3D.set_avatar_customization</x:v>
      </x:c>
    </x:row>
    <x:row r="39" ht="38" customHeight="1">
      <x:c r="A39" s="70"/>
      <x:c r="B39" s="70"/>
      <x:c r="C39" s="70"/>
      <x:c r="D39" s="70"/>
      <x:c r="E39" s="70"/>
      <x:c r="F39" s="70"/>
      <x:c r="G39" s="70"/>
      <x:c r="H39" s="70"/>
      <x:c r="I39" s="70"/>
      <x:c r="J39" s="70"/>
      <x:c r="K39" s="70"/>
      <x:c r="L39" s="70"/>
    </x:row>
    <x:row r="40" ht="38" customHeight="1">
      <x:c r="A40" s="70" t="str">
        <x:v>v0.1 兔子组件与动作归属（不新增状态）</x:v>
      </x:c>
      <x:c r="B40" s="70"/>
      <x:c r="C40" s="70"/>
      <x:c r="D40" s="70"/>
      <x:c r="E40" s="70"/>
      <x:c r="F40" s="70"/>
      <x:c r="G40" s="70"/>
      <x:c r="H40" s="70"/>
      <x:c r="I40" s="70"/>
      <x:c r="J40" s="70"/>
      <x:c r="K40" s="70"/>
      <x:c r="L40" s="70"/>
    </x:row>
    <x:row r="41">
      <x:c r="A41" s="70" t="str">
        <x:v>父模块｜子组件｜节点数量｜Idle｜Moving｜Dashing｜Hurt/Knockback｜Reload/Fire｜Dead｜图形语言｜禁止事项｜验收</x:v>
      </x:c>
      <x:c r="B41" s="70"/>
      <x:c r="C41" s="70"/>
      <x:c r="D41" s="70"/>
      <x:c r="E41" s="70"/>
      <x:c r="F41" s="70"/>
      <x:c r="G41" s="70"/>
      <x:c r="H41" s="70"/>
      <x:c r="I41" s="70"/>
      <x:c r="J41" s="70"/>
      <x:c r="K41" s="70"/>
      <x:c r="L41" s="70"/>
    </x:row>
    <x:row r="42">
      <x:c r="A42" s="70" t="str">
        <x:v>Head / Body / Feet</x:v>
      </x:c>
      <x:c r="B42" s="70" t="str">
        <x:v>Eyes / Ears / TailStub / FootL / FootR</x:v>
      </x:c>
      <x:c r="C42" s="70" t="str">
        <x:v>2 / 2 / 1 / 2</x:v>
      </x:c>
      <x:c r="D42" s="70" t="str">
        <x:v>双眼双耳稳定；短尾微摆</x:v>
      </x:c>
      <x:c r="E42" s="70" t="str">
        <x:v>双脚交替抬起；短尾轻摆</x:v>
      </x:c>
      <x:c r="F42" s="70" t="str">
        <x:v>随VisualRoot压缩</x:v>
      </x:c>
      <x:c r="G42" s="70" t="str">
        <x:v>随父模块后仰回正</x:v>
      </x:c>
      <x:c r="H42" s="70" t="str">
        <x:v>手/枪动作不牵动脚；头部继承</x:v>
      </x:c>
      <x:c r="I42" s="70" t="str">
        <x:v>随父模块倾倒</x:v>
      </x:c>
      <x:c r="J42" s="70" t="str">
        <x:v>方头方身方手方脚；圆尾唯一例外</x:v>
      </x:c>
      <x:c r="K42" s="70" t="str">
        <x:v>嘴/鼻/第二手/长尾/烘焙跨模块</x:v>
      </x:c>
      <x:c r="L42" s="70" t="str">
        <x:v>节点路径+数量+步态+持枪+视觉</x:v>
      </x:c>
    </x:row>
  </x:sheetData>
  <x:mergeCells>
    <x:mergeCell ref="A1:L2"/>
    <x:mergeCell ref="A3:L3"/>
    <x:mergeCell ref="A18:L18"/>
    <x:mergeCell ref="A30:L30"/>
    <x:mergeCell ref="A31:L31"/>
    <x:mergeCell ref="A36:L36"/>
    <x:mergeCell ref="A37:L37"/>
    <x:mergeCell ref="A40:L40"/>
    <x:mergeCell ref="A41:L4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 / light / switch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assets/audio/</x:v>
      </x:c>
      <x:c r="E14" s="37" t="str">
        <x:v>aud_{type}_{event}_{variant}_v{nnn}.wav</x:v>
      </x:c>
      <x:c r="F14" s="37" t="str">
        <x:v>AUD-SFX-PLAYER-DASH-A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复用RoomFurniture3D + size=large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透明边缘或3D灯光/雾/碰撞/状态/玩法逻辑/节点预算</x:v>
      </x:c>
      <x:c r="D11" s="37" t="str">
        <x:v>真实游戏镜头 + 玩法专项 + 性能专项通过</x:v>
      </x:c>
      <x:c r="E11" s="37" t="str">
        <x:v>只看母版或编辑器预览</x:v>
      </x:c>
      <x:c r="F11" s="37" t="str">
        <x:v>3D主题关卡</x:v>
      </x:c>
      <x:c r="G11" s="37" t="str">
        <x:v>seed/暗室开关/遮挡视野/七怪/56组合/撤离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6" hidden="0" customWidth="1"/>
    <x:col min="3" max="3" width="11" hidden="0" customWidth="1"/>
    <x:col min="4" max="4" width="24" hidden="0" customWidth="1"/>
    <x:col min="5" max="5" width="58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当前角色原型 · 兔子组件角色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1.5m 俯视3D角色；逻辑根、虚拟碰撞胶囊、视觉组件和 WeaponSocket 相互独立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动作方式</x:v>
      </x:c>
      <x:c r="H5" s="30" t="str">
        <x:v>验收</x:v>
      </x:c>
    </x:row>
    <x:row r="6" ht="42" customHeight="1">
      <x:c r="A6" s="36" t="str">
        <x:v>root</x:v>
      </x:c>
      <x:c r="B6" s="36" t="str">
        <x:v>CHR-PLY-CAPSULE01-3D-BUNNY01</x:v>
      </x:c>
      <x:c r="C6" s="36" t="str">
        <x:v>1.034×1.500×0.645m</x:v>
      </x:c>
      <x:c r="D6" s="36" t="str">
        <x:v>视觉组件根</x:v>
      </x:c>
      <x:c r="E6" s="36" t="str">
        <x:v>assets/art/characters/player/chr_player_capsule01_3d/variants/bunny01/chr_player_capsule01_bunny01_root_top3d_v006.tscn</x:v>
      </x:c>
      <x:c r="F6" s="36" t="str">
        <x:v>b88839fbe76e</x:v>
      </x:c>
      <x:c r="G6" s="36" t="str">
        <x:v>八态 + 动作覆盖层</x:v>
      </x:c>
      <x:c r="H6" s="36" t="str">
        <x:v>通过</x:v>
      </x:c>
    </x:row>
    <x:row r="7" ht="42" customHeight="1">
      <x:c r="A7" s="37" t="str">
        <x:v>body</x:v>
      </x:c>
      <x:c r="B7" s="37" t="str">
        <x:v>CHR-PLY-CAPSULE01-3D-BUNNY01-BODY</x:v>
      </x:c>
      <x:c r="C7" s="37" t="str">
        <x:v>1.5m角色比例</x:v>
      </x:c>
      <x:c r="D7" s="37" t="str">
        <x:v>身体组件</x:v>
      </x:c>
      <x:c r="E7" s="37" t="str">
        <x:v>assets/art/characters/player/chr_player_capsule01_3d/variants/bunny01/components/chr_player_capsule01_bunny01_body_top3d_v006.glb</x:v>
      </x:c>
      <x:c r="F7" s="37" t="str">
        <x:v>c574d76e0f19</x:v>
      </x:c>
      <x:c r="G7" s="37" t="str">
        <x:v>呼吸/移动/受击</x:v>
      </x:c>
      <x:c r="H7" s="37" t="str">
        <x:v>通过</x:v>
      </x:c>
    </x:row>
    <x:row r="8" ht="42" customHeight="1">
      <x:c r="A8" s="37" t="str">
        <x:v>head</x:v>
      </x:c>
      <x:c r="B8" s="37" t="str">
        <x:v>CHR-PLY-CAPSULE01-3D-BUNNY01-HEAD</x:v>
      </x:c>
      <x:c r="C8" s="37" t="str">
        <x:v>头顶1.103390m</x:v>
      </x:c>
      <x:c r="D8" s="37" t="str">
        <x:v>头部组件</x:v>
      </x:c>
      <x:c r="E8" s="37" t="str">
        <x:v>assets/art/characters/player/chr_player_capsule01_3d/variants/bunny01/components/chr_player_capsule01_bunny01_head_top3d_v006.glb</x:v>
      </x:c>
      <x:c r="F8" s="37" t="str">
        <x:v>b8db86c722bb</x:v>
      </x:c>
      <x:c r="G8" s="37" t="str">
        <x:v>延迟跟随/受击</x:v>
      </x:c>
      <x:c r="H8" s="37" t="str">
        <x:v>通过</x:v>
      </x:c>
    </x:row>
    <x:row r="9" ht="42" customHeight="1">
      <x:c r="A9" s="37" t="str">
        <x:v>ears</x:v>
      </x:c>
      <x:c r="B9" s="37" t="str">
        <x:v>CHR-PLY-CAPSULE01-3D-BUNNY01-EARS</x:v>
      </x:c>
      <x:c r="C9" s="37" t="str">
        <x:v>单GLB双实例</x:v>
      </x:c>
      <x:c r="D9" s="37" t="str">
        <x:v>双耳配件</x:v>
      </x:c>
      <x:c r="E9" s="37" t="str">
        <x:v>assets/art/characters/player/chr_player_capsule01_3d/variants/bunny01/components/chr_player_capsule01_bunny01_ear_top3d_v006.glb</x:v>
      </x:c>
      <x:c r="F9" s="37" t="str">
        <x:v>ed3c7abe2831</x:v>
      </x:c>
      <x:c r="G9" s="37" t="str">
        <x:v>跟随/摆动</x:v>
      </x:c>
      <x:c r="H9" s="37" t="str">
        <x:v>通过</x:v>
      </x:c>
    </x:row>
    <x:row r="10" ht="42" customHeight="1">
      <x:c r="A10" s="37" t="str">
        <x:v>hands</x:v>
      </x:c>
      <x:c r="B10" s="37" t="str">
        <x:v>CHR-PLY-CAPSULE01-3D-BUNNY01-HAND</x:v>
      </x:c>
      <x:c r="C10" s="37" t="str">
        <x:v>左右独立GLB</x:v>
      </x:c>
      <x:c r="D10" s="37" t="str">
        <x:v>握持与支撑手</x:v>
      </x:c>
      <x:c r="E10" s="37" t="str">
        <x:v>assets/art/characters/player/chr_player_capsule01_3d/variants/bunny01/components/chr_player_capsule01_bunny01_hand_l_top3d_v006.glb; ...hand_r...v006.glb</x:v>
      </x:c>
      <x:c r="F10" s="37" t="str">
        <x:v>2c6647c0e4f2</x:v>
      </x:c>
      <x:c r="G10" s="37" t="str">
        <x:v>单手/双手握持</x:v>
      </x:c>
      <x:c r="H10" s="37" t="str">
        <x:v>通过</x:v>
      </x:c>
    </x:row>
    <x:row r="11" ht="42" customHeight="1">
      <x:c r="A11" t="str">
        <x:v>foot_l</x:v>
      </x:c>
      <x:c r="B11" s="63" t="str">
        <x:v>CHR-PLY-CAPSULE01-3D-BUNNY01-FOOT-L</x:v>
      </x:c>
      <x:c r="C11" t="str">
        <x:v>1.5m角色比例</x:v>
      </x:c>
      <x:c r="D11" t="str">
        <x:v>左脚组件</x:v>
      </x:c>
      <x:c r="E11" s="63" t="str">
        <x:v>assets/art/characters/player/chr_player_capsule01_3d/variants/bunny01/components/chr_player_capsule01_bunny01_foot_l_top3d_v006.glb</x:v>
      </x:c>
      <x:c r="F11" t="str">
        <x:v>52051cba0db7</x:v>
      </x:c>
      <x:c r="G11" t="str">
        <x:v>步态/下落/落地</x:v>
      </x:c>
      <x:c r="H11" t="str">
        <x:v>通过</x:v>
      </x:c>
    </x:row>
    <x:row r="12" ht="42" customHeight="1">
      <x:c r="A12" t="str">
        <x:v>foot_r</x:v>
      </x:c>
      <x:c r="B12" s="63" t="str">
        <x:v>CHR-PLY-CAPSULE01-3D-BUNNY01-FOOT-R</x:v>
      </x:c>
      <x:c r="C12" t="str">
        <x:v>1.5m角色比例</x:v>
      </x:c>
      <x:c r="D12" t="str">
        <x:v>右脚组件</x:v>
      </x:c>
      <x:c r="E12" s="63" t="str">
        <x:v>assets/art/characters/player/chr_player_capsule01_3d/variants/bunny01/components/chr_player_capsule01_bunny01_foot_r_top3d_v006.glb</x:v>
      </x:c>
      <x:c r="F12" t="str">
        <x:v>d81e840f5c08</x:v>
      </x:c>
      <x:c r="G12" t="str">
        <x:v>步态/下落/落地</x:v>
      </x:c>
      <x:c r="H12" t="str">
        <x:v>通过</x:v>
      </x:c>
    </x:row>
    <x:row r="13">
      <x:c r="A13" s="57" t="str">
        <x:v>八态游戏内验收（Idle / Moving / Dashing / Hurt / Locked / Falling / Landing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FALLING</x:v>
      </x:c>
      <x:c r="G15" s="108" t="str">
        <x:v>LANDING</x:v>
      </x:c>
      <x:c r="H15" s="108" t="str">
        <x:v>DEAD</x:v>
      </x:c>
    </x:row>
    <x:row r="16">
      <x:c r="A16" s="36" t="str">
        <x:v>待命</x:v>
      </x:c>
      <x:c r="B16" s="36" t="str">
        <x:v>移动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下落</x:v>
      </x:c>
      <x:c r="G16" t="str">
        <x:v>落地</x:v>
      </x:c>
      <x:c r="H16" t="str">
        <x:v>生命终止</x:v>
      </x:c>
    </x:row>
    <x:row r="17">
      <x:c r="A17" s="37" t="str">
        <x:v>呼吸/重心</x:v>
      </x:c>
      <x:c r="B17" s="37" t="str">
        <x:v>双脚交替</x:v>
      </x:c>
      <x:c r="C17" s="37" t="str">
        <x:v>翻滚收束</x:v>
      </x:c>
      <x:c r="D17" s="37" t="str">
        <x:v>反向冲击</x:v>
      </x:c>
      <x:c r="E17" s="37" t="str">
        <x:v>姿态稳定</x:v>
      </x:c>
      <x:c r="F17" s="37" t="str">
        <x:v>收腿下落</x:v>
      </x:c>
      <x:c r="G17" t="str">
        <x:v>压缩回弹</x:v>
      </x:c>
      <x:c r="H17" t="str">
        <x:v>整体倒伏</x:v>
      </x:c>
    </x:row>
    <x:row r="18">
      <x:c r="A18" s="37" t="str">
        <x:v>可进移动/突进</x:v>
      </x:c>
      <x:c r="B18" s="37" t="str">
        <x:v>可进待命/突进</x:v>
      </x:c>
      <x:c r="C18" s="37" t="str">
        <x:v>回到待命或移动</x:v>
      </x:c>
      <x:c r="D18" s="37" t="str">
        <x:v>恢复原状态</x:v>
      </x:c>
      <x:c r="E18" s="37" t="str">
        <x:v>由交互释放</x:v>
      </x:c>
      <x:c r="F18" s="37" t="str">
        <x:v>只进落地或死亡</x:v>
      </x:c>
      <x:c r="G18" t="str">
        <x:v>回到可控态</x:v>
      </x:c>
      <x:c r="H18" t="str">
        <x:v>终态</x:v>
      </x:c>
    </x:row>
    <x:row r="19">
      <x:c r="A19" s="37" t="str">
        <x:v>允许射击覆盖</x:v>
      </x:c>
      <x:c r="B19" s="37" t="str">
        <x:v>允许射击覆盖</x:v>
      </x:c>
      <x:c r="C19" s="37" t="str">
        <x:v>无敌窗</x:v>
      </x:c>
      <x:c r="D19" s="37" t="str">
        <x:v>受击反馈</x:v>
      </x:c>
      <x:c r="E19" s="37" t="str">
        <x:v>输入锁定</x:v>
      </x:c>
      <x:c r="F19" s="37" t="str">
        <x:v>关闭地面步态</x:v>
      </x:c>
      <x:c r="G19" t="str">
        <x:v>短时落地冲击</x:v>
      </x:c>
      <x:c r="H19" t="str">
        <x:v>停止动作</x:v>
      </x:c>
    </x:row>
    <x:row r="21">
      <x:c r="A21" s="58" t="str">
        <x:v>视觉输出：outputs/verification/player3d_state_gallery.png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验证命令：./scripts/run_verification_suite.sh scene verify_player3d_state_gallery_flow</x:v>
      </x:c>
      <x:c r="B23" s="61"/>
      <x:c r="C23" s="61"/>
      <x:c r="D23" s="61"/>
      <x:c r="E23" s="61"/>
      <x:c r="F23" s="61"/>
      <x:c r="G23" s="61"/>
      <x:c r="H23" s="61"/>
    </x:row>
    <x:row r="24" ht="24" customHeight="1">
      <x:c r="A24" s="73" t="str">
        <x:v>换弹覆盖层：唯一手 + WeaponSocket 同相动作；测试 tests/verification/verify_3d_reload_state_flow.tscn</x:v>
      </x:c>
      <x:c r="B24" s="73"/>
      <x:c r="C24" s="73"/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</x:row>
    <x:row r="25" ht="30" customHeight="1">
      <x:c r="A25" s="63" t="str">
        <x:v>独立3D验收：scenes/Player3DStateGallery.tscn；验证位于 tests/verification/</x:v>
      </x:c>
      <x:c r="B25" s="63"/>
      <x:c r="C25" s="63"/>
      <x:c r="D25" s="63"/>
      <x:c r="E25" s="63"/>
      <x:c r="F25" s="63"/>
      <x:c r="G25" s="63"/>
      <x:c r="H25" s="63"/>
      <x:c r="I25" s="63"/>
      <x:c r="J25" s="63"/>
      <x:c r="K25" s="63"/>
      <x:c r="L25" s="63"/>
      <x:c r="M25" s="63"/>
      <x:c r="N25" s="63"/>
    </x:row>
    <x:row r="26" ht="32" customHeight="1">
      <x:c r="A26" s="83" t="str">
        <x:v>动作覆盖层：firing / charging / knockback 不新增顶层状态；测试 tests/verification/verify_player3d_state_gallery_flow.tscn</x:v>
      </x:c>
      <x:c r="B26" s="83"/>
      <x:c r="C26" s="83"/>
      <x:c r="D26" s="83"/>
      <x:c r="E26" s="83"/>
      <x:c r="F26" s="83"/>
      <x:c r="G26" s="83"/>
      <x:c r="H26" s="83"/>
      <x:c r="I26" s="83"/>
      <x:c r="J26" s="83"/>
      <x:c r="K26" s="83"/>
      <x:c r="L26" s="83"/>
      <x:c r="M26" s="83"/>
      <x:c r="N26" s="83"/>
    </x:row>
    <x:row r="27">
      <x:c r="A27"/>
    </x:row>
    <x:row r="28" ht="34" customHeight="1">
      <x:c r="A28" s="95" t="str">
        <x:v>DIY：body / head / hand / feet / hat / glasses 只改表现；测试 tests/verification/verify_player3d_diy_flow.tscn</x:v>
      </x:c>
      <x:c r="B28" s="95"/>
      <x:c r="C28" s="95"/>
      <x:c r="D28" s="95"/>
      <x:c r="E28" s="95"/>
      <x:c r="F28" s="95"/>
      <x:c r="G28" s="95"/>
      <x:c r="H28" s="95"/>
      <x:c r="I28" s="95"/>
      <x:c r="J28" s="95"/>
      <x:c r="K28" s="95"/>
      <x:c r="L28" s="95"/>
      <x:c r="M28" s="95"/>
      <x:c r="N28" s="95"/>
    </x:row>
    <x:row r="29" ht="38" customHeight="1">
      <x:c r="A29" t="str">
        <x:v>v0.1 兔子组件：Body / Head / Ears / HandL / HandR / FootL / FootR；视觉根不含玩法碰撞。</x:v>
      </x:c>
      <x:c r="B29"/>
      <x:c r="C29"/>
      <x:c r="D29"/>
      <x:c r="E29"/>
      <x:c r="F29"/>
      <x:c r="G29"/>
      <x:c r="H29"/>
      <x:c r="I29"/>
      <x:c r="J29"/>
      <x:c r="K29"/>
      <x:c r="L29"/>
      <x:c r="M29"/>
      <x:c r="N29"/>
    </x:row>
  </x:sheetData>
  <x:mergeCells>
    <x:mergeCell ref="A1:N2"/>
    <x:mergeCell ref="A3:N3"/>
    <x:mergeCell ref="A13:H13"/>
    <x:mergeCell ref="A21:H21"/>
    <x:mergeCell ref="A23:H23"/>
    <x:mergeCell ref="A24:N24"/>
    <x:mergeCell ref="A25:N25"/>
    <x:mergeCell ref="A26:N26"/>
    <x:mergeCell ref="A28:N28"/>
    <x:mergeCell ref="A29:N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6" hidden="0" customWidth="1"/>
    <x:col min="4" max="4" width="18" hidden="0" customWidth="1"/>
    <x:col min="5" max="5" width="58" hidden="0" customWidth="1"/>
    <x:col min="6" max="6" width="18" hidden="0" customWidth="1"/>
    <x:col min="7" max="7" width="14" hidden="0" customWidth="1"/>
  </x:cols>
  <x:sheetData>
    <x:row r="1" ht="25" customHeight="1">
      <x:c r="A1" s="3" t="str">
        <x:v>资产台账版本记录 · 游戏设计文档 v0.1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只记录当前有效基线；历史变更通过版本控制追溯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>
      <x:c r="A6" s="36" t="str">
        <x:v>v0.1.0</x:v>
      </x:c>
      <x:c r="B6" s="53" t="n">
        <x:v>46236</x:v>
      </x:c>
      <x:c r="C6" s="36" t="str">
        <x:v>游戏设计文档 v0.1</x:v>
      </x:c>
      <x:c r="D6" s="36" t="str">
        <x:v>全项目</x:v>
      </x:c>
      <x:c r="E6" s="36" t="str">
        <x:v>统一3D塔楼主线、测试目录、当前资产路径、状态口径和投影契约；清理历史制作版本。</x:v>
      </x:c>
      <x:c r="F6" s="36" t="str">
        <x:v>只保留当前运行资产；历史追溯使用版本控制。</x:v>
      </x:c>
      <x:c r="G6" s="36" t="str">
        <x:v>Codex</x:v>
      </x:c>
    </x:row>
    <x:row r="7">
      <x:c r="A7" t="str">
        <x:v>v0.1.1</x:v>
      </x:c>
      <x:c r="B7" s="62" t="n">
        <x:v>46240</x:v>
      </x:c>
      <x:c r="C7" t="str">
        <x:v>角色武器表现调整</x:v>
      </x:c>
      <x:c r="D7" t="str">
        <x:v>player_capsule01_3d</x:v>
      </x:c>
      <x:c r="E7" t="str">
        <x:v>新增主左/副右背部收纳挂点，枪口统一朝下；复用既有武器模型与AssetID。</x:v>
      </x:c>
      <x:c r="F7" t="str">
        <x:v>不改武器实例、碰撞、伤害或切枪规则。</x:v>
      </x:c>
      <x:c r="G7" t="str">
        <x:v>Codex</x:v>
      </x:c>
    </x:row>
    <x:row r="8">
      <x:c r="A8"/>
      <x:c r="B8"/>
      <x:c r="C8"/>
      <x:c r="D8"/>
      <x:c r="E8"/>
      <x:c r="F8"/>
      <x:c r="G8"/>
    </x:row>
    <x:row r="9" ht="48" customHeight="1">
      <x:c r="A9"/>
      <x:c r="B9"/>
      <x:c r="C9"/>
      <x:c r="D9"/>
      <x:c r="E9"/>
      <x:c r="F9"/>
      <x:c r="G9"/>
    </x:row>
    <x:row r="10" ht="58" customHeight="1">
      <x:c r="A10"/>
      <x:c r="B10"/>
      <x:c r="C10"/>
      <x:c r="D10"/>
      <x:c r="E10"/>
      <x:c r="F10"/>
      <x:c r="G10"/>
    </x:row>
    <x:row r="11" ht="58" customHeight="1">
      <x:c r="A11"/>
      <x:c r="B11"/>
      <x:c r="C11"/>
      <x:c r="D11"/>
      <x:c r="E11"/>
      <x:c r="F11"/>
      <x:c r="G11"/>
    </x:row>
    <x:row r="12">
      <x:c r="A12"/>
      <x:c r="B12"/>
      <x:c r="C12"/>
      <x:c r="D12"/>
      <x:c r="E12"/>
      <x:c r="F12"/>
      <x:c r="G12"/>
    </x:row>
    <x:row r="13" ht="60" customHeight="1">
      <x:c r="A13"/>
      <x:c r="B13"/>
      <x:c r="C13"/>
      <x:c r="D13"/>
      <x:c r="E13"/>
      <x:c r="F13"/>
      <x:c r="G13"/>
    </x:row>
    <x:row r="14" ht="54" customHeight="1">
      <x:c r="A14"/>
      <x:c r="B14"/>
      <x:c r="C14"/>
      <x:c r="D14"/>
      <x:c r="E14"/>
      <x:c r="F14"/>
      <x:c r="G14"/>
    </x:row>
    <x:row r="15" ht="72" customHeight="1">
      <x:c r="A15"/>
      <x:c r="B15"/>
      <x:c r="C15"/>
      <x:c r="D15"/>
      <x:c r="E15"/>
      <x:c r="F15"/>
      <x:c r="G15"/>
    </x:row>
    <x:row r="16" ht="72" customHeight="1">
      <x:c r="A16"/>
      <x:c r="B16"/>
      <x:c r="C16"/>
      <x:c r="D16"/>
      <x:c r="E16"/>
      <x:c r="F16"/>
      <x:c r="G16"/>
    </x:row>
    <x:row r="17" ht="52" customHeight="1">
      <x:c r="A17"/>
      <x:c r="B17"/>
      <x:c r="C17"/>
      <x:c r="D17"/>
      <x:c r="E17"/>
      <x:c r="F17"/>
      <x:c r="G17"/>
    </x:row>
    <x:row r="18" ht="50" customHeight="1">
      <x:c r="A18"/>
      <x:c r="B18"/>
      <x:c r="C18"/>
      <x:c r="D18"/>
      <x:c r="E18"/>
      <x:c r="F18"/>
      <x:c r="G18"/>
    </x:row>
    <x:row r="19" ht="52" customHeight="1">
      <x:c r="A19"/>
      <x:c r="B19"/>
      <x:c r="C19"/>
      <x:c r="D19"/>
      <x:c r="E19"/>
      <x:c r="F19"/>
      <x:c r="G19"/>
    </x:row>
    <x:row r="20" ht="90" customHeight="1">
      <x:c r="A20"/>
      <x:c r="B20"/>
      <x:c r="C20"/>
      <x:c r="D20"/>
      <x:c r="E20"/>
      <x:c r="F20"/>
      <x:c r="G20"/>
    </x:row>
    <x:row r="21" ht="86" customHeight="1">
      <x:c r="A21"/>
      <x:c r="B21"/>
      <x:c r="C21"/>
      <x:c r="D21"/>
      <x:c r="E21"/>
      <x:c r="F21"/>
      <x:c r="G21"/>
    </x:row>
    <x:row r="22" ht="72" customHeight="1">
      <x:c r="A22"/>
      <x:c r="B22"/>
      <x:c r="C22"/>
      <x:c r="D22"/>
      <x:c r="E22"/>
      <x:c r="F22"/>
      <x:c r="G22"/>
    </x:row>
    <x:row r="23" ht="78" customHeight="1">
      <x:c r="A23"/>
      <x:c r="B23"/>
      <x:c r="C23"/>
      <x:c r="D23"/>
      <x:c r="E23"/>
      <x:c r="F23"/>
      <x:c r="G23"/>
    </x:row>
    <x:row r="24" ht="100" customHeight="1">
      <x:c r="A24"/>
      <x:c r="B24"/>
      <x:c r="C24"/>
      <x:c r="D24"/>
      <x:c r="E24"/>
      <x:c r="F24"/>
      <x:c r="G24"/>
    </x:row>
    <x:row r="25" ht="115" customHeight="1">
      <x:c r="A25"/>
      <x:c r="B25"/>
      <x:c r="C25"/>
      <x:c r="D25"/>
      <x:c r="E25"/>
      <x:c r="F25"/>
      <x:c r="G25"/>
    </x:row>
    <x:row r="26" ht="118" customHeight="1">
      <x:c r="A26"/>
      <x:c r="B26"/>
      <x:c r="C26"/>
      <x:c r="D26"/>
      <x:c r="E26"/>
      <x:c r="F26"/>
      <x:c r="G26"/>
    </x:row>
    <x:row r="27" ht="118" customHeight="1">
      <x:c r="A27"/>
      <x:c r="B27"/>
      <x:c r="C27"/>
      <x:c r="D27"/>
      <x:c r="E27"/>
      <x:c r="F27"/>
      <x:c r="G27"/>
    </x:row>
    <x:row r="28" ht="118" customHeight="1">
      <x:c r="A28"/>
      <x:c r="B28"/>
      <x:c r="C28"/>
      <x:c r="D28"/>
      <x:c r="E28"/>
      <x:c r="F28"/>
      <x:c r="G28"/>
    </x:row>
    <x:row r="29" ht="84" hidden="0" customHeight="1">
      <x:c r="A29"/>
      <x:c r="B29"/>
      <x:c r="C29"/>
      <x:c r="D29"/>
      <x:c r="E29"/>
      <x:c r="F29"/>
      <x:c r="G29"/>
    </x:row>
    <x:row r="30" ht="118" customHeight="1">
      <x:c r="A30"/>
      <x:c r="B30"/>
      <x:c r="C30"/>
      <x:c r="D30"/>
      <x:c r="E30"/>
      <x:c r="F30"/>
      <x:c r="G30"/>
    </x:row>
    <x:row r="31" ht="118" customHeight="1">
      <x:c r="A31"/>
      <x:c r="B31"/>
      <x:c r="C31"/>
      <x:c r="D31"/>
      <x:c r="E31"/>
      <x:c r="F31"/>
      <x:c r="G31"/>
    </x:row>
    <x:row r="32" ht="118" customHeight="1">
      <x:c r="A32"/>
      <x:c r="B32"/>
      <x:c r="C32"/>
      <x:c r="D32"/>
      <x:c r="E32"/>
      <x:c r="F32"/>
      <x:c r="G32"/>
    </x:row>
    <x:row r="33" ht="128" customHeight="1">
      <x:c r="A33"/>
      <x:c r="B33"/>
      <x:c r="C33"/>
      <x:c r="D33"/>
      <x:c r="E33"/>
      <x:c r="F33"/>
      <x:c r="G33"/>
    </x:row>
    <x:row r="34" ht="96" customHeight="1">
      <x:c r="A34"/>
      <x:c r="B34"/>
      <x:c r="C34"/>
      <x:c r="D34"/>
      <x:c r="E34"/>
      <x:c r="F34"/>
      <x:c r="G34"/>
    </x:row>
    <x:row r="35" ht="108" customHeight="1">
      <x:c r="A35"/>
      <x:c r="B35"/>
      <x:c r="C35"/>
      <x:c r="D35"/>
      <x:c r="E35"/>
      <x:c r="F35"/>
      <x:c r="G35"/>
    </x:row>
    <x:row r="36" ht="72" customHeight="1">
      <x:c r="A36"/>
      <x:c r="B36"/>
      <x:c r="C36"/>
      <x:c r="D36"/>
      <x:c r="E36"/>
      <x:c r="F36"/>
      <x:c r="G36"/>
    </x:row>
  </x:sheetData>
  <x:mergeCells>
    <x:mergeCell ref="A1:G2"/>
    <x:mergeCell ref="A3:G3"/>
  </x:mergeCells>
  <x:pageMargins left="0.7" right="0.7" top="0.75" bottom="0.75" header="0.3" footer="0.3"/>
</x:worksheet>
</file>