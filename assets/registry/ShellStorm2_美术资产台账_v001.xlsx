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2a2d91428f40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2d7f3ac0c3904c5e"/>
    <x:sheet xmlns:r="http://schemas.openxmlformats.org/officeDocument/2006/relationships" name="分账本索引" sheetId="2" r:id="R2e96fedc5f8a424a"/>
    <x:sheet xmlns:r="http://schemas.openxmlformats.org/officeDocument/2006/relationships" name="分类与编码" sheetId="3" r:id="Rab78ee1dd95041c5"/>
    <x:sheet xmlns:r="http://schemas.openxmlformats.org/officeDocument/2006/relationships" name="命名与查重" sheetId="4" r:id="R754eb891f6e74d67"/>
    <x:sheet xmlns:r="http://schemas.openxmlformats.org/officeDocument/2006/relationships" name="版本记录" sheetId="5" r:id="R5dab4b99adab4d64"/>
    <x:sheet xmlns:r="http://schemas.openxmlformats.org/officeDocument/2006/relationships" name="3D Prefab总控" sheetId="6" r:id="R58d92fc4c744426d"/>
    <x:sheet xmlns:r="http://schemas.openxmlformats.org/officeDocument/2006/relationships" name="Skill清单" sheetId="7" r:id="Rcbeaffee44a84a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4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  <x:font>
      <x:sz val="10"/>
      <x:color rgb="FF13202B"/>
      <x:name val="Microsoft YaHei"/>
    </x:font>
    <x:font>
      <x:b/>
      <x:sz val="10"/>
      <x:color rgb="FF2E7D32"/>
      <x:name val="Microsoft YaHei"/>
    </x:font>
    <x:font>
      <x:i/>
      <x:sz val="10"/>
      <x:color rgb="FF17364A"/>
      <x:name val="Microsoft YaHei"/>
    </x:font>
  </x:fonts>
  <x:fills count="66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  <x:fill>
      <x:patternFill patternType="solid">
        <x:fgColor rgb="FFFFFFFF"/>
      </x:patternFill>
    </x:fill>
    <x:fill>
      <x:patternFill patternType="solid">
        <x:fgColor rgb="FFE8F5E9"/>
      </x:patternFill>
    </x:fill>
    <x:fill>
      <x:patternFill patternType="solid">
        <x:fgColor rgb="FFD9E7EE"/>
      </x:patternFill>
    </x:fill>
  </x:fills>
  <x:borders count="52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E5E7EB"/>
      </x:right>
    </x:border>
    <x:border>
      <x:bottom style="thin">
        <x:color rgb="FFD9E2F3"/>
      </x:bottom>
    </x:border>
    <x:border>
      <x:right style="medium">
        <x:color rgb="FF446170"/>
      </x:right>
      <x:bottom style="medium">
        <x:color rgb="FF446170"/>
      </x:bottom>
    </x:border>
    <x:border>
      <x:right style="medium">
        <x:color rgb="FF446170"/>
      </x:right>
    </x:border>
    <x:border>
      <x:bottom style="medium">
        <x:color rgb="FF446170"/>
      </x:bottom>
    </x:border>
    <x:border>
      <x:left style="thin">
        <x:color rgb="FFB7CEDA"/>
      </x:left>
      <x:top style="thin">
        <x:color rgb="FFB7CEDA"/>
      </x:top>
      <x:bottom style="thin">
        <x:color rgb="FFB7CEDA"/>
      </x:bottom>
    </x:border>
    <x:border>
      <x:left style="medium">
        <x:color rgb="FF446170"/>
      </x:left>
      <x:top style="thin">
        <x:color rgb="FFB7CEDA"/>
      </x:top>
      <x:bottom style="thin">
        <x:color rgb="FFB7CEDA"/>
      </x:bottom>
    </x:border>
    <x:border>
      <x:left style="medium">
        <x:color rgb="FF446170"/>
      </x:left>
      <x:right style="thin">
        <x:color rgb="FFB7CEDA"/>
      </x:right>
      <x:top style="thin">
        <x:color rgb="FFB7CEDA"/>
      </x:top>
      <x:bottom style="thin">
        <x:color rgb="FFB7CEDA"/>
      </x:bottom>
    </x:border>
    <x:border>
      <x:top style="thin">
        <x:color rgb="FFB7CEDA"/>
      </x:top>
      <x:bottom style="thin">
        <x:color rgb="FFB7CEDA"/>
      </x:bottom>
    </x:border>
    <x:border>
      <x:right style="thin">
        <x:color rgb="FFB7CEDA"/>
      </x:right>
      <x:top style="thin">
        <x:color rgb="FFB7CEDA"/>
      </x:top>
      <x:bottom style="thin">
        <x:color rgb="FFB7CEDA"/>
      </x:bottom>
    </x:border>
    <x:border>
      <x:left style="thin">
        <x:color rgb="FFB7CEDA"/>
      </x:left>
      <x:right style="thin">
        <x:color rgb="FFE5E7EB"/>
      </x:right>
      <x:top style="thin">
        <x:color rgb="FFB7CEDA"/>
      </x:top>
      <x:bottom style="thin">
        <x:color rgb="FFB7CEDA"/>
      </x:bottom>
    </x:border>
  </x:borders>
  <x:cellStyleXfs count="1">
    <x:xf numFmtId="0" fontId="0" fillId="0" borderId="0"/>
  </x:cellStyleXfs>
  <x:cellXfs count="440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42" xfId="0"/>
    <x:xf numFmtId="0" fontId="0" fillId="0" borderId="23" xfId="0"/>
    <x:xf numFmtId="0" fontId="11" fillId="4" borderId="43" xfId="0" applyAlignment="1">
      <x:alignment vertical="center" wrapText="1"/>
    </x:xf>
    <x:xf numFmtId="0" fontId="0" fillId="0" borderId="45" xfId="0"/>
    <x:xf numFmtId="0" fontId="0" fillId="0" borderId="43" xfId="0"/>
    <x:xf numFmtId="0" fontId="13" fillId="63" borderId="1" xfId="0" applyNumberFormat="1" applyFont="1" applyFill="1" applyBorder="1" applyAlignment="1">
      <x:alignment horizontal="center" vertical="center" wrapText="1"/>
    </x:xf>
    <x:xf numFmtId="0" fontId="39" fillId="63" borderId="1" xfId="0" applyNumberFormat="1" applyFont="1" applyFill="1" applyBorder="1" applyAlignment="1">
      <x:alignment horizontal="center" vertical="center" wrapText="1"/>
    </x:xf>
    <x:xf numFmtId="0" fontId="39" fillId="63" borderId="46" xfId="0" applyNumberFormat="1" applyFont="1" applyFill="1" applyBorder="1" applyAlignment="1">
      <x:alignment horizontal="center" vertical="center" wrapText="1"/>
    </x:xf>
    <x:xf numFmtId="0" fontId="39" fillId="63" borderId="47" xfId="0" applyNumberFormat="1" applyFont="1" applyFill="1" applyBorder="1" applyAlignment="1">
      <x:alignment horizontal="center" vertical="center" wrapText="1"/>
    </x:xf>
    <x:xf numFmtId="0" fontId="39" fillId="63" borderId="48" xfId="0" applyNumberFormat="1" applyFont="1" applyFill="1" applyBorder="1" applyAlignment="1">
      <x:alignment horizontal="center" vertical="center" wrapText="1"/>
    </x:xf>
    <x:xf numFmtId="0" fontId="0" fillId="63" borderId="0" xfId="0" applyNumberFormat="1" applyFont="1" applyFill="1" applyBorder="1"/>
    <x:xf numFmtId="0" fontId="39" fillId="63" borderId="0" xfId="0" applyNumberFormat="1" applyFont="1" applyFill="1" applyBorder="1"/>
    <x:xf numFmtId="0" fontId="39" fillId="63" borderId="46" xfId="0" applyNumberFormat="1" applyFont="1" applyFill="1" applyBorder="1"/>
    <x:xf numFmtId="0" fontId="39" fillId="63" borderId="49" xfId="0" applyNumberFormat="1" applyFont="1" applyFill="1" applyBorder="1"/>
    <x:xf numFmtId="0" fontId="39" fillId="63" borderId="50" xfId="0" applyNumberFormat="1" applyFont="1" applyFill="1" applyBorder="1"/>
    <x:xf numFmtId="0" fontId="39" fillId="63" borderId="46" xfId="0" applyNumberFormat="1" applyFont="1" applyFill="1" applyBorder="1" applyAlignment="1">
      <x:alignment wrapText="1"/>
    </x:xf>
    <x:xf numFmtId="0" fontId="39" fillId="63" borderId="49" xfId="0" applyNumberFormat="1" applyFont="1" applyFill="1" applyBorder="1" applyAlignment="1">
      <x:alignment wrapText="1"/>
    </x:xf>
    <x:xf numFmtId="0" fontId="39" fillId="63" borderId="50" xfId="0" applyNumberFormat="1" applyFont="1" applyFill="1" applyBorder="1" applyAlignment="1">
      <x:alignment wrapText="1"/>
    </x:xf>
    <x:xf numFmtId="0" fontId="39" fillId="63" borderId="46" xfId="0" applyNumberFormat="1" applyFont="1" applyFill="1" applyBorder="1" applyAlignment="1">
      <x:alignment vertical="center" wrapText="1"/>
    </x:xf>
    <x:xf numFmtId="0" fontId="39" fillId="63" borderId="49" xfId="0" applyNumberFormat="1" applyFont="1" applyFill="1" applyBorder="1" applyAlignment="1">
      <x:alignment vertical="center" wrapText="1"/>
    </x:xf>
    <x:xf numFmtId="0" fontId="39" fillId="63" borderId="50" xfId="0" applyNumberFormat="1" applyFont="1" applyFill="1" applyBorder="1" applyAlignment="1">
      <x:alignment vertical="center" wrapText="1"/>
    </x:xf>
    <x:xf numFmtId="0" fontId="39" fillId="63" borderId="49" xfId="0" applyNumberFormat="1" applyFont="1" applyFill="1" applyBorder="1" applyAlignment="1">
      <x:alignment horizontal="center" vertical="center" wrapText="1"/>
    </x:xf>
    <x:xf numFmtId="0" fontId="39" fillId="63" borderId="50" xfId="0" applyNumberFormat="1" applyFont="1" applyFill="1" applyBorder="1" applyAlignment="1">
      <x:alignment horizontal="center" vertical="center" wrapText="1"/>
    </x:xf>
    <x:xf numFmtId="0" fontId="34" fillId="64" borderId="23" xfId="0" applyNumberFormat="1" applyFont="1" applyFill="1" applyBorder="1" applyAlignment="1">
      <x:alignment vertical="top" wrapText="1"/>
    </x:xf>
    <x:xf numFmtId="0" fontId="0" fillId="64" borderId="42" xfId="0" applyNumberFormat="1" applyFont="1" applyFill="1" applyBorder="1"/>
    <x:xf numFmtId="0" fontId="0" fillId="64" borderId="23" xfId="0" applyNumberFormat="1" applyFont="1" applyFill="1" applyBorder="1"/>
    <x:xf numFmtId="0" fontId="40" fillId="64" borderId="23" xfId="0" applyNumberFormat="1" applyFont="1" applyFill="1" applyBorder="1" applyAlignment="1">
      <x:alignment vertical="top" wrapText="1"/>
    </x:xf>
    <x:xf numFmtId="0" fontId="40" fillId="64" borderId="42" xfId="0" applyNumberFormat="1" applyFont="1" applyFill="1" applyBorder="1"/>
    <x:xf numFmtId="0" fontId="40" fillId="64" borderId="23" xfId="0" applyNumberFormat="1" applyFont="1" applyFill="1" applyBorder="1"/>
    <x:xf numFmtId="0" fontId="40" fillId="64" borderId="51" xfId="0" applyNumberFormat="1" applyFont="1" applyFill="1" applyBorder="1" applyAlignment="1">
      <x:alignment vertical="top" wrapText="1"/>
    </x:xf>
    <x:xf numFmtId="0" fontId="40" fillId="64" borderId="49" xfId="0" applyNumberFormat="1" applyFont="1" applyFill="1" applyBorder="1"/>
    <x:xf numFmtId="0" fontId="40" fillId="64" borderId="50" xfId="0" applyNumberFormat="1" applyFont="1" applyFill="1" applyBorder="1"/>
    <x:xf numFmtId="0" fontId="40" fillId="64" borderId="51" xfId="0" applyNumberFormat="1" applyFont="1" applyFill="1" applyBorder="1" applyAlignment="1">
      <x:alignment vertical="center" wrapText="1"/>
    </x:xf>
    <x:xf numFmtId="0" fontId="40" fillId="64" borderId="49" xfId="0" applyNumberFormat="1" applyFont="1" applyFill="1" applyBorder="1" applyAlignment="1">
      <x:alignment vertical="center"/>
    </x:xf>
    <x:xf numFmtId="0" fontId="40" fillId="64" borderId="5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41" fillId="65" borderId="0" xfId="0" applyNumberFormat="1" applyFont="1" applyFill="1" applyBorder="1"/>
    <x:xf numFmtId="0" fontId="41" fillId="65" borderId="46" xfId="0" applyNumberFormat="1" applyFont="1" applyFill="1" applyBorder="1"/>
    <x:xf numFmtId="0" fontId="41" fillId="65" borderId="49" xfId="0" applyNumberFormat="1" applyFont="1" applyFill="1" applyBorder="1"/>
    <x:xf numFmtId="0" fontId="41" fillId="65" borderId="50" xfId="0" applyNumberFormat="1" applyFont="1" applyFill="1" applyBorder="1"/>
    <x:xf numFmtId="0" fontId="41" fillId="65" borderId="46" xfId="0" applyNumberFormat="1" applyFont="1" applyFill="1" applyBorder="1" applyAlignment="1">
      <x:alignment wrapText="1"/>
    </x:xf>
    <x:xf numFmtId="0" fontId="41" fillId="65" borderId="49" xfId="0" applyNumberFormat="1" applyFont="1" applyFill="1" applyBorder="1" applyAlignment="1">
      <x:alignment wrapText="1"/>
    </x:xf>
    <x:xf numFmtId="0" fontId="41" fillId="65" borderId="50" xfId="0" applyNumberFormat="1" applyFont="1" applyFill="1" applyBorder="1" applyAlignment="1">
      <x:alignment wrapText="1"/>
    </x:xf>
    <x:xf numFmtId="0" fontId="41" fillId="65" borderId="46" xfId="0" applyNumberFormat="1" applyFont="1" applyFill="1" applyBorder="1" applyAlignment="1">
      <x:alignment vertical="center" wrapText="1"/>
    </x:xf>
    <x:xf numFmtId="0" fontId="41" fillId="65" borderId="49" xfId="0" applyNumberFormat="1" applyFont="1" applyFill="1" applyBorder="1" applyAlignment="1">
      <x:alignment vertical="center" wrapText="1"/>
    </x:xf>
    <x:xf numFmtId="0" fontId="41" fillId="65" borderId="5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271eaeeb1447f1" /><Relationship Type="http://schemas.openxmlformats.org/officeDocument/2006/relationships/theme" Target="/xl/theme/theme1.xml" Id="R08781a87a9e245c5" /><Relationship Type="http://schemas.openxmlformats.org/officeDocument/2006/relationships/sharedStrings" Target="/xl/sharedStrings.xml" Id="Re022ba7dba994def" /><Relationship Type="http://schemas.openxmlformats.org/officeDocument/2006/relationships/worksheet" Target="/xl/worksheets/sheet1.xml" Id="R2d7f3ac0c3904c5e" /><Relationship Type="http://schemas.openxmlformats.org/officeDocument/2006/relationships/worksheet" Target="/xl/worksheets/sheet2.xml" Id="R2e96fedc5f8a424a" /><Relationship Type="http://schemas.openxmlformats.org/officeDocument/2006/relationships/worksheet" Target="/xl/worksheets/sheet3.xml" Id="Rab78ee1dd95041c5" /><Relationship Type="http://schemas.openxmlformats.org/officeDocument/2006/relationships/worksheet" Target="/xl/worksheets/sheet4.xml" Id="R754eb891f6e74d67" /><Relationship Type="http://schemas.openxmlformats.org/officeDocument/2006/relationships/worksheet" Target="/xl/worksheets/sheet5.xml" Id="R5dab4b99adab4d64" /><Relationship Type="http://schemas.openxmlformats.org/officeDocument/2006/relationships/worksheet" Target="/xl/worksheets/sheet6.xml" Id="R58d92fc4c744426d" /><Relationship Type="http://schemas.openxmlformats.org/officeDocument/2006/relationships/worksheet" Target="/xl/worksheets/sheet7.xml" Id="Rcbeaffee44a84a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4" customWidth="1"/>
    <x:col min="3" max="3" width="46" customWidth="1"/>
    <x:col min="4" max="4" width="10" customWidth="1"/>
    <x:col min="5" max="5" width="8" customWidth="1"/>
    <x:col min="6" max="6" width="30" customWidth="1"/>
    <x:col min="7" max="7" width="42" customWidth="1"/>
    <x:col min="8" max="8" width="3" customWidth="1"/>
    <x:col min="9" max="9" width="30" customWidth="1"/>
    <x:col min="10" max="10" width="30" customWidth="1"/>
  </x:cols>
  <x:sheetData>
    <x:row r="1" ht="25" customHeight="1">
      <x:c r="A1" s="317" t="inlineStr">
        <x:is>
          <x:t xml:space="preserve">SHELLSTORM 2 · 美术资产总目录 v0.1</x:t>
        </x:is>
      </x:c>
    </x:row>
    <x:row r="2" ht="12" customHeight="1"/>
    <x:row r="3" ht="23" customHeight="1">
      <x:c r="A3" s="318" t="inlineStr">
        <x:is>
          <x:t xml:space="preserve">本表是唯一总目录：只登记跨域契约（分类与编码 / 命名与查重 / 版本记录 / Skill 清单 / 3D Prefab 总控）与分账本索引；资产条目一律落在 assets/registry/ledgers/ 下的分账本，各账本可独立并行编辑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分账本数</x:t>
        </x:is>
      </x:c>
      <x:c r="B5" s="320" t="str"/>
      <x:c r="C5" s="320" t="inlineStr">
        <x:is>
          <x:t xml:space="preserve">覆盖大类数</x:t>
        </x:is>
      </x:c>
      <x:c r="D5" s="320" t="str"/>
      <x:c r="E5" s="320" t="inlineStr">
        <x:is>
          <x:t xml:space="preserve">资产总数(快照)</x:t>
        </x:is>
      </x:c>
      <x:c r="F5" s="320" t="str"/>
      <x:c r="G5" s="320" t="inlineStr">
        <x:is>
          <x:t xml:space="preserve">Prefab 分页数</x:t>
        </x:is>
      </x:c>
      <x:c r="H5" s="320" t="str"/>
      <x:c r="I5" s="320" t="n"/>
      <x:c r="J5" s="320" t="n"/>
    </x:row>
    <x:row r="6" ht="42" customHeight="1">
      <x:c r="A6" s="321" t="n">
        <x:f>COUNTA('分账本索引'!$B$6:$B$14)</x:f>
        <x:v>9</x:v>
      </x:c>
      <x:c r="B6" s="354" t="n"/>
      <x:c r="C6" s="321" t="n">
        <x:f>SUM('分账本索引'!$E$6:$E$14)</x:f>
        <x:v>11</x:v>
      </x:c>
      <x:c r="D6" s="354" t="n"/>
      <x:c r="E6" s="321" t="n">
        <x:f>SUM('分账本索引'!$G$6:$G$14)</x:f>
        <x:v>426</x:v>
      </x:c>
      <x:c r="F6" s="354" t="n"/>
      <x:c r="G6" s="321" t="n">
        <x:f>SUM('分账本索引'!$H$6:$H$14)</x:f>
        <x:v>9</x:v>
      </x:c>
      <x:c r="H6" s="354" t="n"/>
      <x:c r="I6" s="320" t="str">
        <x:v>快照 2026-09-23｜查重 → 归类 → 领取 AssetID → 组件制作 → 游戏内验收 → 回填哈希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3" t="inlineStr">
        <x:is>
          <x:t xml:space="preserve">归属域</x:t>
        </x:is>
      </x:c>
      <x:c r="C9" s="323" t="inlineStr">
        <x:is>
          <x:t xml:space="preserve">账本文件</x:t>
        </x:is>
      </x:c>
      <x:c r="D9" s="323" t="inlineStr">
        <x:is>
          <x:t xml:space="preserve">条数</x:t>
        </x:is>
      </x:c>
      <x:c r="E9" s="396" t="inlineStr">
        <x:is>
          <x:t xml:space="preserve">AssetID 必须落在归属域的账本里；跨域搬运属跨域变更，须同步本表与 ledger_index.json</x:t>
        </x:is>
      </x:c>
      <x:c r="F9" s="397" t="n"/>
      <x:c r="G9" s="397" t="n"/>
      <x:c r="H9" s="397" t="n"/>
      <x:c r="I9" s="397" t="n"/>
      <x:c r="J9" s="398" t="n"/>
    </x:row>
    <x:row r="10">
      <x:c r="A10" s="301" t="str">
        <x:v>UI</x:v>
      </x:c>
      <x:c r="B10" s="301" t="str">
        <x:v>UI</x:v>
      </x:c>
      <x:c r="C10" s="301" t="str">
        <x:v>assets/registry/ledgers/ShellStorm2_UI账本_v001.xlsx</x:v>
      </x:c>
      <x:c r="D10" s="301" t="n">
        <x:v>17</x:v>
      </x:c>
      <x:c r="E10" s="301" t="n"/>
      <x:c r="F10" s="301" t="n"/>
      <x:c r="G10" s="301" t="n"/>
      <x:c r="H10" s="301" t="n"/>
      <x:c r="I10" s="301" t="n"/>
      <x:c r="J10" s="301" t="n"/>
    </x:row>
    <x:row r="11">
      <x:c r="A11" s="301" t="str">
        <x:v>场景</x:v>
      </x:c>
      <x:c r="B11" s="301" t="str">
        <x:v>关卡场景</x:v>
      </x:c>
      <x:c r="C11" s="301" t="str">
        <x:v>assets/registry/ledgers/ShellStorm2_场景账本_v001.xlsx</x:v>
      </x:c>
      <x:c r="D11" s="301" t="n">
        <x:v>102</x:v>
      </x:c>
      <x:c r="E11" s="301" t="n"/>
      <x:c r="F11" s="301" t="n"/>
      <x:c r="G11" s="301" t="n"/>
      <x:c r="H11" s="301" t="n"/>
      <x:c r="I11" s="301" t="n"/>
      <x:c r="J11" s="301" t="n"/>
    </x:row>
    <x:row r="12">
      <x:c r="A12" s="301" t="str">
        <x:v>场景道具</x:v>
      </x:c>
      <x:c r="B12" s="301" t="str">
        <x:v>关卡场景</x:v>
      </x:c>
      <x:c r="C12" s="301" t="str">
        <x:v>assets/registry/ledgers/ShellStorm2_场景账本_v001.xlsx</x:v>
      </x:c>
      <x:c r="D12" s="301" t="n">
        <x:v>20</x:v>
      </x:c>
      <x:c r="E12" s="301" t="n"/>
      <x:c r="F12" s="301" t="n"/>
      <x:c r="G12" s="301" t="n"/>
      <x:c r="H12" s="301" t="n"/>
      <x:c r="I12" s="301" t="n"/>
      <x:c r="J12" s="301" t="n"/>
    </x:row>
    <x:row r="13">
      <x:c r="A13" s="301" t="str">
        <x:v>基地资产包</x:v>
      </x:c>
      <x:c r="B13" s="301" t="str">
        <x:v>关卡场景</x:v>
      </x:c>
      <x:c r="C13" s="301" t="str">
        <x:v>assets/registry/ledgers/ShellStorm2_场景账本_v001.xlsx</x:v>
      </x:c>
      <x:c r="D13" s="301" t="n">
        <x:v>114</x:v>
      </x:c>
      <x:c r="E13" s="301" t="n"/>
      <x:c r="F13" s="301" t="n"/>
      <x:c r="G13" s="301" t="n"/>
      <x:c r="H13" s="301" t="n"/>
      <x:c r="I13" s="301" t="n"/>
      <x:c r="J13" s="301" t="n"/>
    </x:row>
    <x:row r="14">
      <x:c r="A14" s="301" t="str">
        <x:v>敌人</x:v>
      </x:c>
      <x:c r="B14" s="301" t="str">
        <x:v>敌人</x:v>
      </x:c>
      <x:c r="C14" s="301" t="str">
        <x:v>assets/registry/ledgers/ShellStorm2_敌人账本_v001.xlsx</x:v>
      </x:c>
      <x:c r="D14" s="301" t="n">
        <x:v>12</x:v>
      </x:c>
      <x:c r="E14" s="301" t="n"/>
      <x:c r="F14" s="301" t="n"/>
      <x:c r="G14" s="301" t="n"/>
      <x:c r="H14" s="301" t="n"/>
      <x:c r="I14" s="301" t="n"/>
      <x:c r="J14" s="301" t="n"/>
    </x:row>
    <x:row r="15">
      <x:c r="A15" s="301" t="str">
        <x:v>武器</x:v>
      </x:c>
      <x:c r="B15" s="301" t="str">
        <x:v>武器</x:v>
      </x:c>
      <x:c r="C15" s="301" t="str">
        <x:v>assets/registry/ledgers/ShellStorm2_武器账本_v001.xlsx</x:v>
      </x:c>
      <x:c r="D15" s="301" t="n">
        <x:v>36</x:v>
      </x:c>
      <x:c r="E15" s="301" t="n"/>
      <x:c r="F15" s="301" t="n"/>
      <x:c r="G15" s="301" t="n"/>
      <x:c r="H15" s="301" t="n"/>
      <x:c r="I15" s="301" t="n"/>
      <x:c r="J15" s="301" t="n"/>
    </x:row>
    <x:row r="16">
      <x:c r="A16" s="301" t="str">
        <x:v>特效</x:v>
      </x:c>
      <x:c r="B16" s="301" t="str">
        <x:v>特效</x:v>
      </x:c>
      <x:c r="C16" s="301" t="str">
        <x:v>assets/registry/ledgers/ShellStorm2_特效账本_v001.xlsx</x:v>
      </x:c>
      <x:c r="D16" s="301" t="n">
        <x:v>17</x:v>
      </x:c>
      <x:c r="E16" s="301" t="n"/>
      <x:c r="F16" s="301" t="n"/>
      <x:c r="G16" s="301" t="n"/>
      <x:c r="H16" s="301" t="n"/>
      <x:c r="I16" s="301" t="n"/>
      <x:c r="J16" s="301" t="n"/>
    </x:row>
    <x:row r="17">
      <x:c r="A17" s="301" t="str">
        <x:v>角色</x:v>
      </x:c>
      <x:c r="B17" s="301" t="str">
        <x:v>角色</x:v>
      </x:c>
      <x:c r="C17" s="301" t="str">
        <x:v>assets/registry/ledgers/ShellStorm2_角色账本_v001.xlsx</x:v>
      </x:c>
      <x:c r="D17" s="301" t="n">
        <x:v>31</x:v>
      </x:c>
      <x:c r="E17" s="301" t="n"/>
      <x:c r="F17" s="301" t="n"/>
      <x:c r="G17" s="301" t="n"/>
      <x:c r="H17" s="301" t="n"/>
      <x:c r="I17" s="301" t="n"/>
      <x:c r="J17" s="301" t="n"/>
    </x:row>
    <x:row r="18">
      <x:c r="A18" s="301" t="str">
        <x:v>道具</x:v>
      </x:c>
      <x:c r="B18" s="301" t="str">
        <x:v>道具</x:v>
      </x:c>
      <x:c r="C18" s="301" t="str">
        <x:v>assets/registry/ledgers/ShellStorm2_道具账本_v001.xlsx</x:v>
      </x:c>
      <x:c r="D18" s="301" t="n">
        <x:v>20</x:v>
      </x:c>
      <x:c r="E18" s="301" t="n"/>
      <x:c r="F18" s="301" t="n"/>
      <x:c r="G18" s="301" t="n"/>
      <x:c r="H18" s="301" t="n"/>
      <x:c r="I18" s="301" t="n"/>
      <x:c r="J18" s="301" t="n"/>
    </x:row>
    <x:row r="19">
      <x:c r="A19" s="301" t="str">
        <x:v>音效</x:v>
      </x:c>
      <x:c r="B19" s="301" t="str">
        <x:v>音效</x:v>
      </x:c>
      <x:c r="C19" s="301" t="str">
        <x:v>assets/registry/ledgers/ShellStorm2_音效账本_v001.xlsx</x:v>
      </x:c>
      <x:c r="D19" s="301" t="n">
        <x:v>48</x:v>
      </x:c>
      <x:c r="E19" s="301" t="n"/>
      <x:c r="F19" s="301" t="n"/>
      <x:c r="G19" s="301" t="n"/>
      <x:c r="H19" s="301" t="n"/>
      <x:c r="I19" s="301" t="n"/>
      <x:c r="J19" s="301" t="n"/>
    </x:row>
    <x:row r="20">
      <x:c r="A20" s="354" t="str">
        <x:v>音乐</x:v>
      </x:c>
      <x:c r="B20" s="354" t="str">
        <x:v>音乐</x:v>
      </x:c>
      <x:c r="C20" s="354" t="str">
        <x:v>assets/registry/ledgers/ShellStorm2_音乐账本_v001.xlsx</x:v>
      </x:c>
      <x:c r="D20" s="354" t="n">
        <x:v>9</x:v>
      </x:c>
      <x:c r="E20" s="354"/>
      <x:c r="F20" s="354"/>
      <x:c r="G20" s="354"/>
      <x:c r="H20" s="354"/>
      <x:c r="I20" s="354"/>
      <x:c r="J20" s="354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" customWidth="1"/>
    <x:col min="2" max="2" width="14" customWidth="1"/>
    <x:col min="3" max="3" width="40" customWidth="1"/>
    <x:col min="4" max="4" width="30" customWidth="1"/>
    <x:col min="5" max="5" width="8" customWidth="1"/>
    <x:col min="6" max="6" width="18" customWidth="1"/>
    <x:col min="7" max="7" width="15" customWidth="1"/>
    <x:col min="8" max="8" width="15" customWidth="1"/>
    <x:col min="9" max="9" width="40" customWidth="1"/>
    <x:col min="10" max="10" width="22" customWidth="1"/>
    <x:col min="11" max="11" width="34" customWidth="1"/>
    <x:col min="12" max="12" width="34" customWidth="1"/>
    <x:col min="13" max="13" width="10" customWidth="1"/>
    <x:col min="14" max="14" width="10" customWidth="1"/>
  </x:cols>
  <x:sheetData>
    <x:row r="1">
      <x:c r="A1" s="317" t="inlineStr">
        <x:is>
          <x:t xml:space="preserve">SHELLSTORM 2 · 分账本索引（总目录核心）</x:t>
        </x:is>
      </x:c>
    </x:row>
    <x:row r="2"/>
    <x:row r="3">
      <x:c r="A3" s="318" t="inlineStr">
        <x:is>
          <x:t xml:space="preserve">本表定义「域 → 账本文件 → 覆盖大类 → AssetID 前缀」的唯一映射；机器可读副本为 assets/registry/ledger_index.json，两者不一致时以 JSON 为准并立即修本表</x:t>
        </x:is>
      </x:c>
    </x:row>
    <x:row r="5" ht="32" customHeight="1">
      <x:c r="A5" s="298" t="inlineStr">
        <x:is>
          <x:t xml:space="preserve">序号</x:t>
        </x:is>
      </x:c>
      <x:c r="B5" s="298" t="inlineStr">
        <x:is>
          <x:t xml:space="preserve">域</x:t>
        </x:is>
      </x:c>
      <x:c r="C5" s="298" t="inlineStr">
        <x:is>
          <x:t xml:space="preserve">账本文件</x:t>
        </x:is>
      </x:c>
      <x:c r="D5" s="298" t="inlineStr">
        <x:is>
          <x:t xml:space="preserve">覆盖大类</x:t>
        </x:is>
      </x:c>
      <x:c r="E5" s="298" t="inlineStr">
        <x:is>
          <x:t xml:space="preserve">大类数</x:t>
        </x:is>
      </x:c>
      <x:c r="F5" s="298" t="inlineStr">
        <x:is>
          <x:t xml:space="preserve">AssetID 前缀</x:t>
        </x:is>
      </x:c>
      <x:c r="G5" s="298" t="inlineStr">
        <x:is>
          <x:t xml:space="preserve">资产条数(快照)</x:t>
        </x:is>
      </x:c>
      <x:c r="H5" s="298" t="inlineStr">
        <x:is>
          <x:t xml:space="preserve">3D Prefab 分页数</x:t>
        </x:is>
      </x:c>
      <x:c r="I5" s="298" t="inlineStr">
        <x:is>
          <x:t xml:space="preserve">Prefab 分页</x:t>
        </x:is>
      </x:c>
      <x:c r="J5" s="298" t="inlineStr">
        <x:is>
          <x:t xml:space="preserve">动画登记表</x:t>
        </x:is>
      </x:c>
      <x:c r="K5" s="298" t="inlineStr">
        <x:is>
          <x:t xml:space="preserve">首选制作 Skill</x:t>
        </x:is>
      </x:c>
      <x:c r="L5" s="298" t="inlineStr">
        <x:is>
          <x:t xml:space="preserve">协作 Skill</x:t>
        </x:is>
      </x:c>
      <x:c r="M5" s="298" t="inlineStr">
        <x:is>
          <x:t xml:space="preserve">负责人</x:t>
        </x:is>
      </x:c>
      <x:c r="N5" s="298" t="inlineStr">
        <x:is>
          <x:t xml:space="preserve">状态</x:t>
        </x:is>
      </x:c>
    </x:row>
    <x:row r="6" ht="34" customHeight="1">
      <x:c r="A6" s="301" t="n">
        <x:v>1</x:v>
      </x:c>
      <x:c r="B6" s="301" t="str">
        <x:v>角色</x:v>
      </x:c>
      <x:c r="C6" s="301" t="str">
        <x:v>assets/registry/ledgers/ShellStorm2_角色账本_v001.xlsx</x:v>
      </x:c>
      <x:c r="D6" s="301" t="str">
        <x:v>角色</x:v>
      </x:c>
      <x:c r="E6" s="301" t="n">
        <x:v>1</x:v>
      </x:c>
      <x:c r="F6" s="301" t="str">
        <x:v>CHR / SKEL / BONE</x:v>
      </x:c>
      <x:c r="G6" s="301" t="n">
        <x:v>31</x:v>
      </x:c>
      <x:c r="H6" s="301" t="n">
        <x:v>1</x:v>
      </x:c>
      <x:c r="I6" s="301" t="str">
        <x:v>3D-角色</x:v>
      </x:c>
      <x:c r="J6" s="301" t="str">
        <x:v>动画与状态 / 角色中转记录</x:v>
      </x:c>
      <x:c r="K6" s="301" t="str">
        <x:v>game-character-model-pipeline</x:v>
      </x:c>
      <x:c r="L6" s="301" t="str">
        <x:v>player-avatar-asset-standard</x:v>
      </x:c>
      <x:c r="M6" s="301" t="str">
        <x:v>待分配</x:v>
      </x:c>
      <x:c r="N6" s="301" t="str">
        <x:v>启用</x:v>
      </x:c>
    </x:row>
    <x:row r="7" ht="34" customHeight="1">
      <x:c r="A7" s="301" t="n">
        <x:v>2</x:v>
      </x:c>
      <x:c r="B7" s="301" t="str">
        <x:v>敌人</x:v>
      </x:c>
      <x:c r="C7" s="301" t="str">
        <x:v>assets/registry/ledgers/ShellStorm2_敌人账本_v001.xlsx</x:v>
      </x:c>
      <x:c r="D7" s="301" t="str">
        <x:v>敌人</x:v>
      </x:c>
      <x:c r="E7" s="301" t="n">
        <x:v>1</x:v>
      </x:c>
      <x:c r="F7" s="301" t="str">
        <x:v>ENM</x:v>
      </x:c>
      <x:c r="G7" s="301" t="n">
        <x:v>12</x:v>
      </x:c>
      <x:c r="H7" s="301" t="n">
        <x:v>1</x:v>
      </x:c>
      <x:c r="I7" s="301" t="str">
        <x:v>3D-敌人</x:v>
      </x:c>
      <x:c r="J7" s="301" t="str">
        <x:v>敌人动画与状态</x:v>
      </x:c>
      <x:c r="K7" s="301" t="str">
        <x:v>game-character-model-pipeline</x:v>
      </x:c>
      <x:c r="L7" s="301" t="str">
        <x:v>无</x:v>
      </x:c>
      <x:c r="M7" s="301" t="str">
        <x:v>待分配</x:v>
      </x:c>
      <x:c r="N7" s="301" t="str">
        <x:v>启用</x:v>
      </x:c>
    </x:row>
    <x:row r="8" ht="34" customHeight="1">
      <x:c r="A8" s="301" t="n">
        <x:v>3</x:v>
      </x:c>
      <x:c r="B8" s="301" t="str">
        <x:v>关卡场景</x:v>
      </x:c>
      <x:c r="C8" s="301" t="str">
        <x:v>assets/registry/ledgers/ShellStorm2_场景账本_v001.xlsx</x:v>
      </x:c>
      <x:c r="D8" s="301" t="str">
        <x:v>场景 / 场景道具 / 基地资产包</x:v>
      </x:c>
      <x:c r="E8" s="301" t="n">
        <x:v>3</x:v>
      </x:c>
      <x:c r="F8" s="301" t="str">
        <x:v>ART / ENV / BPK / PRP</x:v>
      </x:c>
      <x:c r="G8" s="301" t="n">
        <x:v>236</x:v>
      </x:c>
      <x:c r="H8" s="301" t="n">
        <x:v>3</x:v>
      </x:c>
      <x:c r="I8" s="301" t="str">
        <x:v>3D-场景通用 / 3D-设施 / 3D-其他</x:v>
      </x:c>
      <x:c r="J8" s="301" t="str">
        <x:v>无</x:v>
      </x:c>
      <x:c r="K8" s="301" t="str">
        <x:v>scene-full-pipeline</x:v>
      </x:c>
      <x:c r="L8" s="301" t="str">
        <x:v>godot-model-asset-import-standard / blender-game-prop-standard / scene-art-merge-into-shared-component</x:v>
      </x:c>
      <x:c r="M8" s="301" t="str">
        <x:v>待分配</x:v>
      </x:c>
      <x:c r="N8" s="301" t="str">
        <x:v>启用</x:v>
      </x:c>
    </x:row>
    <x:row r="9" ht="34" customHeight="1">
      <x:c r="A9" s="301" t="n">
        <x:v>4</x:v>
      </x:c>
      <x:c r="B9" s="301" t="str">
        <x:v>道具</x:v>
      </x:c>
      <x:c r="C9" s="301" t="str">
        <x:v>assets/registry/ledgers/ShellStorm2_道具账本_v001.xlsx</x:v>
      </x:c>
      <x:c r="D9" s="301" t="str">
        <x:v>道具</x:v>
      </x:c>
      <x:c r="E9" s="301" t="n">
        <x:v>1</x:v>
      </x:c>
      <x:c r="F9" s="301" t="str">
        <x:v>ITM / PRP</x:v>
      </x:c>
      <x:c r="G9" s="301" t="n">
        <x:v>20</x:v>
      </x:c>
      <x:c r="H9" s="301" t="n">
        <x:v>2</x:v>
      </x:c>
      <x:c r="I9" s="301" t="str">
        <x:v>3D-道具 / 3D-物品</x:v>
      </x:c>
      <x:c r="J9" s="301" t="str">
        <x:v>无</x:v>
      </x:c>
      <x:c r="K9" s="301" t="str">
        <x:v>game-prop-model-pipeline</x:v>
      </x:c>
      <x:c r="L9" s="301" t="str">
        <x:v>无</x:v>
      </x:c>
      <x:c r="M9" s="301" t="str">
        <x:v>待分配</x:v>
      </x:c>
      <x:c r="N9" s="301" t="str">
        <x:v>启用</x:v>
      </x:c>
    </x:row>
    <x:row r="10" ht="34" customHeight="1">
      <x:c r="A10" s="301" t="n">
        <x:v>5</x:v>
      </x:c>
      <x:c r="B10" s="301" t="str">
        <x:v>武器</x:v>
      </x:c>
      <x:c r="C10" s="301" t="str">
        <x:v>assets/registry/ledgers/ShellStorm2_武器账本_v001.xlsx</x:v>
      </x:c>
      <x:c r="D10" s="301" t="str">
        <x:v>武器</x:v>
      </x:c>
      <x:c r="E10" s="301" t="n">
        <x:v>1</x:v>
      </x:c>
      <x:c r="F10" s="301" t="str">
        <x:v>WPN</x:v>
      </x:c>
      <x:c r="G10" s="301" t="n">
        <x:v>36</x:v>
      </x:c>
      <x:c r="H10" s="301" t="n">
        <x:v>1</x:v>
      </x:c>
      <x:c r="I10" s="301" t="str">
        <x:v>3D-武器</x:v>
      </x:c>
      <x:c r="J10" s="301" t="str">
        <x:v>无</x:v>
      </x:c>
      <x:c r="K10" s="301" t="str">
        <x:v>game-weapon-model-pipeline</x:v>
      </x:c>
      <x:c r="L10" s="301" t="str">
        <x:v>无</x:v>
      </x:c>
      <x:c r="M10" s="301" t="str">
        <x:v>待分配</x:v>
      </x:c>
      <x:c r="N10" s="301" t="str">
        <x:v>启用</x:v>
      </x:c>
    </x:row>
    <x:row r="11" ht="34" customHeight="1">
      <x:c r="A11" s="301" t="n">
        <x:v>6</x:v>
      </x:c>
      <x:c r="B11" s="301" t="str">
        <x:v>特效</x:v>
      </x:c>
      <x:c r="C11" s="301" t="str">
        <x:v>assets/registry/ledgers/ShellStorm2_特效账本_v001.xlsx</x:v>
      </x:c>
      <x:c r="D11" s="301" t="str">
        <x:v>特效</x:v>
      </x:c>
      <x:c r="E11" s="301" t="n">
        <x:v>1</x:v>
      </x:c>
      <x:c r="F11" s="301" t="str">
        <x:v>VFX / FX</x:v>
      </x:c>
      <x:c r="G11" s="301" t="n">
        <x:v>17</x:v>
      </x:c>
      <x:c r="H11" s="301" t="n">
        <x:v>1</x:v>
      </x:c>
      <x:c r="I11" s="301" t="str">
        <x:v>3D-特效</x:v>
      </x:c>
      <x:c r="J11" s="301" t="str">
        <x:v>无</x:v>
      </x:c>
      <x:c r="K11" s="301" t="str">
        <x:v>vfx-combat-effect-authoring</x:v>
      </x:c>
      <x:c r="L11" s="301" t="str">
        <x:v>godot-model-asset-import-standard</x:v>
      </x:c>
      <x:c r="M11" s="301" t="str">
        <x:v>待分配</x:v>
      </x:c>
      <x:c r="N11" s="301" t="str">
        <x:v>启用</x:v>
      </x:c>
    </x:row>
    <x:row r="12" ht="34" customHeight="1">
      <x:c r="A12" s="301" t="n">
        <x:v>7</x:v>
      </x:c>
      <x:c r="B12" s="301" t="str">
        <x:v>UI</x:v>
      </x:c>
      <x:c r="C12" s="301" t="str">
        <x:v>assets/registry/ledgers/ShellStorm2_UI账本_v001.xlsx</x:v>
      </x:c>
      <x:c r="D12" s="301" t="str">
        <x:v>UI</x:v>
      </x:c>
      <x:c r="E12" s="301" t="n">
        <x:v>1</x:v>
      </x:c>
      <x:c r="F12" s="301" t="str">
        <x:v>UI</x:v>
      </x:c>
      <x:c r="G12" s="301" t="n">
        <x:v>17</x:v>
      </x:c>
      <x:c r="H12" s="301" t="n">
        <x:v>0</x:v>
      </x:c>
      <x:c r="I12" s="301" t="str">
        <x:v>无</x:v>
      </x:c>
      <x:c r="J12" s="301" t="str">
        <x:v>无</x:v>
      </x:c>
      <x:c r="K12" s="301" t="str">
        <x:v>ui-asset-pipeline</x:v>
      </x:c>
      <x:c r="L12" s="301" t="str">
        <x:v>无</x:v>
      </x:c>
      <x:c r="M12" s="301" t="str">
        <x:v>待分配</x:v>
      </x:c>
      <x:c r="N12" s="301" t="str">
        <x:v>启用</x:v>
      </x:c>
    </x:row>
    <x:row r="13">
      <x:c r="A13" s="401" t="n">
        <x:v>8</x:v>
      </x:c>
      <x:c r="B13" s="402" t="str">
        <x:v>音效</x:v>
      </x:c>
      <x:c r="C13" s="402" t="str">
        <x:v>assets/registry/ledgers/ShellStorm2_音效账本_v001.xlsx</x:v>
      </x:c>
      <x:c r="D13" s="402" t="str">
        <x:v>音效</x:v>
      </x:c>
      <x:c r="E13" s="402" t="n">
        <x:v>1</x:v>
      </x:c>
      <x:c r="F13" s="402" t="str">
        <x:v>AUD</x:v>
      </x:c>
      <x:c r="G13" s="402" t="n">
        <x:v>48</x:v>
      </x:c>
      <x:c r="H13" s="402" t="n">
        <x:v>0</x:v>
      </x:c>
      <x:c r="I13" s="402" t="str">
        <x:v>无</x:v>
      </x:c>
      <x:c r="J13" s="402" t="str">
        <x:v>无</x:v>
      </x:c>
      <x:c r="K13" s="402" t="str">
        <x:v>audio-sfx-asset-pipeline</x:v>
      </x:c>
      <x:c r="L13" s="402" t="str">
        <x:v>无</x:v>
      </x:c>
      <x:c r="M13" s="402" t="str">
        <x:v>待分配</x:v>
      </x:c>
      <x:c r="N13" s="403" t="str">
        <x:v>启用</x:v>
      </x:c>
    </x:row>
    <x:row r="14">
      <x:c r="A14" s="401" t="n">
        <x:v>9</x:v>
      </x:c>
      <x:c r="B14" s="413" t="str">
        <x:v>音乐</x:v>
      </x:c>
      <x:c r="C14" s="413" t="str">
        <x:v>assets/registry/ledgers/ShellStorm2_音乐账本_v001.xlsx</x:v>
      </x:c>
      <x:c r="D14" s="413" t="str">
        <x:v>音乐</x:v>
      </x:c>
      <x:c r="E14" s="415" t="n">
        <x:v>1</x:v>
      </x:c>
      <x:c r="F14" s="415" t="str">
        <x:v>AUD</x:v>
      </x:c>
      <x:c r="G14" s="415" t="n">
        <x:v>9</x:v>
      </x:c>
      <x:c r="H14" s="415" t="n">
        <x:v>0</x:v>
      </x:c>
      <x:c r="I14" s="413" t="str">
        <x:v>无</x:v>
      </x:c>
      <x:c r="J14" s="413" t="str">
        <x:v>无</x:v>
      </x:c>
      <x:c r="K14" s="413" t="str">
        <x:v>music-asset-pipeline</x:v>
      </x:c>
      <x:c r="L14" s="413" t="str">
        <x:v>无</x:v>
      </x:c>
      <x:c r="M14" s="415" t="str">
        <x:v>待分配</x:v>
      </x:c>
      <x:c r="N14" s="416" t="str">
        <x:v>启用</x:v>
      </x:c>
    </x:row>
    <x:row r="15">
      <x:c r="A15" s="426" t="str">
        <x:v>合计</x:v>
      </x:c>
      <x:c r="B15" s="427"/>
      <x:c r="C15" s="427" t="str">
        <x:v>9 个分账本</x:v>
      </x:c>
      <x:c r="D15" s="427" t="n">
        <x:f>COUNTA(D6:D14)</x:f>
        <x:v>9</x:v>
      </x:c>
      <x:c r="E15" s="427" t="n">
        <x:f>SUM(E6:E14)</x:f>
        <x:v>11</x:v>
      </x:c>
      <x:c r="F15" s="427"/>
      <x:c r="G15" s="427" t="n">
        <x:f>SUM(G6:G14)</x:f>
        <x:v>426</x:v>
      </x:c>
      <x:c r="H15" s="427" t="n">
        <x:f>SUM(H6:H14)</x:f>
        <x:v>9</x:v>
      </x:c>
      <x:c r="I15" s="427"/>
      <x:c r="J15" s="427"/>
      <x:c r="K15" s="427"/>
      <x:c r="L15" s="427"/>
      <x:c r="M15" s="427"/>
      <x:c r="N15" s="428"/>
    </x:row>
    <x:row r="17">
      <x:c r="A17" s="437" t="str">
        <x:v>快照日期 2026-09-23；条数为 P2 媒体域拆分后快照，权威数量在各分账本《总览》。新增资产先在本表确认归属域，再进对应分账本登记。</x:v>
      </x:c>
      <x:c r="B17" s="438"/>
      <x:c r="C17" s="438"/>
      <x:c r="D17" s="438"/>
      <x:c r="E17" s="438"/>
      <x:c r="F17" s="438"/>
      <x:c r="G17" s="438"/>
      <x:c r="H17" s="438"/>
      <x:c r="I17" s="438"/>
      <x:c r="J17" s="438"/>
      <x:c r="K17" s="438"/>
      <x:c r="L17" s="438"/>
      <x:c r="M17" s="438"/>
      <x:c r="N17" s="439"/>
    </x:row>
  </x:sheetData>
  <x:mergeCells>
    <x:mergeCell ref="A1:N2"/>
    <x:mergeCell ref="A3:N3"/>
    <x:mergeCell ref="A17:N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str">
        <x:v>AUD</x:v>
      </x:c>
      <x:c r="B14" s="138" t="str">
        <x:v>音效</x:v>
      </x:c>
      <x:c r="C14" s="138" t="str">
        <x:v>sfx / ambience / ui</x:v>
      </x:c>
      <x:c r="D14" s="138" t="str">
        <x:v>src/assets/audio/sfx/</x:v>
      </x:c>
      <x:c r="E14" s="138" t="str">
        <x:v>{event}_v{nnn}.{ogg|wav}</x:v>
      </x:c>
      <x:c r="F14" s="138" t="str">
        <x:v>AUD-SFX-PLAYER-DASH</x:v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92" t="str">
        <x:v>AUD</x:v>
      </x:c>
      <x:c r="B15" s="392" t="str">
        <x:v>音乐</x:v>
      </x:c>
      <x:c r="C15" s="392" t="str">
        <x:v>bgm / loop / variant</x:v>
      </x:c>
      <x:c r="D15" s="392" t="str">
        <x:v>assets/audio/music/&lt;music_id&gt;/</x:v>
      </x:c>
      <x:c r="E15" s="392" t="str">
        <x:v>{music_id}_{variant}_v{nnn}.ogg</x:v>
      </x:c>
      <x:c r="F15" s="392" t="str">
        <x:v>AUD-BGM-TOWER-DEFAULT-A</x:v>
      </x:c>
      <x:c r="G15" s="392" t="n"/>
      <x:c r="H15" s="392" t="inlineStr">
        <x:is>
          <x:t xml:space="preserve">基地资产包</x:t>
        </x:is>
      </x:c>
      <x:c r="I15" s="392" t="inlineStr">
        <x:is>
          <x:t xml:space="preserve">基地99层可独立导入、替换、导出或维护的 Blender 设施包；实体灯随所属设施包</x:t>
        </x:is>
      </x:c>
      <x:c r="J15" s="392" t="inlineStr">
        <x:is>
          <x:t xml:space="preserve">3D-设施</x:t>
        </x:is>
      </x:c>
    </x:row>
    <x:row r="16">
      <x:c r="A16" t="str">
        <x:v>BPK</x:v>
      </x:c>
      <x:c r="B16" t="str">
        <x:v>基地资产包</x:v>
      </x:c>
      <x:c r="C16" t="str">
        <x:v>建筑结构包 / 地面系统包 / 东侧固定设施包 / 二楼阁楼设施包 / 阁楼下方固定设施包 / 仓库设施包 / 环境支持包</x:v>
      </x:c>
      <x:c r="D16" t="str">
        <x:v>source/art/blender/base_facility_layout/component_packages_v017/&lt;category&gt;/&lt;asset_slug&gt;/</x:v>
      </x:c>
      <x:c r="E16" t="str">
        <x:v>bpk_base99_{asset_slug}_visual_top3d_v001.{blend|glb|json}</x:v>
      </x:c>
      <x:c r="F16" t="str">
        <x:v>BPK-BASE99-ROLLUP-MAIN-DOOR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92" t="n"/>
      <x:c r="B4" s="392" t="n"/>
      <x:c r="C4" s="392" t="n"/>
      <x:c r="D4" s="392" t="n"/>
      <x:c r="E4" s="392" t="n"/>
      <x:c r="F4" s="392" t="n"/>
      <x:c r="G4" s="392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92" t="inlineStr">
        <x:is>
          <x:t xml:space="preserve">v0.1.1</x:t>
        </x:is>
      </x:c>
      <x:c r="B7" s="348" t="n">
        <x:v>46240</x:v>
      </x:c>
      <x:c r="C7" s="392" t="inlineStr">
        <x:is>
          <x:t xml:space="preserve">角色武器表现调整</x:t>
        </x:is>
      </x:c>
      <x:c r="D7" s="392" t="inlineStr">
        <x:is>
          <x:t xml:space="preserve">player_capsule01_3d</x:t>
        </x:is>
      </x:c>
      <x:c r="E7" s="392" t="inlineStr">
        <x:is>
          <x:t xml:space="preserve">新增主左/副右背部收纳挂点，枪口统一朝下；复用既有武器模型与AssetID。</x:t>
        </x:is>
      </x:c>
      <x:c r="F7" s="392" t="inlineStr">
        <x:is>
          <x:t xml:space="preserve">不改武器实例、碰撞、伤害或切枪规则。</x:t>
        </x:is>
      </x:c>
      <x:c r="G7" s="392" t="inlineStr">
        <x:is>
          <x:t xml:space="preserve">Codex</x:t>
        </x:is>
      </x:c>
    </x:row>
    <x:row r="8" ht="46" customHeight="1">
      <x:c r="A8" s="392" t="inlineStr">
        <x:is>
          <x:t xml:space="preserve">v0.1.2</x:t>
        </x:is>
      </x:c>
      <x:c r="B8" s="348" t="n">
        <x:v>46241</x:v>
      </x:c>
      <x:c r="C8" s="392" t="inlineStr">
        <x:is>
          <x:t xml:space="preserve">音频与体验一致性</x:t>
        </x:is>
      </x:c>
      <x:c r="D8" s="392" t="inlineStr">
        <x:is>
          <x:t xml:space="preserve">31项音效/UI/玩家死亡</x:t>
        </x:is>
      </x:c>
      <x:c r="E8" s="392" t="inlineStr">
        <x:is>
          <x:t xml:space="preserve">登记OGG运行资产与哈希；更新包裹/贩卖机UI版本和死亡击飞回弹状态。</x:t>
        </x:is>
      </x:c>
      <x:c r="F8" s="392" t="inlineStr">
        <x:is>
          <x:t xml:space="preserve">WAV母版保留；运行时改用版本化OGG；不改变稳定事件键和AssetID。</x:t>
        </x:is>
      </x:c>
      <x:c r="G8" s="392" t="inlineStr">
        <x:is>
          <x:t xml:space="preserve">Codex</x:t>
        </x:is>
      </x:c>
    </x:row>
    <x:row r="9" ht="48" customHeight="1">
      <x:c r="A9" s="392" t="inlineStr">
        <x:is>
          <x:t xml:space="preserve">v0.1.6</x:t>
        </x:is>
      </x:c>
      <x:c r="B9" s="348" t="n">
        <x:v>46244</x:v>
      </x:c>
      <x:c r="C9" s="392" t="inlineStr">
        <x:is>
          <x:t xml:space="preserve">大型近战与动作状态机</x:t>
        </x:is>
      </x:c>
      <x:c r="D9" s="392" t="inlineStr">
        <x:is>
          <x:t xml:space="preserve">2武器/4动作态/三段连击</x:t>
        </x:is>
      </x:c>
      <x:c r="E9" s="392" t="inlineStr">
        <x:is>
          <x:t xml:space="preserve">登记巨型工业断刃、攻城裂甲斧程序原型；新增近战ready/windup/active/recovery动作契约与专项验收。</x:t>
        </x:is>
      </x:c>
      <x:c r="F9" s="392" t="inlineStr">
        <x:is>
          <x:t xml:space="preserve">不改变玩家八态移动机、碰撞体或WeaponInstance稳定身份；近战根无子弹槽。</x:t>
        </x:is>
      </x:c>
      <x:c r="G9" s="392" t="inlineStr">
        <x:is>
          <x:t xml:space="preserve">Codex</x:t>
        </x:is>
      </x:c>
    </x:row>
    <x:row r="10" ht="58" customHeight="1">
      <x:c r="A10" s="392" t="inlineStr">
        <x:is>
          <x:t xml:space="preserve">v0.1.7</x:t>
        </x:is>
      </x:c>
      <x:c r="B10" s="348" t="n">
        <x:v>46244</x:v>
      </x:c>
      <x:c r="C10" s="392" t="inlineStr">
        <x:is>
          <x:t xml:space="preserve">近战打击VFX与音频反馈</x:t>
        </x:is>
      </x:c>
      <x:c r="D10" s="392" t="inlineStr">
        <x:is>
          <x:t xml:space="preserve">战斗VFX/2音频/2近战</x:t>
        </x:is>
      </x:c>
      <x:c r="E10" s="392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92" t="inlineStr">
        <x:is>
          <x:t xml:space="preserve">不改命中判定、伤害或稳定武器ID；VFX无碰撞；多目标冲击主音去重。</x:t>
        </x:is>
      </x:c>
      <x:c r="G10" s="392" t="inlineStr">
        <x:is>
          <x:t xml:space="preserve">Codex</x:t>
        </x:is>
      </x:c>
    </x:row>
    <x:row r="11" ht="58" customHeight="1">
      <x:c r="A11" s="392" t="inlineStr">
        <x:is>
          <x:t xml:space="preserve">v0.1.8</x:t>
        </x:is>
      </x:c>
      <x:c r="B11" s="348" t="n">
        <x:v>46244</x:v>
      </x:c>
      <x:c r="C11" s="392" t="inlineStr">
        <x:is>
          <x:t xml:space="preserve">初级近战与统一枪械配件槽</x:t>
        </x:is>
      </x:c>
      <x:c r="D11" s="392" t="inlineStr">
        <x:is>
          <x:t xml:space="preserve">1武器/6公共槽/7枪兼容矩阵</x:t>
        </x:is>
      </x:c>
      <x:c r="E11" s="392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92" t="inlineStr">
        <x:is>
          <x:t xml:space="preserve">WeaponInstance schema v2兼容v1 MOUNT旧快照；不改命运永久槽或内部递归挂载。</x:t>
        </x:is>
      </x:c>
      <x:c r="G11" s="392" t="inlineStr">
        <x:is>
          <x:t xml:space="preserve">Codex</x:t>
        </x:is>
      </x:c>
    </x:row>
    <x:row r="12">
      <x:c r="A12" s="392" t="inlineStr">
        <x:is>
          <x:t xml:space="preserve">v0.1.9</x:t>
        </x:is>
      </x:c>
      <x:c r="B12" s="332" t="n">
        <x:v>46244</x:v>
      </x:c>
      <x:c r="C12" s="392" t="inlineStr">
        <x:is>
          <x:t xml:space="preserve">正式基地设施与独立枪械美术接入</x:t>
        </x:is>
      </x:c>
      <x:c r="D12" s="392" t="inlineStr">
        <x:is>
          <x:t xml:space="preserve">5设施/18枪/统一挂点</x:t>
        </x:is>
      </x:c>
      <x:c r="E12" s="392" t="inlineStr">
        <x:is>
          <x:t xml:space="preserve">基地接入贩卖机、情报台、工作台；18把枪拆为独立资产，7把映射现有蓝图，其余入未来资产池。</x:t>
        </x:is>
      </x:c>
      <x:c r="F12" s="392" t="inlineStr">
        <x:is>
          <x:t xml:space="preserve">不改玩法稳定ID；枪械统一Grip原点/local -Z枪口与8类挂点；旧程序模型保留为回退。</x:t>
        </x:is>
      </x:c>
      <x:c r="G12" s="392" t="inlineStr">
        <x:is>
          <x:t xml:space="preserve">Codex</x:t>
        </x:is>
      </x:c>
    </x:row>
    <x:row r="13" ht="60" customHeight="1">
      <x:c r="A13" s="392" t="inlineStr">
        <x:is>
          <x:t xml:space="preserve">v0.1.8</x:t>
        </x:is>
      </x:c>
      <x:c r="B13" s="332" t="n">
        <x:v>46245</x:v>
      </x:c>
      <x:c r="C13" s="392" t="inlineStr">
        <x:is>
          <x:t xml:space="preserve">??????????</x:t>
        </x:is>
      </x:c>
      <x:c r="D13" s="392" t="inlineStr">
        <x:is>
          <x:t xml:space="preserve">vault / fate_collection</x:t>
        </x:is>
      </x:c>
      <x:c r="E13" s="392" t="inlineStr">
        <x:is>
          <x:t xml:space="preserve">????????????????????????????????????????????????</x:t>
        </x:is>
      </x:c>
      <x:c r="F13" s="392" t="inlineStr">
        <x:is>
          <x:t xml:space="preserve">??facility_id???????????????????????</x:t>
        </x:is>
      </x:c>
      <x:c r="G13" s="392" t="inlineStr">
        <x:is>
          <x:t xml:space="preserve">Codex</x:t>
        </x:is>
      </x:c>
    </x:row>
    <x:row r="14" ht="54" customHeight="1">
      <x:c r="A14" s="392" t="inlineStr">
        <x:is>
          <x:t xml:space="preserve">v0.1.10</x:t>
        </x:is>
      </x:c>
      <x:c r="B14" s="392" t="n">
        <x:v>46247</x:v>
      </x:c>
      <x:c r="C14" s="392" t="inlineStr">
        <x:is>
          <x:t xml:space="preserve">Boss/场地/手电筒资产收口</x:t>
        </x:is>
      </x:c>
      <x:c r="D14" s="392" t="inlineStr">
        <x:is>
          <x:t xml:space="preserve">3 Boss / 3场地 / 3音频</x:t>
        </x:is>
      </x:c>
      <x:c r="E14" s="392" t="inlineStr">
        <x:is>
          <x:t xml:space="preserve">登记95/90/85层独立Boss和竞技场GLB、三条手电筒OGG及母版；记录永久结构代理与高模流式边界。</x:t>
        </x:is>
      </x:c>
      <x:c r="F14" s="392" t="inlineStr">
        <x:is>
          <x:t xml:space="preserve">稳定玩法ID不变；楼板、关卡墙和塔楼外墙永久可见；仅正式高模视野外流式。</x:t>
        </x:is>
      </x:c>
      <x:c r="G14" s="392" t="inlineStr">
        <x:is>
          <x:t xml:space="preserve">Codex</x:t>
        </x:is>
      </x:c>
    </x:row>
    <x:row r="15" ht="72" customHeight="1">
      <x:c r="A15" s="392" t="inlineStr">
        <x:is>
          <x:t xml:space="preserve">v0.1.11</x:t>
        </x:is>
      </x:c>
      <x:c r="B15" s="348" t="n">
        <x:v>46252</x:v>
      </x:c>
      <x:c r="C15" s="392" t="inlineStr">
        <x:is>
          <x:t xml:space="preserve">基地99层3D模块资产管理</x:t>
        </x:is>
      </x:c>
      <x:c r="D15" s="392" t="inlineStr">
        <x:is>
          <x:t xml:space="preserve">模块目录/5项资产/普通墙表现替换</x:t>
        </x:is>
      </x:c>
      <x:c r="E15" s="392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92" t="inlineStr">
        <x:is>
          <x:t xml:space="preserve">只替换99F普通墙表现；14段槽位、0.30m碰撞、两个带门墙、门状态机、寻路和摄像机逻辑不变。</x:t>
        </x:is>
      </x:c>
      <x:c r="G15" s="392" t="inlineStr">
        <x:is>
          <x:t xml:space="preserve">Codex</x:t>
        </x:is>
      </x:c>
    </x:row>
    <x:row r="16" ht="72" customHeight="1">
      <x:c r="A16" s="392" t="inlineStr">
        <x:is>
          <x:t xml:space="preserve">v0.1.12</x:t>
        </x:is>
      </x:c>
      <x:c r="B16" s="348" t="n">
        <x:v>46252</x:v>
      </x:c>
      <x:c r="C16" s="392" t="inlineStr">
        <x:is>
          <x:t xml:space="preserve">3D Prefab总控与原生组合规则</x:t>
        </x:is>
      </x:c>
      <x:c r="D16" s="392" t="inlineStr">
        <x:is>
          <x:t xml:space="preserve">3D资产管理/基地99层4项Prefab映射</x:t>
        </x:is>
      </x:c>
      <x:c r="E16" s="392" t="inlineStr">
        <x:is>
          <x:t xml:space="preserve">新增简化3D Prefab总控，记录Prefab、GLB、功能脚本与碰撞归属；现有3D规范补充Godot原生组合和按需建模规则。</x:t>
        </x:is>
      </x:c>
      <x:c r="F16" s="392" t="inlineStr">
        <x:is>
          <x:t xml:space="preserve">不改变Godot运行结构；不新增未来空壳模块；当前基地普通墙、门墙和地板引用保持不变。</x:t>
        </x:is>
      </x:c>
      <x:c r="G16" s="392" t="inlineStr">
        <x:is>
          <x:t xml:space="preserve">Codex</x:t>
        </x:is>
      </x:c>
    </x:row>
    <x:row r="17" ht="52" customHeight="1">
      <x:c r="A17" s="392" t="inlineStr">
        <x:is>
          <x:t xml:space="preserve">v0.1.13</x:t>
        </x:is>
      </x:c>
      <x:c r="B17" s="348" t="n">
        <x:v>46252</x:v>
      </x:c>
      <x:c r="C17" s="392" t="inlineStr">
        <x:is>
          <x:t xml:space="preserve">3D Prefab资产分类</x:t>
        </x:is>
      </x:c>
      <x:c r="D17" s="392" t="inlineStr">
        <x:is>
          <x:t xml:space="preserve">Prefab总控/分类与编码/基地99层4项</x:t>
        </x:is>
      </x:c>
      <x:c r="E17" s="392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92" t="inlineStr">
        <x:is>
          <x:t xml:space="preserve">只更新资产管理分类，不改变AssetID、Prefab路径、模型、脚本、碰撞或Godot运行逻辑。</x:t>
        </x:is>
      </x:c>
      <x:c r="G17" s="392" t="inlineStr">
        <x:is>
          <x:t xml:space="preserve">Codex</x:t>
        </x:is>
      </x:c>
    </x:row>
    <x:row r="18" ht="50" customHeight="1">
      <x:c r="A18" s="392" t="inlineStr">
        <x:is>
          <x:t xml:space="preserve">v0.1.14</x:t>
        </x:is>
      </x:c>
      <x:c r="B18" s="348" t="n">
        <x:v>46252</x:v>
      </x:c>
      <x:c r="C18" s="392" t="inlineStr">
        <x:is>
          <x:t xml:space="preserve">全项目3D Prefab扫描与分类分页</x:t>
        </x:is>
      </x:c>
      <x:c r="D18" s="392" t="inlineStr">
        <x:is>
          <x:t xml:space="preserve">90个Prefab/9分类分页/补登记35项</x:t>
        </x:is>
      </x:c>
      <x:c r="E18" s="392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92" t="inlineStr">
        <x:is>
          <x:t xml:space="preserve">只更新资产账本与管理规则；不修改Prefab、GLB、脚本、碰撞或Godot运行逻辑。</x:t>
        </x:is>
      </x:c>
      <x:c r="G18" s="392" t="inlineStr">
        <x:is>
          <x:t xml:space="preserve">Codex</x:t>
        </x:is>
      </x:c>
    </x:row>
    <x:row r="19" ht="52" customHeight="1">
      <x:c r="A19" s="392" t="inlineStr">
        <x:is>
          <x:t xml:space="preserve">v0.1.15</x:t>
        </x:is>
      </x:c>
      <x:c r="B19" s="392" t="n">
        <x:v>46252</x:v>
      </x:c>
      <x:c r="C19" s="392" t="inlineStr">
        <x:is>
          <x:t xml:space="preserve">基地99层九件模块正式接入</x:t>
        </x:is>
      </x:c>
      <x:c r="D19" s="392" t="inlineStr">
        <x:is>
          <x:t xml:space="preserve">9 Prefab / 9 GLB / 98个3D Prefab</x:t>
        </x:is>
      </x:c>
      <x:c r="E19" s="392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92" t="inlineStr">
        <x:is>
          <x:t xml:space="preserve">只替换表现并复用Godot原生组合；门、房间、碰撞和99→98层摄像机规则保持稳定。</x:t>
        </x:is>
      </x:c>
      <x:c r="G19" s="392" t="inlineStr">
        <x:is>
          <x:t xml:space="preserve">Codex</x:t>
        </x:is>
      </x:c>
    </x:row>
    <x:row r="20" ht="90" customHeight="1">
      <x:c r="A20" s="392" t="inlineStr">
        <x:is>
          <x:t xml:space="preserve">v0.1.16</x:t>
        </x:is>
      </x:c>
      <x:c r="B20" s="392" t="n">
        <x:v>46252</x:v>
      </x:c>
      <x:c r="C20" s="392" t="inlineStr">
        <x:is>
          <x:t xml:space="preserve">基地99/100层布局与楼梯碰撞校正</x:t>
        </x:is>
      </x:c>
      <x:c r="D20" s="392" t="inlineStr">
        <x:is>
          <x:t xml:space="preserve">99层14普通墙/100层开洞36块/3个可编辑结构Prefab</x:t>
        </x:is>
      </x:c>
      <x:c r="E20" s="392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92" t="inlineStr">
        <x:is>
          <x:t xml:space="preserve">表现与碰撞保留Prefab分工；门、设施、房间与99→98层逻辑不改；结构组件可在主场景tscn直接摆放。</x:t>
        </x:is>
      </x:c>
      <x:c r="G20" s="392" t="inlineStr">
        <x:is>
          <x:t xml:space="preserve">Codex</x:t>
        </x:is>
      </x:c>
    </x:row>
    <x:row r="21" ht="86" customHeight="1">
      <x:c r="A21" s="392" t="inlineStr">
        <x:is>
          <x:t xml:space="preserve">v0.1.17</x:t>
        </x:is>
      </x:c>
      <x:c r="B21" s="392" t="n">
        <x:v>46252</x:v>
      </x:c>
      <x:c r="C21" s="392" t="inlineStr">
        <x:is>
          <x:t xml:space="preserve">基地100层上层围护与18米封顶</x:t>
        </x:is>
      </x:c>
      <x:c r="D21" s="392" t="inlineStr">
        <x:is>
          <x:t xml:space="preserve">1个组合Prefab/24块墙/36块封顶/9片结构碰撞</x:t>
        </x:is>
      </x:c>
      <x:c r="E21" s="392" t="inlineStr">
        <x:is>
          <x:t xml:space="preserve">按Blender母版加入9—18米上层围护：北侧中间4窗、其余19普通墙、东侧1门墙；18米复用5米地板模块封顶。</x:t>
        </x:is>
      </x:c>
      <x:c r="F21" s="392" t="inlineStr">
        <x:is>
          <x:t xml:space="preserve">新增组合仅负责表现与结构碰撞；99层14普通墙、2功能门、设施、中庭开洞和摄像机规则不变；全部不投影。</x:t>
        </x:is>
      </x:c>
      <x:c r="G21" s="392" t="inlineStr">
        <x:is>
          <x:t xml:space="preserve">Codex</x:t>
        </x:is>
      </x:c>
    </x:row>
    <x:row r="22" ht="72" customHeight="1">
      <x:c r="A22" s="392" t="inlineStr">
        <x:is>
          <x:t xml:space="preserve">v0.1.18</x:t>
        </x:is>
      </x:c>
      <x:c r="B22" s="392" t="n">
        <x:v>46252</x:v>
      </x:c>
      <x:c r="C22" s="392" t="inlineStr">
        <x:is>
          <x:t xml:space="preserve">场景组件真实投影规则</x:t>
        </x:is>
      </x:c>
      <x:c r="D22" s="392" t="inlineStr">
        <x:is>
          <x:t xml:space="preserve">基地墙/地板/门/楼板/楼梯/封顶/设施模型</x:t>
        </x:is>
      </x:c>
      <x:c r="E22" s="392" t="inlineStr">
        <x:is>
          <x:t xml:space="preserve">统一cast_shadow=ON；封顶阻挡室外光；中央灯开关形成真实明暗切换。</x:t>
        </x:is>
      </x:c>
      <x:c r="F22" s="392" t="inlineStr">
        <x:is>
          <x:t xml:space="preserve">只改渲染投影，不改碰撞、门、设施、楼层功能；纯VFX/光池/玩家/UI不纳入场景模型规则。</x:t>
        </x:is>
      </x:c>
      <x:c r="G22" s="392" t="inlineStr">
        <x:is>
          <x:t xml:space="preserve">Codex</x:t>
        </x:is>
      </x:c>
    </x:row>
    <x:row r="23" ht="78" customHeight="1">
      <x:c r="A23" s="392" t="inlineStr">
        <x:is>
          <x:t xml:space="preserve">v0.1.19</x:t>
        </x:is>
      </x:c>
      <x:c r="B23" s="348" t="n">
        <x:v>46254</x:v>
      </x:c>
      <x:c r="C23" s="392" t="inlineStr">
        <x:is>
          <x:t xml:space="preserve">基地系统/时间/Avatar/3D流程收口</x:t>
        </x:is>
      </x:c>
      <x:c r="D23" s="392" t="inlineStr">
        <x:is>
          <x:t xml:space="preserve">6项资产/3项Skill/5米结构/11设施</x:t>
        </x:is>
      </x:c>
      <x:c r="E23" s="392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92" t="inlineStr">
        <x:is>
          <x:t xml:space="preserve">视觉替换不改变原门、设施、玩家碰撞和战斗脚本；旧Z7/H2资产保留回滚；新Skill草稿未安装。</x:t>
        </x:is>
      </x:c>
      <x:c r="G23" s="392" t="inlineStr">
        <x:is>
          <x:t xml:space="preserve">Codex</x:t>
        </x:is>
      </x:c>
    </x:row>
    <x:row r="24" ht="100" customHeight="1">
      <x:c r="A24" s="392" t="inlineStr">
        <x:is>
          <x:t xml:space="preserve">v0.1.20</x:t>
        </x:is>
      </x:c>
      <x:c r="B24" s="348" t="n">
        <x:v>46261</x:v>
      </x:c>
      <x:c r="C24" s="392" t="inlineStr">
        <x:is>
          <x:t xml:space="preserve">首只唯一精英正式资产</x:t>
        </x:is>
      </x:c>
      <x:c r="D24" s="392" t="inlineStr">
        <x:is>
          <x:t xml:space="preserve">1 Blend / 1 GLB / 1 Prefab / 98—96F投放</x:t>
        </x:is>
      </x:c>
      <x:c r="E24" s="392" t="inlineStr">
        <x:is>
          <x:t xml:space="preserve">登记背枪的裂口爬虫独立模型、四材质、五类语义组件、命名血条和表现/碰撞解耦。</x:t>
        </x:is>
      </x:c>
      <x:c r="F24" s="392" t="inlineStr">
        <x:is>
          <x:t xml:space="preserve">稳定elite_id、AI、生命、伤害、掉落、跨局档案与基础碰撞不变；其余11只不投放。</x:t>
        </x:is>
      </x:c>
      <x:c r="G24" s="392" t="inlineStr">
        <x:is>
          <x:t xml:space="preserve">Codex</x:t>
        </x:is>
      </x:c>
    </x:row>
    <x:row r="25" ht="115" customHeight="1">
      <x:c r="A25" s="392" t="inlineStr">
        <x:is>
          <x:t xml:space="preserve">v0.1.21</x:t>
        </x:is>
      </x:c>
      <x:c r="B25" s="348" t="n">
        <x:v>46262</x:v>
      </x:c>
      <x:c r="C25" s="392" t="inlineStr">
        <x:is>
          <x:t xml:space="preserve">99F阁楼平台闪面与横向门板阻挡源资产修复</x:t>
        </x:is>
      </x:c>
      <x:c r="D25" s="392" t="inlineStr">
        <x:is>
          <x:t xml:space="preserve">2 Blend / 2 GLB / 2 Prefab / 2资产登记</x:t>
        </x:is>
      </x:c>
      <x:c r="E25" s="392" t="inlineStr">
        <x:is>
          <x:t xml:space="preserve">平台承重皮内收0.15米消除四边共面；横向门板显式保存三面永久碰撞并通过六条物理射线。</x:t>
        </x:is>
      </x:c>
      <x:c r="F25" s="392" t="inlineStr">
        <x:is>
          <x:t xml:space="preserve">保留5米行走面、既有楼板/栏杆碰撞、位置与旋转；v002全套保留回滚。</x:t>
        </x:is>
      </x:c>
      <x:c r="G25" s="392" t="inlineStr">
        <x:is>
          <x:t xml:space="preserve">Codex</x:t>
        </x:is>
      </x:c>
    </x:row>
    <x:row r="26" ht="118" customHeight="1">
      <x:c r="A26" s="392" t="inlineStr">
        <x:is>
          <x:t xml:space="preserve">v0.1.22</x:t>
        </x:is>
      </x:c>
      <x:c r="B26" s="392" t="n">
        <x:v>46262</x:v>
      </x:c>
      <x:c r="C26" s="392" t="inlineStr">
        <x:is>
          <x:t xml:space="preserve">场景与设施公共色盘合并</x:t>
        </x:is>
      </x:c>
      <x:c r="D26" s="392" t="inlineStr">
        <x:is>
          <x:t xml:space="preserve">35个Blend / 44个GLB / 51份重复贴图 / 2项Skill</x:t>
        </x:is>
      </x:c>
      <x:c r="E26" s="392" t="inlineStr">
        <x:is>
          <x:t xml:space="preserve">Blender母版统一外链固定色盘；GLB移除嵌图；Godot后导入脚本统一绑定；删除组件目录重复PNG。</x:t>
        </x:is>
      </x:c>
      <x:c r="F26" s="392" t="inlineStr">
        <x:is>
          <x:t xml:space="preserve">不改网格、UV、碰撞、Prefab、AssetID与玩法逻辑；旧版本GLB同样采用统一运行时贴图。</x:t>
        </x:is>
      </x:c>
      <x:c r="G26" s="392" t="inlineStr">
        <x:is>
          <x:t xml:space="preserve">Codex</x:t>
        </x:is>
      </x:c>
    </x:row>
    <x:row r="27" ht="118" customHeight="1">
      <x:c r="A27" s="392" t="inlineStr">
        <x:is>
          <x:t xml:space="preserve">v0.1.23</x:t>
        </x:is>
      </x:c>
      <x:c r="B27" s="392" t="n">
        <x:v>46265</x:v>
      </x:c>
      <x:c r="C27" s="392" t="inlineStr">
        <x:is>
          <x:t xml:space="preserve">基地设施交互与天台90×80资产对齐</x:t>
        </x:is>
      </x:c>
      <x:c r="D27" s="392" t="inlineStr">
        <x:is>
          <x:t xml:space="preserve">2项交互修复 / 2项设施移除 / 1个Blend / 1个GLB / 1个Prefab</x:t>
        </x:is>
      </x:c>
      <x:c r="E27" s="392" t="inlineStr">
        <x:is>
          <x:t xml:space="preserve">交互区域改向房间中央；移除命运占卜屋和基地管理终端；按100F真实18×16网格重制天台并为基地与楼梯间留空。</x:t>
        </x:is>
      </x:c>
      <x:c r="F27" s="392" t="inlineStr">
        <x:is>
          <x:t xml:space="preserve">不改变远征情报室与枪械工坊的位置、旋转和缩放；天台玩法碰撞继续由TowerFloorStage3D持有；v011保留回滚。</x:t>
        </x:is>
      </x:c>
      <x:c r="G27" s="392" t="inlineStr">
        <x:is>
          <x:t xml:space="preserve">Codex</x:t>
        </x:is>
      </x:c>
    </x:row>
    <x:row r="28" ht="118" customHeight="1">
      <x:c r="A28" s="392" t="inlineStr">
        <x:is>
          <x:t xml:space="preserve">v0.1.24</x:t>
        </x:is>
      </x:c>
      <x:c r="B28" s="392" t="n">
        <x:v>46265</x:v>
      </x:c>
      <x:c r="C28" s="392" t="inlineStr">
        <x:is>
          <x:t xml:space="preserve">天台东侧生活聚落集中布局</x:t>
        </x:is>
      </x:c>
      <x:c r="D28" s="392" t="inlineStr">
        <x:is>
          <x:t xml:space="preserve">1个Blend / 1个GLB / 1个Prefab / 1项聚落范围门禁</x:t>
        </x:is>
      </x:c>
      <x:c r="E28" s="392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92" t="inlineStr">
        <x:is>
          <x:t xml:space="preserve">不改90×80米地表、234格、基地中庭、西侧楼梯间、根缩放及碰撞归属；v012保留回滚。</x:t>
        </x:is>
      </x:c>
      <x:c r="G28" s="392" t="inlineStr">
        <x:is>
          <x:t xml:space="preserve">Codex</x:t>
        </x:is>
      </x:c>
    </x:row>
    <x:row r="29" ht="84" customHeight="1">
      <x:c r="A29" s="392" t="inlineStr">
        <x:is>
          <x:t xml:space="preserve">v0.1.25</x:t>
        </x:is>
      </x:c>
      <x:c r="B29" s="392" t="n">
        <x:v>46265</x:v>
      </x:c>
      <x:c r="C29" s="392" t="inlineStr">
        <x:is>
          <x:t xml:space="preserve">天台部件细分与独立阻挡</x:t>
        </x:is>
      </x:c>
      <x:c r="D29" s="392" t="inlineStr">
        <x:is>
          <x:t xml:space="preserve">1个Blend / 1个GLB / 1个Prefab / 64个组件目录 / 34个独立阻挡</x:t>
        </x:is>
      </x:c>
      <x:c r="E29" s="392" t="inlineStr">
        <x:is>
          <x:t xml:space="preserve">将沙发、桌子、桌面收音机及能源/种植/通信设施拆分到独立语义目录；增加Blender阻挡代理与Godot独立StaticBody3D。</x:t>
        </x:is>
      </x:c>
      <x:c r="F29" s="392" t="inlineStr">
        <x:is>
          <x:t xml:space="preserve">不改东侧聚落布局、90×80米地表、234格、基地中庭、西侧楼梯间及根缩放；v013保留回滚。</x:t>
        </x:is>
      </x:c>
      <x:c r="G29" s="392" t="inlineStr">
        <x:is>
          <x:t xml:space="preserve">Codex</x:t>
        </x:is>
      </x:c>
    </x:row>
    <x:row r="30" ht="118" customHeight="1">
      <x:c r="A30" s="392" t="inlineStr">
        <x:is>
          <x:t xml:space="preserve">v0.1.26</x:t>
        </x:is>
      </x:c>
      <x:c r="B30" s="392" t="n">
        <x:v>46265</x:v>
      </x:c>
      <x:c r="C30" s="392" t="inlineStr">
        <x:is>
          <x:t xml:space="preserve">天台贴边棚屋与标注分区</x:t>
        </x:is>
      </x:c>
      <x:c r="D30" s="392" t="inlineStr">
        <x:is>
          <x:t xml:space="preserve">1个Blend / 1个GLB / 1个Prefab / 68个组件目录 / 36个独立阻挡</x:t>
        </x:is>
      </x:c>
      <x:c r="E30" s="392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92" t="inlineStr">
        <x:is>
          <x:t xml:space="preserve">不改90×80米地表、234格、基地中庭、西侧楼梯间及根缩放；v014保留回滚。</x:t>
        </x:is>
      </x:c>
      <x:c r="G30" s="392" t="inlineStr">
        <x:is>
          <x:t xml:space="preserve">Codex</x:t>
        </x:is>
      </x:c>
    </x:row>
    <x:row r="31" ht="118" customHeight="1">
      <x:c r="A31" s="392" t="inlineStr">
        <x:is>
          <x:t xml:space="preserve">v0.1.27</x:t>
        </x:is>
      </x:c>
      <x:c r="B31" s="392" t="n">
        <x:v>46265</x:v>
      </x:c>
      <x:c r="C31" s="392" t="inlineStr">
        <x:is>
          <x:t xml:space="preserve">天台TSCN可编辑布局与组合碰撞</x:t>
        </x:is>
      </x:c>
      <x:c r="D31" s="392" t="inlineStr">
        <x:is>
          <x:t xml:space="preserve">1个Blend / 70个GLB / 1个Prefab / 68个可编辑组件 / 39组82形状阻挡</x:t>
        </x:is>
      </x:c>
      <x:c r="E31" s="392" t="inlineStr">
        <x:is>
          <x:t xml:space="preserve">将通信高台移至东北角、棚屋置于其西侧并保留2米净距；组件拆分到TSCN五组层级，阻挡随组件移动并按结构细分。</x:t>
        </x:is>
      </x:c>
      <x:c r="F31" s="392" t="inlineStr">
        <x:is>
          <x:t xml:space="preserve">不改90×80米地表、234格、基地中庭、西楼梯、黄色门前动线及根缩放；v015保留回滚。</x:t>
        </x:is>
      </x:c>
      <x:c r="G31" s="392" t="inlineStr">
        <x:is>
          <x:t xml:space="preserve">Codex</x:t>
        </x:is>
      </x:c>
    </x:row>
    <x:row r="32" ht="118" customHeight="1">
      <x:c r="A32" s="392" t="inlineStr">
        <x:is>
          <x:t xml:space="preserve">v0.1.28</x:t>
        </x:is>
      </x:c>
      <x:c r="B32" s="392" t="n">
        <x:v>46265</x:v>
      </x:c>
      <x:c r="C32" s="392" t="inlineStr">
        <x:is>
          <x:t xml:space="preserve">天台v017仅设施导入与原生地板恢复</x:t>
        </x:is>
      </x:c>
      <x:c r="D32" s="392" t="inlineStr">
        <x:is>
          <x:t xml:space="preserve">1个Blend / 69个GLB / 1个设施Prefab / 68个可编辑组件 / 39组82形状阻挡</x:t>
        </x:is>
      </x:c>
      <x:c r="E32" s="392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92" t="inlineStr">
        <x:is>
          <x:t xml:space="preserve">不改100F原生90×80米地表、234格、基地中庭、西楼梯、承重面、外围边界碰撞和设施平面布局；v016保留回滚。</x:t>
        </x:is>
      </x:c>
      <x:c r="G32" s="392" t="inlineStr">
        <x:is>
          <x:t xml:space="preserve">Codex</x:t>
        </x:is>
      </x:c>
    </x:row>
    <x:row r="33" ht="128" customHeight="1">
      <x:c r="A33" s="392" t="inlineStr">
        <x:is>
          <x:t xml:space="preserve">v0.1.29</x:t>
        </x:is>
      </x:c>
      <x:c r="B33" s="348" t="n">
        <x:v>46267</x:v>
      </x:c>
      <x:c r="C33" s="392" t="inlineStr">
        <x:is>
          <x:t xml:space="preserve">基地99F高品质微缩布局Blender母版</x:t>
        </x:is>
      </x:c>
      <x:c r="D33" s="392" t="inlineStr">
        <x:is>
          <x:t xml:space="preserve">1个Blend / 3张预览 / 4共享材质 / 240帧循环动效</x:t>
        </x:is>
      </x:c>
      <x:c r="E33" s="392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92" t="inlineStr">
        <x:is>
          <x:t xml:space="preserve">仅完成Blender源与视觉验收；未替换Godot TSCN/GLB、碰撞、交互和玩法；既有运行时与v002保留回滚。</x:t>
        </x:is>
      </x:c>
      <x:c r="G33" s="392" t="inlineStr">
        <x:is>
          <x:t xml:space="preserve">Codex</x:t>
        </x:is>
      </x:c>
    </x:row>
    <x:row r="34" ht="86" customHeight="1">
      <x:c r="A34" s="392" t="inlineStr">
        <x:is>
          <x:t xml:space="preserve">v0.1.30</x:t>
        </x:is>
      </x:c>
      <x:c r="B34" s="348" t="n">
        <x:v>46268</x:v>
      </x:c>
      <x:c r="C34" s="392" t="inlineStr">
        <x:is>
          <x:t xml:space="preserve">ENV-BASE99-ART-LAYOUT-3D</x:t>
        </x:is>
      </x:c>
      <x:c r="D34" s="392" t="inlineStr">
        <x:is>
          <x:t xml:space="preserve">基地99层Blender高品质布局v004</x:t>
        </x:is>
      </x:c>
      <x:c r="E34" s="392" t="inlineStr">
        <x:is>
          <x:t xml:space="preserve">阁楼贴东墙；铁皮封闭体内部清空；重做西侧L梯；设施从南区分散到东西墙与阁楼；移除通道箭头覆层。</x:t>
        </x:is>
      </x:c>
      <x:c r="F34" s="392" t="inlineStr">
        <x:is>
          <x:t xml:space="preserve">Blender 4.2严格验证通过：4材质，928网格，200052/200052有效PaletteUV面；三张预览人工复核通过。</x:t>
        </x:is>
      </x:c>
      <x:c r="G34" s="392" t="inlineStr">
        <x:is>
          <x:t xml:space="preserve">Codex</x:t>
        </x:is>
      </x:c>
      <x:c r="H34" s="392" t="inlineStr">
        <x:is>
          <x:t xml:space="preserve">仅更新Blender源场景与资产台账，未修改Godot运行时。</x:t>
        </x:is>
      </x:c>
    </x:row>
    <x:row r="35" ht="96" customHeight="1">
      <x:c r="A35" s="392" t="inlineStr">
        <x:is>
          <x:t xml:space="preserve">v0.1.31</x:t>
        </x:is>
      </x:c>
      <x:c r="B35" s="348" t="n">
        <x:v>46268</x:v>
      </x:c>
      <x:c r="C35" s="392" t="inlineStr">
        <x:is>
          <x:t xml:space="preserve">ENV-BASE99-ART-LAYOUT-3D</x:t>
        </x:is>
      </x:c>
      <x:c r="D35" s="392" t="inlineStr">
        <x:is>
          <x:t xml:space="preserve">基地99层西北贴墙L梯布局v005</x:t>
        </x:is>
      </x:c>
      <x:c r="E35" s="392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92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92" t="inlineStr">
        <x:is>
          <x:t xml:space="preserve">Codex</x:t>
        </x:is>
      </x:c>
      <x:c r="H35" s="392" t="inlineStr">
        <x:is>
          <x:t xml:space="preserve">Blender源场景版本增量；未修改Godot运行时、碰撞或玩法。</x:t>
        </x:is>
      </x:c>
    </x:row>
    <x:row r="36" ht="116" customHeight="1">
      <x:c r="A36" s="392" t="inlineStr">
        <x:is>
          <x:t xml:space="preserve">v0.1.32</x:t>
        </x:is>
      </x:c>
      <x:c r="B36" s="348" t="n">
        <x:v>46268</x:v>
      </x:c>
      <x:c r="C36" s="392" t="inlineStr">
        <x:is>
          <x:t xml:space="preserve">ENV-BASE99-ART-LAYOUT-3D</x:t>
        </x:is>
      </x:c>
      <x:c r="D36" s="392" t="inlineStr">
        <x:is>
          <x:t xml:space="preserve">基地99层参考图地板系统深化v006</x:t>
        </x:is>
      </x:c>
      <x:c r="E36" s="392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92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92" t="inlineStr">
        <x:is>
          <x:t xml:space="preserve">Codex</x:t>
        </x:is>
      </x:c>
      <x:c r="H36" s="392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92" t="inlineStr">
        <x:is>
          <x:t xml:space="preserve">v0.1.33</x:t>
        </x:is>
      </x:c>
      <x:c r="B37" s="348" t="n">
        <x:v>46268</x:v>
      </x:c>
      <x:c r="C37" s="392" t="inlineStr">
        <x:is>
          <x:t xml:space="preserve">ENV-BASE99-ART-LAYOUT-3D</x:t>
        </x:is>
      </x:c>
      <x:c r="D37" s="392" t="inlineStr">
        <x:is>
          <x:t xml:space="preserve">基地99层资产包文件夹归类v007</x:t>
        </x:is>
      </x:c>
      <x:c r="E37" s="392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92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92" t="inlineStr">
        <x:is>
          <x:t xml:space="preserve">Codex</x:t>
        </x:is>
      </x:c>
      <x:c r="H37" s="392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92" t="inlineStr">
        <x:is>
          <x:t xml:space="preserve">v0.1.34</x:t>
        </x:is>
      </x:c>
      <x:c r="B38" s="348" t="n">
        <x:v>46268</x:v>
      </x:c>
      <x:c r="C38" s="392" t="inlineStr">
        <x:is>
          <x:t xml:space="preserve">ENV-BASE99-ART-LAYOUT-3D</x:t>
        </x:is>
      </x:c>
      <x:c r="D38" s="392" t="inlineStr">
        <x:is>
          <x:t xml:space="preserve">基地99层南面设施高还原深化v008</x:t>
        </x:is>
      </x:c>
      <x:c r="E38" s="392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92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92" t="inlineStr">
        <x:is>
          <x:t xml:space="preserve">Codex</x:t>
        </x:is>
      </x:c>
      <x:c r="H38" s="392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92" t="inlineStr">
        <x:is>
          <x:t xml:space="preserve">v0.1.35</x:t>
        </x:is>
      </x:c>
      <x:c r="B39" s="348" t="n">
        <x:v>46268</x:v>
      </x:c>
      <x:c r="C39" s="392" t="inlineStr">
        <x:is>
          <x:t xml:space="preserve">ENV-BASE99-ART-LAYOUT-3D</x:t>
        </x:is>
      </x:c>
      <x:c r="D39" s="392" t="inlineStr">
        <x:is>
          <x:t xml:space="preserve">基地99层东面设施高还原深化v009</x:t>
        </x:is>
      </x:c>
      <x:c r="E39" s="392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92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92" t="inlineStr">
        <x:is>
          <x:t xml:space="preserve">Codex</x:t>
        </x:is>
      </x:c>
      <x:c r="H39" s="392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92" t="inlineStr">
        <x:is>
          <x:t xml:space="preserve">v0.1.36</x:t>
        </x:is>
      </x:c>
      <x:c r="B40" s="348" t="n">
        <x:v>46268</x:v>
      </x:c>
      <x:c r="C40" s="392" t="inlineStr">
        <x:is>
          <x:t xml:space="preserve">ENV-BASE99-ART-LAYOUT-3D</x:t>
        </x:is>
      </x:c>
      <x:c r="D40" s="392" t="inlineStr">
        <x:is>
          <x:t xml:space="preserve">基地99层二楼设施与楼梯高还原深化v010</x:t>
        </x:is>
      </x:c>
      <x:c r="E40" s="392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92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92" t="inlineStr">
        <x:is>
          <x:t xml:space="preserve">Codex</x:t>
        </x:is>
      </x:c>
      <x:c r="H40" s="392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92" t="inlineStr">
        <x:is>
          <x:t xml:space="preserve">v0.1.37</x:t>
        </x:is>
      </x:c>
      <x:c r="B41" s="348" t="n">
        <x:v>46268</x:v>
      </x:c>
      <x:c r="C41" s="392" t="inlineStr">
        <x:is>
          <x:t xml:space="preserve">ENV-BASE99-ART-LAYOUT-3D</x:t>
        </x:is>
      </x:c>
      <x:c r="D41" s="392" t="inlineStr">
        <x:is>
          <x:t xml:space="preserve">基地99层二楼与楼梯参考图高还原迭代v011</x:t>
        </x:is>
      </x:c>
      <x:c r="E41" s="392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92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92" t="inlineStr">
        <x:is>
          <x:t xml:space="preserve">Codex</x:t>
        </x:is>
      </x:c>
      <x:c r="H41" s="392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92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92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92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92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92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92" t="inlineStr">
        <x:is>
          <x:t xml:space="preserve">Codex</x:t>
        </x:is>
      </x:c>
      <x:c r="H43" s="392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92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92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92" t="inlineStr">
        <x:is>
          <x:t xml:space="preserve">Codex</x:t>
        </x:is>
      </x:c>
      <x:c r="H44" s="392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92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92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92" t="inlineStr">
        <x:is>
          <x:t xml:space="preserve">Codex</x:t>
        </x:is>
      </x:c>
      <x:c r="H45" s="392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92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92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92" t="inlineStr">
        <x:is>
          <x:t xml:space="preserve">Codex</x:t>
        </x:is>
      </x:c>
      <x:c r="H46" s="392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92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92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92" t="inlineStr">
        <x:is>
          <x:t xml:space="preserve">Codex</x:t>
        </x:is>
      </x:c>
      <x:c r="H47" s="392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92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92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92" t="inlineStr">
        <x:is>
          <x:t xml:space="preserve">Codex</x:t>
        </x:is>
      </x:c>
      <x:c r="H48" s="392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92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92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92" t="inlineStr">
        <x:is>
          <x:t xml:space="preserve">Codex</x:t>
        </x:is>
      </x:c>
      <x:c r="H49" s="392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92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92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92" t="inlineStr">
        <x:is>
          <x:t xml:space="preserve">Codex</x:t>
        </x:is>
      </x:c>
      <x:c r="H50" s="392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92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92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92" t="inlineStr">
        <x:is>
          <x:t xml:space="preserve">Codex</x:t>
        </x:is>
      </x:c>
      <x:c r="H51" s="392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92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92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92" t="inlineStr">
        <x:is>
          <x:t xml:space="preserve">Codex</x:t>
        </x:is>
      </x:c>
      <x:c r="H52" s="392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92" t="inlineStr">
        <x:is>
          <x:t xml:space="preserve">仅将 east_door_wall_module 的50个主体哑光墙面从 PaletteUV (9,5) 对齐到相邻东墙使用的 (9,9)，消除偏白色差。</x:t>
        </x:is>
      </x:c>
      <x:c r="F53" s="392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92" t="inlineStr">
        <x:is>
          <x:t xml:space="preserve">Codex</x:t>
        </x:is>
      </x:c>
      <x:c r="H53" s="392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92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92" t="inlineStr">
        <x:is>
          <x:t xml:space="preserve">仅3个资产包及其源镜像；床37、桌毯13、地板11对象，源输出数量一致；PaletteUV、独占归属和范围锁均验收通过。</x:t>
        </x:is>
      </x:c>
      <x:c r="G54" s="392" t="inlineStr">
        <x:is>
          <x:t xml:space="preserve">Codex</x:t>
        </x:is>
      </x:c>
      <x:c r="H54" s="392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92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92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92" t="inlineStr">
        <x:is>
          <x:t xml:space="preserve">Codex</x:t>
        </x:is>
      </x:c>
      <x:c r="H55" s="392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  <x:row r="58" ht="46" customHeight="1">
      <x:c r="A58" s="301" t="inlineStr">
        <x:is>
          <x:t xml:space="preserve">v0.2.0</x:t>
        </x:is>
      </x:c>
      <x:c r="B58" s="301" t="inlineStr">
        <x:is>
          <x:t xml:space="preserve">2026-09-18</x:t>
        </x:is>
      </x:c>
      <x:c r="C58" s="301" t="inlineStr">
        <x:is>
          <x:t xml:space="preserve">账本分册化</x:t>
        </x:is>
      </x:c>
      <x:c r="D58" s="301" t="inlineStr">
        <x:is>
          <x:t xml:space="preserve">全项目资产登记结构</x:t>
        </x:is>
      </x:c>
      <x:c r="E58" s="301" t="inlineStr">
        <x:is>
          <x:t xml:space="preserve">单体账本按大类拆为 7 个分账本（角色/敌人/场景/道具/武器/特效/表现资源），总目录只保留跨域契约与分账本索引；资产条目逐格不变。</x:t>
        </x:is>
      </x:c>
      <x:c r="F58" s="301" t="inlineStr">
        <x:is>
          <x:t xml:space="preserve">路径变更：资产条目移至 assets/registry/ledgers/。旧引用（含 asset_manifest.json 的 asset_ledger 字段）可用 scripts/ledger_registry.py 解析；门禁扩展为逐账本 + 跨文件契约。</x:t>
        </x:is>
      </x:c>
      <x:c r="G58" s="301" t="inlineStr">
        <x:is>
          <x:t xml:space="preserve">摩斯拉</x:t>
        </x:is>
      </x:c>
    </x:row>
    <x:row r="59" ht="46" customHeight="1">
      <x:c r="A59" s="301" t="inlineStr">
        <x:is>
          <x:t xml:space="preserve">v0.2.1</x:t>
        </x:is>
      </x:c>
      <x:c r="B59" s="301" t="inlineStr">
        <x:is>
          <x:t xml:space="preserve">2026-09-22</x:t>
        </x:is>
      </x:c>
      <x:c r="C59" s="301" t="inlineStr">
        <x:is>
          <x:t xml:space="preserve">塔楼三层壳体平面统一 100×80m</x:t>
        </x:is>
      </x:c>
      <x:c r="D59" s="301" t="inlineStr">
        <x:is>
          <x:t xml:space="preserve">1个Blend / 1个JSON / 1个GDScript / 1个布局生成脚本 / 3个测试探针</x:t>
        </x:is>
      </x:c>
      <x:c r="E59" s="301" t="inlineStr">
        <x:is>
          <x:t xml:space="preserve">塔楼壳体平面由 18×16 格（90×80m）扩到 20×16 格（100×80m），98F/99F/100F 三层共用同一矩形；原先「90×80 / 250(楼板)160(外墙) / 250」三套口径作废。</x:t>
        </x:is>
      </x:c>
      <x:c r="F59" s="301" t="inlineStr">
        <x:is>
          <x:t xml:space="preserve">不改玩法、数值、刷怪与存档；仅壳体平面与随之重生成的天台装饰布局。AssetID 与 layout_version 不变（原地修正，不新增条目）。</x:t>
        </x:is>
      </x:c>
      <x:c r="G59" s="301" t="inlineStr">
        <x:is>
          <x:t xml:space="preserve">摩斯拉</x:t>
        </x:is>
      </x:c>
      <x:c r="H59" t="inlineStr">
        <x:is>
          <x:t xml:space="preserve">验收：verify_rooftop_32x32_contract / probe_rooftop_parapet_alignment / probe_tower_shell_dimensions / verify_block00_floor98_assembly</x:t>
        </x:is>
      </x:c>
    </x:row>
    <x:row r="60">
      <x:c r="A60" t="str">
        <x:v>v0.2.2</x:v>
      </x:c>
      <x:c r="B60" t="str">
        <x:v>2026-09-23</x:v>
      </x:c>
      <x:c r="C60" t="str">
        <x:v>P2 媒体资产域拆分</x:v>
      </x:c>
      <x:c r="D60" t="str">
        <x:v>UI 17 / 音效 48 / 音乐 9</x:v>
      </x:c>
      <x:c r="E60" t="str">
        <x:v>原表现资源账本拆为 UI、音效、音乐三个独立账本，各自绑定专用 Skill、制作链路与验收入口；同步校正场景与特效快照计数。</x:v>
      </x:c>
      <x:c r="F60" t="str">
        <x:v>AssetID、运行路径、SHA-256、状态、授权与内容顺序不变；音频大类显式拆为音效/音乐。</x:v>
      </x:c>
      <x:c r="G60" t="str">
        <x:v>Codex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4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92" t="n"/>
      <x:c r="I1" s="392" t="n"/>
      <x:c r="J1" s="392" t="n"/>
      <x:c r="K1" s="392" t="n"/>
      <x:c r="L1" s="392" t="n"/>
      <x:c r="M1" s="392" t="n"/>
      <x:c r="N1" s="392" t="n"/>
      <x:c r="O1" s="392" t="n"/>
      <x:c r="P1" s="392" t="n"/>
      <x:c r="Q1" s="392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92" t="n"/>
      <x:c r="I2" s="392" t="n"/>
      <x:c r="J2" s="392" t="n"/>
      <x:c r="K2" s="392" t="n"/>
      <x:c r="L2" s="392" t="n"/>
      <x:c r="M2" s="392" t="n"/>
      <x:c r="N2" s="392" t="n"/>
      <x:c r="O2" s="392" t="n"/>
      <x:c r="P2" s="392" t="n"/>
      <x:c r="Q2" s="392" t="n"/>
    </x:row>
    <x:row r="3">
      <x:c r="A3" s="392" t="n"/>
      <x:c r="B3" s="392" t="n"/>
      <x:c r="C3" s="392" t="n"/>
      <x:c r="D3" s="392" t="n"/>
      <x:c r="E3" s="392" t="n"/>
      <x:c r="F3" s="392" t="n"/>
      <x:c r="G3" s="392" t="n"/>
      <x:c r="H3" s="392" t="n"/>
      <x:c r="I3" s="392" t="n"/>
      <x:c r="J3" s="392" t="n"/>
      <x:c r="K3" s="392" t="n"/>
      <x:c r="L3" s="392" t="n"/>
      <x:c r="M3" s="392" t="n"/>
      <x:c r="N3" s="392" t="n"/>
      <x:c r="O3" s="392" t="n"/>
      <x:c r="P3" s="392" t="n"/>
      <x:c r="Q3" s="392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13" t="inlineStr">
        <x:is>
          <x:t xml:space="preserve">归属账本</x:t>
        </x:is>
      </x:c>
      <x:c r="I4" s="392" t="n"/>
      <x:c r="J4" s="392" t="n"/>
      <x:c r="K4" s="392" t="n"/>
      <x:c r="L4" s="392" t="n"/>
      <x:c r="M4" s="392" t="n"/>
      <x:c r="N4" s="392" t="n"/>
      <x:c r="O4" s="392" t="n"/>
      <x:c r="P4" s="392" t="n"/>
      <x:c r="Q4" s="392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137</x:v>
      </x:c>
      <x:c r="D5" s="277" t="n">
        <x:v>49</x:v>
      </x:c>
      <x:c r="E5" s="277" t="n">
        <x:v>86</x:v>
      </x:c>
      <x:c r="F5" s="277" t="n">
        <x:v>50</x:v>
      </x:c>
      <x:c r="G5" s="278" t="inlineStr">
        <x:is>
          <x:t xml:space="preserve">关卡结构、地板、墙体、走廊、楼梯、楼板与环境套件</x:t>
        </x:is>
      </x:c>
      <x:c r="H5" s="301" t="inlineStr">
        <x:is>
          <x:t xml:space="preserve">assets/registry/ledgers/ShellStorm2_场景账本_v001.xlsx</x:t>
        </x:is>
      </x:c>
      <x:c r="I5" s="392" t="n"/>
      <x:c r="J5" s="392" t="n"/>
      <x:c r="K5" s="392" t="n"/>
      <x:c r="L5" s="392" t="n"/>
      <x:c r="M5" s="392" t="n"/>
      <x:c r="N5" s="392" t="n"/>
      <x:c r="O5" s="392" t="n"/>
      <x:c r="P5" s="392" t="n"/>
      <x:c r="Q5" s="392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01" t="inlineStr">
        <x:is>
          <x:t xml:space="preserve">assets/registry/ledgers/ShellStorm2_场景账本_v001.xlsx</x:t>
        </x:is>
      </x:c>
      <x:c r="I6" s="392" t="n"/>
      <x:c r="J6" s="392" t="n"/>
      <x:c r="K6" s="392" t="n"/>
      <x:c r="L6" s="392" t="n"/>
      <x:c r="M6" s="392" t="n"/>
      <x:c r="N6" s="392" t="n"/>
      <x:c r="O6" s="392" t="n"/>
      <x:c r="P6" s="392" t="n"/>
      <x:c r="Q6" s="392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v>3</x:v>
      </x:c>
      <x:c r="D7" s="280" t="n">
        <x:v>2</x:v>
      </x:c>
      <x:c r="E7" s="280" t="n">
        <x:v>1</x:v>
      </x:c>
      <x:c r="F7" s="280" t="n">
        <x:v>1</x:v>
      </x:c>
      <x:c r="G7" s="281" t="inlineStr">
        <x:is>
          <x:t xml:space="preserve">桌椅、家具、容器和摆放装饰物</x:t>
        </x:is>
      </x:c>
      <x:c r="H7" s="301" t="inlineStr">
        <x:is>
          <x:t xml:space="preserve">assets/registry/ledgers/ShellStorm2_道具账本_v001.xlsx</x:t>
        </x:is>
      </x:c>
      <x:c r="I7" s="392" t="n"/>
      <x:c r="J7" s="392" t="n"/>
      <x:c r="K7" s="392" t="n"/>
      <x:c r="L7" s="392" t="n"/>
      <x:c r="M7" s="392" t="n"/>
      <x:c r="N7" s="392" t="n"/>
      <x:c r="O7" s="392" t="n"/>
      <x:c r="P7" s="392" t="n"/>
      <x:c r="Q7" s="392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4</x:v>
      </x:c>
      <x:c r="F8" s="280" t="n">
        <x:v>1</x:v>
      </x:c>
      <x:c r="G8" s="281" t="inlineStr">
        <x:is>
          <x:t xml:space="preserve">玩家、NPC与角色表现/玩法根</x:t>
        </x:is>
      </x:c>
      <x:c r="H8" s="301" t="inlineStr">
        <x:is>
          <x:t xml:space="preserve">assets/registry/ledgers/ShellStorm2_角色账本_v001.xlsx</x:t>
        </x:is>
      </x:c>
      <x:c r="I8" s="392" t="n"/>
      <x:c r="J8" s="392" t="n"/>
      <x:c r="K8" s="392" t="n"/>
      <x:c r="L8" s="392" t="n"/>
      <x:c r="M8" s="392" t="n"/>
      <x:c r="N8" s="392" t="n"/>
      <x:c r="O8" s="392" t="n"/>
      <x:c r="P8" s="392" t="n"/>
      <x:c r="Q8" s="392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v>2</x:v>
      </x:c>
      <x:c r="D9" s="280" t="n">
        <x:v>1</x:v>
      </x:c>
      <x:c r="E9" s="280" t="n">
        <x:v>2</x:v>
      </x:c>
      <x:c r="F9" s="280" t="n">
        <x:v>1</x:v>
      </x:c>
      <x:c r="G9" s="281" t="inlineStr">
        <x:is>
          <x:t xml:space="preserve">普通敌人、精英、Boss与敌人共用根</x:t>
        </x:is>
      </x:c>
      <x:c r="H9" s="301" t="inlineStr">
        <x:is>
          <x:t xml:space="preserve">assets/registry/ledgers/ShellStorm2_敌人账本_v001.xlsx</x:t>
        </x:is>
      </x:c>
      <x:c r="I9" s="392" t="n"/>
      <x:c r="J9" s="392" t="n"/>
      <x:c r="K9" s="392" t="n"/>
      <x:c r="L9" s="392" t="n"/>
      <x:c r="M9" s="392" t="n"/>
      <x:c r="N9" s="392" t="n"/>
      <x:c r="O9" s="392" t="n"/>
      <x:c r="P9" s="392" t="n"/>
      <x:c r="Q9" s="392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v>22</x:v>
      </x:c>
      <x:c r="D10" s="280" t="n">
        <x:v>18</x:v>
      </x:c>
      <x:c r="E10" s="280" t="n">
        <x:v>22</x:v>
      </x:c>
      <x:c r="F10" s="280" t="n">
        <x:v>0</x:v>
      </x:c>
      <x:c r="G10" s="281" t="inlineStr">
        <x:is>
          <x:t xml:space="preserve">枪械、近战武器与武器装配根</x:t>
        </x:is>
      </x:c>
      <x:c r="H10" s="301" t="inlineStr">
        <x:is>
          <x:t xml:space="preserve">assets/registry/ledgers/ShellStorm2_武器账本_v001.xlsx</x:t>
        </x:is>
      </x:c>
      <x:c r="I10" s="392" t="n"/>
      <x:c r="J10" s="392" t="n"/>
      <x:c r="K10" s="392" t="n"/>
      <x:c r="L10" s="392" t="n"/>
      <x:c r="M10" s="392" t="n"/>
      <x:c r="N10" s="392" t="n"/>
      <x:c r="O10" s="392" t="n"/>
      <x:c r="P10" s="392" t="n"/>
      <x:c r="Q10" s="392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v>0</x:v>
      </x:c>
      <x:c r="D11" s="280" t="n">
        <x:v>0</x:v>
      </x:c>
      <x:c r="E11" s="280" t="n">
        <x:v>0</x:v>
      </x:c>
      <x:c r="F11" s="280" t="n">
        <x:v>0</x:v>
      </x:c>
      <x:c r="G11" s="281" t="inlineStr">
        <x:is>
          <x:t xml:space="preserve">拥有独立PackedScene的拾取物、消耗品、钥匙和掉落物</x:t>
        </x:is>
      </x:c>
      <x:c r="H11" s="301" t="inlineStr">
        <x:is>
          <x:t xml:space="preserve">assets/registry/ledgers/ShellStorm2_道具账本_v001.xlsx</x:t>
        </x:is>
      </x:c>
      <x:c r="I11" s="392" t="n"/>
      <x:c r="J11" s="392" t="n"/>
      <x:c r="K11" s="392" t="n"/>
      <x:c r="L11" s="392" t="n"/>
      <x:c r="M11" s="392" t="n"/>
      <x:c r="N11" s="392" t="n"/>
      <x:c r="O11" s="392" t="n"/>
      <x:c r="P11" s="392" t="n"/>
      <x:c r="Q11" s="392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v>15</x:v>
      </x:c>
      <x:c r="D12" s="280" t="n">
        <x:v>10</x:v>
      </x:c>
      <x:c r="E12" s="280" t="n">
        <x:v>10</x:v>
      </x:c>
      <x:c r="F12" s="280" t="n">
        <x:v>0</x:v>
      </x:c>
      <x:c r="G12" s="281" t="inlineStr">
        <x:is>
          <x:t xml:space="preserve">可独立实例化的3D战斗、环境和可见性特效</x:t>
        </x:is>
      </x:c>
      <x:c r="H12" s="301" t="inlineStr">
        <x:is>
          <x:t xml:space="preserve">assets/registry/ledgers/ShellStorm2_特效账本_v001.xlsx</x:t>
        </x:is>
      </x:c>
      <x:c r="I12" s="392" t="n"/>
      <x:c r="J12" s="392" t="n"/>
      <x:c r="K12" s="392" t="n"/>
      <x:c r="L12" s="392" t="n"/>
      <x:c r="M12" s="392" t="n"/>
      <x:c r="N12" s="392" t="n"/>
      <x:c r="O12" s="392" t="n"/>
      <x:c r="P12" s="392" t="n"/>
      <x:c r="Q12" s="392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v>0</x:v>
      </x:c>
      <x:c r="D13" s="280" t="n">
        <x:v>0</x:v>
      </x:c>
      <x:c r="E13" s="280" t="n">
        <x:v>0</x:v>
      </x:c>
      <x:c r="F13" s="280" t="n">
        <x:v>0</x:v>
      </x:c>
      <x:c r="G13" s="281" t="inlineStr">
        <x:is>
          <x:t xml:space="preserve">无法归入以上分类的独立3D Prefab</x:t>
        </x:is>
      </x:c>
      <x:c r="H13" s="301" t="inlineStr">
        <x:is>
          <x:t xml:space="preserve">assets/registry/ledgers/ShellStorm2_场景账本_v001.xlsx</x:t>
        </x:is>
      </x:c>
      <x:c r="I13" s="392" t="n"/>
      <x:c r="J13" s="392" t="n"/>
      <x:c r="K13" s="392" t="n"/>
      <x:c r="L13" s="392" t="n"/>
      <x:c r="M13" s="392" t="n"/>
      <x:c r="N13" s="392" t="n"/>
      <x:c r="O13" s="392" t="n"/>
      <x:c r="P13" s="392" t="n"/>
      <x:c r="Q13" s="392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23" t="n"/>
      <x:c r="I14" s="392" t="n"/>
      <x:c r="J14" s="392" t="n"/>
      <x:c r="K14" s="392" t="n"/>
      <x:c r="L14" s="392" t="n"/>
      <x:c r="M14" s="392" t="n"/>
      <x:c r="N14" s="392" t="n"/>
      <x:c r="O14" s="392" t="n"/>
      <x:c r="P14" s="392" t="n"/>
      <x:c r="Q14" s="392" t="n"/>
    </x:row>
  </x:sheetData>
  <x:mergeCells>
    <x:mergeCell ref="A2:G2"/>
    <x:mergeCell ref="A1:G1"/>
  </x:mergeCells>
  <x:dataValidations count="1">
    <x:dataValidation type="list" allowBlank="1" showDropDown="0" showInputMessage="0" showErrorMessage="0" sqref="A5:A200">
      <x:formula1>"场景通用组件,设施组件,道具,角色,敌人,武器,物品,特效,其他"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  <x:row r="9">
      <x:c r="A9" t="str">
        <x:v>SKILL-UI-ASSET-PIPELINE</x:v>
      </x:c>
      <x:c r="B9" t="str">
        <x:v>UI 资产制作与验收</x:v>
      </x:c>
      <x:c r="C9" t="str">
        <x:v>UI 账本、页面/图标接入、手柄焦点与跨分辨率验收</x:v>
      </x:c>
      <x:c r="D9" t="str">
        <x:v>.codex/skills/ui-asset-pipeline/SKILL.md</x:v>
      </x:c>
      <x:c r="E9" t="str">
        <x:v>项目内已安装</x:v>
      </x:c>
      <x:c r="F9" t="str">
        <x:v>HUD、背包、基地菜单、弹窗与图标</x:v>
      </x:c>
      <x:c r="G9" t="str">
        <x:v>v001</x:v>
      </x:c>
      <x:c r="H9" t="str">
        <x:v>使用中</x:v>
      </x:c>
      <x:c r="I9" t="str">
        <x:v>2026-09-23</x:v>
      </x:c>
      <x:c r="J9" t="str">
        <x:v>P2 媒体域拆分后接管 UI 独立流程</x:v>
      </x:c>
    </x:row>
    <x:row r="10">
      <x:c r="A10" t="str">
        <x:v>SKILL-AUDIO-SFX-ASSET-PIPELINE</x:v>
      </x:c>
      <x:c r="B10" t="str">
        <x:v>短时游戏音效制作与验收</x:v>
      </x:c>
      <x:c r="C10" t="str">
        <x:v>音效账本、事件键、转码、接入与回归验收</x:v>
      </x:c>
      <x:c r="D10" t="str">
        <x:v>.codex/skills/audio-sfx-asset-pipeline/SKILL.md</x:v>
      </x:c>
      <x:c r="E10" t="str">
        <x:v>项目内已安装</x:v>
      </x:c>
      <x:c r="F10" t="str">
        <x:v>武器、近战、受击、UI、门、容器、波次与交互音效</x:v>
      </x:c>
      <x:c r="G10" t="str">
        <x:v>v001</x:v>
      </x:c>
      <x:c r="H10" t="str">
        <x:v>使用中</x:v>
      </x:c>
      <x:c r="I10" t="str">
        <x:v>2026-09-23</x:v>
      </x:c>
      <x:c r="J10" t="str">
        <x:v>P2 媒体域拆分后接管 SFX 独立流程</x:v>
      </x:c>
    </x:row>
    <x:row r="11">
      <x:c r="A11" t="str">
        <x:v>SKILL-MUSIC-ASSET-PIPELINE</x:v>
      </x:c>
      <x:c r="B11" t="str">
        <x:v>BGM 与场景配乐制作与验收</x:v>
      </x:c>
      <x:c r="C11" t="str">
        <x:v>音乐账本、循环、曲目 A/B、Music 总线与场景切换验收</x:v>
      </x:c>
      <x:c r="D11" t="str">
        <x:v>.codex/skills/music-asset-pipeline/SKILL.md</x:v>
      </x:c>
      <x:c r="E11" t="str">
        <x:v>项目内已安装</x:v>
      </x:c>
      <x:c r="F11" t="str">
        <x:v>BGM、场景配乐、循环与场景触发</x:v>
      </x:c>
      <x:c r="G11" t="str">
        <x:v>v001</x:v>
      </x:c>
      <x:c r="H11" t="str">
        <x:v>使用中</x:v>
      </x:c>
      <x:c r="I11" t="str">
        <x:v>2026-09-23</x:v>
      </x:c>
      <x:c r="J11" t="str">
        <x:v>P2 媒体域拆分后接管 Music 独立流程</x:v>
      </x:c>
    </x:row>
  </x:sheetData>
  <x:mergeCells>
    <x:mergeCell ref="A1:J1"/>
    <x:mergeCell ref="A2:J2"/>
  </x:mergeCells>
  <x:pageMargins left="0.7" right="0.7" top="0.75" bottom="0.75" header="0.3" footer="0.3"/>
</x:worksheet>
</file>